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Cobranza!$A$1:$AD$498</definedName>
    <definedName hidden="1" localSheetId="3" name="_xlnm._FilterDatabase">Reporte!$A$1:$M$315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<sst xmlns="http://schemas.openxmlformats.org/spreadsheetml/2006/main" count="5017" uniqueCount="1551">
  <si>
    <t>Recaudo por Manzana</t>
  </si>
  <si>
    <t>ITEM</t>
  </si>
  <si>
    <t>MONEDEROS</t>
  </si>
  <si>
    <t>NOMBRES</t>
  </si>
  <si>
    <t>MZ</t>
  </si>
  <si>
    <t>LT</t>
  </si>
  <si>
    <t>TIPO
CONVENIO</t>
  </si>
  <si>
    <t>EFECTIVO</t>
  </si>
  <si>
    <t>MAYOR 65</t>
  </si>
  <si>
    <t>NO COBRO</t>
  </si>
  <si>
    <t>Mnz</t>
  </si>
  <si>
    <t>Costo x m3</t>
  </si>
  <si>
    <t>MARCACION ACTUAL</t>
  </si>
  <si>
    <t>Reporte Yape-M</t>
  </si>
  <si>
    <t>Planilla-A</t>
  </si>
  <si>
    <t>Comentario</t>
  </si>
  <si>
    <t>M3</t>
  </si>
  <si>
    <t>AGUA</t>
  </si>
  <si>
    <t>Excesos y deudas-A</t>
  </si>
  <si>
    <t>Mes actual</t>
  </si>
  <si>
    <t>A</t>
  </si>
  <si>
    <t>MES ANTERIOR</t>
  </si>
  <si>
    <t>Corte y reconexión</t>
  </si>
  <si>
    <t>Convenio</t>
  </si>
  <si>
    <t>Mant.</t>
  </si>
  <si>
    <t>FECHA</t>
  </si>
  <si>
    <t>Reunión</t>
  </si>
  <si>
    <t>CONCEPTO</t>
  </si>
  <si>
    <t>MONTO</t>
  </si>
  <si>
    <t>faena</t>
  </si>
  <si>
    <t>Ajuste</t>
  </si>
  <si>
    <t>Total</t>
  </si>
  <si>
    <t>Estado</t>
  </si>
  <si>
    <t>Fecha</t>
  </si>
  <si>
    <t>JANET YAPE</t>
  </si>
  <si>
    <t>Medio</t>
  </si>
  <si>
    <t>Mes anterior</t>
  </si>
  <si>
    <t>Estado del servicio</t>
  </si>
  <si>
    <t>corte</t>
  </si>
  <si>
    <t>Efectivo</t>
  </si>
  <si>
    <t>Yape</t>
  </si>
  <si>
    <t>contador yape</t>
  </si>
  <si>
    <t>YANET EFECTIVO</t>
  </si>
  <si>
    <t>MARCELINA OBREGON DE AVILA</t>
  </si>
  <si>
    <t>Ingreso yape</t>
  </si>
  <si>
    <t>c</t>
  </si>
  <si>
    <t>y</t>
  </si>
  <si>
    <t>B</t>
  </si>
  <si>
    <t>Salida yape</t>
  </si>
  <si>
    <t>ROSA AURORA ROCA VIDAL</t>
  </si>
  <si>
    <t>Tipo de Transacción</t>
  </si>
  <si>
    <t>Es del Efectivo</t>
  </si>
  <si>
    <t>C</t>
  </si>
  <si>
    <t>LINDA PAJUELO COCHACHÍN</t>
  </si>
  <si>
    <t>Es del efectivo</t>
  </si>
  <si>
    <t>Origen</t>
  </si>
  <si>
    <t>Destino</t>
  </si>
  <si>
    <t>Monto</t>
  </si>
  <si>
    <t>Valor</t>
  </si>
  <si>
    <t>LOTE</t>
  </si>
  <si>
    <t>Mensaje</t>
  </si>
  <si>
    <t>Fecha de operación</t>
  </si>
  <si>
    <t>Año</t>
  </si>
  <si>
    <t>YOLANDA ESPINOZA JAIMES</t>
  </si>
  <si>
    <t>Mes</t>
  </si>
  <si>
    <t>Dia</t>
  </si>
  <si>
    <t>SALDO</t>
  </si>
  <si>
    <t>D</t>
  </si>
  <si>
    <t>Hora</t>
  </si>
  <si>
    <t>TE PAGÓ</t>
  </si>
  <si>
    <t>No pago</t>
  </si>
  <si>
    <t>Washington Medrano M.</t>
  </si>
  <si>
    <t>JULIA AGAMA CUZCO</t>
  </si>
  <si>
    <t>Yanet tiene yape Este mes</t>
  </si>
  <si>
    <t>Janet Villanueva A.</t>
  </si>
  <si>
    <t>Yanet tiene efectivo</t>
  </si>
  <si>
    <t>46.00</t>
  </si>
  <si>
    <t>Sobra o falta</t>
  </si>
  <si>
    <t>W</t>
  </si>
  <si>
    <t>El menos 8 nos indica que hay un Yape adelantado que</t>
  </si>
  <si>
    <t>ESTEBAN REYES SANCHEZ</t>
  </si>
  <si>
    <t>nohe identificado su dueño</t>
  </si>
  <si>
    <t>E</t>
  </si>
  <si>
    <t>TOTAL</t>
  </si>
  <si>
    <t>MZ W LT 5</t>
  </si>
  <si>
    <t>07/12/2025 21:31:13</t>
  </si>
  <si>
    <t>JUAN CARLOS MELGAREJO BEDON</t>
  </si>
  <si>
    <t>debe 30 faena</t>
  </si>
  <si>
    <t>VICTOR MELGAREJO CORCINO</t>
  </si>
  <si>
    <t>JHONI MELGAREJO BEDON</t>
  </si>
  <si>
    <t>8-A</t>
  </si>
  <si>
    <t>F</t>
  </si>
  <si>
    <t>William Trujillo R.</t>
  </si>
  <si>
    <t>8.00</t>
  </si>
  <si>
    <t>ALEJANDRO MELGAREJO ESPINOZA</t>
  </si>
  <si>
    <t>mzE lt7</t>
  </si>
  <si>
    <t>ISABEL PUNTILLO VEGA</t>
  </si>
  <si>
    <t>07/12/2025 18:25:49</t>
  </si>
  <si>
    <t>G</t>
  </si>
  <si>
    <t>debe 30 faena, mes actual 35</t>
  </si>
  <si>
    <t>FELIX POZO CASTRO</t>
  </si>
  <si>
    <t>H</t>
  </si>
  <si>
    <t>Luis F. Paucar Q.</t>
  </si>
  <si>
    <t>3.00</t>
  </si>
  <si>
    <t>BACILIO UTRILLA FRANCISCO</t>
  </si>
  <si>
    <t>B1</t>
  </si>
  <si>
    <t>I</t>
  </si>
  <si>
    <t>07/12/2025 14:57:33</t>
  </si>
  <si>
    <t>ESTEBAN REYNALDO ROSALES</t>
  </si>
  <si>
    <t>I10(8) Yape adelantado</t>
  </si>
  <si>
    <t>J</t>
  </si>
  <si>
    <t>EDUARDO REYNALDO ROSALES</t>
  </si>
  <si>
    <t>Mari Celidonio C.</t>
  </si>
  <si>
    <t>36.00</t>
  </si>
  <si>
    <t>MELINA J. JUAREZ TOLEDO DE MORENO</t>
  </si>
  <si>
    <t>K</t>
  </si>
  <si>
    <t>C1</t>
  </si>
  <si>
    <t>07/12/2025 13:41:19</t>
  </si>
  <si>
    <t>POMPEYO CELESTINO LLIUYA</t>
  </si>
  <si>
    <t>K11(13), K17(16) Yape Adelantado</t>
  </si>
  <si>
    <t>L</t>
  </si>
  <si>
    <t>ROSA VICTORIA MILLA MORALES</t>
  </si>
  <si>
    <t>47.00</t>
  </si>
  <si>
    <t>LIRIA PARIAMACHI DE PAZ</t>
  </si>
  <si>
    <t>M</t>
  </si>
  <si>
    <t>MZ G LT 16</t>
  </si>
  <si>
    <t>07/12/2025 10:14:53</t>
  </si>
  <si>
    <t>ROSALINA OLIMPIA CIRIACO SOTELO</t>
  </si>
  <si>
    <t>N</t>
  </si>
  <si>
    <t>7.00</t>
  </si>
  <si>
    <t>ALEJANDRO RAPRAY VELASQUEZ</t>
  </si>
  <si>
    <t>07/12/2025 10:06:36</t>
  </si>
  <si>
    <t>O</t>
  </si>
  <si>
    <t xml:space="preserve">ELVIRA PASCUALA MINAYA TAHUA </t>
  </si>
  <si>
    <t>Jimm P. Zapata M.</t>
  </si>
  <si>
    <t>MARCELINO FELIX VILLAFANA PALLACA</t>
  </si>
  <si>
    <t>P</t>
  </si>
  <si>
    <t>H1</t>
  </si>
  <si>
    <t>Jimm zapata agua -  lt 8 mz h1</t>
  </si>
  <si>
    <t>07/12/2025 09:51:28</t>
  </si>
  <si>
    <t>TEOFILO BRUNO RAMOS DE LA CRUZ</t>
  </si>
  <si>
    <t xml:space="preserve"> P18(12) Efectivo</t>
  </si>
  <si>
    <t>Q</t>
  </si>
  <si>
    <t>Yicson A. Zapata M.</t>
  </si>
  <si>
    <t>42.00</t>
  </si>
  <si>
    <t xml:space="preserve">ROSMERI SANCHEZ ESPADA </t>
  </si>
  <si>
    <t>12-A</t>
  </si>
  <si>
    <t>MARCACIÓN</t>
  </si>
  <si>
    <t>m3</t>
  </si>
  <si>
    <t>R</t>
  </si>
  <si>
    <t>mz h1 lote 7 yicson Zapata Martinez</t>
  </si>
  <si>
    <t>07/12/2025 09:47:58</t>
  </si>
  <si>
    <t>Debe 30</t>
  </si>
  <si>
    <t xml:space="preserve">MARCACIÓN </t>
  </si>
  <si>
    <t>SALOME AGUSTINA DIAZ VARGAS</t>
  </si>
  <si>
    <t xml:space="preserve">MARCACION </t>
  </si>
  <si>
    <t>MARCACION</t>
  </si>
  <si>
    <t>S</t>
  </si>
  <si>
    <t>Dante R. Meza M.</t>
  </si>
  <si>
    <t>Total mes actual</t>
  </si>
  <si>
    <t>Manteniminiento</t>
  </si>
  <si>
    <t>Debe 15 faena</t>
  </si>
  <si>
    <t>Multa</t>
  </si>
  <si>
    <t>Total a pagar</t>
  </si>
  <si>
    <t>Fecha de pago</t>
  </si>
  <si>
    <t>Medio de pago</t>
  </si>
  <si>
    <t>MELISSA ISABEL PILLACA GARCIA</t>
  </si>
  <si>
    <t>T</t>
  </si>
  <si>
    <t>mz h1 LT 12</t>
  </si>
  <si>
    <t>07/12/2025 09:14:28</t>
  </si>
  <si>
    <t>U</t>
  </si>
  <si>
    <t>Jessica Y. Morales V.</t>
  </si>
  <si>
    <t>ELEUTERIA DOMITILA PARIAMACHI DE PAZ</t>
  </si>
  <si>
    <t>49.00</t>
  </si>
  <si>
    <t>V</t>
  </si>
  <si>
    <t>MZ.Q LT.12</t>
  </si>
  <si>
    <t>LUZ DINA MIRAVAL HUERTA</t>
  </si>
  <si>
    <t>07/12/2025 06:03:01</t>
  </si>
  <si>
    <t>Elizabeth S. Regalado C.</t>
  </si>
  <si>
    <t>CLETO TENORIO MORI</t>
  </si>
  <si>
    <t>27.00</t>
  </si>
  <si>
    <t>W20(23) Yape adelantado</t>
  </si>
  <si>
    <t>X</t>
  </si>
  <si>
    <t>mz,N lt.5</t>
  </si>
  <si>
    <t>06/12/2025 23:34:14</t>
  </si>
  <si>
    <t xml:space="preserve">CAMILA HIDALGO </t>
  </si>
  <si>
    <t>Y</t>
  </si>
  <si>
    <t>Nelly M. De-la-cruz H.</t>
  </si>
  <si>
    <t>JANET FERNANDEZ MINAYA</t>
  </si>
  <si>
    <t>16.00</t>
  </si>
  <si>
    <t>Z</t>
  </si>
  <si>
    <t>06/12/2025 22:43:26</t>
  </si>
  <si>
    <t>Se le debe 0. Pago (8 consumo, 20 convenio)</t>
  </si>
  <si>
    <t>A1</t>
  </si>
  <si>
    <t>Raul R. Blas Q.</t>
  </si>
  <si>
    <t>ODILON CERNA ROMERO</t>
  </si>
  <si>
    <t>38.00</t>
  </si>
  <si>
    <t xml:space="preserve">Se exonero faena. </t>
  </si>
  <si>
    <t>Mz .M. Lt.17</t>
  </si>
  <si>
    <t>06/12/2025 22:37:43</t>
  </si>
  <si>
    <t>OLGA FLORENTINA HUERTA AGAMA</t>
  </si>
  <si>
    <t>8B</t>
  </si>
  <si>
    <t>TIMOTEO ROMERO JULCA</t>
  </si>
  <si>
    <t>mz c lt 8 B</t>
  </si>
  <si>
    <t>06/12/2025 22:36:34</t>
  </si>
  <si>
    <t>AGAPITO PRINICIPE SALINAS</t>
  </si>
  <si>
    <t>D1</t>
  </si>
  <si>
    <t>6.00</t>
  </si>
  <si>
    <t>DIANA JARA TRUJILLO</t>
  </si>
  <si>
    <t>mz E lt 13</t>
  </si>
  <si>
    <t>06/12/2025 22:35:16</t>
  </si>
  <si>
    <t>E1</t>
  </si>
  <si>
    <t>17.00</t>
  </si>
  <si>
    <t>VICTOR LOPEZ TRUJILLO</t>
  </si>
  <si>
    <t>F1</t>
  </si>
  <si>
    <t>06/12/2025 22:34:31</t>
  </si>
  <si>
    <t>JULISSA BARRETO QUITO</t>
  </si>
  <si>
    <t>G1</t>
  </si>
  <si>
    <t>JAZMIN QUITO SANCHEZ</t>
  </si>
  <si>
    <t>8-B</t>
  </si>
  <si>
    <t>13.00</t>
  </si>
  <si>
    <t>Debe faena 15</t>
  </si>
  <si>
    <t>JUAN UCULMANA SANCHEZ</t>
  </si>
  <si>
    <t>06/12/2025 22:34:08</t>
  </si>
  <si>
    <t>SONIA GLORIA MORENO CASTILLEJO</t>
  </si>
  <si>
    <t>9-C</t>
  </si>
  <si>
    <t>22.00</t>
  </si>
  <si>
    <t>21A</t>
  </si>
  <si>
    <t>nz G lt 21 A</t>
  </si>
  <si>
    <t>06/12/2025 22:33:03</t>
  </si>
  <si>
    <t>CEVERIANO CHAUCA MORALES</t>
  </si>
  <si>
    <t>h</t>
  </si>
  <si>
    <t>MACEDONIO MORALES BENTURO</t>
  </si>
  <si>
    <t>39.00</t>
  </si>
  <si>
    <t>Asistio a la faena un dia antes</t>
  </si>
  <si>
    <t>mz G lt 3</t>
  </si>
  <si>
    <t>06/12/2025 22:28:51</t>
  </si>
  <si>
    <t>IRMA HUAÑAHUI LOPEZ</t>
  </si>
  <si>
    <t>JUAN RIOS BLAS</t>
  </si>
  <si>
    <t>Yolanda E. Sales B.</t>
  </si>
  <si>
    <t>JULIO RIOS BLAS</t>
  </si>
  <si>
    <t>18.00</t>
  </si>
  <si>
    <t>MARTHA MASIAS CASIHUAMAN DE TERAN</t>
  </si>
  <si>
    <t>mz B1 lote 11</t>
  </si>
  <si>
    <t>06/12/2025 22:28:22</t>
  </si>
  <si>
    <t>Debe30 faena</t>
  </si>
  <si>
    <t>MARCELINO VALLADARES TRUJILLO</t>
  </si>
  <si>
    <t>Vanessa A. Milla C.</t>
  </si>
  <si>
    <t>ANTONIO VALLADARES DOMINGUEZ</t>
  </si>
  <si>
    <t>43.00</t>
  </si>
  <si>
    <t>EUSEBIO REYES VILLAFANA</t>
  </si>
  <si>
    <t>mzn s lt 3 vanessa milla</t>
  </si>
  <si>
    <t>06/12/2025 22:27:55</t>
  </si>
  <si>
    <t>PUESTO DE SALUD TUPAC AMARU</t>
  </si>
  <si>
    <t>Mariluz Romero H.</t>
  </si>
  <si>
    <t>Exonerado</t>
  </si>
  <si>
    <t>ABRAHAM BARRERA VEGA</t>
  </si>
  <si>
    <t>mz Q lote 3 Pablo romero Garcilazo segunda etapa 💧💧💧</t>
  </si>
  <si>
    <t>06/12/2025 22:21:21</t>
  </si>
  <si>
    <t>ANTONIA MAYO TRUJILLO</t>
  </si>
  <si>
    <t>Salome A. Diaz V.</t>
  </si>
  <si>
    <t>26.00</t>
  </si>
  <si>
    <t>ALFREDO CARLOS VENTURO CAPCHA</t>
  </si>
  <si>
    <t>MZ:B Lt: 13 / 15 soles de multa</t>
  </si>
  <si>
    <t>06/12/2025 21:52:18</t>
  </si>
  <si>
    <t>JULIO HUERTA MILLA</t>
  </si>
  <si>
    <t>CORCINO RODRIGUEZ RIVERA</t>
  </si>
  <si>
    <t>Juana S. Morales D.</t>
  </si>
  <si>
    <t>NANCY VALERIANA FLORES LEON</t>
  </si>
  <si>
    <t>mz t lt 8 Miguel Meléndez julca</t>
  </si>
  <si>
    <t>06/12/2025 21:50:26</t>
  </si>
  <si>
    <t>OSTIN AGÜERO TRUJILLO</t>
  </si>
  <si>
    <t>Leon R. Cosme C.</t>
  </si>
  <si>
    <t>SONIA CERNA MELGAREJO</t>
  </si>
  <si>
    <t>Ana Garro Rojas, Mz. S Lt 13</t>
  </si>
  <si>
    <t>IGLESIA ADVENTISTA DEL SEPTIMO DIA</t>
  </si>
  <si>
    <t>06/12/2025 21:27:53</t>
  </si>
  <si>
    <t>FAUSTA HUERTA AGAMA</t>
  </si>
  <si>
    <t xml:space="preserve">EDITA ROMERO MAYO </t>
  </si>
  <si>
    <t>Salma Roena Caballero Cosme Mz. W Lt 9</t>
  </si>
  <si>
    <t>EBER AGÜERO TRUJILLO</t>
  </si>
  <si>
    <t>06/12/2025 21:26:02</t>
  </si>
  <si>
    <t>ANALY QUINECHE MORANTE</t>
  </si>
  <si>
    <t>Shelly R. Moreno C.</t>
  </si>
  <si>
    <t>MARIA NORABUENA ESPADA</t>
  </si>
  <si>
    <t>rubi moreno cosme mz s lote 7</t>
  </si>
  <si>
    <t>06/12/2025 21:03:23</t>
  </si>
  <si>
    <t>RAQUEL SORIA BUSTAMANTE</t>
  </si>
  <si>
    <t>Eloy E. Ramirez V.</t>
  </si>
  <si>
    <t>41.00</t>
  </si>
  <si>
    <t>JANET ROMERO MAYO</t>
  </si>
  <si>
    <t>MzG Lt 23 Hipólito Ramírez</t>
  </si>
  <si>
    <t>06/12/2025 20:44:33</t>
  </si>
  <si>
    <t>JANET EVARISTO COCHACHIN</t>
  </si>
  <si>
    <t>Sonia M. Arquino M.</t>
  </si>
  <si>
    <t>14.00</t>
  </si>
  <si>
    <t>JUAN VENTURO CAPCHA</t>
  </si>
  <si>
    <t>MZv LT6</t>
  </si>
  <si>
    <t>06/12/2025 19:46:26</t>
  </si>
  <si>
    <t>VICTOR TRUJILLO POLICARPIO</t>
  </si>
  <si>
    <t>ANTONIO CASTILLEJO CUEVA</t>
  </si>
  <si>
    <t>Olinda Ascurra C.</t>
  </si>
  <si>
    <t>9.00</t>
  </si>
  <si>
    <t>pago de consumo de agua</t>
  </si>
  <si>
    <t>JULIO CESAR PRINCIPE LUNA</t>
  </si>
  <si>
    <t>06/12/2025 19:38:17</t>
  </si>
  <si>
    <t>TERESA PAULA JARA DE FERNANDEZ</t>
  </si>
  <si>
    <t>Ditmar H. Diaz M.</t>
  </si>
  <si>
    <t>60.00</t>
  </si>
  <si>
    <t>HERMELINDA JARA TRUJILLO</t>
  </si>
  <si>
    <t>MZ. S lote 02 Miriam diaz</t>
  </si>
  <si>
    <t>06/12/2025 19:23:10</t>
  </si>
  <si>
    <t>Exonerado faena</t>
  </si>
  <si>
    <t>MAXIMILIANO JARA NIETO</t>
  </si>
  <si>
    <t>Estela R. Capcha D.</t>
  </si>
  <si>
    <t>SANTA ANTONIA SAENZ TICLIO</t>
  </si>
  <si>
    <t>Mz p lote 7 Hipolito melgarejo</t>
  </si>
  <si>
    <t>Debe 20 faena</t>
  </si>
  <si>
    <t>06/12/2025 19:23:06</t>
  </si>
  <si>
    <t>RUFINA CABELLO TICLIO</t>
  </si>
  <si>
    <t>Debe 30 faena</t>
  </si>
  <si>
    <t>Dedicacion M. Garcilazo R.</t>
  </si>
  <si>
    <t>LIDIA ASTERIA SALES BLAS</t>
  </si>
  <si>
    <t xml:space="preserve">SALOMON RODRIGUEZ GARCIA </t>
  </si>
  <si>
    <t>D 13</t>
  </si>
  <si>
    <t>06/12/2025 19:18:07</t>
  </si>
  <si>
    <t>MARTINA MENDOZA ROMERO</t>
  </si>
  <si>
    <t>Martha E. Bacilio R.</t>
  </si>
  <si>
    <t>ROSELA ELVIRA MUÑOZ HERMITAÑO</t>
  </si>
  <si>
    <t>Mz.Z Lt.3</t>
  </si>
  <si>
    <t>06/12/2025 19:10:37</t>
  </si>
  <si>
    <t>ESTEBAN GUERRERO CHINGEL</t>
  </si>
  <si>
    <t>Carmen J. Rojas T.</t>
  </si>
  <si>
    <t>MACARIO REQUEZ ROMERO</t>
  </si>
  <si>
    <t>mz c1 lt 09 Roberto Martín marlapulu flores</t>
  </si>
  <si>
    <t>LUIS GERARDO SAAVEDRA SAAVEDRA</t>
  </si>
  <si>
    <t>06/12/2025 19:06:10</t>
  </si>
  <si>
    <t>Eugenia Utrilla F.</t>
  </si>
  <si>
    <t>FELIPE DOMINGO VENTURO CAPCHA</t>
  </si>
  <si>
    <t>06/12/2025 19:00:32</t>
  </si>
  <si>
    <t>YOLANDA MATILDE MONTALVO COSME</t>
  </si>
  <si>
    <t>BCP - MAMANI REYES JOSE ANTONIO</t>
  </si>
  <si>
    <t>DARIO ROSALES TICLIO</t>
  </si>
  <si>
    <t>JANET VILLANUEVA ALEGRIA</t>
  </si>
  <si>
    <t>FELIX ENRIQUE VALENCIA FERNANDEZ</t>
  </si>
  <si>
    <t>06/12/2025 18:58:05</t>
  </si>
  <si>
    <t>FELIX VELASQUEZ LOPEZ</t>
  </si>
  <si>
    <t>Mayra C. Jara E.</t>
  </si>
  <si>
    <t>LUIS ALBERTO GOMEZ LAHUANA</t>
  </si>
  <si>
    <t>69.00</t>
  </si>
  <si>
    <t>Mz.D. Lt.. 7...</t>
  </si>
  <si>
    <t>06/12/2025 18:55:46</t>
  </si>
  <si>
    <t>GREGORIO TRUJILLO LEON</t>
  </si>
  <si>
    <t>Teodora T. Meza G.</t>
  </si>
  <si>
    <t>GERTRUDES VIDAL GONZALES</t>
  </si>
  <si>
    <t>10.00</t>
  </si>
  <si>
    <t>Pago Yape de lote G18 (37), C19 (24)</t>
  </si>
  <si>
    <t>06/12/2025 18:50:17</t>
  </si>
  <si>
    <t>MARIA NANCY SIGUEÑAS UGARTE</t>
  </si>
  <si>
    <t>Clemente R. Palmadera M.</t>
  </si>
  <si>
    <t>GREGORIA SIGUEÑAS UGARTE</t>
  </si>
  <si>
    <t>45.00</t>
  </si>
  <si>
    <t>VILMA SIGUEÑAS UGARTE</t>
  </si>
  <si>
    <t>MZ T lote 7 Roberto palmadera milla</t>
  </si>
  <si>
    <t>06/12/2025 18:45:48</t>
  </si>
  <si>
    <t>TEOFILA FERNANDEZ REYES</t>
  </si>
  <si>
    <t>LINDOLINA MUÑOZ HERMITAÑO</t>
  </si>
  <si>
    <t>FELICIANO SIGUEÑAS UGARTE</t>
  </si>
  <si>
    <t>Joneth G. Valladares L.</t>
  </si>
  <si>
    <t>JUAN SAAVEDRA SAAVEDRA</t>
  </si>
  <si>
    <t>14-B</t>
  </si>
  <si>
    <t>06/12/2025 18:40:05</t>
  </si>
  <si>
    <t>MERCADO  TUPAC AMARU</t>
  </si>
  <si>
    <t>MARIA GODO SIFUENTES</t>
  </si>
  <si>
    <t>06/12/2025 18:40:04</t>
  </si>
  <si>
    <t>CAMILA DELGADO VEGA</t>
  </si>
  <si>
    <t>99.00</t>
  </si>
  <si>
    <t>ABIGAIL SONIA GASPAR VEGA</t>
  </si>
  <si>
    <t>3-B</t>
  </si>
  <si>
    <t xml:space="preserve">Mz E Lt 8 (38 soles)Gertrudes Vidal Gonzales, </t>
  </si>
  <si>
    <t>06/12/2025 18:40:03</t>
  </si>
  <si>
    <t>TOLENTINO JULCA MORENO</t>
  </si>
  <si>
    <t>TEOFILO AYALA GASPAR</t>
  </si>
  <si>
    <t>15.00</t>
  </si>
  <si>
    <t>ALBERTO TARAZONA CALDAS</t>
  </si>
  <si>
    <t>mzn o lt 20 Julia cruz</t>
  </si>
  <si>
    <t>06/12/2025 18:28:39</t>
  </si>
  <si>
    <t>si fue a la faena reclamo señor en pago</t>
  </si>
  <si>
    <t>VICTOR LAURENCIO VALLADARES</t>
  </si>
  <si>
    <t>Luz E. Osorio M.</t>
  </si>
  <si>
    <t>GUDELIA ELIZABETH MIRANDA VEGA</t>
  </si>
  <si>
    <t>mz x lote 32</t>
  </si>
  <si>
    <t>06/12/2025 18:24:56</t>
  </si>
  <si>
    <t>ROSA LUCIA CORONADO LUNA</t>
  </si>
  <si>
    <t>Josue M. Granados H.</t>
  </si>
  <si>
    <t>HERMINIO LUCERO TRUJILLO</t>
  </si>
  <si>
    <t>Mz.C1 Lt. 8</t>
  </si>
  <si>
    <t>06/12/2025 18:16:56</t>
  </si>
  <si>
    <t>JANETH CHAVEZ CASTILLEJO</t>
  </si>
  <si>
    <t>Maritza D. Albornoz S.</t>
  </si>
  <si>
    <t>55.00</t>
  </si>
  <si>
    <t>DARIO OCTAVIO VEGA JULCA</t>
  </si>
  <si>
    <t>16A</t>
  </si>
  <si>
    <t>06/12/2025 18:14:24</t>
  </si>
  <si>
    <t>RODRIGO PODESTA ROSAS</t>
  </si>
  <si>
    <t>Anali Quineche M.</t>
  </si>
  <si>
    <t>24.00</t>
  </si>
  <si>
    <t>DARIO SAENZ MURPHY</t>
  </si>
  <si>
    <t>06/12/2025 18:13:53</t>
  </si>
  <si>
    <t>Asistio faena dijo Yanet</t>
  </si>
  <si>
    <t>JACINTO MORENO BAUTISTA</t>
  </si>
  <si>
    <t>Alfredo Grados A.</t>
  </si>
  <si>
    <t>SANTOS BAUTISTA CAPCHA</t>
  </si>
  <si>
    <t>x consumo de agua manzana Z lote 15</t>
  </si>
  <si>
    <t>06/12/2025 18:10:43</t>
  </si>
  <si>
    <t>RAQUEL MABEL AVILA MORALES</t>
  </si>
  <si>
    <t>Teodora E. Chavez A.</t>
  </si>
  <si>
    <t>NATALIA CHINCHAY COLLAS</t>
  </si>
  <si>
    <t>CENTRO DE MADRES</t>
  </si>
  <si>
    <t>avenida soledad MG lote 7</t>
  </si>
  <si>
    <t>06/12/2025 18:10:14</t>
  </si>
  <si>
    <t>VICTOR MANUEL JARA ESPINOZA</t>
  </si>
  <si>
    <t>ANTONIA MELGAREJO CORCINO</t>
  </si>
  <si>
    <t>x consumo de agua manzana Z lote 12</t>
  </si>
  <si>
    <t>06/12/2025 18:09:24</t>
  </si>
  <si>
    <t>Debe 30 faena, mantenimiento 3</t>
  </si>
  <si>
    <t>CELICA TRUJILLO LUCIANO</t>
  </si>
  <si>
    <t>Christian J. Nieto B.</t>
  </si>
  <si>
    <t>51.00</t>
  </si>
  <si>
    <t>RODRIGO SAAVEDRA TRUJILLO</t>
  </si>
  <si>
    <t xml:space="preserve">Julio Nieto MZ H Lt17 (Me parece injusto pagar $30 de </t>
  </si>
  <si>
    <t>06/12/2025 17:54:02</t>
  </si>
  <si>
    <t>ELEUTERIO OCAÑA ROMERO</t>
  </si>
  <si>
    <t>Julissa Estrada M.</t>
  </si>
  <si>
    <t>ERNESTINA VALLADARES TRUJILLO</t>
  </si>
  <si>
    <t>FREDY JIMENEZ MONTALVO MZ T LT 3</t>
  </si>
  <si>
    <t>06/12/2025 17:49:27</t>
  </si>
  <si>
    <t>REYNALDO MELGAREJO VILCARINO</t>
  </si>
  <si>
    <t>MARGARITA GOMEZ BONIFACIO</t>
  </si>
  <si>
    <t>Thalia C. Laurencio C.</t>
  </si>
  <si>
    <t>BERNARDO AGUILAR HUAMAN</t>
  </si>
  <si>
    <t>MZ"F" lote"13"</t>
  </si>
  <si>
    <t>06/12/2025 17:48:03</t>
  </si>
  <si>
    <t>CRISOSTOMO ALBORNOZ TICLIO</t>
  </si>
  <si>
    <t>Luz D. Miraval H.</t>
  </si>
  <si>
    <t>MARITZA ALBORNOZ SIGUEÑAS</t>
  </si>
  <si>
    <t>16-A</t>
  </si>
  <si>
    <t>LUZ MIRAVAL HUERTA M.Z .B. L.T 17</t>
  </si>
  <si>
    <t>CARLOS ALBERTO SIGUEÑAS SAENZ</t>
  </si>
  <si>
    <t>06/12/2025 17:47:37</t>
  </si>
  <si>
    <t>BENITA LEON JARA</t>
  </si>
  <si>
    <t>Abigail S. Gaspar V.</t>
  </si>
  <si>
    <t>Verificar que no este en el cuaderno de efectivo</t>
  </si>
  <si>
    <t>3B</t>
  </si>
  <si>
    <t>mz.F lt.3.B</t>
  </si>
  <si>
    <t>06/12/2025 17:41:55</t>
  </si>
  <si>
    <t>AUGUSTO ROMERO VALLADARES</t>
  </si>
  <si>
    <t>Diego L. Moreno F.</t>
  </si>
  <si>
    <t>ANA ROMERO VALLADARES</t>
  </si>
  <si>
    <t>Mz S Lt 10</t>
  </si>
  <si>
    <t>NELSON COSME GARCILAZO</t>
  </si>
  <si>
    <t>06/12/2025 17:39:56</t>
  </si>
  <si>
    <t>DEYSI COSME GARCILAZO</t>
  </si>
  <si>
    <t>21-A</t>
  </si>
  <si>
    <t>Charo C. Osorio M.</t>
  </si>
  <si>
    <t>SOFIA FRANCISCO CHINCHAY</t>
  </si>
  <si>
    <t>mz X LT.33 Nena melendez julca</t>
  </si>
  <si>
    <t>06/12/2025 17:27:02</t>
  </si>
  <si>
    <t>HIPOLITO RAMIREZ CENTENO</t>
  </si>
  <si>
    <t>Luis A. Silva K.</t>
  </si>
  <si>
    <t>mzC1 lt6</t>
  </si>
  <si>
    <t>06/12/2025 17:26:08</t>
  </si>
  <si>
    <t>Katherine D. Barboza D.</t>
  </si>
  <si>
    <t>SERAPIO FERNNADO CARRION MENDOZA</t>
  </si>
  <si>
    <t>06/12/2025 17:22:43</t>
  </si>
  <si>
    <t>ORLANDO EVARISTO COCHACHIN</t>
  </si>
  <si>
    <t>33.00</t>
  </si>
  <si>
    <t>MZ. O Lote 4 y MZ. M Lote 1</t>
  </si>
  <si>
    <t>06/12/2025 17:22:42</t>
  </si>
  <si>
    <t>ESTEBAN DE PAZ LLIUYA</t>
  </si>
  <si>
    <t>JUSTINA DE PAZ VILLAFANA</t>
  </si>
  <si>
    <t>Nicolasa D. Balderrama S.</t>
  </si>
  <si>
    <t>GISELLA YESSICA DELGADO VEGA</t>
  </si>
  <si>
    <t>ALVINO CASTILLEJO VENTURO</t>
  </si>
  <si>
    <t>MZ.T  LT. 13</t>
  </si>
  <si>
    <t>06/12/2025 17:20:53</t>
  </si>
  <si>
    <t>Se corrigio su pago 09-01-2025 que en Noviembre si pago 21 soles en la fecha 05-11-2025 a las 5pm. Sr Brigida.</t>
  </si>
  <si>
    <t>Maria M. Vega T.</t>
  </si>
  <si>
    <t>PEDRO PALMADERA HERRERA</t>
  </si>
  <si>
    <t>12.00</t>
  </si>
  <si>
    <t>Mz.Z Lt.8</t>
  </si>
  <si>
    <t>06/12/2025 17:18:41</t>
  </si>
  <si>
    <t>ALEJANDRO GASPAR OLORTEGUI</t>
  </si>
  <si>
    <t>Magdalena Z. Rosales M.</t>
  </si>
  <si>
    <t>CLEMENTE RODRIGUEZ ROJAS</t>
  </si>
  <si>
    <t>62.00</t>
  </si>
  <si>
    <t>Recibo de agua MZ S Lt 1</t>
  </si>
  <si>
    <t>06/12/2025 17:13:46</t>
  </si>
  <si>
    <t>JULIO MAYO TRUJILLO</t>
  </si>
  <si>
    <t>Irma S. Luis A.</t>
  </si>
  <si>
    <t>ALEJANDRO LOPEZ ZORRILLA</t>
  </si>
  <si>
    <t>67.00</t>
  </si>
  <si>
    <t>Alejandro Luis Julca MKLT12</t>
  </si>
  <si>
    <t>GODOFREDO VASQUEZ LOAYSA</t>
  </si>
  <si>
    <t>06/12/2025 17:08:26</t>
  </si>
  <si>
    <t>Renee Medrano M.</t>
  </si>
  <si>
    <t>MARCIAL MILLA CRUZ</t>
  </si>
  <si>
    <t>Pago anteriomente 2 meses y quedo saldo.</t>
  </si>
  <si>
    <t>Johnny  Salomón  Niño Ortiz (MzE1 lote 1)</t>
  </si>
  <si>
    <t>06/12/2025 16:39:07</t>
  </si>
  <si>
    <t>JUSTINA ALEGRIA VDA. DE VILLANUEVA</t>
  </si>
  <si>
    <t>Rosmery Z. Sanchez E.</t>
  </si>
  <si>
    <t>12A</t>
  </si>
  <si>
    <t>pago de dos meses de MZ B tl 12 Rosmery Sanchez</t>
  </si>
  <si>
    <t>06/12/2025 16:36:59</t>
  </si>
  <si>
    <t>CIRIACO MORALES LOPEZ</t>
  </si>
  <si>
    <t>GREGORIO TOLENTINO SANCHEZ</t>
  </si>
  <si>
    <t>11A</t>
  </si>
  <si>
    <t>JULIO NIETO ORTIZ</t>
  </si>
  <si>
    <t>Lote P 11A( Julia Rosales)</t>
  </si>
  <si>
    <t>06/12/2025 16:31:08</t>
  </si>
  <si>
    <t>FRANCISCO MORENO VARA</t>
  </si>
  <si>
    <t>Jose A. Candacho B.</t>
  </si>
  <si>
    <t>ANSELMO BELVEDER NUÑEZ</t>
  </si>
  <si>
    <t>asistio faena</t>
  </si>
  <si>
    <t>MzT LT14</t>
  </si>
  <si>
    <t>06/12/2025 16:26:03</t>
  </si>
  <si>
    <t>CIPRIANO LOZANO MINAYA</t>
  </si>
  <si>
    <t>Cortado</t>
  </si>
  <si>
    <t>ROMAN LOZANO MINAYA</t>
  </si>
  <si>
    <t>Noemi Cadillo R.</t>
  </si>
  <si>
    <t>11.00</t>
  </si>
  <si>
    <t>BEATRIZ EDITA TAMARA LLANQUE</t>
  </si>
  <si>
    <t>06/12/2025 16:17:59</t>
  </si>
  <si>
    <t>LOLA MAURICIA ZORRILLA MEDINA</t>
  </si>
  <si>
    <t>Clever I. Lopez T.</t>
  </si>
  <si>
    <t>ELEUTERIA LIBIA PAJUELO ATANACIO</t>
  </si>
  <si>
    <t>Mz.V lte.13 Clever López Trujillo</t>
  </si>
  <si>
    <t>MARTHA CRIOLLO GASPAR</t>
  </si>
  <si>
    <t>06/12/2025 16:14:49</t>
  </si>
  <si>
    <t>2-B</t>
  </si>
  <si>
    <t>RAMOS SATURNINO MENDOZA</t>
  </si>
  <si>
    <t>Eleuteria L. Pajuelo A.</t>
  </si>
  <si>
    <t>EUGENIO LEONCIO MOYA DURAND</t>
  </si>
  <si>
    <t>Eleuteria Libia Pajuelo Atanacio Mz I Lt2</t>
  </si>
  <si>
    <t>06/12/2025 16:09:51</t>
  </si>
  <si>
    <t>PABLO ROSARIO QUISPE</t>
  </si>
  <si>
    <t>Paul R. Trujillo C.</t>
  </si>
  <si>
    <t>AURELIO DE LA CRUZ PEREZ</t>
  </si>
  <si>
    <t>Mz k lt 3</t>
  </si>
  <si>
    <t>Debe 25 faena</t>
  </si>
  <si>
    <t>DARIO DIEGO ROSALES ROMERO</t>
  </si>
  <si>
    <t>06/12/2025 16:07:59</t>
  </si>
  <si>
    <t>ROSA CARDENAS ALVARADO</t>
  </si>
  <si>
    <t>JULIA CARDENAS ALVARADO</t>
  </si>
  <si>
    <t>Tecla M. Vega C.</t>
  </si>
  <si>
    <t>40.00</t>
  </si>
  <si>
    <t>OTILIA RAMIRES LUCIANO</t>
  </si>
  <si>
    <t>Mz A lt 4 raul delgado</t>
  </si>
  <si>
    <t>06/12/2025 16:07:43</t>
  </si>
  <si>
    <t xml:space="preserve">Debe 0. Pago este mes 8. Yape adelantado 8. </t>
  </si>
  <si>
    <t>DOMINGA CHACARA LOPEZ</t>
  </si>
  <si>
    <t>Jose A. Nieto H.</t>
  </si>
  <si>
    <t>VALENTIN DURAND VALLADARES</t>
  </si>
  <si>
    <t>MZ i Lote 14 Roberto Nieto Huerta</t>
  </si>
  <si>
    <t>06/12/2025 16:07:25</t>
  </si>
  <si>
    <t>JULIO SOLORZANO ESTRADA</t>
  </si>
  <si>
    <t>Se le debe 1</t>
  </si>
  <si>
    <t>ROBERTO NIETO HUERTA</t>
  </si>
  <si>
    <t>31.00</t>
  </si>
  <si>
    <t>TEREZA ROMERO BAZAN</t>
  </si>
  <si>
    <t>Mz k lt 4</t>
  </si>
  <si>
    <t>06/12/2025 16:07:21</t>
  </si>
  <si>
    <t>ADOLFO ROSARIO ROJAS</t>
  </si>
  <si>
    <t>135.00</t>
  </si>
  <si>
    <t>JULIA BARRERA GARCILAZO</t>
  </si>
  <si>
    <t>Mz A Lt 3 Odelio Delgado</t>
  </si>
  <si>
    <t>06/12/2025 16:05:18</t>
  </si>
  <si>
    <t>IGLESIA PEREGRINA</t>
  </si>
  <si>
    <t>COMEDOR POPULAR MICAELA BASTIDAS</t>
  </si>
  <si>
    <t>mz A lt 11 tesoro avila</t>
  </si>
  <si>
    <t>06/12/2025 16:02:38</t>
  </si>
  <si>
    <t>HECTOR AGÜERO TRUJILLO</t>
  </si>
  <si>
    <t>Mayra I. Huerta P.</t>
  </si>
  <si>
    <t>25.00</t>
  </si>
  <si>
    <t>VILMA CELESTINO VILLAFANA</t>
  </si>
  <si>
    <t>Isabel puntillo Vega  mzA lt 10</t>
  </si>
  <si>
    <t>06/12/2025 15:53:06</t>
  </si>
  <si>
    <t>MARCELO CHINCHAY REGALADO</t>
  </si>
  <si>
    <t>Solin H. Jaramillo A.</t>
  </si>
  <si>
    <t>35.00</t>
  </si>
  <si>
    <t>ESPERANZA CHINCHAY COLLAS</t>
  </si>
  <si>
    <t>pago de agua mes de noviembre Mz D lt 12</t>
  </si>
  <si>
    <t>06/12/2025 15:51:55</t>
  </si>
  <si>
    <t>HAYDEE RIMAC ALBERTO</t>
  </si>
  <si>
    <t>Alan M. Carranza C.</t>
  </si>
  <si>
    <t>JULIA VICTORIA ROBLES CASTILLO</t>
  </si>
  <si>
    <t>mz l lote 1 Luisa Elena caspa días</t>
  </si>
  <si>
    <t>06/12/2025 15:48:54</t>
  </si>
  <si>
    <t>FELICIANA LUISA SANCHEZ RAFAEL</t>
  </si>
  <si>
    <t>SEGUNDO BRONCANO DE PAZ</t>
  </si>
  <si>
    <t>Julio C. Vega C.</t>
  </si>
  <si>
    <t>120.00</t>
  </si>
  <si>
    <t>VICTOR BARBOZA AMANTE</t>
  </si>
  <si>
    <t xml:space="preserve">pago de agua correspondiente diciembre. </t>
  </si>
  <si>
    <t>06/12/2025 15:48:00</t>
  </si>
  <si>
    <t>JOSE YOVERA CHERO</t>
  </si>
  <si>
    <t>PLIN - Junior Alexis Murillo Lozano</t>
  </si>
  <si>
    <t>CENTRO EDUCATIVO 20902</t>
  </si>
  <si>
    <t>06/12/2025 15:46:35</t>
  </si>
  <si>
    <t>PRUDENCIO VALLADARES TRUJILLO</t>
  </si>
  <si>
    <t>Rivet Villanueva A.</t>
  </si>
  <si>
    <t>ANTONIO ESPINOZA SIFUENTES</t>
  </si>
  <si>
    <t>Mz t Lt 11</t>
  </si>
  <si>
    <t>YULY LISBETH TRUJILLO CRUZ</t>
  </si>
  <si>
    <t>EMILIA CRUZ OLORTEGUI</t>
  </si>
  <si>
    <t>06/12/2025 15:45:05</t>
  </si>
  <si>
    <t>VICTOR JOSE ORTEGA DE LA CRUZ</t>
  </si>
  <si>
    <t>NIEVES CUZCO VALLE DE LEON</t>
  </si>
  <si>
    <t>83.00</t>
  </si>
  <si>
    <t>VICTOR TEODORO FLORES DURAND</t>
  </si>
  <si>
    <t>MZ "F" lote "7"</t>
  </si>
  <si>
    <t>06/12/2025 15:41:38</t>
  </si>
  <si>
    <t>FORTUNATO VARGAS CABELLO</t>
  </si>
  <si>
    <t>Melany A. Burga Z.</t>
  </si>
  <si>
    <t>MARINO FEDERICO JAIMES VIDAL</t>
  </si>
  <si>
    <t>Felicia Zapata flores MZ . H1 LT. 10</t>
  </si>
  <si>
    <t>06/12/2025 15:41:07</t>
  </si>
  <si>
    <t>MARTINA MORALES RIOS</t>
  </si>
  <si>
    <t>PLIN - MARIA MAGNA HUERTA MILLA</t>
  </si>
  <si>
    <t xml:space="preserve">Debe 0. Pago este mes 15. Yape adelantado 13. </t>
  </si>
  <si>
    <t>mz O lt 23 agua y multa</t>
  </si>
  <si>
    <t>ALEJANDRO LUIS JULCA</t>
  </si>
  <si>
    <t>06/12/2025 15:40:50</t>
  </si>
  <si>
    <t>Carlos O. Candacho H.</t>
  </si>
  <si>
    <t>RUBEN LUIS GARCILAZO</t>
  </si>
  <si>
    <t>Delia Huamansupa Perez Mz L lte 4</t>
  </si>
  <si>
    <t>SAMUEL LLAMA LUNA</t>
  </si>
  <si>
    <t>06/12/2025 15:38:03</t>
  </si>
  <si>
    <t>FABIAN MONTALVO JULCA</t>
  </si>
  <si>
    <t>Joshelyn R. Rodriguez C.</t>
  </si>
  <si>
    <t>28.00</t>
  </si>
  <si>
    <t>mzi Lt 7</t>
  </si>
  <si>
    <t>06/12/2025 15:32:41</t>
  </si>
  <si>
    <t>MARCIAL SANCHEZ ARAOZ</t>
  </si>
  <si>
    <t>Angel F. Montalvo T.</t>
  </si>
  <si>
    <t>Debe 3 mantenimiento</t>
  </si>
  <si>
    <t>LUISA ELENA CASPA DIAS</t>
  </si>
  <si>
    <t>Mz.P.LT.13</t>
  </si>
  <si>
    <t>06/12/2025 15:30:07</t>
  </si>
  <si>
    <t>ALEJANDRO JULCA COLLANTES</t>
  </si>
  <si>
    <t>Mario E. Rosales R.</t>
  </si>
  <si>
    <t>EDGAR SILVA GHIGGO</t>
  </si>
  <si>
    <t>Mz.t Lote 4 José Palmadera..!!</t>
  </si>
  <si>
    <t>DELIA DORIS HUAMANSUPA PEREZ</t>
  </si>
  <si>
    <t>06/12/2025 15:01:06</t>
  </si>
  <si>
    <t>RAUL OLIVO CORDOVA</t>
  </si>
  <si>
    <t>Carmen R. Lopez H.</t>
  </si>
  <si>
    <t xml:space="preserve">Se le debe 0. Adelanto 20 de convenio medidor. </t>
  </si>
  <si>
    <t>Maria Rosita Huacanca huaroma Mz L Lt.13</t>
  </si>
  <si>
    <t>ELEUTERIO PASTOR LEYVA</t>
  </si>
  <si>
    <t>06/12/2025 14:17:24</t>
  </si>
  <si>
    <t>Pago efectivo el 15-12</t>
  </si>
  <si>
    <t>MARGARITA SAAVEDRA TRUJILLO</t>
  </si>
  <si>
    <t>Lucia Moreno R.</t>
  </si>
  <si>
    <t>Mz. x lt.34 ,alejandro  moreno rosales</t>
  </si>
  <si>
    <t>06/12/2025 12:12:40</t>
  </si>
  <si>
    <t>ANA RODRIGUEZ DOMINGUEZ</t>
  </si>
  <si>
    <t>Johan E. Rodriguez F.</t>
  </si>
  <si>
    <t>ELOY ALBERTO SIGUEÑAS UGARTE</t>
  </si>
  <si>
    <t>JAIME VILLANUEVA ALEGRIA</t>
  </si>
  <si>
    <t>MZ,B1. Lt.3- Johan Rodriguez Flores</t>
  </si>
  <si>
    <t>06/12/2025 11:46:44</t>
  </si>
  <si>
    <t>DONATA SAMARITANO CERNA</t>
  </si>
  <si>
    <t>Pago en efectivo 12-12-2025</t>
  </si>
  <si>
    <t>Marili S. Regalado C.</t>
  </si>
  <si>
    <t>HUACANCA HUAROMA ROSITA</t>
  </si>
  <si>
    <t>JOSE SOCOLA RUIZ</t>
  </si>
  <si>
    <t>Mz. Y  Lt. 2</t>
  </si>
  <si>
    <t>06/12/2025 11:22:40</t>
  </si>
  <si>
    <t>AGUSTINA CALDAS CORZO</t>
  </si>
  <si>
    <t>SEGUNDINA EUTOPIA ESPINOZA LOPEZ</t>
  </si>
  <si>
    <t>Mz. G   Lt.  4</t>
  </si>
  <si>
    <t>06/12/2025 11:21:16</t>
  </si>
  <si>
    <t>Pago su yape desde MzO Lot 4</t>
  </si>
  <si>
    <t>SANTOS LUNA FLORES</t>
  </si>
  <si>
    <t>Edita Romero M.</t>
  </si>
  <si>
    <t>MERCURIO LUNA FLORES</t>
  </si>
  <si>
    <t>Mz C lt 33 (Edita Romero Mayo)</t>
  </si>
  <si>
    <t>06/12/2025 11:04:11</t>
  </si>
  <si>
    <t>SILVA DEMETRIO BLAS QUISPE</t>
  </si>
  <si>
    <t>Marisol L. Francisco Q.</t>
  </si>
  <si>
    <t>JUANA MAYO SALES</t>
  </si>
  <si>
    <t>54.00</t>
  </si>
  <si>
    <t>Cirila Quijano Melgarejo Calle Jorge Chávez Mz. M Lt.22</t>
  </si>
  <si>
    <t>06/12/2025 10:58:55</t>
  </si>
  <si>
    <t xml:space="preserve">LUCILA SALES ESTRADA </t>
  </si>
  <si>
    <t>VICTORIA COCHACHIN CASIO</t>
  </si>
  <si>
    <t>Victor E. Solorzano R.</t>
  </si>
  <si>
    <t>ROSA LOPEZ CERNA</t>
  </si>
  <si>
    <t>MZP lote 11</t>
  </si>
  <si>
    <t>06/12/2025 10:56:05</t>
  </si>
  <si>
    <t>SEGUNDO SHUMA COMAPA</t>
  </si>
  <si>
    <t>ENMA CRISTINA BLAS QUISPE</t>
  </si>
  <si>
    <t>BCP - CADILLO VENTURO DINA NICETA</t>
  </si>
  <si>
    <t>Mz F LT 11 Yanet Chavez Castillejo</t>
  </si>
  <si>
    <t>LEONCIO CASTILLEJO CAPCHA</t>
  </si>
  <si>
    <t>06/12/2025 10:44:39</t>
  </si>
  <si>
    <t>Rimenita L. Munoz H.</t>
  </si>
  <si>
    <t>ROSA JUANA MINAYA VILLANUEVA DE VASQUEZ</t>
  </si>
  <si>
    <t>M Z _E.  LT. 19  mercado</t>
  </si>
  <si>
    <t>MAGDA MARIA BLAS MORALES</t>
  </si>
  <si>
    <t>06/12/2025 10:42:16</t>
  </si>
  <si>
    <t>FELICIANA REQUEZ PAJUELO</t>
  </si>
  <si>
    <t>Luz R. Gaspar V.</t>
  </si>
  <si>
    <t>HUGO MANUEL TAFUR LOPEZ</t>
  </si>
  <si>
    <t>06/12/2025 10:05:10</t>
  </si>
  <si>
    <t>RAUL BLAS QUISPE</t>
  </si>
  <si>
    <t>Javier B. Melgarejo M.</t>
  </si>
  <si>
    <t xml:space="preserve">ROGELIO ROSALES CUYA </t>
  </si>
  <si>
    <t>LOPEZ SAMARITANO Teresa.           Mz.  O     Lt. 22</t>
  </si>
  <si>
    <t>06/12/2025 09:40:36</t>
  </si>
  <si>
    <t>52.00</t>
  </si>
  <si>
    <t>ANDRES QUITO RODRIGUEZ</t>
  </si>
  <si>
    <t>MELGAREJO CASTILLO Javier.       Mz. O   Lt. 21</t>
  </si>
  <si>
    <t>06/12/2025 09:38:05</t>
  </si>
  <si>
    <t>JOSE SOLORZANO ESTRADA</t>
  </si>
  <si>
    <t>Elio Sanchez O.</t>
  </si>
  <si>
    <t>CARLOS DANIEL PÉREZ RAMÍREZ</t>
  </si>
  <si>
    <t>MZ-F-   LT-14 Rodrigo Podestad Rosas</t>
  </si>
  <si>
    <t>06/12/2025 09:36:49</t>
  </si>
  <si>
    <t>CIRILA QUIJANO MELGAREJO</t>
  </si>
  <si>
    <t>RAMON ROSALES MENACHO</t>
  </si>
  <si>
    <t>Mz.O.Lt.14 loida moya valverde</t>
  </si>
  <si>
    <t>06/12/2025 09:09:44</t>
  </si>
  <si>
    <t>Exonerado faena por salud</t>
  </si>
  <si>
    <t>MATEO ALEJANDRO CACHA SANTOS</t>
  </si>
  <si>
    <t>Nicoll R. Romero G.</t>
  </si>
  <si>
    <t>ANGELICA TOLENTINO SANCHEZ</t>
  </si>
  <si>
    <t>LINDA CARMEN AGURTO SANCHEZ</t>
  </si>
  <si>
    <t>M "u" Lt"3" Marcelina Gomez Bonifacio</t>
  </si>
  <si>
    <t>06/12/2025 09:03:36</t>
  </si>
  <si>
    <t>DAVID JUAREZ TOLEDO</t>
  </si>
  <si>
    <t>ALVINA CALVO GIRALDO</t>
  </si>
  <si>
    <t>Melina J. Juarez T.</t>
  </si>
  <si>
    <t>CARMEN INGARUCA JULCA</t>
  </si>
  <si>
    <t>Delfina pumallanqui - Mz C1 lote 3</t>
  </si>
  <si>
    <t>06/12/2025 08:41:38</t>
  </si>
  <si>
    <t>MANUEL SAAVEDRA TRUJILLO</t>
  </si>
  <si>
    <t>Francisco Leyva R.</t>
  </si>
  <si>
    <t>EDGAR ROLLY ROSARIO ESPINOZA</t>
  </si>
  <si>
    <t>Mz. I lote 15.  Teresa Romero</t>
  </si>
  <si>
    <t>06/12/2025 07:55:23</t>
  </si>
  <si>
    <t>HERMOGENES ESCUDERO LOPEZ</t>
  </si>
  <si>
    <t>PLIN - YASNINA NELLY JAIMES TRUJILLO</t>
  </si>
  <si>
    <t>MARIA RAMIREZ RODRIGUEZ</t>
  </si>
  <si>
    <t>06/12/2025 06:59:34</t>
  </si>
  <si>
    <t>CARMELO RAMIREZ RODRIGUEZ</t>
  </si>
  <si>
    <t>REYNALDO MEDRANO BORDA</t>
  </si>
  <si>
    <t>06/12/2025 06:57:13</t>
  </si>
  <si>
    <t>Elmer C. Quinto L.</t>
  </si>
  <si>
    <t>44.00</t>
  </si>
  <si>
    <t>TERESA BLAS QUISPE</t>
  </si>
  <si>
    <t>Mz.C1 Lt.1</t>
  </si>
  <si>
    <t>06/12/2025 05:53:19</t>
  </si>
  <si>
    <t>EPIFANIO ESCUDERO LOPEZ</t>
  </si>
  <si>
    <t>CATALINA DURAND DOMINGUEZ</t>
  </si>
  <si>
    <t>Melina Juarez -Mz B lote 4, consumo y multa</t>
  </si>
  <si>
    <t>05/12/2025 23:02:33</t>
  </si>
  <si>
    <t>PEDRO MENDOZA MARQUINA</t>
  </si>
  <si>
    <t>Zenofia E. Romero C.</t>
  </si>
  <si>
    <t>LOIDA MOYA VALVERDE</t>
  </si>
  <si>
    <t>JUAN PINEDO BEDON</t>
  </si>
  <si>
    <t>05/12/2025 22:57:42</t>
  </si>
  <si>
    <t>EDGAR MELGAREJO BEDON</t>
  </si>
  <si>
    <t>Bernardino D. Gamarra J.</t>
  </si>
  <si>
    <t>Bernardino Gamararra , Mz. S  Lt.11</t>
  </si>
  <si>
    <t>05/12/2025 21:54:51</t>
  </si>
  <si>
    <t>APOLONIO DURAND VALLADARES</t>
  </si>
  <si>
    <t>SIMONA GASPAR OLORTEGUI DE MONTALVO</t>
  </si>
  <si>
    <t>IGLESIA MMM  Mz. V. Lt.3</t>
  </si>
  <si>
    <t>05/12/2025 21:52:18</t>
  </si>
  <si>
    <t>JULIA CRUZ SAAVEDRA</t>
  </si>
  <si>
    <t>Lidia A. Sales B.</t>
  </si>
  <si>
    <t>JAVIER MELGAREJO CASTILLO</t>
  </si>
  <si>
    <t>Lidia A. Sales Blas Mz:D Lt:10</t>
  </si>
  <si>
    <t>05/12/2025 21:14:02</t>
  </si>
  <si>
    <t>TERESA LOPEZ SAMARITANO</t>
  </si>
  <si>
    <t>Norma L. Jara E.</t>
  </si>
  <si>
    <t xml:space="preserve">MARIA HUERTA MILLA </t>
  </si>
  <si>
    <t>mz T lote 16</t>
  </si>
  <si>
    <t>05/12/2025 20:58:53</t>
  </si>
  <si>
    <t>REYNA HUERTA MILLA</t>
  </si>
  <si>
    <t>Juana C. Mayo S.</t>
  </si>
  <si>
    <t>MZ.A LT 1</t>
  </si>
  <si>
    <t>05/12/2025 20:53:18</t>
  </si>
  <si>
    <t>FELICITA ROSALES PABLO</t>
  </si>
  <si>
    <t>MISAEL HERRERA PRINCIPE</t>
  </si>
  <si>
    <t>MZ.H LT 10</t>
  </si>
  <si>
    <t>05/12/2025 20:51:48</t>
  </si>
  <si>
    <t>DANTE RUBEN MEDRANO MALLMA</t>
  </si>
  <si>
    <t>CLARA LORENZA ARQUELIN</t>
  </si>
  <si>
    <t>27-B</t>
  </si>
  <si>
    <t>MZ.M LT 5</t>
  </si>
  <si>
    <t>05/12/2025 20:50:40</t>
  </si>
  <si>
    <t>VIVIANA PROLEON CORREA</t>
  </si>
  <si>
    <t>MAXIMO MORAN RIVERA</t>
  </si>
  <si>
    <t>MZ.B1 LT 13</t>
  </si>
  <si>
    <t>05/12/2025 20:49:38</t>
  </si>
  <si>
    <t>ALFREDO JARA TRUJILLO</t>
  </si>
  <si>
    <t>ALFREDO MONTALVO COSME</t>
  </si>
  <si>
    <t>MZ .B1 LT.14</t>
  </si>
  <si>
    <t>05/12/2025 20:48:01</t>
  </si>
  <si>
    <t>LOURDES MELCHOR ALBORNOZ</t>
  </si>
  <si>
    <t>Elmer J. Melendez B.</t>
  </si>
  <si>
    <t>ANDRES ROMERO MELGAREJO</t>
  </si>
  <si>
    <t>48.00</t>
  </si>
  <si>
    <t>mz d1 lt 5</t>
  </si>
  <si>
    <t>05/12/2025 20:43:16</t>
  </si>
  <si>
    <t>HIPOLITO MELGAREJO MENDOZA</t>
  </si>
  <si>
    <t>CARLOS PEREZ RAMIRES</t>
  </si>
  <si>
    <t>Marleny Samaritano H.</t>
  </si>
  <si>
    <t xml:space="preserve">EUSEBIO CAURINO PEÑA </t>
  </si>
  <si>
    <t>MZ.H1.LT16 mez actual 5 + 3 mantenimiento.</t>
  </si>
  <si>
    <t>05/12/2025 20:06:11</t>
  </si>
  <si>
    <t>CIRIA ESCUDERO PROLEON</t>
  </si>
  <si>
    <t>VICTOR SOLORZANO ROSALES</t>
  </si>
  <si>
    <t xml:space="preserve">MZ. ZLT.7 30 DE FAENA +3.MANTENIMIENTO Y 5 </t>
  </si>
  <si>
    <t>05/12/2025 19:58:49</t>
  </si>
  <si>
    <t>se le debe 20. No se le debe nada debia corte de noviembre pago fuera de tiempo corte</t>
  </si>
  <si>
    <t>Anguie P. Quito S.</t>
  </si>
  <si>
    <t>JULIA ROSALES CULLA</t>
  </si>
  <si>
    <t>11-A</t>
  </si>
  <si>
    <t>Mz. M Lt. 19</t>
  </si>
  <si>
    <t>05/12/2025 19:38:28</t>
  </si>
  <si>
    <t>JUDITH VENTURO ROSALES</t>
  </si>
  <si>
    <t>Debe 30 faena, 3 mantenimiento</t>
  </si>
  <si>
    <t>Edwin C. Carbajal V.</t>
  </si>
  <si>
    <t>BENITA MARGARITA TAHUA OROPEZA</t>
  </si>
  <si>
    <t>05/12/2025 19:30:56</t>
  </si>
  <si>
    <t>Exonerado faena salud</t>
  </si>
  <si>
    <t>JUANA VICTORIA ARMAS HUARCA</t>
  </si>
  <si>
    <t>Ida A. Huacanca C.</t>
  </si>
  <si>
    <t>RUFINA FRANCISCO JIMENEZ</t>
  </si>
  <si>
    <t>MAURICIA C. DURAND VALLADARES</t>
  </si>
  <si>
    <t>mzn .R . lote 1</t>
  </si>
  <si>
    <t>05/12/2025 19:11:09</t>
  </si>
  <si>
    <t>CALIXTO BLAS TRUJILLO</t>
  </si>
  <si>
    <t>Juan M. Bautista P.</t>
  </si>
  <si>
    <t>Se le debe 0. Pago efectivo 12. Yape adelantado 8</t>
  </si>
  <si>
    <t>LEONCIO BLAS QUISPE</t>
  </si>
  <si>
    <t>M.f1 Lt8</t>
  </si>
  <si>
    <t>05/12/2025 18:32:07</t>
  </si>
  <si>
    <t>JUAN CABELLO ROMERO</t>
  </si>
  <si>
    <t>CESAR CABELLO ROMERO</t>
  </si>
  <si>
    <t>MZQ LT 6 GARCILAZO</t>
  </si>
  <si>
    <t>05/12/2025 18:23:53</t>
  </si>
  <si>
    <t>PABLO ROMERO GARCILAZO</t>
  </si>
  <si>
    <t>Juan P. Mendoza C.</t>
  </si>
  <si>
    <t>Mnz Z lt9</t>
  </si>
  <si>
    <t>CLEMENTE CANTO PATALA</t>
  </si>
  <si>
    <t>05/12/2025 18:20:46</t>
  </si>
  <si>
    <t>DEDICACION GARCILAZO ROMERO</t>
  </si>
  <si>
    <t>Brilly N. Pantoja M.</t>
  </si>
  <si>
    <t>ELIO FERNANDEZ QUISPE</t>
  </si>
  <si>
    <t>mz.M  lt.7 victoria cochachin casio</t>
  </si>
  <si>
    <t>05/12/2025 18:20:28</t>
  </si>
  <si>
    <t>MARIA MARTINA PEÑA VEGA</t>
  </si>
  <si>
    <t>Pamela C. Patricio H.</t>
  </si>
  <si>
    <t>francisca Clara huayta florentino Mz.V lt.12</t>
  </si>
  <si>
    <t>05/12/2025 18:06:11</t>
  </si>
  <si>
    <t>VICTOR JUAREZ CORZO</t>
  </si>
  <si>
    <t>Levid Carranza J.</t>
  </si>
  <si>
    <t>Mz F Lt 10  Herminio Lucero Trujillo</t>
  </si>
  <si>
    <t>05/12/2025 17:46:39</t>
  </si>
  <si>
    <t>JUANA MORALES VEGA</t>
  </si>
  <si>
    <t>Teodora Blas Q.</t>
  </si>
  <si>
    <t xml:space="preserve">TEODORA MEZA GARCILAZO </t>
  </si>
  <si>
    <t>santos luna flores.  mz M lt 2</t>
  </si>
  <si>
    <t>05/12/2025 17:39:26</t>
  </si>
  <si>
    <t>EMILIANO PANTOJA SOLANO</t>
  </si>
  <si>
    <t>Brigida Cerna S.</t>
  </si>
  <si>
    <t>56.00</t>
  </si>
  <si>
    <t>BARTOLOME ECHEVARRIA RAO</t>
  </si>
  <si>
    <t>Mz H LT 5</t>
  </si>
  <si>
    <t>05/12/2025 17:27:55</t>
  </si>
  <si>
    <t>JUDITH MARGOT LUIS PEÑA</t>
  </si>
  <si>
    <t>Tito W. Romero M.</t>
  </si>
  <si>
    <t>Pagó. Timoteo romero julca.                  Mz.c LT. 4</t>
  </si>
  <si>
    <t xml:space="preserve">IDA HUACANCA CASCA </t>
  </si>
  <si>
    <t>05/12/2025 16:11:51</t>
  </si>
  <si>
    <t>JESSICA OLIVO INGARUCA</t>
  </si>
  <si>
    <t>Pago del señor Marcelo chinchay regalado mz. J lt4</t>
  </si>
  <si>
    <t>05/12/2025 16:05:53</t>
  </si>
  <si>
    <t>ROSA TOLENTINO SANCHEZ</t>
  </si>
  <si>
    <t>Flora M. Castillejo V.</t>
  </si>
  <si>
    <t>FLORA MARIA CASTILLEJO VENTURO</t>
  </si>
  <si>
    <t>9C</t>
  </si>
  <si>
    <t>Mz.C  Lt.9-C (SONIA MORENO CASTILLEJO)</t>
  </si>
  <si>
    <t>05/12/2025 14:35:23</t>
  </si>
  <si>
    <t>FRANK KELVIN TERAN MASIAS</t>
  </si>
  <si>
    <t>Debe 28 faena</t>
  </si>
  <si>
    <t>ROSAURA OROYA SACRE</t>
  </si>
  <si>
    <t>DONATO ENRIQUE RAMIRES</t>
  </si>
  <si>
    <t>Mz.R  Lt4 (FLORA CASTILLEJO VENTURO)</t>
  </si>
  <si>
    <t>05/12/2025 14:32:57</t>
  </si>
  <si>
    <t>Erick S. De-la-cruz C.</t>
  </si>
  <si>
    <t>WILDER SANTIAGO SANTIAGO</t>
  </si>
  <si>
    <t>manzana J.  LT 5</t>
  </si>
  <si>
    <t>05/12/2025 10:30:24</t>
  </si>
  <si>
    <t>MIRIAM DIAZ MAMANI</t>
  </si>
  <si>
    <t>Vicki Masias C.</t>
  </si>
  <si>
    <t>VANESSA MILLA CRUZ</t>
  </si>
  <si>
    <t>Mz "w" Lt 4 _ Vicki Masias Cusihuaman</t>
  </si>
  <si>
    <t>05/12/2025 10:27:51</t>
  </si>
  <si>
    <t>LUIS ROMERO QUISPE</t>
  </si>
  <si>
    <t>Jose E. Melgarejo G.</t>
  </si>
  <si>
    <t>63.00</t>
  </si>
  <si>
    <t>VALERIO PORFILIO JAVIER SANTIAGO</t>
  </si>
  <si>
    <t xml:space="preserve">pago de servicio de agua, usuario Alejandro Melgarejo, </t>
  </si>
  <si>
    <t>05/12/2025 10:03:48</t>
  </si>
  <si>
    <t>RUBI MORENO COSME</t>
  </si>
  <si>
    <t>Rosa L. Coronado L.</t>
  </si>
  <si>
    <t>WALTER SOLORZANO MELGAREJO</t>
  </si>
  <si>
    <t>Mz F lote 9</t>
  </si>
  <si>
    <t>05/12/2025 08:41:11</t>
  </si>
  <si>
    <t>LUCIA MORENO ROSALES</t>
  </si>
  <si>
    <t>PLIN - EVER CERVANTES CHAVEZ</t>
  </si>
  <si>
    <t>04/12/2025 20:47:15</t>
  </si>
  <si>
    <t>MAXIMO FELIPE MORENO ROSALES</t>
  </si>
  <si>
    <t>Magna N. Abrego I.</t>
  </si>
  <si>
    <t>BERNARDINO GAMARRA JIMENEZ</t>
  </si>
  <si>
    <t>mz.X  lt.14 = 11soles                        mz.V. lt.14.=8soles</t>
  </si>
  <si>
    <t>04/12/2025 20:34:36</t>
  </si>
  <si>
    <t>GINA CORREA VILLALOBOS DE ROSAS</t>
  </si>
  <si>
    <t>ANA GARRO ROJAS</t>
  </si>
  <si>
    <t>19.00</t>
  </si>
  <si>
    <t>04/12/2025 20:34:35</t>
  </si>
  <si>
    <t>NANCY ELIDA MORENO TORRES</t>
  </si>
  <si>
    <t>Flor D. Valencia Y.</t>
  </si>
  <si>
    <t>MERCEDES DE LA CRUZ DURAN</t>
  </si>
  <si>
    <t>Mz"W" LT 3 - Julio Echavarria Garcia</t>
  </si>
  <si>
    <t>04/12/2025 19:43:56</t>
  </si>
  <si>
    <t>FREDY JIMENEZ MONTALVO</t>
  </si>
  <si>
    <t>BCP - HUERTA MILLA REYNA YSABEL</t>
  </si>
  <si>
    <t>30.00</t>
  </si>
  <si>
    <t>JOSE PALMADERA MILLA</t>
  </si>
  <si>
    <t>Multa por reunion   O 24</t>
  </si>
  <si>
    <t>04/12/2025 19:41:01</t>
  </si>
  <si>
    <t>NELY VALLADARES DOMINGUEZ</t>
  </si>
  <si>
    <t>Judit M. Pimentel E.</t>
  </si>
  <si>
    <t>JACINTA AMEZ AGUIRRE</t>
  </si>
  <si>
    <t>04/12/2025 18:37:26</t>
  </si>
  <si>
    <t>ROBERTO PALMADERA MILLA</t>
  </si>
  <si>
    <t>Valentin C. Moran D.</t>
  </si>
  <si>
    <t>04/12/2025 18:17:27</t>
  </si>
  <si>
    <t>MIGUEL MELENDEZ JULCA</t>
  </si>
  <si>
    <t>PLIN - FRANCISCO ACUNA</t>
  </si>
  <si>
    <t>YOLANDA RIMAC CULLA</t>
  </si>
  <si>
    <t>CORTADO</t>
  </si>
  <si>
    <t>MIRO ORLANDO CERNA MELGAREJO</t>
  </si>
  <si>
    <t>04/12/2025 18:11:23</t>
  </si>
  <si>
    <t>Azucena P. Polo C.</t>
  </si>
  <si>
    <t>RIVET VILLANUEVA ALEGRIA</t>
  </si>
  <si>
    <t>se le debe 8. Yapeo de mas</t>
  </si>
  <si>
    <t>MZ  B1 TL  9</t>
  </si>
  <si>
    <t>04/12/2025 17:32:39</t>
  </si>
  <si>
    <t>LUISA AURORA SAMARITANO VEGA</t>
  </si>
  <si>
    <t>PEDRO CANDACHO HUARAC</t>
  </si>
  <si>
    <t>Felicitas Rosales P.</t>
  </si>
  <si>
    <t>mz o Lt 25</t>
  </si>
  <si>
    <t>ZUNILDA CANDACHO HUARAC</t>
  </si>
  <si>
    <t>04/12/2025 15:48:46</t>
  </si>
  <si>
    <t>NORMA JARA ESPINOZA</t>
  </si>
  <si>
    <t>Linda F. Pajuelo C.</t>
  </si>
  <si>
    <t>JUVENAL MENDOZA JULCA</t>
  </si>
  <si>
    <t>MZ A,lote 3</t>
  </si>
  <si>
    <t>04/12/2025 14:58:58</t>
  </si>
  <si>
    <t>MERCEDES FRANCISCA VEGA SALES</t>
  </si>
  <si>
    <t>Hugo M. Tafur L.</t>
  </si>
  <si>
    <t>MIGUEL ANGEL ROMERO VALLADARES</t>
  </si>
  <si>
    <t>59.00</t>
  </si>
  <si>
    <t>04/12/2025 14:46:06</t>
  </si>
  <si>
    <t>MARIA JULCA RIOS</t>
  </si>
  <si>
    <t>Maria E. Ramirez R.</t>
  </si>
  <si>
    <t>JOSE ZAPATA FLORES</t>
  </si>
  <si>
    <t>Carmelo Ramírez Rodríguez.              MZ O Lt 7</t>
  </si>
  <si>
    <t>04/12/2025 14:45:34</t>
  </si>
  <si>
    <t>ALEXANDRA RIMAC CHINCHAY</t>
  </si>
  <si>
    <t>MARCELINA GOMEZ BONIFACIO</t>
  </si>
  <si>
    <t>ANA MARIA ESPINOZA FERNANDEZ</t>
  </si>
  <si>
    <t>04/12/2025 14:43:11</t>
  </si>
  <si>
    <t>BENILDA PALACIOS RODRIGUEZ</t>
  </si>
  <si>
    <t>Felipe J. Ortiz A.</t>
  </si>
  <si>
    <t>MILAGROS MEDRANO CALVO</t>
  </si>
  <si>
    <t>YONI SOLORZANO BLAS</t>
  </si>
  <si>
    <t>04/12/2025 13:36:42</t>
  </si>
  <si>
    <t>Pag efectivo el 13-12-2025</t>
  </si>
  <si>
    <t>PLIN - Beatriz Ruth Asencios Neyra</t>
  </si>
  <si>
    <t>IGLESIA MOV. MISIONERO MUNDIAL</t>
  </si>
  <si>
    <t>04/12/2025 10:18:20</t>
  </si>
  <si>
    <t>VIOLETA CAURINO CABELLO</t>
  </si>
  <si>
    <t>RUMALDA MORENO ROSALES</t>
  </si>
  <si>
    <t>PLIN - FRANK TERAN</t>
  </si>
  <si>
    <t>Asistio a la faena</t>
  </si>
  <si>
    <t>Recibiste un PLIN</t>
  </si>
  <si>
    <t>SONIA ARQUINO MELENDEZ</t>
  </si>
  <si>
    <t>04/12/2025 09:51:39</t>
  </si>
  <si>
    <t>DAVID CASTILLO MORENO</t>
  </si>
  <si>
    <t>04/12/2025 09:51:02</t>
  </si>
  <si>
    <t>CARMEN MELCHOR ALBORNOZ</t>
  </si>
  <si>
    <t>Janet J. Romero M.</t>
  </si>
  <si>
    <t>NORMA VEGA SALES</t>
  </si>
  <si>
    <t>mz:c. lt:23 antonia mayo trujillo</t>
  </si>
  <si>
    <t>MIRIAM SIGUEÑAS SAENZ</t>
  </si>
  <si>
    <t>04/12/2025 08:36:29</t>
  </si>
  <si>
    <t>Se acordo que pagara despues. su yape sale el 8</t>
  </si>
  <si>
    <t>David P. Luis E.</t>
  </si>
  <si>
    <t>MARISOL BLAS BARRERA</t>
  </si>
  <si>
    <t>David Luis evaristo mz H1 lote 11</t>
  </si>
  <si>
    <t>04/12/2025 08:02:36</t>
  </si>
  <si>
    <t>FRANCISCA CLARA HUAYTA FLORENTINO</t>
  </si>
  <si>
    <t>CLEVER LOPEZ TRUJILLO</t>
  </si>
  <si>
    <t>Nelly J. Murillo P.</t>
  </si>
  <si>
    <t>Debe 1</t>
  </si>
  <si>
    <t>LEONARDO HUAMANI SOTELO</t>
  </si>
  <si>
    <t>03/12/2025 19:25:41</t>
  </si>
  <si>
    <t>Irma Huanahui L.</t>
  </si>
  <si>
    <t>JANET VASQUEZ MINAYA</t>
  </si>
  <si>
    <t>mz  g lt 14</t>
  </si>
  <si>
    <t>03/12/2025 19:18:46</t>
  </si>
  <si>
    <t>SONIA MASIAS CUSIHUAMAN</t>
  </si>
  <si>
    <t>50.00</t>
  </si>
  <si>
    <t>NELY MORENO LICITA</t>
  </si>
  <si>
    <t>mz c lt 11</t>
  </si>
  <si>
    <t>03/12/2025 18:30:33</t>
  </si>
  <si>
    <t>YESICA ESPINOZA FERNANDEZ</t>
  </si>
  <si>
    <t>Keimy Y. Velasquez R.</t>
  </si>
  <si>
    <t>JULIO CHAVARRIA GARCIA</t>
  </si>
  <si>
    <t>VICKI MASIAS CUSIHUAMAN</t>
  </si>
  <si>
    <t>03/12/2025 18:04:49</t>
  </si>
  <si>
    <t>RENATO ALBORNOS SIGUEÑAS</t>
  </si>
  <si>
    <t>Javier I. Espinoza F.</t>
  </si>
  <si>
    <t>LUZ MERCEDES VARGAS CAURINO</t>
  </si>
  <si>
    <t>YASMINA JAIMES TRUJILLO</t>
  </si>
  <si>
    <t>Mz ..Z. LT 2</t>
  </si>
  <si>
    <t>03/12/2025 17:33:23</t>
  </si>
  <si>
    <t>SALMA ROENNA CABALLERO COSME</t>
  </si>
  <si>
    <t>Aida L. Aguero R.</t>
  </si>
  <si>
    <t>JOSE LUIS VARGAS CAURINO</t>
  </si>
  <si>
    <t>LOURDES SOCOLA ADANAQUE</t>
  </si>
  <si>
    <t>Celso Agüero Valladares.Mz.X. Lt.13</t>
  </si>
  <si>
    <t>03/12/2025 17:20:58</t>
  </si>
  <si>
    <t>JULIAN PABLO ROCA VALENCIA</t>
  </si>
  <si>
    <t>ORTENCIA FLAVIA CABRACANCHA CARRERA</t>
  </si>
  <si>
    <t>53.00</t>
  </si>
  <si>
    <t>CRISTINA PASTOR SALES DE MORALES</t>
  </si>
  <si>
    <t xml:space="preserve">MZ A1 LT 5   por favor corregir número   6  con 5  </t>
  </si>
  <si>
    <t>03/12/2025 16:41:30</t>
  </si>
  <si>
    <t>DEYSI PASTOR SALES</t>
  </si>
  <si>
    <t>Onita C. Ponte E.</t>
  </si>
  <si>
    <t>Debe 0. Pago este mes 54. Yape adelantado 23</t>
  </si>
  <si>
    <t>TITO OSORIO MELGAREJO</t>
  </si>
  <si>
    <t>Mz D1 Lt 6 ( onita ponte Eguizabal)</t>
  </si>
  <si>
    <t>03/12/2025 15:40:07</t>
  </si>
  <si>
    <t>CARLOS JARA GOMEZ</t>
  </si>
  <si>
    <t>Marycielo K. De-la-cruz E.</t>
  </si>
  <si>
    <t>BERTHA ELVA GASPAR PEÑA</t>
  </si>
  <si>
    <t>Ana Maria Espinoza Fernandez Mz.U Lt.4</t>
  </si>
  <si>
    <t>03/12/2025 15:16:10</t>
  </si>
  <si>
    <t>LUCINDA EMMA BLAS</t>
  </si>
  <si>
    <t>ADRIAN MARCIAL ANTONIO MURGA</t>
  </si>
  <si>
    <t>ELVIRA LOZANO MINAYA</t>
  </si>
  <si>
    <t>mz k lt 11</t>
  </si>
  <si>
    <t>03/12/2025 10:07:11</t>
  </si>
  <si>
    <t>ROSA ESPINOZA BERNABE DE HEREDIA</t>
  </si>
  <si>
    <t>Edgar C. Melgarejo B.</t>
  </si>
  <si>
    <t>23.00</t>
  </si>
  <si>
    <t>Se le debe 14. Yapeo de mas. Veo que el siguiente mes no se le desconto puede que pago otro lote mas</t>
  </si>
  <si>
    <t>MARIA JIMENEZ ROCA</t>
  </si>
  <si>
    <t>mz o lt16 Edgar melgarejo</t>
  </si>
  <si>
    <t>03/12/2025 09:56:32</t>
  </si>
  <si>
    <t>CARLOS CASHPA CORAQUILLO</t>
  </si>
  <si>
    <t>CELSO VICTOR AGÜERO VALLADARES</t>
  </si>
  <si>
    <t>MAGNA ABREGO ISIDRO</t>
  </si>
  <si>
    <t>FELIPE JESUS ORTIZ APONTE</t>
  </si>
  <si>
    <t>Mz:c. Lt:42  janet Romero Mayo</t>
  </si>
  <si>
    <t>03/12/2025 09:06:08</t>
  </si>
  <si>
    <t>RUDDY BLAS MELENDEZ</t>
  </si>
  <si>
    <t>BCP - VELASQUEZ ROMERO GERALDINE MISIEL</t>
  </si>
  <si>
    <t>OLINDA LOPEZ VERDE</t>
  </si>
  <si>
    <t>Mz G lt 13</t>
  </si>
  <si>
    <t>LUZ OSORIO MELGAREJO</t>
  </si>
  <si>
    <t>03/12/2025 08:46:26</t>
  </si>
  <si>
    <t>NENA MELENDEZ JULCA</t>
  </si>
  <si>
    <t>Judith D. Pastor D.</t>
  </si>
  <si>
    <t>Asistio faena dice Yanet</t>
  </si>
  <si>
    <t>ALEJANDRO MORENO ROSALES</t>
  </si>
  <si>
    <t>Judith Deysi Pastor sales Mz W Lt. 20 calle huascaran</t>
  </si>
  <si>
    <t>03/12/2025 08:01:15</t>
  </si>
  <si>
    <t>CARLOS CIRILO ROMERO</t>
  </si>
  <si>
    <t>Lucinda E. Melendez B.</t>
  </si>
  <si>
    <t>MARILIN REGALADO CHINCHAY</t>
  </si>
  <si>
    <t>EDY SANCHEZ RODRIGUEZ</t>
  </si>
  <si>
    <t>03/12/2025 07:53:13</t>
  </si>
  <si>
    <t>JUDITH MONTAÑEZ ROJAS</t>
  </si>
  <si>
    <t>TEOFILO TRUJILLO SAMARITANO</t>
  </si>
  <si>
    <t>Violeta M. Caurino C.</t>
  </si>
  <si>
    <t>BELISARIO MORALES HERRERA</t>
  </si>
  <si>
    <t>Debe 16 faena</t>
  </si>
  <si>
    <t>HAYDEE CERNA NEYRA</t>
  </si>
  <si>
    <t xml:space="preserve">MD , LT 9 , total mes actual 11 , total mes anterior 21 , </t>
  </si>
  <si>
    <t>03/12/2025 07:39:41</t>
  </si>
  <si>
    <t>FELIX LUNA LOPEZ</t>
  </si>
  <si>
    <t>JAVIER ESPINOZA FERNANDEZ</t>
  </si>
  <si>
    <t>PLIN - GIOVANNA VANESSA SANCHEZ MEZA</t>
  </si>
  <si>
    <t>MARTHA BACILIO RAMOS</t>
  </si>
  <si>
    <t>Mzk lote 17 Marcial Sánchez</t>
  </si>
  <si>
    <t>03/12/2025 06:16:01</t>
  </si>
  <si>
    <t>MARIA BACILIO RAMOS</t>
  </si>
  <si>
    <t>Jorge A. Romero Q.</t>
  </si>
  <si>
    <t>WILSON PATRICIO HUAYTA</t>
  </si>
  <si>
    <t>Debe 17 faena</t>
  </si>
  <si>
    <t>DIEGO MAYO SAMARITANO</t>
  </si>
  <si>
    <t xml:space="preserve">pago por consumo de agua -mz "p" lt 10 _ ciria Escudero </t>
  </si>
  <si>
    <t>02/12/2025 20:27:46</t>
  </si>
  <si>
    <t>Debe 8 mes anterior</t>
  </si>
  <si>
    <t>SARA TARAZONA MIGUEL</t>
  </si>
  <si>
    <t>ELENA JUANA CASTILLEJO CAPCHA</t>
  </si>
  <si>
    <t xml:space="preserve">pago por consumo de agua _ mz "p" lt 5 _ Andrés Romero </t>
  </si>
  <si>
    <t>02/12/2025 20:25:01</t>
  </si>
  <si>
    <t>MARLENY JENNY POLO CIRILO</t>
  </si>
  <si>
    <t>ALEJANDRO GRADOS APELO</t>
  </si>
  <si>
    <t>Juana E. Bautista M.</t>
  </si>
  <si>
    <t>MILAGROS SIGUEÑAS SAENZ</t>
  </si>
  <si>
    <t>Miguel Ángel romero valladares MZ T lote 19</t>
  </si>
  <si>
    <t>02/12/2025 19:48:11</t>
  </si>
  <si>
    <t>ROSA DURAND SALES</t>
  </si>
  <si>
    <t>Judith J. Venturo R.</t>
  </si>
  <si>
    <t>Debe 10 faena</t>
  </si>
  <si>
    <t>ALFREDO GRADOS APELO</t>
  </si>
  <si>
    <t>02/12/2025 19:40:37</t>
  </si>
  <si>
    <t>CHARLE RIOS FLORES POLO</t>
  </si>
  <si>
    <t>Debe 3 mantenimieto</t>
  </si>
  <si>
    <t>OSCAR ROGER FLORES TRUJILLO</t>
  </si>
  <si>
    <t>Efrain C. Candacho H.</t>
  </si>
  <si>
    <t>NOEMI POLO CIRILO</t>
  </si>
  <si>
    <t>Mz.F1 Lt7 Efraín Candacho Huarac</t>
  </si>
  <si>
    <t>GENARO FRANCISCO CHINCHAY</t>
  </si>
  <si>
    <t>02/12/2025 19:37:34</t>
  </si>
  <si>
    <t>EUGENIA UTRILLA FRANCISCO</t>
  </si>
  <si>
    <t>Luis A. Gomez L.</t>
  </si>
  <si>
    <t>ODELIO DELGADO OBREGON</t>
  </si>
  <si>
    <t>Mz E.  lt 6 Luis  Gómez</t>
  </si>
  <si>
    <t>02/12/2025 18:58:27</t>
  </si>
  <si>
    <t>RAUL DELGADO OBREGON</t>
  </si>
  <si>
    <t>Dazio C. Marquez C.</t>
  </si>
  <si>
    <t>ALBERTO CHINCHAY PARIAMACHI</t>
  </si>
  <si>
    <t>WASHINGTON MEDRANO MALLMA</t>
  </si>
  <si>
    <t>02/12/2025 17:32:59</t>
  </si>
  <si>
    <t>ALAN GARCIA ZORRILLA</t>
  </si>
  <si>
    <t>Jesus A. Melgarejo B.</t>
  </si>
  <si>
    <t>73.00</t>
  </si>
  <si>
    <t>ERIKA MARIBEL AMBROSIO</t>
  </si>
  <si>
    <t>02/12/2025 17:24:09</t>
  </si>
  <si>
    <t>TEODORO AVILA LOPEZ</t>
  </si>
  <si>
    <t>Honorata A. Herrera U.</t>
  </si>
  <si>
    <t>21.00</t>
  </si>
  <si>
    <t>julio césar cabello romero Mz Q Lt 2</t>
  </si>
  <si>
    <t>02/12/2025 16:44:31</t>
  </si>
  <si>
    <t>REIMI VILLANUEVA ALEGRIA</t>
  </si>
  <si>
    <t>Yanet me dijo que le pago en efectivo.</t>
  </si>
  <si>
    <t>Milagros G. Medrano C.</t>
  </si>
  <si>
    <t>FELIX POMA DE LA CRUZ</t>
  </si>
  <si>
    <t>Debe 10 mes anterior. (Reclamo que pago Yape mes anterior. No se encontro yape)</t>
  </si>
  <si>
    <t>ELVIRA MINAYA LOZANO</t>
  </si>
  <si>
    <t>02/12/2025 15:50:02</t>
  </si>
  <si>
    <t>JOHAN ENSO RODRIGUEZ FLORES</t>
  </si>
  <si>
    <t>EDGAR AGUSTIN SANCHEZ</t>
  </si>
  <si>
    <t>97.00</t>
  </si>
  <si>
    <t>Mz.H..Lote 7 Pedro Palmadera.!</t>
  </si>
  <si>
    <t>FILOMENO PAUCAR CENTENO</t>
  </si>
  <si>
    <t>02/12/2025 15:13:17</t>
  </si>
  <si>
    <t>PAGASTE</t>
  </si>
  <si>
    <t>IRMA GLADIS ROJAS CABRACANCHA</t>
  </si>
  <si>
    <t>Wagner J. Trujillo M.</t>
  </si>
  <si>
    <t>95.00</t>
  </si>
  <si>
    <t>DEONICIA CORAQUILLO VALERIO</t>
  </si>
  <si>
    <t>PATRICIA POLO CIRILO</t>
  </si>
  <si>
    <t>1 cadena de 6"</t>
  </si>
  <si>
    <t>ALEJANDRA LOPEZ CANTARO</t>
  </si>
  <si>
    <t>Exoneerado la faena</t>
  </si>
  <si>
    <t>NILDA SALES BLAS</t>
  </si>
  <si>
    <t>90.00</t>
  </si>
  <si>
    <t>2 niples de 4"</t>
  </si>
  <si>
    <t>ELEODORO AVILA VALLADARES</t>
  </si>
  <si>
    <t>4 adaptadores de 4"</t>
  </si>
  <si>
    <t>DANIEL AVILA OBREGON</t>
  </si>
  <si>
    <t>BIANA JOSEFINA LOZANO MINAYA</t>
  </si>
  <si>
    <t>200.00</t>
  </si>
  <si>
    <t>1 válvula chek tipo paleta</t>
  </si>
  <si>
    <t>AUBERTINA TRUJILLO TOLENTINO</t>
  </si>
  <si>
    <t>DELFINA POMALLANQUI GOMEZ</t>
  </si>
  <si>
    <t>280.00</t>
  </si>
  <si>
    <t>2 llaves compuetas</t>
  </si>
  <si>
    <t>JUDIT PIMENTEL ESTRADA</t>
  </si>
  <si>
    <t>Maria J. Bacilio R.</t>
  </si>
  <si>
    <t>EUGENIA ESCUDERO SOLANO</t>
  </si>
  <si>
    <t>02/12/2025 12:29:18</t>
  </si>
  <si>
    <t>DELIA VENTURO MORALES</t>
  </si>
  <si>
    <t>JENNY LINO ILLAJANQUI</t>
  </si>
  <si>
    <t>devolución ferretería goche</t>
  </si>
  <si>
    <t>SANTA ROSALINA HUERTA NEPONOCENO</t>
  </si>
  <si>
    <t>ANDREZ NIETO CASTAÑEDA</t>
  </si>
  <si>
    <t>MARI CELIDONIO CHAVEZ</t>
  </si>
  <si>
    <t>devolución por pago ferretería goche</t>
  </si>
  <si>
    <t>EVER CERVANTES CHAVES</t>
  </si>
  <si>
    <t>Rudi J. Roca S.</t>
  </si>
  <si>
    <t>MARIA COSME JULCA</t>
  </si>
  <si>
    <t>02/12/2025 11:29:42</t>
  </si>
  <si>
    <t>JUAN JOSÉ ACOSTA SURICHAQUI</t>
  </si>
  <si>
    <t>Maria E. Regalado V.</t>
  </si>
  <si>
    <t>ROBERTO MARCALAPU FLORES</t>
  </si>
  <si>
    <t>Mz. F. Lt. 12 Dario Vega</t>
  </si>
  <si>
    <t>FAUSTINA POMALLANQUI GOMEZ</t>
  </si>
  <si>
    <t>02/12/2025 10:45:11</t>
  </si>
  <si>
    <t>ELAMI AZUCENA ULLOA</t>
  </si>
  <si>
    <t>Erika M. Ambrocio C.</t>
  </si>
  <si>
    <t>mz.A1 Lt . 8</t>
  </si>
  <si>
    <t>MARGARITA CRIOLLO GASPAR</t>
  </si>
  <si>
    <t>02/12/2025 10:09:01</t>
  </si>
  <si>
    <t>Oscar R. Flores T.</t>
  </si>
  <si>
    <t>JUANA LOPEZ CANTARO</t>
  </si>
  <si>
    <t>02/12/2025 07:24:48</t>
  </si>
  <si>
    <t>ELMER MELENDEZ BLAS</t>
  </si>
  <si>
    <t>Ana M. Polo C.</t>
  </si>
  <si>
    <t>ONITA PONTE EGUIZABAL</t>
  </si>
  <si>
    <t>02/12/2025 07:20:58</t>
  </si>
  <si>
    <t>JHONNY SALOMON NIÑO ORTIZ</t>
  </si>
  <si>
    <t>KAREN JAIMES TRUJILLO</t>
  </si>
  <si>
    <t>MZ I lt 11 Dominga chacra López</t>
  </si>
  <si>
    <t>02/12/2025 06:15:26</t>
  </si>
  <si>
    <t>MARIA SEGURA MELCHOR</t>
  </si>
  <si>
    <t>mz c1 lt 13</t>
  </si>
  <si>
    <t>JUAN ENCARNACION RACACHA</t>
  </si>
  <si>
    <t>01/12/2025 21:28:43</t>
  </si>
  <si>
    <t>Rossana Samaritano H.</t>
  </si>
  <si>
    <t>NOEMI CADILLO ROJAS</t>
  </si>
  <si>
    <t>G1 lote 4 Rossana samaritano pago de agua</t>
  </si>
  <si>
    <t>01/12/2025 21:23:54</t>
  </si>
  <si>
    <t>JULIO VEGA CERDA</t>
  </si>
  <si>
    <t>SONIA ÑAÑAC</t>
  </si>
  <si>
    <t>37.00</t>
  </si>
  <si>
    <t>WASHINTON MEDRANO MALLMA</t>
  </si>
  <si>
    <t>G1 lote 5 Jhon Robert Samaritano pago de agua</t>
  </si>
  <si>
    <t>01/12/2025 21:23:05</t>
  </si>
  <si>
    <t>NEMECIO AVELINO NOLASCO</t>
  </si>
  <si>
    <t>Erika M. Ayala M.</t>
  </si>
  <si>
    <t>ANI CRUZ DOMINGUEZ</t>
  </si>
  <si>
    <t>Teófilo Ayala Mz"F" Lte 5</t>
  </si>
  <si>
    <t>01/12/2025 20:48:57</t>
  </si>
  <si>
    <t>ANTONIO GUTIERREZ PACHAMANGO</t>
  </si>
  <si>
    <t>Jenny E. Lino I.</t>
  </si>
  <si>
    <t>mz c1 lote 7</t>
  </si>
  <si>
    <t>CESAR ALFREDO VIRU GASPAR</t>
  </si>
  <si>
    <t>01/12/2025 20:34:00</t>
  </si>
  <si>
    <t>EFRAIN CANDACHO HUARAC</t>
  </si>
  <si>
    <t>Judith M. Luis P.</t>
  </si>
  <si>
    <t>JUAN BAUTISTA PEREZ</t>
  </si>
  <si>
    <t>Rubén Luis garcilazo mz.K Lt.13</t>
  </si>
  <si>
    <t>01/12/2025 20:14:18</t>
  </si>
  <si>
    <t>RUBEN MORALES VELASQUEZ</t>
  </si>
  <si>
    <t>Alberto C. Lopez R.</t>
  </si>
  <si>
    <t>LUZ GASPAR VENTURA</t>
  </si>
  <si>
    <t>Haydee Rimac Alberto   Mz J    Lt 7</t>
  </si>
  <si>
    <t>01/12/2025 20:11:36</t>
  </si>
  <si>
    <t>MARIA ELIZABETH SILVA SOSA</t>
  </si>
  <si>
    <t>Esteban Guerrero C.</t>
  </si>
  <si>
    <t>MZ D LT 16</t>
  </si>
  <si>
    <t>Debe 30 faena, 6 mes actual, 3 mantenimiento</t>
  </si>
  <si>
    <t>01/12/2025 19:20:49</t>
  </si>
  <si>
    <t>ESTELA FLORES LOAYZA</t>
  </si>
  <si>
    <t>Ramon J. Requez M.</t>
  </si>
  <si>
    <t>57.00</t>
  </si>
  <si>
    <t xml:space="preserve">GILBERTO LUIS MEZA </t>
  </si>
  <si>
    <t>MZ  D.    LT. 17</t>
  </si>
  <si>
    <t>01/12/2025 18:59:36</t>
  </si>
  <si>
    <t>VIKY SALES PROLEON</t>
  </si>
  <si>
    <t>ANA GONZALES SOTO</t>
  </si>
  <si>
    <t>mz c lt 9</t>
  </si>
  <si>
    <t>01/12/2025 18:31:47</t>
  </si>
  <si>
    <t>Martha E. Criollo G.</t>
  </si>
  <si>
    <t>ROSSANA SAMARITANO HEREDIA</t>
  </si>
  <si>
    <t>2B</t>
  </si>
  <si>
    <t>mz i Lt 2b</t>
  </si>
  <si>
    <t>01/12/2025 18:05:16</t>
  </si>
  <si>
    <t>JHON SAMARITANO HEREDIA</t>
  </si>
  <si>
    <t>Julia G. Barrera G.</t>
  </si>
  <si>
    <t>YOLIT VILLANUEVA ALEGRIA</t>
  </si>
  <si>
    <t>MZ. i. Lt 17.  Julia Barrera</t>
  </si>
  <si>
    <t>01/12/2025 17:36:07</t>
  </si>
  <si>
    <t>JORGE ORENCIO MORENO ROSALES</t>
  </si>
  <si>
    <t>Ronal J. Avelino M.</t>
  </si>
  <si>
    <t>Manzana F1 lote 1 .</t>
  </si>
  <si>
    <t>LIZBET VILLANUEVA ALEGRIA</t>
  </si>
  <si>
    <t>01/12/2025 17:36:05</t>
  </si>
  <si>
    <t>Aun no tiene agua no debe faena</t>
  </si>
  <si>
    <t>Lily C. Mori C.</t>
  </si>
  <si>
    <t>MARYURI ZAPATA MARTINEZ</t>
  </si>
  <si>
    <t>Edgar Agustín Sanchez Mz.B1 Lt.04</t>
  </si>
  <si>
    <t>01/12/2025 16:23:46</t>
  </si>
  <si>
    <t>YICSON ZAPATA MARTINEZ</t>
  </si>
  <si>
    <t>JIMM ZAPATA MARTINEZ</t>
  </si>
  <si>
    <t>Jacinto L. Matos M.</t>
  </si>
  <si>
    <t>FELICIA ZAPATA FLORES</t>
  </si>
  <si>
    <t>MZ G1 LT 2 viky sales proleon</t>
  </si>
  <si>
    <t>01/12/2025 16:20:40</t>
  </si>
  <si>
    <t>DAVID LUIS EVARISTO</t>
  </si>
  <si>
    <t>DANTE MEZA MONTALVO</t>
  </si>
  <si>
    <t>Mz.U Lt 5 . Benilda  Palacios  Rodriguez</t>
  </si>
  <si>
    <t>01/12/2025 14:24:00</t>
  </si>
  <si>
    <t>JUAN CARLOS GRACIANO SALES</t>
  </si>
  <si>
    <t>Maria M. Leon C.</t>
  </si>
  <si>
    <t>PATRICIA TARAZONA CARBAJAL</t>
  </si>
  <si>
    <t>Mz. O Lt. 1✨</t>
  </si>
  <si>
    <t>01/12/2025 13:53:09</t>
  </si>
  <si>
    <t>MARLENY SAMARITANO HEREDIA</t>
  </si>
  <si>
    <t>Sonia Masias C.</t>
  </si>
  <si>
    <t>Debe 30 faena, 8 mes anterior</t>
  </si>
  <si>
    <t>M.Z. V.LT.16 SONIA MASIAS</t>
  </si>
  <si>
    <t>01/12/2025 13:04:30</t>
  </si>
  <si>
    <t>OLINDA ASCURRA CONTRERAS</t>
  </si>
  <si>
    <t>Edwin A. Silva G.</t>
  </si>
  <si>
    <t xml:space="preserve">TITO COSME CASTILLEJO </t>
  </si>
  <si>
    <t>Maria julca rios MZ."T" LT. 20</t>
  </si>
  <si>
    <t>01/12/2025 12:31:20</t>
  </si>
  <si>
    <t>TOTALES</t>
  </si>
  <si>
    <t>Alejandro julca collantes MZ. "L"  LT. 2</t>
  </si>
  <si>
    <t>01/12/2025 12:28:33</t>
  </si>
  <si>
    <t>Angeles M. Huerta P.</t>
  </si>
  <si>
    <t>TOTALES YAPE</t>
  </si>
  <si>
    <t>mz "b lt 15 melissa pillaca</t>
  </si>
  <si>
    <t>01/12/2025 12:16:41</t>
  </si>
  <si>
    <t>Mz B1Lte 8</t>
  </si>
  <si>
    <t>01/12/2025 11:49:38</t>
  </si>
  <si>
    <t>TOTALES EFECTIVO</t>
  </si>
  <si>
    <t>Eladio J. Huaman H.</t>
  </si>
  <si>
    <t>Mz H Lt 04 Gisella Delgado Vega</t>
  </si>
  <si>
    <t>01/12/2025 10:32:07</t>
  </si>
  <si>
    <t>VALIDACION</t>
  </si>
  <si>
    <t>Silvia R. Blas C.</t>
  </si>
  <si>
    <t>01/12/2025 08:48:25</t>
  </si>
  <si>
    <t>Charli R. Flores P.</t>
  </si>
  <si>
    <t xml:space="preserve">señito buenas noches estoy pagando mi consumo  del </t>
  </si>
  <si>
    <t>30/11/2025 21:30:10</t>
  </si>
  <si>
    <t>Mariza N. Vidal V.</t>
  </si>
  <si>
    <t>av-jorge Chávez mz P lt 3</t>
  </si>
  <si>
    <t>30/11/2025 21:27:12</t>
  </si>
  <si>
    <t>30/11/2025 21:17:07</t>
  </si>
  <si>
    <t>Jose J. Zapata F.</t>
  </si>
  <si>
    <t>José Zapata Flores Mz U Lt 1</t>
  </si>
  <si>
    <t>30/11/2025 20:45:43</t>
  </si>
  <si>
    <t>Juan C. Melgarejo B.</t>
  </si>
  <si>
    <t>30/11/2025 19:52:50</t>
  </si>
  <si>
    <t>BIM - Jhoana Suleyina Antonio Romero</t>
  </si>
  <si>
    <t>29.00</t>
  </si>
  <si>
    <t>Adrian Marcial Antonio Murga  Mz X Lt 6</t>
  </si>
  <si>
    <t>30/11/2025 19:36:58</t>
  </si>
  <si>
    <t>Saul Pimentel A.</t>
  </si>
  <si>
    <t xml:space="preserve">Judith Montañez Rojas(ca Belén mz Y lote 5) pago de </t>
  </si>
  <si>
    <t>30/11/2025 19:21:49</t>
  </si>
  <si>
    <t>Eber A. Aguero T.</t>
  </si>
  <si>
    <t>MZ. C LTE. 34 EBER AGUERO TRUJILLO</t>
  </si>
  <si>
    <t>30/11/2025 19:09:16</t>
  </si>
  <si>
    <t>MZ. C LTE. 28 OSTIN AGUERO TRUJILLO</t>
  </si>
  <si>
    <t>30/11/2025 19:07:46</t>
  </si>
  <si>
    <t>Yovana S. Gaspar P.</t>
  </si>
  <si>
    <t>MZ. "Q" lote 8. Maria Martina Peña Vega</t>
  </si>
  <si>
    <t>30/11/2025 18:07:02</t>
  </si>
  <si>
    <t>Judy S. Morales R.</t>
  </si>
  <si>
    <t>mz h lt 15 usuario Ciriaco Morales lopez</t>
  </si>
  <si>
    <t>30/11/2025 17:11:54</t>
  </si>
  <si>
    <t>Cleysi R. Siguena M.</t>
  </si>
  <si>
    <t>14B</t>
  </si>
  <si>
    <t>juan saavedra s.Mz E lote 14_B agua</t>
  </si>
  <si>
    <t>30/11/2025 16:36:15</t>
  </si>
  <si>
    <t>Leonidas L. Romero G.</t>
  </si>
  <si>
    <t>30/11/2025 14:48:24</t>
  </si>
  <si>
    <t>Maryuri Zapata M.</t>
  </si>
  <si>
    <t>61.00</t>
  </si>
  <si>
    <t>Maryuri zapata Martinez Mz H1 Lt 6</t>
  </si>
  <si>
    <t>30/11/2025 14:10:28</t>
  </si>
  <si>
    <t>Maria I. Cashpa R.</t>
  </si>
  <si>
    <t>M. X Lt. 12 Carlos cashpa coraquillo marcial</t>
  </si>
  <si>
    <t>30/11/2025 11:55:01</t>
  </si>
  <si>
    <t>Bertha E. Gaspar P.</t>
  </si>
  <si>
    <t>Mz .x.lote 3 bertha gastar peña</t>
  </si>
  <si>
    <t>30/11/2025 11:55:00</t>
  </si>
  <si>
    <t>Fredy Jimenez M.</t>
  </si>
  <si>
    <t>RUFINA FRANCISCO JIMÉNEZ Mz.P.Lt.15</t>
  </si>
  <si>
    <t>30/11/2025 11:46:33</t>
  </si>
  <si>
    <t>Janet -. Macuyama L.</t>
  </si>
  <si>
    <t>30/11/2025 11:05:40</t>
  </si>
  <si>
    <t>Nancy E. Moreno T.</t>
  </si>
  <si>
    <t>Nancy Moreno Torres  Mz S  lote 15</t>
  </si>
  <si>
    <t>30/11/2025 11:05:04</t>
  </si>
  <si>
    <t>PLIN - ANGELICA STHEFANY JARA GOMEZ</t>
  </si>
  <si>
    <t>76.00</t>
  </si>
  <si>
    <t>G 6 Victor Manuel jara</t>
  </si>
  <si>
    <t>30/11/2025 10:17:18</t>
  </si>
  <si>
    <t>Nancy Y. Montalvo C.</t>
  </si>
  <si>
    <t>30/11/2025 08:51:51</t>
  </si>
  <si>
    <t>Tito D. Osorio M.</t>
  </si>
  <si>
    <t>Tito Osorio Melgarejo Mz.X Lt.1</t>
  </si>
  <si>
    <t>30/11/2025 06:33:42</t>
  </si>
  <si>
    <t>Mz O24</t>
  </si>
  <si>
    <t>29/11/2025 21:16:24</t>
  </si>
  <si>
    <t>PLIN - RAMON ROSALES</t>
  </si>
  <si>
    <t>29/11/2025 21:05:32</t>
  </si>
  <si>
    <t>29/11/2025 21:01:46</t>
  </si>
  <si>
    <t>Samuel H. Miranda E.</t>
  </si>
  <si>
    <t>Mz.F.  Lt. 8</t>
  </si>
  <si>
    <t>29/11/2025 20:36:43</t>
  </si>
  <si>
    <t>PLIN - ELIAS AGAPITO SALES BLAS</t>
  </si>
  <si>
    <t>65.00</t>
  </si>
  <si>
    <t>29/11/2025 19:39:40</t>
  </si>
  <si>
    <t>Ani G. Cruz D.</t>
  </si>
  <si>
    <t>Mz f1 Lote 2</t>
  </si>
  <si>
    <t>29/11/2025 18:38:01</t>
  </si>
  <si>
    <t>mz A1 lt 5</t>
  </si>
  <si>
    <t>29/11/2025 18:01:57</t>
  </si>
  <si>
    <t>Walter C. Solorzano M.</t>
  </si>
  <si>
    <t>Walter solorzano S 08</t>
  </si>
  <si>
    <t>29/11/2025 17:31:30</t>
  </si>
  <si>
    <t>julio solorzano i 13</t>
  </si>
  <si>
    <t>29/11/2025 17:30:33</t>
  </si>
  <si>
    <t>Carla M. Luna A.</t>
  </si>
  <si>
    <t>Manzana f1 lote 6</t>
  </si>
  <si>
    <t>29/11/2025 17:22:00</t>
  </si>
  <si>
    <t>Elami A. Ulloa O.</t>
  </si>
  <si>
    <t>Elami Azucena Ulloa Olivo 75365681 Mz: D1 LT: 2</t>
  </si>
  <si>
    <t>29/11/2025 16:58:04</t>
  </si>
  <si>
    <t>29/11/2025 16:12:49</t>
  </si>
  <si>
    <t>Diana C. Romero M.</t>
  </si>
  <si>
    <t>Mz.S Lt.4 II Etapa (Luis Romero Quispe)</t>
  </si>
  <si>
    <t>29/11/2025 16:12:12</t>
  </si>
  <si>
    <t>Teresa F. Blas Q.</t>
  </si>
  <si>
    <t>68.00</t>
  </si>
  <si>
    <t>29/11/2025 15:58:20</t>
  </si>
  <si>
    <t>Luis A. Lopez H.</t>
  </si>
  <si>
    <t>mzL.Lt3 Edgar silva ghiggo</t>
  </si>
  <si>
    <t>29/11/2025 14:54:55</t>
  </si>
  <si>
    <t>Yeny M. Polo C.</t>
  </si>
  <si>
    <t>MZ Z lote 11</t>
  </si>
  <si>
    <t>29/11/2025 14:40:10</t>
  </si>
  <si>
    <t>LUCIA MORENO ROSALES MZ S LT 9</t>
  </si>
  <si>
    <t>29/11/2025 13:39:41</t>
  </si>
  <si>
    <t>Alberto B. Rodriguez D.</t>
  </si>
  <si>
    <t>29/11/2025 10:43:32</t>
  </si>
  <si>
    <t>Hector R. Aguero T.</t>
  </si>
  <si>
    <t>29/11/2025 10:21:18</t>
  </si>
  <si>
    <t>Haydee A. Cerna N.</t>
  </si>
  <si>
    <t xml:space="preserve">consumo 2 meses de agua + multa de faena / Haydee </t>
  </si>
  <si>
    <t>29/11/2025 09:29:21</t>
  </si>
  <si>
    <t>Luis T. Valverde C.</t>
  </si>
  <si>
    <t>Agustina Caldas - Mz L Lt 15 - consumo de agua</t>
  </si>
  <si>
    <t>29/11/2025 09:22:37</t>
  </si>
  <si>
    <t>Lourdes F. Melchor A.</t>
  </si>
  <si>
    <t>mz.p lote 4</t>
  </si>
  <si>
    <t>29/11/2025 09:19:26</t>
  </si>
  <si>
    <t>BCP - JACOME NORABUENA JESUS ELVIRO</t>
  </si>
  <si>
    <t>MARIA NORABUENA ESPADA  Mz C Lt 36   N recibo 14487</t>
  </si>
  <si>
    <t>29/11/2025 08:19:14</t>
  </si>
  <si>
    <t>Felix M. Pozo C.</t>
  </si>
  <si>
    <t>M Z A lT 11 felix pozo</t>
  </si>
  <si>
    <t>29/11/2025 07:57:09</t>
  </si>
  <si>
    <t>Yesica M. Espinoza F.</t>
  </si>
  <si>
    <t>Mz:W lote: 02 ,Yesica Espinoza Fernández.</t>
  </si>
  <si>
    <t>29/11/2025 06:24:26</t>
  </si>
  <si>
    <t>Dario F. Saenz M.</t>
  </si>
  <si>
    <t>70.00</t>
  </si>
  <si>
    <t>trabajo de reparación de tuberia en sra Thalia</t>
  </si>
  <si>
    <t>Carmen M. Melchor A.</t>
  </si>
  <si>
    <t>la multa de la faena</t>
  </si>
  <si>
    <t>28/11/2025 21:17:46</t>
  </si>
  <si>
    <t>MZ V lote8 Carmen Mercedes Melchor Albornoz</t>
  </si>
  <si>
    <t>28/11/2025 21:15:59</t>
  </si>
  <si>
    <t>Julia M. Juarez T.</t>
  </si>
  <si>
    <t>Esteban Reyes Sánchez Mz A Lote 06</t>
  </si>
  <si>
    <t>28/11/2025 18:22:14</t>
  </si>
  <si>
    <t>Carmen R. Valencia F.</t>
  </si>
  <si>
    <t>Pago de servicio de agua Mz E Lt 3</t>
  </si>
  <si>
    <t>28/11/2025 18:15:56</t>
  </si>
  <si>
    <t>mz c lt 13</t>
  </si>
  <si>
    <t>28/11/2025 18:07:36</t>
  </si>
  <si>
    <t>mz a 1 lt 1</t>
  </si>
  <si>
    <t>28/11/2025 17:47:18</t>
  </si>
  <si>
    <t>Ana M. Rodriguez D.</t>
  </si>
  <si>
    <t>MZ. L.   Lt 8. Ana Rodríguez</t>
  </si>
  <si>
    <t>28/11/2025 16:00:13</t>
  </si>
  <si>
    <t>Lilia N. Torres M.</t>
  </si>
  <si>
    <t>12.40</t>
  </si>
  <si>
    <t>impresión de recibos</t>
  </si>
  <si>
    <t>500.00</t>
  </si>
  <si>
    <t>préstamo al pueblo</t>
  </si>
  <si>
    <t>169.00</t>
  </si>
  <si>
    <t>llave cadena,pago cesar,2 cemento</t>
  </si>
  <si>
    <t>400.00</t>
  </si>
  <si>
    <t>2 llaves estilson</t>
  </si>
  <si>
    <t>instalación de check con universales y adaptadores</t>
  </si>
  <si>
    <t>23/11/2025 13:38:55</t>
  </si>
  <si>
    <t>228.00</t>
  </si>
  <si>
    <t>instalación de check en faena (material)</t>
  </si>
  <si>
    <t>360.00</t>
  </si>
  <si>
    <t>accesorios e instalación de caudimetro y pago personal</t>
  </si>
  <si>
    <t>450.00</t>
  </si>
  <si>
    <t>caudimetro de 4" (tanque)</t>
  </si>
  <si>
    <t>115.00</t>
  </si>
  <si>
    <t>trabajos varios cajas de concreto y sus tapas</t>
  </si>
  <si>
    <t>trabajos varios de construcción de cajas de</t>
  </si>
  <si>
    <t>283.00</t>
  </si>
  <si>
    <t>ferretería goche2(fierros, cemento)</t>
  </si>
  <si>
    <t>170.00</t>
  </si>
  <si>
    <t>ferretería goche</t>
  </si>
  <si>
    <t>140.00</t>
  </si>
  <si>
    <t>personal construcción de tapa de concreto</t>
  </si>
  <si>
    <t>190.00</t>
  </si>
  <si>
    <t>personal construcción de caja cemento (granados)</t>
  </si>
  <si>
    <t>pago a trabajadores cerca  de la sequía y cerro (Thalia)</t>
  </si>
  <si>
    <t>Maria E. Silva S.</t>
  </si>
  <si>
    <t>100.00</t>
  </si>
  <si>
    <t>16/11/2025 19:31:11</t>
  </si>
  <si>
    <t>reparación de tuberia 4 personas</t>
  </si>
  <si>
    <t>PLIN - VICTOR EDUARDO HEREDIA ESPINOZA</t>
  </si>
  <si>
    <t>15/11/2025 20:37:44</t>
  </si>
  <si>
    <t>Silvia S. Solorzano B.</t>
  </si>
  <si>
    <t>trabajo de reconexión de tubo</t>
  </si>
  <si>
    <t>Alfredo Jara T.</t>
  </si>
  <si>
    <t>de reconexión de tubo</t>
  </si>
  <si>
    <t>Geraldine M. Velasquez R.</t>
  </si>
  <si>
    <t>2 personal reestalacion de tubo</t>
  </si>
  <si>
    <t>Pagaste el servicio de JUNTA ADMINISTRADORA DE SERVICIOS DE SAN</t>
  </si>
  <si>
    <t>Sunat - Pago NPS</t>
  </si>
  <si>
    <t>Nelson B. Magallanes B.</t>
  </si>
  <si>
    <t>contador</t>
  </si>
  <si>
    <t>instalacion de check pichon</t>
  </si>
  <si>
    <t>20.00</t>
  </si>
  <si>
    <t xml:space="preserve">Wilson Patricio huayta Mz.Z lt.5 los 20soles para que no </t>
  </si>
  <si>
    <t>07/11/2025 20:53:40</t>
  </si>
  <si>
    <t>Victor Solórzano Rosales....MZP lote 11</t>
  </si>
  <si>
    <t>07/11/2025 20:29:35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</si>
</sst>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/mm/yyyy"/>
    <numFmt numFmtId="166" formatCode="dd/mm/yyyy h:mm:ss"/>
  </numFmts>
  <fonts count="18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theme="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1.0"/>
      <color rgb="FFFF0000"/>
      <name val="Calibri"/>
    </font>
    <font>
      <color theme="1"/>
      <name val="Calibri"/>
      <scheme val="minor"/>
    </font>
    <font>
      <sz val="12.0"/>
      <color rgb="FF434343"/>
      <name val="SansSerif"/>
    </font>
    <font>
      <sz val="11.0"/>
      <color theme="1"/>
      <name val="Aptos Narrow"/>
    </font>
    <font>
      <sz val="12.0"/>
      <color theme="1"/>
      <name val="Arial"/>
    </font>
    <font>
      <sz val="12.0"/>
      <color rgb="FF000000"/>
      <name val="SansSerif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  <bottom/>
    </border>
    <border>
      <right style="thin">
        <color rgb="FF000000"/>
      </right>
      <top style="thin">
        <color rgb="FF000000"/>
      </top>
    </border>
    <border>
      <top/>
      <bottom/>
    </border>
    <border>
      <left style="thin">
        <color rgb="FF000000"/>
      </left>
      <bottom style="thin">
        <color rgb="FF000000"/>
      </bottom>
    </border>
    <border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Border="1" applyFill="1" applyFont="1"/>
    <xf borderId="2" fillId="0" fontId="3" numFmtId="0" xfId="0" applyBorder="1" applyFont="1"/>
    <xf borderId="3" fillId="0" fontId="4" numFmtId="0" xfId="0" applyBorder="1" applyFont="1"/>
    <xf borderId="4" fillId="2" fontId="1" numFmtId="0" xfId="0" applyAlignment="1" applyBorder="1" applyFont="1">
      <alignment horizontal="center"/>
    </xf>
    <xf borderId="5" fillId="0" fontId="4" numFmtId="0" xfId="0" applyBorder="1" applyFont="1"/>
    <xf borderId="1" fillId="3" fontId="5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3" numFmtId="0" xfId="0" applyBorder="1" applyFont="1"/>
    <xf borderId="0" fillId="0" fontId="6" numFmtId="0" xfId="0" applyFont="1"/>
    <xf borderId="1" fillId="3" fontId="5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2" fontId="1" numFmtId="0" xfId="0" applyBorder="1" applyFont="1"/>
    <xf borderId="11" fillId="0" fontId="3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1" fillId="0" fontId="6" numFmtId="0" xfId="0" applyBorder="1" applyFont="1"/>
    <xf borderId="1" fillId="4" fontId="5" numFmtId="0" xfId="0" applyBorder="1" applyFill="1" applyFont="1"/>
    <xf borderId="1" fillId="5" fontId="7" numFmtId="0" xfId="0" applyBorder="1" applyFill="1" applyFont="1"/>
    <xf borderId="0" fillId="0" fontId="6" numFmtId="0" xfId="0" applyAlignment="1" applyFont="1">
      <alignment readingOrder="0"/>
    </xf>
    <xf borderId="11" fillId="6" fontId="6" numFmtId="164" xfId="0" applyBorder="1" applyFill="1" applyFont="1" applyNumberFormat="1"/>
    <xf borderId="0" fillId="0" fontId="8" numFmtId="0" xfId="0" applyAlignment="1" applyFont="1">
      <alignment horizontal="right"/>
    </xf>
    <xf borderId="0" fillId="0" fontId="6" numFmtId="165" xfId="0" applyFont="1" applyNumberFormat="1"/>
    <xf borderId="11" fillId="7" fontId="6" numFmtId="0" xfId="0" applyBorder="1" applyFill="1" applyFont="1"/>
    <xf borderId="0" fillId="8" fontId="6" numFmtId="0" xfId="0" applyAlignment="1" applyFill="1" applyFont="1">
      <alignment readingOrder="0"/>
    </xf>
    <xf borderId="11" fillId="0" fontId="6" numFmtId="164" xfId="0" applyBorder="1" applyFont="1" applyNumberFormat="1"/>
    <xf borderId="0" fillId="8" fontId="6" numFmtId="165" xfId="0" applyFont="1" applyNumberFormat="1"/>
    <xf borderId="0" fillId="5" fontId="6" numFmtId="0" xfId="0" applyFont="1"/>
    <xf borderId="0" fillId="8" fontId="6" numFmtId="0" xfId="0" applyFont="1"/>
    <xf borderId="1" fillId="8" fontId="6" numFmtId="165" xfId="0" applyBorder="1" applyFont="1" applyNumberFormat="1"/>
    <xf borderId="1" fillId="8" fontId="6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1" fillId="6" fontId="6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12" fillId="8" fontId="11" numFmtId="0" xfId="0" applyAlignment="1" applyBorder="1" applyFont="1">
      <alignment horizontal="center" shrinkToFit="0" vertical="center" wrapText="1"/>
    </xf>
    <xf borderId="1" fillId="5" fontId="6" numFmtId="0" xfId="0" applyBorder="1" applyFont="1"/>
    <xf borderId="1" fillId="6" fontId="6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1" fillId="8" fontId="12" numFmtId="0" xfId="0" applyBorder="1" applyFont="1"/>
    <xf borderId="0" fillId="0" fontId="13" numFmtId="0" xfId="0" applyAlignment="1" applyFont="1">
      <alignment readingOrder="0"/>
    </xf>
    <xf borderId="13" fillId="8" fontId="14" numFmtId="0" xfId="0" applyAlignment="1" applyBorder="1" applyFont="1">
      <alignment horizontal="center" shrinkToFit="0" vertical="center" wrapText="1"/>
    </xf>
    <xf borderId="14" fillId="8" fontId="14" numFmtId="0" xfId="0" applyAlignment="1" applyBorder="1" applyFont="1">
      <alignment horizontal="center" shrinkToFit="0" vertical="center" wrapText="1"/>
    </xf>
    <xf borderId="12" fillId="9" fontId="11" numFmtId="0" xfId="0" applyAlignment="1" applyBorder="1" applyFill="1" applyFont="1">
      <alignment horizontal="center" shrinkToFit="0" vertical="center" wrapText="1"/>
    </xf>
    <xf borderId="13" fillId="9" fontId="14" numFmtId="0" xfId="0" applyAlignment="1" applyBorder="1" applyFont="1">
      <alignment horizontal="center" shrinkToFit="0" vertical="center" wrapText="1"/>
    </xf>
    <xf borderId="12" fillId="8" fontId="15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readingOrder="0"/>
    </xf>
    <xf borderId="12" fillId="9" fontId="15" numFmtId="0" xfId="0" applyAlignment="1" applyBorder="1" applyFont="1">
      <alignment shrinkToFit="0" vertical="center" wrapText="0"/>
    </xf>
    <xf borderId="0" fillId="0" fontId="12" numFmtId="0" xfId="0" applyFont="1"/>
    <xf borderId="1" fillId="10" fontId="6" numFmtId="0" xfId="0" applyBorder="1" applyFill="1" applyFont="1"/>
    <xf borderId="1" fillId="11" fontId="6" numFmtId="0" xfId="0" applyBorder="1" applyFill="1" applyFont="1"/>
    <xf borderId="11" fillId="6" fontId="6" numFmtId="0" xfId="0" applyBorder="1" applyFont="1"/>
    <xf borderId="0" fillId="0" fontId="13" numFmtId="164" xfId="0" applyFont="1" applyNumberFormat="1"/>
    <xf borderId="1" fillId="12" fontId="6" numFmtId="0" xfId="0" applyBorder="1" applyFill="1" applyFont="1"/>
    <xf borderId="0" fillId="11" fontId="13" numFmtId="0" xfId="0" applyAlignment="1" applyFont="1">
      <alignment readingOrder="0"/>
    </xf>
    <xf borderId="12" fillId="8" fontId="16" numFmtId="0" xfId="0" applyAlignment="1" applyBorder="1" applyFont="1">
      <alignment horizontal="center" readingOrder="0" shrinkToFit="0" vertical="center" wrapText="1"/>
    </xf>
    <xf borderId="12" fillId="8" fontId="16" numFmtId="0" xfId="0" applyAlignment="1" applyBorder="1" applyFont="1">
      <alignment horizontal="center" shrinkToFit="0" vertical="center" wrapText="1"/>
    </xf>
    <xf borderId="0" fillId="8" fontId="12" numFmtId="0" xfId="0" applyAlignment="1" applyFont="1">
      <alignment readingOrder="0"/>
    </xf>
    <xf borderId="12" fillId="6" fontId="11" numFmtId="0" xfId="0" applyAlignment="1" applyBorder="1" applyFont="1">
      <alignment horizontal="center" shrinkToFit="0" vertical="center" wrapText="1"/>
    </xf>
    <xf borderId="12" fillId="6" fontId="16" numFmtId="0" xfId="0" applyAlignment="1" applyBorder="1" applyFont="1">
      <alignment horizontal="center" shrinkToFit="0" vertical="center" wrapText="1"/>
    </xf>
    <xf borderId="13" fillId="6" fontId="14" numFmtId="0" xfId="0" applyAlignment="1" applyBorder="1" applyFont="1">
      <alignment horizontal="center" shrinkToFit="0" vertical="center" wrapText="1"/>
    </xf>
    <xf borderId="0" fillId="11" fontId="6" numFmtId="0" xfId="0" applyAlignment="1" applyFont="1">
      <alignment readingOrder="0"/>
    </xf>
    <xf borderId="0" fillId="5" fontId="13" numFmtId="0" xfId="0" applyFont="1"/>
    <xf borderId="12" fillId="9" fontId="16" numFmtId="0" xfId="0" applyAlignment="1" applyBorder="1" applyFont="1">
      <alignment horizontal="center" readingOrder="0" shrinkToFit="0" vertical="center" wrapText="1"/>
    </xf>
    <xf borderId="1" fillId="10" fontId="6" numFmtId="165" xfId="0" applyBorder="1" applyFont="1" applyNumberFormat="1"/>
    <xf borderId="0" fillId="0" fontId="12" numFmtId="0" xfId="0" applyAlignment="1" applyFont="1">
      <alignment readingOrder="0"/>
    </xf>
    <xf borderId="15" fillId="0" fontId="6" numFmtId="0" xfId="0" applyAlignment="1" applyBorder="1" applyFont="1">
      <alignment shrinkToFit="0" wrapText="1"/>
    </xf>
    <xf borderId="0" fillId="0" fontId="6" numFmtId="165" xfId="0" applyAlignment="1" applyFont="1" applyNumberFormat="1">
      <alignment horizontal="right"/>
    </xf>
    <xf borderId="0" fillId="13" fontId="6" numFmtId="0" xfId="0" applyAlignment="1" applyFill="1" applyFont="1">
      <alignment readingOrder="0"/>
    </xf>
    <xf borderId="1" fillId="6" fontId="6" numFmtId="165" xfId="0" applyBorder="1" applyFont="1" applyNumberFormat="1"/>
    <xf borderId="1" fillId="10" fontId="6" numFmtId="0" xfId="0" applyAlignment="1" applyBorder="1" applyFont="1">
      <alignment readingOrder="0"/>
    </xf>
    <xf borderId="16" fillId="9" fontId="1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/>
    </xf>
    <xf borderId="0" fillId="0" fontId="8" numFmtId="165" xfId="0" applyAlignment="1" applyFont="1" applyNumberFormat="1">
      <alignment horizontal="center"/>
    </xf>
    <xf borderId="12" fillId="8" fontId="17" numFmtId="0" xfId="0" applyAlignment="1" applyBorder="1" applyFont="1">
      <alignment horizontal="center" readingOrder="0" shrinkToFit="0" vertical="center" wrapText="0"/>
    </xf>
    <xf borderId="12" fillId="8" fontId="17" numFmtId="166" xfId="0" applyAlignment="1" applyBorder="1" applyFont="1" applyNumberFormat="1">
      <alignment horizontal="center" readingOrder="0" shrinkToFit="0" vertical="center" wrapText="0"/>
    </xf>
    <xf borderId="11" fillId="10" fontId="6" numFmtId="0" xfId="0" applyBorder="1" applyFont="1"/>
    <xf borderId="0" fillId="7" fontId="13" numFmtId="0" xfId="0" applyAlignment="1" applyFont="1">
      <alignment readingOrder="0"/>
    </xf>
    <xf borderId="0" fillId="7" fontId="13" numFmtId="0" xfId="0" applyFont="1"/>
    <xf borderId="0" fillId="7" fontId="6" numFmtId="0" xfId="0" applyFont="1"/>
    <xf borderId="0" fillId="8" fontId="13" numFmtId="0" xfId="0" applyFont="1"/>
    <xf borderId="0" fillId="14" fontId="6" numFmtId="0" xfId="0" applyAlignment="1" applyFill="1" applyFont="1">
      <alignment vertical="bottom"/>
    </xf>
    <xf borderId="0" fillId="14" fontId="6" numFmtId="0" xfId="0" applyAlignment="1" applyFont="1">
      <alignment horizontal="right" vertical="bottom"/>
    </xf>
    <xf borderId="0" fillId="14" fontId="6" numFmtId="0" xfId="0" applyAlignment="1" applyFont="1">
      <alignment vertical="bottom"/>
    </xf>
    <xf borderId="0" fillId="14" fontId="6" numFmtId="0" xfId="0" applyAlignment="1" applyFont="1">
      <alignment horizontal="right" vertical="bottom"/>
    </xf>
    <xf borderId="1" fillId="8" fontId="8" numFmtId="0" xfId="0" applyBorder="1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15" fontId="6" numFmtId="0" xfId="0" applyAlignment="1" applyFill="1" applyFont="1">
      <alignment vertical="bottom"/>
    </xf>
    <xf borderId="0" fillId="15" fontId="6" numFmtId="0" xfId="0" applyAlignment="1" applyFont="1">
      <alignment horizontal="right" vertical="bottom"/>
    </xf>
    <xf borderId="0" fillId="15" fontId="6" numFmtId="0" xfId="0" applyAlignment="1" applyFont="1">
      <alignment vertical="bottom"/>
    </xf>
    <xf borderId="0" fillId="15" fontId="6" numFmtId="0" xfId="0" applyAlignment="1" applyFont="1">
      <alignment horizontal="right" vertical="bottom"/>
    </xf>
    <xf borderId="0" fillId="16" fontId="6" numFmtId="0" xfId="0" applyAlignment="1" applyFill="1" applyFont="1">
      <alignment vertical="bottom"/>
    </xf>
    <xf borderId="0" fillId="16" fontId="6" numFmtId="0" xfId="0" applyAlignment="1" applyFont="1">
      <alignment horizontal="right" vertical="bottom"/>
    </xf>
    <xf borderId="0" fillId="0" fontId="13" numFmtId="0" xfId="0" applyFont="1"/>
    <xf borderId="12" fillId="8" fontId="14" numFmtId="0" xfId="0" applyAlignment="1" applyBorder="1" applyFont="1">
      <alignment horizontal="center" shrinkToFit="0" vertical="center" wrapText="1"/>
    </xf>
    <xf borderId="12" fillId="9" fontId="14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7" fillId="8" fontId="11" numFmtId="0" xfId="0" applyAlignment="1" applyBorder="1" applyFont="1">
      <alignment horizontal="center" shrinkToFit="0" vertical="center" wrapText="1"/>
    </xf>
    <xf borderId="17" fillId="8" fontId="17" numFmtId="0" xfId="0" applyAlignment="1" applyBorder="1" applyFont="1">
      <alignment horizontal="center" readingOrder="0" shrinkToFit="0" vertical="center" wrapText="0"/>
    </xf>
    <xf borderId="17" fillId="8" fontId="17" numFmtId="166" xfId="0" applyAlignment="1" applyBorder="1" applyFont="1" applyNumberFormat="1">
      <alignment horizontal="center" readingOrder="0" shrinkToFit="0" vertical="center" wrapText="0"/>
    </xf>
    <xf borderId="17" fillId="8" fontId="15" numFmtId="0" xfId="0" applyAlignment="1" applyBorder="1" applyFont="1">
      <alignment shrinkToFit="0" vertical="center" wrapText="0"/>
    </xf>
    <xf borderId="16" fillId="8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p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15" displayName="Tabla_1" name="Tabla_1" id="1">
  <autoFilter ref="$A$1:$M$315">
    <filterColumn colId="1">
      <filters>
        <filter val="PLIN - VICTOR EDUARDO HEREDIA ESPINOZA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6.14"/>
    <col customWidth="1" min="4" max="4" width="5.14"/>
    <col customWidth="1" min="5" max="5" width="16.14"/>
    <col customWidth="1" min="6" max="6" width="11.43"/>
    <col customWidth="1" min="7" max="8" width="10.57"/>
    <col customWidth="1" min="9" max="10" width="14.57"/>
    <col customWidth="1" min="11" max="11" width="6.14"/>
    <col customWidth="1" min="12" max="12" width="14.29"/>
    <col customWidth="1" min="13" max="13" width="17.57"/>
    <col customWidth="1" min="14" max="14" width="14.0"/>
    <col customWidth="1" min="15" max="15" width="11.71"/>
    <col customWidth="1" min="16" max="16" width="8.57"/>
    <col customWidth="1" min="17" max="19" width="11.29"/>
    <col customWidth="1" min="20" max="20" width="7.71"/>
    <col customWidth="1" min="21" max="21" width="10.29"/>
    <col customWidth="1" min="22" max="22" width="13.43"/>
    <col customWidth="1" min="23" max="23" width="9.43"/>
    <col customWidth="1" min="24" max="24" width="12.86"/>
    <col customWidth="1" min="25" max="25" width="60.43"/>
    <col customWidth="1" min="26" max="26" width="20.86"/>
    <col customWidth="1" min="27" max="27" width="11.57"/>
    <col customWidth="1" min="28" max="28" width="10.43"/>
    <col customWidth="1" min="29" max="30" width="10.0"/>
  </cols>
  <sheetData>
    <row r="1">
      <c r="A1" s="2" t="s">
        <v>1</v>
      </c>
      <c r="B1" s="2" t="s">
        <v>3</v>
      </c>
      <c r="C1" s="7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15" t="s">
        <v>12</v>
      </c>
      <c r="J1" s="16"/>
      <c r="K1" s="2" t="s">
        <v>16</v>
      </c>
      <c r="L1" s="19" t="s">
        <v>19</v>
      </c>
      <c r="M1" s="7" t="s">
        <v>21</v>
      </c>
      <c r="N1" s="7" t="s">
        <v>22</v>
      </c>
      <c r="O1" s="7" t="s">
        <v>23</v>
      </c>
      <c r="P1" s="7" t="s">
        <v>24</v>
      </c>
      <c r="Q1" s="21" t="s">
        <v>26</v>
      </c>
      <c r="R1" s="21" t="s">
        <v>29</v>
      </c>
      <c r="S1" s="7" t="s">
        <v>30</v>
      </c>
      <c r="T1" s="22" t="s">
        <v>31</v>
      </c>
      <c r="U1" s="2" t="s">
        <v>32</v>
      </c>
      <c r="V1" s="2" t="s">
        <v>33</v>
      </c>
      <c r="W1" s="7" t="s">
        <v>35</v>
      </c>
      <c r="X1" s="19" t="s">
        <v>36</v>
      </c>
      <c r="Y1" s="19" t="s">
        <v>15</v>
      </c>
      <c r="Z1" s="7" t="s">
        <v>37</v>
      </c>
      <c r="AA1" s="7" t="s">
        <v>38</v>
      </c>
      <c r="AB1" s="2" t="s">
        <v>39</v>
      </c>
      <c r="AC1" s="7" t="s">
        <v>40</v>
      </c>
      <c r="AD1" s="7" t="s">
        <v>41</v>
      </c>
    </row>
    <row r="2">
      <c r="A2" s="14">
        <v>1.0</v>
      </c>
      <c r="B2" s="14" t="s">
        <v>43</v>
      </c>
      <c r="C2" s="14" t="s">
        <v>20</v>
      </c>
      <c r="D2" s="14">
        <v>1.0</v>
      </c>
      <c r="G2" s="14"/>
      <c r="H2" s="14">
        <v>1.0</v>
      </c>
      <c r="I2" s="14">
        <v>2599.0</v>
      </c>
      <c r="J2" s="14">
        <v>2607.0</v>
      </c>
      <c r="K2" s="14">
        <f t="shared" ref="K2:K497" si="1">J2-I2</f>
        <v>8</v>
      </c>
      <c r="L2" s="14">
        <v>8.0</v>
      </c>
      <c r="M2" s="14">
        <v>11.0</v>
      </c>
      <c r="N2" s="14">
        <v>0.0</v>
      </c>
      <c r="O2" s="14">
        <v>0.0</v>
      </c>
      <c r="P2" s="14">
        <v>3.0</v>
      </c>
      <c r="Q2" s="14">
        <v>0.0</v>
      </c>
      <c r="R2" s="14">
        <v>0.0</v>
      </c>
      <c r="S2" s="14"/>
      <c r="T2" s="31">
        <f t="shared" ref="T2:T485" si="2">SUM(L2:S2)</f>
        <v>22</v>
      </c>
      <c r="U2" s="14" t="s">
        <v>45</v>
      </c>
      <c r="V2" s="26"/>
      <c r="W2" s="14" t="s">
        <v>46</v>
      </c>
      <c r="Z2" s="14"/>
      <c r="AA2" s="14" t="str">
        <f t="shared" ref="AA2:AA497" si="3">IF(AND(L2&gt;0, M2&gt;=8, NOT(OR(U2="C", U2="c"))), "CORTE", "")</f>
        <v/>
      </c>
      <c r="AB2" s="14">
        <f t="shared" ref="AB2:AB497" si="4">IF(AND(LEN(U2)&gt;0,LEN(W2)=0),T2,0)</f>
        <v>0</v>
      </c>
      <c r="AC2" s="14">
        <f t="shared" ref="AC2:AC497" si="5">IF(AND(LEN(U2)&gt;0,TRIM(W2)="Y"),T2,0)</f>
        <v>22</v>
      </c>
      <c r="AD2" s="14">
        <f>IF(ISBLANK(W2),0,1)</f>
        <v>1</v>
      </c>
    </row>
    <row r="3" hidden="1">
      <c r="A3" s="14">
        <v>2.0</v>
      </c>
      <c r="B3" s="14" t="s">
        <v>49</v>
      </c>
      <c r="C3" s="14" t="s">
        <v>20</v>
      </c>
      <c r="D3" s="14">
        <v>2.0</v>
      </c>
      <c r="G3" s="14"/>
      <c r="H3" s="14">
        <v>1.0</v>
      </c>
      <c r="I3" s="14">
        <v>2575.0</v>
      </c>
      <c r="J3" s="14">
        <v>2600.0</v>
      </c>
      <c r="K3" s="14">
        <f t="shared" si="1"/>
        <v>25</v>
      </c>
      <c r="L3" s="14">
        <v>25.0</v>
      </c>
      <c r="M3" s="14">
        <v>0.0</v>
      </c>
      <c r="N3" s="14">
        <v>0.0</v>
      </c>
      <c r="O3" s="14">
        <v>0.0</v>
      </c>
      <c r="P3" s="14">
        <v>3.0</v>
      </c>
      <c r="Q3" s="14">
        <v>0.0</v>
      </c>
      <c r="R3" s="14">
        <v>0.0</v>
      </c>
      <c r="S3" s="14"/>
      <c r="T3" s="31">
        <f t="shared" si="2"/>
        <v>28</v>
      </c>
      <c r="U3" s="14"/>
      <c r="V3" s="26"/>
      <c r="W3" s="14"/>
      <c r="Z3" s="14"/>
      <c r="AA3" s="14" t="str">
        <f t="shared" si="3"/>
        <v/>
      </c>
      <c r="AB3" s="14">
        <f t="shared" si="4"/>
        <v>0</v>
      </c>
      <c r="AC3" s="14">
        <f t="shared" si="5"/>
        <v>0</v>
      </c>
      <c r="AD3" s="34"/>
    </row>
    <row r="4">
      <c r="A4" s="14">
        <v>3.0</v>
      </c>
      <c r="B4" s="14" t="s">
        <v>53</v>
      </c>
      <c r="C4" s="14" t="s">
        <v>20</v>
      </c>
      <c r="D4" s="14">
        <v>3.0</v>
      </c>
      <c r="G4" s="14"/>
      <c r="H4" s="14">
        <v>1.0</v>
      </c>
      <c r="I4" s="14">
        <v>22.0</v>
      </c>
      <c r="J4" s="14">
        <v>22.0</v>
      </c>
      <c r="K4" s="14">
        <f t="shared" si="1"/>
        <v>0</v>
      </c>
      <c r="L4" s="14">
        <v>5.0</v>
      </c>
      <c r="M4" s="14">
        <v>0.0</v>
      </c>
      <c r="N4" s="14">
        <v>0.0</v>
      </c>
      <c r="O4" s="14">
        <v>0.0</v>
      </c>
      <c r="P4" s="14">
        <v>3.0</v>
      </c>
      <c r="Q4" s="36">
        <v>0.0</v>
      </c>
      <c r="R4" s="36">
        <v>30.0</v>
      </c>
      <c r="S4" s="14"/>
      <c r="T4" s="31">
        <f t="shared" si="2"/>
        <v>38</v>
      </c>
      <c r="U4" s="14" t="s">
        <v>45</v>
      </c>
      <c r="V4" s="26"/>
      <c r="W4" s="14" t="s">
        <v>46</v>
      </c>
      <c r="Y4" s="14"/>
      <c r="Z4" s="14"/>
      <c r="AA4" s="14" t="str">
        <f t="shared" si="3"/>
        <v/>
      </c>
      <c r="AB4" s="14">
        <f t="shared" si="4"/>
        <v>0</v>
      </c>
      <c r="AC4" s="14">
        <f t="shared" si="5"/>
        <v>38</v>
      </c>
      <c r="AD4" s="14">
        <f>IF(ISBLANK(W4),0,1)</f>
        <v>1</v>
      </c>
    </row>
    <row r="5" hidden="1">
      <c r="A5" s="14">
        <v>4.0</v>
      </c>
      <c r="B5" s="14" t="s">
        <v>63</v>
      </c>
      <c r="C5" s="14" t="s">
        <v>20</v>
      </c>
      <c r="D5" s="14">
        <v>4.0</v>
      </c>
      <c r="G5" s="14"/>
      <c r="H5" s="14">
        <v>1.0</v>
      </c>
      <c r="I5" s="14">
        <v>1765.0</v>
      </c>
      <c r="J5" s="14">
        <v>1767.0</v>
      </c>
      <c r="K5" s="14">
        <f t="shared" si="1"/>
        <v>2</v>
      </c>
      <c r="L5" s="14">
        <v>5.0</v>
      </c>
      <c r="M5" s="14">
        <v>137.0</v>
      </c>
      <c r="N5" s="14">
        <v>40.0</v>
      </c>
      <c r="O5" s="14">
        <v>0.0</v>
      </c>
      <c r="P5" s="14">
        <v>3.0</v>
      </c>
      <c r="Q5" s="36">
        <v>40.0</v>
      </c>
      <c r="R5" s="36">
        <v>30.0</v>
      </c>
      <c r="S5" s="14"/>
      <c r="T5" s="31">
        <f t="shared" si="2"/>
        <v>255</v>
      </c>
      <c r="U5" s="14"/>
      <c r="V5" s="26"/>
      <c r="W5" s="14"/>
      <c r="Y5" s="23" t="s">
        <v>70</v>
      </c>
      <c r="Z5" s="14"/>
      <c r="AA5" s="14" t="str">
        <f t="shared" si="3"/>
        <v>CORTE</v>
      </c>
      <c r="AB5" s="14">
        <f t="shared" si="4"/>
        <v>0</v>
      </c>
      <c r="AC5" s="14">
        <f t="shared" si="5"/>
        <v>0</v>
      </c>
      <c r="AD5" s="14"/>
    </row>
    <row r="6">
      <c r="A6" s="14">
        <v>5.0</v>
      </c>
      <c r="B6" s="14" t="s">
        <v>72</v>
      </c>
      <c r="C6" s="14" t="s">
        <v>20</v>
      </c>
      <c r="D6" s="14">
        <v>5.0</v>
      </c>
      <c r="G6" s="14"/>
      <c r="H6" s="14">
        <v>1.0</v>
      </c>
      <c r="I6" s="14">
        <v>3369.0</v>
      </c>
      <c r="J6" s="14">
        <v>3383.0</v>
      </c>
      <c r="K6" s="14">
        <f t="shared" si="1"/>
        <v>14</v>
      </c>
      <c r="L6" s="14">
        <v>14.0</v>
      </c>
      <c r="M6" s="14">
        <v>0.0</v>
      </c>
      <c r="N6" s="14">
        <v>0.0</v>
      </c>
      <c r="O6" s="14">
        <v>0.0</v>
      </c>
      <c r="P6" s="14">
        <v>3.0</v>
      </c>
      <c r="Q6" s="14">
        <v>0.0</v>
      </c>
      <c r="R6" s="14">
        <v>0.0</v>
      </c>
      <c r="S6" s="14"/>
      <c r="T6" s="31">
        <f t="shared" si="2"/>
        <v>17</v>
      </c>
      <c r="U6" s="42" t="s">
        <v>45</v>
      </c>
      <c r="V6" s="26"/>
      <c r="W6" s="14"/>
      <c r="X6" s="14"/>
      <c r="Y6" s="14"/>
      <c r="Z6" s="14"/>
      <c r="AA6" s="14" t="str">
        <f t="shared" si="3"/>
        <v/>
      </c>
      <c r="AB6" s="14">
        <f t="shared" si="4"/>
        <v>17</v>
      </c>
      <c r="AC6" s="14">
        <f t="shared" si="5"/>
        <v>0</v>
      </c>
      <c r="AD6" s="14">
        <f t="shared" ref="AD6:AD10" si="6">IF(ISBLANK(W6),0,1)</f>
        <v>0</v>
      </c>
    </row>
    <row r="7">
      <c r="A7" s="14">
        <v>6.0</v>
      </c>
      <c r="B7" s="14" t="s">
        <v>80</v>
      </c>
      <c r="C7" s="14" t="s">
        <v>20</v>
      </c>
      <c r="D7" s="14">
        <v>6.0</v>
      </c>
      <c r="G7" s="14"/>
      <c r="H7" s="14">
        <v>1.0</v>
      </c>
      <c r="I7" s="14">
        <v>1860.0</v>
      </c>
      <c r="J7" s="14">
        <v>1883.0</v>
      </c>
      <c r="K7" s="14">
        <f t="shared" si="1"/>
        <v>23</v>
      </c>
      <c r="L7" s="14">
        <v>23.0</v>
      </c>
      <c r="M7" s="14">
        <v>0.0</v>
      </c>
      <c r="N7" s="14">
        <v>0.0</v>
      </c>
      <c r="O7" s="14">
        <v>0.0</v>
      </c>
      <c r="P7" s="14">
        <v>3.0</v>
      </c>
      <c r="Q7" s="36">
        <v>0.0</v>
      </c>
      <c r="R7" s="36">
        <v>30.0</v>
      </c>
      <c r="S7" s="14"/>
      <c r="T7" s="31">
        <f t="shared" si="2"/>
        <v>56</v>
      </c>
      <c r="U7" s="14" t="s">
        <v>45</v>
      </c>
      <c r="V7" s="14"/>
      <c r="W7" s="14" t="s">
        <v>46</v>
      </c>
      <c r="Z7" s="14"/>
      <c r="AA7" s="14" t="str">
        <f t="shared" si="3"/>
        <v/>
      </c>
      <c r="AB7" s="14">
        <f t="shared" si="4"/>
        <v>0</v>
      </c>
      <c r="AC7" s="14">
        <f t="shared" si="5"/>
        <v>56</v>
      </c>
      <c r="AD7" s="14">
        <f t="shared" si="6"/>
        <v>1</v>
      </c>
    </row>
    <row r="8">
      <c r="A8" s="14">
        <v>7.0</v>
      </c>
      <c r="B8" s="14" t="s">
        <v>86</v>
      </c>
      <c r="C8" s="14" t="s">
        <v>20</v>
      </c>
      <c r="D8" s="14">
        <v>7.0</v>
      </c>
      <c r="G8" s="14"/>
      <c r="H8" s="14">
        <v>1.0</v>
      </c>
      <c r="I8" s="14">
        <v>1703.0</v>
      </c>
      <c r="J8" s="14">
        <v>1713.0</v>
      </c>
      <c r="K8" s="14">
        <f t="shared" si="1"/>
        <v>10</v>
      </c>
      <c r="L8" s="14">
        <v>10.0</v>
      </c>
      <c r="M8" s="14">
        <v>11.0</v>
      </c>
      <c r="N8" s="14">
        <v>0.0</v>
      </c>
      <c r="O8" s="14">
        <v>0.0</v>
      </c>
      <c r="P8" s="14">
        <v>3.0</v>
      </c>
      <c r="Q8" s="36">
        <v>0.0</v>
      </c>
      <c r="R8" s="36"/>
      <c r="S8" s="23"/>
      <c r="T8" s="31">
        <f t="shared" si="2"/>
        <v>24</v>
      </c>
      <c r="U8" s="23" t="s">
        <v>45</v>
      </c>
      <c r="V8" s="26"/>
      <c r="W8" s="23" t="s">
        <v>46</v>
      </c>
      <c r="Y8" s="43" t="s">
        <v>87</v>
      </c>
      <c r="Z8" s="14"/>
      <c r="AA8" s="14" t="str">
        <f t="shared" si="3"/>
        <v/>
      </c>
      <c r="AB8" s="14">
        <f t="shared" si="4"/>
        <v>0</v>
      </c>
      <c r="AC8" s="14">
        <f t="shared" si="5"/>
        <v>24</v>
      </c>
      <c r="AD8" s="14">
        <f t="shared" si="6"/>
        <v>1</v>
      </c>
    </row>
    <row r="9">
      <c r="A9" s="14">
        <v>8.0</v>
      </c>
      <c r="B9" s="14" t="s">
        <v>88</v>
      </c>
      <c r="C9" s="14" t="s">
        <v>20</v>
      </c>
      <c r="D9" s="14">
        <v>8.0</v>
      </c>
      <c r="G9" s="14"/>
      <c r="H9" s="14">
        <v>1.0</v>
      </c>
      <c r="I9" s="14">
        <v>6304.0</v>
      </c>
      <c r="J9" s="14">
        <v>6324.0</v>
      </c>
      <c r="K9" s="14">
        <f t="shared" si="1"/>
        <v>20</v>
      </c>
      <c r="L9" s="14">
        <v>20.0</v>
      </c>
      <c r="M9" s="14">
        <v>20.0</v>
      </c>
      <c r="N9" s="14">
        <v>0.0</v>
      </c>
      <c r="O9" s="14">
        <v>0.0</v>
      </c>
      <c r="P9" s="14">
        <v>3.0</v>
      </c>
      <c r="Q9" s="36">
        <v>0.0</v>
      </c>
      <c r="R9" s="36">
        <v>30.0</v>
      </c>
      <c r="S9" s="14"/>
      <c r="T9" s="31">
        <f t="shared" si="2"/>
        <v>73</v>
      </c>
      <c r="U9" s="23" t="s">
        <v>45</v>
      </c>
      <c r="V9" s="14"/>
      <c r="W9" s="23" t="s">
        <v>46</v>
      </c>
      <c r="Z9" s="14"/>
      <c r="AA9" s="14" t="str">
        <f t="shared" si="3"/>
        <v/>
      </c>
      <c r="AB9" s="14">
        <f t="shared" si="4"/>
        <v>0</v>
      </c>
      <c r="AC9" s="14">
        <f t="shared" si="5"/>
        <v>73</v>
      </c>
      <c r="AD9" s="14">
        <f t="shared" si="6"/>
        <v>1</v>
      </c>
    </row>
    <row r="10" ht="13.5" hidden="1" customHeight="1">
      <c r="A10" s="14">
        <v>9.0</v>
      </c>
      <c r="B10" s="14" t="s">
        <v>89</v>
      </c>
      <c r="C10" s="14" t="s">
        <v>20</v>
      </c>
      <c r="D10" s="14" t="s">
        <v>90</v>
      </c>
      <c r="G10" s="14"/>
      <c r="H10" s="14">
        <v>1.0</v>
      </c>
      <c r="I10" s="14">
        <v>148.0</v>
      </c>
      <c r="J10" s="14">
        <v>159.0</v>
      </c>
      <c r="K10" s="14">
        <f t="shared" si="1"/>
        <v>11</v>
      </c>
      <c r="L10" s="14">
        <v>11.0</v>
      </c>
      <c r="M10" s="14">
        <v>0.0</v>
      </c>
      <c r="N10" s="14">
        <v>0.0</v>
      </c>
      <c r="O10" s="14">
        <v>0.0</v>
      </c>
      <c r="P10" s="14">
        <v>3.0</v>
      </c>
      <c r="Q10" s="36">
        <v>0.0</v>
      </c>
      <c r="R10" s="36">
        <v>30.0</v>
      </c>
      <c r="S10" s="14"/>
      <c r="T10" s="31">
        <f t="shared" si="2"/>
        <v>44</v>
      </c>
      <c r="U10" s="14"/>
      <c r="V10" s="26"/>
      <c r="W10" s="14"/>
      <c r="Z10" s="14"/>
      <c r="AA10" s="14" t="str">
        <f t="shared" si="3"/>
        <v/>
      </c>
      <c r="AB10" s="14">
        <f t="shared" si="4"/>
        <v>0</v>
      </c>
      <c r="AC10" s="14">
        <f t="shared" si="5"/>
        <v>0</v>
      </c>
      <c r="AD10" s="14">
        <f t="shared" si="6"/>
        <v>0</v>
      </c>
    </row>
    <row r="11">
      <c r="A11" s="14">
        <v>10.0</v>
      </c>
      <c r="B11" s="14" t="s">
        <v>94</v>
      </c>
      <c r="C11" s="14" t="s">
        <v>20</v>
      </c>
      <c r="D11" s="14">
        <v>9.0</v>
      </c>
      <c r="G11" s="14"/>
      <c r="H11" s="14">
        <v>1.0</v>
      </c>
      <c r="I11" s="14">
        <v>2062.0</v>
      </c>
      <c r="J11" s="14">
        <v>2092.0</v>
      </c>
      <c r="K11" s="14">
        <f t="shared" si="1"/>
        <v>30</v>
      </c>
      <c r="L11" s="14">
        <v>30.0</v>
      </c>
      <c r="M11" s="14">
        <v>0.0</v>
      </c>
      <c r="N11" s="14">
        <v>0.0</v>
      </c>
      <c r="O11" s="14">
        <v>0.0</v>
      </c>
      <c r="P11" s="14">
        <v>3.0</v>
      </c>
      <c r="Q11" s="36">
        <v>0.0</v>
      </c>
      <c r="R11" s="36">
        <v>30.0</v>
      </c>
      <c r="S11" s="14"/>
      <c r="T11" s="31">
        <f t="shared" si="2"/>
        <v>63</v>
      </c>
      <c r="U11" s="23" t="s">
        <v>45</v>
      </c>
      <c r="V11" s="26"/>
      <c r="W11" s="23" t="s">
        <v>46</v>
      </c>
      <c r="Z11" s="14"/>
      <c r="AA11" s="14" t="str">
        <f t="shared" si="3"/>
        <v/>
      </c>
      <c r="AB11" s="14">
        <f t="shared" si="4"/>
        <v>0</v>
      </c>
      <c r="AC11" s="14">
        <f t="shared" si="5"/>
        <v>63</v>
      </c>
      <c r="AD11" s="14"/>
    </row>
    <row r="12">
      <c r="A12" s="14">
        <v>11.0</v>
      </c>
      <c r="B12" s="14" t="s">
        <v>96</v>
      </c>
      <c r="C12" s="14" t="s">
        <v>20</v>
      </c>
      <c r="D12" s="14">
        <v>10.0</v>
      </c>
      <c r="G12" s="14"/>
      <c r="H12" s="14">
        <v>1.0</v>
      </c>
      <c r="I12" s="14">
        <v>581.0</v>
      </c>
      <c r="J12" s="14">
        <v>616.0</v>
      </c>
      <c r="K12" s="14">
        <f t="shared" si="1"/>
        <v>35</v>
      </c>
      <c r="L12" s="14"/>
      <c r="M12" s="14">
        <v>22.0</v>
      </c>
      <c r="N12" s="14">
        <v>0.0</v>
      </c>
      <c r="O12" s="14">
        <v>0.0</v>
      </c>
      <c r="P12" s="14">
        <v>3.0</v>
      </c>
      <c r="Q12" s="36">
        <v>0.0</v>
      </c>
      <c r="R12" s="40">
        <v>0.0</v>
      </c>
      <c r="S12" s="23"/>
      <c r="T12" s="31">
        <f t="shared" si="2"/>
        <v>25</v>
      </c>
      <c r="U12" s="14" t="s">
        <v>45</v>
      </c>
      <c r="V12" s="26"/>
      <c r="W12" s="14" t="s">
        <v>46</v>
      </c>
      <c r="X12" s="14"/>
      <c r="Y12" s="23" t="s">
        <v>99</v>
      </c>
      <c r="Z12" s="14"/>
      <c r="AA12" s="14" t="str">
        <f t="shared" si="3"/>
        <v/>
      </c>
      <c r="AB12" s="14">
        <f t="shared" si="4"/>
        <v>0</v>
      </c>
      <c r="AC12" s="14">
        <f t="shared" si="5"/>
        <v>25</v>
      </c>
      <c r="AD12" s="14"/>
    </row>
    <row r="13">
      <c r="A13" s="14">
        <v>12.0</v>
      </c>
      <c r="B13" s="14" t="s">
        <v>100</v>
      </c>
      <c r="C13" s="14" t="s">
        <v>20</v>
      </c>
      <c r="D13" s="14">
        <v>11.0</v>
      </c>
      <c r="G13" s="14"/>
      <c r="H13" s="14">
        <v>1.0</v>
      </c>
      <c r="I13" s="14">
        <v>357.0</v>
      </c>
      <c r="J13" s="14">
        <v>358.0</v>
      </c>
      <c r="K13" s="14">
        <f t="shared" si="1"/>
        <v>1</v>
      </c>
      <c r="L13" s="14">
        <v>5.0</v>
      </c>
      <c r="M13" s="14">
        <v>0.0</v>
      </c>
      <c r="N13" s="14">
        <v>0.0</v>
      </c>
      <c r="O13" s="14">
        <v>0.0</v>
      </c>
      <c r="P13" s="14">
        <v>3.0</v>
      </c>
      <c r="Q13" s="36">
        <v>0.0</v>
      </c>
      <c r="R13" s="36">
        <v>30.0</v>
      </c>
      <c r="S13" s="14"/>
      <c r="T13" s="31">
        <f t="shared" si="2"/>
        <v>38</v>
      </c>
      <c r="U13" s="14" t="s">
        <v>45</v>
      </c>
      <c r="V13" s="26"/>
      <c r="W13" s="14" t="s">
        <v>46</v>
      </c>
      <c r="Z13" s="14"/>
      <c r="AA13" s="14" t="str">
        <f t="shared" si="3"/>
        <v/>
      </c>
      <c r="AB13" s="14">
        <f t="shared" si="4"/>
        <v>0</v>
      </c>
      <c r="AC13" s="14">
        <f t="shared" si="5"/>
        <v>38</v>
      </c>
      <c r="AD13" s="14">
        <f t="shared" ref="AD13:AD17" si="7">IF(ISBLANK(W13),0,1)</f>
        <v>1</v>
      </c>
    </row>
    <row r="14">
      <c r="A14" s="14">
        <v>13.0</v>
      </c>
      <c r="B14" s="14" t="s">
        <v>104</v>
      </c>
      <c r="C14" s="14" t="s">
        <v>47</v>
      </c>
      <c r="D14" s="14">
        <v>1.0</v>
      </c>
      <c r="G14" s="14"/>
      <c r="H14" s="14">
        <v>1.0</v>
      </c>
      <c r="I14" s="14">
        <v>2255.0</v>
      </c>
      <c r="J14" s="14">
        <v>2263.0</v>
      </c>
      <c r="K14" s="14">
        <f t="shared" si="1"/>
        <v>8</v>
      </c>
      <c r="L14" s="14">
        <v>8.0</v>
      </c>
      <c r="M14" s="14">
        <v>2.0</v>
      </c>
      <c r="N14" s="14">
        <v>0.0</v>
      </c>
      <c r="O14" s="14">
        <v>0.0</v>
      </c>
      <c r="P14" s="14">
        <v>3.0</v>
      </c>
      <c r="Q14" s="36">
        <v>0.0</v>
      </c>
      <c r="R14" s="36">
        <v>30.0</v>
      </c>
      <c r="S14" s="14"/>
      <c r="T14" s="31">
        <f t="shared" si="2"/>
        <v>43</v>
      </c>
      <c r="U14" s="42" t="s">
        <v>45</v>
      </c>
      <c r="V14" s="26"/>
      <c r="W14" s="14"/>
      <c r="Y14" s="14"/>
      <c r="Z14" s="14"/>
      <c r="AA14" s="14" t="str">
        <f t="shared" si="3"/>
        <v/>
      </c>
      <c r="AB14" s="14">
        <f t="shared" si="4"/>
        <v>43</v>
      </c>
      <c r="AC14" s="14">
        <f t="shared" si="5"/>
        <v>0</v>
      </c>
      <c r="AD14" s="14">
        <f t="shared" si="7"/>
        <v>0</v>
      </c>
    </row>
    <row r="15">
      <c r="A15" s="14">
        <v>14.0</v>
      </c>
      <c r="B15" s="14" t="s">
        <v>108</v>
      </c>
      <c r="C15" s="14" t="s">
        <v>47</v>
      </c>
      <c r="D15" s="14">
        <v>2.0</v>
      </c>
      <c r="G15" s="14"/>
      <c r="H15" s="14">
        <v>1.0</v>
      </c>
      <c r="I15" s="14">
        <v>2260.0</v>
      </c>
      <c r="J15" s="14">
        <v>2271.0</v>
      </c>
      <c r="K15" s="14">
        <f t="shared" si="1"/>
        <v>11</v>
      </c>
      <c r="L15" s="14">
        <v>11.0</v>
      </c>
      <c r="M15" s="14">
        <v>0.0</v>
      </c>
      <c r="N15" s="14">
        <v>0.0</v>
      </c>
      <c r="O15" s="14">
        <v>0.0</v>
      </c>
      <c r="P15" s="14">
        <v>3.0</v>
      </c>
      <c r="Q15" s="36">
        <v>0.0</v>
      </c>
      <c r="R15" s="36">
        <v>30.0</v>
      </c>
      <c r="S15" s="14"/>
      <c r="T15" s="31">
        <f t="shared" si="2"/>
        <v>44</v>
      </c>
      <c r="U15" s="42" t="s">
        <v>45</v>
      </c>
      <c r="V15" s="26"/>
      <c r="W15" s="14"/>
      <c r="Z15" s="14"/>
      <c r="AA15" s="14" t="str">
        <f t="shared" si="3"/>
        <v/>
      </c>
      <c r="AB15" s="14">
        <f t="shared" si="4"/>
        <v>44</v>
      </c>
      <c r="AC15" s="14">
        <f t="shared" si="5"/>
        <v>0</v>
      </c>
      <c r="AD15" s="14">
        <f t="shared" si="7"/>
        <v>0</v>
      </c>
    </row>
    <row r="16">
      <c r="A16" s="14">
        <v>15.0</v>
      </c>
      <c r="B16" s="14" t="s">
        <v>111</v>
      </c>
      <c r="C16" s="14" t="s">
        <v>47</v>
      </c>
      <c r="D16" s="14">
        <v>3.0</v>
      </c>
      <c r="G16" s="14"/>
      <c r="H16" s="14">
        <v>1.0</v>
      </c>
      <c r="I16" s="14">
        <v>779.0</v>
      </c>
      <c r="J16" s="14">
        <v>786.0</v>
      </c>
      <c r="K16" s="14">
        <f t="shared" si="1"/>
        <v>7</v>
      </c>
      <c r="L16" s="14">
        <v>7.0</v>
      </c>
      <c r="M16" s="14">
        <v>0.0</v>
      </c>
      <c r="N16" s="14">
        <v>0.0</v>
      </c>
      <c r="O16" s="14">
        <v>0.0</v>
      </c>
      <c r="P16" s="14">
        <v>3.0</v>
      </c>
      <c r="Q16" s="36">
        <v>0.0</v>
      </c>
      <c r="R16" s="36">
        <v>30.0</v>
      </c>
      <c r="S16" s="14"/>
      <c r="T16" s="31">
        <f t="shared" si="2"/>
        <v>40</v>
      </c>
      <c r="U16" s="42" t="s">
        <v>45</v>
      </c>
      <c r="V16" s="26"/>
      <c r="W16" s="14"/>
      <c r="Z16" s="14"/>
      <c r="AA16" s="14" t="str">
        <f t="shared" si="3"/>
        <v/>
      </c>
      <c r="AB16" s="14">
        <f t="shared" si="4"/>
        <v>40</v>
      </c>
      <c r="AC16" s="14">
        <f t="shared" si="5"/>
        <v>0</v>
      </c>
      <c r="AD16" s="14">
        <f t="shared" si="7"/>
        <v>0</v>
      </c>
    </row>
    <row r="17">
      <c r="A17" s="14">
        <v>16.0</v>
      </c>
      <c r="B17" s="14" t="s">
        <v>114</v>
      </c>
      <c r="C17" s="14" t="s">
        <v>47</v>
      </c>
      <c r="D17" s="14">
        <v>4.0</v>
      </c>
      <c r="G17" s="14"/>
      <c r="H17" s="14">
        <v>1.0</v>
      </c>
      <c r="I17" s="14">
        <v>567.0</v>
      </c>
      <c r="J17" s="14">
        <v>578.0</v>
      </c>
      <c r="K17" s="14">
        <f t="shared" si="1"/>
        <v>11</v>
      </c>
      <c r="L17" s="14">
        <v>11.0</v>
      </c>
      <c r="M17" s="14">
        <v>0.0</v>
      </c>
      <c r="N17" s="14">
        <v>0.0</v>
      </c>
      <c r="O17" s="14">
        <v>0.0</v>
      </c>
      <c r="P17" s="14">
        <v>3.0</v>
      </c>
      <c r="Q17" s="36">
        <v>0.0</v>
      </c>
      <c r="R17" s="36">
        <v>30.0</v>
      </c>
      <c r="S17" s="14"/>
      <c r="T17" s="31">
        <f t="shared" si="2"/>
        <v>44</v>
      </c>
      <c r="U17" s="14" t="s">
        <v>45</v>
      </c>
      <c r="V17" s="26"/>
      <c r="W17" s="14" t="s">
        <v>46</v>
      </c>
      <c r="X17" s="14"/>
      <c r="Y17" s="14"/>
      <c r="Z17" s="14"/>
      <c r="AA17" s="14" t="str">
        <f t="shared" si="3"/>
        <v/>
      </c>
      <c r="AB17" s="14">
        <f t="shared" si="4"/>
        <v>0</v>
      </c>
      <c r="AC17" s="14">
        <f t="shared" si="5"/>
        <v>44</v>
      </c>
      <c r="AD17" s="14">
        <f t="shared" si="7"/>
        <v>1</v>
      </c>
    </row>
    <row r="18" hidden="1">
      <c r="A18" s="14">
        <v>17.0</v>
      </c>
      <c r="B18" s="14" t="s">
        <v>118</v>
      </c>
      <c r="C18" s="14" t="s">
        <v>47</v>
      </c>
      <c r="D18" s="14">
        <v>5.0</v>
      </c>
      <c r="G18" s="14"/>
      <c r="H18" s="14">
        <v>1.0</v>
      </c>
      <c r="I18" s="14">
        <v>5222.0</v>
      </c>
      <c r="J18" s="14">
        <v>5252.0</v>
      </c>
      <c r="K18" s="14">
        <f t="shared" si="1"/>
        <v>30</v>
      </c>
      <c r="L18" s="14">
        <v>30.0</v>
      </c>
      <c r="M18" s="14">
        <v>-3.0</v>
      </c>
      <c r="N18" s="14">
        <v>0.0</v>
      </c>
      <c r="O18" s="14">
        <v>0.0</v>
      </c>
      <c r="P18" s="14">
        <v>3.0</v>
      </c>
      <c r="Q18" s="36">
        <v>0.0</v>
      </c>
      <c r="R18" s="36">
        <v>30.0</v>
      </c>
      <c r="S18" s="14"/>
      <c r="T18" s="31">
        <f t="shared" si="2"/>
        <v>60</v>
      </c>
      <c r="U18" s="14"/>
      <c r="V18" s="26"/>
      <c r="W18" s="14"/>
      <c r="Z18" s="14"/>
      <c r="AA18" s="14" t="str">
        <f t="shared" si="3"/>
        <v/>
      </c>
      <c r="AB18" s="14">
        <f t="shared" si="4"/>
        <v>0</v>
      </c>
      <c r="AC18" s="14">
        <f t="shared" si="5"/>
        <v>0</v>
      </c>
      <c r="AD18" s="14"/>
    </row>
    <row r="19">
      <c r="A19" s="14">
        <v>18.0</v>
      </c>
      <c r="B19" s="14" t="s">
        <v>121</v>
      </c>
      <c r="C19" s="14" t="s">
        <v>47</v>
      </c>
      <c r="D19" s="14">
        <v>6.0</v>
      </c>
      <c r="G19" s="14"/>
      <c r="H19" s="14">
        <v>1.0</v>
      </c>
      <c r="I19" s="14">
        <v>3879.0</v>
      </c>
      <c r="J19" s="14">
        <v>3899.0</v>
      </c>
      <c r="K19" s="14">
        <f t="shared" si="1"/>
        <v>20</v>
      </c>
      <c r="L19" s="14">
        <v>20.0</v>
      </c>
      <c r="M19" s="14">
        <v>0.0</v>
      </c>
      <c r="N19" s="14">
        <v>0.0</v>
      </c>
      <c r="O19" s="14">
        <v>0.0</v>
      </c>
      <c r="P19" s="14">
        <v>3.0</v>
      </c>
      <c r="Q19" s="14">
        <v>0.0</v>
      </c>
      <c r="R19" s="14">
        <v>0.0</v>
      </c>
      <c r="S19" s="14"/>
      <c r="T19" s="31">
        <f t="shared" si="2"/>
        <v>23</v>
      </c>
      <c r="U19" s="42" t="s">
        <v>45</v>
      </c>
      <c r="V19" s="26"/>
      <c r="W19" s="14"/>
      <c r="Y19" s="14"/>
      <c r="Z19" s="14"/>
      <c r="AA19" s="14" t="str">
        <f t="shared" si="3"/>
        <v/>
      </c>
      <c r="AB19" s="14">
        <f t="shared" si="4"/>
        <v>23</v>
      </c>
      <c r="AC19" s="14">
        <f t="shared" si="5"/>
        <v>0</v>
      </c>
      <c r="AD19" s="14">
        <f t="shared" ref="AD19:AD20" si="8">IF(ISBLANK(W19),0,1)</f>
        <v>0</v>
      </c>
    </row>
    <row r="20" hidden="1">
      <c r="A20" s="14">
        <v>19.0</v>
      </c>
      <c r="B20" s="14" t="s">
        <v>123</v>
      </c>
      <c r="C20" s="14" t="s">
        <v>47</v>
      </c>
      <c r="D20" s="14">
        <v>7.0</v>
      </c>
      <c r="G20" s="14"/>
      <c r="H20" s="14">
        <v>1.0</v>
      </c>
      <c r="I20" s="14">
        <v>2650.0</v>
      </c>
      <c r="J20" s="14">
        <v>2671.0</v>
      </c>
      <c r="K20" s="14">
        <f t="shared" si="1"/>
        <v>21</v>
      </c>
      <c r="L20" s="14">
        <v>21.0</v>
      </c>
      <c r="M20" s="14">
        <v>0.0</v>
      </c>
      <c r="N20" s="14">
        <v>0.0</v>
      </c>
      <c r="O20" s="14">
        <v>0.0</v>
      </c>
      <c r="P20" s="14">
        <v>3.0</v>
      </c>
      <c r="Q20" s="36">
        <v>0.0</v>
      </c>
      <c r="R20" s="36">
        <v>30.0</v>
      </c>
      <c r="S20" s="14"/>
      <c r="T20" s="31">
        <f t="shared" si="2"/>
        <v>54</v>
      </c>
      <c r="U20" s="14"/>
      <c r="V20" s="26"/>
      <c r="W20" s="14"/>
      <c r="X20" s="14"/>
      <c r="Y20" s="14"/>
      <c r="Z20" s="14"/>
      <c r="AA20" s="14" t="str">
        <f t="shared" si="3"/>
        <v/>
      </c>
      <c r="AB20" s="14">
        <f t="shared" si="4"/>
        <v>0</v>
      </c>
      <c r="AC20" s="14">
        <f t="shared" si="5"/>
        <v>0</v>
      </c>
      <c r="AD20" s="14">
        <f t="shared" si="8"/>
        <v>0</v>
      </c>
    </row>
    <row r="21" ht="15.75" hidden="1" customHeight="1">
      <c r="A21" s="14">
        <v>20.0</v>
      </c>
      <c r="B21" s="14" t="s">
        <v>127</v>
      </c>
      <c r="C21" s="14" t="s">
        <v>47</v>
      </c>
      <c r="D21" s="14">
        <v>8.0</v>
      </c>
      <c r="G21" s="14"/>
      <c r="H21" s="14">
        <v>1.0</v>
      </c>
      <c r="I21" s="14">
        <v>6665.0</v>
      </c>
      <c r="J21" s="14">
        <v>6683.0</v>
      </c>
      <c r="K21" s="14">
        <f t="shared" si="1"/>
        <v>18</v>
      </c>
      <c r="L21" s="14">
        <v>18.0</v>
      </c>
      <c r="M21" s="14">
        <v>0.0</v>
      </c>
      <c r="N21" s="14">
        <v>0.0</v>
      </c>
      <c r="O21" s="14">
        <v>0.0</v>
      </c>
      <c r="P21" s="14">
        <v>3.0</v>
      </c>
      <c r="Q21" s="14">
        <v>0.0</v>
      </c>
      <c r="R21" s="14">
        <v>0.0</v>
      </c>
      <c r="S21" s="14"/>
      <c r="T21" s="31">
        <f t="shared" si="2"/>
        <v>21</v>
      </c>
      <c r="U21" s="14"/>
      <c r="V21" s="26"/>
      <c r="W21" s="14"/>
      <c r="X21" s="14"/>
      <c r="Y21" s="14"/>
      <c r="Z21" s="14"/>
      <c r="AA21" s="14" t="str">
        <f t="shared" si="3"/>
        <v/>
      </c>
      <c r="AB21" s="14">
        <f t="shared" si="4"/>
        <v>0</v>
      </c>
      <c r="AC21" s="14">
        <f t="shared" si="5"/>
        <v>0</v>
      </c>
      <c r="AD21" s="14"/>
    </row>
    <row r="22" ht="15.75" hidden="1" customHeight="1">
      <c r="A22" s="14">
        <v>21.0</v>
      </c>
      <c r="B22" s="14" t="s">
        <v>130</v>
      </c>
      <c r="C22" s="14" t="s">
        <v>47</v>
      </c>
      <c r="D22" s="14">
        <v>9.0</v>
      </c>
      <c r="E22" s="14"/>
      <c r="F22" s="14">
        <v>1.0</v>
      </c>
      <c r="G22" s="14"/>
      <c r="H22" s="14">
        <v>1.0</v>
      </c>
      <c r="I22" s="14">
        <v>40.0</v>
      </c>
      <c r="J22" s="14">
        <v>48.0</v>
      </c>
      <c r="K22" s="14">
        <f t="shared" si="1"/>
        <v>8</v>
      </c>
      <c r="L22" s="14">
        <v>8.0</v>
      </c>
      <c r="M22" s="14">
        <v>0.0</v>
      </c>
      <c r="N22" s="14">
        <v>0.0</v>
      </c>
      <c r="O22" s="14">
        <v>0.0</v>
      </c>
      <c r="P22" s="14">
        <v>3.0</v>
      </c>
      <c r="Q22" s="36">
        <v>0.0</v>
      </c>
      <c r="R22" s="36">
        <v>30.0</v>
      </c>
      <c r="S22" s="14"/>
      <c r="T22" s="31">
        <f t="shared" si="2"/>
        <v>41</v>
      </c>
      <c r="U22" s="14"/>
      <c r="V22" s="26"/>
      <c r="W22" s="14"/>
      <c r="Z22" s="14"/>
      <c r="AA22" s="14" t="str">
        <f t="shared" si="3"/>
        <v/>
      </c>
      <c r="AB22" s="14">
        <f t="shared" si="4"/>
        <v>0</v>
      </c>
      <c r="AC22" s="14">
        <f t="shared" si="5"/>
        <v>0</v>
      </c>
      <c r="AD22" s="14"/>
    </row>
    <row r="23" ht="15.75" customHeight="1">
      <c r="A23" s="14">
        <v>22.0</v>
      </c>
      <c r="B23" s="14" t="s">
        <v>133</v>
      </c>
      <c r="C23" s="14" t="s">
        <v>47</v>
      </c>
      <c r="D23" s="14">
        <v>11.0</v>
      </c>
      <c r="G23" s="14"/>
      <c r="H23" s="14">
        <v>1.0</v>
      </c>
      <c r="I23" s="14">
        <v>3031.0</v>
      </c>
      <c r="J23" s="14">
        <v>3050.0</v>
      </c>
      <c r="K23" s="14">
        <f t="shared" si="1"/>
        <v>19</v>
      </c>
      <c r="L23" s="14">
        <v>19.0</v>
      </c>
      <c r="M23" s="14">
        <v>16.0</v>
      </c>
      <c r="N23" s="14">
        <v>0.0</v>
      </c>
      <c r="O23" s="14">
        <v>0.0</v>
      </c>
      <c r="P23" s="14">
        <v>3.0</v>
      </c>
      <c r="Q23" s="14">
        <v>0.0</v>
      </c>
      <c r="R23" s="14">
        <v>0.0</v>
      </c>
      <c r="S23" s="14"/>
      <c r="T23" s="31">
        <f t="shared" si="2"/>
        <v>38</v>
      </c>
      <c r="U23" s="42" t="s">
        <v>45</v>
      </c>
      <c r="V23" s="26"/>
      <c r="W23" s="14"/>
      <c r="Y23" s="14"/>
      <c r="Z23" s="14"/>
      <c r="AA23" s="14" t="str">
        <f t="shared" si="3"/>
        <v/>
      </c>
      <c r="AB23" s="14">
        <f t="shared" si="4"/>
        <v>38</v>
      </c>
      <c r="AC23" s="14">
        <f t="shared" si="5"/>
        <v>0</v>
      </c>
      <c r="AD23" s="14"/>
    </row>
    <row r="24" ht="15.75" customHeight="1">
      <c r="A24" s="14">
        <v>23.0</v>
      </c>
      <c r="B24" s="14" t="s">
        <v>135</v>
      </c>
      <c r="C24" s="14" t="s">
        <v>47</v>
      </c>
      <c r="D24" s="14">
        <v>10.0</v>
      </c>
      <c r="G24" s="14"/>
      <c r="H24" s="14">
        <v>1.0</v>
      </c>
      <c r="I24" s="14">
        <v>355.0</v>
      </c>
      <c r="J24" s="14">
        <v>360.0</v>
      </c>
      <c r="K24" s="14">
        <f t="shared" si="1"/>
        <v>5</v>
      </c>
      <c r="L24" s="14">
        <v>5.0</v>
      </c>
      <c r="M24" s="14">
        <v>19.0</v>
      </c>
      <c r="N24" s="14">
        <v>0.0</v>
      </c>
      <c r="O24" s="14">
        <v>0.0</v>
      </c>
      <c r="P24" s="14">
        <v>3.0</v>
      </c>
      <c r="Q24" s="14">
        <v>0.0</v>
      </c>
      <c r="R24" s="14">
        <v>0.0</v>
      </c>
      <c r="S24" s="14"/>
      <c r="T24" s="31">
        <f t="shared" si="2"/>
        <v>27</v>
      </c>
      <c r="U24" s="23" t="s">
        <v>45</v>
      </c>
      <c r="V24" s="26"/>
      <c r="W24" s="23" t="s">
        <v>46</v>
      </c>
      <c r="X24" s="14"/>
      <c r="Y24" s="14"/>
      <c r="Z24" s="14"/>
      <c r="AA24" s="14" t="str">
        <f t="shared" si="3"/>
        <v/>
      </c>
      <c r="AB24" s="14">
        <f t="shared" si="4"/>
        <v>0</v>
      </c>
      <c r="AC24" s="14">
        <f t="shared" si="5"/>
        <v>27</v>
      </c>
      <c r="AD24" s="14"/>
    </row>
    <row r="25" ht="15.75" hidden="1" customHeight="1">
      <c r="A25" s="14">
        <v>24.0</v>
      </c>
      <c r="B25" s="14" t="s">
        <v>140</v>
      </c>
      <c r="C25" s="14" t="s">
        <v>47</v>
      </c>
      <c r="D25" s="14">
        <v>12.0</v>
      </c>
      <c r="G25" s="14"/>
      <c r="H25" s="14">
        <v>1.0</v>
      </c>
      <c r="I25" s="14">
        <v>2369.0</v>
      </c>
      <c r="J25" s="14">
        <v>2374.0</v>
      </c>
      <c r="K25" s="14">
        <f t="shared" si="1"/>
        <v>5</v>
      </c>
      <c r="L25" s="14">
        <v>5.0</v>
      </c>
      <c r="M25" s="14">
        <v>0.0</v>
      </c>
      <c r="N25" s="14">
        <v>0.0</v>
      </c>
      <c r="O25" s="14">
        <v>0.0</v>
      </c>
      <c r="P25" s="14">
        <v>3.0</v>
      </c>
      <c r="Q25" s="36">
        <v>0.0</v>
      </c>
      <c r="R25" s="36">
        <v>30.0</v>
      </c>
      <c r="S25" s="14"/>
      <c r="T25" s="31">
        <f t="shared" si="2"/>
        <v>38</v>
      </c>
      <c r="U25" s="14"/>
      <c r="V25" s="26"/>
      <c r="W25" s="14"/>
      <c r="Z25" s="14"/>
      <c r="AA25" s="14" t="str">
        <f t="shared" si="3"/>
        <v/>
      </c>
      <c r="AB25" s="14">
        <f t="shared" si="4"/>
        <v>0</v>
      </c>
      <c r="AC25" s="14">
        <f t="shared" si="5"/>
        <v>0</v>
      </c>
      <c r="AD25" s="14">
        <f t="shared" ref="AD25:AD28" si="9">IF(ISBLANK(W25),0,1)</f>
        <v>0</v>
      </c>
    </row>
    <row r="26" ht="15.75" customHeight="1">
      <c r="A26" s="14">
        <v>25.0</v>
      </c>
      <c r="B26" s="14" t="s">
        <v>145</v>
      </c>
      <c r="C26" s="14" t="s">
        <v>47</v>
      </c>
      <c r="D26" s="14" t="s">
        <v>146</v>
      </c>
      <c r="G26" s="14"/>
      <c r="H26" s="14">
        <v>1.0</v>
      </c>
      <c r="I26" s="14">
        <v>333.0</v>
      </c>
      <c r="J26" s="14">
        <v>339.0</v>
      </c>
      <c r="K26" s="14">
        <f t="shared" si="1"/>
        <v>6</v>
      </c>
      <c r="L26" s="14">
        <v>6.0</v>
      </c>
      <c r="M26" s="14">
        <v>8.0</v>
      </c>
      <c r="N26" s="14">
        <v>0.0</v>
      </c>
      <c r="O26" s="14">
        <v>0.0</v>
      </c>
      <c r="P26" s="14">
        <v>3.0</v>
      </c>
      <c r="Q26" s="36">
        <v>0.0</v>
      </c>
      <c r="R26" s="36"/>
      <c r="S26" s="14"/>
      <c r="T26" s="31">
        <f t="shared" si="2"/>
        <v>17</v>
      </c>
      <c r="U26" s="14" t="s">
        <v>45</v>
      </c>
      <c r="V26" s="26"/>
      <c r="W26" s="14" t="s">
        <v>46</v>
      </c>
      <c r="Y26" s="14" t="s">
        <v>152</v>
      </c>
      <c r="Z26" s="14"/>
      <c r="AA26" s="14" t="str">
        <f t="shared" si="3"/>
        <v/>
      </c>
      <c r="AB26" s="14">
        <f t="shared" si="4"/>
        <v>0</v>
      </c>
      <c r="AC26" s="14">
        <f t="shared" si="5"/>
        <v>17</v>
      </c>
      <c r="AD26" s="14">
        <f t="shared" si="9"/>
        <v>1</v>
      </c>
    </row>
    <row r="27" ht="15.75" customHeight="1">
      <c r="A27" s="14">
        <v>26.0</v>
      </c>
      <c r="B27" s="14" t="s">
        <v>154</v>
      </c>
      <c r="C27" s="14" t="s">
        <v>47</v>
      </c>
      <c r="D27" s="14">
        <v>13.0</v>
      </c>
      <c r="G27" s="14"/>
      <c r="H27" s="14">
        <v>1.0</v>
      </c>
      <c r="I27" s="14">
        <v>260.0</v>
      </c>
      <c r="J27" s="14">
        <v>268.0</v>
      </c>
      <c r="K27" s="14">
        <f t="shared" si="1"/>
        <v>8</v>
      </c>
      <c r="L27" s="14">
        <v>8.0</v>
      </c>
      <c r="M27" s="14">
        <v>0.0</v>
      </c>
      <c r="N27" s="14">
        <v>0.0</v>
      </c>
      <c r="O27" s="14">
        <v>0.0</v>
      </c>
      <c r="P27" s="14">
        <v>3.0</v>
      </c>
      <c r="Q27" s="36">
        <v>0.0</v>
      </c>
      <c r="R27" s="40">
        <v>15.0</v>
      </c>
      <c r="S27" s="14"/>
      <c r="T27" s="31">
        <f t="shared" si="2"/>
        <v>26</v>
      </c>
      <c r="U27" s="14" t="s">
        <v>45</v>
      </c>
      <c r="V27" s="26"/>
      <c r="W27" s="14" t="s">
        <v>46</v>
      </c>
      <c r="X27" s="14"/>
      <c r="Y27" s="23" t="s">
        <v>161</v>
      </c>
      <c r="Z27" s="14"/>
      <c r="AA27" s="14" t="str">
        <f t="shared" si="3"/>
        <v/>
      </c>
      <c r="AB27" s="14">
        <f t="shared" si="4"/>
        <v>0</v>
      </c>
      <c r="AC27" s="14">
        <f t="shared" si="5"/>
        <v>26</v>
      </c>
      <c r="AD27" s="14">
        <f t="shared" si="9"/>
        <v>1</v>
      </c>
    </row>
    <row r="28" ht="15.75" customHeight="1">
      <c r="A28" s="14">
        <v>27.0</v>
      </c>
      <c r="B28" s="14" t="s">
        <v>166</v>
      </c>
      <c r="C28" s="14" t="s">
        <v>47</v>
      </c>
      <c r="D28" s="14">
        <v>15.0</v>
      </c>
      <c r="G28" s="14"/>
      <c r="H28" s="14">
        <v>1.0</v>
      </c>
      <c r="I28" s="14">
        <v>1235.0</v>
      </c>
      <c r="J28" s="14">
        <v>1250.0</v>
      </c>
      <c r="K28" s="14">
        <f t="shared" si="1"/>
        <v>15</v>
      </c>
      <c r="L28" s="14">
        <v>15.0</v>
      </c>
      <c r="M28" s="14">
        <v>4.0</v>
      </c>
      <c r="N28" s="14">
        <v>0.0</v>
      </c>
      <c r="O28" s="14">
        <v>0.0</v>
      </c>
      <c r="P28" s="14">
        <v>3.0</v>
      </c>
      <c r="Q28" s="36">
        <v>0.0</v>
      </c>
      <c r="R28" s="36">
        <v>30.0</v>
      </c>
      <c r="S28" s="14"/>
      <c r="T28" s="31">
        <f t="shared" si="2"/>
        <v>52</v>
      </c>
      <c r="U28" s="14" t="s">
        <v>45</v>
      </c>
      <c r="V28" s="26"/>
      <c r="W28" s="14" t="s">
        <v>46</v>
      </c>
      <c r="Z28" s="14"/>
      <c r="AA28" s="14" t="str">
        <f t="shared" si="3"/>
        <v/>
      </c>
      <c r="AB28" s="14">
        <f t="shared" si="4"/>
        <v>0</v>
      </c>
      <c r="AC28" s="14">
        <f t="shared" si="5"/>
        <v>52</v>
      </c>
      <c r="AD28" s="14">
        <f t="shared" si="9"/>
        <v>1</v>
      </c>
    </row>
    <row r="29" ht="15.75" hidden="1" customHeight="1">
      <c r="A29" s="14">
        <v>28.0</v>
      </c>
      <c r="B29" s="14" t="s">
        <v>172</v>
      </c>
      <c r="C29" s="36" t="s">
        <v>47</v>
      </c>
      <c r="D29" s="14">
        <v>16.0</v>
      </c>
      <c r="G29" s="14"/>
      <c r="H29" s="14">
        <v>1.0</v>
      </c>
      <c r="I29" s="14">
        <v>32.0</v>
      </c>
      <c r="J29" s="14">
        <v>32.0</v>
      </c>
      <c r="K29" s="14">
        <f t="shared" si="1"/>
        <v>0</v>
      </c>
      <c r="L29" s="14">
        <v>5.0</v>
      </c>
      <c r="M29" s="14">
        <v>0.0</v>
      </c>
      <c r="N29" s="14">
        <v>0.0</v>
      </c>
      <c r="O29" s="14">
        <v>0.0</v>
      </c>
      <c r="P29" s="14">
        <v>3.0</v>
      </c>
      <c r="Q29" s="36">
        <v>0.0</v>
      </c>
      <c r="R29" s="36">
        <v>30.0</v>
      </c>
      <c r="S29" s="14"/>
      <c r="T29" s="31">
        <f t="shared" si="2"/>
        <v>38</v>
      </c>
      <c r="U29" s="14"/>
      <c r="V29" s="26"/>
      <c r="W29" s="14"/>
      <c r="X29" s="14"/>
      <c r="Y29" s="14"/>
      <c r="Z29" s="14"/>
      <c r="AA29" s="14" t="str">
        <f t="shared" si="3"/>
        <v/>
      </c>
      <c r="AB29" s="14">
        <f t="shared" si="4"/>
        <v>0</v>
      </c>
      <c r="AC29" s="14">
        <f t="shared" si="5"/>
        <v>0</v>
      </c>
      <c r="AD29" s="14"/>
    </row>
    <row r="30" ht="15.75" customHeight="1">
      <c r="A30" s="14">
        <v>29.0</v>
      </c>
      <c r="B30" s="14" t="s">
        <v>176</v>
      </c>
      <c r="C30" s="14" t="s">
        <v>47</v>
      </c>
      <c r="D30" s="14">
        <v>17.0</v>
      </c>
      <c r="G30" s="14"/>
      <c r="H30" s="14">
        <v>1.0</v>
      </c>
      <c r="I30" s="14">
        <v>988.0</v>
      </c>
      <c r="J30" s="14">
        <v>1007.0</v>
      </c>
      <c r="K30" s="14">
        <f t="shared" si="1"/>
        <v>19</v>
      </c>
      <c r="L30" s="14">
        <v>19.0</v>
      </c>
      <c r="M30" s="14">
        <v>0.0</v>
      </c>
      <c r="N30" s="14">
        <v>0.0</v>
      </c>
      <c r="O30" s="14">
        <v>0.0</v>
      </c>
      <c r="P30" s="14">
        <v>3.0</v>
      </c>
      <c r="Q30" s="14">
        <v>0.0</v>
      </c>
      <c r="R30" s="14">
        <v>0.0</v>
      </c>
      <c r="S30" s="14"/>
      <c r="T30" s="31">
        <f t="shared" si="2"/>
        <v>22</v>
      </c>
      <c r="U30" s="14" t="s">
        <v>45</v>
      </c>
      <c r="V30" s="26"/>
      <c r="W30" s="14" t="s">
        <v>46</v>
      </c>
      <c r="Z30" s="14"/>
      <c r="AA30" s="14" t="str">
        <f t="shared" si="3"/>
        <v/>
      </c>
      <c r="AB30" s="14">
        <f t="shared" si="4"/>
        <v>0</v>
      </c>
      <c r="AC30" s="14">
        <f t="shared" si="5"/>
        <v>22</v>
      </c>
      <c r="AD30" s="14">
        <f t="shared" ref="AD30:AD31" si="10">IF(ISBLANK(W30),0,1)</f>
        <v>1</v>
      </c>
    </row>
    <row r="31" ht="15.75" customHeight="1">
      <c r="A31" s="14">
        <v>30.0</v>
      </c>
      <c r="B31" s="14" t="s">
        <v>179</v>
      </c>
      <c r="C31" s="14" t="s">
        <v>47</v>
      </c>
      <c r="D31" s="14">
        <v>18.0</v>
      </c>
      <c r="G31" s="14"/>
      <c r="H31" s="14">
        <v>1.0</v>
      </c>
      <c r="I31" s="14">
        <v>545.0</v>
      </c>
      <c r="J31" s="14">
        <v>553.0</v>
      </c>
      <c r="K31" s="14">
        <f t="shared" si="1"/>
        <v>8</v>
      </c>
      <c r="L31" s="14">
        <v>8.0</v>
      </c>
      <c r="M31" s="14">
        <v>12.0</v>
      </c>
      <c r="N31" s="14">
        <v>0.0</v>
      </c>
      <c r="O31" s="14">
        <v>0.0</v>
      </c>
      <c r="P31" s="14">
        <v>3.0</v>
      </c>
      <c r="Q31" s="36">
        <v>0.0</v>
      </c>
      <c r="R31" s="36">
        <v>30.0</v>
      </c>
      <c r="S31" s="14"/>
      <c r="T31" s="31">
        <f t="shared" si="2"/>
        <v>53</v>
      </c>
      <c r="U31" s="42" t="s">
        <v>45</v>
      </c>
      <c r="V31" s="26"/>
      <c r="W31" s="14"/>
      <c r="Z31" s="14"/>
      <c r="AA31" s="14" t="str">
        <f t="shared" si="3"/>
        <v/>
      </c>
      <c r="AB31" s="14">
        <f t="shared" si="4"/>
        <v>53</v>
      </c>
      <c r="AC31" s="14">
        <f t="shared" si="5"/>
        <v>0</v>
      </c>
      <c r="AD31" s="14">
        <f t="shared" si="10"/>
        <v>0</v>
      </c>
    </row>
    <row r="32" ht="15.75" hidden="1" customHeight="1">
      <c r="A32" s="14">
        <v>31.0</v>
      </c>
      <c r="B32" s="14" t="s">
        <v>185</v>
      </c>
      <c r="C32" s="14" t="s">
        <v>47</v>
      </c>
      <c r="D32" s="14">
        <v>21.0</v>
      </c>
      <c r="G32" s="14"/>
      <c r="H32" s="14">
        <v>1.0</v>
      </c>
      <c r="I32" s="14">
        <v>166.0</v>
      </c>
      <c r="J32" s="14">
        <v>172.0</v>
      </c>
      <c r="K32" s="14">
        <f t="shared" si="1"/>
        <v>6</v>
      </c>
      <c r="L32" s="14">
        <v>6.0</v>
      </c>
      <c r="M32" s="14">
        <v>0.0</v>
      </c>
      <c r="N32" s="14">
        <v>0.0</v>
      </c>
      <c r="O32" s="14">
        <v>0.0</v>
      </c>
      <c r="P32" s="14">
        <v>3.0</v>
      </c>
      <c r="Q32" s="36">
        <v>0.0</v>
      </c>
      <c r="R32" s="36">
        <v>30.0</v>
      </c>
      <c r="S32" s="14"/>
      <c r="T32" s="31">
        <f t="shared" si="2"/>
        <v>39</v>
      </c>
      <c r="U32" s="14"/>
      <c r="V32" s="26"/>
      <c r="W32" s="14"/>
      <c r="Z32" s="14"/>
      <c r="AA32" s="14" t="str">
        <f t="shared" si="3"/>
        <v/>
      </c>
      <c r="AB32" s="14">
        <f t="shared" si="4"/>
        <v>0</v>
      </c>
      <c r="AC32" s="14">
        <f t="shared" si="5"/>
        <v>0</v>
      </c>
      <c r="AD32" s="14"/>
    </row>
    <row r="33" ht="15.75" customHeight="1">
      <c r="A33" s="14">
        <v>32.0</v>
      </c>
      <c r="B33" s="14" t="s">
        <v>188</v>
      </c>
      <c r="C33" s="36" t="s">
        <v>47</v>
      </c>
      <c r="D33" s="14">
        <v>29.0</v>
      </c>
      <c r="E33" s="14" t="s">
        <v>128</v>
      </c>
      <c r="G33" s="14"/>
      <c r="H33" s="14">
        <v>1.0</v>
      </c>
      <c r="I33" s="14">
        <v>160.0</v>
      </c>
      <c r="J33" s="14">
        <v>161.0</v>
      </c>
      <c r="K33" s="14">
        <f t="shared" si="1"/>
        <v>1</v>
      </c>
      <c r="L33" s="14">
        <v>5.0</v>
      </c>
      <c r="M33" s="14">
        <v>0.0</v>
      </c>
      <c r="N33" s="14">
        <v>0.0</v>
      </c>
      <c r="O33" s="23">
        <v>20.0</v>
      </c>
      <c r="P33" s="14">
        <v>3.0</v>
      </c>
      <c r="Q33" s="14">
        <v>0.0</v>
      </c>
      <c r="R33" s="14">
        <v>0.0</v>
      </c>
      <c r="S33" s="14"/>
      <c r="T33" s="31">
        <f t="shared" si="2"/>
        <v>28</v>
      </c>
      <c r="U33" s="51" t="s">
        <v>45</v>
      </c>
      <c r="V33" s="26"/>
      <c r="W33" s="14"/>
      <c r="X33" s="14"/>
      <c r="Y33" s="23" t="s">
        <v>192</v>
      </c>
      <c r="Z33" s="14"/>
      <c r="AA33" s="14" t="str">
        <f t="shared" si="3"/>
        <v/>
      </c>
      <c r="AB33" s="14">
        <f t="shared" si="4"/>
        <v>28</v>
      </c>
      <c r="AC33" s="14">
        <f t="shared" si="5"/>
        <v>0</v>
      </c>
      <c r="AD33" s="14">
        <f t="shared" ref="AD33:AD36" si="11">IF(ISBLANK(W33),0,1)</f>
        <v>0</v>
      </c>
    </row>
    <row r="34" ht="15.75" customHeight="1">
      <c r="A34" s="14">
        <v>33.0</v>
      </c>
      <c r="B34" s="14" t="s">
        <v>195</v>
      </c>
      <c r="C34" s="14" t="s">
        <v>52</v>
      </c>
      <c r="D34" s="14">
        <v>1.0</v>
      </c>
      <c r="G34" s="14"/>
      <c r="H34" s="14">
        <v>1.0</v>
      </c>
      <c r="I34" s="14">
        <v>2019.0</v>
      </c>
      <c r="J34" s="14">
        <v>2041.0</v>
      </c>
      <c r="K34" s="14">
        <f t="shared" si="1"/>
        <v>22</v>
      </c>
      <c r="L34" s="14">
        <v>22.0</v>
      </c>
      <c r="M34" s="14">
        <v>0.0</v>
      </c>
      <c r="N34" s="14">
        <v>0.0</v>
      </c>
      <c r="O34" s="14">
        <v>0.0</v>
      </c>
      <c r="P34" s="14">
        <v>3.0</v>
      </c>
      <c r="Q34" s="36">
        <v>0.0</v>
      </c>
      <c r="R34" s="36"/>
      <c r="S34" s="14"/>
      <c r="T34" s="31">
        <f t="shared" si="2"/>
        <v>25</v>
      </c>
      <c r="U34" s="42" t="s">
        <v>45</v>
      </c>
      <c r="V34" s="26"/>
      <c r="W34" s="14"/>
      <c r="Y34" s="14" t="s">
        <v>197</v>
      </c>
      <c r="Z34" s="14"/>
      <c r="AA34" s="14" t="str">
        <f t="shared" si="3"/>
        <v/>
      </c>
      <c r="AB34" s="14">
        <f t="shared" si="4"/>
        <v>25</v>
      </c>
      <c r="AC34" s="14">
        <f t="shared" si="5"/>
        <v>0</v>
      </c>
      <c r="AD34" s="14">
        <f t="shared" si="11"/>
        <v>0</v>
      </c>
    </row>
    <row r="35" ht="15.75" customHeight="1">
      <c r="A35" s="14">
        <v>34.0</v>
      </c>
      <c r="B35" s="14" t="s">
        <v>200</v>
      </c>
      <c r="C35" s="14" t="s">
        <v>52</v>
      </c>
      <c r="D35" s="14">
        <v>2.0</v>
      </c>
      <c r="G35" s="14"/>
      <c r="H35" s="14">
        <v>1.0</v>
      </c>
      <c r="I35" s="14">
        <v>853.0</v>
      </c>
      <c r="J35" s="14">
        <v>856.0</v>
      </c>
      <c r="K35" s="14">
        <f t="shared" si="1"/>
        <v>3</v>
      </c>
      <c r="L35" s="14">
        <v>5.0</v>
      </c>
      <c r="M35" s="14">
        <v>0.0</v>
      </c>
      <c r="N35" s="14">
        <v>0.0</v>
      </c>
      <c r="O35" s="14">
        <v>0.0</v>
      </c>
      <c r="P35" s="14">
        <v>3.0</v>
      </c>
      <c r="Q35" s="36">
        <v>0.0</v>
      </c>
      <c r="R35" s="36">
        <v>30.0</v>
      </c>
      <c r="S35" s="14"/>
      <c r="T35" s="31">
        <f t="shared" si="2"/>
        <v>38</v>
      </c>
      <c r="U35" s="42" t="s">
        <v>45</v>
      </c>
      <c r="V35" s="26"/>
      <c r="W35" s="14"/>
      <c r="Z35" s="14"/>
      <c r="AA35" s="14" t="str">
        <f t="shared" si="3"/>
        <v/>
      </c>
      <c r="AB35" s="14">
        <f t="shared" si="4"/>
        <v>38</v>
      </c>
      <c r="AC35" s="14">
        <f t="shared" si="5"/>
        <v>0</v>
      </c>
      <c r="AD35" s="14">
        <f t="shared" si="11"/>
        <v>0</v>
      </c>
    </row>
    <row r="36" ht="15.75" customHeight="1">
      <c r="A36" s="14">
        <v>35.0</v>
      </c>
      <c r="B36" s="14" t="s">
        <v>202</v>
      </c>
      <c r="C36" s="14" t="s">
        <v>52</v>
      </c>
      <c r="D36" s="14">
        <v>4.0</v>
      </c>
      <c r="G36" s="14"/>
      <c r="H36" s="14">
        <v>1.0</v>
      </c>
      <c r="I36" s="14">
        <v>3336.0</v>
      </c>
      <c r="J36" s="14">
        <v>3349.0</v>
      </c>
      <c r="K36" s="14">
        <f t="shared" si="1"/>
        <v>13</v>
      </c>
      <c r="L36" s="14">
        <v>13.0</v>
      </c>
      <c r="M36" s="14">
        <v>0.0</v>
      </c>
      <c r="N36" s="14">
        <v>0.0</v>
      </c>
      <c r="O36" s="14">
        <v>0.0</v>
      </c>
      <c r="P36" s="14">
        <v>3.0</v>
      </c>
      <c r="Q36" s="36">
        <v>0.0</v>
      </c>
      <c r="R36" s="36">
        <v>30.0</v>
      </c>
      <c r="S36" s="14"/>
      <c r="T36" s="31">
        <f t="shared" si="2"/>
        <v>46</v>
      </c>
      <c r="U36" s="14" t="s">
        <v>45</v>
      </c>
      <c r="V36" s="26"/>
      <c r="W36" s="14" t="s">
        <v>46</v>
      </c>
      <c r="Z36" s="14"/>
      <c r="AA36" s="14" t="str">
        <f t="shared" si="3"/>
        <v/>
      </c>
      <c r="AB36" s="14">
        <f t="shared" si="4"/>
        <v>0</v>
      </c>
      <c r="AC36" s="14">
        <f t="shared" si="5"/>
        <v>46</v>
      </c>
      <c r="AD36" s="14">
        <f t="shared" si="11"/>
        <v>1</v>
      </c>
    </row>
    <row r="37" ht="15.75" hidden="1" customHeight="1">
      <c r="A37" s="14">
        <v>36.0</v>
      </c>
      <c r="B37" s="14" t="s">
        <v>205</v>
      </c>
      <c r="C37" s="14" t="s">
        <v>52</v>
      </c>
      <c r="D37" s="14">
        <v>5.0</v>
      </c>
      <c r="G37" s="14"/>
      <c r="H37" s="14">
        <v>1.0</v>
      </c>
      <c r="I37" s="14">
        <v>4106.0</v>
      </c>
      <c r="J37" s="14">
        <v>4123.0</v>
      </c>
      <c r="K37" s="14">
        <f t="shared" si="1"/>
        <v>17</v>
      </c>
      <c r="L37" s="14">
        <v>17.0</v>
      </c>
      <c r="M37" s="14">
        <v>0.0</v>
      </c>
      <c r="N37" s="14">
        <v>0.0</v>
      </c>
      <c r="O37" s="14">
        <v>0.0</v>
      </c>
      <c r="P37" s="14">
        <v>3.0</v>
      </c>
      <c r="Q37" s="14">
        <v>0.0</v>
      </c>
      <c r="R37" s="14">
        <v>0.0</v>
      </c>
      <c r="S37" s="14"/>
      <c r="T37" s="31">
        <f t="shared" si="2"/>
        <v>20</v>
      </c>
      <c r="U37" s="14"/>
      <c r="V37" s="26"/>
      <c r="W37" s="14"/>
      <c r="Z37" s="14"/>
      <c r="AA37" s="14" t="str">
        <f t="shared" si="3"/>
        <v/>
      </c>
      <c r="AB37" s="14">
        <f t="shared" si="4"/>
        <v>0</v>
      </c>
      <c r="AC37" s="14">
        <f t="shared" si="5"/>
        <v>0</v>
      </c>
      <c r="AD37" s="14"/>
    </row>
    <row r="38" ht="15.75" hidden="1" customHeight="1">
      <c r="A38" s="14">
        <v>37.0</v>
      </c>
      <c r="B38" s="52" t="s">
        <v>208</v>
      </c>
      <c r="C38" s="52" t="s">
        <v>52</v>
      </c>
      <c r="D38" s="52">
        <v>6.0</v>
      </c>
      <c r="E38" s="52"/>
      <c r="F38" s="52"/>
      <c r="G38" s="52"/>
      <c r="H38" s="52">
        <v>1.0</v>
      </c>
      <c r="I38" s="53">
        <v>544.0</v>
      </c>
      <c r="J38" s="53">
        <v>555.0</v>
      </c>
      <c r="K38" s="14">
        <f t="shared" si="1"/>
        <v>11</v>
      </c>
      <c r="L38" s="14">
        <v>11.0</v>
      </c>
      <c r="M38" s="52">
        <v>0.0</v>
      </c>
      <c r="N38" s="14">
        <v>0.0</v>
      </c>
      <c r="O38" s="14">
        <v>0.0</v>
      </c>
      <c r="P38" s="14">
        <v>3.0</v>
      </c>
      <c r="Q38" s="14">
        <v>0.0</v>
      </c>
      <c r="R38" s="14">
        <v>0.0</v>
      </c>
      <c r="S38" s="14"/>
      <c r="T38" s="31">
        <f t="shared" si="2"/>
        <v>14</v>
      </c>
      <c r="U38" s="14"/>
      <c r="V38" s="26"/>
      <c r="W38" s="14"/>
      <c r="X38" s="52"/>
      <c r="Y38" s="52"/>
      <c r="Z38" s="14"/>
      <c r="AA38" s="14" t="str">
        <f t="shared" si="3"/>
        <v/>
      </c>
      <c r="AB38" s="14">
        <f t="shared" si="4"/>
        <v>0</v>
      </c>
      <c r="AC38" s="14">
        <f t="shared" si="5"/>
        <v>0</v>
      </c>
      <c r="AD38" s="14">
        <f t="shared" ref="AD38:AD51" si="12">IF(ISBLANK(W38),0,1)</f>
        <v>0</v>
      </c>
    </row>
    <row r="39" ht="15.75" hidden="1" customHeight="1">
      <c r="A39" s="14">
        <v>38.0</v>
      </c>
      <c r="B39" s="14" t="s">
        <v>213</v>
      </c>
      <c r="C39" s="14" t="s">
        <v>52</v>
      </c>
      <c r="D39" s="14">
        <v>7.0</v>
      </c>
      <c r="G39" s="14"/>
      <c r="H39" s="14">
        <v>1.0</v>
      </c>
      <c r="I39" s="14">
        <v>2525.0</v>
      </c>
      <c r="J39" s="14">
        <v>2549.0</v>
      </c>
      <c r="K39" s="14">
        <f t="shared" si="1"/>
        <v>24</v>
      </c>
      <c r="L39" s="14">
        <v>24.0</v>
      </c>
      <c r="M39" s="14">
        <v>0.0</v>
      </c>
      <c r="N39" s="14">
        <v>0.0</v>
      </c>
      <c r="O39" s="14">
        <v>0.0</v>
      </c>
      <c r="P39" s="14">
        <v>3.0</v>
      </c>
      <c r="Q39" s="36">
        <v>0.0</v>
      </c>
      <c r="R39" s="36">
        <v>30.0</v>
      </c>
      <c r="S39" s="14"/>
      <c r="T39" s="31">
        <f t="shared" si="2"/>
        <v>57</v>
      </c>
      <c r="U39" s="14"/>
      <c r="V39" s="26"/>
      <c r="W39" s="14"/>
      <c r="Z39" s="14"/>
      <c r="AA39" s="14" t="str">
        <f t="shared" si="3"/>
        <v/>
      </c>
      <c r="AB39" s="14">
        <f t="shared" si="4"/>
        <v>0</v>
      </c>
      <c r="AC39" s="14">
        <f t="shared" si="5"/>
        <v>0</v>
      </c>
      <c r="AD39" s="14">
        <f t="shared" si="12"/>
        <v>0</v>
      </c>
    </row>
    <row r="40" ht="15.75" hidden="1" customHeight="1">
      <c r="A40" s="14">
        <v>39.0</v>
      </c>
      <c r="B40" s="14" t="s">
        <v>216</v>
      </c>
      <c r="C40" s="14" t="s">
        <v>52</v>
      </c>
      <c r="D40" s="14">
        <v>8.0</v>
      </c>
      <c r="G40" s="14"/>
      <c r="H40" s="14">
        <v>1.0</v>
      </c>
      <c r="I40" s="14">
        <v>248.0</v>
      </c>
      <c r="J40" s="14">
        <v>255.0</v>
      </c>
      <c r="K40" s="14">
        <f t="shared" si="1"/>
        <v>7</v>
      </c>
      <c r="L40" s="14">
        <v>7.0</v>
      </c>
      <c r="M40" s="14">
        <v>0.0</v>
      </c>
      <c r="N40" s="14">
        <v>0.0</v>
      </c>
      <c r="O40" s="14">
        <v>0.0</v>
      </c>
      <c r="P40" s="14">
        <v>3.0</v>
      </c>
      <c r="Q40" s="36">
        <v>0.0</v>
      </c>
      <c r="R40" s="36">
        <v>30.0</v>
      </c>
      <c r="S40" s="14"/>
      <c r="T40" s="31">
        <f t="shared" si="2"/>
        <v>40</v>
      </c>
      <c r="U40" s="14"/>
      <c r="V40" s="26"/>
      <c r="W40" s="14"/>
      <c r="X40" s="14"/>
      <c r="Y40" s="14"/>
      <c r="Z40" s="14"/>
      <c r="AA40" s="14" t="str">
        <f t="shared" si="3"/>
        <v/>
      </c>
      <c r="AB40" s="14">
        <f t="shared" si="4"/>
        <v>0</v>
      </c>
      <c r="AC40" s="14">
        <f t="shared" si="5"/>
        <v>0</v>
      </c>
      <c r="AD40" s="14">
        <f t="shared" si="12"/>
        <v>0</v>
      </c>
    </row>
    <row r="41" ht="15.75" customHeight="1">
      <c r="A41" s="14">
        <v>40.0</v>
      </c>
      <c r="B41" s="14" t="s">
        <v>218</v>
      </c>
      <c r="C41" s="14" t="s">
        <v>52</v>
      </c>
      <c r="D41" s="14" t="s">
        <v>219</v>
      </c>
      <c r="G41" s="14"/>
      <c r="H41" s="14">
        <v>1.0</v>
      </c>
      <c r="I41" s="14">
        <v>923.0</v>
      </c>
      <c r="J41" s="14">
        <v>941.0</v>
      </c>
      <c r="K41" s="14">
        <f t="shared" si="1"/>
        <v>18</v>
      </c>
      <c r="L41" s="14">
        <v>18.0</v>
      </c>
      <c r="M41" s="14">
        <v>0.0</v>
      </c>
      <c r="N41" s="14">
        <v>0.0</v>
      </c>
      <c r="O41" s="14">
        <v>0.0</v>
      </c>
      <c r="P41" s="14">
        <v>3.0</v>
      </c>
      <c r="Q41" s="36">
        <v>0.0</v>
      </c>
      <c r="R41" s="40">
        <v>15.0</v>
      </c>
      <c r="S41" s="14"/>
      <c r="T41" s="31">
        <f t="shared" si="2"/>
        <v>36</v>
      </c>
      <c r="U41" s="14" t="s">
        <v>45</v>
      </c>
      <c r="V41" s="26"/>
      <c r="W41" s="14" t="s">
        <v>46</v>
      </c>
      <c r="Y41" s="43" t="s">
        <v>221</v>
      </c>
      <c r="Z41" s="14"/>
      <c r="AA41" s="14" t="str">
        <f t="shared" si="3"/>
        <v/>
      </c>
      <c r="AB41" s="14">
        <f t="shared" si="4"/>
        <v>0</v>
      </c>
      <c r="AC41" s="14">
        <f t="shared" si="5"/>
        <v>36</v>
      </c>
      <c r="AD41" s="14">
        <f t="shared" si="12"/>
        <v>1</v>
      </c>
    </row>
    <row r="42" ht="15.75" customHeight="1">
      <c r="A42" s="14">
        <v>41.0</v>
      </c>
      <c r="B42" s="14" t="s">
        <v>222</v>
      </c>
      <c r="C42" s="14" t="s">
        <v>52</v>
      </c>
      <c r="D42" s="14">
        <v>9.0</v>
      </c>
      <c r="G42" s="14"/>
      <c r="H42" s="14">
        <v>1.0</v>
      </c>
      <c r="I42" s="14">
        <v>2133.0</v>
      </c>
      <c r="J42" s="14">
        <v>2140.0</v>
      </c>
      <c r="K42" s="14">
        <f t="shared" si="1"/>
        <v>7</v>
      </c>
      <c r="L42" s="14">
        <v>7.0</v>
      </c>
      <c r="M42" s="14">
        <v>0.0</v>
      </c>
      <c r="N42" s="14">
        <v>0.0</v>
      </c>
      <c r="O42" s="14">
        <v>0.0</v>
      </c>
      <c r="P42" s="14">
        <v>3.0</v>
      </c>
      <c r="Q42" s="14">
        <v>0.0</v>
      </c>
      <c r="R42" s="14">
        <v>0.0</v>
      </c>
      <c r="S42" s="14"/>
      <c r="T42" s="31">
        <f t="shared" si="2"/>
        <v>10</v>
      </c>
      <c r="U42" s="14" t="s">
        <v>45</v>
      </c>
      <c r="V42" s="14"/>
      <c r="W42" s="14" t="s">
        <v>46</v>
      </c>
      <c r="X42" s="14"/>
      <c r="Y42" s="14"/>
      <c r="Z42" s="14"/>
      <c r="AA42" s="14" t="str">
        <f t="shared" si="3"/>
        <v/>
      </c>
      <c r="AB42" s="14">
        <f t="shared" si="4"/>
        <v>0</v>
      </c>
      <c r="AC42" s="14">
        <f t="shared" si="5"/>
        <v>10</v>
      </c>
      <c r="AD42" s="14">
        <f t="shared" si="12"/>
        <v>1</v>
      </c>
    </row>
    <row r="43" ht="15.75" customHeight="1">
      <c r="A43" s="14">
        <v>42.0</v>
      </c>
      <c r="B43" s="14" t="s">
        <v>224</v>
      </c>
      <c r="C43" s="14" t="s">
        <v>52</v>
      </c>
      <c r="D43" s="14" t="s">
        <v>225</v>
      </c>
      <c r="G43" s="14"/>
      <c r="H43" s="14">
        <v>1.0</v>
      </c>
      <c r="I43" s="14">
        <v>482.0</v>
      </c>
      <c r="J43" s="14">
        <v>489.0</v>
      </c>
      <c r="K43" s="14">
        <f t="shared" si="1"/>
        <v>7</v>
      </c>
      <c r="L43" s="14">
        <v>7.0</v>
      </c>
      <c r="M43" s="14">
        <v>0.0</v>
      </c>
      <c r="N43" s="14">
        <v>0.0</v>
      </c>
      <c r="O43" s="14">
        <v>0.0</v>
      </c>
      <c r="P43" s="14">
        <v>3.0</v>
      </c>
      <c r="Q43" s="14">
        <v>0.0</v>
      </c>
      <c r="R43" s="14">
        <v>0.0</v>
      </c>
      <c r="S43" s="14"/>
      <c r="T43" s="31">
        <f t="shared" si="2"/>
        <v>10</v>
      </c>
      <c r="U43" s="14" t="s">
        <v>45</v>
      </c>
      <c r="V43" s="26"/>
      <c r="W43" s="14" t="s">
        <v>46</v>
      </c>
      <c r="Z43" s="14"/>
      <c r="AA43" s="14" t="str">
        <f t="shared" si="3"/>
        <v/>
      </c>
      <c r="AB43" s="14">
        <f t="shared" si="4"/>
        <v>0</v>
      </c>
      <c r="AC43" s="14">
        <f t="shared" si="5"/>
        <v>10</v>
      </c>
      <c r="AD43" s="14">
        <f t="shared" si="12"/>
        <v>1</v>
      </c>
    </row>
    <row r="44" ht="15.75" customHeight="1">
      <c r="A44" s="14">
        <v>43.0</v>
      </c>
      <c r="B44" s="14" t="s">
        <v>230</v>
      </c>
      <c r="C44" s="14" t="s">
        <v>52</v>
      </c>
      <c r="D44" s="14">
        <v>11.0</v>
      </c>
      <c r="G44" s="14"/>
      <c r="H44" s="14">
        <v>1.0</v>
      </c>
      <c r="I44" s="14">
        <v>764.0</v>
      </c>
      <c r="J44" s="14">
        <v>781.0</v>
      </c>
      <c r="K44" s="14">
        <f t="shared" si="1"/>
        <v>17</v>
      </c>
      <c r="L44" s="14">
        <v>17.0</v>
      </c>
      <c r="M44" s="14">
        <v>0.0</v>
      </c>
      <c r="N44" s="14">
        <v>0.0</v>
      </c>
      <c r="O44" s="14">
        <v>0.0</v>
      </c>
      <c r="P44" s="14">
        <v>3.0</v>
      </c>
      <c r="Q44" s="36">
        <v>0.0</v>
      </c>
      <c r="R44" s="36">
        <v>30.0</v>
      </c>
      <c r="S44" s="14"/>
      <c r="T44" s="31">
        <f t="shared" si="2"/>
        <v>50</v>
      </c>
      <c r="U44" s="14" t="s">
        <v>45</v>
      </c>
      <c r="V44" s="26"/>
      <c r="W44" s="14" t="s">
        <v>46</v>
      </c>
      <c r="Z44" s="14"/>
      <c r="AA44" s="14" t="str">
        <f t="shared" si="3"/>
        <v/>
      </c>
      <c r="AB44" s="14">
        <f t="shared" si="4"/>
        <v>0</v>
      </c>
      <c r="AC44" s="14">
        <f t="shared" si="5"/>
        <v>50</v>
      </c>
      <c r="AD44" s="14">
        <f t="shared" si="12"/>
        <v>1</v>
      </c>
    </row>
    <row r="45" ht="15.75" customHeight="1">
      <c r="A45" s="14">
        <v>44.0</v>
      </c>
      <c r="B45" s="14" t="s">
        <v>232</v>
      </c>
      <c r="C45" s="14" t="s">
        <v>52</v>
      </c>
      <c r="D45" s="14">
        <v>12.0</v>
      </c>
      <c r="G45" s="14"/>
      <c r="H45" s="14">
        <v>1.0</v>
      </c>
      <c r="I45" s="14">
        <v>1620.0</v>
      </c>
      <c r="J45" s="14">
        <v>1632.0</v>
      </c>
      <c r="K45" s="14">
        <f t="shared" si="1"/>
        <v>12</v>
      </c>
      <c r="L45" s="14">
        <v>12.0</v>
      </c>
      <c r="M45" s="14">
        <v>0.0</v>
      </c>
      <c r="N45" s="14">
        <v>0.0</v>
      </c>
      <c r="O45" s="14">
        <v>0.0</v>
      </c>
      <c r="P45" s="14">
        <v>3.0</v>
      </c>
      <c r="Q45" s="36">
        <v>0.0</v>
      </c>
      <c r="R45" s="36"/>
      <c r="S45" s="14"/>
      <c r="T45" s="31">
        <f t="shared" si="2"/>
        <v>15</v>
      </c>
      <c r="U45" s="42" t="s">
        <v>45</v>
      </c>
      <c r="V45" s="26"/>
      <c r="W45" s="14"/>
      <c r="Y45" s="23" t="s">
        <v>234</v>
      </c>
      <c r="Z45" s="14"/>
      <c r="AA45" s="14" t="str">
        <f t="shared" si="3"/>
        <v/>
      </c>
      <c r="AB45" s="14">
        <f t="shared" si="4"/>
        <v>15</v>
      </c>
      <c r="AC45" s="14">
        <f t="shared" si="5"/>
        <v>0</v>
      </c>
      <c r="AD45" s="14">
        <f t="shared" si="12"/>
        <v>0</v>
      </c>
    </row>
    <row r="46" ht="15.75" customHeight="1">
      <c r="A46" s="14">
        <v>45.0</v>
      </c>
      <c r="B46" s="14" t="s">
        <v>237</v>
      </c>
      <c r="C46" s="14" t="s">
        <v>52</v>
      </c>
      <c r="D46" s="14">
        <v>13.0</v>
      </c>
      <c r="G46" s="14"/>
      <c r="H46" s="14">
        <v>1.0</v>
      </c>
      <c r="I46" s="14">
        <v>2084.0</v>
      </c>
      <c r="J46" s="14">
        <v>2090.0</v>
      </c>
      <c r="K46" s="14">
        <f t="shared" si="1"/>
        <v>6</v>
      </c>
      <c r="L46" s="14">
        <v>6.0</v>
      </c>
      <c r="M46" s="14">
        <v>0.0</v>
      </c>
      <c r="N46" s="14">
        <v>0.0</v>
      </c>
      <c r="O46" s="14">
        <v>0.0</v>
      </c>
      <c r="P46" s="14">
        <v>3.0</v>
      </c>
      <c r="Q46" s="14">
        <v>0.0</v>
      </c>
      <c r="R46" s="14">
        <v>0.0</v>
      </c>
      <c r="S46" s="14"/>
      <c r="T46" s="31">
        <f t="shared" si="2"/>
        <v>9</v>
      </c>
      <c r="U46" s="14" t="s">
        <v>45</v>
      </c>
      <c r="V46" s="26"/>
      <c r="W46" s="14" t="s">
        <v>46</v>
      </c>
      <c r="Z46" s="14"/>
      <c r="AA46" s="14" t="str">
        <f t="shared" si="3"/>
        <v/>
      </c>
      <c r="AB46" s="14">
        <f t="shared" si="4"/>
        <v>0</v>
      </c>
      <c r="AC46" s="14">
        <f t="shared" si="5"/>
        <v>9</v>
      </c>
      <c r="AD46" s="14">
        <f t="shared" si="12"/>
        <v>1</v>
      </c>
    </row>
    <row r="47" ht="15.75" hidden="1" customHeight="1">
      <c r="A47" s="14">
        <v>46.0</v>
      </c>
      <c r="B47" s="14" t="s">
        <v>238</v>
      </c>
      <c r="C47" s="14" t="s">
        <v>52</v>
      </c>
      <c r="D47" s="14">
        <v>14.0</v>
      </c>
      <c r="G47" s="14"/>
      <c r="H47" s="14">
        <v>1.0</v>
      </c>
      <c r="I47" s="14">
        <v>823.0</v>
      </c>
      <c r="J47" s="14">
        <v>845.0</v>
      </c>
      <c r="K47" s="14">
        <f t="shared" si="1"/>
        <v>22</v>
      </c>
      <c r="L47" s="14">
        <v>22.0</v>
      </c>
      <c r="M47" s="14">
        <v>0.0</v>
      </c>
      <c r="N47" s="14">
        <v>0.0</v>
      </c>
      <c r="O47" s="14">
        <v>0.0</v>
      </c>
      <c r="P47" s="14">
        <v>3.0</v>
      </c>
      <c r="Q47" s="36">
        <v>0.0</v>
      </c>
      <c r="R47" s="36">
        <v>30.0</v>
      </c>
      <c r="S47" s="14"/>
      <c r="T47" s="31">
        <f t="shared" si="2"/>
        <v>55</v>
      </c>
      <c r="U47" s="14"/>
      <c r="V47" s="26"/>
      <c r="W47" s="14"/>
      <c r="Z47" s="14"/>
      <c r="AA47" s="14" t="str">
        <f t="shared" si="3"/>
        <v/>
      </c>
      <c r="AB47" s="14">
        <f t="shared" si="4"/>
        <v>0</v>
      </c>
      <c r="AC47" s="14">
        <f t="shared" si="5"/>
        <v>0</v>
      </c>
      <c r="AD47" s="14">
        <f t="shared" si="12"/>
        <v>0</v>
      </c>
    </row>
    <row r="48" ht="15.75" customHeight="1">
      <c r="A48" s="14">
        <v>47.0</v>
      </c>
      <c r="B48" s="14" t="s">
        <v>240</v>
      </c>
      <c r="C48" s="14" t="s">
        <v>52</v>
      </c>
      <c r="D48" s="14">
        <v>15.0</v>
      </c>
      <c r="E48" s="14"/>
      <c r="G48" s="14"/>
      <c r="H48" s="14">
        <v>1.0</v>
      </c>
      <c r="I48" s="14">
        <v>100.0</v>
      </c>
      <c r="J48" s="14">
        <v>106.0</v>
      </c>
      <c r="K48" s="14">
        <f t="shared" si="1"/>
        <v>6</v>
      </c>
      <c r="L48" s="14">
        <v>6.0</v>
      </c>
      <c r="M48" s="14">
        <v>0.0</v>
      </c>
      <c r="N48" s="14">
        <v>0.0</v>
      </c>
      <c r="O48" s="14">
        <v>0.0</v>
      </c>
      <c r="P48" s="14">
        <v>3.0</v>
      </c>
      <c r="Q48" s="36">
        <v>0.0</v>
      </c>
      <c r="R48" s="36">
        <v>30.0</v>
      </c>
      <c r="S48" s="14"/>
      <c r="T48" s="31">
        <f t="shared" si="2"/>
        <v>39</v>
      </c>
      <c r="U48" s="42" t="s">
        <v>45</v>
      </c>
      <c r="V48" s="26"/>
      <c r="W48" s="14"/>
      <c r="Z48" s="14"/>
      <c r="AA48" s="14" t="str">
        <f t="shared" si="3"/>
        <v/>
      </c>
      <c r="AB48" s="14">
        <f t="shared" si="4"/>
        <v>39</v>
      </c>
      <c r="AC48" s="14">
        <f t="shared" si="5"/>
        <v>0</v>
      </c>
      <c r="AD48" s="14">
        <f t="shared" si="12"/>
        <v>0</v>
      </c>
    </row>
    <row r="49" ht="15.75" customHeight="1">
      <c r="A49" s="14">
        <v>48.0</v>
      </c>
      <c r="B49" s="14" t="s">
        <v>242</v>
      </c>
      <c r="C49" s="14" t="s">
        <v>52</v>
      </c>
      <c r="D49" s="14">
        <v>16.0</v>
      </c>
      <c r="G49" s="14"/>
      <c r="H49" s="14">
        <v>1.0</v>
      </c>
      <c r="I49" s="14">
        <v>1827.0</v>
      </c>
      <c r="J49" s="14">
        <v>1833.0</v>
      </c>
      <c r="K49" s="14">
        <f t="shared" si="1"/>
        <v>6</v>
      </c>
      <c r="L49" s="14">
        <v>6.0</v>
      </c>
      <c r="M49" s="14">
        <v>10.0</v>
      </c>
      <c r="N49" s="14">
        <v>0.0</v>
      </c>
      <c r="O49" s="14">
        <v>0.0</v>
      </c>
      <c r="P49" s="14">
        <v>3.0</v>
      </c>
      <c r="Q49" s="36">
        <v>0.0</v>
      </c>
      <c r="R49" s="36"/>
      <c r="S49" s="23"/>
      <c r="T49" s="31">
        <f t="shared" si="2"/>
        <v>19</v>
      </c>
      <c r="U49" s="23" t="s">
        <v>45</v>
      </c>
      <c r="V49" s="26"/>
      <c r="W49" s="23" t="s">
        <v>46</v>
      </c>
      <c r="Y49" s="43" t="s">
        <v>245</v>
      </c>
      <c r="Z49" s="14"/>
      <c r="AA49" s="14" t="str">
        <f t="shared" si="3"/>
        <v/>
      </c>
      <c r="AB49" s="14">
        <f t="shared" si="4"/>
        <v>0</v>
      </c>
      <c r="AC49" s="14">
        <f t="shared" si="5"/>
        <v>19</v>
      </c>
      <c r="AD49" s="14">
        <f t="shared" si="12"/>
        <v>1</v>
      </c>
    </row>
    <row r="50" ht="15.75" customHeight="1">
      <c r="A50" s="14">
        <v>49.0</v>
      </c>
      <c r="B50" s="14" t="s">
        <v>246</v>
      </c>
      <c r="C50" s="14" t="s">
        <v>52</v>
      </c>
      <c r="D50" s="14">
        <v>18.0</v>
      </c>
      <c r="G50" s="14"/>
      <c r="H50" s="14">
        <v>1.0</v>
      </c>
      <c r="I50" s="14">
        <v>396.0</v>
      </c>
      <c r="J50" s="14">
        <v>403.0</v>
      </c>
      <c r="K50" s="14">
        <f t="shared" si="1"/>
        <v>7</v>
      </c>
      <c r="L50" s="14">
        <v>7.0</v>
      </c>
      <c r="M50" s="14">
        <v>0.0</v>
      </c>
      <c r="N50" s="14">
        <v>0.0</v>
      </c>
      <c r="O50" s="14">
        <v>0.0</v>
      </c>
      <c r="P50" s="14">
        <v>3.0</v>
      </c>
      <c r="Q50" s="14">
        <v>0.0</v>
      </c>
      <c r="R50" s="14">
        <v>0.0</v>
      </c>
      <c r="S50" s="14"/>
      <c r="T50" s="31">
        <f t="shared" si="2"/>
        <v>10</v>
      </c>
      <c r="U50" s="42" t="s">
        <v>45</v>
      </c>
      <c r="V50" s="26"/>
      <c r="W50" s="14"/>
      <c r="Y50" s="14"/>
      <c r="Z50" s="14"/>
      <c r="AA50" s="14" t="str">
        <f t="shared" si="3"/>
        <v/>
      </c>
      <c r="AB50" s="14">
        <f t="shared" si="4"/>
        <v>10</v>
      </c>
      <c r="AC50" s="14">
        <f t="shared" si="5"/>
        <v>0</v>
      </c>
      <c r="AD50" s="14">
        <f t="shared" si="12"/>
        <v>0</v>
      </c>
    </row>
    <row r="51" ht="15.75" customHeight="1">
      <c r="A51" s="14">
        <v>50.0</v>
      </c>
      <c r="B51" s="14" t="s">
        <v>248</v>
      </c>
      <c r="C51" s="14" t="s">
        <v>52</v>
      </c>
      <c r="D51" s="14">
        <v>19.0</v>
      </c>
      <c r="G51" s="14"/>
      <c r="H51" s="14">
        <v>1.0</v>
      </c>
      <c r="I51" s="14">
        <v>3650.0</v>
      </c>
      <c r="J51" s="14">
        <v>3672.0</v>
      </c>
      <c r="K51" s="14">
        <f t="shared" si="1"/>
        <v>22</v>
      </c>
      <c r="L51" s="14">
        <v>22.0</v>
      </c>
      <c r="M51" s="14">
        <v>-1.0</v>
      </c>
      <c r="N51" s="14">
        <v>0.0</v>
      </c>
      <c r="O51" s="14">
        <v>0.0</v>
      </c>
      <c r="P51" s="14">
        <v>3.0</v>
      </c>
      <c r="Q51" s="14">
        <v>0.0</v>
      </c>
      <c r="R51" s="14">
        <v>0.0</v>
      </c>
      <c r="S51" s="14"/>
      <c r="T51" s="31">
        <f t="shared" si="2"/>
        <v>24</v>
      </c>
      <c r="U51" s="23" t="s">
        <v>45</v>
      </c>
      <c r="V51" s="26"/>
      <c r="W51" s="23" t="s">
        <v>46</v>
      </c>
      <c r="Z51" s="14"/>
      <c r="AA51" s="14" t="str">
        <f t="shared" si="3"/>
        <v/>
      </c>
      <c r="AB51" s="14">
        <f t="shared" si="4"/>
        <v>0</v>
      </c>
      <c r="AC51" s="14">
        <f t="shared" si="5"/>
        <v>24</v>
      </c>
      <c r="AD51" s="14">
        <f t="shared" si="12"/>
        <v>1</v>
      </c>
    </row>
    <row r="52" ht="15.75" customHeight="1">
      <c r="A52" s="14">
        <v>51.0</v>
      </c>
      <c r="B52" s="14" t="s">
        <v>250</v>
      </c>
      <c r="C52" s="14" t="s">
        <v>52</v>
      </c>
      <c r="D52" s="14">
        <v>20.0</v>
      </c>
      <c r="G52" s="14"/>
      <c r="H52" s="14">
        <v>1.0</v>
      </c>
      <c r="I52" s="14">
        <v>2756.0</v>
      </c>
      <c r="J52" s="14">
        <v>2769.0</v>
      </c>
      <c r="K52" s="14">
        <f t="shared" si="1"/>
        <v>13</v>
      </c>
      <c r="L52" s="14">
        <v>13.0</v>
      </c>
      <c r="M52" s="14">
        <v>0.0</v>
      </c>
      <c r="N52" s="14">
        <v>0.0</v>
      </c>
      <c r="O52" s="14">
        <v>0.0</v>
      </c>
      <c r="P52" s="14">
        <v>3.0</v>
      </c>
      <c r="Q52" s="14">
        <v>0.0</v>
      </c>
      <c r="R52" s="14">
        <v>0.0</v>
      </c>
      <c r="S52" s="14"/>
      <c r="T52" s="31">
        <f t="shared" si="2"/>
        <v>16</v>
      </c>
      <c r="U52" s="42" t="s">
        <v>45</v>
      </c>
      <c r="W52" s="14"/>
      <c r="X52" s="14"/>
      <c r="Y52" s="14"/>
      <c r="Z52" s="14"/>
      <c r="AA52" s="14" t="str">
        <f t="shared" si="3"/>
        <v/>
      </c>
      <c r="AB52" s="14">
        <f t="shared" si="4"/>
        <v>16</v>
      </c>
      <c r="AC52" s="14">
        <f t="shared" si="5"/>
        <v>0</v>
      </c>
      <c r="AD52" s="14"/>
    </row>
    <row r="53" ht="15.75" hidden="1" customHeight="1">
      <c r="A53" s="14">
        <v>52.0</v>
      </c>
      <c r="B53" s="56" t="s">
        <v>253</v>
      </c>
      <c r="C53" s="52" t="s">
        <v>52</v>
      </c>
      <c r="D53" s="52">
        <v>21.0</v>
      </c>
      <c r="E53" s="52"/>
      <c r="F53" s="52">
        <v>1.0</v>
      </c>
      <c r="G53" s="52">
        <v>1.0</v>
      </c>
      <c r="H53" s="52">
        <v>1.0</v>
      </c>
      <c r="I53" s="36">
        <v>1568.0</v>
      </c>
      <c r="J53" s="36">
        <v>1589.0</v>
      </c>
      <c r="K53" s="14">
        <f t="shared" si="1"/>
        <v>21</v>
      </c>
      <c r="L53" s="14">
        <v>21.0</v>
      </c>
      <c r="M53" s="52">
        <v>326.0</v>
      </c>
      <c r="N53" s="14">
        <v>40.0</v>
      </c>
      <c r="O53" s="14">
        <v>0.0</v>
      </c>
      <c r="P53" s="14">
        <v>3.0</v>
      </c>
      <c r="Q53" s="36">
        <v>0.0</v>
      </c>
      <c r="R53" s="36">
        <v>30.0</v>
      </c>
      <c r="S53" s="14"/>
      <c r="T53" s="31">
        <f t="shared" si="2"/>
        <v>420</v>
      </c>
      <c r="U53" s="52"/>
      <c r="V53" s="52"/>
      <c r="W53" s="14"/>
      <c r="X53" s="52"/>
      <c r="Y53" s="52"/>
      <c r="Z53" s="23" t="s">
        <v>255</v>
      </c>
      <c r="AA53" s="14" t="str">
        <f t="shared" si="3"/>
        <v>CORTE</v>
      </c>
      <c r="AB53" s="14">
        <f t="shared" si="4"/>
        <v>0</v>
      </c>
      <c r="AC53" s="14">
        <f t="shared" si="5"/>
        <v>0</v>
      </c>
      <c r="AD53" s="14"/>
    </row>
    <row r="54" ht="15.75" customHeight="1">
      <c r="A54" s="14">
        <v>53.0</v>
      </c>
      <c r="B54" s="14" t="s">
        <v>256</v>
      </c>
      <c r="C54" s="14" t="s">
        <v>52</v>
      </c>
      <c r="D54" s="14">
        <v>22.0</v>
      </c>
      <c r="G54" s="14"/>
      <c r="H54" s="14">
        <v>1.0</v>
      </c>
      <c r="I54" s="14">
        <v>107.0</v>
      </c>
      <c r="J54" s="14">
        <v>112.0</v>
      </c>
      <c r="K54" s="14">
        <f t="shared" si="1"/>
        <v>5</v>
      </c>
      <c r="L54" s="14">
        <v>5.0</v>
      </c>
      <c r="M54" s="14">
        <v>0.0</v>
      </c>
      <c r="N54" s="14">
        <v>0.0</v>
      </c>
      <c r="O54" s="14">
        <v>0.0</v>
      </c>
      <c r="P54" s="14">
        <v>3.0</v>
      </c>
      <c r="Q54" s="14">
        <v>0.0</v>
      </c>
      <c r="R54" s="14">
        <v>0.0</v>
      </c>
      <c r="S54" s="14"/>
      <c r="T54" s="31">
        <f t="shared" si="2"/>
        <v>8</v>
      </c>
      <c r="U54" s="23" t="s">
        <v>45</v>
      </c>
      <c r="V54" s="26"/>
      <c r="W54" s="23" t="s">
        <v>46</v>
      </c>
      <c r="Z54" s="14"/>
      <c r="AA54" s="14" t="str">
        <f t="shared" si="3"/>
        <v/>
      </c>
      <c r="AB54" s="14">
        <f t="shared" si="4"/>
        <v>0</v>
      </c>
      <c r="AC54" s="14">
        <f t="shared" si="5"/>
        <v>8</v>
      </c>
      <c r="AD54" s="14"/>
    </row>
    <row r="55" ht="15.75" customHeight="1">
      <c r="A55" s="14">
        <v>54.0</v>
      </c>
      <c r="B55" s="14" t="s">
        <v>259</v>
      </c>
      <c r="C55" s="14" t="s">
        <v>52</v>
      </c>
      <c r="D55" s="14">
        <v>23.0</v>
      </c>
      <c r="G55" s="14"/>
      <c r="H55" s="14">
        <v>1.0</v>
      </c>
      <c r="I55" s="14">
        <v>156.0</v>
      </c>
      <c r="J55" s="14">
        <v>179.0</v>
      </c>
      <c r="K55" s="14">
        <f t="shared" si="1"/>
        <v>23</v>
      </c>
      <c r="L55" s="14">
        <v>23.0</v>
      </c>
      <c r="M55" s="14">
        <v>0.0</v>
      </c>
      <c r="N55" s="14">
        <v>0.0</v>
      </c>
      <c r="O55" s="14">
        <v>0.0</v>
      </c>
      <c r="P55" s="14">
        <v>3.0</v>
      </c>
      <c r="Q55" s="36">
        <v>0.0</v>
      </c>
      <c r="R55" s="36">
        <v>30.0</v>
      </c>
      <c r="S55" s="14"/>
      <c r="T55" s="31">
        <f t="shared" si="2"/>
        <v>56</v>
      </c>
      <c r="U55" s="14" t="s">
        <v>45</v>
      </c>
      <c r="W55" s="14" t="s">
        <v>46</v>
      </c>
      <c r="Z55" s="14"/>
      <c r="AA55" s="14" t="str">
        <f t="shared" si="3"/>
        <v/>
      </c>
      <c r="AB55" s="14">
        <f t="shared" si="4"/>
        <v>0</v>
      </c>
      <c r="AC55" s="14">
        <f t="shared" si="5"/>
        <v>56</v>
      </c>
      <c r="AD55" s="14">
        <f t="shared" ref="AD55:AD57" si="13">IF(ISBLANK(W55),0,1)</f>
        <v>1</v>
      </c>
    </row>
    <row r="56" ht="15.75" customHeight="1">
      <c r="A56" s="14">
        <v>55.0</v>
      </c>
      <c r="B56" s="14" t="s">
        <v>262</v>
      </c>
      <c r="C56" s="14" t="s">
        <v>52</v>
      </c>
      <c r="D56" s="14">
        <v>24.0</v>
      </c>
      <c r="G56" s="14"/>
      <c r="H56" s="14">
        <v>1.0</v>
      </c>
      <c r="I56" s="14">
        <v>534.0</v>
      </c>
      <c r="J56" s="14">
        <v>537.0</v>
      </c>
      <c r="K56" s="14">
        <f t="shared" si="1"/>
        <v>3</v>
      </c>
      <c r="L56" s="14">
        <v>5.0</v>
      </c>
      <c r="M56" s="14">
        <v>0.0</v>
      </c>
      <c r="N56" s="14">
        <v>0.0</v>
      </c>
      <c r="O56" s="14">
        <v>0.0</v>
      </c>
      <c r="P56" s="14">
        <v>3.0</v>
      </c>
      <c r="Q56" s="14">
        <v>0.0</v>
      </c>
      <c r="R56" s="14">
        <v>0.0</v>
      </c>
      <c r="S56" s="14"/>
      <c r="T56" s="31">
        <f t="shared" si="2"/>
        <v>8</v>
      </c>
      <c r="U56" s="42" t="s">
        <v>45</v>
      </c>
      <c r="V56" s="26"/>
      <c r="W56" s="14"/>
      <c r="Z56" s="14"/>
      <c r="AA56" s="14" t="str">
        <f t="shared" si="3"/>
        <v/>
      </c>
      <c r="AB56" s="14">
        <f t="shared" si="4"/>
        <v>8</v>
      </c>
      <c r="AC56" s="14">
        <f t="shared" si="5"/>
        <v>0</v>
      </c>
      <c r="AD56" s="14">
        <f t="shared" si="13"/>
        <v>0</v>
      </c>
    </row>
    <row r="57" ht="15.75" customHeight="1">
      <c r="A57" s="14">
        <v>56.0</v>
      </c>
      <c r="B57" s="14" t="s">
        <v>265</v>
      </c>
      <c r="C57" s="14" t="s">
        <v>52</v>
      </c>
      <c r="D57" s="14">
        <v>25.0</v>
      </c>
      <c r="G57" s="14"/>
      <c r="H57" s="14">
        <v>1.0</v>
      </c>
      <c r="I57" s="14">
        <v>3914.0</v>
      </c>
      <c r="J57" s="14">
        <v>3927.0</v>
      </c>
      <c r="K57" s="14">
        <f t="shared" si="1"/>
        <v>13</v>
      </c>
      <c r="L57" s="14">
        <v>13.0</v>
      </c>
      <c r="M57" s="14">
        <v>0.0</v>
      </c>
      <c r="N57" s="14">
        <v>0.0</v>
      </c>
      <c r="O57" s="14">
        <v>0.0</v>
      </c>
      <c r="P57" s="14">
        <v>3.0</v>
      </c>
      <c r="Q57" s="14">
        <v>0.0</v>
      </c>
      <c r="R57" s="14">
        <v>0.0</v>
      </c>
      <c r="S57" s="14"/>
      <c r="T57" s="31">
        <f t="shared" si="2"/>
        <v>16</v>
      </c>
      <c r="U57" s="42" t="s">
        <v>45</v>
      </c>
      <c r="W57" s="14"/>
      <c r="Y57" s="14"/>
      <c r="Z57" s="14"/>
      <c r="AA57" s="14" t="str">
        <f t="shared" si="3"/>
        <v/>
      </c>
      <c r="AB57" s="14">
        <f t="shared" si="4"/>
        <v>16</v>
      </c>
      <c r="AC57" s="14">
        <f t="shared" si="5"/>
        <v>0</v>
      </c>
      <c r="AD57" s="14">
        <f t="shared" si="13"/>
        <v>0</v>
      </c>
    </row>
    <row r="58" ht="15.75" customHeight="1">
      <c r="A58" s="14">
        <v>57.0</v>
      </c>
      <c r="B58" s="14" t="s">
        <v>266</v>
      </c>
      <c r="C58" s="14" t="s">
        <v>52</v>
      </c>
      <c r="D58" s="14">
        <v>26.0</v>
      </c>
      <c r="G58" s="14"/>
      <c r="H58" s="14">
        <v>1.0</v>
      </c>
      <c r="I58" s="14">
        <v>1506.0</v>
      </c>
      <c r="J58" s="14">
        <v>1507.0</v>
      </c>
      <c r="K58" s="14">
        <f t="shared" si="1"/>
        <v>1</v>
      </c>
      <c r="L58" s="14">
        <v>5.0</v>
      </c>
      <c r="M58" s="14">
        <v>0.0</v>
      </c>
      <c r="N58" s="14">
        <v>0.0</v>
      </c>
      <c r="O58" s="14">
        <v>0.0</v>
      </c>
      <c r="P58" s="14">
        <v>3.0</v>
      </c>
      <c r="Q58" s="36">
        <v>0.0</v>
      </c>
      <c r="R58" s="36">
        <v>30.0</v>
      </c>
      <c r="S58" s="14"/>
      <c r="T58" s="31">
        <f t="shared" si="2"/>
        <v>38</v>
      </c>
      <c r="U58" s="42" t="s">
        <v>45</v>
      </c>
      <c r="W58" s="14"/>
      <c r="X58" s="14"/>
      <c r="Y58" s="14"/>
      <c r="Z58" s="14"/>
      <c r="AA58" s="14" t="str">
        <f t="shared" si="3"/>
        <v/>
      </c>
      <c r="AB58" s="14">
        <f t="shared" si="4"/>
        <v>38</v>
      </c>
      <c r="AC58" s="14">
        <f t="shared" si="5"/>
        <v>0</v>
      </c>
      <c r="AD58" s="14"/>
    </row>
    <row r="59" ht="15.75" customHeight="1">
      <c r="A59" s="14">
        <v>58.0</v>
      </c>
      <c r="B59" s="14" t="s">
        <v>268</v>
      </c>
      <c r="C59" s="14" t="s">
        <v>52</v>
      </c>
      <c r="D59" s="14">
        <v>27.0</v>
      </c>
      <c r="G59" s="14"/>
      <c r="H59" s="14">
        <v>1.0</v>
      </c>
      <c r="I59" s="14">
        <v>175.0</v>
      </c>
      <c r="J59" s="14">
        <v>192.0</v>
      </c>
      <c r="K59" s="14">
        <f t="shared" si="1"/>
        <v>17</v>
      </c>
      <c r="L59" s="14">
        <v>17.0</v>
      </c>
      <c r="M59" s="14">
        <v>0.0</v>
      </c>
      <c r="N59" s="14">
        <v>0.0</v>
      </c>
      <c r="O59" s="14">
        <v>0.0</v>
      </c>
      <c r="P59" s="14">
        <v>3.0</v>
      </c>
      <c r="Q59" s="14">
        <v>0.0</v>
      </c>
      <c r="R59" s="14">
        <v>0.0</v>
      </c>
      <c r="S59" s="14"/>
      <c r="T59" s="31">
        <f t="shared" si="2"/>
        <v>20</v>
      </c>
      <c r="U59" s="42" t="s">
        <v>45</v>
      </c>
      <c r="W59" s="14"/>
      <c r="X59" s="14"/>
      <c r="Y59" s="14"/>
      <c r="Z59" s="14"/>
      <c r="AA59" s="14" t="str">
        <f t="shared" si="3"/>
        <v/>
      </c>
      <c r="AB59" s="14">
        <f t="shared" si="4"/>
        <v>20</v>
      </c>
      <c r="AC59" s="14">
        <f t="shared" si="5"/>
        <v>0</v>
      </c>
      <c r="AD59" s="14"/>
    </row>
    <row r="60" ht="15.75" customHeight="1">
      <c r="A60" s="14">
        <v>59.0</v>
      </c>
      <c r="B60" s="14" t="s">
        <v>271</v>
      </c>
      <c r="C60" s="14" t="s">
        <v>52</v>
      </c>
      <c r="D60" s="14">
        <v>28.0</v>
      </c>
      <c r="G60" s="14"/>
      <c r="H60" s="14">
        <v>1.0</v>
      </c>
      <c r="I60" s="14">
        <v>5568.0</v>
      </c>
      <c r="J60" s="14">
        <v>5574.0</v>
      </c>
      <c r="K60" s="14">
        <f t="shared" si="1"/>
        <v>6</v>
      </c>
      <c r="L60" s="14">
        <v>6.0</v>
      </c>
      <c r="M60" s="14">
        <v>0.0</v>
      </c>
      <c r="N60" s="14">
        <v>0.0</v>
      </c>
      <c r="O60" s="14">
        <v>0.0</v>
      </c>
      <c r="P60" s="14">
        <v>3.0</v>
      </c>
      <c r="Q60" s="14">
        <v>0.0</v>
      </c>
      <c r="R60" s="14">
        <v>0.0</v>
      </c>
      <c r="S60" s="14"/>
      <c r="T60" s="31">
        <f t="shared" si="2"/>
        <v>9</v>
      </c>
      <c r="U60" s="14" t="s">
        <v>45</v>
      </c>
      <c r="V60" s="26"/>
      <c r="W60" s="14" t="s">
        <v>46</v>
      </c>
      <c r="Z60" s="14"/>
      <c r="AA60" s="14" t="str">
        <f t="shared" si="3"/>
        <v/>
      </c>
      <c r="AB60" s="14">
        <f t="shared" si="4"/>
        <v>0</v>
      </c>
      <c r="AC60" s="14">
        <f t="shared" si="5"/>
        <v>9</v>
      </c>
      <c r="AD60" s="14">
        <f t="shared" ref="AD60:AD69" si="14">IF(ISBLANK(W60),0,1)</f>
        <v>1</v>
      </c>
    </row>
    <row r="61" ht="15.75" customHeight="1">
      <c r="A61" s="14">
        <v>60.0</v>
      </c>
      <c r="B61" s="14" t="s">
        <v>273</v>
      </c>
      <c r="C61" s="14" t="s">
        <v>52</v>
      </c>
      <c r="D61" s="14">
        <v>30.0</v>
      </c>
      <c r="G61" s="14"/>
      <c r="H61" s="14">
        <v>1.0</v>
      </c>
      <c r="I61" s="14">
        <v>3491.0</v>
      </c>
      <c r="J61" s="14">
        <v>3514.0</v>
      </c>
      <c r="K61" s="14">
        <f t="shared" si="1"/>
        <v>23</v>
      </c>
      <c r="L61" s="14">
        <v>23.0</v>
      </c>
      <c r="M61" s="14">
        <v>0.0</v>
      </c>
      <c r="N61" s="14">
        <v>0.0</v>
      </c>
      <c r="O61" s="14">
        <v>0.0</v>
      </c>
      <c r="P61" s="14">
        <v>3.0</v>
      </c>
      <c r="Q61" s="36">
        <v>0.0</v>
      </c>
      <c r="R61" s="36">
        <v>30.0</v>
      </c>
      <c r="S61" s="14"/>
      <c r="T61" s="31">
        <f t="shared" si="2"/>
        <v>56</v>
      </c>
      <c r="U61" s="42" t="s">
        <v>45</v>
      </c>
      <c r="V61" s="26"/>
      <c r="W61" s="14"/>
      <c r="Y61" s="14"/>
      <c r="Z61" s="14"/>
      <c r="AA61" s="14" t="str">
        <f t="shared" si="3"/>
        <v/>
      </c>
      <c r="AB61" s="14">
        <f t="shared" si="4"/>
        <v>56</v>
      </c>
      <c r="AC61" s="14">
        <f t="shared" si="5"/>
        <v>0</v>
      </c>
      <c r="AD61" s="14">
        <f t="shared" si="14"/>
        <v>0</v>
      </c>
    </row>
    <row r="62" ht="15.75" hidden="1" customHeight="1">
      <c r="A62" s="14">
        <v>61.0</v>
      </c>
      <c r="B62" s="14" t="s">
        <v>275</v>
      </c>
      <c r="C62" s="14" t="s">
        <v>52</v>
      </c>
      <c r="D62" s="14">
        <v>31.0</v>
      </c>
      <c r="G62" s="14"/>
      <c r="H62" s="14">
        <v>1.0</v>
      </c>
      <c r="I62" s="14">
        <v>661.0</v>
      </c>
      <c r="J62" s="14">
        <v>668.0</v>
      </c>
      <c r="K62" s="14">
        <f t="shared" si="1"/>
        <v>7</v>
      </c>
      <c r="L62" s="14">
        <v>7.0</v>
      </c>
      <c r="M62" s="14">
        <v>0.0</v>
      </c>
      <c r="N62" s="14">
        <v>0.0</v>
      </c>
      <c r="O62" s="14">
        <v>0.0</v>
      </c>
      <c r="P62" s="14">
        <v>3.0</v>
      </c>
      <c r="Q62" s="36">
        <v>0.0</v>
      </c>
      <c r="R62" s="36">
        <v>30.0</v>
      </c>
      <c r="S62" s="14"/>
      <c r="T62" s="31">
        <f t="shared" si="2"/>
        <v>40</v>
      </c>
      <c r="U62" s="14"/>
      <c r="V62" s="26"/>
      <c r="W62" s="14"/>
      <c r="Z62" s="14"/>
      <c r="AA62" s="14" t="str">
        <f t="shared" si="3"/>
        <v/>
      </c>
      <c r="AB62" s="14">
        <f t="shared" si="4"/>
        <v>0</v>
      </c>
      <c r="AC62" s="14">
        <f t="shared" si="5"/>
        <v>0</v>
      </c>
      <c r="AD62" s="14">
        <f t="shared" si="14"/>
        <v>0</v>
      </c>
    </row>
    <row r="63" ht="15.75" customHeight="1">
      <c r="A63" s="14">
        <v>62.0</v>
      </c>
      <c r="B63" s="14" t="s">
        <v>277</v>
      </c>
      <c r="C63" s="14" t="s">
        <v>52</v>
      </c>
      <c r="D63" s="14">
        <v>32.0</v>
      </c>
      <c r="G63" s="14"/>
      <c r="H63" s="14">
        <v>1.0</v>
      </c>
      <c r="I63" s="14">
        <v>1666.0</v>
      </c>
      <c r="J63" s="14">
        <v>1669.0</v>
      </c>
      <c r="K63" s="14">
        <f t="shared" si="1"/>
        <v>3</v>
      </c>
      <c r="L63" s="14">
        <v>5.0</v>
      </c>
      <c r="M63" s="14">
        <v>0.0</v>
      </c>
      <c r="N63" s="14">
        <v>0.0</v>
      </c>
      <c r="O63" s="14">
        <v>0.0</v>
      </c>
      <c r="P63" s="14">
        <v>3.0</v>
      </c>
      <c r="Q63" s="36">
        <v>0.0</v>
      </c>
      <c r="R63" s="36">
        <v>30.0</v>
      </c>
      <c r="S63" s="14"/>
      <c r="T63" s="31">
        <f t="shared" si="2"/>
        <v>38</v>
      </c>
      <c r="U63" s="42" t="s">
        <v>45</v>
      </c>
      <c r="V63" s="26"/>
      <c r="W63" s="14"/>
      <c r="Z63" s="14"/>
      <c r="AA63" s="14" t="str">
        <f t="shared" si="3"/>
        <v/>
      </c>
      <c r="AB63" s="14">
        <f t="shared" si="4"/>
        <v>38</v>
      </c>
      <c r="AC63" s="14">
        <f t="shared" si="5"/>
        <v>0</v>
      </c>
      <c r="AD63" s="14">
        <f t="shared" si="14"/>
        <v>0</v>
      </c>
    </row>
    <row r="64" ht="15.75" customHeight="1">
      <c r="A64" s="14">
        <v>63.0</v>
      </c>
      <c r="B64" s="14" t="s">
        <v>278</v>
      </c>
      <c r="C64" s="14" t="s">
        <v>52</v>
      </c>
      <c r="D64" s="14">
        <v>33.0</v>
      </c>
      <c r="E64" s="14"/>
      <c r="G64" s="14"/>
      <c r="H64" s="14">
        <v>1.0</v>
      </c>
      <c r="I64" s="14">
        <v>278.0</v>
      </c>
      <c r="J64" s="14">
        <v>292.0</v>
      </c>
      <c r="K64" s="14">
        <f t="shared" si="1"/>
        <v>14</v>
      </c>
      <c r="L64" s="14">
        <v>14.0</v>
      </c>
      <c r="M64" s="14">
        <v>0.0</v>
      </c>
      <c r="N64" s="14">
        <v>0.0</v>
      </c>
      <c r="O64" s="14">
        <v>0.0</v>
      </c>
      <c r="P64" s="14">
        <v>3.0</v>
      </c>
      <c r="Q64" s="14">
        <v>0.0</v>
      </c>
      <c r="R64" s="14">
        <v>0.0</v>
      </c>
      <c r="S64" s="14"/>
      <c r="T64" s="31">
        <f t="shared" si="2"/>
        <v>17</v>
      </c>
      <c r="U64" s="14" t="s">
        <v>45</v>
      </c>
      <c r="W64" s="14" t="s">
        <v>46</v>
      </c>
      <c r="Z64" s="14"/>
      <c r="AA64" s="14" t="str">
        <f t="shared" si="3"/>
        <v/>
      </c>
      <c r="AB64" s="14">
        <f t="shared" si="4"/>
        <v>0</v>
      </c>
      <c r="AC64" s="14">
        <f t="shared" si="5"/>
        <v>17</v>
      </c>
      <c r="AD64" s="14">
        <f t="shared" si="14"/>
        <v>1</v>
      </c>
    </row>
    <row r="65" ht="15.75" customHeight="1">
      <c r="A65" s="14">
        <v>64.0</v>
      </c>
      <c r="B65" s="14" t="s">
        <v>280</v>
      </c>
      <c r="C65" s="14" t="s">
        <v>52</v>
      </c>
      <c r="D65" s="14">
        <v>34.0</v>
      </c>
      <c r="G65" s="14"/>
      <c r="H65" s="14">
        <v>1.0</v>
      </c>
      <c r="I65" s="14">
        <v>5.0</v>
      </c>
      <c r="J65" s="14">
        <v>8.0</v>
      </c>
      <c r="K65" s="14">
        <f t="shared" si="1"/>
        <v>3</v>
      </c>
      <c r="L65" s="14">
        <v>5.0</v>
      </c>
      <c r="M65" s="14">
        <v>0.0</v>
      </c>
      <c r="N65" s="14">
        <v>0.0</v>
      </c>
      <c r="O65" s="14">
        <v>0.0</v>
      </c>
      <c r="P65" s="14">
        <v>3.0</v>
      </c>
      <c r="Q65" s="14">
        <v>0.0</v>
      </c>
      <c r="R65" s="14">
        <v>0.0</v>
      </c>
      <c r="S65" s="14"/>
      <c r="T65" s="31">
        <f t="shared" si="2"/>
        <v>8</v>
      </c>
      <c r="U65" s="14" t="s">
        <v>45</v>
      </c>
      <c r="V65" s="26"/>
      <c r="W65" s="14" t="s">
        <v>46</v>
      </c>
      <c r="Z65" s="14"/>
      <c r="AA65" s="14" t="str">
        <f t="shared" si="3"/>
        <v/>
      </c>
      <c r="AB65" s="14">
        <f t="shared" si="4"/>
        <v>0</v>
      </c>
      <c r="AC65" s="14">
        <f t="shared" si="5"/>
        <v>8</v>
      </c>
      <c r="AD65" s="14">
        <f t="shared" si="14"/>
        <v>1</v>
      </c>
    </row>
    <row r="66" ht="15.75" customHeight="1">
      <c r="A66" s="14">
        <v>65.0</v>
      </c>
      <c r="B66" s="14" t="s">
        <v>282</v>
      </c>
      <c r="C66" s="36" t="s">
        <v>52</v>
      </c>
      <c r="D66" s="14">
        <v>35.0</v>
      </c>
      <c r="E66" s="14" t="s">
        <v>52</v>
      </c>
      <c r="G66" s="14"/>
      <c r="H66" s="14">
        <v>1.0</v>
      </c>
      <c r="I66" s="14">
        <v>565.0</v>
      </c>
      <c r="J66" s="14">
        <v>575.0</v>
      </c>
      <c r="K66" s="14">
        <f t="shared" si="1"/>
        <v>10</v>
      </c>
      <c r="L66" s="14">
        <v>10.0</v>
      </c>
      <c r="M66" s="14">
        <v>11.0</v>
      </c>
      <c r="N66" s="14">
        <v>0.0</v>
      </c>
      <c r="O66" s="14"/>
      <c r="P66" s="14">
        <v>3.0</v>
      </c>
      <c r="Q66" s="36">
        <v>0.0</v>
      </c>
      <c r="R66" s="36"/>
      <c r="S66" s="23"/>
      <c r="T66" s="31">
        <f t="shared" si="2"/>
        <v>24</v>
      </c>
      <c r="U66" s="23" t="s">
        <v>45</v>
      </c>
      <c r="V66" s="26"/>
      <c r="W66" s="23" t="s">
        <v>46</v>
      </c>
      <c r="X66" s="14"/>
      <c r="Y66" s="43" t="s">
        <v>245</v>
      </c>
      <c r="Z66" s="14"/>
      <c r="AA66" s="14" t="str">
        <f t="shared" si="3"/>
        <v/>
      </c>
      <c r="AB66" s="14">
        <f t="shared" si="4"/>
        <v>0</v>
      </c>
      <c r="AC66" s="14">
        <f t="shared" si="5"/>
        <v>24</v>
      </c>
      <c r="AD66" s="14">
        <f t="shared" si="14"/>
        <v>1</v>
      </c>
    </row>
    <row r="67" ht="15.75" customHeight="1">
      <c r="A67" s="14">
        <v>66.0</v>
      </c>
      <c r="B67" s="14" t="s">
        <v>284</v>
      </c>
      <c r="C67" s="14" t="s">
        <v>52</v>
      </c>
      <c r="D67" s="14">
        <v>36.0</v>
      </c>
      <c r="G67" s="14"/>
      <c r="H67" s="14">
        <v>1.0</v>
      </c>
      <c r="I67" s="14">
        <v>251.0</v>
      </c>
      <c r="J67" s="14">
        <v>254.0</v>
      </c>
      <c r="K67" s="14">
        <f t="shared" si="1"/>
        <v>3</v>
      </c>
      <c r="L67" s="14">
        <v>5.0</v>
      </c>
      <c r="M67" s="14">
        <v>0.0</v>
      </c>
      <c r="N67" s="14">
        <v>0.0</v>
      </c>
      <c r="O67" s="14">
        <v>0.0</v>
      </c>
      <c r="P67" s="14">
        <v>3.0</v>
      </c>
      <c r="Q67" s="36">
        <v>0.0</v>
      </c>
      <c r="R67" s="36"/>
      <c r="S67" s="14"/>
      <c r="T67" s="31">
        <f t="shared" si="2"/>
        <v>8</v>
      </c>
      <c r="U67" s="14" t="s">
        <v>45</v>
      </c>
      <c r="V67" s="26"/>
      <c r="W67" s="14" t="s">
        <v>46</v>
      </c>
      <c r="Y67" s="43" t="s">
        <v>245</v>
      </c>
      <c r="Z67" s="14"/>
      <c r="AA67" s="14" t="str">
        <f t="shared" si="3"/>
        <v/>
      </c>
      <c r="AB67" s="14">
        <f t="shared" si="4"/>
        <v>0</v>
      </c>
      <c r="AC67" s="14">
        <f t="shared" si="5"/>
        <v>8</v>
      </c>
      <c r="AD67" s="14">
        <f t="shared" si="14"/>
        <v>1</v>
      </c>
    </row>
    <row r="68" ht="15.75" customHeight="1">
      <c r="A68" s="14">
        <v>67.0</v>
      </c>
      <c r="B68" s="14" t="s">
        <v>287</v>
      </c>
      <c r="C68" s="14" t="s">
        <v>52</v>
      </c>
      <c r="D68" s="14">
        <v>37.0</v>
      </c>
      <c r="G68" s="14"/>
      <c r="H68" s="14">
        <v>1.0</v>
      </c>
      <c r="I68" s="14">
        <v>255.0</v>
      </c>
      <c r="J68" s="14">
        <v>262.0</v>
      </c>
      <c r="K68" s="14">
        <f t="shared" si="1"/>
        <v>7</v>
      </c>
      <c r="L68" s="14">
        <v>7.0</v>
      </c>
      <c r="M68" s="14">
        <v>9.0</v>
      </c>
      <c r="N68" s="14">
        <v>0.0</v>
      </c>
      <c r="O68" s="14">
        <v>0.0</v>
      </c>
      <c r="P68" s="14">
        <v>3.0</v>
      </c>
      <c r="Q68" s="14">
        <v>0.0</v>
      </c>
      <c r="R68" s="14">
        <v>0.0</v>
      </c>
      <c r="S68" s="14"/>
      <c r="T68" s="31">
        <f t="shared" si="2"/>
        <v>19</v>
      </c>
      <c r="U68" s="23" t="s">
        <v>45</v>
      </c>
      <c r="V68" s="26"/>
      <c r="W68" s="23" t="s">
        <v>46</v>
      </c>
      <c r="Z68" s="14"/>
      <c r="AA68" s="14" t="str">
        <f t="shared" si="3"/>
        <v/>
      </c>
      <c r="AB68" s="14">
        <f t="shared" si="4"/>
        <v>0</v>
      </c>
      <c r="AC68" s="14">
        <f t="shared" si="5"/>
        <v>19</v>
      </c>
      <c r="AD68" s="14">
        <f t="shared" si="14"/>
        <v>1</v>
      </c>
    </row>
    <row r="69" ht="15.75" customHeight="1">
      <c r="A69" s="14">
        <v>68.0</v>
      </c>
      <c r="B69" s="14" t="s">
        <v>290</v>
      </c>
      <c r="C69" s="14" t="s">
        <v>52</v>
      </c>
      <c r="D69" s="14">
        <v>42.0</v>
      </c>
      <c r="E69" s="14"/>
      <c r="G69" s="14"/>
      <c r="H69" s="14">
        <v>1.0</v>
      </c>
      <c r="I69" s="14">
        <v>257.0</v>
      </c>
      <c r="J69" s="14">
        <v>265.0</v>
      </c>
      <c r="K69" s="14">
        <f t="shared" si="1"/>
        <v>8</v>
      </c>
      <c r="L69" s="14">
        <v>8.0</v>
      </c>
      <c r="M69" s="14">
        <v>0.0</v>
      </c>
      <c r="N69" s="14">
        <v>0.0</v>
      </c>
      <c r="O69" s="14">
        <v>0.0</v>
      </c>
      <c r="P69" s="14">
        <v>3.0</v>
      </c>
      <c r="Q69" s="36">
        <v>0.0</v>
      </c>
      <c r="R69" s="36">
        <v>30.0</v>
      </c>
      <c r="S69" s="14"/>
      <c r="T69" s="31">
        <f t="shared" si="2"/>
        <v>41</v>
      </c>
      <c r="U69" s="14" t="s">
        <v>45</v>
      </c>
      <c r="V69" s="26"/>
      <c r="W69" s="14" t="s">
        <v>46</v>
      </c>
      <c r="Z69" s="14"/>
      <c r="AA69" s="14" t="str">
        <f t="shared" si="3"/>
        <v/>
      </c>
      <c r="AB69" s="14">
        <f t="shared" si="4"/>
        <v>0</v>
      </c>
      <c r="AC69" s="14">
        <f t="shared" si="5"/>
        <v>41</v>
      </c>
      <c r="AD69" s="14">
        <f t="shared" si="14"/>
        <v>1</v>
      </c>
    </row>
    <row r="70" ht="15.75" hidden="1" customHeight="1">
      <c r="A70" s="14">
        <v>69.0</v>
      </c>
      <c r="B70" s="14" t="s">
        <v>293</v>
      </c>
      <c r="C70" s="36" t="s">
        <v>52</v>
      </c>
      <c r="D70" s="14">
        <v>45.0</v>
      </c>
      <c r="E70" s="14" t="s">
        <v>128</v>
      </c>
      <c r="G70" s="14"/>
      <c r="H70" s="14">
        <v>1.0</v>
      </c>
      <c r="I70" s="14">
        <v>0.0</v>
      </c>
      <c r="J70" s="14">
        <v>0.0</v>
      </c>
      <c r="K70" s="14">
        <f t="shared" si="1"/>
        <v>0</v>
      </c>
      <c r="L70" s="14">
        <v>5.0</v>
      </c>
      <c r="M70" s="14">
        <v>0.0</v>
      </c>
      <c r="N70" s="14">
        <v>0.0</v>
      </c>
      <c r="O70" s="14">
        <v>100.0</v>
      </c>
      <c r="P70" s="14">
        <v>3.0</v>
      </c>
      <c r="Q70" s="14">
        <v>0.0</v>
      </c>
      <c r="R70" s="14">
        <v>0.0</v>
      </c>
      <c r="S70" s="14"/>
      <c r="T70" s="31">
        <f t="shared" si="2"/>
        <v>108</v>
      </c>
      <c r="U70" s="14"/>
      <c r="V70" s="26"/>
      <c r="W70" s="14"/>
      <c r="Z70" s="14"/>
      <c r="AA70" s="14" t="str">
        <f t="shared" si="3"/>
        <v/>
      </c>
      <c r="AB70" s="14">
        <f t="shared" si="4"/>
        <v>0</v>
      </c>
      <c r="AC70" s="14">
        <f t="shared" si="5"/>
        <v>0</v>
      </c>
      <c r="AD70" s="14"/>
    </row>
    <row r="71" ht="15.75" hidden="1" customHeight="1">
      <c r="A71" s="14">
        <v>70.0</v>
      </c>
      <c r="B71" s="14" t="s">
        <v>296</v>
      </c>
      <c r="C71" s="14" t="s">
        <v>67</v>
      </c>
      <c r="D71" s="14">
        <v>1.0</v>
      </c>
      <c r="G71" s="14"/>
      <c r="H71" s="14">
        <v>1.0</v>
      </c>
      <c r="I71" s="14">
        <v>1760.0</v>
      </c>
      <c r="J71" s="14">
        <v>1766.0</v>
      </c>
      <c r="K71" s="14">
        <f t="shared" si="1"/>
        <v>6</v>
      </c>
      <c r="L71" s="14">
        <v>6.0</v>
      </c>
      <c r="M71" s="14">
        <v>0.0</v>
      </c>
      <c r="N71" s="14">
        <v>0.0</v>
      </c>
      <c r="O71" s="14">
        <v>0.0</v>
      </c>
      <c r="P71" s="14">
        <v>3.0</v>
      </c>
      <c r="Q71" s="14">
        <v>0.0</v>
      </c>
      <c r="R71" s="14">
        <v>0.0</v>
      </c>
      <c r="S71" s="14"/>
      <c r="T71" s="31">
        <f t="shared" si="2"/>
        <v>9</v>
      </c>
      <c r="U71" s="14"/>
      <c r="V71" s="26"/>
      <c r="W71" s="14"/>
      <c r="Z71" s="14"/>
      <c r="AA71" s="14" t="str">
        <f t="shared" si="3"/>
        <v/>
      </c>
      <c r="AB71" s="14">
        <f t="shared" si="4"/>
        <v>0</v>
      </c>
      <c r="AC71" s="14">
        <f t="shared" si="5"/>
        <v>0</v>
      </c>
      <c r="AD71" s="14"/>
    </row>
    <row r="72" ht="15.75" hidden="1" customHeight="1">
      <c r="A72" s="14">
        <v>71.0</v>
      </c>
      <c r="B72" s="14" t="s">
        <v>299</v>
      </c>
      <c r="C72" s="14" t="s">
        <v>67</v>
      </c>
      <c r="D72" s="14">
        <v>2.0</v>
      </c>
      <c r="G72" s="14"/>
      <c r="H72" s="14">
        <v>1.0</v>
      </c>
      <c r="I72" s="14">
        <v>2205.0</v>
      </c>
      <c r="J72" s="14">
        <v>2224.0</v>
      </c>
      <c r="K72" s="14">
        <f t="shared" si="1"/>
        <v>19</v>
      </c>
      <c r="L72" s="14">
        <v>19.0</v>
      </c>
      <c r="M72" s="14">
        <v>0.0</v>
      </c>
      <c r="N72" s="14">
        <v>0.0</v>
      </c>
      <c r="O72" s="14">
        <v>0.0</v>
      </c>
      <c r="P72" s="14">
        <v>3.0</v>
      </c>
      <c r="Q72" s="36">
        <v>0.0</v>
      </c>
      <c r="R72" s="36">
        <v>30.0</v>
      </c>
      <c r="S72" s="14"/>
      <c r="T72" s="31">
        <f t="shared" si="2"/>
        <v>52</v>
      </c>
      <c r="U72" s="14"/>
      <c r="V72" s="26"/>
      <c r="W72" s="14"/>
      <c r="Z72" s="14"/>
      <c r="AA72" s="14" t="str">
        <f t="shared" si="3"/>
        <v/>
      </c>
      <c r="AB72" s="14">
        <f t="shared" si="4"/>
        <v>0</v>
      </c>
      <c r="AC72" s="14">
        <f t="shared" si="5"/>
        <v>0</v>
      </c>
      <c r="AD72" s="14"/>
    </row>
    <row r="73" ht="15.75" customHeight="1">
      <c r="A73" s="14">
        <v>72.0</v>
      </c>
      <c r="B73" s="14" t="s">
        <v>300</v>
      </c>
      <c r="C73" s="14" t="s">
        <v>67</v>
      </c>
      <c r="D73" s="14">
        <v>3.0</v>
      </c>
      <c r="G73" s="14"/>
      <c r="H73" s="14">
        <v>1.0</v>
      </c>
      <c r="I73" s="14">
        <v>1339.0</v>
      </c>
      <c r="J73" s="14">
        <v>1349.0</v>
      </c>
      <c r="K73" s="14">
        <f t="shared" si="1"/>
        <v>10</v>
      </c>
      <c r="L73" s="14">
        <v>10.0</v>
      </c>
      <c r="M73" s="14">
        <v>0.0</v>
      </c>
      <c r="N73" s="14">
        <v>0.0</v>
      </c>
      <c r="O73" s="14">
        <v>0.0</v>
      </c>
      <c r="P73" s="14">
        <v>3.0</v>
      </c>
      <c r="Q73" s="36">
        <v>0.0</v>
      </c>
      <c r="R73" s="36"/>
      <c r="S73" s="14"/>
      <c r="T73" s="31">
        <f t="shared" si="2"/>
        <v>13</v>
      </c>
      <c r="U73" s="42" t="s">
        <v>45</v>
      </c>
      <c r="V73" s="26"/>
      <c r="W73" s="14"/>
      <c r="Y73" s="43" t="s">
        <v>245</v>
      </c>
      <c r="Z73" s="14"/>
      <c r="AA73" s="14" t="str">
        <f t="shared" si="3"/>
        <v/>
      </c>
      <c r="AB73" s="14">
        <f t="shared" si="4"/>
        <v>13</v>
      </c>
      <c r="AC73" s="14">
        <f t="shared" si="5"/>
        <v>0</v>
      </c>
      <c r="AD73" s="14">
        <f>IF(ISBLANK(W73),0,1)</f>
        <v>0</v>
      </c>
    </row>
    <row r="74" ht="15.75" hidden="1" customHeight="1">
      <c r="A74" s="14">
        <v>73.0</v>
      </c>
      <c r="B74" s="14" t="s">
        <v>304</v>
      </c>
      <c r="C74" s="14" t="s">
        <v>67</v>
      </c>
      <c r="D74" s="14">
        <v>4.0</v>
      </c>
      <c r="E74" s="14"/>
      <c r="G74" s="14"/>
      <c r="H74" s="14">
        <v>1.0</v>
      </c>
      <c r="I74" s="14">
        <v>274.0</v>
      </c>
      <c r="J74" s="14">
        <v>291.0</v>
      </c>
      <c r="K74" s="14">
        <f t="shared" si="1"/>
        <v>17</v>
      </c>
      <c r="L74" s="14">
        <v>17.0</v>
      </c>
      <c r="M74" s="14">
        <v>0.0</v>
      </c>
      <c r="N74" s="14">
        <v>0.0</v>
      </c>
      <c r="O74" s="14">
        <v>0.0</v>
      </c>
      <c r="P74" s="14">
        <v>3.0</v>
      </c>
      <c r="Q74" s="36">
        <v>0.0</v>
      </c>
      <c r="R74" s="36">
        <v>30.0</v>
      </c>
      <c r="S74" s="14"/>
      <c r="T74" s="31">
        <f t="shared" si="2"/>
        <v>50</v>
      </c>
      <c r="U74" s="14"/>
      <c r="V74" s="26"/>
      <c r="W74" s="14"/>
      <c r="Z74" s="14"/>
      <c r="AA74" s="14" t="str">
        <f t="shared" si="3"/>
        <v/>
      </c>
      <c r="AB74" s="14">
        <f t="shared" si="4"/>
        <v>0</v>
      </c>
      <c r="AC74" s="14">
        <f t="shared" si="5"/>
        <v>0</v>
      </c>
      <c r="AD74" s="14"/>
    </row>
    <row r="75" ht="15.75" customHeight="1">
      <c r="A75" s="14">
        <v>74.0</v>
      </c>
      <c r="B75" s="14" t="s">
        <v>306</v>
      </c>
      <c r="C75" s="14" t="s">
        <v>67</v>
      </c>
      <c r="D75" s="14">
        <v>5.0</v>
      </c>
      <c r="G75" s="14"/>
      <c r="H75" s="14">
        <v>1.0</v>
      </c>
      <c r="I75" s="14">
        <v>509.0</v>
      </c>
      <c r="J75" s="14">
        <v>525.0</v>
      </c>
      <c r="K75" s="14">
        <f t="shared" si="1"/>
        <v>16</v>
      </c>
      <c r="L75" s="14">
        <v>16.0</v>
      </c>
      <c r="M75" s="14">
        <v>0.0</v>
      </c>
      <c r="N75" s="14">
        <v>0.0</v>
      </c>
      <c r="O75" s="14">
        <v>0.0</v>
      </c>
      <c r="P75" s="14">
        <v>3.0</v>
      </c>
      <c r="Q75" s="14">
        <v>0.0</v>
      </c>
      <c r="R75" s="14">
        <v>0.0</v>
      </c>
      <c r="S75" s="14"/>
      <c r="T75" s="31">
        <f t="shared" si="2"/>
        <v>19</v>
      </c>
      <c r="U75" s="42" t="s">
        <v>45</v>
      </c>
      <c r="W75" s="14"/>
      <c r="Z75" s="14"/>
      <c r="AA75" s="14" t="str">
        <f t="shared" si="3"/>
        <v/>
      </c>
      <c r="AB75" s="14">
        <f t="shared" si="4"/>
        <v>19</v>
      </c>
      <c r="AC75" s="14">
        <f t="shared" si="5"/>
        <v>0</v>
      </c>
      <c r="AD75" s="14"/>
    </row>
    <row r="76" ht="15.75" hidden="1" customHeight="1">
      <c r="A76" s="14">
        <v>75.0</v>
      </c>
      <c r="B76" s="14" t="s">
        <v>309</v>
      </c>
      <c r="C76" s="14" t="s">
        <v>67</v>
      </c>
      <c r="D76" s="14">
        <v>6.0</v>
      </c>
      <c r="G76" s="14"/>
      <c r="H76" s="14">
        <v>1.0</v>
      </c>
      <c r="I76" s="14">
        <v>8034.0</v>
      </c>
      <c r="J76" s="14">
        <v>8092.0</v>
      </c>
      <c r="K76" s="14">
        <f t="shared" si="1"/>
        <v>58</v>
      </c>
      <c r="L76" s="14">
        <v>58.0</v>
      </c>
      <c r="M76" s="14">
        <v>25.0</v>
      </c>
      <c r="N76" s="14">
        <v>0.0</v>
      </c>
      <c r="O76" s="14">
        <v>0.0</v>
      </c>
      <c r="P76" s="14">
        <v>3.0</v>
      </c>
      <c r="Q76" s="36">
        <v>0.0</v>
      </c>
      <c r="R76" s="36"/>
      <c r="S76" s="14"/>
      <c r="T76" s="31">
        <f t="shared" si="2"/>
        <v>86</v>
      </c>
      <c r="U76" s="14"/>
      <c r="W76" s="14"/>
      <c r="Y76" s="57" t="s">
        <v>312</v>
      </c>
      <c r="Z76" s="14"/>
      <c r="AA76" s="14" t="str">
        <f t="shared" si="3"/>
        <v>CORTE</v>
      </c>
      <c r="AB76" s="14">
        <f t="shared" si="4"/>
        <v>0</v>
      </c>
      <c r="AC76" s="14">
        <f t="shared" si="5"/>
        <v>0</v>
      </c>
      <c r="AD76" s="14">
        <f>IF(ISBLANK(W76),0,1)</f>
        <v>0</v>
      </c>
    </row>
    <row r="77" ht="15.75" customHeight="1">
      <c r="A77" s="14">
        <v>76.0</v>
      </c>
      <c r="B77" s="14" t="s">
        <v>313</v>
      </c>
      <c r="C77" s="14" t="s">
        <v>67</v>
      </c>
      <c r="D77" s="14">
        <v>7.0</v>
      </c>
      <c r="E77" s="14"/>
      <c r="F77" s="14">
        <v>1.0</v>
      </c>
      <c r="G77" s="14"/>
      <c r="H77" s="14">
        <v>1.0</v>
      </c>
      <c r="I77" s="14">
        <v>5312.0</v>
      </c>
      <c r="J77" s="14">
        <v>5378.0</v>
      </c>
      <c r="K77" s="14">
        <f t="shared" si="1"/>
        <v>66</v>
      </c>
      <c r="L77" s="14">
        <v>66.0</v>
      </c>
      <c r="M77" s="14">
        <v>0.0</v>
      </c>
      <c r="N77" s="14">
        <v>0.0</v>
      </c>
      <c r="O77" s="14">
        <v>0.0</v>
      </c>
      <c r="P77" s="14">
        <v>3.0</v>
      </c>
      <c r="Q77" s="14">
        <v>0.0</v>
      </c>
      <c r="R77" s="14">
        <v>0.0</v>
      </c>
      <c r="S77" s="14"/>
      <c r="T77" s="31">
        <f t="shared" si="2"/>
        <v>69</v>
      </c>
      <c r="U77" s="14" t="s">
        <v>45</v>
      </c>
      <c r="V77" s="26"/>
      <c r="W77" s="14" t="s">
        <v>46</v>
      </c>
      <c r="Z77" s="14"/>
      <c r="AA77" s="14" t="str">
        <f t="shared" si="3"/>
        <v/>
      </c>
      <c r="AB77" s="14">
        <f t="shared" si="4"/>
        <v>0</v>
      </c>
      <c r="AC77" s="14">
        <f t="shared" si="5"/>
        <v>69</v>
      </c>
      <c r="AD77" s="14"/>
    </row>
    <row r="78" ht="15.75" customHeight="1">
      <c r="A78" s="14">
        <v>77.0</v>
      </c>
      <c r="B78" s="14" t="s">
        <v>315</v>
      </c>
      <c r="C78" s="14" t="s">
        <v>67</v>
      </c>
      <c r="D78" s="14">
        <v>8.0</v>
      </c>
      <c r="G78" s="14"/>
      <c r="H78" s="14">
        <v>1.0</v>
      </c>
      <c r="I78" s="14">
        <v>1760.0</v>
      </c>
      <c r="J78" s="14">
        <v>1767.0</v>
      </c>
      <c r="K78" s="14">
        <f t="shared" si="1"/>
        <v>7</v>
      </c>
      <c r="L78" s="14">
        <v>7.0</v>
      </c>
      <c r="M78" s="14">
        <v>9.0</v>
      </c>
      <c r="N78" s="14">
        <v>0.0</v>
      </c>
      <c r="O78" s="14">
        <v>0.0</v>
      </c>
      <c r="P78" s="14">
        <v>3.0</v>
      </c>
      <c r="Q78" s="36">
        <v>0.0</v>
      </c>
      <c r="R78" s="40">
        <v>10.0</v>
      </c>
      <c r="S78" s="14"/>
      <c r="T78" s="31">
        <f t="shared" si="2"/>
        <v>29</v>
      </c>
      <c r="U78" s="42" t="s">
        <v>45</v>
      </c>
      <c r="V78" s="26"/>
      <c r="W78" s="14"/>
      <c r="Y78" s="23" t="s">
        <v>317</v>
      </c>
      <c r="Z78" s="14"/>
      <c r="AA78" s="14" t="str">
        <f t="shared" si="3"/>
        <v/>
      </c>
      <c r="AB78" s="14">
        <f t="shared" si="4"/>
        <v>29</v>
      </c>
      <c r="AC78" s="14">
        <f t="shared" si="5"/>
        <v>0</v>
      </c>
      <c r="AD78" s="14">
        <f>IF(ISBLANK(W78),0,1)</f>
        <v>0</v>
      </c>
    </row>
    <row r="79" ht="15.75" customHeight="1">
      <c r="A79" s="14">
        <v>78.0</v>
      </c>
      <c r="B79" s="14" t="s">
        <v>319</v>
      </c>
      <c r="C79" s="14" t="s">
        <v>67</v>
      </c>
      <c r="D79" s="14">
        <v>9.0</v>
      </c>
      <c r="E79" s="14"/>
      <c r="F79" s="14">
        <v>1.0</v>
      </c>
      <c r="G79" s="14"/>
      <c r="H79" s="14">
        <v>1.0</v>
      </c>
      <c r="I79" s="14">
        <v>4072.0</v>
      </c>
      <c r="J79" s="14">
        <v>4083.0</v>
      </c>
      <c r="K79" s="14">
        <f t="shared" si="1"/>
        <v>11</v>
      </c>
      <c r="L79" s="14">
        <v>11.0</v>
      </c>
      <c r="M79" s="14">
        <v>21.0</v>
      </c>
      <c r="N79" s="14"/>
      <c r="O79" s="14">
        <v>0.0</v>
      </c>
      <c r="P79" s="14">
        <v>3.0</v>
      </c>
      <c r="Q79" s="36">
        <v>0.0</v>
      </c>
      <c r="R79" s="36"/>
      <c r="S79" s="14"/>
      <c r="T79" s="31">
        <f t="shared" si="2"/>
        <v>35</v>
      </c>
      <c r="U79" s="14" t="s">
        <v>45</v>
      </c>
      <c r="V79" s="26"/>
      <c r="W79" s="14" t="s">
        <v>46</v>
      </c>
      <c r="Y79" s="23" t="s">
        <v>320</v>
      </c>
      <c r="Z79" s="14"/>
      <c r="AA79" s="14" t="str">
        <f t="shared" si="3"/>
        <v/>
      </c>
      <c r="AB79" s="14">
        <f t="shared" si="4"/>
        <v>0</v>
      </c>
      <c r="AC79" s="14">
        <f t="shared" si="5"/>
        <v>35</v>
      </c>
      <c r="AD79" s="14"/>
    </row>
    <row r="80" ht="15.75" customHeight="1">
      <c r="A80" s="14">
        <v>79.0</v>
      </c>
      <c r="B80" s="14" t="s">
        <v>322</v>
      </c>
      <c r="C80" s="14" t="s">
        <v>67</v>
      </c>
      <c r="D80" s="14">
        <v>10.0</v>
      </c>
      <c r="G80" s="14"/>
      <c r="H80" s="14">
        <v>1.0</v>
      </c>
      <c r="I80" s="14">
        <v>2827.0</v>
      </c>
      <c r="J80" s="14">
        <v>2838.0</v>
      </c>
      <c r="K80" s="14">
        <f t="shared" si="1"/>
        <v>11</v>
      </c>
      <c r="L80" s="14">
        <v>11.0</v>
      </c>
      <c r="M80" s="14">
        <v>0.0</v>
      </c>
      <c r="N80" s="14">
        <v>0.0</v>
      </c>
      <c r="O80" s="14">
        <v>0.0</v>
      </c>
      <c r="P80" s="14">
        <v>3.0</v>
      </c>
      <c r="Q80" s="14">
        <v>0.0</v>
      </c>
      <c r="R80" s="14">
        <v>0.0</v>
      </c>
      <c r="S80" s="14"/>
      <c r="T80" s="31">
        <f t="shared" si="2"/>
        <v>14</v>
      </c>
      <c r="U80" s="14" t="s">
        <v>45</v>
      </c>
      <c r="V80" s="26"/>
      <c r="W80" s="14" t="s">
        <v>46</v>
      </c>
      <c r="Z80" s="14"/>
      <c r="AA80" s="14" t="str">
        <f t="shared" si="3"/>
        <v/>
      </c>
      <c r="AB80" s="14">
        <f t="shared" si="4"/>
        <v>0</v>
      </c>
      <c r="AC80" s="14">
        <f t="shared" si="5"/>
        <v>14</v>
      </c>
      <c r="AD80" s="14">
        <f>IF(ISBLANK(W80),0,1)</f>
        <v>1</v>
      </c>
    </row>
    <row r="81" ht="15.75" customHeight="1">
      <c r="A81" s="14">
        <v>80.0</v>
      </c>
      <c r="B81" s="14" t="s">
        <v>323</v>
      </c>
      <c r="C81" s="14" t="s">
        <v>67</v>
      </c>
      <c r="D81" s="14">
        <v>11.0</v>
      </c>
      <c r="G81" s="14"/>
      <c r="H81" s="14">
        <v>1.0</v>
      </c>
      <c r="I81" s="14">
        <v>1031.0</v>
      </c>
      <c r="J81" s="14">
        <v>1042.0</v>
      </c>
      <c r="K81" s="14">
        <f t="shared" si="1"/>
        <v>11</v>
      </c>
      <c r="L81" s="14">
        <v>11.0</v>
      </c>
      <c r="M81" s="14">
        <v>0.0</v>
      </c>
      <c r="N81" s="14">
        <v>0.0</v>
      </c>
      <c r="O81" s="14">
        <v>0.0</v>
      </c>
      <c r="P81" s="14">
        <v>3.0</v>
      </c>
      <c r="Q81" s="36">
        <v>0.0</v>
      </c>
      <c r="R81" s="36">
        <v>30.0</v>
      </c>
      <c r="S81" s="14"/>
      <c r="T81" s="31">
        <f t="shared" si="2"/>
        <v>44</v>
      </c>
      <c r="U81" s="42" t="s">
        <v>45</v>
      </c>
      <c r="V81" s="26"/>
      <c r="W81" s="14"/>
      <c r="Z81" s="14"/>
      <c r="AA81" s="14" t="str">
        <f t="shared" si="3"/>
        <v/>
      </c>
      <c r="AB81" s="14">
        <f t="shared" si="4"/>
        <v>44</v>
      </c>
      <c r="AC81" s="14">
        <f t="shared" si="5"/>
        <v>0</v>
      </c>
      <c r="AD81" s="14"/>
    </row>
    <row r="82" ht="15.75" customHeight="1">
      <c r="A82" s="14">
        <v>81.0</v>
      </c>
      <c r="B82" s="14" t="s">
        <v>326</v>
      </c>
      <c r="C82" s="14" t="s">
        <v>67</v>
      </c>
      <c r="D82" s="14">
        <v>12.0</v>
      </c>
      <c r="E82" s="14"/>
      <c r="G82" s="14"/>
      <c r="H82" s="14">
        <v>1.0</v>
      </c>
      <c r="I82" s="14">
        <v>217.0</v>
      </c>
      <c r="J82" s="14">
        <v>227.0</v>
      </c>
      <c r="K82" s="14">
        <f t="shared" si="1"/>
        <v>10</v>
      </c>
      <c r="L82" s="14">
        <v>10.0</v>
      </c>
      <c r="M82" s="14">
        <v>22.0</v>
      </c>
      <c r="N82" s="14">
        <v>0.0</v>
      </c>
      <c r="O82" s="14">
        <v>0.0</v>
      </c>
      <c r="P82" s="14">
        <v>3.0</v>
      </c>
      <c r="Q82" s="14">
        <v>0.0</v>
      </c>
      <c r="R82" s="14">
        <v>0.0</v>
      </c>
      <c r="S82" s="14"/>
      <c r="T82" s="31">
        <f t="shared" si="2"/>
        <v>35</v>
      </c>
      <c r="U82" s="14" t="s">
        <v>45</v>
      </c>
      <c r="V82" s="26"/>
      <c r="W82" s="14" t="s">
        <v>46</v>
      </c>
      <c r="Z82" s="14"/>
      <c r="AA82" s="14" t="str">
        <f t="shared" si="3"/>
        <v/>
      </c>
      <c r="AB82" s="14">
        <f t="shared" si="4"/>
        <v>0</v>
      </c>
      <c r="AC82" s="14">
        <f t="shared" si="5"/>
        <v>35</v>
      </c>
      <c r="AD82" s="14">
        <f t="shared" ref="AD82:AD83" si="15">IF(ISBLANK(W82),0,1)</f>
        <v>1</v>
      </c>
    </row>
    <row r="83" ht="15.75" customHeight="1">
      <c r="A83" s="14">
        <v>82.0</v>
      </c>
      <c r="B83" s="14" t="s">
        <v>328</v>
      </c>
      <c r="C83" s="14" t="s">
        <v>67</v>
      </c>
      <c r="D83" s="14">
        <v>13.0</v>
      </c>
      <c r="G83" s="14"/>
      <c r="H83" s="14">
        <v>1.0</v>
      </c>
      <c r="I83" s="14">
        <v>427.0</v>
      </c>
      <c r="J83" s="14">
        <v>446.0</v>
      </c>
      <c r="K83" s="14">
        <f t="shared" si="1"/>
        <v>19</v>
      </c>
      <c r="L83" s="14">
        <v>19.0</v>
      </c>
      <c r="M83" s="14">
        <v>0.0</v>
      </c>
      <c r="N83" s="14">
        <v>0.0</v>
      </c>
      <c r="O83" s="14">
        <v>0.0</v>
      </c>
      <c r="P83" s="14">
        <v>3.0</v>
      </c>
      <c r="Q83" s="14">
        <v>0.0</v>
      </c>
      <c r="R83" s="14">
        <v>0.0</v>
      </c>
      <c r="S83" s="14"/>
      <c r="T83" s="31">
        <f t="shared" si="2"/>
        <v>22</v>
      </c>
      <c r="U83" s="14" t="s">
        <v>45</v>
      </c>
      <c r="V83" s="26"/>
      <c r="W83" s="14" t="s">
        <v>46</v>
      </c>
      <c r="Z83" s="14"/>
      <c r="AA83" s="14" t="str">
        <f t="shared" si="3"/>
        <v/>
      </c>
      <c r="AB83" s="14">
        <f t="shared" si="4"/>
        <v>0</v>
      </c>
      <c r="AC83" s="14">
        <f t="shared" si="5"/>
        <v>22</v>
      </c>
      <c r="AD83" s="14">
        <f t="shared" si="15"/>
        <v>1</v>
      </c>
    </row>
    <row r="84" ht="15.75" customHeight="1">
      <c r="A84" s="14">
        <v>83.0</v>
      </c>
      <c r="B84" s="14" t="s">
        <v>331</v>
      </c>
      <c r="C84" s="14" t="s">
        <v>67</v>
      </c>
      <c r="D84" s="14">
        <v>16.0</v>
      </c>
      <c r="G84" s="14"/>
      <c r="H84" s="14">
        <v>1.0</v>
      </c>
      <c r="I84" s="14">
        <v>1621.0</v>
      </c>
      <c r="J84" s="14">
        <v>1628.0</v>
      </c>
      <c r="K84" s="14">
        <f t="shared" si="1"/>
        <v>7</v>
      </c>
      <c r="L84" s="14">
        <v>7.0</v>
      </c>
      <c r="M84" s="14">
        <v>0.0</v>
      </c>
      <c r="N84" s="14">
        <v>0.0</v>
      </c>
      <c r="O84" s="14">
        <v>0.0</v>
      </c>
      <c r="P84" s="14">
        <v>3.0</v>
      </c>
      <c r="Q84" s="14">
        <v>0.0</v>
      </c>
      <c r="R84" s="14">
        <v>0.0</v>
      </c>
      <c r="S84" s="14"/>
      <c r="T84" s="31">
        <f t="shared" si="2"/>
        <v>10</v>
      </c>
      <c r="U84" s="14" t="s">
        <v>45</v>
      </c>
      <c r="V84" s="26"/>
      <c r="W84" s="14" t="s">
        <v>46</v>
      </c>
      <c r="Z84" s="14"/>
      <c r="AA84" s="14" t="str">
        <f t="shared" si="3"/>
        <v/>
      </c>
      <c r="AB84" s="14">
        <f t="shared" si="4"/>
        <v>0</v>
      </c>
      <c r="AC84" s="14">
        <f t="shared" si="5"/>
        <v>10</v>
      </c>
      <c r="AD84" s="14"/>
    </row>
    <row r="85" ht="15.75" customHeight="1">
      <c r="A85" s="14">
        <v>84.0</v>
      </c>
      <c r="B85" s="14" t="s">
        <v>333</v>
      </c>
      <c r="C85" s="14" t="s">
        <v>67</v>
      </c>
      <c r="D85" s="14">
        <v>17.0</v>
      </c>
      <c r="G85" s="14"/>
      <c r="H85" s="14">
        <v>1.0</v>
      </c>
      <c r="I85" s="14">
        <v>3032.0</v>
      </c>
      <c r="J85" s="14">
        <v>3056.0</v>
      </c>
      <c r="K85" s="14">
        <f t="shared" si="1"/>
        <v>24</v>
      </c>
      <c r="L85" s="14">
        <v>24.0</v>
      </c>
      <c r="M85" s="14">
        <v>0.0</v>
      </c>
      <c r="N85" s="14">
        <v>0.0</v>
      </c>
      <c r="O85" s="14">
        <v>0.0</v>
      </c>
      <c r="P85" s="14">
        <v>3.0</v>
      </c>
      <c r="Q85" s="36">
        <v>0.0</v>
      </c>
      <c r="R85" s="36">
        <v>30.0</v>
      </c>
      <c r="S85" s="14"/>
      <c r="T85" s="31">
        <f t="shared" si="2"/>
        <v>57</v>
      </c>
      <c r="U85" s="14" t="s">
        <v>45</v>
      </c>
      <c r="V85" s="26"/>
      <c r="W85" s="14" t="s">
        <v>46</v>
      </c>
      <c r="Z85" s="14"/>
      <c r="AA85" s="14" t="str">
        <f t="shared" si="3"/>
        <v/>
      </c>
      <c r="AB85" s="14">
        <f t="shared" si="4"/>
        <v>0</v>
      </c>
      <c r="AC85" s="14">
        <f t="shared" si="5"/>
        <v>57</v>
      </c>
      <c r="AD85" s="14"/>
    </row>
    <row r="86" ht="15.75" customHeight="1">
      <c r="A86" s="14">
        <v>85.0</v>
      </c>
      <c r="B86" s="14" t="s">
        <v>335</v>
      </c>
      <c r="C86" s="14" t="s">
        <v>67</v>
      </c>
      <c r="D86" s="14">
        <v>18.0</v>
      </c>
      <c r="G86" s="14"/>
      <c r="H86" s="14">
        <v>1.0</v>
      </c>
      <c r="I86" s="14">
        <v>882.0</v>
      </c>
      <c r="J86" s="14">
        <v>907.0</v>
      </c>
      <c r="K86" s="14">
        <f t="shared" si="1"/>
        <v>25</v>
      </c>
      <c r="L86" s="14">
        <v>25.0</v>
      </c>
      <c r="M86" s="14">
        <v>0.0</v>
      </c>
      <c r="N86" s="14">
        <v>0.0</v>
      </c>
      <c r="O86" s="14">
        <v>0.0</v>
      </c>
      <c r="P86" s="14">
        <v>3.0</v>
      </c>
      <c r="Q86" s="36">
        <v>0.0</v>
      </c>
      <c r="R86" s="36">
        <v>30.0</v>
      </c>
      <c r="S86" s="14"/>
      <c r="T86" s="31">
        <f t="shared" si="2"/>
        <v>58</v>
      </c>
      <c r="U86" s="42" t="s">
        <v>45</v>
      </c>
      <c r="V86" s="26"/>
      <c r="W86" s="14"/>
      <c r="Z86" s="14"/>
      <c r="AA86" s="14" t="str">
        <f t="shared" si="3"/>
        <v/>
      </c>
      <c r="AB86" s="14">
        <f t="shared" si="4"/>
        <v>58</v>
      </c>
      <c r="AC86" s="14">
        <f t="shared" si="5"/>
        <v>0</v>
      </c>
      <c r="AD86" s="14">
        <f>IF(ISBLANK(W86),0,1)</f>
        <v>0</v>
      </c>
    </row>
    <row r="87" ht="15.75" customHeight="1">
      <c r="A87" s="14">
        <v>86.0</v>
      </c>
      <c r="B87" s="14" t="s">
        <v>338</v>
      </c>
      <c r="C87" s="14" t="s">
        <v>67</v>
      </c>
      <c r="D87" s="14">
        <v>19.0</v>
      </c>
      <c r="G87" s="14"/>
      <c r="H87" s="14">
        <v>1.0</v>
      </c>
      <c r="I87" s="14">
        <v>1791.0</v>
      </c>
      <c r="J87" s="14">
        <v>1800.0</v>
      </c>
      <c r="K87" s="14">
        <f t="shared" si="1"/>
        <v>9</v>
      </c>
      <c r="L87" s="14">
        <v>9.0</v>
      </c>
      <c r="M87" s="14">
        <v>0.0</v>
      </c>
      <c r="N87" s="14">
        <v>0.0</v>
      </c>
      <c r="O87" s="14">
        <v>0.0</v>
      </c>
      <c r="P87" s="14">
        <v>3.0</v>
      </c>
      <c r="Q87" s="36">
        <v>0.0</v>
      </c>
      <c r="R87" s="36">
        <v>30.0</v>
      </c>
      <c r="S87" s="14"/>
      <c r="T87" s="31">
        <f t="shared" si="2"/>
        <v>42</v>
      </c>
      <c r="U87" s="42" t="s">
        <v>45</v>
      </c>
      <c r="V87" s="26"/>
      <c r="W87" s="14"/>
      <c r="Z87" s="14"/>
      <c r="AA87" s="14" t="str">
        <f t="shared" si="3"/>
        <v/>
      </c>
      <c r="AB87" s="14">
        <f t="shared" si="4"/>
        <v>42</v>
      </c>
      <c r="AC87" s="14">
        <f t="shared" si="5"/>
        <v>0</v>
      </c>
      <c r="AD87" s="14"/>
    </row>
    <row r="88" ht="15.75" hidden="1" customHeight="1">
      <c r="A88" s="14">
        <v>87.0</v>
      </c>
      <c r="B88" s="14" t="s">
        <v>340</v>
      </c>
      <c r="C88" s="14" t="s">
        <v>82</v>
      </c>
      <c r="D88" s="14">
        <v>1.0</v>
      </c>
      <c r="G88" s="14"/>
      <c r="H88" s="14">
        <v>1.0</v>
      </c>
      <c r="I88" s="14">
        <v>283.0</v>
      </c>
      <c r="J88" s="14">
        <v>287.0</v>
      </c>
      <c r="K88" s="14">
        <f t="shared" si="1"/>
        <v>4</v>
      </c>
      <c r="L88" s="14">
        <v>5.0</v>
      </c>
      <c r="M88" s="14">
        <v>0.0</v>
      </c>
      <c r="N88" s="14">
        <v>0.0</v>
      </c>
      <c r="O88" s="14">
        <v>0.0</v>
      </c>
      <c r="P88" s="14">
        <v>3.0</v>
      </c>
      <c r="Q88" s="14">
        <v>0.0</v>
      </c>
      <c r="R88" s="14">
        <v>0.0</v>
      </c>
      <c r="S88" s="14"/>
      <c r="T88" s="31">
        <f t="shared" si="2"/>
        <v>8</v>
      </c>
      <c r="U88" s="14"/>
      <c r="V88" s="26"/>
      <c r="W88" s="14"/>
      <c r="Z88" s="14"/>
      <c r="AA88" s="14" t="str">
        <f t="shared" si="3"/>
        <v/>
      </c>
      <c r="AB88" s="14">
        <f t="shared" si="4"/>
        <v>0</v>
      </c>
      <c r="AC88" s="14">
        <f t="shared" si="5"/>
        <v>0</v>
      </c>
      <c r="AD88" s="14">
        <f t="shared" ref="AD88:AD90" si="16">IF(ISBLANK(W88),0,1)</f>
        <v>0</v>
      </c>
    </row>
    <row r="89" ht="15.75" customHeight="1">
      <c r="A89" s="14">
        <v>88.0</v>
      </c>
      <c r="B89" s="14" t="s">
        <v>342</v>
      </c>
      <c r="C89" s="14" t="s">
        <v>82</v>
      </c>
      <c r="D89" s="14">
        <v>2.0</v>
      </c>
      <c r="G89" s="14"/>
      <c r="H89" s="14">
        <v>1.0</v>
      </c>
      <c r="I89" s="14">
        <v>3212.0</v>
      </c>
      <c r="J89" s="14">
        <v>3227.0</v>
      </c>
      <c r="K89" s="14">
        <f t="shared" si="1"/>
        <v>15</v>
      </c>
      <c r="L89" s="14">
        <v>15.0</v>
      </c>
      <c r="M89" s="14">
        <v>0.0</v>
      </c>
      <c r="N89" s="14">
        <v>0.0</v>
      </c>
      <c r="O89" s="14">
        <v>0.0</v>
      </c>
      <c r="P89" s="14">
        <v>3.0</v>
      </c>
      <c r="Q89" s="14">
        <v>0.0</v>
      </c>
      <c r="R89" s="14">
        <v>0.0</v>
      </c>
      <c r="S89" s="14"/>
      <c r="T89" s="31">
        <f t="shared" si="2"/>
        <v>18</v>
      </c>
      <c r="U89" s="23" t="s">
        <v>45</v>
      </c>
      <c r="V89" s="26"/>
      <c r="W89" s="23" t="s">
        <v>46</v>
      </c>
      <c r="Z89" s="14"/>
      <c r="AA89" s="14" t="str">
        <f t="shared" si="3"/>
        <v/>
      </c>
      <c r="AB89" s="14">
        <f t="shared" si="4"/>
        <v>0</v>
      </c>
      <c r="AC89" s="14">
        <f t="shared" si="5"/>
        <v>18</v>
      </c>
      <c r="AD89" s="14">
        <f t="shared" si="16"/>
        <v>1</v>
      </c>
    </row>
    <row r="90" ht="15.75" customHeight="1">
      <c r="A90" s="14">
        <v>89.0</v>
      </c>
      <c r="B90" s="14" t="s">
        <v>344</v>
      </c>
      <c r="C90" s="14" t="s">
        <v>82</v>
      </c>
      <c r="D90" s="14">
        <v>3.0</v>
      </c>
      <c r="G90" s="14"/>
      <c r="H90" s="14">
        <v>1.0</v>
      </c>
      <c r="I90" s="14">
        <v>2845.0</v>
      </c>
      <c r="J90" s="14">
        <v>2857.0</v>
      </c>
      <c r="K90" s="14">
        <f t="shared" si="1"/>
        <v>12</v>
      </c>
      <c r="L90" s="14">
        <v>12.0</v>
      </c>
      <c r="M90" s="14">
        <v>0.0</v>
      </c>
      <c r="N90" s="14">
        <v>0.0</v>
      </c>
      <c r="O90" s="14">
        <v>0.0</v>
      </c>
      <c r="P90" s="14">
        <v>3.0</v>
      </c>
      <c r="Q90" s="36">
        <v>0.0</v>
      </c>
      <c r="R90" s="36">
        <v>30.0</v>
      </c>
      <c r="S90" s="14"/>
      <c r="T90" s="31">
        <f t="shared" si="2"/>
        <v>45</v>
      </c>
      <c r="U90" s="14" t="s">
        <v>45</v>
      </c>
      <c r="V90" s="26"/>
      <c r="W90" s="14" t="s">
        <v>46</v>
      </c>
      <c r="Z90" s="14"/>
      <c r="AA90" s="14" t="str">
        <f t="shared" si="3"/>
        <v/>
      </c>
      <c r="AB90" s="14">
        <f t="shared" si="4"/>
        <v>0</v>
      </c>
      <c r="AC90" s="14">
        <f t="shared" si="5"/>
        <v>45</v>
      </c>
      <c r="AD90" s="14">
        <f t="shared" si="16"/>
        <v>1</v>
      </c>
    </row>
    <row r="91" ht="15.75" hidden="1" customHeight="1">
      <c r="A91" s="14">
        <v>90.0</v>
      </c>
      <c r="B91" s="14" t="s">
        <v>346</v>
      </c>
      <c r="C91" s="14" t="s">
        <v>82</v>
      </c>
      <c r="D91" s="14">
        <v>4.0</v>
      </c>
      <c r="E91" s="14"/>
      <c r="G91" s="14"/>
      <c r="H91" s="14">
        <v>1.0</v>
      </c>
      <c r="I91" s="14">
        <v>134.0</v>
      </c>
      <c r="J91" s="14">
        <v>145.0</v>
      </c>
      <c r="K91" s="14">
        <f t="shared" si="1"/>
        <v>11</v>
      </c>
      <c r="L91" s="14">
        <v>11.0</v>
      </c>
      <c r="M91" s="14">
        <v>0.0</v>
      </c>
      <c r="N91" s="14">
        <v>0.0</v>
      </c>
      <c r="O91" s="14">
        <v>0.0</v>
      </c>
      <c r="P91" s="14">
        <v>3.0</v>
      </c>
      <c r="Q91" s="36">
        <v>0.0</v>
      </c>
      <c r="R91" s="36">
        <v>30.0</v>
      </c>
      <c r="S91" s="14"/>
      <c r="T91" s="31">
        <f t="shared" si="2"/>
        <v>44</v>
      </c>
      <c r="U91" s="14"/>
      <c r="V91" s="26"/>
      <c r="W91" s="14"/>
      <c r="Z91" s="14"/>
      <c r="AA91" s="14" t="str">
        <f t="shared" si="3"/>
        <v/>
      </c>
      <c r="AB91" s="14">
        <f t="shared" si="4"/>
        <v>0</v>
      </c>
      <c r="AC91" s="14">
        <f t="shared" si="5"/>
        <v>0</v>
      </c>
      <c r="AD91" s="14"/>
    </row>
    <row r="92" ht="15.75" customHeight="1">
      <c r="A92" s="14">
        <v>91.0</v>
      </c>
      <c r="B92" s="14" t="s">
        <v>348</v>
      </c>
      <c r="C92" s="14" t="s">
        <v>82</v>
      </c>
      <c r="D92" s="14">
        <v>6.0</v>
      </c>
      <c r="G92" s="14"/>
      <c r="H92" s="14">
        <v>1.0</v>
      </c>
      <c r="I92" s="14">
        <v>887.0</v>
      </c>
      <c r="J92" s="14">
        <v>900.0</v>
      </c>
      <c r="K92" s="14">
        <f t="shared" si="1"/>
        <v>13</v>
      </c>
      <c r="L92" s="14">
        <v>13.0</v>
      </c>
      <c r="M92" s="14">
        <v>0.0</v>
      </c>
      <c r="N92" s="14">
        <v>0.0</v>
      </c>
      <c r="O92" s="14">
        <v>0.0</v>
      </c>
      <c r="P92" s="14">
        <v>3.0</v>
      </c>
      <c r="Q92" s="36">
        <v>0.0</v>
      </c>
      <c r="R92" s="36"/>
      <c r="S92" s="14"/>
      <c r="T92" s="31">
        <f t="shared" si="2"/>
        <v>16</v>
      </c>
      <c r="U92" s="14" t="s">
        <v>45</v>
      </c>
      <c r="V92" s="26"/>
      <c r="W92" s="14" t="s">
        <v>46</v>
      </c>
      <c r="Y92" s="23" t="s">
        <v>320</v>
      </c>
      <c r="Z92" s="14"/>
      <c r="AA92" s="14" t="str">
        <f t="shared" si="3"/>
        <v/>
      </c>
      <c r="AB92" s="14">
        <f t="shared" si="4"/>
        <v>0</v>
      </c>
      <c r="AC92" s="14">
        <f t="shared" si="5"/>
        <v>16</v>
      </c>
      <c r="AD92" s="14">
        <f t="shared" ref="AD92:AD100" si="17">IF(ISBLANK(W92),0,1)</f>
        <v>1</v>
      </c>
    </row>
    <row r="93" ht="15.75" customHeight="1">
      <c r="A93" s="14">
        <v>92.0</v>
      </c>
      <c r="B93" s="14" t="s">
        <v>352</v>
      </c>
      <c r="C93" s="14" t="s">
        <v>82</v>
      </c>
      <c r="D93" s="14">
        <v>7.0</v>
      </c>
      <c r="G93" s="14"/>
      <c r="H93" s="14">
        <v>1.0</v>
      </c>
      <c r="I93" s="14">
        <v>1875.0</v>
      </c>
      <c r="J93" s="14">
        <v>1879.0</v>
      </c>
      <c r="K93" s="14">
        <f t="shared" si="1"/>
        <v>4</v>
      </c>
      <c r="L93" s="14">
        <v>5.0</v>
      </c>
      <c r="M93" s="14">
        <v>0.0</v>
      </c>
      <c r="N93" s="14">
        <v>0.0</v>
      </c>
      <c r="O93" s="14">
        <v>0.0</v>
      </c>
      <c r="P93" s="14">
        <v>3.0</v>
      </c>
      <c r="Q93" s="14">
        <v>0.0</v>
      </c>
      <c r="R93" s="14">
        <v>0.0</v>
      </c>
      <c r="S93" s="14"/>
      <c r="T93" s="31">
        <f t="shared" si="2"/>
        <v>8</v>
      </c>
      <c r="U93" s="14" t="s">
        <v>45</v>
      </c>
      <c r="V93" s="26"/>
      <c r="W93" s="14" t="s">
        <v>46</v>
      </c>
      <c r="Z93" s="14"/>
      <c r="AA93" s="14" t="str">
        <f t="shared" si="3"/>
        <v/>
      </c>
      <c r="AB93" s="14">
        <f t="shared" si="4"/>
        <v>0</v>
      </c>
      <c r="AC93" s="14">
        <f t="shared" si="5"/>
        <v>8</v>
      </c>
      <c r="AD93" s="14">
        <f t="shared" si="17"/>
        <v>1</v>
      </c>
    </row>
    <row r="94" ht="15.75" customHeight="1">
      <c r="A94" s="14">
        <v>93.0</v>
      </c>
      <c r="B94" s="14" t="s">
        <v>354</v>
      </c>
      <c r="C94" s="14" t="s">
        <v>82</v>
      </c>
      <c r="D94" s="14">
        <v>8.0</v>
      </c>
      <c r="E94" s="14"/>
      <c r="F94" s="14">
        <v>1.0</v>
      </c>
      <c r="G94" s="14"/>
      <c r="H94" s="14">
        <v>1.0</v>
      </c>
      <c r="I94" s="14">
        <v>973.0</v>
      </c>
      <c r="J94" s="14">
        <v>977.0</v>
      </c>
      <c r="K94" s="14">
        <f t="shared" si="1"/>
        <v>4</v>
      </c>
      <c r="L94" s="14">
        <v>5.0</v>
      </c>
      <c r="M94" s="14">
        <v>0.0</v>
      </c>
      <c r="N94" s="14">
        <v>0.0</v>
      </c>
      <c r="O94" s="14">
        <v>0.0</v>
      </c>
      <c r="P94" s="14">
        <v>3.0</v>
      </c>
      <c r="Q94" s="36">
        <v>0.0</v>
      </c>
      <c r="R94" s="36">
        <v>30.0</v>
      </c>
      <c r="S94" s="14"/>
      <c r="T94" s="31">
        <f t="shared" si="2"/>
        <v>38</v>
      </c>
      <c r="U94" s="14" t="s">
        <v>45</v>
      </c>
      <c r="V94" s="26"/>
      <c r="W94" s="14" t="s">
        <v>46</v>
      </c>
      <c r="Y94" s="23" t="s">
        <v>356</v>
      </c>
      <c r="Z94" s="14"/>
      <c r="AA94" s="14" t="str">
        <f t="shared" si="3"/>
        <v/>
      </c>
      <c r="AB94" s="14">
        <f t="shared" si="4"/>
        <v>0</v>
      </c>
      <c r="AC94" s="14">
        <f t="shared" si="5"/>
        <v>38</v>
      </c>
      <c r="AD94" s="14">
        <f t="shared" si="17"/>
        <v>1</v>
      </c>
    </row>
    <row r="95" ht="15.75" customHeight="1">
      <c r="A95" s="14">
        <v>94.0</v>
      </c>
      <c r="B95" s="14" t="s">
        <v>358</v>
      </c>
      <c r="C95" s="14" t="s">
        <v>82</v>
      </c>
      <c r="D95" s="14">
        <v>9.0</v>
      </c>
      <c r="G95" s="14"/>
      <c r="H95" s="14">
        <v>1.0</v>
      </c>
      <c r="I95" s="14">
        <v>3592.0</v>
      </c>
      <c r="J95" s="14">
        <v>3610.0</v>
      </c>
      <c r="K95" s="14">
        <f t="shared" si="1"/>
        <v>18</v>
      </c>
      <c r="L95" s="14">
        <v>18.0</v>
      </c>
      <c r="M95" s="14">
        <v>0.0</v>
      </c>
      <c r="N95" s="14">
        <v>0.0</v>
      </c>
      <c r="O95" s="14">
        <v>0.0</v>
      </c>
      <c r="P95" s="14">
        <v>3.0</v>
      </c>
      <c r="Q95" s="14">
        <v>0.0</v>
      </c>
      <c r="R95" s="14">
        <v>0.0</v>
      </c>
      <c r="S95" s="14"/>
      <c r="T95" s="31">
        <f t="shared" si="2"/>
        <v>21</v>
      </c>
      <c r="U95" s="42" t="s">
        <v>45</v>
      </c>
      <c r="V95" s="26"/>
      <c r="W95" s="14"/>
      <c r="Z95" s="14"/>
      <c r="AA95" s="14" t="str">
        <f t="shared" si="3"/>
        <v/>
      </c>
      <c r="AB95" s="14">
        <f t="shared" si="4"/>
        <v>21</v>
      </c>
      <c r="AC95" s="14">
        <f t="shared" si="5"/>
        <v>0</v>
      </c>
      <c r="AD95" s="14">
        <f t="shared" si="17"/>
        <v>0</v>
      </c>
    </row>
    <row r="96" ht="15.75" customHeight="1">
      <c r="A96" s="14">
        <v>95.0</v>
      </c>
      <c r="B96" s="14" t="s">
        <v>360</v>
      </c>
      <c r="C96" s="14" t="s">
        <v>82</v>
      </c>
      <c r="D96" s="14">
        <v>10.0</v>
      </c>
      <c r="G96" s="14"/>
      <c r="H96" s="14">
        <v>1.0</v>
      </c>
      <c r="I96" s="14">
        <v>819.0</v>
      </c>
      <c r="J96" s="14">
        <v>858.0</v>
      </c>
      <c r="K96" s="14">
        <f t="shared" si="1"/>
        <v>39</v>
      </c>
      <c r="L96" s="14">
        <v>39.0</v>
      </c>
      <c r="M96" s="14">
        <v>33.0</v>
      </c>
      <c r="N96" s="14">
        <v>0.0</v>
      </c>
      <c r="O96" s="14">
        <v>0.0</v>
      </c>
      <c r="P96" s="14">
        <v>3.0</v>
      </c>
      <c r="Q96" s="36">
        <v>0.0</v>
      </c>
      <c r="R96" s="36"/>
      <c r="S96" s="14"/>
      <c r="T96" s="31">
        <f t="shared" si="2"/>
        <v>75</v>
      </c>
      <c r="U96" s="42" t="s">
        <v>45</v>
      </c>
      <c r="V96" s="26"/>
      <c r="W96" s="14"/>
      <c r="Y96" s="23" t="s">
        <v>320</v>
      </c>
      <c r="Z96" s="14"/>
      <c r="AA96" s="14" t="str">
        <f t="shared" si="3"/>
        <v/>
      </c>
      <c r="AB96" s="14">
        <f t="shared" si="4"/>
        <v>75</v>
      </c>
      <c r="AC96" s="14">
        <f t="shared" si="5"/>
        <v>0</v>
      </c>
      <c r="AD96" s="14">
        <f t="shared" si="17"/>
        <v>0</v>
      </c>
    </row>
    <row r="97" ht="15.75" customHeight="1">
      <c r="A97" s="14">
        <v>96.0</v>
      </c>
      <c r="B97" s="14" t="s">
        <v>362</v>
      </c>
      <c r="C97" s="14" t="s">
        <v>82</v>
      </c>
      <c r="D97" s="14">
        <v>11.0</v>
      </c>
      <c r="G97" s="14"/>
      <c r="H97" s="14">
        <v>1.0</v>
      </c>
      <c r="I97" s="14">
        <v>4030.0</v>
      </c>
      <c r="J97" s="14">
        <v>4059.0</v>
      </c>
      <c r="K97" s="14">
        <f t="shared" si="1"/>
        <v>29</v>
      </c>
      <c r="L97" s="14">
        <v>29.0</v>
      </c>
      <c r="M97" s="14">
        <v>0.0</v>
      </c>
      <c r="N97" s="14">
        <v>0.0</v>
      </c>
      <c r="O97" s="14">
        <v>0.0</v>
      </c>
      <c r="P97" s="14">
        <v>3.0</v>
      </c>
      <c r="Q97" s="36">
        <v>0.0</v>
      </c>
      <c r="R97" s="36"/>
      <c r="S97" s="14"/>
      <c r="T97" s="31">
        <f t="shared" si="2"/>
        <v>32</v>
      </c>
      <c r="U97" s="42" t="s">
        <v>45</v>
      </c>
      <c r="V97" s="26"/>
      <c r="W97" s="14"/>
      <c r="X97" s="14"/>
      <c r="Y97" s="23" t="s">
        <v>320</v>
      </c>
      <c r="Z97" s="14"/>
      <c r="AA97" s="14" t="str">
        <f t="shared" si="3"/>
        <v/>
      </c>
      <c r="AB97" s="14">
        <f t="shared" si="4"/>
        <v>32</v>
      </c>
      <c r="AC97" s="14">
        <f t="shared" si="5"/>
        <v>0</v>
      </c>
      <c r="AD97" s="14">
        <f t="shared" si="17"/>
        <v>0</v>
      </c>
    </row>
    <row r="98" ht="15.75" customHeight="1">
      <c r="A98" s="14">
        <v>97.0</v>
      </c>
      <c r="B98" s="14" t="s">
        <v>365</v>
      </c>
      <c r="C98" s="14" t="s">
        <v>82</v>
      </c>
      <c r="D98" s="14">
        <v>12.0</v>
      </c>
      <c r="G98" s="14"/>
      <c r="H98" s="14">
        <v>1.0</v>
      </c>
      <c r="I98" s="14">
        <v>3662.0</v>
      </c>
      <c r="J98" s="14">
        <v>3675.0</v>
      </c>
      <c r="K98" s="14">
        <f t="shared" si="1"/>
        <v>13</v>
      </c>
      <c r="L98" s="14">
        <v>13.0</v>
      </c>
      <c r="M98" s="14">
        <v>0.0</v>
      </c>
      <c r="N98" s="14">
        <v>0.0</v>
      </c>
      <c r="O98" s="14">
        <v>0.0</v>
      </c>
      <c r="P98" s="14">
        <v>3.0</v>
      </c>
      <c r="Q98" s="14">
        <v>0.0</v>
      </c>
      <c r="R98" s="14">
        <v>0.0</v>
      </c>
      <c r="S98" s="14"/>
      <c r="T98" s="31">
        <f t="shared" si="2"/>
        <v>16</v>
      </c>
      <c r="U98" s="42" t="s">
        <v>45</v>
      </c>
      <c r="V98" s="26"/>
      <c r="W98" s="14"/>
      <c r="Z98" s="14"/>
      <c r="AA98" s="14" t="str">
        <f t="shared" si="3"/>
        <v/>
      </c>
      <c r="AB98" s="14">
        <f t="shared" si="4"/>
        <v>16</v>
      </c>
      <c r="AC98" s="14">
        <f t="shared" si="5"/>
        <v>0</v>
      </c>
      <c r="AD98" s="14">
        <f t="shared" si="17"/>
        <v>0</v>
      </c>
    </row>
    <row r="99" ht="15.75" customHeight="1">
      <c r="A99" s="14">
        <v>98.0</v>
      </c>
      <c r="B99" s="14" t="s">
        <v>366</v>
      </c>
      <c r="C99" s="14" t="s">
        <v>82</v>
      </c>
      <c r="D99" s="14">
        <v>13.0</v>
      </c>
      <c r="G99" s="14"/>
      <c r="H99" s="14">
        <v>1.0</v>
      </c>
      <c r="I99" s="14">
        <v>3001.0</v>
      </c>
      <c r="J99" s="14">
        <v>3014.0</v>
      </c>
      <c r="K99" s="14">
        <f t="shared" si="1"/>
        <v>13</v>
      </c>
      <c r="L99" s="14">
        <v>13.0</v>
      </c>
      <c r="M99" s="14">
        <v>3.0</v>
      </c>
      <c r="N99" s="14">
        <v>0.0</v>
      </c>
      <c r="O99" s="14">
        <v>0.0</v>
      </c>
      <c r="P99" s="14">
        <v>3.0</v>
      </c>
      <c r="Q99" s="14">
        <v>0.0</v>
      </c>
      <c r="R99" s="14">
        <v>0.0</v>
      </c>
      <c r="S99" s="14"/>
      <c r="T99" s="31">
        <f t="shared" si="2"/>
        <v>19</v>
      </c>
      <c r="U99" s="14" t="s">
        <v>45</v>
      </c>
      <c r="V99" s="26"/>
      <c r="W99" s="14" t="s">
        <v>46</v>
      </c>
      <c r="X99" s="14"/>
      <c r="Y99" s="14"/>
      <c r="Z99" s="14"/>
      <c r="AA99" s="14" t="str">
        <f t="shared" si="3"/>
        <v/>
      </c>
      <c r="AB99" s="14">
        <f t="shared" si="4"/>
        <v>0</v>
      </c>
      <c r="AC99" s="14">
        <f t="shared" si="5"/>
        <v>19</v>
      </c>
      <c r="AD99" s="14">
        <f t="shared" si="17"/>
        <v>1</v>
      </c>
    </row>
    <row r="100" ht="15.75" customHeight="1">
      <c r="A100" s="14">
        <v>99.0</v>
      </c>
      <c r="B100" s="14" t="s">
        <v>367</v>
      </c>
      <c r="C100" s="14" t="s">
        <v>82</v>
      </c>
      <c r="D100" s="14">
        <v>14.0</v>
      </c>
      <c r="G100" s="14"/>
      <c r="H100" s="14">
        <v>1.0</v>
      </c>
      <c r="I100" s="14">
        <v>15.0</v>
      </c>
      <c r="J100" s="14">
        <v>26.0</v>
      </c>
      <c r="K100" s="14">
        <f t="shared" si="1"/>
        <v>11</v>
      </c>
      <c r="L100" s="14">
        <v>11.0</v>
      </c>
      <c r="M100" s="14">
        <v>11.0</v>
      </c>
      <c r="N100" s="14">
        <v>0.0</v>
      </c>
      <c r="O100" s="14">
        <v>0.0</v>
      </c>
      <c r="P100" s="14">
        <v>3.0</v>
      </c>
      <c r="Q100" s="14">
        <v>0.0</v>
      </c>
      <c r="R100" s="14">
        <v>0.0</v>
      </c>
      <c r="S100" s="14"/>
      <c r="T100" s="31">
        <f t="shared" si="2"/>
        <v>25</v>
      </c>
      <c r="U100" s="42" t="s">
        <v>45</v>
      </c>
      <c r="V100" s="26"/>
      <c r="W100" s="14"/>
      <c r="Z100" s="14"/>
      <c r="AA100" s="14" t="str">
        <f t="shared" si="3"/>
        <v/>
      </c>
      <c r="AB100" s="14">
        <f t="shared" si="4"/>
        <v>25</v>
      </c>
      <c r="AC100" s="14">
        <f t="shared" si="5"/>
        <v>0</v>
      </c>
      <c r="AD100" s="14">
        <f t="shared" si="17"/>
        <v>0</v>
      </c>
    </row>
    <row r="101" ht="15.75" customHeight="1">
      <c r="A101" s="14">
        <v>100.0</v>
      </c>
      <c r="B101" s="14" t="s">
        <v>369</v>
      </c>
      <c r="C101" s="14" t="s">
        <v>82</v>
      </c>
      <c r="D101" s="14" t="s">
        <v>370</v>
      </c>
      <c r="G101" s="14"/>
      <c r="H101" s="14">
        <v>1.0</v>
      </c>
      <c r="I101" s="14">
        <v>309.0</v>
      </c>
      <c r="J101" s="14">
        <v>314.0</v>
      </c>
      <c r="K101" s="14">
        <f t="shared" si="1"/>
        <v>5</v>
      </c>
      <c r="L101" s="14">
        <v>5.0</v>
      </c>
      <c r="M101" s="14">
        <v>8.0</v>
      </c>
      <c r="N101" s="14">
        <v>0.0</v>
      </c>
      <c r="O101" s="14">
        <v>0.0</v>
      </c>
      <c r="P101" s="14">
        <v>3.0</v>
      </c>
      <c r="Q101" s="14">
        <v>0.0</v>
      </c>
      <c r="R101" s="14">
        <v>0.0</v>
      </c>
      <c r="S101" s="14"/>
      <c r="T101" s="31">
        <f t="shared" si="2"/>
        <v>16</v>
      </c>
      <c r="U101" s="14" t="s">
        <v>45</v>
      </c>
      <c r="V101" s="26"/>
      <c r="W101" s="14" t="s">
        <v>46</v>
      </c>
      <c r="Y101" s="14"/>
      <c r="Z101" s="14"/>
      <c r="AA101" s="14" t="str">
        <f t="shared" si="3"/>
        <v/>
      </c>
      <c r="AB101" s="14">
        <f t="shared" si="4"/>
        <v>0</v>
      </c>
      <c r="AC101" s="14">
        <f t="shared" si="5"/>
        <v>16</v>
      </c>
      <c r="AD101" s="14"/>
    </row>
    <row r="102" ht="15.75" customHeight="1">
      <c r="A102" s="14">
        <v>101.0</v>
      </c>
      <c r="B102" s="14" t="s">
        <v>372</v>
      </c>
      <c r="C102" s="14" t="s">
        <v>82</v>
      </c>
      <c r="D102" s="14">
        <v>19.0</v>
      </c>
      <c r="G102" s="14"/>
      <c r="H102" s="14">
        <v>1.0</v>
      </c>
      <c r="I102" s="14">
        <v>14.0</v>
      </c>
      <c r="J102" s="14">
        <v>15.0</v>
      </c>
      <c r="K102" s="14">
        <f t="shared" si="1"/>
        <v>1</v>
      </c>
      <c r="L102" s="14">
        <v>5.0</v>
      </c>
      <c r="M102" s="14">
        <v>0.0</v>
      </c>
      <c r="N102" s="14">
        <v>0.0</v>
      </c>
      <c r="O102" s="14">
        <v>0.0</v>
      </c>
      <c r="P102" s="14">
        <v>3.0</v>
      </c>
      <c r="Q102" s="36">
        <v>0.0</v>
      </c>
      <c r="R102" s="36"/>
      <c r="S102" s="14"/>
      <c r="T102" s="31">
        <f t="shared" si="2"/>
        <v>8</v>
      </c>
      <c r="U102" s="14" t="s">
        <v>45</v>
      </c>
      <c r="V102" s="26"/>
      <c r="W102" s="14" t="s">
        <v>46</v>
      </c>
      <c r="Y102" s="23" t="s">
        <v>320</v>
      </c>
      <c r="Z102" s="14"/>
      <c r="AA102" s="14" t="str">
        <f t="shared" si="3"/>
        <v/>
      </c>
      <c r="AB102" s="14">
        <f t="shared" si="4"/>
        <v>0</v>
      </c>
      <c r="AC102" s="14">
        <f t="shared" si="5"/>
        <v>8</v>
      </c>
      <c r="AD102" s="14"/>
    </row>
    <row r="103" ht="15.75" customHeight="1">
      <c r="A103" s="14">
        <v>102.0</v>
      </c>
      <c r="B103" s="14" t="s">
        <v>373</v>
      </c>
      <c r="C103" s="14" t="s">
        <v>91</v>
      </c>
      <c r="D103" s="14">
        <v>1.0</v>
      </c>
      <c r="G103" s="14"/>
      <c r="H103" s="14">
        <v>1.0</v>
      </c>
      <c r="I103" s="14">
        <v>744.0</v>
      </c>
      <c r="J103" s="14">
        <v>760.0</v>
      </c>
      <c r="K103" s="14">
        <f t="shared" si="1"/>
        <v>16</v>
      </c>
      <c r="L103" s="14">
        <v>16.0</v>
      </c>
      <c r="M103" s="14">
        <v>16.0</v>
      </c>
      <c r="N103" s="14">
        <v>0.0</v>
      </c>
      <c r="O103" s="14">
        <v>0.0</v>
      </c>
      <c r="P103" s="14">
        <v>3.0</v>
      </c>
      <c r="Q103" s="36">
        <v>0.0</v>
      </c>
      <c r="R103" s="36">
        <v>30.0</v>
      </c>
      <c r="S103" s="14"/>
      <c r="T103" s="31">
        <f t="shared" si="2"/>
        <v>65</v>
      </c>
      <c r="U103" s="23" t="s">
        <v>45</v>
      </c>
      <c r="V103" s="26"/>
      <c r="W103" s="23" t="s">
        <v>46</v>
      </c>
      <c r="Z103" s="14"/>
      <c r="AA103" s="14" t="str">
        <f t="shared" si="3"/>
        <v/>
      </c>
      <c r="AB103" s="14">
        <f t="shared" si="4"/>
        <v>0</v>
      </c>
      <c r="AC103" s="14">
        <f t="shared" si="5"/>
        <v>65</v>
      </c>
      <c r="AD103" s="14">
        <f>IF(ISBLANK(W103),0,1)</f>
        <v>1</v>
      </c>
    </row>
    <row r="104" ht="15.75" hidden="1" customHeight="1">
      <c r="A104" s="14">
        <v>103.0</v>
      </c>
      <c r="B104" s="14" t="s">
        <v>375</v>
      </c>
      <c r="C104" s="14" t="s">
        <v>91</v>
      </c>
      <c r="D104" s="14">
        <v>3.0</v>
      </c>
      <c r="G104" s="14"/>
      <c r="H104" s="14">
        <v>1.0</v>
      </c>
      <c r="I104" s="14">
        <v>4.0</v>
      </c>
      <c r="J104" s="14">
        <v>4.0</v>
      </c>
      <c r="K104" s="14">
        <f t="shared" si="1"/>
        <v>0</v>
      </c>
      <c r="L104" s="14">
        <v>5.0</v>
      </c>
      <c r="M104" s="14">
        <v>0.0</v>
      </c>
      <c r="N104" s="14">
        <v>0.0</v>
      </c>
      <c r="O104" s="14">
        <v>0.0</v>
      </c>
      <c r="P104" s="14">
        <v>3.0</v>
      </c>
      <c r="Q104" s="36">
        <v>0.0</v>
      </c>
      <c r="R104" s="36">
        <v>30.0</v>
      </c>
      <c r="S104" s="14"/>
      <c r="T104" s="31">
        <f t="shared" si="2"/>
        <v>38</v>
      </c>
      <c r="U104" s="14"/>
      <c r="V104" s="26"/>
      <c r="W104" s="14"/>
      <c r="X104" s="14"/>
      <c r="Y104" s="14"/>
      <c r="Z104" s="14"/>
      <c r="AA104" s="14" t="str">
        <f t="shared" si="3"/>
        <v/>
      </c>
      <c r="AB104" s="14">
        <f t="shared" si="4"/>
        <v>0</v>
      </c>
      <c r="AC104" s="14">
        <f t="shared" si="5"/>
        <v>0</v>
      </c>
      <c r="AD104" s="14"/>
    </row>
    <row r="105" ht="15.75" customHeight="1">
      <c r="A105" s="14">
        <v>104.0</v>
      </c>
      <c r="B105" s="14" t="s">
        <v>377</v>
      </c>
      <c r="C105" s="14" t="s">
        <v>91</v>
      </c>
      <c r="D105" s="14" t="s">
        <v>378</v>
      </c>
      <c r="G105" s="14"/>
      <c r="H105" s="14">
        <v>1.0</v>
      </c>
      <c r="I105" s="14">
        <v>297.0</v>
      </c>
      <c r="J105" s="14">
        <v>297.0</v>
      </c>
      <c r="K105" s="14">
        <f t="shared" si="1"/>
        <v>0</v>
      </c>
      <c r="L105" s="14">
        <v>5.0</v>
      </c>
      <c r="M105" s="14">
        <v>0.0</v>
      </c>
      <c r="N105" s="14">
        <v>0.0</v>
      </c>
      <c r="O105" s="14">
        <v>0.0</v>
      </c>
      <c r="P105" s="14">
        <v>3.0</v>
      </c>
      <c r="Q105" s="14">
        <v>0.0</v>
      </c>
      <c r="R105" s="14">
        <v>0.0</v>
      </c>
      <c r="S105" s="14"/>
      <c r="T105" s="31">
        <f t="shared" si="2"/>
        <v>8</v>
      </c>
      <c r="U105" s="14" t="s">
        <v>45</v>
      </c>
      <c r="V105" s="26"/>
      <c r="W105" s="14" t="s">
        <v>46</v>
      </c>
      <c r="Z105" s="14"/>
      <c r="AA105" s="14" t="str">
        <f t="shared" si="3"/>
        <v/>
      </c>
      <c r="AB105" s="14">
        <f t="shared" si="4"/>
        <v>0</v>
      </c>
      <c r="AC105" s="14">
        <f t="shared" si="5"/>
        <v>8</v>
      </c>
      <c r="AD105" s="14">
        <f>IF(ISBLANK(W105),0,1)</f>
        <v>1</v>
      </c>
    </row>
    <row r="106" ht="15.75" hidden="1" customHeight="1">
      <c r="A106" s="14">
        <v>105.0</v>
      </c>
      <c r="B106" s="14" t="s">
        <v>381</v>
      </c>
      <c r="C106" s="14" t="s">
        <v>91</v>
      </c>
      <c r="D106" s="14">
        <v>4.0</v>
      </c>
      <c r="G106" s="14"/>
      <c r="H106" s="14">
        <v>1.0</v>
      </c>
      <c r="I106" s="14">
        <v>625.0</v>
      </c>
      <c r="J106" s="14">
        <v>640.0</v>
      </c>
      <c r="K106" s="14">
        <f t="shared" si="1"/>
        <v>15</v>
      </c>
      <c r="L106" s="14">
        <v>15.0</v>
      </c>
      <c r="M106" s="14">
        <v>0.0</v>
      </c>
      <c r="N106" s="14">
        <v>0.0</v>
      </c>
      <c r="O106" s="14">
        <v>0.0</v>
      </c>
      <c r="P106" s="14">
        <v>3.0</v>
      </c>
      <c r="Q106" s="14">
        <v>0.0</v>
      </c>
      <c r="R106" s="14">
        <v>0.0</v>
      </c>
      <c r="S106" s="14"/>
      <c r="T106" s="31">
        <f t="shared" si="2"/>
        <v>18</v>
      </c>
      <c r="U106" s="14"/>
      <c r="V106" s="26"/>
      <c r="W106" s="14"/>
      <c r="Z106" s="14"/>
      <c r="AA106" s="14" t="str">
        <f t="shared" si="3"/>
        <v/>
      </c>
      <c r="AB106" s="14">
        <f t="shared" si="4"/>
        <v>0</v>
      </c>
      <c r="AC106" s="14">
        <f t="shared" si="5"/>
        <v>0</v>
      </c>
      <c r="AD106" s="14"/>
    </row>
    <row r="107" ht="15.75" customHeight="1">
      <c r="A107" s="14">
        <v>106.0</v>
      </c>
      <c r="B107" s="14" t="s">
        <v>382</v>
      </c>
      <c r="C107" s="14" t="s">
        <v>91</v>
      </c>
      <c r="D107" s="14">
        <v>5.0</v>
      </c>
      <c r="G107" s="14"/>
      <c r="H107" s="14">
        <v>1.0</v>
      </c>
      <c r="I107" s="14">
        <v>2043.0</v>
      </c>
      <c r="J107" s="14">
        <v>2079.0</v>
      </c>
      <c r="K107" s="14">
        <f t="shared" si="1"/>
        <v>36</v>
      </c>
      <c r="L107" s="14">
        <v>36.0</v>
      </c>
      <c r="M107" s="14">
        <v>-4.0</v>
      </c>
      <c r="N107" s="14">
        <v>0.0</v>
      </c>
      <c r="O107" s="14">
        <v>0.0</v>
      </c>
      <c r="P107" s="14">
        <v>3.0</v>
      </c>
      <c r="Q107" s="14">
        <v>0.0</v>
      </c>
      <c r="R107" s="14">
        <v>0.0</v>
      </c>
      <c r="S107" s="14"/>
      <c r="T107" s="31">
        <f t="shared" si="2"/>
        <v>35</v>
      </c>
      <c r="U107" s="14" t="s">
        <v>45</v>
      </c>
      <c r="V107" s="26"/>
      <c r="W107" s="14" t="s">
        <v>46</v>
      </c>
      <c r="Y107" s="14"/>
      <c r="Z107" s="14"/>
      <c r="AA107" s="14" t="str">
        <f t="shared" si="3"/>
        <v/>
      </c>
      <c r="AB107" s="14">
        <f t="shared" si="4"/>
        <v>0</v>
      </c>
      <c r="AC107" s="14">
        <f t="shared" si="5"/>
        <v>35</v>
      </c>
      <c r="AD107" s="14">
        <f t="shared" ref="AD107:AD110" si="18">IF(ISBLANK(W107),0,1)</f>
        <v>1</v>
      </c>
    </row>
    <row r="108" ht="15.75" customHeight="1">
      <c r="A108" s="14">
        <v>107.0</v>
      </c>
      <c r="B108" s="14" t="s">
        <v>384</v>
      </c>
      <c r="C108" s="14" t="s">
        <v>91</v>
      </c>
      <c r="D108" s="14">
        <v>6.0</v>
      </c>
      <c r="G108" s="14"/>
      <c r="H108" s="14">
        <v>1.0</v>
      </c>
      <c r="I108" s="14">
        <v>3168.0</v>
      </c>
      <c r="J108" s="14">
        <v>3181.0</v>
      </c>
      <c r="K108" s="14">
        <f t="shared" si="1"/>
        <v>13</v>
      </c>
      <c r="L108" s="14">
        <v>13.0</v>
      </c>
      <c r="M108" s="14">
        <v>0.0</v>
      </c>
      <c r="N108" s="14">
        <v>0.0</v>
      </c>
      <c r="O108" s="14">
        <v>0.0</v>
      </c>
      <c r="P108" s="14">
        <v>3.0</v>
      </c>
      <c r="Q108" s="36">
        <v>0.0</v>
      </c>
      <c r="R108" s="36"/>
      <c r="S108" s="14"/>
      <c r="T108" s="31">
        <f t="shared" si="2"/>
        <v>16</v>
      </c>
      <c r="U108" s="42" t="s">
        <v>45</v>
      </c>
      <c r="V108" s="26"/>
      <c r="W108" s="14"/>
      <c r="Y108" s="23" t="s">
        <v>387</v>
      </c>
      <c r="Z108" s="14"/>
      <c r="AA108" s="14" t="str">
        <f t="shared" si="3"/>
        <v/>
      </c>
      <c r="AB108" s="14">
        <f t="shared" si="4"/>
        <v>16</v>
      </c>
      <c r="AC108" s="14">
        <f t="shared" si="5"/>
        <v>0</v>
      </c>
      <c r="AD108" s="14">
        <f t="shared" si="18"/>
        <v>0</v>
      </c>
    </row>
    <row r="109" ht="15.75" customHeight="1">
      <c r="A109" s="14">
        <v>108.0</v>
      </c>
      <c r="B109" s="14" t="s">
        <v>388</v>
      </c>
      <c r="C109" s="14" t="s">
        <v>91</v>
      </c>
      <c r="D109" s="14">
        <v>7.0</v>
      </c>
      <c r="G109" s="14"/>
      <c r="H109" s="14">
        <v>1.0</v>
      </c>
      <c r="I109" s="14">
        <v>7181.0</v>
      </c>
      <c r="J109" s="14">
        <v>7231.0</v>
      </c>
      <c r="K109" s="14">
        <f t="shared" si="1"/>
        <v>50</v>
      </c>
      <c r="L109" s="14">
        <v>50.0</v>
      </c>
      <c r="M109" s="14">
        <v>0.0</v>
      </c>
      <c r="N109" s="14">
        <v>0.0</v>
      </c>
      <c r="O109" s="14">
        <v>0.0</v>
      </c>
      <c r="P109" s="14">
        <v>3.0</v>
      </c>
      <c r="Q109" s="36">
        <v>0.0</v>
      </c>
      <c r="R109" s="36">
        <v>30.0</v>
      </c>
      <c r="S109" s="14"/>
      <c r="T109" s="31">
        <f t="shared" si="2"/>
        <v>83</v>
      </c>
      <c r="U109" s="14" t="s">
        <v>45</v>
      </c>
      <c r="V109" s="26"/>
      <c r="W109" s="14" t="s">
        <v>46</v>
      </c>
      <c r="X109" s="14"/>
      <c r="Y109" s="14"/>
      <c r="Z109" s="14"/>
      <c r="AA109" s="14" t="str">
        <f t="shared" si="3"/>
        <v/>
      </c>
      <c r="AB109" s="14">
        <f t="shared" si="4"/>
        <v>0</v>
      </c>
      <c r="AC109" s="14">
        <f t="shared" si="5"/>
        <v>83</v>
      </c>
      <c r="AD109" s="14">
        <f t="shared" si="18"/>
        <v>1</v>
      </c>
    </row>
    <row r="110" ht="15.75" customHeight="1">
      <c r="A110" s="14">
        <v>109.0</v>
      </c>
      <c r="B110" s="14" t="s">
        <v>390</v>
      </c>
      <c r="C110" s="14" t="s">
        <v>91</v>
      </c>
      <c r="D110" s="14">
        <v>8.0</v>
      </c>
      <c r="G110" s="14"/>
      <c r="H110" s="14">
        <v>1.0</v>
      </c>
      <c r="I110" s="14">
        <v>1776.0</v>
      </c>
      <c r="J110" s="14">
        <v>1785.0</v>
      </c>
      <c r="K110" s="14">
        <f t="shared" si="1"/>
        <v>9</v>
      </c>
      <c r="L110" s="14">
        <v>9.0</v>
      </c>
      <c r="M110" s="14">
        <v>0.0</v>
      </c>
      <c r="N110" s="14">
        <v>0.0</v>
      </c>
      <c r="O110" s="14">
        <v>0.0</v>
      </c>
      <c r="P110" s="14">
        <v>3.0</v>
      </c>
      <c r="Q110" s="14">
        <v>0.0</v>
      </c>
      <c r="R110" s="14">
        <v>0.0</v>
      </c>
      <c r="S110" s="14"/>
      <c r="T110" s="31">
        <f t="shared" si="2"/>
        <v>12</v>
      </c>
      <c r="U110" s="14" t="s">
        <v>45</v>
      </c>
      <c r="W110" s="14" t="s">
        <v>46</v>
      </c>
      <c r="Z110" s="14"/>
      <c r="AA110" s="14" t="str">
        <f t="shared" si="3"/>
        <v/>
      </c>
      <c r="AB110" s="14">
        <f t="shared" si="4"/>
        <v>0</v>
      </c>
      <c r="AC110" s="14">
        <f t="shared" si="5"/>
        <v>12</v>
      </c>
      <c r="AD110" s="14">
        <f t="shared" si="18"/>
        <v>1</v>
      </c>
    </row>
    <row r="111" ht="15.75" customHeight="1">
      <c r="A111" s="14">
        <v>110.0</v>
      </c>
      <c r="B111" s="14" t="s">
        <v>393</v>
      </c>
      <c r="C111" s="14" t="s">
        <v>91</v>
      </c>
      <c r="D111" s="14">
        <v>9.0</v>
      </c>
      <c r="F111" s="14">
        <v>1.0</v>
      </c>
      <c r="G111" s="14"/>
      <c r="H111" s="14">
        <v>1.0</v>
      </c>
      <c r="I111" s="14">
        <v>4072.0</v>
      </c>
      <c r="J111" s="14">
        <v>4093.0</v>
      </c>
      <c r="K111" s="14">
        <f t="shared" si="1"/>
        <v>21</v>
      </c>
      <c r="L111" s="14">
        <v>21.0</v>
      </c>
      <c r="M111" s="14">
        <v>0.0</v>
      </c>
      <c r="N111" s="14">
        <v>0.0</v>
      </c>
      <c r="O111" s="14">
        <v>0.0</v>
      </c>
      <c r="P111" s="14">
        <v>3.0</v>
      </c>
      <c r="Q111" s="36">
        <v>0.0</v>
      </c>
      <c r="R111" s="36"/>
      <c r="S111" s="14"/>
      <c r="T111" s="31">
        <f t="shared" si="2"/>
        <v>24</v>
      </c>
      <c r="U111" s="14" t="s">
        <v>45</v>
      </c>
      <c r="W111" s="14" t="s">
        <v>46</v>
      </c>
      <c r="Y111" s="23" t="s">
        <v>320</v>
      </c>
      <c r="Z111" s="14"/>
      <c r="AA111" s="14" t="str">
        <f t="shared" si="3"/>
        <v/>
      </c>
      <c r="AB111" s="14">
        <f t="shared" si="4"/>
        <v>0</v>
      </c>
      <c r="AC111" s="14">
        <f t="shared" si="5"/>
        <v>24</v>
      </c>
      <c r="AD111" s="14"/>
    </row>
    <row r="112" ht="15.75" customHeight="1">
      <c r="A112" s="14">
        <v>111.0</v>
      </c>
      <c r="B112" s="14" t="s">
        <v>395</v>
      </c>
      <c r="C112" s="14" t="s">
        <v>91</v>
      </c>
      <c r="D112" s="14">
        <v>10.0</v>
      </c>
      <c r="E112" s="14"/>
      <c r="F112" s="14">
        <v>1.0</v>
      </c>
      <c r="G112" s="14"/>
      <c r="H112" s="14">
        <v>1.0</v>
      </c>
      <c r="I112" s="14">
        <v>209.0</v>
      </c>
      <c r="J112" s="14">
        <v>221.0</v>
      </c>
      <c r="K112" s="14">
        <f t="shared" si="1"/>
        <v>12</v>
      </c>
      <c r="L112" s="14">
        <v>12.0</v>
      </c>
      <c r="M112" s="14">
        <v>-3.0</v>
      </c>
      <c r="N112" s="14">
        <v>0.0</v>
      </c>
      <c r="O112" s="14">
        <v>0.0</v>
      </c>
      <c r="P112" s="14">
        <v>3.0</v>
      </c>
      <c r="Q112" s="14">
        <v>0.0</v>
      </c>
      <c r="R112" s="14">
        <v>0.0</v>
      </c>
      <c r="S112" s="14"/>
      <c r="T112" s="31">
        <f t="shared" si="2"/>
        <v>12</v>
      </c>
      <c r="U112" s="14" t="s">
        <v>45</v>
      </c>
      <c r="V112" s="26"/>
      <c r="W112" s="14" t="s">
        <v>46</v>
      </c>
      <c r="Z112" s="14"/>
      <c r="AA112" s="14" t="str">
        <f t="shared" si="3"/>
        <v/>
      </c>
      <c r="AB112" s="14">
        <f t="shared" si="4"/>
        <v>0</v>
      </c>
      <c r="AC112" s="14">
        <f t="shared" si="5"/>
        <v>12</v>
      </c>
      <c r="AD112" s="14">
        <f t="shared" ref="AD112:AD113" si="19">IF(ISBLANK(W112),0,1)</f>
        <v>1</v>
      </c>
    </row>
    <row r="113" ht="15.75" customHeight="1">
      <c r="A113" s="14">
        <v>112.0</v>
      </c>
      <c r="B113" s="14" t="s">
        <v>398</v>
      </c>
      <c r="C113" s="14" t="s">
        <v>91</v>
      </c>
      <c r="D113" s="14">
        <v>11.0</v>
      </c>
      <c r="G113" s="14"/>
      <c r="H113" s="14">
        <v>1.0</v>
      </c>
      <c r="I113" s="14">
        <v>122.0</v>
      </c>
      <c r="J113" s="14">
        <v>135.0</v>
      </c>
      <c r="K113" s="14">
        <f t="shared" si="1"/>
        <v>13</v>
      </c>
      <c r="L113" s="14">
        <v>13.0</v>
      </c>
      <c r="M113" s="14">
        <v>0.0</v>
      </c>
      <c r="N113" s="14">
        <v>0.0</v>
      </c>
      <c r="O113" s="14">
        <v>0.0</v>
      </c>
      <c r="P113" s="14">
        <v>3.0</v>
      </c>
      <c r="Q113" s="14">
        <v>0.0</v>
      </c>
      <c r="R113" s="14">
        <v>0.0</v>
      </c>
      <c r="S113" s="14"/>
      <c r="T113" s="31">
        <f t="shared" si="2"/>
        <v>16</v>
      </c>
      <c r="U113" s="14" t="s">
        <v>45</v>
      </c>
      <c r="V113" s="26"/>
      <c r="W113" s="14" t="s">
        <v>46</v>
      </c>
      <c r="Z113" s="14"/>
      <c r="AA113" s="14" t="str">
        <f t="shared" si="3"/>
        <v/>
      </c>
      <c r="AB113" s="14">
        <f t="shared" si="4"/>
        <v>0</v>
      </c>
      <c r="AC113" s="14">
        <f t="shared" si="5"/>
        <v>16</v>
      </c>
      <c r="AD113" s="14">
        <f t="shared" si="19"/>
        <v>1</v>
      </c>
    </row>
    <row r="114" ht="15.75" customHeight="1">
      <c r="A114" s="14">
        <v>113.0</v>
      </c>
      <c r="B114" s="14" t="s">
        <v>401</v>
      </c>
      <c r="C114" s="36" t="s">
        <v>91</v>
      </c>
      <c r="D114" s="14">
        <v>12.0</v>
      </c>
      <c r="E114" s="14"/>
      <c r="F114" s="14">
        <v>1.0</v>
      </c>
      <c r="G114" s="14"/>
      <c r="H114" s="14">
        <v>1.0</v>
      </c>
      <c r="I114" s="14">
        <v>1152.0</v>
      </c>
      <c r="J114" s="14">
        <v>1156.0</v>
      </c>
      <c r="K114" s="14">
        <f t="shared" si="1"/>
        <v>4</v>
      </c>
      <c r="L114" s="14">
        <v>5.0</v>
      </c>
      <c r="M114" s="14">
        <v>0.0</v>
      </c>
      <c r="N114" s="14">
        <v>0.0</v>
      </c>
      <c r="O114" s="14">
        <v>0.0</v>
      </c>
      <c r="P114" s="14">
        <v>3.0</v>
      </c>
      <c r="Q114" s="14">
        <v>0.0</v>
      </c>
      <c r="R114" s="14">
        <v>0.0</v>
      </c>
      <c r="S114" s="14"/>
      <c r="T114" s="31">
        <f t="shared" si="2"/>
        <v>8</v>
      </c>
      <c r="U114" s="14" t="s">
        <v>45</v>
      </c>
      <c r="V114" s="26"/>
      <c r="W114" s="14" t="s">
        <v>46</v>
      </c>
      <c r="Z114" s="14"/>
      <c r="AA114" s="14" t="str">
        <f t="shared" si="3"/>
        <v/>
      </c>
      <c r="AB114" s="14">
        <f t="shared" si="4"/>
        <v>0</v>
      </c>
      <c r="AC114" s="14">
        <f t="shared" si="5"/>
        <v>8</v>
      </c>
      <c r="AD114" s="14"/>
    </row>
    <row r="115" ht="15.75" customHeight="1">
      <c r="A115" s="14">
        <v>114.0</v>
      </c>
      <c r="B115" s="14" t="s">
        <v>404</v>
      </c>
      <c r="C115" s="14" t="s">
        <v>91</v>
      </c>
      <c r="D115" s="14">
        <v>14.0</v>
      </c>
      <c r="G115" s="14"/>
      <c r="H115" s="14">
        <v>2.0</v>
      </c>
      <c r="I115" s="14">
        <v>1376.0</v>
      </c>
      <c r="J115" s="14">
        <v>1393.0</v>
      </c>
      <c r="K115" s="14">
        <f t="shared" si="1"/>
        <v>17</v>
      </c>
      <c r="L115" s="14">
        <v>34.0</v>
      </c>
      <c r="M115" s="14">
        <v>0.0</v>
      </c>
      <c r="N115" s="14">
        <v>0.0</v>
      </c>
      <c r="O115" s="14">
        <v>0.0</v>
      </c>
      <c r="P115" s="14">
        <v>3.0</v>
      </c>
      <c r="Q115" s="36">
        <v>0.0</v>
      </c>
      <c r="R115" s="36">
        <v>30.0</v>
      </c>
      <c r="S115" s="14"/>
      <c r="T115" s="31">
        <f t="shared" si="2"/>
        <v>67</v>
      </c>
      <c r="U115" s="14" t="s">
        <v>45</v>
      </c>
      <c r="V115" s="26"/>
      <c r="W115" s="14" t="s">
        <v>46</v>
      </c>
      <c r="Z115" s="14"/>
      <c r="AA115" s="14" t="str">
        <f t="shared" si="3"/>
        <v/>
      </c>
      <c r="AB115" s="14">
        <f t="shared" si="4"/>
        <v>0</v>
      </c>
      <c r="AC115" s="14">
        <f t="shared" si="5"/>
        <v>67</v>
      </c>
      <c r="AD115" s="14">
        <f t="shared" ref="AD115:AD117" si="20">IF(ISBLANK(W115),0,1)</f>
        <v>1</v>
      </c>
    </row>
    <row r="116" ht="15.75" customHeight="1">
      <c r="A116" s="14">
        <v>115.0</v>
      </c>
      <c r="B116" s="14" t="s">
        <v>407</v>
      </c>
      <c r="C116" s="14" t="s">
        <v>91</v>
      </c>
      <c r="D116" s="14">
        <v>13.0</v>
      </c>
      <c r="G116" s="14"/>
      <c r="H116" s="14">
        <v>1.0</v>
      </c>
      <c r="I116" s="14">
        <v>672.0</v>
      </c>
      <c r="J116" s="14">
        <v>683.0</v>
      </c>
      <c r="K116" s="14">
        <f t="shared" si="1"/>
        <v>11</v>
      </c>
      <c r="L116" s="14">
        <v>11.0</v>
      </c>
      <c r="M116" s="14">
        <v>0.0</v>
      </c>
      <c r="N116" s="14">
        <v>0.0</v>
      </c>
      <c r="O116" s="14">
        <v>0.0</v>
      </c>
      <c r="P116" s="14">
        <v>3.0</v>
      </c>
      <c r="Q116" s="36">
        <v>0.0</v>
      </c>
      <c r="R116" s="36"/>
      <c r="S116" s="14"/>
      <c r="T116" s="31">
        <f t="shared" si="2"/>
        <v>14</v>
      </c>
      <c r="U116" s="14" t="s">
        <v>45</v>
      </c>
      <c r="V116" s="26"/>
      <c r="W116" s="14" t="s">
        <v>46</v>
      </c>
      <c r="X116" s="14"/>
      <c r="Y116" s="23" t="s">
        <v>409</v>
      </c>
      <c r="Z116" s="14"/>
      <c r="AA116" s="14" t="str">
        <f t="shared" si="3"/>
        <v/>
      </c>
      <c r="AB116" s="14">
        <f t="shared" si="4"/>
        <v>0</v>
      </c>
      <c r="AC116" s="14">
        <f t="shared" si="5"/>
        <v>14</v>
      </c>
      <c r="AD116" s="14">
        <f t="shared" si="20"/>
        <v>1</v>
      </c>
    </row>
    <row r="117" ht="15.75" customHeight="1">
      <c r="A117" s="14">
        <v>116.0</v>
      </c>
      <c r="B117" s="14" t="s">
        <v>410</v>
      </c>
      <c r="C117" s="14" t="s">
        <v>98</v>
      </c>
      <c r="D117" s="14">
        <v>1.0</v>
      </c>
      <c r="G117" s="14"/>
      <c r="H117" s="14">
        <v>1.0</v>
      </c>
      <c r="I117" s="14">
        <v>735.0</v>
      </c>
      <c r="J117" s="14">
        <v>754.0</v>
      </c>
      <c r="K117" s="14">
        <f t="shared" si="1"/>
        <v>19</v>
      </c>
      <c r="L117" s="14">
        <v>19.0</v>
      </c>
      <c r="M117" s="14">
        <v>0.0</v>
      </c>
      <c r="N117" s="14">
        <v>0.0</v>
      </c>
      <c r="O117" s="14">
        <v>0.0</v>
      </c>
      <c r="P117" s="14">
        <v>3.0</v>
      </c>
      <c r="Q117" s="14">
        <v>0.0</v>
      </c>
      <c r="R117" s="14">
        <v>0.0</v>
      </c>
      <c r="S117" s="14"/>
      <c r="T117" s="31">
        <f t="shared" si="2"/>
        <v>22</v>
      </c>
      <c r="U117" s="42" t="s">
        <v>45</v>
      </c>
      <c r="V117" s="26"/>
      <c r="W117" s="14"/>
      <c r="Z117" s="14"/>
      <c r="AA117" s="14" t="str">
        <f t="shared" si="3"/>
        <v/>
      </c>
      <c r="AB117" s="14">
        <f t="shared" si="4"/>
        <v>22</v>
      </c>
      <c r="AC117" s="14">
        <f t="shared" si="5"/>
        <v>0</v>
      </c>
      <c r="AD117" s="14">
        <f t="shared" si="20"/>
        <v>0</v>
      </c>
    </row>
    <row r="118" ht="15.75" customHeight="1">
      <c r="A118" s="14">
        <v>117.0</v>
      </c>
      <c r="B118" s="14" t="s">
        <v>412</v>
      </c>
      <c r="C118" s="14" t="s">
        <v>98</v>
      </c>
      <c r="D118" s="14">
        <v>2.0</v>
      </c>
      <c r="G118" s="14"/>
      <c r="H118" s="14">
        <v>1.0</v>
      </c>
      <c r="I118" s="14">
        <v>3848.0</v>
      </c>
      <c r="J118" s="14">
        <v>3871.0</v>
      </c>
      <c r="K118" s="14">
        <f t="shared" si="1"/>
        <v>23</v>
      </c>
      <c r="L118" s="14">
        <v>23.0</v>
      </c>
      <c r="M118" s="14">
        <v>0.0</v>
      </c>
      <c r="N118" s="14">
        <v>0.0</v>
      </c>
      <c r="O118" s="14">
        <v>0.0</v>
      </c>
      <c r="P118" s="14">
        <v>3.0</v>
      </c>
      <c r="Q118" s="36">
        <v>0.0</v>
      </c>
      <c r="R118" s="36">
        <v>30.0</v>
      </c>
      <c r="S118" s="14"/>
      <c r="T118" s="31">
        <f t="shared" si="2"/>
        <v>56</v>
      </c>
      <c r="U118" s="42" t="s">
        <v>45</v>
      </c>
      <c r="V118" s="26"/>
      <c r="W118" s="14"/>
      <c r="Z118" s="14"/>
      <c r="AA118" s="14" t="str">
        <f t="shared" si="3"/>
        <v/>
      </c>
      <c r="AB118" s="14">
        <f t="shared" si="4"/>
        <v>56</v>
      </c>
      <c r="AC118" s="14">
        <f t="shared" si="5"/>
        <v>0</v>
      </c>
      <c r="AD118" s="14"/>
    </row>
    <row r="119" ht="15.75" customHeight="1">
      <c r="A119" s="14">
        <v>118.0</v>
      </c>
      <c r="B119" s="14" t="s">
        <v>415</v>
      </c>
      <c r="C119" s="14" t="s">
        <v>98</v>
      </c>
      <c r="D119" s="14">
        <v>3.0</v>
      </c>
      <c r="G119" s="14"/>
      <c r="H119" s="14">
        <v>1.0</v>
      </c>
      <c r="I119" s="14">
        <v>2233.0</v>
      </c>
      <c r="J119" s="14">
        <v>2239.0</v>
      </c>
      <c r="K119" s="14">
        <f t="shared" si="1"/>
        <v>6</v>
      </c>
      <c r="L119" s="14">
        <v>6.0</v>
      </c>
      <c r="M119" s="14">
        <v>0.0</v>
      </c>
      <c r="N119" s="14">
        <v>0.0</v>
      </c>
      <c r="O119" s="14">
        <v>0.0</v>
      </c>
      <c r="P119" s="14">
        <v>3.0</v>
      </c>
      <c r="Q119" s="36">
        <v>0.0</v>
      </c>
      <c r="R119" s="36">
        <v>30.0</v>
      </c>
      <c r="S119" s="14"/>
      <c r="T119" s="31">
        <f t="shared" si="2"/>
        <v>39</v>
      </c>
      <c r="U119" s="14" t="s">
        <v>45</v>
      </c>
      <c r="V119" s="26"/>
      <c r="W119" s="14" t="s">
        <v>46</v>
      </c>
      <c r="Z119" s="14"/>
      <c r="AA119" s="14" t="str">
        <f t="shared" si="3"/>
        <v/>
      </c>
      <c r="AB119" s="14">
        <f t="shared" si="4"/>
        <v>0</v>
      </c>
      <c r="AC119" s="14">
        <f t="shared" si="5"/>
        <v>39</v>
      </c>
      <c r="AD119" s="14">
        <f t="shared" ref="AD119:AD131" si="21">IF(ISBLANK(W119),0,1)</f>
        <v>1</v>
      </c>
    </row>
    <row r="120" ht="15.75" customHeight="1">
      <c r="A120" s="14">
        <v>119.0</v>
      </c>
      <c r="B120" s="14" t="s">
        <v>417</v>
      </c>
      <c r="C120" s="14" t="s">
        <v>98</v>
      </c>
      <c r="D120" s="14">
        <v>4.0</v>
      </c>
      <c r="G120" s="14"/>
      <c r="H120" s="14">
        <v>1.0</v>
      </c>
      <c r="I120" s="14">
        <v>1366.0</v>
      </c>
      <c r="J120" s="14">
        <v>1371.0</v>
      </c>
      <c r="K120" s="14">
        <f t="shared" si="1"/>
        <v>5</v>
      </c>
      <c r="L120" s="14">
        <v>5.0</v>
      </c>
      <c r="M120" s="14">
        <v>8.0</v>
      </c>
      <c r="N120" s="14">
        <v>0.0</v>
      </c>
      <c r="O120" s="14">
        <v>0.0</v>
      </c>
      <c r="P120" s="14">
        <v>3.0</v>
      </c>
      <c r="Q120" s="36">
        <v>0.0</v>
      </c>
      <c r="R120" s="36"/>
      <c r="S120" s="14"/>
      <c r="T120" s="31">
        <f t="shared" si="2"/>
        <v>16</v>
      </c>
      <c r="U120" s="14" t="s">
        <v>45</v>
      </c>
      <c r="V120" s="26"/>
      <c r="W120" s="14" t="s">
        <v>46</v>
      </c>
      <c r="Y120" s="23" t="s">
        <v>320</v>
      </c>
      <c r="Z120" s="14"/>
      <c r="AA120" s="14" t="str">
        <f t="shared" si="3"/>
        <v/>
      </c>
      <c r="AB120" s="14">
        <f t="shared" si="4"/>
        <v>0</v>
      </c>
      <c r="AC120" s="14">
        <f t="shared" si="5"/>
        <v>16</v>
      </c>
      <c r="AD120" s="14">
        <f t="shared" si="21"/>
        <v>1</v>
      </c>
    </row>
    <row r="121" ht="15.75" customHeight="1">
      <c r="A121" s="14">
        <v>120.0</v>
      </c>
      <c r="B121" s="14" t="s">
        <v>418</v>
      </c>
      <c r="C121" s="14" t="s">
        <v>98</v>
      </c>
      <c r="D121" s="14">
        <v>5.0</v>
      </c>
      <c r="E121" s="14"/>
      <c r="G121" s="14"/>
      <c r="H121" s="14">
        <v>1.0</v>
      </c>
      <c r="I121" s="14">
        <v>381.0</v>
      </c>
      <c r="J121" s="14">
        <v>403.0</v>
      </c>
      <c r="K121" s="14">
        <f t="shared" si="1"/>
        <v>22</v>
      </c>
      <c r="L121" s="14">
        <v>22.0</v>
      </c>
      <c r="M121" s="14">
        <v>0.0</v>
      </c>
      <c r="N121" s="14">
        <v>0.0</v>
      </c>
      <c r="O121" s="14">
        <v>0.0</v>
      </c>
      <c r="P121" s="14">
        <v>3.0</v>
      </c>
      <c r="Q121" s="36">
        <v>0.0</v>
      </c>
      <c r="R121" s="36">
        <v>30.0</v>
      </c>
      <c r="S121" s="14"/>
      <c r="T121" s="31">
        <f t="shared" si="2"/>
        <v>55</v>
      </c>
      <c r="U121" s="42" t="s">
        <v>45</v>
      </c>
      <c r="V121" s="26"/>
      <c r="W121" s="14"/>
      <c r="Z121" s="14"/>
      <c r="AA121" s="14" t="str">
        <f t="shared" si="3"/>
        <v/>
      </c>
      <c r="AB121" s="14">
        <f t="shared" si="4"/>
        <v>55</v>
      </c>
      <c r="AC121" s="14">
        <f t="shared" si="5"/>
        <v>0</v>
      </c>
      <c r="AD121" s="14">
        <f t="shared" si="21"/>
        <v>0</v>
      </c>
    </row>
    <row r="122" ht="15.75" customHeight="1">
      <c r="A122" s="14">
        <v>121.0</v>
      </c>
      <c r="B122" s="14" t="s">
        <v>421</v>
      </c>
      <c r="C122" s="14" t="s">
        <v>98</v>
      </c>
      <c r="D122" s="14">
        <v>6.0</v>
      </c>
      <c r="G122" s="14"/>
      <c r="H122" s="14">
        <v>1.0</v>
      </c>
      <c r="I122" s="14">
        <v>3796.0</v>
      </c>
      <c r="J122" s="14">
        <v>3819.0</v>
      </c>
      <c r="K122" s="14">
        <f t="shared" si="1"/>
        <v>23</v>
      </c>
      <c r="L122" s="14">
        <v>23.0</v>
      </c>
      <c r="M122" s="14">
        <v>20.0</v>
      </c>
      <c r="N122" s="14">
        <v>0.0</v>
      </c>
      <c r="O122" s="14">
        <v>0.0</v>
      </c>
      <c r="P122" s="14">
        <v>3.0</v>
      </c>
      <c r="Q122" s="36">
        <v>0.0</v>
      </c>
      <c r="R122" s="36">
        <v>30.0</v>
      </c>
      <c r="S122" s="14"/>
      <c r="T122" s="31">
        <f t="shared" si="2"/>
        <v>76</v>
      </c>
      <c r="U122" s="14" t="s">
        <v>45</v>
      </c>
      <c r="V122" s="26"/>
      <c r="W122" s="14" t="s">
        <v>46</v>
      </c>
      <c r="Z122" s="14"/>
      <c r="AA122" s="14" t="str">
        <f t="shared" si="3"/>
        <v/>
      </c>
      <c r="AB122" s="14">
        <f t="shared" si="4"/>
        <v>0</v>
      </c>
      <c r="AC122" s="14">
        <f t="shared" si="5"/>
        <v>76</v>
      </c>
      <c r="AD122" s="14">
        <f t="shared" si="21"/>
        <v>1</v>
      </c>
    </row>
    <row r="123" ht="15.75" customHeight="1">
      <c r="A123" s="14">
        <v>122.0</v>
      </c>
      <c r="B123" s="14" t="s">
        <v>422</v>
      </c>
      <c r="C123" s="14" t="s">
        <v>98</v>
      </c>
      <c r="D123" s="14">
        <v>7.0</v>
      </c>
      <c r="G123" s="14"/>
      <c r="H123" s="14">
        <v>1.0</v>
      </c>
      <c r="I123" s="14">
        <v>1575.0</v>
      </c>
      <c r="J123" s="14">
        <v>1620.0</v>
      </c>
      <c r="K123" s="14">
        <f t="shared" si="1"/>
        <v>45</v>
      </c>
      <c r="L123" s="14">
        <v>45.0</v>
      </c>
      <c r="M123" s="14">
        <v>0.0</v>
      </c>
      <c r="N123" s="14">
        <v>0.0</v>
      </c>
      <c r="O123" s="14">
        <v>0.0</v>
      </c>
      <c r="P123" s="14"/>
      <c r="Q123" s="36">
        <v>0.0</v>
      </c>
      <c r="R123" s="36"/>
      <c r="S123" s="14"/>
      <c r="T123" s="31">
        <f t="shared" si="2"/>
        <v>45</v>
      </c>
      <c r="U123" s="14" t="s">
        <v>45</v>
      </c>
      <c r="V123" s="26"/>
      <c r="W123" s="14" t="s">
        <v>46</v>
      </c>
      <c r="Y123" s="43" t="s">
        <v>425</v>
      </c>
      <c r="Z123" s="14"/>
      <c r="AA123" s="14" t="str">
        <f t="shared" si="3"/>
        <v/>
      </c>
      <c r="AB123" s="14">
        <f t="shared" si="4"/>
        <v>0</v>
      </c>
      <c r="AC123" s="14">
        <f t="shared" si="5"/>
        <v>45</v>
      </c>
      <c r="AD123" s="14">
        <f t="shared" si="21"/>
        <v>1</v>
      </c>
    </row>
    <row r="124" ht="15.75" customHeight="1">
      <c r="A124" s="14">
        <v>123.0</v>
      </c>
      <c r="B124" s="14" t="s">
        <v>426</v>
      </c>
      <c r="C124" s="14" t="s">
        <v>98</v>
      </c>
      <c r="D124" s="14">
        <v>8.0</v>
      </c>
      <c r="G124" s="14"/>
      <c r="H124" s="14">
        <v>1.0</v>
      </c>
      <c r="I124" s="14">
        <v>5149.0</v>
      </c>
      <c r="J124" s="14">
        <v>5169.0</v>
      </c>
      <c r="K124" s="14">
        <f t="shared" si="1"/>
        <v>20</v>
      </c>
      <c r="L124" s="14">
        <v>20.0</v>
      </c>
      <c r="M124" s="14">
        <v>0.0</v>
      </c>
      <c r="N124" s="14">
        <v>0.0</v>
      </c>
      <c r="O124" s="14">
        <v>0.0</v>
      </c>
      <c r="P124" s="14">
        <v>3.0</v>
      </c>
      <c r="Q124" s="14">
        <v>0.0</v>
      </c>
      <c r="R124" s="14">
        <v>0.0</v>
      </c>
      <c r="S124" s="14"/>
      <c r="T124" s="31">
        <f t="shared" si="2"/>
        <v>23</v>
      </c>
      <c r="U124" s="42" t="s">
        <v>45</v>
      </c>
      <c r="V124" s="26"/>
      <c r="W124" s="14"/>
      <c r="Z124" s="14"/>
      <c r="AA124" s="14" t="str">
        <f t="shared" si="3"/>
        <v/>
      </c>
      <c r="AB124" s="14">
        <f t="shared" si="4"/>
        <v>23</v>
      </c>
      <c r="AC124" s="14">
        <f t="shared" si="5"/>
        <v>0</v>
      </c>
      <c r="AD124" s="14">
        <f t="shared" si="21"/>
        <v>0</v>
      </c>
    </row>
    <row r="125" ht="15.75" hidden="1" customHeight="1">
      <c r="A125" s="14">
        <v>124.0</v>
      </c>
      <c r="B125" s="14" t="s">
        <v>429</v>
      </c>
      <c r="C125" s="14" t="s">
        <v>98</v>
      </c>
      <c r="D125" s="14">
        <v>9.0</v>
      </c>
      <c r="G125" s="14"/>
      <c r="H125" s="14">
        <v>1.0</v>
      </c>
      <c r="I125" s="14">
        <v>978.0</v>
      </c>
      <c r="J125" s="14">
        <v>995.0</v>
      </c>
      <c r="K125" s="14">
        <f t="shared" si="1"/>
        <v>17</v>
      </c>
      <c r="L125" s="14">
        <v>17.0</v>
      </c>
      <c r="M125" s="14">
        <v>0.0</v>
      </c>
      <c r="N125" s="14">
        <v>0.0</v>
      </c>
      <c r="O125" s="14">
        <v>0.0</v>
      </c>
      <c r="P125" s="14">
        <v>3.0</v>
      </c>
      <c r="Q125" s="14">
        <v>0.0</v>
      </c>
      <c r="R125" s="14">
        <v>0.0</v>
      </c>
      <c r="S125" s="14"/>
      <c r="T125" s="31">
        <f t="shared" si="2"/>
        <v>20</v>
      </c>
      <c r="U125" s="14"/>
      <c r="V125" s="26"/>
      <c r="W125" s="14"/>
      <c r="Z125" s="14"/>
      <c r="AA125" s="14" t="str">
        <f t="shared" si="3"/>
        <v/>
      </c>
      <c r="AB125" s="14">
        <f t="shared" si="4"/>
        <v>0</v>
      </c>
      <c r="AC125" s="14">
        <f t="shared" si="5"/>
        <v>0</v>
      </c>
      <c r="AD125" s="14">
        <f t="shared" si="21"/>
        <v>0</v>
      </c>
    </row>
    <row r="126" ht="15.75" customHeight="1">
      <c r="A126" s="14">
        <v>125.0</v>
      </c>
      <c r="B126" s="14" t="s">
        <v>432</v>
      </c>
      <c r="C126" s="14" t="s">
        <v>98</v>
      </c>
      <c r="D126" s="14">
        <v>11.0</v>
      </c>
      <c r="G126" s="14"/>
      <c r="H126" s="14">
        <v>1.0</v>
      </c>
      <c r="I126" s="14">
        <v>4028.0</v>
      </c>
      <c r="J126" s="14">
        <v>4040.0</v>
      </c>
      <c r="K126" s="14">
        <f t="shared" si="1"/>
        <v>12</v>
      </c>
      <c r="L126" s="14">
        <v>12.0</v>
      </c>
      <c r="M126" s="14">
        <v>0.0</v>
      </c>
      <c r="N126" s="14">
        <v>0.0</v>
      </c>
      <c r="O126" s="14">
        <v>0.0</v>
      </c>
      <c r="P126" s="14">
        <v>3.0</v>
      </c>
      <c r="Q126" s="36">
        <v>0.0</v>
      </c>
      <c r="R126" s="40"/>
      <c r="S126" s="23"/>
      <c r="T126" s="31">
        <f t="shared" si="2"/>
        <v>15</v>
      </c>
      <c r="U126" s="42" t="s">
        <v>45</v>
      </c>
      <c r="V126" s="26"/>
      <c r="W126" s="14"/>
      <c r="Y126" s="23" t="s">
        <v>320</v>
      </c>
      <c r="Z126" s="14"/>
      <c r="AA126" s="14" t="str">
        <f t="shared" si="3"/>
        <v/>
      </c>
      <c r="AB126" s="14">
        <f t="shared" si="4"/>
        <v>15</v>
      </c>
      <c r="AC126" s="14">
        <f t="shared" si="5"/>
        <v>0</v>
      </c>
      <c r="AD126" s="14">
        <f t="shared" si="21"/>
        <v>0</v>
      </c>
    </row>
    <row r="127" ht="15.75" customHeight="1">
      <c r="A127" s="14">
        <v>126.0</v>
      </c>
      <c r="B127" s="14" t="s">
        <v>434</v>
      </c>
      <c r="C127" s="14" t="s">
        <v>98</v>
      </c>
      <c r="D127" s="14">
        <v>12.0</v>
      </c>
      <c r="E127" s="14"/>
      <c r="F127" s="14">
        <v>1.0</v>
      </c>
      <c r="G127" s="14"/>
      <c r="H127" s="14">
        <v>1.0</v>
      </c>
      <c r="I127" s="14">
        <v>2720.0</v>
      </c>
      <c r="J127" s="14">
        <v>2727.0</v>
      </c>
      <c r="K127" s="14">
        <f t="shared" si="1"/>
        <v>7</v>
      </c>
      <c r="L127" s="14">
        <v>7.0</v>
      </c>
      <c r="M127" s="14">
        <v>24.0</v>
      </c>
      <c r="N127" s="14">
        <v>0.0</v>
      </c>
      <c r="O127" s="14">
        <v>0.0</v>
      </c>
      <c r="P127" s="14">
        <v>3.0</v>
      </c>
      <c r="Q127" s="14">
        <v>0.0</v>
      </c>
      <c r="R127" s="14">
        <v>0.0</v>
      </c>
      <c r="S127" s="14"/>
      <c r="T127" s="31">
        <f t="shared" si="2"/>
        <v>34</v>
      </c>
      <c r="U127" s="42" t="s">
        <v>45</v>
      </c>
      <c r="V127" s="26"/>
      <c r="W127" s="14"/>
      <c r="Y127" s="14"/>
      <c r="Z127" s="14"/>
      <c r="AA127" s="14" t="str">
        <f t="shared" si="3"/>
        <v/>
      </c>
      <c r="AB127" s="14">
        <f t="shared" si="4"/>
        <v>34</v>
      </c>
      <c r="AC127" s="14">
        <f t="shared" si="5"/>
        <v>0</v>
      </c>
      <c r="AD127" s="14">
        <f t="shared" si="21"/>
        <v>0</v>
      </c>
    </row>
    <row r="128" ht="15.75" customHeight="1">
      <c r="A128" s="14">
        <v>127.0</v>
      </c>
      <c r="B128" s="14" t="s">
        <v>437</v>
      </c>
      <c r="C128" s="14" t="s">
        <v>98</v>
      </c>
      <c r="D128" s="14">
        <v>13.0</v>
      </c>
      <c r="G128" s="14"/>
      <c r="H128" s="14">
        <v>1.0</v>
      </c>
      <c r="I128" s="14">
        <v>5505.0</v>
      </c>
      <c r="J128" s="14">
        <v>5534.0</v>
      </c>
      <c r="K128" s="14">
        <f t="shared" si="1"/>
        <v>29</v>
      </c>
      <c r="L128" s="14">
        <v>29.0</v>
      </c>
      <c r="M128" s="14">
        <v>17.0</v>
      </c>
      <c r="N128" s="14">
        <v>0.0</v>
      </c>
      <c r="O128" s="14">
        <v>0.0</v>
      </c>
      <c r="P128" s="14">
        <v>3.0</v>
      </c>
      <c r="Q128" s="14">
        <v>0.0</v>
      </c>
      <c r="R128" s="14">
        <v>0.0</v>
      </c>
      <c r="S128" s="14"/>
      <c r="T128" s="31">
        <f t="shared" si="2"/>
        <v>49</v>
      </c>
      <c r="U128" s="14" t="s">
        <v>45</v>
      </c>
      <c r="V128" s="26"/>
      <c r="W128" s="14" t="s">
        <v>46</v>
      </c>
      <c r="Z128" s="14"/>
      <c r="AA128" s="14" t="str">
        <f t="shared" si="3"/>
        <v/>
      </c>
      <c r="AB128" s="14">
        <f t="shared" si="4"/>
        <v>0</v>
      </c>
      <c r="AC128" s="14">
        <f t="shared" si="5"/>
        <v>49</v>
      </c>
      <c r="AD128" s="14">
        <f t="shared" si="21"/>
        <v>1</v>
      </c>
    </row>
    <row r="129" ht="15.75" customHeight="1">
      <c r="A129" s="14">
        <v>128.0</v>
      </c>
      <c r="B129" s="14" t="s">
        <v>438</v>
      </c>
      <c r="C129" s="14" t="s">
        <v>98</v>
      </c>
      <c r="D129" s="14">
        <v>14.0</v>
      </c>
      <c r="G129" s="14"/>
      <c r="H129" s="14">
        <v>1.0</v>
      </c>
      <c r="I129" s="14">
        <v>1992.0</v>
      </c>
      <c r="J129" s="14">
        <v>2000.0</v>
      </c>
      <c r="K129" s="14">
        <f t="shared" si="1"/>
        <v>8</v>
      </c>
      <c r="L129" s="14">
        <v>8.0</v>
      </c>
      <c r="M129" s="14">
        <v>0.0</v>
      </c>
      <c r="N129" s="14">
        <v>0.0</v>
      </c>
      <c r="O129" s="14">
        <v>0.0</v>
      </c>
      <c r="P129" s="14">
        <v>3.0</v>
      </c>
      <c r="Q129" s="36">
        <v>0.0</v>
      </c>
      <c r="R129" s="36">
        <v>30.0</v>
      </c>
      <c r="S129" s="14"/>
      <c r="T129" s="31">
        <f t="shared" si="2"/>
        <v>41</v>
      </c>
      <c r="U129" s="14" t="s">
        <v>45</v>
      </c>
      <c r="V129" s="26"/>
      <c r="W129" s="14" t="s">
        <v>46</v>
      </c>
      <c r="Z129" s="14"/>
      <c r="AA129" s="14" t="str">
        <f t="shared" si="3"/>
        <v/>
      </c>
      <c r="AB129" s="14">
        <f t="shared" si="4"/>
        <v>0</v>
      </c>
      <c r="AC129" s="14">
        <f t="shared" si="5"/>
        <v>41</v>
      </c>
      <c r="AD129" s="14">
        <f t="shared" si="21"/>
        <v>1</v>
      </c>
    </row>
    <row r="130" ht="15.75" hidden="1" customHeight="1">
      <c r="A130" s="14">
        <v>129.0</v>
      </c>
      <c r="B130" s="14" t="s">
        <v>440</v>
      </c>
      <c r="C130" s="14" t="s">
        <v>98</v>
      </c>
      <c r="D130" s="14">
        <v>15.0</v>
      </c>
      <c r="G130" s="14"/>
      <c r="H130" s="14">
        <v>1.0</v>
      </c>
      <c r="I130" s="14">
        <v>2112.0</v>
      </c>
      <c r="J130" s="14">
        <v>2135.0</v>
      </c>
      <c r="K130" s="14">
        <f t="shared" si="1"/>
        <v>23</v>
      </c>
      <c r="L130" s="14">
        <v>23.0</v>
      </c>
      <c r="M130" s="14">
        <v>-8.0</v>
      </c>
      <c r="N130" s="14">
        <v>0.0</v>
      </c>
      <c r="O130" s="14">
        <v>0.0</v>
      </c>
      <c r="P130" s="14">
        <v>3.0</v>
      </c>
      <c r="Q130" s="36">
        <v>0.0</v>
      </c>
      <c r="R130" s="36">
        <v>30.0</v>
      </c>
      <c r="S130" s="14"/>
      <c r="T130" s="31">
        <f t="shared" si="2"/>
        <v>48</v>
      </c>
      <c r="U130" s="14"/>
      <c r="V130" s="26"/>
      <c r="W130" s="14"/>
      <c r="X130" s="14"/>
      <c r="Y130" s="14"/>
      <c r="Z130" s="14"/>
      <c r="AA130" s="14" t="str">
        <f t="shared" si="3"/>
        <v/>
      </c>
      <c r="AB130" s="14">
        <f t="shared" si="4"/>
        <v>0</v>
      </c>
      <c r="AC130" s="14">
        <f t="shared" si="5"/>
        <v>0</v>
      </c>
      <c r="AD130" s="14">
        <f t="shared" si="21"/>
        <v>0</v>
      </c>
    </row>
    <row r="131" ht="15.75" customHeight="1">
      <c r="A131" s="14">
        <v>130.0</v>
      </c>
      <c r="B131" s="14" t="s">
        <v>443</v>
      </c>
      <c r="C131" s="14" t="s">
        <v>98</v>
      </c>
      <c r="D131" s="14">
        <v>16.0</v>
      </c>
      <c r="E131" s="14"/>
      <c r="F131" s="14">
        <v>1.0</v>
      </c>
      <c r="G131" s="14"/>
      <c r="H131" s="14">
        <v>1.0</v>
      </c>
      <c r="I131" s="14">
        <v>4825.0</v>
      </c>
      <c r="J131" s="14">
        <v>4831.0</v>
      </c>
      <c r="K131" s="14">
        <f t="shared" si="1"/>
        <v>6</v>
      </c>
      <c r="L131" s="14">
        <v>6.0</v>
      </c>
      <c r="M131" s="14">
        <v>8.0</v>
      </c>
      <c r="N131" s="14">
        <v>0.0</v>
      </c>
      <c r="O131" s="14">
        <v>0.0</v>
      </c>
      <c r="P131" s="14">
        <v>3.0</v>
      </c>
      <c r="Q131" s="36">
        <v>0.0</v>
      </c>
      <c r="R131" s="36">
        <v>30.0</v>
      </c>
      <c r="S131" s="14"/>
      <c r="T131" s="31">
        <f t="shared" si="2"/>
        <v>47</v>
      </c>
      <c r="U131" s="14" t="s">
        <v>45</v>
      </c>
      <c r="V131" s="26"/>
      <c r="W131" s="14" t="s">
        <v>46</v>
      </c>
      <c r="Z131" s="14"/>
      <c r="AA131" s="14" t="str">
        <f t="shared" si="3"/>
        <v/>
      </c>
      <c r="AB131" s="14">
        <f t="shared" si="4"/>
        <v>0</v>
      </c>
      <c r="AC131" s="14">
        <f t="shared" si="5"/>
        <v>47</v>
      </c>
      <c r="AD131" s="14">
        <f t="shared" si="21"/>
        <v>1</v>
      </c>
    </row>
    <row r="132" ht="15.75" customHeight="1">
      <c r="A132" s="14">
        <v>131.0</v>
      </c>
      <c r="B132" s="14" t="s">
        <v>445</v>
      </c>
      <c r="C132" s="14" t="s">
        <v>98</v>
      </c>
      <c r="D132" s="14" t="s">
        <v>446</v>
      </c>
      <c r="G132" s="14"/>
      <c r="H132" s="14">
        <v>1.0</v>
      </c>
      <c r="I132" s="14">
        <v>423.0</v>
      </c>
      <c r="J132" s="14">
        <v>432.0</v>
      </c>
      <c r="K132" s="14">
        <f t="shared" si="1"/>
        <v>9</v>
      </c>
      <c r="L132" s="14">
        <v>9.0</v>
      </c>
      <c r="M132" s="14">
        <v>13.0</v>
      </c>
      <c r="N132" s="14">
        <v>0.0</v>
      </c>
      <c r="O132" s="14">
        <v>0.0</v>
      </c>
      <c r="P132" s="14">
        <v>3.0</v>
      </c>
      <c r="Q132" s="36">
        <v>0.0</v>
      </c>
      <c r="R132" s="36">
        <v>30.0</v>
      </c>
      <c r="S132" s="14"/>
      <c r="T132" s="31">
        <f t="shared" si="2"/>
        <v>55</v>
      </c>
      <c r="U132" s="23" t="s">
        <v>45</v>
      </c>
      <c r="V132" s="26"/>
      <c r="W132" s="23" t="s">
        <v>46</v>
      </c>
      <c r="X132" s="14"/>
      <c r="Y132" s="14"/>
      <c r="Z132" s="14"/>
      <c r="AA132" s="14" t="str">
        <f t="shared" si="3"/>
        <v/>
      </c>
      <c r="AB132" s="14">
        <f t="shared" si="4"/>
        <v>0</v>
      </c>
      <c r="AC132" s="14">
        <f t="shared" si="5"/>
        <v>55</v>
      </c>
      <c r="AD132" s="14"/>
    </row>
    <row r="133" ht="15.75" hidden="1" customHeight="1">
      <c r="A133" s="14">
        <v>132.0</v>
      </c>
      <c r="B133" s="14" t="s">
        <v>448</v>
      </c>
      <c r="C133" s="14" t="s">
        <v>98</v>
      </c>
      <c r="D133" s="14">
        <v>17.0</v>
      </c>
      <c r="G133" s="14"/>
      <c r="H133" s="14">
        <v>1.0</v>
      </c>
      <c r="I133" s="14">
        <v>1426.0</v>
      </c>
      <c r="J133" s="14">
        <v>1443.0</v>
      </c>
      <c r="K133" s="14">
        <f t="shared" si="1"/>
        <v>17</v>
      </c>
      <c r="L133" s="14">
        <v>17.0</v>
      </c>
      <c r="M133" s="14">
        <v>0.0</v>
      </c>
      <c r="N133" s="14">
        <v>0.0</v>
      </c>
      <c r="O133" s="14">
        <v>0.0</v>
      </c>
      <c r="P133" s="14">
        <v>3.0</v>
      </c>
      <c r="Q133" s="36">
        <v>0.0</v>
      </c>
      <c r="R133" s="36">
        <v>30.0</v>
      </c>
      <c r="S133" s="14"/>
      <c r="T133" s="31">
        <f t="shared" si="2"/>
        <v>50</v>
      </c>
      <c r="U133" s="14"/>
      <c r="V133" s="26"/>
      <c r="W133" s="14"/>
      <c r="Z133" s="14"/>
      <c r="AA133" s="14" t="str">
        <f t="shared" si="3"/>
        <v/>
      </c>
      <c r="AB133" s="14">
        <f t="shared" si="4"/>
        <v>0</v>
      </c>
      <c r="AC133" s="14">
        <f t="shared" si="5"/>
        <v>0</v>
      </c>
      <c r="AD133" s="14"/>
    </row>
    <row r="134" ht="15.75" customHeight="1">
      <c r="A134" s="14">
        <v>133.0</v>
      </c>
      <c r="B134" s="14" t="s">
        <v>450</v>
      </c>
      <c r="C134" s="14" t="s">
        <v>98</v>
      </c>
      <c r="D134" s="14">
        <v>18.0</v>
      </c>
      <c r="G134" s="14"/>
      <c r="H134" s="14">
        <v>1.0</v>
      </c>
      <c r="I134" s="14">
        <v>1082.0</v>
      </c>
      <c r="J134" s="14">
        <v>1082.0</v>
      </c>
      <c r="K134" s="14">
        <f t="shared" si="1"/>
        <v>0</v>
      </c>
      <c r="L134" s="14">
        <v>5.0</v>
      </c>
      <c r="M134" s="14">
        <v>-1.0</v>
      </c>
      <c r="N134" s="14">
        <v>0.0</v>
      </c>
      <c r="O134" s="14">
        <v>0.0</v>
      </c>
      <c r="P134" s="14">
        <v>3.0</v>
      </c>
      <c r="Q134" s="36">
        <v>0.0</v>
      </c>
      <c r="R134" s="36">
        <v>30.0</v>
      </c>
      <c r="S134" s="14"/>
      <c r="T134" s="31">
        <f t="shared" si="2"/>
        <v>37</v>
      </c>
      <c r="U134" s="60" t="s">
        <v>45</v>
      </c>
      <c r="V134" s="26"/>
      <c r="W134" s="23" t="s">
        <v>46</v>
      </c>
      <c r="Y134" s="43" t="s">
        <v>452</v>
      </c>
      <c r="Z134" s="14"/>
      <c r="AA134" s="14" t="str">
        <f t="shared" si="3"/>
        <v/>
      </c>
      <c r="AB134" s="14">
        <f t="shared" si="4"/>
        <v>0</v>
      </c>
      <c r="AC134" s="14">
        <f t="shared" si="5"/>
        <v>37</v>
      </c>
      <c r="AD134" s="14">
        <f t="shared" ref="AD134:AD138" si="22">IF(ISBLANK(W134),0,1)</f>
        <v>1</v>
      </c>
    </row>
    <row r="135" ht="15.75" customHeight="1">
      <c r="A135" s="14">
        <v>134.0</v>
      </c>
      <c r="B135" s="14" t="s">
        <v>456</v>
      </c>
      <c r="C135" s="14" t="s">
        <v>98</v>
      </c>
      <c r="D135" s="14">
        <v>19.0</v>
      </c>
      <c r="G135" s="14"/>
      <c r="H135" s="14">
        <v>1.0</v>
      </c>
      <c r="I135" s="14">
        <v>3258.0</v>
      </c>
      <c r="J135" s="14">
        <v>3274.0</v>
      </c>
      <c r="K135" s="14">
        <f t="shared" si="1"/>
        <v>16</v>
      </c>
      <c r="L135" s="14">
        <v>16.0</v>
      </c>
      <c r="M135" s="14">
        <v>0.0</v>
      </c>
      <c r="N135" s="14">
        <v>0.0</v>
      </c>
      <c r="O135" s="14">
        <v>0.0</v>
      </c>
      <c r="P135" s="14">
        <v>3.0</v>
      </c>
      <c r="Q135" s="14">
        <v>0.0</v>
      </c>
      <c r="R135" s="14">
        <v>0.0</v>
      </c>
      <c r="S135" s="14"/>
      <c r="T135" s="31">
        <f t="shared" si="2"/>
        <v>19</v>
      </c>
      <c r="U135" s="42" t="s">
        <v>45</v>
      </c>
      <c r="V135" s="26"/>
      <c r="W135" s="14"/>
      <c r="Z135" s="14"/>
      <c r="AA135" s="14" t="str">
        <f t="shared" si="3"/>
        <v/>
      </c>
      <c r="AB135" s="14">
        <f t="shared" si="4"/>
        <v>19</v>
      </c>
      <c r="AC135" s="14">
        <f t="shared" si="5"/>
        <v>0</v>
      </c>
      <c r="AD135" s="14">
        <f t="shared" si="22"/>
        <v>0</v>
      </c>
    </row>
    <row r="136" ht="15.75" customHeight="1">
      <c r="A136" s="14">
        <v>135.0</v>
      </c>
      <c r="B136" s="14" t="s">
        <v>458</v>
      </c>
      <c r="C136" s="14" t="s">
        <v>98</v>
      </c>
      <c r="D136" s="14">
        <v>20.0</v>
      </c>
      <c r="G136" s="14"/>
      <c r="H136" s="14">
        <v>1.0</v>
      </c>
      <c r="I136" s="14">
        <v>3014.0</v>
      </c>
      <c r="J136" s="14">
        <v>3025.0</v>
      </c>
      <c r="K136" s="14">
        <f t="shared" si="1"/>
        <v>11</v>
      </c>
      <c r="L136" s="14">
        <v>11.0</v>
      </c>
      <c r="M136" s="14">
        <v>13.0</v>
      </c>
      <c r="N136" s="14">
        <v>0.0</v>
      </c>
      <c r="O136" s="14">
        <v>0.0</v>
      </c>
      <c r="P136" s="14">
        <v>3.0</v>
      </c>
      <c r="Q136" s="14">
        <v>0.0</v>
      </c>
      <c r="R136" s="14">
        <v>0.0</v>
      </c>
      <c r="S136" s="14"/>
      <c r="T136" s="31">
        <f t="shared" si="2"/>
        <v>27</v>
      </c>
      <c r="U136" s="42" t="s">
        <v>45</v>
      </c>
      <c r="V136" s="26"/>
      <c r="W136" s="14"/>
      <c r="Z136" s="14"/>
      <c r="AA136" s="14" t="str">
        <f t="shared" si="3"/>
        <v/>
      </c>
      <c r="AB136" s="14">
        <f t="shared" si="4"/>
        <v>27</v>
      </c>
      <c r="AC136" s="14">
        <f t="shared" si="5"/>
        <v>0</v>
      </c>
      <c r="AD136" s="14">
        <f t="shared" si="22"/>
        <v>0</v>
      </c>
    </row>
    <row r="137" ht="15.75" customHeight="1">
      <c r="A137" s="14">
        <v>136.0</v>
      </c>
      <c r="B137" s="14" t="s">
        <v>460</v>
      </c>
      <c r="C137" s="14" t="s">
        <v>98</v>
      </c>
      <c r="D137" s="14">
        <v>21.0</v>
      </c>
      <c r="G137" s="14"/>
      <c r="H137" s="14">
        <v>1.0</v>
      </c>
      <c r="I137" s="14">
        <v>1602.0</v>
      </c>
      <c r="J137" s="14">
        <v>1620.0</v>
      </c>
      <c r="K137" s="14">
        <f t="shared" si="1"/>
        <v>18</v>
      </c>
      <c r="L137" s="14">
        <v>18.0</v>
      </c>
      <c r="M137" s="14">
        <v>0.0</v>
      </c>
      <c r="N137" s="14">
        <v>0.0</v>
      </c>
      <c r="O137" s="14">
        <v>0.0</v>
      </c>
      <c r="P137" s="14">
        <v>3.0</v>
      </c>
      <c r="Q137" s="14">
        <v>0.0</v>
      </c>
      <c r="R137" s="14">
        <v>0.0</v>
      </c>
      <c r="S137" s="14"/>
      <c r="T137" s="31">
        <f t="shared" si="2"/>
        <v>21</v>
      </c>
      <c r="U137" s="42" t="s">
        <v>45</v>
      </c>
      <c r="V137" s="26"/>
      <c r="W137" s="14"/>
      <c r="Z137" s="14"/>
      <c r="AA137" s="14" t="str">
        <f t="shared" si="3"/>
        <v/>
      </c>
      <c r="AB137" s="14">
        <f t="shared" si="4"/>
        <v>21</v>
      </c>
      <c r="AC137" s="14">
        <f t="shared" si="5"/>
        <v>0</v>
      </c>
      <c r="AD137" s="14">
        <f t="shared" si="22"/>
        <v>0</v>
      </c>
    </row>
    <row r="138" ht="15.75" customHeight="1">
      <c r="A138" s="14">
        <v>137.0</v>
      </c>
      <c r="B138" s="14" t="s">
        <v>462</v>
      </c>
      <c r="C138" s="14" t="s">
        <v>98</v>
      </c>
      <c r="D138" s="14" t="s">
        <v>463</v>
      </c>
      <c r="G138" s="14"/>
      <c r="H138" s="14">
        <v>1.0</v>
      </c>
      <c r="I138" s="14">
        <v>704.0</v>
      </c>
      <c r="J138" s="14">
        <v>713.0</v>
      </c>
      <c r="K138" s="14">
        <f t="shared" si="1"/>
        <v>9</v>
      </c>
      <c r="L138" s="14">
        <v>9.0</v>
      </c>
      <c r="M138" s="14">
        <v>10.0</v>
      </c>
      <c r="N138" s="14">
        <v>0.0</v>
      </c>
      <c r="O138" s="14">
        <v>0.0</v>
      </c>
      <c r="P138" s="14">
        <v>3.0</v>
      </c>
      <c r="Q138" s="14">
        <v>0.0</v>
      </c>
      <c r="R138" s="14">
        <v>0.0</v>
      </c>
      <c r="S138" s="14"/>
      <c r="T138" s="31">
        <f t="shared" si="2"/>
        <v>22</v>
      </c>
      <c r="U138" s="14" t="s">
        <v>45</v>
      </c>
      <c r="V138" s="26"/>
      <c r="W138" s="14" t="s">
        <v>46</v>
      </c>
      <c r="Z138" s="14"/>
      <c r="AA138" s="14" t="str">
        <f t="shared" si="3"/>
        <v/>
      </c>
      <c r="AB138" s="14">
        <f t="shared" si="4"/>
        <v>0</v>
      </c>
      <c r="AC138" s="14">
        <f t="shared" si="5"/>
        <v>22</v>
      </c>
      <c r="AD138" s="14">
        <f t="shared" si="22"/>
        <v>1</v>
      </c>
    </row>
    <row r="139" ht="15.75" hidden="1" customHeight="1">
      <c r="A139" s="14">
        <v>138.0</v>
      </c>
      <c r="B139" s="14" t="s">
        <v>465</v>
      </c>
      <c r="C139" s="14" t="s">
        <v>98</v>
      </c>
      <c r="D139" s="14">
        <v>22.0</v>
      </c>
      <c r="G139" s="14"/>
      <c r="H139" s="14">
        <v>1.0</v>
      </c>
      <c r="I139" s="14">
        <v>128.0</v>
      </c>
      <c r="J139" s="14">
        <v>147.0</v>
      </c>
      <c r="K139" s="14">
        <f t="shared" si="1"/>
        <v>19</v>
      </c>
      <c r="L139" s="14">
        <v>19.0</v>
      </c>
      <c r="M139" s="14">
        <v>0.0</v>
      </c>
      <c r="N139" s="14">
        <v>0.0</v>
      </c>
      <c r="O139" s="14">
        <v>0.0</v>
      </c>
      <c r="P139" s="14">
        <v>3.0</v>
      </c>
      <c r="Q139" s="14">
        <v>0.0</v>
      </c>
      <c r="R139" s="14">
        <v>0.0</v>
      </c>
      <c r="S139" s="14"/>
      <c r="T139" s="31">
        <f t="shared" si="2"/>
        <v>22</v>
      </c>
      <c r="U139" s="14"/>
      <c r="V139" s="26"/>
      <c r="W139" s="14"/>
      <c r="X139" s="14"/>
      <c r="Y139" s="14"/>
      <c r="Z139" s="14"/>
      <c r="AA139" s="14" t="str">
        <f t="shared" si="3"/>
        <v/>
      </c>
      <c r="AB139" s="14">
        <f t="shared" si="4"/>
        <v>0</v>
      </c>
      <c r="AC139" s="14">
        <f t="shared" si="5"/>
        <v>0</v>
      </c>
      <c r="AD139" s="14"/>
    </row>
    <row r="140" ht="15.75" customHeight="1">
      <c r="A140" s="14">
        <v>139.0</v>
      </c>
      <c r="B140" s="14" t="s">
        <v>468</v>
      </c>
      <c r="C140" s="14" t="s">
        <v>98</v>
      </c>
      <c r="D140" s="14">
        <v>23.0</v>
      </c>
      <c r="G140" s="14"/>
      <c r="H140" s="14">
        <v>1.0</v>
      </c>
      <c r="I140" s="14">
        <v>292.0</v>
      </c>
      <c r="J140" s="14">
        <v>300.0</v>
      </c>
      <c r="K140" s="14">
        <f t="shared" si="1"/>
        <v>8</v>
      </c>
      <c r="L140" s="14">
        <v>8.0</v>
      </c>
      <c r="M140" s="14">
        <v>0.0</v>
      </c>
      <c r="N140" s="14">
        <v>0.0</v>
      </c>
      <c r="O140" s="14">
        <v>0.0</v>
      </c>
      <c r="P140" s="14">
        <v>3.0</v>
      </c>
      <c r="Q140" s="36">
        <v>0.0</v>
      </c>
      <c r="R140" s="36">
        <v>30.0</v>
      </c>
      <c r="S140" s="14"/>
      <c r="T140" s="31">
        <f t="shared" si="2"/>
        <v>41</v>
      </c>
      <c r="U140" s="14" t="s">
        <v>45</v>
      </c>
      <c r="V140" s="26"/>
      <c r="W140" s="14" t="s">
        <v>46</v>
      </c>
      <c r="Z140" s="14"/>
      <c r="AA140" s="14" t="str">
        <f t="shared" si="3"/>
        <v/>
      </c>
      <c r="AB140" s="14">
        <f t="shared" si="4"/>
        <v>0</v>
      </c>
      <c r="AC140" s="14">
        <f t="shared" si="5"/>
        <v>41</v>
      </c>
      <c r="AD140" s="14">
        <f t="shared" ref="AD140:AD144" si="23">IF(ISBLANK(W140),0,1)</f>
        <v>1</v>
      </c>
    </row>
    <row r="141" ht="15.75" hidden="1" customHeight="1">
      <c r="A141" s="14">
        <v>140.0</v>
      </c>
      <c r="B141" s="14" t="s">
        <v>473</v>
      </c>
      <c r="C141" s="14" t="s">
        <v>98</v>
      </c>
      <c r="D141" s="14">
        <v>24.0</v>
      </c>
      <c r="E141" s="14"/>
      <c r="G141" s="14"/>
      <c r="H141" s="14">
        <v>1.0</v>
      </c>
      <c r="I141" s="14">
        <v>347.0</v>
      </c>
      <c r="J141" s="14">
        <v>365.0</v>
      </c>
      <c r="K141" s="14">
        <f t="shared" si="1"/>
        <v>18</v>
      </c>
      <c r="L141" s="14">
        <v>18.0</v>
      </c>
      <c r="M141" s="14">
        <v>0.0</v>
      </c>
      <c r="N141" s="14">
        <v>0.0</v>
      </c>
      <c r="O141" s="14">
        <v>0.0</v>
      </c>
      <c r="P141" s="14">
        <v>3.0</v>
      </c>
      <c r="Q141" s="36">
        <v>0.0</v>
      </c>
      <c r="R141" s="36">
        <v>30.0</v>
      </c>
      <c r="S141" s="14"/>
      <c r="T141" s="31">
        <f t="shared" si="2"/>
        <v>51</v>
      </c>
      <c r="U141" s="14"/>
      <c r="V141" s="26"/>
      <c r="W141" s="14"/>
      <c r="Z141" s="14"/>
      <c r="AA141" s="14" t="str">
        <f t="shared" si="3"/>
        <v/>
      </c>
      <c r="AB141" s="14">
        <f t="shared" si="4"/>
        <v>0</v>
      </c>
      <c r="AC141" s="14">
        <f t="shared" si="5"/>
        <v>0</v>
      </c>
      <c r="AD141" s="14">
        <f t="shared" si="23"/>
        <v>0</v>
      </c>
    </row>
    <row r="142" ht="15.75" customHeight="1">
      <c r="A142" s="14">
        <v>141.0</v>
      </c>
      <c r="B142" s="14" t="s">
        <v>475</v>
      </c>
      <c r="C142" s="14" t="s">
        <v>101</v>
      </c>
      <c r="D142" s="14">
        <v>1.0</v>
      </c>
      <c r="G142" s="14"/>
      <c r="H142" s="14">
        <v>1.0</v>
      </c>
      <c r="I142" s="14">
        <v>2600.0</v>
      </c>
      <c r="J142" s="14">
        <v>2624.0</v>
      </c>
      <c r="K142" s="14">
        <f t="shared" si="1"/>
        <v>24</v>
      </c>
      <c r="L142" s="14">
        <v>24.0</v>
      </c>
      <c r="M142" s="14">
        <v>24.0</v>
      </c>
      <c r="N142" s="14">
        <v>0.0</v>
      </c>
      <c r="O142" s="14">
        <v>0.0</v>
      </c>
      <c r="P142" s="14">
        <v>3.0</v>
      </c>
      <c r="Q142" s="14">
        <v>0.0</v>
      </c>
      <c r="R142" s="14">
        <v>0.0</v>
      </c>
      <c r="S142" s="14"/>
      <c r="T142" s="31">
        <f t="shared" si="2"/>
        <v>51</v>
      </c>
      <c r="U142" s="42" t="s">
        <v>45</v>
      </c>
      <c r="V142" s="26"/>
      <c r="W142" s="14"/>
      <c r="Y142" s="14"/>
      <c r="Z142" s="14"/>
      <c r="AA142" s="14" t="str">
        <f t="shared" si="3"/>
        <v/>
      </c>
      <c r="AB142" s="14">
        <f t="shared" si="4"/>
        <v>51</v>
      </c>
      <c r="AC142" s="14">
        <f t="shared" si="5"/>
        <v>0</v>
      </c>
      <c r="AD142" s="14">
        <f t="shared" si="23"/>
        <v>0</v>
      </c>
    </row>
    <row r="143" ht="15.75" customHeight="1">
      <c r="A143" s="14">
        <v>142.0</v>
      </c>
      <c r="B143" s="14" t="s">
        <v>479</v>
      </c>
      <c r="C143" s="14" t="s">
        <v>101</v>
      </c>
      <c r="D143" s="14">
        <v>2.0</v>
      </c>
      <c r="G143" s="14"/>
      <c r="H143" s="14">
        <v>1.0</v>
      </c>
      <c r="I143" s="14">
        <v>2145.0</v>
      </c>
      <c r="J143" s="14">
        <v>2160.0</v>
      </c>
      <c r="K143" s="14">
        <f t="shared" si="1"/>
        <v>15</v>
      </c>
      <c r="L143" s="14">
        <v>15.0</v>
      </c>
      <c r="M143" s="14">
        <v>0.0</v>
      </c>
      <c r="N143" s="14">
        <v>0.0</v>
      </c>
      <c r="O143" s="14">
        <v>0.0</v>
      </c>
      <c r="P143" s="14">
        <v>3.0</v>
      </c>
      <c r="Q143" s="14">
        <v>0.0</v>
      </c>
      <c r="R143" s="14">
        <v>0.0</v>
      </c>
      <c r="S143" s="14"/>
      <c r="T143" s="31">
        <f t="shared" si="2"/>
        <v>18</v>
      </c>
      <c r="U143" s="42" t="s">
        <v>45</v>
      </c>
      <c r="V143" s="26"/>
      <c r="W143" s="14"/>
      <c r="Z143" s="14"/>
      <c r="AA143" s="14" t="str">
        <f t="shared" si="3"/>
        <v/>
      </c>
      <c r="AB143" s="14">
        <f t="shared" si="4"/>
        <v>18</v>
      </c>
      <c r="AC143" s="14">
        <f t="shared" si="5"/>
        <v>0</v>
      </c>
      <c r="AD143" s="14">
        <f t="shared" si="23"/>
        <v>0</v>
      </c>
    </row>
    <row r="144" ht="15.75" customHeight="1">
      <c r="A144" s="14">
        <v>143.0</v>
      </c>
      <c r="B144" s="14" t="s">
        <v>480</v>
      </c>
      <c r="C144" s="14" t="s">
        <v>101</v>
      </c>
      <c r="D144" s="14">
        <v>3.0</v>
      </c>
      <c r="G144" s="14"/>
      <c r="H144" s="14">
        <v>1.0</v>
      </c>
      <c r="I144" s="14">
        <v>3199.0</v>
      </c>
      <c r="J144" s="14">
        <v>3220.0</v>
      </c>
      <c r="K144" s="14">
        <f t="shared" si="1"/>
        <v>21</v>
      </c>
      <c r="L144" s="14">
        <v>21.0</v>
      </c>
      <c r="M144" s="14">
        <v>0.0</v>
      </c>
      <c r="N144" s="14">
        <v>0.0</v>
      </c>
      <c r="O144" s="14">
        <v>0.0</v>
      </c>
      <c r="P144" s="14">
        <v>3.0</v>
      </c>
      <c r="Q144" s="14">
        <v>0.0</v>
      </c>
      <c r="R144" s="14">
        <v>0.0</v>
      </c>
      <c r="S144" s="14"/>
      <c r="T144" s="31">
        <f t="shared" si="2"/>
        <v>24</v>
      </c>
      <c r="U144" s="42" t="s">
        <v>45</v>
      </c>
      <c r="V144" s="26"/>
      <c r="W144" s="14"/>
      <c r="Z144" s="14"/>
      <c r="AA144" s="14" t="str">
        <f t="shared" si="3"/>
        <v/>
      </c>
      <c r="AB144" s="14">
        <f t="shared" si="4"/>
        <v>24</v>
      </c>
      <c r="AC144" s="14">
        <f t="shared" si="5"/>
        <v>0</v>
      </c>
      <c r="AD144" s="14">
        <f t="shared" si="23"/>
        <v>0</v>
      </c>
    </row>
    <row r="145" ht="15.75" customHeight="1">
      <c r="A145" s="14">
        <v>144.0</v>
      </c>
      <c r="B145" s="14" t="s">
        <v>482</v>
      </c>
      <c r="C145" s="14" t="s">
        <v>101</v>
      </c>
      <c r="D145" s="14">
        <v>4.0</v>
      </c>
      <c r="G145" s="14"/>
      <c r="H145" s="14">
        <v>1.0</v>
      </c>
      <c r="I145" s="14">
        <v>2401.0</v>
      </c>
      <c r="J145" s="14">
        <v>2407.0</v>
      </c>
      <c r="K145" s="14">
        <f t="shared" si="1"/>
        <v>6</v>
      </c>
      <c r="L145" s="14">
        <v>6.0</v>
      </c>
      <c r="M145" s="14">
        <v>0.0</v>
      </c>
      <c r="N145" s="14">
        <v>0.0</v>
      </c>
      <c r="O145" s="14">
        <v>0.0</v>
      </c>
      <c r="P145" s="14">
        <v>3.0</v>
      </c>
      <c r="Q145" s="14">
        <v>0.0</v>
      </c>
      <c r="R145" s="14">
        <v>0.0</v>
      </c>
      <c r="S145" s="14"/>
      <c r="T145" s="31">
        <f t="shared" si="2"/>
        <v>9</v>
      </c>
      <c r="U145" s="14" t="s">
        <v>45</v>
      </c>
      <c r="V145" s="26"/>
      <c r="W145" s="14" t="s">
        <v>46</v>
      </c>
      <c r="Z145" s="14"/>
      <c r="AA145" s="14" t="str">
        <f t="shared" si="3"/>
        <v/>
      </c>
      <c r="AB145" s="14">
        <f t="shared" si="4"/>
        <v>0</v>
      </c>
      <c r="AC145" s="14">
        <f t="shared" si="5"/>
        <v>9</v>
      </c>
      <c r="AD145" s="14"/>
    </row>
    <row r="146" ht="15.75" customHeight="1">
      <c r="A146" s="14">
        <v>145.0</v>
      </c>
      <c r="B146" s="14" t="s">
        <v>483</v>
      </c>
      <c r="C146" s="14" t="s">
        <v>101</v>
      </c>
      <c r="D146" s="14">
        <v>5.0</v>
      </c>
      <c r="G146" s="14"/>
      <c r="H146" s="14">
        <v>1.0</v>
      </c>
      <c r="I146" s="14">
        <v>5559.0</v>
      </c>
      <c r="J146" s="14">
        <v>5582.0</v>
      </c>
      <c r="K146" s="14">
        <f t="shared" si="1"/>
        <v>23</v>
      </c>
      <c r="L146" s="14">
        <v>23.0</v>
      </c>
      <c r="M146" s="23">
        <v>0.0</v>
      </c>
      <c r="N146" s="14">
        <v>0.0</v>
      </c>
      <c r="O146" s="14">
        <v>0.0</v>
      </c>
      <c r="P146" s="14">
        <v>3.0</v>
      </c>
      <c r="Q146" s="36">
        <v>0.0</v>
      </c>
      <c r="R146" s="36">
        <v>30.0</v>
      </c>
      <c r="S146" s="14"/>
      <c r="T146" s="31">
        <f t="shared" si="2"/>
        <v>56</v>
      </c>
      <c r="U146" s="14" t="s">
        <v>45</v>
      </c>
      <c r="V146" s="26"/>
      <c r="W146" s="14" t="s">
        <v>46</v>
      </c>
      <c r="X146" s="14"/>
      <c r="Y146" s="23" t="s">
        <v>486</v>
      </c>
      <c r="Z146" s="14"/>
      <c r="AA146" s="14" t="str">
        <f t="shared" si="3"/>
        <v/>
      </c>
      <c r="AB146" s="14">
        <f t="shared" si="4"/>
        <v>0</v>
      </c>
      <c r="AC146" s="14">
        <f t="shared" si="5"/>
        <v>56</v>
      </c>
      <c r="AD146" s="14">
        <f t="shared" ref="AD146:AD147" si="24">IF(ISBLANK(W146),0,1)</f>
        <v>1</v>
      </c>
    </row>
    <row r="147" ht="15.75" customHeight="1">
      <c r="A147" s="14">
        <v>146.0</v>
      </c>
      <c r="B147" s="14" t="s">
        <v>488</v>
      </c>
      <c r="C147" s="14" t="s">
        <v>101</v>
      </c>
      <c r="D147" s="14">
        <v>7.0</v>
      </c>
      <c r="G147" s="14"/>
      <c r="H147" s="14">
        <v>1.0</v>
      </c>
      <c r="I147" s="14">
        <v>7593.0</v>
      </c>
      <c r="J147" s="14">
        <v>7628.0</v>
      </c>
      <c r="K147" s="14">
        <f t="shared" si="1"/>
        <v>35</v>
      </c>
      <c r="L147" s="14">
        <v>35.0</v>
      </c>
      <c r="M147" s="14">
        <v>29.0</v>
      </c>
      <c r="N147" s="14">
        <v>0.0</v>
      </c>
      <c r="O147" s="14">
        <v>0.0</v>
      </c>
      <c r="P147" s="14">
        <v>3.0</v>
      </c>
      <c r="Q147" s="36">
        <v>0.0</v>
      </c>
      <c r="R147" s="36">
        <v>30.0</v>
      </c>
      <c r="S147" s="14"/>
      <c r="T147" s="31">
        <f t="shared" si="2"/>
        <v>97</v>
      </c>
      <c r="U147" s="14" t="s">
        <v>45</v>
      </c>
      <c r="V147" s="26"/>
      <c r="W147" s="14" t="s">
        <v>46</v>
      </c>
      <c r="Z147" s="14"/>
      <c r="AA147" s="14" t="str">
        <f t="shared" si="3"/>
        <v/>
      </c>
      <c r="AB147" s="14">
        <f t="shared" si="4"/>
        <v>0</v>
      </c>
      <c r="AC147" s="14">
        <f t="shared" si="5"/>
        <v>97</v>
      </c>
      <c r="AD147" s="14">
        <f t="shared" si="24"/>
        <v>1</v>
      </c>
    </row>
    <row r="148" ht="15.75" hidden="1" customHeight="1">
      <c r="A148" s="14">
        <v>147.0</v>
      </c>
      <c r="B148" s="14" t="s">
        <v>492</v>
      </c>
      <c r="C148" s="14" t="s">
        <v>101</v>
      </c>
      <c r="D148" s="14">
        <v>8.0</v>
      </c>
      <c r="G148" s="14"/>
      <c r="H148" s="14">
        <v>1.0</v>
      </c>
      <c r="I148" s="14">
        <v>2508.0</v>
      </c>
      <c r="J148" s="14">
        <v>2522.0</v>
      </c>
      <c r="K148" s="14">
        <f t="shared" si="1"/>
        <v>14</v>
      </c>
      <c r="L148" s="14">
        <v>14.0</v>
      </c>
      <c r="M148" s="14">
        <v>0.0</v>
      </c>
      <c r="N148" s="14">
        <v>0.0</v>
      </c>
      <c r="O148" s="14">
        <v>0.0</v>
      </c>
      <c r="P148" s="14">
        <v>3.0</v>
      </c>
      <c r="Q148" s="14">
        <v>0.0</v>
      </c>
      <c r="R148" s="14">
        <v>0.0</v>
      </c>
      <c r="S148" s="14"/>
      <c r="T148" s="31">
        <f t="shared" si="2"/>
        <v>17</v>
      </c>
      <c r="U148" s="14"/>
      <c r="V148" s="26"/>
      <c r="W148" s="14"/>
      <c r="Z148" s="14"/>
      <c r="AA148" s="14" t="str">
        <f t="shared" si="3"/>
        <v/>
      </c>
      <c r="AB148" s="14">
        <f t="shared" si="4"/>
        <v>0</v>
      </c>
      <c r="AC148" s="14">
        <f t="shared" si="5"/>
        <v>0</v>
      </c>
      <c r="AD148" s="14"/>
    </row>
    <row r="149" ht="15.75" customHeight="1">
      <c r="A149" s="14">
        <v>148.0</v>
      </c>
      <c r="B149" s="14" t="s">
        <v>494</v>
      </c>
      <c r="C149" s="14" t="s">
        <v>101</v>
      </c>
      <c r="D149" s="14">
        <v>9.0</v>
      </c>
      <c r="G149" s="14"/>
      <c r="H149" s="14">
        <v>1.0</v>
      </c>
      <c r="I149" s="14">
        <v>2701.0</v>
      </c>
      <c r="J149" s="14">
        <v>2715.0</v>
      </c>
      <c r="K149" s="14">
        <f t="shared" si="1"/>
        <v>14</v>
      </c>
      <c r="L149" s="14">
        <v>14.0</v>
      </c>
      <c r="M149" s="14">
        <v>0.0</v>
      </c>
      <c r="N149" s="14">
        <v>0.0</v>
      </c>
      <c r="O149" s="14">
        <v>0.0</v>
      </c>
      <c r="P149" s="14">
        <v>3.0</v>
      </c>
      <c r="Q149" s="14">
        <v>0.0</v>
      </c>
      <c r="R149" s="14">
        <v>0.0</v>
      </c>
      <c r="S149" s="14"/>
      <c r="T149" s="31">
        <f t="shared" si="2"/>
        <v>17</v>
      </c>
      <c r="U149" s="23" t="s">
        <v>45</v>
      </c>
      <c r="V149" s="26"/>
      <c r="W149" s="23" t="s">
        <v>46</v>
      </c>
      <c r="Z149" s="14"/>
      <c r="AA149" s="14" t="str">
        <f t="shared" si="3"/>
        <v/>
      </c>
      <c r="AB149" s="14">
        <f t="shared" si="4"/>
        <v>0</v>
      </c>
      <c r="AC149" s="14">
        <f t="shared" si="5"/>
        <v>17</v>
      </c>
      <c r="AD149" s="14">
        <f t="shared" ref="AD149:AD159" si="25">IF(ISBLANK(W149),0,1)</f>
        <v>1</v>
      </c>
    </row>
    <row r="150" ht="15.75" customHeight="1">
      <c r="A150" s="14">
        <v>149.0</v>
      </c>
      <c r="B150" s="14" t="s">
        <v>498</v>
      </c>
      <c r="C150" s="14" t="s">
        <v>101</v>
      </c>
      <c r="D150" s="14">
        <v>10.0</v>
      </c>
      <c r="G150" s="14"/>
      <c r="H150" s="14">
        <v>1.0</v>
      </c>
      <c r="I150" s="14">
        <v>1583.0</v>
      </c>
      <c r="J150" s="14">
        <v>1589.0</v>
      </c>
      <c r="K150" s="14">
        <f t="shared" si="1"/>
        <v>6</v>
      </c>
      <c r="L150" s="14">
        <v>6.0</v>
      </c>
      <c r="M150" s="14">
        <v>8.0</v>
      </c>
      <c r="N150" s="14">
        <v>0.0</v>
      </c>
      <c r="O150" s="14">
        <v>0.0</v>
      </c>
      <c r="P150" s="14">
        <v>3.0</v>
      </c>
      <c r="Q150" s="14">
        <v>0.0</v>
      </c>
      <c r="R150" s="14">
        <v>0.0</v>
      </c>
      <c r="S150" s="14"/>
      <c r="T150" s="31">
        <f t="shared" si="2"/>
        <v>17</v>
      </c>
      <c r="U150" s="14" t="s">
        <v>45</v>
      </c>
      <c r="V150" s="26"/>
      <c r="W150" s="14" t="s">
        <v>46</v>
      </c>
      <c r="Z150" s="14"/>
      <c r="AA150" s="14" t="str">
        <f t="shared" si="3"/>
        <v/>
      </c>
      <c r="AB150" s="14">
        <f t="shared" si="4"/>
        <v>0</v>
      </c>
      <c r="AC150" s="14">
        <f t="shared" si="5"/>
        <v>17</v>
      </c>
      <c r="AD150" s="14">
        <f t="shared" si="25"/>
        <v>1</v>
      </c>
    </row>
    <row r="151" ht="15.75" hidden="1" customHeight="1">
      <c r="A151" s="14">
        <v>150.0</v>
      </c>
      <c r="B151" s="14" t="s">
        <v>500</v>
      </c>
      <c r="C151" s="14" t="s">
        <v>101</v>
      </c>
      <c r="D151" s="14">
        <v>11.0</v>
      </c>
      <c r="G151" s="14"/>
      <c r="H151" s="14">
        <v>1.0</v>
      </c>
      <c r="I151" s="14">
        <v>1097.0</v>
      </c>
      <c r="J151" s="14">
        <v>1101.0</v>
      </c>
      <c r="K151" s="14">
        <f t="shared" si="1"/>
        <v>4</v>
      </c>
      <c r="L151" s="14">
        <v>5.0</v>
      </c>
      <c r="M151" s="14">
        <v>0.0</v>
      </c>
      <c r="N151" s="14">
        <v>0.0</v>
      </c>
      <c r="O151" s="14">
        <v>0.0</v>
      </c>
      <c r="P151" s="14">
        <v>3.0</v>
      </c>
      <c r="Q151" s="14">
        <v>0.0</v>
      </c>
      <c r="R151" s="14">
        <v>0.0</v>
      </c>
      <c r="S151" s="14"/>
      <c r="T151" s="31">
        <f t="shared" si="2"/>
        <v>8</v>
      </c>
      <c r="U151" s="14"/>
      <c r="V151" s="26"/>
      <c r="W151" s="14"/>
      <c r="Z151" s="14"/>
      <c r="AA151" s="14" t="str">
        <f t="shared" si="3"/>
        <v/>
      </c>
      <c r="AB151" s="14">
        <f t="shared" si="4"/>
        <v>0</v>
      </c>
      <c r="AC151" s="14">
        <f t="shared" si="5"/>
        <v>0</v>
      </c>
      <c r="AD151" s="14">
        <f t="shared" si="25"/>
        <v>0</v>
      </c>
    </row>
    <row r="152" ht="15.75" customHeight="1">
      <c r="A152" s="14">
        <v>151.0</v>
      </c>
      <c r="B152" s="14" t="s">
        <v>503</v>
      </c>
      <c r="C152" s="14" t="s">
        <v>101</v>
      </c>
      <c r="D152" s="14">
        <v>12.0</v>
      </c>
      <c r="G152" s="14"/>
      <c r="H152" s="14">
        <v>1.0</v>
      </c>
      <c r="I152" s="14">
        <v>2168.0</v>
      </c>
      <c r="J152" s="14">
        <v>2180.0</v>
      </c>
      <c r="K152" s="14">
        <f t="shared" si="1"/>
        <v>12</v>
      </c>
      <c r="L152" s="14">
        <v>12.0</v>
      </c>
      <c r="M152" s="14">
        <v>0.0</v>
      </c>
      <c r="N152" s="14">
        <v>0.0</v>
      </c>
      <c r="O152" s="14">
        <v>0.0</v>
      </c>
      <c r="P152" s="14">
        <v>3.0</v>
      </c>
      <c r="Q152" s="14">
        <v>0.0</v>
      </c>
      <c r="R152" s="14">
        <v>0.0</v>
      </c>
      <c r="S152" s="14"/>
      <c r="T152" s="31">
        <f t="shared" si="2"/>
        <v>15</v>
      </c>
      <c r="U152" s="42" t="s">
        <v>45</v>
      </c>
      <c r="V152" s="26"/>
      <c r="W152" s="14"/>
      <c r="Y152" s="14"/>
      <c r="Z152" s="14"/>
      <c r="AA152" s="14" t="str">
        <f t="shared" si="3"/>
        <v/>
      </c>
      <c r="AB152" s="14">
        <f t="shared" si="4"/>
        <v>15</v>
      </c>
      <c r="AC152" s="14">
        <f t="shared" si="5"/>
        <v>0</v>
      </c>
      <c r="AD152" s="14">
        <f t="shared" si="25"/>
        <v>0</v>
      </c>
    </row>
    <row r="153" ht="15.75" hidden="1" customHeight="1">
      <c r="A153" s="14">
        <v>152.0</v>
      </c>
      <c r="B153" s="14" t="s">
        <v>506</v>
      </c>
      <c r="C153" s="36" t="s">
        <v>101</v>
      </c>
      <c r="D153" s="14">
        <v>13.0</v>
      </c>
      <c r="G153" s="14"/>
      <c r="H153" s="14">
        <v>1.0</v>
      </c>
      <c r="I153" s="14">
        <v>171.0</v>
      </c>
      <c r="J153" s="14">
        <v>186.0</v>
      </c>
      <c r="K153" s="14">
        <f t="shared" si="1"/>
        <v>15</v>
      </c>
      <c r="L153" s="14">
        <v>15.0</v>
      </c>
      <c r="M153" s="14">
        <v>9.0</v>
      </c>
      <c r="N153" s="14">
        <v>0.0</v>
      </c>
      <c r="O153" s="14">
        <v>0.0</v>
      </c>
      <c r="P153" s="14">
        <v>3.0</v>
      </c>
      <c r="Q153" s="14">
        <v>0.0</v>
      </c>
      <c r="R153" s="14">
        <v>0.0</v>
      </c>
      <c r="S153" s="14"/>
      <c r="T153" s="31">
        <f t="shared" si="2"/>
        <v>27</v>
      </c>
      <c r="U153" s="14"/>
      <c r="V153" s="26"/>
      <c r="W153" s="14"/>
      <c r="X153" s="14"/>
      <c r="Y153" s="64" t="s">
        <v>507</v>
      </c>
      <c r="Z153" s="14"/>
      <c r="AA153" s="14" t="str">
        <f t="shared" si="3"/>
        <v>CORTE</v>
      </c>
      <c r="AB153" s="14">
        <f t="shared" si="4"/>
        <v>0</v>
      </c>
      <c r="AC153" s="14">
        <f t="shared" si="5"/>
        <v>0</v>
      </c>
      <c r="AD153" s="14">
        <f t="shared" si="25"/>
        <v>0</v>
      </c>
    </row>
    <row r="154" ht="15.75" customHeight="1">
      <c r="A154" s="14">
        <v>153.0</v>
      </c>
      <c r="B154" s="14" t="s">
        <v>510</v>
      </c>
      <c r="C154" s="14" t="s">
        <v>101</v>
      </c>
      <c r="D154" s="14">
        <v>14.0</v>
      </c>
      <c r="G154" s="14"/>
      <c r="H154" s="14">
        <v>1.0</v>
      </c>
      <c r="I154" s="14">
        <v>0.0</v>
      </c>
      <c r="J154" s="14">
        <v>4.0</v>
      </c>
      <c r="K154" s="14">
        <f t="shared" si="1"/>
        <v>4</v>
      </c>
      <c r="L154" s="14">
        <v>5.0</v>
      </c>
      <c r="M154" s="14">
        <v>0.0</v>
      </c>
      <c r="N154" s="14">
        <v>0.0</v>
      </c>
      <c r="O154" s="14">
        <v>0.0</v>
      </c>
      <c r="P154" s="14">
        <v>3.0</v>
      </c>
      <c r="Q154" s="14">
        <v>0.0</v>
      </c>
      <c r="R154" s="14">
        <v>0.0</v>
      </c>
      <c r="S154" s="14"/>
      <c r="T154" s="31">
        <f t="shared" si="2"/>
        <v>8</v>
      </c>
      <c r="U154" s="51" t="s">
        <v>45</v>
      </c>
      <c r="V154" s="26"/>
      <c r="W154" s="14"/>
      <c r="Z154" s="14"/>
      <c r="AA154" s="14" t="str">
        <f t="shared" si="3"/>
        <v/>
      </c>
      <c r="AB154" s="14">
        <f t="shared" si="4"/>
        <v>8</v>
      </c>
      <c r="AC154" s="14">
        <f t="shared" si="5"/>
        <v>0</v>
      </c>
      <c r="AD154" s="14">
        <f t="shared" si="25"/>
        <v>0</v>
      </c>
    </row>
    <row r="155" ht="15.75" customHeight="1">
      <c r="A155" s="14">
        <v>154.0</v>
      </c>
      <c r="B155" s="14" t="s">
        <v>515</v>
      </c>
      <c r="C155" s="14" t="s">
        <v>101</v>
      </c>
      <c r="D155" s="14">
        <v>15.0</v>
      </c>
      <c r="G155" s="14"/>
      <c r="H155" s="14">
        <v>1.0</v>
      </c>
      <c r="I155" s="14">
        <v>1119.0</v>
      </c>
      <c r="J155" s="14">
        <v>1128.0</v>
      </c>
      <c r="K155" s="14">
        <f t="shared" si="1"/>
        <v>9</v>
      </c>
      <c r="L155" s="14">
        <v>9.0</v>
      </c>
      <c r="M155" s="14">
        <v>0.0</v>
      </c>
      <c r="N155" s="14">
        <v>0.0</v>
      </c>
      <c r="O155" s="14">
        <v>0.0</v>
      </c>
      <c r="P155" s="14">
        <v>3.0</v>
      </c>
      <c r="Q155" s="36">
        <v>0.0</v>
      </c>
      <c r="R155" s="36">
        <v>30.0</v>
      </c>
      <c r="S155" s="14"/>
      <c r="T155" s="31">
        <f t="shared" si="2"/>
        <v>42</v>
      </c>
      <c r="U155" s="14" t="s">
        <v>45</v>
      </c>
      <c r="V155" s="26"/>
      <c r="W155" s="14" t="s">
        <v>46</v>
      </c>
      <c r="Z155" s="14"/>
      <c r="AA155" s="14" t="str">
        <f t="shared" si="3"/>
        <v/>
      </c>
      <c r="AB155" s="14">
        <f t="shared" si="4"/>
        <v>0</v>
      </c>
      <c r="AC155" s="14">
        <f t="shared" si="5"/>
        <v>42</v>
      </c>
      <c r="AD155" s="14">
        <f t="shared" si="25"/>
        <v>1</v>
      </c>
    </row>
    <row r="156" ht="15.75" customHeight="1">
      <c r="A156" s="14">
        <v>155.0</v>
      </c>
      <c r="B156" s="14" t="s">
        <v>516</v>
      </c>
      <c r="C156" s="14" t="s">
        <v>101</v>
      </c>
      <c r="D156" s="14">
        <v>16.0</v>
      </c>
      <c r="G156" s="14"/>
      <c r="H156" s="14">
        <v>1.0</v>
      </c>
      <c r="I156" s="14">
        <v>2436.0</v>
      </c>
      <c r="J156" s="14">
        <v>2445.0</v>
      </c>
      <c r="K156" s="14">
        <f t="shared" si="1"/>
        <v>9</v>
      </c>
      <c r="L156" s="14">
        <v>9.0</v>
      </c>
      <c r="M156" s="14">
        <v>8.0</v>
      </c>
      <c r="N156" s="14">
        <v>0.0</v>
      </c>
      <c r="O156" s="14">
        <v>0.0</v>
      </c>
      <c r="P156" s="14">
        <v>3.0</v>
      </c>
      <c r="Q156" s="14">
        <v>0.0</v>
      </c>
      <c r="R156" s="14">
        <v>0.0</v>
      </c>
      <c r="S156" s="14"/>
      <c r="T156" s="31">
        <f t="shared" si="2"/>
        <v>20</v>
      </c>
      <c r="U156" s="42" t="s">
        <v>45</v>
      </c>
      <c r="V156" s="26"/>
      <c r="W156" s="14"/>
      <c r="Z156" s="14"/>
      <c r="AA156" s="14" t="str">
        <f t="shared" si="3"/>
        <v/>
      </c>
      <c r="AB156" s="14">
        <f t="shared" si="4"/>
        <v>20</v>
      </c>
      <c r="AC156" s="14">
        <f t="shared" si="5"/>
        <v>0</v>
      </c>
      <c r="AD156" s="14">
        <f t="shared" si="25"/>
        <v>0</v>
      </c>
    </row>
    <row r="157" ht="15.75" customHeight="1">
      <c r="A157" s="14">
        <v>156.0</v>
      </c>
      <c r="B157" s="14" t="s">
        <v>518</v>
      </c>
      <c r="C157" s="14" t="s">
        <v>101</v>
      </c>
      <c r="D157" s="14">
        <v>17.0</v>
      </c>
      <c r="G157" s="14"/>
      <c r="H157" s="14">
        <v>1.0</v>
      </c>
      <c r="I157" s="14">
        <v>2747.0</v>
      </c>
      <c r="J157" s="14">
        <v>2765.0</v>
      </c>
      <c r="K157" s="14">
        <f t="shared" si="1"/>
        <v>18</v>
      </c>
      <c r="L157" s="14">
        <v>18.0</v>
      </c>
      <c r="M157" s="14">
        <v>0.0</v>
      </c>
      <c r="N157" s="14">
        <v>0.0</v>
      </c>
      <c r="O157" s="14">
        <v>0.0</v>
      </c>
      <c r="P157" s="14">
        <v>3.0</v>
      </c>
      <c r="Q157" s="36">
        <v>0.0</v>
      </c>
      <c r="R157" s="36">
        <v>30.0</v>
      </c>
      <c r="S157" s="14"/>
      <c r="T157" s="31">
        <f t="shared" si="2"/>
        <v>51</v>
      </c>
      <c r="U157" s="14" t="s">
        <v>45</v>
      </c>
      <c r="V157" s="26"/>
      <c r="W157" s="14" t="s">
        <v>46</v>
      </c>
      <c r="Z157" s="14"/>
      <c r="AA157" s="14" t="str">
        <f t="shared" si="3"/>
        <v/>
      </c>
      <c r="AB157" s="14">
        <f t="shared" si="4"/>
        <v>0</v>
      </c>
      <c r="AC157" s="14">
        <f t="shared" si="5"/>
        <v>51</v>
      </c>
      <c r="AD157" s="14">
        <f t="shared" si="25"/>
        <v>1</v>
      </c>
    </row>
    <row r="158" ht="15.75" customHeight="1">
      <c r="A158" s="14">
        <v>157.0</v>
      </c>
      <c r="B158" s="14" t="s">
        <v>521</v>
      </c>
      <c r="C158" s="14" t="s">
        <v>101</v>
      </c>
      <c r="D158" s="14">
        <v>18.0</v>
      </c>
      <c r="G158" s="14"/>
      <c r="H158" s="14">
        <v>1.0</v>
      </c>
      <c r="I158" s="14">
        <v>1757.0</v>
      </c>
      <c r="J158" s="14">
        <v>1771.0</v>
      </c>
      <c r="K158" s="14">
        <f t="shared" si="1"/>
        <v>14</v>
      </c>
      <c r="L158" s="14">
        <v>14.0</v>
      </c>
      <c r="M158" s="14">
        <v>0.0</v>
      </c>
      <c r="N158" s="14">
        <v>0.0</v>
      </c>
      <c r="O158" s="14">
        <v>0.0</v>
      </c>
      <c r="P158" s="14">
        <v>3.0</v>
      </c>
      <c r="Q158" s="14">
        <v>0.0</v>
      </c>
      <c r="R158" s="14">
        <v>0.0</v>
      </c>
      <c r="S158" s="14"/>
      <c r="T158" s="31">
        <f t="shared" si="2"/>
        <v>17</v>
      </c>
      <c r="U158" s="42" t="s">
        <v>45</v>
      </c>
      <c r="V158" s="26"/>
      <c r="W158" s="14"/>
      <c r="Z158" s="14"/>
      <c r="AA158" s="14" t="str">
        <f t="shared" si="3"/>
        <v/>
      </c>
      <c r="AB158" s="14">
        <f t="shared" si="4"/>
        <v>17</v>
      </c>
      <c r="AC158" s="14">
        <f t="shared" si="5"/>
        <v>0</v>
      </c>
      <c r="AD158" s="14">
        <f t="shared" si="25"/>
        <v>0</v>
      </c>
    </row>
    <row r="159" ht="15.75" customHeight="1">
      <c r="A159" s="14">
        <v>158.0</v>
      </c>
      <c r="B159" s="14" t="s">
        <v>523</v>
      </c>
      <c r="C159" s="14" t="s">
        <v>101</v>
      </c>
      <c r="D159" s="14">
        <v>19.0</v>
      </c>
      <c r="G159" s="14"/>
      <c r="H159" s="14">
        <v>1.0</v>
      </c>
      <c r="I159" s="14">
        <v>1759.0</v>
      </c>
      <c r="J159" s="14">
        <v>1763.0</v>
      </c>
      <c r="K159" s="14">
        <f t="shared" si="1"/>
        <v>4</v>
      </c>
      <c r="L159" s="14">
        <v>5.0</v>
      </c>
      <c r="M159" s="14">
        <v>0.0</v>
      </c>
      <c r="N159" s="14">
        <v>0.0</v>
      </c>
      <c r="O159" s="14">
        <v>0.0</v>
      </c>
      <c r="P159" s="14">
        <v>3.0</v>
      </c>
      <c r="Q159" s="36">
        <v>0.0</v>
      </c>
      <c r="R159" s="36"/>
      <c r="S159" s="14"/>
      <c r="T159" s="31">
        <f t="shared" si="2"/>
        <v>8</v>
      </c>
      <c r="U159" s="42" t="s">
        <v>45</v>
      </c>
      <c r="V159" s="26"/>
      <c r="W159" s="14"/>
      <c r="Y159" s="23" t="s">
        <v>524</v>
      </c>
      <c r="Z159" s="14"/>
      <c r="AA159" s="14" t="str">
        <f t="shared" si="3"/>
        <v/>
      </c>
      <c r="AB159" s="14">
        <f t="shared" si="4"/>
        <v>8</v>
      </c>
      <c r="AC159" s="14">
        <f t="shared" si="5"/>
        <v>0</v>
      </c>
      <c r="AD159" s="14">
        <f t="shared" si="25"/>
        <v>0</v>
      </c>
    </row>
    <row r="160" ht="15.75" hidden="1" customHeight="1">
      <c r="A160" s="14">
        <v>159.0</v>
      </c>
      <c r="B160" s="56" t="s">
        <v>527</v>
      </c>
      <c r="C160" s="14" t="s">
        <v>101</v>
      </c>
      <c r="D160" s="14">
        <v>20.0</v>
      </c>
      <c r="G160" s="14"/>
      <c r="H160" s="14">
        <v>1.0</v>
      </c>
      <c r="I160" s="14">
        <v>1193.0</v>
      </c>
      <c r="J160" s="14">
        <v>1193.0</v>
      </c>
      <c r="K160" s="14">
        <f t="shared" si="1"/>
        <v>0</v>
      </c>
      <c r="L160" s="14">
        <v>5.0</v>
      </c>
      <c r="M160" s="14">
        <v>48.0</v>
      </c>
      <c r="N160" s="14">
        <v>40.0</v>
      </c>
      <c r="O160" s="14">
        <v>0.0</v>
      </c>
      <c r="P160" s="14">
        <v>3.0</v>
      </c>
      <c r="Q160" s="14">
        <v>0.0</v>
      </c>
      <c r="R160" s="14">
        <v>0.0</v>
      </c>
      <c r="S160" s="14"/>
      <c r="T160" s="31">
        <f t="shared" si="2"/>
        <v>96</v>
      </c>
      <c r="W160" s="14"/>
      <c r="Z160" s="23" t="s">
        <v>528</v>
      </c>
      <c r="AA160" s="14" t="str">
        <f t="shared" si="3"/>
        <v>CORTE</v>
      </c>
      <c r="AB160" s="14">
        <f t="shared" si="4"/>
        <v>0</v>
      </c>
      <c r="AC160" s="14">
        <f t="shared" si="5"/>
        <v>0</v>
      </c>
      <c r="AD160" s="14"/>
    </row>
    <row r="161" ht="15.75" hidden="1" customHeight="1">
      <c r="A161" s="14">
        <v>160.0</v>
      </c>
      <c r="B161" s="14" t="s">
        <v>529</v>
      </c>
      <c r="C161" s="14" t="s">
        <v>101</v>
      </c>
      <c r="D161" s="14">
        <v>21.0</v>
      </c>
      <c r="G161" s="14"/>
      <c r="H161" s="14">
        <v>1.0</v>
      </c>
      <c r="I161" s="14">
        <v>2315.0</v>
      </c>
      <c r="J161" s="14">
        <v>2327.0</v>
      </c>
      <c r="K161" s="14">
        <f t="shared" si="1"/>
        <v>12</v>
      </c>
      <c r="L161" s="14">
        <v>12.0</v>
      </c>
      <c r="M161" s="14">
        <v>0.0</v>
      </c>
      <c r="N161" s="14">
        <v>0.0</v>
      </c>
      <c r="O161" s="14">
        <v>0.0</v>
      </c>
      <c r="P161" s="14">
        <v>3.0</v>
      </c>
      <c r="Q161" s="14">
        <v>0.0</v>
      </c>
      <c r="R161" s="14">
        <v>0.0</v>
      </c>
      <c r="S161" s="14"/>
      <c r="T161" s="31">
        <f t="shared" si="2"/>
        <v>15</v>
      </c>
      <c r="U161" s="14"/>
      <c r="V161" s="26"/>
      <c r="W161" s="14"/>
      <c r="Z161" s="14"/>
      <c r="AA161" s="14" t="str">
        <f t="shared" si="3"/>
        <v/>
      </c>
      <c r="AB161" s="14">
        <f t="shared" si="4"/>
        <v>0</v>
      </c>
      <c r="AC161" s="14">
        <f t="shared" si="5"/>
        <v>0</v>
      </c>
      <c r="AD161" s="14"/>
    </row>
    <row r="162" ht="15.75" customHeight="1">
      <c r="A162" s="14">
        <v>161.0</v>
      </c>
      <c r="B162" s="14" t="s">
        <v>532</v>
      </c>
      <c r="C162" s="14" t="s">
        <v>101</v>
      </c>
      <c r="D162" s="14">
        <v>22.0</v>
      </c>
      <c r="G162" s="14"/>
      <c r="H162" s="14">
        <v>1.0</v>
      </c>
      <c r="I162" s="14">
        <v>2499.0</v>
      </c>
      <c r="J162" s="14">
        <v>2509.0</v>
      </c>
      <c r="K162" s="14">
        <f t="shared" si="1"/>
        <v>10</v>
      </c>
      <c r="L162" s="14">
        <v>10.0</v>
      </c>
      <c r="M162" s="14">
        <v>0.0</v>
      </c>
      <c r="N162" s="14">
        <v>0.0</v>
      </c>
      <c r="O162" s="14">
        <v>0.0</v>
      </c>
      <c r="P162" s="14">
        <v>3.0</v>
      </c>
      <c r="Q162" s="14">
        <v>0.0</v>
      </c>
      <c r="R162" s="14">
        <v>0.0</v>
      </c>
      <c r="S162" s="14"/>
      <c r="T162" s="31">
        <f t="shared" si="2"/>
        <v>13</v>
      </c>
      <c r="U162" s="42" t="s">
        <v>45</v>
      </c>
      <c r="V162" s="26"/>
      <c r="W162" s="14"/>
      <c r="Z162" s="14"/>
      <c r="AA162" s="14" t="str">
        <f t="shared" si="3"/>
        <v/>
      </c>
      <c r="AB162" s="14">
        <f t="shared" si="4"/>
        <v>13</v>
      </c>
      <c r="AC162" s="14">
        <f t="shared" si="5"/>
        <v>0</v>
      </c>
      <c r="AD162" s="14">
        <f t="shared" ref="AD162:AD165" si="26">IF(ISBLANK(W162),0,1)</f>
        <v>0</v>
      </c>
    </row>
    <row r="163" ht="15.75" hidden="1" customHeight="1">
      <c r="A163" s="14">
        <v>162.0</v>
      </c>
      <c r="B163" s="14" t="s">
        <v>534</v>
      </c>
      <c r="C163" s="14" t="s">
        <v>106</v>
      </c>
      <c r="D163" s="14">
        <v>1.0</v>
      </c>
      <c r="G163" s="14"/>
      <c r="H163" s="14">
        <v>1.0</v>
      </c>
      <c r="I163" s="14">
        <v>3258.0</v>
      </c>
      <c r="J163" s="14">
        <v>3268.0</v>
      </c>
      <c r="K163" s="14">
        <f t="shared" si="1"/>
        <v>10</v>
      </c>
      <c r="L163" s="14">
        <v>10.0</v>
      </c>
      <c r="M163" s="14">
        <v>0.0</v>
      </c>
      <c r="N163" s="14">
        <v>0.0</v>
      </c>
      <c r="O163" s="14">
        <v>0.0</v>
      </c>
      <c r="P163" s="14">
        <v>3.0</v>
      </c>
      <c r="Q163" s="36">
        <v>0.0</v>
      </c>
      <c r="R163" s="36">
        <v>30.0</v>
      </c>
      <c r="S163" s="14"/>
      <c r="T163" s="31">
        <f t="shared" si="2"/>
        <v>43</v>
      </c>
      <c r="U163" s="14"/>
      <c r="V163" s="26"/>
      <c r="W163" s="14"/>
      <c r="Z163" s="14"/>
      <c r="AA163" s="14" t="str">
        <f t="shared" si="3"/>
        <v/>
      </c>
      <c r="AB163" s="14">
        <f t="shared" si="4"/>
        <v>0</v>
      </c>
      <c r="AC163" s="14">
        <f t="shared" si="5"/>
        <v>0</v>
      </c>
      <c r="AD163" s="14">
        <f t="shared" si="26"/>
        <v>0</v>
      </c>
    </row>
    <row r="164" ht="15.75" customHeight="1">
      <c r="A164" s="14">
        <v>163.0</v>
      </c>
      <c r="B164" s="14" t="s">
        <v>536</v>
      </c>
      <c r="C164" s="14" t="s">
        <v>106</v>
      </c>
      <c r="D164" s="14">
        <v>2.0</v>
      </c>
      <c r="G164" s="14"/>
      <c r="H164" s="14">
        <v>1.0</v>
      </c>
      <c r="I164" s="14">
        <v>510.0</v>
      </c>
      <c r="J164" s="14">
        <v>521.0</v>
      </c>
      <c r="K164" s="14">
        <f t="shared" si="1"/>
        <v>11</v>
      </c>
      <c r="L164" s="14">
        <v>11.0</v>
      </c>
      <c r="M164" s="14">
        <v>0.0</v>
      </c>
      <c r="N164" s="14">
        <v>0.0</v>
      </c>
      <c r="O164" s="14">
        <v>0.0</v>
      </c>
      <c r="P164" s="14">
        <v>3.0</v>
      </c>
      <c r="Q164" s="14">
        <v>0.0</v>
      </c>
      <c r="R164" s="14">
        <v>0.0</v>
      </c>
      <c r="S164" s="14"/>
      <c r="T164" s="31">
        <f t="shared" si="2"/>
        <v>14</v>
      </c>
      <c r="U164" s="14" t="s">
        <v>45</v>
      </c>
      <c r="V164" s="26"/>
      <c r="W164" s="14" t="s">
        <v>46</v>
      </c>
      <c r="Z164" s="14"/>
      <c r="AA164" s="14" t="str">
        <f t="shared" si="3"/>
        <v/>
      </c>
      <c r="AB164" s="14">
        <f t="shared" si="4"/>
        <v>0</v>
      </c>
      <c r="AC164" s="14">
        <f t="shared" si="5"/>
        <v>14</v>
      </c>
      <c r="AD164" s="14">
        <f t="shared" si="26"/>
        <v>1</v>
      </c>
    </row>
    <row r="165" ht="15.75" customHeight="1">
      <c r="A165" s="14">
        <v>164.0</v>
      </c>
      <c r="B165" s="14" t="s">
        <v>538</v>
      </c>
      <c r="C165" s="14" t="s">
        <v>106</v>
      </c>
      <c r="D165" s="14" t="s">
        <v>540</v>
      </c>
      <c r="G165" s="14"/>
      <c r="H165" s="14">
        <v>1.0</v>
      </c>
      <c r="I165" s="14">
        <v>95.0</v>
      </c>
      <c r="J165" s="14">
        <v>98.0</v>
      </c>
      <c r="K165" s="14">
        <f t="shared" si="1"/>
        <v>3</v>
      </c>
      <c r="L165" s="14">
        <v>5.0</v>
      </c>
      <c r="M165" s="14">
        <v>0.0</v>
      </c>
      <c r="N165" s="14">
        <v>0.0</v>
      </c>
      <c r="O165" s="14">
        <v>0.0</v>
      </c>
      <c r="P165" s="14">
        <v>3.0</v>
      </c>
      <c r="Q165" s="14">
        <v>0.0</v>
      </c>
      <c r="R165" s="14">
        <v>0.0</v>
      </c>
      <c r="S165" s="14"/>
      <c r="T165" s="31">
        <f t="shared" si="2"/>
        <v>8</v>
      </c>
      <c r="U165" s="14" t="s">
        <v>45</v>
      </c>
      <c r="V165" s="26"/>
      <c r="W165" s="14" t="s">
        <v>46</v>
      </c>
      <c r="Z165" s="14"/>
      <c r="AA165" s="14" t="str">
        <f t="shared" si="3"/>
        <v/>
      </c>
      <c r="AB165" s="14">
        <f t="shared" si="4"/>
        <v>0</v>
      </c>
      <c r="AC165" s="14">
        <f t="shared" si="5"/>
        <v>8</v>
      </c>
      <c r="AD165" s="14">
        <f t="shared" si="26"/>
        <v>1</v>
      </c>
    </row>
    <row r="166" ht="15.75" hidden="1" customHeight="1">
      <c r="A166" s="14">
        <v>165.0</v>
      </c>
      <c r="B166" s="14" t="s">
        <v>541</v>
      </c>
      <c r="C166" s="14" t="s">
        <v>106</v>
      </c>
      <c r="D166" s="14">
        <v>3.0</v>
      </c>
      <c r="G166" s="14"/>
      <c r="H166" s="14">
        <v>1.0</v>
      </c>
      <c r="I166" s="14">
        <v>1910.0</v>
      </c>
      <c r="J166" s="14">
        <v>1931.0</v>
      </c>
      <c r="K166" s="14">
        <f t="shared" si="1"/>
        <v>21</v>
      </c>
      <c r="L166" s="14">
        <v>21.0</v>
      </c>
      <c r="M166" s="14">
        <v>0.0</v>
      </c>
      <c r="N166" s="14">
        <v>0.0</v>
      </c>
      <c r="O166" s="14">
        <v>0.0</v>
      </c>
      <c r="P166" s="14">
        <v>3.0</v>
      </c>
      <c r="Q166" s="36">
        <v>0.0</v>
      </c>
      <c r="R166" s="36">
        <v>30.0</v>
      </c>
      <c r="S166" s="14"/>
      <c r="T166" s="31">
        <f t="shared" si="2"/>
        <v>54</v>
      </c>
      <c r="U166" s="14"/>
      <c r="V166" s="26"/>
      <c r="W166" s="14"/>
      <c r="Z166" s="14"/>
      <c r="AA166" s="14" t="str">
        <f t="shared" si="3"/>
        <v/>
      </c>
      <c r="AB166" s="14">
        <f t="shared" si="4"/>
        <v>0</v>
      </c>
      <c r="AC166" s="14">
        <f t="shared" si="5"/>
        <v>0</v>
      </c>
      <c r="AD166" s="14"/>
    </row>
    <row r="167" ht="15.75" customHeight="1">
      <c r="A167" s="14">
        <v>166.0</v>
      </c>
      <c r="B167" s="14" t="s">
        <v>543</v>
      </c>
      <c r="C167" s="14" t="s">
        <v>106</v>
      </c>
      <c r="D167" s="14">
        <v>4.0</v>
      </c>
      <c r="G167" s="14"/>
      <c r="H167" s="14">
        <v>1.0</v>
      </c>
      <c r="I167" s="14">
        <v>666.0</v>
      </c>
      <c r="J167" s="14">
        <v>668.0</v>
      </c>
      <c r="K167" s="14">
        <f t="shared" si="1"/>
        <v>2</v>
      </c>
      <c r="L167" s="14">
        <v>5.0</v>
      </c>
      <c r="M167" s="14">
        <v>0.0</v>
      </c>
      <c r="N167" s="14">
        <v>0.0</v>
      </c>
      <c r="O167" s="14">
        <v>0.0</v>
      </c>
      <c r="P167" s="14">
        <v>3.0</v>
      </c>
      <c r="Q167" s="36">
        <v>0.0</v>
      </c>
      <c r="R167" s="36">
        <v>30.0</v>
      </c>
      <c r="S167" s="14"/>
      <c r="T167" s="31">
        <f t="shared" si="2"/>
        <v>38</v>
      </c>
      <c r="U167" s="42" t="s">
        <v>45</v>
      </c>
      <c r="V167" s="26"/>
      <c r="W167" s="14"/>
      <c r="X167" s="14"/>
      <c r="Y167" s="14"/>
      <c r="Z167" s="14"/>
      <c r="AA167" s="14" t="str">
        <f t="shared" si="3"/>
        <v/>
      </c>
      <c r="AB167" s="14">
        <f t="shared" si="4"/>
        <v>38</v>
      </c>
      <c r="AC167" s="14">
        <f t="shared" si="5"/>
        <v>0</v>
      </c>
      <c r="AD167" s="14">
        <f t="shared" ref="AD167:AD169" si="27">IF(ISBLANK(W167),0,1)</f>
        <v>0</v>
      </c>
    </row>
    <row r="168" ht="15.75" customHeight="1">
      <c r="A168" s="14">
        <v>167.0</v>
      </c>
      <c r="B168" s="14" t="s">
        <v>546</v>
      </c>
      <c r="C168" s="14" t="s">
        <v>106</v>
      </c>
      <c r="D168" s="14">
        <v>5.0</v>
      </c>
      <c r="G168" s="14"/>
      <c r="H168" s="14">
        <v>1.0</v>
      </c>
      <c r="I168" s="14">
        <v>3215.0</v>
      </c>
      <c r="J168" s="14">
        <v>3241.0</v>
      </c>
      <c r="K168" s="14">
        <f t="shared" si="1"/>
        <v>26</v>
      </c>
      <c r="L168" s="14">
        <v>26.0</v>
      </c>
      <c r="M168" s="14">
        <v>0.0</v>
      </c>
      <c r="N168" s="14">
        <v>0.0</v>
      </c>
      <c r="O168" s="14">
        <v>0.0</v>
      </c>
      <c r="P168" s="14">
        <v>3.0</v>
      </c>
      <c r="Q168" s="36">
        <v>0.0</v>
      </c>
      <c r="R168" s="36">
        <v>30.0</v>
      </c>
      <c r="S168" s="14"/>
      <c r="T168" s="31">
        <f t="shared" si="2"/>
        <v>59</v>
      </c>
      <c r="U168" s="42" t="s">
        <v>45</v>
      </c>
      <c r="V168" s="26"/>
      <c r="W168" s="14"/>
      <c r="Z168" s="14"/>
      <c r="AA168" s="14" t="str">
        <f t="shared" si="3"/>
        <v/>
      </c>
      <c r="AB168" s="14">
        <f t="shared" si="4"/>
        <v>59</v>
      </c>
      <c r="AC168" s="14">
        <f t="shared" si="5"/>
        <v>0</v>
      </c>
      <c r="AD168" s="14">
        <f t="shared" si="27"/>
        <v>0</v>
      </c>
    </row>
    <row r="169" ht="15.75" customHeight="1">
      <c r="A169" s="14">
        <v>168.0</v>
      </c>
      <c r="B169" s="14" t="s">
        <v>548</v>
      </c>
      <c r="C169" s="14" t="s">
        <v>106</v>
      </c>
      <c r="D169" s="14">
        <v>6.0</v>
      </c>
      <c r="E169" s="14"/>
      <c r="F169" s="14">
        <v>1.0</v>
      </c>
      <c r="G169" s="14"/>
      <c r="H169" s="14">
        <v>1.0</v>
      </c>
      <c r="I169" s="14">
        <v>376.0</v>
      </c>
      <c r="J169" s="14">
        <v>390.0</v>
      </c>
      <c r="K169" s="14">
        <f t="shared" si="1"/>
        <v>14</v>
      </c>
      <c r="L169" s="14">
        <v>14.0</v>
      </c>
      <c r="M169" s="14">
        <v>18.0</v>
      </c>
      <c r="N169" s="14">
        <v>0.0</v>
      </c>
      <c r="O169" s="14">
        <v>0.0</v>
      </c>
      <c r="P169" s="14">
        <v>3.0</v>
      </c>
      <c r="Q169" s="36">
        <v>0.0</v>
      </c>
      <c r="R169" s="40">
        <v>5.0</v>
      </c>
      <c r="S169" s="14"/>
      <c r="T169" s="31">
        <f t="shared" si="2"/>
        <v>40</v>
      </c>
      <c r="U169" s="51" t="s">
        <v>45</v>
      </c>
      <c r="V169" s="26"/>
      <c r="W169" s="14"/>
      <c r="Y169" s="23" t="s">
        <v>550</v>
      </c>
      <c r="Z169" s="14"/>
      <c r="AA169" s="14" t="str">
        <f t="shared" si="3"/>
        <v/>
      </c>
      <c r="AB169" s="14">
        <f t="shared" si="4"/>
        <v>40</v>
      </c>
      <c r="AC169" s="14">
        <f t="shared" si="5"/>
        <v>0</v>
      </c>
      <c r="AD169" s="14">
        <f t="shared" si="27"/>
        <v>0</v>
      </c>
    </row>
    <row r="170" ht="15.75" customHeight="1">
      <c r="A170" s="31">
        <v>169.0</v>
      </c>
      <c r="B170" s="31" t="s">
        <v>551</v>
      </c>
      <c r="C170" s="31" t="s">
        <v>106</v>
      </c>
      <c r="D170" s="31">
        <v>7.0</v>
      </c>
      <c r="E170" s="65"/>
      <c r="F170" s="65"/>
      <c r="G170" s="31"/>
      <c r="H170" s="31">
        <v>1.0</v>
      </c>
      <c r="I170" s="31">
        <v>509.0</v>
      </c>
      <c r="J170" s="31">
        <v>521.0</v>
      </c>
      <c r="K170" s="31">
        <f t="shared" si="1"/>
        <v>12</v>
      </c>
      <c r="L170" s="31">
        <v>12.0</v>
      </c>
      <c r="M170" s="31">
        <v>13.0</v>
      </c>
      <c r="N170" s="31">
        <v>0.0</v>
      </c>
      <c r="O170" s="31">
        <v>0.0</v>
      </c>
      <c r="P170" s="31">
        <v>3.0</v>
      </c>
      <c r="Q170" s="39">
        <v>0.0</v>
      </c>
      <c r="R170" s="39"/>
      <c r="S170" s="31"/>
      <c r="T170" s="31">
        <f t="shared" si="2"/>
        <v>28</v>
      </c>
      <c r="U170" s="14" t="s">
        <v>45</v>
      </c>
      <c r="V170" s="26"/>
      <c r="W170" s="14" t="s">
        <v>46</v>
      </c>
      <c r="X170" s="14"/>
      <c r="Y170" s="23" t="s">
        <v>320</v>
      </c>
      <c r="Z170" s="14"/>
      <c r="AA170" s="14" t="str">
        <f t="shared" si="3"/>
        <v/>
      </c>
      <c r="AB170" s="14">
        <f t="shared" si="4"/>
        <v>0</v>
      </c>
      <c r="AC170" s="14">
        <f t="shared" si="5"/>
        <v>28</v>
      </c>
      <c r="AD170" s="14"/>
    </row>
    <row r="171" ht="15.75" hidden="1" customHeight="1">
      <c r="A171" s="14">
        <v>170.0</v>
      </c>
      <c r="B171" s="14" t="s">
        <v>553</v>
      </c>
      <c r="C171" s="14" t="s">
        <v>106</v>
      </c>
      <c r="D171" s="14">
        <v>8.0</v>
      </c>
      <c r="G171" s="14"/>
      <c r="H171" s="14">
        <v>1.0</v>
      </c>
      <c r="I171" s="14">
        <v>607.0</v>
      </c>
      <c r="J171" s="14">
        <v>608.0</v>
      </c>
      <c r="K171" s="14">
        <f t="shared" si="1"/>
        <v>1</v>
      </c>
      <c r="L171" s="14">
        <v>5.0</v>
      </c>
      <c r="M171" s="14">
        <v>0.0</v>
      </c>
      <c r="N171" s="14">
        <v>0.0</v>
      </c>
      <c r="O171" s="14">
        <v>0.0</v>
      </c>
      <c r="P171" s="14">
        <v>3.0</v>
      </c>
      <c r="Q171" s="36">
        <v>0.0</v>
      </c>
      <c r="R171" s="36">
        <v>30.0</v>
      </c>
      <c r="S171" s="14"/>
      <c r="T171" s="31">
        <f t="shared" si="2"/>
        <v>38</v>
      </c>
      <c r="U171" s="14"/>
      <c r="V171" s="26"/>
      <c r="W171" s="14"/>
      <c r="Z171" s="14"/>
      <c r="AA171" s="14" t="str">
        <f t="shared" si="3"/>
        <v/>
      </c>
      <c r="AB171" s="14">
        <f t="shared" si="4"/>
        <v>0</v>
      </c>
      <c r="AC171" s="14">
        <f t="shared" si="5"/>
        <v>0</v>
      </c>
      <c r="AD171" s="14">
        <f t="shared" ref="AD171:AD178" si="28">IF(ISBLANK(W171),0,1)</f>
        <v>0</v>
      </c>
    </row>
    <row r="172" ht="15.75" hidden="1" customHeight="1">
      <c r="A172" s="14">
        <v>171.0</v>
      </c>
      <c r="B172" s="14" t="s">
        <v>554</v>
      </c>
      <c r="C172" s="14" t="s">
        <v>106</v>
      </c>
      <c r="D172" s="14">
        <v>9.0</v>
      </c>
      <c r="E172" s="14"/>
      <c r="F172" s="14">
        <v>1.0</v>
      </c>
      <c r="G172" s="14"/>
      <c r="H172" s="14">
        <v>1.0</v>
      </c>
      <c r="I172" s="14">
        <v>468.0</v>
      </c>
      <c r="J172" s="14">
        <v>471.0</v>
      </c>
      <c r="K172" s="14">
        <f t="shared" si="1"/>
        <v>3</v>
      </c>
      <c r="L172" s="14">
        <v>5.0</v>
      </c>
      <c r="M172" s="14">
        <v>0.0</v>
      </c>
      <c r="N172" s="14">
        <v>0.0</v>
      </c>
      <c r="O172" s="14">
        <v>0.0</v>
      </c>
      <c r="P172" s="14">
        <v>3.0</v>
      </c>
      <c r="Q172" s="36">
        <v>0.0</v>
      </c>
      <c r="R172" s="36">
        <v>30.0</v>
      </c>
      <c r="S172" s="14"/>
      <c r="T172" s="31">
        <f t="shared" si="2"/>
        <v>38</v>
      </c>
      <c r="U172" s="14"/>
      <c r="V172" s="26"/>
      <c r="W172" s="14"/>
      <c r="X172" s="14"/>
      <c r="Z172" s="14"/>
      <c r="AA172" s="14" t="str">
        <f t="shared" si="3"/>
        <v/>
      </c>
      <c r="AB172" s="14">
        <f t="shared" si="4"/>
        <v>0</v>
      </c>
      <c r="AC172" s="14">
        <f t="shared" si="5"/>
        <v>0</v>
      </c>
      <c r="AD172" s="14">
        <f t="shared" si="28"/>
        <v>0</v>
      </c>
    </row>
    <row r="173" ht="15.75" customHeight="1">
      <c r="A173" s="14">
        <v>172.0</v>
      </c>
      <c r="B173" s="14" t="s">
        <v>557</v>
      </c>
      <c r="C173" s="14" t="s">
        <v>106</v>
      </c>
      <c r="D173" s="14">
        <v>10.0</v>
      </c>
      <c r="G173" s="14"/>
      <c r="H173" s="14">
        <v>1.0</v>
      </c>
      <c r="I173" s="14">
        <v>38.0</v>
      </c>
      <c r="J173" s="14">
        <v>43.0</v>
      </c>
      <c r="K173" s="14">
        <f t="shared" si="1"/>
        <v>5</v>
      </c>
      <c r="L173" s="14">
        <v>5.0</v>
      </c>
      <c r="M173" s="23">
        <v>0.0</v>
      </c>
      <c r="N173" s="14">
        <v>0.0</v>
      </c>
      <c r="O173" s="14">
        <v>0.0</v>
      </c>
      <c r="P173" s="14">
        <v>3.0</v>
      </c>
      <c r="Q173" s="14">
        <v>0.0</v>
      </c>
      <c r="R173" s="14">
        <v>0.0</v>
      </c>
      <c r="S173" s="23"/>
      <c r="T173" s="31">
        <f t="shared" si="2"/>
        <v>8</v>
      </c>
      <c r="U173" s="23" t="s">
        <v>45</v>
      </c>
      <c r="V173" s="26"/>
      <c r="W173" s="23" t="s">
        <v>46</v>
      </c>
      <c r="Y173" s="43" t="s">
        <v>560</v>
      </c>
      <c r="Z173" s="14"/>
      <c r="AA173" s="14" t="str">
        <f t="shared" si="3"/>
        <v/>
      </c>
      <c r="AB173" s="14">
        <f t="shared" si="4"/>
        <v>0</v>
      </c>
      <c r="AC173" s="14">
        <f t="shared" si="5"/>
        <v>8</v>
      </c>
      <c r="AD173" s="14">
        <f t="shared" si="28"/>
        <v>1</v>
      </c>
    </row>
    <row r="174" ht="15.75" customHeight="1">
      <c r="A174" s="14">
        <v>173.0</v>
      </c>
      <c r="B174" s="14" t="s">
        <v>561</v>
      </c>
      <c r="C174" s="14" t="s">
        <v>106</v>
      </c>
      <c r="D174" s="14">
        <v>11.0</v>
      </c>
      <c r="G174" s="14"/>
      <c r="H174" s="14">
        <v>1.0</v>
      </c>
      <c r="I174" s="14">
        <v>3296.0</v>
      </c>
      <c r="J174" s="14">
        <v>3306.0</v>
      </c>
      <c r="K174" s="14">
        <f t="shared" si="1"/>
        <v>10</v>
      </c>
      <c r="L174" s="14">
        <v>10.0</v>
      </c>
      <c r="M174" s="14">
        <v>0.0</v>
      </c>
      <c r="N174" s="14">
        <v>0.0</v>
      </c>
      <c r="O174" s="14">
        <v>0.0</v>
      </c>
      <c r="P174" s="14">
        <v>3.0</v>
      </c>
      <c r="Q174" s="14">
        <v>0.0</v>
      </c>
      <c r="R174" s="14">
        <v>0.0</v>
      </c>
      <c r="S174" s="14"/>
      <c r="T174" s="31">
        <f t="shared" si="2"/>
        <v>13</v>
      </c>
      <c r="U174" s="14" t="s">
        <v>45</v>
      </c>
      <c r="V174" s="26"/>
      <c r="W174" s="14" t="s">
        <v>46</v>
      </c>
      <c r="Z174" s="14"/>
      <c r="AA174" s="14" t="str">
        <f t="shared" si="3"/>
        <v/>
      </c>
      <c r="AB174" s="14">
        <f t="shared" si="4"/>
        <v>0</v>
      </c>
      <c r="AC174" s="14">
        <f t="shared" si="5"/>
        <v>13</v>
      </c>
      <c r="AD174" s="14">
        <f t="shared" si="28"/>
        <v>1</v>
      </c>
    </row>
    <row r="175" ht="15.75" customHeight="1">
      <c r="A175" s="14">
        <v>174.0</v>
      </c>
      <c r="B175" s="14" t="s">
        <v>563</v>
      </c>
      <c r="C175" s="14" t="s">
        <v>106</v>
      </c>
      <c r="D175" s="14">
        <v>12.0</v>
      </c>
      <c r="G175" s="14"/>
      <c r="H175" s="14">
        <v>1.0</v>
      </c>
      <c r="I175" s="14">
        <v>2162.0</v>
      </c>
      <c r="J175" s="14">
        <v>2167.0</v>
      </c>
      <c r="K175" s="14">
        <f t="shared" si="1"/>
        <v>5</v>
      </c>
      <c r="L175" s="14">
        <v>5.0</v>
      </c>
      <c r="M175" s="14">
        <v>8.0</v>
      </c>
      <c r="N175" s="14">
        <v>0.0</v>
      </c>
      <c r="O175" s="14">
        <v>0.0</v>
      </c>
      <c r="P175" s="14">
        <v>3.0</v>
      </c>
      <c r="Q175" s="36">
        <v>0.0</v>
      </c>
      <c r="R175" s="36">
        <v>30.0</v>
      </c>
      <c r="S175" s="14"/>
      <c r="T175" s="31">
        <f t="shared" si="2"/>
        <v>46</v>
      </c>
      <c r="U175" s="42" t="s">
        <v>45</v>
      </c>
      <c r="V175" s="26"/>
      <c r="W175" s="14"/>
      <c r="Z175" s="14"/>
      <c r="AA175" s="14" t="str">
        <f t="shared" si="3"/>
        <v/>
      </c>
      <c r="AB175" s="14">
        <f t="shared" si="4"/>
        <v>46</v>
      </c>
      <c r="AC175" s="14">
        <f t="shared" si="5"/>
        <v>0</v>
      </c>
      <c r="AD175" s="14">
        <f t="shared" si="28"/>
        <v>0</v>
      </c>
    </row>
    <row r="176" ht="15.75" customHeight="1">
      <c r="A176" s="14">
        <v>175.0</v>
      </c>
      <c r="B176" s="14" t="s">
        <v>566</v>
      </c>
      <c r="C176" s="14" t="s">
        <v>106</v>
      </c>
      <c r="D176" s="14">
        <v>13.0</v>
      </c>
      <c r="G176" s="14"/>
      <c r="H176" s="14">
        <v>1.0</v>
      </c>
      <c r="I176" s="14">
        <v>1833.0</v>
      </c>
      <c r="J176" s="14">
        <v>1841.0</v>
      </c>
      <c r="K176" s="14">
        <f t="shared" si="1"/>
        <v>8</v>
      </c>
      <c r="L176" s="23">
        <v>9.0</v>
      </c>
      <c r="M176" s="14">
        <v>0.0</v>
      </c>
      <c r="N176" s="14">
        <v>0.0</v>
      </c>
      <c r="O176" s="14">
        <v>0.0</v>
      </c>
      <c r="P176" s="14">
        <v>3.0</v>
      </c>
      <c r="Q176" s="14">
        <v>0.0</v>
      </c>
      <c r="R176" s="14">
        <v>0.0</v>
      </c>
      <c r="S176" s="14"/>
      <c r="T176" s="31">
        <f t="shared" si="2"/>
        <v>12</v>
      </c>
      <c r="U176" s="14" t="s">
        <v>45</v>
      </c>
      <c r="V176" s="26"/>
      <c r="W176" s="14" t="s">
        <v>46</v>
      </c>
      <c r="X176" s="14"/>
      <c r="Y176" s="23" t="s">
        <v>567</v>
      </c>
      <c r="Z176" s="14"/>
      <c r="AA176" s="14" t="str">
        <f t="shared" si="3"/>
        <v/>
      </c>
      <c r="AB176" s="14">
        <f t="shared" si="4"/>
        <v>0</v>
      </c>
      <c r="AC176" s="14">
        <f t="shared" si="5"/>
        <v>12</v>
      </c>
      <c r="AD176" s="14">
        <f t="shared" si="28"/>
        <v>1</v>
      </c>
    </row>
    <row r="177" ht="15.75" customHeight="1">
      <c r="A177" s="14">
        <v>176.0</v>
      </c>
      <c r="B177" s="14" t="s">
        <v>568</v>
      </c>
      <c r="C177" s="14" t="s">
        <v>106</v>
      </c>
      <c r="D177" s="14">
        <v>14.0</v>
      </c>
      <c r="G177" s="14"/>
      <c r="H177" s="14">
        <v>1.0</v>
      </c>
      <c r="I177" s="14">
        <v>2297.0</v>
      </c>
      <c r="J177" s="14">
        <v>2301.0</v>
      </c>
      <c r="K177" s="14">
        <f t="shared" si="1"/>
        <v>4</v>
      </c>
      <c r="L177" s="14">
        <v>5.0</v>
      </c>
      <c r="M177" s="14">
        <v>0.0</v>
      </c>
      <c r="N177" s="14">
        <v>0.0</v>
      </c>
      <c r="O177" s="14">
        <v>0.0</v>
      </c>
      <c r="P177" s="14">
        <v>3.0</v>
      </c>
      <c r="Q177" s="14">
        <v>0.0</v>
      </c>
      <c r="R177" s="14">
        <v>0.0</v>
      </c>
      <c r="S177" s="14"/>
      <c r="T177" s="31">
        <f t="shared" si="2"/>
        <v>8</v>
      </c>
      <c r="U177" s="14" t="s">
        <v>45</v>
      </c>
      <c r="V177" s="26"/>
      <c r="W177" s="14" t="s">
        <v>46</v>
      </c>
      <c r="Z177" s="14"/>
      <c r="AA177" s="14" t="str">
        <f t="shared" si="3"/>
        <v/>
      </c>
      <c r="AB177" s="14">
        <f t="shared" si="4"/>
        <v>0</v>
      </c>
      <c r="AC177" s="14">
        <f t="shared" si="5"/>
        <v>8</v>
      </c>
      <c r="AD177" s="14">
        <f t="shared" si="28"/>
        <v>1</v>
      </c>
    </row>
    <row r="178" ht="15.75" customHeight="1">
      <c r="A178" s="14">
        <v>177.0</v>
      </c>
      <c r="B178" s="14" t="s">
        <v>570</v>
      </c>
      <c r="C178" s="14" t="s">
        <v>106</v>
      </c>
      <c r="D178" s="14">
        <v>15.0</v>
      </c>
      <c r="G178" s="14"/>
      <c r="H178" s="14">
        <v>1.0</v>
      </c>
      <c r="I178" s="14">
        <v>2461.0</v>
      </c>
      <c r="J178" s="14">
        <v>2471.0</v>
      </c>
      <c r="K178" s="14">
        <f t="shared" si="1"/>
        <v>10</v>
      </c>
      <c r="L178" s="14">
        <v>10.0</v>
      </c>
      <c r="M178" s="14">
        <v>0.0</v>
      </c>
      <c r="N178" s="14">
        <v>0.0</v>
      </c>
      <c r="O178" s="14">
        <v>0.0</v>
      </c>
      <c r="P178" s="14">
        <v>3.0</v>
      </c>
      <c r="Q178" s="36">
        <v>0.0</v>
      </c>
      <c r="R178" s="36">
        <v>30.0</v>
      </c>
      <c r="S178" s="14"/>
      <c r="T178" s="31">
        <f t="shared" si="2"/>
        <v>43</v>
      </c>
      <c r="U178" s="14" t="s">
        <v>45</v>
      </c>
      <c r="V178" s="26"/>
      <c r="W178" s="14" t="s">
        <v>46</v>
      </c>
      <c r="Z178" s="14"/>
      <c r="AA178" s="14" t="str">
        <f t="shared" si="3"/>
        <v/>
      </c>
      <c r="AB178" s="14">
        <f t="shared" si="4"/>
        <v>0</v>
      </c>
      <c r="AC178" s="14">
        <f t="shared" si="5"/>
        <v>43</v>
      </c>
      <c r="AD178" s="14">
        <f t="shared" si="28"/>
        <v>1</v>
      </c>
    </row>
    <row r="179" ht="15.75" hidden="1" customHeight="1">
      <c r="A179" s="14">
        <v>178.0</v>
      </c>
      <c r="B179" s="14" t="s">
        <v>573</v>
      </c>
      <c r="C179" s="14" t="s">
        <v>106</v>
      </c>
      <c r="D179" s="14">
        <v>16.0</v>
      </c>
      <c r="G179" s="14"/>
      <c r="H179" s="14">
        <v>1.0</v>
      </c>
      <c r="I179" s="14">
        <v>1133.0</v>
      </c>
      <c r="J179" s="14">
        <v>1136.0</v>
      </c>
      <c r="K179" s="14">
        <f t="shared" si="1"/>
        <v>3</v>
      </c>
      <c r="L179" s="14">
        <v>5.0</v>
      </c>
      <c r="M179" s="14">
        <v>0.0</v>
      </c>
      <c r="N179" s="14">
        <v>0.0</v>
      </c>
      <c r="O179" s="14">
        <v>0.0</v>
      </c>
      <c r="P179" s="14">
        <v>3.0</v>
      </c>
      <c r="Q179" s="36">
        <v>0.0</v>
      </c>
      <c r="R179" s="36">
        <v>30.0</v>
      </c>
      <c r="S179" s="14"/>
      <c r="T179" s="31">
        <f t="shared" si="2"/>
        <v>38</v>
      </c>
      <c r="U179" s="14"/>
      <c r="V179" s="26"/>
      <c r="W179" s="14"/>
      <c r="Z179" s="14"/>
      <c r="AA179" s="14" t="str">
        <f t="shared" si="3"/>
        <v/>
      </c>
      <c r="AB179" s="14">
        <f t="shared" si="4"/>
        <v>0</v>
      </c>
      <c r="AC179" s="14">
        <f t="shared" si="5"/>
        <v>0</v>
      </c>
      <c r="AD179" s="14"/>
    </row>
    <row r="180" ht="15.75" customHeight="1">
      <c r="A180" s="14">
        <v>179.0</v>
      </c>
      <c r="B180" s="14" t="s">
        <v>575</v>
      </c>
      <c r="C180" s="14" t="s">
        <v>106</v>
      </c>
      <c r="D180" s="14">
        <v>17.0</v>
      </c>
      <c r="G180" s="14"/>
      <c r="H180" s="14">
        <v>1.0</v>
      </c>
      <c r="I180" s="14">
        <v>1136.0</v>
      </c>
      <c r="J180" s="14">
        <v>1143.0</v>
      </c>
      <c r="K180" s="14">
        <f t="shared" si="1"/>
        <v>7</v>
      </c>
      <c r="L180" s="14">
        <v>7.0</v>
      </c>
      <c r="M180" s="14">
        <v>0.0</v>
      </c>
      <c r="N180" s="14">
        <v>0.0</v>
      </c>
      <c r="O180" s="14">
        <v>0.0</v>
      </c>
      <c r="P180" s="14">
        <v>3.0</v>
      </c>
      <c r="Q180" s="14">
        <v>0.0</v>
      </c>
      <c r="R180" s="14">
        <v>0.0</v>
      </c>
      <c r="S180" s="14"/>
      <c r="T180" s="31">
        <f t="shared" si="2"/>
        <v>10</v>
      </c>
      <c r="U180" s="14" t="s">
        <v>45</v>
      </c>
      <c r="V180" s="26"/>
      <c r="W180" s="14" t="s">
        <v>46</v>
      </c>
      <c r="X180" s="14"/>
      <c r="Y180" s="14"/>
      <c r="Z180" s="14"/>
      <c r="AA180" s="14" t="str">
        <f t="shared" si="3"/>
        <v/>
      </c>
      <c r="AB180" s="14">
        <f t="shared" si="4"/>
        <v>0</v>
      </c>
      <c r="AC180" s="14">
        <f t="shared" si="5"/>
        <v>10</v>
      </c>
      <c r="AD180" s="14">
        <f t="shared" ref="AD180:AD181" si="29">IF(ISBLANK(W180),0,1)</f>
        <v>1</v>
      </c>
    </row>
    <row r="181" ht="15.75" customHeight="1">
      <c r="A181" s="14">
        <v>180.0</v>
      </c>
      <c r="B181" s="14" t="s">
        <v>578</v>
      </c>
      <c r="C181" s="14" t="s">
        <v>106</v>
      </c>
      <c r="D181" s="14">
        <v>18.0</v>
      </c>
      <c r="G181" s="14"/>
      <c r="H181" s="14">
        <v>1.0</v>
      </c>
      <c r="I181" s="14">
        <v>499.0</v>
      </c>
      <c r="J181" s="14">
        <v>506.0</v>
      </c>
      <c r="K181" s="14">
        <f t="shared" si="1"/>
        <v>7</v>
      </c>
      <c r="L181" s="14">
        <v>7.0</v>
      </c>
      <c r="M181" s="14">
        <v>0.0</v>
      </c>
      <c r="N181" s="14">
        <v>0.0</v>
      </c>
      <c r="O181" s="14">
        <v>0.0</v>
      </c>
      <c r="P181" s="14">
        <v>3.0</v>
      </c>
      <c r="Q181" s="14">
        <v>0.0</v>
      </c>
      <c r="R181" s="14">
        <v>0.0</v>
      </c>
      <c r="S181" s="14"/>
      <c r="T181" s="31">
        <f t="shared" si="2"/>
        <v>10</v>
      </c>
      <c r="U181" s="51" t="s">
        <v>45</v>
      </c>
      <c r="V181" s="26"/>
      <c r="W181" s="14"/>
      <c r="Z181" s="14"/>
      <c r="AA181" s="14" t="str">
        <f t="shared" si="3"/>
        <v/>
      </c>
      <c r="AB181" s="14">
        <f t="shared" si="4"/>
        <v>10</v>
      </c>
      <c r="AC181" s="14">
        <f t="shared" si="5"/>
        <v>0</v>
      </c>
      <c r="AD181" s="14">
        <f t="shared" si="29"/>
        <v>0</v>
      </c>
    </row>
    <row r="182" ht="15.75" hidden="1" customHeight="1">
      <c r="A182" s="14">
        <v>181.0</v>
      </c>
      <c r="B182" s="14" t="s">
        <v>579</v>
      </c>
      <c r="C182" s="14" t="s">
        <v>110</v>
      </c>
      <c r="D182" s="14">
        <v>1.0</v>
      </c>
      <c r="G182" s="14"/>
      <c r="H182" s="14">
        <v>1.0</v>
      </c>
      <c r="I182" s="14">
        <v>1920.0</v>
      </c>
      <c r="J182" s="14">
        <v>1926.0</v>
      </c>
      <c r="K182" s="14">
        <f t="shared" si="1"/>
        <v>6</v>
      </c>
      <c r="L182" s="14">
        <v>6.0</v>
      </c>
      <c r="M182" s="14">
        <v>0.0</v>
      </c>
      <c r="N182" s="14">
        <v>0.0</v>
      </c>
      <c r="O182" s="14">
        <v>0.0</v>
      </c>
      <c r="P182" s="14">
        <v>3.0</v>
      </c>
      <c r="Q182" s="14">
        <v>0.0</v>
      </c>
      <c r="R182" s="14">
        <v>0.0</v>
      </c>
      <c r="S182" s="14"/>
      <c r="T182" s="31">
        <f t="shared" si="2"/>
        <v>9</v>
      </c>
      <c r="U182" s="14"/>
      <c r="V182" s="26"/>
      <c r="W182" s="14"/>
      <c r="Z182" s="14"/>
      <c r="AA182" s="14" t="str">
        <f t="shared" si="3"/>
        <v/>
      </c>
      <c r="AB182" s="14">
        <f t="shared" si="4"/>
        <v>0</v>
      </c>
      <c r="AC182" s="14">
        <f t="shared" si="5"/>
        <v>0</v>
      </c>
      <c r="AD182" s="14"/>
    </row>
    <row r="183" ht="15.75" customHeight="1">
      <c r="A183" s="14">
        <v>182.0</v>
      </c>
      <c r="B183" s="14" t="s">
        <v>582</v>
      </c>
      <c r="C183" s="14" t="s">
        <v>110</v>
      </c>
      <c r="D183" s="14">
        <v>2.0</v>
      </c>
      <c r="G183" s="14"/>
      <c r="H183" s="14">
        <v>1.0</v>
      </c>
      <c r="I183" s="14">
        <v>451.0</v>
      </c>
      <c r="J183" s="14">
        <v>458.0</v>
      </c>
      <c r="K183" s="14">
        <f t="shared" si="1"/>
        <v>7</v>
      </c>
      <c r="L183" s="14">
        <v>7.0</v>
      </c>
      <c r="M183" s="14">
        <v>0.0</v>
      </c>
      <c r="N183" s="14">
        <v>0.0</v>
      </c>
      <c r="O183" s="14">
        <v>0.0</v>
      </c>
      <c r="P183" s="14">
        <v>3.0</v>
      </c>
      <c r="Q183" s="14">
        <v>0.0</v>
      </c>
      <c r="R183" s="14">
        <v>0.0</v>
      </c>
      <c r="S183" s="14"/>
      <c r="T183" s="31">
        <f t="shared" si="2"/>
        <v>10</v>
      </c>
      <c r="U183" s="23" t="s">
        <v>45</v>
      </c>
      <c r="V183" s="26"/>
      <c r="W183" s="23" t="s">
        <v>46</v>
      </c>
      <c r="Z183" s="14"/>
      <c r="AA183" s="14" t="str">
        <f t="shared" si="3"/>
        <v/>
      </c>
      <c r="AB183" s="14">
        <f t="shared" si="4"/>
        <v>0</v>
      </c>
      <c r="AC183" s="14">
        <f t="shared" si="5"/>
        <v>10</v>
      </c>
      <c r="AD183" s="14"/>
    </row>
    <row r="184" ht="15.75" hidden="1" customHeight="1">
      <c r="A184" s="14">
        <v>183.0</v>
      </c>
      <c r="B184" s="14" t="s">
        <v>585</v>
      </c>
      <c r="C184" s="14" t="s">
        <v>110</v>
      </c>
      <c r="D184" s="14">
        <v>3.0</v>
      </c>
      <c r="G184" s="14"/>
      <c r="H184" s="14">
        <v>1.0</v>
      </c>
      <c r="I184" s="14">
        <v>707.0</v>
      </c>
      <c r="J184" s="14">
        <v>707.0</v>
      </c>
      <c r="K184" s="14">
        <f t="shared" si="1"/>
        <v>0</v>
      </c>
      <c r="L184" s="14">
        <v>5.0</v>
      </c>
      <c r="M184" s="14">
        <v>0.0</v>
      </c>
      <c r="N184" s="14">
        <v>0.0</v>
      </c>
      <c r="O184" s="14">
        <v>0.0</v>
      </c>
      <c r="P184" s="14">
        <v>3.0</v>
      </c>
      <c r="Q184" s="36">
        <v>0.0</v>
      </c>
      <c r="R184" s="36">
        <v>30.0</v>
      </c>
      <c r="S184" s="14"/>
      <c r="T184" s="31">
        <f t="shared" si="2"/>
        <v>38</v>
      </c>
      <c r="U184" s="14"/>
      <c r="V184" s="26"/>
      <c r="W184" s="14"/>
      <c r="Z184" s="14"/>
      <c r="AA184" s="14" t="str">
        <f t="shared" si="3"/>
        <v/>
      </c>
      <c r="AB184" s="14">
        <f t="shared" si="4"/>
        <v>0</v>
      </c>
      <c r="AC184" s="14">
        <f t="shared" si="5"/>
        <v>0</v>
      </c>
      <c r="AD184" s="14"/>
    </row>
    <row r="185" ht="15.75" customHeight="1">
      <c r="A185" s="14">
        <v>184.0</v>
      </c>
      <c r="B185" s="14" t="s">
        <v>588</v>
      </c>
      <c r="C185" s="14" t="s">
        <v>110</v>
      </c>
      <c r="D185" s="14">
        <v>4.0</v>
      </c>
      <c r="G185" s="14"/>
      <c r="H185" s="14">
        <v>1.0</v>
      </c>
      <c r="I185" s="14">
        <v>1141.0</v>
      </c>
      <c r="J185" s="14">
        <v>1147.0</v>
      </c>
      <c r="K185" s="14">
        <f t="shared" si="1"/>
        <v>6</v>
      </c>
      <c r="L185" s="14">
        <v>6.0</v>
      </c>
      <c r="M185" s="14">
        <v>0.0</v>
      </c>
      <c r="N185" s="14">
        <v>0.0</v>
      </c>
      <c r="O185" s="14">
        <v>0.0</v>
      </c>
      <c r="P185" s="14">
        <v>3.0</v>
      </c>
      <c r="Q185" s="14">
        <v>0.0</v>
      </c>
      <c r="R185" s="14">
        <v>0.0</v>
      </c>
      <c r="S185" s="14"/>
      <c r="T185" s="31">
        <f t="shared" si="2"/>
        <v>9</v>
      </c>
      <c r="U185" s="14" t="s">
        <v>45</v>
      </c>
      <c r="V185" s="26"/>
      <c r="W185" s="14" t="s">
        <v>46</v>
      </c>
      <c r="Z185" s="14"/>
      <c r="AA185" s="14" t="str">
        <f t="shared" si="3"/>
        <v/>
      </c>
      <c r="AB185" s="14">
        <f t="shared" si="4"/>
        <v>0</v>
      </c>
      <c r="AC185" s="14">
        <f t="shared" si="5"/>
        <v>9</v>
      </c>
      <c r="AD185" s="14">
        <f t="shared" ref="AD185:AD192" si="30">IF(ISBLANK(W185),0,1)</f>
        <v>1</v>
      </c>
    </row>
    <row r="186" ht="15.75" customHeight="1">
      <c r="A186" s="14">
        <v>185.0</v>
      </c>
      <c r="B186" s="14" t="s">
        <v>591</v>
      </c>
      <c r="C186" s="14" t="s">
        <v>110</v>
      </c>
      <c r="D186" s="14">
        <v>5.0</v>
      </c>
      <c r="G186" s="14"/>
      <c r="H186" s="14">
        <v>1.0</v>
      </c>
      <c r="I186" s="14">
        <v>3522.0</v>
      </c>
      <c r="J186" s="14">
        <v>3533.0</v>
      </c>
      <c r="K186" s="14">
        <f t="shared" si="1"/>
        <v>11</v>
      </c>
      <c r="L186" s="14">
        <v>11.0</v>
      </c>
      <c r="M186" s="14">
        <v>0.0</v>
      </c>
      <c r="N186" s="14">
        <v>0.0</v>
      </c>
      <c r="O186" s="14">
        <v>0.0</v>
      </c>
      <c r="P186" s="14">
        <v>3.0</v>
      </c>
      <c r="Q186" s="36">
        <v>0.0</v>
      </c>
      <c r="R186" s="36">
        <v>30.0</v>
      </c>
      <c r="S186" s="14"/>
      <c r="T186" s="31">
        <f t="shared" si="2"/>
        <v>44</v>
      </c>
      <c r="U186" s="14" t="s">
        <v>45</v>
      </c>
      <c r="V186" s="26"/>
      <c r="W186" s="14" t="s">
        <v>46</v>
      </c>
      <c r="Z186" s="14"/>
      <c r="AA186" s="14" t="str">
        <f t="shared" si="3"/>
        <v/>
      </c>
      <c r="AB186" s="14">
        <f t="shared" si="4"/>
        <v>0</v>
      </c>
      <c r="AC186" s="14">
        <f t="shared" si="5"/>
        <v>44</v>
      </c>
      <c r="AD186" s="14">
        <f t="shared" si="30"/>
        <v>1</v>
      </c>
    </row>
    <row r="187" ht="15.75" customHeight="1">
      <c r="A187" s="14">
        <v>186.0</v>
      </c>
      <c r="B187" s="14" t="s">
        <v>594</v>
      </c>
      <c r="C187" s="14" t="s">
        <v>110</v>
      </c>
      <c r="D187" s="14">
        <v>7.0</v>
      </c>
      <c r="G187" s="14"/>
      <c r="H187" s="14">
        <v>1.0</v>
      </c>
      <c r="I187" s="14">
        <v>2159.0</v>
      </c>
      <c r="J187" s="14">
        <v>2162.0</v>
      </c>
      <c r="K187" s="14">
        <f t="shared" si="1"/>
        <v>3</v>
      </c>
      <c r="L187" s="14">
        <v>5.0</v>
      </c>
      <c r="M187" s="14">
        <v>0.0</v>
      </c>
      <c r="N187" s="14">
        <v>0.0</v>
      </c>
      <c r="O187" s="14">
        <v>0.0</v>
      </c>
      <c r="P187" s="14">
        <v>3.0</v>
      </c>
      <c r="Q187" s="36">
        <v>0.0</v>
      </c>
      <c r="R187" s="36"/>
      <c r="S187" s="14"/>
      <c r="T187" s="31">
        <f t="shared" si="2"/>
        <v>8</v>
      </c>
      <c r="U187" s="14" t="s">
        <v>45</v>
      </c>
      <c r="V187" s="26"/>
      <c r="W187" s="14" t="s">
        <v>46</v>
      </c>
      <c r="Y187" s="23" t="s">
        <v>320</v>
      </c>
      <c r="Z187" s="14"/>
      <c r="AA187" s="14" t="str">
        <f t="shared" si="3"/>
        <v/>
      </c>
      <c r="AB187" s="14">
        <f t="shared" si="4"/>
        <v>0</v>
      </c>
      <c r="AC187" s="14">
        <f t="shared" si="5"/>
        <v>8</v>
      </c>
      <c r="AD187" s="14">
        <f t="shared" si="30"/>
        <v>1</v>
      </c>
    </row>
    <row r="188" ht="15.75" customHeight="1">
      <c r="A188" s="14">
        <v>187.0</v>
      </c>
      <c r="B188" s="14" t="s">
        <v>596</v>
      </c>
      <c r="C188" s="14" t="s">
        <v>110</v>
      </c>
      <c r="D188" s="14">
        <v>8.0</v>
      </c>
      <c r="G188" s="14"/>
      <c r="H188" s="14">
        <v>1.0</v>
      </c>
      <c r="I188" s="14">
        <v>2334.0</v>
      </c>
      <c r="J188" s="14">
        <v>2348.0</v>
      </c>
      <c r="K188" s="14">
        <f t="shared" si="1"/>
        <v>14</v>
      </c>
      <c r="L188" s="14">
        <v>14.0</v>
      </c>
      <c r="M188" s="14">
        <v>0.0</v>
      </c>
      <c r="N188" s="14">
        <v>0.0</v>
      </c>
      <c r="O188" s="14">
        <v>0.0</v>
      </c>
      <c r="P188" s="14">
        <v>3.0</v>
      </c>
      <c r="Q188" s="14">
        <v>0.0</v>
      </c>
      <c r="R188" s="14">
        <v>0.0</v>
      </c>
      <c r="S188" s="14"/>
      <c r="T188" s="31">
        <f t="shared" si="2"/>
        <v>17</v>
      </c>
      <c r="U188" s="42" t="s">
        <v>45</v>
      </c>
      <c r="V188" s="26"/>
      <c r="W188" s="14"/>
      <c r="Z188" s="14"/>
      <c r="AA188" s="14" t="str">
        <f t="shared" si="3"/>
        <v/>
      </c>
      <c r="AB188" s="14">
        <f t="shared" si="4"/>
        <v>17</v>
      </c>
      <c r="AC188" s="14">
        <f t="shared" si="5"/>
        <v>0</v>
      </c>
      <c r="AD188" s="14">
        <f t="shared" si="30"/>
        <v>0</v>
      </c>
    </row>
    <row r="189" ht="15.75" customHeight="1">
      <c r="A189" s="14">
        <v>188.0</v>
      </c>
      <c r="B189" s="14" t="s">
        <v>599</v>
      </c>
      <c r="C189" s="14" t="s">
        <v>110</v>
      </c>
      <c r="D189" s="14">
        <v>9.0</v>
      </c>
      <c r="G189" s="14"/>
      <c r="H189" s="14">
        <v>1.0</v>
      </c>
      <c r="I189" s="14">
        <v>2992.0</v>
      </c>
      <c r="J189" s="14">
        <v>3014.0</v>
      </c>
      <c r="K189" s="14">
        <f t="shared" si="1"/>
        <v>22</v>
      </c>
      <c r="L189" s="14">
        <v>22.0</v>
      </c>
      <c r="M189" s="14">
        <v>0.0</v>
      </c>
      <c r="N189" s="14">
        <v>0.0</v>
      </c>
      <c r="O189" s="14">
        <v>0.0</v>
      </c>
      <c r="P189" s="14">
        <v>3.0</v>
      </c>
      <c r="Q189" s="14">
        <v>0.0</v>
      </c>
      <c r="R189" s="14">
        <v>0.0</v>
      </c>
      <c r="S189" s="14"/>
      <c r="T189" s="31">
        <f t="shared" si="2"/>
        <v>25</v>
      </c>
      <c r="U189" s="42" t="s">
        <v>45</v>
      </c>
      <c r="W189" s="14"/>
      <c r="Z189" s="14"/>
      <c r="AA189" s="14" t="str">
        <f t="shared" si="3"/>
        <v/>
      </c>
      <c r="AB189" s="14">
        <f t="shared" si="4"/>
        <v>25</v>
      </c>
      <c r="AC189" s="14">
        <f t="shared" si="5"/>
        <v>0</v>
      </c>
      <c r="AD189" s="14">
        <f t="shared" si="30"/>
        <v>0</v>
      </c>
    </row>
    <row r="190" ht="15.75" customHeight="1">
      <c r="A190" s="14">
        <v>189.0</v>
      </c>
      <c r="B190" s="14" t="s">
        <v>600</v>
      </c>
      <c r="C190" s="14" t="s">
        <v>110</v>
      </c>
      <c r="D190" s="14">
        <v>10.0</v>
      </c>
      <c r="G190" s="14"/>
      <c r="H190" s="14">
        <v>1.0</v>
      </c>
      <c r="I190" s="14">
        <v>86.0</v>
      </c>
      <c r="J190" s="14">
        <v>110.0</v>
      </c>
      <c r="K190" s="14">
        <f t="shared" si="1"/>
        <v>24</v>
      </c>
      <c r="L190" s="14">
        <v>24.0</v>
      </c>
      <c r="M190" s="14">
        <v>0.0</v>
      </c>
      <c r="N190" s="14">
        <v>0.0</v>
      </c>
      <c r="O190" s="14">
        <v>0.0</v>
      </c>
      <c r="P190" s="14">
        <v>3.0</v>
      </c>
      <c r="Q190" s="36">
        <v>0.0</v>
      </c>
      <c r="R190" s="36">
        <v>30.0</v>
      </c>
      <c r="S190" s="14"/>
      <c r="T190" s="31">
        <f t="shared" si="2"/>
        <v>57</v>
      </c>
      <c r="U190" s="42" t="s">
        <v>45</v>
      </c>
      <c r="V190" s="26"/>
      <c r="W190" s="14"/>
      <c r="Z190" s="14"/>
      <c r="AA190" s="14" t="str">
        <f t="shared" si="3"/>
        <v/>
      </c>
      <c r="AB190" s="14">
        <f t="shared" si="4"/>
        <v>57</v>
      </c>
      <c r="AC190" s="14">
        <f t="shared" si="5"/>
        <v>0</v>
      </c>
      <c r="AD190" s="14">
        <f t="shared" si="30"/>
        <v>0</v>
      </c>
    </row>
    <row r="191" ht="15.75" customHeight="1">
      <c r="A191" s="14">
        <v>190.0</v>
      </c>
      <c r="B191" s="14" t="s">
        <v>603</v>
      </c>
      <c r="C191" s="14" t="s">
        <v>110</v>
      </c>
      <c r="D191" s="14">
        <v>11.0</v>
      </c>
      <c r="G191" s="14"/>
      <c r="H191" s="14">
        <v>1.0</v>
      </c>
      <c r="I191" s="14">
        <v>1398.0</v>
      </c>
      <c r="J191" s="14">
        <v>1409.0</v>
      </c>
      <c r="K191" s="14">
        <f t="shared" si="1"/>
        <v>11</v>
      </c>
      <c r="L191" s="14">
        <v>11.0</v>
      </c>
      <c r="M191" s="14">
        <v>0.0</v>
      </c>
      <c r="N191" s="14">
        <v>0.0</v>
      </c>
      <c r="O191" s="14">
        <v>0.0</v>
      </c>
      <c r="P191" s="14">
        <v>3.0</v>
      </c>
      <c r="Q191" s="36">
        <v>0.0</v>
      </c>
      <c r="R191" s="36">
        <v>30.0</v>
      </c>
      <c r="S191" s="14"/>
      <c r="T191" s="31">
        <f t="shared" si="2"/>
        <v>44</v>
      </c>
      <c r="U191" s="42" t="s">
        <v>45</v>
      </c>
      <c r="V191" s="26"/>
      <c r="W191" s="14"/>
      <c r="Z191" s="14"/>
      <c r="AA191" s="14" t="str">
        <f t="shared" si="3"/>
        <v/>
      </c>
      <c r="AB191" s="14">
        <f t="shared" si="4"/>
        <v>44</v>
      </c>
      <c r="AC191" s="14">
        <f t="shared" si="5"/>
        <v>0</v>
      </c>
      <c r="AD191" s="14">
        <f t="shared" si="30"/>
        <v>0</v>
      </c>
    </row>
    <row r="192" ht="15.75" customHeight="1">
      <c r="A192" s="14">
        <v>191.0</v>
      </c>
      <c r="B192" s="14" t="s">
        <v>606</v>
      </c>
      <c r="C192" s="14" t="s">
        <v>110</v>
      </c>
      <c r="D192" s="14">
        <v>12.0</v>
      </c>
      <c r="G192" s="14"/>
      <c r="H192" s="14">
        <v>1.0</v>
      </c>
      <c r="I192" s="14">
        <v>654.0</v>
      </c>
      <c r="J192" s="14">
        <v>655.0</v>
      </c>
      <c r="K192" s="14">
        <f t="shared" si="1"/>
        <v>1</v>
      </c>
      <c r="L192" s="14">
        <v>5.0</v>
      </c>
      <c r="M192" s="14">
        <v>0.0</v>
      </c>
      <c r="N192" s="14">
        <v>0.0</v>
      </c>
      <c r="O192" s="14">
        <v>0.0</v>
      </c>
      <c r="P192" s="14">
        <v>3.0</v>
      </c>
      <c r="Q192" s="36">
        <v>0.0</v>
      </c>
      <c r="R192" s="36">
        <v>30.0</v>
      </c>
      <c r="S192" s="14"/>
      <c r="T192" s="31">
        <f t="shared" si="2"/>
        <v>38</v>
      </c>
      <c r="U192" s="42" t="s">
        <v>45</v>
      </c>
      <c r="V192" s="26"/>
      <c r="W192" s="14"/>
      <c r="Z192" s="14"/>
      <c r="AA192" s="14" t="str">
        <f t="shared" si="3"/>
        <v/>
      </c>
      <c r="AB192" s="14">
        <f t="shared" si="4"/>
        <v>38</v>
      </c>
      <c r="AC192" s="14">
        <f t="shared" si="5"/>
        <v>0</v>
      </c>
      <c r="AD192" s="14">
        <f t="shared" si="30"/>
        <v>0</v>
      </c>
    </row>
    <row r="193" ht="15.75" hidden="1" customHeight="1">
      <c r="A193" s="14">
        <v>192.0</v>
      </c>
      <c r="B193" s="14" t="s">
        <v>608</v>
      </c>
      <c r="C193" s="14" t="s">
        <v>110</v>
      </c>
      <c r="D193" s="14">
        <v>14.0</v>
      </c>
      <c r="F193" s="14"/>
      <c r="G193" s="14">
        <v>1.0</v>
      </c>
      <c r="H193" s="14">
        <v>2.5</v>
      </c>
      <c r="I193" s="14">
        <v>12907.0</v>
      </c>
      <c r="J193" s="14">
        <v>13033.0</v>
      </c>
      <c r="K193" s="14">
        <f t="shared" si="1"/>
        <v>126</v>
      </c>
      <c r="L193" s="14">
        <v>315.0</v>
      </c>
      <c r="M193" s="14">
        <v>3723.0</v>
      </c>
      <c r="N193" s="14">
        <v>40.0</v>
      </c>
      <c r="O193" s="14">
        <v>0.0</v>
      </c>
      <c r="P193" s="14">
        <v>3.0</v>
      </c>
      <c r="Q193" s="36">
        <v>0.0</v>
      </c>
      <c r="R193" s="36">
        <v>30.0</v>
      </c>
      <c r="S193" s="14"/>
      <c r="T193" s="31">
        <f t="shared" si="2"/>
        <v>4111</v>
      </c>
      <c r="W193" s="14"/>
      <c r="Z193" s="23" t="s">
        <v>255</v>
      </c>
      <c r="AA193" s="14" t="str">
        <f t="shared" si="3"/>
        <v>CORTE</v>
      </c>
      <c r="AB193" s="14">
        <f t="shared" si="4"/>
        <v>0</v>
      </c>
      <c r="AC193" s="14">
        <f t="shared" si="5"/>
        <v>0</v>
      </c>
      <c r="AD193" s="14"/>
    </row>
    <row r="194" ht="15.75" customHeight="1">
      <c r="A194" s="14">
        <v>193.0</v>
      </c>
      <c r="B194" s="52" t="s">
        <v>610</v>
      </c>
      <c r="C194" s="52" t="s">
        <v>115</v>
      </c>
      <c r="D194" s="52">
        <v>1.0</v>
      </c>
      <c r="E194" s="52"/>
      <c r="F194" s="52"/>
      <c r="G194" s="52"/>
      <c r="H194" s="52">
        <v>1.0</v>
      </c>
      <c r="I194" s="14">
        <v>2229.0</v>
      </c>
      <c r="J194" s="14">
        <v>2241.0</v>
      </c>
      <c r="K194" s="14">
        <f t="shared" si="1"/>
        <v>12</v>
      </c>
      <c r="L194" s="14">
        <v>12.0</v>
      </c>
      <c r="M194" s="52">
        <v>0.0</v>
      </c>
      <c r="N194" s="14">
        <v>0.0</v>
      </c>
      <c r="O194" s="14">
        <v>0.0</v>
      </c>
      <c r="P194" s="14">
        <v>3.0</v>
      </c>
      <c r="Q194" s="52">
        <v>0.0</v>
      </c>
      <c r="R194" s="52">
        <v>0.0</v>
      </c>
      <c r="S194" s="14"/>
      <c r="T194" s="31">
        <f t="shared" si="2"/>
        <v>15</v>
      </c>
      <c r="U194" s="42" t="s">
        <v>45</v>
      </c>
      <c r="V194" s="67"/>
      <c r="W194" s="14"/>
      <c r="X194" s="52"/>
      <c r="Y194" s="52"/>
      <c r="Z194" s="52"/>
      <c r="AA194" s="14" t="str">
        <f t="shared" si="3"/>
        <v/>
      </c>
      <c r="AB194" s="14">
        <f t="shared" si="4"/>
        <v>15</v>
      </c>
      <c r="AC194" s="14">
        <f t="shared" si="5"/>
        <v>0</v>
      </c>
      <c r="AD194" s="52"/>
    </row>
    <row r="195" ht="15.75" hidden="1" customHeight="1">
      <c r="A195" s="14">
        <v>194.0</v>
      </c>
      <c r="B195" s="14" t="s">
        <v>612</v>
      </c>
      <c r="C195" s="14" t="s">
        <v>115</v>
      </c>
      <c r="D195" s="14">
        <v>2.0</v>
      </c>
      <c r="G195" s="14"/>
      <c r="H195" s="14">
        <v>1.0</v>
      </c>
      <c r="I195" s="14">
        <v>2386.0</v>
      </c>
      <c r="J195" s="14">
        <v>2393.0</v>
      </c>
      <c r="K195" s="14">
        <f t="shared" si="1"/>
        <v>7</v>
      </c>
      <c r="L195" s="14">
        <v>7.0</v>
      </c>
      <c r="M195" s="14">
        <v>0.0</v>
      </c>
      <c r="N195" s="14">
        <v>0.0</v>
      </c>
      <c r="O195" s="14">
        <v>0.0</v>
      </c>
      <c r="P195" s="14">
        <v>3.0</v>
      </c>
      <c r="Q195" s="36">
        <v>0.0</v>
      </c>
      <c r="R195" s="36">
        <v>30.0</v>
      </c>
      <c r="S195" s="14"/>
      <c r="T195" s="31">
        <f t="shared" si="2"/>
        <v>40</v>
      </c>
      <c r="U195" s="14"/>
      <c r="V195" s="26"/>
      <c r="W195" s="14"/>
      <c r="X195" s="14"/>
      <c r="Y195" s="14"/>
      <c r="Z195" s="14"/>
      <c r="AA195" s="14" t="str">
        <f t="shared" si="3"/>
        <v/>
      </c>
      <c r="AB195" s="14">
        <f t="shared" si="4"/>
        <v>0</v>
      </c>
      <c r="AC195" s="14">
        <f t="shared" si="5"/>
        <v>0</v>
      </c>
      <c r="AD195" s="14"/>
    </row>
    <row r="196" ht="15.75" customHeight="1">
      <c r="A196" s="14">
        <v>195.0</v>
      </c>
      <c r="B196" s="14" t="s">
        <v>614</v>
      </c>
      <c r="C196" s="14" t="s">
        <v>115</v>
      </c>
      <c r="D196" s="14">
        <v>3.0</v>
      </c>
      <c r="G196" s="14"/>
      <c r="H196" s="14">
        <v>1.0</v>
      </c>
      <c r="I196" s="14">
        <v>99.0</v>
      </c>
      <c r="J196" s="14">
        <v>104.0</v>
      </c>
      <c r="K196" s="14">
        <f t="shared" si="1"/>
        <v>5</v>
      </c>
      <c r="L196" s="14">
        <v>5.0</v>
      </c>
      <c r="M196" s="14">
        <v>0.0</v>
      </c>
      <c r="N196" s="14">
        <v>0.0</v>
      </c>
      <c r="O196" s="14">
        <v>0.0</v>
      </c>
      <c r="P196" s="14">
        <v>3.0</v>
      </c>
      <c r="Q196" s="14">
        <v>0.0</v>
      </c>
      <c r="R196" s="14">
        <v>0.0</v>
      </c>
      <c r="S196" s="14"/>
      <c r="T196" s="31">
        <f t="shared" si="2"/>
        <v>8</v>
      </c>
      <c r="U196" s="14" t="s">
        <v>45</v>
      </c>
      <c r="W196" s="14" t="s">
        <v>46</v>
      </c>
      <c r="Z196" s="14"/>
      <c r="AA196" s="14" t="str">
        <f t="shared" si="3"/>
        <v/>
      </c>
      <c r="AB196" s="14">
        <f t="shared" si="4"/>
        <v>0</v>
      </c>
      <c r="AC196" s="14">
        <f t="shared" si="5"/>
        <v>8</v>
      </c>
      <c r="AD196" s="14">
        <f t="shared" ref="AD196:AD200" si="31">IF(ISBLANK(W196),0,1)</f>
        <v>1</v>
      </c>
    </row>
    <row r="197" ht="15.75" customHeight="1">
      <c r="A197" s="14">
        <v>196.0</v>
      </c>
      <c r="B197" s="14" t="s">
        <v>615</v>
      </c>
      <c r="C197" s="14" t="s">
        <v>115</v>
      </c>
      <c r="D197" s="14">
        <v>4.0</v>
      </c>
      <c r="G197" s="14"/>
      <c r="H197" s="14">
        <v>1.0</v>
      </c>
      <c r="I197" s="14">
        <v>3312.0</v>
      </c>
      <c r="J197" s="14">
        <v>3340.0</v>
      </c>
      <c r="K197" s="14">
        <f t="shared" si="1"/>
        <v>28</v>
      </c>
      <c r="L197" s="14">
        <v>28.0</v>
      </c>
      <c r="M197" s="14">
        <v>0.0</v>
      </c>
      <c r="N197" s="14">
        <v>0.0</v>
      </c>
      <c r="O197" s="14">
        <v>0.0</v>
      </c>
      <c r="P197" s="14">
        <v>3.0</v>
      </c>
      <c r="Q197" s="14">
        <v>0.0</v>
      </c>
      <c r="R197" s="14">
        <v>0.0</v>
      </c>
      <c r="S197" s="14"/>
      <c r="T197" s="31">
        <f t="shared" si="2"/>
        <v>31</v>
      </c>
      <c r="U197" s="14" t="s">
        <v>45</v>
      </c>
      <c r="W197" s="14" t="s">
        <v>46</v>
      </c>
      <c r="Z197" s="14"/>
      <c r="AA197" s="14" t="str">
        <f t="shared" si="3"/>
        <v/>
      </c>
      <c r="AB197" s="14">
        <f t="shared" si="4"/>
        <v>0</v>
      </c>
      <c r="AC197" s="14">
        <f t="shared" si="5"/>
        <v>31</v>
      </c>
      <c r="AD197" s="14">
        <f t="shared" si="31"/>
        <v>1</v>
      </c>
    </row>
    <row r="198" ht="15.75" customHeight="1">
      <c r="A198" s="14">
        <v>197.0</v>
      </c>
      <c r="B198" s="14" t="s">
        <v>617</v>
      </c>
      <c r="C198" s="14" t="s">
        <v>115</v>
      </c>
      <c r="D198" s="14">
        <v>6.0</v>
      </c>
      <c r="G198" s="14"/>
      <c r="H198" s="14">
        <v>1.0</v>
      </c>
      <c r="I198" s="14">
        <v>3650.0</v>
      </c>
      <c r="J198" s="14">
        <v>3675.0</v>
      </c>
      <c r="K198" s="14">
        <f t="shared" si="1"/>
        <v>25</v>
      </c>
      <c r="L198" s="14">
        <v>25.0</v>
      </c>
      <c r="M198" s="14">
        <v>0.0</v>
      </c>
      <c r="N198" s="14">
        <v>0.0</v>
      </c>
      <c r="O198" s="14">
        <v>0.0</v>
      </c>
      <c r="P198" s="14">
        <v>3.0</v>
      </c>
      <c r="Q198" s="14">
        <v>0.0</v>
      </c>
      <c r="R198" s="14">
        <v>0.0</v>
      </c>
      <c r="S198" s="14"/>
      <c r="T198" s="31">
        <f t="shared" si="2"/>
        <v>28</v>
      </c>
      <c r="U198" s="42" t="s">
        <v>45</v>
      </c>
      <c r="V198" s="26"/>
      <c r="W198" s="14"/>
      <c r="Z198" s="14"/>
      <c r="AA198" s="14" t="str">
        <f t="shared" si="3"/>
        <v/>
      </c>
      <c r="AB198" s="14">
        <f t="shared" si="4"/>
        <v>28</v>
      </c>
      <c r="AC198" s="14">
        <f t="shared" si="5"/>
        <v>0</v>
      </c>
      <c r="AD198" s="14">
        <f t="shared" si="31"/>
        <v>0</v>
      </c>
    </row>
    <row r="199" ht="15.75" customHeight="1">
      <c r="A199" s="14">
        <v>198.0</v>
      </c>
      <c r="B199" s="14" t="s">
        <v>618</v>
      </c>
      <c r="C199" s="14" t="s">
        <v>115</v>
      </c>
      <c r="D199" s="14">
        <v>7.0</v>
      </c>
      <c r="G199" s="14"/>
      <c r="H199" s="14">
        <v>1.0</v>
      </c>
      <c r="I199" s="14">
        <v>153.0</v>
      </c>
      <c r="J199" s="14">
        <v>168.0</v>
      </c>
      <c r="K199" s="14">
        <f t="shared" si="1"/>
        <v>15</v>
      </c>
      <c r="L199" s="14">
        <v>15.0</v>
      </c>
      <c r="M199" s="14">
        <v>15.0</v>
      </c>
      <c r="N199" s="14">
        <v>0.0</v>
      </c>
      <c r="O199" s="14">
        <v>0.0</v>
      </c>
      <c r="P199" s="14">
        <v>3.0</v>
      </c>
      <c r="Q199" s="14">
        <v>0.0</v>
      </c>
      <c r="R199" s="14">
        <v>0.0</v>
      </c>
      <c r="S199" s="14"/>
      <c r="T199" s="31">
        <f t="shared" si="2"/>
        <v>33</v>
      </c>
      <c r="U199" s="42" t="s">
        <v>45</v>
      </c>
      <c r="V199" s="26"/>
      <c r="W199" s="14"/>
      <c r="Z199" s="14"/>
      <c r="AA199" s="14" t="str">
        <f t="shared" si="3"/>
        <v/>
      </c>
      <c r="AB199" s="14">
        <f t="shared" si="4"/>
        <v>33</v>
      </c>
      <c r="AC199" s="14">
        <f t="shared" si="5"/>
        <v>0</v>
      </c>
      <c r="AD199" s="14">
        <f t="shared" si="31"/>
        <v>0</v>
      </c>
    </row>
    <row r="200" ht="15.75" customHeight="1">
      <c r="A200" s="14">
        <v>199.0</v>
      </c>
      <c r="B200" s="14" t="s">
        <v>620</v>
      </c>
      <c r="C200" s="14" t="s">
        <v>115</v>
      </c>
      <c r="D200" s="14">
        <v>8.0</v>
      </c>
      <c r="G200" s="14"/>
      <c r="H200" s="14">
        <v>1.0</v>
      </c>
      <c r="I200" s="14">
        <v>1251.0</v>
      </c>
      <c r="J200" s="14">
        <v>1257.0</v>
      </c>
      <c r="K200" s="14">
        <f t="shared" si="1"/>
        <v>6</v>
      </c>
      <c r="L200" s="14">
        <v>6.0</v>
      </c>
      <c r="M200" s="14">
        <v>0.0</v>
      </c>
      <c r="N200" s="14">
        <v>0.0</v>
      </c>
      <c r="O200" s="14">
        <v>0.0</v>
      </c>
      <c r="P200" s="14">
        <v>3.0</v>
      </c>
      <c r="Q200" s="14">
        <v>0.0</v>
      </c>
      <c r="R200" s="14">
        <v>0.0</v>
      </c>
      <c r="S200" s="14"/>
      <c r="T200" s="31">
        <f t="shared" si="2"/>
        <v>9</v>
      </c>
      <c r="U200" s="42" t="s">
        <v>45</v>
      </c>
      <c r="V200" s="26"/>
      <c r="W200" s="14"/>
      <c r="Z200" s="14"/>
      <c r="AA200" s="14" t="str">
        <f t="shared" si="3"/>
        <v/>
      </c>
      <c r="AB200" s="14">
        <f t="shared" si="4"/>
        <v>9</v>
      </c>
      <c r="AC200" s="14">
        <f t="shared" si="5"/>
        <v>0</v>
      </c>
      <c r="AD200" s="14">
        <f t="shared" si="31"/>
        <v>0</v>
      </c>
    </row>
    <row r="201" ht="15.75" customHeight="1">
      <c r="A201" s="14">
        <v>200.0</v>
      </c>
      <c r="B201" s="14" t="s">
        <v>623</v>
      </c>
      <c r="C201" s="14" t="s">
        <v>115</v>
      </c>
      <c r="D201" s="14">
        <v>9.0</v>
      </c>
      <c r="G201" s="14"/>
      <c r="H201" s="14">
        <v>1.0</v>
      </c>
      <c r="I201" s="14">
        <v>1610.0</v>
      </c>
      <c r="J201" s="14">
        <v>1619.0</v>
      </c>
      <c r="K201" s="14">
        <f t="shared" si="1"/>
        <v>9</v>
      </c>
      <c r="L201" s="14">
        <v>9.0</v>
      </c>
      <c r="M201" s="14">
        <v>0.0</v>
      </c>
      <c r="N201" s="14">
        <v>0.0</v>
      </c>
      <c r="O201" s="14">
        <v>0.0</v>
      </c>
      <c r="P201" s="14">
        <v>3.0</v>
      </c>
      <c r="Q201" s="14">
        <v>0.0</v>
      </c>
      <c r="R201" s="14">
        <v>0.0</v>
      </c>
      <c r="S201" s="14"/>
      <c r="T201" s="31">
        <f t="shared" si="2"/>
        <v>12</v>
      </c>
      <c r="U201" s="42" t="s">
        <v>45</v>
      </c>
      <c r="W201" s="14"/>
      <c r="Z201" s="14"/>
      <c r="AA201" s="14" t="str">
        <f t="shared" si="3"/>
        <v/>
      </c>
      <c r="AB201" s="14">
        <f t="shared" si="4"/>
        <v>12</v>
      </c>
      <c r="AC201" s="14">
        <f t="shared" si="5"/>
        <v>0</v>
      </c>
      <c r="AD201" s="14"/>
    </row>
    <row r="202" ht="15.75" customHeight="1">
      <c r="A202" s="14">
        <v>201.0</v>
      </c>
      <c r="B202" s="14" t="s">
        <v>625</v>
      </c>
      <c r="C202" s="14" t="s">
        <v>115</v>
      </c>
      <c r="D202" s="14">
        <v>10.0</v>
      </c>
      <c r="G202" s="14"/>
      <c r="H202" s="14">
        <v>1.0</v>
      </c>
      <c r="I202" s="14">
        <v>46.0</v>
      </c>
      <c r="J202" s="14">
        <v>51.0</v>
      </c>
      <c r="K202" s="14">
        <f t="shared" si="1"/>
        <v>5</v>
      </c>
      <c r="L202" s="14">
        <v>5.0</v>
      </c>
      <c r="M202" s="14">
        <v>0.0</v>
      </c>
      <c r="N202" s="14">
        <v>0.0</v>
      </c>
      <c r="O202" s="14">
        <v>0.0</v>
      </c>
      <c r="P202" s="14">
        <v>3.0</v>
      </c>
      <c r="Q202" s="14">
        <v>0.0</v>
      </c>
      <c r="R202" s="14">
        <v>0.0</v>
      </c>
      <c r="S202" s="14"/>
      <c r="T202" s="31">
        <f t="shared" si="2"/>
        <v>8</v>
      </c>
      <c r="U202" s="23" t="s">
        <v>45</v>
      </c>
      <c r="V202" s="26"/>
      <c r="W202" s="23" t="s">
        <v>46</v>
      </c>
      <c r="Z202" s="14"/>
      <c r="AA202" s="14" t="str">
        <f t="shared" si="3"/>
        <v/>
      </c>
      <c r="AB202" s="14">
        <f t="shared" si="4"/>
        <v>0</v>
      </c>
      <c r="AC202" s="14">
        <f t="shared" si="5"/>
        <v>8</v>
      </c>
      <c r="AD202" s="14">
        <f t="shared" ref="AD202:AD205" si="32">IF(ISBLANK(W202),0,1)</f>
        <v>1</v>
      </c>
    </row>
    <row r="203" ht="15.75" customHeight="1">
      <c r="A203" s="14">
        <v>202.0</v>
      </c>
      <c r="B203" s="14" t="s">
        <v>628</v>
      </c>
      <c r="C203" s="14" t="s">
        <v>115</v>
      </c>
      <c r="D203" s="14">
        <v>11.0</v>
      </c>
      <c r="G203" s="14"/>
      <c r="H203" s="14">
        <v>1.0</v>
      </c>
      <c r="I203" s="14">
        <v>988.0</v>
      </c>
      <c r="J203" s="14">
        <v>1000.0</v>
      </c>
      <c r="K203" s="14">
        <f t="shared" si="1"/>
        <v>12</v>
      </c>
      <c r="L203" s="14">
        <v>12.0</v>
      </c>
      <c r="M203" s="23">
        <v>0.0</v>
      </c>
      <c r="N203" s="14">
        <v>0.0</v>
      </c>
      <c r="O203" s="14">
        <v>0.0</v>
      </c>
      <c r="P203" s="14">
        <v>3.0</v>
      </c>
      <c r="Q203" s="14">
        <v>0.0</v>
      </c>
      <c r="R203" s="14">
        <v>0.0</v>
      </c>
      <c r="S203" s="14"/>
      <c r="T203" s="31">
        <f t="shared" si="2"/>
        <v>15</v>
      </c>
      <c r="U203" s="14" t="s">
        <v>45</v>
      </c>
      <c r="V203" s="26"/>
      <c r="W203" s="14" t="s">
        <v>46</v>
      </c>
      <c r="Y203" s="23" t="s">
        <v>630</v>
      </c>
      <c r="Z203" s="14"/>
      <c r="AA203" s="14" t="str">
        <f t="shared" si="3"/>
        <v/>
      </c>
      <c r="AB203" s="14">
        <f t="shared" si="4"/>
        <v>0</v>
      </c>
      <c r="AC203" s="14">
        <f t="shared" si="5"/>
        <v>15</v>
      </c>
      <c r="AD203" s="14">
        <f t="shared" si="32"/>
        <v>1</v>
      </c>
    </row>
    <row r="204" ht="15.75" customHeight="1">
      <c r="A204" s="14">
        <v>203.0</v>
      </c>
      <c r="B204" s="14" t="s">
        <v>632</v>
      </c>
      <c r="C204" s="14" t="s">
        <v>115</v>
      </c>
      <c r="D204" s="14">
        <v>12.0</v>
      </c>
      <c r="G204" s="14"/>
      <c r="H204" s="14">
        <v>1.0</v>
      </c>
      <c r="I204" s="14">
        <v>620.0</v>
      </c>
      <c r="J204" s="14">
        <v>650.0</v>
      </c>
      <c r="K204" s="14">
        <f t="shared" si="1"/>
        <v>30</v>
      </c>
      <c r="L204" s="14">
        <v>30.0</v>
      </c>
      <c r="M204" s="14">
        <v>34.0</v>
      </c>
      <c r="N204" s="14">
        <v>0.0</v>
      </c>
      <c r="O204" s="14">
        <v>0.0</v>
      </c>
      <c r="P204" s="14">
        <v>3.0</v>
      </c>
      <c r="Q204" s="14">
        <v>0.0</v>
      </c>
      <c r="R204" s="14">
        <v>0.0</v>
      </c>
      <c r="S204" s="14"/>
      <c r="T204" s="31">
        <f t="shared" si="2"/>
        <v>67</v>
      </c>
      <c r="U204" s="14" t="s">
        <v>45</v>
      </c>
      <c r="V204" s="26"/>
      <c r="W204" s="14" t="s">
        <v>46</v>
      </c>
      <c r="X204" s="14"/>
      <c r="Y204" s="14"/>
      <c r="Z204" s="14"/>
      <c r="AA204" s="14" t="str">
        <f t="shared" si="3"/>
        <v/>
      </c>
      <c r="AB204" s="14">
        <f t="shared" si="4"/>
        <v>0</v>
      </c>
      <c r="AC204" s="14">
        <f t="shared" si="5"/>
        <v>67</v>
      </c>
      <c r="AD204" s="14">
        <f t="shared" si="32"/>
        <v>1</v>
      </c>
    </row>
    <row r="205" ht="15.75" customHeight="1">
      <c r="A205" s="14">
        <v>204.0</v>
      </c>
      <c r="B205" s="14" t="s">
        <v>635</v>
      </c>
      <c r="C205" s="14" t="s">
        <v>115</v>
      </c>
      <c r="D205" s="14">
        <v>13.0</v>
      </c>
      <c r="G205" s="14"/>
      <c r="H205" s="14">
        <v>1.0</v>
      </c>
      <c r="I205" s="14">
        <v>1264.0</v>
      </c>
      <c r="J205" s="14">
        <v>1272.0</v>
      </c>
      <c r="K205" s="14">
        <f t="shared" si="1"/>
        <v>8</v>
      </c>
      <c r="L205" s="14">
        <v>8.0</v>
      </c>
      <c r="M205" s="14">
        <v>0.0</v>
      </c>
      <c r="N205" s="14">
        <v>0.0</v>
      </c>
      <c r="O205" s="14">
        <v>0.0</v>
      </c>
      <c r="P205" s="14">
        <v>3.0</v>
      </c>
      <c r="Q205" s="14">
        <v>0.0</v>
      </c>
      <c r="R205" s="14">
        <v>0.0</v>
      </c>
      <c r="S205" s="14"/>
      <c r="T205" s="31">
        <f t="shared" si="2"/>
        <v>11</v>
      </c>
      <c r="U205" s="14" t="s">
        <v>45</v>
      </c>
      <c r="V205" s="26"/>
      <c r="W205" s="14" t="s">
        <v>46</v>
      </c>
      <c r="Z205" s="14"/>
      <c r="AA205" s="14" t="str">
        <f t="shared" si="3"/>
        <v/>
      </c>
      <c r="AB205" s="14">
        <f t="shared" si="4"/>
        <v>0</v>
      </c>
      <c r="AC205" s="14">
        <f t="shared" si="5"/>
        <v>11</v>
      </c>
      <c r="AD205" s="14">
        <f t="shared" si="32"/>
        <v>1</v>
      </c>
    </row>
    <row r="206" ht="15.75" hidden="1" customHeight="1">
      <c r="A206" s="14">
        <v>205.0</v>
      </c>
      <c r="B206" s="14" t="s">
        <v>637</v>
      </c>
      <c r="C206" s="14" t="s">
        <v>115</v>
      </c>
      <c r="D206" s="14">
        <v>14.0</v>
      </c>
      <c r="G206" s="14"/>
      <c r="H206" s="14">
        <v>1.0</v>
      </c>
      <c r="I206" s="14">
        <v>169.0</v>
      </c>
      <c r="J206" s="14">
        <v>188.0</v>
      </c>
      <c r="K206" s="14">
        <f t="shared" si="1"/>
        <v>19</v>
      </c>
      <c r="L206" s="14">
        <v>19.0</v>
      </c>
      <c r="M206" s="14">
        <v>0.0</v>
      </c>
      <c r="N206" s="14">
        <v>0.0</v>
      </c>
      <c r="O206" s="14">
        <v>0.0</v>
      </c>
      <c r="P206" s="14">
        <v>3.0</v>
      </c>
      <c r="Q206" s="36">
        <v>0.0</v>
      </c>
      <c r="R206" s="36">
        <v>30.0</v>
      </c>
      <c r="S206" s="14"/>
      <c r="T206" s="31">
        <f t="shared" si="2"/>
        <v>52</v>
      </c>
      <c r="U206" s="14"/>
      <c r="V206" s="26"/>
      <c r="W206" s="14"/>
      <c r="Z206" s="14"/>
      <c r="AA206" s="14" t="str">
        <f t="shared" si="3"/>
        <v/>
      </c>
      <c r="AB206" s="14">
        <f t="shared" si="4"/>
        <v>0</v>
      </c>
      <c r="AC206" s="14">
        <f t="shared" si="5"/>
        <v>0</v>
      </c>
      <c r="AD206" s="14"/>
    </row>
    <row r="207" ht="15.75" customHeight="1">
      <c r="A207" s="14">
        <v>206.0</v>
      </c>
      <c r="B207" s="14" t="s">
        <v>639</v>
      </c>
      <c r="C207" s="14" t="s">
        <v>115</v>
      </c>
      <c r="D207" s="14">
        <v>15.0</v>
      </c>
      <c r="E207" s="14"/>
      <c r="G207" s="14"/>
      <c r="H207" s="14">
        <v>1.0</v>
      </c>
      <c r="I207" s="14">
        <v>295.0</v>
      </c>
      <c r="J207" s="14">
        <v>325.0</v>
      </c>
      <c r="K207" s="14">
        <f t="shared" si="1"/>
        <v>30</v>
      </c>
      <c r="L207" s="14">
        <v>30.0</v>
      </c>
      <c r="M207" s="14">
        <v>26.0</v>
      </c>
      <c r="N207" s="14">
        <v>0.0</v>
      </c>
      <c r="O207" s="14">
        <v>0.0</v>
      </c>
      <c r="P207" s="14">
        <v>3.0</v>
      </c>
      <c r="Q207" s="36">
        <v>0.0</v>
      </c>
      <c r="R207" s="36">
        <v>30.0</v>
      </c>
      <c r="S207" s="14"/>
      <c r="T207" s="31">
        <f t="shared" si="2"/>
        <v>89</v>
      </c>
      <c r="U207" s="42" t="s">
        <v>45</v>
      </c>
      <c r="V207" s="26"/>
      <c r="W207" s="14"/>
      <c r="X207" s="14"/>
      <c r="Y207" s="14"/>
      <c r="Z207" s="14"/>
      <c r="AA207" s="14" t="str">
        <f t="shared" si="3"/>
        <v/>
      </c>
      <c r="AB207" s="14">
        <f t="shared" si="4"/>
        <v>89</v>
      </c>
      <c r="AC207" s="14">
        <f t="shared" si="5"/>
        <v>0</v>
      </c>
      <c r="AD207" s="14">
        <f t="shared" ref="AD207:AD211" si="33">IF(ISBLANK(W207),0,1)</f>
        <v>0</v>
      </c>
    </row>
    <row r="208" ht="15.75" customHeight="1">
      <c r="A208" s="23">
        <v>207.0</v>
      </c>
      <c r="B208" s="14" t="s">
        <v>644</v>
      </c>
      <c r="C208" s="14" t="s">
        <v>115</v>
      </c>
      <c r="D208" s="14">
        <v>17.0</v>
      </c>
      <c r="G208" s="14"/>
      <c r="H208" s="14">
        <v>1.0</v>
      </c>
      <c r="I208" s="14">
        <v>2296.0</v>
      </c>
      <c r="J208" s="14">
        <v>2314.0</v>
      </c>
      <c r="K208" s="14">
        <f t="shared" si="1"/>
        <v>18</v>
      </c>
      <c r="L208" s="14">
        <v>18.0</v>
      </c>
      <c r="M208" s="23">
        <v>0.0</v>
      </c>
      <c r="N208" s="14">
        <v>0.0</v>
      </c>
      <c r="O208" s="14">
        <v>0.0</v>
      </c>
      <c r="P208" s="14"/>
      <c r="Q208" s="14">
        <v>0.0</v>
      </c>
      <c r="R208" s="14">
        <v>0.0</v>
      </c>
      <c r="S208" s="23"/>
      <c r="T208" s="31">
        <f t="shared" si="2"/>
        <v>18</v>
      </c>
      <c r="U208" s="14" t="s">
        <v>45</v>
      </c>
      <c r="V208" s="26"/>
      <c r="W208" s="14" t="s">
        <v>46</v>
      </c>
      <c r="Y208" s="43" t="s">
        <v>646</v>
      </c>
      <c r="Z208" s="14"/>
      <c r="AA208" s="14" t="str">
        <f t="shared" si="3"/>
        <v/>
      </c>
      <c r="AB208" s="14">
        <f t="shared" si="4"/>
        <v>0</v>
      </c>
      <c r="AC208" s="14">
        <f t="shared" si="5"/>
        <v>18</v>
      </c>
      <c r="AD208" s="14">
        <f t="shared" si="33"/>
        <v>1</v>
      </c>
    </row>
    <row r="209" ht="15.75" customHeight="1">
      <c r="A209" s="14">
        <v>208.0</v>
      </c>
      <c r="B209" s="14" t="s">
        <v>647</v>
      </c>
      <c r="C209" s="14" t="s">
        <v>120</v>
      </c>
      <c r="D209" s="14">
        <v>1.0</v>
      </c>
      <c r="G209" s="14"/>
      <c r="H209" s="14">
        <v>1.0</v>
      </c>
      <c r="I209" s="14">
        <v>2691.0</v>
      </c>
      <c r="J209" s="14">
        <v>2699.0</v>
      </c>
      <c r="K209" s="14">
        <f t="shared" si="1"/>
        <v>8</v>
      </c>
      <c r="L209" s="14">
        <v>8.0</v>
      </c>
      <c r="M209" s="14">
        <v>0.0</v>
      </c>
      <c r="N209" s="14">
        <v>0.0</v>
      </c>
      <c r="O209" s="14">
        <v>0.0</v>
      </c>
      <c r="P209" s="14">
        <v>3.0</v>
      </c>
      <c r="Q209" s="14">
        <v>0.0</v>
      </c>
      <c r="R209" s="14">
        <v>0.0</v>
      </c>
      <c r="S209" s="14"/>
      <c r="T209" s="31">
        <f t="shared" si="2"/>
        <v>11</v>
      </c>
      <c r="U209" s="23" t="s">
        <v>52</v>
      </c>
      <c r="V209" s="26"/>
      <c r="W209" s="23" t="s">
        <v>186</v>
      </c>
      <c r="Z209" s="14"/>
      <c r="AA209" s="14" t="str">
        <f t="shared" si="3"/>
        <v/>
      </c>
      <c r="AB209" s="14">
        <f t="shared" si="4"/>
        <v>0</v>
      </c>
      <c r="AC209" s="14">
        <f t="shared" si="5"/>
        <v>11</v>
      </c>
      <c r="AD209" s="14">
        <f t="shared" si="33"/>
        <v>1</v>
      </c>
    </row>
    <row r="210" ht="15.75" customHeight="1">
      <c r="A210" s="14">
        <v>209.0</v>
      </c>
      <c r="B210" s="14" t="s">
        <v>650</v>
      </c>
      <c r="C210" s="14" t="s">
        <v>120</v>
      </c>
      <c r="D210" s="14">
        <v>2.0</v>
      </c>
      <c r="G210" s="14"/>
      <c r="H210" s="14">
        <v>1.0</v>
      </c>
      <c r="I210" s="14">
        <v>4224.0</v>
      </c>
      <c r="J210" s="14">
        <v>4242.0</v>
      </c>
      <c r="K210" s="14">
        <f t="shared" si="1"/>
        <v>18</v>
      </c>
      <c r="L210" s="14">
        <v>18.0</v>
      </c>
      <c r="M210" s="14">
        <v>0.0</v>
      </c>
      <c r="N210" s="14">
        <v>0.0</v>
      </c>
      <c r="O210" s="14">
        <v>0.0</v>
      </c>
      <c r="P210" s="14">
        <v>3.0</v>
      </c>
      <c r="Q210" s="14">
        <v>0.0</v>
      </c>
      <c r="R210" s="14">
        <v>0.0</v>
      </c>
      <c r="S210" s="14"/>
      <c r="T210" s="31">
        <f t="shared" si="2"/>
        <v>21</v>
      </c>
      <c r="U210" s="14" t="s">
        <v>45</v>
      </c>
      <c r="V210" s="26"/>
      <c r="W210" s="14" t="s">
        <v>46</v>
      </c>
      <c r="Z210" s="14"/>
      <c r="AA210" s="14" t="str">
        <f t="shared" si="3"/>
        <v/>
      </c>
      <c r="AB210" s="14">
        <f t="shared" si="4"/>
        <v>0</v>
      </c>
      <c r="AC210" s="14">
        <f t="shared" si="5"/>
        <v>21</v>
      </c>
      <c r="AD210" s="14">
        <f t="shared" si="33"/>
        <v>1</v>
      </c>
    </row>
    <row r="211" ht="15.75" customHeight="1">
      <c r="A211" s="14">
        <v>210.0</v>
      </c>
      <c r="B211" s="14" t="s">
        <v>652</v>
      </c>
      <c r="C211" s="14" t="s">
        <v>120</v>
      </c>
      <c r="D211" s="14">
        <v>3.0</v>
      </c>
      <c r="G211" s="14"/>
      <c r="H211" s="14">
        <v>1.0</v>
      </c>
      <c r="I211" s="14">
        <v>3255.0</v>
      </c>
      <c r="J211" s="14">
        <v>3263.0</v>
      </c>
      <c r="K211" s="14">
        <f t="shared" si="1"/>
        <v>8</v>
      </c>
      <c r="L211" s="14">
        <v>8.0</v>
      </c>
      <c r="M211" s="14">
        <v>11.0</v>
      </c>
      <c r="N211" s="14">
        <v>0.0</v>
      </c>
      <c r="O211" s="14">
        <v>0.0</v>
      </c>
      <c r="P211" s="14">
        <v>3.0</v>
      </c>
      <c r="Q211" s="14">
        <v>0.0</v>
      </c>
      <c r="R211" s="14">
        <v>0.0</v>
      </c>
      <c r="S211" s="14"/>
      <c r="T211" s="31">
        <f t="shared" si="2"/>
        <v>22</v>
      </c>
      <c r="U211" s="14" t="s">
        <v>45</v>
      </c>
      <c r="V211" s="26"/>
      <c r="W211" s="14" t="s">
        <v>46</v>
      </c>
      <c r="Z211" s="14"/>
      <c r="AA211" s="14" t="str">
        <f t="shared" si="3"/>
        <v/>
      </c>
      <c r="AB211" s="14">
        <f t="shared" si="4"/>
        <v>0</v>
      </c>
      <c r="AC211" s="14">
        <f t="shared" si="5"/>
        <v>22</v>
      </c>
      <c r="AD211" s="14">
        <f t="shared" si="33"/>
        <v>1</v>
      </c>
    </row>
    <row r="212" ht="15.75" customHeight="1">
      <c r="A212" s="14">
        <v>211.0</v>
      </c>
      <c r="B212" s="14" t="s">
        <v>654</v>
      </c>
      <c r="C212" s="14" t="s">
        <v>120</v>
      </c>
      <c r="D212" s="14">
        <v>4.0</v>
      </c>
      <c r="G212" s="14"/>
      <c r="H212" s="14">
        <v>1.0</v>
      </c>
      <c r="I212" s="14">
        <v>2508.0</v>
      </c>
      <c r="J212" s="14">
        <v>2517.0</v>
      </c>
      <c r="K212" s="14">
        <f t="shared" si="1"/>
        <v>9</v>
      </c>
      <c r="L212" s="14">
        <v>9.0</v>
      </c>
      <c r="M212" s="14">
        <v>0.0</v>
      </c>
      <c r="N212" s="14">
        <v>0.0</v>
      </c>
      <c r="O212" s="14">
        <v>0.0</v>
      </c>
      <c r="P212" s="14">
        <v>3.0</v>
      </c>
      <c r="Q212" s="36">
        <v>0.0</v>
      </c>
      <c r="R212" s="36">
        <v>30.0</v>
      </c>
      <c r="S212" s="14"/>
      <c r="T212" s="31">
        <f t="shared" si="2"/>
        <v>42</v>
      </c>
      <c r="U212" s="14" t="s">
        <v>45</v>
      </c>
      <c r="V212" s="26"/>
      <c r="W212" s="14" t="s">
        <v>46</v>
      </c>
      <c r="X212" s="14"/>
      <c r="Y212" s="14"/>
      <c r="Z212" s="14"/>
      <c r="AA212" s="14" t="str">
        <f t="shared" si="3"/>
        <v/>
      </c>
      <c r="AB212" s="14">
        <f t="shared" si="4"/>
        <v>0</v>
      </c>
      <c r="AC212" s="14">
        <f t="shared" si="5"/>
        <v>42</v>
      </c>
      <c r="AD212" s="14"/>
    </row>
    <row r="213" ht="15.75" customHeight="1">
      <c r="A213" s="14">
        <v>212.0</v>
      </c>
      <c r="B213" s="14" t="s">
        <v>656</v>
      </c>
      <c r="C213" s="14" t="s">
        <v>120</v>
      </c>
      <c r="D213" s="14">
        <v>5.0</v>
      </c>
      <c r="G213" s="14"/>
      <c r="H213" s="14">
        <v>1.0</v>
      </c>
      <c r="I213" s="14">
        <v>323.0</v>
      </c>
      <c r="J213" s="14">
        <v>328.0</v>
      </c>
      <c r="K213" s="14">
        <f t="shared" si="1"/>
        <v>5</v>
      </c>
      <c r="L213" s="14">
        <v>5.0</v>
      </c>
      <c r="M213" s="14">
        <v>0.0</v>
      </c>
      <c r="N213" s="14">
        <v>0.0</v>
      </c>
      <c r="O213" s="23">
        <v>20.0</v>
      </c>
      <c r="P213" s="14">
        <v>3.0</v>
      </c>
      <c r="Q213" s="36">
        <v>0.0</v>
      </c>
      <c r="R213" s="36">
        <v>30.0</v>
      </c>
      <c r="S213" s="14"/>
      <c r="T213" s="31">
        <f t="shared" si="2"/>
        <v>58</v>
      </c>
      <c r="U213" s="42" t="s">
        <v>45</v>
      </c>
      <c r="V213" s="26"/>
      <c r="W213" s="14"/>
      <c r="Y213" s="23" t="s">
        <v>658</v>
      </c>
      <c r="Z213" s="14"/>
      <c r="AA213" s="14" t="str">
        <f t="shared" si="3"/>
        <v/>
      </c>
      <c r="AB213" s="14">
        <f t="shared" si="4"/>
        <v>58</v>
      </c>
      <c r="AC213" s="14">
        <f t="shared" si="5"/>
        <v>0</v>
      </c>
      <c r="AD213" s="14">
        <f t="shared" ref="AD213:AD214" si="34">IF(ISBLANK(W213),0,1)</f>
        <v>0</v>
      </c>
    </row>
    <row r="214" ht="15.75" customHeight="1">
      <c r="A214" s="14">
        <v>213.0</v>
      </c>
      <c r="B214" s="14" t="s">
        <v>660</v>
      </c>
      <c r="C214" s="14" t="s">
        <v>120</v>
      </c>
      <c r="D214" s="14">
        <v>6.0</v>
      </c>
      <c r="G214" s="14"/>
      <c r="H214" s="14">
        <v>1.0</v>
      </c>
      <c r="I214" s="14">
        <v>3705.0</v>
      </c>
      <c r="J214" s="14">
        <v>3727.0</v>
      </c>
      <c r="K214" s="14">
        <f t="shared" si="1"/>
        <v>22</v>
      </c>
      <c r="L214" s="14">
        <v>22.0</v>
      </c>
      <c r="M214" s="14">
        <v>0.0</v>
      </c>
      <c r="N214" s="14">
        <v>0.0</v>
      </c>
      <c r="O214" s="14">
        <v>0.0</v>
      </c>
      <c r="P214" s="14">
        <v>3.0</v>
      </c>
      <c r="Q214" s="36">
        <v>0.0</v>
      </c>
      <c r="R214" s="36">
        <v>30.0</v>
      </c>
      <c r="S214" s="14"/>
      <c r="T214" s="31">
        <f t="shared" si="2"/>
        <v>55</v>
      </c>
      <c r="U214" s="68" t="s">
        <v>45</v>
      </c>
      <c r="V214" s="26"/>
      <c r="W214" s="14"/>
      <c r="Y214" s="43" t="s">
        <v>662</v>
      </c>
      <c r="Z214" s="14"/>
      <c r="AA214" s="14" t="str">
        <f t="shared" si="3"/>
        <v/>
      </c>
      <c r="AB214" s="14">
        <f t="shared" si="4"/>
        <v>55</v>
      </c>
      <c r="AC214" s="14">
        <f t="shared" si="5"/>
        <v>0</v>
      </c>
      <c r="AD214" s="14">
        <f t="shared" si="34"/>
        <v>0</v>
      </c>
    </row>
    <row r="215" ht="15.75" hidden="1" customHeight="1">
      <c r="A215" s="14">
        <v>214.0</v>
      </c>
      <c r="B215" s="14" t="s">
        <v>663</v>
      </c>
      <c r="C215" s="14" t="s">
        <v>120</v>
      </c>
      <c r="D215" s="14">
        <v>7.0</v>
      </c>
      <c r="G215" s="14"/>
      <c r="H215" s="14">
        <v>1.0</v>
      </c>
      <c r="I215" s="14">
        <v>2335.0</v>
      </c>
      <c r="J215" s="14">
        <v>2343.0</v>
      </c>
      <c r="K215" s="14">
        <f t="shared" si="1"/>
        <v>8</v>
      </c>
      <c r="L215" s="14">
        <v>8.0</v>
      </c>
      <c r="M215" s="14">
        <v>0.0</v>
      </c>
      <c r="N215" s="14">
        <v>0.0</v>
      </c>
      <c r="O215" s="14">
        <v>0.0</v>
      </c>
      <c r="P215" s="14">
        <v>3.0</v>
      </c>
      <c r="Q215" s="14">
        <v>0.0</v>
      </c>
      <c r="R215" s="14">
        <v>0.0</v>
      </c>
      <c r="S215" s="14"/>
      <c r="T215" s="31">
        <f t="shared" si="2"/>
        <v>11</v>
      </c>
      <c r="U215" s="14"/>
      <c r="V215" s="26"/>
      <c r="W215" s="14"/>
      <c r="Z215" s="14"/>
      <c r="AA215" s="14" t="str">
        <f t="shared" si="3"/>
        <v/>
      </c>
      <c r="AB215" s="14">
        <f t="shared" si="4"/>
        <v>0</v>
      </c>
      <c r="AC215" s="14">
        <f t="shared" si="5"/>
        <v>0</v>
      </c>
      <c r="AD215" s="14"/>
    </row>
    <row r="216" ht="15.75" customHeight="1">
      <c r="A216" s="14">
        <v>215.0</v>
      </c>
      <c r="B216" s="14" t="s">
        <v>667</v>
      </c>
      <c r="C216" s="14" t="s">
        <v>120</v>
      </c>
      <c r="D216" s="14">
        <v>8.0</v>
      </c>
      <c r="G216" s="14"/>
      <c r="H216" s="14">
        <v>1.0</v>
      </c>
      <c r="I216" s="14">
        <v>2286.0</v>
      </c>
      <c r="J216" s="14">
        <v>2296.0</v>
      </c>
      <c r="K216" s="14">
        <f t="shared" si="1"/>
        <v>10</v>
      </c>
      <c r="L216" s="14">
        <v>10.0</v>
      </c>
      <c r="M216" s="14">
        <v>0.0</v>
      </c>
      <c r="N216" s="14">
        <v>0.0</v>
      </c>
      <c r="O216" s="14">
        <v>0.0</v>
      </c>
      <c r="P216" s="14">
        <v>3.0</v>
      </c>
      <c r="Q216" s="14">
        <v>0.0</v>
      </c>
      <c r="R216" s="14">
        <v>0.0</v>
      </c>
      <c r="S216" s="14"/>
      <c r="T216" s="31">
        <f t="shared" si="2"/>
        <v>13</v>
      </c>
      <c r="U216" s="14" t="s">
        <v>45</v>
      </c>
      <c r="V216" s="26"/>
      <c r="W216" s="14" t="s">
        <v>46</v>
      </c>
      <c r="Z216" s="14"/>
      <c r="AA216" s="14" t="str">
        <f t="shared" si="3"/>
        <v/>
      </c>
      <c r="AB216" s="14">
        <f t="shared" si="4"/>
        <v>0</v>
      </c>
      <c r="AC216" s="14">
        <f t="shared" si="5"/>
        <v>13</v>
      </c>
      <c r="AD216" s="14">
        <f t="shared" ref="AD216:AD220" si="35">IF(ISBLANK(W216),0,1)</f>
        <v>1</v>
      </c>
    </row>
    <row r="217" ht="15.75" hidden="1" customHeight="1">
      <c r="A217" s="14">
        <v>216.0</v>
      </c>
      <c r="B217" s="14" t="s">
        <v>669</v>
      </c>
      <c r="C217" s="14" t="s">
        <v>120</v>
      </c>
      <c r="D217" s="14">
        <v>10.0</v>
      </c>
      <c r="G217" s="14"/>
      <c r="H217" s="14">
        <v>1.0</v>
      </c>
      <c r="I217" s="14">
        <v>950.0</v>
      </c>
      <c r="J217" s="14">
        <v>962.0</v>
      </c>
      <c r="K217" s="14">
        <f t="shared" si="1"/>
        <v>12</v>
      </c>
      <c r="L217" s="14">
        <v>12.0</v>
      </c>
      <c r="M217" s="14">
        <v>0.0</v>
      </c>
      <c r="N217" s="14">
        <v>0.0</v>
      </c>
      <c r="O217" s="14">
        <v>0.0</v>
      </c>
      <c r="P217" s="14">
        <v>3.0</v>
      </c>
      <c r="Q217" s="36">
        <v>0.0</v>
      </c>
      <c r="R217" s="36">
        <v>30.0</v>
      </c>
      <c r="S217" s="14"/>
      <c r="T217" s="31">
        <f t="shared" si="2"/>
        <v>45</v>
      </c>
      <c r="U217" s="14"/>
      <c r="V217" s="26"/>
      <c r="W217" s="14"/>
      <c r="Z217" s="14"/>
      <c r="AA217" s="14" t="str">
        <f t="shared" si="3"/>
        <v/>
      </c>
      <c r="AB217" s="14">
        <f t="shared" si="4"/>
        <v>0</v>
      </c>
      <c r="AC217" s="14">
        <f t="shared" si="5"/>
        <v>0</v>
      </c>
      <c r="AD217" s="14">
        <f t="shared" si="35"/>
        <v>0</v>
      </c>
    </row>
    <row r="218" ht="15.75" customHeight="1">
      <c r="A218" s="14">
        <v>217.0</v>
      </c>
      <c r="B218" s="14" t="s">
        <v>670</v>
      </c>
      <c r="C218" s="14" t="s">
        <v>120</v>
      </c>
      <c r="D218" s="14">
        <v>11.0</v>
      </c>
      <c r="G218" s="14"/>
      <c r="H218" s="14">
        <v>1.0</v>
      </c>
      <c r="I218" s="14">
        <v>1708.0</v>
      </c>
      <c r="J218" s="14">
        <v>1720.0</v>
      </c>
      <c r="K218" s="14">
        <f t="shared" si="1"/>
        <v>12</v>
      </c>
      <c r="L218" s="14">
        <v>12.0</v>
      </c>
      <c r="M218" s="14">
        <v>8.0</v>
      </c>
      <c r="N218" s="14">
        <v>0.0</v>
      </c>
      <c r="O218" s="14">
        <v>0.0</v>
      </c>
      <c r="P218" s="14">
        <v>3.0</v>
      </c>
      <c r="Q218" s="14">
        <v>0.0</v>
      </c>
      <c r="R218" s="14">
        <v>0.0</v>
      </c>
      <c r="S218" s="14"/>
      <c r="T218" s="31">
        <f t="shared" si="2"/>
        <v>23</v>
      </c>
      <c r="U218" s="42" t="s">
        <v>45</v>
      </c>
      <c r="V218" s="26"/>
      <c r="W218" s="14"/>
      <c r="Z218" s="14"/>
      <c r="AA218" s="14" t="str">
        <f t="shared" si="3"/>
        <v/>
      </c>
      <c r="AB218" s="14">
        <f t="shared" si="4"/>
        <v>23</v>
      </c>
      <c r="AC218" s="14">
        <f t="shared" si="5"/>
        <v>0</v>
      </c>
      <c r="AD218" s="14">
        <f t="shared" si="35"/>
        <v>0</v>
      </c>
    </row>
    <row r="219" ht="15.75" customHeight="1">
      <c r="A219" s="14">
        <v>218.0</v>
      </c>
      <c r="B219" s="14" t="s">
        <v>673</v>
      </c>
      <c r="C219" s="14" t="s">
        <v>120</v>
      </c>
      <c r="D219" s="14">
        <v>12.0</v>
      </c>
      <c r="G219" s="14"/>
      <c r="H219" s="14">
        <v>1.0</v>
      </c>
      <c r="I219" s="14">
        <v>4611.0</v>
      </c>
      <c r="J219" s="14">
        <v>4619.0</v>
      </c>
      <c r="K219" s="14">
        <f t="shared" si="1"/>
        <v>8</v>
      </c>
      <c r="L219" s="14">
        <v>8.0</v>
      </c>
      <c r="M219" s="14">
        <v>0.0</v>
      </c>
      <c r="N219" s="14">
        <v>0.0</v>
      </c>
      <c r="O219" s="14">
        <v>0.0</v>
      </c>
      <c r="P219" s="14">
        <v>3.0</v>
      </c>
      <c r="Q219" s="36">
        <v>0.0</v>
      </c>
      <c r="R219" s="36">
        <v>30.0</v>
      </c>
      <c r="S219" s="14"/>
      <c r="T219" s="31">
        <f t="shared" si="2"/>
        <v>41</v>
      </c>
      <c r="U219" s="68" t="s">
        <v>45</v>
      </c>
      <c r="V219" s="26"/>
      <c r="W219" s="14"/>
      <c r="Y219" s="43" t="s">
        <v>674</v>
      </c>
      <c r="Z219" s="14"/>
      <c r="AA219" s="14" t="str">
        <f t="shared" si="3"/>
        <v/>
      </c>
      <c r="AB219" s="14">
        <f t="shared" si="4"/>
        <v>41</v>
      </c>
      <c r="AC219" s="14">
        <f t="shared" si="5"/>
        <v>0</v>
      </c>
      <c r="AD219" s="14">
        <f t="shared" si="35"/>
        <v>0</v>
      </c>
    </row>
    <row r="220" ht="15.75" customHeight="1">
      <c r="A220" s="14">
        <v>219.0</v>
      </c>
      <c r="B220" s="14" t="s">
        <v>676</v>
      </c>
      <c r="C220" s="14" t="s">
        <v>120</v>
      </c>
      <c r="D220" s="14">
        <v>13.0</v>
      </c>
      <c r="G220" s="14"/>
      <c r="H220" s="14">
        <v>1.0</v>
      </c>
      <c r="I220" s="14">
        <v>1402.0</v>
      </c>
      <c r="J220" s="14">
        <v>1407.0</v>
      </c>
      <c r="K220" s="14">
        <f t="shared" si="1"/>
        <v>5</v>
      </c>
      <c r="L220" s="14">
        <v>5.0</v>
      </c>
      <c r="M220" s="14">
        <v>0.0</v>
      </c>
      <c r="N220" s="14">
        <v>0.0</v>
      </c>
      <c r="O220" s="14">
        <v>0.0</v>
      </c>
      <c r="P220" s="14">
        <v>3.0</v>
      </c>
      <c r="Q220" s="36">
        <v>0.0</v>
      </c>
      <c r="R220" s="36">
        <v>30.0</v>
      </c>
      <c r="S220" s="14"/>
      <c r="T220" s="31">
        <f t="shared" si="2"/>
        <v>38</v>
      </c>
      <c r="U220" s="14" t="s">
        <v>45</v>
      </c>
      <c r="V220" s="26"/>
      <c r="W220" s="14" t="s">
        <v>46</v>
      </c>
      <c r="Z220" s="14"/>
      <c r="AA220" s="14" t="str">
        <f t="shared" si="3"/>
        <v/>
      </c>
      <c r="AB220" s="14">
        <f t="shared" si="4"/>
        <v>0</v>
      </c>
      <c r="AC220" s="14">
        <f t="shared" si="5"/>
        <v>38</v>
      </c>
      <c r="AD220" s="14">
        <f t="shared" si="35"/>
        <v>1</v>
      </c>
    </row>
    <row r="221" ht="15.75" customHeight="1">
      <c r="A221" s="14">
        <v>220.0</v>
      </c>
      <c r="B221" s="14" t="s">
        <v>677</v>
      </c>
      <c r="C221" s="14" t="s">
        <v>120</v>
      </c>
      <c r="D221" s="14">
        <v>14.0</v>
      </c>
      <c r="G221" s="14"/>
      <c r="H221" s="14">
        <v>1.0</v>
      </c>
      <c r="I221" s="14">
        <v>4412.0</v>
      </c>
      <c r="J221" s="14">
        <v>4432.0</v>
      </c>
      <c r="K221" s="14">
        <f t="shared" si="1"/>
        <v>20</v>
      </c>
      <c r="L221" s="14">
        <v>20.0</v>
      </c>
      <c r="M221" s="14">
        <v>0.0</v>
      </c>
      <c r="N221" s="14">
        <v>0.0</v>
      </c>
      <c r="O221" s="14">
        <v>0.0</v>
      </c>
      <c r="P221" s="14">
        <v>3.0</v>
      </c>
      <c r="Q221" s="14">
        <v>0.0</v>
      </c>
      <c r="R221" s="14">
        <v>0.0</v>
      </c>
      <c r="S221" s="14"/>
      <c r="T221" s="31">
        <f t="shared" si="2"/>
        <v>23</v>
      </c>
      <c r="U221" s="42" t="s">
        <v>45</v>
      </c>
      <c r="V221" s="26"/>
      <c r="W221" s="14"/>
      <c r="Z221" s="14"/>
      <c r="AA221" s="14" t="str">
        <f t="shared" si="3"/>
        <v/>
      </c>
      <c r="AB221" s="14">
        <f t="shared" si="4"/>
        <v>23</v>
      </c>
      <c r="AC221" s="14">
        <f t="shared" si="5"/>
        <v>0</v>
      </c>
      <c r="AD221" s="14"/>
    </row>
    <row r="222" ht="15.75" customHeight="1">
      <c r="A222" s="14">
        <v>221.0</v>
      </c>
      <c r="B222" s="14" t="s">
        <v>680</v>
      </c>
      <c r="C222" s="14" t="s">
        <v>120</v>
      </c>
      <c r="D222" s="14">
        <v>15.0</v>
      </c>
      <c r="G222" s="14"/>
      <c r="H222" s="14">
        <v>1.0</v>
      </c>
      <c r="I222" s="14">
        <v>2377.0</v>
      </c>
      <c r="J222" s="14">
        <v>2386.0</v>
      </c>
      <c r="K222" s="14">
        <f t="shared" si="1"/>
        <v>9</v>
      </c>
      <c r="L222" s="14">
        <v>9.0</v>
      </c>
      <c r="M222" s="14">
        <v>0.0</v>
      </c>
      <c r="N222" s="14">
        <v>0.0</v>
      </c>
      <c r="O222" s="14">
        <v>0.0</v>
      </c>
      <c r="P222" s="14">
        <v>3.0</v>
      </c>
      <c r="Q222" s="36">
        <v>0.0</v>
      </c>
      <c r="R222" s="36">
        <v>30.0</v>
      </c>
      <c r="S222" s="14"/>
      <c r="T222" s="31">
        <f t="shared" si="2"/>
        <v>42</v>
      </c>
      <c r="U222" s="14" t="s">
        <v>45</v>
      </c>
      <c r="V222" s="26"/>
      <c r="W222" s="14" t="s">
        <v>46</v>
      </c>
      <c r="Z222" s="14"/>
      <c r="AA222" s="14" t="str">
        <f t="shared" si="3"/>
        <v/>
      </c>
      <c r="AB222" s="14">
        <f t="shared" si="4"/>
        <v>0</v>
      </c>
      <c r="AC222" s="14">
        <f t="shared" si="5"/>
        <v>42</v>
      </c>
      <c r="AD222" s="14">
        <f t="shared" ref="AD222:AD224" si="36">IF(ISBLANK(W222),0,1)</f>
        <v>1</v>
      </c>
    </row>
    <row r="223" ht="15.75" customHeight="1">
      <c r="A223" s="14">
        <v>222.0</v>
      </c>
      <c r="B223" s="14" t="s">
        <v>681</v>
      </c>
      <c r="C223" s="14" t="s">
        <v>124</v>
      </c>
      <c r="D223" s="14">
        <v>1.0</v>
      </c>
      <c r="G223" s="14"/>
      <c r="H223" s="14">
        <v>1.0</v>
      </c>
      <c r="I223" s="14">
        <v>3084.0</v>
      </c>
      <c r="J223" s="14">
        <v>3106.0</v>
      </c>
      <c r="K223" s="14">
        <f t="shared" si="1"/>
        <v>22</v>
      </c>
      <c r="L223" s="14">
        <v>22.0</v>
      </c>
      <c r="M223" s="14">
        <v>0.0</v>
      </c>
      <c r="N223" s="14">
        <v>0.0</v>
      </c>
      <c r="O223" s="14">
        <v>0.0</v>
      </c>
      <c r="P223" s="14">
        <v>3.0</v>
      </c>
      <c r="Q223" s="14">
        <v>0.0</v>
      </c>
      <c r="R223" s="14">
        <v>0.0</v>
      </c>
      <c r="S223" s="14"/>
      <c r="T223" s="31">
        <f t="shared" si="2"/>
        <v>25</v>
      </c>
      <c r="U223" s="23" t="s">
        <v>45</v>
      </c>
      <c r="V223" s="26"/>
      <c r="W223" s="23" t="s">
        <v>46</v>
      </c>
      <c r="Y223" s="43" t="s">
        <v>684</v>
      </c>
      <c r="Z223" s="14"/>
      <c r="AA223" s="14" t="str">
        <f t="shared" si="3"/>
        <v/>
      </c>
      <c r="AB223" s="14">
        <f t="shared" si="4"/>
        <v>0</v>
      </c>
      <c r="AC223" s="14">
        <f t="shared" si="5"/>
        <v>25</v>
      </c>
      <c r="AD223" s="14">
        <f t="shared" si="36"/>
        <v>1</v>
      </c>
    </row>
    <row r="224" ht="15.75" customHeight="1">
      <c r="A224" s="14">
        <v>223.0</v>
      </c>
      <c r="B224" s="14" t="s">
        <v>685</v>
      </c>
      <c r="C224" s="14" t="s">
        <v>124</v>
      </c>
      <c r="D224" s="14">
        <v>2.0</v>
      </c>
      <c r="G224" s="14"/>
      <c r="H224" s="14">
        <v>1.0</v>
      </c>
      <c r="I224" s="14">
        <v>3066.0</v>
      </c>
      <c r="J224" s="14">
        <v>3077.0</v>
      </c>
      <c r="K224" s="14">
        <f t="shared" si="1"/>
        <v>11</v>
      </c>
      <c r="L224" s="14">
        <v>11.0</v>
      </c>
      <c r="M224" s="14">
        <v>0.0</v>
      </c>
      <c r="N224" s="14">
        <v>0.0</v>
      </c>
      <c r="O224" s="14">
        <v>0.0</v>
      </c>
      <c r="P224" s="14">
        <v>3.0</v>
      </c>
      <c r="Q224" s="14">
        <v>0.0</v>
      </c>
      <c r="R224" s="14">
        <v>0.0</v>
      </c>
      <c r="S224" s="14"/>
      <c r="T224" s="31">
        <f t="shared" si="2"/>
        <v>14</v>
      </c>
      <c r="U224" s="14" t="s">
        <v>45</v>
      </c>
      <c r="V224" s="26"/>
      <c r="W224" s="14" t="s">
        <v>46</v>
      </c>
      <c r="Z224" s="14"/>
      <c r="AA224" s="14" t="str">
        <f t="shared" si="3"/>
        <v/>
      </c>
      <c r="AB224" s="14">
        <f t="shared" si="4"/>
        <v>0</v>
      </c>
      <c r="AC224" s="14">
        <f t="shared" si="5"/>
        <v>14</v>
      </c>
      <c r="AD224" s="14">
        <f t="shared" si="36"/>
        <v>1</v>
      </c>
    </row>
    <row r="225" ht="15.75" customHeight="1">
      <c r="A225" s="14">
        <v>224.0</v>
      </c>
      <c r="B225" s="14" t="s">
        <v>687</v>
      </c>
      <c r="C225" s="14" t="s">
        <v>124</v>
      </c>
      <c r="D225" s="14">
        <v>3.0</v>
      </c>
      <c r="G225" s="14"/>
      <c r="H225" s="14">
        <v>1.0</v>
      </c>
      <c r="I225" s="14">
        <v>1171.0</v>
      </c>
      <c r="J225" s="14">
        <v>1172.0</v>
      </c>
      <c r="K225" s="14">
        <f t="shared" si="1"/>
        <v>1</v>
      </c>
      <c r="L225" s="14">
        <v>5.0</v>
      </c>
      <c r="M225" s="14">
        <v>0.0</v>
      </c>
      <c r="N225" s="14">
        <v>0.0</v>
      </c>
      <c r="O225" s="14">
        <v>0.0</v>
      </c>
      <c r="P225" s="14">
        <v>3.0</v>
      </c>
      <c r="Q225" s="14">
        <v>0.0</v>
      </c>
      <c r="R225" s="14">
        <v>0.0</v>
      </c>
      <c r="S225" s="14"/>
      <c r="T225" s="31">
        <f t="shared" si="2"/>
        <v>8</v>
      </c>
      <c r="U225" s="42" t="s">
        <v>45</v>
      </c>
      <c r="W225" s="14"/>
      <c r="Z225" s="14"/>
      <c r="AA225" s="14" t="str">
        <f t="shared" si="3"/>
        <v/>
      </c>
      <c r="AB225" s="14">
        <f t="shared" si="4"/>
        <v>8</v>
      </c>
      <c r="AC225" s="14">
        <f t="shared" si="5"/>
        <v>0</v>
      </c>
      <c r="AD225" s="14"/>
    </row>
    <row r="226" ht="15.75" hidden="1" customHeight="1">
      <c r="A226" s="14">
        <v>225.0</v>
      </c>
      <c r="B226" s="14" t="s">
        <v>690</v>
      </c>
      <c r="C226" s="14" t="s">
        <v>124</v>
      </c>
      <c r="D226" s="14">
        <v>4.0</v>
      </c>
      <c r="G226" s="14"/>
      <c r="H226" s="14">
        <v>1.0</v>
      </c>
      <c r="I226" s="14">
        <v>2959.0</v>
      </c>
      <c r="J226" s="14">
        <v>2967.0</v>
      </c>
      <c r="K226" s="14">
        <f t="shared" si="1"/>
        <v>8</v>
      </c>
      <c r="L226" s="14">
        <v>8.0</v>
      </c>
      <c r="M226" s="14">
        <v>0.0</v>
      </c>
      <c r="N226" s="14">
        <v>0.0</v>
      </c>
      <c r="O226" s="14">
        <v>0.0</v>
      </c>
      <c r="P226" s="14">
        <v>3.0</v>
      </c>
      <c r="Q226" s="14">
        <v>0.0</v>
      </c>
      <c r="R226" s="14">
        <v>0.0</v>
      </c>
      <c r="S226" s="14"/>
      <c r="T226" s="31">
        <f t="shared" si="2"/>
        <v>11</v>
      </c>
      <c r="U226" s="14"/>
      <c r="V226" s="26"/>
      <c r="W226" s="14"/>
      <c r="Z226" s="14"/>
      <c r="AA226" s="14" t="str">
        <f t="shared" si="3"/>
        <v/>
      </c>
      <c r="AB226" s="14">
        <f t="shared" si="4"/>
        <v>0</v>
      </c>
      <c r="AC226" s="14">
        <f t="shared" si="5"/>
        <v>0</v>
      </c>
      <c r="AD226" s="14">
        <f t="shared" ref="AD226:AD230" si="37">IF(ISBLANK(W226),0,1)</f>
        <v>0</v>
      </c>
    </row>
    <row r="227" ht="15.75" customHeight="1">
      <c r="A227" s="14">
        <v>226.0</v>
      </c>
      <c r="B227" s="14" t="s">
        <v>692</v>
      </c>
      <c r="C227" s="14" t="s">
        <v>124</v>
      </c>
      <c r="D227" s="14">
        <v>5.0</v>
      </c>
      <c r="E227" s="14"/>
      <c r="G227" s="14"/>
      <c r="H227" s="14">
        <v>1.0</v>
      </c>
      <c r="I227" s="14">
        <v>214.0</v>
      </c>
      <c r="J227" s="14">
        <v>222.0</v>
      </c>
      <c r="K227" s="14">
        <f t="shared" si="1"/>
        <v>8</v>
      </c>
      <c r="L227" s="14">
        <v>8.0</v>
      </c>
      <c r="M227" s="14">
        <v>10.0</v>
      </c>
      <c r="N227" s="14">
        <v>0.0</v>
      </c>
      <c r="O227" s="14">
        <v>0.0</v>
      </c>
      <c r="P227" s="14">
        <v>3.0</v>
      </c>
      <c r="Q227" s="36">
        <v>0.0</v>
      </c>
      <c r="R227" s="36">
        <v>30.0</v>
      </c>
      <c r="S227" s="14"/>
      <c r="T227" s="31">
        <f t="shared" si="2"/>
        <v>51</v>
      </c>
      <c r="U227" s="14" t="s">
        <v>45</v>
      </c>
      <c r="V227" s="26"/>
      <c r="W227" s="14" t="s">
        <v>46</v>
      </c>
      <c r="Z227" s="14"/>
      <c r="AA227" s="14" t="str">
        <f t="shared" si="3"/>
        <v/>
      </c>
      <c r="AB227" s="14">
        <f t="shared" si="4"/>
        <v>0</v>
      </c>
      <c r="AC227" s="14">
        <f t="shared" si="5"/>
        <v>51</v>
      </c>
      <c r="AD227" s="14">
        <f t="shared" si="37"/>
        <v>1</v>
      </c>
    </row>
    <row r="228" ht="15.75" customHeight="1">
      <c r="A228" s="14">
        <v>227.0</v>
      </c>
      <c r="B228" s="14" t="s">
        <v>696</v>
      </c>
      <c r="C228" s="14" t="s">
        <v>124</v>
      </c>
      <c r="D228" s="14">
        <v>6.0</v>
      </c>
      <c r="G228" s="14"/>
      <c r="H228" s="14">
        <v>1.0</v>
      </c>
      <c r="I228" s="14">
        <v>3873.0</v>
      </c>
      <c r="J228" s="14">
        <v>3891.0</v>
      </c>
      <c r="K228" s="14">
        <f t="shared" si="1"/>
        <v>18</v>
      </c>
      <c r="L228" s="14">
        <v>18.0</v>
      </c>
      <c r="M228" s="14">
        <v>0.0</v>
      </c>
      <c r="N228" s="14">
        <v>0.0</v>
      </c>
      <c r="O228" s="14">
        <v>0.0</v>
      </c>
      <c r="P228" s="14">
        <v>3.0</v>
      </c>
      <c r="Q228" s="14">
        <v>0.0</v>
      </c>
      <c r="R228" s="14">
        <v>0.0</v>
      </c>
      <c r="S228" s="14"/>
      <c r="T228" s="31">
        <f t="shared" si="2"/>
        <v>21</v>
      </c>
      <c r="U228" s="42" t="s">
        <v>45</v>
      </c>
      <c r="V228" s="26"/>
      <c r="W228" s="14"/>
      <c r="X228" s="14"/>
      <c r="Y228" s="14"/>
      <c r="Z228" s="14"/>
      <c r="AA228" s="14" t="str">
        <f t="shared" si="3"/>
        <v/>
      </c>
      <c r="AB228" s="14">
        <f t="shared" si="4"/>
        <v>21</v>
      </c>
      <c r="AC228" s="14">
        <f t="shared" si="5"/>
        <v>0</v>
      </c>
      <c r="AD228" s="14">
        <f t="shared" si="37"/>
        <v>0</v>
      </c>
    </row>
    <row r="229" ht="15.75" customHeight="1">
      <c r="A229" s="14">
        <v>228.0</v>
      </c>
      <c r="B229" s="14" t="s">
        <v>697</v>
      </c>
      <c r="C229" s="14" t="s">
        <v>124</v>
      </c>
      <c r="D229" s="14">
        <v>7.0</v>
      </c>
      <c r="G229" s="14"/>
      <c r="H229" s="14">
        <v>1.0</v>
      </c>
      <c r="I229" s="14">
        <v>633.0</v>
      </c>
      <c r="J229" s="14">
        <v>648.0</v>
      </c>
      <c r="K229" s="14">
        <f t="shared" si="1"/>
        <v>15</v>
      </c>
      <c r="L229" s="14">
        <v>15.0</v>
      </c>
      <c r="M229" s="14">
        <v>0.0</v>
      </c>
      <c r="N229" s="14">
        <v>0.0</v>
      </c>
      <c r="O229" s="14">
        <v>0.0</v>
      </c>
      <c r="P229" s="14">
        <v>3.0</v>
      </c>
      <c r="Q229" s="14">
        <v>0.0</v>
      </c>
      <c r="R229" s="14">
        <v>0.0</v>
      </c>
      <c r="S229" s="14"/>
      <c r="T229" s="31">
        <f t="shared" si="2"/>
        <v>18</v>
      </c>
      <c r="U229" s="14" t="s">
        <v>45</v>
      </c>
      <c r="V229" s="26"/>
      <c r="W229" s="14" t="s">
        <v>46</v>
      </c>
      <c r="Z229" s="14"/>
      <c r="AA229" s="14" t="str">
        <f t="shared" si="3"/>
        <v/>
      </c>
      <c r="AB229" s="14">
        <f t="shared" si="4"/>
        <v>0</v>
      </c>
      <c r="AC229" s="14">
        <f t="shared" si="5"/>
        <v>18</v>
      </c>
      <c r="AD229" s="14">
        <f t="shared" si="37"/>
        <v>1</v>
      </c>
    </row>
    <row r="230" ht="15.75" hidden="1" customHeight="1">
      <c r="A230" s="14">
        <v>229.0</v>
      </c>
      <c r="B230" s="14" t="s">
        <v>699</v>
      </c>
      <c r="C230" s="14" t="s">
        <v>124</v>
      </c>
      <c r="D230" s="14">
        <v>8.0</v>
      </c>
      <c r="H230" s="14">
        <v>1.0</v>
      </c>
      <c r="I230" s="14">
        <v>81.0</v>
      </c>
      <c r="J230" s="14">
        <v>91.0</v>
      </c>
      <c r="K230" s="14">
        <f t="shared" si="1"/>
        <v>10</v>
      </c>
      <c r="L230" s="14">
        <v>10.0</v>
      </c>
      <c r="M230" s="14">
        <v>0.0</v>
      </c>
      <c r="N230" s="14">
        <v>0.0</v>
      </c>
      <c r="O230" s="14">
        <v>0.0</v>
      </c>
      <c r="P230" s="14">
        <v>3.0</v>
      </c>
      <c r="Q230" s="14">
        <v>0.0</v>
      </c>
      <c r="R230" s="14">
        <v>0.0</v>
      </c>
      <c r="S230" s="14"/>
      <c r="T230" s="31">
        <f t="shared" si="2"/>
        <v>13</v>
      </c>
      <c r="U230" s="14"/>
      <c r="V230" s="26"/>
      <c r="W230" s="14"/>
      <c r="Z230" s="14"/>
      <c r="AA230" s="14" t="str">
        <f t="shared" si="3"/>
        <v/>
      </c>
      <c r="AB230" s="14">
        <f t="shared" si="4"/>
        <v>0</v>
      </c>
      <c r="AC230" s="14">
        <f t="shared" si="5"/>
        <v>0</v>
      </c>
      <c r="AD230" s="14">
        <f t="shared" si="37"/>
        <v>0</v>
      </c>
    </row>
    <row r="231" ht="15.75" hidden="1" customHeight="1">
      <c r="A231" s="14">
        <v>230.0</v>
      </c>
      <c r="B231" s="14" t="s">
        <v>702</v>
      </c>
      <c r="C231" s="14" t="s">
        <v>124</v>
      </c>
      <c r="D231" s="14">
        <v>9.0</v>
      </c>
      <c r="H231" s="14">
        <v>1.0</v>
      </c>
      <c r="I231" s="14">
        <v>959.0</v>
      </c>
      <c r="J231" s="14">
        <v>959.0</v>
      </c>
      <c r="K231" s="14">
        <f t="shared" si="1"/>
        <v>0</v>
      </c>
      <c r="L231" s="14">
        <v>5.0</v>
      </c>
      <c r="M231" s="14">
        <v>0.0</v>
      </c>
      <c r="N231" s="14">
        <v>0.0</v>
      </c>
      <c r="O231" s="14">
        <v>0.0</v>
      </c>
      <c r="P231" s="14">
        <v>3.0</v>
      </c>
      <c r="Q231" s="36">
        <v>0.0</v>
      </c>
      <c r="R231" s="36">
        <v>30.0</v>
      </c>
      <c r="S231" s="14"/>
      <c r="T231" s="31">
        <f t="shared" si="2"/>
        <v>38</v>
      </c>
      <c r="U231" s="14"/>
      <c r="V231" s="26"/>
      <c r="W231" s="14"/>
      <c r="Z231" s="14"/>
      <c r="AA231" s="14" t="str">
        <f t="shared" si="3"/>
        <v/>
      </c>
      <c r="AB231" s="14">
        <f t="shared" si="4"/>
        <v>0</v>
      </c>
      <c r="AC231" s="14">
        <f t="shared" si="5"/>
        <v>0</v>
      </c>
      <c r="AD231" s="14"/>
    </row>
    <row r="232" ht="15.75" customHeight="1">
      <c r="A232" s="14">
        <v>231.0</v>
      </c>
      <c r="B232" s="14" t="s">
        <v>703</v>
      </c>
      <c r="C232" s="14" t="s">
        <v>124</v>
      </c>
      <c r="D232" s="14">
        <v>10.0</v>
      </c>
      <c r="H232" s="14">
        <v>1.0</v>
      </c>
      <c r="I232" s="14">
        <v>1062.0</v>
      </c>
      <c r="J232" s="14">
        <v>1073.0</v>
      </c>
      <c r="K232" s="14">
        <f t="shared" si="1"/>
        <v>11</v>
      </c>
      <c r="L232" s="14">
        <v>11.0</v>
      </c>
      <c r="M232" s="14">
        <v>12.0</v>
      </c>
      <c r="N232" s="14">
        <v>0.0</v>
      </c>
      <c r="O232" s="14">
        <v>0.0</v>
      </c>
      <c r="P232" s="14">
        <v>3.0</v>
      </c>
      <c r="Q232" s="14">
        <v>0.0</v>
      </c>
      <c r="R232" s="14">
        <v>0.0</v>
      </c>
      <c r="S232" s="14"/>
      <c r="T232" s="31">
        <f t="shared" si="2"/>
        <v>26</v>
      </c>
      <c r="U232" s="42" t="s">
        <v>45</v>
      </c>
      <c r="V232" s="26"/>
      <c r="W232" s="14"/>
      <c r="X232" s="14"/>
      <c r="Y232" s="14"/>
      <c r="Z232" s="14"/>
      <c r="AA232" s="14" t="str">
        <f t="shared" si="3"/>
        <v/>
      </c>
      <c r="AB232" s="14">
        <f t="shared" si="4"/>
        <v>26</v>
      </c>
      <c r="AC232" s="14">
        <f t="shared" si="5"/>
        <v>0</v>
      </c>
      <c r="AD232" s="14"/>
    </row>
    <row r="233" ht="15.75" customHeight="1">
      <c r="A233" s="14">
        <v>232.0</v>
      </c>
      <c r="B233" s="14" t="s">
        <v>706</v>
      </c>
      <c r="C233" s="14" t="s">
        <v>124</v>
      </c>
      <c r="D233" s="14">
        <v>11.0</v>
      </c>
      <c r="H233" s="14">
        <v>1.0</v>
      </c>
      <c r="I233" s="14">
        <v>833.0</v>
      </c>
      <c r="J233" s="14">
        <v>834.0</v>
      </c>
      <c r="K233" s="14">
        <f t="shared" si="1"/>
        <v>1</v>
      </c>
      <c r="L233" s="14">
        <v>5.0</v>
      </c>
      <c r="M233" s="14">
        <v>8.0</v>
      </c>
      <c r="N233" s="14">
        <v>0.0</v>
      </c>
      <c r="O233" s="14">
        <v>0.0</v>
      </c>
      <c r="P233" s="14">
        <v>3.0</v>
      </c>
      <c r="Q233" s="14">
        <v>0.0</v>
      </c>
      <c r="R233" s="14">
        <v>0.0</v>
      </c>
      <c r="S233" s="14"/>
      <c r="T233" s="31">
        <f t="shared" si="2"/>
        <v>16</v>
      </c>
      <c r="U233" s="51" t="s">
        <v>45</v>
      </c>
      <c r="V233" s="26"/>
      <c r="W233" s="14"/>
      <c r="Z233" s="14"/>
      <c r="AA233" s="14" t="str">
        <f t="shared" si="3"/>
        <v/>
      </c>
      <c r="AB233" s="14">
        <f t="shared" si="4"/>
        <v>16</v>
      </c>
      <c r="AC233" s="14">
        <f t="shared" si="5"/>
        <v>0</v>
      </c>
      <c r="AD233" s="14">
        <f>IF(ISBLANK(W233),0,1)</f>
        <v>0</v>
      </c>
    </row>
    <row r="234" ht="15.75" customHeight="1">
      <c r="A234" s="14">
        <v>233.0</v>
      </c>
      <c r="B234" s="14" t="s">
        <v>709</v>
      </c>
      <c r="C234" s="14" t="s">
        <v>124</v>
      </c>
      <c r="D234" s="14">
        <v>13.0</v>
      </c>
      <c r="H234" s="14">
        <v>1.0</v>
      </c>
      <c r="I234" s="36">
        <v>103.0</v>
      </c>
      <c r="J234" s="36">
        <v>104.0</v>
      </c>
      <c r="K234" s="36">
        <f t="shared" si="1"/>
        <v>1</v>
      </c>
      <c r="L234" s="14">
        <v>5.0</v>
      </c>
      <c r="M234" s="14">
        <v>0.0</v>
      </c>
      <c r="N234" s="14">
        <v>0.0</v>
      </c>
      <c r="O234" s="14">
        <v>0.0</v>
      </c>
      <c r="P234" s="14">
        <v>3.0</v>
      </c>
      <c r="Q234" s="36">
        <v>0.0</v>
      </c>
      <c r="R234" s="36">
        <v>30.0</v>
      </c>
      <c r="S234" s="14"/>
      <c r="T234" s="31">
        <f t="shared" si="2"/>
        <v>38</v>
      </c>
      <c r="U234" s="23" t="s">
        <v>45</v>
      </c>
      <c r="V234" s="26"/>
      <c r="W234" s="23" t="s">
        <v>46</v>
      </c>
      <c r="Z234" s="14"/>
      <c r="AA234" s="14" t="str">
        <f t="shared" si="3"/>
        <v/>
      </c>
      <c r="AB234" s="14">
        <f t="shared" si="4"/>
        <v>0</v>
      </c>
      <c r="AC234" s="14">
        <f t="shared" si="5"/>
        <v>38</v>
      </c>
      <c r="AD234" s="14"/>
    </row>
    <row r="235" ht="15.75" hidden="1" customHeight="1">
      <c r="A235" s="14">
        <v>234.0</v>
      </c>
      <c r="B235" s="14" t="s">
        <v>711</v>
      </c>
      <c r="C235" s="14" t="s">
        <v>124</v>
      </c>
      <c r="D235" s="14">
        <v>14.0</v>
      </c>
      <c r="H235" s="14">
        <v>1.0</v>
      </c>
      <c r="I235" s="14">
        <v>1901.0</v>
      </c>
      <c r="J235" s="14">
        <v>1922.0</v>
      </c>
      <c r="K235" s="14">
        <f t="shared" si="1"/>
        <v>21</v>
      </c>
      <c r="L235" s="14">
        <v>21.0</v>
      </c>
      <c r="M235" s="14">
        <v>0.0</v>
      </c>
      <c r="N235" s="14">
        <v>0.0</v>
      </c>
      <c r="O235" s="14">
        <v>0.0</v>
      </c>
      <c r="P235" s="14">
        <v>3.0</v>
      </c>
      <c r="Q235" s="36">
        <v>0.0</v>
      </c>
      <c r="R235" s="36">
        <v>30.0</v>
      </c>
      <c r="S235" s="14"/>
      <c r="T235" s="31">
        <f t="shared" si="2"/>
        <v>54</v>
      </c>
      <c r="U235" s="14"/>
      <c r="V235" s="26"/>
      <c r="W235" s="14"/>
      <c r="Z235" s="14"/>
      <c r="AA235" s="14" t="str">
        <f t="shared" si="3"/>
        <v/>
      </c>
      <c r="AB235" s="14">
        <f t="shared" si="4"/>
        <v>0</v>
      </c>
      <c r="AC235" s="14">
        <f t="shared" si="5"/>
        <v>0</v>
      </c>
      <c r="AD235" s="14">
        <f t="shared" ref="AD235:AD236" si="38">IF(ISBLANK(W235),0,1)</f>
        <v>0</v>
      </c>
    </row>
    <row r="236" ht="15.75" customHeight="1">
      <c r="A236" s="14">
        <v>235.0</v>
      </c>
      <c r="B236" s="14" t="s">
        <v>713</v>
      </c>
      <c r="C236" s="14" t="s">
        <v>124</v>
      </c>
      <c r="D236" s="14">
        <v>15.0</v>
      </c>
      <c r="H236" s="14">
        <v>1.0</v>
      </c>
      <c r="I236" s="14">
        <v>70.0</v>
      </c>
      <c r="J236" s="14">
        <v>72.0</v>
      </c>
      <c r="K236" s="14">
        <f t="shared" si="1"/>
        <v>2</v>
      </c>
      <c r="L236" s="14">
        <v>5.0</v>
      </c>
      <c r="M236" s="14">
        <v>8.0</v>
      </c>
      <c r="N236" s="14">
        <v>0.0</v>
      </c>
      <c r="O236" s="14">
        <v>0.0</v>
      </c>
      <c r="P236" s="14">
        <v>3.0</v>
      </c>
      <c r="Q236" s="36">
        <v>0.0</v>
      </c>
      <c r="R236" s="36">
        <v>30.0</v>
      </c>
      <c r="S236" s="14"/>
      <c r="T236" s="31">
        <f t="shared" si="2"/>
        <v>46</v>
      </c>
      <c r="U236" s="42" t="s">
        <v>45</v>
      </c>
      <c r="V236" s="26"/>
      <c r="W236" s="14"/>
      <c r="Z236" s="14"/>
      <c r="AA236" s="14" t="str">
        <f t="shared" si="3"/>
        <v/>
      </c>
      <c r="AB236" s="14">
        <f t="shared" si="4"/>
        <v>46</v>
      </c>
      <c r="AC236" s="14">
        <f t="shared" si="5"/>
        <v>0</v>
      </c>
      <c r="AD236" s="14">
        <f t="shared" si="38"/>
        <v>0</v>
      </c>
    </row>
    <row r="237" ht="15.75" customHeight="1">
      <c r="A237" s="14">
        <v>236.0</v>
      </c>
      <c r="B237" s="69" t="s">
        <v>715</v>
      </c>
      <c r="C237" s="14" t="s">
        <v>124</v>
      </c>
      <c r="D237" s="14">
        <v>16.0</v>
      </c>
      <c r="H237" s="14">
        <v>1.0</v>
      </c>
      <c r="I237" s="14">
        <v>34.0</v>
      </c>
      <c r="J237" s="14">
        <v>48.0</v>
      </c>
      <c r="K237" s="14">
        <f t="shared" si="1"/>
        <v>14</v>
      </c>
      <c r="L237" s="14">
        <v>14.0</v>
      </c>
      <c r="M237" s="14">
        <v>12.0</v>
      </c>
      <c r="N237" s="14">
        <v>0.0</v>
      </c>
      <c r="O237" s="14">
        <v>0.0</v>
      </c>
      <c r="P237" s="14">
        <v>3.0</v>
      </c>
      <c r="Q237" s="36">
        <v>0.0</v>
      </c>
      <c r="R237" s="36">
        <v>30.0</v>
      </c>
      <c r="S237" s="14"/>
      <c r="T237" s="31">
        <f t="shared" si="2"/>
        <v>59</v>
      </c>
      <c r="U237" s="23" t="s">
        <v>45</v>
      </c>
      <c r="V237" s="26"/>
      <c r="W237" s="23" t="s">
        <v>46</v>
      </c>
      <c r="Z237" s="14"/>
      <c r="AA237" s="14" t="str">
        <f t="shared" si="3"/>
        <v/>
      </c>
      <c r="AB237" s="14">
        <f t="shared" si="4"/>
        <v>0</v>
      </c>
      <c r="AC237" s="14">
        <f t="shared" si="5"/>
        <v>59</v>
      </c>
      <c r="AD237" s="14"/>
    </row>
    <row r="238" ht="15.75" customHeight="1">
      <c r="A238" s="14">
        <v>237.0</v>
      </c>
      <c r="B238" s="69" t="s">
        <v>717</v>
      </c>
      <c r="C238" s="14" t="s">
        <v>124</v>
      </c>
      <c r="D238" s="14">
        <v>17.0</v>
      </c>
      <c r="E238" s="14"/>
      <c r="H238" s="14">
        <v>1.0</v>
      </c>
      <c r="I238" s="14">
        <v>14.0</v>
      </c>
      <c r="J238" s="14">
        <v>14.0</v>
      </c>
      <c r="K238" s="14">
        <f t="shared" si="1"/>
        <v>0</v>
      </c>
      <c r="L238" s="14">
        <v>5.0</v>
      </c>
      <c r="M238" s="14">
        <v>0.0</v>
      </c>
      <c r="N238" s="14">
        <v>0.0</v>
      </c>
      <c r="O238" s="14">
        <v>0.0</v>
      </c>
      <c r="P238" s="14">
        <v>3.0</v>
      </c>
      <c r="Q238" s="36">
        <v>0.0</v>
      </c>
      <c r="R238" s="36">
        <v>30.0</v>
      </c>
      <c r="S238" s="14"/>
      <c r="T238" s="31">
        <f t="shared" si="2"/>
        <v>38</v>
      </c>
      <c r="U238" s="14" t="s">
        <v>45</v>
      </c>
      <c r="V238" s="26"/>
      <c r="W238" s="14" t="s">
        <v>46</v>
      </c>
      <c r="Z238" s="14"/>
      <c r="AA238" s="14" t="str">
        <f t="shared" si="3"/>
        <v/>
      </c>
      <c r="AB238" s="14">
        <f t="shared" si="4"/>
        <v>0</v>
      </c>
      <c r="AC238" s="14">
        <f t="shared" si="5"/>
        <v>38</v>
      </c>
      <c r="AD238" s="14">
        <f>IF(ISBLANK(W238),0,1)</f>
        <v>1</v>
      </c>
    </row>
    <row r="239" ht="15.75" customHeight="1">
      <c r="A239" s="14">
        <v>238.0</v>
      </c>
      <c r="B239" s="14" t="s">
        <v>719</v>
      </c>
      <c r="C239" s="14" t="s">
        <v>124</v>
      </c>
      <c r="D239" s="14">
        <v>18.0</v>
      </c>
      <c r="G239" s="14"/>
      <c r="H239" s="14">
        <v>1.0</v>
      </c>
      <c r="I239" s="14">
        <v>2601.0</v>
      </c>
      <c r="J239" s="14">
        <v>2613.0</v>
      </c>
      <c r="K239" s="14">
        <f t="shared" si="1"/>
        <v>12</v>
      </c>
      <c r="L239" s="14">
        <v>12.0</v>
      </c>
      <c r="M239" s="14">
        <v>0.0</v>
      </c>
      <c r="N239" s="14">
        <v>0.0</v>
      </c>
      <c r="O239" s="14">
        <v>0.0</v>
      </c>
      <c r="P239" s="14">
        <v>3.0</v>
      </c>
      <c r="Q239" s="14">
        <v>0.0</v>
      </c>
      <c r="R239" s="14">
        <v>0.0</v>
      </c>
      <c r="S239" s="14"/>
      <c r="T239" s="31">
        <f t="shared" si="2"/>
        <v>15</v>
      </c>
      <c r="U239" s="42" t="s">
        <v>45</v>
      </c>
      <c r="V239" s="26"/>
      <c r="W239" s="14"/>
      <c r="Z239" s="14"/>
      <c r="AA239" s="14" t="str">
        <f t="shared" si="3"/>
        <v/>
      </c>
      <c r="AB239" s="14">
        <f t="shared" si="4"/>
        <v>15</v>
      </c>
      <c r="AC239" s="14">
        <f t="shared" si="5"/>
        <v>0</v>
      </c>
      <c r="AD239" s="14"/>
    </row>
    <row r="240" ht="15.75" customHeight="1">
      <c r="A240" s="14">
        <v>239.0</v>
      </c>
      <c r="B240" s="14" t="s">
        <v>723</v>
      </c>
      <c r="C240" s="14" t="s">
        <v>124</v>
      </c>
      <c r="D240" s="14">
        <v>19.0</v>
      </c>
      <c r="G240" s="14"/>
      <c r="H240" s="14">
        <v>1.0</v>
      </c>
      <c r="I240" s="14">
        <v>2685.0</v>
      </c>
      <c r="J240" s="14">
        <v>2707.0</v>
      </c>
      <c r="K240" s="14">
        <f t="shared" si="1"/>
        <v>22</v>
      </c>
      <c r="L240" s="14">
        <v>22.0</v>
      </c>
      <c r="M240" s="14">
        <v>0.0</v>
      </c>
      <c r="N240" s="14">
        <v>0.0</v>
      </c>
      <c r="O240" s="14">
        <v>0.0</v>
      </c>
      <c r="P240" s="14">
        <v>3.0</v>
      </c>
      <c r="Q240" s="14">
        <v>0.0</v>
      </c>
      <c r="R240" s="14">
        <v>0.0</v>
      </c>
      <c r="S240" s="14"/>
      <c r="T240" s="31">
        <f t="shared" si="2"/>
        <v>25</v>
      </c>
      <c r="U240" s="14" t="s">
        <v>45</v>
      </c>
      <c r="V240" s="26"/>
      <c r="W240" s="14" t="s">
        <v>46</v>
      </c>
      <c r="Z240" s="14"/>
      <c r="AA240" s="14" t="str">
        <f t="shared" si="3"/>
        <v/>
      </c>
      <c r="AB240" s="14">
        <f t="shared" si="4"/>
        <v>0</v>
      </c>
      <c r="AC240" s="14">
        <f t="shared" si="5"/>
        <v>25</v>
      </c>
      <c r="AD240" s="14">
        <f t="shared" ref="AD240:AD241" si="39">IF(ISBLANK(W240),0,1)</f>
        <v>1</v>
      </c>
    </row>
    <row r="241" ht="15.75" customHeight="1">
      <c r="A241" s="14">
        <v>240.0</v>
      </c>
      <c r="B241" s="14" t="s">
        <v>726</v>
      </c>
      <c r="C241" s="14" t="s">
        <v>124</v>
      </c>
      <c r="D241" s="14">
        <v>20.0</v>
      </c>
      <c r="G241" s="14"/>
      <c r="H241" s="14">
        <v>1.0</v>
      </c>
      <c r="I241" s="14">
        <v>2133.0</v>
      </c>
      <c r="J241" s="14">
        <v>2151.0</v>
      </c>
      <c r="K241" s="14">
        <f t="shared" si="1"/>
        <v>18</v>
      </c>
      <c r="L241" s="14">
        <v>18.0</v>
      </c>
      <c r="M241" s="14">
        <v>0.0</v>
      </c>
      <c r="N241" s="14">
        <v>0.0</v>
      </c>
      <c r="O241" s="14">
        <v>0.0</v>
      </c>
      <c r="P241" s="14">
        <v>3.0</v>
      </c>
      <c r="Q241" s="14">
        <v>0.0</v>
      </c>
      <c r="R241" s="14">
        <v>0.0</v>
      </c>
      <c r="S241" s="14"/>
      <c r="T241" s="31">
        <f t="shared" si="2"/>
        <v>21</v>
      </c>
      <c r="U241" s="42" t="s">
        <v>45</v>
      </c>
      <c r="V241" s="26"/>
      <c r="W241" s="14"/>
      <c r="Z241" s="14"/>
      <c r="AA241" s="14" t="str">
        <f t="shared" si="3"/>
        <v/>
      </c>
      <c r="AB241" s="14">
        <f t="shared" si="4"/>
        <v>21</v>
      </c>
      <c r="AC241" s="14">
        <f t="shared" si="5"/>
        <v>0</v>
      </c>
      <c r="AD241" s="14">
        <f t="shared" si="39"/>
        <v>0</v>
      </c>
    </row>
    <row r="242" ht="15.75" hidden="1" customHeight="1">
      <c r="A242" s="14">
        <v>241.0</v>
      </c>
      <c r="B242" s="14" t="s">
        <v>728</v>
      </c>
      <c r="C242" s="14" t="s">
        <v>124</v>
      </c>
      <c r="D242" s="14">
        <v>21.0</v>
      </c>
      <c r="G242" s="14"/>
      <c r="H242" s="14">
        <v>1.0</v>
      </c>
      <c r="I242" s="14">
        <v>3585.0</v>
      </c>
      <c r="J242" s="14">
        <v>3614.0</v>
      </c>
      <c r="K242" s="14">
        <f t="shared" si="1"/>
        <v>29</v>
      </c>
      <c r="L242" s="14">
        <v>29.0</v>
      </c>
      <c r="M242" s="14">
        <v>3.0</v>
      </c>
      <c r="N242" s="14">
        <v>0.0</v>
      </c>
      <c r="O242" s="14">
        <v>0.0</v>
      </c>
      <c r="P242" s="14">
        <v>3.0</v>
      </c>
      <c r="Q242" s="36">
        <v>0.0</v>
      </c>
      <c r="R242" s="36">
        <v>30.0</v>
      </c>
      <c r="S242" s="14"/>
      <c r="T242" s="31">
        <f t="shared" si="2"/>
        <v>65</v>
      </c>
      <c r="U242" s="14"/>
      <c r="V242" s="26"/>
      <c r="W242" s="14"/>
      <c r="X242" s="14"/>
      <c r="Y242" s="14"/>
      <c r="Z242" s="14"/>
      <c r="AA242" s="14" t="str">
        <f t="shared" si="3"/>
        <v/>
      </c>
      <c r="AB242" s="14">
        <f t="shared" si="4"/>
        <v>0</v>
      </c>
      <c r="AC242" s="14">
        <f t="shared" si="5"/>
        <v>0</v>
      </c>
      <c r="AD242" s="14"/>
    </row>
    <row r="243" ht="15.75" customHeight="1">
      <c r="A243" s="14">
        <v>242.0</v>
      </c>
      <c r="B243" s="14" t="s">
        <v>731</v>
      </c>
      <c r="C243" s="14" t="s">
        <v>124</v>
      </c>
      <c r="D243" s="14">
        <v>22.0</v>
      </c>
      <c r="G243" s="14"/>
      <c r="H243" s="14">
        <v>1.0</v>
      </c>
      <c r="I243" s="14">
        <v>3816.0</v>
      </c>
      <c r="J243" s="14">
        <v>3837.0</v>
      </c>
      <c r="K243" s="14">
        <f t="shared" si="1"/>
        <v>21</v>
      </c>
      <c r="L243" s="14">
        <v>21.0</v>
      </c>
      <c r="M243" s="14">
        <v>0.0</v>
      </c>
      <c r="N243" s="14">
        <v>0.0</v>
      </c>
      <c r="O243" s="14">
        <v>0.0</v>
      </c>
      <c r="P243" s="14">
        <v>3.0</v>
      </c>
      <c r="Q243" s="36">
        <v>0.0</v>
      </c>
      <c r="R243" s="36">
        <v>30.0</v>
      </c>
      <c r="S243" s="14"/>
      <c r="T243" s="31">
        <f t="shared" si="2"/>
        <v>54</v>
      </c>
      <c r="U243" s="23" t="s">
        <v>45</v>
      </c>
      <c r="V243" s="26"/>
      <c r="W243" s="23" t="s">
        <v>46</v>
      </c>
      <c r="Z243" s="14"/>
      <c r="AA243" s="14" t="str">
        <f t="shared" si="3"/>
        <v/>
      </c>
      <c r="AB243" s="14">
        <f t="shared" si="4"/>
        <v>0</v>
      </c>
      <c r="AC243" s="14">
        <f t="shared" si="5"/>
        <v>54</v>
      </c>
      <c r="AD243" s="14">
        <f>IF(ISBLANK(W243),0,1)</f>
        <v>1</v>
      </c>
    </row>
    <row r="244" ht="15.75" customHeight="1">
      <c r="A244" s="14">
        <v>243.0</v>
      </c>
      <c r="B244" s="14" t="s">
        <v>732</v>
      </c>
      <c r="C244" s="14" t="s">
        <v>128</v>
      </c>
      <c r="D244" s="14">
        <v>1.0</v>
      </c>
      <c r="G244" s="14"/>
      <c r="H244" s="14">
        <v>1.0</v>
      </c>
      <c r="I244" s="14">
        <v>2190.0</v>
      </c>
      <c r="J244" s="14">
        <v>2209.0</v>
      </c>
      <c r="K244" s="14">
        <f t="shared" si="1"/>
        <v>19</v>
      </c>
      <c r="L244" s="14">
        <v>19.0</v>
      </c>
      <c r="M244" s="14">
        <v>30.0</v>
      </c>
      <c r="N244" s="14">
        <v>0.0</v>
      </c>
      <c r="O244" s="14">
        <v>0.0</v>
      </c>
      <c r="P244" s="14">
        <v>3.0</v>
      </c>
      <c r="Q244" s="36">
        <v>0.0</v>
      </c>
      <c r="R244" s="36"/>
      <c r="S244" s="23"/>
      <c r="T244" s="31">
        <f t="shared" si="2"/>
        <v>52</v>
      </c>
      <c r="U244" s="23" t="s">
        <v>45</v>
      </c>
      <c r="V244" s="26"/>
      <c r="W244" s="23" t="s">
        <v>46</v>
      </c>
      <c r="X244" s="14"/>
      <c r="Y244" s="23" t="s">
        <v>735</v>
      </c>
      <c r="Z244" s="14"/>
      <c r="AA244" s="14" t="str">
        <f t="shared" si="3"/>
        <v/>
      </c>
      <c r="AB244" s="14">
        <f t="shared" si="4"/>
        <v>0</v>
      </c>
      <c r="AC244" s="14">
        <f t="shared" si="5"/>
        <v>52</v>
      </c>
      <c r="AD244" s="14"/>
    </row>
    <row r="245" ht="15.75" customHeight="1">
      <c r="A245" s="14">
        <v>244.0</v>
      </c>
      <c r="B245" s="14" t="s">
        <v>736</v>
      </c>
      <c r="C245" s="14" t="s">
        <v>128</v>
      </c>
      <c r="D245" s="14">
        <v>2.0</v>
      </c>
      <c r="G245" s="14"/>
      <c r="H245" s="14">
        <v>1.0</v>
      </c>
      <c r="I245" s="14">
        <v>4128.0</v>
      </c>
      <c r="J245" s="14">
        <v>4151.0</v>
      </c>
      <c r="K245" s="14">
        <f t="shared" si="1"/>
        <v>23</v>
      </c>
      <c r="L245" s="14">
        <v>23.0</v>
      </c>
      <c r="M245" s="14">
        <v>0.0</v>
      </c>
      <c r="N245" s="14">
        <v>0.0</v>
      </c>
      <c r="O245" s="14">
        <v>0.0</v>
      </c>
      <c r="P245" s="14">
        <v>3.0</v>
      </c>
      <c r="Q245" s="14">
        <v>0.0</v>
      </c>
      <c r="R245" s="14">
        <v>0.0</v>
      </c>
      <c r="S245" s="14"/>
      <c r="T245" s="31">
        <f t="shared" si="2"/>
        <v>26</v>
      </c>
      <c r="U245" s="42" t="s">
        <v>45</v>
      </c>
      <c r="V245" s="26"/>
      <c r="W245" s="14"/>
      <c r="Z245" s="14"/>
      <c r="AA245" s="14" t="str">
        <f t="shared" si="3"/>
        <v/>
      </c>
      <c r="AB245" s="14">
        <f t="shared" si="4"/>
        <v>26</v>
      </c>
      <c r="AC245" s="14">
        <f t="shared" si="5"/>
        <v>0</v>
      </c>
      <c r="AD245" s="14">
        <f t="shared" ref="AD245:AD254" si="40">IF(ISBLANK(W245),0,1)</f>
        <v>0</v>
      </c>
    </row>
    <row r="246" ht="15.75" customHeight="1">
      <c r="A246" s="14">
        <v>245.0</v>
      </c>
      <c r="B246" s="14" t="s">
        <v>738</v>
      </c>
      <c r="C246" s="14" t="s">
        <v>128</v>
      </c>
      <c r="D246" s="14">
        <v>3.0</v>
      </c>
      <c r="G246" s="14"/>
      <c r="H246" s="14">
        <v>1.0</v>
      </c>
      <c r="I246" s="14">
        <v>1400.0</v>
      </c>
      <c r="J246" s="14">
        <v>1405.0</v>
      </c>
      <c r="K246" s="14">
        <f t="shared" si="1"/>
        <v>5</v>
      </c>
      <c r="L246" s="14">
        <v>5.0</v>
      </c>
      <c r="M246" s="14">
        <v>0.0</v>
      </c>
      <c r="N246" s="14">
        <v>0.0</v>
      </c>
      <c r="O246" s="14">
        <v>0.0</v>
      </c>
      <c r="P246" s="14">
        <v>3.0</v>
      </c>
      <c r="Q246" s="14">
        <v>0.0</v>
      </c>
      <c r="R246" s="14">
        <v>0.0</v>
      </c>
      <c r="S246" s="14"/>
      <c r="T246" s="31">
        <f t="shared" si="2"/>
        <v>8</v>
      </c>
      <c r="U246" s="42" t="s">
        <v>45</v>
      </c>
      <c r="V246" s="26"/>
      <c r="W246" s="14"/>
      <c r="Z246" s="14"/>
      <c r="AA246" s="14" t="str">
        <f t="shared" si="3"/>
        <v/>
      </c>
      <c r="AB246" s="14">
        <f t="shared" si="4"/>
        <v>8</v>
      </c>
      <c r="AC246" s="14">
        <f t="shared" si="5"/>
        <v>0</v>
      </c>
      <c r="AD246" s="14">
        <f t="shared" si="40"/>
        <v>0</v>
      </c>
    </row>
    <row r="247" ht="15.75" customHeight="1">
      <c r="A247" s="14">
        <v>246.0</v>
      </c>
      <c r="B247" s="14" t="s">
        <v>739</v>
      </c>
      <c r="C247" s="14" t="s">
        <v>128</v>
      </c>
      <c r="D247" s="14">
        <v>4.0</v>
      </c>
      <c r="G247" s="14"/>
      <c r="H247" s="14">
        <v>1.0</v>
      </c>
      <c r="I247" s="14">
        <v>109.0</v>
      </c>
      <c r="J247" s="14">
        <v>123.0</v>
      </c>
      <c r="K247" s="14">
        <f t="shared" si="1"/>
        <v>14</v>
      </c>
      <c r="L247" s="14">
        <v>14.0</v>
      </c>
      <c r="M247" s="14">
        <v>0.0</v>
      </c>
      <c r="N247" s="14">
        <v>0.0</v>
      </c>
      <c r="O247" s="14">
        <v>0.0</v>
      </c>
      <c r="P247" s="14">
        <v>3.0</v>
      </c>
      <c r="Q247" s="14">
        <v>0.0</v>
      </c>
      <c r="R247" s="14">
        <v>0.0</v>
      </c>
      <c r="S247" s="14"/>
      <c r="T247" s="31">
        <f t="shared" si="2"/>
        <v>17</v>
      </c>
      <c r="U247" s="42" t="s">
        <v>45</v>
      </c>
      <c r="V247" s="26"/>
      <c r="W247" s="14"/>
      <c r="Z247" s="14"/>
      <c r="AA247" s="14" t="str">
        <f t="shared" si="3"/>
        <v/>
      </c>
      <c r="AB247" s="14">
        <f t="shared" si="4"/>
        <v>17</v>
      </c>
      <c r="AC247" s="14">
        <f t="shared" si="5"/>
        <v>0</v>
      </c>
      <c r="AD247" s="14">
        <f t="shared" si="40"/>
        <v>0</v>
      </c>
    </row>
    <row r="248" ht="15.75" customHeight="1">
      <c r="A248" s="14">
        <v>247.0</v>
      </c>
      <c r="B248" s="14" t="s">
        <v>742</v>
      </c>
      <c r="C248" s="14" t="s">
        <v>128</v>
      </c>
      <c r="D248" s="14">
        <v>5.0</v>
      </c>
      <c r="G248" s="14"/>
      <c r="H248" s="14">
        <v>1.0</v>
      </c>
      <c r="I248" s="14">
        <v>617.0</v>
      </c>
      <c r="J248" s="14">
        <v>641.0</v>
      </c>
      <c r="K248" s="14">
        <f t="shared" si="1"/>
        <v>24</v>
      </c>
      <c r="L248" s="14">
        <v>24.0</v>
      </c>
      <c r="M248" s="14">
        <v>0.0</v>
      </c>
      <c r="N248" s="14">
        <v>0.0</v>
      </c>
      <c r="O248" s="14">
        <v>0.0</v>
      </c>
      <c r="P248" s="14">
        <v>3.0</v>
      </c>
      <c r="Q248" s="36">
        <v>0.0</v>
      </c>
      <c r="R248" s="36"/>
      <c r="S248" s="14"/>
      <c r="T248" s="31">
        <f t="shared" si="2"/>
        <v>27</v>
      </c>
      <c r="U248" s="14" t="s">
        <v>45</v>
      </c>
      <c r="V248" s="26"/>
      <c r="W248" s="14" t="s">
        <v>46</v>
      </c>
      <c r="Y248" s="23" t="s">
        <v>320</v>
      </c>
      <c r="Z248" s="14"/>
      <c r="AA248" s="14" t="str">
        <f t="shared" si="3"/>
        <v/>
      </c>
      <c r="AB248" s="14">
        <f t="shared" si="4"/>
        <v>0</v>
      </c>
      <c r="AC248" s="14">
        <f t="shared" si="5"/>
        <v>27</v>
      </c>
      <c r="AD248" s="14">
        <f t="shared" si="40"/>
        <v>1</v>
      </c>
    </row>
    <row r="249" ht="15.75" customHeight="1">
      <c r="A249" s="14">
        <v>248.0</v>
      </c>
      <c r="B249" s="14" t="s">
        <v>743</v>
      </c>
      <c r="C249" s="14" t="s">
        <v>132</v>
      </c>
      <c r="D249" s="14">
        <v>1.0</v>
      </c>
      <c r="G249" s="14"/>
      <c r="H249" s="14">
        <v>1.0</v>
      </c>
      <c r="I249" s="14">
        <v>1512.0</v>
      </c>
      <c r="J249" s="14">
        <v>1522.0</v>
      </c>
      <c r="K249" s="14">
        <f t="shared" si="1"/>
        <v>10</v>
      </c>
      <c r="L249" s="14">
        <v>10.0</v>
      </c>
      <c r="M249" s="14">
        <v>0.0</v>
      </c>
      <c r="N249" s="14">
        <v>0.0</v>
      </c>
      <c r="O249" s="14">
        <v>0.0</v>
      </c>
      <c r="P249" s="14">
        <v>3.0</v>
      </c>
      <c r="Q249" s="14">
        <v>0.0</v>
      </c>
      <c r="R249" s="14">
        <v>0.0</v>
      </c>
      <c r="S249" s="14"/>
      <c r="T249" s="31">
        <f t="shared" si="2"/>
        <v>13</v>
      </c>
      <c r="U249" s="14" t="s">
        <v>45</v>
      </c>
      <c r="V249" s="26"/>
      <c r="W249" s="14" t="s">
        <v>46</v>
      </c>
      <c r="Z249" s="14"/>
      <c r="AA249" s="14" t="str">
        <f t="shared" si="3"/>
        <v/>
      </c>
      <c r="AB249" s="14">
        <f t="shared" si="4"/>
        <v>0</v>
      </c>
      <c r="AC249" s="14">
        <f t="shared" si="5"/>
        <v>13</v>
      </c>
      <c r="AD249" s="14">
        <f t="shared" si="40"/>
        <v>1</v>
      </c>
    </row>
    <row r="250" ht="15.75" customHeight="1">
      <c r="A250" s="14">
        <v>249.0</v>
      </c>
      <c r="B250" s="14" t="s">
        <v>745</v>
      </c>
      <c r="C250" s="14" t="s">
        <v>132</v>
      </c>
      <c r="D250" s="14">
        <v>2.0</v>
      </c>
      <c r="G250" s="14"/>
      <c r="H250" s="14">
        <v>1.0</v>
      </c>
      <c r="I250" s="14">
        <v>2463.0</v>
      </c>
      <c r="J250" s="14">
        <v>2475.0</v>
      </c>
      <c r="K250" s="14">
        <f t="shared" si="1"/>
        <v>12</v>
      </c>
      <c r="L250" s="14">
        <v>12.0</v>
      </c>
      <c r="M250" s="14">
        <v>0.0</v>
      </c>
      <c r="N250" s="14">
        <v>0.0</v>
      </c>
      <c r="O250" s="14">
        <v>0.0</v>
      </c>
      <c r="P250" s="14">
        <v>3.0</v>
      </c>
      <c r="Q250" s="14">
        <v>0.0</v>
      </c>
      <c r="R250" s="14">
        <v>0.0</v>
      </c>
      <c r="S250" s="14"/>
      <c r="T250" s="31">
        <f t="shared" si="2"/>
        <v>15</v>
      </c>
      <c r="U250" s="42" t="s">
        <v>45</v>
      </c>
      <c r="V250" s="26"/>
      <c r="W250" s="14"/>
      <c r="Z250" s="14"/>
      <c r="AA250" s="14" t="str">
        <f t="shared" si="3"/>
        <v/>
      </c>
      <c r="AB250" s="14">
        <f t="shared" si="4"/>
        <v>15</v>
      </c>
      <c r="AC250" s="14">
        <f t="shared" si="5"/>
        <v>0</v>
      </c>
      <c r="AD250" s="14">
        <f t="shared" si="40"/>
        <v>0</v>
      </c>
    </row>
    <row r="251" ht="15.75" customHeight="1">
      <c r="A251" s="14">
        <v>250.0</v>
      </c>
      <c r="B251" s="14" t="s">
        <v>748</v>
      </c>
      <c r="C251" s="14" t="s">
        <v>132</v>
      </c>
      <c r="D251" s="14">
        <v>3.0</v>
      </c>
      <c r="G251" s="14"/>
      <c r="H251" s="14">
        <v>1.0</v>
      </c>
      <c r="I251" s="14">
        <v>1777.0</v>
      </c>
      <c r="J251" s="14">
        <v>1785.0</v>
      </c>
      <c r="K251" s="14">
        <f t="shared" si="1"/>
        <v>8</v>
      </c>
      <c r="L251" s="14">
        <v>8.0</v>
      </c>
      <c r="M251" s="14">
        <v>0.0</v>
      </c>
      <c r="N251" s="14">
        <v>0.0</v>
      </c>
      <c r="O251" s="14">
        <v>0.0</v>
      </c>
      <c r="P251" s="14">
        <v>3.0</v>
      </c>
      <c r="Q251" s="14">
        <v>0.0</v>
      </c>
      <c r="R251" s="14">
        <v>0.0</v>
      </c>
      <c r="S251" s="14"/>
      <c r="T251" s="31">
        <f t="shared" si="2"/>
        <v>11</v>
      </c>
      <c r="U251" s="42" t="s">
        <v>45</v>
      </c>
      <c r="V251" s="26"/>
      <c r="W251" s="14"/>
      <c r="X251" s="14"/>
      <c r="Y251" s="14"/>
      <c r="Z251" s="14"/>
      <c r="AA251" s="14" t="str">
        <f t="shared" si="3"/>
        <v/>
      </c>
      <c r="AB251" s="14">
        <f t="shared" si="4"/>
        <v>11</v>
      </c>
      <c r="AC251" s="14">
        <f t="shared" si="5"/>
        <v>0</v>
      </c>
      <c r="AD251" s="14">
        <f t="shared" si="40"/>
        <v>0</v>
      </c>
    </row>
    <row r="252" ht="15.75" customHeight="1">
      <c r="A252" s="14">
        <v>251.0</v>
      </c>
      <c r="B252" s="14" t="s">
        <v>750</v>
      </c>
      <c r="C252" s="14" t="s">
        <v>132</v>
      </c>
      <c r="D252" s="14">
        <v>4.0</v>
      </c>
      <c r="G252" s="14"/>
      <c r="H252" s="14">
        <v>1.0</v>
      </c>
      <c r="I252" s="14">
        <v>1591.0</v>
      </c>
      <c r="J252" s="14">
        <v>1592.0</v>
      </c>
      <c r="K252" s="14">
        <f t="shared" si="1"/>
        <v>1</v>
      </c>
      <c r="L252" s="14">
        <v>5.0</v>
      </c>
      <c r="M252" s="14">
        <v>0.0</v>
      </c>
      <c r="N252" s="14">
        <v>0.0</v>
      </c>
      <c r="O252" s="14">
        <v>0.0</v>
      </c>
      <c r="P252" s="14">
        <v>3.0</v>
      </c>
      <c r="Q252" s="14">
        <v>0.0</v>
      </c>
      <c r="R252" s="14">
        <v>0.0</v>
      </c>
      <c r="S252" s="23"/>
      <c r="T252" s="31">
        <f t="shared" si="2"/>
        <v>8</v>
      </c>
      <c r="U252" s="14" t="s">
        <v>45</v>
      </c>
      <c r="V252" s="26"/>
      <c r="W252" s="14" t="s">
        <v>46</v>
      </c>
      <c r="Y252" s="14"/>
      <c r="Z252" s="14"/>
      <c r="AA252" s="14" t="str">
        <f t="shared" si="3"/>
        <v/>
      </c>
      <c r="AB252" s="14">
        <f t="shared" si="4"/>
        <v>0</v>
      </c>
      <c r="AC252" s="14">
        <f t="shared" si="5"/>
        <v>8</v>
      </c>
      <c r="AD252" s="14">
        <f t="shared" si="40"/>
        <v>1</v>
      </c>
    </row>
    <row r="253" ht="15.75" customHeight="1">
      <c r="A253" s="14">
        <v>252.0</v>
      </c>
      <c r="B253" s="14" t="s">
        <v>753</v>
      </c>
      <c r="C253" s="14" t="s">
        <v>132</v>
      </c>
      <c r="D253" s="14">
        <v>5.0</v>
      </c>
      <c r="G253" s="14"/>
      <c r="H253" s="14">
        <v>1.0</v>
      </c>
      <c r="I253" s="14">
        <v>644.0</v>
      </c>
      <c r="J253" s="14">
        <v>647.0</v>
      </c>
      <c r="K253" s="14">
        <f t="shared" si="1"/>
        <v>3</v>
      </c>
      <c r="L253" s="14">
        <v>5.0</v>
      </c>
      <c r="M253" s="14">
        <v>0.0</v>
      </c>
      <c r="N253" s="14">
        <v>0.0</v>
      </c>
      <c r="O253" s="14">
        <v>0.0</v>
      </c>
      <c r="P253" s="14">
        <v>3.0</v>
      </c>
      <c r="Q253" s="14">
        <v>0.0</v>
      </c>
      <c r="R253" s="14">
        <v>0.0</v>
      </c>
      <c r="S253" s="14"/>
      <c r="T253" s="31">
        <f t="shared" si="2"/>
        <v>8</v>
      </c>
      <c r="U253" s="42" t="s">
        <v>45</v>
      </c>
      <c r="V253" s="26"/>
      <c r="W253" s="14"/>
      <c r="Z253" s="14"/>
      <c r="AA253" s="14" t="str">
        <f t="shared" si="3"/>
        <v/>
      </c>
      <c r="AB253" s="14">
        <f t="shared" si="4"/>
        <v>8</v>
      </c>
      <c r="AC253" s="14">
        <f t="shared" si="5"/>
        <v>0</v>
      </c>
      <c r="AD253" s="14">
        <f t="shared" si="40"/>
        <v>0</v>
      </c>
    </row>
    <row r="254" ht="15.75" customHeight="1">
      <c r="A254" s="14">
        <v>253.0</v>
      </c>
      <c r="B254" s="14" t="s">
        <v>755</v>
      </c>
      <c r="C254" s="14" t="s">
        <v>132</v>
      </c>
      <c r="D254" s="14">
        <v>6.0</v>
      </c>
      <c r="G254" s="14"/>
      <c r="H254" s="14">
        <v>1.0</v>
      </c>
      <c r="I254" s="14">
        <v>891.0</v>
      </c>
      <c r="J254" s="14">
        <v>900.0</v>
      </c>
      <c r="K254" s="14">
        <f t="shared" si="1"/>
        <v>9</v>
      </c>
      <c r="L254" s="14">
        <v>9.0</v>
      </c>
      <c r="M254" s="14">
        <v>-2.0</v>
      </c>
      <c r="N254" s="14">
        <v>0.0</v>
      </c>
      <c r="O254" s="14">
        <v>0.0</v>
      </c>
      <c r="P254" s="14">
        <v>3.0</v>
      </c>
      <c r="Q254" s="14">
        <v>0.0</v>
      </c>
      <c r="R254" s="14">
        <v>0.0</v>
      </c>
      <c r="S254" s="14"/>
      <c r="T254" s="31">
        <f t="shared" si="2"/>
        <v>10</v>
      </c>
      <c r="U254" s="23" t="s">
        <v>45</v>
      </c>
      <c r="V254" s="70"/>
      <c r="W254" s="23" t="s">
        <v>46</v>
      </c>
      <c r="Z254" s="14"/>
      <c r="AA254" s="14" t="str">
        <f t="shared" si="3"/>
        <v/>
      </c>
      <c r="AB254" s="14">
        <f t="shared" si="4"/>
        <v>0</v>
      </c>
      <c r="AC254" s="14">
        <f t="shared" si="5"/>
        <v>10</v>
      </c>
      <c r="AD254" s="14">
        <f t="shared" si="40"/>
        <v>1</v>
      </c>
    </row>
    <row r="255" ht="15.75" customHeight="1">
      <c r="A255" s="14">
        <v>254.0</v>
      </c>
      <c r="B255" s="14" t="s">
        <v>757</v>
      </c>
      <c r="C255" s="14" t="s">
        <v>132</v>
      </c>
      <c r="D255" s="14">
        <v>7.0</v>
      </c>
      <c r="E255" s="14"/>
      <c r="F255" s="14">
        <v>1.0</v>
      </c>
      <c r="G255" s="14"/>
      <c r="H255" s="14">
        <v>1.0</v>
      </c>
      <c r="I255" s="14">
        <v>180.0</v>
      </c>
      <c r="J255" s="14">
        <v>193.0</v>
      </c>
      <c r="K255" s="14">
        <f t="shared" si="1"/>
        <v>13</v>
      </c>
      <c r="L255" s="14">
        <v>13.0</v>
      </c>
      <c r="M255" s="14">
        <v>0.0</v>
      </c>
      <c r="N255" s="14">
        <v>0.0</v>
      </c>
      <c r="O255" s="14">
        <v>0.0</v>
      </c>
      <c r="P255" s="14">
        <v>3.0</v>
      </c>
      <c r="Q255" s="14">
        <v>0.0</v>
      </c>
      <c r="R255" s="14">
        <v>0.0</v>
      </c>
      <c r="S255" s="14"/>
      <c r="T255" s="31">
        <f t="shared" si="2"/>
        <v>16</v>
      </c>
      <c r="U255" s="14" t="s">
        <v>45</v>
      </c>
      <c r="V255" s="70"/>
      <c r="W255" s="14" t="s">
        <v>46</v>
      </c>
      <c r="Z255" s="14"/>
      <c r="AA255" s="14" t="str">
        <f t="shared" si="3"/>
        <v/>
      </c>
      <c r="AB255" s="14">
        <f t="shared" si="4"/>
        <v>0</v>
      </c>
      <c r="AC255" s="14">
        <f t="shared" si="5"/>
        <v>16</v>
      </c>
      <c r="AD255" s="14"/>
    </row>
    <row r="256" ht="15.75" customHeight="1">
      <c r="A256" s="14">
        <v>255.0</v>
      </c>
      <c r="B256" s="14" t="s">
        <v>758</v>
      </c>
      <c r="C256" s="14" t="s">
        <v>132</v>
      </c>
      <c r="D256" s="14">
        <v>8.0</v>
      </c>
      <c r="G256" s="14"/>
      <c r="H256" s="14">
        <v>1.0</v>
      </c>
      <c r="I256" s="14">
        <v>1943.0</v>
      </c>
      <c r="J256" s="14">
        <v>1949.0</v>
      </c>
      <c r="K256" s="14">
        <f t="shared" si="1"/>
        <v>6</v>
      </c>
      <c r="L256" s="14">
        <v>6.0</v>
      </c>
      <c r="M256" s="14">
        <v>0.0</v>
      </c>
      <c r="N256" s="14">
        <v>0.0</v>
      </c>
      <c r="O256" s="14">
        <v>0.0</v>
      </c>
      <c r="P256" s="14">
        <v>3.0</v>
      </c>
      <c r="Q256" s="36">
        <v>0.0</v>
      </c>
      <c r="R256" s="40">
        <v>15.0</v>
      </c>
      <c r="S256" s="14"/>
      <c r="T256" s="31">
        <f t="shared" si="2"/>
        <v>24</v>
      </c>
      <c r="U256" s="42" t="s">
        <v>45</v>
      </c>
      <c r="V256" s="26"/>
      <c r="W256" s="14"/>
      <c r="X256" s="14"/>
      <c r="Y256" s="23" t="s">
        <v>161</v>
      </c>
      <c r="Z256" s="14"/>
      <c r="AA256" s="14" t="str">
        <f t="shared" si="3"/>
        <v/>
      </c>
      <c r="AB256" s="14">
        <f t="shared" si="4"/>
        <v>24</v>
      </c>
      <c r="AC256" s="14">
        <f t="shared" si="5"/>
        <v>0</v>
      </c>
      <c r="AD256" s="14">
        <f t="shared" ref="AD256:AD263" si="41">IF(ISBLANK(W256),0,1)</f>
        <v>0</v>
      </c>
    </row>
    <row r="257" ht="15.75" customHeight="1">
      <c r="A257" s="14">
        <v>256.0</v>
      </c>
      <c r="B257" s="14" t="s">
        <v>717</v>
      </c>
      <c r="C257" s="14" t="s">
        <v>132</v>
      </c>
      <c r="D257" s="14">
        <v>9.0</v>
      </c>
      <c r="G257" s="14"/>
      <c r="H257" s="14">
        <v>1.0</v>
      </c>
      <c r="I257" s="14">
        <v>2746.0</v>
      </c>
      <c r="J257" s="14">
        <v>2760.0</v>
      </c>
      <c r="K257" s="14">
        <f t="shared" si="1"/>
        <v>14</v>
      </c>
      <c r="L257" s="14">
        <v>14.0</v>
      </c>
      <c r="M257" s="14">
        <v>0.0</v>
      </c>
      <c r="N257" s="14">
        <v>0.0</v>
      </c>
      <c r="O257" s="14">
        <v>0.0</v>
      </c>
      <c r="P257" s="14">
        <v>3.0</v>
      </c>
      <c r="Q257" s="14">
        <v>0.0</v>
      </c>
      <c r="R257" s="14">
        <v>0.0</v>
      </c>
      <c r="S257" s="14"/>
      <c r="T257" s="31">
        <f t="shared" si="2"/>
        <v>17</v>
      </c>
      <c r="U257" s="23" t="s">
        <v>45</v>
      </c>
      <c r="V257" s="26"/>
      <c r="W257" s="23" t="s">
        <v>46</v>
      </c>
      <c r="Z257" s="14"/>
      <c r="AA257" s="14" t="str">
        <f t="shared" si="3"/>
        <v/>
      </c>
      <c r="AB257" s="14">
        <f t="shared" si="4"/>
        <v>0</v>
      </c>
      <c r="AC257" s="14">
        <f t="shared" si="5"/>
        <v>17</v>
      </c>
      <c r="AD257" s="14">
        <f t="shared" si="41"/>
        <v>1</v>
      </c>
    </row>
    <row r="258" ht="15.75" customHeight="1">
      <c r="A258" s="14">
        <v>257.0</v>
      </c>
      <c r="B258" s="14" t="s">
        <v>762</v>
      </c>
      <c r="C258" s="14" t="s">
        <v>132</v>
      </c>
      <c r="D258" s="14">
        <v>10.0</v>
      </c>
      <c r="G258" s="14"/>
      <c r="H258" s="14">
        <v>1.0</v>
      </c>
      <c r="I258" s="14">
        <v>1217.0</v>
      </c>
      <c r="J258" s="14">
        <v>1237.0</v>
      </c>
      <c r="K258" s="14">
        <f t="shared" si="1"/>
        <v>20</v>
      </c>
      <c r="L258" s="14">
        <v>20.0</v>
      </c>
      <c r="M258" s="14">
        <v>15.0</v>
      </c>
      <c r="N258" s="14">
        <v>0.0</v>
      </c>
      <c r="O258" s="14">
        <v>0.0</v>
      </c>
      <c r="P258" s="14">
        <v>3.0</v>
      </c>
      <c r="Q258" s="36">
        <v>0.0</v>
      </c>
      <c r="R258" s="36">
        <v>30.0</v>
      </c>
      <c r="S258" s="14"/>
      <c r="T258" s="31">
        <f t="shared" si="2"/>
        <v>68</v>
      </c>
      <c r="U258" s="23" t="s">
        <v>45</v>
      </c>
      <c r="V258" s="26"/>
      <c r="W258" s="23" t="s">
        <v>46</v>
      </c>
      <c r="Z258" s="14"/>
      <c r="AA258" s="14" t="str">
        <f t="shared" si="3"/>
        <v/>
      </c>
      <c r="AB258" s="14">
        <f t="shared" si="4"/>
        <v>0</v>
      </c>
      <c r="AC258" s="14">
        <f t="shared" si="5"/>
        <v>68</v>
      </c>
      <c r="AD258" s="14">
        <f t="shared" si="41"/>
        <v>1</v>
      </c>
    </row>
    <row r="259" ht="15.75" customHeight="1">
      <c r="A259" s="14">
        <v>258.0</v>
      </c>
      <c r="B259" s="14" t="s">
        <v>765</v>
      </c>
      <c r="C259" s="14" t="s">
        <v>132</v>
      </c>
      <c r="D259" s="14">
        <v>11.0</v>
      </c>
      <c r="G259" s="14"/>
      <c r="H259" s="14">
        <v>1.0</v>
      </c>
      <c r="I259" s="14">
        <v>225.0</v>
      </c>
      <c r="J259" s="14">
        <v>230.0</v>
      </c>
      <c r="K259" s="14">
        <f t="shared" si="1"/>
        <v>5</v>
      </c>
      <c r="L259" s="14">
        <v>5.0</v>
      </c>
      <c r="M259" s="14">
        <v>0.0</v>
      </c>
      <c r="N259" s="14">
        <v>0.0</v>
      </c>
      <c r="O259" s="14">
        <v>0.0</v>
      </c>
      <c r="P259" s="14">
        <v>3.0</v>
      </c>
      <c r="Q259" s="36">
        <v>0.0</v>
      </c>
      <c r="R259" s="36">
        <v>30.0</v>
      </c>
      <c r="S259" s="14"/>
      <c r="T259" s="31">
        <f t="shared" si="2"/>
        <v>38</v>
      </c>
      <c r="U259" s="42" t="s">
        <v>45</v>
      </c>
      <c r="V259" s="26"/>
      <c r="W259" s="14"/>
      <c r="Z259" s="14"/>
      <c r="AA259" s="14" t="str">
        <f t="shared" si="3"/>
        <v/>
      </c>
      <c r="AB259" s="14">
        <f t="shared" si="4"/>
        <v>38</v>
      </c>
      <c r="AC259" s="14">
        <f t="shared" si="5"/>
        <v>0</v>
      </c>
      <c r="AD259" s="14">
        <f t="shared" si="41"/>
        <v>0</v>
      </c>
    </row>
    <row r="260" ht="15.75" customHeight="1">
      <c r="A260" s="14">
        <v>259.0</v>
      </c>
      <c r="B260" s="14" t="s">
        <v>766</v>
      </c>
      <c r="C260" s="14" t="s">
        <v>132</v>
      </c>
      <c r="D260" s="14">
        <v>12.0</v>
      </c>
      <c r="G260" s="14"/>
      <c r="H260" s="14">
        <v>1.0</v>
      </c>
      <c r="I260" s="14">
        <v>1870.0</v>
      </c>
      <c r="J260" s="14">
        <v>1875.0</v>
      </c>
      <c r="K260" s="14">
        <f t="shared" si="1"/>
        <v>5</v>
      </c>
      <c r="L260" s="14">
        <v>5.0</v>
      </c>
      <c r="M260" s="14">
        <v>0.0</v>
      </c>
      <c r="N260" s="14">
        <v>0.0</v>
      </c>
      <c r="O260" s="14">
        <v>0.0</v>
      </c>
      <c r="P260" s="14">
        <v>3.0</v>
      </c>
      <c r="Q260" s="14">
        <v>0.0</v>
      </c>
      <c r="R260" s="14">
        <v>0.0</v>
      </c>
      <c r="S260" s="14"/>
      <c r="T260" s="31">
        <f t="shared" si="2"/>
        <v>8</v>
      </c>
      <c r="U260" s="42" t="s">
        <v>45</v>
      </c>
      <c r="W260" s="14"/>
      <c r="Z260" s="14"/>
      <c r="AA260" s="14" t="str">
        <f t="shared" si="3"/>
        <v/>
      </c>
      <c r="AB260" s="14">
        <f t="shared" si="4"/>
        <v>8</v>
      </c>
      <c r="AC260" s="14">
        <f t="shared" si="5"/>
        <v>0</v>
      </c>
      <c r="AD260" s="14">
        <f t="shared" si="41"/>
        <v>0</v>
      </c>
    </row>
    <row r="261" ht="15.75" customHeight="1">
      <c r="A261" s="14">
        <v>260.0</v>
      </c>
      <c r="B261" s="14" t="s">
        <v>769</v>
      </c>
      <c r="C261" s="14" t="s">
        <v>132</v>
      </c>
      <c r="D261" s="14">
        <v>13.0</v>
      </c>
      <c r="G261" s="14"/>
      <c r="H261" s="14">
        <v>1.0</v>
      </c>
      <c r="I261" s="14">
        <v>2576.0</v>
      </c>
      <c r="J261" s="14">
        <v>2592.0</v>
      </c>
      <c r="K261" s="14">
        <f t="shared" si="1"/>
        <v>16</v>
      </c>
      <c r="L261" s="14">
        <v>16.0</v>
      </c>
      <c r="M261" s="14">
        <v>0.0</v>
      </c>
      <c r="N261" s="14">
        <v>0.0</v>
      </c>
      <c r="O261" s="14">
        <v>0.0</v>
      </c>
      <c r="P261" s="14">
        <v>3.0</v>
      </c>
      <c r="Q261" s="14">
        <v>0.0</v>
      </c>
      <c r="R261" s="14">
        <v>0.0</v>
      </c>
      <c r="S261" s="14"/>
      <c r="T261" s="31">
        <f t="shared" si="2"/>
        <v>19</v>
      </c>
      <c r="U261" s="42" t="s">
        <v>45</v>
      </c>
      <c r="V261" s="26"/>
      <c r="W261" s="14"/>
      <c r="Z261" s="14"/>
      <c r="AA261" s="14" t="str">
        <f t="shared" si="3"/>
        <v/>
      </c>
      <c r="AB261" s="14">
        <f t="shared" si="4"/>
        <v>19</v>
      </c>
      <c r="AC261" s="14">
        <f t="shared" si="5"/>
        <v>0</v>
      </c>
      <c r="AD261" s="14">
        <f t="shared" si="41"/>
        <v>0</v>
      </c>
    </row>
    <row r="262" ht="15.75" customHeight="1">
      <c r="A262" s="14">
        <v>261.0</v>
      </c>
      <c r="B262" s="14" t="s">
        <v>771</v>
      </c>
      <c r="C262" s="14" t="s">
        <v>132</v>
      </c>
      <c r="D262" s="14">
        <v>14.0</v>
      </c>
      <c r="G262" s="14"/>
      <c r="H262" s="14">
        <v>1.0</v>
      </c>
      <c r="I262" s="14">
        <v>593.0</v>
      </c>
      <c r="J262" s="14">
        <v>600.0</v>
      </c>
      <c r="K262" s="14">
        <f t="shared" si="1"/>
        <v>7</v>
      </c>
      <c r="L262" s="14">
        <v>7.0</v>
      </c>
      <c r="M262" s="14">
        <v>0.0</v>
      </c>
      <c r="N262" s="14">
        <v>0.0</v>
      </c>
      <c r="O262" s="14">
        <v>0.0</v>
      </c>
      <c r="P262" s="14">
        <v>3.0</v>
      </c>
      <c r="Q262" s="14">
        <v>0.0</v>
      </c>
      <c r="R262" s="14">
        <v>0.0</v>
      </c>
      <c r="S262" s="14"/>
      <c r="T262" s="31">
        <f t="shared" si="2"/>
        <v>10</v>
      </c>
      <c r="U262" s="14" t="s">
        <v>45</v>
      </c>
      <c r="V262" s="26"/>
      <c r="W262" s="14" t="s">
        <v>46</v>
      </c>
      <c r="Z262" s="14"/>
      <c r="AA262" s="14" t="str">
        <f t="shared" si="3"/>
        <v/>
      </c>
      <c r="AB262" s="14">
        <f t="shared" si="4"/>
        <v>0</v>
      </c>
      <c r="AC262" s="14">
        <f t="shared" si="5"/>
        <v>10</v>
      </c>
      <c r="AD262" s="14">
        <f t="shared" si="41"/>
        <v>1</v>
      </c>
    </row>
    <row r="263" ht="15.75" customHeight="1">
      <c r="A263" s="14">
        <v>262.0</v>
      </c>
      <c r="B263" s="14" t="s">
        <v>772</v>
      </c>
      <c r="C263" s="14" t="s">
        <v>132</v>
      </c>
      <c r="D263" s="14">
        <v>15.0</v>
      </c>
      <c r="G263" s="14"/>
      <c r="H263" s="14">
        <v>1.0</v>
      </c>
      <c r="I263" s="14">
        <v>930.0</v>
      </c>
      <c r="J263" s="14">
        <v>943.0</v>
      </c>
      <c r="K263" s="14">
        <f t="shared" si="1"/>
        <v>13</v>
      </c>
      <c r="L263" s="14">
        <v>13.0</v>
      </c>
      <c r="M263" s="14">
        <v>0.0</v>
      </c>
      <c r="N263" s="14">
        <v>0.0</v>
      </c>
      <c r="O263" s="14">
        <v>0.0</v>
      </c>
      <c r="P263" s="14">
        <v>3.0</v>
      </c>
      <c r="Q263" s="36">
        <v>0.0</v>
      </c>
      <c r="R263" s="36"/>
      <c r="S263" s="23"/>
      <c r="T263" s="31">
        <f t="shared" si="2"/>
        <v>16</v>
      </c>
      <c r="U263" s="23" t="s">
        <v>45</v>
      </c>
      <c r="V263" s="26"/>
      <c r="W263" s="23" t="s">
        <v>46</v>
      </c>
      <c r="Y263" s="23" t="s">
        <v>320</v>
      </c>
      <c r="Z263" s="14"/>
      <c r="AA263" s="14" t="str">
        <f t="shared" si="3"/>
        <v/>
      </c>
      <c r="AB263" s="14">
        <f t="shared" si="4"/>
        <v>0</v>
      </c>
      <c r="AC263" s="14">
        <f t="shared" si="5"/>
        <v>16</v>
      </c>
      <c r="AD263" s="14">
        <f t="shared" si="41"/>
        <v>1</v>
      </c>
    </row>
    <row r="264" ht="15.75" customHeight="1">
      <c r="A264" s="14">
        <v>263.0</v>
      </c>
      <c r="B264" s="14" t="s">
        <v>774</v>
      </c>
      <c r="C264" s="14" t="s">
        <v>132</v>
      </c>
      <c r="D264" s="14">
        <v>16.0</v>
      </c>
      <c r="G264" s="14"/>
      <c r="H264" s="14">
        <v>1.0</v>
      </c>
      <c r="I264" s="14">
        <v>499.0</v>
      </c>
      <c r="J264" s="14">
        <v>503.0</v>
      </c>
      <c r="K264" s="14">
        <f t="shared" si="1"/>
        <v>4</v>
      </c>
      <c r="L264" s="14">
        <v>5.0</v>
      </c>
      <c r="M264" s="14">
        <v>0.0</v>
      </c>
      <c r="N264" s="14">
        <v>0.0</v>
      </c>
      <c r="O264" s="14">
        <v>0.0</v>
      </c>
      <c r="P264" s="14">
        <v>3.0</v>
      </c>
      <c r="Q264" s="36">
        <v>0.0</v>
      </c>
      <c r="R264" s="40">
        <v>15.0</v>
      </c>
      <c r="S264" s="14"/>
      <c r="T264" s="31">
        <f t="shared" si="2"/>
        <v>23</v>
      </c>
      <c r="U264" s="14" t="s">
        <v>45</v>
      </c>
      <c r="V264" s="26"/>
      <c r="W264" s="14" t="s">
        <v>46</v>
      </c>
      <c r="Y264" s="23" t="s">
        <v>161</v>
      </c>
      <c r="Z264" s="14"/>
      <c r="AA264" s="14" t="str">
        <f t="shared" si="3"/>
        <v/>
      </c>
      <c r="AB264" s="14">
        <f t="shared" si="4"/>
        <v>0</v>
      </c>
      <c r="AC264" s="14">
        <f t="shared" si="5"/>
        <v>23</v>
      </c>
      <c r="AD264" s="14"/>
    </row>
    <row r="265" ht="15.75" customHeight="1">
      <c r="A265" s="14">
        <v>264.0</v>
      </c>
      <c r="B265" s="14" t="s">
        <v>673</v>
      </c>
      <c r="C265" s="14" t="s">
        <v>132</v>
      </c>
      <c r="D265" s="14">
        <v>17.0</v>
      </c>
      <c r="G265" s="14"/>
      <c r="H265" s="14">
        <v>1.0</v>
      </c>
      <c r="I265" s="14">
        <v>1346.0</v>
      </c>
      <c r="J265" s="14">
        <v>1362.0</v>
      </c>
      <c r="K265" s="14">
        <f t="shared" si="1"/>
        <v>16</v>
      </c>
      <c r="L265" s="14">
        <v>16.0</v>
      </c>
      <c r="M265" s="14">
        <v>0.0</v>
      </c>
      <c r="N265" s="14">
        <v>0.0</v>
      </c>
      <c r="O265" s="14">
        <v>0.0</v>
      </c>
      <c r="P265" s="14">
        <v>3.0</v>
      </c>
      <c r="Q265" s="36">
        <v>0.0</v>
      </c>
      <c r="R265" s="36">
        <v>30.0</v>
      </c>
      <c r="S265" s="14"/>
      <c r="T265" s="31">
        <f t="shared" si="2"/>
        <v>49</v>
      </c>
      <c r="U265" s="68" t="s">
        <v>45</v>
      </c>
      <c r="V265" s="26"/>
      <c r="W265" s="14"/>
      <c r="Y265" s="43" t="s">
        <v>674</v>
      </c>
      <c r="Z265" s="14"/>
      <c r="AA265" s="14" t="str">
        <f t="shared" si="3"/>
        <v/>
      </c>
      <c r="AB265" s="14">
        <f t="shared" si="4"/>
        <v>49</v>
      </c>
      <c r="AC265" s="14">
        <f t="shared" si="5"/>
        <v>0</v>
      </c>
      <c r="AD265" s="14">
        <f t="shared" ref="AD265:AD274" si="42">IF(ISBLANK(W265),0,1)</f>
        <v>0</v>
      </c>
    </row>
    <row r="266" ht="15.75" hidden="1" customHeight="1">
      <c r="A266" s="14">
        <v>265.0</v>
      </c>
      <c r="B266" s="14" t="s">
        <v>778</v>
      </c>
      <c r="C266" s="14" t="s">
        <v>132</v>
      </c>
      <c r="D266" s="14">
        <v>18.0</v>
      </c>
      <c r="G266" s="14"/>
      <c r="H266" s="14">
        <v>1.0</v>
      </c>
      <c r="I266" s="14">
        <v>304.0</v>
      </c>
      <c r="J266" s="14">
        <v>310.0</v>
      </c>
      <c r="K266" s="14">
        <f t="shared" si="1"/>
        <v>6</v>
      </c>
      <c r="L266" s="14">
        <v>6.0</v>
      </c>
      <c r="M266" s="14">
        <v>0.0</v>
      </c>
      <c r="N266" s="14">
        <v>0.0</v>
      </c>
      <c r="O266" s="14">
        <v>0.0</v>
      </c>
      <c r="P266" s="14">
        <v>3.0</v>
      </c>
      <c r="Q266" s="14">
        <v>0.0</v>
      </c>
      <c r="R266" s="14">
        <v>0.0</v>
      </c>
      <c r="S266" s="14"/>
      <c r="T266" s="31">
        <f t="shared" si="2"/>
        <v>9</v>
      </c>
      <c r="U266" s="14"/>
      <c r="W266" s="14"/>
      <c r="Z266" s="14"/>
      <c r="AA266" s="14" t="str">
        <f t="shared" si="3"/>
        <v/>
      </c>
      <c r="AB266" s="14">
        <f t="shared" si="4"/>
        <v>0</v>
      </c>
      <c r="AC266" s="14">
        <f t="shared" si="5"/>
        <v>0</v>
      </c>
      <c r="AD266" s="14">
        <f t="shared" si="42"/>
        <v>0</v>
      </c>
    </row>
    <row r="267" ht="15.75" hidden="1" customHeight="1">
      <c r="A267" s="14">
        <v>266.0</v>
      </c>
      <c r="B267" s="14" t="s">
        <v>779</v>
      </c>
      <c r="C267" s="14" t="s">
        <v>132</v>
      </c>
      <c r="D267" s="14">
        <v>19.0</v>
      </c>
      <c r="G267" s="14"/>
      <c r="H267" s="14">
        <v>1.0</v>
      </c>
      <c r="I267" s="14">
        <v>2363.0</v>
      </c>
      <c r="J267" s="14">
        <v>2370.0</v>
      </c>
      <c r="K267" s="14">
        <f t="shared" si="1"/>
        <v>7</v>
      </c>
      <c r="L267" s="14">
        <v>7.0</v>
      </c>
      <c r="M267" s="14">
        <v>0.0</v>
      </c>
      <c r="N267" s="14">
        <v>0.0</v>
      </c>
      <c r="O267" s="14">
        <v>0.0</v>
      </c>
      <c r="P267" s="14">
        <v>3.0</v>
      </c>
      <c r="Q267" s="14">
        <v>0.0</v>
      </c>
      <c r="R267" s="14">
        <v>0.0</v>
      </c>
      <c r="S267" s="14"/>
      <c r="T267" s="31">
        <f t="shared" si="2"/>
        <v>10</v>
      </c>
      <c r="U267" s="14"/>
      <c r="W267" s="14"/>
      <c r="Z267" s="14"/>
      <c r="AA267" s="14" t="str">
        <f t="shared" si="3"/>
        <v/>
      </c>
      <c r="AB267" s="14">
        <f t="shared" si="4"/>
        <v>0</v>
      </c>
      <c r="AC267" s="14">
        <f t="shared" si="5"/>
        <v>0</v>
      </c>
      <c r="AD267" s="14">
        <f t="shared" si="42"/>
        <v>0</v>
      </c>
    </row>
    <row r="268" ht="15.75" customHeight="1">
      <c r="A268" s="14">
        <v>267.0</v>
      </c>
      <c r="B268" s="14" t="s">
        <v>782</v>
      </c>
      <c r="C268" s="14" t="s">
        <v>132</v>
      </c>
      <c r="D268" s="14">
        <v>20.0</v>
      </c>
      <c r="G268" s="14"/>
      <c r="H268" s="14">
        <v>1.0</v>
      </c>
      <c r="I268" s="14">
        <v>124.0</v>
      </c>
      <c r="J268" s="14">
        <v>136.0</v>
      </c>
      <c r="K268" s="14">
        <f t="shared" si="1"/>
        <v>12</v>
      </c>
      <c r="L268" s="14">
        <v>12.0</v>
      </c>
      <c r="M268" s="14">
        <v>0.0</v>
      </c>
      <c r="N268" s="14">
        <v>0.0</v>
      </c>
      <c r="O268" s="14">
        <v>0.0</v>
      </c>
      <c r="P268" s="14">
        <v>3.0</v>
      </c>
      <c r="Q268" s="14">
        <v>0.0</v>
      </c>
      <c r="R268" s="14">
        <v>0.0</v>
      </c>
      <c r="S268" s="14"/>
      <c r="T268" s="31">
        <f t="shared" si="2"/>
        <v>15</v>
      </c>
      <c r="U268" s="14" t="s">
        <v>45</v>
      </c>
      <c r="V268" s="26"/>
      <c r="W268" s="14" t="s">
        <v>46</v>
      </c>
      <c r="Z268" s="14"/>
      <c r="AA268" s="14" t="str">
        <f t="shared" si="3"/>
        <v/>
      </c>
      <c r="AB268" s="14">
        <f t="shared" si="4"/>
        <v>0</v>
      </c>
      <c r="AC268" s="14">
        <f t="shared" si="5"/>
        <v>15</v>
      </c>
      <c r="AD268" s="14">
        <f t="shared" si="42"/>
        <v>1</v>
      </c>
    </row>
    <row r="269" ht="15.75" customHeight="1">
      <c r="A269" s="14">
        <v>268.0</v>
      </c>
      <c r="B269" s="14" t="s">
        <v>784</v>
      </c>
      <c r="C269" s="14" t="s">
        <v>132</v>
      </c>
      <c r="D269" s="14">
        <v>21.0</v>
      </c>
      <c r="G269" s="14"/>
      <c r="H269" s="14">
        <v>1.0</v>
      </c>
      <c r="I269" s="14">
        <v>1090.0</v>
      </c>
      <c r="J269" s="14">
        <v>1109.0</v>
      </c>
      <c r="K269" s="14">
        <f t="shared" si="1"/>
        <v>19</v>
      </c>
      <c r="L269" s="14">
        <v>19.0</v>
      </c>
      <c r="M269" s="14">
        <v>0.0</v>
      </c>
      <c r="N269" s="14">
        <v>0.0</v>
      </c>
      <c r="O269" s="14">
        <v>0.0</v>
      </c>
      <c r="P269" s="14">
        <v>3.0</v>
      </c>
      <c r="Q269" s="36">
        <v>0.0</v>
      </c>
      <c r="R269" s="36">
        <v>30.0</v>
      </c>
      <c r="S269" s="14"/>
      <c r="T269" s="31">
        <f t="shared" si="2"/>
        <v>52</v>
      </c>
      <c r="U269" s="14" t="s">
        <v>45</v>
      </c>
      <c r="V269" s="26"/>
      <c r="W269" s="14" t="s">
        <v>46</v>
      </c>
      <c r="Z269" s="14"/>
      <c r="AA269" s="14" t="str">
        <f t="shared" si="3"/>
        <v/>
      </c>
      <c r="AB269" s="14">
        <f t="shared" si="4"/>
        <v>0</v>
      </c>
      <c r="AC269" s="14">
        <f t="shared" si="5"/>
        <v>52</v>
      </c>
      <c r="AD269" s="14">
        <f t="shared" si="42"/>
        <v>1</v>
      </c>
    </row>
    <row r="270" ht="15.75" customHeight="1">
      <c r="A270" s="14">
        <v>269.0</v>
      </c>
      <c r="B270" s="14" t="s">
        <v>787</v>
      </c>
      <c r="C270" s="14" t="s">
        <v>132</v>
      </c>
      <c r="D270" s="14">
        <v>22.0</v>
      </c>
      <c r="G270" s="14"/>
      <c r="H270" s="14">
        <v>1.0</v>
      </c>
      <c r="I270" s="14">
        <v>1142.0</v>
      </c>
      <c r="J270" s="14">
        <v>1149.0</v>
      </c>
      <c r="K270" s="14">
        <f t="shared" si="1"/>
        <v>7</v>
      </c>
      <c r="L270" s="14">
        <v>7.0</v>
      </c>
      <c r="M270" s="14">
        <v>0.0</v>
      </c>
      <c r="N270" s="14">
        <v>0.0</v>
      </c>
      <c r="O270" s="14">
        <v>0.0</v>
      </c>
      <c r="P270" s="14">
        <v>3.0</v>
      </c>
      <c r="Q270" s="36">
        <v>0.0</v>
      </c>
      <c r="R270" s="36">
        <v>30.0</v>
      </c>
      <c r="S270" s="14"/>
      <c r="T270" s="31">
        <f t="shared" si="2"/>
        <v>40</v>
      </c>
      <c r="U270" s="14" t="s">
        <v>45</v>
      </c>
      <c r="V270" s="26"/>
      <c r="W270" s="14" t="s">
        <v>46</v>
      </c>
      <c r="Z270" s="14"/>
      <c r="AA270" s="14" t="str">
        <f t="shared" si="3"/>
        <v/>
      </c>
      <c r="AB270" s="14">
        <f t="shared" si="4"/>
        <v>0</v>
      </c>
      <c r="AC270" s="14">
        <f t="shared" si="5"/>
        <v>40</v>
      </c>
      <c r="AD270" s="14">
        <f t="shared" si="42"/>
        <v>1</v>
      </c>
    </row>
    <row r="271" ht="15.75" customHeight="1">
      <c r="A271" s="14">
        <v>270.0</v>
      </c>
      <c r="B271" s="14" t="s">
        <v>789</v>
      </c>
      <c r="C271" s="14" t="s">
        <v>132</v>
      </c>
      <c r="D271" s="14">
        <v>23.0</v>
      </c>
      <c r="E271" s="14"/>
      <c r="G271" s="14"/>
      <c r="H271" s="14">
        <v>1.0</v>
      </c>
      <c r="I271" s="14">
        <v>63.0</v>
      </c>
      <c r="J271" s="14">
        <v>67.0</v>
      </c>
      <c r="K271" s="14">
        <f t="shared" si="1"/>
        <v>4</v>
      </c>
      <c r="L271" s="14">
        <v>5.0</v>
      </c>
      <c r="M271" s="14">
        <v>0.0</v>
      </c>
      <c r="N271" s="14">
        <v>0.0</v>
      </c>
      <c r="O271" s="14">
        <v>0.0</v>
      </c>
      <c r="P271" s="14">
        <v>3.0</v>
      </c>
      <c r="Q271" s="36">
        <v>0.0</v>
      </c>
      <c r="R271" s="36">
        <v>30.0</v>
      </c>
      <c r="S271" s="14"/>
      <c r="T271" s="31">
        <f t="shared" si="2"/>
        <v>38</v>
      </c>
      <c r="U271" s="14" t="s">
        <v>45</v>
      </c>
      <c r="W271" s="14" t="s">
        <v>46</v>
      </c>
      <c r="Z271" s="14"/>
      <c r="AA271" s="14" t="str">
        <f t="shared" si="3"/>
        <v/>
      </c>
      <c r="AB271" s="14">
        <f t="shared" si="4"/>
        <v>0</v>
      </c>
      <c r="AC271" s="14">
        <f t="shared" si="5"/>
        <v>38</v>
      </c>
      <c r="AD271" s="14">
        <f t="shared" si="42"/>
        <v>1</v>
      </c>
    </row>
    <row r="272" ht="15.75" customHeight="1">
      <c r="A272" s="14">
        <v>271.0</v>
      </c>
      <c r="B272" s="14" t="s">
        <v>792</v>
      </c>
      <c r="C272" s="14" t="s">
        <v>132</v>
      </c>
      <c r="D272" s="14">
        <v>24.0</v>
      </c>
      <c r="G272" s="14"/>
      <c r="H272" s="14">
        <v>1.0</v>
      </c>
      <c r="I272" s="14">
        <v>140.0</v>
      </c>
      <c r="J272" s="14">
        <v>140.0</v>
      </c>
      <c r="K272" s="14">
        <f t="shared" si="1"/>
        <v>0</v>
      </c>
      <c r="L272" s="14">
        <v>5.0</v>
      </c>
      <c r="M272" s="14">
        <v>0.0</v>
      </c>
      <c r="N272" s="14">
        <v>0.0</v>
      </c>
      <c r="O272" s="14">
        <v>0.0</v>
      </c>
      <c r="P272" s="14">
        <v>3.0</v>
      </c>
      <c r="Q272" s="36">
        <v>0.0</v>
      </c>
      <c r="R272" s="36">
        <v>30.0</v>
      </c>
      <c r="S272" s="14"/>
      <c r="T272" s="31">
        <f t="shared" si="2"/>
        <v>38</v>
      </c>
      <c r="U272" s="14" t="s">
        <v>45</v>
      </c>
      <c r="V272" s="70"/>
      <c r="W272" s="14" t="s">
        <v>46</v>
      </c>
      <c r="Z272" s="14"/>
      <c r="AA272" s="14" t="str">
        <f t="shared" si="3"/>
        <v/>
      </c>
      <c r="AB272" s="14">
        <f t="shared" si="4"/>
        <v>0</v>
      </c>
      <c r="AC272" s="14">
        <f t="shared" si="5"/>
        <v>38</v>
      </c>
      <c r="AD272" s="14">
        <f t="shared" si="42"/>
        <v>1</v>
      </c>
    </row>
    <row r="273" ht="15.75" customHeight="1">
      <c r="A273" s="14">
        <v>272.0</v>
      </c>
      <c r="B273" s="14" t="s">
        <v>796</v>
      </c>
      <c r="C273" s="14" t="s">
        <v>132</v>
      </c>
      <c r="D273" s="14">
        <v>25.0</v>
      </c>
      <c r="G273" s="14"/>
      <c r="H273" s="14">
        <v>1.0</v>
      </c>
      <c r="I273" s="14">
        <v>1163.0</v>
      </c>
      <c r="J273" s="14">
        <v>1167.0</v>
      </c>
      <c r="K273" s="14">
        <f t="shared" si="1"/>
        <v>4</v>
      </c>
      <c r="L273" s="14">
        <v>5.0</v>
      </c>
      <c r="M273" s="14">
        <v>0.0</v>
      </c>
      <c r="N273" s="14">
        <v>0.0</v>
      </c>
      <c r="O273" s="14">
        <v>0.0</v>
      </c>
      <c r="P273" s="14">
        <v>3.0</v>
      </c>
      <c r="Q273" s="36">
        <v>0.0</v>
      </c>
      <c r="R273" s="36">
        <v>30.0</v>
      </c>
      <c r="S273" s="14"/>
      <c r="T273" s="31">
        <f t="shared" si="2"/>
        <v>38</v>
      </c>
      <c r="U273" s="14" t="s">
        <v>45</v>
      </c>
      <c r="V273" s="26"/>
      <c r="W273" s="14" t="s">
        <v>46</v>
      </c>
      <c r="X273" s="14"/>
      <c r="Y273" s="14"/>
      <c r="Z273" s="14"/>
      <c r="AA273" s="14" t="str">
        <f t="shared" si="3"/>
        <v/>
      </c>
      <c r="AB273" s="14">
        <f t="shared" si="4"/>
        <v>0</v>
      </c>
      <c r="AC273" s="14">
        <f t="shared" si="5"/>
        <v>38</v>
      </c>
      <c r="AD273" s="14">
        <f t="shared" si="42"/>
        <v>1</v>
      </c>
    </row>
    <row r="274" ht="15.75" customHeight="1">
      <c r="A274" s="14">
        <v>273.0</v>
      </c>
      <c r="B274" s="14" t="s">
        <v>797</v>
      </c>
      <c r="C274" s="14" t="s">
        <v>132</v>
      </c>
      <c r="D274" s="14">
        <v>26.0</v>
      </c>
      <c r="G274" s="14"/>
      <c r="H274" s="14">
        <v>1.0</v>
      </c>
      <c r="I274" s="14">
        <v>619.0</v>
      </c>
      <c r="J274" s="14">
        <v>619.0</v>
      </c>
      <c r="K274" s="14">
        <f t="shared" si="1"/>
        <v>0</v>
      </c>
      <c r="L274" s="14">
        <v>5.0</v>
      </c>
      <c r="M274" s="14">
        <v>0.0</v>
      </c>
      <c r="N274" s="14">
        <v>0.0</v>
      </c>
      <c r="O274" s="14">
        <v>0.0</v>
      </c>
      <c r="P274" s="14">
        <v>3.0</v>
      </c>
      <c r="Q274" s="36">
        <v>0.0</v>
      </c>
      <c r="R274" s="36">
        <v>30.0</v>
      </c>
      <c r="S274" s="14"/>
      <c r="T274" s="31">
        <f t="shared" si="2"/>
        <v>38</v>
      </c>
      <c r="U274" s="42" t="s">
        <v>45</v>
      </c>
      <c r="V274" s="26"/>
      <c r="W274" s="14"/>
      <c r="Z274" s="14"/>
      <c r="AA274" s="14" t="str">
        <f t="shared" si="3"/>
        <v/>
      </c>
      <c r="AB274" s="14">
        <f t="shared" si="4"/>
        <v>38</v>
      </c>
      <c r="AC274" s="14">
        <f t="shared" si="5"/>
        <v>0</v>
      </c>
      <c r="AD274" s="14">
        <f t="shared" si="42"/>
        <v>0</v>
      </c>
    </row>
    <row r="275" ht="15.75" hidden="1" customHeight="1">
      <c r="A275" s="14">
        <v>274.0</v>
      </c>
      <c r="B275" s="14" t="s">
        <v>800</v>
      </c>
      <c r="C275" s="14" t="s">
        <v>132</v>
      </c>
      <c r="D275" s="14">
        <v>27.0</v>
      </c>
      <c r="G275" s="14"/>
      <c r="H275" s="14">
        <v>1.0</v>
      </c>
      <c r="I275" s="14">
        <v>1110.0</v>
      </c>
      <c r="J275" s="14">
        <v>1124.0</v>
      </c>
      <c r="K275" s="14">
        <f t="shared" si="1"/>
        <v>14</v>
      </c>
      <c r="L275" s="14">
        <v>14.0</v>
      </c>
      <c r="M275" s="14">
        <v>0.0</v>
      </c>
      <c r="N275" s="14">
        <v>0.0</v>
      </c>
      <c r="O275" s="14">
        <v>0.0</v>
      </c>
      <c r="P275" s="14">
        <v>3.0</v>
      </c>
      <c r="Q275" s="14">
        <v>0.0</v>
      </c>
      <c r="R275" s="14">
        <v>0.0</v>
      </c>
      <c r="S275" s="14"/>
      <c r="T275" s="31">
        <f t="shared" si="2"/>
        <v>17</v>
      </c>
      <c r="U275" s="14"/>
      <c r="V275" s="70"/>
      <c r="W275" s="14"/>
      <c r="Z275" s="14"/>
      <c r="AA275" s="14" t="str">
        <f t="shared" si="3"/>
        <v/>
      </c>
      <c r="AB275" s="14">
        <f t="shared" si="4"/>
        <v>0</v>
      </c>
      <c r="AC275" s="14">
        <f t="shared" si="5"/>
        <v>0</v>
      </c>
      <c r="AD275" s="14"/>
    </row>
    <row r="276" ht="15.75" customHeight="1">
      <c r="A276" s="14">
        <v>275.0</v>
      </c>
      <c r="B276" s="14" t="s">
        <v>801</v>
      </c>
      <c r="C276" s="14" t="s">
        <v>132</v>
      </c>
      <c r="D276" s="14" t="s">
        <v>802</v>
      </c>
      <c r="E276" s="14"/>
      <c r="G276" s="14"/>
      <c r="H276" s="14">
        <v>1.0</v>
      </c>
      <c r="I276" s="14">
        <v>157.0</v>
      </c>
      <c r="J276" s="14">
        <v>162.0</v>
      </c>
      <c r="K276" s="14">
        <f t="shared" si="1"/>
        <v>5</v>
      </c>
      <c r="L276" s="14">
        <v>5.0</v>
      </c>
      <c r="M276" s="14">
        <v>0.0</v>
      </c>
      <c r="N276" s="14">
        <v>0.0</v>
      </c>
      <c r="O276" s="14">
        <v>0.0</v>
      </c>
      <c r="P276" s="14">
        <v>3.0</v>
      </c>
      <c r="Q276" s="14">
        <v>0.0</v>
      </c>
      <c r="R276" s="14">
        <v>0.0</v>
      </c>
      <c r="S276" s="14"/>
      <c r="T276" s="31">
        <f t="shared" si="2"/>
        <v>8</v>
      </c>
      <c r="U276" s="42" t="s">
        <v>45</v>
      </c>
      <c r="W276" s="14"/>
      <c r="Z276" s="14"/>
      <c r="AA276" s="14" t="str">
        <f t="shared" si="3"/>
        <v/>
      </c>
      <c r="AB276" s="14">
        <f t="shared" si="4"/>
        <v>8</v>
      </c>
      <c r="AC276" s="14">
        <f t="shared" si="5"/>
        <v>0</v>
      </c>
      <c r="AD276" s="14"/>
    </row>
    <row r="277" ht="15.75" customHeight="1">
      <c r="A277" s="14">
        <v>276.0</v>
      </c>
      <c r="B277" s="14" t="s">
        <v>805</v>
      </c>
      <c r="C277" s="14" t="s">
        <v>132</v>
      </c>
      <c r="D277" s="14">
        <v>28.0</v>
      </c>
      <c r="G277" s="14"/>
      <c r="H277" s="14">
        <v>1.0</v>
      </c>
      <c r="I277" s="14">
        <v>1093.0</v>
      </c>
      <c r="J277" s="14">
        <v>1095.0</v>
      </c>
      <c r="K277" s="14">
        <f t="shared" si="1"/>
        <v>2</v>
      </c>
      <c r="L277" s="14">
        <v>5.0</v>
      </c>
      <c r="M277" s="14">
        <v>0.0</v>
      </c>
      <c r="N277" s="14">
        <v>0.0</v>
      </c>
      <c r="O277" s="14">
        <v>0.0</v>
      </c>
      <c r="P277" s="14">
        <v>3.0</v>
      </c>
      <c r="Q277" s="14">
        <v>0.0</v>
      </c>
      <c r="R277" s="14">
        <v>0.0</v>
      </c>
      <c r="S277" s="14"/>
      <c r="T277" s="31">
        <f t="shared" si="2"/>
        <v>8</v>
      </c>
      <c r="U277" s="42" t="s">
        <v>45</v>
      </c>
      <c r="V277" s="26"/>
      <c r="W277" s="14"/>
      <c r="Z277" s="14"/>
      <c r="AA277" s="14" t="str">
        <f t="shared" si="3"/>
        <v/>
      </c>
      <c r="AB277" s="14">
        <f t="shared" si="4"/>
        <v>8</v>
      </c>
      <c r="AC277" s="14">
        <f t="shared" si="5"/>
        <v>0</v>
      </c>
      <c r="AD277" s="14">
        <f t="shared" ref="AD277:AD283" si="43">IF(ISBLANK(W277),0,1)</f>
        <v>0</v>
      </c>
    </row>
    <row r="278" ht="15.75" customHeight="1">
      <c r="A278" s="14">
        <v>277.0</v>
      </c>
      <c r="B278" s="14" t="s">
        <v>806</v>
      </c>
      <c r="C278" s="14" t="s">
        <v>136</v>
      </c>
      <c r="D278" s="14">
        <v>1.0</v>
      </c>
      <c r="G278" s="14"/>
      <c r="H278" s="14">
        <v>1.0</v>
      </c>
      <c r="I278" s="14">
        <v>31.0</v>
      </c>
      <c r="J278" s="14">
        <v>41.0</v>
      </c>
      <c r="K278" s="14">
        <f t="shared" si="1"/>
        <v>10</v>
      </c>
      <c r="L278" s="14">
        <v>10.0</v>
      </c>
      <c r="M278" s="14">
        <v>11.0</v>
      </c>
      <c r="N278" s="14">
        <v>0.0</v>
      </c>
      <c r="O278" s="14">
        <v>0.0</v>
      </c>
      <c r="P278" s="14">
        <v>3.0</v>
      </c>
      <c r="Q278" s="14">
        <v>0.0</v>
      </c>
      <c r="R278" s="14">
        <v>0.0</v>
      </c>
      <c r="S278" s="14"/>
      <c r="T278" s="31">
        <f t="shared" si="2"/>
        <v>24</v>
      </c>
      <c r="U278" s="23" t="s">
        <v>45</v>
      </c>
      <c r="V278" s="26"/>
      <c r="W278" s="23" t="s">
        <v>46</v>
      </c>
      <c r="Z278" s="14"/>
      <c r="AA278" s="14" t="str">
        <f t="shared" si="3"/>
        <v/>
      </c>
      <c r="AB278" s="14">
        <f t="shared" si="4"/>
        <v>0</v>
      </c>
      <c r="AC278" s="14">
        <f t="shared" si="5"/>
        <v>24</v>
      </c>
      <c r="AD278" s="14">
        <f t="shared" si="43"/>
        <v>1</v>
      </c>
    </row>
    <row r="279" ht="15.75" customHeight="1">
      <c r="A279" s="14">
        <v>278.0</v>
      </c>
      <c r="B279" s="14" t="s">
        <v>809</v>
      </c>
      <c r="C279" s="14" t="s">
        <v>136</v>
      </c>
      <c r="D279" s="14">
        <v>2.0</v>
      </c>
      <c r="G279" s="14"/>
      <c r="H279" s="14">
        <v>1.0</v>
      </c>
      <c r="I279" s="14">
        <v>539.0</v>
      </c>
      <c r="J279" s="14">
        <v>554.0</v>
      </c>
      <c r="K279" s="14">
        <f t="shared" si="1"/>
        <v>15</v>
      </c>
      <c r="L279" s="14">
        <v>15.0</v>
      </c>
      <c r="M279" s="14">
        <v>0.0</v>
      </c>
      <c r="N279" s="14">
        <v>0.0</v>
      </c>
      <c r="O279" s="14">
        <v>0.0</v>
      </c>
      <c r="P279" s="14">
        <v>3.0</v>
      </c>
      <c r="Q279" s="14">
        <v>0.0</v>
      </c>
      <c r="R279" s="14">
        <v>0.0</v>
      </c>
      <c r="S279" s="14"/>
      <c r="T279" s="31">
        <f t="shared" si="2"/>
        <v>18</v>
      </c>
      <c r="U279" s="42" t="s">
        <v>45</v>
      </c>
      <c r="V279" s="26"/>
      <c r="W279" s="14"/>
      <c r="Z279" s="14"/>
      <c r="AA279" s="14" t="str">
        <f t="shared" si="3"/>
        <v/>
      </c>
      <c r="AB279" s="14">
        <f t="shared" si="4"/>
        <v>18</v>
      </c>
      <c r="AC279" s="14">
        <f t="shared" si="5"/>
        <v>0</v>
      </c>
      <c r="AD279" s="14">
        <f t="shared" si="43"/>
        <v>0</v>
      </c>
    </row>
    <row r="280" ht="15.75" customHeight="1">
      <c r="A280" s="14">
        <v>279.0</v>
      </c>
      <c r="B280" s="14" t="s">
        <v>810</v>
      </c>
      <c r="C280" s="14" t="s">
        <v>136</v>
      </c>
      <c r="D280" s="14">
        <v>3.0</v>
      </c>
      <c r="G280" s="14"/>
      <c r="H280" s="14">
        <v>1.0</v>
      </c>
      <c r="I280" s="14">
        <v>2459.0</v>
      </c>
      <c r="J280" s="14">
        <v>2480.0</v>
      </c>
      <c r="K280" s="14">
        <f t="shared" si="1"/>
        <v>21</v>
      </c>
      <c r="L280" s="14">
        <v>21.0</v>
      </c>
      <c r="M280" s="14">
        <v>0.0</v>
      </c>
      <c r="N280" s="14">
        <v>0.0</v>
      </c>
      <c r="O280" s="14">
        <v>0.0</v>
      </c>
      <c r="P280" s="14">
        <v>3.0</v>
      </c>
      <c r="Q280" s="14">
        <v>0.0</v>
      </c>
      <c r="R280" s="14">
        <v>0.0</v>
      </c>
      <c r="S280" s="14"/>
      <c r="T280" s="31">
        <f t="shared" si="2"/>
        <v>24</v>
      </c>
      <c r="U280" s="14" t="s">
        <v>45</v>
      </c>
      <c r="V280" s="26"/>
      <c r="W280" s="14" t="s">
        <v>46</v>
      </c>
      <c r="Z280" s="14"/>
      <c r="AA280" s="14" t="str">
        <f t="shared" si="3"/>
        <v/>
      </c>
      <c r="AB280" s="14">
        <f t="shared" si="4"/>
        <v>0</v>
      </c>
      <c r="AC280" s="14">
        <f t="shared" si="5"/>
        <v>24</v>
      </c>
      <c r="AD280" s="14">
        <f t="shared" si="43"/>
        <v>1</v>
      </c>
    </row>
    <row r="281" ht="15.75" customHeight="1">
      <c r="A281" s="14">
        <v>280.0</v>
      </c>
      <c r="B281" s="14" t="s">
        <v>813</v>
      </c>
      <c r="C281" s="14" t="s">
        <v>136</v>
      </c>
      <c r="D281" s="14">
        <v>4.0</v>
      </c>
      <c r="G281" s="14"/>
      <c r="H281" s="14">
        <v>1.0</v>
      </c>
      <c r="I281" s="14">
        <v>161.0</v>
      </c>
      <c r="J281" s="14">
        <v>177.0</v>
      </c>
      <c r="K281" s="14">
        <f t="shared" si="1"/>
        <v>16</v>
      </c>
      <c r="L281" s="14">
        <v>16.0</v>
      </c>
      <c r="M281" s="14">
        <v>0.0</v>
      </c>
      <c r="N281" s="14">
        <v>0.0</v>
      </c>
      <c r="O281" s="14">
        <v>0.0</v>
      </c>
      <c r="P281" s="14">
        <v>3.0</v>
      </c>
      <c r="Q281" s="14">
        <v>0.0</v>
      </c>
      <c r="R281" s="14">
        <v>0.0</v>
      </c>
      <c r="S281" s="14"/>
      <c r="T281" s="31">
        <f t="shared" si="2"/>
        <v>19</v>
      </c>
      <c r="U281" s="14" t="s">
        <v>45</v>
      </c>
      <c r="V281" s="26"/>
      <c r="W281" s="14" t="s">
        <v>46</v>
      </c>
      <c r="Z281" s="14"/>
      <c r="AA281" s="14" t="str">
        <f t="shared" si="3"/>
        <v/>
      </c>
      <c r="AB281" s="14">
        <f t="shared" si="4"/>
        <v>0</v>
      </c>
      <c r="AC281" s="14">
        <f t="shared" si="5"/>
        <v>19</v>
      </c>
      <c r="AD281" s="14">
        <f t="shared" si="43"/>
        <v>1</v>
      </c>
    </row>
    <row r="282" ht="15.75" customHeight="1">
      <c r="A282" s="14">
        <v>281.0</v>
      </c>
      <c r="B282" s="14" t="s">
        <v>815</v>
      </c>
      <c r="C282" s="14" t="s">
        <v>136</v>
      </c>
      <c r="D282" s="14">
        <v>5.0</v>
      </c>
      <c r="G282" s="14"/>
      <c r="H282" s="14">
        <v>1.0</v>
      </c>
      <c r="I282" s="14">
        <v>126.0</v>
      </c>
      <c r="J282" s="14">
        <v>132.0</v>
      </c>
      <c r="K282" s="14">
        <f t="shared" si="1"/>
        <v>6</v>
      </c>
      <c r="L282" s="14">
        <v>6.0</v>
      </c>
      <c r="M282" s="14">
        <v>0.0</v>
      </c>
      <c r="N282" s="14">
        <v>0.0</v>
      </c>
      <c r="O282" s="14">
        <v>0.0</v>
      </c>
      <c r="P282" s="14">
        <v>3.0</v>
      </c>
      <c r="Q282" s="36">
        <v>0.0</v>
      </c>
      <c r="R282" s="36">
        <v>30.0</v>
      </c>
      <c r="S282" s="14"/>
      <c r="T282" s="31">
        <f t="shared" si="2"/>
        <v>39</v>
      </c>
      <c r="U282" s="14" t="s">
        <v>45</v>
      </c>
      <c r="V282" s="26"/>
      <c r="W282" s="14" t="s">
        <v>46</v>
      </c>
      <c r="X282" s="14"/>
      <c r="Y282" s="14"/>
      <c r="Z282" s="14"/>
      <c r="AA282" s="14" t="str">
        <f t="shared" si="3"/>
        <v/>
      </c>
      <c r="AB282" s="14">
        <f t="shared" si="4"/>
        <v>0</v>
      </c>
      <c r="AC282" s="14">
        <f t="shared" si="5"/>
        <v>39</v>
      </c>
      <c r="AD282" s="14">
        <f t="shared" si="43"/>
        <v>1</v>
      </c>
    </row>
    <row r="283" ht="15.75" customHeight="1">
      <c r="A283" s="14">
        <v>282.0</v>
      </c>
      <c r="B283" s="14" t="s">
        <v>819</v>
      </c>
      <c r="C283" s="14" t="s">
        <v>136</v>
      </c>
      <c r="D283" s="14">
        <v>7.0</v>
      </c>
      <c r="G283" s="14"/>
      <c r="H283" s="14">
        <v>1.0</v>
      </c>
      <c r="I283" s="14">
        <v>1242.0</v>
      </c>
      <c r="J283" s="14">
        <v>1256.0</v>
      </c>
      <c r="K283" s="14">
        <f t="shared" si="1"/>
        <v>14</v>
      </c>
      <c r="L283" s="14">
        <v>14.0</v>
      </c>
      <c r="M283" s="14">
        <v>0.0</v>
      </c>
      <c r="N283" s="14">
        <v>0.0</v>
      </c>
      <c r="O283" s="14">
        <v>0.0</v>
      </c>
      <c r="P283" s="14">
        <v>3.0</v>
      </c>
      <c r="Q283" s="36">
        <v>0.0</v>
      </c>
      <c r="R283" s="36">
        <v>30.0</v>
      </c>
      <c r="S283" s="14"/>
      <c r="T283" s="31">
        <f t="shared" si="2"/>
        <v>47</v>
      </c>
      <c r="U283" s="14" t="s">
        <v>45</v>
      </c>
      <c r="V283" s="26"/>
      <c r="W283" s="14" t="s">
        <v>46</v>
      </c>
      <c r="Z283" s="14"/>
      <c r="AA283" s="14" t="str">
        <f t="shared" si="3"/>
        <v/>
      </c>
      <c r="AB283" s="14">
        <f t="shared" si="4"/>
        <v>0</v>
      </c>
      <c r="AC283" s="14">
        <f t="shared" si="5"/>
        <v>47</v>
      </c>
      <c r="AD283" s="14">
        <f t="shared" si="43"/>
        <v>1</v>
      </c>
    </row>
    <row r="284" ht="15.75" hidden="1" customHeight="1">
      <c r="A284" s="14">
        <v>283.0</v>
      </c>
      <c r="B284" s="14" t="s">
        <v>822</v>
      </c>
      <c r="C284" s="14" t="s">
        <v>136</v>
      </c>
      <c r="D284" s="14">
        <v>8.0</v>
      </c>
      <c r="G284" s="14"/>
      <c r="H284" s="14">
        <v>1.0</v>
      </c>
      <c r="I284" s="14">
        <v>2012.0</v>
      </c>
      <c r="J284" s="14">
        <v>2026.0</v>
      </c>
      <c r="K284" s="14">
        <f t="shared" si="1"/>
        <v>14</v>
      </c>
      <c r="L284" s="14">
        <v>14.0</v>
      </c>
      <c r="M284" s="14">
        <v>0.0</v>
      </c>
      <c r="N284" s="14">
        <v>0.0</v>
      </c>
      <c r="O284" s="14">
        <v>0.0</v>
      </c>
      <c r="P284" s="14">
        <v>3.0</v>
      </c>
      <c r="Q284" s="36">
        <v>0.0</v>
      </c>
      <c r="R284" s="36">
        <v>30.0</v>
      </c>
      <c r="S284" s="14"/>
      <c r="T284" s="31">
        <f t="shared" si="2"/>
        <v>47</v>
      </c>
      <c r="U284" s="14"/>
      <c r="V284" s="26"/>
      <c r="W284" s="14"/>
      <c r="Z284" s="14"/>
      <c r="AA284" s="14" t="str">
        <f t="shared" si="3"/>
        <v/>
      </c>
      <c r="AB284" s="14">
        <f t="shared" si="4"/>
        <v>0</v>
      </c>
      <c r="AC284" s="14">
        <f t="shared" si="5"/>
        <v>0</v>
      </c>
      <c r="AD284" s="14"/>
    </row>
    <row r="285" ht="15.75" customHeight="1">
      <c r="A285" s="14">
        <v>284.0</v>
      </c>
      <c r="B285" s="14" t="s">
        <v>825</v>
      </c>
      <c r="C285" s="14" t="s">
        <v>136</v>
      </c>
      <c r="D285" s="14">
        <v>10.0</v>
      </c>
      <c r="G285" s="14"/>
      <c r="H285" s="14">
        <v>1.0</v>
      </c>
      <c r="I285" s="14">
        <v>704.0</v>
      </c>
      <c r="J285" s="14">
        <v>709.0</v>
      </c>
      <c r="K285" s="14">
        <f t="shared" si="1"/>
        <v>5</v>
      </c>
      <c r="L285" s="14">
        <v>5.0</v>
      </c>
      <c r="M285" s="14">
        <v>0.0</v>
      </c>
      <c r="N285" s="14">
        <v>0.0</v>
      </c>
      <c r="O285" s="14">
        <v>0.0</v>
      </c>
      <c r="P285" s="14">
        <v>3.0</v>
      </c>
      <c r="Q285" s="36">
        <v>0.0</v>
      </c>
      <c r="R285" s="36">
        <v>30.0</v>
      </c>
      <c r="S285" s="14"/>
      <c r="T285" s="31">
        <f t="shared" si="2"/>
        <v>38</v>
      </c>
      <c r="U285" s="14" t="s">
        <v>45</v>
      </c>
      <c r="V285" s="26"/>
      <c r="W285" s="14" t="s">
        <v>46</v>
      </c>
      <c r="X285" s="14"/>
      <c r="Y285" s="14"/>
      <c r="Z285" s="14"/>
      <c r="AA285" s="14" t="str">
        <f t="shared" si="3"/>
        <v/>
      </c>
      <c r="AB285" s="14">
        <f t="shared" si="4"/>
        <v>0</v>
      </c>
      <c r="AC285" s="14">
        <f t="shared" si="5"/>
        <v>38</v>
      </c>
      <c r="AD285" s="14">
        <f>IF(ISBLANK(W285),0,1)</f>
        <v>1</v>
      </c>
    </row>
    <row r="286" ht="15.75" customHeight="1">
      <c r="A286" s="14">
        <v>285.0</v>
      </c>
      <c r="B286" s="56" t="s">
        <v>826</v>
      </c>
      <c r="C286" s="36" t="s">
        <v>136</v>
      </c>
      <c r="D286" s="14">
        <v>11.0</v>
      </c>
      <c r="G286" s="14"/>
      <c r="H286" s="14">
        <v>1.0</v>
      </c>
      <c r="I286" s="14">
        <v>1921.0</v>
      </c>
      <c r="J286" s="14">
        <v>1930.0</v>
      </c>
      <c r="K286" s="14">
        <f t="shared" si="1"/>
        <v>9</v>
      </c>
      <c r="L286" s="14">
        <v>9.0</v>
      </c>
      <c r="M286" s="14">
        <v>0.0</v>
      </c>
      <c r="N286" s="23">
        <v>20.0</v>
      </c>
      <c r="O286" s="14">
        <v>0.0</v>
      </c>
      <c r="P286" s="14">
        <v>3.0</v>
      </c>
      <c r="Q286" s="36">
        <v>0.0</v>
      </c>
      <c r="R286" s="36">
        <v>30.0</v>
      </c>
      <c r="S286" s="14"/>
      <c r="T286" s="31">
        <f t="shared" si="2"/>
        <v>62</v>
      </c>
      <c r="U286" s="14" t="s">
        <v>45</v>
      </c>
      <c r="V286" s="26"/>
      <c r="W286" s="14" t="s">
        <v>46</v>
      </c>
      <c r="Y286" s="23" t="s">
        <v>829</v>
      </c>
      <c r="Z286" s="14"/>
      <c r="AA286" s="14" t="str">
        <f t="shared" si="3"/>
        <v/>
      </c>
      <c r="AB286" s="14">
        <f t="shared" si="4"/>
        <v>0</v>
      </c>
      <c r="AC286" s="14">
        <f t="shared" si="5"/>
        <v>62</v>
      </c>
      <c r="AD286" s="14"/>
    </row>
    <row r="287" ht="15.75" customHeight="1">
      <c r="A287" s="14">
        <v>286.0</v>
      </c>
      <c r="B287" s="14" t="s">
        <v>831</v>
      </c>
      <c r="C287" s="14" t="s">
        <v>136</v>
      </c>
      <c r="D287" s="14" t="s">
        <v>832</v>
      </c>
      <c r="G287" s="14"/>
      <c r="H287" s="14">
        <v>1.0</v>
      </c>
      <c r="I287" s="14">
        <v>224.0</v>
      </c>
      <c r="J287" s="14">
        <v>231.0</v>
      </c>
      <c r="K287" s="14">
        <f t="shared" si="1"/>
        <v>7</v>
      </c>
      <c r="L287" s="14">
        <v>7.0</v>
      </c>
      <c r="M287" s="14">
        <v>0.0</v>
      </c>
      <c r="N287" s="14">
        <v>0.0</v>
      </c>
      <c r="O287" s="14">
        <v>0.0</v>
      </c>
      <c r="P287" s="14">
        <v>3.0</v>
      </c>
      <c r="Q287" s="14">
        <v>0.0</v>
      </c>
      <c r="R287" s="14">
        <v>0.0</v>
      </c>
      <c r="S287" s="14"/>
      <c r="T287" s="31">
        <f t="shared" si="2"/>
        <v>10</v>
      </c>
      <c r="U287" s="14" t="s">
        <v>45</v>
      </c>
      <c r="V287" s="26"/>
      <c r="W287" s="14" t="s">
        <v>46</v>
      </c>
      <c r="Z287" s="14"/>
      <c r="AA287" s="14" t="str">
        <f t="shared" si="3"/>
        <v/>
      </c>
      <c r="AB287" s="14">
        <f t="shared" si="4"/>
        <v>0</v>
      </c>
      <c r="AC287" s="14">
        <f t="shared" si="5"/>
        <v>10</v>
      </c>
      <c r="AD287" s="14">
        <f t="shared" ref="AD287:AD291" si="44">IF(ISBLANK(W287),0,1)</f>
        <v>1</v>
      </c>
    </row>
    <row r="288" ht="15.75" customHeight="1">
      <c r="A288" s="23">
        <v>287.0</v>
      </c>
      <c r="B288" s="14" t="s">
        <v>835</v>
      </c>
      <c r="C288" s="14" t="s">
        <v>136</v>
      </c>
      <c r="D288" s="14">
        <v>12.0</v>
      </c>
      <c r="G288" s="14"/>
      <c r="H288" s="14">
        <v>1.0</v>
      </c>
      <c r="I288" s="14">
        <v>2097.0</v>
      </c>
      <c r="J288" s="14">
        <v>2113.0</v>
      </c>
      <c r="K288" s="14">
        <f t="shared" si="1"/>
        <v>16</v>
      </c>
      <c r="L288" s="14">
        <v>16.0</v>
      </c>
      <c r="M288" s="14">
        <v>12.0</v>
      </c>
      <c r="N288" s="14">
        <v>0.0</v>
      </c>
      <c r="O288" s="14">
        <v>0.0</v>
      </c>
      <c r="P288" s="14"/>
      <c r="Q288" s="36">
        <v>0.0</v>
      </c>
      <c r="R288" s="36"/>
      <c r="S288" s="23"/>
      <c r="T288" s="31">
        <f t="shared" si="2"/>
        <v>28</v>
      </c>
      <c r="U288" s="23" t="s">
        <v>45</v>
      </c>
      <c r="V288" s="26"/>
      <c r="W288" s="23" t="s">
        <v>46</v>
      </c>
      <c r="Y288" s="43" t="s">
        <v>836</v>
      </c>
      <c r="Z288" s="14"/>
      <c r="AA288" s="14" t="str">
        <f t="shared" si="3"/>
        <v/>
      </c>
      <c r="AB288" s="14">
        <f t="shared" si="4"/>
        <v>0</v>
      </c>
      <c r="AC288" s="14">
        <f t="shared" si="5"/>
        <v>28</v>
      </c>
      <c r="AD288" s="14">
        <f t="shared" si="44"/>
        <v>1</v>
      </c>
    </row>
    <row r="289" ht="15.75" customHeight="1">
      <c r="A289" s="14">
        <v>288.0</v>
      </c>
      <c r="B289" s="14" t="s">
        <v>838</v>
      </c>
      <c r="C289" s="14" t="s">
        <v>136</v>
      </c>
      <c r="D289" s="14">
        <v>13.0</v>
      </c>
      <c r="G289" s="14"/>
      <c r="H289" s="14">
        <v>1.0</v>
      </c>
      <c r="I289" s="14">
        <v>1688.0</v>
      </c>
      <c r="J289" s="14">
        <v>1692.0</v>
      </c>
      <c r="K289" s="14">
        <f t="shared" si="1"/>
        <v>4</v>
      </c>
      <c r="L289" s="14">
        <v>5.0</v>
      </c>
      <c r="M289" s="14">
        <v>0.0</v>
      </c>
      <c r="N289" s="14">
        <v>0.0</v>
      </c>
      <c r="O289" s="14">
        <v>0.0</v>
      </c>
      <c r="P289" s="14">
        <v>3.0</v>
      </c>
      <c r="Q289" s="36">
        <v>0.0</v>
      </c>
      <c r="R289" s="36"/>
      <c r="S289" s="14"/>
      <c r="T289" s="31">
        <f t="shared" si="2"/>
        <v>8</v>
      </c>
      <c r="U289" s="14" t="s">
        <v>45</v>
      </c>
      <c r="V289" s="26"/>
      <c r="W289" s="14" t="s">
        <v>46</v>
      </c>
      <c r="Y289" s="43" t="s">
        <v>840</v>
      </c>
      <c r="Z289" s="14"/>
      <c r="AA289" s="14" t="str">
        <f t="shared" si="3"/>
        <v/>
      </c>
      <c r="AB289" s="14">
        <f t="shared" si="4"/>
        <v>0</v>
      </c>
      <c r="AC289" s="14">
        <f t="shared" si="5"/>
        <v>8</v>
      </c>
      <c r="AD289" s="14">
        <f t="shared" si="44"/>
        <v>1</v>
      </c>
    </row>
    <row r="290" ht="15.75" customHeight="1">
      <c r="A290" s="14">
        <v>289.0</v>
      </c>
      <c r="B290" s="14" t="s">
        <v>841</v>
      </c>
      <c r="C290" s="14" t="s">
        <v>136</v>
      </c>
      <c r="D290" s="14">
        <v>14.0</v>
      </c>
      <c r="G290" s="14"/>
      <c r="H290" s="14">
        <v>1.0</v>
      </c>
      <c r="I290" s="14">
        <v>131.0</v>
      </c>
      <c r="J290" s="14">
        <v>141.0</v>
      </c>
      <c r="K290" s="14">
        <f t="shared" si="1"/>
        <v>10</v>
      </c>
      <c r="L290" s="14">
        <v>10.0</v>
      </c>
      <c r="M290" s="14">
        <v>0.0</v>
      </c>
      <c r="N290" s="14">
        <v>0.0</v>
      </c>
      <c r="O290" s="14">
        <v>0.0</v>
      </c>
      <c r="P290" s="14">
        <v>3.0</v>
      </c>
      <c r="Q290" s="14">
        <v>0.0</v>
      </c>
      <c r="R290" s="14">
        <v>0.0</v>
      </c>
      <c r="S290" s="14"/>
      <c r="T290" s="31">
        <f t="shared" si="2"/>
        <v>13</v>
      </c>
      <c r="U290" s="42" t="s">
        <v>45</v>
      </c>
      <c r="V290" s="26"/>
      <c r="W290" s="14"/>
      <c r="Z290" s="14"/>
      <c r="AA290" s="14" t="str">
        <f t="shared" si="3"/>
        <v/>
      </c>
      <c r="AB290" s="14">
        <f t="shared" si="4"/>
        <v>13</v>
      </c>
      <c r="AC290" s="14">
        <f t="shared" si="5"/>
        <v>0</v>
      </c>
      <c r="AD290" s="14">
        <f t="shared" si="44"/>
        <v>0</v>
      </c>
    </row>
    <row r="291" ht="15.75" customHeight="1">
      <c r="A291" s="14">
        <v>290.0</v>
      </c>
      <c r="B291" s="14" t="s">
        <v>843</v>
      </c>
      <c r="C291" s="14" t="s">
        <v>136</v>
      </c>
      <c r="D291" s="14">
        <v>15.0</v>
      </c>
      <c r="G291" s="14"/>
      <c r="H291" s="14">
        <v>1.0</v>
      </c>
      <c r="I291" s="14">
        <v>1269.0</v>
      </c>
      <c r="J291" s="14">
        <v>1280.0</v>
      </c>
      <c r="K291" s="14">
        <f t="shared" si="1"/>
        <v>11</v>
      </c>
      <c r="L291" s="14">
        <v>11.0</v>
      </c>
      <c r="M291" s="14">
        <v>0.0</v>
      </c>
      <c r="N291" s="14">
        <v>0.0</v>
      </c>
      <c r="O291" s="14">
        <v>0.0</v>
      </c>
      <c r="P291" s="14">
        <v>3.0</v>
      </c>
      <c r="Q291" s="14">
        <v>0.0</v>
      </c>
      <c r="R291" s="14">
        <v>0.0</v>
      </c>
      <c r="S291" s="14"/>
      <c r="T291" s="31">
        <f t="shared" si="2"/>
        <v>14</v>
      </c>
      <c r="U291" s="14" t="s">
        <v>45</v>
      </c>
      <c r="V291" s="26"/>
      <c r="W291" s="14" t="s">
        <v>46</v>
      </c>
      <c r="Z291" s="14"/>
      <c r="AA291" s="14" t="str">
        <f t="shared" si="3"/>
        <v/>
      </c>
      <c r="AB291" s="14">
        <f t="shared" si="4"/>
        <v>0</v>
      </c>
      <c r="AC291" s="14">
        <f t="shared" si="5"/>
        <v>14</v>
      </c>
      <c r="AD291" s="14">
        <f t="shared" si="44"/>
        <v>1</v>
      </c>
    </row>
    <row r="292" ht="15.75" customHeight="1">
      <c r="A292" s="14">
        <v>291.0</v>
      </c>
      <c r="B292" s="14" t="s">
        <v>844</v>
      </c>
      <c r="C292" s="14" t="s">
        <v>136</v>
      </c>
      <c r="D292" s="14">
        <v>17.0</v>
      </c>
      <c r="G292" s="14"/>
      <c r="H292" s="14">
        <v>1.0</v>
      </c>
      <c r="I292" s="14">
        <v>63.0</v>
      </c>
      <c r="J292" s="14">
        <v>71.0</v>
      </c>
      <c r="K292" s="14">
        <f t="shared" si="1"/>
        <v>8</v>
      </c>
      <c r="L292" s="14">
        <v>8.0</v>
      </c>
      <c r="M292" s="14">
        <v>0.0</v>
      </c>
      <c r="N292" s="14">
        <v>0.0</v>
      </c>
      <c r="O292" s="14">
        <v>0.0</v>
      </c>
      <c r="P292" s="14">
        <v>3.0</v>
      </c>
      <c r="Q292" s="14">
        <v>0.0</v>
      </c>
      <c r="R292" s="14">
        <v>0.0</v>
      </c>
      <c r="S292" s="14"/>
      <c r="T292" s="31">
        <f t="shared" si="2"/>
        <v>11</v>
      </c>
      <c r="U292" s="42" t="s">
        <v>45</v>
      </c>
      <c r="V292" s="26"/>
      <c r="W292" s="14"/>
      <c r="Y292" s="14"/>
      <c r="Z292" s="14"/>
      <c r="AA292" s="14" t="str">
        <f t="shared" si="3"/>
        <v/>
      </c>
      <c r="AB292" s="14">
        <f t="shared" si="4"/>
        <v>11</v>
      </c>
      <c r="AC292" s="14">
        <f t="shared" si="5"/>
        <v>0</v>
      </c>
      <c r="AD292" s="14"/>
    </row>
    <row r="293" ht="15.75" customHeight="1">
      <c r="A293" s="14">
        <v>292.0</v>
      </c>
      <c r="B293" s="14" t="s">
        <v>847</v>
      </c>
      <c r="C293" s="14" t="s">
        <v>136</v>
      </c>
      <c r="D293" s="14">
        <v>18.0</v>
      </c>
      <c r="G293" s="14"/>
      <c r="H293" s="14">
        <v>1.0</v>
      </c>
      <c r="I293" s="14">
        <v>53.0</v>
      </c>
      <c r="J293" s="14">
        <v>62.0</v>
      </c>
      <c r="K293" s="14">
        <f t="shared" si="1"/>
        <v>9</v>
      </c>
      <c r="L293" s="14">
        <v>9.0</v>
      </c>
      <c r="M293" s="23">
        <v>0.0</v>
      </c>
      <c r="N293" s="14">
        <v>0.0</v>
      </c>
      <c r="O293" s="14">
        <v>0.0</v>
      </c>
      <c r="P293" s="14">
        <v>3.0</v>
      </c>
      <c r="Q293" s="14">
        <v>0.0</v>
      </c>
      <c r="R293" s="14">
        <v>0.0</v>
      </c>
      <c r="S293" s="14"/>
      <c r="T293" s="31">
        <f t="shared" si="2"/>
        <v>12</v>
      </c>
      <c r="U293" s="42" t="s">
        <v>45</v>
      </c>
      <c r="V293" s="26"/>
      <c r="W293" s="23"/>
      <c r="Y293" s="71" t="s">
        <v>849</v>
      </c>
      <c r="Z293" s="14"/>
      <c r="AA293" s="14" t="str">
        <f t="shared" si="3"/>
        <v/>
      </c>
      <c r="AB293" s="14">
        <f t="shared" si="4"/>
        <v>12</v>
      </c>
      <c r="AC293" s="14">
        <f t="shared" si="5"/>
        <v>0</v>
      </c>
      <c r="AD293" s="14">
        <f t="shared" ref="AD293:AD296" si="45">IF(ISBLANK(W293),0,1)</f>
        <v>0</v>
      </c>
    </row>
    <row r="294" ht="15.75" customHeight="1">
      <c r="A294" s="14">
        <v>293.0</v>
      </c>
      <c r="B294" s="14" t="s">
        <v>850</v>
      </c>
      <c r="C294" s="14" t="s">
        <v>136</v>
      </c>
      <c r="D294" s="14">
        <v>19.0</v>
      </c>
      <c r="G294" s="14"/>
      <c r="H294" s="14">
        <v>1.0</v>
      </c>
      <c r="I294" s="14">
        <v>2081.0</v>
      </c>
      <c r="J294" s="14">
        <v>2108.0</v>
      </c>
      <c r="K294" s="14">
        <f t="shared" si="1"/>
        <v>27</v>
      </c>
      <c r="L294" s="14">
        <v>27.0</v>
      </c>
      <c r="M294" s="14">
        <v>0.0</v>
      </c>
      <c r="N294" s="14">
        <v>0.0</v>
      </c>
      <c r="O294" s="14">
        <v>0.0</v>
      </c>
      <c r="P294" s="14">
        <v>3.0</v>
      </c>
      <c r="Q294" s="14">
        <v>0.0</v>
      </c>
      <c r="R294" s="14">
        <v>0.0</v>
      </c>
      <c r="S294" s="14"/>
      <c r="T294" s="31">
        <f t="shared" si="2"/>
        <v>30</v>
      </c>
      <c r="U294" s="42" t="s">
        <v>45</v>
      </c>
      <c r="V294" s="26"/>
      <c r="W294" s="14"/>
      <c r="Z294" s="14"/>
      <c r="AA294" s="14" t="str">
        <f t="shared" si="3"/>
        <v/>
      </c>
      <c r="AB294" s="14">
        <f t="shared" si="4"/>
        <v>30</v>
      </c>
      <c r="AC294" s="14">
        <f t="shared" si="5"/>
        <v>0</v>
      </c>
      <c r="AD294" s="14">
        <f t="shared" si="45"/>
        <v>0</v>
      </c>
    </row>
    <row r="295" ht="15.75" customHeight="1">
      <c r="A295" s="14">
        <v>294.0</v>
      </c>
      <c r="B295" s="14" t="s">
        <v>853</v>
      </c>
      <c r="C295" s="14" t="s">
        <v>142</v>
      </c>
      <c r="D295" s="14">
        <v>1.0</v>
      </c>
      <c r="G295" s="14"/>
      <c r="H295" s="14">
        <v>1.0</v>
      </c>
      <c r="I295" s="14">
        <v>311.0</v>
      </c>
      <c r="J295" s="14">
        <v>316.0</v>
      </c>
      <c r="K295" s="14">
        <f t="shared" si="1"/>
        <v>5</v>
      </c>
      <c r="L295" s="14">
        <v>5.0</v>
      </c>
      <c r="M295" s="14">
        <v>8.0</v>
      </c>
      <c r="N295" s="14">
        <v>0.0</v>
      </c>
      <c r="O295" s="14">
        <v>0.0</v>
      </c>
      <c r="P295" s="14">
        <v>3.0</v>
      </c>
      <c r="Q295" s="14">
        <v>0.0</v>
      </c>
      <c r="R295" s="14">
        <v>0.0</v>
      </c>
      <c r="S295" s="14"/>
      <c r="T295" s="31">
        <f t="shared" si="2"/>
        <v>16</v>
      </c>
      <c r="U295" s="42" t="s">
        <v>45</v>
      </c>
      <c r="V295" s="26"/>
      <c r="W295" s="14"/>
      <c r="Z295" s="14"/>
      <c r="AA295" s="14" t="str">
        <f t="shared" si="3"/>
        <v/>
      </c>
      <c r="AB295" s="14">
        <f t="shared" si="4"/>
        <v>16</v>
      </c>
      <c r="AC295" s="14">
        <f t="shared" si="5"/>
        <v>0</v>
      </c>
      <c r="AD295" s="14">
        <f t="shared" si="45"/>
        <v>0</v>
      </c>
    </row>
    <row r="296" ht="15.75" customHeight="1">
      <c r="A296" s="14">
        <v>295.0</v>
      </c>
      <c r="B296" s="14" t="s">
        <v>854</v>
      </c>
      <c r="C296" s="14" t="s">
        <v>142</v>
      </c>
      <c r="D296" s="14">
        <v>2.0</v>
      </c>
      <c r="G296" s="14"/>
      <c r="H296" s="14">
        <v>1.0</v>
      </c>
      <c r="I296" s="14">
        <v>762.0</v>
      </c>
      <c r="J296" s="14">
        <v>780.0</v>
      </c>
      <c r="K296" s="14">
        <f t="shared" si="1"/>
        <v>18</v>
      </c>
      <c r="L296" s="14">
        <v>18.0</v>
      </c>
      <c r="M296" s="14">
        <v>0.0</v>
      </c>
      <c r="N296" s="14">
        <v>0.0</v>
      </c>
      <c r="O296" s="14">
        <v>0.0</v>
      </c>
      <c r="P296" s="14">
        <v>3.0</v>
      </c>
      <c r="Q296" s="14">
        <v>0.0</v>
      </c>
      <c r="R296" s="14">
        <v>0.0</v>
      </c>
      <c r="S296" s="14"/>
      <c r="T296" s="31">
        <f t="shared" si="2"/>
        <v>21</v>
      </c>
      <c r="U296" s="14" t="s">
        <v>45</v>
      </c>
      <c r="V296" s="26"/>
      <c r="W296" s="14" t="s">
        <v>46</v>
      </c>
      <c r="Z296" s="14"/>
      <c r="AA296" s="14" t="str">
        <f t="shared" si="3"/>
        <v/>
      </c>
      <c r="AB296" s="14">
        <f t="shared" si="4"/>
        <v>0</v>
      </c>
      <c r="AC296" s="14">
        <f t="shared" si="5"/>
        <v>21</v>
      </c>
      <c r="AD296" s="14">
        <f t="shared" si="45"/>
        <v>1</v>
      </c>
    </row>
    <row r="297" ht="15.75" customHeight="1">
      <c r="A297" s="14">
        <v>296.0</v>
      </c>
      <c r="B297" s="14" t="s">
        <v>857</v>
      </c>
      <c r="C297" s="14" t="s">
        <v>142</v>
      </c>
      <c r="D297" s="14">
        <v>3.0</v>
      </c>
      <c r="G297" s="14"/>
      <c r="H297" s="14">
        <v>1.0</v>
      </c>
      <c r="I297" s="14">
        <v>2373.0</v>
      </c>
      <c r="J297" s="14">
        <v>2383.0</v>
      </c>
      <c r="K297" s="14">
        <f t="shared" si="1"/>
        <v>10</v>
      </c>
      <c r="L297" s="14">
        <v>10.0</v>
      </c>
      <c r="M297" s="14">
        <v>0.0</v>
      </c>
      <c r="N297" s="14">
        <v>0.0</v>
      </c>
      <c r="O297" s="14">
        <v>0.0</v>
      </c>
      <c r="P297" s="14">
        <v>3.0</v>
      </c>
      <c r="Q297" s="36">
        <v>0.0</v>
      </c>
      <c r="R297" s="36">
        <v>30.0</v>
      </c>
      <c r="S297" s="14"/>
      <c r="T297" s="31">
        <f t="shared" si="2"/>
        <v>43</v>
      </c>
      <c r="U297" s="14" t="s">
        <v>45</v>
      </c>
      <c r="V297" s="26"/>
      <c r="W297" s="14" t="s">
        <v>46</v>
      </c>
      <c r="Z297" s="14"/>
      <c r="AA297" s="14" t="str">
        <f t="shared" si="3"/>
        <v/>
      </c>
      <c r="AB297" s="14">
        <f t="shared" si="4"/>
        <v>0</v>
      </c>
      <c r="AC297" s="14">
        <f t="shared" si="5"/>
        <v>43</v>
      </c>
      <c r="AD297" s="14"/>
    </row>
    <row r="298" ht="15.75" hidden="1" customHeight="1">
      <c r="A298" s="14">
        <v>297.0</v>
      </c>
      <c r="B298" s="14" t="s">
        <v>860</v>
      </c>
      <c r="C298" s="14" t="s">
        <v>142</v>
      </c>
      <c r="D298" s="14">
        <v>5.0</v>
      </c>
      <c r="G298" s="14"/>
      <c r="H298" s="14">
        <v>1.0</v>
      </c>
      <c r="I298" s="14">
        <v>3370.0</v>
      </c>
      <c r="J298" s="14">
        <v>3379.0</v>
      </c>
      <c r="K298" s="14">
        <f t="shared" si="1"/>
        <v>9</v>
      </c>
      <c r="L298" s="14">
        <v>9.0</v>
      </c>
      <c r="M298" s="14">
        <v>0.0</v>
      </c>
      <c r="N298" s="14">
        <v>0.0</v>
      </c>
      <c r="O298" s="14">
        <v>0.0</v>
      </c>
      <c r="P298" s="14">
        <v>3.0</v>
      </c>
      <c r="Q298" s="14">
        <v>0.0</v>
      </c>
      <c r="R298" s="14">
        <v>0.0</v>
      </c>
      <c r="S298" s="14"/>
      <c r="T298" s="31">
        <f t="shared" si="2"/>
        <v>12</v>
      </c>
      <c r="U298" s="14"/>
      <c r="V298" s="26"/>
      <c r="W298" s="14"/>
      <c r="X298" s="14"/>
      <c r="Y298" s="14"/>
      <c r="Z298" s="14"/>
      <c r="AA298" s="14" t="str">
        <f t="shared" si="3"/>
        <v/>
      </c>
      <c r="AB298" s="14">
        <f t="shared" si="4"/>
        <v>0</v>
      </c>
      <c r="AC298" s="14">
        <f t="shared" si="5"/>
        <v>0</v>
      </c>
      <c r="AD298" s="14">
        <f>IF(ISBLANK(W298),0,1)</f>
        <v>0</v>
      </c>
    </row>
    <row r="299" ht="15.75" customHeight="1">
      <c r="A299" s="14">
        <v>298.0</v>
      </c>
      <c r="B299" s="14" t="s">
        <v>862</v>
      </c>
      <c r="C299" s="14" t="s">
        <v>142</v>
      </c>
      <c r="D299" s="14">
        <v>6.0</v>
      </c>
      <c r="G299" s="14"/>
      <c r="H299" s="14">
        <v>1.0</v>
      </c>
      <c r="I299" s="14">
        <v>1918.0</v>
      </c>
      <c r="J299" s="14">
        <v>1941.0</v>
      </c>
      <c r="K299" s="14">
        <f t="shared" si="1"/>
        <v>23</v>
      </c>
      <c r="L299" s="14">
        <v>23.0</v>
      </c>
      <c r="M299" s="14">
        <v>0.0</v>
      </c>
      <c r="N299" s="14">
        <v>0.0</v>
      </c>
      <c r="O299" s="14">
        <v>0.0</v>
      </c>
      <c r="P299" s="14">
        <v>3.0</v>
      </c>
      <c r="Q299" s="14">
        <v>0.0</v>
      </c>
      <c r="R299" s="14">
        <v>0.0</v>
      </c>
      <c r="S299" s="14"/>
      <c r="T299" s="31">
        <f t="shared" si="2"/>
        <v>26</v>
      </c>
      <c r="U299" s="14" t="s">
        <v>45</v>
      </c>
      <c r="V299" s="26"/>
      <c r="W299" s="14" t="s">
        <v>46</v>
      </c>
      <c r="Z299" s="14"/>
      <c r="AA299" s="14" t="str">
        <f t="shared" si="3"/>
        <v/>
      </c>
      <c r="AB299" s="14">
        <f t="shared" si="4"/>
        <v>0</v>
      </c>
      <c r="AC299" s="14">
        <f t="shared" si="5"/>
        <v>26</v>
      </c>
      <c r="AD299" s="14"/>
    </row>
    <row r="300" ht="15.75" customHeight="1">
      <c r="A300" s="14">
        <v>299.0</v>
      </c>
      <c r="B300" s="14" t="s">
        <v>864</v>
      </c>
      <c r="C300" s="14" t="s">
        <v>142</v>
      </c>
      <c r="D300" s="14">
        <v>7.0</v>
      </c>
      <c r="G300" s="14"/>
      <c r="H300" s="14">
        <v>1.0</v>
      </c>
      <c r="I300" s="14">
        <v>1554.0</v>
      </c>
      <c r="J300" s="14">
        <v>1569.0</v>
      </c>
      <c r="K300" s="14">
        <f t="shared" si="1"/>
        <v>15</v>
      </c>
      <c r="L300" s="14">
        <v>15.0</v>
      </c>
      <c r="M300" s="14">
        <v>27.0</v>
      </c>
      <c r="N300" s="14">
        <v>0.0</v>
      </c>
      <c r="O300" s="14">
        <v>0.0</v>
      </c>
      <c r="P300" s="14">
        <v>3.0</v>
      </c>
      <c r="Q300" s="14">
        <v>0.0</v>
      </c>
      <c r="R300" s="14">
        <v>0.0</v>
      </c>
      <c r="S300" s="14"/>
      <c r="T300" s="31">
        <f t="shared" si="2"/>
        <v>45</v>
      </c>
      <c r="U300" s="23" t="s">
        <v>45</v>
      </c>
      <c r="V300" s="26"/>
      <c r="W300" s="23" t="s">
        <v>46</v>
      </c>
      <c r="Z300" s="14"/>
      <c r="AA300" s="14" t="str">
        <f t="shared" si="3"/>
        <v/>
      </c>
      <c r="AB300" s="14">
        <f t="shared" si="4"/>
        <v>0</v>
      </c>
      <c r="AC300" s="14">
        <f t="shared" si="5"/>
        <v>45</v>
      </c>
      <c r="AD300" s="14">
        <f t="shared" ref="AD300:AD301" si="46">IF(ISBLANK(W300),0,1)</f>
        <v>1</v>
      </c>
    </row>
    <row r="301" ht="15.75" customHeight="1">
      <c r="A301" s="14">
        <v>300.0</v>
      </c>
      <c r="B301" s="14" t="s">
        <v>867</v>
      </c>
      <c r="C301" s="14" t="s">
        <v>142</v>
      </c>
      <c r="D301" s="14">
        <v>8.0</v>
      </c>
      <c r="G301" s="14"/>
      <c r="H301" s="14">
        <v>1.0</v>
      </c>
      <c r="I301" s="14">
        <v>2537.0</v>
      </c>
      <c r="J301" s="14">
        <v>2555.0</v>
      </c>
      <c r="K301" s="14">
        <f t="shared" si="1"/>
        <v>18</v>
      </c>
      <c r="L301" s="14">
        <v>18.0</v>
      </c>
      <c r="M301" s="14">
        <v>0.0</v>
      </c>
      <c r="N301" s="14">
        <v>0.0</v>
      </c>
      <c r="O301" s="14">
        <v>0.0</v>
      </c>
      <c r="P301" s="14">
        <v>3.0</v>
      </c>
      <c r="Q301" s="14">
        <v>0.0</v>
      </c>
      <c r="R301" s="14">
        <v>0.0</v>
      </c>
      <c r="S301" s="14"/>
      <c r="T301" s="31">
        <f t="shared" si="2"/>
        <v>21</v>
      </c>
      <c r="U301" s="14" t="s">
        <v>45</v>
      </c>
      <c r="V301" s="26"/>
      <c r="W301" s="14" t="s">
        <v>46</v>
      </c>
      <c r="Z301" s="14"/>
      <c r="AA301" s="14" t="str">
        <f t="shared" si="3"/>
        <v/>
      </c>
      <c r="AB301" s="14">
        <f t="shared" si="4"/>
        <v>0</v>
      </c>
      <c r="AC301" s="14">
        <f t="shared" si="5"/>
        <v>21</v>
      </c>
      <c r="AD301" s="14">
        <f t="shared" si="46"/>
        <v>1</v>
      </c>
    </row>
    <row r="302" ht="15.75" hidden="1" customHeight="1">
      <c r="A302" s="14">
        <v>301.0</v>
      </c>
      <c r="B302" s="56" t="s">
        <v>871</v>
      </c>
      <c r="C302" s="56" t="s">
        <v>142</v>
      </c>
      <c r="D302" s="56">
        <v>9.0</v>
      </c>
      <c r="E302" s="36"/>
      <c r="F302" s="36"/>
      <c r="G302" s="36"/>
      <c r="H302" s="36">
        <v>1.0</v>
      </c>
      <c r="I302" s="56">
        <v>136.0</v>
      </c>
      <c r="J302" s="14">
        <v>162.0</v>
      </c>
      <c r="K302" s="14">
        <f t="shared" si="1"/>
        <v>26</v>
      </c>
      <c r="L302" s="14">
        <v>26.0</v>
      </c>
      <c r="M302" s="36">
        <v>0.0</v>
      </c>
      <c r="N302" s="14">
        <v>40.0</v>
      </c>
      <c r="O302" s="14">
        <v>0.0</v>
      </c>
      <c r="P302" s="36">
        <v>3.0</v>
      </c>
      <c r="Q302" s="36">
        <v>0.0</v>
      </c>
      <c r="R302" s="36">
        <v>0.0</v>
      </c>
      <c r="S302" s="14"/>
      <c r="T302" s="31">
        <f t="shared" si="2"/>
        <v>69</v>
      </c>
      <c r="U302" s="36"/>
      <c r="V302" s="72"/>
      <c r="W302" s="36"/>
      <c r="X302" s="36"/>
      <c r="Y302" s="36"/>
      <c r="Z302" s="36"/>
      <c r="AA302" s="14" t="str">
        <f t="shared" si="3"/>
        <v/>
      </c>
      <c r="AB302" s="14">
        <f t="shared" si="4"/>
        <v>0</v>
      </c>
      <c r="AC302" s="14">
        <f t="shared" si="5"/>
        <v>0</v>
      </c>
      <c r="AD302" s="36"/>
    </row>
    <row r="303" ht="15.75" customHeight="1">
      <c r="A303" s="14">
        <v>302.0</v>
      </c>
      <c r="B303" s="14" t="s">
        <v>875</v>
      </c>
      <c r="C303" s="14" t="s">
        <v>142</v>
      </c>
      <c r="D303" s="14">
        <v>12.0</v>
      </c>
      <c r="G303" s="14"/>
      <c r="H303" s="14">
        <v>1.0</v>
      </c>
      <c r="I303" s="14">
        <v>951.0</v>
      </c>
      <c r="J303" s="14">
        <v>967.0</v>
      </c>
      <c r="K303" s="14">
        <f t="shared" si="1"/>
        <v>16</v>
      </c>
      <c r="L303" s="14">
        <v>16.0</v>
      </c>
      <c r="M303" s="14">
        <v>0.0</v>
      </c>
      <c r="N303" s="14">
        <v>0.0</v>
      </c>
      <c r="O303" s="14">
        <v>0.0</v>
      </c>
      <c r="P303" s="14">
        <v>3.0</v>
      </c>
      <c r="Q303" s="36">
        <v>0.0</v>
      </c>
      <c r="R303" s="36">
        <v>30.0</v>
      </c>
      <c r="S303" s="14"/>
      <c r="T303" s="31">
        <f t="shared" si="2"/>
        <v>49</v>
      </c>
      <c r="U303" s="14" t="s">
        <v>45</v>
      </c>
      <c r="V303" s="70"/>
      <c r="W303" s="14" t="s">
        <v>46</v>
      </c>
      <c r="Z303" s="14"/>
      <c r="AA303" s="14" t="str">
        <f t="shared" si="3"/>
        <v/>
      </c>
      <c r="AB303" s="14">
        <f t="shared" si="4"/>
        <v>0</v>
      </c>
      <c r="AC303" s="14">
        <f t="shared" si="5"/>
        <v>49</v>
      </c>
      <c r="AD303" s="14"/>
    </row>
    <row r="304" ht="15.75" customHeight="1">
      <c r="A304" s="14">
        <v>303.0</v>
      </c>
      <c r="B304" s="14" t="s">
        <v>877</v>
      </c>
      <c r="C304" s="14" t="s">
        <v>142</v>
      </c>
      <c r="D304" s="14">
        <v>13.0</v>
      </c>
      <c r="G304" s="14"/>
      <c r="H304" s="14">
        <v>1.0</v>
      </c>
      <c r="I304" s="14">
        <v>780.0</v>
      </c>
      <c r="J304" s="14">
        <v>787.0</v>
      </c>
      <c r="K304" s="14">
        <f t="shared" si="1"/>
        <v>7</v>
      </c>
      <c r="L304" s="14">
        <v>7.0</v>
      </c>
      <c r="M304" s="14">
        <v>0.0</v>
      </c>
      <c r="N304" s="14">
        <v>0.0</v>
      </c>
      <c r="O304" s="14">
        <v>0.0</v>
      </c>
      <c r="P304" s="14">
        <v>3.0</v>
      </c>
      <c r="Q304" s="36">
        <v>0.0</v>
      </c>
      <c r="R304" s="36">
        <v>30.0</v>
      </c>
      <c r="S304" s="14"/>
      <c r="T304" s="31">
        <f t="shared" si="2"/>
        <v>40</v>
      </c>
      <c r="U304" s="23" t="s">
        <v>45</v>
      </c>
      <c r="V304" s="26"/>
      <c r="W304" s="23" t="s">
        <v>46</v>
      </c>
      <c r="Z304" s="14"/>
      <c r="AA304" s="14" t="str">
        <f t="shared" si="3"/>
        <v/>
      </c>
      <c r="AB304" s="14">
        <f t="shared" si="4"/>
        <v>0</v>
      </c>
      <c r="AC304" s="14">
        <f t="shared" si="5"/>
        <v>40</v>
      </c>
      <c r="AD304" s="14">
        <f t="shared" ref="AD304:AD305" si="47">IF(ISBLANK(W304),0,1)</f>
        <v>1</v>
      </c>
    </row>
    <row r="305" ht="15.75" customHeight="1">
      <c r="A305" s="14">
        <v>304.0</v>
      </c>
      <c r="B305" s="14" t="s">
        <v>880</v>
      </c>
      <c r="C305" s="14" t="s">
        <v>142</v>
      </c>
      <c r="D305" s="14">
        <v>14.0</v>
      </c>
      <c r="G305" s="14"/>
      <c r="H305" s="14">
        <v>1.0</v>
      </c>
      <c r="I305" s="14">
        <v>1063.0</v>
      </c>
      <c r="J305" s="14">
        <v>1070.0</v>
      </c>
      <c r="K305" s="14">
        <f t="shared" si="1"/>
        <v>7</v>
      </c>
      <c r="L305" s="14">
        <v>7.0</v>
      </c>
      <c r="M305" s="14">
        <v>0.0</v>
      </c>
      <c r="N305" s="14">
        <v>0.0</v>
      </c>
      <c r="O305" s="14">
        <v>0.0</v>
      </c>
      <c r="P305" s="14">
        <v>3.0</v>
      </c>
      <c r="Q305" s="36">
        <v>0.0</v>
      </c>
      <c r="R305" s="36"/>
      <c r="S305" s="23"/>
      <c r="T305" s="31">
        <f t="shared" si="2"/>
        <v>10</v>
      </c>
      <c r="U305" s="23" t="s">
        <v>45</v>
      </c>
      <c r="V305" s="26"/>
      <c r="W305" s="23" t="s">
        <v>46</v>
      </c>
      <c r="Y305" s="23" t="s">
        <v>320</v>
      </c>
      <c r="Z305" s="14"/>
      <c r="AA305" s="14" t="str">
        <f t="shared" si="3"/>
        <v/>
      </c>
      <c r="AB305" s="14">
        <f t="shared" si="4"/>
        <v>0</v>
      </c>
      <c r="AC305" s="14">
        <f t="shared" si="5"/>
        <v>10</v>
      </c>
      <c r="AD305" s="14">
        <f t="shared" si="47"/>
        <v>1</v>
      </c>
    </row>
    <row r="306" ht="15.75" hidden="1" customHeight="1">
      <c r="A306" s="14">
        <v>305.0</v>
      </c>
      <c r="B306" s="14" t="s">
        <v>883</v>
      </c>
      <c r="C306" s="14" t="s">
        <v>142</v>
      </c>
      <c r="D306" s="14">
        <v>15.0</v>
      </c>
      <c r="G306" s="14"/>
      <c r="H306" s="14">
        <v>1.0</v>
      </c>
      <c r="I306" s="14">
        <v>312.0</v>
      </c>
      <c r="J306" s="14">
        <v>317.0</v>
      </c>
      <c r="K306" s="14">
        <f t="shared" si="1"/>
        <v>5</v>
      </c>
      <c r="L306" s="14">
        <v>5.0</v>
      </c>
      <c r="M306" s="14">
        <v>0.0</v>
      </c>
      <c r="N306" s="14">
        <v>0.0</v>
      </c>
      <c r="O306" s="14">
        <v>0.0</v>
      </c>
      <c r="P306" s="14">
        <v>3.0</v>
      </c>
      <c r="Q306" s="14">
        <v>0.0</v>
      </c>
      <c r="R306" s="14">
        <v>0.0</v>
      </c>
      <c r="S306" s="14"/>
      <c r="T306" s="31">
        <f t="shared" si="2"/>
        <v>8</v>
      </c>
      <c r="U306" s="14"/>
      <c r="W306" s="14"/>
      <c r="X306" s="14"/>
      <c r="Y306" s="14"/>
      <c r="Z306" s="14"/>
      <c r="AA306" s="14" t="str">
        <f t="shared" si="3"/>
        <v/>
      </c>
      <c r="AB306" s="14">
        <f t="shared" si="4"/>
        <v>0</v>
      </c>
      <c r="AC306" s="14">
        <f t="shared" si="5"/>
        <v>0</v>
      </c>
      <c r="AD306" s="14"/>
    </row>
    <row r="307" ht="15.75" hidden="1" customHeight="1">
      <c r="A307" s="14">
        <v>306.0</v>
      </c>
      <c r="B307" s="14" t="s">
        <v>886</v>
      </c>
      <c r="C307" s="14" t="s">
        <v>142</v>
      </c>
      <c r="D307" s="14">
        <v>16.0</v>
      </c>
      <c r="G307" s="14"/>
      <c r="H307" s="14">
        <v>1.0</v>
      </c>
      <c r="I307" s="14">
        <v>117.0</v>
      </c>
      <c r="J307" s="14">
        <v>120.0</v>
      </c>
      <c r="K307" s="14">
        <f t="shared" si="1"/>
        <v>3</v>
      </c>
      <c r="L307" s="14">
        <v>5.0</v>
      </c>
      <c r="M307" s="14">
        <v>0.0</v>
      </c>
      <c r="N307" s="14">
        <v>0.0</v>
      </c>
      <c r="O307" s="14">
        <v>0.0</v>
      </c>
      <c r="P307" s="14">
        <v>3.0</v>
      </c>
      <c r="Q307" s="36">
        <v>0.0</v>
      </c>
      <c r="R307" s="36">
        <v>30.0</v>
      </c>
      <c r="S307" s="14"/>
      <c r="T307" s="31">
        <f t="shared" si="2"/>
        <v>38</v>
      </c>
      <c r="U307" s="14"/>
      <c r="V307" s="26"/>
      <c r="W307" s="14"/>
      <c r="Z307" s="14"/>
      <c r="AA307" s="14" t="str">
        <f t="shared" si="3"/>
        <v/>
      </c>
      <c r="AB307" s="14">
        <f t="shared" si="4"/>
        <v>0</v>
      </c>
      <c r="AC307" s="14">
        <f t="shared" si="5"/>
        <v>0</v>
      </c>
      <c r="AD307" s="14">
        <f>IF(ISBLANK(W307),0,1)</f>
        <v>0</v>
      </c>
    </row>
    <row r="308" ht="15.75" customHeight="1">
      <c r="A308" s="14">
        <v>307.0</v>
      </c>
      <c r="B308" s="14" t="s">
        <v>889</v>
      </c>
      <c r="C308" s="14" t="s">
        <v>149</v>
      </c>
      <c r="D308" s="14">
        <v>1.0</v>
      </c>
      <c r="E308" s="14"/>
      <c r="G308" s="14"/>
      <c r="H308" s="14">
        <v>1.0</v>
      </c>
      <c r="I308" s="14">
        <v>175.0</v>
      </c>
      <c r="J308" s="14">
        <v>186.0</v>
      </c>
      <c r="K308" s="14">
        <f t="shared" si="1"/>
        <v>11</v>
      </c>
      <c r="L308" s="14">
        <v>11.0</v>
      </c>
      <c r="M308" s="14">
        <v>0.0</v>
      </c>
      <c r="N308" s="14">
        <v>0.0</v>
      </c>
      <c r="O308" s="14">
        <v>0.0</v>
      </c>
      <c r="P308" s="14">
        <v>3.0</v>
      </c>
      <c r="Q308" s="36">
        <v>0.0</v>
      </c>
      <c r="R308" s="36">
        <v>30.0</v>
      </c>
      <c r="S308" s="14"/>
      <c r="T308" s="31">
        <f t="shared" si="2"/>
        <v>44</v>
      </c>
      <c r="U308" s="14" t="s">
        <v>45</v>
      </c>
      <c r="V308" s="26"/>
      <c r="W308" s="14" t="s">
        <v>46</v>
      </c>
      <c r="Z308" s="14"/>
      <c r="AA308" s="14" t="str">
        <f t="shared" si="3"/>
        <v/>
      </c>
      <c r="AB308" s="14">
        <f t="shared" si="4"/>
        <v>0</v>
      </c>
      <c r="AC308" s="14">
        <f t="shared" si="5"/>
        <v>44</v>
      </c>
      <c r="AD308" s="14"/>
    </row>
    <row r="309" ht="15.75" customHeight="1">
      <c r="A309" s="14">
        <v>308.0</v>
      </c>
      <c r="B309" s="14" t="s">
        <v>891</v>
      </c>
      <c r="C309" s="14" t="s">
        <v>149</v>
      </c>
      <c r="D309" s="14">
        <v>2.0</v>
      </c>
      <c r="G309" s="14"/>
      <c r="H309" s="14">
        <v>1.0</v>
      </c>
      <c r="I309" s="14">
        <v>2470.0</v>
      </c>
      <c r="J309" s="14">
        <v>2479.0</v>
      </c>
      <c r="K309" s="14">
        <f t="shared" si="1"/>
        <v>9</v>
      </c>
      <c r="L309" s="14">
        <v>9.0</v>
      </c>
      <c r="M309" s="14">
        <v>13.0</v>
      </c>
      <c r="N309" s="14">
        <v>0.0</v>
      </c>
      <c r="O309" s="14">
        <v>0.0</v>
      </c>
      <c r="P309" s="14">
        <v>3.0</v>
      </c>
      <c r="Q309" s="36">
        <v>0.0</v>
      </c>
      <c r="R309" s="36">
        <v>30.0</v>
      </c>
      <c r="S309" s="14"/>
      <c r="T309" s="31">
        <f t="shared" si="2"/>
        <v>55</v>
      </c>
      <c r="U309" s="42" t="s">
        <v>45</v>
      </c>
      <c r="V309" s="26"/>
      <c r="W309" s="14"/>
      <c r="X309" s="14"/>
      <c r="Y309" s="14"/>
      <c r="Z309" s="14"/>
      <c r="AA309" s="14" t="str">
        <f t="shared" si="3"/>
        <v/>
      </c>
      <c r="AB309" s="14">
        <f t="shared" si="4"/>
        <v>55</v>
      </c>
      <c r="AC309" s="14">
        <f t="shared" si="5"/>
        <v>0</v>
      </c>
      <c r="AD309" s="14">
        <f t="shared" ref="AD309:AD312" si="48">IF(ISBLANK(W309),0,1)</f>
        <v>0</v>
      </c>
    </row>
    <row r="310" ht="15.75" customHeight="1">
      <c r="A310" s="14">
        <v>309.0</v>
      </c>
      <c r="B310" s="14" t="s">
        <v>894</v>
      </c>
      <c r="C310" s="14" t="s">
        <v>149</v>
      </c>
      <c r="D310" s="14">
        <v>3.0</v>
      </c>
      <c r="E310" s="14"/>
      <c r="G310" s="14"/>
      <c r="H310" s="14">
        <v>1.0</v>
      </c>
      <c r="I310" s="14">
        <v>103.0</v>
      </c>
      <c r="J310" s="14">
        <v>110.0</v>
      </c>
      <c r="K310" s="14">
        <f t="shared" si="1"/>
        <v>7</v>
      </c>
      <c r="L310" s="14">
        <v>7.0</v>
      </c>
      <c r="M310" s="14">
        <v>8.0</v>
      </c>
      <c r="N310" s="14">
        <v>0.0</v>
      </c>
      <c r="O310" s="14">
        <v>0.0</v>
      </c>
      <c r="P310" s="14">
        <v>3.0</v>
      </c>
      <c r="Q310" s="36">
        <v>0.0</v>
      </c>
      <c r="R310" s="36">
        <v>30.0</v>
      </c>
      <c r="S310" s="14"/>
      <c r="T310" s="31">
        <f t="shared" si="2"/>
        <v>48</v>
      </c>
      <c r="U310" s="42" t="s">
        <v>45</v>
      </c>
      <c r="V310" s="26"/>
      <c r="W310" s="14"/>
      <c r="Z310" s="14"/>
      <c r="AA310" s="14" t="str">
        <f t="shared" si="3"/>
        <v/>
      </c>
      <c r="AB310" s="14">
        <f t="shared" si="4"/>
        <v>48</v>
      </c>
      <c r="AC310" s="14">
        <f t="shared" si="5"/>
        <v>0</v>
      </c>
      <c r="AD310" s="14">
        <f t="shared" si="48"/>
        <v>0</v>
      </c>
    </row>
    <row r="311" ht="15.75" customHeight="1">
      <c r="A311" s="14">
        <v>310.0</v>
      </c>
      <c r="B311" s="14" t="s">
        <v>896</v>
      </c>
      <c r="C311" s="14" t="s">
        <v>149</v>
      </c>
      <c r="D311" s="14">
        <v>4.0</v>
      </c>
      <c r="G311" s="14"/>
      <c r="H311" s="14">
        <v>1.0</v>
      </c>
      <c r="I311" s="14">
        <v>738.0</v>
      </c>
      <c r="J311" s="14">
        <v>745.0</v>
      </c>
      <c r="K311" s="14">
        <f t="shared" si="1"/>
        <v>7</v>
      </c>
      <c r="L311" s="14">
        <v>7.0</v>
      </c>
      <c r="M311" s="14">
        <v>0.0</v>
      </c>
      <c r="N311" s="14">
        <v>0.0</v>
      </c>
      <c r="O311" s="14">
        <v>0.0</v>
      </c>
      <c r="P311" s="14">
        <v>3.0</v>
      </c>
      <c r="Q311" s="14">
        <v>0.0</v>
      </c>
      <c r="R311" s="14">
        <v>0.0</v>
      </c>
      <c r="S311" s="14"/>
      <c r="T311" s="31">
        <f t="shared" si="2"/>
        <v>10</v>
      </c>
      <c r="U311" s="14" t="s">
        <v>45</v>
      </c>
      <c r="V311" s="70"/>
      <c r="W311" s="14" t="s">
        <v>46</v>
      </c>
      <c r="X311" s="14"/>
      <c r="Y311" s="14"/>
      <c r="Z311" s="14"/>
      <c r="AA311" s="14" t="str">
        <f t="shared" si="3"/>
        <v/>
      </c>
      <c r="AB311" s="14">
        <f t="shared" si="4"/>
        <v>0</v>
      </c>
      <c r="AC311" s="14">
        <f t="shared" si="5"/>
        <v>10</v>
      </c>
      <c r="AD311" s="14">
        <f t="shared" si="48"/>
        <v>1</v>
      </c>
    </row>
    <row r="312" ht="15.75" customHeight="1">
      <c r="A312" s="14">
        <v>311.0</v>
      </c>
      <c r="B312" s="14" t="s">
        <v>900</v>
      </c>
      <c r="C312" s="14" t="s">
        <v>149</v>
      </c>
      <c r="D312" s="14">
        <v>5.0</v>
      </c>
      <c r="G312" s="14"/>
      <c r="H312" s="14">
        <v>1.0</v>
      </c>
      <c r="I312" s="14">
        <v>455.0</v>
      </c>
      <c r="J312" s="14">
        <v>457.0</v>
      </c>
      <c r="K312" s="14">
        <f t="shared" si="1"/>
        <v>2</v>
      </c>
      <c r="L312" s="14">
        <v>5.0</v>
      </c>
      <c r="M312" s="14">
        <v>8.0</v>
      </c>
      <c r="N312" s="14">
        <v>0.0</v>
      </c>
      <c r="O312" s="14">
        <v>0.0</v>
      </c>
      <c r="P312" s="14">
        <v>3.0</v>
      </c>
      <c r="Q312" s="36">
        <v>0.0</v>
      </c>
      <c r="R312" s="40">
        <v>2.0</v>
      </c>
      <c r="S312" s="23"/>
      <c r="T312" s="31">
        <f t="shared" si="2"/>
        <v>18</v>
      </c>
      <c r="U312" s="23" t="s">
        <v>45</v>
      </c>
      <c r="V312" s="26"/>
      <c r="W312" s="23" t="s">
        <v>46</v>
      </c>
      <c r="Y312" s="43" t="s">
        <v>901</v>
      </c>
      <c r="Z312" s="14"/>
      <c r="AA312" s="14" t="str">
        <f t="shared" si="3"/>
        <v/>
      </c>
      <c r="AB312" s="14">
        <f t="shared" si="4"/>
        <v>0</v>
      </c>
      <c r="AC312" s="14">
        <f t="shared" si="5"/>
        <v>18</v>
      </c>
      <c r="AD312" s="14">
        <f t="shared" si="48"/>
        <v>1</v>
      </c>
    </row>
    <row r="313" ht="15.75" customHeight="1">
      <c r="A313" s="14">
        <v>312.0</v>
      </c>
      <c r="B313" s="14" t="s">
        <v>902</v>
      </c>
      <c r="C313" s="36" t="s">
        <v>149</v>
      </c>
      <c r="D313" s="14">
        <v>7.0</v>
      </c>
      <c r="E313" s="14"/>
      <c r="G313" s="14"/>
      <c r="H313" s="14">
        <v>1.0</v>
      </c>
      <c r="I313" s="14">
        <v>204.0</v>
      </c>
      <c r="J313" s="14">
        <v>216.0</v>
      </c>
      <c r="K313" s="14">
        <f t="shared" si="1"/>
        <v>12</v>
      </c>
      <c r="L313" s="14">
        <v>12.0</v>
      </c>
      <c r="M313" s="14">
        <v>0.0</v>
      </c>
      <c r="N313" s="14">
        <v>0.0</v>
      </c>
      <c r="O313" s="14">
        <v>0.0</v>
      </c>
      <c r="P313" s="14">
        <v>3.0</v>
      </c>
      <c r="Q313" s="14">
        <v>0.0</v>
      </c>
      <c r="R313" s="14">
        <v>0.0</v>
      </c>
      <c r="S313" s="14"/>
      <c r="T313" s="31">
        <f t="shared" si="2"/>
        <v>15</v>
      </c>
      <c r="U313" s="42" t="s">
        <v>45</v>
      </c>
      <c r="V313" s="26"/>
      <c r="W313" s="14"/>
      <c r="Z313" s="14"/>
      <c r="AA313" s="14" t="str">
        <f t="shared" si="3"/>
        <v/>
      </c>
      <c r="AB313" s="14">
        <f t="shared" si="4"/>
        <v>15</v>
      </c>
      <c r="AC313" s="14">
        <f t="shared" si="5"/>
        <v>0</v>
      </c>
      <c r="AD313" s="14"/>
    </row>
    <row r="314" ht="15.75" customHeight="1">
      <c r="A314" s="14">
        <v>313.0</v>
      </c>
      <c r="B314" s="14" t="s">
        <v>903</v>
      </c>
      <c r="C314" s="14" t="s">
        <v>149</v>
      </c>
      <c r="D314" s="14">
        <v>8.0</v>
      </c>
      <c r="G314" s="14"/>
      <c r="H314" s="14">
        <v>1.0</v>
      </c>
      <c r="I314" s="14">
        <v>2029.0</v>
      </c>
      <c r="J314" s="14">
        <v>2042.0</v>
      </c>
      <c r="K314" s="14">
        <f t="shared" si="1"/>
        <v>13</v>
      </c>
      <c r="L314" s="14">
        <v>13.0</v>
      </c>
      <c r="M314" s="14">
        <v>16.0</v>
      </c>
      <c r="N314" s="14">
        <v>0.0</v>
      </c>
      <c r="O314" s="14">
        <v>0.0</v>
      </c>
      <c r="P314" s="14">
        <v>3.0</v>
      </c>
      <c r="Q314" s="36">
        <v>0.0</v>
      </c>
      <c r="R314" s="36">
        <v>30.0</v>
      </c>
      <c r="S314" s="14"/>
      <c r="T314" s="31">
        <f t="shared" si="2"/>
        <v>62</v>
      </c>
      <c r="U314" s="42" t="s">
        <v>45</v>
      </c>
      <c r="V314" s="26"/>
      <c r="W314" s="14"/>
      <c r="Z314" s="14"/>
      <c r="AA314" s="14" t="str">
        <f t="shared" si="3"/>
        <v/>
      </c>
      <c r="AB314" s="14">
        <f t="shared" si="4"/>
        <v>62</v>
      </c>
      <c r="AC314" s="14">
        <f t="shared" si="5"/>
        <v>0</v>
      </c>
      <c r="AD314" s="14">
        <f>IF(ISBLANK(W314),0,1)</f>
        <v>0</v>
      </c>
    </row>
    <row r="315" ht="15.75" customHeight="1">
      <c r="A315" s="14">
        <v>314.0</v>
      </c>
      <c r="B315" s="14" t="s">
        <v>907</v>
      </c>
      <c r="C315" s="14" t="s">
        <v>157</v>
      </c>
      <c r="D315" s="14">
        <v>1.0</v>
      </c>
      <c r="G315" s="14"/>
      <c r="H315" s="14">
        <v>1.0</v>
      </c>
      <c r="I315" s="14">
        <v>556.0</v>
      </c>
      <c r="J315" s="14">
        <v>570.0</v>
      </c>
      <c r="K315" s="14">
        <f t="shared" si="1"/>
        <v>14</v>
      </c>
      <c r="L315" s="14">
        <v>14.0</v>
      </c>
      <c r="M315" s="14">
        <v>30.0</v>
      </c>
      <c r="N315" s="14">
        <v>0.0</v>
      </c>
      <c r="O315" s="14">
        <v>0.0</v>
      </c>
      <c r="P315" s="14">
        <v>3.0</v>
      </c>
      <c r="Q315" s="36">
        <v>0.0</v>
      </c>
      <c r="R315" s="40">
        <v>15.0</v>
      </c>
      <c r="S315" s="14"/>
      <c r="T315" s="31">
        <f t="shared" si="2"/>
        <v>62</v>
      </c>
      <c r="U315" s="14" t="s">
        <v>45</v>
      </c>
      <c r="V315" s="26"/>
      <c r="W315" s="14" t="s">
        <v>46</v>
      </c>
      <c r="X315" s="14"/>
      <c r="Y315" s="23" t="s">
        <v>161</v>
      </c>
      <c r="Z315" s="14"/>
      <c r="AA315" s="14" t="str">
        <f t="shared" si="3"/>
        <v/>
      </c>
      <c r="AB315" s="14">
        <f t="shared" si="4"/>
        <v>0</v>
      </c>
      <c r="AC315" s="14">
        <f t="shared" si="5"/>
        <v>62</v>
      </c>
      <c r="AD315" s="14"/>
    </row>
    <row r="316" ht="15.75" customHeight="1">
      <c r="A316" s="14">
        <v>315.0</v>
      </c>
      <c r="B316" s="14" t="s">
        <v>910</v>
      </c>
      <c r="C316" s="14" t="s">
        <v>157</v>
      </c>
      <c r="D316" s="14">
        <v>2.0</v>
      </c>
      <c r="G316" s="14"/>
      <c r="H316" s="14">
        <v>1.0</v>
      </c>
      <c r="I316" s="14">
        <v>2012.0</v>
      </c>
      <c r="J316" s="14">
        <v>2039.0</v>
      </c>
      <c r="K316" s="14">
        <f t="shared" si="1"/>
        <v>27</v>
      </c>
      <c r="L316" s="14">
        <v>27.0</v>
      </c>
      <c r="M316" s="14">
        <v>0.0</v>
      </c>
      <c r="N316" s="14">
        <v>0.0</v>
      </c>
      <c r="O316" s="14">
        <v>0.0</v>
      </c>
      <c r="P316" s="14">
        <v>3.0</v>
      </c>
      <c r="Q316" s="36">
        <v>0.0</v>
      </c>
      <c r="R316" s="36">
        <v>30.0</v>
      </c>
      <c r="S316" s="14"/>
      <c r="T316" s="31">
        <f t="shared" si="2"/>
        <v>60</v>
      </c>
      <c r="U316" s="14" t="s">
        <v>45</v>
      </c>
      <c r="V316" s="26"/>
      <c r="W316" s="14" t="s">
        <v>46</v>
      </c>
      <c r="Z316" s="14"/>
      <c r="AA316" s="14" t="str">
        <f t="shared" si="3"/>
        <v/>
      </c>
      <c r="AB316" s="14">
        <f t="shared" si="4"/>
        <v>0</v>
      </c>
      <c r="AC316" s="14">
        <f t="shared" si="5"/>
        <v>60</v>
      </c>
      <c r="AD316" s="14">
        <f t="shared" ref="AD316:AD327" si="49">IF(ISBLANK(W316),0,1)</f>
        <v>1</v>
      </c>
    </row>
    <row r="317" ht="15.75" customHeight="1">
      <c r="A317" s="14">
        <v>316.0</v>
      </c>
      <c r="B317" s="14" t="s">
        <v>912</v>
      </c>
      <c r="C317" s="14" t="s">
        <v>157</v>
      </c>
      <c r="D317" s="14">
        <v>3.0</v>
      </c>
      <c r="G317" s="14"/>
      <c r="H317" s="14">
        <v>1.0</v>
      </c>
      <c r="I317" s="14">
        <v>1573.0</v>
      </c>
      <c r="J317" s="14">
        <v>1583.0</v>
      </c>
      <c r="K317" s="14">
        <f t="shared" si="1"/>
        <v>10</v>
      </c>
      <c r="L317" s="14">
        <v>10.0</v>
      </c>
      <c r="M317" s="14">
        <v>0.0</v>
      </c>
      <c r="N317" s="14">
        <v>0.0</v>
      </c>
      <c r="O317" s="14">
        <v>0.0</v>
      </c>
      <c r="P317" s="14">
        <v>3.0</v>
      </c>
      <c r="Q317" s="36">
        <v>0.0</v>
      </c>
      <c r="R317" s="36">
        <v>30.0</v>
      </c>
      <c r="S317" s="14"/>
      <c r="T317" s="31">
        <f t="shared" si="2"/>
        <v>43</v>
      </c>
      <c r="U317" s="14" t="s">
        <v>45</v>
      </c>
      <c r="V317" s="26"/>
      <c r="W317" s="14" t="s">
        <v>46</v>
      </c>
      <c r="Z317" s="14"/>
      <c r="AA317" s="14" t="str">
        <f t="shared" si="3"/>
        <v/>
      </c>
      <c r="AB317" s="14">
        <f t="shared" si="4"/>
        <v>0</v>
      </c>
      <c r="AC317" s="14">
        <f t="shared" si="5"/>
        <v>43</v>
      </c>
      <c r="AD317" s="14">
        <f t="shared" si="49"/>
        <v>1</v>
      </c>
    </row>
    <row r="318" ht="15.75" customHeight="1">
      <c r="A318" s="14">
        <v>317.0</v>
      </c>
      <c r="B318" s="14" t="s">
        <v>915</v>
      </c>
      <c r="C318" s="14" t="s">
        <v>157</v>
      </c>
      <c r="D318" s="14">
        <v>4.0</v>
      </c>
      <c r="G318" s="14"/>
      <c r="H318" s="14">
        <v>1.0</v>
      </c>
      <c r="I318" s="14">
        <v>3571.0</v>
      </c>
      <c r="J318" s="14">
        <v>3585.0</v>
      </c>
      <c r="K318" s="14">
        <f t="shared" si="1"/>
        <v>14</v>
      </c>
      <c r="L318" s="14">
        <v>14.0</v>
      </c>
      <c r="M318" s="14">
        <v>0.0</v>
      </c>
      <c r="N318" s="14">
        <v>0.0</v>
      </c>
      <c r="O318" s="14">
        <v>0.0</v>
      </c>
      <c r="P318" s="14">
        <v>3.0</v>
      </c>
      <c r="Q318" s="36">
        <v>0.0</v>
      </c>
      <c r="R318" s="36">
        <v>30.0</v>
      </c>
      <c r="S318" s="14"/>
      <c r="T318" s="31">
        <f t="shared" si="2"/>
        <v>47</v>
      </c>
      <c r="U318" s="14" t="s">
        <v>45</v>
      </c>
      <c r="V318" s="26"/>
      <c r="W318" s="14" t="s">
        <v>46</v>
      </c>
      <c r="Z318" s="14"/>
      <c r="AA318" s="14" t="str">
        <f t="shared" si="3"/>
        <v/>
      </c>
      <c r="AB318" s="14">
        <f t="shared" si="4"/>
        <v>0</v>
      </c>
      <c r="AC318" s="14">
        <f t="shared" si="5"/>
        <v>47</v>
      </c>
      <c r="AD318" s="14">
        <f t="shared" si="49"/>
        <v>1</v>
      </c>
    </row>
    <row r="319" ht="15.75" hidden="1" customHeight="1">
      <c r="A319" s="14">
        <v>318.0</v>
      </c>
      <c r="B319" s="14" t="s">
        <v>918</v>
      </c>
      <c r="C319" s="14" t="s">
        <v>157</v>
      </c>
      <c r="D319" s="14">
        <v>5.0</v>
      </c>
      <c r="G319" s="14"/>
      <c r="H319" s="14">
        <v>1.0</v>
      </c>
      <c r="I319" s="14">
        <v>2159.0</v>
      </c>
      <c r="J319" s="14">
        <v>2177.0</v>
      </c>
      <c r="K319" s="14">
        <f t="shared" si="1"/>
        <v>18</v>
      </c>
      <c r="L319" s="14">
        <v>18.0</v>
      </c>
      <c r="M319" s="14">
        <v>0.0</v>
      </c>
      <c r="N319" s="14">
        <v>0.0</v>
      </c>
      <c r="O319" s="14">
        <v>0.0</v>
      </c>
      <c r="P319" s="14">
        <v>3.0</v>
      </c>
      <c r="Q319" s="36">
        <v>0.0</v>
      </c>
      <c r="R319" s="36">
        <v>30.0</v>
      </c>
      <c r="S319" s="14"/>
      <c r="T319" s="31">
        <f t="shared" si="2"/>
        <v>51</v>
      </c>
      <c r="U319" s="14"/>
      <c r="V319" s="26"/>
      <c r="W319" s="14"/>
      <c r="Z319" s="14"/>
      <c r="AA319" s="14" t="str">
        <f t="shared" si="3"/>
        <v/>
      </c>
      <c r="AB319" s="14">
        <f t="shared" si="4"/>
        <v>0</v>
      </c>
      <c r="AC319" s="14">
        <f t="shared" si="5"/>
        <v>0</v>
      </c>
      <c r="AD319" s="14">
        <f t="shared" si="49"/>
        <v>0</v>
      </c>
    </row>
    <row r="320" ht="15.75" customHeight="1">
      <c r="A320" s="14">
        <v>319.0</v>
      </c>
      <c r="B320" s="14" t="s">
        <v>921</v>
      </c>
      <c r="C320" s="14" t="s">
        <v>157</v>
      </c>
      <c r="D320" s="14">
        <v>7.0</v>
      </c>
      <c r="G320" s="14"/>
      <c r="H320" s="14">
        <v>1.0</v>
      </c>
      <c r="I320" s="14">
        <v>172.0</v>
      </c>
      <c r="J320" s="14">
        <v>174.0</v>
      </c>
      <c r="K320" s="14">
        <f t="shared" si="1"/>
        <v>2</v>
      </c>
      <c r="L320" s="14">
        <v>5.0</v>
      </c>
      <c r="M320" s="14">
        <v>0.0</v>
      </c>
      <c r="N320" s="14">
        <v>0.0</v>
      </c>
      <c r="O320" s="14">
        <v>0.0</v>
      </c>
      <c r="P320" s="14">
        <v>3.0</v>
      </c>
      <c r="Q320" s="36">
        <v>0.0</v>
      </c>
      <c r="R320" s="36">
        <v>30.0</v>
      </c>
      <c r="S320" s="14"/>
      <c r="T320" s="31">
        <f t="shared" si="2"/>
        <v>38</v>
      </c>
      <c r="U320" s="14" t="s">
        <v>45</v>
      </c>
      <c r="V320" s="26"/>
      <c r="W320" s="14" t="s">
        <v>46</v>
      </c>
      <c r="Z320" s="14"/>
      <c r="AA320" s="14" t="str">
        <f t="shared" si="3"/>
        <v/>
      </c>
      <c r="AB320" s="14">
        <f t="shared" si="4"/>
        <v>0</v>
      </c>
      <c r="AC320" s="14">
        <f t="shared" si="5"/>
        <v>38</v>
      </c>
      <c r="AD320" s="14">
        <f t="shared" si="49"/>
        <v>1</v>
      </c>
    </row>
    <row r="321" ht="15.75" customHeight="1">
      <c r="A321" s="14">
        <v>320.0</v>
      </c>
      <c r="B321" s="14" t="s">
        <v>923</v>
      </c>
      <c r="C321" s="14" t="s">
        <v>157</v>
      </c>
      <c r="D321" s="14">
        <v>8.0</v>
      </c>
      <c r="G321" s="14"/>
      <c r="H321" s="14">
        <v>1.0</v>
      </c>
      <c r="I321" s="14">
        <v>343.0</v>
      </c>
      <c r="J321" s="14">
        <v>343.0</v>
      </c>
      <c r="K321" s="14">
        <f t="shared" si="1"/>
        <v>0</v>
      </c>
      <c r="L321" s="14">
        <v>5.0</v>
      </c>
      <c r="M321" s="14">
        <v>0.0</v>
      </c>
      <c r="N321" s="14">
        <v>0.0</v>
      </c>
      <c r="O321" s="14">
        <v>0.0</v>
      </c>
      <c r="P321" s="14">
        <v>3.0</v>
      </c>
      <c r="Q321" s="14">
        <v>0.0</v>
      </c>
      <c r="R321" s="14">
        <v>0.0</v>
      </c>
      <c r="S321" s="14"/>
      <c r="T321" s="31">
        <f t="shared" si="2"/>
        <v>8</v>
      </c>
      <c r="U321" s="14" t="s">
        <v>45</v>
      </c>
      <c r="V321" s="26"/>
      <c r="W321" s="14" t="s">
        <v>46</v>
      </c>
      <c r="Z321" s="14"/>
      <c r="AA321" s="14" t="str">
        <f t="shared" si="3"/>
        <v/>
      </c>
      <c r="AB321" s="14">
        <f t="shared" si="4"/>
        <v>0</v>
      </c>
      <c r="AC321" s="14">
        <f t="shared" si="5"/>
        <v>8</v>
      </c>
      <c r="AD321" s="14">
        <f t="shared" si="49"/>
        <v>1</v>
      </c>
    </row>
    <row r="322" ht="15.75" customHeight="1">
      <c r="A322" s="14">
        <v>321.0</v>
      </c>
      <c r="B322" s="14" t="s">
        <v>926</v>
      </c>
      <c r="C322" s="14" t="s">
        <v>157</v>
      </c>
      <c r="D322" s="14">
        <v>9.0</v>
      </c>
      <c r="G322" s="14"/>
      <c r="H322" s="14">
        <v>1.0</v>
      </c>
      <c r="I322" s="14">
        <v>782.0</v>
      </c>
      <c r="J322" s="14">
        <v>786.0</v>
      </c>
      <c r="K322" s="14">
        <f t="shared" si="1"/>
        <v>4</v>
      </c>
      <c r="L322" s="14">
        <v>5.0</v>
      </c>
      <c r="M322" s="14">
        <v>0.0</v>
      </c>
      <c r="N322" s="14">
        <v>0.0</v>
      </c>
      <c r="O322" s="14">
        <v>0.0</v>
      </c>
      <c r="P322" s="14">
        <v>3.0</v>
      </c>
      <c r="Q322" s="14">
        <v>0.0</v>
      </c>
      <c r="R322" s="14">
        <v>0.0</v>
      </c>
      <c r="S322" s="14"/>
      <c r="T322" s="31">
        <f t="shared" si="2"/>
        <v>8</v>
      </c>
      <c r="U322" s="14" t="s">
        <v>45</v>
      </c>
      <c r="V322" s="70"/>
      <c r="W322" s="14" t="s">
        <v>46</v>
      </c>
      <c r="Z322" s="14"/>
      <c r="AA322" s="14" t="str">
        <f t="shared" si="3"/>
        <v/>
      </c>
      <c r="AB322" s="14">
        <f t="shared" si="4"/>
        <v>0</v>
      </c>
      <c r="AC322" s="14">
        <f t="shared" si="5"/>
        <v>8</v>
      </c>
      <c r="AD322" s="14">
        <f t="shared" si="49"/>
        <v>1</v>
      </c>
    </row>
    <row r="323" ht="15.75" customHeight="1">
      <c r="A323" s="14">
        <v>322.0</v>
      </c>
      <c r="B323" s="14" t="s">
        <v>929</v>
      </c>
      <c r="C323" s="14" t="s">
        <v>157</v>
      </c>
      <c r="D323" s="14">
        <v>10.0</v>
      </c>
      <c r="G323" s="14"/>
      <c r="H323" s="14">
        <v>1.0</v>
      </c>
      <c r="I323" s="14">
        <v>1791.0</v>
      </c>
      <c r="J323" s="14">
        <v>1795.0</v>
      </c>
      <c r="K323" s="14">
        <f t="shared" si="1"/>
        <v>4</v>
      </c>
      <c r="L323" s="14">
        <v>5.0</v>
      </c>
      <c r="M323" s="14">
        <v>0.0</v>
      </c>
      <c r="N323" s="14">
        <v>0.0</v>
      </c>
      <c r="O323" s="14">
        <v>0.0</v>
      </c>
      <c r="P323" s="14">
        <v>3.0</v>
      </c>
      <c r="Q323" s="14">
        <v>0.0</v>
      </c>
      <c r="R323" s="14">
        <v>0.0</v>
      </c>
      <c r="S323" s="14"/>
      <c r="T323" s="31">
        <f t="shared" si="2"/>
        <v>8</v>
      </c>
      <c r="U323" s="14" t="s">
        <v>45</v>
      </c>
      <c r="V323" s="70"/>
      <c r="W323" s="14" t="s">
        <v>46</v>
      </c>
      <c r="Z323" s="14"/>
      <c r="AA323" s="14" t="str">
        <f t="shared" si="3"/>
        <v/>
      </c>
      <c r="AB323" s="14">
        <f t="shared" si="4"/>
        <v>0</v>
      </c>
      <c r="AC323" s="14">
        <f t="shared" si="5"/>
        <v>8</v>
      </c>
      <c r="AD323" s="14">
        <f t="shared" si="49"/>
        <v>1</v>
      </c>
    </row>
    <row r="324" ht="15.75" customHeight="1">
      <c r="A324" s="14">
        <v>323.0</v>
      </c>
      <c r="B324" s="14" t="s">
        <v>931</v>
      </c>
      <c r="C324" s="14" t="s">
        <v>157</v>
      </c>
      <c r="D324" s="14">
        <v>11.0</v>
      </c>
      <c r="G324" s="14"/>
      <c r="H324" s="14">
        <v>1.0</v>
      </c>
      <c r="I324" s="14">
        <v>1359.0</v>
      </c>
      <c r="J324" s="14">
        <v>1363.0</v>
      </c>
      <c r="K324" s="14">
        <f t="shared" si="1"/>
        <v>4</v>
      </c>
      <c r="L324" s="14">
        <v>5.0</v>
      </c>
      <c r="M324" s="14">
        <v>0.0</v>
      </c>
      <c r="N324" s="14">
        <v>0.0</v>
      </c>
      <c r="O324" s="14">
        <v>0.0</v>
      </c>
      <c r="P324" s="14">
        <v>3.0</v>
      </c>
      <c r="Q324" s="14">
        <v>0.0</v>
      </c>
      <c r="R324" s="14">
        <v>0.0</v>
      </c>
      <c r="S324" s="14"/>
      <c r="T324" s="31">
        <f t="shared" si="2"/>
        <v>8</v>
      </c>
      <c r="U324" s="14" t="s">
        <v>45</v>
      </c>
      <c r="V324" s="70"/>
      <c r="W324" s="14" t="s">
        <v>46</v>
      </c>
      <c r="Z324" s="14"/>
      <c r="AA324" s="14" t="str">
        <f t="shared" si="3"/>
        <v/>
      </c>
      <c r="AB324" s="14">
        <f t="shared" si="4"/>
        <v>0</v>
      </c>
      <c r="AC324" s="14">
        <f t="shared" si="5"/>
        <v>8</v>
      </c>
      <c r="AD324" s="14">
        <f t="shared" si="49"/>
        <v>1</v>
      </c>
    </row>
    <row r="325" ht="15.75" customHeight="1">
      <c r="A325" s="14">
        <v>324.0</v>
      </c>
      <c r="B325" s="14" t="s">
        <v>934</v>
      </c>
      <c r="C325" s="14" t="s">
        <v>157</v>
      </c>
      <c r="D325" s="14">
        <v>12.0</v>
      </c>
      <c r="G325" s="14"/>
      <c r="H325" s="14">
        <v>1.0</v>
      </c>
      <c r="I325" s="14">
        <v>61.0</v>
      </c>
      <c r="J325" s="14">
        <v>62.0</v>
      </c>
      <c r="K325" s="14">
        <f t="shared" si="1"/>
        <v>1</v>
      </c>
      <c r="L325" s="14">
        <v>5.0</v>
      </c>
      <c r="M325" s="14">
        <v>0.0</v>
      </c>
      <c r="N325" s="14">
        <v>0.0</v>
      </c>
      <c r="O325" s="14">
        <v>0.0</v>
      </c>
      <c r="P325" s="14">
        <v>3.0</v>
      </c>
      <c r="Q325" s="14">
        <v>0.0</v>
      </c>
      <c r="R325" s="14">
        <v>0.0</v>
      </c>
      <c r="S325" s="14"/>
      <c r="T325" s="31">
        <f t="shared" si="2"/>
        <v>8</v>
      </c>
      <c r="U325" s="42" t="s">
        <v>45</v>
      </c>
      <c r="V325" s="26"/>
      <c r="W325" s="14"/>
      <c r="Z325" s="14"/>
      <c r="AA325" s="14" t="str">
        <f t="shared" si="3"/>
        <v/>
      </c>
      <c r="AB325" s="14">
        <f t="shared" si="4"/>
        <v>8</v>
      </c>
      <c r="AC325" s="14">
        <f t="shared" si="5"/>
        <v>0</v>
      </c>
      <c r="AD325" s="14">
        <f t="shared" si="49"/>
        <v>0</v>
      </c>
    </row>
    <row r="326" ht="15.75" customHeight="1">
      <c r="A326" s="14">
        <v>325.0</v>
      </c>
      <c r="B326" s="14" t="s">
        <v>935</v>
      </c>
      <c r="C326" s="14" t="s">
        <v>157</v>
      </c>
      <c r="D326" s="14">
        <v>13.0</v>
      </c>
      <c r="G326" s="14"/>
      <c r="H326" s="14">
        <v>1.0</v>
      </c>
      <c r="I326" s="14">
        <v>4413.0</v>
      </c>
      <c r="J326" s="14">
        <v>4427.0</v>
      </c>
      <c r="K326" s="14">
        <f t="shared" si="1"/>
        <v>14</v>
      </c>
      <c r="L326" s="14">
        <v>14.0</v>
      </c>
      <c r="M326" s="14">
        <v>0.0</v>
      </c>
      <c r="N326" s="14">
        <v>0.0</v>
      </c>
      <c r="O326" s="14">
        <v>0.0</v>
      </c>
      <c r="P326" s="14">
        <v>3.0</v>
      </c>
      <c r="Q326" s="36">
        <v>0.0</v>
      </c>
      <c r="R326" s="36">
        <v>30.0</v>
      </c>
      <c r="S326" s="14"/>
      <c r="T326" s="31">
        <f t="shared" si="2"/>
        <v>47</v>
      </c>
      <c r="U326" s="14" t="s">
        <v>45</v>
      </c>
      <c r="V326" s="26"/>
      <c r="W326" s="14" t="s">
        <v>46</v>
      </c>
      <c r="Z326" s="14"/>
      <c r="AA326" s="14" t="str">
        <f t="shared" si="3"/>
        <v/>
      </c>
      <c r="AB326" s="14">
        <f t="shared" si="4"/>
        <v>0</v>
      </c>
      <c r="AC326" s="14">
        <f t="shared" si="5"/>
        <v>47</v>
      </c>
      <c r="AD326" s="14">
        <f t="shared" si="49"/>
        <v>1</v>
      </c>
    </row>
    <row r="327" ht="15.75" customHeight="1">
      <c r="A327" s="14">
        <v>326.0</v>
      </c>
      <c r="B327" s="14" t="s">
        <v>938</v>
      </c>
      <c r="C327" s="14" t="s">
        <v>157</v>
      </c>
      <c r="D327" s="14">
        <v>15.0</v>
      </c>
      <c r="G327" s="14"/>
      <c r="H327" s="14">
        <v>1.0</v>
      </c>
      <c r="I327" s="14">
        <v>1504.0</v>
      </c>
      <c r="J327" s="14">
        <v>1508.0</v>
      </c>
      <c r="K327" s="14">
        <f t="shared" si="1"/>
        <v>4</v>
      </c>
      <c r="L327" s="14">
        <v>5.0</v>
      </c>
      <c r="M327" s="14">
        <v>0.0</v>
      </c>
      <c r="N327" s="14">
        <v>0.0</v>
      </c>
      <c r="O327" s="14">
        <v>0.0</v>
      </c>
      <c r="P327" s="14">
        <v>3.0</v>
      </c>
      <c r="Q327" s="36">
        <v>0.0</v>
      </c>
      <c r="R327" s="40">
        <v>15.0</v>
      </c>
      <c r="S327" s="14"/>
      <c r="T327" s="31">
        <f t="shared" si="2"/>
        <v>23</v>
      </c>
      <c r="U327" s="14" t="s">
        <v>45</v>
      </c>
      <c r="V327" s="26"/>
      <c r="W327" s="14" t="s">
        <v>46</v>
      </c>
      <c r="Y327" s="23" t="s">
        <v>161</v>
      </c>
      <c r="Z327" s="14"/>
      <c r="AA327" s="14" t="str">
        <f t="shared" si="3"/>
        <v/>
      </c>
      <c r="AB327" s="14">
        <f t="shared" si="4"/>
        <v>0</v>
      </c>
      <c r="AC327" s="14">
        <f t="shared" si="5"/>
        <v>23</v>
      </c>
      <c r="AD327" s="14">
        <f t="shared" si="49"/>
        <v>1</v>
      </c>
    </row>
    <row r="328" ht="15.75" customHeight="1">
      <c r="A328" s="14">
        <v>327.0</v>
      </c>
      <c r="B328" s="14" t="s">
        <v>940</v>
      </c>
      <c r="C328" s="14" t="s">
        <v>167</v>
      </c>
      <c r="D328" s="14">
        <v>1.0</v>
      </c>
      <c r="G328" s="14"/>
      <c r="H328" s="14">
        <v>1.0</v>
      </c>
      <c r="I328" s="53">
        <v>2623.0</v>
      </c>
      <c r="J328" s="53">
        <v>2635.0</v>
      </c>
      <c r="K328" s="14">
        <f t="shared" si="1"/>
        <v>12</v>
      </c>
      <c r="L328" s="14">
        <v>12.0</v>
      </c>
      <c r="M328" s="14">
        <v>10.0</v>
      </c>
      <c r="N328" s="14">
        <v>0.0</v>
      </c>
      <c r="O328" s="14">
        <v>0.0</v>
      </c>
      <c r="P328" s="14">
        <v>3.0</v>
      </c>
      <c r="Q328" s="36">
        <v>0.0</v>
      </c>
      <c r="R328" s="36">
        <v>30.0</v>
      </c>
      <c r="S328" s="14"/>
      <c r="T328" s="31">
        <f t="shared" si="2"/>
        <v>55</v>
      </c>
      <c r="U328" s="23" t="s">
        <v>45</v>
      </c>
      <c r="V328" s="26"/>
      <c r="W328" s="23" t="s">
        <v>46</v>
      </c>
      <c r="Z328" s="14"/>
      <c r="AA328" s="14" t="str">
        <f t="shared" si="3"/>
        <v/>
      </c>
      <c r="AB328" s="14">
        <f t="shared" si="4"/>
        <v>0</v>
      </c>
      <c r="AC328" s="14">
        <f t="shared" si="5"/>
        <v>55</v>
      </c>
      <c r="AD328" s="14"/>
    </row>
    <row r="329" ht="15.75" customHeight="1">
      <c r="A329" s="14">
        <v>328.0</v>
      </c>
      <c r="B329" s="14" t="s">
        <v>943</v>
      </c>
      <c r="C329" s="14" t="s">
        <v>167</v>
      </c>
      <c r="D329" s="14">
        <v>3.0</v>
      </c>
      <c r="G329" s="14"/>
      <c r="H329" s="14">
        <v>1.0</v>
      </c>
      <c r="I329" s="14">
        <v>150.0</v>
      </c>
      <c r="J329" s="14">
        <v>154.0</v>
      </c>
      <c r="K329" s="14">
        <f t="shared" si="1"/>
        <v>4</v>
      </c>
      <c r="L329" s="14">
        <v>5.0</v>
      </c>
      <c r="M329" s="14">
        <v>0.0</v>
      </c>
      <c r="N329" s="14">
        <v>0.0</v>
      </c>
      <c r="O329" s="14">
        <v>0.0</v>
      </c>
      <c r="P329" s="14">
        <v>3.0</v>
      </c>
      <c r="Q329" s="14">
        <v>0.0</v>
      </c>
      <c r="R329" s="14">
        <v>0.0</v>
      </c>
      <c r="S329" s="14"/>
      <c r="T329" s="31">
        <f t="shared" si="2"/>
        <v>8</v>
      </c>
      <c r="U329" s="14" t="s">
        <v>45</v>
      </c>
      <c r="V329" s="26"/>
      <c r="W329" s="14" t="s">
        <v>46</v>
      </c>
      <c r="Z329" s="14"/>
      <c r="AA329" s="14" t="str">
        <f t="shared" si="3"/>
        <v/>
      </c>
      <c r="AB329" s="14">
        <f t="shared" si="4"/>
        <v>0</v>
      </c>
      <c r="AC329" s="14">
        <f t="shared" si="5"/>
        <v>8</v>
      </c>
      <c r="AD329" s="14">
        <f t="shared" ref="AD329:AD330" si="50">IF(ISBLANK(W329),0,1)</f>
        <v>1</v>
      </c>
    </row>
    <row r="330" ht="15.75" customHeight="1">
      <c r="A330" s="14">
        <v>329.0</v>
      </c>
      <c r="B330" s="14" t="s">
        <v>946</v>
      </c>
      <c r="C330" s="14" t="s">
        <v>167</v>
      </c>
      <c r="D330" s="14">
        <v>4.0</v>
      </c>
      <c r="G330" s="14"/>
      <c r="H330" s="14">
        <v>1.0</v>
      </c>
      <c r="I330" s="14">
        <v>1391.0</v>
      </c>
      <c r="J330" s="14">
        <v>1397.0</v>
      </c>
      <c r="K330" s="14">
        <f t="shared" si="1"/>
        <v>6</v>
      </c>
      <c r="L330" s="14">
        <v>6.0</v>
      </c>
      <c r="M330" s="14">
        <v>8.0</v>
      </c>
      <c r="N330" s="14">
        <v>0.0</v>
      </c>
      <c r="O330" s="14">
        <v>0.0</v>
      </c>
      <c r="P330" s="14">
        <v>3.0</v>
      </c>
      <c r="Q330" s="36">
        <v>0.0</v>
      </c>
      <c r="R330" s="36">
        <v>30.0</v>
      </c>
      <c r="S330" s="14"/>
      <c r="T330" s="31">
        <f t="shared" si="2"/>
        <v>47</v>
      </c>
      <c r="U330" s="14" t="s">
        <v>45</v>
      </c>
      <c r="V330" s="26"/>
      <c r="W330" s="14" t="s">
        <v>46</v>
      </c>
      <c r="Z330" s="14"/>
      <c r="AA330" s="14" t="str">
        <f t="shared" si="3"/>
        <v/>
      </c>
      <c r="AB330" s="14">
        <f t="shared" si="4"/>
        <v>0</v>
      </c>
      <c r="AC330" s="14">
        <f t="shared" si="5"/>
        <v>47</v>
      </c>
      <c r="AD330" s="14">
        <f t="shared" si="50"/>
        <v>1</v>
      </c>
    </row>
    <row r="331" ht="15.75" customHeight="1">
      <c r="A331" s="14">
        <v>330.0</v>
      </c>
      <c r="B331" s="34" t="s">
        <v>949</v>
      </c>
      <c r="C331" s="34" t="s">
        <v>167</v>
      </c>
      <c r="D331" s="34">
        <v>5.0</v>
      </c>
      <c r="E331" s="34"/>
      <c r="F331" s="34"/>
      <c r="G331" s="34"/>
      <c r="H331" s="34">
        <v>1.0</v>
      </c>
      <c r="I331" s="14">
        <v>372.0</v>
      </c>
      <c r="J331" s="14">
        <v>372.0</v>
      </c>
      <c r="K331" s="14">
        <f t="shared" si="1"/>
        <v>0</v>
      </c>
      <c r="L331" s="14">
        <v>5.0</v>
      </c>
      <c r="M331" s="34">
        <v>0.0</v>
      </c>
      <c r="N331" s="14">
        <v>0.0</v>
      </c>
      <c r="O331" s="14">
        <v>0.0</v>
      </c>
      <c r="P331" s="14">
        <v>3.0</v>
      </c>
      <c r="Q331" s="36">
        <v>0.0</v>
      </c>
      <c r="R331" s="36">
        <v>30.0</v>
      </c>
      <c r="S331" s="14"/>
      <c r="T331" s="31">
        <f t="shared" si="2"/>
        <v>38</v>
      </c>
      <c r="U331" s="42" t="s">
        <v>45</v>
      </c>
      <c r="V331" s="33"/>
      <c r="W331" s="14"/>
      <c r="X331" s="34"/>
      <c r="Y331" s="34"/>
      <c r="Z331" s="34"/>
      <c r="AA331" s="14" t="str">
        <f t="shared" si="3"/>
        <v/>
      </c>
      <c r="AB331" s="14">
        <f t="shared" si="4"/>
        <v>38</v>
      </c>
      <c r="AC331" s="14">
        <f t="shared" si="5"/>
        <v>0</v>
      </c>
      <c r="AD331" s="34"/>
    </row>
    <row r="332" ht="15.75" hidden="1" customHeight="1">
      <c r="A332" s="14">
        <v>331.0</v>
      </c>
      <c r="B332" s="14" t="s">
        <v>951</v>
      </c>
      <c r="C332" s="14" t="s">
        <v>167</v>
      </c>
      <c r="D332" s="14">
        <v>6.0</v>
      </c>
      <c r="H332" s="14">
        <v>1.0</v>
      </c>
      <c r="I332" s="14">
        <v>29.0</v>
      </c>
      <c r="J332" s="14">
        <v>45.0</v>
      </c>
      <c r="K332" s="14">
        <f t="shared" si="1"/>
        <v>16</v>
      </c>
      <c r="L332" s="14">
        <v>16.0</v>
      </c>
      <c r="M332" s="14">
        <v>0.0</v>
      </c>
      <c r="N332" s="14">
        <v>0.0</v>
      </c>
      <c r="O332" s="14">
        <v>0.0</v>
      </c>
      <c r="P332" s="14">
        <v>3.0</v>
      </c>
      <c r="Q332" s="36">
        <v>0.0</v>
      </c>
      <c r="R332" s="36">
        <v>30.0</v>
      </c>
      <c r="S332" s="14"/>
      <c r="T332" s="31">
        <f t="shared" si="2"/>
        <v>49</v>
      </c>
      <c r="U332" s="14"/>
      <c r="V332" s="26"/>
      <c r="W332" s="14"/>
      <c r="Z332" s="14"/>
      <c r="AA332" s="14" t="str">
        <f t="shared" si="3"/>
        <v/>
      </c>
      <c r="AB332" s="14">
        <f t="shared" si="4"/>
        <v>0</v>
      </c>
      <c r="AC332" s="14">
        <f t="shared" si="5"/>
        <v>0</v>
      </c>
      <c r="AD332" s="14"/>
    </row>
    <row r="333" ht="15.75" customHeight="1">
      <c r="A333" s="14">
        <v>332.0</v>
      </c>
      <c r="B333" s="14" t="s">
        <v>953</v>
      </c>
      <c r="C333" s="14" t="s">
        <v>167</v>
      </c>
      <c r="D333" s="14">
        <v>7.0</v>
      </c>
      <c r="H333" s="14">
        <v>1.0</v>
      </c>
      <c r="I333" s="14">
        <v>3465.0</v>
      </c>
      <c r="J333" s="14">
        <v>3477.0</v>
      </c>
      <c r="K333" s="14">
        <f t="shared" si="1"/>
        <v>12</v>
      </c>
      <c r="L333" s="14">
        <v>12.0</v>
      </c>
      <c r="M333" s="14">
        <v>0.0</v>
      </c>
      <c r="N333" s="14">
        <v>0.0</v>
      </c>
      <c r="O333" s="14">
        <v>0.0</v>
      </c>
      <c r="P333" s="14">
        <v>3.0</v>
      </c>
      <c r="Q333" s="36">
        <v>0.0</v>
      </c>
      <c r="R333" s="36">
        <v>30.0</v>
      </c>
      <c r="S333" s="14"/>
      <c r="T333" s="31">
        <f t="shared" si="2"/>
        <v>45</v>
      </c>
      <c r="U333" s="14" t="s">
        <v>45</v>
      </c>
      <c r="V333" s="26"/>
      <c r="W333" s="14" t="s">
        <v>46</v>
      </c>
      <c r="Z333" s="14"/>
      <c r="AA333" s="14" t="str">
        <f t="shared" si="3"/>
        <v/>
      </c>
      <c r="AB333" s="14">
        <f t="shared" si="4"/>
        <v>0</v>
      </c>
      <c r="AC333" s="14">
        <f t="shared" si="5"/>
        <v>45</v>
      </c>
      <c r="AD333" s="14">
        <f>IF(ISBLANK(W333),0,1)</f>
        <v>1</v>
      </c>
    </row>
    <row r="334" ht="15.75" customHeight="1">
      <c r="A334" s="14">
        <v>333.0</v>
      </c>
      <c r="B334" s="14" t="s">
        <v>956</v>
      </c>
      <c r="C334" s="14" t="s">
        <v>167</v>
      </c>
      <c r="D334" s="14">
        <v>8.0</v>
      </c>
      <c r="H334" s="14">
        <v>1.0</v>
      </c>
      <c r="I334" s="14">
        <v>2164.0</v>
      </c>
      <c r="J334" s="14">
        <v>2173.0</v>
      </c>
      <c r="K334" s="14">
        <f t="shared" si="1"/>
        <v>9</v>
      </c>
      <c r="L334" s="14">
        <v>9.0</v>
      </c>
      <c r="M334" s="14">
        <v>0.0</v>
      </c>
      <c r="N334" s="14">
        <v>0.0</v>
      </c>
      <c r="O334" s="14">
        <v>0.0</v>
      </c>
      <c r="P334" s="14">
        <v>3.0</v>
      </c>
      <c r="Q334" s="36">
        <v>0.0</v>
      </c>
      <c r="R334" s="36">
        <v>30.0</v>
      </c>
      <c r="S334" s="14"/>
      <c r="T334" s="31">
        <f t="shared" si="2"/>
        <v>42</v>
      </c>
      <c r="U334" s="14" t="s">
        <v>45</v>
      </c>
      <c r="V334" s="26"/>
      <c r="W334" s="14" t="s">
        <v>46</v>
      </c>
      <c r="Z334" s="14"/>
      <c r="AA334" s="14" t="str">
        <f t="shared" si="3"/>
        <v/>
      </c>
      <c r="AB334" s="14">
        <f t="shared" si="4"/>
        <v>0</v>
      </c>
      <c r="AC334" s="14">
        <f t="shared" si="5"/>
        <v>42</v>
      </c>
      <c r="AD334" s="14"/>
    </row>
    <row r="335" ht="15.75" hidden="1" customHeight="1">
      <c r="A335" s="14">
        <v>334.0</v>
      </c>
      <c r="B335" s="14" t="s">
        <v>958</v>
      </c>
      <c r="C335" s="14" t="s">
        <v>167</v>
      </c>
      <c r="D335" s="14">
        <v>9.0</v>
      </c>
      <c r="H335" s="14">
        <v>1.0</v>
      </c>
      <c r="I335" s="14">
        <v>601.0</v>
      </c>
      <c r="J335" s="14">
        <v>601.0</v>
      </c>
      <c r="K335" s="14">
        <f t="shared" si="1"/>
        <v>0</v>
      </c>
      <c r="L335" s="14">
        <v>5.0</v>
      </c>
      <c r="M335" s="14">
        <v>128.0</v>
      </c>
      <c r="N335" s="14">
        <v>40.0</v>
      </c>
      <c r="O335" s="14">
        <v>0.0</v>
      </c>
      <c r="P335" s="14">
        <v>3.0</v>
      </c>
      <c r="Q335" s="36">
        <v>40.0</v>
      </c>
      <c r="R335" s="36">
        <v>30.0</v>
      </c>
      <c r="S335" s="14"/>
      <c r="T335" s="31">
        <f t="shared" si="2"/>
        <v>246</v>
      </c>
      <c r="W335" s="14"/>
      <c r="Z335" s="14" t="s">
        <v>959</v>
      </c>
      <c r="AA335" s="14" t="str">
        <f t="shared" si="3"/>
        <v>CORTE</v>
      </c>
      <c r="AB335" s="14">
        <f t="shared" si="4"/>
        <v>0</v>
      </c>
      <c r="AC335" s="14">
        <f t="shared" si="5"/>
        <v>0</v>
      </c>
      <c r="AD335" s="14"/>
    </row>
    <row r="336" ht="15.75" customHeight="1">
      <c r="A336" s="14">
        <v>335.0</v>
      </c>
      <c r="B336" s="14" t="s">
        <v>960</v>
      </c>
      <c r="C336" s="14" t="s">
        <v>167</v>
      </c>
      <c r="D336" s="14">
        <v>10.0</v>
      </c>
      <c r="H336" s="14">
        <v>1.0</v>
      </c>
      <c r="I336" s="14">
        <v>131.0</v>
      </c>
      <c r="J336" s="14">
        <v>144.0</v>
      </c>
      <c r="K336" s="14">
        <f t="shared" si="1"/>
        <v>13</v>
      </c>
      <c r="L336" s="14">
        <v>13.0</v>
      </c>
      <c r="M336" s="14">
        <v>0.0</v>
      </c>
      <c r="N336" s="14">
        <v>0.0</v>
      </c>
      <c r="O336" s="14">
        <v>0.0</v>
      </c>
      <c r="P336" s="14">
        <v>3.0</v>
      </c>
      <c r="Q336" s="14">
        <v>0.0</v>
      </c>
      <c r="R336" s="14">
        <v>0.0</v>
      </c>
      <c r="S336" s="14"/>
      <c r="T336" s="31">
        <f t="shared" si="2"/>
        <v>16</v>
      </c>
      <c r="U336" s="23" t="s">
        <v>45</v>
      </c>
      <c r="V336" s="26"/>
      <c r="W336" s="23" t="s">
        <v>46</v>
      </c>
      <c r="Z336" s="14"/>
      <c r="AA336" s="14" t="str">
        <f t="shared" si="3"/>
        <v/>
      </c>
      <c r="AB336" s="14">
        <f t="shared" si="4"/>
        <v>0</v>
      </c>
      <c r="AC336" s="14">
        <f t="shared" si="5"/>
        <v>16</v>
      </c>
      <c r="AD336" s="14">
        <f t="shared" ref="AD336:AD337" si="51">IF(ISBLANK(W336),0,1)</f>
        <v>1</v>
      </c>
    </row>
    <row r="337" ht="15.75" customHeight="1">
      <c r="A337" s="14">
        <v>336.0</v>
      </c>
      <c r="B337" s="14" t="s">
        <v>963</v>
      </c>
      <c r="C337" s="14" t="s">
        <v>167</v>
      </c>
      <c r="D337" s="14">
        <v>11.0</v>
      </c>
      <c r="H337" s="14">
        <v>1.0</v>
      </c>
      <c r="I337" s="14">
        <v>481.0</v>
      </c>
      <c r="J337" s="14">
        <v>485.0</v>
      </c>
      <c r="K337" s="14">
        <f t="shared" si="1"/>
        <v>4</v>
      </c>
      <c r="L337" s="23">
        <v>13.0</v>
      </c>
      <c r="M337" s="14">
        <v>0.0</v>
      </c>
      <c r="N337" s="14">
        <v>0.0</v>
      </c>
      <c r="O337" s="14">
        <v>0.0</v>
      </c>
      <c r="P337" s="14">
        <v>3.0</v>
      </c>
      <c r="Q337" s="14">
        <v>0.0</v>
      </c>
      <c r="R337" s="14">
        <v>0.0</v>
      </c>
      <c r="S337" s="23"/>
      <c r="T337" s="31">
        <f t="shared" si="2"/>
        <v>16</v>
      </c>
      <c r="U337" s="14" t="s">
        <v>45</v>
      </c>
      <c r="V337" s="70"/>
      <c r="W337" s="14" t="s">
        <v>46</v>
      </c>
      <c r="Y337" s="43" t="s">
        <v>964</v>
      </c>
      <c r="Z337" s="14"/>
      <c r="AA337" s="14" t="str">
        <f t="shared" si="3"/>
        <v/>
      </c>
      <c r="AB337" s="14">
        <f t="shared" si="4"/>
        <v>0</v>
      </c>
      <c r="AC337" s="14">
        <f t="shared" si="5"/>
        <v>16</v>
      </c>
      <c r="AD337" s="14">
        <f t="shared" si="51"/>
        <v>1</v>
      </c>
    </row>
    <row r="338" ht="15.75" customHeight="1">
      <c r="A338" s="14">
        <v>337.0</v>
      </c>
      <c r="B338" s="14" t="s">
        <v>967</v>
      </c>
      <c r="C338" s="14" t="s">
        <v>167</v>
      </c>
      <c r="D338" s="14">
        <v>13.0</v>
      </c>
      <c r="H338" s="14">
        <v>1.0</v>
      </c>
      <c r="I338" s="14">
        <v>5.0</v>
      </c>
      <c r="J338" s="14">
        <v>6.0</v>
      </c>
      <c r="K338" s="14">
        <f t="shared" si="1"/>
        <v>1</v>
      </c>
      <c r="L338" s="14">
        <v>5.0</v>
      </c>
      <c r="M338" s="52">
        <v>0.0</v>
      </c>
      <c r="N338" s="14">
        <v>0.0</v>
      </c>
      <c r="O338" s="14">
        <v>0.0</v>
      </c>
      <c r="P338" s="14">
        <v>3.0</v>
      </c>
      <c r="Q338" s="14">
        <v>0.0</v>
      </c>
      <c r="R338" s="14">
        <v>0.0</v>
      </c>
      <c r="S338" s="14"/>
      <c r="T338" s="31">
        <f t="shared" si="2"/>
        <v>8</v>
      </c>
      <c r="U338" s="14" t="s">
        <v>45</v>
      </c>
      <c r="V338" s="26"/>
      <c r="W338" s="14" t="s">
        <v>46</v>
      </c>
      <c r="X338" s="52"/>
      <c r="Y338" s="52"/>
      <c r="Z338" s="14"/>
      <c r="AA338" s="14" t="str">
        <f t="shared" si="3"/>
        <v/>
      </c>
      <c r="AB338" s="14">
        <f t="shared" si="4"/>
        <v>0</v>
      </c>
      <c r="AC338" s="14">
        <f t="shared" si="5"/>
        <v>8</v>
      </c>
      <c r="AD338" s="14"/>
    </row>
    <row r="339" ht="15.75" customHeight="1">
      <c r="A339" s="14">
        <v>338.0</v>
      </c>
      <c r="B339" s="14" t="s">
        <v>968</v>
      </c>
      <c r="C339" s="14" t="s">
        <v>167</v>
      </c>
      <c r="D339" s="14">
        <v>14.0</v>
      </c>
      <c r="H339" s="14">
        <v>1.0</v>
      </c>
      <c r="I339" s="14">
        <v>1833.0</v>
      </c>
      <c r="J339" s="14">
        <v>1860.0</v>
      </c>
      <c r="K339" s="14">
        <f t="shared" si="1"/>
        <v>27</v>
      </c>
      <c r="L339" s="14">
        <v>27.0</v>
      </c>
      <c r="M339" s="14">
        <v>0.0</v>
      </c>
      <c r="N339" s="14">
        <v>0.0</v>
      </c>
      <c r="O339" s="14">
        <v>0.0</v>
      </c>
      <c r="P339" s="14">
        <v>3.0</v>
      </c>
      <c r="Q339" s="36">
        <v>0.0</v>
      </c>
      <c r="R339" s="36">
        <v>30.0</v>
      </c>
      <c r="S339" s="14"/>
      <c r="T339" s="31">
        <f t="shared" si="2"/>
        <v>60</v>
      </c>
      <c r="U339" s="14" t="s">
        <v>45</v>
      </c>
      <c r="V339" s="26"/>
      <c r="W339" s="14" t="s">
        <v>46</v>
      </c>
      <c r="Z339" s="14"/>
      <c r="AA339" s="14" t="str">
        <f t="shared" si="3"/>
        <v/>
      </c>
      <c r="AB339" s="14">
        <f t="shared" si="4"/>
        <v>0</v>
      </c>
      <c r="AC339" s="14">
        <f t="shared" si="5"/>
        <v>60</v>
      </c>
      <c r="AD339" s="14">
        <f t="shared" ref="AD339:AD341" si="52">IF(ISBLANK(W339),0,1)</f>
        <v>1</v>
      </c>
    </row>
    <row r="340" ht="15.75" customHeight="1">
      <c r="A340" s="14">
        <v>339.0</v>
      </c>
      <c r="B340" s="14" t="s">
        <v>971</v>
      </c>
      <c r="C340" s="14" t="s">
        <v>167</v>
      </c>
      <c r="D340" s="14">
        <v>15.0</v>
      </c>
      <c r="H340" s="14">
        <v>1.0</v>
      </c>
      <c r="I340" s="14">
        <v>348.0</v>
      </c>
      <c r="J340" s="14">
        <v>352.0</v>
      </c>
      <c r="K340" s="14">
        <f t="shared" si="1"/>
        <v>4</v>
      </c>
      <c r="L340" s="14">
        <v>5.0</v>
      </c>
      <c r="M340" s="14">
        <v>0.0</v>
      </c>
      <c r="N340" s="14">
        <v>0.0</v>
      </c>
      <c r="O340" s="14">
        <v>0.0</v>
      </c>
      <c r="P340" s="14">
        <v>3.0</v>
      </c>
      <c r="Q340" s="14">
        <v>0.0</v>
      </c>
      <c r="R340" s="14">
        <v>0.0</v>
      </c>
      <c r="S340" s="14"/>
      <c r="T340" s="31">
        <f t="shared" si="2"/>
        <v>8</v>
      </c>
      <c r="U340" s="42" t="s">
        <v>45</v>
      </c>
      <c r="V340" s="26"/>
      <c r="W340" s="14"/>
      <c r="X340" s="14"/>
      <c r="Y340" s="14"/>
      <c r="Z340" s="14"/>
      <c r="AA340" s="14" t="str">
        <f t="shared" si="3"/>
        <v/>
      </c>
      <c r="AB340" s="14">
        <f t="shared" si="4"/>
        <v>8</v>
      </c>
      <c r="AC340" s="14">
        <f t="shared" si="5"/>
        <v>0</v>
      </c>
      <c r="AD340" s="14">
        <f t="shared" si="52"/>
        <v>0</v>
      </c>
    </row>
    <row r="341" ht="15.75" customHeight="1">
      <c r="A341" s="14">
        <v>340.0</v>
      </c>
      <c r="B341" s="14" t="s">
        <v>973</v>
      </c>
      <c r="C341" s="14" t="s">
        <v>167</v>
      </c>
      <c r="D341" s="14">
        <v>16.0</v>
      </c>
      <c r="H341" s="14">
        <v>1.0</v>
      </c>
      <c r="I341" s="14">
        <v>64.0</v>
      </c>
      <c r="J341" s="14">
        <v>71.0</v>
      </c>
      <c r="K341" s="14">
        <f t="shared" si="1"/>
        <v>7</v>
      </c>
      <c r="L341" s="14">
        <v>7.0</v>
      </c>
      <c r="M341" s="52">
        <v>0.0</v>
      </c>
      <c r="N341" s="14">
        <v>0.0</v>
      </c>
      <c r="O341" s="14">
        <v>0.0</v>
      </c>
      <c r="P341" s="14">
        <v>3.0</v>
      </c>
      <c r="Q341" s="14">
        <v>0.0</v>
      </c>
      <c r="R341" s="14">
        <v>0.0</v>
      </c>
      <c r="S341" s="14"/>
      <c r="T341" s="31">
        <f t="shared" si="2"/>
        <v>10</v>
      </c>
      <c r="U341" s="52" t="s">
        <v>45</v>
      </c>
      <c r="V341" s="67"/>
      <c r="W341" s="14" t="s">
        <v>46</v>
      </c>
      <c r="X341" s="52"/>
      <c r="Y341" s="52"/>
      <c r="Z341" s="14"/>
      <c r="AA341" s="14" t="str">
        <f t="shared" si="3"/>
        <v/>
      </c>
      <c r="AB341" s="14">
        <f t="shared" si="4"/>
        <v>0</v>
      </c>
      <c r="AC341" s="14">
        <f t="shared" si="5"/>
        <v>10</v>
      </c>
      <c r="AD341" s="14">
        <f t="shared" si="52"/>
        <v>1</v>
      </c>
    </row>
    <row r="342" ht="15.75" hidden="1" customHeight="1">
      <c r="A342" s="14">
        <v>341.0</v>
      </c>
      <c r="B342" s="14" t="s">
        <v>975</v>
      </c>
      <c r="C342" s="14" t="s">
        <v>167</v>
      </c>
      <c r="D342" s="14">
        <v>17.0</v>
      </c>
      <c r="H342" s="14">
        <v>1.0</v>
      </c>
      <c r="I342" s="14">
        <v>2403.0</v>
      </c>
      <c r="J342" s="14">
        <v>2403.0</v>
      </c>
      <c r="K342" s="14">
        <f t="shared" si="1"/>
        <v>0</v>
      </c>
      <c r="L342" s="14">
        <v>5.0</v>
      </c>
      <c r="M342" s="14">
        <v>120.0</v>
      </c>
      <c r="N342" s="14">
        <v>40.0</v>
      </c>
      <c r="O342" s="14">
        <v>0.0</v>
      </c>
      <c r="P342" s="14">
        <v>3.0</v>
      </c>
      <c r="Q342" s="36">
        <v>40.0</v>
      </c>
      <c r="R342" s="36">
        <v>30.0</v>
      </c>
      <c r="S342" s="14"/>
      <c r="T342" s="31">
        <f t="shared" si="2"/>
        <v>238</v>
      </c>
      <c r="W342" s="14"/>
      <c r="Z342" s="14" t="s">
        <v>959</v>
      </c>
      <c r="AA342" s="14" t="str">
        <f t="shared" si="3"/>
        <v>CORTE</v>
      </c>
      <c r="AB342" s="14">
        <f t="shared" si="4"/>
        <v>0</v>
      </c>
      <c r="AC342" s="14">
        <f t="shared" si="5"/>
        <v>0</v>
      </c>
      <c r="AD342" s="14"/>
    </row>
    <row r="343" ht="15.75" hidden="1" customHeight="1">
      <c r="A343" s="14">
        <v>342.0</v>
      </c>
      <c r="B343" s="14" t="s">
        <v>978</v>
      </c>
      <c r="C343" s="14" t="s">
        <v>167</v>
      </c>
      <c r="D343" s="14">
        <v>18.0</v>
      </c>
      <c r="H343" s="14">
        <v>1.0</v>
      </c>
      <c r="I343" s="14">
        <v>1711.0</v>
      </c>
      <c r="J343" s="14">
        <v>1718.0</v>
      </c>
      <c r="K343" s="14">
        <f t="shared" si="1"/>
        <v>7</v>
      </c>
      <c r="L343" s="14">
        <v>7.0</v>
      </c>
      <c r="M343" s="14">
        <v>0.0</v>
      </c>
      <c r="N343" s="14">
        <v>0.0</v>
      </c>
      <c r="O343" s="14">
        <v>0.0</v>
      </c>
      <c r="P343" s="14">
        <v>3.0</v>
      </c>
      <c r="Q343" s="36">
        <v>0.0</v>
      </c>
      <c r="R343" s="36">
        <v>30.0</v>
      </c>
      <c r="S343" s="14"/>
      <c r="T343" s="31">
        <f t="shared" si="2"/>
        <v>40</v>
      </c>
      <c r="U343" s="14"/>
      <c r="V343" s="26"/>
      <c r="W343" s="14"/>
      <c r="Z343" s="14"/>
      <c r="AA343" s="14" t="str">
        <f t="shared" si="3"/>
        <v/>
      </c>
      <c r="AB343" s="14">
        <f t="shared" si="4"/>
        <v>0</v>
      </c>
      <c r="AC343" s="14">
        <f t="shared" si="5"/>
        <v>0</v>
      </c>
      <c r="AD343" s="14">
        <f t="shared" ref="AD343:AD354" si="53">IF(ISBLANK(W343),0,1)</f>
        <v>0</v>
      </c>
    </row>
    <row r="344" ht="15.75" customHeight="1">
      <c r="A344" s="14">
        <v>343.0</v>
      </c>
      <c r="B344" s="14" t="s">
        <v>980</v>
      </c>
      <c r="C344" s="14" t="s">
        <v>167</v>
      </c>
      <c r="D344" s="14">
        <v>19.0</v>
      </c>
      <c r="H344" s="14">
        <v>1.0</v>
      </c>
      <c r="I344" s="14">
        <v>335.0</v>
      </c>
      <c r="J344" s="14">
        <v>349.0</v>
      </c>
      <c r="K344" s="14">
        <f t="shared" si="1"/>
        <v>14</v>
      </c>
      <c r="L344" s="14">
        <v>14.0</v>
      </c>
      <c r="M344" s="14">
        <v>0.0</v>
      </c>
      <c r="N344" s="14">
        <v>0.0</v>
      </c>
      <c r="O344" s="14">
        <v>0.0</v>
      </c>
      <c r="P344" s="14">
        <v>3.0</v>
      </c>
      <c r="Q344" s="36">
        <v>0.0</v>
      </c>
      <c r="R344" s="36">
        <v>30.0</v>
      </c>
      <c r="S344" s="14"/>
      <c r="T344" s="31">
        <f t="shared" si="2"/>
        <v>47</v>
      </c>
      <c r="U344" s="14" t="s">
        <v>45</v>
      </c>
      <c r="V344" s="70"/>
      <c r="W344" s="14" t="s">
        <v>46</v>
      </c>
      <c r="Z344" s="14"/>
      <c r="AA344" s="14" t="str">
        <f t="shared" si="3"/>
        <v/>
      </c>
      <c r="AB344" s="14">
        <f t="shared" si="4"/>
        <v>0</v>
      </c>
      <c r="AC344" s="14">
        <f t="shared" si="5"/>
        <v>47</v>
      </c>
      <c r="AD344" s="14">
        <f t="shared" si="53"/>
        <v>1</v>
      </c>
    </row>
    <row r="345" ht="15.75" customHeight="1">
      <c r="A345" s="14">
        <v>344.0</v>
      </c>
      <c r="B345" s="14" t="s">
        <v>983</v>
      </c>
      <c r="C345" s="14" t="s">
        <v>167</v>
      </c>
      <c r="D345" s="14">
        <v>20.0</v>
      </c>
      <c r="H345" s="14">
        <v>1.0</v>
      </c>
      <c r="I345" s="14">
        <v>386.0</v>
      </c>
      <c r="J345" s="14">
        <v>394.0</v>
      </c>
      <c r="K345" s="14">
        <f t="shared" si="1"/>
        <v>8</v>
      </c>
      <c r="L345" s="14">
        <v>8.0</v>
      </c>
      <c r="M345" s="14">
        <v>0.0</v>
      </c>
      <c r="N345" s="14">
        <v>0.0</v>
      </c>
      <c r="O345" s="14">
        <v>0.0</v>
      </c>
      <c r="P345" s="14">
        <v>3.0</v>
      </c>
      <c r="Q345" s="36">
        <v>0.0</v>
      </c>
      <c r="R345" s="36"/>
      <c r="S345" s="14"/>
      <c r="T345" s="31">
        <f t="shared" si="2"/>
        <v>11</v>
      </c>
      <c r="U345" s="14" t="s">
        <v>45</v>
      </c>
      <c r="V345" s="26"/>
      <c r="W345" s="14" t="s">
        <v>46</v>
      </c>
      <c r="Y345" s="23" t="s">
        <v>320</v>
      </c>
      <c r="Z345" s="14"/>
      <c r="AA345" s="14" t="str">
        <f t="shared" si="3"/>
        <v/>
      </c>
      <c r="AB345" s="14">
        <f t="shared" si="4"/>
        <v>0</v>
      </c>
      <c r="AC345" s="14">
        <f t="shared" si="5"/>
        <v>11</v>
      </c>
      <c r="AD345" s="14">
        <f t="shared" si="53"/>
        <v>1</v>
      </c>
    </row>
    <row r="346" ht="15.75" customHeight="1">
      <c r="A346" s="14">
        <v>345.0</v>
      </c>
      <c r="B346" s="14" t="s">
        <v>985</v>
      </c>
      <c r="C346" s="14" t="s">
        <v>170</v>
      </c>
      <c r="D346" s="14">
        <v>1.0</v>
      </c>
      <c r="G346" s="14"/>
      <c r="H346" s="14">
        <v>1.0</v>
      </c>
      <c r="I346" s="14">
        <v>2146.0</v>
      </c>
      <c r="J346" s="14">
        <v>2154.0</v>
      </c>
      <c r="K346" s="14">
        <f t="shared" si="1"/>
        <v>8</v>
      </c>
      <c r="L346" s="14">
        <v>8.0</v>
      </c>
      <c r="M346" s="14">
        <v>0.0</v>
      </c>
      <c r="N346" s="14">
        <v>0.0</v>
      </c>
      <c r="O346" s="14">
        <v>0.0</v>
      </c>
      <c r="P346" s="14">
        <v>3.0</v>
      </c>
      <c r="Q346" s="14">
        <v>0.0</v>
      </c>
      <c r="R346" s="14">
        <v>0.0</v>
      </c>
      <c r="S346" s="14"/>
      <c r="T346" s="31">
        <f t="shared" si="2"/>
        <v>11</v>
      </c>
      <c r="U346" s="14" t="s">
        <v>45</v>
      </c>
      <c r="V346" s="26"/>
      <c r="W346" s="14" t="s">
        <v>46</v>
      </c>
      <c r="Z346" s="14"/>
      <c r="AA346" s="14" t="str">
        <f t="shared" si="3"/>
        <v/>
      </c>
      <c r="AB346" s="14">
        <f t="shared" si="4"/>
        <v>0</v>
      </c>
      <c r="AC346" s="14">
        <f t="shared" si="5"/>
        <v>11</v>
      </c>
      <c r="AD346" s="14">
        <f t="shared" si="53"/>
        <v>1</v>
      </c>
    </row>
    <row r="347" ht="15.75" customHeight="1">
      <c r="A347" s="14">
        <v>346.0</v>
      </c>
      <c r="B347" s="14" t="s">
        <v>988</v>
      </c>
      <c r="C347" s="14" t="s">
        <v>170</v>
      </c>
      <c r="D347" s="14">
        <v>2.0</v>
      </c>
      <c r="G347" s="14"/>
      <c r="H347" s="14">
        <v>1.0</v>
      </c>
      <c r="I347" s="14">
        <v>356.0</v>
      </c>
      <c r="J347" s="14">
        <v>360.0</v>
      </c>
      <c r="K347" s="14">
        <f t="shared" si="1"/>
        <v>4</v>
      </c>
      <c r="L347" s="14">
        <v>5.0</v>
      </c>
      <c r="M347" s="14">
        <v>0.0</v>
      </c>
      <c r="N347" s="14">
        <v>0.0</v>
      </c>
      <c r="O347" s="14">
        <v>0.0</v>
      </c>
      <c r="P347" s="14">
        <v>3.0</v>
      </c>
      <c r="Q347" s="36">
        <v>0.0</v>
      </c>
      <c r="R347" s="36">
        <v>30.0</v>
      </c>
      <c r="S347" s="14"/>
      <c r="T347" s="31">
        <f t="shared" si="2"/>
        <v>38</v>
      </c>
      <c r="U347" s="42" t="s">
        <v>45</v>
      </c>
      <c r="V347" s="26"/>
      <c r="W347" s="14"/>
      <c r="Z347" s="14"/>
      <c r="AA347" s="14" t="str">
        <f t="shared" si="3"/>
        <v/>
      </c>
      <c r="AB347" s="14">
        <f t="shared" si="4"/>
        <v>38</v>
      </c>
      <c r="AC347" s="14">
        <f t="shared" si="5"/>
        <v>0</v>
      </c>
      <c r="AD347" s="14">
        <f t="shared" si="53"/>
        <v>0</v>
      </c>
    </row>
    <row r="348" ht="15.75" customHeight="1">
      <c r="A348" s="14">
        <v>347.0</v>
      </c>
      <c r="B348" s="14" t="s">
        <v>989</v>
      </c>
      <c r="C348" s="14" t="s">
        <v>170</v>
      </c>
      <c r="D348" s="14">
        <v>3.0</v>
      </c>
      <c r="G348" s="14"/>
      <c r="H348" s="14">
        <v>1.0</v>
      </c>
      <c r="I348" s="14">
        <v>999.0</v>
      </c>
      <c r="J348" s="14">
        <v>1005.0</v>
      </c>
      <c r="K348" s="14">
        <f t="shared" si="1"/>
        <v>6</v>
      </c>
      <c r="L348" s="14">
        <v>6.0</v>
      </c>
      <c r="M348" s="14">
        <v>0.0</v>
      </c>
      <c r="N348" s="14">
        <v>0.0</v>
      </c>
      <c r="O348" s="14">
        <v>0.0</v>
      </c>
      <c r="P348" s="14">
        <v>3.0</v>
      </c>
      <c r="Q348" s="36">
        <v>0.0</v>
      </c>
      <c r="R348" s="36">
        <v>30.0</v>
      </c>
      <c r="S348" s="14"/>
      <c r="T348" s="31">
        <f t="shared" si="2"/>
        <v>39</v>
      </c>
      <c r="U348" s="14" t="s">
        <v>45</v>
      </c>
      <c r="V348" s="26"/>
      <c r="W348" s="14" t="s">
        <v>46</v>
      </c>
      <c r="Z348" s="14"/>
      <c r="AA348" s="14" t="str">
        <f t="shared" si="3"/>
        <v/>
      </c>
      <c r="AB348" s="14">
        <f t="shared" si="4"/>
        <v>0</v>
      </c>
      <c r="AC348" s="14">
        <f t="shared" si="5"/>
        <v>39</v>
      </c>
      <c r="AD348" s="14">
        <f t="shared" si="53"/>
        <v>1</v>
      </c>
    </row>
    <row r="349" ht="15.75" customHeight="1">
      <c r="A349" s="14">
        <v>348.0</v>
      </c>
      <c r="B349" s="14" t="s">
        <v>990</v>
      </c>
      <c r="C349" s="14" t="s">
        <v>170</v>
      </c>
      <c r="D349" s="14">
        <v>4.0</v>
      </c>
      <c r="G349" s="14"/>
      <c r="H349" s="14">
        <v>1.0</v>
      </c>
      <c r="I349" s="14">
        <v>5.0</v>
      </c>
      <c r="J349" s="14">
        <v>6.0</v>
      </c>
      <c r="K349" s="14">
        <f t="shared" si="1"/>
        <v>1</v>
      </c>
      <c r="L349" s="14">
        <v>5.0</v>
      </c>
      <c r="M349" s="14">
        <v>0.0</v>
      </c>
      <c r="N349" s="14">
        <v>0.0</v>
      </c>
      <c r="O349" s="14">
        <v>0.0</v>
      </c>
      <c r="P349" s="14">
        <v>3.0</v>
      </c>
      <c r="Q349" s="14">
        <v>0.0</v>
      </c>
      <c r="R349" s="14">
        <v>0.0</v>
      </c>
      <c r="S349" s="14"/>
      <c r="T349" s="31">
        <f t="shared" si="2"/>
        <v>8</v>
      </c>
      <c r="U349" s="14" t="s">
        <v>45</v>
      </c>
      <c r="V349" s="26"/>
      <c r="W349" s="14" t="s">
        <v>46</v>
      </c>
      <c r="Z349" s="14"/>
      <c r="AA349" s="14" t="str">
        <f t="shared" si="3"/>
        <v/>
      </c>
      <c r="AB349" s="14">
        <f t="shared" si="4"/>
        <v>0</v>
      </c>
      <c r="AC349" s="14">
        <f t="shared" si="5"/>
        <v>8</v>
      </c>
      <c r="AD349" s="14">
        <f t="shared" si="53"/>
        <v>1</v>
      </c>
    </row>
    <row r="350" ht="15.75" customHeight="1">
      <c r="A350" s="14">
        <v>349.0</v>
      </c>
      <c r="B350" s="14" t="s">
        <v>992</v>
      </c>
      <c r="C350" s="14" t="s">
        <v>170</v>
      </c>
      <c r="D350" s="14">
        <v>5.0</v>
      </c>
      <c r="G350" s="14"/>
      <c r="H350" s="14">
        <v>1.0</v>
      </c>
      <c r="I350" s="14">
        <v>7174.0</v>
      </c>
      <c r="J350" s="14">
        <v>7179.0</v>
      </c>
      <c r="K350" s="14">
        <f t="shared" si="1"/>
        <v>5</v>
      </c>
      <c r="L350" s="14">
        <v>5.0</v>
      </c>
      <c r="M350" s="14">
        <v>0.0</v>
      </c>
      <c r="N350" s="14">
        <v>0.0</v>
      </c>
      <c r="O350" s="14">
        <v>0.0</v>
      </c>
      <c r="P350" s="14">
        <v>3.0</v>
      </c>
      <c r="Q350" s="14">
        <v>0.0</v>
      </c>
      <c r="R350" s="14">
        <v>0.0</v>
      </c>
      <c r="S350" s="14"/>
      <c r="T350" s="31">
        <f t="shared" si="2"/>
        <v>8</v>
      </c>
      <c r="U350" s="14" t="s">
        <v>45</v>
      </c>
      <c r="V350" s="26"/>
      <c r="W350" s="14" t="s">
        <v>46</v>
      </c>
      <c r="Z350" s="14"/>
      <c r="AA350" s="14" t="str">
        <f t="shared" si="3"/>
        <v/>
      </c>
      <c r="AB350" s="14">
        <f t="shared" si="4"/>
        <v>0</v>
      </c>
      <c r="AC350" s="14">
        <f t="shared" si="5"/>
        <v>8</v>
      </c>
      <c r="AD350" s="14">
        <f t="shared" si="53"/>
        <v>1</v>
      </c>
    </row>
    <row r="351" ht="15.75" customHeight="1">
      <c r="A351" s="14">
        <v>350.0</v>
      </c>
      <c r="B351" s="14" t="s">
        <v>994</v>
      </c>
      <c r="C351" s="14" t="s">
        <v>170</v>
      </c>
      <c r="D351" s="14">
        <v>6.0</v>
      </c>
      <c r="G351" s="14"/>
      <c r="H351" s="14">
        <v>1.0</v>
      </c>
      <c r="I351" s="14">
        <v>1494.0</v>
      </c>
      <c r="J351" s="14">
        <v>1502.0</v>
      </c>
      <c r="K351" s="14">
        <f t="shared" si="1"/>
        <v>8</v>
      </c>
      <c r="L351" s="14">
        <v>8.0</v>
      </c>
      <c r="M351" s="14">
        <v>0.0</v>
      </c>
      <c r="N351" s="14">
        <v>0.0</v>
      </c>
      <c r="O351" s="14">
        <v>0.0</v>
      </c>
      <c r="P351" s="14">
        <v>3.0</v>
      </c>
      <c r="Q351" s="14">
        <v>0.0</v>
      </c>
      <c r="R351" s="14">
        <v>0.0</v>
      </c>
      <c r="S351" s="14"/>
      <c r="T351" s="31">
        <f t="shared" si="2"/>
        <v>11</v>
      </c>
      <c r="U351" s="23" t="s">
        <v>45</v>
      </c>
      <c r="V351" s="26"/>
      <c r="W351" s="23" t="s">
        <v>46</v>
      </c>
      <c r="Z351" s="14"/>
      <c r="AA351" s="14" t="str">
        <f t="shared" si="3"/>
        <v/>
      </c>
      <c r="AB351" s="14">
        <f t="shared" si="4"/>
        <v>0</v>
      </c>
      <c r="AC351" s="14">
        <f t="shared" si="5"/>
        <v>11</v>
      </c>
      <c r="AD351" s="14">
        <f t="shared" si="53"/>
        <v>1</v>
      </c>
    </row>
    <row r="352" ht="15.75" hidden="1" customHeight="1">
      <c r="A352" s="14">
        <v>351.0</v>
      </c>
      <c r="B352" s="14" t="s">
        <v>995</v>
      </c>
      <c r="C352" s="14" t="s">
        <v>174</v>
      </c>
      <c r="D352" s="14">
        <v>1.0</v>
      </c>
      <c r="G352" s="14"/>
      <c r="H352" s="14">
        <v>1.0</v>
      </c>
      <c r="I352" s="14">
        <v>1148.0</v>
      </c>
      <c r="J352" s="14">
        <v>1148.0</v>
      </c>
      <c r="K352" s="14">
        <f t="shared" si="1"/>
        <v>0</v>
      </c>
      <c r="L352" s="14">
        <v>5.0</v>
      </c>
      <c r="M352" s="14">
        <v>0.0</v>
      </c>
      <c r="N352" s="14">
        <v>0.0</v>
      </c>
      <c r="O352" s="14">
        <v>0.0</v>
      </c>
      <c r="P352" s="14">
        <v>3.0</v>
      </c>
      <c r="Q352" s="14">
        <v>0.0</v>
      </c>
      <c r="R352" s="14">
        <v>0.0</v>
      </c>
      <c r="S352" s="14"/>
      <c r="T352" s="31">
        <f t="shared" si="2"/>
        <v>8</v>
      </c>
      <c r="U352" s="14"/>
      <c r="V352" s="26"/>
      <c r="W352" s="14"/>
      <c r="Z352" s="14"/>
      <c r="AA352" s="14" t="str">
        <f t="shared" si="3"/>
        <v/>
      </c>
      <c r="AB352" s="14">
        <f t="shared" si="4"/>
        <v>0</v>
      </c>
      <c r="AC352" s="14">
        <f t="shared" si="5"/>
        <v>0</v>
      </c>
      <c r="AD352" s="14">
        <f t="shared" si="53"/>
        <v>0</v>
      </c>
    </row>
    <row r="353" ht="15.75" customHeight="1">
      <c r="A353" s="14">
        <v>352.0</v>
      </c>
      <c r="B353" s="14" t="s">
        <v>343</v>
      </c>
      <c r="C353" s="14" t="s">
        <v>174</v>
      </c>
      <c r="D353" s="14">
        <v>2.0</v>
      </c>
      <c r="G353" s="14"/>
      <c r="H353" s="14">
        <v>1.0</v>
      </c>
      <c r="I353" s="14">
        <v>26.0</v>
      </c>
      <c r="J353" s="14">
        <v>27.0</v>
      </c>
      <c r="K353" s="14">
        <f t="shared" si="1"/>
        <v>1</v>
      </c>
      <c r="L353" s="14">
        <v>5.0</v>
      </c>
      <c r="M353" s="14">
        <v>0.0</v>
      </c>
      <c r="N353" s="14">
        <v>0.0</v>
      </c>
      <c r="O353" s="14">
        <v>0.0</v>
      </c>
      <c r="P353" s="14">
        <v>3.0</v>
      </c>
      <c r="Q353" s="14">
        <v>0.0</v>
      </c>
      <c r="R353" s="14">
        <v>0.0</v>
      </c>
      <c r="S353" s="14"/>
      <c r="T353" s="31">
        <f t="shared" si="2"/>
        <v>8</v>
      </c>
      <c r="U353" s="68" t="s">
        <v>45</v>
      </c>
      <c r="V353" s="26"/>
      <c r="W353" s="14"/>
      <c r="Y353" s="43" t="s">
        <v>997</v>
      </c>
      <c r="Z353" s="14"/>
      <c r="AA353" s="14" t="str">
        <f t="shared" si="3"/>
        <v/>
      </c>
      <c r="AB353" s="14">
        <f t="shared" si="4"/>
        <v>8</v>
      </c>
      <c r="AC353" s="14">
        <f t="shared" si="5"/>
        <v>0</v>
      </c>
      <c r="AD353" s="14">
        <f t="shared" si="53"/>
        <v>0</v>
      </c>
    </row>
    <row r="354" ht="15.75" customHeight="1">
      <c r="A354" s="14">
        <v>353.0</v>
      </c>
      <c r="B354" s="14" t="s">
        <v>999</v>
      </c>
      <c r="C354" s="14" t="s">
        <v>174</v>
      </c>
      <c r="D354" s="14">
        <v>3.0</v>
      </c>
      <c r="E354" s="14"/>
      <c r="G354" s="14"/>
      <c r="H354" s="14">
        <v>1.0</v>
      </c>
      <c r="I354" s="14">
        <v>20.0</v>
      </c>
      <c r="J354" s="14">
        <v>20.0</v>
      </c>
      <c r="K354" s="14">
        <f t="shared" si="1"/>
        <v>0</v>
      </c>
      <c r="L354" s="14">
        <v>5.0</v>
      </c>
      <c r="M354" s="14">
        <v>0.0</v>
      </c>
      <c r="N354" s="14">
        <v>0.0</v>
      </c>
      <c r="O354" s="14">
        <v>0.0</v>
      </c>
      <c r="P354" s="14">
        <v>3.0</v>
      </c>
      <c r="Q354" s="14">
        <v>0.0</v>
      </c>
      <c r="R354" s="14">
        <v>0.0</v>
      </c>
      <c r="S354" s="14"/>
      <c r="T354" s="31">
        <f t="shared" si="2"/>
        <v>8</v>
      </c>
      <c r="U354" s="14" t="s">
        <v>45</v>
      </c>
      <c r="V354" s="70"/>
      <c r="W354" s="14" t="s">
        <v>46</v>
      </c>
      <c r="Z354" s="14"/>
      <c r="AA354" s="14" t="str">
        <f t="shared" si="3"/>
        <v/>
      </c>
      <c r="AB354" s="14">
        <f t="shared" si="4"/>
        <v>0</v>
      </c>
      <c r="AC354" s="14">
        <f t="shared" si="5"/>
        <v>8</v>
      </c>
      <c r="AD354" s="14">
        <f t="shared" si="53"/>
        <v>1</v>
      </c>
    </row>
    <row r="355" ht="15.75" hidden="1" customHeight="1">
      <c r="A355" s="14">
        <v>354.0</v>
      </c>
      <c r="B355" s="14" t="s">
        <v>1001</v>
      </c>
      <c r="C355" s="14" t="s">
        <v>174</v>
      </c>
      <c r="D355" s="14">
        <v>4.0</v>
      </c>
      <c r="G355" s="14"/>
      <c r="H355" s="14">
        <v>1.0</v>
      </c>
      <c r="I355" s="14">
        <v>274.0</v>
      </c>
      <c r="J355" s="14">
        <v>277.0</v>
      </c>
      <c r="K355" s="14">
        <f t="shared" si="1"/>
        <v>3</v>
      </c>
      <c r="L355" s="14">
        <v>5.0</v>
      </c>
      <c r="M355" s="14">
        <v>0.0</v>
      </c>
      <c r="N355" s="14">
        <v>0.0</v>
      </c>
      <c r="O355" s="14">
        <v>0.0</v>
      </c>
      <c r="P355" s="14">
        <v>3.0</v>
      </c>
      <c r="Q355" s="36">
        <v>0.0</v>
      </c>
      <c r="R355" s="36">
        <v>30.0</v>
      </c>
      <c r="S355" s="14"/>
      <c r="T355" s="31">
        <f t="shared" si="2"/>
        <v>38</v>
      </c>
      <c r="U355" s="14"/>
      <c r="V355" s="26"/>
      <c r="W355" s="14"/>
      <c r="Z355" s="14"/>
      <c r="AA355" s="14" t="str">
        <f t="shared" si="3"/>
        <v/>
      </c>
      <c r="AB355" s="14">
        <f t="shared" si="4"/>
        <v>0</v>
      </c>
      <c r="AC355" s="14">
        <f t="shared" si="5"/>
        <v>0</v>
      </c>
      <c r="AD355" s="14"/>
    </row>
    <row r="356" ht="15.75" customHeight="1">
      <c r="A356" s="14">
        <v>355.0</v>
      </c>
      <c r="B356" s="14" t="s">
        <v>1002</v>
      </c>
      <c r="C356" s="14" t="s">
        <v>174</v>
      </c>
      <c r="D356" s="14">
        <v>5.0</v>
      </c>
      <c r="G356" s="14"/>
      <c r="H356" s="14">
        <v>1.0</v>
      </c>
      <c r="I356" s="14">
        <v>971.0</v>
      </c>
      <c r="J356" s="14">
        <v>985.0</v>
      </c>
      <c r="K356" s="14">
        <f t="shared" si="1"/>
        <v>14</v>
      </c>
      <c r="L356" s="14">
        <v>14.0</v>
      </c>
      <c r="M356" s="14">
        <v>0.0</v>
      </c>
      <c r="N356" s="14">
        <v>0.0</v>
      </c>
      <c r="O356" s="14">
        <v>0.0</v>
      </c>
      <c r="P356" s="14">
        <v>3.0</v>
      </c>
      <c r="Q356" s="36">
        <v>0.0</v>
      </c>
      <c r="R356" s="36"/>
      <c r="S356" s="14"/>
      <c r="T356" s="31">
        <f t="shared" si="2"/>
        <v>17</v>
      </c>
      <c r="U356" s="42" t="s">
        <v>45</v>
      </c>
      <c r="V356" s="26"/>
      <c r="W356" s="14"/>
      <c r="X356" s="14"/>
      <c r="Y356" s="23" t="s">
        <v>1004</v>
      </c>
      <c r="Z356" s="14"/>
      <c r="AA356" s="14" t="str">
        <f t="shared" si="3"/>
        <v/>
      </c>
      <c r="AB356" s="14">
        <f t="shared" si="4"/>
        <v>17</v>
      </c>
      <c r="AC356" s="14">
        <f t="shared" si="5"/>
        <v>0</v>
      </c>
      <c r="AD356" s="14">
        <f t="shared" ref="AD356:AD359" si="54">IF(ISBLANK(W356),0,1)</f>
        <v>0</v>
      </c>
    </row>
    <row r="357" ht="15.75" customHeight="1">
      <c r="A357" s="14">
        <v>356.0</v>
      </c>
      <c r="B357" s="14" t="s">
        <v>1006</v>
      </c>
      <c r="C357" s="14" t="s">
        <v>174</v>
      </c>
      <c r="D357" s="14">
        <v>6.0</v>
      </c>
      <c r="G357" s="14"/>
      <c r="H357" s="14">
        <v>1.0</v>
      </c>
      <c r="I357" s="14">
        <v>1998.0</v>
      </c>
      <c r="J357" s="14">
        <v>2009.0</v>
      </c>
      <c r="K357" s="14">
        <f t="shared" si="1"/>
        <v>11</v>
      </c>
      <c r="L357" s="14">
        <v>11.0</v>
      </c>
      <c r="M357" s="14">
        <v>0.0</v>
      </c>
      <c r="N357" s="14">
        <v>0.0</v>
      </c>
      <c r="O357" s="14">
        <v>0.0</v>
      </c>
      <c r="P357" s="14">
        <v>3.0</v>
      </c>
      <c r="Q357" s="14">
        <v>0.0</v>
      </c>
      <c r="R357" s="14">
        <v>0.0</v>
      </c>
      <c r="S357" s="14"/>
      <c r="T357" s="31">
        <f t="shared" si="2"/>
        <v>14</v>
      </c>
      <c r="U357" s="14" t="s">
        <v>45</v>
      </c>
      <c r="V357" s="70"/>
      <c r="W357" s="14" t="s">
        <v>46</v>
      </c>
      <c r="Z357" s="14"/>
      <c r="AA357" s="14" t="str">
        <f t="shared" si="3"/>
        <v/>
      </c>
      <c r="AB357" s="14">
        <f t="shared" si="4"/>
        <v>0</v>
      </c>
      <c r="AC357" s="14">
        <f t="shared" si="5"/>
        <v>14</v>
      </c>
      <c r="AD357" s="14">
        <f t="shared" si="54"/>
        <v>1</v>
      </c>
    </row>
    <row r="358" ht="15.75" customHeight="1">
      <c r="A358" s="14">
        <v>357.0</v>
      </c>
      <c r="B358" s="52" t="s">
        <v>1008</v>
      </c>
      <c r="C358" s="52" t="s">
        <v>174</v>
      </c>
      <c r="D358" s="52">
        <v>7.0</v>
      </c>
      <c r="E358" s="52"/>
      <c r="F358" s="52"/>
      <c r="G358" s="52"/>
      <c r="H358" s="52">
        <v>1.0</v>
      </c>
      <c r="I358" s="14">
        <v>1075.0</v>
      </c>
      <c r="J358" s="14">
        <v>1075.0</v>
      </c>
      <c r="K358" s="14">
        <f t="shared" si="1"/>
        <v>0</v>
      </c>
      <c r="L358" s="14">
        <v>5.0</v>
      </c>
      <c r="M358" s="52">
        <v>8.0</v>
      </c>
      <c r="N358" s="14">
        <v>0.0</v>
      </c>
      <c r="O358" s="14">
        <v>0.0</v>
      </c>
      <c r="P358" s="14">
        <v>3.0</v>
      </c>
      <c r="Q358" s="36">
        <v>0.0</v>
      </c>
      <c r="R358" s="36">
        <v>30.0</v>
      </c>
      <c r="S358" s="14"/>
      <c r="T358" s="31">
        <f t="shared" si="2"/>
        <v>46</v>
      </c>
      <c r="U358" s="73" t="s">
        <v>45</v>
      </c>
      <c r="V358" s="67"/>
      <c r="W358" s="23" t="s">
        <v>46</v>
      </c>
      <c r="X358" s="52"/>
      <c r="Y358" s="52"/>
      <c r="Z358" s="14"/>
      <c r="AA358" s="14" t="str">
        <f t="shared" si="3"/>
        <v/>
      </c>
      <c r="AB358" s="14">
        <f t="shared" si="4"/>
        <v>0</v>
      </c>
      <c r="AC358" s="14">
        <f t="shared" si="5"/>
        <v>46</v>
      </c>
      <c r="AD358" s="14">
        <f t="shared" si="54"/>
        <v>1</v>
      </c>
    </row>
    <row r="359" ht="15.75" customHeight="1">
      <c r="A359" s="14">
        <v>358.0</v>
      </c>
      <c r="B359" s="14" t="s">
        <v>1010</v>
      </c>
      <c r="C359" s="14" t="s">
        <v>174</v>
      </c>
      <c r="D359" s="14">
        <v>8.0</v>
      </c>
      <c r="G359" s="14"/>
      <c r="H359" s="14">
        <v>1.0</v>
      </c>
      <c r="I359" s="14">
        <v>538.0</v>
      </c>
      <c r="J359" s="14">
        <v>540.0</v>
      </c>
      <c r="K359" s="14">
        <f t="shared" si="1"/>
        <v>2</v>
      </c>
      <c r="L359" s="14">
        <v>5.0</v>
      </c>
      <c r="M359" s="14">
        <v>0.0</v>
      </c>
      <c r="N359" s="14">
        <v>0.0</v>
      </c>
      <c r="O359" s="14">
        <v>0.0</v>
      </c>
      <c r="P359" s="14">
        <v>3.0</v>
      </c>
      <c r="Q359" s="36">
        <v>0.0</v>
      </c>
      <c r="R359" s="40">
        <v>15.0</v>
      </c>
      <c r="S359" s="23"/>
      <c r="T359" s="31">
        <f t="shared" si="2"/>
        <v>23</v>
      </c>
      <c r="U359" s="14" t="s">
        <v>45</v>
      </c>
      <c r="V359" s="26"/>
      <c r="W359" s="14" t="s">
        <v>46</v>
      </c>
      <c r="Y359" s="23" t="s">
        <v>161</v>
      </c>
      <c r="Z359" s="14"/>
      <c r="AA359" s="14" t="str">
        <f t="shared" si="3"/>
        <v/>
      </c>
      <c r="AB359" s="14">
        <f t="shared" si="4"/>
        <v>0</v>
      </c>
      <c r="AC359" s="14">
        <f t="shared" si="5"/>
        <v>23</v>
      </c>
      <c r="AD359" s="14">
        <f t="shared" si="54"/>
        <v>1</v>
      </c>
    </row>
    <row r="360" ht="15.75" hidden="1" customHeight="1">
      <c r="A360" s="14">
        <v>359.0</v>
      </c>
      <c r="B360" s="14" t="s">
        <v>1012</v>
      </c>
      <c r="C360" s="14" t="s">
        <v>174</v>
      </c>
      <c r="D360" s="14">
        <v>9.0</v>
      </c>
      <c r="G360" s="14"/>
      <c r="H360" s="14">
        <v>1.0</v>
      </c>
      <c r="I360" s="14">
        <v>953.0</v>
      </c>
      <c r="J360" s="14">
        <v>959.0</v>
      </c>
      <c r="K360" s="14">
        <f t="shared" si="1"/>
        <v>6</v>
      </c>
      <c r="L360" s="14">
        <v>6.0</v>
      </c>
      <c r="M360" s="14">
        <v>0.0</v>
      </c>
      <c r="N360" s="14">
        <v>0.0</v>
      </c>
      <c r="O360" s="14">
        <v>0.0</v>
      </c>
      <c r="P360" s="14">
        <v>3.0</v>
      </c>
      <c r="Q360" s="14">
        <v>0.0</v>
      </c>
      <c r="R360" s="14">
        <v>0.0</v>
      </c>
      <c r="S360" s="14"/>
      <c r="T360" s="31">
        <f t="shared" si="2"/>
        <v>9</v>
      </c>
      <c r="U360" s="14"/>
      <c r="V360" s="26"/>
      <c r="W360" s="14"/>
      <c r="Z360" s="14"/>
      <c r="AA360" s="14" t="str">
        <f t="shared" si="3"/>
        <v/>
      </c>
      <c r="AB360" s="14">
        <f t="shared" si="4"/>
        <v>0</v>
      </c>
      <c r="AC360" s="14">
        <f t="shared" si="5"/>
        <v>0</v>
      </c>
      <c r="AD360" s="14"/>
    </row>
    <row r="361" ht="15.75" hidden="1" customHeight="1">
      <c r="A361" s="14">
        <v>360.0</v>
      </c>
      <c r="B361" s="14" t="s">
        <v>1014</v>
      </c>
      <c r="C361" s="14" t="s">
        <v>174</v>
      </c>
      <c r="D361" s="14">
        <v>10.0</v>
      </c>
      <c r="G361" s="14"/>
      <c r="H361" s="14">
        <v>1.0</v>
      </c>
      <c r="I361" s="14">
        <v>2392.0</v>
      </c>
      <c r="J361" s="14">
        <v>2411.0</v>
      </c>
      <c r="K361" s="14">
        <f t="shared" si="1"/>
        <v>19</v>
      </c>
      <c r="L361" s="14">
        <v>19.0</v>
      </c>
      <c r="M361" s="14">
        <v>19.0</v>
      </c>
      <c r="N361" s="14">
        <v>0.0</v>
      </c>
      <c r="O361" s="14">
        <v>0.0</v>
      </c>
      <c r="P361" s="14">
        <v>3.0</v>
      </c>
      <c r="Q361" s="14">
        <v>0.0</v>
      </c>
      <c r="R361" s="14">
        <v>0.0</v>
      </c>
      <c r="S361" s="14"/>
      <c r="T361" s="31">
        <f t="shared" si="2"/>
        <v>41</v>
      </c>
      <c r="U361" s="14"/>
      <c r="V361" s="26"/>
      <c r="W361" s="14"/>
      <c r="Y361" s="57" t="s">
        <v>1016</v>
      </c>
      <c r="Z361" s="14"/>
      <c r="AA361" s="14" t="str">
        <f t="shared" si="3"/>
        <v>CORTE</v>
      </c>
      <c r="AB361" s="14">
        <f t="shared" si="4"/>
        <v>0</v>
      </c>
      <c r="AC361" s="14">
        <f t="shared" si="5"/>
        <v>0</v>
      </c>
      <c r="AD361" s="14">
        <f t="shared" ref="AD361:AD364" si="55">IF(ISBLANK(W361),0,1)</f>
        <v>0</v>
      </c>
    </row>
    <row r="362" ht="15.75" customHeight="1">
      <c r="A362" s="14">
        <v>361.0</v>
      </c>
      <c r="B362" s="14" t="s">
        <v>1018</v>
      </c>
      <c r="C362" s="14" t="s">
        <v>174</v>
      </c>
      <c r="D362" s="14">
        <v>11.0</v>
      </c>
      <c r="G362" s="14"/>
      <c r="H362" s="14">
        <v>1.0</v>
      </c>
      <c r="I362" s="14">
        <v>1447.0</v>
      </c>
      <c r="J362" s="14">
        <v>1456.0</v>
      </c>
      <c r="K362" s="14">
        <f t="shared" si="1"/>
        <v>9</v>
      </c>
      <c r="L362" s="14">
        <v>9.0</v>
      </c>
      <c r="M362" s="14">
        <v>0.0</v>
      </c>
      <c r="N362" s="14">
        <v>0.0</v>
      </c>
      <c r="O362" s="14">
        <v>0.0</v>
      </c>
      <c r="P362" s="14">
        <v>3.0</v>
      </c>
      <c r="Q362" s="14">
        <v>0.0</v>
      </c>
      <c r="R362" s="14">
        <v>0.0</v>
      </c>
      <c r="S362" s="14"/>
      <c r="T362" s="31">
        <f t="shared" si="2"/>
        <v>12</v>
      </c>
      <c r="U362" s="42" t="s">
        <v>45</v>
      </c>
      <c r="V362" s="26"/>
      <c r="W362" s="14"/>
      <c r="X362" s="14"/>
      <c r="Y362" s="14"/>
      <c r="Z362" s="14"/>
      <c r="AA362" s="14" t="str">
        <f t="shared" si="3"/>
        <v/>
      </c>
      <c r="AB362" s="14">
        <f t="shared" si="4"/>
        <v>12</v>
      </c>
      <c r="AC362" s="14">
        <f t="shared" si="5"/>
        <v>0</v>
      </c>
      <c r="AD362" s="14">
        <f t="shared" si="55"/>
        <v>0</v>
      </c>
    </row>
    <row r="363" ht="15.75" customHeight="1">
      <c r="A363" s="14">
        <v>362.0</v>
      </c>
      <c r="B363" s="14" t="s">
        <v>1021</v>
      </c>
      <c r="C363" s="14" t="s">
        <v>174</v>
      </c>
      <c r="D363" s="14">
        <v>12.0</v>
      </c>
      <c r="G363" s="14"/>
      <c r="H363" s="14">
        <v>1.0</v>
      </c>
      <c r="I363" s="14">
        <v>2338.0</v>
      </c>
      <c r="J363" s="14">
        <v>2363.0</v>
      </c>
      <c r="K363" s="14">
        <f t="shared" si="1"/>
        <v>25</v>
      </c>
      <c r="L363" s="14">
        <v>25.0</v>
      </c>
      <c r="M363" s="14">
        <v>0.0</v>
      </c>
      <c r="N363" s="14">
        <v>0.0</v>
      </c>
      <c r="O363" s="14">
        <v>0.0</v>
      </c>
      <c r="P363" s="14">
        <v>3.0</v>
      </c>
      <c r="Q363" s="14">
        <v>0.0</v>
      </c>
      <c r="R363" s="14">
        <v>0.0</v>
      </c>
      <c r="S363" s="14"/>
      <c r="T363" s="31">
        <f t="shared" si="2"/>
        <v>28</v>
      </c>
      <c r="U363" s="14" t="s">
        <v>45</v>
      </c>
      <c r="V363" s="26"/>
      <c r="W363" s="14" t="s">
        <v>46</v>
      </c>
      <c r="Z363" s="14"/>
      <c r="AA363" s="14" t="str">
        <f t="shared" si="3"/>
        <v/>
      </c>
      <c r="AB363" s="14">
        <f t="shared" si="4"/>
        <v>0</v>
      </c>
      <c r="AC363" s="14">
        <f t="shared" si="5"/>
        <v>28</v>
      </c>
      <c r="AD363" s="14">
        <f t="shared" si="55"/>
        <v>1</v>
      </c>
    </row>
    <row r="364" ht="15.75" customHeight="1">
      <c r="A364" s="14">
        <v>363.0</v>
      </c>
      <c r="B364" s="14" t="s">
        <v>1022</v>
      </c>
      <c r="C364" s="14" t="s">
        <v>174</v>
      </c>
      <c r="D364" s="14">
        <v>13.0</v>
      </c>
      <c r="G364" s="14"/>
      <c r="H364" s="14">
        <v>1.0</v>
      </c>
      <c r="I364" s="14">
        <v>57.0</v>
      </c>
      <c r="J364" s="14">
        <v>66.0</v>
      </c>
      <c r="K364" s="14">
        <f t="shared" si="1"/>
        <v>9</v>
      </c>
      <c r="L364" s="14">
        <v>9.0</v>
      </c>
      <c r="M364" s="14">
        <v>0.0</v>
      </c>
      <c r="N364" s="14">
        <v>0.0</v>
      </c>
      <c r="O364" s="14">
        <v>0.0</v>
      </c>
      <c r="P364" s="23">
        <v>2.0</v>
      </c>
      <c r="Q364" s="14">
        <v>0.0</v>
      </c>
      <c r="R364" s="14">
        <v>0.0</v>
      </c>
      <c r="S364" s="14"/>
      <c r="T364" s="31">
        <f t="shared" si="2"/>
        <v>11</v>
      </c>
      <c r="U364" s="14" t="s">
        <v>45</v>
      </c>
      <c r="V364" s="26"/>
      <c r="W364" s="14" t="s">
        <v>46</v>
      </c>
      <c r="X364" s="14"/>
      <c r="Y364" s="23" t="s">
        <v>1024</v>
      </c>
      <c r="Z364" s="14"/>
      <c r="AA364" s="14" t="str">
        <f t="shared" si="3"/>
        <v/>
      </c>
      <c r="AB364" s="14">
        <f t="shared" si="4"/>
        <v>0</v>
      </c>
      <c r="AC364" s="14">
        <f t="shared" si="5"/>
        <v>11</v>
      </c>
      <c r="AD364" s="14">
        <f t="shared" si="55"/>
        <v>1</v>
      </c>
    </row>
    <row r="365" ht="15.75" customHeight="1">
      <c r="A365" s="14">
        <v>364.0</v>
      </c>
      <c r="B365" s="14" t="s">
        <v>1025</v>
      </c>
      <c r="C365" s="14" t="s">
        <v>174</v>
      </c>
      <c r="D365" s="14">
        <v>14.0</v>
      </c>
      <c r="E365" s="14"/>
      <c r="F365" s="14">
        <v>1.0</v>
      </c>
      <c r="G365" s="14"/>
      <c r="H365" s="14">
        <v>1.0</v>
      </c>
      <c r="I365" s="14">
        <v>222.0</v>
      </c>
      <c r="J365" s="14">
        <v>223.0</v>
      </c>
      <c r="K365" s="14">
        <f t="shared" si="1"/>
        <v>1</v>
      </c>
      <c r="L365" s="14">
        <v>5.0</v>
      </c>
      <c r="M365" s="14">
        <v>0.0</v>
      </c>
      <c r="N365" s="14">
        <v>0.0</v>
      </c>
      <c r="O365" s="14">
        <v>0.0</v>
      </c>
      <c r="P365" s="14">
        <v>3.0</v>
      </c>
      <c r="Q365" s="14">
        <v>0.0</v>
      </c>
      <c r="R365" s="14">
        <v>0.0</v>
      </c>
      <c r="S365" s="14"/>
      <c r="T365" s="31">
        <f t="shared" si="2"/>
        <v>8</v>
      </c>
      <c r="U365" s="14" t="s">
        <v>45</v>
      </c>
      <c r="V365" s="26"/>
      <c r="W365" s="14" t="s">
        <v>46</v>
      </c>
      <c r="Z365" s="14"/>
      <c r="AA365" s="14" t="str">
        <f t="shared" si="3"/>
        <v/>
      </c>
      <c r="AB365" s="14">
        <f t="shared" si="4"/>
        <v>0</v>
      </c>
      <c r="AC365" s="14">
        <f t="shared" si="5"/>
        <v>8</v>
      </c>
      <c r="AD365" s="14"/>
    </row>
    <row r="366" ht="15.75" customHeight="1">
      <c r="A366" s="14">
        <v>365.0</v>
      </c>
      <c r="B366" s="14" t="s">
        <v>1028</v>
      </c>
      <c r="C366" s="14" t="s">
        <v>174</v>
      </c>
      <c r="D366" s="14">
        <v>15.0</v>
      </c>
      <c r="G366" s="14"/>
      <c r="H366" s="14">
        <v>1.0</v>
      </c>
      <c r="I366" s="14">
        <v>949.0</v>
      </c>
      <c r="J366" s="14">
        <v>957.0</v>
      </c>
      <c r="K366" s="14">
        <f t="shared" si="1"/>
        <v>8</v>
      </c>
      <c r="L366" s="14">
        <v>8.0</v>
      </c>
      <c r="M366" s="14">
        <v>0.0</v>
      </c>
      <c r="N366" s="14">
        <v>0.0</v>
      </c>
      <c r="O366" s="14">
        <v>0.0</v>
      </c>
      <c r="P366" s="14">
        <v>3.0</v>
      </c>
      <c r="Q366" s="36">
        <v>0.0</v>
      </c>
      <c r="R366" s="40">
        <v>10.0</v>
      </c>
      <c r="S366" s="14"/>
      <c r="T366" s="31">
        <f t="shared" si="2"/>
        <v>21</v>
      </c>
      <c r="U366" s="42" t="s">
        <v>45</v>
      </c>
      <c r="V366" s="26"/>
      <c r="W366" s="14"/>
      <c r="Y366" s="23" t="s">
        <v>317</v>
      </c>
      <c r="Z366" s="14"/>
      <c r="AA366" s="14" t="str">
        <f t="shared" si="3"/>
        <v/>
      </c>
      <c r="AB366" s="14">
        <f t="shared" si="4"/>
        <v>21</v>
      </c>
      <c r="AC366" s="14">
        <f t="shared" si="5"/>
        <v>0</v>
      </c>
      <c r="AD366" s="14">
        <f t="shared" ref="AD366:AD367" si="56">IF(ISBLANK(W366),0,1)</f>
        <v>0</v>
      </c>
    </row>
    <row r="367" ht="15.75" customHeight="1">
      <c r="A367" s="14">
        <v>366.0</v>
      </c>
      <c r="B367" s="14" t="s">
        <v>1031</v>
      </c>
      <c r="C367" s="14" t="s">
        <v>174</v>
      </c>
      <c r="D367" s="14">
        <v>16.0</v>
      </c>
      <c r="G367" s="14"/>
      <c r="H367" s="14">
        <v>1.0</v>
      </c>
      <c r="I367" s="14">
        <v>48.0</v>
      </c>
      <c r="J367" s="14">
        <v>57.0</v>
      </c>
      <c r="K367" s="14">
        <f t="shared" si="1"/>
        <v>9</v>
      </c>
      <c r="L367" s="14">
        <v>9.0</v>
      </c>
      <c r="M367" s="14">
        <v>0.0</v>
      </c>
      <c r="N367" s="14">
        <v>0.0</v>
      </c>
      <c r="O367" s="14">
        <v>0.0</v>
      </c>
      <c r="P367" s="14">
        <v>3.0</v>
      </c>
      <c r="Q367" s="36">
        <v>0.0</v>
      </c>
      <c r="R367" s="36">
        <v>30.0</v>
      </c>
      <c r="S367" s="14"/>
      <c r="T367" s="31">
        <f t="shared" si="2"/>
        <v>42</v>
      </c>
      <c r="U367" s="14" t="s">
        <v>45</v>
      </c>
      <c r="V367" s="26"/>
      <c r="W367" s="14" t="s">
        <v>46</v>
      </c>
      <c r="Z367" s="14"/>
      <c r="AA367" s="14" t="str">
        <f t="shared" si="3"/>
        <v/>
      </c>
      <c r="AB367" s="14">
        <f t="shared" si="4"/>
        <v>0</v>
      </c>
      <c r="AC367" s="14">
        <f t="shared" si="5"/>
        <v>42</v>
      </c>
      <c r="AD367" s="14">
        <f t="shared" si="56"/>
        <v>1</v>
      </c>
    </row>
    <row r="368" ht="15.75" hidden="1" customHeight="1">
      <c r="A368" s="14">
        <v>367.0</v>
      </c>
      <c r="B368" s="14" t="s">
        <v>1033</v>
      </c>
      <c r="C368" s="14" t="s">
        <v>78</v>
      </c>
      <c r="D368" s="14">
        <v>1.0</v>
      </c>
      <c r="G368" s="14"/>
      <c r="H368" s="14">
        <v>1.0</v>
      </c>
      <c r="I368" s="14">
        <v>29.0</v>
      </c>
      <c r="J368" s="14">
        <v>29.0</v>
      </c>
      <c r="K368" s="14">
        <f t="shared" si="1"/>
        <v>0</v>
      </c>
      <c r="L368" s="14">
        <v>5.0</v>
      </c>
      <c r="M368" s="14">
        <v>0.0</v>
      </c>
      <c r="N368" s="14">
        <v>0.0</v>
      </c>
      <c r="O368" s="14">
        <v>0.0</v>
      </c>
      <c r="P368" s="14">
        <v>3.0</v>
      </c>
      <c r="Q368" s="36">
        <v>0.0</v>
      </c>
      <c r="R368" s="36">
        <v>30.0</v>
      </c>
      <c r="S368" s="14"/>
      <c r="T368" s="31">
        <f t="shared" si="2"/>
        <v>38</v>
      </c>
      <c r="U368" s="14"/>
      <c r="V368" s="26"/>
      <c r="W368" s="14"/>
      <c r="Z368" s="14"/>
      <c r="AA368" s="14" t="str">
        <f t="shared" si="3"/>
        <v/>
      </c>
      <c r="AB368" s="14">
        <f t="shared" si="4"/>
        <v>0</v>
      </c>
      <c r="AC368" s="14">
        <f t="shared" si="5"/>
        <v>0</v>
      </c>
      <c r="AD368" s="14"/>
    </row>
    <row r="369" ht="15.75" customHeight="1">
      <c r="A369" s="14">
        <v>368.0</v>
      </c>
      <c r="B369" s="14" t="s">
        <v>1036</v>
      </c>
      <c r="C369" s="14" t="s">
        <v>78</v>
      </c>
      <c r="D369" s="14">
        <v>2.0</v>
      </c>
      <c r="G369" s="14"/>
      <c r="H369" s="14">
        <v>1.0</v>
      </c>
      <c r="I369" s="14">
        <v>4.0</v>
      </c>
      <c r="J369" s="14">
        <v>4.0</v>
      </c>
      <c r="K369" s="14">
        <f t="shared" si="1"/>
        <v>0</v>
      </c>
      <c r="L369" s="14">
        <v>5.0</v>
      </c>
      <c r="M369" s="14">
        <v>0.0</v>
      </c>
      <c r="N369" s="14">
        <v>0.0</v>
      </c>
      <c r="O369" s="14">
        <v>0.0</v>
      </c>
      <c r="P369" s="14">
        <v>3.0</v>
      </c>
      <c r="Q369" s="14">
        <v>0.0</v>
      </c>
      <c r="R369" s="14">
        <v>0.0</v>
      </c>
      <c r="S369" s="14"/>
      <c r="T369" s="31">
        <f t="shared" si="2"/>
        <v>8</v>
      </c>
      <c r="U369" s="14" t="s">
        <v>45</v>
      </c>
      <c r="V369" s="26"/>
      <c r="W369" s="14" t="s">
        <v>46</v>
      </c>
      <c r="Z369" s="14"/>
      <c r="AA369" s="14" t="str">
        <f t="shared" si="3"/>
        <v/>
      </c>
      <c r="AB369" s="14">
        <f t="shared" si="4"/>
        <v>0</v>
      </c>
      <c r="AC369" s="14">
        <f t="shared" si="5"/>
        <v>8</v>
      </c>
      <c r="AD369" s="14">
        <f t="shared" ref="AD369:AD372" si="57">IF(ISBLANK(W369),0,1)</f>
        <v>1</v>
      </c>
    </row>
    <row r="370" ht="15.75" customHeight="1">
      <c r="A370" s="14">
        <v>369.0</v>
      </c>
      <c r="B370" s="14" t="s">
        <v>1038</v>
      </c>
      <c r="C370" s="14" t="s">
        <v>78</v>
      </c>
      <c r="D370" s="14">
        <v>3.0</v>
      </c>
      <c r="G370" s="14"/>
      <c r="H370" s="14">
        <v>1.0</v>
      </c>
      <c r="I370" s="14">
        <v>760.0</v>
      </c>
      <c r="J370" s="14">
        <v>766.0</v>
      </c>
      <c r="K370" s="14">
        <f t="shared" si="1"/>
        <v>6</v>
      </c>
      <c r="L370" s="14">
        <v>6.0</v>
      </c>
      <c r="M370" s="14">
        <v>0.0</v>
      </c>
      <c r="N370" s="14">
        <v>0.0</v>
      </c>
      <c r="O370" s="14">
        <v>0.0</v>
      </c>
      <c r="P370" s="14">
        <v>3.0</v>
      </c>
      <c r="Q370" s="14">
        <v>0.0</v>
      </c>
      <c r="R370" s="14">
        <v>0.0</v>
      </c>
      <c r="S370" s="14"/>
      <c r="T370" s="31">
        <f t="shared" si="2"/>
        <v>9</v>
      </c>
      <c r="U370" s="14" t="s">
        <v>45</v>
      </c>
      <c r="V370" s="70"/>
      <c r="W370" s="14" t="s">
        <v>46</v>
      </c>
      <c r="X370" s="14"/>
      <c r="Y370" s="14"/>
      <c r="Z370" s="14"/>
      <c r="AA370" s="14" t="str">
        <f t="shared" si="3"/>
        <v/>
      </c>
      <c r="AB370" s="14">
        <f t="shared" si="4"/>
        <v>0</v>
      </c>
      <c r="AC370" s="14">
        <f t="shared" si="5"/>
        <v>9</v>
      </c>
      <c r="AD370" s="14">
        <f t="shared" si="57"/>
        <v>1</v>
      </c>
    </row>
    <row r="371" ht="15.75" customHeight="1">
      <c r="A371" s="14">
        <v>370.0</v>
      </c>
      <c r="B371" s="14" t="s">
        <v>1039</v>
      </c>
      <c r="C371" s="14" t="s">
        <v>78</v>
      </c>
      <c r="D371" s="14">
        <v>4.0</v>
      </c>
      <c r="G371" s="14"/>
      <c r="H371" s="14">
        <v>1.0</v>
      </c>
      <c r="I371" s="14">
        <v>1966.0</v>
      </c>
      <c r="J371" s="14">
        <v>1969.0</v>
      </c>
      <c r="K371" s="14">
        <f t="shared" si="1"/>
        <v>3</v>
      </c>
      <c r="L371" s="14">
        <v>5.0</v>
      </c>
      <c r="M371" s="14">
        <v>0.0</v>
      </c>
      <c r="N371" s="14">
        <v>0.0</v>
      </c>
      <c r="O371" s="14">
        <v>0.0</v>
      </c>
      <c r="P371" s="14">
        <v>3.0</v>
      </c>
      <c r="Q371" s="36">
        <v>0.0</v>
      </c>
      <c r="R371" s="36">
        <v>30.0</v>
      </c>
      <c r="S371" s="14"/>
      <c r="T371" s="31">
        <f t="shared" si="2"/>
        <v>38</v>
      </c>
      <c r="U371" s="14" t="s">
        <v>45</v>
      </c>
      <c r="V371" s="26"/>
      <c r="W371" s="14" t="s">
        <v>46</v>
      </c>
      <c r="Z371" s="14"/>
      <c r="AA371" s="14" t="str">
        <f t="shared" si="3"/>
        <v/>
      </c>
      <c r="AB371" s="14">
        <f t="shared" si="4"/>
        <v>0</v>
      </c>
      <c r="AC371" s="14">
        <f t="shared" si="5"/>
        <v>38</v>
      </c>
      <c r="AD371" s="14">
        <f t="shared" si="57"/>
        <v>1</v>
      </c>
    </row>
    <row r="372" ht="15.75" customHeight="1">
      <c r="A372" s="14">
        <v>371.0</v>
      </c>
      <c r="B372" s="14" t="s">
        <v>1041</v>
      </c>
      <c r="C372" s="14" t="s">
        <v>78</v>
      </c>
      <c r="D372" s="14">
        <v>5.0</v>
      </c>
      <c r="G372" s="14"/>
      <c r="H372" s="14">
        <v>1.0</v>
      </c>
      <c r="I372" s="14">
        <v>992.0</v>
      </c>
      <c r="J372" s="14">
        <v>994.0</v>
      </c>
      <c r="K372" s="14">
        <f t="shared" si="1"/>
        <v>2</v>
      </c>
      <c r="L372" s="14">
        <v>5.0</v>
      </c>
      <c r="M372" s="14">
        <v>8.0</v>
      </c>
      <c r="N372" s="14">
        <v>0.0</v>
      </c>
      <c r="O372" s="14">
        <v>0.0</v>
      </c>
      <c r="P372" s="14">
        <v>3.0</v>
      </c>
      <c r="Q372" s="36">
        <v>0.0</v>
      </c>
      <c r="R372" s="36">
        <v>30.0</v>
      </c>
      <c r="S372" s="14"/>
      <c r="T372" s="31">
        <f t="shared" si="2"/>
        <v>46</v>
      </c>
      <c r="U372" s="14" t="s">
        <v>45</v>
      </c>
      <c r="V372" s="26"/>
      <c r="W372" s="14" t="s">
        <v>46</v>
      </c>
      <c r="Z372" s="14"/>
      <c r="AA372" s="14" t="str">
        <f t="shared" si="3"/>
        <v/>
      </c>
      <c r="AB372" s="14">
        <f t="shared" si="4"/>
        <v>0</v>
      </c>
      <c r="AC372" s="14">
        <f t="shared" si="5"/>
        <v>46</v>
      </c>
      <c r="AD372" s="14">
        <f t="shared" si="57"/>
        <v>1</v>
      </c>
    </row>
    <row r="373" ht="15.75" customHeight="1">
      <c r="A373" s="14">
        <v>372.0</v>
      </c>
      <c r="B373" s="14" t="s">
        <v>1043</v>
      </c>
      <c r="C373" s="14" t="s">
        <v>78</v>
      </c>
      <c r="D373" s="14">
        <v>6.0</v>
      </c>
      <c r="G373" s="14"/>
      <c r="H373" s="14">
        <v>1.0</v>
      </c>
      <c r="I373" s="14">
        <v>1476.0</v>
      </c>
      <c r="J373" s="14">
        <v>1479.0</v>
      </c>
      <c r="K373" s="14">
        <f t="shared" si="1"/>
        <v>3</v>
      </c>
      <c r="L373" s="14">
        <v>5.0</v>
      </c>
      <c r="M373" s="14">
        <v>0.0</v>
      </c>
      <c r="N373" s="14">
        <v>0.0</v>
      </c>
      <c r="O373" s="14">
        <v>0.0</v>
      </c>
      <c r="P373" s="14">
        <v>3.0</v>
      </c>
      <c r="Q373" s="14">
        <v>0.0</v>
      </c>
      <c r="R373" s="14">
        <v>0.0</v>
      </c>
      <c r="S373" s="14"/>
      <c r="T373" s="31">
        <f t="shared" si="2"/>
        <v>8</v>
      </c>
      <c r="U373" s="42" t="s">
        <v>45</v>
      </c>
      <c r="W373" s="14"/>
      <c r="X373" s="14"/>
      <c r="Y373" s="14"/>
      <c r="Z373" s="14"/>
      <c r="AA373" s="14" t="str">
        <f t="shared" si="3"/>
        <v/>
      </c>
      <c r="AB373" s="14">
        <f t="shared" si="4"/>
        <v>8</v>
      </c>
      <c r="AC373" s="14">
        <f t="shared" si="5"/>
        <v>0</v>
      </c>
      <c r="AD373" s="14"/>
    </row>
    <row r="374" ht="15.75" customHeight="1">
      <c r="A374" s="14">
        <v>373.0</v>
      </c>
      <c r="B374" s="14" t="s">
        <v>1044</v>
      </c>
      <c r="C374" s="14" t="s">
        <v>78</v>
      </c>
      <c r="D374" s="14">
        <v>7.0</v>
      </c>
      <c r="G374" s="14"/>
      <c r="H374" s="14">
        <v>1.0</v>
      </c>
      <c r="I374" s="14">
        <v>332.0</v>
      </c>
      <c r="J374" s="14">
        <v>336.0</v>
      </c>
      <c r="K374" s="14">
        <f t="shared" si="1"/>
        <v>4</v>
      </c>
      <c r="L374" s="14">
        <v>5.0</v>
      </c>
      <c r="M374" s="14">
        <v>0.0</v>
      </c>
      <c r="N374" s="14">
        <v>0.0</v>
      </c>
      <c r="O374" s="14">
        <v>0.0</v>
      </c>
      <c r="P374" s="14">
        <v>3.0</v>
      </c>
      <c r="Q374" s="14">
        <v>0.0</v>
      </c>
      <c r="R374" s="14">
        <v>0.0</v>
      </c>
      <c r="S374" s="14"/>
      <c r="T374" s="31">
        <f t="shared" si="2"/>
        <v>8</v>
      </c>
      <c r="U374" s="14" t="s">
        <v>45</v>
      </c>
      <c r="V374" s="70"/>
      <c r="W374" s="14" t="s">
        <v>46</v>
      </c>
      <c r="Z374" s="14"/>
      <c r="AA374" s="14" t="str">
        <f t="shared" si="3"/>
        <v/>
      </c>
      <c r="AB374" s="14">
        <f t="shared" si="4"/>
        <v>0</v>
      </c>
      <c r="AC374" s="14">
        <f t="shared" si="5"/>
        <v>8</v>
      </c>
      <c r="AD374" s="14">
        <f t="shared" ref="AD374:AD376" si="58">IF(ISBLANK(W374),0,1)</f>
        <v>1</v>
      </c>
    </row>
    <row r="375" ht="15.75" customHeight="1">
      <c r="A375" s="14">
        <v>374.0</v>
      </c>
      <c r="B375" s="14" t="s">
        <v>1047</v>
      </c>
      <c r="C375" s="14" t="s">
        <v>78</v>
      </c>
      <c r="D375" s="14">
        <v>9.0</v>
      </c>
      <c r="G375" s="14"/>
      <c r="H375" s="14">
        <v>1.0</v>
      </c>
      <c r="I375" s="14">
        <v>0.0</v>
      </c>
      <c r="J375" s="14">
        <v>0.0</v>
      </c>
      <c r="K375" s="14">
        <f t="shared" si="1"/>
        <v>0</v>
      </c>
      <c r="L375" s="14">
        <v>5.0</v>
      </c>
      <c r="M375" s="14">
        <v>0.0</v>
      </c>
      <c r="N375" s="14">
        <v>0.0</v>
      </c>
      <c r="O375" s="14">
        <v>0.0</v>
      </c>
      <c r="P375" s="14">
        <v>3.0</v>
      </c>
      <c r="Q375" s="36">
        <v>0.0</v>
      </c>
      <c r="R375" s="36">
        <v>30.0</v>
      </c>
      <c r="S375" s="14"/>
      <c r="T375" s="31">
        <f t="shared" si="2"/>
        <v>38</v>
      </c>
      <c r="U375" s="14" t="s">
        <v>45</v>
      </c>
      <c r="V375" s="26"/>
      <c r="W375" s="14" t="s">
        <v>46</v>
      </c>
      <c r="Z375" s="14"/>
      <c r="AA375" s="14" t="str">
        <f t="shared" si="3"/>
        <v/>
      </c>
      <c r="AB375" s="14">
        <f t="shared" si="4"/>
        <v>0</v>
      </c>
      <c r="AC375" s="14">
        <f t="shared" si="5"/>
        <v>38</v>
      </c>
      <c r="AD375" s="14">
        <f t="shared" si="58"/>
        <v>1</v>
      </c>
    </row>
    <row r="376" ht="15.75" hidden="1" customHeight="1">
      <c r="A376" s="14">
        <v>375.0</v>
      </c>
      <c r="B376" s="14" t="s">
        <v>1049</v>
      </c>
      <c r="C376" s="14" t="s">
        <v>78</v>
      </c>
      <c r="D376" s="14">
        <v>13.0</v>
      </c>
      <c r="G376" s="14"/>
      <c r="H376" s="14">
        <v>1.0</v>
      </c>
      <c r="I376" s="14">
        <v>627.0</v>
      </c>
      <c r="J376" s="14">
        <v>632.0</v>
      </c>
      <c r="K376" s="14">
        <f t="shared" si="1"/>
        <v>5</v>
      </c>
      <c r="L376" s="14">
        <v>5.0</v>
      </c>
      <c r="M376" s="14">
        <v>0.0</v>
      </c>
      <c r="N376" s="14">
        <v>0.0</v>
      </c>
      <c r="O376" s="14">
        <v>0.0</v>
      </c>
      <c r="P376" s="14">
        <v>3.0</v>
      </c>
      <c r="Q376" s="14">
        <v>0.0</v>
      </c>
      <c r="R376" s="14">
        <v>0.0</v>
      </c>
      <c r="S376" s="14"/>
      <c r="T376" s="31">
        <f t="shared" si="2"/>
        <v>8</v>
      </c>
      <c r="U376" s="14"/>
      <c r="V376" s="26"/>
      <c r="W376" s="14"/>
      <c r="X376" s="14"/>
      <c r="Y376" s="14"/>
      <c r="Z376" s="14"/>
      <c r="AA376" s="14" t="str">
        <f t="shared" si="3"/>
        <v/>
      </c>
      <c r="AB376" s="14">
        <f t="shared" si="4"/>
        <v>0</v>
      </c>
      <c r="AC376" s="14">
        <f t="shared" si="5"/>
        <v>0</v>
      </c>
      <c r="AD376" s="14">
        <f t="shared" si="58"/>
        <v>0</v>
      </c>
    </row>
    <row r="377" ht="15.75" hidden="1" customHeight="1">
      <c r="A377" s="14">
        <v>376.0</v>
      </c>
      <c r="B377" s="14" t="s">
        <v>1050</v>
      </c>
      <c r="C377" s="14" t="s">
        <v>78</v>
      </c>
      <c r="D377" s="14">
        <v>14.0</v>
      </c>
      <c r="G377" s="14"/>
      <c r="H377" s="14">
        <v>1.0</v>
      </c>
      <c r="I377" s="14">
        <v>12.0</v>
      </c>
      <c r="J377" s="14">
        <v>12.0</v>
      </c>
      <c r="K377" s="14">
        <f t="shared" si="1"/>
        <v>0</v>
      </c>
      <c r="L377" s="14">
        <v>5.0</v>
      </c>
      <c r="M377" s="14">
        <v>0.0</v>
      </c>
      <c r="N377" s="14">
        <v>0.0</v>
      </c>
      <c r="O377" s="14">
        <v>0.0</v>
      </c>
      <c r="P377" s="14">
        <v>3.0</v>
      </c>
      <c r="Q377" s="36">
        <v>0.0</v>
      </c>
      <c r="R377" s="36">
        <v>30.0</v>
      </c>
      <c r="S377" s="14"/>
      <c r="T377" s="31">
        <f t="shared" si="2"/>
        <v>38</v>
      </c>
      <c r="U377" s="14"/>
      <c r="V377" s="70"/>
      <c r="W377" s="14"/>
      <c r="X377" s="14"/>
      <c r="Y377" s="14"/>
      <c r="Z377" s="14"/>
      <c r="AA377" s="14" t="str">
        <f t="shared" si="3"/>
        <v/>
      </c>
      <c r="AB377" s="14">
        <f t="shared" si="4"/>
        <v>0</v>
      </c>
      <c r="AC377" s="14">
        <f t="shared" si="5"/>
        <v>0</v>
      </c>
      <c r="AD377" s="14"/>
    </row>
    <row r="378" ht="15.75" customHeight="1">
      <c r="A378" s="14">
        <v>377.0</v>
      </c>
      <c r="B378" s="14" t="s">
        <v>1053</v>
      </c>
      <c r="C378" s="14" t="s">
        <v>78</v>
      </c>
      <c r="D378" s="14">
        <v>16.0</v>
      </c>
      <c r="G378" s="14"/>
      <c r="H378" s="14">
        <v>1.0</v>
      </c>
      <c r="I378" s="14">
        <v>3575.0</v>
      </c>
      <c r="J378" s="14">
        <v>3585.0</v>
      </c>
      <c r="K378" s="14">
        <f t="shared" si="1"/>
        <v>10</v>
      </c>
      <c r="L378" s="14">
        <v>10.0</v>
      </c>
      <c r="M378" s="14">
        <v>0.0</v>
      </c>
      <c r="N378" s="14">
        <v>0.0</v>
      </c>
      <c r="O378" s="14">
        <v>0.0</v>
      </c>
      <c r="P378" s="14">
        <v>3.0</v>
      </c>
      <c r="Q378" s="36">
        <v>0.0</v>
      </c>
      <c r="R378" s="36">
        <v>30.0</v>
      </c>
      <c r="S378" s="14"/>
      <c r="T378" s="31">
        <f t="shared" si="2"/>
        <v>43</v>
      </c>
      <c r="U378" s="23" t="s">
        <v>45</v>
      </c>
      <c r="V378" s="26"/>
      <c r="W378" s="23" t="s">
        <v>46</v>
      </c>
      <c r="Z378" s="14"/>
      <c r="AA378" s="14" t="str">
        <f t="shared" si="3"/>
        <v/>
      </c>
      <c r="AB378" s="14">
        <f t="shared" si="4"/>
        <v>0</v>
      </c>
      <c r="AC378" s="14">
        <f t="shared" si="5"/>
        <v>43</v>
      </c>
      <c r="AD378" s="14"/>
    </row>
    <row r="379" ht="15.75" hidden="1" customHeight="1">
      <c r="A379" s="14">
        <v>378.0</v>
      </c>
      <c r="B379" s="14" t="s">
        <v>1054</v>
      </c>
      <c r="C379" s="14" t="s">
        <v>78</v>
      </c>
      <c r="D379" s="14">
        <v>17.0</v>
      </c>
      <c r="G379" s="14"/>
      <c r="H379" s="14">
        <v>1.0</v>
      </c>
      <c r="I379" s="14">
        <v>2199.0</v>
      </c>
      <c r="J379" s="14">
        <v>2210.0</v>
      </c>
      <c r="K379" s="14">
        <f t="shared" si="1"/>
        <v>11</v>
      </c>
      <c r="L379" s="14">
        <v>11.0</v>
      </c>
      <c r="M379" s="14">
        <v>0.0</v>
      </c>
      <c r="N379" s="14">
        <v>0.0</v>
      </c>
      <c r="O379" s="14">
        <v>0.0</v>
      </c>
      <c r="P379" s="14">
        <v>3.0</v>
      </c>
      <c r="Q379" s="14">
        <v>0.0</v>
      </c>
      <c r="R379" s="14">
        <v>0.0</v>
      </c>
      <c r="S379" s="14"/>
      <c r="T379" s="31">
        <f t="shared" si="2"/>
        <v>14</v>
      </c>
      <c r="U379" s="14"/>
      <c r="W379" s="14"/>
      <c r="Z379" s="14"/>
      <c r="AA379" s="14" t="str">
        <f t="shared" si="3"/>
        <v/>
      </c>
      <c r="AB379" s="14">
        <f t="shared" si="4"/>
        <v>0</v>
      </c>
      <c r="AC379" s="14">
        <f t="shared" si="5"/>
        <v>0</v>
      </c>
      <c r="AD379" s="14"/>
    </row>
    <row r="380" ht="15.75" hidden="1" customHeight="1">
      <c r="A380" s="14">
        <v>379.0</v>
      </c>
      <c r="B380" s="14" t="s">
        <v>1056</v>
      </c>
      <c r="C380" s="14" t="s">
        <v>78</v>
      </c>
      <c r="D380" s="14">
        <v>19.0</v>
      </c>
      <c r="G380" s="14"/>
      <c r="H380" s="14">
        <v>1.0</v>
      </c>
      <c r="I380" s="14">
        <v>2233.0</v>
      </c>
      <c r="J380" s="14">
        <v>2244.0</v>
      </c>
      <c r="K380" s="14">
        <f t="shared" si="1"/>
        <v>11</v>
      </c>
      <c r="L380" s="14">
        <v>11.0</v>
      </c>
      <c r="M380" s="14">
        <v>0.0</v>
      </c>
      <c r="N380" s="14">
        <v>0.0</v>
      </c>
      <c r="O380" s="14">
        <v>0.0</v>
      </c>
      <c r="P380" s="14">
        <v>3.0</v>
      </c>
      <c r="Q380" s="14">
        <v>0.0</v>
      </c>
      <c r="R380" s="14">
        <v>0.0</v>
      </c>
      <c r="S380" s="14"/>
      <c r="T380" s="31">
        <f t="shared" si="2"/>
        <v>14</v>
      </c>
      <c r="U380" s="14"/>
      <c r="V380" s="26"/>
      <c r="W380" s="14"/>
      <c r="Z380" s="14"/>
      <c r="AA380" s="14" t="str">
        <f t="shared" si="3"/>
        <v/>
      </c>
      <c r="AB380" s="14">
        <f t="shared" si="4"/>
        <v>0</v>
      </c>
      <c r="AC380" s="14">
        <f t="shared" si="5"/>
        <v>0</v>
      </c>
      <c r="AD380" s="14">
        <f t="shared" ref="AD380:AD381" si="59">IF(ISBLANK(W380),0,1)</f>
        <v>0</v>
      </c>
    </row>
    <row r="381" ht="15.75" customHeight="1">
      <c r="A381" s="14">
        <v>380.0</v>
      </c>
      <c r="B381" s="14" t="s">
        <v>1059</v>
      </c>
      <c r="C381" s="14" t="s">
        <v>78</v>
      </c>
      <c r="D381" s="14">
        <v>20.0</v>
      </c>
      <c r="G381" s="14"/>
      <c r="H381" s="14">
        <v>1.0</v>
      </c>
      <c r="I381" s="14">
        <v>1072.0</v>
      </c>
      <c r="J381" s="14">
        <v>1093.0</v>
      </c>
      <c r="K381" s="14">
        <f t="shared" si="1"/>
        <v>21</v>
      </c>
      <c r="L381" s="14">
        <v>21.0</v>
      </c>
      <c r="M381" s="23">
        <v>0.0</v>
      </c>
      <c r="N381" s="14">
        <v>0.0</v>
      </c>
      <c r="O381" s="14">
        <v>0.0</v>
      </c>
      <c r="P381" s="14">
        <v>3.0</v>
      </c>
      <c r="Q381" s="36">
        <v>0.0</v>
      </c>
      <c r="R381" s="36">
        <v>30.0</v>
      </c>
      <c r="S381" s="14"/>
      <c r="T381" s="31">
        <f t="shared" si="2"/>
        <v>54</v>
      </c>
      <c r="U381" s="14" t="s">
        <v>45</v>
      </c>
      <c r="V381" s="26"/>
      <c r="W381" s="14" t="s">
        <v>46</v>
      </c>
      <c r="Y381" s="43" t="s">
        <v>1061</v>
      </c>
      <c r="Z381" s="14"/>
      <c r="AA381" s="14" t="str">
        <f t="shared" si="3"/>
        <v/>
      </c>
      <c r="AB381" s="14">
        <f t="shared" si="4"/>
        <v>0</v>
      </c>
      <c r="AC381" s="14">
        <f t="shared" si="5"/>
        <v>54</v>
      </c>
      <c r="AD381" s="14">
        <f t="shared" si="59"/>
        <v>1</v>
      </c>
    </row>
    <row r="382" ht="15.75" customHeight="1">
      <c r="A382" s="14">
        <v>381.0</v>
      </c>
      <c r="B382" s="14" t="s">
        <v>1062</v>
      </c>
      <c r="C382" s="14" t="s">
        <v>182</v>
      </c>
      <c r="D382" s="14">
        <v>1.0</v>
      </c>
      <c r="E382" s="14"/>
      <c r="G382" s="14"/>
      <c r="H382" s="14">
        <v>1.0</v>
      </c>
      <c r="I382" s="14">
        <v>150.0</v>
      </c>
      <c r="J382" s="14">
        <v>161.0</v>
      </c>
      <c r="K382" s="14">
        <f t="shared" si="1"/>
        <v>11</v>
      </c>
      <c r="L382" s="14">
        <v>11.0</v>
      </c>
      <c r="M382" s="14">
        <v>0.0</v>
      </c>
      <c r="N382" s="14">
        <v>0.0</v>
      </c>
      <c r="O382" s="14">
        <v>0.0</v>
      </c>
      <c r="P382" s="14">
        <v>3.0</v>
      </c>
      <c r="Q382" s="14">
        <v>0.0</v>
      </c>
      <c r="R382" s="14">
        <v>0.0</v>
      </c>
      <c r="S382" s="14"/>
      <c r="T382" s="31">
        <f t="shared" si="2"/>
        <v>14</v>
      </c>
      <c r="U382" s="14" t="s">
        <v>45</v>
      </c>
      <c r="V382" s="26"/>
      <c r="W382" s="14" t="s">
        <v>46</v>
      </c>
      <c r="Y382" s="14"/>
      <c r="Z382" s="14"/>
      <c r="AA382" s="14" t="str">
        <f t="shared" si="3"/>
        <v/>
      </c>
      <c r="AB382" s="14">
        <f t="shared" si="4"/>
        <v>0</v>
      </c>
      <c r="AC382" s="14">
        <f t="shared" si="5"/>
        <v>14</v>
      </c>
      <c r="AD382" s="14"/>
    </row>
    <row r="383" ht="15.75" hidden="1" customHeight="1">
      <c r="A383" s="14">
        <v>382.0</v>
      </c>
      <c r="B383" s="14" t="s">
        <v>1065</v>
      </c>
      <c r="C383" s="14" t="s">
        <v>182</v>
      </c>
      <c r="D383" s="14">
        <v>2.0</v>
      </c>
      <c r="G383" s="14"/>
      <c r="H383" s="14">
        <v>1.0</v>
      </c>
      <c r="I383" s="14">
        <v>1610.0</v>
      </c>
      <c r="J383" s="14">
        <v>1625.0</v>
      </c>
      <c r="K383" s="14">
        <f t="shared" si="1"/>
        <v>15</v>
      </c>
      <c r="L383" s="14">
        <v>15.0</v>
      </c>
      <c r="M383" s="14">
        <v>0.0</v>
      </c>
      <c r="N383" s="14">
        <v>0.0</v>
      </c>
      <c r="O383" s="14">
        <v>0.0</v>
      </c>
      <c r="P383" s="14">
        <v>3.0</v>
      </c>
      <c r="Q383" s="14">
        <v>0.0</v>
      </c>
      <c r="R383" s="14">
        <v>0.0</v>
      </c>
      <c r="S383" s="14"/>
      <c r="T383" s="31">
        <f t="shared" si="2"/>
        <v>18</v>
      </c>
      <c r="U383" s="14"/>
      <c r="V383" s="26"/>
      <c r="W383" s="14"/>
      <c r="Z383" s="14"/>
      <c r="AA383" s="14" t="str">
        <f t="shared" si="3"/>
        <v/>
      </c>
      <c r="AB383" s="14">
        <f t="shared" si="4"/>
        <v>0</v>
      </c>
      <c r="AC383" s="14">
        <f t="shared" si="5"/>
        <v>0</v>
      </c>
      <c r="AD383" s="14"/>
    </row>
    <row r="384" ht="15.75" customHeight="1">
      <c r="A384" s="14">
        <v>383.0</v>
      </c>
      <c r="B384" s="14" t="s">
        <v>1067</v>
      </c>
      <c r="C384" s="14" t="s">
        <v>182</v>
      </c>
      <c r="D384" s="14">
        <v>3.0</v>
      </c>
      <c r="G384" s="14"/>
      <c r="H384" s="14">
        <v>1.0</v>
      </c>
      <c r="I384" s="14">
        <v>674.0</v>
      </c>
      <c r="J384" s="14">
        <v>684.0</v>
      </c>
      <c r="K384" s="14">
        <f t="shared" si="1"/>
        <v>10</v>
      </c>
      <c r="L384" s="14">
        <v>10.0</v>
      </c>
      <c r="M384" s="14">
        <v>0.0</v>
      </c>
      <c r="N384" s="14">
        <v>0.0</v>
      </c>
      <c r="O384" s="14">
        <v>0.0</v>
      </c>
      <c r="P384" s="14">
        <v>3.0</v>
      </c>
      <c r="Q384" s="14">
        <v>0.0</v>
      </c>
      <c r="R384" s="14">
        <v>0.0</v>
      </c>
      <c r="S384" s="14"/>
      <c r="T384" s="31">
        <f t="shared" si="2"/>
        <v>13</v>
      </c>
      <c r="U384" s="14" t="s">
        <v>45</v>
      </c>
      <c r="V384" s="26"/>
      <c r="W384" s="14" t="s">
        <v>46</v>
      </c>
      <c r="Z384" s="14"/>
      <c r="AA384" s="14" t="str">
        <f t="shared" si="3"/>
        <v/>
      </c>
      <c r="AB384" s="14">
        <f t="shared" si="4"/>
        <v>0</v>
      </c>
      <c r="AC384" s="14">
        <f t="shared" si="5"/>
        <v>13</v>
      </c>
      <c r="AD384" s="14">
        <f t="shared" ref="AD384:AD387" si="60">IF(ISBLANK(W384),0,1)</f>
        <v>1</v>
      </c>
    </row>
    <row r="385" ht="15.75" customHeight="1">
      <c r="A385" s="14">
        <v>384.0</v>
      </c>
      <c r="B385" s="14" t="s">
        <v>1070</v>
      </c>
      <c r="C385" s="14" t="s">
        <v>182</v>
      </c>
      <c r="D385" s="14">
        <v>4.0</v>
      </c>
      <c r="G385" s="14"/>
      <c r="H385" s="14">
        <v>1.0</v>
      </c>
      <c r="I385" s="14">
        <v>3202.0</v>
      </c>
      <c r="J385" s="14">
        <v>3216.0</v>
      </c>
      <c r="K385" s="14">
        <f t="shared" si="1"/>
        <v>14</v>
      </c>
      <c r="L385" s="14">
        <v>14.0</v>
      </c>
      <c r="M385" s="14">
        <v>11.0</v>
      </c>
      <c r="N385" s="14">
        <v>0.0</v>
      </c>
      <c r="O385" s="14">
        <v>0.0</v>
      </c>
      <c r="P385" s="14"/>
      <c r="Q385" s="36">
        <v>0.0</v>
      </c>
      <c r="R385" s="36"/>
      <c r="S385" s="23"/>
      <c r="T385" s="31">
        <f t="shared" si="2"/>
        <v>25</v>
      </c>
      <c r="U385" s="23" t="s">
        <v>45</v>
      </c>
      <c r="V385" s="26"/>
      <c r="W385" s="23" t="s">
        <v>46</v>
      </c>
      <c r="Y385" s="43" t="s">
        <v>836</v>
      </c>
      <c r="Z385" s="14"/>
      <c r="AA385" s="14" t="str">
        <f t="shared" si="3"/>
        <v/>
      </c>
      <c r="AB385" s="14">
        <f t="shared" si="4"/>
        <v>0</v>
      </c>
      <c r="AC385" s="14">
        <f t="shared" si="5"/>
        <v>25</v>
      </c>
      <c r="AD385" s="14">
        <f t="shared" si="60"/>
        <v>1</v>
      </c>
    </row>
    <row r="386" ht="15.75" customHeight="1">
      <c r="A386" s="14">
        <v>385.0</v>
      </c>
      <c r="B386" s="14" t="s">
        <v>1071</v>
      </c>
      <c r="C386" s="14" t="s">
        <v>182</v>
      </c>
      <c r="D386" s="14">
        <v>6.0</v>
      </c>
      <c r="G386" s="14"/>
      <c r="H386" s="14">
        <v>1.0</v>
      </c>
      <c r="I386" s="14">
        <v>2470.0</v>
      </c>
      <c r="J386" s="14">
        <v>2481.0</v>
      </c>
      <c r="K386" s="14">
        <f t="shared" si="1"/>
        <v>11</v>
      </c>
      <c r="L386" s="14">
        <v>11.0</v>
      </c>
      <c r="M386" s="14">
        <v>15.0</v>
      </c>
      <c r="N386" s="14">
        <v>0.0</v>
      </c>
      <c r="O386" s="14">
        <v>0.0</v>
      </c>
      <c r="P386" s="14">
        <v>3.0</v>
      </c>
      <c r="Q386" s="14">
        <v>0.0</v>
      </c>
      <c r="R386" s="14">
        <v>0.0</v>
      </c>
      <c r="S386" s="14"/>
      <c r="T386" s="31">
        <f t="shared" si="2"/>
        <v>29</v>
      </c>
      <c r="U386" s="14" t="s">
        <v>45</v>
      </c>
      <c r="V386" s="26"/>
      <c r="W386" s="14" t="s">
        <v>46</v>
      </c>
      <c r="Z386" s="14"/>
      <c r="AA386" s="14" t="str">
        <f t="shared" si="3"/>
        <v/>
      </c>
      <c r="AB386" s="14">
        <f t="shared" si="4"/>
        <v>0</v>
      </c>
      <c r="AC386" s="14">
        <f t="shared" si="5"/>
        <v>29</v>
      </c>
      <c r="AD386" s="14">
        <f t="shared" si="60"/>
        <v>1</v>
      </c>
    </row>
    <row r="387" ht="15.75" customHeight="1">
      <c r="A387" s="14">
        <v>386.0</v>
      </c>
      <c r="B387" s="36" t="s">
        <v>1072</v>
      </c>
      <c r="C387" s="36" t="s">
        <v>182</v>
      </c>
      <c r="D387" s="36">
        <v>9.0</v>
      </c>
      <c r="E387" s="36"/>
      <c r="F387" s="36"/>
      <c r="G387" s="36"/>
      <c r="H387" s="36">
        <v>1.0</v>
      </c>
      <c r="I387" s="36">
        <v>616.0</v>
      </c>
      <c r="J387" s="36">
        <v>632.0</v>
      </c>
      <c r="K387" s="36">
        <f t="shared" si="1"/>
        <v>16</v>
      </c>
      <c r="L387" s="14">
        <v>16.0</v>
      </c>
      <c r="M387" s="14">
        <v>0.0</v>
      </c>
      <c r="N387" s="14">
        <v>0.0</v>
      </c>
      <c r="O387" s="14">
        <v>0.0</v>
      </c>
      <c r="P387" s="14">
        <v>3.0</v>
      </c>
      <c r="Q387" s="36">
        <v>0.0</v>
      </c>
      <c r="R387" s="36">
        <v>30.0</v>
      </c>
      <c r="S387" s="14"/>
      <c r="T387" s="31">
        <f t="shared" si="2"/>
        <v>49</v>
      </c>
      <c r="U387" s="23" t="s">
        <v>45</v>
      </c>
      <c r="V387" s="26"/>
      <c r="W387" s="23" t="s">
        <v>46</v>
      </c>
      <c r="X387" s="14"/>
      <c r="Y387" s="14"/>
      <c r="Z387" s="14"/>
      <c r="AA387" s="14" t="str">
        <f t="shared" si="3"/>
        <v/>
      </c>
      <c r="AB387" s="14">
        <f t="shared" si="4"/>
        <v>0</v>
      </c>
      <c r="AC387" s="14">
        <f t="shared" si="5"/>
        <v>49</v>
      </c>
      <c r="AD387" s="14">
        <f t="shared" si="60"/>
        <v>1</v>
      </c>
    </row>
    <row r="388" ht="15.75" customHeight="1">
      <c r="A388" s="14">
        <v>387.0</v>
      </c>
      <c r="B388" s="56" t="s">
        <v>1075</v>
      </c>
      <c r="C388" s="56" t="s">
        <v>182</v>
      </c>
      <c r="D388" s="56">
        <v>10.0</v>
      </c>
      <c r="E388" s="36"/>
      <c r="F388" s="36"/>
      <c r="G388" s="36"/>
      <c r="H388" s="36">
        <v>1.0</v>
      </c>
      <c r="I388" s="36">
        <v>416.0</v>
      </c>
      <c r="J388" s="36">
        <v>439.0</v>
      </c>
      <c r="K388" s="36">
        <f t="shared" si="1"/>
        <v>23</v>
      </c>
      <c r="L388" s="23">
        <v>37.0</v>
      </c>
      <c r="M388" s="14">
        <v>0.0</v>
      </c>
      <c r="N388" s="23">
        <v>0.0</v>
      </c>
      <c r="O388" s="14">
        <v>0.0</v>
      </c>
      <c r="P388" s="14">
        <v>3.0</v>
      </c>
      <c r="Q388" s="36">
        <v>0.0</v>
      </c>
      <c r="R388" s="36">
        <v>30.0</v>
      </c>
      <c r="S388" s="23"/>
      <c r="T388" s="31">
        <f t="shared" si="2"/>
        <v>70</v>
      </c>
      <c r="U388" s="23" t="s">
        <v>45</v>
      </c>
      <c r="V388" s="26"/>
      <c r="W388" s="23" t="s">
        <v>46</v>
      </c>
      <c r="Y388" s="43" t="s">
        <v>1078</v>
      </c>
      <c r="Z388" s="14"/>
      <c r="AA388" s="14" t="str">
        <f t="shared" si="3"/>
        <v/>
      </c>
      <c r="AB388" s="14">
        <f t="shared" si="4"/>
        <v>0</v>
      </c>
      <c r="AC388" s="14">
        <f t="shared" si="5"/>
        <v>70</v>
      </c>
      <c r="AD388" s="14"/>
    </row>
    <row r="389" ht="15.75" hidden="1" customHeight="1">
      <c r="A389" s="14">
        <v>388.0</v>
      </c>
      <c r="B389" s="14" t="s">
        <v>1079</v>
      </c>
      <c r="C389" s="14" t="s">
        <v>182</v>
      </c>
      <c r="D389" s="14">
        <v>11.0</v>
      </c>
      <c r="G389" s="14"/>
      <c r="H389" s="14">
        <v>1.0</v>
      </c>
      <c r="I389" s="14">
        <v>76.0</v>
      </c>
      <c r="J389" s="14">
        <v>79.0</v>
      </c>
      <c r="K389" s="14">
        <f t="shared" si="1"/>
        <v>3</v>
      </c>
      <c r="L389" s="14">
        <v>5.0</v>
      </c>
      <c r="M389" s="14">
        <v>0.0</v>
      </c>
      <c r="N389" s="14">
        <v>0.0</v>
      </c>
      <c r="O389" s="14">
        <v>0.0</v>
      </c>
      <c r="P389" s="14">
        <v>3.0</v>
      </c>
      <c r="Q389" s="36">
        <v>0.0</v>
      </c>
      <c r="R389" s="36">
        <v>30.0</v>
      </c>
      <c r="S389" s="14"/>
      <c r="T389" s="31">
        <f t="shared" si="2"/>
        <v>38</v>
      </c>
      <c r="U389" s="14"/>
      <c r="V389" s="26"/>
      <c r="W389" s="14"/>
      <c r="Z389" s="14"/>
      <c r="AA389" s="14" t="str">
        <f t="shared" si="3"/>
        <v/>
      </c>
      <c r="AB389" s="14">
        <f t="shared" si="4"/>
        <v>0</v>
      </c>
      <c r="AC389" s="14">
        <f t="shared" si="5"/>
        <v>0</v>
      </c>
      <c r="AD389" s="14">
        <f t="shared" ref="AD389:AD391" si="61">IF(ISBLANK(W389),0,1)</f>
        <v>0</v>
      </c>
    </row>
    <row r="390" ht="15.75" customHeight="1">
      <c r="A390" s="14">
        <v>389.0</v>
      </c>
      <c r="B390" s="14" t="s">
        <v>1082</v>
      </c>
      <c r="C390" s="14" t="s">
        <v>182</v>
      </c>
      <c r="D390" s="14">
        <v>12.0</v>
      </c>
      <c r="G390" s="14"/>
      <c r="H390" s="14">
        <v>1.0</v>
      </c>
      <c r="I390" s="14">
        <v>1130.0</v>
      </c>
      <c r="J390" s="14">
        <v>1135.0</v>
      </c>
      <c r="K390" s="14">
        <f t="shared" si="1"/>
        <v>5</v>
      </c>
      <c r="L390" s="14">
        <v>5.0</v>
      </c>
      <c r="M390" s="14">
        <v>8.0</v>
      </c>
      <c r="N390" s="14">
        <v>0.0</v>
      </c>
      <c r="O390" s="14">
        <v>0.0</v>
      </c>
      <c r="P390" s="14">
        <v>3.0</v>
      </c>
      <c r="Q390" s="14">
        <v>0.0</v>
      </c>
      <c r="R390" s="14">
        <v>0.0</v>
      </c>
      <c r="S390" s="14"/>
      <c r="T390" s="31">
        <f t="shared" si="2"/>
        <v>16</v>
      </c>
      <c r="U390" s="14" t="s">
        <v>45</v>
      </c>
      <c r="V390" s="26"/>
      <c r="W390" s="14" t="s">
        <v>46</v>
      </c>
      <c r="Z390" s="14"/>
      <c r="AA390" s="14" t="str">
        <f t="shared" si="3"/>
        <v/>
      </c>
      <c r="AB390" s="14">
        <f t="shared" si="4"/>
        <v>0</v>
      </c>
      <c r="AC390" s="14">
        <f t="shared" si="5"/>
        <v>16</v>
      </c>
      <c r="AD390" s="14">
        <f t="shared" si="61"/>
        <v>1</v>
      </c>
    </row>
    <row r="391" ht="15.75" customHeight="1">
      <c r="A391" s="14">
        <v>390.0</v>
      </c>
      <c r="B391" s="14" t="s">
        <v>1083</v>
      </c>
      <c r="C391" s="14" t="s">
        <v>182</v>
      </c>
      <c r="D391" s="14">
        <v>13.0</v>
      </c>
      <c r="G391" s="14"/>
      <c r="H391" s="14">
        <v>1.0</v>
      </c>
      <c r="I391" s="14">
        <v>943.0</v>
      </c>
      <c r="J391" s="14">
        <v>951.0</v>
      </c>
      <c r="K391" s="14">
        <f t="shared" si="1"/>
        <v>8</v>
      </c>
      <c r="L391" s="14">
        <v>8.0</v>
      </c>
      <c r="M391" s="14">
        <v>0.0</v>
      </c>
      <c r="N391" s="14">
        <v>0.0</v>
      </c>
      <c r="O391" s="14">
        <v>0.0</v>
      </c>
      <c r="P391" s="14">
        <v>3.0</v>
      </c>
      <c r="Q391" s="14">
        <v>0.0</v>
      </c>
      <c r="R391" s="14">
        <v>0.0</v>
      </c>
      <c r="S391" s="14"/>
      <c r="T391" s="31">
        <f t="shared" si="2"/>
        <v>11</v>
      </c>
      <c r="U391" s="14" t="s">
        <v>45</v>
      </c>
      <c r="V391" s="26"/>
      <c r="W391" s="14" t="s">
        <v>46</v>
      </c>
      <c r="Z391" s="14"/>
      <c r="AA391" s="14" t="str">
        <f t="shared" si="3"/>
        <v/>
      </c>
      <c r="AB391" s="14">
        <f t="shared" si="4"/>
        <v>0</v>
      </c>
      <c r="AC391" s="14">
        <f t="shared" si="5"/>
        <v>11</v>
      </c>
      <c r="AD391" s="14">
        <f t="shared" si="61"/>
        <v>1</v>
      </c>
    </row>
    <row r="392" ht="15.75" customHeight="1">
      <c r="A392" s="14">
        <v>391.0</v>
      </c>
      <c r="B392" s="14" t="s">
        <v>1084</v>
      </c>
      <c r="C392" s="14" t="s">
        <v>182</v>
      </c>
      <c r="D392" s="14">
        <v>14.0</v>
      </c>
      <c r="E392" s="14"/>
      <c r="G392" s="14"/>
      <c r="H392" s="14">
        <v>1.0</v>
      </c>
      <c r="I392" s="14">
        <v>139.0</v>
      </c>
      <c r="J392" s="14">
        <v>147.0</v>
      </c>
      <c r="K392" s="14">
        <f t="shared" si="1"/>
        <v>8</v>
      </c>
      <c r="L392" s="14">
        <v>8.0</v>
      </c>
      <c r="M392" s="14">
        <v>0.0</v>
      </c>
      <c r="N392" s="14">
        <v>0.0</v>
      </c>
      <c r="O392" s="14">
        <v>0.0</v>
      </c>
      <c r="P392" s="14">
        <v>3.0</v>
      </c>
      <c r="Q392" s="14">
        <v>0.0</v>
      </c>
      <c r="R392" s="14">
        <v>0.0</v>
      </c>
      <c r="S392" s="14"/>
      <c r="T392" s="31">
        <f t="shared" si="2"/>
        <v>11</v>
      </c>
      <c r="U392" s="14" t="s">
        <v>45</v>
      </c>
      <c r="V392" s="26"/>
      <c r="W392" s="14" t="s">
        <v>46</v>
      </c>
      <c r="Z392" s="14"/>
      <c r="AA392" s="14" t="str">
        <f t="shared" si="3"/>
        <v/>
      </c>
      <c r="AB392" s="14">
        <f t="shared" si="4"/>
        <v>0</v>
      </c>
      <c r="AC392" s="14">
        <f t="shared" si="5"/>
        <v>11</v>
      </c>
      <c r="AD392" s="14"/>
    </row>
    <row r="393" ht="15.75" customHeight="1">
      <c r="A393" s="14">
        <v>392.0</v>
      </c>
      <c r="B393" s="14" t="s">
        <v>1085</v>
      </c>
      <c r="C393" s="14" t="s">
        <v>182</v>
      </c>
      <c r="D393" s="14">
        <v>17.0</v>
      </c>
      <c r="G393" s="14"/>
      <c r="H393" s="14">
        <v>1.0</v>
      </c>
      <c r="I393" s="14">
        <v>1309.0</v>
      </c>
      <c r="J393" s="14">
        <v>1316.0</v>
      </c>
      <c r="K393" s="14">
        <f t="shared" si="1"/>
        <v>7</v>
      </c>
      <c r="L393" s="14">
        <v>7.0</v>
      </c>
      <c r="M393" s="14">
        <v>0.0</v>
      </c>
      <c r="N393" s="14">
        <v>0.0</v>
      </c>
      <c r="O393" s="14">
        <v>0.0</v>
      </c>
      <c r="P393" s="14">
        <v>3.0</v>
      </c>
      <c r="Q393" s="36">
        <v>0.0</v>
      </c>
      <c r="R393" s="36">
        <v>30.0</v>
      </c>
      <c r="S393" s="14"/>
      <c r="T393" s="31">
        <f t="shared" si="2"/>
        <v>40</v>
      </c>
      <c r="U393" s="23" t="s">
        <v>45</v>
      </c>
      <c r="V393" s="26"/>
      <c r="W393" s="23" t="s">
        <v>46</v>
      </c>
      <c r="X393" s="14"/>
      <c r="Y393" s="14"/>
      <c r="Z393" s="14"/>
      <c r="AA393" s="14" t="str">
        <f t="shared" si="3"/>
        <v/>
      </c>
      <c r="AB393" s="14">
        <f t="shared" si="4"/>
        <v>0</v>
      </c>
      <c r="AC393" s="14">
        <f t="shared" si="5"/>
        <v>40</v>
      </c>
      <c r="AD393" s="14"/>
    </row>
    <row r="394" ht="15.75" customHeight="1">
      <c r="A394" s="14">
        <v>393.0</v>
      </c>
      <c r="B394" s="14" t="s">
        <v>1088</v>
      </c>
      <c r="C394" s="14" t="s">
        <v>182</v>
      </c>
      <c r="D394" s="14">
        <v>21.0</v>
      </c>
      <c r="G394" s="14"/>
      <c r="H394" s="14">
        <v>1.0</v>
      </c>
      <c r="I394" s="14">
        <v>48.0</v>
      </c>
      <c r="J394" s="14">
        <v>50.0</v>
      </c>
      <c r="K394" s="14">
        <f t="shared" si="1"/>
        <v>2</v>
      </c>
      <c r="L394" s="14">
        <v>5.0</v>
      </c>
      <c r="M394" s="14">
        <v>0.0</v>
      </c>
      <c r="N394" s="14">
        <v>0.0</v>
      </c>
      <c r="O394" s="14">
        <v>0.0</v>
      </c>
      <c r="P394" s="14">
        <v>3.0</v>
      </c>
      <c r="Q394" s="14">
        <v>0.0</v>
      </c>
      <c r="R394" s="14">
        <v>0.0</v>
      </c>
      <c r="S394" s="14"/>
      <c r="T394" s="31">
        <f t="shared" si="2"/>
        <v>8</v>
      </c>
      <c r="U394" s="42" t="s">
        <v>45</v>
      </c>
      <c r="V394" s="26"/>
      <c r="W394" s="14"/>
      <c r="Z394" s="14"/>
      <c r="AA394" s="14" t="str">
        <f t="shared" si="3"/>
        <v/>
      </c>
      <c r="AB394" s="14">
        <f t="shared" si="4"/>
        <v>8</v>
      </c>
      <c r="AC394" s="14">
        <f t="shared" si="5"/>
        <v>0</v>
      </c>
      <c r="AD394" s="14">
        <f>IF(ISBLANK(W394),0,1)</f>
        <v>0</v>
      </c>
    </row>
    <row r="395" ht="15.75" hidden="1" customHeight="1">
      <c r="A395" s="14">
        <v>394.0</v>
      </c>
      <c r="B395" s="14" t="s">
        <v>1090</v>
      </c>
      <c r="C395" s="14" t="s">
        <v>182</v>
      </c>
      <c r="D395" s="14">
        <v>31.0</v>
      </c>
      <c r="G395" s="14"/>
      <c r="H395" s="14">
        <v>1.0</v>
      </c>
      <c r="I395" s="14">
        <v>47.0</v>
      </c>
      <c r="J395" s="14">
        <v>47.0</v>
      </c>
      <c r="K395" s="14">
        <f t="shared" si="1"/>
        <v>0</v>
      </c>
      <c r="L395" s="14">
        <v>5.0</v>
      </c>
      <c r="M395" s="14">
        <v>112.0</v>
      </c>
      <c r="N395" s="14">
        <v>40.0</v>
      </c>
      <c r="O395" s="14">
        <v>0.0</v>
      </c>
      <c r="P395" s="14">
        <v>3.0</v>
      </c>
      <c r="Q395" s="36">
        <v>40.0</v>
      </c>
      <c r="R395" s="36">
        <v>30.0</v>
      </c>
      <c r="S395" s="14"/>
      <c r="T395" s="31">
        <f t="shared" si="2"/>
        <v>230</v>
      </c>
      <c r="W395" s="14"/>
      <c r="Z395" s="14" t="s">
        <v>959</v>
      </c>
      <c r="AA395" s="14" t="str">
        <f t="shared" si="3"/>
        <v>CORTE</v>
      </c>
      <c r="AB395" s="14">
        <f t="shared" si="4"/>
        <v>0</v>
      </c>
      <c r="AC395" s="14">
        <f t="shared" si="5"/>
        <v>0</v>
      </c>
      <c r="AD395" s="14"/>
    </row>
    <row r="396" ht="15.75" customHeight="1">
      <c r="A396" s="14">
        <v>395.0</v>
      </c>
      <c r="B396" s="14" t="s">
        <v>1092</v>
      </c>
      <c r="C396" s="14" t="s">
        <v>182</v>
      </c>
      <c r="D396" s="14">
        <v>32.0</v>
      </c>
      <c r="G396" s="14"/>
      <c r="H396" s="14">
        <v>1.0</v>
      </c>
      <c r="I396" s="14">
        <v>271.0</v>
      </c>
      <c r="J396" s="14">
        <v>275.0</v>
      </c>
      <c r="K396" s="14">
        <f t="shared" si="1"/>
        <v>4</v>
      </c>
      <c r="L396" s="14">
        <v>5.0</v>
      </c>
      <c r="M396" s="14">
        <v>8.0</v>
      </c>
      <c r="N396" s="14">
        <v>0.0</v>
      </c>
      <c r="O396" s="14">
        <v>0.0</v>
      </c>
      <c r="P396" s="14">
        <v>3.0</v>
      </c>
      <c r="Q396" s="14">
        <v>0.0</v>
      </c>
      <c r="R396" s="14">
        <v>0.0</v>
      </c>
      <c r="S396" s="14"/>
      <c r="T396" s="31">
        <f t="shared" si="2"/>
        <v>16</v>
      </c>
      <c r="U396" s="14" t="s">
        <v>45</v>
      </c>
      <c r="V396" s="70"/>
      <c r="W396" s="14" t="s">
        <v>46</v>
      </c>
      <c r="Z396" s="14"/>
      <c r="AA396" s="14" t="str">
        <f t="shared" si="3"/>
        <v/>
      </c>
      <c r="AB396" s="14">
        <f t="shared" si="4"/>
        <v>0</v>
      </c>
      <c r="AC396" s="14">
        <f t="shared" si="5"/>
        <v>16</v>
      </c>
      <c r="AD396" s="14">
        <f t="shared" ref="AD396:AD404" si="62">IF(ISBLANK(W396),0,1)</f>
        <v>1</v>
      </c>
    </row>
    <row r="397" ht="15.75" customHeight="1">
      <c r="A397" s="14">
        <v>396.0</v>
      </c>
      <c r="B397" s="36" t="s">
        <v>1094</v>
      </c>
      <c r="C397" s="36" t="s">
        <v>182</v>
      </c>
      <c r="D397" s="36">
        <v>33.0</v>
      </c>
      <c r="E397" s="36"/>
      <c r="F397" s="36"/>
      <c r="G397" s="36"/>
      <c r="H397" s="36">
        <v>1.0</v>
      </c>
      <c r="I397" s="36">
        <v>795.0</v>
      </c>
      <c r="J397" s="36">
        <v>796.0</v>
      </c>
      <c r="K397" s="36">
        <f t="shared" si="1"/>
        <v>1</v>
      </c>
      <c r="L397" s="14">
        <v>5.0</v>
      </c>
      <c r="M397" s="14">
        <v>0.0</v>
      </c>
      <c r="N397" s="14">
        <v>0.0</v>
      </c>
      <c r="O397" s="14">
        <v>0.0</v>
      </c>
      <c r="P397" s="14">
        <v>3.0</v>
      </c>
      <c r="Q397" s="36">
        <v>0.0</v>
      </c>
      <c r="R397" s="36"/>
      <c r="S397" s="14"/>
      <c r="T397" s="31">
        <f t="shared" si="2"/>
        <v>8</v>
      </c>
      <c r="U397" s="14" t="s">
        <v>45</v>
      </c>
      <c r="V397" s="26"/>
      <c r="W397" s="14" t="s">
        <v>46</v>
      </c>
      <c r="Y397" s="43" t="s">
        <v>1096</v>
      </c>
      <c r="Z397" s="14"/>
      <c r="AA397" s="14" t="str">
        <f t="shared" si="3"/>
        <v/>
      </c>
      <c r="AB397" s="14">
        <f t="shared" si="4"/>
        <v>0</v>
      </c>
      <c r="AC397" s="14">
        <f t="shared" si="5"/>
        <v>8</v>
      </c>
      <c r="AD397" s="14">
        <f t="shared" si="62"/>
        <v>1</v>
      </c>
    </row>
    <row r="398" ht="15.75" customHeight="1">
      <c r="A398" s="14">
        <v>397.0</v>
      </c>
      <c r="B398" s="14" t="s">
        <v>1097</v>
      </c>
      <c r="C398" s="14" t="s">
        <v>182</v>
      </c>
      <c r="D398" s="14">
        <v>34.0</v>
      </c>
      <c r="G398" s="14"/>
      <c r="H398" s="14">
        <v>1.0</v>
      </c>
      <c r="I398" s="14">
        <v>201.0</v>
      </c>
      <c r="J398" s="14">
        <v>204.0</v>
      </c>
      <c r="K398" s="14">
        <f t="shared" si="1"/>
        <v>3</v>
      </c>
      <c r="L398" s="14">
        <v>5.0</v>
      </c>
      <c r="M398" s="14">
        <v>0.0</v>
      </c>
      <c r="N398" s="14">
        <v>0.0</v>
      </c>
      <c r="O398" s="14">
        <v>0.0</v>
      </c>
      <c r="P398" s="14">
        <v>3.0</v>
      </c>
      <c r="Q398" s="14">
        <v>0.0</v>
      </c>
      <c r="R398" s="14">
        <v>0.0</v>
      </c>
      <c r="S398" s="14"/>
      <c r="T398" s="31">
        <f t="shared" si="2"/>
        <v>8</v>
      </c>
      <c r="U398" s="14" t="s">
        <v>45</v>
      </c>
      <c r="V398" s="26"/>
      <c r="W398" s="14" t="s">
        <v>46</v>
      </c>
      <c r="X398" s="14"/>
      <c r="Y398" s="14"/>
      <c r="Z398" s="14"/>
      <c r="AA398" s="14" t="str">
        <f t="shared" si="3"/>
        <v/>
      </c>
      <c r="AB398" s="14">
        <f t="shared" si="4"/>
        <v>0</v>
      </c>
      <c r="AC398" s="14">
        <f t="shared" si="5"/>
        <v>8</v>
      </c>
      <c r="AD398" s="14">
        <f t="shared" si="62"/>
        <v>1</v>
      </c>
    </row>
    <row r="399" ht="15.75" customHeight="1">
      <c r="A399" s="14">
        <v>398.0</v>
      </c>
      <c r="B399" s="14" t="s">
        <v>1100</v>
      </c>
      <c r="C399" s="14" t="s">
        <v>186</v>
      </c>
      <c r="D399" s="14">
        <v>1.0</v>
      </c>
      <c r="G399" s="14"/>
      <c r="H399" s="14">
        <v>1.0</v>
      </c>
      <c r="I399" s="14">
        <v>1601.0</v>
      </c>
      <c r="J399" s="14">
        <v>1607.0</v>
      </c>
      <c r="K399" s="14">
        <f t="shared" si="1"/>
        <v>6</v>
      </c>
      <c r="L399" s="14">
        <v>6.0</v>
      </c>
      <c r="M399" s="14">
        <v>0.0</v>
      </c>
      <c r="N399" s="14">
        <v>0.0</v>
      </c>
      <c r="O399" s="14">
        <v>0.0</v>
      </c>
      <c r="P399" s="14">
        <v>3.0</v>
      </c>
      <c r="Q399" s="14">
        <v>0.0</v>
      </c>
      <c r="R399" s="14">
        <v>0.0</v>
      </c>
      <c r="S399" s="14"/>
      <c r="T399" s="31">
        <f t="shared" si="2"/>
        <v>9</v>
      </c>
      <c r="U399" s="42" t="s">
        <v>45</v>
      </c>
      <c r="V399" s="26"/>
      <c r="W399" s="14"/>
      <c r="Z399" s="14"/>
      <c r="AA399" s="14" t="str">
        <f t="shared" si="3"/>
        <v/>
      </c>
      <c r="AB399" s="14">
        <f t="shared" si="4"/>
        <v>9</v>
      </c>
      <c r="AC399" s="14">
        <f t="shared" si="5"/>
        <v>0</v>
      </c>
      <c r="AD399" s="14">
        <f t="shared" si="62"/>
        <v>0</v>
      </c>
    </row>
    <row r="400" ht="15.75" customHeight="1">
      <c r="A400" s="14">
        <v>399.0</v>
      </c>
      <c r="B400" s="14" t="s">
        <v>1102</v>
      </c>
      <c r="C400" s="14" t="s">
        <v>186</v>
      </c>
      <c r="D400" s="14">
        <v>2.0</v>
      </c>
      <c r="G400" s="14"/>
      <c r="H400" s="14">
        <v>1.0</v>
      </c>
      <c r="I400" s="14">
        <v>29.0</v>
      </c>
      <c r="J400" s="14">
        <v>29.0</v>
      </c>
      <c r="K400" s="14">
        <f t="shared" si="1"/>
        <v>0</v>
      </c>
      <c r="L400" s="14">
        <v>5.0</v>
      </c>
      <c r="M400" s="14">
        <v>8.0</v>
      </c>
      <c r="N400" s="14">
        <v>0.0</v>
      </c>
      <c r="O400" s="14">
        <v>0.0</v>
      </c>
      <c r="P400" s="14">
        <v>3.0</v>
      </c>
      <c r="Q400" s="36">
        <v>0.0</v>
      </c>
      <c r="R400" s="36"/>
      <c r="S400" s="14"/>
      <c r="T400" s="31">
        <f t="shared" si="2"/>
        <v>16</v>
      </c>
      <c r="U400" s="14" t="s">
        <v>45</v>
      </c>
      <c r="V400" s="26"/>
      <c r="W400" s="14" t="s">
        <v>46</v>
      </c>
      <c r="Y400" s="23" t="s">
        <v>320</v>
      </c>
      <c r="Z400" s="14"/>
      <c r="AA400" s="14" t="str">
        <f t="shared" si="3"/>
        <v/>
      </c>
      <c r="AB400" s="14">
        <f t="shared" si="4"/>
        <v>0</v>
      </c>
      <c r="AC400" s="14">
        <f t="shared" si="5"/>
        <v>16</v>
      </c>
      <c r="AD400" s="14">
        <f t="shared" si="62"/>
        <v>1</v>
      </c>
    </row>
    <row r="401" ht="15.75" customHeight="1">
      <c r="A401" s="14">
        <v>400.0</v>
      </c>
      <c r="B401" s="14" t="s">
        <v>1103</v>
      </c>
      <c r="C401" s="14" t="s">
        <v>186</v>
      </c>
      <c r="D401" s="14">
        <v>3.0</v>
      </c>
      <c r="E401" s="14" t="s">
        <v>128</v>
      </c>
      <c r="G401" s="14"/>
      <c r="H401" s="14">
        <v>1.0</v>
      </c>
      <c r="I401" s="14">
        <v>14.0</v>
      </c>
      <c r="J401" s="14">
        <v>14.0</v>
      </c>
      <c r="K401" s="14">
        <f t="shared" si="1"/>
        <v>0</v>
      </c>
      <c r="L401" s="14">
        <v>5.0</v>
      </c>
      <c r="M401" s="14">
        <v>0.0</v>
      </c>
      <c r="N401" s="14">
        <v>0.0</v>
      </c>
      <c r="O401" s="14"/>
      <c r="P401" s="14">
        <v>3.0</v>
      </c>
      <c r="Q401" s="14">
        <v>0.0</v>
      </c>
      <c r="R401" s="14">
        <v>0.0</v>
      </c>
      <c r="S401" s="14"/>
      <c r="T401" s="31">
        <f t="shared" si="2"/>
        <v>8</v>
      </c>
      <c r="U401" s="42" t="s">
        <v>45</v>
      </c>
      <c r="V401" s="26"/>
      <c r="W401" s="14"/>
      <c r="Y401" s="23"/>
      <c r="Z401" s="14"/>
      <c r="AA401" s="14" t="str">
        <f t="shared" si="3"/>
        <v/>
      </c>
      <c r="AB401" s="14">
        <f t="shared" si="4"/>
        <v>8</v>
      </c>
      <c r="AC401" s="14">
        <f t="shared" si="5"/>
        <v>0</v>
      </c>
      <c r="AD401" s="14">
        <f t="shared" si="62"/>
        <v>0</v>
      </c>
    </row>
    <row r="402" ht="15.75" customHeight="1">
      <c r="A402" s="14">
        <v>401.0</v>
      </c>
      <c r="B402" s="14" t="s">
        <v>1105</v>
      </c>
      <c r="C402" s="14" t="s">
        <v>186</v>
      </c>
      <c r="D402" s="14">
        <v>5.0</v>
      </c>
      <c r="G402" s="14"/>
      <c r="H402" s="14">
        <v>1.0</v>
      </c>
      <c r="I402" s="14">
        <v>264.0</v>
      </c>
      <c r="J402" s="14">
        <v>264.0</v>
      </c>
      <c r="K402" s="14">
        <f t="shared" si="1"/>
        <v>0</v>
      </c>
      <c r="L402" s="14">
        <v>5.0</v>
      </c>
      <c r="M402" s="14">
        <v>0.0</v>
      </c>
      <c r="N402" s="14">
        <v>0.0</v>
      </c>
      <c r="O402" s="14">
        <v>0.0</v>
      </c>
      <c r="P402" s="14">
        <v>3.0</v>
      </c>
      <c r="Q402" s="36">
        <v>0.0</v>
      </c>
      <c r="R402" s="36">
        <v>30.0</v>
      </c>
      <c r="S402" s="14"/>
      <c r="T402" s="31">
        <f t="shared" si="2"/>
        <v>38</v>
      </c>
      <c r="U402" s="14" t="s">
        <v>45</v>
      </c>
      <c r="V402" s="26"/>
      <c r="W402" s="14" t="s">
        <v>46</v>
      </c>
      <c r="Z402" s="14"/>
      <c r="AA402" s="14" t="str">
        <f t="shared" si="3"/>
        <v/>
      </c>
      <c r="AB402" s="14">
        <f t="shared" si="4"/>
        <v>0</v>
      </c>
      <c r="AC402" s="14">
        <f t="shared" si="5"/>
        <v>38</v>
      </c>
      <c r="AD402" s="14">
        <f t="shared" si="62"/>
        <v>1</v>
      </c>
    </row>
    <row r="403" ht="15.75" customHeight="1">
      <c r="A403" s="14">
        <v>402.0</v>
      </c>
      <c r="B403" s="14" t="s">
        <v>1108</v>
      </c>
      <c r="C403" s="14" t="s">
        <v>186</v>
      </c>
      <c r="D403" s="14">
        <v>6.0</v>
      </c>
      <c r="G403" s="14"/>
      <c r="H403" s="14">
        <v>1.0</v>
      </c>
      <c r="I403" s="14">
        <v>1259.0</v>
      </c>
      <c r="J403" s="14">
        <v>1272.0</v>
      </c>
      <c r="K403" s="14">
        <f t="shared" si="1"/>
        <v>13</v>
      </c>
      <c r="L403" s="14">
        <v>13.0</v>
      </c>
      <c r="M403" s="14">
        <v>0.0</v>
      </c>
      <c r="N403" s="14">
        <v>0.0</v>
      </c>
      <c r="O403" s="14">
        <v>0.0</v>
      </c>
      <c r="P403" s="14">
        <v>3.0</v>
      </c>
      <c r="Q403" s="36">
        <v>0.0</v>
      </c>
      <c r="R403" s="40">
        <v>14.0</v>
      </c>
      <c r="S403" s="14"/>
      <c r="T403" s="31">
        <f t="shared" si="2"/>
        <v>30</v>
      </c>
      <c r="U403" s="42" t="s">
        <v>45</v>
      </c>
      <c r="V403" s="14"/>
      <c r="W403" s="14"/>
      <c r="X403" s="14"/>
      <c r="Y403" s="23" t="s">
        <v>1109</v>
      </c>
      <c r="Z403" s="14"/>
      <c r="AA403" s="14" t="str">
        <f t="shared" si="3"/>
        <v/>
      </c>
      <c r="AB403" s="14">
        <f t="shared" si="4"/>
        <v>30</v>
      </c>
      <c r="AC403" s="14">
        <f t="shared" si="5"/>
        <v>0</v>
      </c>
      <c r="AD403" s="14">
        <f t="shared" si="62"/>
        <v>0</v>
      </c>
    </row>
    <row r="404" ht="15.75" customHeight="1">
      <c r="A404" s="14">
        <v>403.0</v>
      </c>
      <c r="B404" s="14" t="s">
        <v>1110</v>
      </c>
      <c r="C404" s="14" t="s">
        <v>186</v>
      </c>
      <c r="D404" s="14">
        <v>8.0</v>
      </c>
      <c r="G404" s="14"/>
      <c r="H404" s="14">
        <v>1.0</v>
      </c>
      <c r="I404" s="14">
        <v>1110.0</v>
      </c>
      <c r="J404" s="14">
        <v>1123.0</v>
      </c>
      <c r="K404" s="14">
        <f t="shared" si="1"/>
        <v>13</v>
      </c>
      <c r="L404" s="14">
        <v>13.0</v>
      </c>
      <c r="M404" s="14">
        <v>13.0</v>
      </c>
      <c r="N404" s="14">
        <v>0.0</v>
      </c>
      <c r="O404" s="14">
        <v>0.0</v>
      </c>
      <c r="P404" s="14">
        <v>3.0</v>
      </c>
      <c r="Q404" s="36">
        <v>0.0</v>
      </c>
      <c r="R404" s="36">
        <v>30.0</v>
      </c>
      <c r="S404" s="14"/>
      <c r="T404" s="31">
        <f t="shared" si="2"/>
        <v>59</v>
      </c>
      <c r="U404" s="23" t="s">
        <v>45</v>
      </c>
      <c r="V404" s="26"/>
      <c r="W404" s="23" t="s">
        <v>46</v>
      </c>
      <c r="Z404" s="14"/>
      <c r="AA404" s="14" t="str">
        <f t="shared" si="3"/>
        <v/>
      </c>
      <c r="AB404" s="14">
        <f t="shared" si="4"/>
        <v>0</v>
      </c>
      <c r="AC404" s="14">
        <f t="shared" si="5"/>
        <v>59</v>
      </c>
      <c r="AD404" s="14">
        <f t="shared" si="62"/>
        <v>1</v>
      </c>
    </row>
    <row r="405" ht="15.75" hidden="1" customHeight="1">
      <c r="A405" s="14">
        <v>404.0</v>
      </c>
      <c r="B405" s="14" t="s">
        <v>1113</v>
      </c>
      <c r="C405" s="14" t="s">
        <v>186</v>
      </c>
      <c r="D405" s="14">
        <v>9.0</v>
      </c>
      <c r="G405" s="14"/>
      <c r="H405" s="14">
        <v>1.0</v>
      </c>
      <c r="I405" s="14">
        <v>941.0</v>
      </c>
      <c r="J405" s="14">
        <v>951.0</v>
      </c>
      <c r="K405" s="14">
        <f t="shared" si="1"/>
        <v>10</v>
      </c>
      <c r="L405" s="14">
        <v>10.0</v>
      </c>
      <c r="M405" s="14">
        <v>0.0</v>
      </c>
      <c r="N405" s="14">
        <v>0.0</v>
      </c>
      <c r="O405" s="14">
        <v>0.0</v>
      </c>
      <c r="P405" s="14">
        <v>3.0</v>
      </c>
      <c r="Q405" s="14">
        <v>0.0</v>
      </c>
      <c r="R405" s="14">
        <v>0.0</v>
      </c>
      <c r="S405" s="14"/>
      <c r="T405" s="31">
        <f t="shared" si="2"/>
        <v>13</v>
      </c>
      <c r="U405" s="14"/>
      <c r="W405" s="14"/>
      <c r="Z405" s="14"/>
      <c r="AA405" s="14" t="str">
        <f t="shared" si="3"/>
        <v/>
      </c>
      <c r="AB405" s="14">
        <f t="shared" si="4"/>
        <v>0</v>
      </c>
      <c r="AC405" s="14">
        <f t="shared" si="5"/>
        <v>0</v>
      </c>
      <c r="AD405" s="14"/>
    </row>
    <row r="406" ht="15.75" customHeight="1">
      <c r="A406" s="14">
        <v>405.0</v>
      </c>
      <c r="B406" s="14" t="s">
        <v>1114</v>
      </c>
      <c r="C406" s="14" t="s">
        <v>190</v>
      </c>
      <c r="D406" s="14">
        <v>2.0</v>
      </c>
      <c r="G406" s="14"/>
      <c r="H406" s="14">
        <v>1.0</v>
      </c>
      <c r="I406" s="14">
        <v>1501.0</v>
      </c>
      <c r="J406" s="14">
        <v>1511.0</v>
      </c>
      <c r="K406" s="14">
        <f t="shared" si="1"/>
        <v>10</v>
      </c>
      <c r="L406" s="14">
        <v>10.0</v>
      </c>
      <c r="M406" s="14">
        <v>0.0</v>
      </c>
      <c r="N406" s="14">
        <v>0.0</v>
      </c>
      <c r="O406" s="14">
        <v>0.0</v>
      </c>
      <c r="P406" s="14">
        <v>3.0</v>
      </c>
      <c r="Q406" s="14">
        <v>0.0</v>
      </c>
      <c r="R406" s="14">
        <v>0.0</v>
      </c>
      <c r="S406" s="14"/>
      <c r="T406" s="31">
        <f t="shared" si="2"/>
        <v>13</v>
      </c>
      <c r="U406" s="14" t="s">
        <v>45</v>
      </c>
      <c r="V406" s="26"/>
      <c r="W406" s="14" t="s">
        <v>46</v>
      </c>
      <c r="Z406" s="14"/>
      <c r="AA406" s="14" t="str">
        <f t="shared" si="3"/>
        <v/>
      </c>
      <c r="AB406" s="14">
        <f t="shared" si="4"/>
        <v>0</v>
      </c>
      <c r="AC406" s="14">
        <f t="shared" si="5"/>
        <v>13</v>
      </c>
      <c r="AD406" s="14">
        <f t="shared" ref="AD406:AD408" si="63">IF(ISBLANK(W406),0,1)</f>
        <v>1</v>
      </c>
    </row>
    <row r="407" ht="15.75" customHeight="1">
      <c r="A407" s="14">
        <v>406.0</v>
      </c>
      <c r="B407" s="14" t="s">
        <v>1116</v>
      </c>
      <c r="C407" s="14" t="s">
        <v>190</v>
      </c>
      <c r="D407" s="14">
        <v>3.0</v>
      </c>
      <c r="G407" s="14"/>
      <c r="H407" s="14">
        <v>1.0</v>
      </c>
      <c r="I407" s="14">
        <v>433.0</v>
      </c>
      <c r="J407" s="14">
        <v>443.0</v>
      </c>
      <c r="K407" s="14">
        <f t="shared" si="1"/>
        <v>10</v>
      </c>
      <c r="L407" s="14">
        <v>10.0</v>
      </c>
      <c r="M407" s="14">
        <v>0.0</v>
      </c>
      <c r="N407" s="14">
        <v>0.0</v>
      </c>
      <c r="O407" s="14">
        <v>0.0</v>
      </c>
      <c r="P407" s="14">
        <v>3.0</v>
      </c>
      <c r="Q407" s="36">
        <v>0.0</v>
      </c>
      <c r="R407" s="36">
        <v>30.0</v>
      </c>
      <c r="S407" s="14"/>
      <c r="T407" s="31">
        <f t="shared" si="2"/>
        <v>43</v>
      </c>
      <c r="U407" s="14" t="s">
        <v>45</v>
      </c>
      <c r="V407" s="26"/>
      <c r="W407" s="14" t="s">
        <v>46</v>
      </c>
      <c r="Z407" s="14"/>
      <c r="AA407" s="14" t="str">
        <f t="shared" si="3"/>
        <v/>
      </c>
      <c r="AB407" s="14">
        <f t="shared" si="4"/>
        <v>0</v>
      </c>
      <c r="AC407" s="14">
        <f t="shared" si="5"/>
        <v>43</v>
      </c>
      <c r="AD407" s="14">
        <f t="shared" si="63"/>
        <v>1</v>
      </c>
    </row>
    <row r="408" ht="15.75" customHeight="1">
      <c r="A408" s="14">
        <v>407.0</v>
      </c>
      <c r="B408" s="14" t="s">
        <v>1119</v>
      </c>
      <c r="C408" s="14" t="s">
        <v>190</v>
      </c>
      <c r="D408" s="14">
        <v>4.0</v>
      </c>
      <c r="G408" s="14"/>
      <c r="H408" s="14">
        <v>1.0</v>
      </c>
      <c r="I408" s="14">
        <v>1952.0</v>
      </c>
      <c r="J408" s="14">
        <v>1958.0</v>
      </c>
      <c r="K408" s="14">
        <f t="shared" si="1"/>
        <v>6</v>
      </c>
      <c r="L408" s="14">
        <v>6.0</v>
      </c>
      <c r="M408" s="14">
        <v>0.0</v>
      </c>
      <c r="N408" s="14">
        <v>0.0</v>
      </c>
      <c r="O408" s="14">
        <v>0.0</v>
      </c>
      <c r="P408" s="14">
        <v>3.0</v>
      </c>
      <c r="Q408" s="14">
        <v>0.0</v>
      </c>
      <c r="R408" s="14">
        <v>0.0</v>
      </c>
      <c r="S408" s="14"/>
      <c r="T408" s="31">
        <f t="shared" si="2"/>
        <v>9</v>
      </c>
      <c r="U408" s="23" t="s">
        <v>45</v>
      </c>
      <c r="V408" s="70"/>
      <c r="W408" s="23" t="s">
        <v>46</v>
      </c>
      <c r="Z408" s="14"/>
      <c r="AA408" s="14" t="str">
        <f t="shared" si="3"/>
        <v/>
      </c>
      <c r="AB408" s="14">
        <f t="shared" si="4"/>
        <v>0</v>
      </c>
      <c r="AC408" s="14">
        <f t="shared" si="5"/>
        <v>9</v>
      </c>
      <c r="AD408" s="14">
        <f t="shared" si="63"/>
        <v>1</v>
      </c>
    </row>
    <row r="409" ht="15.75" customHeight="1">
      <c r="A409" s="14">
        <v>408.0</v>
      </c>
      <c r="B409" s="14" t="s">
        <v>1121</v>
      </c>
      <c r="C409" s="36" t="s">
        <v>190</v>
      </c>
      <c r="D409" s="14">
        <v>5.0</v>
      </c>
      <c r="G409" s="14"/>
      <c r="H409" s="14">
        <v>1.0</v>
      </c>
      <c r="I409" s="14">
        <v>7.0</v>
      </c>
      <c r="J409" s="14">
        <v>8.0</v>
      </c>
      <c r="K409" s="14">
        <f t="shared" si="1"/>
        <v>1</v>
      </c>
      <c r="L409" s="14">
        <v>5.0</v>
      </c>
      <c r="M409" s="14">
        <v>-1.0</v>
      </c>
      <c r="N409" s="14">
        <v>0.0</v>
      </c>
      <c r="O409" s="14">
        <v>0.0</v>
      </c>
      <c r="P409" s="14">
        <v>3.0</v>
      </c>
      <c r="Q409" s="36">
        <v>0.0</v>
      </c>
      <c r="R409" s="40">
        <v>13.0</v>
      </c>
      <c r="S409" s="14"/>
      <c r="T409" s="31">
        <f t="shared" si="2"/>
        <v>20</v>
      </c>
      <c r="U409" s="14" t="s">
        <v>45</v>
      </c>
      <c r="V409" s="26"/>
      <c r="W409" s="14" t="s">
        <v>46</v>
      </c>
      <c r="Y409" s="23" t="s">
        <v>1122</v>
      </c>
      <c r="Z409" s="14"/>
      <c r="AA409" s="14" t="str">
        <f t="shared" si="3"/>
        <v/>
      </c>
      <c r="AB409" s="14">
        <f t="shared" si="4"/>
        <v>0</v>
      </c>
      <c r="AC409" s="14">
        <f t="shared" si="5"/>
        <v>20</v>
      </c>
      <c r="AD409" s="14"/>
    </row>
    <row r="410" ht="15.75" customHeight="1">
      <c r="A410" s="39">
        <v>409.0</v>
      </c>
      <c r="B410" s="39" t="s">
        <v>1123</v>
      </c>
      <c r="C410" s="39" t="s">
        <v>190</v>
      </c>
      <c r="D410" s="39">
        <v>7.0</v>
      </c>
      <c r="E410" s="39"/>
      <c r="F410" s="39"/>
      <c r="G410" s="39"/>
      <c r="H410" s="39">
        <v>1.0</v>
      </c>
      <c r="I410" s="39">
        <v>974.0</v>
      </c>
      <c r="J410" s="39">
        <v>979.0</v>
      </c>
      <c r="K410" s="39">
        <f t="shared" si="1"/>
        <v>5</v>
      </c>
      <c r="L410" s="39">
        <v>5.0</v>
      </c>
      <c r="M410" s="39"/>
      <c r="N410" s="39">
        <v>0.0</v>
      </c>
      <c r="O410" s="39">
        <v>0.0</v>
      </c>
      <c r="P410" s="39">
        <v>3.0</v>
      </c>
      <c r="Q410" s="39">
        <v>0.0</v>
      </c>
      <c r="R410" s="41">
        <v>30.0</v>
      </c>
      <c r="S410" s="39"/>
      <c r="T410" s="39">
        <f t="shared" si="2"/>
        <v>38</v>
      </c>
      <c r="U410" s="36" t="s">
        <v>45</v>
      </c>
      <c r="V410" s="36"/>
      <c r="W410" s="36" t="s">
        <v>46</v>
      </c>
      <c r="X410" s="36"/>
      <c r="Y410" s="40" t="s">
        <v>1126</v>
      </c>
      <c r="Z410" s="36"/>
      <c r="AA410" s="14" t="str">
        <f t="shared" si="3"/>
        <v/>
      </c>
      <c r="AB410" s="14">
        <f t="shared" si="4"/>
        <v>0</v>
      </c>
      <c r="AC410" s="14">
        <f t="shared" si="5"/>
        <v>38</v>
      </c>
      <c r="AD410" s="36"/>
    </row>
    <row r="411" ht="15.75" customHeight="1">
      <c r="A411" s="14">
        <v>410.0</v>
      </c>
      <c r="B411" s="14" t="s">
        <v>1127</v>
      </c>
      <c r="C411" s="14" t="s">
        <v>190</v>
      </c>
      <c r="D411" s="14">
        <v>8.0</v>
      </c>
      <c r="G411" s="14"/>
      <c r="H411" s="14">
        <v>1.0</v>
      </c>
      <c r="I411" s="14">
        <v>372.0</v>
      </c>
      <c r="J411" s="14">
        <v>381.0</v>
      </c>
      <c r="K411" s="14">
        <f t="shared" si="1"/>
        <v>9</v>
      </c>
      <c r="L411" s="14">
        <v>9.0</v>
      </c>
      <c r="M411" s="14">
        <v>0.0</v>
      </c>
      <c r="N411" s="14">
        <v>0.0</v>
      </c>
      <c r="O411" s="14">
        <v>0.0</v>
      </c>
      <c r="P411" s="14">
        <v>3.0</v>
      </c>
      <c r="Q411" s="36">
        <v>0.0</v>
      </c>
      <c r="R411" s="36">
        <v>0.0</v>
      </c>
      <c r="S411" s="14"/>
      <c r="T411" s="31">
        <f t="shared" si="2"/>
        <v>12</v>
      </c>
      <c r="U411" s="14" t="s">
        <v>45</v>
      </c>
      <c r="W411" s="14" t="s">
        <v>46</v>
      </c>
      <c r="Z411" s="14" t="s">
        <v>959</v>
      </c>
      <c r="AA411" s="14" t="str">
        <f t="shared" si="3"/>
        <v/>
      </c>
      <c r="AB411" s="14">
        <f t="shared" si="4"/>
        <v>0</v>
      </c>
      <c r="AC411" s="14">
        <f t="shared" si="5"/>
        <v>12</v>
      </c>
      <c r="AD411" s="14"/>
    </row>
    <row r="412" ht="15.75" customHeight="1">
      <c r="A412" s="14">
        <v>411.0</v>
      </c>
      <c r="B412" s="14" t="s">
        <v>1128</v>
      </c>
      <c r="C412" s="14" t="s">
        <v>190</v>
      </c>
      <c r="D412" s="14">
        <v>9.0</v>
      </c>
      <c r="G412" s="14"/>
      <c r="H412" s="14">
        <v>1.0</v>
      </c>
      <c r="I412" s="14">
        <v>469.0</v>
      </c>
      <c r="J412" s="14">
        <v>474.0</v>
      </c>
      <c r="K412" s="14">
        <f t="shared" si="1"/>
        <v>5</v>
      </c>
      <c r="L412" s="14">
        <v>5.0</v>
      </c>
      <c r="M412" s="14">
        <v>8.0</v>
      </c>
      <c r="N412" s="14">
        <v>0.0</v>
      </c>
      <c r="O412" s="14">
        <v>0.0</v>
      </c>
      <c r="P412" s="14">
        <v>3.0</v>
      </c>
      <c r="Q412" s="14">
        <v>0.0</v>
      </c>
      <c r="R412" s="14">
        <v>0.0</v>
      </c>
      <c r="S412" s="14"/>
      <c r="T412" s="31">
        <f t="shared" si="2"/>
        <v>16</v>
      </c>
      <c r="U412" s="14" t="s">
        <v>45</v>
      </c>
      <c r="V412" s="14"/>
      <c r="W412" s="14" t="s">
        <v>46</v>
      </c>
      <c r="X412" s="14"/>
      <c r="Y412" s="14"/>
      <c r="Z412" s="14"/>
      <c r="AA412" s="14" t="str">
        <f t="shared" si="3"/>
        <v/>
      </c>
      <c r="AB412" s="14">
        <f t="shared" si="4"/>
        <v>0</v>
      </c>
      <c r="AC412" s="14">
        <f t="shared" si="5"/>
        <v>16</v>
      </c>
      <c r="AD412" s="14">
        <f>IF(ISBLANK(W412),0,1)</f>
        <v>1</v>
      </c>
    </row>
    <row r="413" ht="15.75" customHeight="1">
      <c r="A413" s="14">
        <v>412.0</v>
      </c>
      <c r="B413" s="14" t="s">
        <v>1131</v>
      </c>
      <c r="C413" s="14" t="s">
        <v>190</v>
      </c>
      <c r="D413" s="14">
        <v>11.0</v>
      </c>
      <c r="G413" s="14"/>
      <c r="H413" s="14">
        <v>1.0</v>
      </c>
      <c r="I413" s="14">
        <v>1333.0</v>
      </c>
      <c r="J413" s="14">
        <v>1342.0</v>
      </c>
      <c r="K413" s="14">
        <f t="shared" si="1"/>
        <v>9</v>
      </c>
      <c r="L413" s="14">
        <v>9.0</v>
      </c>
      <c r="M413" s="14">
        <v>11.0</v>
      </c>
      <c r="N413" s="14">
        <v>0.0</v>
      </c>
      <c r="O413" s="14">
        <v>0.0</v>
      </c>
      <c r="P413" s="14">
        <v>3.0</v>
      </c>
      <c r="Q413" s="14">
        <v>0.0</v>
      </c>
      <c r="R413" s="14">
        <v>0.0</v>
      </c>
      <c r="S413" s="14"/>
      <c r="T413" s="31">
        <f t="shared" si="2"/>
        <v>23</v>
      </c>
      <c r="U413" s="14" t="s">
        <v>45</v>
      </c>
      <c r="V413" s="26"/>
      <c r="W413" s="14" t="s">
        <v>46</v>
      </c>
      <c r="Z413" s="14"/>
      <c r="AA413" s="14" t="str">
        <f t="shared" si="3"/>
        <v/>
      </c>
      <c r="AB413" s="14">
        <f t="shared" si="4"/>
        <v>0</v>
      </c>
      <c r="AC413" s="14">
        <f t="shared" si="5"/>
        <v>23</v>
      </c>
      <c r="AD413" s="14"/>
    </row>
    <row r="414" ht="15.75" customHeight="1">
      <c r="A414" s="14">
        <v>413.0</v>
      </c>
      <c r="B414" s="14" t="s">
        <v>1132</v>
      </c>
      <c r="C414" s="14" t="s">
        <v>190</v>
      </c>
      <c r="D414" s="14">
        <v>12.0</v>
      </c>
      <c r="G414" s="14"/>
      <c r="H414" s="14">
        <v>1.0</v>
      </c>
      <c r="I414" s="14">
        <v>71.0</v>
      </c>
      <c r="J414" s="14">
        <v>71.0</v>
      </c>
      <c r="K414" s="14">
        <f t="shared" si="1"/>
        <v>0</v>
      </c>
      <c r="L414" s="14">
        <v>5.0</v>
      </c>
      <c r="M414" s="14">
        <v>0.0</v>
      </c>
      <c r="N414" s="14">
        <v>0.0</v>
      </c>
      <c r="O414" s="14">
        <v>0.0</v>
      </c>
      <c r="P414" s="14">
        <v>3.0</v>
      </c>
      <c r="Q414" s="14">
        <v>0.0</v>
      </c>
      <c r="R414" s="14"/>
      <c r="S414" s="14"/>
      <c r="T414" s="31">
        <f t="shared" si="2"/>
        <v>8</v>
      </c>
      <c r="U414" s="14" t="s">
        <v>45</v>
      </c>
      <c r="V414" s="26"/>
      <c r="W414" s="14" t="s">
        <v>46</v>
      </c>
      <c r="Y414" s="23" t="s">
        <v>320</v>
      </c>
      <c r="Z414" s="14"/>
      <c r="AA414" s="14" t="str">
        <f t="shared" si="3"/>
        <v/>
      </c>
      <c r="AB414" s="14">
        <f t="shared" si="4"/>
        <v>0</v>
      </c>
      <c r="AC414" s="14">
        <f t="shared" si="5"/>
        <v>8</v>
      </c>
      <c r="AD414" s="14">
        <f t="shared" ref="AD414:AD419" si="64">IF(ISBLANK(W414),0,1)</f>
        <v>1</v>
      </c>
    </row>
    <row r="415" ht="15.75" hidden="1" customHeight="1">
      <c r="A415" s="14">
        <v>414.0</v>
      </c>
      <c r="B415" s="14" t="s">
        <v>1134</v>
      </c>
      <c r="C415" s="14" t="s">
        <v>190</v>
      </c>
      <c r="D415" s="14">
        <v>13.0</v>
      </c>
      <c r="G415" s="14"/>
      <c r="H415" s="14">
        <v>1.0</v>
      </c>
      <c r="I415" s="14">
        <v>571.0</v>
      </c>
      <c r="J415" s="14">
        <v>573.0</v>
      </c>
      <c r="K415" s="14">
        <f t="shared" si="1"/>
        <v>2</v>
      </c>
      <c r="L415" s="14">
        <v>5.0</v>
      </c>
      <c r="M415" s="14">
        <v>0.0</v>
      </c>
      <c r="N415" s="14">
        <v>0.0</v>
      </c>
      <c r="O415" s="14">
        <v>0.0</v>
      </c>
      <c r="P415" s="14">
        <v>3.0</v>
      </c>
      <c r="Q415" s="36">
        <v>0.0</v>
      </c>
      <c r="R415" s="36">
        <v>30.0</v>
      </c>
      <c r="S415" s="14"/>
      <c r="T415" s="31">
        <f t="shared" si="2"/>
        <v>38</v>
      </c>
      <c r="U415" s="14"/>
      <c r="V415" s="26"/>
      <c r="W415" s="14"/>
      <c r="X415" s="14"/>
      <c r="Y415" s="14"/>
      <c r="Z415" s="14"/>
      <c r="AA415" s="14" t="str">
        <f t="shared" si="3"/>
        <v/>
      </c>
      <c r="AB415" s="14">
        <f t="shared" si="4"/>
        <v>0</v>
      </c>
      <c r="AC415" s="14">
        <f t="shared" si="5"/>
        <v>0</v>
      </c>
      <c r="AD415" s="14">
        <f t="shared" si="64"/>
        <v>0</v>
      </c>
    </row>
    <row r="416" ht="15.75" customHeight="1">
      <c r="A416" s="14">
        <v>415.0</v>
      </c>
      <c r="B416" s="14" t="s">
        <v>1137</v>
      </c>
      <c r="C416" s="14" t="s">
        <v>190</v>
      </c>
      <c r="D416" s="14">
        <v>14.0</v>
      </c>
      <c r="G416" s="14"/>
      <c r="H416" s="14">
        <v>1.0</v>
      </c>
      <c r="I416" s="14">
        <v>1139.0</v>
      </c>
      <c r="J416" s="14">
        <v>1149.0</v>
      </c>
      <c r="K416" s="14">
        <f t="shared" si="1"/>
        <v>10</v>
      </c>
      <c r="L416" s="14">
        <v>10.0</v>
      </c>
      <c r="M416" s="14">
        <v>0.0</v>
      </c>
      <c r="N416" s="14">
        <v>0.0</v>
      </c>
      <c r="O416" s="14">
        <v>0.0</v>
      </c>
      <c r="P416" s="14">
        <v>3.0</v>
      </c>
      <c r="Q416" s="36">
        <v>0.0</v>
      </c>
      <c r="R416" s="40">
        <v>20.0</v>
      </c>
      <c r="S416" s="23"/>
      <c r="T416" s="31">
        <f t="shared" si="2"/>
        <v>33</v>
      </c>
      <c r="U416" s="23" t="s">
        <v>45</v>
      </c>
      <c r="V416" s="70"/>
      <c r="W416" s="23" t="s">
        <v>46</v>
      </c>
      <c r="Y416" s="43" t="s">
        <v>1139</v>
      </c>
      <c r="Z416" s="14"/>
      <c r="AA416" s="14" t="str">
        <f t="shared" si="3"/>
        <v/>
      </c>
      <c r="AB416" s="14">
        <f t="shared" si="4"/>
        <v>0</v>
      </c>
      <c r="AC416" s="14">
        <f t="shared" si="5"/>
        <v>33</v>
      </c>
      <c r="AD416" s="14">
        <f t="shared" si="64"/>
        <v>1</v>
      </c>
    </row>
    <row r="417" ht="15.75" customHeight="1">
      <c r="A417" s="14">
        <v>416.0</v>
      </c>
      <c r="B417" s="14" t="s">
        <v>1140</v>
      </c>
      <c r="C417" s="14" t="s">
        <v>190</v>
      </c>
      <c r="D417" s="14">
        <v>15.0</v>
      </c>
      <c r="G417" s="14"/>
      <c r="H417" s="14">
        <v>1.0</v>
      </c>
      <c r="I417" s="14">
        <v>1479.0</v>
      </c>
      <c r="J417" s="14">
        <v>1486.0</v>
      </c>
      <c r="K417" s="14">
        <f t="shared" si="1"/>
        <v>7</v>
      </c>
      <c r="L417" s="14">
        <v>7.0</v>
      </c>
      <c r="M417" s="14">
        <v>0.0</v>
      </c>
      <c r="N417" s="14">
        <v>0.0</v>
      </c>
      <c r="O417" s="14">
        <v>0.0</v>
      </c>
      <c r="P417" s="14">
        <v>3.0</v>
      </c>
      <c r="Q417" s="36">
        <v>0.0</v>
      </c>
      <c r="R417" s="36"/>
      <c r="S417" s="14"/>
      <c r="T417" s="31">
        <f t="shared" si="2"/>
        <v>10</v>
      </c>
      <c r="U417" s="75" t="s">
        <v>45</v>
      </c>
      <c r="V417" s="76"/>
      <c r="W417" s="14" t="s">
        <v>46</v>
      </c>
      <c r="Y417" s="23" t="s">
        <v>320</v>
      </c>
      <c r="Z417" s="14"/>
      <c r="AA417" s="14" t="str">
        <f t="shared" si="3"/>
        <v/>
      </c>
      <c r="AB417" s="14">
        <f t="shared" si="4"/>
        <v>0</v>
      </c>
      <c r="AC417" s="14">
        <f t="shared" si="5"/>
        <v>10</v>
      </c>
      <c r="AD417" s="14">
        <f t="shared" si="64"/>
        <v>1</v>
      </c>
    </row>
    <row r="418" ht="15.75" customHeight="1">
      <c r="A418" s="14">
        <v>417.0</v>
      </c>
      <c r="B418" s="14" t="s">
        <v>1142</v>
      </c>
      <c r="C418" s="14" t="s">
        <v>190</v>
      </c>
      <c r="D418" s="14">
        <v>16.0</v>
      </c>
      <c r="G418" s="14"/>
      <c r="H418" s="14">
        <v>1.0</v>
      </c>
      <c r="I418" s="14">
        <v>1945.0</v>
      </c>
      <c r="J418" s="14">
        <v>1945.0</v>
      </c>
      <c r="K418" s="14">
        <f t="shared" si="1"/>
        <v>0</v>
      </c>
      <c r="L418" s="14">
        <v>5.0</v>
      </c>
      <c r="M418" s="14">
        <v>8.0</v>
      </c>
      <c r="N418" s="14">
        <v>0.0</v>
      </c>
      <c r="O418" s="14">
        <v>0.0</v>
      </c>
      <c r="P418" s="14"/>
      <c r="Q418" s="36">
        <v>0.0</v>
      </c>
      <c r="R418" s="36"/>
      <c r="S418" s="23"/>
      <c r="T418" s="31">
        <f t="shared" si="2"/>
        <v>13</v>
      </c>
      <c r="U418" s="23" t="s">
        <v>45</v>
      </c>
      <c r="V418" s="26"/>
      <c r="W418" s="23" t="s">
        <v>46</v>
      </c>
      <c r="Y418" s="43" t="s">
        <v>1143</v>
      </c>
      <c r="Z418" s="14"/>
      <c r="AA418" s="14" t="str">
        <f t="shared" si="3"/>
        <v/>
      </c>
      <c r="AB418" s="14">
        <f t="shared" si="4"/>
        <v>0</v>
      </c>
      <c r="AC418" s="14">
        <f t="shared" si="5"/>
        <v>13</v>
      </c>
      <c r="AD418" s="14">
        <f t="shared" si="64"/>
        <v>1</v>
      </c>
    </row>
    <row r="419" ht="15.75" customHeight="1">
      <c r="A419" s="14">
        <v>418.0</v>
      </c>
      <c r="B419" s="14" t="s">
        <v>1144</v>
      </c>
      <c r="C419" s="14" t="s">
        <v>190</v>
      </c>
      <c r="D419" s="14">
        <v>17.0</v>
      </c>
      <c r="G419" s="14"/>
      <c r="H419" s="14">
        <v>1.0</v>
      </c>
      <c r="I419" s="14">
        <v>1870.0</v>
      </c>
      <c r="J419" s="14">
        <v>1895.0</v>
      </c>
      <c r="K419" s="14">
        <f t="shared" si="1"/>
        <v>25</v>
      </c>
      <c r="L419" s="14">
        <v>25.0</v>
      </c>
      <c r="M419" s="14">
        <v>0.0</v>
      </c>
      <c r="N419" s="14">
        <v>0.0</v>
      </c>
      <c r="O419" s="14">
        <v>0.0</v>
      </c>
      <c r="P419" s="14">
        <v>3.0</v>
      </c>
      <c r="Q419" s="36">
        <v>0.0</v>
      </c>
      <c r="R419" s="36">
        <v>0.0</v>
      </c>
      <c r="S419" s="14"/>
      <c r="T419" s="31">
        <f t="shared" si="2"/>
        <v>28</v>
      </c>
      <c r="U419" s="23" t="s">
        <v>45</v>
      </c>
      <c r="V419" s="70"/>
      <c r="W419" s="23" t="s">
        <v>46</v>
      </c>
      <c r="Z419" s="14"/>
      <c r="AA419" s="14" t="str">
        <f t="shared" si="3"/>
        <v/>
      </c>
      <c r="AB419" s="14">
        <f t="shared" si="4"/>
        <v>0</v>
      </c>
      <c r="AC419" s="14">
        <f t="shared" si="5"/>
        <v>28</v>
      </c>
      <c r="AD419" s="14">
        <f t="shared" si="64"/>
        <v>1</v>
      </c>
    </row>
    <row r="420" ht="15.75" customHeight="1">
      <c r="A420" s="14">
        <v>419.0</v>
      </c>
      <c r="B420" s="14" t="s">
        <v>1146</v>
      </c>
      <c r="C420" s="14" t="s">
        <v>190</v>
      </c>
      <c r="D420" s="14">
        <v>18.0</v>
      </c>
      <c r="G420" s="14"/>
      <c r="H420" s="14">
        <v>1.0</v>
      </c>
      <c r="I420" s="14">
        <v>173.0</v>
      </c>
      <c r="J420" s="14">
        <v>186.0</v>
      </c>
      <c r="K420" s="14">
        <f t="shared" si="1"/>
        <v>13</v>
      </c>
      <c r="L420" s="14">
        <v>13.0</v>
      </c>
      <c r="M420" s="14">
        <v>0.0</v>
      </c>
      <c r="N420" s="14">
        <v>0.0</v>
      </c>
      <c r="O420" s="14">
        <v>0.0</v>
      </c>
      <c r="P420" s="14">
        <v>3.0</v>
      </c>
      <c r="Q420" s="14">
        <v>0.0</v>
      </c>
      <c r="R420" s="14">
        <v>0.0</v>
      </c>
      <c r="S420" s="14"/>
      <c r="T420" s="31">
        <f t="shared" si="2"/>
        <v>16</v>
      </c>
      <c r="U420" s="23" t="s">
        <v>45</v>
      </c>
      <c r="V420" s="26"/>
      <c r="W420" s="23" t="s">
        <v>46</v>
      </c>
      <c r="Z420" s="14"/>
      <c r="AA420" s="14" t="str">
        <f t="shared" si="3"/>
        <v/>
      </c>
      <c r="AB420" s="14">
        <f t="shared" si="4"/>
        <v>0</v>
      </c>
      <c r="AC420" s="14">
        <f t="shared" si="5"/>
        <v>16</v>
      </c>
      <c r="AD420" s="14"/>
    </row>
    <row r="421" ht="15.75" customHeight="1">
      <c r="A421" s="14">
        <v>420.0</v>
      </c>
      <c r="B421" s="14" t="s">
        <v>1148</v>
      </c>
      <c r="C421" s="14" t="s">
        <v>193</v>
      </c>
      <c r="D421" s="14">
        <v>1.0</v>
      </c>
      <c r="G421" s="14"/>
      <c r="H421" s="14">
        <v>1.0</v>
      </c>
      <c r="I421" s="14">
        <v>483.0</v>
      </c>
      <c r="J421" s="14">
        <v>489.0</v>
      </c>
      <c r="K421" s="14">
        <f t="shared" si="1"/>
        <v>6</v>
      </c>
      <c r="L421" s="14">
        <v>6.0</v>
      </c>
      <c r="M421" s="14">
        <v>0.0</v>
      </c>
      <c r="N421" s="14">
        <v>0.0</v>
      </c>
      <c r="O421" s="14">
        <v>0.0</v>
      </c>
      <c r="P421" s="14">
        <v>3.0</v>
      </c>
      <c r="Q421" s="14">
        <v>0.0</v>
      </c>
      <c r="R421" s="14">
        <v>0.0</v>
      </c>
      <c r="S421" s="14"/>
      <c r="T421" s="31">
        <f t="shared" si="2"/>
        <v>9</v>
      </c>
      <c r="U421" s="14" t="s">
        <v>45</v>
      </c>
      <c r="V421" s="26"/>
      <c r="W421" s="14" t="s">
        <v>46</v>
      </c>
      <c r="X421" s="14"/>
      <c r="Y421" s="14"/>
      <c r="Z421" s="14"/>
      <c r="AA421" s="14" t="str">
        <f t="shared" si="3"/>
        <v/>
      </c>
      <c r="AB421" s="14">
        <f t="shared" si="4"/>
        <v>0</v>
      </c>
      <c r="AC421" s="14">
        <f t="shared" si="5"/>
        <v>9</v>
      </c>
      <c r="AD421" s="14"/>
    </row>
    <row r="422" ht="15.75" customHeight="1">
      <c r="A422" s="14">
        <v>421.0</v>
      </c>
      <c r="B422" s="14" t="s">
        <v>1150</v>
      </c>
      <c r="C422" s="14" t="s">
        <v>193</v>
      </c>
      <c r="D422" s="14">
        <v>2.0</v>
      </c>
      <c r="G422" s="14"/>
      <c r="H422" s="14">
        <v>1.0</v>
      </c>
      <c r="I422" s="14">
        <v>889.0</v>
      </c>
      <c r="J422" s="14">
        <v>899.0</v>
      </c>
      <c r="K422" s="14">
        <f t="shared" si="1"/>
        <v>10</v>
      </c>
      <c r="L422" s="14">
        <v>10.0</v>
      </c>
      <c r="M422" s="14">
        <v>0.0</v>
      </c>
      <c r="N422" s="14">
        <v>0.0</v>
      </c>
      <c r="O422" s="14">
        <v>0.0</v>
      </c>
      <c r="P422" s="14">
        <v>3.0</v>
      </c>
      <c r="Q422" s="14">
        <v>0.0</v>
      </c>
      <c r="R422" s="14"/>
      <c r="S422" s="23"/>
      <c r="T422" s="31">
        <f t="shared" si="2"/>
        <v>13</v>
      </c>
      <c r="U422" s="23" t="s">
        <v>45</v>
      </c>
      <c r="V422" s="26"/>
      <c r="W422" s="23" t="s">
        <v>46</v>
      </c>
      <c r="Y422" s="23" t="s">
        <v>320</v>
      </c>
      <c r="Z422" s="14"/>
      <c r="AA422" s="14" t="str">
        <f t="shared" si="3"/>
        <v/>
      </c>
      <c r="AB422" s="14">
        <f t="shared" si="4"/>
        <v>0</v>
      </c>
      <c r="AC422" s="14">
        <f t="shared" si="5"/>
        <v>13</v>
      </c>
      <c r="AD422" s="14">
        <f>IF(ISBLANK(W422),0,1)</f>
        <v>1</v>
      </c>
    </row>
    <row r="423" ht="15.75" customHeight="1">
      <c r="A423" s="14">
        <v>422.0</v>
      </c>
      <c r="B423" s="14" t="s">
        <v>1152</v>
      </c>
      <c r="C423" s="14" t="s">
        <v>193</v>
      </c>
      <c r="D423" s="14">
        <v>3.0</v>
      </c>
      <c r="G423" s="14"/>
      <c r="H423" s="14">
        <v>2.0</v>
      </c>
      <c r="I423" s="14">
        <v>7367.0</v>
      </c>
      <c r="J423" s="14">
        <v>7418.0</v>
      </c>
      <c r="K423" s="14">
        <f t="shared" si="1"/>
        <v>51</v>
      </c>
      <c r="L423" s="14">
        <v>102.0</v>
      </c>
      <c r="M423" s="14">
        <v>0.0</v>
      </c>
      <c r="N423" s="14">
        <v>0.0</v>
      </c>
      <c r="O423" s="14">
        <v>0.0</v>
      </c>
      <c r="P423" s="14">
        <v>3.0</v>
      </c>
      <c r="Q423" s="36">
        <v>0.0</v>
      </c>
      <c r="R423" s="36">
        <v>30.0</v>
      </c>
      <c r="S423" s="14"/>
      <c r="T423" s="31">
        <f t="shared" si="2"/>
        <v>135</v>
      </c>
      <c r="U423" s="23" t="s">
        <v>45</v>
      </c>
      <c r="V423" s="26"/>
      <c r="W423" s="23" t="s">
        <v>46</v>
      </c>
      <c r="Z423" s="14"/>
      <c r="AA423" s="14" t="str">
        <f t="shared" si="3"/>
        <v/>
      </c>
      <c r="AB423" s="14">
        <f t="shared" si="4"/>
        <v>0</v>
      </c>
      <c r="AC423" s="14">
        <f t="shared" si="5"/>
        <v>135</v>
      </c>
      <c r="AD423" s="14"/>
    </row>
    <row r="424" ht="15.75" customHeight="1">
      <c r="A424" s="14">
        <v>423.0</v>
      </c>
      <c r="B424" s="14" t="s">
        <v>1155</v>
      </c>
      <c r="C424" s="14" t="s">
        <v>193</v>
      </c>
      <c r="D424" s="14">
        <v>4.0</v>
      </c>
      <c r="G424" s="14"/>
      <c r="H424" s="14">
        <v>1.0</v>
      </c>
      <c r="I424" s="14">
        <v>235.0</v>
      </c>
      <c r="J424" s="14">
        <v>242.0</v>
      </c>
      <c r="K424" s="14">
        <f t="shared" si="1"/>
        <v>7</v>
      </c>
      <c r="L424" s="14">
        <v>7.0</v>
      </c>
      <c r="M424" s="14">
        <v>0.0</v>
      </c>
      <c r="N424" s="14">
        <v>0.0</v>
      </c>
      <c r="O424" s="14">
        <v>0.0</v>
      </c>
      <c r="P424" s="14">
        <v>3.0</v>
      </c>
      <c r="Q424" s="36">
        <v>0.0</v>
      </c>
      <c r="R424" s="36">
        <v>30.0</v>
      </c>
      <c r="S424" s="14"/>
      <c r="T424" s="31">
        <f t="shared" si="2"/>
        <v>40</v>
      </c>
      <c r="U424" s="23" t="s">
        <v>45</v>
      </c>
      <c r="V424" s="14"/>
      <c r="W424" s="23" t="s">
        <v>46</v>
      </c>
      <c r="Z424" s="14"/>
      <c r="AA424" s="14" t="str">
        <f t="shared" si="3"/>
        <v/>
      </c>
      <c r="AB424" s="14">
        <f t="shared" si="4"/>
        <v>0</v>
      </c>
      <c r="AC424" s="14">
        <f t="shared" si="5"/>
        <v>40</v>
      </c>
      <c r="AD424" s="14">
        <f t="shared" ref="AD424:AD433" si="65">IF(ISBLANK(W424),0,1)</f>
        <v>1</v>
      </c>
    </row>
    <row r="425" ht="15.75" customHeight="1">
      <c r="A425" s="14">
        <v>424.0</v>
      </c>
      <c r="B425" s="14" t="s">
        <v>1157</v>
      </c>
      <c r="C425" s="14" t="s">
        <v>193</v>
      </c>
      <c r="D425" s="14">
        <v>5.0</v>
      </c>
      <c r="G425" s="14"/>
      <c r="H425" s="14">
        <v>1.0</v>
      </c>
      <c r="I425" s="14">
        <v>1049.0</v>
      </c>
      <c r="J425" s="14">
        <v>1054.0</v>
      </c>
      <c r="K425" s="14">
        <f t="shared" si="1"/>
        <v>5</v>
      </c>
      <c r="L425" s="14">
        <v>5.0</v>
      </c>
      <c r="M425" s="14">
        <v>0.0</v>
      </c>
      <c r="N425" s="14">
        <v>0.0</v>
      </c>
      <c r="O425" s="14">
        <v>0.0</v>
      </c>
      <c r="P425" s="14">
        <v>3.0</v>
      </c>
      <c r="Q425" s="36">
        <v>0.0</v>
      </c>
      <c r="R425" s="36">
        <v>0.0</v>
      </c>
      <c r="S425" s="14"/>
      <c r="T425" s="31">
        <f t="shared" si="2"/>
        <v>8</v>
      </c>
      <c r="U425" s="14" t="s">
        <v>45</v>
      </c>
      <c r="V425" s="26"/>
      <c r="W425" s="14" t="s">
        <v>46</v>
      </c>
      <c r="Z425" s="14"/>
      <c r="AA425" s="14" t="str">
        <f t="shared" si="3"/>
        <v/>
      </c>
      <c r="AB425" s="14">
        <f t="shared" si="4"/>
        <v>0</v>
      </c>
      <c r="AC425" s="14">
        <f t="shared" si="5"/>
        <v>8</v>
      </c>
      <c r="AD425" s="14">
        <f t="shared" si="65"/>
        <v>1</v>
      </c>
    </row>
    <row r="426" ht="15.75" customHeight="1">
      <c r="A426" s="14">
        <v>425.0</v>
      </c>
      <c r="B426" s="14" t="s">
        <v>1158</v>
      </c>
      <c r="C426" s="14" t="s">
        <v>193</v>
      </c>
      <c r="D426" s="14">
        <v>6.0</v>
      </c>
      <c r="G426" s="14"/>
      <c r="H426" s="14">
        <v>1.0</v>
      </c>
      <c r="I426" s="14">
        <v>1159.0</v>
      </c>
      <c r="J426" s="14">
        <v>1168.0</v>
      </c>
      <c r="K426" s="14">
        <f t="shared" si="1"/>
        <v>9</v>
      </c>
      <c r="L426" s="14">
        <v>9.0</v>
      </c>
      <c r="M426" s="14">
        <v>11.0</v>
      </c>
      <c r="N426" s="14">
        <v>0.0</v>
      </c>
      <c r="O426" s="14">
        <v>0.0</v>
      </c>
      <c r="P426" s="14">
        <v>3.0</v>
      </c>
      <c r="Q426" s="14">
        <v>0.0</v>
      </c>
      <c r="R426" s="14">
        <v>30.0</v>
      </c>
      <c r="S426" s="14"/>
      <c r="T426" s="31">
        <f t="shared" si="2"/>
        <v>53</v>
      </c>
      <c r="U426" s="14" t="s">
        <v>45</v>
      </c>
      <c r="V426" s="26"/>
      <c r="W426" s="14" t="s">
        <v>46</v>
      </c>
      <c r="Z426" s="14"/>
      <c r="AA426" s="14" t="str">
        <f t="shared" si="3"/>
        <v/>
      </c>
      <c r="AB426" s="14">
        <f t="shared" si="4"/>
        <v>0</v>
      </c>
      <c r="AC426" s="14">
        <f t="shared" si="5"/>
        <v>53</v>
      </c>
      <c r="AD426" s="14">
        <f t="shared" si="65"/>
        <v>1</v>
      </c>
    </row>
    <row r="427" ht="15.75" hidden="1" customHeight="1">
      <c r="A427" s="14">
        <v>426.0</v>
      </c>
      <c r="B427" s="14" t="s">
        <v>1160</v>
      </c>
      <c r="C427" s="14" t="s">
        <v>193</v>
      </c>
      <c r="D427" s="14">
        <v>7.0</v>
      </c>
      <c r="G427" s="14"/>
      <c r="H427" s="14">
        <v>1.0</v>
      </c>
      <c r="I427" s="14">
        <v>246.0</v>
      </c>
      <c r="J427" s="14">
        <v>253.0</v>
      </c>
      <c r="K427" s="14">
        <f t="shared" si="1"/>
        <v>7</v>
      </c>
      <c r="L427" s="14">
        <v>7.0</v>
      </c>
      <c r="M427" s="14">
        <v>0.0</v>
      </c>
      <c r="N427" s="14">
        <v>0.0</v>
      </c>
      <c r="O427" s="14">
        <v>0.0</v>
      </c>
      <c r="P427" s="14">
        <v>3.0</v>
      </c>
      <c r="Q427" s="36">
        <v>0.0</v>
      </c>
      <c r="R427" s="36">
        <v>30.0</v>
      </c>
      <c r="S427" s="14"/>
      <c r="T427" s="31">
        <f t="shared" si="2"/>
        <v>40</v>
      </c>
      <c r="U427" s="14"/>
      <c r="V427" s="26"/>
      <c r="W427" s="14"/>
      <c r="Z427" s="14"/>
      <c r="AA427" s="14" t="str">
        <f t="shared" si="3"/>
        <v/>
      </c>
      <c r="AB427" s="14">
        <f t="shared" si="4"/>
        <v>0</v>
      </c>
      <c r="AC427" s="14">
        <f t="shared" si="5"/>
        <v>0</v>
      </c>
      <c r="AD427" s="14">
        <f t="shared" si="65"/>
        <v>0</v>
      </c>
    </row>
    <row r="428" ht="15.75" customHeight="1">
      <c r="A428" s="14">
        <v>427.0</v>
      </c>
      <c r="B428" s="14" t="s">
        <v>1163</v>
      </c>
      <c r="C428" s="14" t="s">
        <v>193</v>
      </c>
      <c r="D428" s="14">
        <v>8.0</v>
      </c>
      <c r="E428" s="14"/>
      <c r="G428" s="14"/>
      <c r="H428" s="14">
        <v>1.0</v>
      </c>
      <c r="I428" s="14">
        <v>420.0</v>
      </c>
      <c r="J428" s="14">
        <v>426.0</v>
      </c>
      <c r="K428" s="14">
        <f t="shared" si="1"/>
        <v>6</v>
      </c>
      <c r="L428" s="14">
        <v>6.0</v>
      </c>
      <c r="M428" s="14">
        <v>9.0</v>
      </c>
      <c r="N428" s="14">
        <v>0.0</v>
      </c>
      <c r="O428" s="14">
        <v>0.0</v>
      </c>
      <c r="P428" s="14">
        <v>3.0</v>
      </c>
      <c r="Q428" s="36">
        <v>0.0</v>
      </c>
      <c r="R428" s="36">
        <v>0.0</v>
      </c>
      <c r="S428" s="14"/>
      <c r="T428" s="31">
        <f t="shared" si="2"/>
        <v>18</v>
      </c>
      <c r="U428" s="14" t="s">
        <v>45</v>
      </c>
      <c r="V428" s="26"/>
      <c r="W428" s="14" t="s">
        <v>46</v>
      </c>
      <c r="Z428" s="14"/>
      <c r="AA428" s="14" t="str">
        <f t="shared" si="3"/>
        <v/>
      </c>
      <c r="AB428" s="14">
        <f t="shared" si="4"/>
        <v>0</v>
      </c>
      <c r="AC428" s="14">
        <f t="shared" si="5"/>
        <v>18</v>
      </c>
      <c r="AD428" s="14">
        <f t="shared" si="65"/>
        <v>1</v>
      </c>
    </row>
    <row r="429" ht="15.75" customHeight="1">
      <c r="A429" s="14">
        <v>428.0</v>
      </c>
      <c r="B429" s="52" t="s">
        <v>1165</v>
      </c>
      <c r="C429" s="52" t="s">
        <v>193</v>
      </c>
      <c r="D429" s="52">
        <v>11.0</v>
      </c>
      <c r="E429" s="52"/>
      <c r="F429" s="52">
        <v>1.0</v>
      </c>
      <c r="G429" s="52"/>
      <c r="H429" s="52">
        <v>1.0</v>
      </c>
      <c r="I429" s="36">
        <v>51.0</v>
      </c>
      <c r="J429" s="36">
        <v>54.0</v>
      </c>
      <c r="K429" s="14">
        <f t="shared" si="1"/>
        <v>3</v>
      </c>
      <c r="L429" s="14">
        <v>5.0</v>
      </c>
      <c r="M429" s="14">
        <v>0.0</v>
      </c>
      <c r="N429" s="14">
        <v>0.0</v>
      </c>
      <c r="O429" s="14">
        <v>0.0</v>
      </c>
      <c r="P429" s="14">
        <v>3.0</v>
      </c>
      <c r="Q429" s="14">
        <v>0.0</v>
      </c>
      <c r="R429" s="14"/>
      <c r="S429" s="14"/>
      <c r="T429" s="31">
        <f t="shared" si="2"/>
        <v>8</v>
      </c>
      <c r="U429" s="14" t="s">
        <v>45</v>
      </c>
      <c r="V429" s="26"/>
      <c r="W429" s="14" t="s">
        <v>46</v>
      </c>
      <c r="Y429" s="23" t="s">
        <v>320</v>
      </c>
      <c r="Z429" s="14"/>
      <c r="AA429" s="14" t="str">
        <f t="shared" si="3"/>
        <v/>
      </c>
      <c r="AB429" s="14">
        <f t="shared" si="4"/>
        <v>0</v>
      </c>
      <c r="AC429" s="14">
        <f t="shared" si="5"/>
        <v>8</v>
      </c>
      <c r="AD429" s="14">
        <f t="shared" si="65"/>
        <v>1</v>
      </c>
    </row>
    <row r="430" ht="15.75" customHeight="1">
      <c r="A430" s="14">
        <v>429.0</v>
      </c>
      <c r="B430" s="14" t="s">
        <v>1170</v>
      </c>
      <c r="C430" s="14" t="s">
        <v>193</v>
      </c>
      <c r="D430" s="14">
        <v>13.0</v>
      </c>
      <c r="G430" s="14"/>
      <c r="H430" s="14">
        <v>1.0</v>
      </c>
      <c r="I430" s="14">
        <v>54.0</v>
      </c>
      <c r="J430" s="14">
        <v>54.0</v>
      </c>
      <c r="K430" s="14">
        <f t="shared" si="1"/>
        <v>0</v>
      </c>
      <c r="L430" s="14">
        <v>5.0</v>
      </c>
      <c r="M430" s="14">
        <v>0.0</v>
      </c>
      <c r="N430" s="14">
        <v>0.0</v>
      </c>
      <c r="O430" s="14">
        <v>0.0</v>
      </c>
      <c r="P430" s="14">
        <v>3.0</v>
      </c>
      <c r="Q430" s="36">
        <v>0.0</v>
      </c>
      <c r="R430" s="36">
        <v>0.0</v>
      </c>
      <c r="S430" s="14"/>
      <c r="T430" s="31">
        <f t="shared" si="2"/>
        <v>8</v>
      </c>
      <c r="U430" s="71" t="s">
        <v>45</v>
      </c>
      <c r="V430" s="26"/>
      <c r="W430" s="14"/>
      <c r="Y430" s="43" t="s">
        <v>1171</v>
      </c>
      <c r="Z430" s="14"/>
      <c r="AA430" s="14" t="str">
        <f t="shared" si="3"/>
        <v/>
      </c>
      <c r="AB430" s="14">
        <f t="shared" si="4"/>
        <v>8</v>
      </c>
      <c r="AC430" s="14">
        <f t="shared" si="5"/>
        <v>0</v>
      </c>
      <c r="AD430" s="14">
        <f t="shared" si="65"/>
        <v>0</v>
      </c>
    </row>
    <row r="431" ht="15.75" customHeight="1">
      <c r="A431" s="14">
        <v>430.0</v>
      </c>
      <c r="B431" s="14" t="s">
        <v>1173</v>
      </c>
      <c r="C431" s="14" t="s">
        <v>105</v>
      </c>
      <c r="D431" s="14">
        <v>1.0</v>
      </c>
      <c r="G431" s="14"/>
      <c r="H431" s="14">
        <v>1.0</v>
      </c>
      <c r="I431" s="14">
        <v>1677.0</v>
      </c>
      <c r="J431" s="14">
        <v>1690.0</v>
      </c>
      <c r="K431" s="14">
        <f t="shared" si="1"/>
        <v>13</v>
      </c>
      <c r="L431" s="14">
        <v>13.0</v>
      </c>
      <c r="M431" s="52"/>
      <c r="N431" s="14">
        <v>0.0</v>
      </c>
      <c r="O431" s="14">
        <v>0.0</v>
      </c>
      <c r="P431" s="14">
        <v>3.0</v>
      </c>
      <c r="Q431" s="14">
        <v>0.0</v>
      </c>
      <c r="R431" s="14">
        <v>0.0</v>
      </c>
      <c r="S431" s="14"/>
      <c r="T431" s="31">
        <f t="shared" si="2"/>
        <v>16</v>
      </c>
      <c r="U431" s="42" t="s">
        <v>45</v>
      </c>
      <c r="V431" s="26"/>
      <c r="W431" s="14"/>
      <c r="X431" s="52"/>
      <c r="Y431" s="73" t="s">
        <v>1174</v>
      </c>
      <c r="Z431" s="14"/>
      <c r="AA431" s="14" t="str">
        <f t="shared" si="3"/>
        <v/>
      </c>
      <c r="AB431" s="14">
        <f t="shared" si="4"/>
        <v>16</v>
      </c>
      <c r="AC431" s="14">
        <f t="shared" si="5"/>
        <v>0</v>
      </c>
      <c r="AD431" s="14">
        <f t="shared" si="65"/>
        <v>0</v>
      </c>
    </row>
    <row r="432" ht="15.75" customHeight="1">
      <c r="A432" s="14">
        <v>431.0</v>
      </c>
      <c r="B432" s="14" t="s">
        <v>1177</v>
      </c>
      <c r="C432" s="36" t="s">
        <v>105</v>
      </c>
      <c r="D432" s="14">
        <v>3.0</v>
      </c>
      <c r="E432" s="14"/>
      <c r="G432" s="14"/>
      <c r="H432" s="14">
        <v>1.0</v>
      </c>
      <c r="I432" s="14">
        <v>33.0</v>
      </c>
      <c r="J432" s="14">
        <v>33.0</v>
      </c>
      <c r="K432" s="14">
        <f t="shared" si="1"/>
        <v>0</v>
      </c>
      <c r="L432" s="14">
        <v>5.0</v>
      </c>
      <c r="M432" s="14">
        <v>0.0</v>
      </c>
      <c r="N432" s="14">
        <v>0.0</v>
      </c>
      <c r="O432" s="14">
        <v>0.0</v>
      </c>
      <c r="P432" s="14">
        <v>3.0</v>
      </c>
      <c r="Q432" s="14">
        <v>0.0</v>
      </c>
      <c r="R432" s="14">
        <v>30.0</v>
      </c>
      <c r="S432" s="14"/>
      <c r="T432" s="31">
        <f t="shared" si="2"/>
        <v>38</v>
      </c>
      <c r="U432" s="14" t="s">
        <v>45</v>
      </c>
      <c r="V432" s="26"/>
      <c r="W432" s="14" t="s">
        <v>46</v>
      </c>
      <c r="Z432" s="14"/>
      <c r="AA432" s="14" t="str">
        <f t="shared" si="3"/>
        <v/>
      </c>
      <c r="AB432" s="14">
        <f t="shared" si="4"/>
        <v>0</v>
      </c>
      <c r="AC432" s="14">
        <f t="shared" si="5"/>
        <v>38</v>
      </c>
      <c r="AD432" s="14">
        <f t="shared" si="65"/>
        <v>1</v>
      </c>
    </row>
    <row r="433" ht="15.75" customHeight="1">
      <c r="A433" s="14">
        <v>432.0</v>
      </c>
      <c r="B433" s="14" t="s">
        <v>1178</v>
      </c>
      <c r="C433" s="14" t="s">
        <v>105</v>
      </c>
      <c r="D433" s="14">
        <v>4.0</v>
      </c>
      <c r="G433" s="14"/>
      <c r="H433" s="14">
        <v>1.0</v>
      </c>
      <c r="I433" s="14">
        <v>52.0</v>
      </c>
      <c r="J433" s="14">
        <v>66.0</v>
      </c>
      <c r="K433" s="14">
        <f t="shared" si="1"/>
        <v>14</v>
      </c>
      <c r="L433" s="14">
        <v>14.0</v>
      </c>
      <c r="M433" s="14">
        <v>0.0</v>
      </c>
      <c r="N433" s="14">
        <v>0.0</v>
      </c>
      <c r="O433" s="14">
        <v>0.0</v>
      </c>
      <c r="P433" s="14">
        <v>3.0</v>
      </c>
      <c r="Q433" s="36">
        <v>0.0</v>
      </c>
      <c r="R433" s="36">
        <v>30.0</v>
      </c>
      <c r="S433" s="14"/>
      <c r="T433" s="31">
        <f t="shared" si="2"/>
        <v>47</v>
      </c>
      <c r="U433" s="14" t="s">
        <v>45</v>
      </c>
      <c r="V433" s="26"/>
      <c r="W433" s="14" t="s">
        <v>46</v>
      </c>
      <c r="X433" s="14"/>
      <c r="Y433" s="14"/>
      <c r="Z433" s="14"/>
      <c r="AA433" s="14" t="str">
        <f t="shared" si="3"/>
        <v/>
      </c>
      <c r="AB433" s="14">
        <f t="shared" si="4"/>
        <v>0</v>
      </c>
      <c r="AC433" s="14">
        <f t="shared" si="5"/>
        <v>47</v>
      </c>
      <c r="AD433" s="14">
        <f t="shared" si="65"/>
        <v>1</v>
      </c>
    </row>
    <row r="434" ht="15.75" customHeight="1">
      <c r="A434" s="14">
        <v>433.0</v>
      </c>
      <c r="B434" s="14" t="s">
        <v>1181</v>
      </c>
      <c r="C434" s="14" t="s">
        <v>105</v>
      </c>
      <c r="D434" s="14">
        <v>5.0</v>
      </c>
      <c r="G434" s="14"/>
      <c r="H434" s="14">
        <v>1.0</v>
      </c>
      <c r="I434" s="14">
        <v>1507.0</v>
      </c>
      <c r="J434" s="14">
        <v>1517.0</v>
      </c>
      <c r="K434" s="14">
        <f t="shared" si="1"/>
        <v>10</v>
      </c>
      <c r="L434" s="14">
        <v>10.0</v>
      </c>
      <c r="M434" s="14">
        <v>-3.0</v>
      </c>
      <c r="N434" s="14">
        <v>0.0</v>
      </c>
      <c r="O434" s="14">
        <v>0.0</v>
      </c>
      <c r="P434" s="14">
        <v>3.0</v>
      </c>
      <c r="Q434" s="36">
        <v>0.0</v>
      </c>
      <c r="R434" s="36">
        <v>0.0</v>
      </c>
      <c r="S434" s="14"/>
      <c r="T434" s="31">
        <f t="shared" si="2"/>
        <v>10</v>
      </c>
      <c r="U434" s="23" t="s">
        <v>45</v>
      </c>
      <c r="V434" s="26"/>
      <c r="W434" s="23" t="s">
        <v>46</v>
      </c>
      <c r="Z434" s="14"/>
      <c r="AA434" s="14" t="str">
        <f t="shared" si="3"/>
        <v/>
      </c>
      <c r="AB434" s="14">
        <f t="shared" si="4"/>
        <v>0</v>
      </c>
      <c r="AC434" s="14">
        <f t="shared" si="5"/>
        <v>10</v>
      </c>
      <c r="AD434" s="14"/>
    </row>
    <row r="435" ht="15.75" hidden="1" customHeight="1">
      <c r="A435" s="14">
        <v>434.0</v>
      </c>
      <c r="B435" s="14" t="s">
        <v>1184</v>
      </c>
      <c r="C435" s="14" t="s">
        <v>105</v>
      </c>
      <c r="D435" s="14">
        <v>6.0</v>
      </c>
      <c r="G435" s="14"/>
      <c r="H435" s="14">
        <v>1.0</v>
      </c>
      <c r="I435" s="14">
        <v>1062.0</v>
      </c>
      <c r="J435" s="14">
        <v>1073.0</v>
      </c>
      <c r="K435" s="14">
        <f t="shared" si="1"/>
        <v>11</v>
      </c>
      <c r="L435" s="14">
        <v>11.0</v>
      </c>
      <c r="M435" s="14">
        <v>0.0</v>
      </c>
      <c r="N435" s="14">
        <v>0.0</v>
      </c>
      <c r="O435" s="14">
        <v>0.0</v>
      </c>
      <c r="P435" s="14">
        <v>3.0</v>
      </c>
      <c r="Q435" s="14">
        <v>0.0</v>
      </c>
      <c r="R435" s="14">
        <v>0.0</v>
      </c>
      <c r="S435" s="14"/>
      <c r="T435" s="31">
        <f t="shared" si="2"/>
        <v>14</v>
      </c>
      <c r="U435" s="14"/>
      <c r="V435" s="26"/>
      <c r="W435" s="14"/>
      <c r="Z435" s="14"/>
      <c r="AA435" s="14" t="str">
        <f t="shared" si="3"/>
        <v/>
      </c>
      <c r="AB435" s="14">
        <f t="shared" si="4"/>
        <v>0</v>
      </c>
      <c r="AC435" s="14">
        <f t="shared" si="5"/>
        <v>0</v>
      </c>
      <c r="AD435" s="14">
        <f t="shared" ref="AD435:AD436" si="66">IF(ISBLANK(W435),0,1)</f>
        <v>0</v>
      </c>
    </row>
    <row r="436" ht="15.75" customHeight="1">
      <c r="A436" s="14">
        <v>435.0</v>
      </c>
      <c r="B436" s="14" t="s">
        <v>1187</v>
      </c>
      <c r="C436" s="14" t="s">
        <v>105</v>
      </c>
      <c r="D436" s="14">
        <v>8.0</v>
      </c>
      <c r="G436" s="14"/>
      <c r="H436" s="14">
        <v>1.0</v>
      </c>
      <c r="I436" s="14">
        <v>1662.0</v>
      </c>
      <c r="J436" s="14">
        <v>1678.0</v>
      </c>
      <c r="K436" s="14">
        <f t="shared" si="1"/>
        <v>16</v>
      </c>
      <c r="L436" s="14">
        <v>16.0</v>
      </c>
      <c r="M436" s="14">
        <v>17.0</v>
      </c>
      <c r="N436" s="14">
        <v>0.0</v>
      </c>
      <c r="O436" s="14">
        <v>0.0</v>
      </c>
      <c r="P436" s="14">
        <v>3.0</v>
      </c>
      <c r="Q436" s="14">
        <v>0.0</v>
      </c>
      <c r="R436" s="14">
        <v>0.0</v>
      </c>
      <c r="S436" s="14"/>
      <c r="T436" s="31">
        <f t="shared" si="2"/>
        <v>36</v>
      </c>
      <c r="U436" s="14" t="s">
        <v>45</v>
      </c>
      <c r="V436" s="26"/>
      <c r="W436" s="14" t="s">
        <v>46</v>
      </c>
      <c r="Z436" s="14"/>
      <c r="AA436" s="14" t="str">
        <f t="shared" si="3"/>
        <v/>
      </c>
      <c r="AB436" s="14">
        <f t="shared" si="4"/>
        <v>0</v>
      </c>
      <c r="AC436" s="14">
        <f t="shared" si="5"/>
        <v>36</v>
      </c>
      <c r="AD436" s="14">
        <f t="shared" si="66"/>
        <v>1</v>
      </c>
    </row>
    <row r="437" ht="15.75" customHeight="1">
      <c r="A437" s="14">
        <v>436.0</v>
      </c>
      <c r="B437" s="14" t="s">
        <v>1188</v>
      </c>
      <c r="C437" s="14" t="s">
        <v>105</v>
      </c>
      <c r="D437" s="14">
        <v>9.0</v>
      </c>
      <c r="G437" s="14"/>
      <c r="H437" s="14">
        <v>1.0</v>
      </c>
      <c r="I437" s="14">
        <v>1589.0</v>
      </c>
      <c r="J437" s="14">
        <v>1603.0</v>
      </c>
      <c r="K437" s="14">
        <f t="shared" si="1"/>
        <v>14</v>
      </c>
      <c r="L437" s="14">
        <v>14.0</v>
      </c>
      <c r="M437" s="14">
        <v>0.0</v>
      </c>
      <c r="N437" s="14">
        <v>0.0</v>
      </c>
      <c r="O437" s="14">
        <v>0.0</v>
      </c>
      <c r="P437" s="14">
        <v>3.0</v>
      </c>
      <c r="Q437" s="14">
        <v>0.0</v>
      </c>
      <c r="R437" s="14">
        <v>0.0</v>
      </c>
      <c r="S437" s="14"/>
      <c r="T437" s="31">
        <f t="shared" si="2"/>
        <v>17</v>
      </c>
      <c r="U437" s="14" t="s">
        <v>45</v>
      </c>
      <c r="V437" s="26"/>
      <c r="W437" s="14" t="s">
        <v>46</v>
      </c>
      <c r="Z437" s="14"/>
      <c r="AA437" s="14" t="str">
        <f t="shared" si="3"/>
        <v/>
      </c>
      <c r="AB437" s="14">
        <f t="shared" si="4"/>
        <v>0</v>
      </c>
      <c r="AC437" s="14">
        <f t="shared" si="5"/>
        <v>17</v>
      </c>
      <c r="AD437" s="14"/>
    </row>
    <row r="438" ht="15.75" customHeight="1">
      <c r="A438" s="14">
        <v>437.0</v>
      </c>
      <c r="B438" s="14" t="s">
        <v>1190</v>
      </c>
      <c r="C438" s="14" t="s">
        <v>105</v>
      </c>
      <c r="D438" s="14">
        <v>10.0</v>
      </c>
      <c r="G438" s="14"/>
      <c r="H438" s="14">
        <v>1.0</v>
      </c>
      <c r="I438" s="14">
        <v>1532.0</v>
      </c>
      <c r="J438" s="14">
        <v>1541.0</v>
      </c>
      <c r="K438" s="14">
        <f t="shared" si="1"/>
        <v>9</v>
      </c>
      <c r="L438" s="14">
        <v>9.0</v>
      </c>
      <c r="M438" s="14">
        <v>8.0</v>
      </c>
      <c r="N438" s="14">
        <v>0.0</v>
      </c>
      <c r="O438" s="14">
        <v>0.0</v>
      </c>
      <c r="P438" s="14">
        <v>3.0</v>
      </c>
      <c r="Q438" s="14">
        <v>0.0</v>
      </c>
      <c r="R438" s="14"/>
      <c r="S438" s="14"/>
      <c r="T438" s="31">
        <f t="shared" si="2"/>
        <v>20</v>
      </c>
      <c r="U438" s="42" t="s">
        <v>45</v>
      </c>
      <c r="V438" s="26"/>
      <c r="W438" s="14"/>
      <c r="Y438" s="14" t="s">
        <v>1191</v>
      </c>
      <c r="Z438" s="14"/>
      <c r="AA438" s="14" t="str">
        <f t="shared" si="3"/>
        <v/>
      </c>
      <c r="AB438" s="14">
        <f t="shared" si="4"/>
        <v>20</v>
      </c>
      <c r="AC438" s="14">
        <f t="shared" si="5"/>
        <v>0</v>
      </c>
      <c r="AD438" s="14">
        <f>IF(ISBLANK(W438),0,1)</f>
        <v>0</v>
      </c>
    </row>
    <row r="439" ht="15.75" customHeight="1">
      <c r="A439" s="14">
        <v>438.0</v>
      </c>
      <c r="B439" s="14" t="s">
        <v>1192</v>
      </c>
      <c r="C439" s="14" t="s">
        <v>105</v>
      </c>
      <c r="D439" s="14">
        <v>11.0</v>
      </c>
      <c r="G439" s="14"/>
      <c r="H439" s="14">
        <v>1.0</v>
      </c>
      <c r="I439" s="14">
        <v>711.0</v>
      </c>
      <c r="J439" s="14">
        <v>726.0</v>
      </c>
      <c r="K439" s="14">
        <f t="shared" si="1"/>
        <v>15</v>
      </c>
      <c r="L439" s="14">
        <v>15.0</v>
      </c>
      <c r="M439" s="14">
        <v>0.0</v>
      </c>
      <c r="N439" s="14">
        <v>0.0</v>
      </c>
      <c r="O439" s="14">
        <v>0.0</v>
      </c>
      <c r="P439" s="14">
        <v>3.0</v>
      </c>
      <c r="Q439" s="36">
        <v>0.0</v>
      </c>
      <c r="R439" s="36">
        <v>0.0</v>
      </c>
      <c r="S439" s="14"/>
      <c r="T439" s="31">
        <f t="shared" si="2"/>
        <v>18</v>
      </c>
      <c r="U439" s="14" t="s">
        <v>45</v>
      </c>
      <c r="V439" s="26"/>
      <c r="W439" s="14" t="s">
        <v>46</v>
      </c>
      <c r="X439" s="14"/>
      <c r="Y439" s="14"/>
      <c r="Z439" s="14"/>
      <c r="AA439" s="14" t="str">
        <f t="shared" si="3"/>
        <v/>
      </c>
      <c r="AB439" s="14">
        <f t="shared" si="4"/>
        <v>0</v>
      </c>
      <c r="AC439" s="14">
        <f t="shared" si="5"/>
        <v>18</v>
      </c>
      <c r="AD439" s="14"/>
    </row>
    <row r="440" ht="15.75" hidden="1" customHeight="1">
      <c r="A440" s="14">
        <v>439.0</v>
      </c>
      <c r="B440" s="14" t="s">
        <v>1033</v>
      </c>
      <c r="C440" s="14" t="s">
        <v>105</v>
      </c>
      <c r="D440" s="14">
        <v>12.0</v>
      </c>
      <c r="E440" s="14"/>
      <c r="G440" s="14"/>
      <c r="H440" s="14">
        <v>1.0</v>
      </c>
      <c r="I440" s="14">
        <v>149.0</v>
      </c>
      <c r="J440" s="14">
        <v>152.0</v>
      </c>
      <c r="K440" s="14">
        <f t="shared" si="1"/>
        <v>3</v>
      </c>
      <c r="L440" s="14">
        <v>5.0</v>
      </c>
      <c r="M440" s="14">
        <v>0.0</v>
      </c>
      <c r="N440" s="14">
        <v>0.0</v>
      </c>
      <c r="O440" s="14">
        <v>0.0</v>
      </c>
      <c r="P440" s="14">
        <v>3.0</v>
      </c>
      <c r="Q440" s="14">
        <v>0.0</v>
      </c>
      <c r="R440" s="14">
        <v>30.0</v>
      </c>
      <c r="S440" s="14"/>
      <c r="T440" s="31">
        <f t="shared" si="2"/>
        <v>38</v>
      </c>
      <c r="U440" s="14"/>
      <c r="V440" s="26"/>
      <c r="W440" s="14"/>
      <c r="Z440" s="14"/>
      <c r="AA440" s="14" t="str">
        <f t="shared" si="3"/>
        <v/>
      </c>
      <c r="AB440" s="14">
        <f t="shared" si="4"/>
        <v>0</v>
      </c>
      <c r="AC440" s="14">
        <f t="shared" si="5"/>
        <v>0</v>
      </c>
      <c r="AD440" s="14">
        <f t="shared" ref="AD440:AD441" si="67">IF(ISBLANK(W440),0,1)</f>
        <v>0</v>
      </c>
    </row>
    <row r="441" ht="15.75" customHeight="1">
      <c r="A441" s="14">
        <v>440.0</v>
      </c>
      <c r="B441" s="14" t="s">
        <v>1195</v>
      </c>
      <c r="C441" s="14" t="s">
        <v>105</v>
      </c>
      <c r="D441" s="14">
        <v>13.0</v>
      </c>
      <c r="G441" s="14"/>
      <c r="H441" s="14">
        <v>2.0</v>
      </c>
      <c r="I441" s="14">
        <v>1.0</v>
      </c>
      <c r="J441" s="14">
        <v>1.0</v>
      </c>
      <c r="K441" s="14">
        <f t="shared" si="1"/>
        <v>0</v>
      </c>
      <c r="L441" s="14">
        <v>5.0</v>
      </c>
      <c r="M441" s="14">
        <v>8.0</v>
      </c>
      <c r="N441" s="14">
        <v>0.0</v>
      </c>
      <c r="O441" s="14">
        <v>0.0</v>
      </c>
      <c r="P441" s="14">
        <v>3.0</v>
      </c>
      <c r="Q441" s="36">
        <v>0.0</v>
      </c>
      <c r="R441" s="36">
        <v>30.0</v>
      </c>
      <c r="S441" s="14"/>
      <c r="T441" s="31">
        <f t="shared" si="2"/>
        <v>46</v>
      </c>
      <c r="U441" s="14" t="s">
        <v>45</v>
      </c>
      <c r="V441" s="26"/>
      <c r="W441" s="14" t="s">
        <v>46</v>
      </c>
      <c r="Z441" s="14"/>
      <c r="AA441" s="14" t="str">
        <f t="shared" si="3"/>
        <v/>
      </c>
      <c r="AB441" s="14">
        <f t="shared" si="4"/>
        <v>0</v>
      </c>
      <c r="AC441" s="14">
        <f t="shared" si="5"/>
        <v>46</v>
      </c>
      <c r="AD441" s="14">
        <f t="shared" si="67"/>
        <v>1</v>
      </c>
    </row>
    <row r="442" ht="15.75" customHeight="1">
      <c r="A442" s="14">
        <v>441.0</v>
      </c>
      <c r="B442" s="14" t="s">
        <v>1197</v>
      </c>
      <c r="C442" s="14" t="s">
        <v>105</v>
      </c>
      <c r="D442" s="14">
        <v>14.0</v>
      </c>
      <c r="G442" s="14"/>
      <c r="H442" s="14">
        <v>2.0</v>
      </c>
      <c r="I442" s="14">
        <v>171.0</v>
      </c>
      <c r="J442" s="14">
        <v>203.0</v>
      </c>
      <c r="K442" s="14">
        <f t="shared" si="1"/>
        <v>32</v>
      </c>
      <c r="L442" s="14">
        <v>64.0</v>
      </c>
      <c r="M442" s="14">
        <v>23.0</v>
      </c>
      <c r="N442" s="14">
        <v>0.0</v>
      </c>
      <c r="O442" s="14">
        <v>0.0</v>
      </c>
      <c r="P442" s="14">
        <v>3.0</v>
      </c>
      <c r="Q442" s="36">
        <v>0.0</v>
      </c>
      <c r="R442" s="36">
        <v>30.0</v>
      </c>
      <c r="S442" s="14"/>
      <c r="T442" s="31">
        <f t="shared" si="2"/>
        <v>120</v>
      </c>
      <c r="U442" s="14" t="s">
        <v>45</v>
      </c>
      <c r="V442" s="26"/>
      <c r="W442" s="14" t="s">
        <v>46</v>
      </c>
      <c r="Z442" s="14"/>
      <c r="AA442" s="14" t="str">
        <f t="shared" si="3"/>
        <v/>
      </c>
      <c r="AB442" s="14">
        <f t="shared" si="4"/>
        <v>0</v>
      </c>
      <c r="AC442" s="14">
        <f t="shared" si="5"/>
        <v>120</v>
      </c>
      <c r="AD442" s="14"/>
    </row>
    <row r="443" ht="15.75" customHeight="1">
      <c r="A443" s="14">
        <v>442.0</v>
      </c>
      <c r="B443" s="14" t="s">
        <v>1198</v>
      </c>
      <c r="C443" s="14" t="s">
        <v>116</v>
      </c>
      <c r="D443" s="14">
        <v>1.0</v>
      </c>
      <c r="E443" s="14"/>
      <c r="F443" s="14"/>
      <c r="G443" s="14"/>
      <c r="H443" s="14">
        <v>1.0</v>
      </c>
      <c r="I443" s="14">
        <v>1873.0</v>
      </c>
      <c r="J443" s="14">
        <v>1884.0</v>
      </c>
      <c r="K443" s="14">
        <f t="shared" si="1"/>
        <v>11</v>
      </c>
      <c r="L443" s="14">
        <v>11.0</v>
      </c>
      <c r="M443" s="14">
        <v>0.0</v>
      </c>
      <c r="N443" s="14">
        <v>0.0</v>
      </c>
      <c r="O443" s="14">
        <v>0.0</v>
      </c>
      <c r="P443" s="14">
        <v>3.0</v>
      </c>
      <c r="Q443" s="36">
        <v>0.0</v>
      </c>
      <c r="R443" s="36">
        <v>30.0</v>
      </c>
      <c r="S443" s="14"/>
      <c r="T443" s="31">
        <f t="shared" si="2"/>
        <v>44</v>
      </c>
      <c r="U443" s="14" t="s">
        <v>45</v>
      </c>
      <c r="V443" s="26"/>
      <c r="W443" s="14" t="s">
        <v>46</v>
      </c>
      <c r="Z443" s="14"/>
      <c r="AA443" s="14" t="str">
        <f t="shared" si="3"/>
        <v/>
      </c>
      <c r="AB443" s="14">
        <f t="shared" si="4"/>
        <v>0</v>
      </c>
      <c r="AC443" s="14">
        <f t="shared" si="5"/>
        <v>44</v>
      </c>
      <c r="AD443" s="14">
        <f t="shared" ref="AD443:AD455" si="68">IF(ISBLANK(W443),0,1)</f>
        <v>1</v>
      </c>
    </row>
    <row r="444" ht="15.75" hidden="1" customHeight="1">
      <c r="A444" s="14">
        <v>443.0</v>
      </c>
      <c r="B444" s="14" t="s">
        <v>1201</v>
      </c>
      <c r="C444" s="14" t="s">
        <v>116</v>
      </c>
      <c r="D444" s="14">
        <v>2.0</v>
      </c>
      <c r="E444" s="14"/>
      <c r="F444" s="14"/>
      <c r="G444" s="14"/>
      <c r="H444" s="14">
        <v>1.0</v>
      </c>
      <c r="I444" s="36">
        <v>1.0</v>
      </c>
      <c r="J444" s="36">
        <v>1.0</v>
      </c>
      <c r="K444" s="14">
        <f t="shared" si="1"/>
        <v>0</v>
      </c>
      <c r="L444" s="14">
        <v>5.0</v>
      </c>
      <c r="M444" s="14">
        <v>0.0</v>
      </c>
      <c r="N444" s="14">
        <v>0.0</v>
      </c>
      <c r="O444" s="14">
        <v>0.0</v>
      </c>
      <c r="P444" s="14">
        <v>3.0</v>
      </c>
      <c r="Q444" s="36">
        <v>0.0</v>
      </c>
      <c r="R444" s="36">
        <v>30.0</v>
      </c>
      <c r="S444" s="14"/>
      <c r="T444" s="31">
        <f t="shared" si="2"/>
        <v>38</v>
      </c>
      <c r="U444" s="14"/>
      <c r="V444" s="26"/>
      <c r="W444" s="14"/>
      <c r="Z444" s="14"/>
      <c r="AA444" s="14" t="str">
        <f t="shared" si="3"/>
        <v/>
      </c>
      <c r="AB444" s="14">
        <f t="shared" si="4"/>
        <v>0</v>
      </c>
      <c r="AC444" s="14">
        <f t="shared" si="5"/>
        <v>0</v>
      </c>
      <c r="AD444" s="14">
        <f t="shared" si="68"/>
        <v>0</v>
      </c>
    </row>
    <row r="445" ht="15.75" customHeight="1">
      <c r="A445" s="14">
        <v>444.0</v>
      </c>
      <c r="B445" s="52" t="s">
        <v>1202</v>
      </c>
      <c r="C445" s="52" t="s">
        <v>116</v>
      </c>
      <c r="D445" s="52">
        <v>3.0</v>
      </c>
      <c r="E445" s="52"/>
      <c r="F445" s="52"/>
      <c r="G445" s="52"/>
      <c r="H445" s="52">
        <v>1.0</v>
      </c>
      <c r="I445" s="79">
        <v>397.0</v>
      </c>
      <c r="J445" s="79">
        <v>400.0</v>
      </c>
      <c r="K445" s="14">
        <f t="shared" si="1"/>
        <v>3</v>
      </c>
      <c r="L445" s="14">
        <v>5.0</v>
      </c>
      <c r="M445" s="14">
        <v>8.0</v>
      </c>
      <c r="N445" s="14">
        <v>0.0</v>
      </c>
      <c r="O445" s="14">
        <v>0.0</v>
      </c>
      <c r="P445" s="14">
        <v>3.0</v>
      </c>
      <c r="Q445" s="36">
        <v>0.0</v>
      </c>
      <c r="R445" s="36">
        <v>0.0</v>
      </c>
      <c r="S445" s="14"/>
      <c r="T445" s="31">
        <f t="shared" si="2"/>
        <v>16</v>
      </c>
      <c r="U445" s="14" t="s">
        <v>45</v>
      </c>
      <c r="V445" s="70"/>
      <c r="W445" s="14" t="s">
        <v>46</v>
      </c>
      <c r="Z445" s="14"/>
      <c r="AA445" s="14" t="str">
        <f t="shared" si="3"/>
        <v/>
      </c>
      <c r="AB445" s="14">
        <f t="shared" si="4"/>
        <v>0</v>
      </c>
      <c r="AC445" s="14">
        <f t="shared" si="5"/>
        <v>16</v>
      </c>
      <c r="AD445" s="14">
        <f t="shared" si="68"/>
        <v>1</v>
      </c>
    </row>
    <row r="446" ht="15.75" customHeight="1">
      <c r="A446" s="14">
        <v>445.0</v>
      </c>
      <c r="B446" s="14" t="s">
        <v>1205</v>
      </c>
      <c r="C446" s="14" t="s">
        <v>116</v>
      </c>
      <c r="D446" s="14">
        <v>4.0</v>
      </c>
      <c r="G446" s="14"/>
      <c r="H446" s="14">
        <v>1.0</v>
      </c>
      <c r="I446" s="14">
        <v>490.0</v>
      </c>
      <c r="J446" s="14">
        <v>518.0</v>
      </c>
      <c r="K446" s="14">
        <f t="shared" si="1"/>
        <v>28</v>
      </c>
      <c r="L446" s="14">
        <v>28.0</v>
      </c>
      <c r="M446" s="14">
        <v>8.0</v>
      </c>
      <c r="N446" s="14">
        <v>0.0</v>
      </c>
      <c r="O446" s="14">
        <v>0.0</v>
      </c>
      <c r="P446" s="14">
        <v>3.0</v>
      </c>
      <c r="Q446" s="14">
        <v>0.0</v>
      </c>
      <c r="R446" s="14">
        <v>0.0</v>
      </c>
      <c r="S446" s="14"/>
      <c r="T446" s="31">
        <f t="shared" si="2"/>
        <v>39</v>
      </c>
      <c r="U446" s="23" t="s">
        <v>45</v>
      </c>
      <c r="V446" s="26"/>
      <c r="W446" s="23" t="s">
        <v>46</v>
      </c>
      <c r="Z446" s="14"/>
      <c r="AA446" s="14" t="str">
        <f t="shared" si="3"/>
        <v/>
      </c>
      <c r="AB446" s="14">
        <f t="shared" si="4"/>
        <v>0</v>
      </c>
      <c r="AC446" s="14">
        <f t="shared" si="5"/>
        <v>39</v>
      </c>
      <c r="AD446" s="14">
        <f t="shared" si="68"/>
        <v>1</v>
      </c>
    </row>
    <row r="447" ht="15.75" customHeight="1">
      <c r="A447" s="14">
        <v>446.0</v>
      </c>
      <c r="B447" s="14" t="s">
        <v>1207</v>
      </c>
      <c r="C447" s="14" t="s">
        <v>116</v>
      </c>
      <c r="D447" s="14">
        <v>5.0</v>
      </c>
      <c r="G447" s="14"/>
      <c r="H447" s="14">
        <v>1.0</v>
      </c>
      <c r="I447" s="14">
        <v>51.0</v>
      </c>
      <c r="J447" s="14">
        <v>57.0</v>
      </c>
      <c r="K447" s="14">
        <f t="shared" si="1"/>
        <v>6</v>
      </c>
      <c r="L447" s="14">
        <v>6.0</v>
      </c>
      <c r="M447" s="52">
        <v>9.0</v>
      </c>
      <c r="N447" s="14">
        <v>0.0</v>
      </c>
      <c r="O447" s="14">
        <v>0.0</v>
      </c>
      <c r="P447" s="14">
        <v>3.0</v>
      </c>
      <c r="Q447" s="14">
        <v>0.0</v>
      </c>
      <c r="R447" s="14">
        <v>0.0</v>
      </c>
      <c r="S447" s="14"/>
      <c r="T447" s="31">
        <f t="shared" si="2"/>
        <v>18</v>
      </c>
      <c r="U447" s="42" t="s">
        <v>45</v>
      </c>
      <c r="V447" s="26"/>
      <c r="W447" s="14"/>
      <c r="X447" s="52"/>
      <c r="Y447" s="52"/>
      <c r="Z447" s="14"/>
      <c r="AA447" s="14" t="str">
        <f t="shared" si="3"/>
        <v/>
      </c>
      <c r="AB447" s="14">
        <f t="shared" si="4"/>
        <v>18</v>
      </c>
      <c r="AC447" s="14">
        <f t="shared" si="5"/>
        <v>0</v>
      </c>
      <c r="AD447" s="14">
        <f t="shared" si="68"/>
        <v>0</v>
      </c>
    </row>
    <row r="448" ht="15.75" customHeight="1">
      <c r="A448" s="14">
        <v>447.0</v>
      </c>
      <c r="B448" s="14" t="s">
        <v>1209</v>
      </c>
      <c r="C448" s="14" t="s">
        <v>116</v>
      </c>
      <c r="D448" s="14">
        <v>6.0</v>
      </c>
      <c r="G448" s="14"/>
      <c r="H448" s="14">
        <v>1.0</v>
      </c>
      <c r="I448" s="14">
        <v>897.0</v>
      </c>
      <c r="J448" s="14">
        <v>899.0</v>
      </c>
      <c r="K448" s="14">
        <f t="shared" si="1"/>
        <v>2</v>
      </c>
      <c r="L448" s="14">
        <v>5.0</v>
      </c>
      <c r="M448" s="14">
        <v>0.0</v>
      </c>
      <c r="N448" s="14">
        <v>0.0</v>
      </c>
      <c r="O448" s="14">
        <v>0.0</v>
      </c>
      <c r="P448" s="14">
        <v>3.0</v>
      </c>
      <c r="Q448" s="14">
        <v>0.0</v>
      </c>
      <c r="R448" s="14">
        <v>0.0</v>
      </c>
      <c r="S448" s="14"/>
      <c r="T448" s="31">
        <f t="shared" si="2"/>
        <v>8</v>
      </c>
      <c r="U448" s="14" t="s">
        <v>45</v>
      </c>
      <c r="V448" s="26"/>
      <c r="W448" s="14" t="s">
        <v>46</v>
      </c>
      <c r="Z448" s="14"/>
      <c r="AA448" s="14" t="str">
        <f t="shared" si="3"/>
        <v/>
      </c>
      <c r="AB448" s="14">
        <f t="shared" si="4"/>
        <v>0</v>
      </c>
      <c r="AC448" s="14">
        <f t="shared" si="5"/>
        <v>8</v>
      </c>
      <c r="AD448" s="14">
        <f t="shared" si="68"/>
        <v>1</v>
      </c>
    </row>
    <row r="449" ht="15.75" customHeight="1">
      <c r="A449" s="14">
        <v>448.0</v>
      </c>
      <c r="B449" s="14" t="s">
        <v>1210</v>
      </c>
      <c r="C449" s="14" t="s">
        <v>116</v>
      </c>
      <c r="D449" s="14">
        <v>7.0</v>
      </c>
      <c r="E449" s="14"/>
      <c r="G449" s="14"/>
      <c r="H449" s="14">
        <v>1.0</v>
      </c>
      <c r="I449" s="14">
        <v>190.0</v>
      </c>
      <c r="J449" s="14">
        <v>207.0</v>
      </c>
      <c r="K449" s="14">
        <f t="shared" si="1"/>
        <v>17</v>
      </c>
      <c r="L449" s="14">
        <v>17.0</v>
      </c>
      <c r="M449" s="14">
        <v>0.0</v>
      </c>
      <c r="N449" s="14">
        <v>0.0</v>
      </c>
      <c r="O449" s="14">
        <v>0.0</v>
      </c>
      <c r="P449" s="14">
        <v>3.0</v>
      </c>
      <c r="Q449" s="14">
        <v>0.0</v>
      </c>
      <c r="R449" s="14">
        <v>30.0</v>
      </c>
      <c r="S449" s="14"/>
      <c r="T449" s="31">
        <f t="shared" si="2"/>
        <v>50</v>
      </c>
      <c r="U449" s="14" t="s">
        <v>45</v>
      </c>
      <c r="V449" s="26"/>
      <c r="W449" s="14" t="s">
        <v>46</v>
      </c>
      <c r="X449" s="14"/>
      <c r="Y449" s="14"/>
      <c r="Z449" s="14"/>
      <c r="AA449" s="14" t="str">
        <f t="shared" si="3"/>
        <v/>
      </c>
      <c r="AB449" s="14">
        <f t="shared" si="4"/>
        <v>0</v>
      </c>
      <c r="AC449" s="14">
        <f t="shared" si="5"/>
        <v>50</v>
      </c>
      <c r="AD449" s="14">
        <f t="shared" si="68"/>
        <v>1</v>
      </c>
    </row>
    <row r="450" ht="15.75" customHeight="1">
      <c r="A450" s="14">
        <v>449.0</v>
      </c>
      <c r="B450" s="14" t="s">
        <v>1212</v>
      </c>
      <c r="C450" s="14" t="s">
        <v>116</v>
      </c>
      <c r="D450" s="14">
        <v>8.0</v>
      </c>
      <c r="G450" s="14"/>
      <c r="H450" s="14">
        <v>1.0</v>
      </c>
      <c r="I450" s="14">
        <v>435.0</v>
      </c>
      <c r="J450" s="14">
        <v>447.0</v>
      </c>
      <c r="K450" s="14">
        <f t="shared" si="1"/>
        <v>12</v>
      </c>
      <c r="L450" s="14">
        <v>12.0</v>
      </c>
      <c r="M450" s="14">
        <v>12.0</v>
      </c>
      <c r="N450" s="14">
        <v>0.0</v>
      </c>
      <c r="O450" s="14">
        <v>0.0</v>
      </c>
      <c r="P450" s="14">
        <v>3.0</v>
      </c>
      <c r="Q450" s="36">
        <v>0.0</v>
      </c>
      <c r="R450" s="36">
        <v>0.0</v>
      </c>
      <c r="S450" s="14"/>
      <c r="T450" s="31">
        <f t="shared" si="2"/>
        <v>27</v>
      </c>
      <c r="U450" s="14" t="s">
        <v>45</v>
      </c>
      <c r="V450" s="26"/>
      <c r="W450" s="14" t="s">
        <v>46</v>
      </c>
      <c r="Z450" s="14"/>
      <c r="AA450" s="14" t="str">
        <f t="shared" si="3"/>
        <v/>
      </c>
      <c r="AB450" s="14">
        <f t="shared" si="4"/>
        <v>0</v>
      </c>
      <c r="AC450" s="14">
        <f t="shared" si="5"/>
        <v>27</v>
      </c>
      <c r="AD450" s="14">
        <f t="shared" si="68"/>
        <v>1</v>
      </c>
    </row>
    <row r="451" ht="15.75" customHeight="1">
      <c r="A451" s="14">
        <v>450.0</v>
      </c>
      <c r="B451" s="14" t="s">
        <v>1213</v>
      </c>
      <c r="C451" s="14" t="s">
        <v>116</v>
      </c>
      <c r="D451" s="14">
        <v>13.0</v>
      </c>
      <c r="G451" s="14"/>
      <c r="H451" s="14">
        <v>1.0</v>
      </c>
      <c r="I451" s="14">
        <v>519.0</v>
      </c>
      <c r="J451" s="14">
        <v>528.0</v>
      </c>
      <c r="K451" s="14">
        <f t="shared" si="1"/>
        <v>9</v>
      </c>
      <c r="L451" s="14">
        <v>9.0</v>
      </c>
      <c r="M451" s="14">
        <v>0.0</v>
      </c>
      <c r="N451" s="14">
        <v>0.0</v>
      </c>
      <c r="O451" s="14">
        <v>0.0</v>
      </c>
      <c r="P451" s="14">
        <v>3.0</v>
      </c>
      <c r="Q451" s="14">
        <v>0.0</v>
      </c>
      <c r="R451" s="14">
        <v>30.0</v>
      </c>
      <c r="S451" s="14"/>
      <c r="T451" s="31">
        <f t="shared" si="2"/>
        <v>42</v>
      </c>
      <c r="U451" s="14" t="s">
        <v>45</v>
      </c>
      <c r="V451" s="26"/>
      <c r="W451" s="14" t="s">
        <v>46</v>
      </c>
      <c r="Z451" s="14"/>
      <c r="AA451" s="14" t="str">
        <f t="shared" si="3"/>
        <v/>
      </c>
      <c r="AB451" s="14">
        <f t="shared" si="4"/>
        <v>0</v>
      </c>
      <c r="AC451" s="14">
        <f t="shared" si="5"/>
        <v>42</v>
      </c>
      <c r="AD451" s="14">
        <f t="shared" si="68"/>
        <v>1</v>
      </c>
    </row>
    <row r="452" ht="15.75" customHeight="1">
      <c r="A452" s="14">
        <v>451.0</v>
      </c>
      <c r="B452" s="14" t="s">
        <v>1214</v>
      </c>
      <c r="C452" s="14" t="s">
        <v>116</v>
      </c>
      <c r="D452" s="14">
        <v>14.0</v>
      </c>
      <c r="G452" s="14"/>
      <c r="H452" s="14">
        <v>1.0</v>
      </c>
      <c r="I452" s="14">
        <v>663.0</v>
      </c>
      <c r="J452" s="14">
        <v>666.0</v>
      </c>
      <c r="K452" s="14">
        <f t="shared" si="1"/>
        <v>3</v>
      </c>
      <c r="L452" s="14">
        <v>5.0</v>
      </c>
      <c r="M452" s="14">
        <v>8.0</v>
      </c>
      <c r="N452" s="14">
        <v>0.0</v>
      </c>
      <c r="O452" s="14">
        <v>0.0</v>
      </c>
      <c r="P452" s="14">
        <v>3.0</v>
      </c>
      <c r="Q452" s="36">
        <v>0.0</v>
      </c>
      <c r="R452" s="40">
        <v>20.0</v>
      </c>
      <c r="S452" s="23"/>
      <c r="T452" s="31">
        <f t="shared" si="2"/>
        <v>36</v>
      </c>
      <c r="U452" s="23" t="s">
        <v>45</v>
      </c>
      <c r="V452" s="26"/>
      <c r="W452" s="23" t="s">
        <v>46</v>
      </c>
      <c r="Y452" s="43" t="s">
        <v>1139</v>
      </c>
      <c r="Z452" s="14"/>
      <c r="AA452" s="14" t="str">
        <f t="shared" si="3"/>
        <v/>
      </c>
      <c r="AB452" s="14">
        <f t="shared" si="4"/>
        <v>0</v>
      </c>
      <c r="AC452" s="14">
        <f t="shared" si="5"/>
        <v>36</v>
      </c>
      <c r="AD452" s="14">
        <f t="shared" si="68"/>
        <v>1</v>
      </c>
    </row>
    <row r="453" ht="15.75" customHeight="1">
      <c r="A453" s="14">
        <v>452.0</v>
      </c>
      <c r="B453" s="14" t="s">
        <v>1216</v>
      </c>
      <c r="C453" s="14" t="s">
        <v>116</v>
      </c>
      <c r="D453" s="14">
        <v>15.0</v>
      </c>
      <c r="E453" s="14"/>
      <c r="G453" s="14"/>
      <c r="H453" s="14">
        <v>1.0</v>
      </c>
      <c r="I453" s="14">
        <v>124.0</v>
      </c>
      <c r="J453" s="14">
        <v>127.0</v>
      </c>
      <c r="K453" s="14">
        <f t="shared" si="1"/>
        <v>3</v>
      </c>
      <c r="L453" s="14">
        <v>5.0</v>
      </c>
      <c r="M453" s="14">
        <v>0.0</v>
      </c>
      <c r="N453" s="14">
        <v>0.0</v>
      </c>
      <c r="O453" s="14">
        <v>0.0</v>
      </c>
      <c r="P453" s="14">
        <v>3.0</v>
      </c>
      <c r="Q453" s="36">
        <v>0.0</v>
      </c>
      <c r="R453" s="36">
        <v>30.0</v>
      </c>
      <c r="S453" s="14"/>
      <c r="T453" s="31">
        <f t="shared" si="2"/>
        <v>38</v>
      </c>
      <c r="U453" s="23" t="s">
        <v>45</v>
      </c>
      <c r="V453" s="70"/>
      <c r="W453" s="23" t="s">
        <v>46</v>
      </c>
      <c r="Z453" s="14"/>
      <c r="AA453" s="14" t="str">
        <f t="shared" si="3"/>
        <v/>
      </c>
      <c r="AB453" s="14">
        <f t="shared" si="4"/>
        <v>0</v>
      </c>
      <c r="AC453" s="14">
        <f t="shared" si="5"/>
        <v>38</v>
      </c>
      <c r="AD453" s="14">
        <f t="shared" si="68"/>
        <v>1</v>
      </c>
    </row>
    <row r="454" ht="15.75" hidden="1" customHeight="1">
      <c r="A454" s="14">
        <v>453.0</v>
      </c>
      <c r="B454" s="14" t="s">
        <v>1218</v>
      </c>
      <c r="C454" s="14" t="s">
        <v>116</v>
      </c>
      <c r="D454" s="14">
        <v>16.0</v>
      </c>
      <c r="G454" s="14"/>
      <c r="H454" s="14">
        <v>1.0</v>
      </c>
      <c r="I454" s="14">
        <v>877.0</v>
      </c>
      <c r="J454" s="14">
        <v>889.0</v>
      </c>
      <c r="K454" s="14">
        <f t="shared" si="1"/>
        <v>12</v>
      </c>
      <c r="L454" s="14">
        <v>12.0</v>
      </c>
      <c r="M454" s="14">
        <v>0.0</v>
      </c>
      <c r="N454" s="14">
        <v>0.0</v>
      </c>
      <c r="O454" s="14">
        <v>0.0</v>
      </c>
      <c r="P454" s="14">
        <v>3.0</v>
      </c>
      <c r="Q454" s="36">
        <v>0.0</v>
      </c>
      <c r="R454" s="36">
        <v>0.0</v>
      </c>
      <c r="S454" s="14"/>
      <c r="T454" s="31">
        <f t="shared" si="2"/>
        <v>15</v>
      </c>
      <c r="U454" s="14"/>
      <c r="V454" s="26"/>
      <c r="W454" s="14"/>
      <c r="Z454" s="14"/>
      <c r="AA454" s="14" t="str">
        <f t="shared" si="3"/>
        <v/>
      </c>
      <c r="AB454" s="14">
        <f t="shared" si="4"/>
        <v>0</v>
      </c>
      <c r="AC454" s="14">
        <f t="shared" si="5"/>
        <v>0</v>
      </c>
      <c r="AD454" s="14">
        <f t="shared" si="68"/>
        <v>0</v>
      </c>
    </row>
    <row r="455" ht="15.75" customHeight="1">
      <c r="A455" s="14">
        <v>454.0</v>
      </c>
      <c r="B455" s="14" t="s">
        <v>1222</v>
      </c>
      <c r="C455" s="14" t="s">
        <v>116</v>
      </c>
      <c r="D455" s="14">
        <v>17.0</v>
      </c>
      <c r="G455" s="14"/>
      <c r="H455" s="14">
        <v>1.0</v>
      </c>
      <c r="I455" s="14">
        <v>372.0</v>
      </c>
      <c r="J455" s="14">
        <v>378.0</v>
      </c>
      <c r="K455" s="14">
        <f t="shared" si="1"/>
        <v>6</v>
      </c>
      <c r="L455" s="14">
        <v>6.0</v>
      </c>
      <c r="M455" s="14">
        <v>0.0</v>
      </c>
      <c r="N455" s="14">
        <v>0.0</v>
      </c>
      <c r="O455" s="14">
        <v>0.0</v>
      </c>
      <c r="P455" s="14">
        <v>3.0</v>
      </c>
      <c r="Q455" s="14">
        <v>0.0</v>
      </c>
      <c r="R455" s="14"/>
      <c r="S455" s="14"/>
      <c r="T455" s="31">
        <f t="shared" si="2"/>
        <v>9</v>
      </c>
      <c r="U455" s="14" t="s">
        <v>45</v>
      </c>
      <c r="V455" s="26"/>
      <c r="W455" s="14" t="s">
        <v>46</v>
      </c>
      <c r="Y455" s="23" t="s">
        <v>320</v>
      </c>
      <c r="Z455" s="14"/>
      <c r="AA455" s="14" t="str">
        <f t="shared" si="3"/>
        <v/>
      </c>
      <c r="AB455" s="14">
        <f t="shared" si="4"/>
        <v>0</v>
      </c>
      <c r="AC455" s="14">
        <f t="shared" si="5"/>
        <v>9</v>
      </c>
      <c r="AD455" s="14">
        <f t="shared" si="68"/>
        <v>1</v>
      </c>
    </row>
    <row r="456" ht="15.75" hidden="1" customHeight="1">
      <c r="A456" s="14">
        <v>455.0</v>
      </c>
      <c r="B456" s="14" t="s">
        <v>1224</v>
      </c>
      <c r="C456" s="14" t="s">
        <v>206</v>
      </c>
      <c r="D456" s="14">
        <v>1.0</v>
      </c>
      <c r="G456" s="14"/>
      <c r="H456" s="14">
        <v>1.0</v>
      </c>
      <c r="I456" s="14">
        <v>165.0</v>
      </c>
      <c r="J456" s="14">
        <v>165.0</v>
      </c>
      <c r="K456" s="14">
        <f t="shared" si="1"/>
        <v>0</v>
      </c>
      <c r="L456" s="14">
        <v>5.0</v>
      </c>
      <c r="M456" s="14">
        <v>56.0</v>
      </c>
      <c r="N456" s="14">
        <v>40.0</v>
      </c>
      <c r="O456" s="14">
        <v>0.0</v>
      </c>
      <c r="P456" s="14">
        <v>3.0</v>
      </c>
      <c r="Q456" s="36">
        <v>0.0</v>
      </c>
      <c r="R456" s="36">
        <v>30.0</v>
      </c>
      <c r="S456" s="14"/>
      <c r="T456" s="31">
        <f t="shared" si="2"/>
        <v>134</v>
      </c>
      <c r="U456" s="14"/>
      <c r="V456" s="26"/>
      <c r="W456" s="14"/>
      <c r="Z456" s="23" t="s">
        <v>959</v>
      </c>
      <c r="AA456" s="14" t="str">
        <f t="shared" si="3"/>
        <v>CORTE</v>
      </c>
      <c r="AB456" s="14">
        <f t="shared" si="4"/>
        <v>0</v>
      </c>
      <c r="AC456" s="14">
        <f t="shared" si="5"/>
        <v>0</v>
      </c>
      <c r="AD456" s="14"/>
    </row>
    <row r="457" ht="15.75" customHeight="1">
      <c r="A457" s="14">
        <v>456.0</v>
      </c>
      <c r="B457" s="14" t="s">
        <v>1226</v>
      </c>
      <c r="C457" s="14" t="s">
        <v>206</v>
      </c>
      <c r="D457" s="14">
        <v>2.0</v>
      </c>
      <c r="G457" s="14"/>
      <c r="H457" s="14">
        <v>1.0</v>
      </c>
      <c r="I457" s="14">
        <v>40.0</v>
      </c>
      <c r="J457" s="14">
        <v>40.0</v>
      </c>
      <c r="K457" s="14">
        <f t="shared" si="1"/>
        <v>0</v>
      </c>
      <c r="L457" s="14">
        <v>5.0</v>
      </c>
      <c r="M457" s="14">
        <v>8.0</v>
      </c>
      <c r="N457" s="14">
        <v>0.0</v>
      </c>
      <c r="O457" s="14">
        <v>0.0</v>
      </c>
      <c r="P457" s="14">
        <v>3.0</v>
      </c>
      <c r="Q457" s="36">
        <v>0.0</v>
      </c>
      <c r="R457" s="36">
        <v>30.0</v>
      </c>
      <c r="S457" s="14"/>
      <c r="T457" s="31">
        <f t="shared" si="2"/>
        <v>46</v>
      </c>
      <c r="U457" s="14" t="s">
        <v>45</v>
      </c>
      <c r="V457" s="26"/>
      <c r="W457" s="14" t="s">
        <v>46</v>
      </c>
      <c r="Z457" s="14"/>
      <c r="AA457" s="14" t="str">
        <f t="shared" si="3"/>
        <v/>
      </c>
      <c r="AB457" s="14">
        <f t="shared" si="4"/>
        <v>0</v>
      </c>
      <c r="AC457" s="14">
        <f t="shared" si="5"/>
        <v>46</v>
      </c>
      <c r="AD457" s="14"/>
    </row>
    <row r="458" ht="15.75" customHeight="1">
      <c r="A458" s="14">
        <v>457.0</v>
      </c>
      <c r="B458" s="14" t="s">
        <v>1229</v>
      </c>
      <c r="C458" s="14" t="s">
        <v>206</v>
      </c>
      <c r="D458" s="14">
        <v>3.0</v>
      </c>
      <c r="G458" s="14"/>
      <c r="H458" s="14">
        <v>1.0</v>
      </c>
      <c r="I458" s="14">
        <v>612.0</v>
      </c>
      <c r="J458" s="14">
        <v>617.0</v>
      </c>
      <c r="K458" s="14">
        <f t="shared" si="1"/>
        <v>5</v>
      </c>
      <c r="L458" s="14">
        <v>5.0</v>
      </c>
      <c r="M458" s="14">
        <v>0.0</v>
      </c>
      <c r="N458" s="14">
        <v>0.0</v>
      </c>
      <c r="O458" s="14">
        <v>0.0</v>
      </c>
      <c r="P458" s="14">
        <v>3.0</v>
      </c>
      <c r="Q458" s="36">
        <v>0.0</v>
      </c>
      <c r="R458" s="36">
        <v>30.0</v>
      </c>
      <c r="S458" s="14"/>
      <c r="T458" s="31">
        <f t="shared" si="2"/>
        <v>38</v>
      </c>
      <c r="U458" s="42" t="s">
        <v>45</v>
      </c>
      <c r="W458" s="14"/>
      <c r="Z458" s="14" t="s">
        <v>959</v>
      </c>
      <c r="AA458" s="14" t="str">
        <f t="shared" si="3"/>
        <v/>
      </c>
      <c r="AB458" s="14">
        <f t="shared" si="4"/>
        <v>38</v>
      </c>
      <c r="AC458" s="14">
        <f t="shared" si="5"/>
        <v>0</v>
      </c>
      <c r="AD458" s="14"/>
    </row>
    <row r="459" ht="15.75" customHeight="1">
      <c r="A459" s="14">
        <v>458.0</v>
      </c>
      <c r="B459" s="14" t="s">
        <v>1232</v>
      </c>
      <c r="C459" s="14" t="s">
        <v>206</v>
      </c>
      <c r="D459" s="14">
        <v>4.0</v>
      </c>
      <c r="G459" s="14"/>
      <c r="H459" s="14">
        <v>1.0</v>
      </c>
      <c r="I459" s="14">
        <v>49.0</v>
      </c>
      <c r="J459" s="14">
        <v>56.0</v>
      </c>
      <c r="K459" s="14">
        <f t="shared" si="1"/>
        <v>7</v>
      </c>
      <c r="L459" s="14">
        <v>7.0</v>
      </c>
      <c r="M459" s="14">
        <v>0.0</v>
      </c>
      <c r="N459" s="14">
        <v>0.0</v>
      </c>
      <c r="O459" s="14">
        <v>0.0</v>
      </c>
      <c r="P459" s="14">
        <v>3.0</v>
      </c>
      <c r="Q459" s="36">
        <v>0.0</v>
      </c>
      <c r="R459" s="36">
        <v>0.0</v>
      </c>
      <c r="S459" s="14"/>
      <c r="T459" s="31">
        <f t="shared" si="2"/>
        <v>10</v>
      </c>
      <c r="U459" s="42" t="s">
        <v>45</v>
      </c>
      <c r="V459" s="26"/>
      <c r="W459" s="14"/>
      <c r="Z459" s="14"/>
      <c r="AA459" s="14" t="str">
        <f t="shared" si="3"/>
        <v/>
      </c>
      <c r="AB459" s="14">
        <f t="shared" si="4"/>
        <v>10</v>
      </c>
      <c r="AC459" s="14">
        <f t="shared" si="5"/>
        <v>0</v>
      </c>
      <c r="AD459" s="14">
        <f t="shared" ref="AD459:AD466" si="69">IF(ISBLANK(W459),0,1)</f>
        <v>0</v>
      </c>
    </row>
    <row r="460" ht="15.75" customHeight="1">
      <c r="A460" s="14">
        <v>459.0</v>
      </c>
      <c r="B460" s="14" t="s">
        <v>1234</v>
      </c>
      <c r="C460" s="14" t="s">
        <v>206</v>
      </c>
      <c r="D460" s="14">
        <v>5.0</v>
      </c>
      <c r="G460" s="14"/>
      <c r="H460" s="14">
        <v>1.0</v>
      </c>
      <c r="I460" s="14">
        <v>859.0</v>
      </c>
      <c r="J460" s="14">
        <v>866.0</v>
      </c>
      <c r="K460" s="14">
        <f t="shared" si="1"/>
        <v>7</v>
      </c>
      <c r="L460" s="14">
        <v>7.0</v>
      </c>
      <c r="M460" s="14">
        <v>8.0</v>
      </c>
      <c r="N460" s="14">
        <v>0.0</v>
      </c>
      <c r="O460" s="14">
        <v>0.0</v>
      </c>
      <c r="P460" s="14">
        <v>3.0</v>
      </c>
      <c r="Q460" s="14">
        <v>0.0</v>
      </c>
      <c r="R460" s="14">
        <v>30.0</v>
      </c>
      <c r="S460" s="14"/>
      <c r="T460" s="31">
        <f t="shared" si="2"/>
        <v>48</v>
      </c>
      <c r="U460" s="14" t="s">
        <v>45</v>
      </c>
      <c r="V460" s="26"/>
      <c r="W460" s="14" t="s">
        <v>46</v>
      </c>
      <c r="Z460" s="14"/>
      <c r="AA460" s="14" t="str">
        <f t="shared" si="3"/>
        <v/>
      </c>
      <c r="AB460" s="14">
        <f t="shared" si="4"/>
        <v>0</v>
      </c>
      <c r="AC460" s="14">
        <f t="shared" si="5"/>
        <v>48</v>
      </c>
      <c r="AD460" s="14">
        <f t="shared" si="69"/>
        <v>1</v>
      </c>
    </row>
    <row r="461" ht="15.75" customHeight="1">
      <c r="A461" s="14">
        <v>460.0</v>
      </c>
      <c r="B461" s="14" t="s">
        <v>1236</v>
      </c>
      <c r="C461" s="14" t="s">
        <v>206</v>
      </c>
      <c r="D461" s="14">
        <v>6.0</v>
      </c>
      <c r="G461" s="14"/>
      <c r="H461" s="14">
        <v>1.0</v>
      </c>
      <c r="I461" s="14">
        <v>245.0</v>
      </c>
      <c r="J461" s="14">
        <v>250.0</v>
      </c>
      <c r="K461" s="14">
        <f t="shared" si="1"/>
        <v>5</v>
      </c>
      <c r="L461" s="14">
        <v>5.0</v>
      </c>
      <c r="M461" s="14">
        <v>0.0</v>
      </c>
      <c r="N461" s="14">
        <v>0.0</v>
      </c>
      <c r="O461" s="14">
        <v>0.0</v>
      </c>
      <c r="P461" s="14">
        <v>3.0</v>
      </c>
      <c r="Q461" s="36">
        <v>0.0</v>
      </c>
      <c r="R461" s="36"/>
      <c r="S461" s="14"/>
      <c r="T461" s="31">
        <f t="shared" si="2"/>
        <v>8</v>
      </c>
      <c r="U461" s="14" t="s">
        <v>45</v>
      </c>
      <c r="V461" s="26"/>
      <c r="W461" s="14" t="s">
        <v>46</v>
      </c>
      <c r="Y461" s="23" t="s">
        <v>320</v>
      </c>
      <c r="Z461" s="14"/>
      <c r="AA461" s="14" t="str">
        <f t="shared" si="3"/>
        <v/>
      </c>
      <c r="AB461" s="14">
        <f t="shared" si="4"/>
        <v>0</v>
      </c>
      <c r="AC461" s="14">
        <f t="shared" si="5"/>
        <v>8</v>
      </c>
      <c r="AD461" s="14">
        <f t="shared" si="69"/>
        <v>1</v>
      </c>
    </row>
    <row r="462" ht="15.75" customHeight="1">
      <c r="A462" s="14">
        <v>461.0</v>
      </c>
      <c r="B462" s="14" t="s">
        <v>1238</v>
      </c>
      <c r="C462" s="14" t="s">
        <v>211</v>
      </c>
      <c r="D462" s="14">
        <v>1.0</v>
      </c>
      <c r="G462" s="14"/>
      <c r="H462" s="14">
        <v>1.0</v>
      </c>
      <c r="I462" s="14">
        <v>875.0</v>
      </c>
      <c r="J462" s="14">
        <v>878.0</v>
      </c>
      <c r="K462" s="14">
        <f t="shared" si="1"/>
        <v>3</v>
      </c>
      <c r="L462" s="14">
        <v>5.0</v>
      </c>
      <c r="M462" s="14">
        <v>0.0</v>
      </c>
      <c r="N462" s="14">
        <v>0.0</v>
      </c>
      <c r="O462" s="14">
        <v>0.0</v>
      </c>
      <c r="P462" s="14">
        <v>3.0</v>
      </c>
      <c r="Q462" s="36">
        <v>0.0</v>
      </c>
      <c r="R462" s="40">
        <v>0.0</v>
      </c>
      <c r="S462" s="14"/>
      <c r="T462" s="31">
        <f t="shared" si="2"/>
        <v>8</v>
      </c>
      <c r="U462" s="14" t="s">
        <v>45</v>
      </c>
      <c r="V462" s="26"/>
      <c r="W462" s="14" t="s">
        <v>46</v>
      </c>
      <c r="Y462" s="43" t="s">
        <v>312</v>
      </c>
      <c r="Z462" s="14"/>
      <c r="AA462" s="14" t="str">
        <f t="shared" si="3"/>
        <v/>
      </c>
      <c r="AB462" s="14">
        <f t="shared" si="4"/>
        <v>0</v>
      </c>
      <c r="AC462" s="14">
        <f t="shared" si="5"/>
        <v>8</v>
      </c>
      <c r="AD462" s="14">
        <f t="shared" si="69"/>
        <v>1</v>
      </c>
    </row>
    <row r="463" ht="15.75" customHeight="1">
      <c r="A463" s="14">
        <v>462.0</v>
      </c>
      <c r="B463" s="14" t="s">
        <v>1239</v>
      </c>
      <c r="C463" s="14" t="s">
        <v>211</v>
      </c>
      <c r="D463" s="14">
        <v>3.0</v>
      </c>
      <c r="G463" s="14"/>
      <c r="H463" s="14">
        <v>1.0</v>
      </c>
      <c r="I463" s="14">
        <v>43.0</v>
      </c>
      <c r="J463" s="14">
        <v>48.0</v>
      </c>
      <c r="K463" s="14">
        <f t="shared" si="1"/>
        <v>5</v>
      </c>
      <c r="L463" s="14">
        <v>5.0</v>
      </c>
      <c r="M463" s="14">
        <v>0.0</v>
      </c>
      <c r="N463" s="14">
        <v>0.0</v>
      </c>
      <c r="O463" s="14">
        <v>0.0</v>
      </c>
      <c r="P463" s="14">
        <v>3.0</v>
      </c>
      <c r="Q463" s="36">
        <v>0.0</v>
      </c>
      <c r="R463" s="36">
        <v>0.0</v>
      </c>
      <c r="S463" s="14"/>
      <c r="T463" s="31">
        <f t="shared" si="2"/>
        <v>8</v>
      </c>
      <c r="U463" s="42" t="s">
        <v>45</v>
      </c>
      <c r="V463" s="70"/>
      <c r="W463" s="14"/>
      <c r="Z463" s="14"/>
      <c r="AA463" s="14" t="str">
        <f t="shared" si="3"/>
        <v/>
      </c>
      <c r="AB463" s="14">
        <f t="shared" si="4"/>
        <v>8</v>
      </c>
      <c r="AC463" s="14">
        <f t="shared" si="5"/>
        <v>0</v>
      </c>
      <c r="AD463" s="14">
        <f t="shared" si="69"/>
        <v>0</v>
      </c>
    </row>
    <row r="464" ht="15.75" hidden="1" customHeight="1">
      <c r="A464" s="14">
        <v>463.0</v>
      </c>
      <c r="B464" s="14" t="s">
        <v>1242</v>
      </c>
      <c r="C464" s="14" t="s">
        <v>211</v>
      </c>
      <c r="D464" s="14">
        <v>4.0</v>
      </c>
      <c r="G464" s="14"/>
      <c r="H464" s="14">
        <v>1.0</v>
      </c>
      <c r="I464" s="14">
        <v>971.0</v>
      </c>
      <c r="J464" s="14">
        <v>983.0</v>
      </c>
      <c r="K464" s="14">
        <f t="shared" si="1"/>
        <v>12</v>
      </c>
      <c r="L464" s="14">
        <v>12.0</v>
      </c>
      <c r="M464" s="14">
        <v>0.0</v>
      </c>
      <c r="N464" s="14">
        <v>0.0</v>
      </c>
      <c r="O464" s="14">
        <v>0.0</v>
      </c>
      <c r="P464" s="14">
        <v>3.0</v>
      </c>
      <c r="Q464" s="14">
        <v>0.0</v>
      </c>
      <c r="R464" s="14">
        <v>0.0</v>
      </c>
      <c r="S464" s="14"/>
      <c r="T464" s="31">
        <f t="shared" si="2"/>
        <v>15</v>
      </c>
      <c r="U464" s="14"/>
      <c r="V464" s="70"/>
      <c r="W464" s="14"/>
      <c r="Z464" s="14"/>
      <c r="AA464" s="14" t="str">
        <f t="shared" si="3"/>
        <v/>
      </c>
      <c r="AB464" s="14">
        <f t="shared" si="4"/>
        <v>0</v>
      </c>
      <c r="AC464" s="14">
        <f t="shared" si="5"/>
        <v>0</v>
      </c>
      <c r="AD464" s="14">
        <f t="shared" si="69"/>
        <v>0</v>
      </c>
    </row>
    <row r="465" ht="15.75" hidden="1" customHeight="1">
      <c r="A465" s="14">
        <v>464.0</v>
      </c>
      <c r="B465" s="14" t="s">
        <v>1244</v>
      </c>
      <c r="C465" s="36" t="s">
        <v>211</v>
      </c>
      <c r="D465" s="14">
        <v>6.0</v>
      </c>
      <c r="E465" s="14" t="s">
        <v>52</v>
      </c>
      <c r="G465" s="14"/>
      <c r="H465" s="14">
        <v>1.0</v>
      </c>
      <c r="I465" s="14">
        <v>0.0</v>
      </c>
      <c r="J465" s="14">
        <v>0.0</v>
      </c>
      <c r="K465" s="14">
        <f t="shared" si="1"/>
        <v>0</v>
      </c>
      <c r="L465" s="14">
        <v>5.0</v>
      </c>
      <c r="M465" s="14">
        <v>0.0</v>
      </c>
      <c r="N465" s="14">
        <v>0.0</v>
      </c>
      <c r="O465" s="14">
        <v>100.0</v>
      </c>
      <c r="P465" s="14">
        <v>3.0</v>
      </c>
      <c r="Q465" s="14">
        <v>0.0</v>
      </c>
      <c r="R465" s="14">
        <v>30.0</v>
      </c>
      <c r="S465" s="14"/>
      <c r="T465" s="31">
        <f t="shared" si="2"/>
        <v>138</v>
      </c>
      <c r="U465" s="14"/>
      <c r="V465" s="26"/>
      <c r="W465" s="14"/>
      <c r="Z465" s="14"/>
      <c r="AA465" s="14" t="str">
        <f t="shared" si="3"/>
        <v/>
      </c>
      <c r="AB465" s="14">
        <f t="shared" si="4"/>
        <v>0</v>
      </c>
      <c r="AC465" s="14">
        <f t="shared" si="5"/>
        <v>0</v>
      </c>
      <c r="AD465" s="14">
        <f t="shared" si="69"/>
        <v>0</v>
      </c>
    </row>
    <row r="466" ht="15.75" customHeight="1">
      <c r="A466" s="14">
        <v>465.0</v>
      </c>
      <c r="B466" s="14" t="s">
        <v>1247</v>
      </c>
      <c r="C466" s="14" t="s">
        <v>211</v>
      </c>
      <c r="D466" s="14">
        <v>7.0</v>
      </c>
      <c r="E466" s="14"/>
      <c r="G466" s="14"/>
      <c r="H466" s="14">
        <v>1.0</v>
      </c>
      <c r="I466" s="14">
        <v>268.0</v>
      </c>
      <c r="J466" s="14">
        <v>276.0</v>
      </c>
      <c r="K466" s="14">
        <f t="shared" si="1"/>
        <v>8</v>
      </c>
      <c r="L466" s="14">
        <v>8.0</v>
      </c>
      <c r="M466" s="14">
        <v>0.0</v>
      </c>
      <c r="N466" s="14">
        <v>0.0</v>
      </c>
      <c r="O466" s="14">
        <v>0.0</v>
      </c>
      <c r="P466" s="14">
        <v>3.0</v>
      </c>
      <c r="Q466" s="36">
        <v>0.0</v>
      </c>
      <c r="R466" s="36">
        <v>0.0</v>
      </c>
      <c r="S466" s="14"/>
      <c r="T466" s="31">
        <f t="shared" si="2"/>
        <v>11</v>
      </c>
      <c r="U466" s="23" t="s">
        <v>45</v>
      </c>
      <c r="V466" s="26"/>
      <c r="W466" s="23" t="s">
        <v>46</v>
      </c>
      <c r="Z466" s="14"/>
      <c r="AA466" s="14" t="str">
        <f t="shared" si="3"/>
        <v/>
      </c>
      <c r="AB466" s="14">
        <f t="shared" si="4"/>
        <v>0</v>
      </c>
      <c r="AC466" s="14">
        <f t="shared" si="5"/>
        <v>11</v>
      </c>
      <c r="AD466" s="14">
        <f t="shared" si="69"/>
        <v>1</v>
      </c>
    </row>
    <row r="467" ht="15.75" customHeight="1">
      <c r="A467" s="14">
        <v>466.0</v>
      </c>
      <c r="B467" s="14" t="s">
        <v>1250</v>
      </c>
      <c r="C467" s="14" t="s">
        <v>211</v>
      </c>
      <c r="D467" s="14">
        <v>8.0</v>
      </c>
      <c r="G467" s="14"/>
      <c r="H467" s="14">
        <v>1.0</v>
      </c>
      <c r="I467" s="14">
        <v>265.0</v>
      </c>
      <c r="J467" s="14">
        <v>352.0</v>
      </c>
      <c r="K467" s="14">
        <f t="shared" si="1"/>
        <v>87</v>
      </c>
      <c r="L467" s="14">
        <v>87.0</v>
      </c>
      <c r="M467" s="14">
        <v>0.0</v>
      </c>
      <c r="N467" s="14">
        <v>0.0</v>
      </c>
      <c r="O467" s="14">
        <v>0.0</v>
      </c>
      <c r="P467" s="14">
        <v>3.0</v>
      </c>
      <c r="Q467" s="14">
        <v>0.0</v>
      </c>
      <c r="R467" s="14">
        <v>30.0</v>
      </c>
      <c r="S467" s="14"/>
      <c r="T467" s="31">
        <f t="shared" si="2"/>
        <v>120</v>
      </c>
      <c r="U467" s="23" t="s">
        <v>45</v>
      </c>
      <c r="V467" s="26"/>
      <c r="W467" s="23" t="s">
        <v>46</v>
      </c>
      <c r="Z467" s="14"/>
      <c r="AA467" s="14" t="str">
        <f t="shared" si="3"/>
        <v/>
      </c>
      <c r="AB467" s="14">
        <f t="shared" si="4"/>
        <v>0</v>
      </c>
      <c r="AC467" s="14">
        <f t="shared" si="5"/>
        <v>120</v>
      </c>
      <c r="AD467" s="14"/>
    </row>
    <row r="468" ht="15.75" customHeight="1">
      <c r="A468" s="14">
        <v>467.0</v>
      </c>
      <c r="B468" s="14" t="s">
        <v>1251</v>
      </c>
      <c r="C468" s="14" t="s">
        <v>211</v>
      </c>
      <c r="D468" s="14">
        <v>9.0</v>
      </c>
      <c r="E468" s="14"/>
      <c r="G468" s="14"/>
      <c r="H468" s="14">
        <v>1.0</v>
      </c>
      <c r="I468" s="14">
        <v>29.0</v>
      </c>
      <c r="J468" s="14">
        <v>33.0</v>
      </c>
      <c r="K468" s="14">
        <f t="shared" si="1"/>
        <v>4</v>
      </c>
      <c r="L468" s="14">
        <v>5.0</v>
      </c>
      <c r="M468" s="14">
        <v>8.0</v>
      </c>
      <c r="N468" s="14">
        <v>0.0</v>
      </c>
      <c r="O468" s="14">
        <v>0.0</v>
      </c>
      <c r="P468" s="14">
        <v>3.0</v>
      </c>
      <c r="Q468" s="36">
        <v>0.0</v>
      </c>
      <c r="R468" s="36">
        <v>30.0</v>
      </c>
      <c r="S468" s="14"/>
      <c r="T468" s="31">
        <f t="shared" si="2"/>
        <v>46</v>
      </c>
      <c r="U468" s="42" t="s">
        <v>45</v>
      </c>
      <c r="V468" s="26"/>
      <c r="W468" s="14"/>
      <c r="Z468" s="14"/>
      <c r="AA468" s="14" t="str">
        <f t="shared" si="3"/>
        <v/>
      </c>
      <c r="AB468" s="14">
        <f t="shared" si="4"/>
        <v>46</v>
      </c>
      <c r="AC468" s="14">
        <f t="shared" si="5"/>
        <v>0</v>
      </c>
      <c r="AD468" s="14">
        <f t="shared" ref="AD468:AD469" si="70">IF(ISBLANK(W468),0,1)</f>
        <v>0</v>
      </c>
    </row>
    <row r="469" ht="15.75" customHeight="1">
      <c r="A469" s="14">
        <v>468.0</v>
      </c>
      <c r="B469" s="14" t="s">
        <v>1256</v>
      </c>
      <c r="C469" s="14" t="s">
        <v>214</v>
      </c>
      <c r="D469" s="14">
        <v>1.0</v>
      </c>
      <c r="G469" s="14"/>
      <c r="H469" s="14">
        <v>1.0</v>
      </c>
      <c r="I469" s="14">
        <v>241.0</v>
      </c>
      <c r="J469" s="14">
        <v>245.0</v>
      </c>
      <c r="K469" s="14">
        <f t="shared" si="1"/>
        <v>4</v>
      </c>
      <c r="L469" s="14">
        <v>5.0</v>
      </c>
      <c r="M469" s="14">
        <v>0.0</v>
      </c>
      <c r="N469" s="14">
        <v>0.0</v>
      </c>
      <c r="O469" s="14">
        <v>0.0</v>
      </c>
      <c r="P469" s="14">
        <v>3.0</v>
      </c>
      <c r="Q469" s="36">
        <v>0.0</v>
      </c>
      <c r="R469" s="36">
        <v>30.0</v>
      </c>
      <c r="S469" s="14"/>
      <c r="T469" s="31">
        <f t="shared" si="2"/>
        <v>38</v>
      </c>
      <c r="U469" s="14" t="s">
        <v>45</v>
      </c>
      <c r="V469" s="26"/>
      <c r="W469" s="14" t="s">
        <v>46</v>
      </c>
      <c r="Z469" s="14"/>
      <c r="AA469" s="14" t="str">
        <f t="shared" si="3"/>
        <v/>
      </c>
      <c r="AB469" s="14">
        <f t="shared" si="4"/>
        <v>0</v>
      </c>
      <c r="AC469" s="14">
        <f t="shared" si="5"/>
        <v>38</v>
      </c>
      <c r="AD469" s="14">
        <f t="shared" si="70"/>
        <v>1</v>
      </c>
    </row>
    <row r="470" ht="15.75" customHeight="1">
      <c r="A470" s="14">
        <v>469.0</v>
      </c>
      <c r="B470" s="14" t="s">
        <v>1258</v>
      </c>
      <c r="C470" s="14" t="s">
        <v>214</v>
      </c>
      <c r="D470" s="14">
        <v>2.0</v>
      </c>
      <c r="G470" s="14"/>
      <c r="H470" s="14">
        <v>1.0</v>
      </c>
      <c r="I470" s="14">
        <v>831.0</v>
      </c>
      <c r="J470" s="14">
        <v>833.0</v>
      </c>
      <c r="K470" s="14">
        <f t="shared" si="1"/>
        <v>2</v>
      </c>
      <c r="L470" s="14">
        <v>5.0</v>
      </c>
      <c r="M470" s="14">
        <v>0.0</v>
      </c>
      <c r="N470" s="14">
        <v>0.0</v>
      </c>
      <c r="O470" s="14">
        <v>0.0</v>
      </c>
      <c r="P470" s="14">
        <v>3.0</v>
      </c>
      <c r="Q470" s="36">
        <v>0.0</v>
      </c>
      <c r="R470" s="36">
        <v>0.0</v>
      </c>
      <c r="S470" s="14"/>
      <c r="T470" s="31">
        <f t="shared" si="2"/>
        <v>8</v>
      </c>
      <c r="U470" s="14" t="s">
        <v>45</v>
      </c>
      <c r="V470" s="26"/>
      <c r="W470" s="14" t="s">
        <v>46</v>
      </c>
      <c r="X470" s="14"/>
      <c r="Y470" s="14"/>
      <c r="Z470" s="14"/>
      <c r="AA470" s="14" t="str">
        <f t="shared" si="3"/>
        <v/>
      </c>
      <c r="AB470" s="14">
        <f t="shared" si="4"/>
        <v>0</v>
      </c>
      <c r="AC470" s="14">
        <f t="shared" si="5"/>
        <v>8</v>
      </c>
      <c r="AD470" s="14"/>
    </row>
    <row r="471" ht="15.75" hidden="1" customHeight="1">
      <c r="A471" s="14">
        <v>470.0</v>
      </c>
      <c r="B471" s="14" t="s">
        <v>1261</v>
      </c>
      <c r="C471" s="14" t="s">
        <v>214</v>
      </c>
      <c r="D471" s="14">
        <v>4.0</v>
      </c>
      <c r="G471" s="14"/>
      <c r="H471" s="14">
        <v>1.0</v>
      </c>
      <c r="I471" s="14">
        <v>1258.0</v>
      </c>
      <c r="J471" s="14">
        <v>1258.0</v>
      </c>
      <c r="K471" s="14">
        <f t="shared" si="1"/>
        <v>0</v>
      </c>
      <c r="L471" s="14">
        <v>5.0</v>
      </c>
      <c r="M471" s="14">
        <v>183.0</v>
      </c>
      <c r="N471" s="14">
        <v>0.0</v>
      </c>
      <c r="O471" s="14">
        <v>0.0</v>
      </c>
      <c r="P471" s="14">
        <v>3.0</v>
      </c>
      <c r="Q471" s="14">
        <v>0.0</v>
      </c>
      <c r="R471" s="14">
        <v>30.0</v>
      </c>
      <c r="S471" s="14"/>
      <c r="T471" s="31">
        <f t="shared" si="2"/>
        <v>221</v>
      </c>
      <c r="U471" s="14"/>
      <c r="V471" s="70"/>
      <c r="W471" s="14"/>
      <c r="Z471" s="23" t="s">
        <v>528</v>
      </c>
      <c r="AA471" s="14" t="str">
        <f t="shared" si="3"/>
        <v>CORTE</v>
      </c>
      <c r="AB471" s="14">
        <f t="shared" si="4"/>
        <v>0</v>
      </c>
      <c r="AC471" s="14">
        <f t="shared" si="5"/>
        <v>0</v>
      </c>
      <c r="AD471" s="14">
        <f t="shared" ref="AD471:AD472" si="71">IF(ISBLANK(W471),0,1)</f>
        <v>0</v>
      </c>
    </row>
    <row r="472" ht="15.75" customHeight="1">
      <c r="A472" s="14">
        <v>471.0</v>
      </c>
      <c r="B472" s="14" t="s">
        <v>1264</v>
      </c>
      <c r="C472" s="14" t="s">
        <v>214</v>
      </c>
      <c r="D472" s="14">
        <v>6.0</v>
      </c>
      <c r="G472" s="14"/>
      <c r="H472" s="14">
        <v>1.0</v>
      </c>
      <c r="I472" s="14">
        <v>321.0</v>
      </c>
      <c r="J472" s="14">
        <v>328.0</v>
      </c>
      <c r="K472" s="14">
        <f t="shared" si="1"/>
        <v>7</v>
      </c>
      <c r="L472" s="14">
        <v>7.0</v>
      </c>
      <c r="M472" s="14">
        <v>0.0</v>
      </c>
      <c r="N472" s="14">
        <v>0.0</v>
      </c>
      <c r="O472" s="14">
        <v>0.0</v>
      </c>
      <c r="P472" s="14">
        <v>3.0</v>
      </c>
      <c r="Q472" s="36">
        <v>0.0</v>
      </c>
      <c r="R472" s="36">
        <v>0.0</v>
      </c>
      <c r="S472" s="14"/>
      <c r="T472" s="31">
        <f t="shared" si="2"/>
        <v>10</v>
      </c>
      <c r="U472" s="14" t="s">
        <v>45</v>
      </c>
      <c r="V472" s="26"/>
      <c r="W472" s="14" t="s">
        <v>46</v>
      </c>
      <c r="Z472" s="14"/>
      <c r="AA472" s="14" t="str">
        <f t="shared" si="3"/>
        <v/>
      </c>
      <c r="AB472" s="14">
        <f t="shared" si="4"/>
        <v>0</v>
      </c>
      <c r="AC472" s="14">
        <f t="shared" si="5"/>
        <v>10</v>
      </c>
      <c r="AD472" s="14">
        <f t="shared" si="71"/>
        <v>1</v>
      </c>
    </row>
    <row r="473" ht="15.75" customHeight="1">
      <c r="A473" s="14">
        <v>472.0</v>
      </c>
      <c r="B473" s="14" t="s">
        <v>1266</v>
      </c>
      <c r="C473" s="14" t="s">
        <v>214</v>
      </c>
      <c r="D473" s="14">
        <v>7.0</v>
      </c>
      <c r="G473" s="14"/>
      <c r="H473" s="14">
        <v>1.0</v>
      </c>
      <c r="I473" s="14">
        <v>80.0</v>
      </c>
      <c r="J473" s="14">
        <v>86.0</v>
      </c>
      <c r="K473" s="14">
        <f t="shared" si="1"/>
        <v>6</v>
      </c>
      <c r="L473" s="14">
        <v>6.0</v>
      </c>
      <c r="M473" s="14">
        <v>0.0</v>
      </c>
      <c r="N473" s="14">
        <v>0.0</v>
      </c>
      <c r="O473" s="14">
        <v>0.0</v>
      </c>
      <c r="P473" s="14">
        <v>3.0</v>
      </c>
      <c r="Q473" s="14">
        <v>0.0</v>
      </c>
      <c r="R473" s="14">
        <v>0.0</v>
      </c>
      <c r="S473" s="14"/>
      <c r="T473" s="31">
        <f t="shared" si="2"/>
        <v>9</v>
      </c>
      <c r="U473" s="14" t="s">
        <v>45</v>
      </c>
      <c r="W473" s="14" t="s">
        <v>46</v>
      </c>
      <c r="Z473" s="14"/>
      <c r="AA473" s="14" t="str">
        <f t="shared" si="3"/>
        <v/>
      </c>
      <c r="AB473" s="14">
        <f t="shared" si="4"/>
        <v>0</v>
      </c>
      <c r="AC473" s="14">
        <f t="shared" si="5"/>
        <v>9</v>
      </c>
      <c r="AD473" s="14"/>
    </row>
    <row r="474" ht="15.75" customHeight="1">
      <c r="A474" s="14">
        <v>473.0</v>
      </c>
      <c r="B474" s="14" t="s">
        <v>1268</v>
      </c>
      <c r="C474" s="14" t="s">
        <v>214</v>
      </c>
      <c r="D474" s="14">
        <v>8.0</v>
      </c>
      <c r="G474" s="14"/>
      <c r="H474" s="14">
        <v>1.0</v>
      </c>
      <c r="I474" s="14">
        <v>1524.0</v>
      </c>
      <c r="J474" s="14">
        <v>1536.0</v>
      </c>
      <c r="K474" s="14">
        <f t="shared" si="1"/>
        <v>12</v>
      </c>
      <c r="L474" s="14">
        <v>12.0</v>
      </c>
      <c r="M474" s="14">
        <v>0.0</v>
      </c>
      <c r="N474" s="14">
        <v>0.0</v>
      </c>
      <c r="O474" s="14">
        <v>0.0</v>
      </c>
      <c r="P474" s="14">
        <v>3.0</v>
      </c>
      <c r="Q474" s="14">
        <v>0.0</v>
      </c>
      <c r="R474" s="14">
        <v>0.0</v>
      </c>
      <c r="S474" s="14"/>
      <c r="T474" s="31">
        <f t="shared" si="2"/>
        <v>15</v>
      </c>
      <c r="U474" s="14" t="s">
        <v>45</v>
      </c>
      <c r="V474" s="26"/>
      <c r="W474" s="14" t="s">
        <v>46</v>
      </c>
      <c r="Z474" s="14"/>
      <c r="AA474" s="14" t="str">
        <f t="shared" si="3"/>
        <v/>
      </c>
      <c r="AB474" s="14">
        <f t="shared" si="4"/>
        <v>0</v>
      </c>
      <c r="AC474" s="14">
        <f t="shared" si="5"/>
        <v>15</v>
      </c>
      <c r="AD474" s="14">
        <f t="shared" ref="AD474:AD480" si="72">IF(ISBLANK(W474),0,1)</f>
        <v>1</v>
      </c>
    </row>
    <row r="475" ht="15.75" customHeight="1">
      <c r="A475" s="14">
        <v>474.0</v>
      </c>
      <c r="B475" s="14" t="s">
        <v>1271</v>
      </c>
      <c r="C475" s="14" t="s">
        <v>214</v>
      </c>
      <c r="D475" s="14">
        <v>9.0</v>
      </c>
      <c r="G475" s="14"/>
      <c r="H475" s="14">
        <v>1.0</v>
      </c>
      <c r="I475" s="14">
        <v>114.0</v>
      </c>
      <c r="J475" s="14">
        <v>117.0</v>
      </c>
      <c r="K475" s="14">
        <f t="shared" si="1"/>
        <v>3</v>
      </c>
      <c r="L475" s="14">
        <v>5.0</v>
      </c>
      <c r="M475" s="14">
        <v>0.0</v>
      </c>
      <c r="N475" s="14">
        <v>0.0</v>
      </c>
      <c r="O475" s="14">
        <v>0.0</v>
      </c>
      <c r="P475" s="14">
        <v>3.0</v>
      </c>
      <c r="Q475" s="14">
        <v>0.0</v>
      </c>
      <c r="R475" s="14">
        <v>0.0</v>
      </c>
      <c r="S475" s="14"/>
      <c r="T475" s="31">
        <f t="shared" si="2"/>
        <v>8</v>
      </c>
      <c r="U475" s="42" t="s">
        <v>45</v>
      </c>
      <c r="V475" s="26"/>
      <c r="W475" s="14"/>
      <c r="Z475" s="14"/>
      <c r="AA475" s="14" t="str">
        <f t="shared" si="3"/>
        <v/>
      </c>
      <c r="AB475" s="14">
        <f t="shared" si="4"/>
        <v>8</v>
      </c>
      <c r="AC475" s="14">
        <f t="shared" si="5"/>
        <v>0</v>
      </c>
      <c r="AD475" s="14">
        <f t="shared" si="72"/>
        <v>0</v>
      </c>
    </row>
    <row r="476" ht="15.75" customHeight="1">
      <c r="A476" s="14">
        <v>475.0</v>
      </c>
      <c r="B476" s="14" t="s">
        <v>1273</v>
      </c>
      <c r="C476" s="14" t="s">
        <v>214</v>
      </c>
      <c r="D476" s="14">
        <v>10.0</v>
      </c>
      <c r="G476" s="14"/>
      <c r="H476" s="14">
        <v>1.0</v>
      </c>
      <c r="I476" s="14">
        <v>941.0</v>
      </c>
      <c r="J476" s="14">
        <v>951.0</v>
      </c>
      <c r="K476" s="14">
        <f t="shared" si="1"/>
        <v>10</v>
      </c>
      <c r="L476" s="14">
        <v>10.0</v>
      </c>
      <c r="M476" s="14">
        <v>0.0</v>
      </c>
      <c r="N476" s="14">
        <v>0.0</v>
      </c>
      <c r="O476" s="14">
        <v>0.0</v>
      </c>
      <c r="P476" s="14">
        <v>3.0</v>
      </c>
      <c r="Q476" s="14">
        <v>0.0</v>
      </c>
      <c r="R476" s="14">
        <v>0.0</v>
      </c>
      <c r="S476" s="14"/>
      <c r="T476" s="31">
        <f t="shared" si="2"/>
        <v>13</v>
      </c>
      <c r="U476" s="23" t="s">
        <v>45</v>
      </c>
      <c r="V476" s="26"/>
      <c r="W476" s="23" t="s">
        <v>46</v>
      </c>
      <c r="Z476" s="14"/>
      <c r="AA476" s="14" t="str">
        <f t="shared" si="3"/>
        <v/>
      </c>
      <c r="AB476" s="14">
        <f t="shared" si="4"/>
        <v>0</v>
      </c>
      <c r="AC476" s="14">
        <f t="shared" si="5"/>
        <v>13</v>
      </c>
      <c r="AD476" s="14">
        <f t="shared" si="72"/>
        <v>1</v>
      </c>
    </row>
    <row r="477" ht="15.75" customHeight="1">
      <c r="A477" s="14">
        <v>476.0</v>
      </c>
      <c r="B477" s="36" t="s">
        <v>1276</v>
      </c>
      <c r="C477" s="36" t="s">
        <v>214</v>
      </c>
      <c r="D477" s="36">
        <v>11.0</v>
      </c>
      <c r="E477" s="14" t="s">
        <v>52</v>
      </c>
      <c r="G477" s="14"/>
      <c r="H477" s="14">
        <v>1.0</v>
      </c>
      <c r="I477" s="36">
        <v>87.0</v>
      </c>
      <c r="J477" s="14">
        <v>93.0</v>
      </c>
      <c r="K477" s="14">
        <f t="shared" si="1"/>
        <v>6</v>
      </c>
      <c r="L477" s="14"/>
      <c r="M477" s="14">
        <v>0.0</v>
      </c>
      <c r="N477" s="14">
        <v>0.0</v>
      </c>
      <c r="O477" s="14">
        <v>100.0</v>
      </c>
      <c r="P477" s="14"/>
      <c r="Q477" s="14">
        <v>0.0</v>
      </c>
      <c r="R477" s="14"/>
      <c r="S477" s="23"/>
      <c r="T477" s="31">
        <f t="shared" si="2"/>
        <v>100</v>
      </c>
      <c r="U477" s="23" t="s">
        <v>45</v>
      </c>
      <c r="V477" s="26"/>
      <c r="W477" s="23" t="s">
        <v>46</v>
      </c>
      <c r="Y477" s="43" t="s">
        <v>1279</v>
      </c>
      <c r="Z477" s="14"/>
      <c r="AA477" s="14" t="str">
        <f t="shared" si="3"/>
        <v/>
      </c>
      <c r="AB477" s="14">
        <f t="shared" si="4"/>
        <v>0</v>
      </c>
      <c r="AC477" s="14">
        <f t="shared" si="5"/>
        <v>100</v>
      </c>
      <c r="AD477" s="14">
        <f t="shared" si="72"/>
        <v>1</v>
      </c>
    </row>
    <row r="478" ht="15.75" customHeight="1">
      <c r="A478" s="14">
        <v>477.0</v>
      </c>
      <c r="B478" s="14" t="s">
        <v>1281</v>
      </c>
      <c r="C478" s="14" t="s">
        <v>214</v>
      </c>
      <c r="D478" s="14">
        <v>13.0</v>
      </c>
      <c r="G478" s="14"/>
      <c r="H478" s="14">
        <v>1.0</v>
      </c>
      <c r="I478" s="14">
        <v>246.0</v>
      </c>
      <c r="J478" s="14">
        <v>249.0</v>
      </c>
      <c r="K478" s="14">
        <f t="shared" si="1"/>
        <v>3</v>
      </c>
      <c r="L478" s="14">
        <v>5.0</v>
      </c>
      <c r="M478" s="14">
        <v>0.0</v>
      </c>
      <c r="N478" s="14">
        <v>0.0</v>
      </c>
      <c r="O478" s="14">
        <v>0.0</v>
      </c>
      <c r="P478" s="14">
        <v>3.0</v>
      </c>
      <c r="Q478" s="36">
        <v>0.0</v>
      </c>
      <c r="R478" s="36">
        <v>0.0</v>
      </c>
      <c r="S478" s="14"/>
      <c r="T478" s="31">
        <f t="shared" si="2"/>
        <v>8</v>
      </c>
      <c r="U478" s="42" t="s">
        <v>45</v>
      </c>
      <c r="V478" s="26"/>
      <c r="W478" s="14"/>
      <c r="Z478" s="14"/>
      <c r="AA478" s="14" t="str">
        <f t="shared" si="3"/>
        <v/>
      </c>
      <c r="AB478" s="14">
        <f t="shared" si="4"/>
        <v>8</v>
      </c>
      <c r="AC478" s="14">
        <f t="shared" si="5"/>
        <v>0</v>
      </c>
      <c r="AD478" s="14">
        <f t="shared" si="72"/>
        <v>0</v>
      </c>
    </row>
    <row r="479" ht="15.75" hidden="1" customHeight="1">
      <c r="A479" s="14">
        <v>478.0</v>
      </c>
      <c r="B479" s="14" t="s">
        <v>1284</v>
      </c>
      <c r="C479" s="14" t="s">
        <v>217</v>
      </c>
      <c r="D479" s="14">
        <v>1.0</v>
      </c>
      <c r="G479" s="14"/>
      <c r="H479" s="14">
        <v>1.0</v>
      </c>
      <c r="I479" s="14">
        <v>93.0</v>
      </c>
      <c r="J479" s="14">
        <v>95.0</v>
      </c>
      <c r="K479" s="14">
        <f t="shared" si="1"/>
        <v>2</v>
      </c>
      <c r="L479" s="14">
        <v>5.0</v>
      </c>
      <c r="M479" s="14">
        <v>0.0</v>
      </c>
      <c r="N479" s="14">
        <v>0.0</v>
      </c>
      <c r="O479" s="14">
        <v>0.0</v>
      </c>
      <c r="P479" s="14">
        <v>3.0</v>
      </c>
      <c r="Q479" s="14">
        <v>0.0</v>
      </c>
      <c r="R479" s="14">
        <v>0.0</v>
      </c>
      <c r="S479" s="14"/>
      <c r="T479" s="31">
        <f t="shared" si="2"/>
        <v>8</v>
      </c>
      <c r="U479" s="14"/>
      <c r="V479" s="26"/>
      <c r="W479" s="14"/>
      <c r="X479" s="14"/>
      <c r="Y479" s="14"/>
      <c r="Z479" s="14"/>
      <c r="AA479" s="14" t="str">
        <f t="shared" si="3"/>
        <v/>
      </c>
      <c r="AB479" s="14">
        <f t="shared" si="4"/>
        <v>0</v>
      </c>
      <c r="AC479" s="14">
        <f t="shared" si="5"/>
        <v>0</v>
      </c>
      <c r="AD479" s="14">
        <f t="shared" si="72"/>
        <v>0</v>
      </c>
    </row>
    <row r="480" ht="15.75" customHeight="1">
      <c r="A480" s="14">
        <v>479.0</v>
      </c>
      <c r="B480" s="14" t="s">
        <v>1287</v>
      </c>
      <c r="C480" s="14" t="s">
        <v>217</v>
      </c>
      <c r="D480" s="14">
        <v>2.0</v>
      </c>
      <c r="G480" s="14"/>
      <c r="H480" s="14">
        <v>1.0</v>
      </c>
      <c r="I480" s="14">
        <v>579.0</v>
      </c>
      <c r="J480" s="14">
        <v>586.0</v>
      </c>
      <c r="K480" s="14">
        <f t="shared" si="1"/>
        <v>7</v>
      </c>
      <c r="L480" s="14">
        <v>7.0</v>
      </c>
      <c r="M480" s="14">
        <v>0.0</v>
      </c>
      <c r="N480" s="14">
        <v>0.0</v>
      </c>
      <c r="O480" s="14">
        <v>0.0</v>
      </c>
      <c r="P480" s="14">
        <v>3.0</v>
      </c>
      <c r="Q480" s="14">
        <v>0.0</v>
      </c>
      <c r="R480" s="14">
        <v>0.0</v>
      </c>
      <c r="S480" s="14"/>
      <c r="T480" s="31">
        <f t="shared" si="2"/>
        <v>10</v>
      </c>
      <c r="U480" s="14" t="s">
        <v>45</v>
      </c>
      <c r="V480" s="26"/>
      <c r="W480" s="14" t="s">
        <v>46</v>
      </c>
      <c r="Z480" s="14"/>
      <c r="AA480" s="14" t="str">
        <f t="shared" si="3"/>
        <v/>
      </c>
      <c r="AB480" s="14">
        <f t="shared" si="4"/>
        <v>0</v>
      </c>
      <c r="AC480" s="14">
        <f t="shared" si="5"/>
        <v>10</v>
      </c>
      <c r="AD480" s="14">
        <f t="shared" si="72"/>
        <v>1</v>
      </c>
    </row>
    <row r="481" ht="15.75" customHeight="1">
      <c r="A481" s="14">
        <v>480.0</v>
      </c>
      <c r="B481" s="34" t="s">
        <v>1288</v>
      </c>
      <c r="C481" s="34" t="s">
        <v>217</v>
      </c>
      <c r="D481" s="34">
        <v>3.0</v>
      </c>
      <c r="E481" s="34"/>
      <c r="F481" s="34"/>
      <c r="G481" s="34"/>
      <c r="H481" s="34">
        <v>1.0</v>
      </c>
      <c r="I481" s="34">
        <v>839.0</v>
      </c>
      <c r="J481" s="14">
        <v>855.0</v>
      </c>
      <c r="K481" s="14">
        <f t="shared" si="1"/>
        <v>16</v>
      </c>
      <c r="L481" s="14">
        <v>16.0</v>
      </c>
      <c r="M481" s="14">
        <v>0.0</v>
      </c>
      <c r="N481" s="14">
        <v>0.0</v>
      </c>
      <c r="O481" s="14">
        <v>0.0</v>
      </c>
      <c r="P481" s="14">
        <v>3.0</v>
      </c>
      <c r="Q481" s="14">
        <v>0.0</v>
      </c>
      <c r="R481" s="14"/>
      <c r="S481" s="23"/>
      <c r="T481" s="31">
        <f t="shared" si="2"/>
        <v>19</v>
      </c>
      <c r="U481" s="23" t="s">
        <v>45</v>
      </c>
      <c r="V481" s="26"/>
      <c r="W481" s="23" t="s">
        <v>46</v>
      </c>
      <c r="Y481" s="43" t="s">
        <v>320</v>
      </c>
      <c r="Z481" s="14"/>
      <c r="AA481" s="14" t="str">
        <f t="shared" si="3"/>
        <v/>
      </c>
      <c r="AB481" s="14">
        <f t="shared" si="4"/>
        <v>0</v>
      </c>
      <c r="AC481" s="14">
        <f t="shared" si="5"/>
        <v>19</v>
      </c>
      <c r="AD481" s="14"/>
    </row>
    <row r="482" ht="15.75" customHeight="1">
      <c r="A482" s="14">
        <v>481.0</v>
      </c>
      <c r="B482" s="14" t="s">
        <v>1292</v>
      </c>
      <c r="C482" s="14" t="s">
        <v>217</v>
      </c>
      <c r="D482" s="14">
        <v>4.0</v>
      </c>
      <c r="G482" s="14"/>
      <c r="H482" s="14">
        <v>1.0</v>
      </c>
      <c r="I482" s="14">
        <v>1015.0</v>
      </c>
      <c r="J482" s="14">
        <v>1021.0</v>
      </c>
      <c r="K482" s="14">
        <f t="shared" si="1"/>
        <v>6</v>
      </c>
      <c r="L482" s="14">
        <v>6.0</v>
      </c>
      <c r="M482" s="34">
        <v>0.0</v>
      </c>
      <c r="N482" s="14">
        <v>0.0</v>
      </c>
      <c r="O482" s="14">
        <v>0.0</v>
      </c>
      <c r="P482" s="34">
        <v>3.0</v>
      </c>
      <c r="Q482" s="36">
        <v>0.0</v>
      </c>
      <c r="R482" s="36">
        <v>0.0</v>
      </c>
      <c r="S482" s="14"/>
      <c r="T482" s="31">
        <f t="shared" si="2"/>
        <v>9</v>
      </c>
      <c r="U482" s="34" t="s">
        <v>45</v>
      </c>
      <c r="V482" s="33"/>
      <c r="W482" s="34" t="s">
        <v>46</v>
      </c>
      <c r="X482" s="34"/>
      <c r="Y482" s="34"/>
      <c r="Z482" s="34"/>
      <c r="AA482" s="14" t="str">
        <f t="shared" si="3"/>
        <v/>
      </c>
      <c r="AB482" s="14">
        <f t="shared" si="4"/>
        <v>0</v>
      </c>
      <c r="AC482" s="14">
        <f t="shared" si="5"/>
        <v>9</v>
      </c>
      <c r="AD482" s="34">
        <f t="shared" ref="AD482:AD487" si="73">IF(ISBLANK(W482),0,1)</f>
        <v>1</v>
      </c>
    </row>
    <row r="483" ht="15.75" customHeight="1">
      <c r="A483" s="14">
        <v>482.0</v>
      </c>
      <c r="B483" s="14" t="s">
        <v>1296</v>
      </c>
      <c r="C483" s="14" t="s">
        <v>217</v>
      </c>
      <c r="D483" s="14">
        <v>5.0</v>
      </c>
      <c r="G483" s="14"/>
      <c r="H483" s="14">
        <v>1.0</v>
      </c>
      <c r="I483" s="14">
        <v>856.0</v>
      </c>
      <c r="J483" s="14">
        <v>856.0</v>
      </c>
      <c r="K483" s="14">
        <f t="shared" si="1"/>
        <v>0</v>
      </c>
      <c r="L483" s="14">
        <v>5.0</v>
      </c>
      <c r="M483" s="14">
        <v>-1.0</v>
      </c>
      <c r="N483" s="14">
        <v>0.0</v>
      </c>
      <c r="O483" s="14">
        <v>0.0</v>
      </c>
      <c r="P483" s="14">
        <v>3.0</v>
      </c>
      <c r="Q483" s="14">
        <v>0.0</v>
      </c>
      <c r="R483" s="14">
        <v>30.0</v>
      </c>
      <c r="S483" s="14"/>
      <c r="T483" s="31">
        <f t="shared" si="2"/>
        <v>37</v>
      </c>
      <c r="U483" s="14" t="s">
        <v>45</v>
      </c>
      <c r="V483" s="26"/>
      <c r="W483" s="14" t="s">
        <v>46</v>
      </c>
      <c r="X483" s="14"/>
      <c r="Y483" s="14"/>
      <c r="Z483" s="14"/>
      <c r="AA483" s="14" t="str">
        <f t="shared" si="3"/>
        <v/>
      </c>
      <c r="AB483" s="14">
        <f t="shared" si="4"/>
        <v>0</v>
      </c>
      <c r="AC483" s="14">
        <f t="shared" si="5"/>
        <v>37</v>
      </c>
      <c r="AD483" s="14">
        <f t="shared" si="73"/>
        <v>1</v>
      </c>
    </row>
    <row r="484" ht="15.75" customHeight="1">
      <c r="A484" s="14">
        <v>483.0</v>
      </c>
      <c r="B484" s="14" t="s">
        <v>1298</v>
      </c>
      <c r="C484" s="14" t="s">
        <v>137</v>
      </c>
      <c r="D484" s="14">
        <v>1.0</v>
      </c>
      <c r="G484" s="14"/>
      <c r="H484" s="14">
        <v>1.0</v>
      </c>
      <c r="I484" s="14">
        <v>40.0</v>
      </c>
      <c r="J484" s="14">
        <v>46.0</v>
      </c>
      <c r="K484" s="14">
        <f t="shared" si="1"/>
        <v>6</v>
      </c>
      <c r="L484" s="14">
        <v>6.0</v>
      </c>
      <c r="M484" s="14">
        <v>0.0</v>
      </c>
      <c r="N484" s="14">
        <v>0.0</v>
      </c>
      <c r="O484" s="14">
        <v>0.0</v>
      </c>
      <c r="P484" s="14">
        <v>3.0</v>
      </c>
      <c r="Q484" s="36">
        <v>0.0</v>
      </c>
      <c r="R484" s="36">
        <v>0.0</v>
      </c>
      <c r="S484" s="14"/>
      <c r="T484" s="31">
        <f t="shared" si="2"/>
        <v>9</v>
      </c>
      <c r="U484" s="51" t="s">
        <v>45</v>
      </c>
      <c r="V484" s="26"/>
      <c r="W484" s="14"/>
      <c r="Z484" s="14"/>
      <c r="AA484" s="14" t="str">
        <f t="shared" si="3"/>
        <v/>
      </c>
      <c r="AB484" s="14">
        <f t="shared" si="4"/>
        <v>9</v>
      </c>
      <c r="AC484" s="14">
        <f t="shared" si="5"/>
        <v>0</v>
      </c>
      <c r="AD484" s="14">
        <f t="shared" si="73"/>
        <v>0</v>
      </c>
    </row>
    <row r="485" ht="15.75" hidden="1" customHeight="1">
      <c r="A485" s="14">
        <v>484.0</v>
      </c>
      <c r="B485" s="14" t="s">
        <v>1301</v>
      </c>
      <c r="C485" s="14" t="s">
        <v>137</v>
      </c>
      <c r="D485" s="14">
        <v>3.0</v>
      </c>
      <c r="G485" s="14"/>
      <c r="H485" s="14">
        <v>1.0</v>
      </c>
      <c r="I485" s="14">
        <v>312.0</v>
      </c>
      <c r="J485" s="14">
        <v>320.0</v>
      </c>
      <c r="K485" s="14">
        <f t="shared" si="1"/>
        <v>8</v>
      </c>
      <c r="L485" s="14">
        <v>8.0</v>
      </c>
      <c r="M485" s="14">
        <v>0.0</v>
      </c>
      <c r="N485" s="14">
        <v>0.0</v>
      </c>
      <c r="O485" s="14">
        <v>0.0</v>
      </c>
      <c r="P485" s="14">
        <v>3.0</v>
      </c>
      <c r="Q485" s="14">
        <v>0.0</v>
      </c>
      <c r="R485" s="14">
        <v>0.0</v>
      </c>
      <c r="S485" s="14"/>
      <c r="T485" s="31">
        <f t="shared" si="2"/>
        <v>11</v>
      </c>
      <c r="U485" s="14"/>
      <c r="V485" s="26"/>
      <c r="W485" s="14"/>
      <c r="Z485" s="14"/>
      <c r="AA485" s="14" t="str">
        <f t="shared" si="3"/>
        <v/>
      </c>
      <c r="AB485" s="14">
        <f t="shared" si="4"/>
        <v>0</v>
      </c>
      <c r="AC485" s="14">
        <f t="shared" si="5"/>
        <v>0</v>
      </c>
      <c r="AD485" s="14">
        <f t="shared" si="73"/>
        <v>0</v>
      </c>
    </row>
    <row r="486" ht="15.75" hidden="1" customHeight="1">
      <c r="A486" s="14">
        <v>485.0</v>
      </c>
      <c r="B486" s="14" t="s">
        <v>1304</v>
      </c>
      <c r="C486" s="14" t="s">
        <v>137</v>
      </c>
      <c r="D486" s="14">
        <v>5.0</v>
      </c>
      <c r="G486" s="14">
        <v>1.0</v>
      </c>
      <c r="H486" s="14">
        <v>1.0</v>
      </c>
      <c r="I486" s="14">
        <v>0.0</v>
      </c>
      <c r="J486" s="14">
        <v>0.0</v>
      </c>
      <c r="K486" s="14">
        <f t="shared" si="1"/>
        <v>0</v>
      </c>
      <c r="L486" s="14">
        <v>5.0</v>
      </c>
      <c r="M486" s="14">
        <v>8.0</v>
      </c>
      <c r="N486" s="14">
        <v>0.0</v>
      </c>
      <c r="O486" s="14">
        <v>0.0</v>
      </c>
      <c r="P486" s="14">
        <v>3.0</v>
      </c>
      <c r="Q486" s="14">
        <v>0.0</v>
      </c>
      <c r="R486" s="14"/>
      <c r="S486" s="14"/>
      <c r="T486" s="31">
        <f>SUM(L486:P486)</f>
        <v>16</v>
      </c>
      <c r="U486" s="14"/>
      <c r="V486" s="26"/>
      <c r="W486" s="14"/>
      <c r="Y486" s="57" t="s">
        <v>1306</v>
      </c>
      <c r="Z486" s="14"/>
      <c r="AA486" s="14" t="str">
        <f t="shared" si="3"/>
        <v>CORTE</v>
      </c>
      <c r="AB486" s="14">
        <f t="shared" si="4"/>
        <v>0</v>
      </c>
      <c r="AC486" s="14">
        <f t="shared" si="5"/>
        <v>0</v>
      </c>
      <c r="AD486" s="14">
        <f t="shared" si="73"/>
        <v>0</v>
      </c>
    </row>
    <row r="487" ht="15.75" customHeight="1">
      <c r="A487" s="14">
        <v>486.0</v>
      </c>
      <c r="B487" s="14" t="s">
        <v>1308</v>
      </c>
      <c r="C487" s="14" t="s">
        <v>137</v>
      </c>
      <c r="D487" s="14">
        <v>6.0</v>
      </c>
      <c r="G487" s="14"/>
      <c r="H487" s="14">
        <v>1.0</v>
      </c>
      <c r="I487" s="14">
        <v>236.0</v>
      </c>
      <c r="J487" s="14">
        <v>250.0</v>
      </c>
      <c r="K487" s="14">
        <f t="shared" si="1"/>
        <v>14</v>
      </c>
      <c r="L487" s="14">
        <v>14.0</v>
      </c>
      <c r="M487" s="14">
        <v>14.0</v>
      </c>
      <c r="N487" s="14">
        <v>0.0</v>
      </c>
      <c r="O487" s="14">
        <v>0.0</v>
      </c>
      <c r="P487" s="14">
        <v>3.0</v>
      </c>
      <c r="Q487" s="36">
        <v>0.0</v>
      </c>
      <c r="R487" s="36">
        <v>30.0</v>
      </c>
      <c r="S487" s="14"/>
      <c r="T487" s="31">
        <f t="shared" ref="T487:T497" si="74">SUM(L487:S487)</f>
        <v>61</v>
      </c>
      <c r="U487" s="14" t="s">
        <v>45</v>
      </c>
      <c r="V487" s="26"/>
      <c r="W487" s="14" t="s">
        <v>46</v>
      </c>
      <c r="Z487" s="14"/>
      <c r="AA487" s="14" t="str">
        <f t="shared" si="3"/>
        <v/>
      </c>
      <c r="AB487" s="14">
        <f t="shared" si="4"/>
        <v>0</v>
      </c>
      <c r="AC487" s="14">
        <f t="shared" si="5"/>
        <v>61</v>
      </c>
      <c r="AD487" s="14">
        <f t="shared" si="73"/>
        <v>1</v>
      </c>
    </row>
    <row r="488" ht="15.75" customHeight="1">
      <c r="A488" s="14">
        <v>487.0</v>
      </c>
      <c r="B488" s="14" t="s">
        <v>1311</v>
      </c>
      <c r="C488" s="14" t="s">
        <v>137</v>
      </c>
      <c r="D488" s="14">
        <v>7.0</v>
      </c>
      <c r="G488" s="14"/>
      <c r="H488" s="14">
        <v>1.0</v>
      </c>
      <c r="I488" s="14">
        <v>423.0</v>
      </c>
      <c r="J488" s="14">
        <v>432.0</v>
      </c>
      <c r="K488" s="14">
        <f t="shared" si="1"/>
        <v>9</v>
      </c>
      <c r="L488" s="14">
        <v>9.0</v>
      </c>
      <c r="M488" s="14">
        <v>0.0</v>
      </c>
      <c r="N488" s="14">
        <v>0.0</v>
      </c>
      <c r="O488" s="14">
        <v>0.0</v>
      </c>
      <c r="P488" s="14">
        <v>3.0</v>
      </c>
      <c r="Q488" s="36">
        <v>0.0</v>
      </c>
      <c r="R488" s="36">
        <v>30.0</v>
      </c>
      <c r="S488" s="14"/>
      <c r="T488" s="31">
        <f t="shared" si="74"/>
        <v>42</v>
      </c>
      <c r="U488" s="14" t="s">
        <v>45</v>
      </c>
      <c r="V488" s="70"/>
      <c r="W488" s="14" t="s">
        <v>46</v>
      </c>
      <c r="X488" s="14"/>
      <c r="Y488" s="14"/>
      <c r="Z488" s="14"/>
      <c r="AA488" s="14" t="str">
        <f t="shared" si="3"/>
        <v/>
      </c>
      <c r="AB488" s="14">
        <f t="shared" si="4"/>
        <v>0</v>
      </c>
      <c r="AC488" s="14">
        <f t="shared" si="5"/>
        <v>42</v>
      </c>
      <c r="AD488" s="14"/>
    </row>
    <row r="489" ht="15.75" customHeight="1">
      <c r="A489" s="14">
        <v>488.0</v>
      </c>
      <c r="B489" s="14" t="s">
        <v>1312</v>
      </c>
      <c r="C489" s="14" t="s">
        <v>137</v>
      </c>
      <c r="D489" s="14">
        <v>8.0</v>
      </c>
      <c r="G489" s="14"/>
      <c r="H489" s="14">
        <v>1.0</v>
      </c>
      <c r="I489" s="14">
        <v>132.0</v>
      </c>
      <c r="J489" s="14">
        <v>132.0</v>
      </c>
      <c r="K489" s="14">
        <f t="shared" si="1"/>
        <v>0</v>
      </c>
      <c r="L489" s="14">
        <v>5.0</v>
      </c>
      <c r="M489" s="14">
        <v>8.0</v>
      </c>
      <c r="N489" s="14">
        <v>0.0</v>
      </c>
      <c r="O489" s="14">
        <v>0.0</v>
      </c>
      <c r="P489" s="14">
        <v>3.0</v>
      </c>
      <c r="Q489" s="36">
        <v>0.0</v>
      </c>
      <c r="R489" s="36">
        <v>30.0</v>
      </c>
      <c r="S489" s="14"/>
      <c r="T489" s="31">
        <f t="shared" si="74"/>
        <v>46</v>
      </c>
      <c r="U489" s="14" t="s">
        <v>45</v>
      </c>
      <c r="V489" s="26"/>
      <c r="W489" s="14" t="s">
        <v>46</v>
      </c>
      <c r="Z489" s="14"/>
      <c r="AA489" s="14" t="str">
        <f t="shared" si="3"/>
        <v/>
      </c>
      <c r="AB489" s="14">
        <f t="shared" si="4"/>
        <v>0</v>
      </c>
      <c r="AC489" s="14">
        <f t="shared" si="5"/>
        <v>46</v>
      </c>
      <c r="AD489" s="14">
        <f t="shared" ref="AD489:AD493" si="75">IF(ISBLANK(W489),0,1)</f>
        <v>1</v>
      </c>
    </row>
    <row r="490" ht="15.75" customHeight="1">
      <c r="A490" s="14">
        <v>489.0</v>
      </c>
      <c r="B490" s="14" t="s">
        <v>1314</v>
      </c>
      <c r="C490" s="14" t="s">
        <v>137</v>
      </c>
      <c r="D490" s="14">
        <v>10.0</v>
      </c>
      <c r="G490" s="14"/>
      <c r="H490" s="14">
        <v>1.0</v>
      </c>
      <c r="I490" s="14">
        <v>365.0</v>
      </c>
      <c r="J490" s="14">
        <v>370.0</v>
      </c>
      <c r="K490" s="14">
        <f t="shared" si="1"/>
        <v>5</v>
      </c>
      <c r="L490" s="14">
        <v>5.0</v>
      </c>
      <c r="M490" s="14">
        <v>8.0</v>
      </c>
      <c r="N490" s="14">
        <v>0.0</v>
      </c>
      <c r="O490" s="14">
        <v>0.0</v>
      </c>
      <c r="P490" s="14">
        <v>3.0</v>
      </c>
      <c r="Q490" s="36">
        <v>0.0</v>
      </c>
      <c r="R490" s="36">
        <v>30.0</v>
      </c>
      <c r="S490" s="14"/>
      <c r="T490" s="31">
        <f t="shared" si="74"/>
        <v>46</v>
      </c>
      <c r="U490" s="14" t="s">
        <v>45</v>
      </c>
      <c r="V490" s="26"/>
      <c r="W490" s="14" t="s">
        <v>46</v>
      </c>
      <c r="Z490" s="14"/>
      <c r="AA490" s="14" t="str">
        <f t="shared" si="3"/>
        <v/>
      </c>
      <c r="AB490" s="14">
        <f t="shared" si="4"/>
        <v>0</v>
      </c>
      <c r="AC490" s="14">
        <f t="shared" si="5"/>
        <v>46</v>
      </c>
      <c r="AD490" s="14">
        <f t="shared" si="75"/>
        <v>1</v>
      </c>
    </row>
    <row r="491" ht="15.75" customHeight="1">
      <c r="A491" s="14">
        <v>490.0</v>
      </c>
      <c r="B491" s="14" t="s">
        <v>1317</v>
      </c>
      <c r="C491" s="14" t="s">
        <v>137</v>
      </c>
      <c r="D491" s="14">
        <v>11.0</v>
      </c>
      <c r="G491" s="14"/>
      <c r="H491" s="14">
        <v>1.0</v>
      </c>
      <c r="I491" s="14">
        <v>595.0</v>
      </c>
      <c r="J491" s="14">
        <v>597.0</v>
      </c>
      <c r="K491" s="14">
        <f t="shared" si="1"/>
        <v>2</v>
      </c>
      <c r="L491" s="14">
        <v>5.0</v>
      </c>
      <c r="M491" s="14">
        <v>0.0</v>
      </c>
      <c r="N491" s="14">
        <v>0.0</v>
      </c>
      <c r="O491" s="14">
        <v>0.0</v>
      </c>
      <c r="P491" s="14">
        <v>3.0</v>
      </c>
      <c r="Q491" s="36">
        <v>0.0</v>
      </c>
      <c r="R491" s="36">
        <v>30.0</v>
      </c>
      <c r="S491" s="14"/>
      <c r="T491" s="31">
        <f t="shared" si="74"/>
        <v>38</v>
      </c>
      <c r="U491" s="14" t="s">
        <v>45</v>
      </c>
      <c r="V491" s="26"/>
      <c r="W491" s="14" t="s">
        <v>46</v>
      </c>
      <c r="Z491" s="14"/>
      <c r="AA491" s="14" t="str">
        <f t="shared" si="3"/>
        <v/>
      </c>
      <c r="AB491" s="14">
        <f t="shared" si="4"/>
        <v>0</v>
      </c>
      <c r="AC491" s="14">
        <f t="shared" si="5"/>
        <v>38</v>
      </c>
      <c r="AD491" s="14">
        <f t="shared" si="75"/>
        <v>1</v>
      </c>
    </row>
    <row r="492" ht="15.75" customHeight="1">
      <c r="A492" s="14">
        <v>491.0</v>
      </c>
      <c r="B492" s="14" t="s">
        <v>1318</v>
      </c>
      <c r="C492" s="36" t="s">
        <v>137</v>
      </c>
      <c r="D492" s="14">
        <v>12.0</v>
      </c>
      <c r="G492" s="14"/>
      <c r="H492" s="14">
        <v>1.0</v>
      </c>
      <c r="I492" s="14">
        <v>660.0</v>
      </c>
      <c r="J492" s="14">
        <v>669.0</v>
      </c>
      <c r="K492" s="14">
        <f t="shared" si="1"/>
        <v>9</v>
      </c>
      <c r="L492" s="14">
        <v>9.0</v>
      </c>
      <c r="M492" s="14">
        <v>0.0</v>
      </c>
      <c r="N492" s="14">
        <v>0.0</v>
      </c>
      <c r="O492" s="14">
        <v>0.0</v>
      </c>
      <c r="P492" s="14">
        <v>3.0</v>
      </c>
      <c r="Q492" s="36">
        <v>0.0</v>
      </c>
      <c r="R492" s="36">
        <v>30.0</v>
      </c>
      <c r="S492" s="14"/>
      <c r="T492" s="31">
        <f t="shared" si="74"/>
        <v>42</v>
      </c>
      <c r="U492" s="14" t="s">
        <v>45</v>
      </c>
      <c r="V492" s="26"/>
      <c r="W492" s="14" t="s">
        <v>46</v>
      </c>
      <c r="Z492" s="14"/>
      <c r="AA492" s="14" t="str">
        <f t="shared" si="3"/>
        <v/>
      </c>
      <c r="AB492" s="14">
        <f t="shared" si="4"/>
        <v>0</v>
      </c>
      <c r="AC492" s="14">
        <f t="shared" si="5"/>
        <v>42</v>
      </c>
      <c r="AD492" s="14">
        <f t="shared" si="75"/>
        <v>1</v>
      </c>
    </row>
    <row r="493" ht="15.75" customHeight="1">
      <c r="A493" s="14">
        <v>492.0</v>
      </c>
      <c r="B493" s="14" t="s">
        <v>1321</v>
      </c>
      <c r="C493" s="14" t="s">
        <v>137</v>
      </c>
      <c r="D493" s="14">
        <v>13.0</v>
      </c>
      <c r="G493" s="14"/>
      <c r="H493" s="14">
        <v>1.0</v>
      </c>
      <c r="I493" s="14">
        <v>186.0</v>
      </c>
      <c r="J493" s="14">
        <v>186.0</v>
      </c>
      <c r="K493" s="14">
        <f t="shared" si="1"/>
        <v>0</v>
      </c>
      <c r="L493" s="14">
        <v>5.0</v>
      </c>
      <c r="M493" s="14">
        <v>0.0</v>
      </c>
      <c r="N493" s="14">
        <v>0.0</v>
      </c>
      <c r="O493" s="14">
        <v>0.0</v>
      </c>
      <c r="P493" s="14">
        <v>3.0</v>
      </c>
      <c r="Q493" s="36">
        <v>0.0</v>
      </c>
      <c r="R493" s="36">
        <v>0.0</v>
      </c>
      <c r="S493" s="14"/>
      <c r="T493" s="31">
        <f t="shared" si="74"/>
        <v>8</v>
      </c>
      <c r="U493" s="42" t="s">
        <v>45</v>
      </c>
      <c r="V493" s="26"/>
      <c r="W493" s="14"/>
      <c r="X493" s="14"/>
      <c r="Y493" s="14"/>
      <c r="Z493" s="14"/>
      <c r="AA493" s="14" t="str">
        <f t="shared" si="3"/>
        <v/>
      </c>
      <c r="AB493" s="14">
        <f t="shared" si="4"/>
        <v>8</v>
      </c>
      <c r="AC493" s="14">
        <f t="shared" si="5"/>
        <v>0</v>
      </c>
      <c r="AD493" s="14">
        <f t="shared" si="75"/>
        <v>0</v>
      </c>
    </row>
    <row r="494" ht="15.75" hidden="1" customHeight="1">
      <c r="A494" s="14">
        <v>493.0</v>
      </c>
      <c r="B494" s="14" t="s">
        <v>1323</v>
      </c>
      <c r="C494" s="14" t="s">
        <v>137</v>
      </c>
      <c r="D494" s="14">
        <v>15.0</v>
      </c>
      <c r="G494" s="14"/>
      <c r="H494" s="14">
        <v>1.0</v>
      </c>
      <c r="I494" s="14">
        <v>616.0</v>
      </c>
      <c r="J494" s="14">
        <v>624.0</v>
      </c>
      <c r="K494" s="14">
        <f t="shared" si="1"/>
        <v>8</v>
      </c>
      <c r="L494" s="14">
        <v>8.0</v>
      </c>
      <c r="M494" s="14">
        <v>0.0</v>
      </c>
      <c r="N494" s="14">
        <v>0.0</v>
      </c>
      <c r="O494" s="14">
        <v>0.0</v>
      </c>
      <c r="P494" s="14">
        <v>3.0</v>
      </c>
      <c r="Q494" s="14">
        <v>0.0</v>
      </c>
      <c r="R494" s="14">
        <v>30.0</v>
      </c>
      <c r="S494" s="14"/>
      <c r="T494" s="31">
        <f t="shared" si="74"/>
        <v>41</v>
      </c>
      <c r="U494" s="14"/>
      <c r="V494" s="26"/>
      <c r="W494" s="14"/>
      <c r="Z494" s="14"/>
      <c r="AA494" s="14" t="str">
        <f t="shared" si="3"/>
        <v/>
      </c>
      <c r="AB494" s="14">
        <f t="shared" si="4"/>
        <v>0</v>
      </c>
      <c r="AC494" s="14">
        <f t="shared" si="5"/>
        <v>0</v>
      </c>
      <c r="AD494" s="14"/>
    </row>
    <row r="495" ht="15.75" customHeight="1">
      <c r="A495" s="31">
        <v>494.0</v>
      </c>
      <c r="B495" s="31" t="s">
        <v>1326</v>
      </c>
      <c r="C495" s="31" t="s">
        <v>137</v>
      </c>
      <c r="D495" s="31">
        <v>16.0</v>
      </c>
      <c r="E495" s="65"/>
      <c r="F495" s="65"/>
      <c r="G495" s="31"/>
      <c r="H495" s="31">
        <v>1.0</v>
      </c>
      <c r="I495" s="31">
        <v>21.0</v>
      </c>
      <c r="J495" s="31">
        <v>21.0</v>
      </c>
      <c r="K495" s="31">
        <f t="shared" si="1"/>
        <v>0</v>
      </c>
      <c r="L495" s="31">
        <v>5.0</v>
      </c>
      <c r="M495" s="31"/>
      <c r="N495" s="31">
        <v>0.0</v>
      </c>
      <c r="O495" s="31">
        <v>0.0</v>
      </c>
      <c r="P495" s="31">
        <v>3.0</v>
      </c>
      <c r="Q495" s="39">
        <v>0.0</v>
      </c>
      <c r="R495" s="39"/>
      <c r="S495" s="31"/>
      <c r="T495" s="31">
        <f t="shared" si="74"/>
        <v>8</v>
      </c>
      <c r="U495" s="14" t="s">
        <v>45</v>
      </c>
      <c r="V495" s="26"/>
      <c r="W495" s="14" t="s">
        <v>46</v>
      </c>
      <c r="Y495" s="43" t="s">
        <v>1328</v>
      </c>
      <c r="Z495" s="14"/>
      <c r="AA495" s="14" t="str">
        <f t="shared" si="3"/>
        <v/>
      </c>
      <c r="AB495" s="14">
        <f t="shared" si="4"/>
        <v>0</v>
      </c>
      <c r="AC495" s="14">
        <f t="shared" si="5"/>
        <v>8</v>
      </c>
      <c r="AD495" s="14">
        <f t="shared" ref="AD495:AD497" si="76">IF(ISBLANK(W495),0,1)</f>
        <v>1</v>
      </c>
    </row>
    <row r="496" ht="15.75" customHeight="1">
      <c r="A496" s="14">
        <v>495.0</v>
      </c>
      <c r="B496" s="14" t="s">
        <v>1331</v>
      </c>
      <c r="C496" s="52" t="s">
        <v>137</v>
      </c>
      <c r="D496" s="14">
        <v>35.0</v>
      </c>
      <c r="E496" s="14" t="s">
        <v>52</v>
      </c>
      <c r="H496" s="14">
        <v>1.0</v>
      </c>
      <c r="I496" s="14">
        <v>169.0</v>
      </c>
      <c r="J496" s="14">
        <v>175.0</v>
      </c>
      <c r="K496" s="14">
        <f t="shared" si="1"/>
        <v>6</v>
      </c>
      <c r="L496" s="14">
        <v>6.0</v>
      </c>
      <c r="M496" s="23">
        <v>65.0</v>
      </c>
      <c r="N496" s="14">
        <v>0.0</v>
      </c>
      <c r="O496" s="14">
        <v>100.0</v>
      </c>
      <c r="P496" s="14">
        <v>3.0</v>
      </c>
      <c r="Q496" s="36">
        <v>0.0</v>
      </c>
      <c r="R496" s="36"/>
      <c r="S496" s="23"/>
      <c r="T496" s="31">
        <f t="shared" si="74"/>
        <v>174</v>
      </c>
      <c r="U496" s="42" t="s">
        <v>45</v>
      </c>
      <c r="V496" s="26"/>
      <c r="W496" s="23" t="s">
        <v>186</v>
      </c>
      <c r="Y496" s="28" t="s">
        <v>320</v>
      </c>
      <c r="Z496" s="14"/>
      <c r="AA496" s="14" t="str">
        <f t="shared" si="3"/>
        <v/>
      </c>
      <c r="AB496" s="14">
        <f t="shared" si="4"/>
        <v>0</v>
      </c>
      <c r="AC496" s="14">
        <f t="shared" si="5"/>
        <v>174</v>
      </c>
      <c r="AD496" s="14">
        <f t="shared" si="76"/>
        <v>1</v>
      </c>
    </row>
    <row r="497" ht="15.75" customHeight="1">
      <c r="A497" s="14">
        <v>496.0</v>
      </c>
      <c r="B497" s="14" t="s">
        <v>1333</v>
      </c>
      <c r="C497" s="14" t="s">
        <v>137</v>
      </c>
      <c r="D497" s="14">
        <v>36.0</v>
      </c>
      <c r="G497" s="14"/>
      <c r="H497" s="14">
        <v>1.0</v>
      </c>
      <c r="I497" s="14">
        <v>439.0</v>
      </c>
      <c r="J497" s="14">
        <v>446.0</v>
      </c>
      <c r="K497" s="14">
        <f t="shared" si="1"/>
        <v>7</v>
      </c>
      <c r="L497" s="14">
        <v>7.0</v>
      </c>
      <c r="M497" s="14">
        <v>0.0</v>
      </c>
      <c r="N497" s="14">
        <v>0.0</v>
      </c>
      <c r="O497" s="14">
        <v>0.0</v>
      </c>
      <c r="P497" s="14">
        <v>3.0</v>
      </c>
      <c r="Q497" s="36">
        <v>0.0</v>
      </c>
      <c r="R497" s="36">
        <v>30.0</v>
      </c>
      <c r="S497" s="14"/>
      <c r="T497" s="31">
        <f t="shared" si="74"/>
        <v>40</v>
      </c>
      <c r="U497" s="23" t="s">
        <v>45</v>
      </c>
      <c r="V497" s="26"/>
      <c r="W497" s="23" t="s">
        <v>46</v>
      </c>
      <c r="X497" s="14"/>
      <c r="Y497" s="14"/>
      <c r="Z497" s="14"/>
      <c r="AA497" s="14" t="str">
        <f t="shared" si="3"/>
        <v/>
      </c>
      <c r="AB497" s="14">
        <f t="shared" si="4"/>
        <v>0</v>
      </c>
      <c r="AC497" s="14">
        <f t="shared" si="5"/>
        <v>40</v>
      </c>
      <c r="AD497" s="14">
        <f t="shared" si="76"/>
        <v>1</v>
      </c>
    </row>
    <row r="498" ht="15.75" hidden="1" customHeight="1">
      <c r="N498" s="14"/>
      <c r="O498" s="14"/>
      <c r="P498" s="14"/>
      <c r="T498" s="31"/>
      <c r="V498" s="26"/>
      <c r="W498" s="14"/>
      <c r="Z498" s="14"/>
      <c r="AA498" s="14" t="str">
        <f>IF(AND(L498&gt;0,M498&gt;0),"CORTE","")</f>
        <v/>
      </c>
      <c r="AB498" s="14">
        <f t="shared" ref="AB498:AD498" si="77">SUM(AB2:AB497)</f>
        <v>3321</v>
      </c>
      <c r="AC498" s="14">
        <f t="shared" si="77"/>
        <v>8291</v>
      </c>
      <c r="AD498" s="14">
        <f t="shared" si="77"/>
        <v>222</v>
      </c>
    </row>
    <row r="499" ht="15.75" customHeight="1">
      <c r="B499" s="14"/>
      <c r="N499" s="14"/>
      <c r="O499" s="14"/>
      <c r="P499" s="14"/>
      <c r="T499" s="32"/>
      <c r="W499" s="14"/>
      <c r="AC499" s="14"/>
      <c r="AD499" s="14"/>
    </row>
    <row r="500" ht="15.75" customHeight="1">
      <c r="B500" s="14"/>
      <c r="N500" s="14"/>
      <c r="O500" s="14"/>
      <c r="P500" s="14"/>
      <c r="T500" s="32"/>
      <c r="W500" s="14"/>
      <c r="AC500" s="14"/>
      <c r="AD500" s="14"/>
    </row>
    <row r="501" ht="15.75" customHeight="1">
      <c r="A501" s="80" t="s">
        <v>1336</v>
      </c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2">
        <f t="shared" ref="L501:T501" si="78">SUBTOTAL(109,L2:L497)</f>
        <v>4714</v>
      </c>
      <c r="M501" s="82">
        <f t="shared" si="78"/>
        <v>1169</v>
      </c>
      <c r="N501" s="82">
        <f t="shared" si="78"/>
        <v>20</v>
      </c>
      <c r="O501" s="82">
        <f t="shared" si="78"/>
        <v>240</v>
      </c>
      <c r="P501" s="82">
        <f t="shared" si="78"/>
        <v>1190</v>
      </c>
      <c r="Q501" s="82">
        <f t="shared" si="78"/>
        <v>0</v>
      </c>
      <c r="R501" s="82">
        <f t="shared" si="78"/>
        <v>4279</v>
      </c>
      <c r="S501" s="82">
        <f t="shared" si="78"/>
        <v>0</v>
      </c>
      <c r="T501" s="82">
        <f t="shared" si="78"/>
        <v>11612</v>
      </c>
      <c r="U501" s="83"/>
      <c r="V501" s="83"/>
      <c r="W501" s="32"/>
      <c r="X501" s="83"/>
      <c r="Y501" s="83"/>
      <c r="Z501" s="83"/>
      <c r="AA501" s="83"/>
      <c r="AB501" s="83"/>
      <c r="AC501" s="83"/>
      <c r="AD501" s="83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2"/>
      <c r="O502" s="82"/>
      <c r="P502" s="82"/>
      <c r="Q502" s="81"/>
      <c r="R502" s="81"/>
      <c r="S502" s="81"/>
      <c r="T502" s="82">
        <f>SUM(L501:S501)</f>
        <v>11612</v>
      </c>
      <c r="U502" s="83"/>
      <c r="V502" s="83"/>
      <c r="W502" s="32"/>
      <c r="X502" s="83"/>
      <c r="Y502" s="83"/>
      <c r="Z502" s="83"/>
      <c r="AA502" s="83"/>
      <c r="AB502" s="83"/>
      <c r="AC502" s="83"/>
      <c r="AD502" s="83"/>
    </row>
    <row r="503" ht="15.75" customHeight="1">
      <c r="N503" s="14"/>
      <c r="O503" s="14"/>
      <c r="P503" s="14"/>
      <c r="W503" s="14"/>
    </row>
    <row r="504" ht="15.75" customHeight="1">
      <c r="A504" s="84" t="s">
        <v>1340</v>
      </c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5">
        <v>3243.0</v>
      </c>
      <c r="M504" s="85">
        <v>844.0</v>
      </c>
      <c r="N504" s="85">
        <v>20.0</v>
      </c>
      <c r="O504" s="85">
        <v>200.0</v>
      </c>
      <c r="P504" s="85">
        <v>809.0</v>
      </c>
      <c r="Q504" s="85">
        <v>0.0</v>
      </c>
      <c r="R504" s="85">
        <v>3175.0</v>
      </c>
      <c r="S504" s="85">
        <v>0.0</v>
      </c>
      <c r="T504" s="85">
        <v>8291.0</v>
      </c>
      <c r="W504" s="1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6"/>
      <c r="O505" s="86"/>
      <c r="P505" s="86"/>
      <c r="Q505" s="84"/>
      <c r="R505" s="84"/>
      <c r="S505" s="87"/>
      <c r="T505" s="85">
        <v>8291.0</v>
      </c>
      <c r="U505" s="34"/>
      <c r="W505" s="14"/>
      <c r="X505" s="88"/>
      <c r="AB505" s="88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90"/>
      <c r="O506" s="90"/>
      <c r="P506" s="90"/>
      <c r="Q506" s="90"/>
      <c r="R506" s="90"/>
      <c r="S506" s="91"/>
      <c r="W506" s="14"/>
    </row>
    <row r="507" ht="15.75" customHeight="1">
      <c r="A507" s="92" t="s">
        <v>1345</v>
      </c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3">
        <v>1471.0</v>
      </c>
      <c r="M507" s="93">
        <v>325.0</v>
      </c>
      <c r="N507" s="93">
        <v>0.0</v>
      </c>
      <c r="O507" s="93">
        <v>40.0</v>
      </c>
      <c r="P507" s="93">
        <v>381.0</v>
      </c>
      <c r="Q507" s="93">
        <v>0.0</v>
      </c>
      <c r="R507" s="93">
        <v>1104.0</v>
      </c>
      <c r="S507" s="93">
        <v>0.0</v>
      </c>
      <c r="T507" s="93">
        <v>3321.0</v>
      </c>
      <c r="W507" s="14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4"/>
      <c r="O508" s="94"/>
      <c r="P508" s="94"/>
      <c r="Q508" s="92"/>
      <c r="R508" s="92"/>
      <c r="S508" s="95"/>
      <c r="T508" s="93">
        <v>3321.0</v>
      </c>
      <c r="W508" s="14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90"/>
      <c r="O509" s="90"/>
      <c r="P509" s="90"/>
      <c r="Q509" s="90"/>
      <c r="R509" s="90"/>
      <c r="S509" s="91"/>
      <c r="W509" s="14"/>
    </row>
    <row r="510" ht="15.75" customHeight="1">
      <c r="A510" s="96" t="s">
        <v>1349</v>
      </c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7">
        <f t="shared" ref="L510:T510" si="79">L507+L504</f>
        <v>4714</v>
      </c>
      <c r="M510" s="97">
        <f t="shared" si="79"/>
        <v>1169</v>
      </c>
      <c r="N510" s="97">
        <f t="shared" si="79"/>
        <v>20</v>
      </c>
      <c r="O510" s="97">
        <f t="shared" si="79"/>
        <v>240</v>
      </c>
      <c r="P510" s="97">
        <f t="shared" si="79"/>
        <v>1190</v>
      </c>
      <c r="Q510" s="97">
        <f t="shared" si="79"/>
        <v>0</v>
      </c>
      <c r="R510" s="97">
        <f t="shared" si="79"/>
        <v>4279</v>
      </c>
      <c r="S510" s="97">
        <f t="shared" si="79"/>
        <v>0</v>
      </c>
      <c r="T510" s="97">
        <f t="shared" si="79"/>
        <v>11612</v>
      </c>
      <c r="W510" s="14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8">
        <f t="shared" ref="L511:T511" si="80">IF(L501=L510,1,0)</f>
        <v>1</v>
      </c>
      <c r="M511" s="98">
        <f t="shared" si="80"/>
        <v>1</v>
      </c>
      <c r="N511" s="98">
        <f t="shared" si="80"/>
        <v>1</v>
      </c>
      <c r="O511" s="98">
        <f t="shared" si="80"/>
        <v>1</v>
      </c>
      <c r="P511" s="98">
        <f t="shared" si="80"/>
        <v>1</v>
      </c>
      <c r="Q511" s="98">
        <f t="shared" si="80"/>
        <v>1</v>
      </c>
      <c r="R511" s="98">
        <f t="shared" si="80"/>
        <v>1</v>
      </c>
      <c r="S511" s="98">
        <f t="shared" si="80"/>
        <v>1</v>
      </c>
      <c r="T511" s="98">
        <f t="shared" si="80"/>
        <v>1</v>
      </c>
      <c r="W511" s="14"/>
    </row>
    <row r="512" ht="15.75" customHeight="1">
      <c r="N512" s="14"/>
      <c r="O512" s="14"/>
      <c r="P512" s="14"/>
      <c r="R512" s="14"/>
      <c r="W512" s="14"/>
    </row>
    <row r="513" ht="15.75" customHeight="1">
      <c r="N513" s="14"/>
      <c r="O513" s="14"/>
      <c r="P513" s="14"/>
      <c r="R513" s="14"/>
      <c r="W513" s="14"/>
    </row>
    <row r="514" ht="15.75" customHeight="1">
      <c r="N514" s="14"/>
      <c r="O514" s="14"/>
      <c r="P514" s="14"/>
      <c r="R514" s="14"/>
      <c r="W514" s="14"/>
    </row>
    <row r="515" ht="15.75" customHeight="1">
      <c r="N515" s="14"/>
      <c r="O515" s="14"/>
      <c r="P515" s="14"/>
      <c r="R515" s="14"/>
      <c r="W515" s="14"/>
    </row>
    <row r="516" ht="15.75" customHeight="1">
      <c r="N516" s="14"/>
      <c r="O516" s="14"/>
      <c r="P516" s="14"/>
      <c r="R516" s="14"/>
      <c r="W516" s="14"/>
    </row>
    <row r="517" ht="15.75" customHeight="1">
      <c r="N517" s="14"/>
      <c r="O517" s="14"/>
      <c r="P517" s="14"/>
      <c r="R517" s="14"/>
      <c r="W517" s="14"/>
    </row>
    <row r="518" ht="15.75" customHeight="1">
      <c r="N518" s="14"/>
      <c r="O518" s="14"/>
      <c r="P518" s="14"/>
      <c r="R518" s="14"/>
      <c r="W518" s="14"/>
    </row>
    <row r="519" ht="15.75" customHeight="1">
      <c r="N519" s="14"/>
      <c r="O519" s="14"/>
      <c r="P519" s="14"/>
      <c r="R519" s="14"/>
      <c r="W519" s="14"/>
    </row>
    <row r="520" ht="15.75" customHeight="1">
      <c r="N520" s="14"/>
      <c r="O520" s="14"/>
      <c r="P520" s="14"/>
      <c r="R520" s="14"/>
      <c r="W520" s="14"/>
    </row>
    <row r="521" ht="15.75" customHeight="1">
      <c r="N521" s="14"/>
      <c r="O521" s="14"/>
      <c r="P521" s="14"/>
      <c r="R521" s="14"/>
      <c r="W521" s="14"/>
    </row>
    <row r="522" ht="15.75" customHeight="1">
      <c r="N522" s="14"/>
      <c r="O522" s="14"/>
      <c r="P522" s="14"/>
      <c r="R522" s="14"/>
      <c r="W522" s="14"/>
    </row>
    <row r="523" ht="15.75" customHeight="1">
      <c r="N523" s="14"/>
      <c r="O523" s="14"/>
      <c r="P523" s="14"/>
      <c r="R523" s="14"/>
      <c r="W523" s="14"/>
    </row>
    <row r="524" ht="15.75" customHeight="1">
      <c r="N524" s="14"/>
      <c r="O524" s="14"/>
      <c r="P524" s="14"/>
      <c r="R524" s="14"/>
      <c r="W524" s="14"/>
    </row>
    <row r="525" ht="15.75" customHeight="1">
      <c r="N525" s="14"/>
      <c r="O525" s="14"/>
      <c r="P525" s="14"/>
      <c r="R525" s="14"/>
      <c r="W525" s="14"/>
    </row>
    <row r="526" ht="15.75" customHeight="1">
      <c r="N526" s="14"/>
      <c r="O526" s="14"/>
      <c r="P526" s="14"/>
      <c r="R526" s="14"/>
      <c r="W526" s="14"/>
    </row>
    <row r="527" ht="15.75" customHeight="1">
      <c r="N527" s="14"/>
      <c r="O527" s="14"/>
      <c r="P527" s="14"/>
      <c r="R527" s="14"/>
      <c r="W527" s="14"/>
    </row>
    <row r="528" ht="15.75" customHeight="1">
      <c r="N528" s="14"/>
      <c r="O528" s="14"/>
      <c r="P528" s="14"/>
      <c r="R528" s="14"/>
      <c r="W528" s="14"/>
    </row>
    <row r="529" ht="15.75" customHeight="1">
      <c r="N529" s="14"/>
      <c r="O529" s="14"/>
      <c r="P529" s="14"/>
      <c r="Q529" s="36"/>
      <c r="R529" s="36"/>
      <c r="T529" s="31"/>
      <c r="W529" s="14"/>
    </row>
    <row r="530" ht="15.75" customHeight="1">
      <c r="N530" s="14"/>
      <c r="O530" s="14"/>
      <c r="P530" s="14"/>
      <c r="Q530" s="36"/>
      <c r="R530" s="36"/>
      <c r="T530" s="31"/>
      <c r="W530" s="14"/>
    </row>
    <row r="531" ht="15.75" customHeight="1">
      <c r="N531" s="14"/>
      <c r="O531" s="14"/>
      <c r="P531" s="14"/>
      <c r="Q531" s="36"/>
      <c r="R531" s="36"/>
      <c r="T531" s="31"/>
      <c r="W531" s="14"/>
    </row>
    <row r="532" ht="15.75" customHeight="1">
      <c r="N532" s="14"/>
      <c r="O532" s="14"/>
      <c r="P532" s="14"/>
      <c r="Q532" s="36"/>
      <c r="R532" s="36"/>
      <c r="T532" s="31"/>
      <c r="W532" s="14"/>
    </row>
    <row r="533" ht="15.75" customHeight="1">
      <c r="N533" s="14"/>
      <c r="O533" s="14"/>
      <c r="P533" s="14"/>
      <c r="Q533" s="36"/>
      <c r="R533" s="36"/>
      <c r="T533" s="31"/>
      <c r="W533" s="14"/>
    </row>
    <row r="534" ht="15.75" customHeight="1">
      <c r="N534" s="14"/>
      <c r="O534" s="14"/>
      <c r="P534" s="14"/>
      <c r="Q534" s="36"/>
      <c r="R534" s="36"/>
      <c r="T534" s="31"/>
      <c r="W534" s="14"/>
    </row>
    <row r="535" ht="15.75" customHeight="1">
      <c r="N535" s="14"/>
      <c r="O535" s="14"/>
      <c r="P535" s="14"/>
      <c r="Q535" s="36"/>
      <c r="R535" s="36"/>
      <c r="T535" s="31"/>
      <c r="W535" s="14"/>
    </row>
    <row r="536" ht="15.75" customHeight="1">
      <c r="N536" s="14"/>
      <c r="O536" s="14"/>
      <c r="P536" s="14"/>
      <c r="Q536" s="36"/>
      <c r="R536" s="36"/>
      <c r="T536" s="31"/>
      <c r="W536" s="14"/>
    </row>
    <row r="537" ht="15.75" customHeight="1">
      <c r="N537" s="14"/>
      <c r="O537" s="14"/>
      <c r="P537" s="14"/>
      <c r="Q537" s="36"/>
      <c r="R537" s="36"/>
      <c r="T537" s="31"/>
      <c r="W537" s="14"/>
    </row>
    <row r="538" ht="15.75" customHeight="1">
      <c r="N538" s="14"/>
      <c r="O538" s="14"/>
      <c r="P538" s="14"/>
      <c r="Q538" s="36"/>
      <c r="R538" s="36"/>
      <c r="T538" s="31"/>
      <c r="W538" s="14"/>
    </row>
    <row r="539" ht="15.75" customHeight="1">
      <c r="N539" s="14"/>
      <c r="O539" s="14"/>
      <c r="P539" s="14"/>
      <c r="Q539" s="36"/>
      <c r="R539" s="36"/>
      <c r="T539" s="31"/>
      <c r="W539" s="14"/>
    </row>
    <row r="540" ht="15.75" customHeight="1">
      <c r="N540" s="14"/>
      <c r="O540" s="14"/>
      <c r="P540" s="14"/>
      <c r="Q540" s="36"/>
      <c r="R540" s="36"/>
      <c r="T540" s="31"/>
      <c r="W540" s="14"/>
    </row>
    <row r="541" ht="15.75" customHeight="1">
      <c r="N541" s="14"/>
      <c r="O541" s="14"/>
      <c r="P541" s="14"/>
      <c r="Q541" s="36"/>
      <c r="R541" s="36"/>
      <c r="T541" s="31"/>
      <c r="W541" s="14"/>
    </row>
    <row r="542" ht="15.75" customHeight="1">
      <c r="N542" s="14"/>
      <c r="O542" s="14"/>
      <c r="P542" s="14"/>
      <c r="Q542" s="36"/>
      <c r="R542" s="36"/>
      <c r="T542" s="31"/>
      <c r="W542" s="14"/>
    </row>
    <row r="543" ht="15.75" customHeight="1">
      <c r="N543" s="14"/>
      <c r="O543" s="14"/>
      <c r="P543" s="14"/>
      <c r="Q543" s="36"/>
      <c r="R543" s="36"/>
      <c r="T543" s="31"/>
      <c r="W543" s="14"/>
    </row>
    <row r="544" ht="15.75" customHeight="1">
      <c r="N544" s="14"/>
      <c r="O544" s="14"/>
      <c r="P544" s="14"/>
      <c r="Q544" s="36"/>
      <c r="R544" s="36"/>
      <c r="T544" s="31"/>
      <c r="W544" s="14"/>
    </row>
    <row r="545" ht="15.75" customHeight="1">
      <c r="N545" s="14"/>
      <c r="O545" s="14"/>
      <c r="P545" s="14"/>
      <c r="Q545" s="36"/>
      <c r="R545" s="36"/>
      <c r="T545" s="31"/>
      <c r="W545" s="14"/>
    </row>
    <row r="546" ht="15.75" customHeight="1">
      <c r="N546" s="14"/>
      <c r="O546" s="14"/>
      <c r="P546" s="14"/>
      <c r="Q546" s="36"/>
      <c r="R546" s="36"/>
      <c r="T546" s="31"/>
      <c r="W546" s="14"/>
    </row>
    <row r="547" ht="15.75" customHeight="1">
      <c r="N547" s="14"/>
      <c r="O547" s="14"/>
      <c r="P547" s="14"/>
      <c r="Q547" s="36"/>
      <c r="R547" s="36"/>
      <c r="T547" s="31"/>
      <c r="W547" s="14"/>
    </row>
    <row r="548" ht="15.75" customHeight="1">
      <c r="N548" s="14"/>
      <c r="O548" s="14"/>
      <c r="P548" s="14"/>
      <c r="Q548" s="36"/>
      <c r="R548" s="36"/>
      <c r="T548" s="31"/>
      <c r="W548" s="14"/>
    </row>
    <row r="549" ht="15.75" customHeight="1">
      <c r="N549" s="14"/>
      <c r="O549" s="14"/>
      <c r="P549" s="14"/>
      <c r="Q549" s="36"/>
      <c r="R549" s="36"/>
      <c r="T549" s="31"/>
      <c r="W549" s="14"/>
    </row>
    <row r="550" ht="15.75" customHeight="1">
      <c r="N550" s="14"/>
      <c r="O550" s="14"/>
      <c r="P550" s="14"/>
      <c r="Q550" s="36"/>
      <c r="R550" s="36"/>
      <c r="T550" s="31"/>
      <c r="W550" s="14"/>
    </row>
    <row r="551" ht="15.75" customHeight="1">
      <c r="N551" s="14"/>
      <c r="O551" s="14"/>
      <c r="P551" s="14"/>
      <c r="Q551" s="36"/>
      <c r="R551" s="36"/>
      <c r="T551" s="31"/>
      <c r="W551" s="14"/>
    </row>
    <row r="552" ht="15.75" customHeight="1">
      <c r="N552" s="14"/>
      <c r="O552" s="14"/>
      <c r="P552" s="14"/>
      <c r="Q552" s="36"/>
      <c r="R552" s="36"/>
      <c r="T552" s="31"/>
      <c r="W552" s="14"/>
    </row>
    <row r="553" ht="15.75" customHeight="1">
      <c r="N553" s="14"/>
      <c r="O553" s="14"/>
      <c r="P553" s="14"/>
      <c r="Q553" s="36"/>
      <c r="R553" s="36"/>
      <c r="T553" s="31"/>
      <c r="W553" s="14"/>
    </row>
    <row r="554" ht="15.75" customHeight="1">
      <c r="N554" s="14"/>
      <c r="O554" s="14"/>
      <c r="P554" s="14"/>
      <c r="Q554" s="36"/>
      <c r="R554" s="36"/>
      <c r="T554" s="31"/>
      <c r="W554" s="14"/>
    </row>
    <row r="555" ht="15.75" customHeight="1">
      <c r="N555" s="14"/>
      <c r="O555" s="14"/>
      <c r="P555" s="14"/>
      <c r="Q555" s="36"/>
      <c r="R555" s="36"/>
      <c r="T555" s="31"/>
      <c r="W555" s="14"/>
    </row>
    <row r="556" ht="15.75" customHeight="1">
      <c r="N556" s="14"/>
      <c r="O556" s="14"/>
      <c r="P556" s="14"/>
      <c r="Q556" s="36"/>
      <c r="R556" s="36"/>
      <c r="T556" s="31"/>
      <c r="W556" s="14"/>
    </row>
    <row r="557" ht="15.75" customHeight="1">
      <c r="N557" s="14"/>
      <c r="O557" s="14"/>
      <c r="P557" s="14"/>
      <c r="Q557" s="36"/>
      <c r="R557" s="36"/>
      <c r="T557" s="31"/>
      <c r="W557" s="14"/>
    </row>
    <row r="558" ht="15.75" customHeight="1">
      <c r="N558" s="14"/>
      <c r="O558" s="14"/>
      <c r="P558" s="14"/>
      <c r="Q558" s="36"/>
      <c r="R558" s="36"/>
      <c r="T558" s="31"/>
      <c r="W558" s="14"/>
    </row>
    <row r="559" ht="15.75" customHeight="1">
      <c r="N559" s="14"/>
      <c r="O559" s="14"/>
      <c r="P559" s="14"/>
      <c r="Q559" s="36"/>
      <c r="R559" s="36"/>
      <c r="T559" s="31"/>
      <c r="W559" s="14"/>
    </row>
    <row r="560" ht="15.75" customHeight="1">
      <c r="N560" s="14"/>
      <c r="O560" s="14"/>
      <c r="P560" s="14"/>
      <c r="Q560" s="36"/>
      <c r="R560" s="36"/>
      <c r="T560" s="31"/>
      <c r="W560" s="14"/>
    </row>
    <row r="561" ht="15.75" customHeight="1">
      <c r="N561" s="14"/>
      <c r="O561" s="14"/>
      <c r="P561" s="14"/>
      <c r="Q561" s="36"/>
      <c r="R561" s="36"/>
      <c r="T561" s="31"/>
      <c r="W561" s="14"/>
    </row>
    <row r="562" ht="15.75" customHeight="1">
      <c r="N562" s="14"/>
      <c r="O562" s="14"/>
      <c r="P562" s="14"/>
      <c r="Q562" s="36"/>
      <c r="R562" s="36"/>
      <c r="T562" s="31"/>
      <c r="W562" s="14"/>
    </row>
    <row r="563" ht="15.75" customHeight="1">
      <c r="N563" s="14"/>
      <c r="O563" s="14"/>
      <c r="P563" s="14"/>
      <c r="Q563" s="36"/>
      <c r="R563" s="36"/>
      <c r="T563" s="31"/>
      <c r="W563" s="14"/>
    </row>
    <row r="564" ht="15.75" customHeight="1">
      <c r="N564" s="14"/>
      <c r="O564" s="14"/>
      <c r="P564" s="14"/>
      <c r="Q564" s="36"/>
      <c r="R564" s="36"/>
      <c r="T564" s="31"/>
      <c r="W564" s="14"/>
    </row>
    <row r="565" ht="15.75" customHeight="1">
      <c r="N565" s="14"/>
      <c r="O565" s="14"/>
      <c r="P565" s="14"/>
      <c r="Q565" s="36"/>
      <c r="R565" s="36"/>
      <c r="T565" s="31"/>
      <c r="W565" s="14"/>
    </row>
    <row r="566" ht="15.75" customHeight="1">
      <c r="N566" s="14"/>
      <c r="O566" s="14"/>
      <c r="P566" s="14"/>
      <c r="Q566" s="36"/>
      <c r="R566" s="36"/>
      <c r="T566" s="31"/>
      <c r="W566" s="14"/>
    </row>
    <row r="567" ht="15.75" customHeight="1">
      <c r="N567" s="14"/>
      <c r="O567" s="14"/>
      <c r="P567" s="14"/>
      <c r="Q567" s="36"/>
      <c r="R567" s="36"/>
      <c r="T567" s="31"/>
      <c r="W567" s="14"/>
    </row>
    <row r="568" ht="15.75" customHeight="1">
      <c r="N568" s="14"/>
      <c r="O568" s="14"/>
      <c r="P568" s="14"/>
      <c r="Q568" s="36"/>
      <c r="R568" s="36"/>
      <c r="T568" s="31"/>
      <c r="W568" s="14"/>
    </row>
    <row r="569" ht="15.75" customHeight="1">
      <c r="N569" s="14"/>
      <c r="O569" s="14"/>
      <c r="P569" s="14"/>
      <c r="Q569" s="36"/>
      <c r="R569" s="36"/>
      <c r="T569" s="31"/>
      <c r="W569" s="14"/>
    </row>
    <row r="570" ht="15.75" customHeight="1">
      <c r="N570" s="14"/>
      <c r="O570" s="14"/>
      <c r="P570" s="14"/>
      <c r="Q570" s="36"/>
      <c r="R570" s="36"/>
      <c r="T570" s="31"/>
      <c r="W570" s="14"/>
    </row>
    <row r="571" ht="15.75" customHeight="1">
      <c r="N571" s="14"/>
      <c r="O571" s="14"/>
      <c r="P571" s="14"/>
      <c r="Q571" s="36"/>
      <c r="R571" s="36"/>
      <c r="T571" s="31"/>
      <c r="W571" s="14"/>
    </row>
    <row r="572" ht="15.75" customHeight="1">
      <c r="N572" s="14"/>
      <c r="O572" s="14"/>
      <c r="P572" s="14"/>
      <c r="Q572" s="36"/>
      <c r="R572" s="36"/>
      <c r="T572" s="31"/>
      <c r="W572" s="14"/>
    </row>
    <row r="573" ht="15.75" customHeight="1">
      <c r="N573" s="14"/>
      <c r="O573" s="14"/>
      <c r="P573" s="14"/>
      <c r="Q573" s="36"/>
      <c r="R573" s="36"/>
      <c r="T573" s="31"/>
      <c r="W573" s="14"/>
    </row>
    <row r="574" ht="15.75" customHeight="1">
      <c r="N574" s="14"/>
      <c r="O574" s="14"/>
      <c r="P574" s="14"/>
      <c r="Q574" s="36"/>
      <c r="R574" s="36"/>
      <c r="T574" s="31"/>
      <c r="W574" s="14"/>
    </row>
    <row r="575" ht="15.75" customHeight="1">
      <c r="N575" s="14"/>
      <c r="O575" s="14"/>
      <c r="P575" s="14"/>
      <c r="Q575" s="36"/>
      <c r="R575" s="36"/>
      <c r="T575" s="31"/>
      <c r="W575" s="14"/>
    </row>
    <row r="576" ht="15.75" customHeight="1">
      <c r="N576" s="14"/>
      <c r="O576" s="14"/>
      <c r="P576" s="14"/>
      <c r="Q576" s="36"/>
      <c r="R576" s="36"/>
      <c r="T576" s="31"/>
      <c r="W576" s="14"/>
    </row>
    <row r="577" ht="15.75" customHeight="1">
      <c r="N577" s="14"/>
      <c r="O577" s="14"/>
      <c r="P577" s="14"/>
      <c r="Q577" s="36"/>
      <c r="R577" s="36"/>
      <c r="T577" s="31"/>
      <c r="W577" s="14"/>
    </row>
    <row r="578" ht="15.75" customHeight="1">
      <c r="N578" s="14"/>
      <c r="O578" s="14"/>
      <c r="P578" s="14"/>
      <c r="Q578" s="36"/>
      <c r="R578" s="36"/>
      <c r="T578" s="31"/>
      <c r="W578" s="14"/>
    </row>
    <row r="579" ht="15.75" customHeight="1">
      <c r="N579" s="14"/>
      <c r="O579" s="14"/>
      <c r="P579" s="14"/>
      <c r="Q579" s="36"/>
      <c r="R579" s="36"/>
      <c r="T579" s="31"/>
      <c r="W579" s="14"/>
    </row>
    <row r="580" ht="15.75" customHeight="1">
      <c r="N580" s="14"/>
      <c r="O580" s="14"/>
      <c r="P580" s="14"/>
      <c r="Q580" s="36"/>
      <c r="R580" s="36"/>
      <c r="T580" s="31"/>
      <c r="W580" s="14"/>
    </row>
    <row r="581" ht="15.75" customHeight="1">
      <c r="N581" s="14"/>
      <c r="O581" s="14"/>
      <c r="P581" s="14"/>
      <c r="Q581" s="36"/>
      <c r="R581" s="36"/>
      <c r="T581" s="31"/>
      <c r="W581" s="14"/>
    </row>
    <row r="582" ht="15.75" customHeight="1">
      <c r="N582" s="14"/>
      <c r="O582" s="14"/>
      <c r="P582" s="14"/>
      <c r="Q582" s="36"/>
      <c r="R582" s="36"/>
      <c r="T582" s="31"/>
      <c r="W582" s="14"/>
    </row>
    <row r="583" ht="15.75" customHeight="1">
      <c r="N583" s="14"/>
      <c r="O583" s="14"/>
      <c r="P583" s="14"/>
      <c r="Q583" s="36"/>
      <c r="R583" s="36"/>
      <c r="T583" s="31"/>
      <c r="W583" s="14"/>
    </row>
    <row r="584" ht="15.75" customHeight="1">
      <c r="N584" s="14"/>
      <c r="O584" s="14"/>
      <c r="P584" s="14"/>
      <c r="Q584" s="36"/>
      <c r="R584" s="36"/>
      <c r="T584" s="31"/>
      <c r="W584" s="14"/>
    </row>
    <row r="585" ht="15.75" customHeight="1">
      <c r="N585" s="14"/>
      <c r="O585" s="14"/>
      <c r="P585" s="14"/>
      <c r="Q585" s="36"/>
      <c r="R585" s="36"/>
      <c r="T585" s="31"/>
      <c r="W585" s="14"/>
    </row>
    <row r="586" ht="15.75" customHeight="1">
      <c r="N586" s="14"/>
      <c r="O586" s="14"/>
      <c r="P586" s="14"/>
      <c r="Q586" s="36"/>
      <c r="R586" s="36"/>
      <c r="T586" s="31"/>
      <c r="W586" s="14"/>
    </row>
    <row r="587" ht="15.75" customHeight="1">
      <c r="N587" s="14"/>
      <c r="O587" s="14"/>
      <c r="P587" s="14"/>
      <c r="Q587" s="36"/>
      <c r="R587" s="36"/>
      <c r="T587" s="31"/>
      <c r="W587" s="14"/>
    </row>
    <row r="588" ht="15.75" customHeight="1">
      <c r="N588" s="14"/>
      <c r="O588" s="14"/>
      <c r="P588" s="14"/>
      <c r="Q588" s="36"/>
      <c r="R588" s="36"/>
      <c r="T588" s="31"/>
      <c r="W588" s="14"/>
    </row>
    <row r="589" ht="15.75" customHeight="1">
      <c r="N589" s="14"/>
      <c r="O589" s="14"/>
      <c r="P589" s="14"/>
      <c r="Q589" s="36"/>
      <c r="R589" s="36"/>
      <c r="T589" s="31"/>
      <c r="W589" s="14"/>
    </row>
    <row r="590" ht="15.75" customHeight="1">
      <c r="N590" s="14"/>
      <c r="O590" s="14"/>
      <c r="P590" s="14"/>
      <c r="Q590" s="36"/>
      <c r="R590" s="36"/>
      <c r="T590" s="31"/>
      <c r="W590" s="14"/>
    </row>
    <row r="591" ht="15.75" customHeight="1">
      <c r="N591" s="14"/>
      <c r="O591" s="14"/>
      <c r="P591" s="14"/>
      <c r="Q591" s="36"/>
      <c r="R591" s="36"/>
      <c r="T591" s="31"/>
      <c r="W591" s="14"/>
    </row>
    <row r="592" ht="15.75" customHeight="1">
      <c r="N592" s="14"/>
      <c r="O592" s="14"/>
      <c r="P592" s="14"/>
      <c r="Q592" s="36"/>
      <c r="R592" s="36"/>
      <c r="T592" s="31"/>
      <c r="W592" s="14"/>
    </row>
    <row r="593" ht="15.75" customHeight="1">
      <c r="N593" s="14"/>
      <c r="O593" s="14"/>
      <c r="P593" s="14"/>
      <c r="Q593" s="36"/>
      <c r="R593" s="36"/>
      <c r="T593" s="31"/>
      <c r="W593" s="14"/>
    </row>
    <row r="594" ht="15.75" customHeight="1">
      <c r="N594" s="14"/>
      <c r="O594" s="14"/>
      <c r="P594" s="14"/>
      <c r="Q594" s="36"/>
      <c r="R594" s="36"/>
      <c r="T594" s="31"/>
      <c r="W594" s="14"/>
    </row>
    <row r="595" ht="15.75" customHeight="1">
      <c r="N595" s="14"/>
      <c r="O595" s="14"/>
      <c r="P595" s="14"/>
      <c r="Q595" s="36"/>
      <c r="R595" s="36"/>
      <c r="T595" s="31"/>
      <c r="W595" s="14"/>
    </row>
    <row r="596" ht="15.75" customHeight="1">
      <c r="N596" s="14"/>
      <c r="O596" s="14"/>
      <c r="P596" s="14"/>
      <c r="Q596" s="36"/>
      <c r="R596" s="36"/>
      <c r="T596" s="31"/>
      <c r="W596" s="14"/>
    </row>
    <row r="597" ht="15.75" customHeight="1">
      <c r="N597" s="14"/>
      <c r="O597" s="14"/>
      <c r="P597" s="14"/>
      <c r="Q597" s="36"/>
      <c r="R597" s="36"/>
      <c r="T597" s="31"/>
      <c r="W597" s="14"/>
    </row>
    <row r="598" ht="15.75" customHeight="1">
      <c r="N598" s="14"/>
      <c r="O598" s="14"/>
      <c r="P598" s="14"/>
      <c r="Q598" s="36"/>
      <c r="R598" s="36"/>
      <c r="T598" s="31"/>
      <c r="W598" s="14"/>
    </row>
    <row r="599" ht="15.75" customHeight="1">
      <c r="N599" s="14"/>
      <c r="O599" s="14"/>
      <c r="P599" s="14"/>
      <c r="Q599" s="36"/>
      <c r="R599" s="36"/>
      <c r="T599" s="31"/>
      <c r="W599" s="14"/>
    </row>
    <row r="600" ht="15.75" customHeight="1">
      <c r="N600" s="14"/>
      <c r="O600" s="14"/>
      <c r="P600" s="14"/>
      <c r="Q600" s="36"/>
      <c r="R600" s="36"/>
      <c r="T600" s="31"/>
      <c r="W600" s="14"/>
    </row>
    <row r="601" ht="15.75" customHeight="1">
      <c r="N601" s="14"/>
      <c r="O601" s="14"/>
      <c r="P601" s="14"/>
      <c r="Q601" s="36"/>
      <c r="R601" s="36"/>
      <c r="T601" s="31"/>
      <c r="W601" s="14"/>
    </row>
    <row r="602" ht="15.75" customHeight="1">
      <c r="N602" s="14"/>
      <c r="O602" s="14"/>
      <c r="P602" s="14"/>
      <c r="Q602" s="36"/>
      <c r="R602" s="36"/>
      <c r="T602" s="31"/>
      <c r="W602" s="14"/>
    </row>
    <row r="603" ht="15.75" customHeight="1">
      <c r="N603" s="14"/>
      <c r="O603" s="14"/>
      <c r="P603" s="14"/>
      <c r="Q603" s="36"/>
      <c r="R603" s="36"/>
      <c r="T603" s="31"/>
      <c r="W603" s="14"/>
    </row>
    <row r="604" ht="15.75" customHeight="1">
      <c r="N604" s="14"/>
      <c r="O604" s="14"/>
      <c r="P604" s="14"/>
      <c r="Q604" s="36"/>
      <c r="R604" s="36"/>
      <c r="T604" s="31"/>
      <c r="W604" s="14"/>
    </row>
    <row r="605" ht="15.75" customHeight="1">
      <c r="N605" s="14"/>
      <c r="O605" s="14"/>
      <c r="P605" s="14"/>
      <c r="Q605" s="36"/>
      <c r="R605" s="36"/>
      <c r="T605" s="31"/>
      <c r="W605" s="14"/>
    </row>
    <row r="606" ht="15.75" customHeight="1">
      <c r="N606" s="14"/>
      <c r="O606" s="14"/>
      <c r="P606" s="14"/>
      <c r="Q606" s="36"/>
      <c r="R606" s="36"/>
      <c r="T606" s="31"/>
      <c r="W606" s="14"/>
    </row>
    <row r="607" ht="15.75" customHeight="1">
      <c r="N607" s="14"/>
      <c r="O607" s="14"/>
      <c r="P607" s="14"/>
      <c r="Q607" s="36"/>
      <c r="R607" s="36"/>
      <c r="T607" s="31"/>
      <c r="W607" s="14"/>
    </row>
    <row r="608" ht="15.75" customHeight="1">
      <c r="N608" s="14"/>
      <c r="O608" s="14"/>
      <c r="P608" s="14"/>
      <c r="Q608" s="36"/>
      <c r="R608" s="36"/>
      <c r="T608" s="31"/>
      <c r="W608" s="14"/>
    </row>
    <row r="609" ht="15.75" customHeight="1">
      <c r="N609" s="14"/>
      <c r="O609" s="14"/>
      <c r="P609" s="14"/>
      <c r="Q609" s="36"/>
      <c r="R609" s="36"/>
      <c r="T609" s="31"/>
      <c r="W609" s="14"/>
    </row>
    <row r="610" ht="15.75" customHeight="1">
      <c r="N610" s="14"/>
      <c r="O610" s="14"/>
      <c r="P610" s="14"/>
      <c r="Q610" s="36"/>
      <c r="R610" s="36"/>
      <c r="T610" s="31"/>
      <c r="W610" s="14"/>
    </row>
    <row r="611" ht="15.75" customHeight="1">
      <c r="N611" s="14"/>
      <c r="O611" s="14"/>
      <c r="P611" s="14"/>
      <c r="Q611" s="36"/>
      <c r="R611" s="36"/>
      <c r="T611" s="31"/>
      <c r="W611" s="14"/>
    </row>
    <row r="612" ht="15.75" customHeight="1">
      <c r="N612" s="14"/>
      <c r="O612" s="14"/>
      <c r="P612" s="14"/>
      <c r="Q612" s="36"/>
      <c r="R612" s="36"/>
      <c r="T612" s="31"/>
      <c r="W612" s="14"/>
    </row>
    <row r="613" ht="15.75" customHeight="1">
      <c r="N613" s="14"/>
      <c r="O613" s="14"/>
      <c r="P613" s="14"/>
      <c r="Q613" s="36"/>
      <c r="R613" s="36"/>
      <c r="T613" s="31"/>
      <c r="W613" s="14"/>
    </row>
    <row r="614" ht="15.75" customHeight="1">
      <c r="N614" s="14"/>
      <c r="O614" s="14"/>
      <c r="P614" s="14"/>
      <c r="Q614" s="36"/>
      <c r="R614" s="36"/>
      <c r="T614" s="31"/>
      <c r="W614" s="14"/>
    </row>
    <row r="615" ht="15.75" customHeight="1">
      <c r="N615" s="14"/>
      <c r="O615" s="14"/>
      <c r="P615" s="14"/>
      <c r="Q615" s="36"/>
      <c r="R615" s="36"/>
      <c r="T615" s="31"/>
      <c r="W615" s="14"/>
    </row>
    <row r="616" ht="15.75" customHeight="1">
      <c r="N616" s="14"/>
      <c r="O616" s="14"/>
      <c r="P616" s="14"/>
      <c r="Q616" s="36"/>
      <c r="R616" s="36"/>
      <c r="T616" s="31"/>
      <c r="W616" s="14"/>
    </row>
    <row r="617" ht="15.75" customHeight="1">
      <c r="N617" s="14"/>
      <c r="O617" s="14"/>
      <c r="P617" s="14"/>
      <c r="Q617" s="36"/>
      <c r="R617" s="36"/>
      <c r="T617" s="31"/>
      <c r="W617" s="14"/>
    </row>
    <row r="618" ht="15.75" customHeight="1">
      <c r="N618" s="14"/>
      <c r="O618" s="14"/>
      <c r="P618" s="14"/>
      <c r="Q618" s="36"/>
      <c r="R618" s="36"/>
      <c r="T618" s="31"/>
      <c r="W618" s="14"/>
    </row>
    <row r="619" ht="15.75" customHeight="1">
      <c r="N619" s="14"/>
      <c r="O619" s="14"/>
      <c r="P619" s="14"/>
      <c r="Q619" s="36"/>
      <c r="R619" s="36"/>
      <c r="T619" s="31"/>
      <c r="W619" s="14"/>
    </row>
    <row r="620" ht="15.75" customHeight="1">
      <c r="N620" s="14"/>
      <c r="O620" s="14"/>
      <c r="P620" s="14"/>
      <c r="Q620" s="36"/>
      <c r="R620" s="36"/>
      <c r="T620" s="31"/>
      <c r="W620" s="14"/>
    </row>
    <row r="621" ht="15.75" customHeight="1">
      <c r="N621" s="14"/>
      <c r="O621" s="14"/>
      <c r="P621" s="14"/>
      <c r="Q621" s="36"/>
      <c r="R621" s="36"/>
      <c r="T621" s="31"/>
      <c r="W621" s="14"/>
    </row>
    <row r="622" ht="15.75" customHeight="1">
      <c r="N622" s="14"/>
      <c r="O622" s="14"/>
      <c r="P622" s="14"/>
      <c r="Q622" s="36"/>
      <c r="R622" s="36"/>
      <c r="T622" s="31"/>
      <c r="W622" s="14"/>
    </row>
    <row r="623" ht="15.75" customHeight="1">
      <c r="N623" s="14"/>
      <c r="O623" s="14"/>
      <c r="P623" s="14"/>
      <c r="Q623" s="36"/>
      <c r="R623" s="36"/>
      <c r="T623" s="31"/>
      <c r="W623" s="14"/>
    </row>
    <row r="624" ht="15.75" customHeight="1">
      <c r="N624" s="14"/>
      <c r="O624" s="14"/>
      <c r="P624" s="14"/>
      <c r="Q624" s="36"/>
      <c r="R624" s="36"/>
      <c r="T624" s="31"/>
      <c r="W624" s="14"/>
    </row>
    <row r="625" ht="15.75" customHeight="1">
      <c r="N625" s="14"/>
      <c r="O625" s="14"/>
      <c r="P625" s="14"/>
      <c r="Q625" s="36"/>
      <c r="R625" s="36"/>
      <c r="T625" s="31"/>
      <c r="W625" s="14"/>
    </row>
    <row r="626" ht="15.75" customHeight="1">
      <c r="N626" s="14"/>
      <c r="O626" s="14"/>
      <c r="P626" s="14"/>
      <c r="Q626" s="36"/>
      <c r="R626" s="36"/>
      <c r="T626" s="31"/>
      <c r="W626" s="14"/>
    </row>
    <row r="627" ht="15.75" customHeight="1">
      <c r="N627" s="14"/>
      <c r="O627" s="14"/>
      <c r="P627" s="14"/>
      <c r="Q627" s="36"/>
      <c r="R627" s="36"/>
      <c r="T627" s="31"/>
      <c r="W627" s="14"/>
    </row>
    <row r="628" ht="15.75" customHeight="1">
      <c r="N628" s="14"/>
      <c r="O628" s="14"/>
      <c r="P628" s="14"/>
      <c r="Q628" s="36"/>
      <c r="R628" s="36"/>
      <c r="T628" s="31"/>
      <c r="W628" s="14"/>
    </row>
    <row r="629" ht="15.75" customHeight="1">
      <c r="N629" s="14"/>
      <c r="O629" s="14"/>
      <c r="P629" s="14"/>
      <c r="Q629" s="36"/>
      <c r="R629" s="36"/>
      <c r="T629" s="31"/>
      <c r="W629" s="14"/>
    </row>
    <row r="630" ht="15.75" customHeight="1">
      <c r="N630" s="14"/>
      <c r="O630" s="14"/>
      <c r="P630" s="14"/>
      <c r="Q630" s="36"/>
      <c r="R630" s="36"/>
      <c r="T630" s="31"/>
      <c r="W630" s="14"/>
    </row>
    <row r="631" ht="15.75" customHeight="1">
      <c r="N631" s="14"/>
      <c r="O631" s="14"/>
      <c r="P631" s="14"/>
      <c r="Q631" s="36"/>
      <c r="R631" s="36"/>
      <c r="T631" s="31"/>
      <c r="W631" s="14"/>
    </row>
    <row r="632" ht="15.75" customHeight="1">
      <c r="N632" s="14"/>
      <c r="O632" s="14"/>
      <c r="P632" s="14"/>
      <c r="Q632" s="36"/>
      <c r="R632" s="36"/>
      <c r="T632" s="31"/>
      <c r="W632" s="14"/>
    </row>
    <row r="633" ht="15.75" customHeight="1">
      <c r="N633" s="14"/>
      <c r="O633" s="14"/>
      <c r="P633" s="14"/>
      <c r="Q633" s="36"/>
      <c r="R633" s="36"/>
      <c r="T633" s="31"/>
      <c r="W633" s="14"/>
    </row>
    <row r="634" ht="15.75" customHeight="1">
      <c r="N634" s="14"/>
      <c r="O634" s="14"/>
      <c r="P634" s="14"/>
      <c r="Q634" s="36"/>
      <c r="R634" s="36"/>
      <c r="T634" s="31"/>
      <c r="W634" s="14"/>
    </row>
    <row r="635" ht="15.75" customHeight="1">
      <c r="N635" s="14"/>
      <c r="O635" s="14"/>
      <c r="P635" s="14"/>
      <c r="Q635" s="36"/>
      <c r="R635" s="36"/>
      <c r="T635" s="31"/>
      <c r="W635" s="14"/>
    </row>
    <row r="636" ht="15.75" customHeight="1">
      <c r="N636" s="14"/>
      <c r="O636" s="14"/>
      <c r="P636" s="14"/>
      <c r="Q636" s="36"/>
      <c r="R636" s="36"/>
      <c r="T636" s="31"/>
      <c r="W636" s="14"/>
    </row>
    <row r="637" ht="15.75" customHeight="1">
      <c r="N637" s="14"/>
      <c r="O637" s="14"/>
      <c r="P637" s="14"/>
      <c r="Q637" s="36"/>
      <c r="R637" s="36"/>
      <c r="T637" s="31"/>
      <c r="W637" s="14"/>
    </row>
    <row r="638" ht="15.75" customHeight="1">
      <c r="N638" s="14"/>
      <c r="O638" s="14"/>
      <c r="P638" s="14"/>
      <c r="Q638" s="36"/>
      <c r="R638" s="36"/>
      <c r="T638" s="31"/>
      <c r="W638" s="14"/>
    </row>
    <row r="639" ht="15.75" customHeight="1">
      <c r="N639" s="14"/>
      <c r="O639" s="14"/>
      <c r="P639" s="14"/>
      <c r="Q639" s="36"/>
      <c r="R639" s="36"/>
      <c r="T639" s="31"/>
      <c r="W639" s="14"/>
    </row>
    <row r="640" ht="15.75" customHeight="1">
      <c r="N640" s="14"/>
      <c r="O640" s="14"/>
      <c r="P640" s="14"/>
      <c r="Q640" s="36"/>
      <c r="R640" s="36"/>
      <c r="T640" s="31"/>
      <c r="W640" s="14"/>
    </row>
    <row r="641" ht="15.75" customHeight="1">
      <c r="N641" s="14"/>
      <c r="O641" s="14"/>
      <c r="P641" s="14"/>
      <c r="Q641" s="36"/>
      <c r="R641" s="36"/>
      <c r="T641" s="31"/>
      <c r="W641" s="14"/>
    </row>
    <row r="642" ht="15.75" customHeight="1">
      <c r="N642" s="14"/>
      <c r="O642" s="14"/>
      <c r="P642" s="14"/>
      <c r="Q642" s="36"/>
      <c r="R642" s="36"/>
      <c r="T642" s="31"/>
      <c r="W642" s="14"/>
    </row>
    <row r="643" ht="15.75" customHeight="1">
      <c r="N643" s="14"/>
      <c r="O643" s="14"/>
      <c r="P643" s="14"/>
      <c r="Q643" s="36"/>
      <c r="R643" s="36"/>
      <c r="T643" s="31"/>
      <c r="W643" s="14"/>
    </row>
    <row r="644" ht="15.75" customHeight="1">
      <c r="N644" s="14"/>
      <c r="O644" s="14"/>
      <c r="P644" s="14"/>
      <c r="Q644" s="36"/>
      <c r="R644" s="36"/>
      <c r="T644" s="31"/>
      <c r="W644" s="14"/>
    </row>
    <row r="645" ht="15.75" customHeight="1">
      <c r="N645" s="14"/>
      <c r="O645" s="14"/>
      <c r="P645" s="14"/>
      <c r="Q645" s="36"/>
      <c r="R645" s="36"/>
      <c r="T645" s="31"/>
      <c r="W645" s="14"/>
    </row>
    <row r="646" ht="15.75" customHeight="1">
      <c r="N646" s="14"/>
      <c r="O646" s="14"/>
      <c r="P646" s="14"/>
      <c r="Q646" s="36"/>
      <c r="R646" s="36"/>
      <c r="T646" s="31"/>
      <c r="W646" s="14"/>
    </row>
    <row r="647" ht="15.75" customHeight="1">
      <c r="N647" s="14"/>
      <c r="O647" s="14"/>
      <c r="P647" s="14"/>
      <c r="Q647" s="36"/>
      <c r="R647" s="36"/>
      <c r="T647" s="31"/>
      <c r="W647" s="14"/>
    </row>
    <row r="648" ht="15.75" customHeight="1">
      <c r="N648" s="14"/>
      <c r="O648" s="14"/>
      <c r="P648" s="14"/>
      <c r="Q648" s="36"/>
      <c r="R648" s="36"/>
      <c r="T648" s="31"/>
      <c r="W648" s="14"/>
    </row>
    <row r="649" ht="15.75" customHeight="1">
      <c r="N649" s="14"/>
      <c r="O649" s="14"/>
      <c r="P649" s="14"/>
      <c r="Q649" s="36"/>
      <c r="R649" s="36"/>
      <c r="T649" s="31"/>
      <c r="W649" s="14"/>
    </row>
    <row r="650" ht="15.75" customHeight="1">
      <c r="N650" s="14"/>
      <c r="O650" s="14"/>
      <c r="P650" s="14"/>
      <c r="Q650" s="36"/>
      <c r="R650" s="36"/>
      <c r="T650" s="31"/>
      <c r="W650" s="14"/>
    </row>
    <row r="651" ht="15.75" customHeight="1">
      <c r="N651" s="14"/>
      <c r="O651" s="14"/>
      <c r="P651" s="14"/>
      <c r="Q651" s="36"/>
      <c r="R651" s="36"/>
      <c r="T651" s="31"/>
      <c r="W651" s="14"/>
    </row>
    <row r="652" ht="15.75" customHeight="1">
      <c r="N652" s="14"/>
      <c r="O652" s="14"/>
      <c r="P652" s="14"/>
      <c r="Q652" s="36"/>
      <c r="R652" s="36"/>
      <c r="T652" s="31"/>
      <c r="W652" s="14"/>
    </row>
    <row r="653" ht="15.75" customHeight="1">
      <c r="N653" s="14"/>
      <c r="O653" s="14"/>
      <c r="P653" s="14"/>
      <c r="Q653" s="36"/>
      <c r="R653" s="36"/>
      <c r="T653" s="31"/>
      <c r="W653" s="14"/>
    </row>
    <row r="654" ht="15.75" customHeight="1">
      <c r="N654" s="14"/>
      <c r="O654" s="14"/>
      <c r="P654" s="14"/>
      <c r="Q654" s="36"/>
      <c r="R654" s="36"/>
      <c r="T654" s="31"/>
      <c r="W654" s="14"/>
    </row>
    <row r="655" ht="15.75" customHeight="1">
      <c r="N655" s="14"/>
      <c r="O655" s="14"/>
      <c r="P655" s="14"/>
      <c r="Q655" s="36"/>
      <c r="R655" s="36"/>
      <c r="T655" s="31"/>
      <c r="W655" s="14"/>
    </row>
    <row r="656" ht="15.75" customHeight="1">
      <c r="N656" s="14"/>
      <c r="O656" s="14"/>
      <c r="P656" s="14"/>
      <c r="Q656" s="36"/>
      <c r="R656" s="36"/>
      <c r="T656" s="31"/>
      <c r="W656" s="14"/>
    </row>
    <row r="657" ht="15.75" customHeight="1">
      <c r="N657" s="14"/>
      <c r="O657" s="14"/>
      <c r="P657" s="14"/>
      <c r="Q657" s="36"/>
      <c r="R657" s="36"/>
      <c r="T657" s="31"/>
      <c r="W657" s="14"/>
    </row>
    <row r="658" ht="15.75" customHeight="1">
      <c r="N658" s="14"/>
      <c r="O658" s="14"/>
      <c r="P658" s="14"/>
      <c r="Q658" s="36"/>
      <c r="R658" s="36"/>
      <c r="T658" s="31"/>
      <c r="W658" s="14"/>
    </row>
    <row r="659" ht="15.75" customHeight="1">
      <c r="N659" s="14"/>
      <c r="O659" s="14"/>
      <c r="P659" s="14"/>
      <c r="Q659" s="36"/>
      <c r="R659" s="36"/>
      <c r="T659" s="31"/>
      <c r="W659" s="14"/>
    </row>
    <row r="660" ht="15.75" customHeight="1">
      <c r="N660" s="14"/>
      <c r="O660" s="14"/>
      <c r="P660" s="14"/>
      <c r="Q660" s="36"/>
      <c r="R660" s="36"/>
      <c r="T660" s="31"/>
      <c r="W660" s="14"/>
    </row>
    <row r="661" ht="15.75" customHeight="1">
      <c r="N661" s="14"/>
      <c r="O661" s="14"/>
      <c r="P661" s="14"/>
      <c r="Q661" s="36"/>
      <c r="R661" s="36"/>
      <c r="T661" s="31"/>
      <c r="W661" s="14"/>
    </row>
    <row r="662" ht="15.75" customHeight="1">
      <c r="N662" s="14"/>
      <c r="O662" s="14"/>
      <c r="P662" s="14"/>
      <c r="Q662" s="36"/>
      <c r="R662" s="36"/>
      <c r="T662" s="31"/>
      <c r="W662" s="14"/>
    </row>
    <row r="663" ht="15.75" customHeight="1">
      <c r="N663" s="14"/>
      <c r="O663" s="14"/>
      <c r="P663" s="14"/>
      <c r="Q663" s="36"/>
      <c r="R663" s="36"/>
      <c r="T663" s="31"/>
      <c r="W663" s="14"/>
    </row>
    <row r="664" ht="15.75" customHeight="1">
      <c r="N664" s="14"/>
      <c r="O664" s="14"/>
      <c r="P664" s="14"/>
      <c r="Q664" s="36"/>
      <c r="R664" s="36"/>
      <c r="T664" s="31"/>
      <c r="W664" s="14"/>
    </row>
    <row r="665" ht="15.75" customHeight="1">
      <c r="N665" s="14"/>
      <c r="O665" s="14"/>
      <c r="P665" s="14"/>
      <c r="Q665" s="36"/>
      <c r="R665" s="36"/>
      <c r="T665" s="31"/>
      <c r="W665" s="14"/>
    </row>
    <row r="666" ht="15.75" customHeight="1">
      <c r="N666" s="14"/>
      <c r="O666" s="14"/>
      <c r="P666" s="14"/>
      <c r="Q666" s="36"/>
      <c r="R666" s="36"/>
      <c r="T666" s="31"/>
      <c r="W666" s="14"/>
    </row>
    <row r="667" ht="15.75" customHeight="1">
      <c r="N667" s="14"/>
      <c r="O667" s="14"/>
      <c r="P667" s="14"/>
      <c r="Q667" s="36"/>
      <c r="R667" s="36"/>
      <c r="T667" s="31"/>
      <c r="W667" s="14"/>
    </row>
    <row r="668" ht="15.75" customHeight="1">
      <c r="N668" s="14"/>
      <c r="O668" s="14"/>
      <c r="P668" s="14"/>
      <c r="Q668" s="36"/>
      <c r="R668" s="36"/>
      <c r="T668" s="31"/>
      <c r="W668" s="14"/>
    </row>
    <row r="669" ht="15.75" customHeight="1">
      <c r="N669" s="14"/>
      <c r="O669" s="14"/>
      <c r="P669" s="14"/>
      <c r="Q669" s="36"/>
      <c r="R669" s="36"/>
      <c r="T669" s="31"/>
      <c r="W669" s="14"/>
    </row>
    <row r="670" ht="15.75" customHeight="1">
      <c r="N670" s="14"/>
      <c r="O670" s="14"/>
      <c r="P670" s="14"/>
      <c r="Q670" s="36"/>
      <c r="R670" s="36"/>
      <c r="T670" s="31"/>
      <c r="W670" s="14"/>
    </row>
    <row r="671" ht="15.75" customHeight="1">
      <c r="N671" s="14"/>
      <c r="O671" s="14"/>
      <c r="P671" s="14"/>
      <c r="Q671" s="36"/>
      <c r="R671" s="36"/>
      <c r="T671" s="31"/>
      <c r="W671" s="14"/>
    </row>
    <row r="672" ht="15.75" customHeight="1">
      <c r="N672" s="14"/>
      <c r="O672" s="14"/>
      <c r="P672" s="14"/>
      <c r="Q672" s="36"/>
      <c r="R672" s="36"/>
      <c r="T672" s="31"/>
      <c r="W672" s="14"/>
    </row>
    <row r="673" ht="15.75" customHeight="1">
      <c r="N673" s="14"/>
      <c r="O673" s="14"/>
      <c r="P673" s="14"/>
      <c r="Q673" s="36"/>
      <c r="R673" s="36"/>
      <c r="T673" s="31"/>
      <c r="W673" s="14"/>
    </row>
    <row r="674" ht="15.75" customHeight="1">
      <c r="N674" s="14"/>
      <c r="O674" s="14"/>
      <c r="P674" s="14"/>
      <c r="Q674" s="36"/>
      <c r="R674" s="36"/>
      <c r="T674" s="31"/>
      <c r="W674" s="14"/>
    </row>
    <row r="675" ht="15.75" customHeight="1">
      <c r="N675" s="14"/>
      <c r="O675" s="14"/>
      <c r="P675" s="14"/>
      <c r="Q675" s="36"/>
      <c r="R675" s="36"/>
      <c r="T675" s="31"/>
      <c r="W675" s="14"/>
    </row>
    <row r="676" ht="15.75" customHeight="1">
      <c r="N676" s="14"/>
      <c r="O676" s="14"/>
      <c r="P676" s="14"/>
      <c r="Q676" s="36"/>
      <c r="R676" s="36"/>
      <c r="T676" s="31"/>
      <c r="W676" s="14"/>
    </row>
    <row r="677" ht="15.75" customHeight="1">
      <c r="N677" s="14"/>
      <c r="O677" s="14"/>
      <c r="P677" s="14"/>
      <c r="Q677" s="36"/>
      <c r="R677" s="36"/>
      <c r="T677" s="31"/>
      <c r="W677" s="14"/>
    </row>
    <row r="678" ht="15.75" customHeight="1">
      <c r="N678" s="14"/>
      <c r="O678" s="14"/>
      <c r="P678" s="14"/>
      <c r="Q678" s="36"/>
      <c r="R678" s="36"/>
      <c r="T678" s="31"/>
      <c r="W678" s="14"/>
    </row>
    <row r="679" ht="15.75" customHeight="1">
      <c r="N679" s="14"/>
      <c r="O679" s="14"/>
      <c r="P679" s="14"/>
      <c r="Q679" s="36"/>
      <c r="R679" s="36"/>
      <c r="T679" s="31"/>
      <c r="W679" s="14"/>
    </row>
    <row r="680" ht="15.75" customHeight="1">
      <c r="N680" s="14"/>
      <c r="O680" s="14"/>
      <c r="P680" s="14"/>
      <c r="Q680" s="36"/>
      <c r="R680" s="36"/>
      <c r="T680" s="31"/>
      <c r="W680" s="14"/>
    </row>
    <row r="681" ht="15.75" customHeight="1">
      <c r="N681" s="14"/>
      <c r="O681" s="14"/>
      <c r="P681" s="14"/>
      <c r="Q681" s="36"/>
      <c r="R681" s="36"/>
      <c r="T681" s="31"/>
      <c r="W681" s="14"/>
    </row>
    <row r="682" ht="15.75" customHeight="1">
      <c r="N682" s="14"/>
      <c r="O682" s="14"/>
      <c r="P682" s="14"/>
      <c r="Q682" s="36"/>
      <c r="R682" s="36"/>
      <c r="T682" s="31"/>
      <c r="W682" s="14"/>
    </row>
    <row r="683" ht="15.75" customHeight="1">
      <c r="N683" s="14"/>
      <c r="O683" s="14"/>
      <c r="P683" s="14"/>
      <c r="Q683" s="36"/>
      <c r="R683" s="36"/>
      <c r="T683" s="31"/>
      <c r="W683" s="14"/>
    </row>
    <row r="684" ht="15.75" customHeight="1">
      <c r="N684" s="14"/>
      <c r="O684" s="14"/>
      <c r="P684" s="14"/>
      <c r="Q684" s="36"/>
      <c r="R684" s="36"/>
      <c r="T684" s="31"/>
      <c r="W684" s="14"/>
    </row>
    <row r="685" ht="15.75" customHeight="1">
      <c r="N685" s="14"/>
      <c r="O685" s="14"/>
      <c r="P685" s="14"/>
      <c r="Q685" s="36"/>
      <c r="R685" s="36"/>
      <c r="T685" s="31"/>
      <c r="W685" s="14"/>
    </row>
    <row r="686" ht="15.75" customHeight="1">
      <c r="N686" s="14"/>
      <c r="O686" s="14"/>
      <c r="P686" s="14"/>
      <c r="Q686" s="36"/>
      <c r="R686" s="36"/>
      <c r="T686" s="31"/>
      <c r="W686" s="14"/>
    </row>
    <row r="687" ht="15.75" customHeight="1">
      <c r="N687" s="14"/>
      <c r="O687" s="14"/>
      <c r="P687" s="14"/>
      <c r="Q687" s="36"/>
      <c r="R687" s="36"/>
      <c r="T687" s="31"/>
      <c r="W687" s="14"/>
    </row>
    <row r="688" ht="15.75" customHeight="1">
      <c r="N688" s="14"/>
      <c r="O688" s="14"/>
      <c r="P688" s="14"/>
      <c r="Q688" s="36"/>
      <c r="R688" s="36"/>
      <c r="T688" s="31"/>
      <c r="W688" s="14"/>
    </row>
    <row r="689" ht="15.75" customHeight="1">
      <c r="N689" s="14"/>
      <c r="O689" s="14"/>
      <c r="P689" s="14"/>
      <c r="Q689" s="36"/>
      <c r="R689" s="36"/>
      <c r="T689" s="31"/>
      <c r="W689" s="14"/>
    </row>
    <row r="690" ht="15.75" customHeight="1">
      <c r="N690" s="14"/>
      <c r="O690" s="14"/>
      <c r="P690" s="14"/>
      <c r="Q690" s="36"/>
      <c r="R690" s="36"/>
      <c r="T690" s="31"/>
      <c r="W690" s="14"/>
    </row>
    <row r="691" ht="15.75" customHeight="1">
      <c r="N691" s="14"/>
      <c r="O691" s="14"/>
      <c r="P691" s="14"/>
      <c r="Q691" s="36"/>
      <c r="R691" s="36"/>
      <c r="T691" s="31"/>
      <c r="W691" s="14"/>
    </row>
    <row r="692" ht="15.75" customHeight="1">
      <c r="N692" s="14"/>
      <c r="O692" s="14"/>
      <c r="P692" s="14"/>
      <c r="Q692" s="36"/>
      <c r="R692" s="36"/>
      <c r="T692" s="31"/>
      <c r="W692" s="14"/>
    </row>
    <row r="693" ht="15.75" customHeight="1">
      <c r="N693" s="14"/>
      <c r="O693" s="14"/>
      <c r="P693" s="14"/>
      <c r="Q693" s="36"/>
      <c r="R693" s="36"/>
      <c r="T693" s="31"/>
      <c r="W693" s="14"/>
    </row>
    <row r="694" ht="15.75" customHeight="1">
      <c r="N694" s="14"/>
      <c r="O694" s="14"/>
      <c r="P694" s="14"/>
      <c r="Q694" s="36"/>
      <c r="R694" s="36"/>
      <c r="T694" s="31"/>
      <c r="W694" s="14"/>
    </row>
    <row r="695" ht="15.75" customHeight="1">
      <c r="N695" s="14"/>
      <c r="O695" s="14"/>
      <c r="P695" s="14"/>
      <c r="Q695" s="36"/>
      <c r="R695" s="36"/>
      <c r="T695" s="31"/>
      <c r="W695" s="14"/>
    </row>
    <row r="696" ht="15.75" customHeight="1">
      <c r="N696" s="14"/>
      <c r="O696" s="14"/>
      <c r="P696" s="14"/>
      <c r="Q696" s="36"/>
      <c r="R696" s="36"/>
      <c r="T696" s="31"/>
      <c r="W696" s="14"/>
    </row>
    <row r="697" ht="15.75" customHeight="1">
      <c r="N697" s="14"/>
      <c r="O697" s="14"/>
      <c r="P697" s="14"/>
      <c r="Q697" s="36"/>
      <c r="R697" s="36"/>
      <c r="T697" s="31"/>
      <c r="W697" s="14"/>
    </row>
    <row r="698" ht="15.75" customHeight="1">
      <c r="N698" s="14"/>
      <c r="O698" s="14"/>
      <c r="P698" s="14"/>
      <c r="Q698" s="36"/>
      <c r="R698" s="36"/>
      <c r="T698" s="31"/>
      <c r="W698" s="14"/>
    </row>
    <row r="699" ht="15.75" customHeight="1">
      <c r="N699" s="14"/>
      <c r="O699" s="14"/>
      <c r="P699" s="14"/>
      <c r="Q699" s="36"/>
      <c r="R699" s="36"/>
      <c r="T699" s="31"/>
      <c r="W699" s="14"/>
    </row>
    <row r="700" ht="15.75" customHeight="1">
      <c r="N700" s="14"/>
      <c r="O700" s="14"/>
      <c r="P700" s="14"/>
      <c r="Q700" s="36"/>
      <c r="R700" s="36"/>
      <c r="T700" s="31"/>
      <c r="W700" s="14"/>
    </row>
    <row r="701" ht="15.75" customHeight="1">
      <c r="N701" s="14"/>
      <c r="O701" s="14"/>
      <c r="P701" s="14"/>
      <c r="Q701" s="36"/>
      <c r="R701" s="36"/>
      <c r="T701" s="31"/>
      <c r="W701" s="14"/>
    </row>
    <row r="702" ht="15.75" customHeight="1">
      <c r="N702" s="14"/>
      <c r="O702" s="14"/>
      <c r="P702" s="14"/>
      <c r="Q702" s="36"/>
      <c r="R702" s="36"/>
      <c r="T702" s="31"/>
      <c r="W702" s="14"/>
    </row>
    <row r="703" ht="15.75" customHeight="1">
      <c r="N703" s="14"/>
      <c r="O703" s="14"/>
      <c r="P703" s="14"/>
      <c r="Q703" s="36"/>
      <c r="R703" s="36"/>
      <c r="T703" s="31"/>
      <c r="W703" s="14"/>
    </row>
    <row r="704" ht="15.75" customHeight="1">
      <c r="N704" s="14"/>
      <c r="O704" s="14"/>
      <c r="P704" s="14"/>
      <c r="Q704" s="36"/>
      <c r="R704" s="36"/>
      <c r="T704" s="31"/>
      <c r="W704" s="14"/>
    </row>
    <row r="705" ht="15.75" customHeight="1">
      <c r="N705" s="14"/>
      <c r="O705" s="14"/>
      <c r="P705" s="14"/>
      <c r="Q705" s="36"/>
      <c r="R705" s="36"/>
      <c r="T705" s="31"/>
      <c r="W705" s="14"/>
    </row>
    <row r="706" ht="15.75" customHeight="1">
      <c r="T706" s="65"/>
    </row>
    <row r="707" ht="15.75" customHeight="1">
      <c r="T707" s="65"/>
    </row>
    <row r="708" ht="15.75" customHeight="1">
      <c r="T708" s="65"/>
    </row>
    <row r="709" ht="15.75" customHeight="1">
      <c r="T709" s="65"/>
    </row>
    <row r="710" ht="15.75" customHeight="1">
      <c r="T710" s="65"/>
    </row>
    <row r="711" ht="15.75" customHeight="1">
      <c r="T711" s="65"/>
    </row>
    <row r="712" ht="15.75" customHeight="1">
      <c r="T712" s="65"/>
    </row>
    <row r="713" ht="15.75" customHeight="1">
      <c r="T713" s="65"/>
    </row>
    <row r="714" ht="15.75" customHeight="1">
      <c r="T714" s="65"/>
    </row>
    <row r="715" ht="15.75" customHeight="1">
      <c r="T715" s="65"/>
    </row>
    <row r="716" ht="15.75" customHeight="1">
      <c r="T716" s="65"/>
    </row>
    <row r="717" ht="15.75" customHeight="1">
      <c r="T717" s="65"/>
    </row>
    <row r="718" ht="15.75" customHeight="1">
      <c r="T718" s="65"/>
    </row>
    <row r="719" ht="15.75" customHeight="1">
      <c r="T719" s="65"/>
    </row>
    <row r="720" ht="15.75" customHeight="1">
      <c r="T720" s="65"/>
    </row>
    <row r="721" ht="15.75" customHeight="1">
      <c r="T721" s="65"/>
    </row>
    <row r="722" ht="15.75" customHeight="1">
      <c r="T722" s="65"/>
    </row>
    <row r="723" ht="15.75" customHeight="1">
      <c r="T723" s="65"/>
    </row>
    <row r="724" ht="15.75" customHeight="1">
      <c r="T724" s="65"/>
    </row>
    <row r="725" ht="15.75" customHeight="1">
      <c r="T725" s="65"/>
    </row>
    <row r="726" ht="15.75" customHeight="1">
      <c r="T726" s="65"/>
    </row>
    <row r="727" ht="15.75" customHeight="1">
      <c r="T727" s="65"/>
    </row>
    <row r="728" ht="15.75" customHeight="1">
      <c r="T728" s="65"/>
    </row>
    <row r="729" ht="15.75" customHeight="1">
      <c r="T729" s="65"/>
    </row>
    <row r="730" ht="15.75" customHeight="1">
      <c r="T730" s="65"/>
    </row>
    <row r="731" ht="15.75" customHeight="1">
      <c r="T731" s="65"/>
    </row>
    <row r="732" ht="15.75" customHeight="1">
      <c r="T732" s="65"/>
    </row>
    <row r="733" ht="15.75" customHeight="1">
      <c r="T733" s="65"/>
    </row>
    <row r="734" ht="15.75" customHeight="1">
      <c r="T734" s="65"/>
    </row>
    <row r="735" ht="15.75" customHeight="1">
      <c r="T735" s="65"/>
    </row>
    <row r="736" ht="15.75" customHeight="1">
      <c r="T736" s="65"/>
    </row>
    <row r="737" ht="15.75" customHeight="1">
      <c r="T737" s="65"/>
    </row>
    <row r="738" ht="15.75" customHeight="1">
      <c r="T738" s="65"/>
    </row>
    <row r="739" ht="15.75" customHeight="1">
      <c r="T739" s="65"/>
    </row>
    <row r="740" ht="15.75" customHeight="1">
      <c r="T740" s="65"/>
    </row>
    <row r="741" ht="15.75" customHeight="1">
      <c r="T741" s="65"/>
    </row>
    <row r="742" ht="15.75" customHeight="1">
      <c r="T742" s="65"/>
    </row>
    <row r="743" ht="15.75" customHeight="1">
      <c r="T743" s="65"/>
    </row>
    <row r="744" ht="15.75" customHeight="1">
      <c r="T744" s="65"/>
    </row>
    <row r="745" ht="15.75" customHeight="1">
      <c r="T745" s="65"/>
    </row>
    <row r="746" ht="15.75" customHeight="1">
      <c r="T746" s="65"/>
    </row>
    <row r="747" ht="15.75" customHeight="1">
      <c r="T747" s="65"/>
    </row>
    <row r="748" ht="15.75" customHeight="1">
      <c r="T748" s="65"/>
    </row>
    <row r="749" ht="15.75" customHeight="1">
      <c r="T749" s="65"/>
    </row>
    <row r="750" ht="15.75" customHeight="1">
      <c r="T750" s="65"/>
    </row>
    <row r="751" ht="15.75" customHeight="1">
      <c r="T751" s="65"/>
    </row>
    <row r="752" ht="15.75" customHeight="1">
      <c r="T752" s="65"/>
    </row>
    <row r="753" ht="15.75" customHeight="1">
      <c r="T753" s="65"/>
    </row>
    <row r="754" ht="15.75" customHeight="1">
      <c r="T754" s="65"/>
    </row>
    <row r="755" ht="15.75" customHeight="1">
      <c r="T755" s="65"/>
    </row>
    <row r="756" ht="15.75" customHeight="1">
      <c r="T756" s="65"/>
    </row>
    <row r="757" ht="15.75" customHeight="1">
      <c r="T757" s="65"/>
    </row>
    <row r="758" ht="15.75" customHeight="1">
      <c r="T758" s="65"/>
    </row>
    <row r="759" ht="15.75" customHeight="1">
      <c r="T759" s="65"/>
    </row>
    <row r="760" ht="15.75" customHeight="1">
      <c r="T760" s="65"/>
    </row>
    <row r="761" ht="15.75" customHeight="1">
      <c r="T761" s="65"/>
    </row>
    <row r="762" ht="15.75" customHeight="1">
      <c r="T762" s="65"/>
    </row>
    <row r="763" ht="15.75" customHeight="1">
      <c r="T763" s="65"/>
    </row>
    <row r="764" ht="15.75" customHeight="1">
      <c r="T764" s="65"/>
    </row>
    <row r="765" ht="15.75" customHeight="1">
      <c r="T765" s="65"/>
    </row>
    <row r="766" ht="15.75" customHeight="1">
      <c r="T766" s="65"/>
    </row>
    <row r="767" ht="15.75" customHeight="1">
      <c r="T767" s="65"/>
    </row>
    <row r="768" ht="15.75" customHeight="1">
      <c r="T768" s="65"/>
    </row>
    <row r="769" ht="15.75" customHeight="1">
      <c r="T769" s="65"/>
    </row>
    <row r="770" ht="15.75" customHeight="1">
      <c r="T770" s="65"/>
    </row>
    <row r="771" ht="15.75" customHeight="1">
      <c r="T771" s="65"/>
    </row>
    <row r="772" ht="15.75" customHeight="1">
      <c r="T772" s="65"/>
    </row>
    <row r="773" ht="15.75" customHeight="1">
      <c r="T773" s="65"/>
    </row>
    <row r="774" ht="15.75" customHeight="1">
      <c r="T774" s="65"/>
    </row>
    <row r="775" ht="15.75" customHeight="1">
      <c r="T775" s="65"/>
    </row>
    <row r="776" ht="15.75" customHeight="1">
      <c r="T776" s="65"/>
    </row>
    <row r="777" ht="15.75" customHeight="1">
      <c r="T777" s="65"/>
    </row>
    <row r="778" ht="15.75" customHeight="1">
      <c r="T778" s="65"/>
    </row>
    <row r="779" ht="15.75" customHeight="1">
      <c r="T779" s="65"/>
    </row>
    <row r="780" ht="15.75" customHeight="1">
      <c r="T780" s="65"/>
    </row>
    <row r="781" ht="15.75" customHeight="1">
      <c r="T781" s="65"/>
    </row>
    <row r="782" ht="15.75" customHeight="1">
      <c r="T782" s="65"/>
    </row>
    <row r="783" ht="15.75" customHeight="1">
      <c r="T783" s="65"/>
    </row>
    <row r="784" ht="15.75" customHeight="1">
      <c r="T784" s="65"/>
    </row>
    <row r="785" ht="15.75" customHeight="1">
      <c r="T785" s="65"/>
    </row>
    <row r="786" ht="15.75" customHeight="1">
      <c r="T786" s="65"/>
    </row>
    <row r="787" ht="15.75" customHeight="1">
      <c r="T787" s="65"/>
    </row>
    <row r="788" ht="15.75" customHeight="1">
      <c r="T788" s="65"/>
    </row>
    <row r="789" ht="15.75" customHeight="1">
      <c r="T789" s="65"/>
    </row>
    <row r="790" ht="15.75" customHeight="1">
      <c r="T790" s="65"/>
    </row>
    <row r="791" ht="15.75" customHeight="1">
      <c r="T791" s="65"/>
    </row>
    <row r="792" ht="15.75" customHeight="1">
      <c r="T792" s="65"/>
    </row>
    <row r="793" ht="15.75" customHeight="1">
      <c r="T793" s="65"/>
    </row>
    <row r="794" ht="15.75" customHeight="1">
      <c r="T794" s="65"/>
    </row>
    <row r="795" ht="15.75" customHeight="1">
      <c r="T795" s="65"/>
    </row>
    <row r="796" ht="15.75" customHeight="1">
      <c r="T796" s="65"/>
    </row>
    <row r="797" ht="15.75" customHeight="1">
      <c r="T797" s="65"/>
    </row>
    <row r="798" ht="15.75" customHeight="1">
      <c r="T798" s="65"/>
    </row>
    <row r="799" ht="15.75" customHeight="1">
      <c r="T799" s="65"/>
    </row>
    <row r="800" ht="15.75" customHeight="1">
      <c r="T800" s="65"/>
    </row>
    <row r="801" ht="15.75" customHeight="1">
      <c r="T801" s="65"/>
    </row>
    <row r="802" ht="15.75" customHeight="1">
      <c r="T802" s="65"/>
    </row>
    <row r="803" ht="15.75" customHeight="1">
      <c r="T803" s="65"/>
    </row>
    <row r="804" ht="15.75" customHeight="1">
      <c r="T804" s="65"/>
    </row>
    <row r="805" ht="15.75" customHeight="1">
      <c r="T805" s="65"/>
    </row>
    <row r="806" ht="15.75" customHeight="1">
      <c r="T806" s="65"/>
    </row>
    <row r="807" ht="15.75" customHeight="1">
      <c r="T807" s="65"/>
    </row>
    <row r="808" ht="15.75" customHeight="1">
      <c r="T808" s="65"/>
    </row>
    <row r="809" ht="15.75" customHeight="1">
      <c r="T809" s="65"/>
    </row>
    <row r="810" ht="15.75" customHeight="1">
      <c r="T810" s="65"/>
    </row>
    <row r="811" ht="15.75" customHeight="1">
      <c r="T811" s="65"/>
    </row>
    <row r="812" ht="15.75" customHeight="1">
      <c r="T812" s="65"/>
    </row>
    <row r="813" ht="15.75" customHeight="1">
      <c r="T813" s="65"/>
    </row>
    <row r="814" ht="15.75" customHeight="1">
      <c r="T814" s="65"/>
    </row>
    <row r="815" ht="15.75" customHeight="1">
      <c r="T815" s="65"/>
    </row>
    <row r="816" ht="15.75" customHeight="1">
      <c r="T816" s="65"/>
    </row>
    <row r="817" ht="15.75" customHeight="1">
      <c r="T817" s="65"/>
    </row>
    <row r="818" ht="15.75" customHeight="1">
      <c r="T818" s="65"/>
    </row>
    <row r="819" ht="15.75" customHeight="1">
      <c r="T819" s="65"/>
    </row>
    <row r="820" ht="15.75" customHeight="1">
      <c r="T820" s="65"/>
    </row>
    <row r="821" ht="15.75" customHeight="1">
      <c r="T821" s="65"/>
    </row>
    <row r="822" ht="15.75" customHeight="1">
      <c r="T822" s="65"/>
    </row>
    <row r="823" ht="15.75" customHeight="1">
      <c r="T823" s="65"/>
    </row>
    <row r="824" ht="15.75" customHeight="1">
      <c r="T824" s="65"/>
    </row>
    <row r="825" ht="15.75" customHeight="1">
      <c r="T825" s="65"/>
    </row>
    <row r="826" ht="15.75" customHeight="1">
      <c r="T826" s="65"/>
    </row>
    <row r="827" ht="15.75" customHeight="1">
      <c r="T827" s="65"/>
    </row>
    <row r="828" ht="15.75" customHeight="1">
      <c r="T828" s="65"/>
    </row>
    <row r="829" ht="15.75" customHeight="1">
      <c r="T829" s="65"/>
    </row>
    <row r="830" ht="15.75" customHeight="1">
      <c r="T830" s="65"/>
    </row>
    <row r="831" ht="15.75" customHeight="1">
      <c r="T831" s="65"/>
    </row>
    <row r="832" ht="15.75" customHeight="1">
      <c r="T832" s="65"/>
    </row>
    <row r="833" ht="15.75" customHeight="1">
      <c r="T833" s="65"/>
    </row>
    <row r="834" ht="15.75" customHeight="1">
      <c r="T834" s="65"/>
    </row>
    <row r="835" ht="15.75" customHeight="1">
      <c r="T835" s="65"/>
    </row>
    <row r="836" ht="15.75" customHeight="1">
      <c r="T836" s="65"/>
    </row>
    <row r="837" ht="15.75" customHeight="1">
      <c r="T837" s="65"/>
    </row>
    <row r="838" ht="15.75" customHeight="1">
      <c r="T838" s="65"/>
    </row>
    <row r="839" ht="15.75" customHeight="1">
      <c r="T839" s="65"/>
    </row>
    <row r="840" ht="15.75" customHeight="1">
      <c r="T840" s="65"/>
    </row>
    <row r="841" ht="15.75" customHeight="1">
      <c r="T841" s="65"/>
    </row>
    <row r="842" ht="15.75" customHeight="1">
      <c r="T842" s="65"/>
    </row>
    <row r="843" ht="15.75" customHeight="1">
      <c r="T843" s="65"/>
    </row>
    <row r="844" ht="15.75" customHeight="1">
      <c r="T844" s="65"/>
    </row>
    <row r="845" ht="15.75" customHeight="1">
      <c r="T845" s="65"/>
    </row>
    <row r="846" ht="15.75" customHeight="1">
      <c r="T846" s="65"/>
    </row>
    <row r="847" ht="15.75" customHeight="1">
      <c r="T847" s="65"/>
    </row>
    <row r="848" ht="15.75" customHeight="1">
      <c r="T848" s="65"/>
    </row>
    <row r="849" ht="15.75" customHeight="1">
      <c r="T849" s="65"/>
    </row>
    <row r="850" ht="15.75" customHeight="1">
      <c r="T850" s="65"/>
    </row>
    <row r="851" ht="15.75" customHeight="1">
      <c r="T851" s="65"/>
    </row>
    <row r="852" ht="15.75" customHeight="1">
      <c r="T852" s="65"/>
    </row>
    <row r="853" ht="15.75" customHeight="1">
      <c r="T853" s="65"/>
    </row>
    <row r="854" ht="15.75" customHeight="1">
      <c r="T854" s="65"/>
    </row>
    <row r="855" ht="15.75" customHeight="1">
      <c r="T855" s="65"/>
    </row>
    <row r="856" ht="15.75" customHeight="1">
      <c r="T856" s="65"/>
    </row>
    <row r="857" ht="15.75" customHeight="1">
      <c r="T857" s="65"/>
    </row>
    <row r="858" ht="15.75" customHeight="1">
      <c r="T858" s="65"/>
    </row>
    <row r="859" ht="15.75" customHeight="1">
      <c r="T859" s="65"/>
    </row>
    <row r="860" ht="15.75" customHeight="1">
      <c r="T860" s="65"/>
    </row>
    <row r="861" ht="15.75" customHeight="1">
      <c r="T861" s="65"/>
    </row>
    <row r="862" ht="15.75" customHeight="1">
      <c r="T862" s="65"/>
    </row>
    <row r="863" ht="15.75" customHeight="1">
      <c r="T863" s="65"/>
    </row>
    <row r="864" ht="15.75" customHeight="1">
      <c r="T864" s="65"/>
    </row>
    <row r="865" ht="15.75" customHeight="1">
      <c r="T865" s="65"/>
    </row>
    <row r="866" ht="15.75" customHeight="1">
      <c r="T866" s="65"/>
    </row>
    <row r="867" ht="15.75" customHeight="1">
      <c r="T867" s="65"/>
    </row>
    <row r="868" ht="15.75" customHeight="1">
      <c r="T868" s="65"/>
    </row>
    <row r="869" ht="15.75" customHeight="1">
      <c r="T869" s="65"/>
    </row>
    <row r="870" ht="15.75" customHeight="1">
      <c r="T870" s="65"/>
    </row>
    <row r="871" ht="15.75" customHeight="1">
      <c r="T871" s="65"/>
    </row>
    <row r="872" ht="15.75" customHeight="1">
      <c r="T872" s="65"/>
    </row>
    <row r="873" ht="15.75" customHeight="1">
      <c r="T873" s="65"/>
    </row>
    <row r="874" ht="15.75" customHeight="1">
      <c r="T874" s="65"/>
    </row>
    <row r="875" ht="15.75" customHeight="1">
      <c r="T875" s="65"/>
    </row>
    <row r="876" ht="15.75" customHeight="1">
      <c r="T876" s="65"/>
    </row>
    <row r="877" ht="15.75" customHeight="1">
      <c r="T877" s="65"/>
    </row>
    <row r="878" ht="15.75" customHeight="1">
      <c r="T878" s="65"/>
    </row>
    <row r="879" ht="15.75" customHeight="1">
      <c r="T879" s="65"/>
    </row>
    <row r="880" ht="15.75" customHeight="1">
      <c r="T880" s="65"/>
    </row>
    <row r="881" ht="15.75" customHeight="1">
      <c r="T881" s="65"/>
    </row>
    <row r="882" ht="15.75" customHeight="1">
      <c r="T882" s="65"/>
    </row>
    <row r="883" ht="15.75" customHeight="1">
      <c r="T883" s="65"/>
    </row>
    <row r="884" ht="15.75" customHeight="1">
      <c r="T884" s="65"/>
    </row>
    <row r="885" ht="15.75" customHeight="1">
      <c r="T885" s="65"/>
    </row>
    <row r="886" ht="15.75" customHeight="1">
      <c r="T886" s="65"/>
    </row>
    <row r="887" ht="15.75" customHeight="1">
      <c r="T887" s="65"/>
    </row>
    <row r="888" ht="15.75" customHeight="1">
      <c r="T888" s="65"/>
    </row>
    <row r="889" ht="15.75" customHeight="1">
      <c r="T889" s="65"/>
    </row>
    <row r="890" ht="15.75" customHeight="1">
      <c r="T890" s="65"/>
    </row>
    <row r="891" ht="15.75" customHeight="1">
      <c r="T891" s="65"/>
    </row>
    <row r="892" ht="15.75" customHeight="1">
      <c r="T892" s="65"/>
    </row>
    <row r="893" ht="15.75" customHeight="1">
      <c r="T893" s="65"/>
    </row>
    <row r="894" ht="15.75" customHeight="1">
      <c r="T894" s="65"/>
    </row>
    <row r="895" ht="15.75" customHeight="1">
      <c r="T895" s="65"/>
    </row>
    <row r="896" ht="15.75" customHeight="1">
      <c r="T896" s="65"/>
    </row>
    <row r="897" ht="15.75" customHeight="1">
      <c r="T897" s="65"/>
    </row>
    <row r="898" ht="15.75" customHeight="1">
      <c r="T898" s="65"/>
    </row>
    <row r="899" ht="15.75" customHeight="1">
      <c r="T899" s="65"/>
    </row>
    <row r="900" ht="15.75" customHeight="1">
      <c r="T900" s="65"/>
    </row>
    <row r="901" ht="15.75" customHeight="1">
      <c r="T901" s="65"/>
    </row>
    <row r="902" ht="15.75" customHeight="1">
      <c r="T902" s="65"/>
    </row>
    <row r="903" ht="15.75" customHeight="1">
      <c r="T903" s="65"/>
    </row>
    <row r="904" ht="15.75" customHeight="1">
      <c r="T904" s="65"/>
    </row>
    <row r="905" ht="15.75" customHeight="1">
      <c r="T905" s="65"/>
    </row>
    <row r="906" ht="15.75" customHeight="1">
      <c r="T906" s="65"/>
    </row>
    <row r="907" ht="15.75" customHeight="1">
      <c r="T907" s="65"/>
    </row>
    <row r="908" ht="15.75" customHeight="1">
      <c r="T908" s="65"/>
    </row>
    <row r="909" ht="15.75" customHeight="1">
      <c r="T909" s="65"/>
    </row>
    <row r="910" ht="15.75" customHeight="1">
      <c r="T910" s="65"/>
    </row>
    <row r="911" ht="15.75" customHeight="1">
      <c r="T911" s="65"/>
    </row>
    <row r="912" ht="15.75" customHeight="1">
      <c r="T912" s="65"/>
    </row>
    <row r="913" ht="15.75" customHeight="1">
      <c r="T913" s="65"/>
    </row>
    <row r="914" ht="15.75" customHeight="1">
      <c r="T914" s="65"/>
    </row>
    <row r="915" ht="15.75" customHeight="1">
      <c r="T915" s="65"/>
    </row>
    <row r="916" ht="15.75" customHeight="1">
      <c r="T916" s="65"/>
    </row>
    <row r="917" ht="15.75" customHeight="1">
      <c r="T917" s="65"/>
    </row>
    <row r="918" ht="15.75" customHeight="1">
      <c r="T918" s="65"/>
    </row>
    <row r="919" ht="15.75" customHeight="1">
      <c r="T919" s="65"/>
    </row>
    <row r="920" ht="15.75" customHeight="1">
      <c r="T920" s="65"/>
    </row>
    <row r="921" ht="15.75" customHeight="1">
      <c r="T921" s="65"/>
    </row>
    <row r="922" ht="15.75" customHeight="1">
      <c r="T922" s="65"/>
    </row>
    <row r="923" ht="15.75" customHeight="1">
      <c r="T923" s="65"/>
    </row>
    <row r="924" ht="15.75" customHeight="1">
      <c r="T924" s="65"/>
    </row>
    <row r="925" ht="15.75" customHeight="1">
      <c r="T925" s="65"/>
    </row>
    <row r="926" ht="15.75" customHeight="1">
      <c r="T926" s="65"/>
    </row>
    <row r="927" ht="15.75" customHeight="1">
      <c r="T927" s="65"/>
    </row>
    <row r="928" ht="15.75" customHeight="1">
      <c r="T928" s="65"/>
    </row>
    <row r="929" ht="15.75" customHeight="1">
      <c r="T929" s="65"/>
    </row>
    <row r="930" ht="15.75" customHeight="1">
      <c r="T930" s="65"/>
    </row>
    <row r="931" ht="15.75" customHeight="1">
      <c r="T931" s="65"/>
    </row>
    <row r="932" ht="15.75" customHeight="1">
      <c r="T932" s="65"/>
    </row>
    <row r="933" ht="15.75" customHeight="1">
      <c r="T933" s="65"/>
    </row>
    <row r="934" ht="15.75" customHeight="1">
      <c r="T934" s="65"/>
    </row>
    <row r="935" ht="15.75" customHeight="1">
      <c r="T935" s="65"/>
    </row>
    <row r="936" ht="15.75" customHeight="1">
      <c r="T936" s="65"/>
    </row>
    <row r="937" ht="15.75" customHeight="1">
      <c r="T937" s="65"/>
    </row>
    <row r="938" ht="15.75" customHeight="1">
      <c r="T938" s="65"/>
    </row>
    <row r="939" ht="15.75" customHeight="1">
      <c r="T939" s="65"/>
    </row>
    <row r="940" ht="15.75" customHeight="1">
      <c r="T940" s="65"/>
    </row>
    <row r="941" ht="15.75" customHeight="1">
      <c r="T941" s="65"/>
    </row>
    <row r="942" ht="15.75" customHeight="1">
      <c r="T942" s="65"/>
    </row>
    <row r="943" ht="15.75" customHeight="1">
      <c r="T943" s="65"/>
    </row>
    <row r="944" ht="15.75" customHeight="1">
      <c r="T944" s="65"/>
    </row>
    <row r="945" ht="15.75" customHeight="1">
      <c r="T945" s="65"/>
    </row>
    <row r="946" ht="15.75" customHeight="1">
      <c r="T946" s="65"/>
    </row>
    <row r="947" ht="15.75" customHeight="1">
      <c r="T947" s="65"/>
    </row>
    <row r="948" ht="15.75" customHeight="1">
      <c r="T948" s="65"/>
    </row>
    <row r="949" ht="15.75" customHeight="1">
      <c r="T949" s="65"/>
    </row>
    <row r="950" ht="15.75" customHeight="1">
      <c r="T950" s="65"/>
    </row>
    <row r="951" ht="15.75" customHeight="1">
      <c r="T951" s="65"/>
    </row>
    <row r="952" ht="15.75" customHeight="1">
      <c r="T952" s="65"/>
    </row>
    <row r="953" ht="15.75" customHeight="1">
      <c r="T953" s="65"/>
    </row>
    <row r="954" ht="15.75" customHeight="1">
      <c r="T954" s="65"/>
    </row>
    <row r="955" ht="15.75" customHeight="1">
      <c r="T955" s="65"/>
    </row>
    <row r="956" ht="15.75" customHeight="1">
      <c r="T956" s="65"/>
    </row>
    <row r="957" ht="15.75" customHeight="1">
      <c r="T957" s="65"/>
    </row>
    <row r="958" ht="15.75" customHeight="1">
      <c r="T958" s="65"/>
    </row>
    <row r="959" ht="15.75" customHeight="1">
      <c r="T959" s="65"/>
    </row>
    <row r="960" ht="15.75" customHeight="1">
      <c r="T960" s="65"/>
    </row>
    <row r="961" ht="15.75" customHeight="1">
      <c r="T961" s="65"/>
    </row>
    <row r="962" ht="15.75" customHeight="1">
      <c r="T962" s="65"/>
    </row>
    <row r="963" ht="15.75" customHeight="1">
      <c r="T963" s="65"/>
    </row>
    <row r="964" ht="15.75" customHeight="1">
      <c r="T964" s="65"/>
    </row>
    <row r="965" ht="15.75" customHeight="1">
      <c r="T965" s="65"/>
    </row>
    <row r="966" ht="15.75" customHeight="1">
      <c r="T966" s="65"/>
    </row>
    <row r="967" ht="15.75" customHeight="1">
      <c r="T967" s="65"/>
    </row>
    <row r="968" ht="15.75" customHeight="1">
      <c r="T968" s="65"/>
    </row>
    <row r="969" ht="15.75" customHeight="1">
      <c r="T969" s="65"/>
    </row>
    <row r="970" ht="15.75" customHeight="1">
      <c r="T970" s="65"/>
    </row>
    <row r="971" ht="15.75" customHeight="1">
      <c r="T971" s="65"/>
    </row>
    <row r="972" ht="15.75" customHeight="1">
      <c r="T972" s="65"/>
    </row>
    <row r="973" ht="15.75" customHeight="1">
      <c r="T973" s="65"/>
    </row>
    <row r="974" ht="15.75" customHeight="1">
      <c r="T974" s="65"/>
    </row>
    <row r="975" ht="15.75" customHeight="1">
      <c r="T975" s="65"/>
    </row>
    <row r="976" ht="15.75" customHeight="1">
      <c r="T976" s="65"/>
    </row>
    <row r="977" ht="15.75" customHeight="1">
      <c r="T977" s="65"/>
    </row>
    <row r="978" ht="15.75" customHeight="1">
      <c r="T978" s="65"/>
    </row>
    <row r="979" ht="15.75" customHeight="1">
      <c r="T979" s="65"/>
    </row>
    <row r="980" ht="15.75" customHeight="1">
      <c r="T980" s="65"/>
    </row>
    <row r="981" ht="15.75" customHeight="1">
      <c r="T981" s="65"/>
    </row>
    <row r="982" ht="15.75" customHeight="1">
      <c r="T982" s="65"/>
    </row>
    <row r="983" ht="15.75" customHeight="1">
      <c r="T983" s="65"/>
    </row>
    <row r="984" ht="15.75" customHeight="1">
      <c r="T984" s="65"/>
    </row>
    <row r="985" ht="15.75" customHeight="1">
      <c r="T985" s="65"/>
    </row>
    <row r="986" ht="15.75" customHeight="1">
      <c r="T986" s="65"/>
    </row>
    <row r="987" ht="15.75" customHeight="1">
      <c r="T987" s="65"/>
    </row>
    <row r="988" ht="15.75" customHeight="1">
      <c r="T988" s="65"/>
    </row>
    <row r="989" ht="15.75" customHeight="1">
      <c r="T989" s="65"/>
    </row>
    <row r="990" ht="15.75" customHeight="1">
      <c r="T990" s="65"/>
    </row>
    <row r="991" ht="15.75" customHeight="1">
      <c r="T991" s="65"/>
    </row>
    <row r="992" ht="15.75" customHeight="1">
      <c r="T992" s="65"/>
    </row>
    <row r="993" ht="15.75" customHeight="1">
      <c r="T993" s="65"/>
    </row>
    <row r="994" ht="15.75" customHeight="1">
      <c r="T994" s="65"/>
    </row>
    <row r="995" ht="15.75" customHeight="1">
      <c r="T995" s="65"/>
    </row>
    <row r="996" ht="15.75" customHeight="1">
      <c r="T996" s="65"/>
    </row>
    <row r="997" ht="15.75" customHeight="1">
      <c r="T997" s="65"/>
    </row>
    <row r="998" ht="15.75" customHeight="1">
      <c r="T998" s="65"/>
    </row>
    <row r="999" ht="15.75" customHeight="1">
      <c r="T999" s="65"/>
    </row>
  </sheetData>
  <autoFilter ref="$A$1:$AD$498">
    <filterColumn colId="20">
      <filters>
        <filter val="c"/>
        <filter val="C"/>
      </filters>
    </filterColumn>
  </autoFilter>
  <conditionalFormatting sqref="S2:S497">
    <cfRule type="cellIs" dxfId="6" priority="1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</cols>
  <sheetData>
    <row r="1">
      <c r="A1" s="1">
        <v>11.0</v>
      </c>
      <c r="B1" s="5" t="s">
        <v>2</v>
      </c>
      <c r="C1" s="8"/>
      <c r="D1" s="10"/>
      <c r="F1" s="5" t="s">
        <v>7</v>
      </c>
      <c r="G1" s="8"/>
      <c r="H1" s="10"/>
      <c r="J1" s="14">
        <v>3321.0</v>
      </c>
      <c r="K1" s="14">
        <v>8291.0</v>
      </c>
      <c r="L1" s="14"/>
      <c r="N1" s="14"/>
    </row>
    <row r="2">
      <c r="A2" s="17"/>
      <c r="B2" s="17" t="s">
        <v>17</v>
      </c>
      <c r="C2" s="17"/>
      <c r="F2" s="17" t="s">
        <v>17</v>
      </c>
      <c r="G2" s="17"/>
      <c r="J2" s="14"/>
      <c r="K2" s="14"/>
      <c r="L2" s="14"/>
      <c r="M2" s="14"/>
      <c r="N2" s="14"/>
    </row>
    <row r="3">
      <c r="A3" s="17" t="s">
        <v>25</v>
      </c>
      <c r="B3" s="17" t="s">
        <v>27</v>
      </c>
      <c r="C3" s="17" t="s">
        <v>28</v>
      </c>
      <c r="F3" s="17" t="s">
        <v>27</v>
      </c>
      <c r="G3" s="17" t="s">
        <v>28</v>
      </c>
      <c r="J3" s="14"/>
      <c r="K3" s="14"/>
      <c r="L3" s="14"/>
      <c r="M3" s="14"/>
      <c r="N3" s="14"/>
    </row>
    <row r="4">
      <c r="A4" s="14"/>
      <c r="B4" s="23" t="s">
        <v>34</v>
      </c>
      <c r="C4" s="14">
        <f>Cobranza!AC498</f>
        <v>8291</v>
      </c>
      <c r="F4" s="23" t="s">
        <v>42</v>
      </c>
      <c r="G4" s="14">
        <f>Cobranza!AB498</f>
        <v>3321</v>
      </c>
      <c r="H4" s="25"/>
      <c r="J4" s="14"/>
      <c r="K4" s="26"/>
      <c r="L4" s="14"/>
      <c r="M4" s="14"/>
      <c r="N4" s="14"/>
    </row>
    <row r="5">
      <c r="A5" s="14"/>
      <c r="B5" s="28"/>
      <c r="C5" s="28"/>
      <c r="F5" s="14"/>
      <c r="G5" s="14"/>
      <c r="H5" s="14"/>
      <c r="J5" s="14"/>
      <c r="K5" s="26"/>
      <c r="N5" s="14"/>
    </row>
    <row r="6">
      <c r="A6" s="30"/>
      <c r="B6" s="23" t="s">
        <v>44</v>
      </c>
      <c r="C6" s="23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>
      <c r="A7" s="30"/>
      <c r="B7" s="23" t="s">
        <v>48</v>
      </c>
      <c r="C7" s="23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>
      <c r="A8" s="33"/>
      <c r="B8" s="23" t="s">
        <v>48</v>
      </c>
      <c r="C8" s="23">
        <v>-6574.4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>
      <c r="A9" s="14"/>
      <c r="B9" s="23"/>
      <c r="C9" s="23"/>
      <c r="D9" s="14"/>
      <c r="F9" s="23" t="s">
        <v>51</v>
      </c>
      <c r="G9" s="23">
        <v>100.0</v>
      </c>
      <c r="J9" s="14">
        <f>SUM(J4:J5)</f>
        <v>0</v>
      </c>
      <c r="K9" s="14"/>
      <c r="N9" s="14"/>
    </row>
    <row r="10">
      <c r="A10" s="14"/>
      <c r="B10" s="23" t="s">
        <v>54</v>
      </c>
      <c r="C10" s="23">
        <v>-100.0</v>
      </c>
      <c r="D10" s="14"/>
      <c r="F10" s="14"/>
      <c r="G10" s="14"/>
      <c r="J10" s="14"/>
      <c r="N10" s="14"/>
    </row>
    <row r="11">
      <c r="A11" s="14"/>
      <c r="B11" s="23"/>
      <c r="C11" s="23"/>
      <c r="D11" s="14"/>
      <c r="F11" s="14"/>
      <c r="G11" s="14"/>
      <c r="I11" s="14"/>
      <c r="J11" s="14"/>
      <c r="K11" s="14"/>
      <c r="N11" s="14"/>
    </row>
    <row r="12">
      <c r="A12" s="14"/>
      <c r="B12" s="14"/>
      <c r="C12" s="14"/>
      <c r="D12" s="14"/>
      <c r="F12" s="14"/>
      <c r="G12" s="14"/>
      <c r="I12" s="25"/>
      <c r="J12" s="14"/>
      <c r="K12" s="14"/>
      <c r="N12" s="14"/>
    </row>
    <row r="13">
      <c r="A13" s="14"/>
      <c r="B13" s="14"/>
      <c r="C13" s="14"/>
      <c r="D13" s="14"/>
      <c r="F13" s="14"/>
      <c r="G13" s="14"/>
      <c r="H13" s="14"/>
      <c r="I13" s="25"/>
      <c r="J13" s="14"/>
      <c r="K13" s="14"/>
      <c r="N13" s="14"/>
    </row>
    <row r="14">
      <c r="A14" s="14"/>
      <c r="B14" s="14"/>
      <c r="C14" s="14"/>
      <c r="F14" s="14"/>
      <c r="G14" s="14"/>
      <c r="I14" s="25"/>
      <c r="K14" s="14"/>
      <c r="N14" s="14"/>
    </row>
    <row r="15">
      <c r="A15" s="14"/>
      <c r="B15" s="14"/>
      <c r="C15" s="14"/>
      <c r="F15" s="14"/>
      <c r="G15" s="14"/>
      <c r="I15" s="25"/>
      <c r="K15" s="14"/>
      <c r="N15" s="14"/>
    </row>
    <row r="16">
      <c r="A16" s="14"/>
      <c r="B16" s="14" t="s">
        <v>66</v>
      </c>
      <c r="C16" s="36">
        <f>SUM(C4:C15)</f>
        <v>1616.6</v>
      </c>
      <c r="F16" s="14" t="s">
        <v>66</v>
      </c>
      <c r="G16" s="39">
        <f>SUM(G4:G15)</f>
        <v>3421</v>
      </c>
      <c r="I16" s="25"/>
      <c r="J16" s="14"/>
      <c r="K16" s="14"/>
      <c r="N16" s="14"/>
    </row>
    <row r="17" ht="15.0" customHeight="1">
      <c r="B17" s="23" t="s">
        <v>73</v>
      </c>
      <c r="C17" s="40">
        <v>1616.6</v>
      </c>
      <c r="F17" s="14" t="s">
        <v>75</v>
      </c>
      <c r="G17" s="41">
        <v>3421.0</v>
      </c>
      <c r="J17" s="14"/>
      <c r="K17" s="14"/>
      <c r="N17" s="14"/>
    </row>
    <row r="18">
      <c r="B18" s="14" t="s">
        <v>77</v>
      </c>
      <c r="C18" s="14">
        <f>C16-C17</f>
        <v>0</v>
      </c>
      <c r="D18" s="14"/>
      <c r="E18" s="14"/>
      <c r="F18" s="14" t="s">
        <v>77</v>
      </c>
      <c r="G18" s="14">
        <f>G17-G16</f>
        <v>0</v>
      </c>
      <c r="J18" s="14"/>
      <c r="K18" s="14"/>
    </row>
    <row r="19" ht="15.0" customHeight="1">
      <c r="B19" s="43" t="s">
        <v>79</v>
      </c>
      <c r="H19" s="14"/>
      <c r="I19" s="14"/>
      <c r="J19" s="14"/>
      <c r="K19" s="14"/>
    </row>
    <row r="20">
      <c r="B20" s="43" t="s">
        <v>81</v>
      </c>
      <c r="I20" s="14"/>
    </row>
    <row r="21">
      <c r="D21" s="14" t="s">
        <v>83</v>
      </c>
      <c r="E21" s="14">
        <f>C16+G16</f>
        <v>5037.6</v>
      </c>
      <c r="F21" s="14"/>
      <c r="I21" s="14"/>
    </row>
    <row r="22">
      <c r="D22" s="14"/>
      <c r="F22" s="14"/>
      <c r="I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27.57"/>
    <col customWidth="1" min="5" max="5" width="36.29"/>
  </cols>
  <sheetData>
    <row r="1">
      <c r="A1" s="3" t="s">
        <v>0</v>
      </c>
      <c r="B1" s="4"/>
      <c r="C1" s="4"/>
      <c r="D1" s="4"/>
      <c r="E1" s="6"/>
    </row>
    <row r="2">
      <c r="A2" s="9"/>
      <c r="B2" s="11"/>
      <c r="C2" s="11"/>
      <c r="D2" s="11"/>
      <c r="E2" s="12"/>
    </row>
    <row r="3">
      <c r="A3" s="13" t="s">
        <v>10</v>
      </c>
      <c r="B3" s="13" t="s">
        <v>13</v>
      </c>
      <c r="C3" s="13" t="s">
        <v>14</v>
      </c>
      <c r="D3" s="18" t="s">
        <v>15</v>
      </c>
      <c r="E3" s="13" t="s">
        <v>18</v>
      </c>
    </row>
    <row r="4">
      <c r="A4" s="20" t="s">
        <v>20</v>
      </c>
      <c r="B4" s="24">
        <f>SUMIF(Reporte!$F$2:$F$349, 'Yape por MZ'!A4, Reporte!$E$2:$E$349)</f>
        <v>339</v>
      </c>
      <c r="C4" s="27">
        <f>SUMPRODUCT(
  (UPPER(Cobranza!C2:C497)=UPPER(A4))*
  (UPPER(Cobranza!U2:U497)="C")*
  (UPPER(Cobranza!W2:W497)="Y")*
  (Cobranza!T2:T497)
)</f>
        <v>339</v>
      </c>
      <c r="D4" s="29">
        <f t="shared" ref="D4:D37" si="1">B4-C4</f>
        <v>0</v>
      </c>
      <c r="E4" s="20">
        <f>SUMPRODUCT(
  (UPPER(Cobranza!C2:C497)=UPPER(A4))*
  (UPPER(Cobranza!U2:U497)="C")*
  (UPPER(Cobranza!W2:W497)="Y")*
  (Cobranza!X2:X497)
)</f>
        <v>0</v>
      </c>
      <c r="F4" s="14">
        <f t="shared" ref="F4:F37" si="2">IF(OR(C4=B4), 0, 1)</f>
        <v>0</v>
      </c>
    </row>
    <row r="5">
      <c r="A5" s="20" t="s">
        <v>47</v>
      </c>
      <c r="B5" s="24">
        <f>SUMIF(Reporte!$F$2:$F$349, 'Yape por MZ'!A5, Reporte!$E$2:$E$349)</f>
        <v>188</v>
      </c>
      <c r="C5" s="27">
        <f>SUMPRODUCT(
  (UPPER(Cobranza!C3:C498)=UPPER(A5))*
  (UPPER(Cobranza!U3:U498)="C")*
  (UPPER(Cobranza!W3:W498)="Y")*
  (Cobranza!T3:T498)
)</f>
        <v>188</v>
      </c>
      <c r="D5" s="29">
        <f t="shared" si="1"/>
        <v>0</v>
      </c>
      <c r="E5" s="20">
        <f>SUMPRODUCT(
  (UPPER(Cobranza!C3:C498)=UPPER(A5))*
  (UPPER(Cobranza!U3:U498)="C")*
  (UPPER(Cobranza!W3:W498)="Y")*
  (Cobranza!X3:X498)
)</f>
        <v>0</v>
      </c>
      <c r="F5" s="14">
        <f t="shared" si="2"/>
        <v>0</v>
      </c>
      <c r="H5" s="14"/>
    </row>
    <row r="6">
      <c r="A6" s="20" t="s">
        <v>52</v>
      </c>
      <c r="B6" s="24">
        <f>SUMIF(Reporte!$F$2:$F$349, 'Yape por MZ'!A6, Reporte!$E$2:$E$349)</f>
        <v>394</v>
      </c>
      <c r="C6" s="27">
        <f>SUMPRODUCT(
  (UPPER(Cobranza!C4:C498)=UPPER(A6))*
  (UPPER(Cobranza!U4:U498)="C")*
  (UPPER(Cobranza!W4:W498)="Y")*
  (Cobranza!T4:T498)
)</f>
        <v>394</v>
      </c>
      <c r="D6" s="29">
        <f t="shared" si="1"/>
        <v>0</v>
      </c>
      <c r="E6" s="20">
        <f>SUMPRODUCT(
  (UPPER(Cobranza!C4:C498)=UPPER(A6))*
  (UPPER(Cobranza!U4:U498)="C")*
  (UPPER(Cobranza!W4:W498)="Y")*
  (Cobranza!X4:X498)
)</f>
        <v>0</v>
      </c>
      <c r="F6" s="14">
        <f t="shared" si="2"/>
        <v>0</v>
      </c>
    </row>
    <row r="7">
      <c r="A7" s="20" t="s">
        <v>67</v>
      </c>
      <c r="B7" s="24">
        <f>SUMIF(Reporte!$F$2:$F$349, 'Yape por MZ'!A7, Reporte!$E$2:$E$349)</f>
        <v>242</v>
      </c>
      <c r="C7" s="27">
        <f>SUMPRODUCT(
  (UPPER(Cobranza!C5:C500)=UPPER(A7))*
  (UPPER(Cobranza!U5:U500)="C")*
  (UPPER(Cobranza!W5:W500)="Y")*
  (Cobranza!T5:T500)
)</f>
        <v>242</v>
      </c>
      <c r="D7" s="29">
        <f t="shared" si="1"/>
        <v>0</v>
      </c>
      <c r="E7" s="20">
        <f>SUMPRODUCT(
  (UPPER(Cobranza!C5:C500)=UPPER(A7))*
  (UPPER(Cobranza!U5:U500)="C")*
  (UPPER(Cobranza!W5:W500)="Y")*
  (Cobranza!X5:X500)
)</f>
        <v>0</v>
      </c>
      <c r="F7" s="14">
        <f t="shared" si="2"/>
        <v>0</v>
      </c>
    </row>
    <row r="8">
      <c r="A8" s="20" t="s">
        <v>82</v>
      </c>
      <c r="B8" s="24">
        <f>SUMIF(Reporte!$F$2:$F$349, 'Yape por MZ'!A8, Reporte!$E$2:$E$349)</f>
        <v>168</v>
      </c>
      <c r="C8" s="27">
        <f>SUMPRODUCT(
  (UPPER(Cobranza!C6:C501)=UPPER(A8))*
  (UPPER(Cobranza!U6:U501)="C")*
  (UPPER(Cobranza!W6:W501)="Y")*
  (Cobranza!T6:T501)
)</f>
        <v>168</v>
      </c>
      <c r="D8" s="29">
        <f t="shared" si="1"/>
        <v>0</v>
      </c>
      <c r="E8" s="20">
        <f>SUMPRODUCT(
  (UPPER(Cobranza!C6:C501)=UPPER(A8))*
  (UPPER(Cobranza!U6:U501)="C")*
  (UPPER(Cobranza!W6:W501)="Y")*
  (Cobranza!X6:X501)
)</f>
        <v>0</v>
      </c>
      <c r="F8" s="14">
        <f t="shared" si="2"/>
        <v>0</v>
      </c>
    </row>
    <row r="9">
      <c r="A9" s="20" t="s">
        <v>91</v>
      </c>
      <c r="B9" s="24">
        <f>SUMIF(Reporte!$F$2:$F$349, 'Yape por MZ'!A9, Reporte!$E$2:$E$349)</f>
        <v>344</v>
      </c>
      <c r="C9" s="27">
        <f>SUMPRODUCT(
  (UPPER(Cobranza!C7:C502)=UPPER(A9))*
  (UPPER(Cobranza!U7:U502)="C")*
  (UPPER(Cobranza!W7:W502)="Y")*
  (Cobranza!T7:T502)
)</f>
        <v>344</v>
      </c>
      <c r="D9" s="29">
        <f t="shared" si="1"/>
        <v>0</v>
      </c>
      <c r="E9" s="20">
        <f>SUMPRODUCT(
  (UPPER(Cobranza!C7:C502)=UPPER(A9))*
  (UPPER(Cobranza!U7:U502)="C")*
  (UPPER(Cobranza!W7:W502)="Y")*
  (Cobranza!X7:X502)
)</f>
        <v>0</v>
      </c>
      <c r="F9" s="14">
        <f t="shared" si="2"/>
        <v>0</v>
      </c>
    </row>
    <row r="10">
      <c r="A10" s="20" t="s">
        <v>98</v>
      </c>
      <c r="B10" s="24">
        <f>SUMIF(Reporte!$F$2:$F$349, 'Yape por MZ'!A10, Reporte!$E$2:$E$349)</f>
        <v>468</v>
      </c>
      <c r="C10" s="27">
        <f>SUMPRODUCT(
  (UPPER(Cobranza!C8:C503)=UPPER(A10))*
  (UPPER(Cobranza!U8:U503)="C")*
  (UPPER(Cobranza!W8:W503)="Y")*
  (Cobranza!T8:T503)
)</f>
        <v>468</v>
      </c>
      <c r="D10" s="29">
        <f t="shared" si="1"/>
        <v>0</v>
      </c>
      <c r="E10" s="20"/>
      <c r="F10" s="14">
        <f t="shared" si="2"/>
        <v>0</v>
      </c>
    </row>
    <row r="11">
      <c r="A11" s="20" t="s">
        <v>101</v>
      </c>
      <c r="B11" s="24">
        <f>SUMIF(Reporte!$F$2:$F$349, 'Yape por MZ'!A11, Reporte!$E$2:$E$349)</f>
        <v>289</v>
      </c>
      <c r="C11" s="27">
        <f>SUMPRODUCT(
  (UPPER(Cobranza!C9:C504)=UPPER(A11))*
  (UPPER(Cobranza!U9:U504)="C")*
  (UPPER(Cobranza!W9:W504)="Y")*
  (Cobranza!T9:T504)
)</f>
        <v>289</v>
      </c>
      <c r="D11" s="29">
        <f t="shared" si="1"/>
        <v>0</v>
      </c>
      <c r="E11" s="20"/>
      <c r="F11" s="14">
        <f t="shared" si="2"/>
        <v>0</v>
      </c>
    </row>
    <row r="12">
      <c r="A12" s="20" t="s">
        <v>106</v>
      </c>
      <c r="B12" s="24">
        <f>SUMIF(Reporte!$F$2:$F$349, 'Yape por MZ'!A12, Reporte!$E$2:$E$349)</f>
        <v>144</v>
      </c>
      <c r="C12" s="27">
        <f>SUMPRODUCT(
  (UPPER(Cobranza!C10:C505)=UPPER(A12))*
  (UPPER(Cobranza!U10:U505)="C")*
  (UPPER(Cobranza!W10:W505)="Y")*
  (Cobranza!T10:T505)
)</f>
        <v>144</v>
      </c>
      <c r="D12" s="29">
        <f t="shared" si="1"/>
        <v>0</v>
      </c>
      <c r="E12" s="49" t="s">
        <v>109</v>
      </c>
      <c r="F12" s="14">
        <f t="shared" si="2"/>
        <v>0</v>
      </c>
    </row>
    <row r="13">
      <c r="A13" s="20" t="s">
        <v>110</v>
      </c>
      <c r="B13" s="24">
        <f>SUMIF(Reporte!$F$2:$F$349, 'Yape por MZ'!A13, Reporte!$E$2:$E$349)</f>
        <v>71</v>
      </c>
      <c r="C13" s="27">
        <f>SUMPRODUCT(
  (UPPER(Cobranza!C11:C506)=UPPER(A13))*
  (UPPER(Cobranza!U11:U506)="C")*
  (UPPER(Cobranza!W11:W506)="Y")*
  (Cobranza!T11:T506)
)</f>
        <v>71</v>
      </c>
      <c r="D13" s="29">
        <f t="shared" si="1"/>
        <v>0</v>
      </c>
      <c r="E13" s="20"/>
      <c r="F13" s="14">
        <f t="shared" si="2"/>
        <v>0</v>
      </c>
    </row>
    <row r="14">
      <c r="A14" s="20" t="s">
        <v>115</v>
      </c>
      <c r="B14" s="24">
        <f>SUMIF(Reporte!$F$2:$F$349, 'Yape por MZ'!A14, Reporte!$E$2:$E$349)</f>
        <v>158</v>
      </c>
      <c r="C14" s="27">
        <f>SUMPRODUCT(
  (UPPER(Cobranza!C12:C507)=UPPER(A14))*
  (UPPER(Cobranza!U12:U507)="C")*
  (UPPER(Cobranza!W12:W507)="Y")*
  (Cobranza!T12:T507)
)</f>
        <v>158</v>
      </c>
      <c r="D14" s="29">
        <f t="shared" si="1"/>
        <v>0</v>
      </c>
      <c r="E14" s="49" t="s">
        <v>119</v>
      </c>
      <c r="F14" s="14">
        <f t="shared" si="2"/>
        <v>0</v>
      </c>
    </row>
    <row r="15">
      <c r="A15" s="20" t="s">
        <v>120</v>
      </c>
      <c r="B15" s="24">
        <f>SUMIF(Reporte!$F$2:$F$349, 'Yape por MZ'!A15, Reporte!$E$2:$E$349)</f>
        <v>189</v>
      </c>
      <c r="C15" s="27">
        <f>SUMPRODUCT(
  (UPPER(Cobranza!C13:C508)=UPPER(A15))*
  (UPPER(Cobranza!U13:U508)="C")*
  (UPPER(Cobranza!W13:W508)="Y")*
  (Cobranza!T13:T508)
)</f>
        <v>189</v>
      </c>
      <c r="D15" s="29">
        <f t="shared" si="1"/>
        <v>0</v>
      </c>
      <c r="E15" s="20"/>
      <c r="F15" s="14">
        <f t="shared" si="2"/>
        <v>0</v>
      </c>
    </row>
    <row r="16">
      <c r="A16" s="20" t="s">
        <v>124</v>
      </c>
      <c r="B16" s="24">
        <f>SUMIF(Reporte!$F$2:$F$349, 'Yape por MZ'!A16, Reporte!$E$2:$E$349)</f>
        <v>322</v>
      </c>
      <c r="C16" s="27">
        <f>SUMPRODUCT(
  (UPPER(Cobranza!C14:C509)=UPPER(A16))*
  (UPPER(Cobranza!U14:U509)="C")*
  (UPPER(Cobranza!W14:W509)="Y")*
  (Cobranza!T14:T509)
)</f>
        <v>322</v>
      </c>
      <c r="D16" s="29">
        <f t="shared" si="1"/>
        <v>0</v>
      </c>
      <c r="E16" s="20"/>
      <c r="F16" s="14">
        <f t="shared" si="2"/>
        <v>0</v>
      </c>
    </row>
    <row r="17">
      <c r="A17" s="20" t="s">
        <v>128</v>
      </c>
      <c r="B17" s="24">
        <f>SUMIF(Reporte!$F$2:$F$349, 'Yape por MZ'!A17, Reporte!$E$2:$E$349)</f>
        <v>79</v>
      </c>
      <c r="C17" s="27">
        <f>SUMPRODUCT(
  (UPPER(Cobranza!C15:C510)=UPPER(A17))*
  (UPPER(Cobranza!U15:U510)="C")*
  (UPPER(Cobranza!W15:W510)="Y")*
  (Cobranza!T15:T510)
)</f>
        <v>79</v>
      </c>
      <c r="D17" s="29">
        <f t="shared" si="1"/>
        <v>0</v>
      </c>
      <c r="E17" s="20"/>
      <c r="F17" s="14">
        <f t="shared" si="2"/>
        <v>0</v>
      </c>
    </row>
    <row r="18">
      <c r="A18" s="20" t="s">
        <v>132</v>
      </c>
      <c r="B18" s="24">
        <f>SUMIF(Reporte!$F$2:$F$349, 'Yape por MZ'!A18, Reporte!$E$2:$E$349)</f>
        <v>402</v>
      </c>
      <c r="C18" s="27">
        <f>SUMPRODUCT(
  (UPPER(Cobranza!C16:C511)=UPPER(A18))*
  (UPPER(Cobranza!U16:U511)="C")*
  (UPPER(Cobranza!W16:W511)="Y")*
  (Cobranza!T16:T511)
)</f>
        <v>402</v>
      </c>
      <c r="D18" s="29">
        <f t="shared" si="1"/>
        <v>0</v>
      </c>
      <c r="E18" s="20"/>
      <c r="F18" s="14">
        <f t="shared" si="2"/>
        <v>0</v>
      </c>
    </row>
    <row r="19">
      <c r="A19" s="20" t="s">
        <v>136</v>
      </c>
      <c r="B19" s="24">
        <f>SUMIF(Reporte!$F$2:$F$349, 'Yape por MZ'!A19, Reporte!$E$2:$E$349)</f>
        <v>313</v>
      </c>
      <c r="C19" s="27">
        <f>SUMPRODUCT(
  (UPPER(Cobranza!C17:C512)=UPPER(A19))*
  (UPPER(Cobranza!U17:U512)="C")*
  (UPPER(Cobranza!W17:W512)="Y")*
  (Cobranza!T17:T512)
)</f>
        <v>313</v>
      </c>
      <c r="D19" s="29">
        <f t="shared" si="1"/>
        <v>0</v>
      </c>
      <c r="E19" s="49" t="s">
        <v>141</v>
      </c>
      <c r="F19" s="14">
        <f t="shared" si="2"/>
        <v>0</v>
      </c>
    </row>
    <row r="20">
      <c r="A20" s="20" t="s">
        <v>142</v>
      </c>
      <c r="B20" s="24">
        <f>SUMIF(Reporte!$F$2:$F$349, 'Yape por MZ'!A20, Reporte!$E$2:$E$349)</f>
        <v>255</v>
      </c>
      <c r="C20" s="27">
        <f>SUMPRODUCT(
  (UPPER(Cobranza!C18:C513)=UPPER(A20))*
  (UPPER(Cobranza!U18:U513)="C")*
  (UPPER(Cobranza!W18:W513)="Y")*
  (Cobranza!T18:T513)
)</f>
        <v>255</v>
      </c>
      <c r="D20" s="29">
        <f t="shared" si="1"/>
        <v>0</v>
      </c>
      <c r="E20" s="20"/>
      <c r="F20" s="14">
        <f t="shared" si="2"/>
        <v>0</v>
      </c>
    </row>
    <row r="21" ht="15.75" customHeight="1">
      <c r="A21" s="20" t="s">
        <v>149</v>
      </c>
      <c r="B21" s="24">
        <f>SUMIF(Reporte!$F$2:$F$349, 'Yape por MZ'!A21, Reporte!$E$2:$E$349)</f>
        <v>72</v>
      </c>
      <c r="C21" s="27">
        <f>SUMPRODUCT(
  (UPPER(Cobranza!C19:C514)=UPPER(A21))*
  (UPPER(Cobranza!U19:U514)="C")*
  (UPPER(Cobranza!W19:W514)="Y")*
  (Cobranza!T19:T514)
)</f>
        <v>72</v>
      </c>
      <c r="D21" s="29">
        <f t="shared" si="1"/>
        <v>0</v>
      </c>
      <c r="E21" s="20"/>
      <c r="F21" s="14">
        <f t="shared" si="2"/>
        <v>0</v>
      </c>
    </row>
    <row r="22" ht="15.75" customHeight="1">
      <c r="A22" s="20" t="s">
        <v>157</v>
      </c>
      <c r="B22" s="24">
        <f>SUMIF(Reporte!$F$2:$F$349, 'Yape por MZ'!A22, Reporte!$E$2:$E$349)</f>
        <v>352</v>
      </c>
      <c r="C22" s="27">
        <f>SUMPRODUCT(
  (UPPER(Cobranza!C20:C515)=UPPER(A22))*
  (UPPER(Cobranza!U20:U515)="C")*
  (UPPER(Cobranza!W20:W515)="Y")*
  (Cobranza!T20:T515)
)</f>
        <v>352</v>
      </c>
      <c r="D22" s="29">
        <f t="shared" si="1"/>
        <v>0</v>
      </c>
      <c r="E22" s="20"/>
      <c r="F22" s="14">
        <f t="shared" si="2"/>
        <v>0</v>
      </c>
    </row>
    <row r="23" ht="15.75" customHeight="1">
      <c r="A23" s="20" t="s">
        <v>167</v>
      </c>
      <c r="B23" s="24">
        <f>SUMIF(Reporte!$F$2:$F$349, 'Yape por MZ'!A23, Reporte!$E$2:$E$349)</f>
        <v>365</v>
      </c>
      <c r="C23" s="27">
        <f>SUMPRODUCT(
  (UPPER(Cobranza!C21:C516)=UPPER(A23))*
  (UPPER(Cobranza!U21:U516)="C")*
  (UPPER(Cobranza!W21:W516)="Y")*
  (Cobranza!T21:T516)
)</f>
        <v>365</v>
      </c>
      <c r="D23" s="29">
        <f t="shared" si="1"/>
        <v>0</v>
      </c>
      <c r="E23" s="20"/>
      <c r="F23" s="14">
        <f t="shared" si="2"/>
        <v>0</v>
      </c>
    </row>
    <row r="24" ht="15.75" customHeight="1">
      <c r="A24" s="20" t="s">
        <v>170</v>
      </c>
      <c r="B24" s="24">
        <f>SUMIF(Reporte!$F$2:$F$349, 'Yape por MZ'!A24, Reporte!$E$2:$E$349)</f>
        <v>77</v>
      </c>
      <c r="C24" s="27">
        <f>SUMPRODUCT(
  (UPPER(Cobranza!C22:C517)=UPPER(A24))*
  (UPPER(Cobranza!U22:U517)="C")*
  (UPPER(Cobranza!W22:W517)="Y")*
  (Cobranza!T22:T517)
)</f>
        <v>77</v>
      </c>
      <c r="D24" s="29">
        <f t="shared" si="1"/>
        <v>0</v>
      </c>
      <c r="E24" s="20"/>
      <c r="F24" s="14">
        <f t="shared" si="2"/>
        <v>0</v>
      </c>
    </row>
    <row r="25" ht="15.75" customHeight="1">
      <c r="A25" s="20" t="s">
        <v>174</v>
      </c>
      <c r="B25" s="24">
        <f>SUMIF(Reporte!$F$2:$F$349, 'Yape por MZ'!A25, Reporte!$E$2:$E$349)</f>
        <v>180</v>
      </c>
      <c r="C25" s="27">
        <f>SUMPRODUCT(
  (UPPER(Cobranza!C23:C518)=UPPER(A25))*
  (UPPER(Cobranza!U23:U518)="C")*
  (UPPER(Cobranza!W23:W518)="Y")*
  (Cobranza!T23:T518)
)</f>
        <v>180</v>
      </c>
      <c r="D25" s="29">
        <f t="shared" si="1"/>
        <v>0</v>
      </c>
      <c r="E25" s="20"/>
      <c r="F25" s="14">
        <f t="shared" si="2"/>
        <v>0</v>
      </c>
    </row>
    <row r="26" ht="15.75" customHeight="1">
      <c r="A26" s="20" t="s">
        <v>78</v>
      </c>
      <c r="B26" s="24">
        <f>SUMIF(Reporte!$F$2:$F$349, 'Yape por MZ'!A26, Reporte!$E$2:$E$349)</f>
        <v>244</v>
      </c>
      <c r="C26" s="27">
        <f>SUMPRODUCT(
  (UPPER(Cobranza!C24:C519)=UPPER(A26))*
  (UPPER(Cobranza!U24:U519)="C")*
  (UPPER(Cobranza!W24:W519)="Y")*
  (Cobranza!T24:T519)
)</f>
        <v>244</v>
      </c>
      <c r="D26" s="29">
        <f t="shared" si="1"/>
        <v>0</v>
      </c>
      <c r="E26" s="49" t="s">
        <v>181</v>
      </c>
      <c r="F26" s="14">
        <f t="shared" si="2"/>
        <v>0</v>
      </c>
    </row>
    <row r="27" ht="15.75" customHeight="1">
      <c r="A27" s="20" t="s">
        <v>182</v>
      </c>
      <c r="B27" s="24">
        <f>SUMIF(Reporte!$F$2:$F$349, 'Yape por MZ'!A27, Reporte!$E$2:$E$349)</f>
        <v>310</v>
      </c>
      <c r="C27" s="27">
        <f>SUMPRODUCT(
  (UPPER(Cobranza!C25:C520)=UPPER(A27))*
  (UPPER(Cobranza!U25:U520)="C")*
  (UPPER(Cobranza!W25:W520)="Y")*
  (Cobranza!T25:T520)
)</f>
        <v>310</v>
      </c>
      <c r="D27" s="29">
        <f t="shared" si="1"/>
        <v>0</v>
      </c>
      <c r="E27" s="20"/>
      <c r="F27" s="14">
        <f t="shared" si="2"/>
        <v>0</v>
      </c>
    </row>
    <row r="28" ht="15.75" customHeight="1">
      <c r="A28" s="20" t="s">
        <v>186</v>
      </c>
      <c r="B28" s="24">
        <f>SUMIF(Reporte!$F$2:$F$349, 'Yape por MZ'!A28, Reporte!$E$2:$E$349)</f>
        <v>113</v>
      </c>
      <c r="C28" s="27">
        <f>SUMPRODUCT(
  (UPPER(Cobranza!C26:C521)=UPPER(A28))*
  (UPPER(Cobranza!U26:U521)="C")*
  (UPPER(Cobranza!W26:W521)="Y")*
  (Cobranza!T26:T521)
)</f>
        <v>113</v>
      </c>
      <c r="D28" s="29">
        <f t="shared" si="1"/>
        <v>0</v>
      </c>
      <c r="E28" s="20"/>
      <c r="F28" s="14">
        <f t="shared" si="2"/>
        <v>0</v>
      </c>
    </row>
    <row r="29" ht="15.75" customHeight="1">
      <c r="A29" s="20" t="s">
        <v>190</v>
      </c>
      <c r="B29" s="24">
        <f>SUMIF(Reporte!$F$2:$F$349, 'Yape por MZ'!A29, Reporte!$E$2:$E$349)</f>
        <v>282</v>
      </c>
      <c r="C29" s="27">
        <f>SUMPRODUCT(
  (UPPER(Cobranza!C27:C522)=UPPER(A29))*
  (UPPER(Cobranza!U27:U522)="C")*
  (UPPER(Cobranza!W27:W522)="Y")*
  (Cobranza!T27:T522)
)</f>
        <v>282</v>
      </c>
      <c r="D29" s="29">
        <f t="shared" si="1"/>
        <v>0</v>
      </c>
      <c r="E29" s="20"/>
      <c r="F29" s="14">
        <f t="shared" si="2"/>
        <v>0</v>
      </c>
    </row>
    <row r="30" ht="15.75" customHeight="1">
      <c r="A30" s="20" t="s">
        <v>193</v>
      </c>
      <c r="B30" s="24">
        <f>SUMIF(Reporte!$F$2:$F$349, 'Yape por MZ'!A30, Reporte!$E$2:$E$349)</f>
        <v>284</v>
      </c>
      <c r="C30" s="27">
        <f>SUMPRODUCT(
  (UPPER(Cobranza!C28:C523)=UPPER(A30))*
  (UPPER(Cobranza!U28:U523)="C")*
  (UPPER(Cobranza!W28:W523)="Y")*
  (Cobranza!T28:T523)
)</f>
        <v>284</v>
      </c>
      <c r="D30" s="29">
        <f t="shared" si="1"/>
        <v>0</v>
      </c>
      <c r="E30" s="20"/>
      <c r="F30" s="14">
        <f t="shared" si="2"/>
        <v>0</v>
      </c>
    </row>
    <row r="31" ht="15.75" customHeight="1">
      <c r="A31" s="20" t="s">
        <v>105</v>
      </c>
      <c r="B31" s="24">
        <f>SUMIF(Reporte!$F$2:$F$349, 'Yape por MZ'!A31, Reporte!$E$2:$E$349)</f>
        <v>332</v>
      </c>
      <c r="C31" s="27">
        <f>SUMPRODUCT(
  (UPPER(Cobranza!C29:C524)=UPPER(A31))*
  (UPPER(Cobranza!U29:U524)="C")*
  (UPPER(Cobranza!W29:W524)="Y")*
  (Cobranza!T29:T524)
)</f>
        <v>332</v>
      </c>
      <c r="D31" s="29">
        <f t="shared" si="1"/>
        <v>0</v>
      </c>
      <c r="E31" s="20"/>
      <c r="F31" s="14">
        <f t="shared" si="2"/>
        <v>0</v>
      </c>
    </row>
    <row r="32" ht="15.75" customHeight="1">
      <c r="A32" s="20" t="s">
        <v>116</v>
      </c>
      <c r="B32" s="24">
        <f>SUMIF(Reporte!$F$2:$F$349, 'Yape por MZ'!A32, Reporte!$E$2:$E$349)</f>
        <v>309</v>
      </c>
      <c r="C32" s="27">
        <f>SUMPRODUCT(
  (UPPER(Cobranza!C30:C525)=UPPER(A32))*
  (UPPER(Cobranza!U30:U525)="C")*
  (UPPER(Cobranza!W30:W525)="Y")*
  (Cobranza!T30:T525)
)</f>
        <v>309</v>
      </c>
      <c r="D32" s="29">
        <f t="shared" si="1"/>
        <v>0</v>
      </c>
      <c r="E32" s="20"/>
      <c r="F32" s="14">
        <f t="shared" si="2"/>
        <v>0</v>
      </c>
    </row>
    <row r="33" ht="15.75" customHeight="1">
      <c r="A33" s="20" t="s">
        <v>206</v>
      </c>
      <c r="B33" s="24">
        <f>SUMIF(Reporte!$F$2:$F$349, 'Yape por MZ'!A33, Reporte!$E$2:$E$349)</f>
        <v>102</v>
      </c>
      <c r="C33" s="27">
        <f>SUMPRODUCT(
  (UPPER(Cobranza!C31:C526)=UPPER(A33))*
  (UPPER(Cobranza!U31:U526)="C")*
  (UPPER(Cobranza!W31:W526)="Y")*
  (Cobranza!T31:T526)
)</f>
        <v>102</v>
      </c>
      <c r="D33" s="29">
        <f t="shared" si="1"/>
        <v>0</v>
      </c>
      <c r="E33" s="20"/>
      <c r="F33" s="14">
        <f t="shared" si="2"/>
        <v>0</v>
      </c>
    </row>
    <row r="34" ht="15.75" customHeight="1">
      <c r="A34" s="20" t="s">
        <v>211</v>
      </c>
      <c r="B34" s="24">
        <f>SUMIF(Reporte!$F$2:$F$349, 'Yape por MZ'!A34, Reporte!$E$2:$E$349)</f>
        <v>139</v>
      </c>
      <c r="C34" s="27">
        <f>SUMPRODUCT(
  (UPPER(Cobranza!C32:C527)=UPPER(A34))*
  (UPPER(Cobranza!U32:U527)="C")*
  (UPPER(Cobranza!W32:W527)="Y")*
  (Cobranza!T32:T527)
)</f>
        <v>139</v>
      </c>
      <c r="D34" s="29">
        <f t="shared" si="1"/>
        <v>0</v>
      </c>
      <c r="E34" s="20"/>
      <c r="F34" s="14">
        <f t="shared" si="2"/>
        <v>0</v>
      </c>
    </row>
    <row r="35" ht="15.75" customHeight="1">
      <c r="A35" s="20" t="s">
        <v>214</v>
      </c>
      <c r="B35" s="24">
        <f>SUMIF(Reporte!$F$2:$F$349, 'Yape por MZ'!A35, Reporte!$E$2:$E$349)</f>
        <v>193</v>
      </c>
      <c r="C35" s="27">
        <f>SUMPRODUCT(
  (UPPER(Cobranza!C33:C528)=UPPER(A35))*
  (UPPER(Cobranza!U33:U528)="C")*
  (UPPER(Cobranza!W33:W528)="Y")*
  (Cobranza!T33:T528)
)</f>
        <v>193</v>
      </c>
      <c r="D35" s="29">
        <f t="shared" si="1"/>
        <v>0</v>
      </c>
      <c r="E35" s="20"/>
      <c r="F35" s="14">
        <f t="shared" si="2"/>
        <v>0</v>
      </c>
    </row>
    <row r="36" ht="15.75" customHeight="1">
      <c r="A36" s="20" t="s">
        <v>217</v>
      </c>
      <c r="B36" s="24">
        <f>SUMIF(Reporte!$F$2:$F$349, 'Yape por MZ'!A36, Reporte!$E$2:$E$349)</f>
        <v>75</v>
      </c>
      <c r="C36" s="27">
        <f>SUMPRODUCT(
  (UPPER(Cobranza!C34:C529)=UPPER(A36))*
  (UPPER(Cobranza!U34:U529)="C")*
  (UPPER(Cobranza!W34:W529)="Y")*
  (Cobranza!T34:T529)
)</f>
        <v>75</v>
      </c>
      <c r="D36" s="29">
        <f t="shared" si="1"/>
        <v>0</v>
      </c>
      <c r="E36" s="20"/>
      <c r="F36" s="14">
        <f t="shared" si="2"/>
        <v>0</v>
      </c>
    </row>
    <row r="37" ht="15.75" customHeight="1">
      <c r="A37" s="20" t="s">
        <v>137</v>
      </c>
      <c r="B37" s="24">
        <f>SUMIF(Reporte!$F$2:$F$349, 'Yape por MZ'!A37, Reporte!$E$2:$E$349)</f>
        <v>397</v>
      </c>
      <c r="C37" s="27">
        <f>SUMPRODUCT(
  (UPPER(Cobranza!C35:C530)=UPPER(A37))*
  (UPPER(Cobranza!U35:U530)="C")*
  (UPPER(Cobranza!W35:W530)="Y")*
  (Cobranza!T35:T530)
)</f>
        <v>497</v>
      </c>
      <c r="D37" s="29">
        <f t="shared" si="1"/>
        <v>-100</v>
      </c>
      <c r="E37" s="49" t="s">
        <v>54</v>
      </c>
      <c r="F37" s="14">
        <f t="shared" si="2"/>
        <v>1</v>
      </c>
    </row>
    <row r="38" ht="15.75" customHeight="1">
      <c r="A38" s="20"/>
      <c r="B38" s="20"/>
      <c r="C38" s="20"/>
      <c r="D38" s="20"/>
      <c r="E38" s="20"/>
    </row>
    <row r="39" ht="15.75" customHeight="1">
      <c r="A39" s="20"/>
      <c r="B39" s="24">
        <f t="shared" ref="B39:E39" si="3">SUM(B4:B37)</f>
        <v>8191</v>
      </c>
      <c r="C39" s="54">
        <f t="shared" si="3"/>
        <v>8291</v>
      </c>
      <c r="D39" s="24">
        <f t="shared" si="3"/>
        <v>-100</v>
      </c>
      <c r="E39" s="20">
        <f t="shared" si="3"/>
        <v>0</v>
      </c>
    </row>
    <row r="40" ht="15.75" customHeight="1">
      <c r="D40" s="55">
        <f>B39-C39</f>
        <v>-100</v>
      </c>
    </row>
    <row r="41" ht="15.75" customHeight="1">
      <c r="C41" s="52"/>
    </row>
    <row r="42" ht="15.75" customHeight="1">
      <c r="C42" s="14" t="s">
        <v>231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A4:F37">
    <cfRule type="expression" dxfId="5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28.71"/>
    <col customWidth="1" min="3" max="3" width="35.0"/>
    <col customWidth="1" min="6" max="6" width="58.0"/>
    <col customWidth="1" min="8" max="8" width="61.43"/>
    <col customWidth="1" min="9" max="9" width="28.71"/>
  </cols>
  <sheetData>
    <row r="1" ht="22.5" customHeight="1">
      <c r="A1" s="35" t="s">
        <v>50</v>
      </c>
      <c r="B1" s="35" t="s">
        <v>55</v>
      </c>
      <c r="C1" s="35" t="s">
        <v>56</v>
      </c>
      <c r="D1" s="35" t="s">
        <v>57</v>
      </c>
      <c r="E1" s="35" t="s">
        <v>58</v>
      </c>
      <c r="F1" s="35" t="s">
        <v>4</v>
      </c>
      <c r="G1" s="35" t="s">
        <v>59</v>
      </c>
      <c r="H1" s="35" t="s">
        <v>60</v>
      </c>
      <c r="I1" s="35" t="s">
        <v>61</v>
      </c>
      <c r="J1" s="37" t="s">
        <v>62</v>
      </c>
      <c r="K1" s="37" t="s">
        <v>64</v>
      </c>
      <c r="L1" s="37" t="s">
        <v>65</v>
      </c>
      <c r="M1" s="37" t="s">
        <v>68</v>
      </c>
    </row>
    <row r="2" ht="22.5" hidden="1" customHeight="1">
      <c r="A2" s="38" t="s">
        <v>69</v>
      </c>
      <c r="B2" s="38" t="s">
        <v>71</v>
      </c>
      <c r="C2" s="38" t="s">
        <v>74</v>
      </c>
      <c r="D2" s="38" t="s">
        <v>76</v>
      </c>
      <c r="E2" s="38">
        <f t="shared" ref="E2:E41" si="1">VALUE(SUBSTITUTE(D2, ".", ","))</f>
        <v>46</v>
      </c>
      <c r="F2" s="38" t="s">
        <v>78</v>
      </c>
      <c r="G2" s="38">
        <v>5.0</v>
      </c>
      <c r="H2" s="38" t="s">
        <v>84</v>
      </c>
      <c r="I2" s="38" t="s">
        <v>85</v>
      </c>
      <c r="J2" s="44" t="str">
        <f t="shared" ref="J2:J315" si="2">MID(I2,7,4)</f>
        <v>2025</v>
      </c>
      <c r="K2" s="38" t="str">
        <f t="shared" ref="K2:K315" si="3">MID(I2,4,2)</f>
        <v>12</v>
      </c>
      <c r="L2" s="38" t="str">
        <f t="shared" ref="L2:L315" si="4">LEFT(I2,2)</f>
        <v>07</v>
      </c>
      <c r="M2" s="45" t="str">
        <f t="shared" ref="M2:M315" si="5">RIGHT(I2,8)</f>
        <v>21:31:13</v>
      </c>
    </row>
    <row r="3" ht="22.5" hidden="1" customHeight="1">
      <c r="A3" s="46" t="s">
        <v>69</v>
      </c>
      <c r="B3" s="46" t="s">
        <v>92</v>
      </c>
      <c r="C3" s="46" t="s">
        <v>74</v>
      </c>
      <c r="D3" s="46" t="s">
        <v>93</v>
      </c>
      <c r="E3" s="38">
        <f t="shared" si="1"/>
        <v>8</v>
      </c>
      <c r="F3" s="46" t="s">
        <v>82</v>
      </c>
      <c r="G3" s="46">
        <v>7.0</v>
      </c>
      <c r="H3" s="46" t="s">
        <v>95</v>
      </c>
      <c r="I3" s="46" t="s">
        <v>97</v>
      </c>
      <c r="J3" s="47" t="str">
        <f t="shared" si="2"/>
        <v>2025</v>
      </c>
      <c r="K3" s="38" t="str">
        <f t="shared" si="3"/>
        <v>12</v>
      </c>
      <c r="L3" s="38" t="str">
        <f t="shared" si="4"/>
        <v>07</v>
      </c>
      <c r="M3" s="45" t="str">
        <f t="shared" si="5"/>
        <v>18:25:49</v>
      </c>
    </row>
    <row r="4" ht="22.5" hidden="1" customHeight="1">
      <c r="A4" s="38" t="s">
        <v>69</v>
      </c>
      <c r="B4" s="38" t="s">
        <v>102</v>
      </c>
      <c r="C4" s="38" t="s">
        <v>74</v>
      </c>
      <c r="D4" s="38" t="s">
        <v>103</v>
      </c>
      <c r="E4" s="38">
        <f t="shared" si="1"/>
        <v>3</v>
      </c>
      <c r="F4" s="38" t="s">
        <v>105</v>
      </c>
      <c r="G4" s="38">
        <v>5.0</v>
      </c>
      <c r="H4" s="48"/>
      <c r="I4" s="38" t="s">
        <v>107</v>
      </c>
      <c r="J4" s="44" t="str">
        <f t="shared" si="2"/>
        <v>2025</v>
      </c>
      <c r="K4" s="38" t="str">
        <f t="shared" si="3"/>
        <v>12</v>
      </c>
      <c r="L4" s="38" t="str">
        <f t="shared" si="4"/>
        <v>07</v>
      </c>
      <c r="M4" s="45" t="str">
        <f t="shared" si="5"/>
        <v>14:57:33</v>
      </c>
    </row>
    <row r="5" ht="22.5" hidden="1" customHeight="1">
      <c r="A5" s="46" t="s">
        <v>69</v>
      </c>
      <c r="B5" s="46" t="s">
        <v>112</v>
      </c>
      <c r="C5" s="46" t="s">
        <v>74</v>
      </c>
      <c r="D5" s="46" t="s">
        <v>113</v>
      </c>
      <c r="E5" s="38">
        <f t="shared" si="1"/>
        <v>36</v>
      </c>
      <c r="F5" s="46" t="s">
        <v>116</v>
      </c>
      <c r="G5" s="46">
        <v>14.0</v>
      </c>
      <c r="H5" s="50"/>
      <c r="I5" s="46" t="s">
        <v>117</v>
      </c>
      <c r="J5" s="47" t="str">
        <f t="shared" si="2"/>
        <v>2025</v>
      </c>
      <c r="K5" s="38" t="str">
        <f t="shared" si="3"/>
        <v>12</v>
      </c>
      <c r="L5" s="38" t="str">
        <f t="shared" si="4"/>
        <v>07</v>
      </c>
      <c r="M5" s="45" t="str">
        <f t="shared" si="5"/>
        <v>13:41:19</v>
      </c>
    </row>
    <row r="6" ht="22.5" hidden="1" customHeight="1">
      <c r="A6" s="38" t="s">
        <v>69</v>
      </c>
      <c r="B6" s="38" t="s">
        <v>71</v>
      </c>
      <c r="C6" s="38" t="s">
        <v>74</v>
      </c>
      <c r="D6" s="38" t="s">
        <v>122</v>
      </c>
      <c r="E6" s="38">
        <f t="shared" si="1"/>
        <v>47</v>
      </c>
      <c r="F6" s="38" t="s">
        <v>98</v>
      </c>
      <c r="G6" s="38">
        <v>16.0</v>
      </c>
      <c r="H6" s="38" t="s">
        <v>125</v>
      </c>
      <c r="I6" s="38" t="s">
        <v>126</v>
      </c>
      <c r="J6" s="44" t="str">
        <f t="shared" si="2"/>
        <v>2025</v>
      </c>
      <c r="K6" s="38" t="str">
        <f t="shared" si="3"/>
        <v>12</v>
      </c>
      <c r="L6" s="38" t="str">
        <f t="shared" si="4"/>
        <v>07</v>
      </c>
      <c r="M6" s="45" t="str">
        <f t="shared" si="5"/>
        <v>10:14:53</v>
      </c>
    </row>
    <row r="7" ht="22.5" hidden="1" customHeight="1">
      <c r="A7" s="46" t="s">
        <v>69</v>
      </c>
      <c r="B7" s="46" t="s">
        <v>102</v>
      </c>
      <c r="C7" s="46" t="s">
        <v>74</v>
      </c>
      <c r="D7" s="46" t="s">
        <v>129</v>
      </c>
      <c r="E7" s="38">
        <f t="shared" si="1"/>
        <v>7</v>
      </c>
      <c r="F7" s="46" t="s">
        <v>105</v>
      </c>
      <c r="G7" s="46">
        <v>5.0</v>
      </c>
      <c r="H7" s="50"/>
      <c r="I7" s="46" t="s">
        <v>131</v>
      </c>
      <c r="J7" s="47" t="str">
        <f t="shared" si="2"/>
        <v>2025</v>
      </c>
      <c r="K7" s="38" t="str">
        <f t="shared" si="3"/>
        <v>12</v>
      </c>
      <c r="L7" s="38" t="str">
        <f t="shared" si="4"/>
        <v>07</v>
      </c>
      <c r="M7" s="45" t="str">
        <f t="shared" si="5"/>
        <v>10:06:36</v>
      </c>
    </row>
    <row r="8" ht="22.5" hidden="1" customHeight="1">
      <c r="A8" s="38" t="s">
        <v>69</v>
      </c>
      <c r="B8" s="38" t="s">
        <v>134</v>
      </c>
      <c r="C8" s="38" t="s">
        <v>74</v>
      </c>
      <c r="D8" s="38" t="s">
        <v>76</v>
      </c>
      <c r="E8" s="38">
        <f t="shared" si="1"/>
        <v>46</v>
      </c>
      <c r="F8" s="38" t="s">
        <v>137</v>
      </c>
      <c r="G8" s="38">
        <v>8.0</v>
      </c>
      <c r="H8" s="38" t="s">
        <v>138</v>
      </c>
      <c r="I8" s="38" t="s">
        <v>139</v>
      </c>
      <c r="J8" s="44" t="str">
        <f t="shared" si="2"/>
        <v>2025</v>
      </c>
      <c r="K8" s="38" t="str">
        <f t="shared" si="3"/>
        <v>12</v>
      </c>
      <c r="L8" s="38" t="str">
        <f t="shared" si="4"/>
        <v>07</v>
      </c>
      <c r="M8" s="45" t="str">
        <f t="shared" si="5"/>
        <v>09:51:28</v>
      </c>
    </row>
    <row r="9" ht="22.5" hidden="1" customHeight="1">
      <c r="A9" s="46" t="s">
        <v>69</v>
      </c>
      <c r="B9" s="46" t="s">
        <v>143</v>
      </c>
      <c r="C9" s="46" t="s">
        <v>74</v>
      </c>
      <c r="D9" s="46" t="s">
        <v>144</v>
      </c>
      <c r="E9" s="38">
        <f t="shared" si="1"/>
        <v>42</v>
      </c>
      <c r="F9" s="46" t="s">
        <v>137</v>
      </c>
      <c r="G9" s="46">
        <v>7.0</v>
      </c>
      <c r="H9" s="46" t="s">
        <v>150</v>
      </c>
      <c r="I9" s="46" t="s">
        <v>151</v>
      </c>
      <c r="J9" s="47" t="str">
        <f t="shared" si="2"/>
        <v>2025</v>
      </c>
      <c r="K9" s="38" t="str">
        <f t="shared" si="3"/>
        <v>12</v>
      </c>
      <c r="L9" s="38" t="str">
        <f t="shared" si="4"/>
        <v>07</v>
      </c>
      <c r="M9" s="45" t="str">
        <f t="shared" si="5"/>
        <v>09:47:58</v>
      </c>
    </row>
    <row r="10" ht="22.5" hidden="1" customHeight="1">
      <c r="A10" s="38" t="s">
        <v>69</v>
      </c>
      <c r="B10" s="38" t="s">
        <v>158</v>
      </c>
      <c r="C10" s="38" t="s">
        <v>74</v>
      </c>
      <c r="D10" s="38" t="s">
        <v>144</v>
      </c>
      <c r="E10" s="38">
        <f t="shared" si="1"/>
        <v>42</v>
      </c>
      <c r="F10" s="38" t="s">
        <v>137</v>
      </c>
      <c r="G10" s="38">
        <v>12.0</v>
      </c>
      <c r="H10" s="38" t="s">
        <v>168</v>
      </c>
      <c r="I10" s="38" t="s">
        <v>169</v>
      </c>
      <c r="J10" s="44" t="str">
        <f t="shared" si="2"/>
        <v>2025</v>
      </c>
      <c r="K10" s="38" t="str">
        <f t="shared" si="3"/>
        <v>12</v>
      </c>
      <c r="L10" s="38" t="str">
        <f t="shared" si="4"/>
        <v>07</v>
      </c>
      <c r="M10" s="45" t="str">
        <f t="shared" si="5"/>
        <v>09:14:28</v>
      </c>
    </row>
    <row r="11" ht="22.5" hidden="1" customHeight="1">
      <c r="A11" s="46" t="s">
        <v>69</v>
      </c>
      <c r="B11" s="46" t="s">
        <v>171</v>
      </c>
      <c r="C11" s="46" t="s">
        <v>74</v>
      </c>
      <c r="D11" s="46" t="s">
        <v>173</v>
      </c>
      <c r="E11" s="38">
        <f t="shared" si="1"/>
        <v>49</v>
      </c>
      <c r="F11" s="46" t="s">
        <v>142</v>
      </c>
      <c r="G11" s="46">
        <v>12.0</v>
      </c>
      <c r="H11" s="46" t="s">
        <v>175</v>
      </c>
      <c r="I11" s="46" t="s">
        <v>177</v>
      </c>
      <c r="J11" s="47" t="str">
        <f t="shared" si="2"/>
        <v>2025</v>
      </c>
      <c r="K11" s="38" t="str">
        <f t="shared" si="3"/>
        <v>12</v>
      </c>
      <c r="L11" s="38" t="str">
        <f t="shared" si="4"/>
        <v>07</v>
      </c>
      <c r="M11" s="45" t="str">
        <f t="shared" si="5"/>
        <v>06:03:01</v>
      </c>
    </row>
    <row r="12" ht="22.5" hidden="1" customHeight="1">
      <c r="A12" s="38" t="s">
        <v>69</v>
      </c>
      <c r="B12" s="38" t="s">
        <v>178</v>
      </c>
      <c r="C12" s="38" t="s">
        <v>74</v>
      </c>
      <c r="D12" s="38" t="s">
        <v>180</v>
      </c>
      <c r="E12" s="38">
        <f t="shared" si="1"/>
        <v>27</v>
      </c>
      <c r="F12" s="38" t="s">
        <v>128</v>
      </c>
      <c r="G12" s="38">
        <v>5.0</v>
      </c>
      <c r="H12" s="38" t="s">
        <v>183</v>
      </c>
      <c r="I12" s="38" t="s">
        <v>184</v>
      </c>
      <c r="J12" s="44" t="str">
        <f t="shared" si="2"/>
        <v>2025</v>
      </c>
      <c r="K12" s="38" t="str">
        <f t="shared" si="3"/>
        <v>12</v>
      </c>
      <c r="L12" s="38" t="str">
        <f t="shared" si="4"/>
        <v>06</v>
      </c>
      <c r="M12" s="45" t="str">
        <f t="shared" si="5"/>
        <v>23:34:14</v>
      </c>
    </row>
    <row r="13" ht="22.5" hidden="1" customHeight="1">
      <c r="A13" s="46" t="s">
        <v>69</v>
      </c>
      <c r="B13" s="46" t="s">
        <v>187</v>
      </c>
      <c r="C13" s="46" t="s">
        <v>74</v>
      </c>
      <c r="D13" s="46" t="s">
        <v>189</v>
      </c>
      <c r="E13" s="38">
        <f t="shared" si="1"/>
        <v>16</v>
      </c>
      <c r="F13" s="46" t="s">
        <v>132</v>
      </c>
      <c r="G13" s="46">
        <v>15.0</v>
      </c>
      <c r="H13" s="50"/>
      <c r="I13" s="46" t="s">
        <v>191</v>
      </c>
      <c r="J13" s="47" t="str">
        <f t="shared" si="2"/>
        <v>2025</v>
      </c>
      <c r="K13" s="38" t="str">
        <f t="shared" si="3"/>
        <v>12</v>
      </c>
      <c r="L13" s="38" t="str">
        <f t="shared" si="4"/>
        <v>06</v>
      </c>
      <c r="M13" s="45" t="str">
        <f t="shared" si="5"/>
        <v>22:43:26</v>
      </c>
    </row>
    <row r="14" ht="22.5" hidden="1" customHeight="1">
      <c r="A14" s="38" t="s">
        <v>69</v>
      </c>
      <c r="B14" s="38" t="s">
        <v>194</v>
      </c>
      <c r="C14" s="38" t="s">
        <v>74</v>
      </c>
      <c r="D14" s="38" t="s">
        <v>196</v>
      </c>
      <c r="E14" s="38">
        <f t="shared" si="1"/>
        <v>38</v>
      </c>
      <c r="F14" s="38" t="s">
        <v>124</v>
      </c>
      <c r="G14" s="38">
        <v>17.0</v>
      </c>
      <c r="H14" s="38" t="s">
        <v>198</v>
      </c>
      <c r="I14" s="38" t="s">
        <v>199</v>
      </c>
      <c r="J14" s="44" t="str">
        <f t="shared" si="2"/>
        <v>2025</v>
      </c>
      <c r="K14" s="38" t="str">
        <f t="shared" si="3"/>
        <v>12</v>
      </c>
      <c r="L14" s="38" t="str">
        <f t="shared" si="4"/>
        <v>06</v>
      </c>
      <c r="M14" s="45" t="str">
        <f t="shared" si="5"/>
        <v>22:37:43</v>
      </c>
    </row>
    <row r="15" ht="22.5" hidden="1" customHeight="1">
      <c r="A15" s="46" t="s">
        <v>69</v>
      </c>
      <c r="B15" s="46" t="s">
        <v>74</v>
      </c>
      <c r="C15" s="46" t="s">
        <v>74</v>
      </c>
      <c r="D15" s="46" t="s">
        <v>113</v>
      </c>
      <c r="E15" s="38">
        <f t="shared" si="1"/>
        <v>36</v>
      </c>
      <c r="F15" s="46" t="s">
        <v>52</v>
      </c>
      <c r="G15" s="46" t="s">
        <v>201</v>
      </c>
      <c r="H15" s="46" t="s">
        <v>203</v>
      </c>
      <c r="I15" s="46" t="s">
        <v>204</v>
      </c>
      <c r="J15" s="47" t="str">
        <f t="shared" si="2"/>
        <v>2025</v>
      </c>
      <c r="K15" s="38" t="str">
        <f t="shared" si="3"/>
        <v>12</v>
      </c>
      <c r="L15" s="38" t="str">
        <f t="shared" si="4"/>
        <v>06</v>
      </c>
      <c r="M15" s="45" t="str">
        <f t="shared" si="5"/>
        <v>22:36:34</v>
      </c>
    </row>
    <row r="16" ht="22.5" hidden="1" customHeight="1">
      <c r="A16" s="38" t="s">
        <v>69</v>
      </c>
      <c r="B16" s="38" t="s">
        <v>74</v>
      </c>
      <c r="C16" s="38" t="s">
        <v>74</v>
      </c>
      <c r="D16" s="38" t="s">
        <v>207</v>
      </c>
      <c r="E16" s="38">
        <f t="shared" si="1"/>
        <v>6</v>
      </c>
      <c r="F16" s="38" t="s">
        <v>82</v>
      </c>
      <c r="G16" s="38">
        <v>13.0</v>
      </c>
      <c r="H16" s="38" t="s">
        <v>209</v>
      </c>
      <c r="I16" s="38" t="s">
        <v>210</v>
      </c>
      <c r="J16" s="44" t="str">
        <f t="shared" si="2"/>
        <v>2025</v>
      </c>
      <c r="K16" s="38" t="str">
        <f t="shared" si="3"/>
        <v>12</v>
      </c>
      <c r="L16" s="38" t="str">
        <f t="shared" si="4"/>
        <v>06</v>
      </c>
      <c r="M16" s="45" t="str">
        <f t="shared" si="5"/>
        <v>22:35:16</v>
      </c>
    </row>
    <row r="17" ht="22.5" hidden="1" customHeight="1">
      <c r="A17" s="46" t="s">
        <v>69</v>
      </c>
      <c r="B17" s="46" t="s">
        <v>194</v>
      </c>
      <c r="C17" s="46" t="s">
        <v>74</v>
      </c>
      <c r="D17" s="46" t="s">
        <v>212</v>
      </c>
      <c r="E17" s="38">
        <f t="shared" si="1"/>
        <v>17</v>
      </c>
      <c r="F17" s="46" t="s">
        <v>132</v>
      </c>
      <c r="G17" s="46">
        <v>9.0</v>
      </c>
      <c r="H17" s="50"/>
      <c r="I17" s="46" t="s">
        <v>215</v>
      </c>
      <c r="J17" s="47" t="str">
        <f t="shared" si="2"/>
        <v>2025</v>
      </c>
      <c r="K17" s="38" t="str">
        <f t="shared" si="3"/>
        <v>12</v>
      </c>
      <c r="L17" s="38" t="str">
        <f t="shared" si="4"/>
        <v>06</v>
      </c>
      <c r="M17" s="45" t="str">
        <f t="shared" si="5"/>
        <v>22:34:31</v>
      </c>
    </row>
    <row r="18" ht="22.5" hidden="1" customHeight="1">
      <c r="A18" s="38" t="s">
        <v>69</v>
      </c>
      <c r="B18" s="38" t="s">
        <v>74</v>
      </c>
      <c r="C18" s="38" t="s">
        <v>74</v>
      </c>
      <c r="D18" s="38" t="s">
        <v>220</v>
      </c>
      <c r="E18" s="38">
        <f t="shared" si="1"/>
        <v>13</v>
      </c>
      <c r="F18" s="38" t="s">
        <v>82</v>
      </c>
      <c r="G18" s="38">
        <v>13.0</v>
      </c>
      <c r="H18" s="38" t="s">
        <v>209</v>
      </c>
      <c r="I18" s="38" t="s">
        <v>223</v>
      </c>
      <c r="J18" s="44" t="str">
        <f t="shared" si="2"/>
        <v>2025</v>
      </c>
      <c r="K18" s="38" t="str">
        <f t="shared" si="3"/>
        <v>12</v>
      </c>
      <c r="L18" s="38" t="str">
        <f t="shared" si="4"/>
        <v>06</v>
      </c>
      <c r="M18" s="45" t="str">
        <f t="shared" si="5"/>
        <v>22:34:08</v>
      </c>
    </row>
    <row r="19" ht="22.5" hidden="1" customHeight="1">
      <c r="A19" s="46" t="s">
        <v>69</v>
      </c>
      <c r="B19" s="46" t="s">
        <v>74</v>
      </c>
      <c r="C19" s="46" t="s">
        <v>74</v>
      </c>
      <c r="D19" s="46" t="s">
        <v>226</v>
      </c>
      <c r="E19" s="38">
        <f t="shared" si="1"/>
        <v>22</v>
      </c>
      <c r="F19" s="46" t="s">
        <v>98</v>
      </c>
      <c r="G19" s="46" t="s">
        <v>227</v>
      </c>
      <c r="H19" s="46" t="s">
        <v>228</v>
      </c>
      <c r="I19" s="46" t="s">
        <v>229</v>
      </c>
      <c r="J19" s="47" t="str">
        <f t="shared" si="2"/>
        <v>2025</v>
      </c>
      <c r="K19" s="38" t="str">
        <f t="shared" si="3"/>
        <v>12</v>
      </c>
      <c r="L19" s="38" t="str">
        <f t="shared" si="4"/>
        <v>06</v>
      </c>
      <c r="M19" s="45" t="str">
        <f t="shared" si="5"/>
        <v>22:33:03</v>
      </c>
    </row>
    <row r="20" ht="22.5" hidden="1" customHeight="1">
      <c r="A20" s="38" t="s">
        <v>69</v>
      </c>
      <c r="B20" s="38" t="s">
        <v>74</v>
      </c>
      <c r="C20" s="38" t="s">
        <v>74</v>
      </c>
      <c r="D20" s="38" t="s">
        <v>233</v>
      </c>
      <c r="E20" s="38">
        <f t="shared" si="1"/>
        <v>39</v>
      </c>
      <c r="F20" s="38" t="s">
        <v>98</v>
      </c>
      <c r="G20" s="38">
        <v>3.0</v>
      </c>
      <c r="H20" s="38" t="s">
        <v>235</v>
      </c>
      <c r="I20" s="38" t="s">
        <v>236</v>
      </c>
      <c r="J20" s="44" t="str">
        <f t="shared" si="2"/>
        <v>2025</v>
      </c>
      <c r="K20" s="38" t="str">
        <f t="shared" si="3"/>
        <v>12</v>
      </c>
      <c r="L20" s="38" t="str">
        <f t="shared" si="4"/>
        <v>06</v>
      </c>
      <c r="M20" s="45" t="str">
        <f t="shared" si="5"/>
        <v>22:28:51</v>
      </c>
    </row>
    <row r="21" ht="22.5" hidden="1" customHeight="1">
      <c r="A21" s="46" t="s">
        <v>69</v>
      </c>
      <c r="B21" s="46" t="s">
        <v>239</v>
      </c>
      <c r="C21" s="46" t="s">
        <v>74</v>
      </c>
      <c r="D21" s="46" t="s">
        <v>241</v>
      </c>
      <c r="E21" s="38">
        <f t="shared" si="1"/>
        <v>18</v>
      </c>
      <c r="F21" s="46" t="s">
        <v>105</v>
      </c>
      <c r="G21" s="46">
        <v>11.0</v>
      </c>
      <c r="H21" s="46" t="s">
        <v>243</v>
      </c>
      <c r="I21" s="46" t="s">
        <v>244</v>
      </c>
      <c r="J21" s="47" t="str">
        <f t="shared" si="2"/>
        <v>2025</v>
      </c>
      <c r="K21" s="38" t="str">
        <f t="shared" si="3"/>
        <v>12</v>
      </c>
      <c r="L21" s="38" t="str">
        <f t="shared" si="4"/>
        <v>06</v>
      </c>
      <c r="M21" s="45" t="str">
        <f t="shared" si="5"/>
        <v>22:28:22</v>
      </c>
    </row>
    <row r="22" ht="22.5" hidden="1" customHeight="1">
      <c r="A22" s="38" t="s">
        <v>69</v>
      </c>
      <c r="B22" s="38" t="s">
        <v>247</v>
      </c>
      <c r="C22" s="38" t="s">
        <v>74</v>
      </c>
      <c r="D22" s="38" t="s">
        <v>249</v>
      </c>
      <c r="E22" s="38">
        <f t="shared" si="1"/>
        <v>43</v>
      </c>
      <c r="F22" s="38" t="s">
        <v>157</v>
      </c>
      <c r="G22" s="38">
        <v>3.0</v>
      </c>
      <c r="H22" s="38" t="s">
        <v>251</v>
      </c>
      <c r="I22" s="38" t="s">
        <v>252</v>
      </c>
      <c r="J22" s="44" t="str">
        <f t="shared" si="2"/>
        <v>2025</v>
      </c>
      <c r="K22" s="38" t="str">
        <f t="shared" si="3"/>
        <v>12</v>
      </c>
      <c r="L22" s="38" t="str">
        <f t="shared" si="4"/>
        <v>06</v>
      </c>
      <c r="M22" s="45" t="str">
        <f t="shared" si="5"/>
        <v>22:27:55</v>
      </c>
    </row>
    <row r="23" ht="22.5" hidden="1" customHeight="1">
      <c r="A23" s="46" t="s">
        <v>69</v>
      </c>
      <c r="B23" s="46" t="s">
        <v>254</v>
      </c>
      <c r="C23" s="46" t="s">
        <v>74</v>
      </c>
      <c r="D23" s="46" t="s">
        <v>249</v>
      </c>
      <c r="E23" s="38">
        <f t="shared" si="1"/>
        <v>43</v>
      </c>
      <c r="F23" s="46" t="s">
        <v>142</v>
      </c>
      <c r="G23" s="46">
        <v>3.0</v>
      </c>
      <c r="H23" s="46" t="s">
        <v>257</v>
      </c>
      <c r="I23" s="46" t="s">
        <v>258</v>
      </c>
      <c r="J23" s="47" t="str">
        <f t="shared" si="2"/>
        <v>2025</v>
      </c>
      <c r="K23" s="38" t="str">
        <f t="shared" si="3"/>
        <v>12</v>
      </c>
      <c r="L23" s="38" t="str">
        <f t="shared" si="4"/>
        <v>06</v>
      </c>
      <c r="M23" s="45" t="str">
        <f t="shared" si="5"/>
        <v>22:21:21</v>
      </c>
    </row>
    <row r="24" ht="22.5" hidden="1" customHeight="1">
      <c r="A24" s="38" t="s">
        <v>69</v>
      </c>
      <c r="B24" s="38" t="s">
        <v>260</v>
      </c>
      <c r="C24" s="38" t="s">
        <v>74</v>
      </c>
      <c r="D24" s="38" t="s">
        <v>261</v>
      </c>
      <c r="E24" s="38">
        <f t="shared" si="1"/>
        <v>26</v>
      </c>
      <c r="F24" s="38" t="s">
        <v>47</v>
      </c>
      <c r="G24" s="38">
        <v>13.0</v>
      </c>
      <c r="H24" s="38" t="s">
        <v>263</v>
      </c>
      <c r="I24" s="38" t="s">
        <v>264</v>
      </c>
      <c r="J24" s="44" t="str">
        <f t="shared" si="2"/>
        <v>2025</v>
      </c>
      <c r="K24" s="38" t="str">
        <f t="shared" si="3"/>
        <v>12</v>
      </c>
      <c r="L24" s="38" t="str">
        <f t="shared" si="4"/>
        <v>06</v>
      </c>
      <c r="M24" s="45" t="str">
        <f t="shared" si="5"/>
        <v>21:52:18</v>
      </c>
    </row>
    <row r="25" ht="22.5" hidden="1" customHeight="1">
      <c r="A25" s="46" t="s">
        <v>69</v>
      </c>
      <c r="B25" s="46" t="s">
        <v>267</v>
      </c>
      <c r="C25" s="46" t="s">
        <v>74</v>
      </c>
      <c r="D25" s="46" t="s">
        <v>144</v>
      </c>
      <c r="E25" s="38">
        <f t="shared" si="1"/>
        <v>42</v>
      </c>
      <c r="F25" s="46" t="s">
        <v>167</v>
      </c>
      <c r="G25" s="46">
        <v>8.0</v>
      </c>
      <c r="H25" s="46" t="s">
        <v>269</v>
      </c>
      <c r="I25" s="46" t="s">
        <v>270</v>
      </c>
      <c r="J25" s="47" t="str">
        <f t="shared" si="2"/>
        <v>2025</v>
      </c>
      <c r="K25" s="38" t="str">
        <f t="shared" si="3"/>
        <v>12</v>
      </c>
      <c r="L25" s="38" t="str">
        <f t="shared" si="4"/>
        <v>06</v>
      </c>
      <c r="M25" s="45" t="str">
        <f t="shared" si="5"/>
        <v>21:50:26</v>
      </c>
    </row>
    <row r="26" ht="22.5" hidden="1" customHeight="1">
      <c r="A26" s="38" t="s">
        <v>69</v>
      </c>
      <c r="B26" s="38" t="s">
        <v>272</v>
      </c>
      <c r="C26" s="38" t="s">
        <v>74</v>
      </c>
      <c r="D26" s="38" t="s">
        <v>122</v>
      </c>
      <c r="E26" s="38">
        <f t="shared" si="1"/>
        <v>47</v>
      </c>
      <c r="F26" s="38" t="s">
        <v>157</v>
      </c>
      <c r="G26" s="38">
        <v>13.0</v>
      </c>
      <c r="H26" s="38" t="s">
        <v>274</v>
      </c>
      <c r="I26" s="38" t="s">
        <v>276</v>
      </c>
      <c r="J26" s="44" t="str">
        <f t="shared" si="2"/>
        <v>2025</v>
      </c>
      <c r="K26" s="38" t="str">
        <f t="shared" si="3"/>
        <v>12</v>
      </c>
      <c r="L26" s="38" t="str">
        <f t="shared" si="4"/>
        <v>06</v>
      </c>
      <c r="M26" s="45" t="str">
        <f t="shared" si="5"/>
        <v>21:27:53</v>
      </c>
    </row>
    <row r="27" ht="22.5" hidden="1" customHeight="1">
      <c r="A27" s="46" t="s">
        <v>69</v>
      </c>
      <c r="B27" s="46" t="s">
        <v>272</v>
      </c>
      <c r="C27" s="46" t="s">
        <v>74</v>
      </c>
      <c r="D27" s="46" t="s">
        <v>196</v>
      </c>
      <c r="E27" s="38">
        <f t="shared" si="1"/>
        <v>38</v>
      </c>
      <c r="F27" s="46" t="s">
        <v>78</v>
      </c>
      <c r="G27" s="46">
        <v>9.0</v>
      </c>
      <c r="H27" s="46" t="s">
        <v>279</v>
      </c>
      <c r="I27" s="46" t="s">
        <v>281</v>
      </c>
      <c r="J27" s="47" t="str">
        <f t="shared" si="2"/>
        <v>2025</v>
      </c>
      <c r="K27" s="38" t="str">
        <f t="shared" si="3"/>
        <v>12</v>
      </c>
      <c r="L27" s="38" t="str">
        <f t="shared" si="4"/>
        <v>06</v>
      </c>
      <c r="M27" s="45" t="str">
        <f t="shared" si="5"/>
        <v>21:26:02</v>
      </c>
    </row>
    <row r="28" ht="22.5" hidden="1" customHeight="1">
      <c r="A28" s="38" t="s">
        <v>69</v>
      </c>
      <c r="B28" s="38" t="s">
        <v>283</v>
      </c>
      <c r="C28" s="38" t="s">
        <v>74</v>
      </c>
      <c r="D28" s="38" t="s">
        <v>196</v>
      </c>
      <c r="E28" s="38">
        <f t="shared" si="1"/>
        <v>38</v>
      </c>
      <c r="F28" s="38" t="s">
        <v>157</v>
      </c>
      <c r="G28" s="38">
        <v>7.0</v>
      </c>
      <c r="H28" s="38" t="s">
        <v>285</v>
      </c>
      <c r="I28" s="38" t="s">
        <v>286</v>
      </c>
      <c r="J28" s="44" t="str">
        <f t="shared" si="2"/>
        <v>2025</v>
      </c>
      <c r="K28" s="38" t="str">
        <f t="shared" si="3"/>
        <v>12</v>
      </c>
      <c r="L28" s="38" t="str">
        <f t="shared" si="4"/>
        <v>06</v>
      </c>
      <c r="M28" s="45" t="str">
        <f t="shared" si="5"/>
        <v>21:03:23</v>
      </c>
    </row>
    <row r="29" ht="22.5" hidden="1" customHeight="1">
      <c r="A29" s="46" t="s">
        <v>69</v>
      </c>
      <c r="B29" s="46" t="s">
        <v>288</v>
      </c>
      <c r="C29" s="46" t="s">
        <v>74</v>
      </c>
      <c r="D29" s="46" t="s">
        <v>289</v>
      </c>
      <c r="E29" s="38">
        <f t="shared" si="1"/>
        <v>41</v>
      </c>
      <c r="F29" s="46" t="s">
        <v>98</v>
      </c>
      <c r="G29" s="46">
        <v>23.0</v>
      </c>
      <c r="H29" s="46" t="s">
        <v>291</v>
      </c>
      <c r="I29" s="46" t="s">
        <v>292</v>
      </c>
      <c r="J29" s="47" t="str">
        <f t="shared" si="2"/>
        <v>2025</v>
      </c>
      <c r="K29" s="38" t="str">
        <f t="shared" si="3"/>
        <v>12</v>
      </c>
      <c r="L29" s="38" t="str">
        <f t="shared" si="4"/>
        <v>06</v>
      </c>
      <c r="M29" s="45" t="str">
        <f t="shared" si="5"/>
        <v>20:44:33</v>
      </c>
    </row>
    <row r="30" ht="22.5" hidden="1" customHeight="1">
      <c r="A30" s="38" t="s">
        <v>69</v>
      </c>
      <c r="B30" s="38" t="s">
        <v>294</v>
      </c>
      <c r="C30" s="38" t="s">
        <v>74</v>
      </c>
      <c r="D30" s="38" t="s">
        <v>295</v>
      </c>
      <c r="E30" s="38">
        <f t="shared" si="1"/>
        <v>14</v>
      </c>
      <c r="F30" s="38" t="s">
        <v>174</v>
      </c>
      <c r="G30" s="38">
        <v>6.0</v>
      </c>
      <c r="H30" s="38" t="s">
        <v>297</v>
      </c>
      <c r="I30" s="38" t="s">
        <v>298</v>
      </c>
      <c r="J30" s="44" t="str">
        <f t="shared" si="2"/>
        <v>2025</v>
      </c>
      <c r="K30" s="38" t="str">
        <f t="shared" si="3"/>
        <v>12</v>
      </c>
      <c r="L30" s="38" t="str">
        <f t="shared" si="4"/>
        <v>06</v>
      </c>
      <c r="M30" s="45" t="str">
        <f t="shared" si="5"/>
        <v>19:46:26</v>
      </c>
    </row>
    <row r="31" ht="22.5" hidden="1" customHeight="1">
      <c r="A31" s="46" t="s">
        <v>69</v>
      </c>
      <c r="B31" s="46" t="s">
        <v>301</v>
      </c>
      <c r="C31" s="46" t="s">
        <v>74</v>
      </c>
      <c r="D31" s="46" t="s">
        <v>302</v>
      </c>
      <c r="E31" s="38">
        <f t="shared" si="1"/>
        <v>9</v>
      </c>
      <c r="F31" s="46" t="s">
        <v>137</v>
      </c>
      <c r="G31" s="46">
        <v>35.0</v>
      </c>
      <c r="H31" s="46" t="s">
        <v>303</v>
      </c>
      <c r="I31" s="46" t="s">
        <v>305</v>
      </c>
      <c r="J31" s="47" t="str">
        <f t="shared" si="2"/>
        <v>2025</v>
      </c>
      <c r="K31" s="38" t="str">
        <f t="shared" si="3"/>
        <v>12</v>
      </c>
      <c r="L31" s="38" t="str">
        <f t="shared" si="4"/>
        <v>06</v>
      </c>
      <c r="M31" s="45" t="str">
        <f t="shared" si="5"/>
        <v>19:38:17</v>
      </c>
    </row>
    <row r="32" ht="22.5" hidden="1" customHeight="1">
      <c r="A32" s="38" t="s">
        <v>69</v>
      </c>
      <c r="B32" s="38" t="s">
        <v>307</v>
      </c>
      <c r="C32" s="38" t="s">
        <v>74</v>
      </c>
      <c r="D32" s="38" t="s">
        <v>308</v>
      </c>
      <c r="E32" s="38">
        <f t="shared" si="1"/>
        <v>60</v>
      </c>
      <c r="F32" s="38" t="s">
        <v>157</v>
      </c>
      <c r="G32" s="38">
        <v>2.0</v>
      </c>
      <c r="H32" s="38" t="s">
        <v>310</v>
      </c>
      <c r="I32" s="38" t="s">
        <v>311</v>
      </c>
      <c r="J32" s="44" t="str">
        <f t="shared" si="2"/>
        <v>2025</v>
      </c>
      <c r="K32" s="38" t="str">
        <f t="shared" si="3"/>
        <v>12</v>
      </c>
      <c r="L32" s="38" t="str">
        <f t="shared" si="4"/>
        <v>06</v>
      </c>
      <c r="M32" s="45" t="str">
        <f t="shared" si="5"/>
        <v>19:23:10</v>
      </c>
    </row>
    <row r="33" ht="22.5" hidden="1" customHeight="1">
      <c r="A33" s="46" t="s">
        <v>69</v>
      </c>
      <c r="B33" s="46" t="s">
        <v>314</v>
      </c>
      <c r="C33" s="46" t="s">
        <v>74</v>
      </c>
      <c r="D33" s="46" t="s">
        <v>122</v>
      </c>
      <c r="E33" s="38">
        <f t="shared" si="1"/>
        <v>47</v>
      </c>
      <c r="F33" s="46" t="s">
        <v>136</v>
      </c>
      <c r="G33" s="46">
        <v>7.0</v>
      </c>
      <c r="H33" s="46" t="s">
        <v>316</v>
      </c>
      <c r="I33" s="46" t="s">
        <v>318</v>
      </c>
      <c r="J33" s="47" t="str">
        <f t="shared" si="2"/>
        <v>2025</v>
      </c>
      <c r="K33" s="38" t="str">
        <f t="shared" si="3"/>
        <v>12</v>
      </c>
      <c r="L33" s="38" t="str">
        <f t="shared" si="4"/>
        <v>06</v>
      </c>
      <c r="M33" s="45" t="str">
        <f t="shared" si="5"/>
        <v>19:23:06</v>
      </c>
    </row>
    <row r="34" ht="22.5" hidden="1" customHeight="1">
      <c r="A34" s="38" t="s">
        <v>69</v>
      </c>
      <c r="B34" s="38" t="s">
        <v>321</v>
      </c>
      <c r="C34" s="38" t="s">
        <v>74</v>
      </c>
      <c r="D34" s="38" t="s">
        <v>226</v>
      </c>
      <c r="E34" s="38">
        <f t="shared" si="1"/>
        <v>22</v>
      </c>
      <c r="F34" s="38" t="s">
        <v>67</v>
      </c>
      <c r="G34" s="38">
        <v>13.0</v>
      </c>
      <c r="H34" s="38" t="s">
        <v>324</v>
      </c>
      <c r="I34" s="38" t="s">
        <v>325</v>
      </c>
      <c r="J34" s="44" t="str">
        <f t="shared" si="2"/>
        <v>2025</v>
      </c>
      <c r="K34" s="38" t="str">
        <f t="shared" si="3"/>
        <v>12</v>
      </c>
      <c r="L34" s="38" t="str">
        <f t="shared" si="4"/>
        <v>06</v>
      </c>
      <c r="M34" s="45" t="str">
        <f t="shared" si="5"/>
        <v>19:18:07</v>
      </c>
    </row>
    <row r="35" ht="22.5" hidden="1" customHeight="1">
      <c r="A35" s="46" t="s">
        <v>69</v>
      </c>
      <c r="B35" s="46" t="s">
        <v>327</v>
      </c>
      <c r="C35" s="46" t="s">
        <v>74</v>
      </c>
      <c r="D35" s="46" t="s">
        <v>249</v>
      </c>
      <c r="E35" s="38">
        <f t="shared" si="1"/>
        <v>43</v>
      </c>
      <c r="F35" s="46" t="s">
        <v>190</v>
      </c>
      <c r="G35" s="46">
        <v>3.0</v>
      </c>
      <c r="H35" s="46" t="s">
        <v>329</v>
      </c>
      <c r="I35" s="46" t="s">
        <v>330</v>
      </c>
      <c r="J35" s="47" t="str">
        <f t="shared" si="2"/>
        <v>2025</v>
      </c>
      <c r="K35" s="38" t="str">
        <f t="shared" si="3"/>
        <v>12</v>
      </c>
      <c r="L35" s="38" t="str">
        <f t="shared" si="4"/>
        <v>06</v>
      </c>
      <c r="M35" s="45" t="str">
        <f t="shared" si="5"/>
        <v>19:10:37</v>
      </c>
    </row>
    <row r="36" ht="22.5" hidden="1" customHeight="1">
      <c r="A36" s="38" t="s">
        <v>69</v>
      </c>
      <c r="B36" s="38" t="s">
        <v>332</v>
      </c>
      <c r="C36" s="38" t="s">
        <v>74</v>
      </c>
      <c r="D36" s="38" t="s">
        <v>302</v>
      </c>
      <c r="E36" s="38">
        <f t="shared" si="1"/>
        <v>9</v>
      </c>
      <c r="F36" s="38" t="s">
        <v>116</v>
      </c>
      <c r="G36" s="38">
        <v>17.0</v>
      </c>
      <c r="H36" s="38" t="s">
        <v>334</v>
      </c>
      <c r="I36" s="38" t="s">
        <v>336</v>
      </c>
      <c r="J36" s="44" t="str">
        <f t="shared" si="2"/>
        <v>2025</v>
      </c>
      <c r="K36" s="38" t="str">
        <f t="shared" si="3"/>
        <v>12</v>
      </c>
      <c r="L36" s="38" t="str">
        <f t="shared" si="4"/>
        <v>06</v>
      </c>
      <c r="M36" s="45" t="str">
        <f t="shared" si="5"/>
        <v>19:06:10</v>
      </c>
    </row>
    <row r="37" ht="22.5" hidden="1" customHeight="1">
      <c r="A37" s="46" t="s">
        <v>69</v>
      </c>
      <c r="B37" s="46" t="s">
        <v>337</v>
      </c>
      <c r="C37" s="46" t="s">
        <v>74</v>
      </c>
      <c r="D37" s="46" t="s">
        <v>220</v>
      </c>
      <c r="E37" s="38">
        <f t="shared" si="1"/>
        <v>13</v>
      </c>
      <c r="F37" s="46" t="s">
        <v>193</v>
      </c>
      <c r="G37" s="46">
        <v>2.0</v>
      </c>
      <c r="H37" s="50"/>
      <c r="I37" s="46" t="s">
        <v>339</v>
      </c>
      <c r="J37" s="47" t="str">
        <f t="shared" si="2"/>
        <v>2025</v>
      </c>
      <c r="K37" s="38" t="str">
        <f t="shared" si="3"/>
        <v>12</v>
      </c>
      <c r="L37" s="38" t="str">
        <f t="shared" si="4"/>
        <v>06</v>
      </c>
      <c r="M37" s="45" t="str">
        <f t="shared" si="5"/>
        <v>19:00:32</v>
      </c>
    </row>
    <row r="38" ht="22.5" hidden="1" customHeight="1">
      <c r="A38" s="38" t="s">
        <v>69</v>
      </c>
      <c r="B38" s="38" t="s">
        <v>341</v>
      </c>
      <c r="C38" s="38" t="s">
        <v>343</v>
      </c>
      <c r="D38" s="38" t="s">
        <v>196</v>
      </c>
      <c r="E38" s="38">
        <f t="shared" si="1"/>
        <v>38</v>
      </c>
      <c r="F38" s="38" t="s">
        <v>124</v>
      </c>
      <c r="G38" s="38">
        <v>13.0</v>
      </c>
      <c r="H38" s="48"/>
      <c r="I38" s="38" t="s">
        <v>345</v>
      </c>
      <c r="J38" s="44" t="str">
        <f t="shared" si="2"/>
        <v>2025</v>
      </c>
      <c r="K38" s="38" t="str">
        <f t="shared" si="3"/>
        <v>12</v>
      </c>
      <c r="L38" s="38" t="str">
        <f t="shared" si="4"/>
        <v>06</v>
      </c>
      <c r="M38" s="45" t="str">
        <f t="shared" si="5"/>
        <v>18:58:05</v>
      </c>
    </row>
    <row r="39" ht="22.5" hidden="1" customHeight="1">
      <c r="A39" s="46" t="s">
        <v>69</v>
      </c>
      <c r="B39" s="46" t="s">
        <v>347</v>
      </c>
      <c r="C39" s="46" t="s">
        <v>74</v>
      </c>
      <c r="D39" s="46" t="s">
        <v>349</v>
      </c>
      <c r="E39" s="38">
        <f t="shared" si="1"/>
        <v>69</v>
      </c>
      <c r="F39" s="46" t="s">
        <v>67</v>
      </c>
      <c r="G39" s="46">
        <v>7.0</v>
      </c>
      <c r="H39" s="46" t="s">
        <v>350</v>
      </c>
      <c r="I39" s="46" t="s">
        <v>351</v>
      </c>
      <c r="J39" s="47" t="str">
        <f t="shared" si="2"/>
        <v>2025</v>
      </c>
      <c r="K39" s="38" t="str">
        <f t="shared" si="3"/>
        <v>12</v>
      </c>
      <c r="L39" s="38" t="str">
        <f t="shared" si="4"/>
        <v>06</v>
      </c>
      <c r="M39" s="45" t="str">
        <f t="shared" si="5"/>
        <v>18:55:46</v>
      </c>
    </row>
    <row r="40" ht="22.5" hidden="1" customHeight="1">
      <c r="A40" s="38" t="s">
        <v>69</v>
      </c>
      <c r="B40" s="38" t="s">
        <v>353</v>
      </c>
      <c r="C40" s="38" t="s">
        <v>74</v>
      </c>
      <c r="D40" s="38" t="s">
        <v>355</v>
      </c>
      <c r="E40" s="38">
        <f t="shared" si="1"/>
        <v>10</v>
      </c>
      <c r="F40" s="38" t="s">
        <v>142</v>
      </c>
      <c r="G40" s="38">
        <v>14.0</v>
      </c>
      <c r="H40" s="48"/>
      <c r="I40" s="38" t="s">
        <v>357</v>
      </c>
      <c r="J40" s="44" t="str">
        <f t="shared" si="2"/>
        <v>2025</v>
      </c>
      <c r="K40" s="38" t="str">
        <f t="shared" si="3"/>
        <v>12</v>
      </c>
      <c r="L40" s="38" t="str">
        <f t="shared" si="4"/>
        <v>06</v>
      </c>
      <c r="M40" s="45" t="str">
        <f t="shared" si="5"/>
        <v>18:50:17</v>
      </c>
    </row>
    <row r="41" ht="22.5" hidden="1" customHeight="1">
      <c r="A41" s="46" t="s">
        <v>69</v>
      </c>
      <c r="B41" s="46" t="s">
        <v>359</v>
      </c>
      <c r="C41" s="46" t="s">
        <v>74</v>
      </c>
      <c r="D41" s="46" t="s">
        <v>361</v>
      </c>
      <c r="E41" s="38">
        <f t="shared" si="1"/>
        <v>45</v>
      </c>
      <c r="F41" s="46" t="s">
        <v>167</v>
      </c>
      <c r="G41" s="46">
        <v>7.0</v>
      </c>
      <c r="H41" s="46" t="s">
        <v>363</v>
      </c>
      <c r="I41" s="46" t="s">
        <v>364</v>
      </c>
      <c r="J41" s="47" t="str">
        <f t="shared" si="2"/>
        <v>2025</v>
      </c>
      <c r="K41" s="38" t="str">
        <f t="shared" si="3"/>
        <v>12</v>
      </c>
      <c r="L41" s="38" t="str">
        <f t="shared" si="4"/>
        <v>06</v>
      </c>
      <c r="M41" s="45" t="str">
        <f t="shared" si="5"/>
        <v>18:45:48</v>
      </c>
    </row>
    <row r="42" ht="22.5" hidden="1" customHeight="1">
      <c r="A42" s="38" t="s">
        <v>69</v>
      </c>
      <c r="B42" s="38" t="s">
        <v>368</v>
      </c>
      <c r="C42" s="38" t="s">
        <v>74</v>
      </c>
      <c r="D42" s="48"/>
      <c r="E42" s="38">
        <v>24.0</v>
      </c>
      <c r="F42" s="38" t="s">
        <v>52</v>
      </c>
      <c r="G42" s="38">
        <v>19.0</v>
      </c>
      <c r="H42" s="48"/>
      <c r="I42" s="38" t="s">
        <v>371</v>
      </c>
      <c r="J42" s="44" t="str">
        <f t="shared" si="2"/>
        <v>2025</v>
      </c>
      <c r="K42" s="38" t="str">
        <f t="shared" si="3"/>
        <v>12</v>
      </c>
      <c r="L42" s="38" t="str">
        <f t="shared" si="4"/>
        <v>06</v>
      </c>
      <c r="M42" s="45" t="str">
        <f t="shared" si="5"/>
        <v>18:40:05</v>
      </c>
    </row>
    <row r="43" ht="22.5" hidden="1" customHeight="1">
      <c r="A43" s="46" t="s">
        <v>69</v>
      </c>
      <c r="B43" s="46" t="s">
        <v>368</v>
      </c>
      <c r="C43" s="46" t="s">
        <v>74</v>
      </c>
      <c r="D43" s="50"/>
      <c r="E43" s="58">
        <v>37.0</v>
      </c>
      <c r="F43" s="46" t="s">
        <v>98</v>
      </c>
      <c r="G43" s="46">
        <v>18.0</v>
      </c>
      <c r="H43" s="50"/>
      <c r="I43" s="46" t="s">
        <v>374</v>
      </c>
      <c r="J43" s="47" t="str">
        <f t="shared" si="2"/>
        <v>2025</v>
      </c>
      <c r="K43" s="38" t="str">
        <f t="shared" si="3"/>
        <v>12</v>
      </c>
      <c r="L43" s="38" t="str">
        <f t="shared" si="4"/>
        <v>06</v>
      </c>
      <c r="M43" s="45" t="str">
        <f t="shared" si="5"/>
        <v>18:40:04</v>
      </c>
    </row>
    <row r="44" ht="22.5" hidden="1" customHeight="1">
      <c r="A44" s="38" t="s">
        <v>69</v>
      </c>
      <c r="B44" s="38" t="s">
        <v>368</v>
      </c>
      <c r="C44" s="38" t="s">
        <v>74</v>
      </c>
      <c r="D44" s="38" t="s">
        <v>376</v>
      </c>
      <c r="E44" s="59">
        <v>38.0</v>
      </c>
      <c r="F44" s="38" t="s">
        <v>82</v>
      </c>
      <c r="G44" s="38">
        <v>8.0</v>
      </c>
      <c r="H44" s="38" t="s">
        <v>379</v>
      </c>
      <c r="I44" s="38" t="s">
        <v>380</v>
      </c>
      <c r="J44" s="44" t="str">
        <f t="shared" si="2"/>
        <v>2025</v>
      </c>
      <c r="K44" s="38" t="str">
        <f t="shared" si="3"/>
        <v>12</v>
      </c>
      <c r="L44" s="38" t="str">
        <f t="shared" si="4"/>
        <v>06</v>
      </c>
      <c r="M44" s="45" t="str">
        <f t="shared" si="5"/>
        <v>18:40:03</v>
      </c>
    </row>
    <row r="45" ht="22.5" hidden="1" customHeight="1">
      <c r="A45" s="46" t="s">
        <v>69</v>
      </c>
      <c r="B45" s="46" t="s">
        <v>247</v>
      </c>
      <c r="C45" s="46" t="s">
        <v>74</v>
      </c>
      <c r="D45" s="46" t="s">
        <v>383</v>
      </c>
      <c r="E45" s="38">
        <f t="shared" ref="E45:E60" si="6">VALUE(SUBSTITUTE(D45, ".", ","))</f>
        <v>15</v>
      </c>
      <c r="F45" s="46" t="s">
        <v>132</v>
      </c>
      <c r="G45" s="46">
        <v>20.0</v>
      </c>
      <c r="H45" s="46" t="s">
        <v>385</v>
      </c>
      <c r="I45" s="46" t="s">
        <v>386</v>
      </c>
      <c r="J45" s="47" t="str">
        <f t="shared" si="2"/>
        <v>2025</v>
      </c>
      <c r="K45" s="38" t="str">
        <f t="shared" si="3"/>
        <v>12</v>
      </c>
      <c r="L45" s="38" t="str">
        <f t="shared" si="4"/>
        <v>06</v>
      </c>
      <c r="M45" s="45" t="str">
        <f t="shared" si="5"/>
        <v>18:28:39</v>
      </c>
    </row>
    <row r="46" ht="22.5" hidden="1" customHeight="1">
      <c r="A46" s="38" t="s">
        <v>69</v>
      </c>
      <c r="B46" s="38" t="s">
        <v>389</v>
      </c>
      <c r="C46" s="38" t="s">
        <v>74</v>
      </c>
      <c r="D46" s="38" t="s">
        <v>189</v>
      </c>
      <c r="E46" s="38">
        <f t="shared" si="6"/>
        <v>16</v>
      </c>
      <c r="F46" s="38" t="s">
        <v>182</v>
      </c>
      <c r="G46" s="38">
        <v>32.0</v>
      </c>
      <c r="H46" s="38" t="s">
        <v>391</v>
      </c>
      <c r="I46" s="38" t="s">
        <v>392</v>
      </c>
      <c r="J46" s="44" t="str">
        <f t="shared" si="2"/>
        <v>2025</v>
      </c>
      <c r="K46" s="38" t="str">
        <f t="shared" si="3"/>
        <v>12</v>
      </c>
      <c r="L46" s="38" t="str">
        <f t="shared" si="4"/>
        <v>06</v>
      </c>
      <c r="M46" s="45" t="str">
        <f t="shared" si="5"/>
        <v>18:24:56</v>
      </c>
    </row>
    <row r="47" ht="22.5" hidden="1" customHeight="1">
      <c r="A47" s="46" t="s">
        <v>69</v>
      </c>
      <c r="B47" s="46" t="s">
        <v>394</v>
      </c>
      <c r="C47" s="46" t="s">
        <v>74</v>
      </c>
      <c r="D47" s="46" t="s">
        <v>180</v>
      </c>
      <c r="E47" s="38">
        <f t="shared" si="6"/>
        <v>27</v>
      </c>
      <c r="F47" s="46" t="s">
        <v>116</v>
      </c>
      <c r="G47" s="46">
        <v>8.0</v>
      </c>
      <c r="H47" s="46" t="s">
        <v>396</v>
      </c>
      <c r="I47" s="46" t="s">
        <v>397</v>
      </c>
      <c r="J47" s="47" t="str">
        <f t="shared" si="2"/>
        <v>2025</v>
      </c>
      <c r="K47" s="38" t="str">
        <f t="shared" si="3"/>
        <v>12</v>
      </c>
      <c r="L47" s="38" t="str">
        <f t="shared" si="4"/>
        <v>06</v>
      </c>
      <c r="M47" s="45" t="str">
        <f t="shared" si="5"/>
        <v>18:16:56</v>
      </c>
    </row>
    <row r="48" ht="22.5" hidden="1" customHeight="1">
      <c r="A48" s="38" t="s">
        <v>69</v>
      </c>
      <c r="B48" s="38" t="s">
        <v>399</v>
      </c>
      <c r="C48" s="38" t="s">
        <v>74</v>
      </c>
      <c r="D48" s="38" t="s">
        <v>400</v>
      </c>
      <c r="E48" s="38">
        <f t="shared" si="6"/>
        <v>55</v>
      </c>
      <c r="F48" s="38" t="s">
        <v>98</v>
      </c>
      <c r="G48" s="38" t="s">
        <v>402</v>
      </c>
      <c r="H48" s="48"/>
      <c r="I48" s="38" t="s">
        <v>403</v>
      </c>
      <c r="J48" s="44" t="str">
        <f t="shared" si="2"/>
        <v>2025</v>
      </c>
      <c r="K48" s="38" t="str">
        <f t="shared" si="3"/>
        <v>12</v>
      </c>
      <c r="L48" s="38" t="str">
        <f t="shared" si="4"/>
        <v>06</v>
      </c>
      <c r="M48" s="45" t="str">
        <f t="shared" si="5"/>
        <v>18:14:24</v>
      </c>
    </row>
    <row r="49" ht="22.5" hidden="1" customHeight="1">
      <c r="A49" s="46" t="s">
        <v>69</v>
      </c>
      <c r="B49" s="46" t="s">
        <v>405</v>
      </c>
      <c r="C49" s="46" t="s">
        <v>74</v>
      </c>
      <c r="D49" s="46" t="s">
        <v>406</v>
      </c>
      <c r="E49" s="38">
        <f t="shared" si="6"/>
        <v>24</v>
      </c>
      <c r="F49" s="46" t="s">
        <v>52</v>
      </c>
      <c r="G49" s="46">
        <v>35.0</v>
      </c>
      <c r="H49" s="50"/>
      <c r="I49" s="46" t="s">
        <v>408</v>
      </c>
      <c r="J49" s="47" t="str">
        <f t="shared" si="2"/>
        <v>2025</v>
      </c>
      <c r="K49" s="38" t="str">
        <f t="shared" si="3"/>
        <v>12</v>
      </c>
      <c r="L49" s="38" t="str">
        <f t="shared" si="4"/>
        <v>06</v>
      </c>
      <c r="M49" s="45" t="str">
        <f t="shared" si="5"/>
        <v>18:13:53</v>
      </c>
    </row>
    <row r="50" ht="22.5" hidden="1" customHeight="1">
      <c r="A50" s="38" t="s">
        <v>69</v>
      </c>
      <c r="B50" s="38" t="s">
        <v>411</v>
      </c>
      <c r="C50" s="38" t="s">
        <v>74</v>
      </c>
      <c r="D50" s="38" t="s">
        <v>355</v>
      </c>
      <c r="E50" s="38">
        <f t="shared" si="6"/>
        <v>10</v>
      </c>
      <c r="F50" s="38" t="s">
        <v>190</v>
      </c>
      <c r="G50" s="38">
        <v>15.0</v>
      </c>
      <c r="H50" s="38" t="s">
        <v>413</v>
      </c>
      <c r="I50" s="38" t="s">
        <v>414</v>
      </c>
      <c r="J50" s="44" t="str">
        <f t="shared" si="2"/>
        <v>2025</v>
      </c>
      <c r="K50" s="38" t="str">
        <f t="shared" si="3"/>
        <v>12</v>
      </c>
      <c r="L50" s="38" t="str">
        <f t="shared" si="4"/>
        <v>06</v>
      </c>
      <c r="M50" s="45" t="str">
        <f t="shared" si="5"/>
        <v>18:10:43</v>
      </c>
    </row>
    <row r="51" ht="22.5" hidden="1" customHeight="1">
      <c r="A51" s="46" t="s">
        <v>69</v>
      </c>
      <c r="B51" s="46" t="s">
        <v>416</v>
      </c>
      <c r="C51" s="46" t="s">
        <v>74</v>
      </c>
      <c r="D51" s="46" t="s">
        <v>361</v>
      </c>
      <c r="E51" s="38">
        <f t="shared" si="6"/>
        <v>45</v>
      </c>
      <c r="F51" s="46" t="s">
        <v>98</v>
      </c>
      <c r="G51" s="46">
        <v>7.0</v>
      </c>
      <c r="H51" s="46" t="s">
        <v>419</v>
      </c>
      <c r="I51" s="46" t="s">
        <v>420</v>
      </c>
      <c r="J51" s="47" t="str">
        <f t="shared" si="2"/>
        <v>2025</v>
      </c>
      <c r="K51" s="38" t="str">
        <f t="shared" si="3"/>
        <v>12</v>
      </c>
      <c r="L51" s="38" t="str">
        <f t="shared" si="4"/>
        <v>06</v>
      </c>
      <c r="M51" s="45" t="str">
        <f t="shared" si="5"/>
        <v>18:10:14</v>
      </c>
    </row>
    <row r="52" ht="22.5" hidden="1" customHeight="1">
      <c r="A52" s="38" t="s">
        <v>69</v>
      </c>
      <c r="B52" s="38" t="s">
        <v>411</v>
      </c>
      <c r="C52" s="38" t="s">
        <v>74</v>
      </c>
      <c r="D52" s="38" t="s">
        <v>93</v>
      </c>
      <c r="E52" s="38">
        <f t="shared" si="6"/>
        <v>8</v>
      </c>
      <c r="F52" s="38" t="s">
        <v>190</v>
      </c>
      <c r="G52" s="38">
        <v>12.0</v>
      </c>
      <c r="H52" s="38" t="s">
        <v>423</v>
      </c>
      <c r="I52" s="38" t="s">
        <v>424</v>
      </c>
      <c r="J52" s="44" t="str">
        <f t="shared" si="2"/>
        <v>2025</v>
      </c>
      <c r="K52" s="38" t="str">
        <f t="shared" si="3"/>
        <v>12</v>
      </c>
      <c r="L52" s="38" t="str">
        <f t="shared" si="4"/>
        <v>06</v>
      </c>
      <c r="M52" s="45" t="str">
        <f t="shared" si="5"/>
        <v>18:09:24</v>
      </c>
    </row>
    <row r="53" ht="22.5" hidden="1" customHeight="1">
      <c r="A53" s="46" t="s">
        <v>69</v>
      </c>
      <c r="B53" s="46" t="s">
        <v>427</v>
      </c>
      <c r="C53" s="46" t="s">
        <v>74</v>
      </c>
      <c r="D53" s="46" t="s">
        <v>428</v>
      </c>
      <c r="E53" s="38">
        <f t="shared" si="6"/>
        <v>51</v>
      </c>
      <c r="F53" s="46" t="s">
        <v>101</v>
      </c>
      <c r="G53" s="46">
        <v>17.0</v>
      </c>
      <c r="H53" s="46" t="s">
        <v>430</v>
      </c>
      <c r="I53" s="46" t="s">
        <v>431</v>
      </c>
      <c r="J53" s="47" t="str">
        <f t="shared" si="2"/>
        <v>2025</v>
      </c>
      <c r="K53" s="38" t="str">
        <f t="shared" si="3"/>
        <v>12</v>
      </c>
      <c r="L53" s="38" t="str">
        <f t="shared" si="4"/>
        <v>06</v>
      </c>
      <c r="M53" s="45" t="str">
        <f t="shared" si="5"/>
        <v>17:54:02</v>
      </c>
    </row>
    <row r="54" ht="22.5" hidden="1" customHeight="1">
      <c r="A54" s="38" t="s">
        <v>69</v>
      </c>
      <c r="B54" s="38" t="s">
        <v>433</v>
      </c>
      <c r="C54" s="38" t="s">
        <v>74</v>
      </c>
      <c r="D54" s="38" t="s">
        <v>93</v>
      </c>
      <c r="E54" s="38">
        <f t="shared" si="6"/>
        <v>8</v>
      </c>
      <c r="F54" s="38" t="s">
        <v>167</v>
      </c>
      <c r="G54" s="38">
        <v>3.0</v>
      </c>
      <c r="H54" s="38" t="s">
        <v>435</v>
      </c>
      <c r="I54" s="38" t="s">
        <v>436</v>
      </c>
      <c r="J54" s="44" t="str">
        <f t="shared" si="2"/>
        <v>2025</v>
      </c>
      <c r="K54" s="38" t="str">
        <f t="shared" si="3"/>
        <v>12</v>
      </c>
      <c r="L54" s="38" t="str">
        <f t="shared" si="4"/>
        <v>06</v>
      </c>
      <c r="M54" s="45" t="str">
        <f t="shared" si="5"/>
        <v>17:49:27</v>
      </c>
    </row>
    <row r="55" ht="22.5" hidden="1" customHeight="1">
      <c r="A55" s="46" t="s">
        <v>69</v>
      </c>
      <c r="B55" s="46" t="s">
        <v>439</v>
      </c>
      <c r="C55" s="46" t="s">
        <v>74</v>
      </c>
      <c r="D55" s="46" t="s">
        <v>295</v>
      </c>
      <c r="E55" s="38">
        <f t="shared" si="6"/>
        <v>14</v>
      </c>
      <c r="F55" s="46" t="s">
        <v>91</v>
      </c>
      <c r="G55" s="46">
        <v>13.0</v>
      </c>
      <c r="H55" s="46" t="s">
        <v>441</v>
      </c>
      <c r="I55" s="46" t="s">
        <v>442</v>
      </c>
      <c r="J55" s="47" t="str">
        <f t="shared" si="2"/>
        <v>2025</v>
      </c>
      <c r="K55" s="38" t="str">
        <f t="shared" si="3"/>
        <v>12</v>
      </c>
      <c r="L55" s="38" t="str">
        <f t="shared" si="4"/>
        <v>06</v>
      </c>
      <c r="M55" s="45" t="str">
        <f t="shared" si="5"/>
        <v>17:48:03</v>
      </c>
    </row>
    <row r="56" ht="22.5" hidden="1" customHeight="1">
      <c r="A56" s="38" t="s">
        <v>69</v>
      </c>
      <c r="B56" s="38" t="s">
        <v>444</v>
      </c>
      <c r="C56" s="38" t="s">
        <v>74</v>
      </c>
      <c r="D56" s="38" t="s">
        <v>226</v>
      </c>
      <c r="E56" s="38">
        <f t="shared" si="6"/>
        <v>22</v>
      </c>
      <c r="F56" s="38" t="s">
        <v>47</v>
      </c>
      <c r="G56" s="38">
        <v>17.0</v>
      </c>
      <c r="H56" s="38" t="s">
        <v>447</v>
      </c>
      <c r="I56" s="38" t="s">
        <v>449</v>
      </c>
      <c r="J56" s="44" t="str">
        <f t="shared" si="2"/>
        <v>2025</v>
      </c>
      <c r="K56" s="38" t="str">
        <f t="shared" si="3"/>
        <v>12</v>
      </c>
      <c r="L56" s="38" t="str">
        <f t="shared" si="4"/>
        <v>06</v>
      </c>
      <c r="M56" s="45" t="str">
        <f t="shared" si="5"/>
        <v>17:47:37</v>
      </c>
    </row>
    <row r="57" ht="22.5" hidden="1" customHeight="1">
      <c r="A57" s="46" t="s">
        <v>69</v>
      </c>
      <c r="B57" s="46" t="s">
        <v>451</v>
      </c>
      <c r="C57" s="46" t="s">
        <v>74</v>
      </c>
      <c r="D57" s="46" t="s">
        <v>93</v>
      </c>
      <c r="E57" s="38">
        <f t="shared" si="6"/>
        <v>8</v>
      </c>
      <c r="F57" s="46" t="s">
        <v>91</v>
      </c>
      <c r="G57" s="46" t="s">
        <v>453</v>
      </c>
      <c r="H57" s="46" t="s">
        <v>454</v>
      </c>
      <c r="I57" s="46" t="s">
        <v>455</v>
      </c>
      <c r="J57" s="47" t="str">
        <f t="shared" si="2"/>
        <v>2025</v>
      </c>
      <c r="K57" s="38" t="str">
        <f t="shared" si="3"/>
        <v>12</v>
      </c>
      <c r="L57" s="38" t="str">
        <f t="shared" si="4"/>
        <v>06</v>
      </c>
      <c r="M57" s="45" t="str">
        <f t="shared" si="5"/>
        <v>17:41:55</v>
      </c>
    </row>
    <row r="58" ht="22.5" hidden="1" customHeight="1">
      <c r="A58" s="38" t="s">
        <v>69</v>
      </c>
      <c r="B58" s="38" t="s">
        <v>457</v>
      </c>
      <c r="C58" s="38" t="s">
        <v>74</v>
      </c>
      <c r="D58" s="38" t="s">
        <v>93</v>
      </c>
      <c r="E58" s="38">
        <f t="shared" si="6"/>
        <v>8</v>
      </c>
      <c r="F58" s="38" t="s">
        <v>157</v>
      </c>
      <c r="G58" s="38">
        <v>10.0</v>
      </c>
      <c r="H58" s="38" t="s">
        <v>459</v>
      </c>
      <c r="I58" s="38" t="s">
        <v>461</v>
      </c>
      <c r="J58" s="44" t="str">
        <f t="shared" si="2"/>
        <v>2025</v>
      </c>
      <c r="K58" s="38" t="str">
        <f t="shared" si="3"/>
        <v>12</v>
      </c>
      <c r="L58" s="38" t="str">
        <f t="shared" si="4"/>
        <v>06</v>
      </c>
      <c r="M58" s="45" t="str">
        <f t="shared" si="5"/>
        <v>17:39:56</v>
      </c>
    </row>
    <row r="59" ht="22.5" hidden="1" customHeight="1">
      <c r="A59" s="46" t="s">
        <v>69</v>
      </c>
      <c r="B59" s="46" t="s">
        <v>464</v>
      </c>
      <c r="C59" s="46" t="s">
        <v>74</v>
      </c>
      <c r="D59" s="46" t="s">
        <v>93</v>
      </c>
      <c r="E59" s="38">
        <f t="shared" si="6"/>
        <v>8</v>
      </c>
      <c r="F59" s="46" t="s">
        <v>182</v>
      </c>
      <c r="G59" s="46">
        <v>33.0</v>
      </c>
      <c r="H59" s="46" t="s">
        <v>466</v>
      </c>
      <c r="I59" s="46" t="s">
        <v>467</v>
      </c>
      <c r="J59" s="47" t="str">
        <f t="shared" si="2"/>
        <v>2025</v>
      </c>
      <c r="K59" s="38" t="str">
        <f t="shared" si="3"/>
        <v>12</v>
      </c>
      <c r="L59" s="38" t="str">
        <f t="shared" si="4"/>
        <v>06</v>
      </c>
      <c r="M59" s="45" t="str">
        <f t="shared" si="5"/>
        <v>17:27:02</v>
      </c>
    </row>
    <row r="60" ht="22.5" hidden="1" customHeight="1">
      <c r="A60" s="38" t="s">
        <v>69</v>
      </c>
      <c r="B60" s="38" t="s">
        <v>469</v>
      </c>
      <c r="C60" s="38" t="s">
        <v>74</v>
      </c>
      <c r="D60" s="38" t="s">
        <v>93</v>
      </c>
      <c r="E60" s="38">
        <f t="shared" si="6"/>
        <v>8</v>
      </c>
      <c r="F60" s="38" t="s">
        <v>116</v>
      </c>
      <c r="G60" s="38">
        <v>6.0</v>
      </c>
      <c r="H60" s="38" t="s">
        <v>470</v>
      </c>
      <c r="I60" s="38" t="s">
        <v>471</v>
      </c>
      <c r="J60" s="44" t="str">
        <f t="shared" si="2"/>
        <v>2025</v>
      </c>
      <c r="K60" s="38" t="str">
        <f t="shared" si="3"/>
        <v>12</v>
      </c>
      <c r="L60" s="38" t="str">
        <f t="shared" si="4"/>
        <v>06</v>
      </c>
      <c r="M60" s="45" t="str">
        <f t="shared" si="5"/>
        <v>17:26:08</v>
      </c>
    </row>
    <row r="61" ht="22.5" hidden="1" customHeight="1">
      <c r="A61" s="46" t="s">
        <v>69</v>
      </c>
      <c r="B61" s="46" t="s">
        <v>472</v>
      </c>
      <c r="C61" s="46" t="s">
        <v>74</v>
      </c>
      <c r="D61" s="50"/>
      <c r="E61" s="46">
        <v>25.0</v>
      </c>
      <c r="F61" s="46" t="s">
        <v>124</v>
      </c>
      <c r="G61" s="46">
        <v>1.0</v>
      </c>
      <c r="H61" s="50"/>
      <c r="I61" s="46" t="s">
        <v>474</v>
      </c>
      <c r="J61" s="47" t="str">
        <f t="shared" si="2"/>
        <v>2025</v>
      </c>
      <c r="K61" s="38" t="str">
        <f t="shared" si="3"/>
        <v>12</v>
      </c>
      <c r="L61" s="38" t="str">
        <f t="shared" si="4"/>
        <v>06</v>
      </c>
      <c r="M61" s="45" t="str">
        <f t="shared" si="5"/>
        <v>17:22:43</v>
      </c>
    </row>
    <row r="62" ht="22.5" hidden="1" customHeight="1">
      <c r="A62" s="61" t="s">
        <v>69</v>
      </c>
      <c r="B62" s="61" t="s">
        <v>472</v>
      </c>
      <c r="C62" s="61" t="s">
        <v>74</v>
      </c>
      <c r="D62" s="61" t="s">
        <v>476</v>
      </c>
      <c r="E62" s="62">
        <v>8.0</v>
      </c>
      <c r="F62" s="61" t="s">
        <v>132</v>
      </c>
      <c r="G62" s="61">
        <v>4.0</v>
      </c>
      <c r="H62" s="61" t="s">
        <v>477</v>
      </c>
      <c r="I62" s="61" t="s">
        <v>478</v>
      </c>
      <c r="J62" s="63" t="str">
        <f t="shared" si="2"/>
        <v>2025</v>
      </c>
      <c r="K62" s="38" t="str">
        <f t="shared" si="3"/>
        <v>12</v>
      </c>
      <c r="L62" s="38" t="str">
        <f t="shared" si="4"/>
        <v>06</v>
      </c>
      <c r="M62" s="45" t="str">
        <f t="shared" si="5"/>
        <v>17:22:42</v>
      </c>
    </row>
    <row r="63" ht="22.5" hidden="1" customHeight="1">
      <c r="A63" s="46" t="s">
        <v>69</v>
      </c>
      <c r="B63" s="46" t="s">
        <v>481</v>
      </c>
      <c r="C63" s="46" t="s">
        <v>74</v>
      </c>
      <c r="D63" s="46" t="s">
        <v>93</v>
      </c>
      <c r="E63" s="38">
        <f t="shared" ref="E63:E147" si="7">VALUE(SUBSTITUTE(D63, ".", ","))</f>
        <v>8</v>
      </c>
      <c r="F63" s="46" t="s">
        <v>167</v>
      </c>
      <c r="G63" s="46">
        <v>13.0</v>
      </c>
      <c r="H63" s="46" t="s">
        <v>484</v>
      </c>
      <c r="I63" s="46" t="s">
        <v>485</v>
      </c>
      <c r="J63" s="47" t="str">
        <f t="shared" si="2"/>
        <v>2025</v>
      </c>
      <c r="K63" s="38" t="str">
        <f t="shared" si="3"/>
        <v>12</v>
      </c>
      <c r="L63" s="38" t="str">
        <f t="shared" si="4"/>
        <v>06</v>
      </c>
      <c r="M63" s="45" t="str">
        <f t="shared" si="5"/>
        <v>17:20:53</v>
      </c>
    </row>
    <row r="64" ht="22.5" hidden="1" customHeight="1">
      <c r="A64" s="38" t="s">
        <v>69</v>
      </c>
      <c r="B64" s="38" t="s">
        <v>487</v>
      </c>
      <c r="C64" s="38" t="s">
        <v>74</v>
      </c>
      <c r="D64" s="38" t="s">
        <v>489</v>
      </c>
      <c r="E64" s="38">
        <f t="shared" si="7"/>
        <v>12</v>
      </c>
      <c r="F64" s="38" t="s">
        <v>190</v>
      </c>
      <c r="G64" s="38">
        <v>8.0</v>
      </c>
      <c r="H64" s="38" t="s">
        <v>490</v>
      </c>
      <c r="I64" s="38" t="s">
        <v>491</v>
      </c>
      <c r="J64" s="44" t="str">
        <f t="shared" si="2"/>
        <v>2025</v>
      </c>
      <c r="K64" s="38" t="str">
        <f t="shared" si="3"/>
        <v>12</v>
      </c>
      <c r="L64" s="38" t="str">
        <f t="shared" si="4"/>
        <v>06</v>
      </c>
      <c r="M64" s="45" t="str">
        <f t="shared" si="5"/>
        <v>17:18:41</v>
      </c>
    </row>
    <row r="65" ht="22.5" hidden="1" customHeight="1">
      <c r="A65" s="46" t="s">
        <v>69</v>
      </c>
      <c r="B65" s="46" t="s">
        <v>493</v>
      </c>
      <c r="C65" s="46" t="s">
        <v>74</v>
      </c>
      <c r="D65" s="46" t="s">
        <v>495</v>
      </c>
      <c r="E65" s="38">
        <f t="shared" si="7"/>
        <v>62</v>
      </c>
      <c r="F65" s="46" t="s">
        <v>157</v>
      </c>
      <c r="G65" s="46">
        <v>1.0</v>
      </c>
      <c r="H65" s="46" t="s">
        <v>496</v>
      </c>
      <c r="I65" s="46" t="s">
        <v>497</v>
      </c>
      <c r="J65" s="47" t="str">
        <f t="shared" si="2"/>
        <v>2025</v>
      </c>
      <c r="K65" s="38" t="str">
        <f t="shared" si="3"/>
        <v>12</v>
      </c>
      <c r="L65" s="38" t="str">
        <f t="shared" si="4"/>
        <v>06</v>
      </c>
      <c r="M65" s="45" t="str">
        <f t="shared" si="5"/>
        <v>17:13:46</v>
      </c>
    </row>
    <row r="66" ht="22.5" hidden="1" customHeight="1">
      <c r="A66" s="38" t="s">
        <v>69</v>
      </c>
      <c r="B66" s="38" t="s">
        <v>499</v>
      </c>
      <c r="C66" s="38" t="s">
        <v>74</v>
      </c>
      <c r="D66" s="38" t="s">
        <v>501</v>
      </c>
      <c r="E66" s="38">
        <f t="shared" si="7"/>
        <v>67</v>
      </c>
      <c r="F66" s="38" t="s">
        <v>115</v>
      </c>
      <c r="G66" s="38">
        <v>12.0</v>
      </c>
      <c r="H66" s="38" t="s">
        <v>502</v>
      </c>
      <c r="I66" s="38" t="s">
        <v>504</v>
      </c>
      <c r="J66" s="44" t="str">
        <f t="shared" si="2"/>
        <v>2025</v>
      </c>
      <c r="K66" s="38" t="str">
        <f t="shared" si="3"/>
        <v>12</v>
      </c>
      <c r="L66" s="38" t="str">
        <f t="shared" si="4"/>
        <v>06</v>
      </c>
      <c r="M66" s="45" t="str">
        <f t="shared" si="5"/>
        <v>17:08:26</v>
      </c>
    </row>
    <row r="67" ht="22.5" hidden="1" customHeight="1">
      <c r="A67" s="46" t="s">
        <v>69</v>
      </c>
      <c r="B67" s="46" t="s">
        <v>505</v>
      </c>
      <c r="C67" s="46" t="s">
        <v>74</v>
      </c>
      <c r="D67" s="46" t="s">
        <v>93</v>
      </c>
      <c r="E67" s="38">
        <f t="shared" si="7"/>
        <v>8</v>
      </c>
      <c r="F67" s="46" t="s">
        <v>211</v>
      </c>
      <c r="G67" s="46">
        <v>1.0</v>
      </c>
      <c r="H67" s="46" t="s">
        <v>508</v>
      </c>
      <c r="I67" s="46" t="s">
        <v>509</v>
      </c>
      <c r="J67" s="47" t="str">
        <f t="shared" si="2"/>
        <v>2025</v>
      </c>
      <c r="K67" s="38" t="str">
        <f t="shared" si="3"/>
        <v>12</v>
      </c>
      <c r="L67" s="38" t="str">
        <f t="shared" si="4"/>
        <v>06</v>
      </c>
      <c r="M67" s="45" t="str">
        <f t="shared" si="5"/>
        <v>16:39:07</v>
      </c>
    </row>
    <row r="68" ht="22.5" hidden="1" customHeight="1">
      <c r="A68" s="38" t="s">
        <v>69</v>
      </c>
      <c r="B68" s="38" t="s">
        <v>511</v>
      </c>
      <c r="C68" s="38" t="s">
        <v>74</v>
      </c>
      <c r="D68" s="38" t="s">
        <v>212</v>
      </c>
      <c r="E68" s="38">
        <f t="shared" si="7"/>
        <v>17</v>
      </c>
      <c r="F68" s="38" t="s">
        <v>47</v>
      </c>
      <c r="G68" s="38" t="s">
        <v>512</v>
      </c>
      <c r="H68" s="38" t="s">
        <v>513</v>
      </c>
      <c r="I68" s="38" t="s">
        <v>514</v>
      </c>
      <c r="J68" s="44" t="str">
        <f t="shared" si="2"/>
        <v>2025</v>
      </c>
      <c r="K68" s="38" t="str">
        <f t="shared" si="3"/>
        <v>12</v>
      </c>
      <c r="L68" s="38" t="str">
        <f t="shared" si="4"/>
        <v>06</v>
      </c>
      <c r="M68" s="45" t="str">
        <f t="shared" si="5"/>
        <v>16:36:59</v>
      </c>
    </row>
    <row r="69" ht="22.5" hidden="1" customHeight="1">
      <c r="A69" s="46" t="s">
        <v>69</v>
      </c>
      <c r="B69" s="46" t="s">
        <v>92</v>
      </c>
      <c r="C69" s="46" t="s">
        <v>74</v>
      </c>
      <c r="D69" s="46" t="s">
        <v>355</v>
      </c>
      <c r="E69" s="38">
        <f t="shared" si="7"/>
        <v>10</v>
      </c>
      <c r="F69" s="46" t="s">
        <v>136</v>
      </c>
      <c r="G69" s="46" t="s">
        <v>517</v>
      </c>
      <c r="H69" s="46" t="s">
        <v>519</v>
      </c>
      <c r="I69" s="46" t="s">
        <v>520</v>
      </c>
      <c r="J69" s="47" t="str">
        <f t="shared" si="2"/>
        <v>2025</v>
      </c>
      <c r="K69" s="38" t="str">
        <f t="shared" si="3"/>
        <v>12</v>
      </c>
      <c r="L69" s="38" t="str">
        <f t="shared" si="4"/>
        <v>06</v>
      </c>
      <c r="M69" s="45" t="str">
        <f t="shared" si="5"/>
        <v>16:31:08</v>
      </c>
    </row>
    <row r="70" ht="22.5" hidden="1" customHeight="1">
      <c r="A70" s="46" t="s">
        <v>69</v>
      </c>
      <c r="B70" s="46" t="s">
        <v>522</v>
      </c>
      <c r="C70" s="46" t="s">
        <v>74</v>
      </c>
      <c r="D70" s="46" t="s">
        <v>308</v>
      </c>
      <c r="E70" s="38">
        <f t="shared" si="7"/>
        <v>60</v>
      </c>
      <c r="F70" s="46" t="s">
        <v>167</v>
      </c>
      <c r="G70" s="46">
        <v>14.0</v>
      </c>
      <c r="H70" s="46" t="s">
        <v>525</v>
      </c>
      <c r="I70" s="46" t="s">
        <v>526</v>
      </c>
      <c r="J70" s="47" t="str">
        <f t="shared" si="2"/>
        <v>2025</v>
      </c>
      <c r="K70" s="38" t="str">
        <f t="shared" si="3"/>
        <v>12</v>
      </c>
      <c r="L70" s="38" t="str">
        <f t="shared" si="4"/>
        <v>06</v>
      </c>
      <c r="M70" s="45" t="str">
        <f t="shared" si="5"/>
        <v>16:26:03</v>
      </c>
    </row>
    <row r="71" ht="22.5" hidden="1" customHeight="1">
      <c r="A71" s="38" t="s">
        <v>69</v>
      </c>
      <c r="B71" s="38" t="s">
        <v>530</v>
      </c>
      <c r="C71" s="38" t="s">
        <v>74</v>
      </c>
      <c r="D71" s="38" t="s">
        <v>531</v>
      </c>
      <c r="E71" s="38">
        <f t="shared" si="7"/>
        <v>11</v>
      </c>
      <c r="F71" s="38" t="s">
        <v>211</v>
      </c>
      <c r="G71" s="38">
        <v>7.0</v>
      </c>
      <c r="H71" s="48"/>
      <c r="I71" s="38" t="s">
        <v>533</v>
      </c>
      <c r="J71" s="44" t="str">
        <f t="shared" si="2"/>
        <v>2025</v>
      </c>
      <c r="K71" s="38" t="str">
        <f t="shared" si="3"/>
        <v>12</v>
      </c>
      <c r="L71" s="38" t="str">
        <f t="shared" si="4"/>
        <v>06</v>
      </c>
      <c r="M71" s="45" t="str">
        <f t="shared" si="5"/>
        <v>16:17:59</v>
      </c>
    </row>
    <row r="72" ht="22.5" hidden="1" customHeight="1">
      <c r="A72" s="46" t="s">
        <v>69</v>
      </c>
      <c r="B72" s="46" t="s">
        <v>535</v>
      </c>
      <c r="C72" s="46" t="s">
        <v>74</v>
      </c>
      <c r="D72" s="46" t="s">
        <v>531</v>
      </c>
      <c r="E72" s="38">
        <f t="shared" si="7"/>
        <v>11</v>
      </c>
      <c r="F72" s="46" t="s">
        <v>174</v>
      </c>
      <c r="G72" s="46">
        <v>13.0</v>
      </c>
      <c r="H72" s="46" t="s">
        <v>537</v>
      </c>
      <c r="I72" s="46" t="s">
        <v>539</v>
      </c>
      <c r="J72" s="47" t="str">
        <f t="shared" si="2"/>
        <v>2025</v>
      </c>
      <c r="K72" s="38" t="str">
        <f t="shared" si="3"/>
        <v>12</v>
      </c>
      <c r="L72" s="38" t="str">
        <f t="shared" si="4"/>
        <v>06</v>
      </c>
      <c r="M72" s="45" t="str">
        <f t="shared" si="5"/>
        <v>16:14:49</v>
      </c>
    </row>
    <row r="73" ht="22.5" hidden="1" customHeight="1">
      <c r="A73" s="38" t="s">
        <v>69</v>
      </c>
      <c r="B73" s="38" t="s">
        <v>542</v>
      </c>
      <c r="C73" s="38" t="s">
        <v>74</v>
      </c>
      <c r="D73" s="38" t="s">
        <v>295</v>
      </c>
      <c r="E73" s="38">
        <f t="shared" si="7"/>
        <v>14</v>
      </c>
      <c r="F73" s="38" t="s">
        <v>106</v>
      </c>
      <c r="G73" s="38">
        <v>2.0</v>
      </c>
      <c r="H73" s="38" t="s">
        <v>544</v>
      </c>
      <c r="I73" s="38" t="s">
        <v>545</v>
      </c>
      <c r="J73" s="44" t="str">
        <f t="shared" si="2"/>
        <v>2025</v>
      </c>
      <c r="K73" s="38" t="str">
        <f t="shared" si="3"/>
        <v>12</v>
      </c>
      <c r="L73" s="38" t="str">
        <f t="shared" si="4"/>
        <v>06</v>
      </c>
      <c r="M73" s="45" t="str">
        <f t="shared" si="5"/>
        <v>16:09:51</v>
      </c>
    </row>
    <row r="74" ht="22.5" hidden="1" customHeight="1">
      <c r="A74" s="46" t="s">
        <v>69</v>
      </c>
      <c r="B74" s="46" t="s">
        <v>547</v>
      </c>
      <c r="C74" s="46" t="s">
        <v>74</v>
      </c>
      <c r="D74" s="46" t="s">
        <v>93</v>
      </c>
      <c r="E74" s="38">
        <f t="shared" si="7"/>
        <v>8</v>
      </c>
      <c r="F74" s="46" t="s">
        <v>115</v>
      </c>
      <c r="G74" s="46">
        <v>3.0</v>
      </c>
      <c r="H74" s="46" t="s">
        <v>549</v>
      </c>
      <c r="I74" s="46" t="s">
        <v>552</v>
      </c>
      <c r="J74" s="47" t="str">
        <f t="shared" si="2"/>
        <v>2025</v>
      </c>
      <c r="K74" s="38" t="str">
        <f t="shared" si="3"/>
        <v>12</v>
      </c>
      <c r="L74" s="38" t="str">
        <f t="shared" si="4"/>
        <v>06</v>
      </c>
      <c r="M74" s="45" t="str">
        <f t="shared" si="5"/>
        <v>16:07:59</v>
      </c>
    </row>
    <row r="75" ht="22.5" hidden="1" customHeight="1">
      <c r="A75" s="38" t="s">
        <v>69</v>
      </c>
      <c r="B75" s="38" t="s">
        <v>555</v>
      </c>
      <c r="C75" s="38" t="s">
        <v>74</v>
      </c>
      <c r="D75" s="38" t="s">
        <v>556</v>
      </c>
      <c r="E75" s="38">
        <f t="shared" si="7"/>
        <v>40</v>
      </c>
      <c r="F75" s="58" t="s">
        <v>193</v>
      </c>
      <c r="G75" s="38">
        <v>4.0</v>
      </c>
      <c r="H75" s="38" t="s">
        <v>558</v>
      </c>
      <c r="I75" s="38" t="s">
        <v>559</v>
      </c>
      <c r="J75" s="44" t="str">
        <f t="shared" si="2"/>
        <v>2025</v>
      </c>
      <c r="K75" s="38" t="str">
        <f t="shared" si="3"/>
        <v>12</v>
      </c>
      <c r="L75" s="38" t="str">
        <f t="shared" si="4"/>
        <v>06</v>
      </c>
      <c r="M75" s="45" t="str">
        <f t="shared" si="5"/>
        <v>16:07:43</v>
      </c>
    </row>
    <row r="76" ht="22.5" hidden="1" customHeight="1">
      <c r="A76" s="46" t="s">
        <v>69</v>
      </c>
      <c r="B76" s="46" t="s">
        <v>562</v>
      </c>
      <c r="C76" s="46" t="s">
        <v>74</v>
      </c>
      <c r="D76" s="46" t="s">
        <v>93</v>
      </c>
      <c r="E76" s="38">
        <f t="shared" si="7"/>
        <v>8</v>
      </c>
      <c r="F76" s="46" t="s">
        <v>106</v>
      </c>
      <c r="G76" s="46">
        <v>14.0</v>
      </c>
      <c r="H76" s="46" t="s">
        <v>564</v>
      </c>
      <c r="I76" s="46" t="s">
        <v>565</v>
      </c>
      <c r="J76" s="47" t="str">
        <f t="shared" si="2"/>
        <v>2025</v>
      </c>
      <c r="K76" s="38" t="str">
        <f t="shared" si="3"/>
        <v>12</v>
      </c>
      <c r="L76" s="38" t="str">
        <f t="shared" si="4"/>
        <v>06</v>
      </c>
      <c r="M76" s="45" t="str">
        <f t="shared" si="5"/>
        <v>16:07:25</v>
      </c>
    </row>
    <row r="77" ht="22.5" hidden="1" customHeight="1">
      <c r="A77" s="38" t="s">
        <v>69</v>
      </c>
      <c r="B77" s="38" t="s">
        <v>547</v>
      </c>
      <c r="C77" s="38" t="s">
        <v>74</v>
      </c>
      <c r="D77" s="38" t="s">
        <v>569</v>
      </c>
      <c r="E77" s="38">
        <f t="shared" si="7"/>
        <v>31</v>
      </c>
      <c r="F77" s="38" t="s">
        <v>115</v>
      </c>
      <c r="G77" s="38">
        <v>4.0</v>
      </c>
      <c r="H77" s="38" t="s">
        <v>571</v>
      </c>
      <c r="I77" s="38" t="s">
        <v>572</v>
      </c>
      <c r="J77" s="44" t="str">
        <f t="shared" si="2"/>
        <v>2025</v>
      </c>
      <c r="K77" s="38" t="str">
        <f t="shared" si="3"/>
        <v>12</v>
      </c>
      <c r="L77" s="38" t="str">
        <f t="shared" si="4"/>
        <v>06</v>
      </c>
      <c r="M77" s="45" t="str">
        <f t="shared" si="5"/>
        <v>16:07:21</v>
      </c>
    </row>
    <row r="78" ht="22.5" hidden="1" customHeight="1">
      <c r="A78" s="46" t="s">
        <v>69</v>
      </c>
      <c r="B78" s="46" t="s">
        <v>555</v>
      </c>
      <c r="C78" s="46" t="s">
        <v>74</v>
      </c>
      <c r="D78" s="46" t="s">
        <v>574</v>
      </c>
      <c r="E78" s="38">
        <f t="shared" si="7"/>
        <v>135</v>
      </c>
      <c r="F78" s="46" t="s">
        <v>193</v>
      </c>
      <c r="G78" s="46">
        <v>3.0</v>
      </c>
      <c r="H78" s="46" t="s">
        <v>576</v>
      </c>
      <c r="I78" s="46" t="s">
        <v>577</v>
      </c>
      <c r="J78" s="47" t="str">
        <f t="shared" si="2"/>
        <v>2025</v>
      </c>
      <c r="K78" s="38" t="str">
        <f t="shared" si="3"/>
        <v>12</v>
      </c>
      <c r="L78" s="38" t="str">
        <f t="shared" si="4"/>
        <v>06</v>
      </c>
      <c r="M78" s="45" t="str">
        <f t="shared" si="5"/>
        <v>16:05:18</v>
      </c>
    </row>
    <row r="79" ht="22.5" hidden="1" customHeight="1">
      <c r="A79" s="38" t="s">
        <v>69</v>
      </c>
      <c r="B79" s="38" t="s">
        <v>555</v>
      </c>
      <c r="C79" s="38" t="s">
        <v>74</v>
      </c>
      <c r="D79" s="38" t="s">
        <v>196</v>
      </c>
      <c r="E79" s="38">
        <f t="shared" si="7"/>
        <v>38</v>
      </c>
      <c r="F79" s="38" t="s">
        <v>20</v>
      </c>
      <c r="G79" s="38">
        <v>11.0</v>
      </c>
      <c r="H79" s="38" t="s">
        <v>580</v>
      </c>
      <c r="I79" s="38" t="s">
        <v>581</v>
      </c>
      <c r="J79" s="44" t="str">
        <f t="shared" si="2"/>
        <v>2025</v>
      </c>
      <c r="K79" s="38" t="str">
        <f t="shared" si="3"/>
        <v>12</v>
      </c>
      <c r="L79" s="38" t="str">
        <f t="shared" si="4"/>
        <v>06</v>
      </c>
      <c r="M79" s="45" t="str">
        <f t="shared" si="5"/>
        <v>16:02:38</v>
      </c>
    </row>
    <row r="80" ht="22.5" hidden="1" customHeight="1">
      <c r="A80" s="46" t="s">
        <v>69</v>
      </c>
      <c r="B80" s="46" t="s">
        <v>583</v>
      </c>
      <c r="C80" s="46" t="s">
        <v>74</v>
      </c>
      <c r="D80" s="46" t="s">
        <v>584</v>
      </c>
      <c r="E80" s="38">
        <f t="shared" si="7"/>
        <v>25</v>
      </c>
      <c r="F80" s="46" t="s">
        <v>20</v>
      </c>
      <c r="G80" s="46">
        <v>10.0</v>
      </c>
      <c r="H80" s="46" t="s">
        <v>586</v>
      </c>
      <c r="I80" s="46" t="s">
        <v>587</v>
      </c>
      <c r="J80" s="47" t="str">
        <f t="shared" si="2"/>
        <v>2025</v>
      </c>
      <c r="K80" s="38" t="str">
        <f t="shared" si="3"/>
        <v>12</v>
      </c>
      <c r="L80" s="38" t="str">
        <f t="shared" si="4"/>
        <v>06</v>
      </c>
      <c r="M80" s="45" t="str">
        <f t="shared" si="5"/>
        <v>15:53:06</v>
      </c>
    </row>
    <row r="81" ht="22.5" hidden="1" customHeight="1">
      <c r="A81" s="38" t="s">
        <v>69</v>
      </c>
      <c r="B81" s="38" t="s">
        <v>589</v>
      </c>
      <c r="C81" s="38" t="s">
        <v>74</v>
      </c>
      <c r="D81" s="38" t="s">
        <v>590</v>
      </c>
      <c r="E81" s="38">
        <f t="shared" si="7"/>
        <v>35</v>
      </c>
      <c r="F81" s="38" t="s">
        <v>67</v>
      </c>
      <c r="G81" s="38">
        <v>12.0</v>
      </c>
      <c r="H81" s="38" t="s">
        <v>592</v>
      </c>
      <c r="I81" s="38" t="s">
        <v>593</v>
      </c>
      <c r="J81" s="44" t="str">
        <f t="shared" si="2"/>
        <v>2025</v>
      </c>
      <c r="K81" s="38" t="str">
        <f t="shared" si="3"/>
        <v>12</v>
      </c>
      <c r="L81" s="38" t="str">
        <f t="shared" si="4"/>
        <v>06</v>
      </c>
      <c r="M81" s="45" t="str">
        <f t="shared" si="5"/>
        <v>15:51:55</v>
      </c>
    </row>
    <row r="82" ht="22.5" hidden="1" customHeight="1">
      <c r="A82" s="46" t="s">
        <v>69</v>
      </c>
      <c r="B82" s="46" t="s">
        <v>595</v>
      </c>
      <c r="C82" s="46" t="s">
        <v>74</v>
      </c>
      <c r="D82" s="46" t="s">
        <v>531</v>
      </c>
      <c r="E82" s="38">
        <f t="shared" si="7"/>
        <v>11</v>
      </c>
      <c r="F82" s="66" t="s">
        <v>120</v>
      </c>
      <c r="G82" s="46">
        <v>1.0</v>
      </c>
      <c r="H82" s="46" t="s">
        <v>597</v>
      </c>
      <c r="I82" s="46" t="s">
        <v>598</v>
      </c>
      <c r="J82" s="47" t="str">
        <f t="shared" si="2"/>
        <v>2025</v>
      </c>
      <c r="K82" s="38" t="str">
        <f t="shared" si="3"/>
        <v>12</v>
      </c>
      <c r="L82" s="38" t="str">
        <f t="shared" si="4"/>
        <v>06</v>
      </c>
      <c r="M82" s="45" t="str">
        <f t="shared" si="5"/>
        <v>15:48:54</v>
      </c>
    </row>
    <row r="83" ht="22.5" hidden="1" customHeight="1">
      <c r="A83" s="38" t="s">
        <v>69</v>
      </c>
      <c r="B83" s="38" t="s">
        <v>601</v>
      </c>
      <c r="C83" s="38" t="s">
        <v>74</v>
      </c>
      <c r="D83" s="38" t="s">
        <v>602</v>
      </c>
      <c r="E83" s="38">
        <f t="shared" si="7"/>
        <v>120</v>
      </c>
      <c r="F83" s="38" t="s">
        <v>211</v>
      </c>
      <c r="G83" s="38">
        <v>8.0</v>
      </c>
      <c r="H83" s="38" t="s">
        <v>604</v>
      </c>
      <c r="I83" s="38" t="s">
        <v>605</v>
      </c>
      <c r="J83" s="44" t="str">
        <f t="shared" si="2"/>
        <v>2025</v>
      </c>
      <c r="K83" s="38" t="str">
        <f t="shared" si="3"/>
        <v>12</v>
      </c>
      <c r="L83" s="38" t="str">
        <f t="shared" si="4"/>
        <v>06</v>
      </c>
      <c r="M83" s="45" t="str">
        <f t="shared" si="5"/>
        <v>15:48:00</v>
      </c>
    </row>
    <row r="84" ht="22.5" hidden="1" customHeight="1">
      <c r="A84" s="46" t="s">
        <v>69</v>
      </c>
      <c r="B84" s="46" t="s">
        <v>607</v>
      </c>
      <c r="C84" s="46" t="s">
        <v>343</v>
      </c>
      <c r="D84" s="46" t="s">
        <v>173</v>
      </c>
      <c r="E84" s="38">
        <f t="shared" si="7"/>
        <v>49</v>
      </c>
      <c r="F84" s="46" t="s">
        <v>182</v>
      </c>
      <c r="G84" s="46">
        <v>9.0</v>
      </c>
      <c r="H84" s="50"/>
      <c r="I84" s="46" t="s">
        <v>609</v>
      </c>
      <c r="J84" s="47" t="str">
        <f t="shared" si="2"/>
        <v>2025</v>
      </c>
      <c r="K84" s="38" t="str">
        <f t="shared" si="3"/>
        <v>12</v>
      </c>
      <c r="L84" s="38" t="str">
        <f t="shared" si="4"/>
        <v>06</v>
      </c>
      <c r="M84" s="45" t="str">
        <f t="shared" si="5"/>
        <v>15:46:35</v>
      </c>
    </row>
    <row r="85" ht="22.5" hidden="1" customHeight="1">
      <c r="A85" s="38" t="s">
        <v>69</v>
      </c>
      <c r="B85" s="38" t="s">
        <v>611</v>
      </c>
      <c r="C85" s="38" t="s">
        <v>74</v>
      </c>
      <c r="D85" s="38" t="s">
        <v>93</v>
      </c>
      <c r="E85" s="38">
        <f t="shared" si="7"/>
        <v>8</v>
      </c>
      <c r="F85" s="38" t="s">
        <v>167</v>
      </c>
      <c r="G85" s="38">
        <v>11.0</v>
      </c>
      <c r="H85" s="38" t="s">
        <v>613</v>
      </c>
      <c r="I85" s="38" t="s">
        <v>616</v>
      </c>
      <c r="J85" s="44" t="str">
        <f t="shared" si="2"/>
        <v>2025</v>
      </c>
      <c r="K85" s="38" t="str">
        <f t="shared" si="3"/>
        <v>12</v>
      </c>
      <c r="L85" s="38" t="str">
        <f t="shared" si="4"/>
        <v>06</v>
      </c>
      <c r="M85" s="45" t="str">
        <f t="shared" si="5"/>
        <v>15:45:05</v>
      </c>
    </row>
    <row r="86" ht="22.5" hidden="1" customHeight="1">
      <c r="A86" s="46" t="s">
        <v>69</v>
      </c>
      <c r="B86" s="46" t="s">
        <v>439</v>
      </c>
      <c r="C86" s="46" t="s">
        <v>74</v>
      </c>
      <c r="D86" s="46" t="s">
        <v>619</v>
      </c>
      <c r="E86" s="38">
        <f t="shared" si="7"/>
        <v>83</v>
      </c>
      <c r="F86" s="46" t="s">
        <v>91</v>
      </c>
      <c r="G86" s="46">
        <v>7.0</v>
      </c>
      <c r="H86" s="46" t="s">
        <v>621</v>
      </c>
      <c r="I86" s="46" t="s">
        <v>622</v>
      </c>
      <c r="J86" s="47" t="str">
        <f t="shared" si="2"/>
        <v>2025</v>
      </c>
      <c r="K86" s="38" t="str">
        <f t="shared" si="3"/>
        <v>12</v>
      </c>
      <c r="L86" s="38" t="str">
        <f t="shared" si="4"/>
        <v>06</v>
      </c>
      <c r="M86" s="45" t="str">
        <f t="shared" si="5"/>
        <v>15:41:38</v>
      </c>
    </row>
    <row r="87" ht="22.5" hidden="1" customHeight="1">
      <c r="A87" s="38" t="s">
        <v>69</v>
      </c>
      <c r="B87" s="38" t="s">
        <v>624</v>
      </c>
      <c r="C87" s="38" t="s">
        <v>74</v>
      </c>
      <c r="D87" s="38" t="s">
        <v>76</v>
      </c>
      <c r="E87" s="38">
        <f t="shared" si="7"/>
        <v>46</v>
      </c>
      <c r="F87" s="38" t="s">
        <v>137</v>
      </c>
      <c r="G87" s="38">
        <v>10.0</v>
      </c>
      <c r="H87" s="38" t="s">
        <v>626</v>
      </c>
      <c r="I87" s="38" t="s">
        <v>627</v>
      </c>
      <c r="J87" s="44" t="str">
        <f t="shared" si="2"/>
        <v>2025</v>
      </c>
      <c r="K87" s="38" t="str">
        <f t="shared" si="3"/>
        <v>12</v>
      </c>
      <c r="L87" s="38" t="str">
        <f t="shared" si="4"/>
        <v>06</v>
      </c>
      <c r="M87" s="45" t="str">
        <f t="shared" si="5"/>
        <v>15:41:07</v>
      </c>
    </row>
    <row r="88" ht="22.5" hidden="1" customHeight="1">
      <c r="A88" s="46" t="s">
        <v>69</v>
      </c>
      <c r="B88" s="46" t="s">
        <v>629</v>
      </c>
      <c r="C88" s="46" t="s">
        <v>343</v>
      </c>
      <c r="D88" s="46" t="s">
        <v>196</v>
      </c>
      <c r="E88" s="38">
        <f t="shared" si="7"/>
        <v>38</v>
      </c>
      <c r="F88" s="46" t="s">
        <v>132</v>
      </c>
      <c r="G88" s="46">
        <v>23.0</v>
      </c>
      <c r="H88" s="46" t="s">
        <v>631</v>
      </c>
      <c r="I88" s="46" t="s">
        <v>633</v>
      </c>
      <c r="J88" s="47" t="str">
        <f t="shared" si="2"/>
        <v>2025</v>
      </c>
      <c r="K88" s="38" t="str">
        <f t="shared" si="3"/>
        <v>12</v>
      </c>
      <c r="L88" s="38" t="str">
        <f t="shared" si="4"/>
        <v>06</v>
      </c>
      <c r="M88" s="45" t="str">
        <f t="shared" si="5"/>
        <v>15:40:50</v>
      </c>
    </row>
    <row r="89" ht="22.5" hidden="1" customHeight="1">
      <c r="A89" s="38" t="s">
        <v>69</v>
      </c>
      <c r="B89" s="38" t="s">
        <v>634</v>
      </c>
      <c r="C89" s="38" t="s">
        <v>74</v>
      </c>
      <c r="D89" s="38" t="s">
        <v>144</v>
      </c>
      <c r="E89" s="38">
        <f t="shared" si="7"/>
        <v>42</v>
      </c>
      <c r="F89" s="38" t="s">
        <v>120</v>
      </c>
      <c r="G89" s="38">
        <v>4.0</v>
      </c>
      <c r="H89" s="38" t="s">
        <v>636</v>
      </c>
      <c r="I89" s="38" t="s">
        <v>638</v>
      </c>
      <c r="J89" s="44" t="str">
        <f t="shared" si="2"/>
        <v>2025</v>
      </c>
      <c r="K89" s="38" t="str">
        <f t="shared" si="3"/>
        <v>12</v>
      </c>
      <c r="L89" s="38" t="str">
        <f t="shared" si="4"/>
        <v>06</v>
      </c>
      <c r="M89" s="45" t="str">
        <f t="shared" si="5"/>
        <v>15:38:03</v>
      </c>
    </row>
    <row r="90" ht="22.5" hidden="1" customHeight="1">
      <c r="A90" s="46" t="s">
        <v>69</v>
      </c>
      <c r="B90" s="46" t="s">
        <v>640</v>
      </c>
      <c r="C90" s="46" t="s">
        <v>74</v>
      </c>
      <c r="D90" s="46" t="s">
        <v>641</v>
      </c>
      <c r="E90" s="38">
        <f t="shared" si="7"/>
        <v>28</v>
      </c>
      <c r="F90" s="46" t="s">
        <v>106</v>
      </c>
      <c r="G90" s="46">
        <v>7.0</v>
      </c>
      <c r="H90" s="46" t="s">
        <v>642</v>
      </c>
      <c r="I90" s="46" t="s">
        <v>643</v>
      </c>
      <c r="J90" s="47" t="str">
        <f t="shared" si="2"/>
        <v>2025</v>
      </c>
      <c r="K90" s="38" t="str">
        <f t="shared" si="3"/>
        <v>12</v>
      </c>
      <c r="L90" s="38" t="str">
        <f t="shared" si="4"/>
        <v>06</v>
      </c>
      <c r="M90" s="45" t="str">
        <f t="shared" si="5"/>
        <v>15:32:41</v>
      </c>
    </row>
    <row r="91" ht="22.5" hidden="1" customHeight="1">
      <c r="A91" s="38" t="s">
        <v>69</v>
      </c>
      <c r="B91" s="38" t="s">
        <v>645</v>
      </c>
      <c r="C91" s="38" t="s">
        <v>74</v>
      </c>
      <c r="D91" s="38" t="s">
        <v>93</v>
      </c>
      <c r="E91" s="38">
        <f t="shared" si="7"/>
        <v>8</v>
      </c>
      <c r="F91" s="38" t="s">
        <v>136</v>
      </c>
      <c r="G91" s="38">
        <v>13.0</v>
      </c>
      <c r="H91" s="38" t="s">
        <v>648</v>
      </c>
      <c r="I91" s="38" t="s">
        <v>649</v>
      </c>
      <c r="J91" s="44" t="str">
        <f t="shared" si="2"/>
        <v>2025</v>
      </c>
      <c r="K91" s="38" t="str">
        <f t="shared" si="3"/>
        <v>12</v>
      </c>
      <c r="L91" s="38" t="str">
        <f t="shared" si="4"/>
        <v>06</v>
      </c>
      <c r="M91" s="45" t="str">
        <f t="shared" si="5"/>
        <v>15:30:07</v>
      </c>
    </row>
    <row r="92" ht="22.5" hidden="1" customHeight="1">
      <c r="A92" s="46" t="s">
        <v>69</v>
      </c>
      <c r="B92" s="46" t="s">
        <v>651</v>
      </c>
      <c r="C92" s="46" t="s">
        <v>74</v>
      </c>
      <c r="D92" s="46" t="s">
        <v>122</v>
      </c>
      <c r="E92" s="38">
        <f t="shared" si="7"/>
        <v>47</v>
      </c>
      <c r="F92" s="46" t="s">
        <v>167</v>
      </c>
      <c r="G92" s="46">
        <v>4.0</v>
      </c>
      <c r="H92" s="46" t="s">
        <v>653</v>
      </c>
      <c r="I92" s="46" t="s">
        <v>655</v>
      </c>
      <c r="J92" s="47" t="str">
        <f t="shared" si="2"/>
        <v>2025</v>
      </c>
      <c r="K92" s="38" t="str">
        <f t="shared" si="3"/>
        <v>12</v>
      </c>
      <c r="L92" s="38" t="str">
        <f t="shared" si="4"/>
        <v>06</v>
      </c>
      <c r="M92" s="45" t="str">
        <f t="shared" si="5"/>
        <v>15:01:06</v>
      </c>
    </row>
    <row r="93" ht="22.5" hidden="1" customHeight="1">
      <c r="A93" s="38" t="s">
        <v>69</v>
      </c>
      <c r="B93" s="38" t="s">
        <v>657</v>
      </c>
      <c r="C93" s="38" t="s">
        <v>74</v>
      </c>
      <c r="D93" s="38" t="s">
        <v>196</v>
      </c>
      <c r="E93" s="38">
        <f t="shared" si="7"/>
        <v>38</v>
      </c>
      <c r="F93" s="38" t="s">
        <v>120</v>
      </c>
      <c r="G93" s="38">
        <v>13.0</v>
      </c>
      <c r="H93" s="38" t="s">
        <v>659</v>
      </c>
      <c r="I93" s="38" t="s">
        <v>661</v>
      </c>
      <c r="J93" s="44" t="str">
        <f t="shared" si="2"/>
        <v>2025</v>
      </c>
      <c r="K93" s="38" t="str">
        <f t="shared" si="3"/>
        <v>12</v>
      </c>
      <c r="L93" s="38" t="str">
        <f t="shared" si="4"/>
        <v>06</v>
      </c>
      <c r="M93" s="45" t="str">
        <f t="shared" si="5"/>
        <v>14:17:24</v>
      </c>
    </row>
    <row r="94" ht="22.5" hidden="1" customHeight="1">
      <c r="A94" s="46" t="s">
        <v>69</v>
      </c>
      <c r="B94" s="46" t="s">
        <v>664</v>
      </c>
      <c r="C94" s="46" t="s">
        <v>74</v>
      </c>
      <c r="D94" s="46" t="s">
        <v>93</v>
      </c>
      <c r="E94" s="38">
        <f t="shared" si="7"/>
        <v>8</v>
      </c>
      <c r="F94" s="46" t="s">
        <v>182</v>
      </c>
      <c r="G94" s="46">
        <v>34.0</v>
      </c>
      <c r="H94" s="46" t="s">
        <v>665</v>
      </c>
      <c r="I94" s="46" t="s">
        <v>666</v>
      </c>
      <c r="J94" s="47" t="str">
        <f t="shared" si="2"/>
        <v>2025</v>
      </c>
      <c r="K94" s="38" t="str">
        <f t="shared" si="3"/>
        <v>12</v>
      </c>
      <c r="L94" s="38" t="str">
        <f t="shared" si="4"/>
        <v>06</v>
      </c>
      <c r="M94" s="45" t="str">
        <f t="shared" si="5"/>
        <v>12:12:40</v>
      </c>
    </row>
    <row r="95" ht="22.5" hidden="1" customHeight="1">
      <c r="A95" s="38" t="s">
        <v>69</v>
      </c>
      <c r="B95" s="38" t="s">
        <v>668</v>
      </c>
      <c r="C95" s="38" t="s">
        <v>74</v>
      </c>
      <c r="D95" s="38" t="s">
        <v>196</v>
      </c>
      <c r="E95" s="38">
        <f t="shared" si="7"/>
        <v>38</v>
      </c>
      <c r="F95" s="38" t="s">
        <v>105</v>
      </c>
      <c r="G95" s="38">
        <v>3.0</v>
      </c>
      <c r="H95" s="38" t="s">
        <v>671</v>
      </c>
      <c r="I95" s="38" t="s">
        <v>672</v>
      </c>
      <c r="J95" s="44" t="str">
        <f t="shared" si="2"/>
        <v>2025</v>
      </c>
      <c r="K95" s="38" t="str">
        <f t="shared" si="3"/>
        <v>12</v>
      </c>
      <c r="L95" s="38" t="str">
        <f t="shared" si="4"/>
        <v>06</v>
      </c>
      <c r="M95" s="45" t="str">
        <f t="shared" si="5"/>
        <v>11:46:44</v>
      </c>
    </row>
    <row r="96" ht="22.5" hidden="1" customHeight="1">
      <c r="A96" s="46" t="s">
        <v>69</v>
      </c>
      <c r="B96" s="46" t="s">
        <v>675</v>
      </c>
      <c r="C96" s="46" t="s">
        <v>74</v>
      </c>
      <c r="D96" s="46" t="s">
        <v>189</v>
      </c>
      <c r="E96" s="38">
        <f t="shared" si="7"/>
        <v>16</v>
      </c>
      <c r="F96" s="46" t="s">
        <v>186</v>
      </c>
      <c r="G96" s="46">
        <v>2.0</v>
      </c>
      <c r="H96" s="46" t="s">
        <v>678</v>
      </c>
      <c r="I96" s="46" t="s">
        <v>679</v>
      </c>
      <c r="J96" s="47" t="str">
        <f t="shared" si="2"/>
        <v>2025</v>
      </c>
      <c r="K96" s="38" t="str">
        <f t="shared" si="3"/>
        <v>12</v>
      </c>
      <c r="L96" s="38" t="str">
        <f t="shared" si="4"/>
        <v>06</v>
      </c>
      <c r="M96" s="45" t="str">
        <f t="shared" si="5"/>
        <v>11:22:40</v>
      </c>
    </row>
    <row r="97" ht="22.5" hidden="1" customHeight="1">
      <c r="A97" s="38" t="s">
        <v>69</v>
      </c>
      <c r="B97" s="38" t="s">
        <v>675</v>
      </c>
      <c r="C97" s="38" t="s">
        <v>74</v>
      </c>
      <c r="D97" s="38" t="s">
        <v>189</v>
      </c>
      <c r="E97" s="38">
        <f t="shared" si="7"/>
        <v>16</v>
      </c>
      <c r="F97" s="38" t="s">
        <v>98</v>
      </c>
      <c r="G97" s="38">
        <v>4.0</v>
      </c>
      <c r="H97" s="38" t="s">
        <v>682</v>
      </c>
      <c r="I97" s="38" t="s">
        <v>683</v>
      </c>
      <c r="J97" s="44" t="str">
        <f t="shared" si="2"/>
        <v>2025</v>
      </c>
      <c r="K97" s="38" t="str">
        <f t="shared" si="3"/>
        <v>12</v>
      </c>
      <c r="L97" s="38" t="str">
        <f t="shared" si="4"/>
        <v>06</v>
      </c>
      <c r="M97" s="45" t="str">
        <f t="shared" si="5"/>
        <v>11:21:16</v>
      </c>
    </row>
    <row r="98" ht="22.5" hidden="1" customHeight="1">
      <c r="A98" s="46" t="s">
        <v>69</v>
      </c>
      <c r="B98" s="46" t="s">
        <v>686</v>
      </c>
      <c r="C98" s="46" t="s">
        <v>74</v>
      </c>
      <c r="D98" s="46" t="s">
        <v>212</v>
      </c>
      <c r="E98" s="38">
        <f t="shared" si="7"/>
        <v>17</v>
      </c>
      <c r="F98" s="46" t="s">
        <v>52</v>
      </c>
      <c r="G98" s="46">
        <v>33.0</v>
      </c>
      <c r="H98" s="46" t="s">
        <v>688</v>
      </c>
      <c r="I98" s="46" t="s">
        <v>689</v>
      </c>
      <c r="J98" s="47" t="str">
        <f t="shared" si="2"/>
        <v>2025</v>
      </c>
      <c r="K98" s="38" t="str">
        <f t="shared" si="3"/>
        <v>12</v>
      </c>
      <c r="L98" s="38" t="str">
        <f t="shared" si="4"/>
        <v>06</v>
      </c>
      <c r="M98" s="45" t="str">
        <f t="shared" si="5"/>
        <v>11:04:11</v>
      </c>
    </row>
    <row r="99" ht="22.5" hidden="1" customHeight="1">
      <c r="A99" s="38" t="s">
        <v>69</v>
      </c>
      <c r="B99" s="38" t="s">
        <v>691</v>
      </c>
      <c r="C99" s="38" t="s">
        <v>74</v>
      </c>
      <c r="D99" s="38" t="s">
        <v>693</v>
      </c>
      <c r="E99" s="38">
        <f t="shared" si="7"/>
        <v>54</v>
      </c>
      <c r="F99" s="38" t="s">
        <v>124</v>
      </c>
      <c r="G99" s="38">
        <v>22.0</v>
      </c>
      <c r="H99" s="38" t="s">
        <v>694</v>
      </c>
      <c r="I99" s="38" t="s">
        <v>695</v>
      </c>
      <c r="J99" s="44" t="str">
        <f t="shared" si="2"/>
        <v>2025</v>
      </c>
      <c r="K99" s="38" t="str">
        <f t="shared" si="3"/>
        <v>12</v>
      </c>
      <c r="L99" s="38" t="str">
        <f t="shared" si="4"/>
        <v>06</v>
      </c>
      <c r="M99" s="45" t="str">
        <f t="shared" si="5"/>
        <v>10:58:55</v>
      </c>
    </row>
    <row r="100" ht="22.5" hidden="1" customHeight="1">
      <c r="A100" s="46" t="s">
        <v>69</v>
      </c>
      <c r="B100" s="46" t="s">
        <v>698</v>
      </c>
      <c r="C100" s="46" t="s">
        <v>74</v>
      </c>
      <c r="D100" s="46" t="s">
        <v>144</v>
      </c>
      <c r="E100" s="38">
        <f t="shared" si="7"/>
        <v>42</v>
      </c>
      <c r="F100" s="46" t="s">
        <v>136</v>
      </c>
      <c r="G100" s="46">
        <v>11.0</v>
      </c>
      <c r="H100" s="46" t="s">
        <v>700</v>
      </c>
      <c r="I100" s="46" t="s">
        <v>701</v>
      </c>
      <c r="J100" s="47" t="str">
        <f t="shared" si="2"/>
        <v>2025</v>
      </c>
      <c r="K100" s="38" t="str">
        <f t="shared" si="3"/>
        <v>12</v>
      </c>
      <c r="L100" s="38" t="str">
        <f t="shared" si="4"/>
        <v>06</v>
      </c>
      <c r="M100" s="45" t="str">
        <f t="shared" si="5"/>
        <v>10:56:05</v>
      </c>
    </row>
    <row r="101" ht="22.5" hidden="1" customHeight="1">
      <c r="A101" s="38" t="s">
        <v>69</v>
      </c>
      <c r="B101" s="38" t="s">
        <v>704</v>
      </c>
      <c r="C101" s="38" t="s">
        <v>343</v>
      </c>
      <c r="D101" s="38" t="s">
        <v>189</v>
      </c>
      <c r="E101" s="38">
        <f t="shared" si="7"/>
        <v>16</v>
      </c>
      <c r="F101" s="38" t="s">
        <v>91</v>
      </c>
      <c r="G101" s="38">
        <v>11.0</v>
      </c>
      <c r="H101" s="38" t="s">
        <v>705</v>
      </c>
      <c r="I101" s="38" t="s">
        <v>707</v>
      </c>
      <c r="J101" s="44" t="str">
        <f t="shared" si="2"/>
        <v>2025</v>
      </c>
      <c r="K101" s="38" t="str">
        <f t="shared" si="3"/>
        <v>12</v>
      </c>
      <c r="L101" s="38" t="str">
        <f t="shared" si="4"/>
        <v>06</v>
      </c>
      <c r="M101" s="45" t="str">
        <f t="shared" si="5"/>
        <v>10:44:39</v>
      </c>
    </row>
    <row r="102" ht="22.5" hidden="1" customHeight="1">
      <c r="A102" s="46" t="s">
        <v>69</v>
      </c>
      <c r="B102" s="46" t="s">
        <v>708</v>
      </c>
      <c r="C102" s="46" t="s">
        <v>74</v>
      </c>
      <c r="D102" s="46" t="s">
        <v>93</v>
      </c>
      <c r="E102" s="38">
        <f t="shared" si="7"/>
        <v>8</v>
      </c>
      <c r="F102" s="46" t="s">
        <v>82</v>
      </c>
      <c r="G102" s="46">
        <v>19.0</v>
      </c>
      <c r="H102" s="46" t="s">
        <v>710</v>
      </c>
      <c r="I102" s="46" t="s">
        <v>712</v>
      </c>
      <c r="J102" s="47" t="str">
        <f t="shared" si="2"/>
        <v>2025</v>
      </c>
      <c r="K102" s="38" t="str">
        <f t="shared" si="3"/>
        <v>12</v>
      </c>
      <c r="L102" s="38" t="str">
        <f t="shared" si="4"/>
        <v>06</v>
      </c>
      <c r="M102" s="45" t="str">
        <f t="shared" si="5"/>
        <v>10:42:16</v>
      </c>
    </row>
    <row r="103" ht="22.5" hidden="1" customHeight="1">
      <c r="A103" s="38" t="s">
        <v>69</v>
      </c>
      <c r="B103" s="38" t="s">
        <v>714</v>
      </c>
      <c r="C103" s="38" t="s">
        <v>74</v>
      </c>
      <c r="D103" s="38" t="s">
        <v>220</v>
      </c>
      <c r="E103" s="38">
        <f t="shared" si="7"/>
        <v>13</v>
      </c>
      <c r="F103" s="38" t="s">
        <v>214</v>
      </c>
      <c r="G103" s="38">
        <v>10.0</v>
      </c>
      <c r="H103" s="48"/>
      <c r="I103" s="38" t="s">
        <v>716</v>
      </c>
      <c r="J103" s="44" t="str">
        <f t="shared" si="2"/>
        <v>2025</v>
      </c>
      <c r="K103" s="38" t="str">
        <f t="shared" si="3"/>
        <v>12</v>
      </c>
      <c r="L103" s="38" t="str">
        <f t="shared" si="4"/>
        <v>06</v>
      </c>
      <c r="M103" s="45" t="str">
        <f t="shared" si="5"/>
        <v>10:05:10</v>
      </c>
    </row>
    <row r="104" ht="22.5" hidden="1" customHeight="1">
      <c r="A104" s="46" t="s">
        <v>69</v>
      </c>
      <c r="B104" s="46" t="s">
        <v>718</v>
      </c>
      <c r="C104" s="46" t="s">
        <v>74</v>
      </c>
      <c r="D104" s="46" t="s">
        <v>556</v>
      </c>
      <c r="E104" s="38">
        <f t="shared" si="7"/>
        <v>40</v>
      </c>
      <c r="F104" s="46" t="s">
        <v>132</v>
      </c>
      <c r="G104" s="46">
        <v>22.0</v>
      </c>
      <c r="H104" s="46" t="s">
        <v>720</v>
      </c>
      <c r="I104" s="46" t="s">
        <v>721</v>
      </c>
      <c r="J104" s="47" t="str">
        <f t="shared" si="2"/>
        <v>2025</v>
      </c>
      <c r="K104" s="38" t="str">
        <f t="shared" si="3"/>
        <v>12</v>
      </c>
      <c r="L104" s="38" t="str">
        <f t="shared" si="4"/>
        <v>06</v>
      </c>
      <c r="M104" s="45" t="str">
        <f t="shared" si="5"/>
        <v>09:40:36</v>
      </c>
    </row>
    <row r="105" ht="22.5" hidden="1" customHeight="1">
      <c r="A105" s="38" t="s">
        <v>69</v>
      </c>
      <c r="B105" s="38" t="s">
        <v>718</v>
      </c>
      <c r="C105" s="38" t="s">
        <v>74</v>
      </c>
      <c r="D105" s="38" t="s">
        <v>722</v>
      </c>
      <c r="E105" s="38">
        <f t="shared" si="7"/>
        <v>52</v>
      </c>
      <c r="F105" s="38" t="s">
        <v>132</v>
      </c>
      <c r="G105" s="38">
        <v>21.0</v>
      </c>
      <c r="H105" s="38" t="s">
        <v>724</v>
      </c>
      <c r="I105" s="38" t="s">
        <v>725</v>
      </c>
      <c r="J105" s="44" t="str">
        <f t="shared" si="2"/>
        <v>2025</v>
      </c>
      <c r="K105" s="38" t="str">
        <f t="shared" si="3"/>
        <v>12</v>
      </c>
      <c r="L105" s="38" t="str">
        <f t="shared" si="4"/>
        <v>06</v>
      </c>
      <c r="M105" s="45" t="str">
        <f t="shared" si="5"/>
        <v>09:38:05</v>
      </c>
    </row>
    <row r="106" ht="22.5" hidden="1" customHeight="1">
      <c r="A106" s="46" t="s">
        <v>69</v>
      </c>
      <c r="B106" s="46" t="s">
        <v>727</v>
      </c>
      <c r="C106" s="46" t="s">
        <v>74</v>
      </c>
      <c r="D106" s="46" t="s">
        <v>501</v>
      </c>
      <c r="E106" s="38">
        <f t="shared" si="7"/>
        <v>67</v>
      </c>
      <c r="F106" s="46" t="s">
        <v>91</v>
      </c>
      <c r="G106" s="46">
        <v>14.0</v>
      </c>
      <c r="H106" s="46" t="s">
        <v>729</v>
      </c>
      <c r="I106" s="46" t="s">
        <v>730</v>
      </c>
      <c r="J106" s="47" t="str">
        <f t="shared" si="2"/>
        <v>2025</v>
      </c>
      <c r="K106" s="38" t="str">
        <f t="shared" si="3"/>
        <v>12</v>
      </c>
      <c r="L106" s="38" t="str">
        <f t="shared" si="4"/>
        <v>06</v>
      </c>
      <c r="M106" s="45" t="str">
        <f t="shared" si="5"/>
        <v>09:36:49</v>
      </c>
    </row>
    <row r="107" ht="22.5" hidden="1" customHeight="1">
      <c r="A107" s="38" t="s">
        <v>69</v>
      </c>
      <c r="B107" s="38" t="s">
        <v>464</v>
      </c>
      <c r="C107" s="38" t="s">
        <v>74</v>
      </c>
      <c r="D107" s="38" t="s">
        <v>355</v>
      </c>
      <c r="E107" s="38">
        <f t="shared" si="7"/>
        <v>10</v>
      </c>
      <c r="F107" s="38" t="s">
        <v>132</v>
      </c>
      <c r="G107" s="38">
        <v>14.0</v>
      </c>
      <c r="H107" s="38" t="s">
        <v>733</v>
      </c>
      <c r="I107" s="38" t="s">
        <v>734</v>
      </c>
      <c r="J107" s="44" t="str">
        <f t="shared" si="2"/>
        <v>2025</v>
      </c>
      <c r="K107" s="38" t="str">
        <f t="shared" si="3"/>
        <v>12</v>
      </c>
      <c r="L107" s="38" t="str">
        <f t="shared" si="4"/>
        <v>06</v>
      </c>
      <c r="M107" s="45" t="str">
        <f t="shared" si="5"/>
        <v>09:09:44</v>
      </c>
    </row>
    <row r="108" ht="22.5" hidden="1" customHeight="1">
      <c r="A108" s="46" t="s">
        <v>69</v>
      </c>
      <c r="B108" s="46" t="s">
        <v>737</v>
      </c>
      <c r="C108" s="46" t="s">
        <v>74</v>
      </c>
      <c r="D108" s="46" t="s">
        <v>233</v>
      </c>
      <c r="E108" s="38">
        <f t="shared" si="7"/>
        <v>39</v>
      </c>
      <c r="F108" s="46" t="s">
        <v>170</v>
      </c>
      <c r="G108" s="46">
        <v>3.0</v>
      </c>
      <c r="H108" s="46" t="s">
        <v>740</v>
      </c>
      <c r="I108" s="46" t="s">
        <v>741</v>
      </c>
      <c r="J108" s="47" t="str">
        <f t="shared" si="2"/>
        <v>2025</v>
      </c>
      <c r="K108" s="38" t="str">
        <f t="shared" si="3"/>
        <v>12</v>
      </c>
      <c r="L108" s="38" t="str">
        <f t="shared" si="4"/>
        <v>06</v>
      </c>
      <c r="M108" s="45" t="str">
        <f t="shared" si="5"/>
        <v>09:03:36</v>
      </c>
    </row>
    <row r="109" ht="22.5" hidden="1" customHeight="1">
      <c r="A109" s="38" t="s">
        <v>69</v>
      </c>
      <c r="B109" s="38" t="s">
        <v>744</v>
      </c>
      <c r="C109" s="38" t="s">
        <v>74</v>
      </c>
      <c r="D109" s="38" t="s">
        <v>189</v>
      </c>
      <c r="E109" s="38">
        <f t="shared" si="7"/>
        <v>16</v>
      </c>
      <c r="F109" s="38" t="s">
        <v>116</v>
      </c>
      <c r="G109" s="38">
        <v>3.0</v>
      </c>
      <c r="H109" s="38" t="s">
        <v>746</v>
      </c>
      <c r="I109" s="38" t="s">
        <v>747</v>
      </c>
      <c r="J109" s="44" t="str">
        <f t="shared" si="2"/>
        <v>2025</v>
      </c>
      <c r="K109" s="38" t="str">
        <f t="shared" si="3"/>
        <v>12</v>
      </c>
      <c r="L109" s="38" t="str">
        <f t="shared" si="4"/>
        <v>06</v>
      </c>
      <c r="M109" s="45" t="str">
        <f t="shared" si="5"/>
        <v>08:41:38</v>
      </c>
    </row>
    <row r="110" ht="22.5" hidden="1" customHeight="1">
      <c r="A110" s="46" t="s">
        <v>69</v>
      </c>
      <c r="B110" s="46" t="s">
        <v>749</v>
      </c>
      <c r="C110" s="46" t="s">
        <v>74</v>
      </c>
      <c r="D110" s="46" t="s">
        <v>249</v>
      </c>
      <c r="E110" s="38">
        <f t="shared" si="7"/>
        <v>43</v>
      </c>
      <c r="F110" s="46" t="s">
        <v>106</v>
      </c>
      <c r="G110" s="46">
        <v>15.0</v>
      </c>
      <c r="H110" s="46" t="s">
        <v>751</v>
      </c>
      <c r="I110" s="46" t="s">
        <v>752</v>
      </c>
      <c r="J110" s="47" t="str">
        <f t="shared" si="2"/>
        <v>2025</v>
      </c>
      <c r="K110" s="38" t="str">
        <f t="shared" si="3"/>
        <v>12</v>
      </c>
      <c r="L110" s="38" t="str">
        <f t="shared" si="4"/>
        <v>06</v>
      </c>
      <c r="M110" s="45" t="str">
        <f t="shared" si="5"/>
        <v>07:55:23</v>
      </c>
    </row>
    <row r="111" ht="22.5" hidden="1" customHeight="1">
      <c r="A111" s="38" t="s">
        <v>69</v>
      </c>
      <c r="B111" s="38" t="s">
        <v>754</v>
      </c>
      <c r="C111" s="38" t="s">
        <v>343</v>
      </c>
      <c r="D111" s="38" t="s">
        <v>93</v>
      </c>
      <c r="E111" s="38">
        <f t="shared" si="7"/>
        <v>8</v>
      </c>
      <c r="F111" s="38" t="s">
        <v>78</v>
      </c>
      <c r="G111" s="38">
        <v>7.0</v>
      </c>
      <c r="H111" s="48"/>
      <c r="I111" s="38" t="s">
        <v>756</v>
      </c>
      <c r="J111" s="44" t="str">
        <f t="shared" si="2"/>
        <v>2025</v>
      </c>
      <c r="K111" s="38" t="str">
        <f t="shared" si="3"/>
        <v>12</v>
      </c>
      <c r="L111" s="38" t="str">
        <f t="shared" si="4"/>
        <v>06</v>
      </c>
      <c r="M111" s="45" t="str">
        <f t="shared" si="5"/>
        <v>06:59:34</v>
      </c>
    </row>
    <row r="112" ht="22.5" hidden="1" customHeight="1">
      <c r="A112" s="46" t="s">
        <v>69</v>
      </c>
      <c r="B112" s="46" t="s">
        <v>754</v>
      </c>
      <c r="C112" s="46" t="s">
        <v>343</v>
      </c>
      <c r="D112" s="46" t="s">
        <v>93</v>
      </c>
      <c r="E112" s="38">
        <f t="shared" si="7"/>
        <v>8</v>
      </c>
      <c r="F112" s="46" t="s">
        <v>115</v>
      </c>
      <c r="G112" s="46">
        <v>10.0</v>
      </c>
      <c r="H112" s="50"/>
      <c r="I112" s="46" t="s">
        <v>759</v>
      </c>
      <c r="J112" s="47" t="str">
        <f t="shared" si="2"/>
        <v>2025</v>
      </c>
      <c r="K112" s="38" t="str">
        <f t="shared" si="3"/>
        <v>12</v>
      </c>
      <c r="L112" s="38" t="str">
        <f t="shared" si="4"/>
        <v>06</v>
      </c>
      <c r="M112" s="45" t="str">
        <f t="shared" si="5"/>
        <v>06:57:13</v>
      </c>
    </row>
    <row r="113" ht="22.5" hidden="1" customHeight="1">
      <c r="A113" s="38" t="s">
        <v>69</v>
      </c>
      <c r="B113" s="38" t="s">
        <v>760</v>
      </c>
      <c r="C113" s="38" t="s">
        <v>74</v>
      </c>
      <c r="D113" s="38" t="s">
        <v>761</v>
      </c>
      <c r="E113" s="38">
        <f t="shared" si="7"/>
        <v>44</v>
      </c>
      <c r="F113" s="38" t="s">
        <v>116</v>
      </c>
      <c r="G113" s="38">
        <v>1.0</v>
      </c>
      <c r="H113" s="38" t="s">
        <v>763</v>
      </c>
      <c r="I113" s="38" t="s">
        <v>764</v>
      </c>
      <c r="J113" s="44" t="str">
        <f t="shared" si="2"/>
        <v>2025</v>
      </c>
      <c r="K113" s="38" t="str">
        <f t="shared" si="3"/>
        <v>12</v>
      </c>
      <c r="L113" s="38" t="str">
        <f t="shared" si="4"/>
        <v>06</v>
      </c>
      <c r="M113" s="45" t="str">
        <f t="shared" si="5"/>
        <v>05:53:19</v>
      </c>
    </row>
    <row r="114" ht="22.5" hidden="1" customHeight="1">
      <c r="A114" s="46" t="s">
        <v>69</v>
      </c>
      <c r="B114" s="46" t="s">
        <v>744</v>
      </c>
      <c r="C114" s="46" t="s">
        <v>74</v>
      </c>
      <c r="D114" s="46" t="s">
        <v>761</v>
      </c>
      <c r="E114" s="38">
        <f t="shared" si="7"/>
        <v>44</v>
      </c>
      <c r="F114" s="46" t="s">
        <v>47</v>
      </c>
      <c r="G114" s="46">
        <v>4.0</v>
      </c>
      <c r="H114" s="46" t="s">
        <v>767</v>
      </c>
      <c r="I114" s="46" t="s">
        <v>768</v>
      </c>
      <c r="J114" s="47" t="str">
        <f t="shared" si="2"/>
        <v>2025</v>
      </c>
      <c r="K114" s="38" t="str">
        <f t="shared" si="3"/>
        <v>12</v>
      </c>
      <c r="L114" s="38" t="str">
        <f t="shared" si="4"/>
        <v>05</v>
      </c>
      <c r="M114" s="45" t="str">
        <f t="shared" si="5"/>
        <v>23:02:33</v>
      </c>
    </row>
    <row r="115" ht="22.5" hidden="1" customHeight="1">
      <c r="A115" s="38" t="s">
        <v>69</v>
      </c>
      <c r="B115" s="38" t="s">
        <v>770</v>
      </c>
      <c r="C115" s="38" t="s">
        <v>74</v>
      </c>
      <c r="D115" s="38" t="s">
        <v>241</v>
      </c>
      <c r="E115" s="38">
        <f t="shared" si="7"/>
        <v>18</v>
      </c>
      <c r="F115" s="38" t="s">
        <v>82</v>
      </c>
      <c r="G115" s="38">
        <v>2.0</v>
      </c>
      <c r="H115" s="48"/>
      <c r="I115" s="38" t="s">
        <v>773</v>
      </c>
      <c r="J115" s="44" t="str">
        <f t="shared" si="2"/>
        <v>2025</v>
      </c>
      <c r="K115" s="38" t="str">
        <f t="shared" si="3"/>
        <v>12</v>
      </c>
      <c r="L115" s="38" t="str">
        <f t="shared" si="4"/>
        <v>05</v>
      </c>
      <c r="M115" s="45" t="str">
        <f t="shared" si="5"/>
        <v>22:57:42</v>
      </c>
    </row>
    <row r="116" ht="22.5" hidden="1" customHeight="1">
      <c r="A116" s="46" t="s">
        <v>69</v>
      </c>
      <c r="B116" s="46" t="s">
        <v>775</v>
      </c>
      <c r="C116" s="46" t="s">
        <v>74</v>
      </c>
      <c r="D116" s="46" t="s">
        <v>93</v>
      </c>
      <c r="E116" s="38">
        <f t="shared" si="7"/>
        <v>8</v>
      </c>
      <c r="F116" s="46" t="s">
        <v>157</v>
      </c>
      <c r="G116" s="46">
        <v>11.0</v>
      </c>
      <c r="H116" s="46" t="s">
        <v>776</v>
      </c>
      <c r="I116" s="46" t="s">
        <v>777</v>
      </c>
      <c r="J116" s="47" t="str">
        <f t="shared" si="2"/>
        <v>2025</v>
      </c>
      <c r="K116" s="38" t="str">
        <f t="shared" si="3"/>
        <v>12</v>
      </c>
      <c r="L116" s="38" t="str">
        <f t="shared" si="4"/>
        <v>05</v>
      </c>
      <c r="M116" s="45" t="str">
        <f t="shared" si="5"/>
        <v>21:54:51</v>
      </c>
    </row>
    <row r="117" ht="22.5" hidden="1" customHeight="1">
      <c r="A117" s="38" t="s">
        <v>69</v>
      </c>
      <c r="B117" s="38" t="s">
        <v>775</v>
      </c>
      <c r="C117" s="38" t="s">
        <v>74</v>
      </c>
      <c r="D117" s="38" t="s">
        <v>93</v>
      </c>
      <c r="E117" s="38">
        <f t="shared" si="7"/>
        <v>8</v>
      </c>
      <c r="F117" s="38" t="s">
        <v>174</v>
      </c>
      <c r="G117" s="38">
        <v>3.0</v>
      </c>
      <c r="H117" s="38" t="s">
        <v>780</v>
      </c>
      <c r="I117" s="38" t="s">
        <v>781</v>
      </c>
      <c r="J117" s="44" t="str">
        <f t="shared" si="2"/>
        <v>2025</v>
      </c>
      <c r="K117" s="38" t="str">
        <f t="shared" si="3"/>
        <v>12</v>
      </c>
      <c r="L117" s="38" t="str">
        <f t="shared" si="4"/>
        <v>05</v>
      </c>
      <c r="M117" s="45" t="str">
        <f t="shared" si="5"/>
        <v>21:52:18</v>
      </c>
    </row>
    <row r="118" ht="22.5" hidden="1" customHeight="1">
      <c r="A118" s="46" t="s">
        <v>69</v>
      </c>
      <c r="B118" s="46" t="s">
        <v>783</v>
      </c>
      <c r="C118" s="46" t="s">
        <v>74</v>
      </c>
      <c r="D118" s="46" t="s">
        <v>295</v>
      </c>
      <c r="E118" s="38">
        <f t="shared" si="7"/>
        <v>14</v>
      </c>
      <c r="F118" s="46" t="s">
        <v>67</v>
      </c>
      <c r="G118" s="46">
        <v>10.0</v>
      </c>
      <c r="H118" s="46" t="s">
        <v>785</v>
      </c>
      <c r="I118" s="46" t="s">
        <v>786</v>
      </c>
      <c r="J118" s="47" t="str">
        <f t="shared" si="2"/>
        <v>2025</v>
      </c>
      <c r="K118" s="38" t="str">
        <f t="shared" si="3"/>
        <v>12</v>
      </c>
      <c r="L118" s="38" t="str">
        <f t="shared" si="4"/>
        <v>05</v>
      </c>
      <c r="M118" s="45" t="str">
        <f t="shared" si="5"/>
        <v>21:14:02</v>
      </c>
    </row>
    <row r="119" ht="22.5" hidden="1" customHeight="1">
      <c r="A119" s="38" t="s">
        <v>69</v>
      </c>
      <c r="B119" s="38" t="s">
        <v>788</v>
      </c>
      <c r="C119" s="38" t="s">
        <v>74</v>
      </c>
      <c r="D119" s="38" t="s">
        <v>355</v>
      </c>
      <c r="E119" s="38">
        <f t="shared" si="7"/>
        <v>10</v>
      </c>
      <c r="F119" s="38" t="s">
        <v>167</v>
      </c>
      <c r="G119" s="38">
        <v>16.0</v>
      </c>
      <c r="H119" s="38" t="s">
        <v>790</v>
      </c>
      <c r="I119" s="38" t="s">
        <v>791</v>
      </c>
      <c r="J119" s="44" t="str">
        <f t="shared" si="2"/>
        <v>2025</v>
      </c>
      <c r="K119" s="38" t="str">
        <f t="shared" si="3"/>
        <v>12</v>
      </c>
      <c r="L119" s="38" t="str">
        <f t="shared" si="4"/>
        <v>05</v>
      </c>
      <c r="M119" s="45" t="str">
        <f t="shared" si="5"/>
        <v>20:58:53</v>
      </c>
    </row>
    <row r="120" ht="22.5" hidden="1" customHeight="1">
      <c r="A120" s="46" t="s">
        <v>69</v>
      </c>
      <c r="B120" s="46" t="s">
        <v>793</v>
      </c>
      <c r="C120" s="46" t="s">
        <v>74</v>
      </c>
      <c r="D120" s="46" t="s">
        <v>226</v>
      </c>
      <c r="E120" s="38">
        <f t="shared" si="7"/>
        <v>22</v>
      </c>
      <c r="F120" s="46" t="s">
        <v>20</v>
      </c>
      <c r="G120" s="46">
        <v>1.0</v>
      </c>
      <c r="H120" s="46" t="s">
        <v>794</v>
      </c>
      <c r="I120" s="46" t="s">
        <v>795</v>
      </c>
      <c r="J120" s="47" t="str">
        <f t="shared" si="2"/>
        <v>2025</v>
      </c>
      <c r="K120" s="38" t="str">
        <f t="shared" si="3"/>
        <v>12</v>
      </c>
      <c r="L120" s="38" t="str">
        <f t="shared" si="4"/>
        <v>05</v>
      </c>
      <c r="M120" s="45" t="str">
        <f t="shared" si="5"/>
        <v>20:53:18</v>
      </c>
    </row>
    <row r="121" ht="22.5" hidden="1" customHeight="1">
      <c r="A121" s="38" t="s">
        <v>69</v>
      </c>
      <c r="B121" s="38" t="s">
        <v>793</v>
      </c>
      <c r="C121" s="38" t="s">
        <v>74</v>
      </c>
      <c r="D121" s="38" t="s">
        <v>212</v>
      </c>
      <c r="E121" s="38">
        <f t="shared" si="7"/>
        <v>17</v>
      </c>
      <c r="F121" s="38" t="s">
        <v>101</v>
      </c>
      <c r="G121" s="38">
        <v>10.0</v>
      </c>
      <c r="H121" s="38" t="s">
        <v>798</v>
      </c>
      <c r="I121" s="38" t="s">
        <v>799</v>
      </c>
      <c r="J121" s="44" t="str">
        <f t="shared" si="2"/>
        <v>2025</v>
      </c>
      <c r="K121" s="38" t="str">
        <f t="shared" si="3"/>
        <v>12</v>
      </c>
      <c r="L121" s="38" t="str">
        <f t="shared" si="4"/>
        <v>05</v>
      </c>
      <c r="M121" s="45" t="str">
        <f t="shared" si="5"/>
        <v>20:51:48</v>
      </c>
    </row>
    <row r="122" ht="22.5" hidden="1" customHeight="1">
      <c r="A122" s="46" t="s">
        <v>69</v>
      </c>
      <c r="B122" s="46" t="s">
        <v>793</v>
      </c>
      <c r="C122" s="46" t="s">
        <v>74</v>
      </c>
      <c r="D122" s="46" t="s">
        <v>428</v>
      </c>
      <c r="E122" s="38">
        <f t="shared" si="7"/>
        <v>51</v>
      </c>
      <c r="F122" s="46" t="s">
        <v>124</v>
      </c>
      <c r="G122" s="46">
        <v>5.0</v>
      </c>
      <c r="H122" s="46" t="s">
        <v>803</v>
      </c>
      <c r="I122" s="46" t="s">
        <v>804</v>
      </c>
      <c r="J122" s="47" t="str">
        <f t="shared" si="2"/>
        <v>2025</v>
      </c>
      <c r="K122" s="38" t="str">
        <f t="shared" si="3"/>
        <v>12</v>
      </c>
      <c r="L122" s="38" t="str">
        <f t="shared" si="4"/>
        <v>05</v>
      </c>
      <c r="M122" s="45" t="str">
        <f t="shared" si="5"/>
        <v>20:50:40</v>
      </c>
    </row>
    <row r="123" ht="22.5" hidden="1" customHeight="1">
      <c r="A123" s="38" t="s">
        <v>69</v>
      </c>
      <c r="B123" s="38" t="s">
        <v>793</v>
      </c>
      <c r="C123" s="38" t="s">
        <v>74</v>
      </c>
      <c r="D123" s="38" t="s">
        <v>76</v>
      </c>
      <c r="E123" s="38">
        <f t="shared" si="7"/>
        <v>46</v>
      </c>
      <c r="F123" s="38" t="s">
        <v>105</v>
      </c>
      <c r="G123" s="38">
        <v>13.0</v>
      </c>
      <c r="H123" s="38" t="s">
        <v>807</v>
      </c>
      <c r="I123" s="38" t="s">
        <v>808</v>
      </c>
      <c r="J123" s="44" t="str">
        <f t="shared" si="2"/>
        <v>2025</v>
      </c>
      <c r="K123" s="38" t="str">
        <f t="shared" si="3"/>
        <v>12</v>
      </c>
      <c r="L123" s="38" t="str">
        <f t="shared" si="4"/>
        <v>05</v>
      </c>
      <c r="M123" s="45" t="str">
        <f t="shared" si="5"/>
        <v>20:49:38</v>
      </c>
    </row>
    <row r="124" ht="22.5" hidden="1" customHeight="1">
      <c r="A124" s="46" t="s">
        <v>69</v>
      </c>
      <c r="B124" s="46" t="s">
        <v>793</v>
      </c>
      <c r="C124" s="46" t="s">
        <v>74</v>
      </c>
      <c r="D124" s="46" t="s">
        <v>602</v>
      </c>
      <c r="E124" s="38">
        <f t="shared" si="7"/>
        <v>120</v>
      </c>
      <c r="F124" s="46" t="s">
        <v>105</v>
      </c>
      <c r="G124" s="46">
        <v>14.0</v>
      </c>
      <c r="H124" s="46" t="s">
        <v>811</v>
      </c>
      <c r="I124" s="46" t="s">
        <v>812</v>
      </c>
      <c r="J124" s="47" t="str">
        <f t="shared" si="2"/>
        <v>2025</v>
      </c>
      <c r="K124" s="38" t="str">
        <f t="shared" si="3"/>
        <v>12</v>
      </c>
      <c r="L124" s="38" t="str">
        <f t="shared" si="4"/>
        <v>05</v>
      </c>
      <c r="M124" s="45" t="str">
        <f t="shared" si="5"/>
        <v>20:48:01</v>
      </c>
    </row>
    <row r="125" ht="22.5" hidden="1" customHeight="1">
      <c r="A125" s="38" t="s">
        <v>69</v>
      </c>
      <c r="B125" s="38" t="s">
        <v>814</v>
      </c>
      <c r="C125" s="38" t="s">
        <v>74</v>
      </c>
      <c r="D125" s="38" t="s">
        <v>816</v>
      </c>
      <c r="E125" s="38">
        <f t="shared" si="7"/>
        <v>48</v>
      </c>
      <c r="F125" s="38" t="s">
        <v>206</v>
      </c>
      <c r="G125" s="38">
        <v>5.0</v>
      </c>
      <c r="H125" s="38" t="s">
        <v>817</v>
      </c>
      <c r="I125" s="38" t="s">
        <v>818</v>
      </c>
      <c r="J125" s="44" t="str">
        <f t="shared" si="2"/>
        <v>2025</v>
      </c>
      <c r="K125" s="38" t="str">
        <f t="shared" si="3"/>
        <v>12</v>
      </c>
      <c r="L125" s="38" t="str">
        <f t="shared" si="4"/>
        <v>05</v>
      </c>
      <c r="M125" s="45" t="str">
        <f t="shared" si="5"/>
        <v>20:43:16</v>
      </c>
    </row>
    <row r="126" ht="22.5" hidden="1" customHeight="1">
      <c r="A126" s="46" t="s">
        <v>69</v>
      </c>
      <c r="B126" s="46" t="s">
        <v>821</v>
      </c>
      <c r="C126" s="46" t="s">
        <v>74</v>
      </c>
      <c r="D126" s="46" t="s">
        <v>93</v>
      </c>
      <c r="E126" s="38">
        <f t="shared" si="7"/>
        <v>8</v>
      </c>
      <c r="F126" s="46" t="s">
        <v>137</v>
      </c>
      <c r="G126" s="46">
        <v>16.0</v>
      </c>
      <c r="H126" s="46" t="s">
        <v>823</v>
      </c>
      <c r="I126" s="46" t="s">
        <v>824</v>
      </c>
      <c r="J126" s="47" t="str">
        <f t="shared" si="2"/>
        <v>2025</v>
      </c>
      <c r="K126" s="38" t="str">
        <f t="shared" si="3"/>
        <v>12</v>
      </c>
      <c r="L126" s="38" t="str">
        <f t="shared" si="4"/>
        <v>05</v>
      </c>
      <c r="M126" s="45" t="str">
        <f t="shared" si="5"/>
        <v>20:06:11</v>
      </c>
    </row>
    <row r="127" ht="22.5" hidden="1" customHeight="1">
      <c r="A127" s="38" t="s">
        <v>69</v>
      </c>
      <c r="B127" s="38" t="s">
        <v>821</v>
      </c>
      <c r="C127" s="38" t="s">
        <v>74</v>
      </c>
      <c r="D127" s="38" t="s">
        <v>196</v>
      </c>
      <c r="E127" s="38">
        <f t="shared" si="7"/>
        <v>38</v>
      </c>
      <c r="F127" s="38" t="s">
        <v>190</v>
      </c>
      <c r="G127" s="38">
        <v>7.0</v>
      </c>
      <c r="H127" s="38" t="s">
        <v>827</v>
      </c>
      <c r="I127" s="38" t="s">
        <v>828</v>
      </c>
      <c r="J127" s="44" t="str">
        <f t="shared" si="2"/>
        <v>2025</v>
      </c>
      <c r="K127" s="38" t="str">
        <f t="shared" si="3"/>
        <v>12</v>
      </c>
      <c r="L127" s="38" t="str">
        <f t="shared" si="4"/>
        <v>05</v>
      </c>
      <c r="M127" s="45" t="str">
        <f t="shared" si="5"/>
        <v>19:58:49</v>
      </c>
    </row>
    <row r="128" ht="22.5" hidden="1" customHeight="1">
      <c r="A128" s="46" t="s">
        <v>69</v>
      </c>
      <c r="B128" s="46" t="s">
        <v>830</v>
      </c>
      <c r="C128" s="46" t="s">
        <v>74</v>
      </c>
      <c r="D128" s="46" t="s">
        <v>584</v>
      </c>
      <c r="E128" s="38">
        <f t="shared" si="7"/>
        <v>25</v>
      </c>
      <c r="F128" s="46" t="s">
        <v>124</v>
      </c>
      <c r="G128" s="46">
        <v>19.0</v>
      </c>
      <c r="H128" s="46" t="s">
        <v>833</v>
      </c>
      <c r="I128" s="46" t="s">
        <v>834</v>
      </c>
      <c r="J128" s="47" t="str">
        <f t="shared" si="2"/>
        <v>2025</v>
      </c>
      <c r="K128" s="38" t="str">
        <f t="shared" si="3"/>
        <v>12</v>
      </c>
      <c r="L128" s="38" t="str">
        <f t="shared" si="4"/>
        <v>05</v>
      </c>
      <c r="M128" s="45" t="str">
        <f t="shared" si="5"/>
        <v>19:38:28</v>
      </c>
    </row>
    <row r="129" ht="22.5" hidden="1" customHeight="1">
      <c r="A129" s="38" t="s">
        <v>69</v>
      </c>
      <c r="B129" s="38" t="s">
        <v>837</v>
      </c>
      <c r="C129" s="38" t="s">
        <v>74</v>
      </c>
      <c r="D129" s="38" t="s">
        <v>556</v>
      </c>
      <c r="E129" s="38">
        <f t="shared" si="7"/>
        <v>40</v>
      </c>
      <c r="F129" s="38" t="s">
        <v>142</v>
      </c>
      <c r="G129" s="38">
        <v>13.0</v>
      </c>
      <c r="H129" s="48"/>
      <c r="I129" s="38" t="s">
        <v>839</v>
      </c>
      <c r="J129" s="44" t="str">
        <f t="shared" si="2"/>
        <v>2025</v>
      </c>
      <c r="K129" s="38" t="str">
        <f t="shared" si="3"/>
        <v>12</v>
      </c>
      <c r="L129" s="38" t="str">
        <f t="shared" si="4"/>
        <v>05</v>
      </c>
      <c r="M129" s="45" t="str">
        <f t="shared" si="5"/>
        <v>19:30:56</v>
      </c>
    </row>
    <row r="130" ht="22.5" hidden="1" customHeight="1">
      <c r="A130" s="46" t="s">
        <v>69</v>
      </c>
      <c r="B130" s="46" t="s">
        <v>842</v>
      </c>
      <c r="C130" s="46" t="s">
        <v>74</v>
      </c>
      <c r="D130" s="46" t="s">
        <v>761</v>
      </c>
      <c r="E130" s="38">
        <f t="shared" si="7"/>
        <v>44</v>
      </c>
      <c r="F130" s="46" t="s">
        <v>149</v>
      </c>
      <c r="G130" s="46">
        <v>1.0</v>
      </c>
      <c r="H130" s="46" t="s">
        <v>845</v>
      </c>
      <c r="I130" s="46" t="s">
        <v>846</v>
      </c>
      <c r="J130" s="47" t="str">
        <f t="shared" si="2"/>
        <v>2025</v>
      </c>
      <c r="K130" s="38" t="str">
        <f t="shared" si="3"/>
        <v>12</v>
      </c>
      <c r="L130" s="38" t="str">
        <f t="shared" si="4"/>
        <v>05</v>
      </c>
      <c r="M130" s="45" t="str">
        <f t="shared" si="5"/>
        <v>19:11:09</v>
      </c>
    </row>
    <row r="131" ht="22.5" hidden="1" customHeight="1">
      <c r="A131" s="38" t="s">
        <v>69</v>
      </c>
      <c r="B131" s="38" t="s">
        <v>848</v>
      </c>
      <c r="C131" s="38" t="s">
        <v>74</v>
      </c>
      <c r="D131" s="38" t="s">
        <v>383</v>
      </c>
      <c r="E131" s="38">
        <f t="shared" si="7"/>
        <v>15</v>
      </c>
      <c r="F131" s="38" t="s">
        <v>214</v>
      </c>
      <c r="G131" s="38">
        <v>8.0</v>
      </c>
      <c r="H131" s="38" t="s">
        <v>851</v>
      </c>
      <c r="I131" s="38" t="s">
        <v>852</v>
      </c>
      <c r="J131" s="44" t="str">
        <f t="shared" si="2"/>
        <v>2025</v>
      </c>
      <c r="K131" s="38" t="str">
        <f t="shared" si="3"/>
        <v>12</v>
      </c>
      <c r="L131" s="38" t="str">
        <f t="shared" si="4"/>
        <v>05</v>
      </c>
      <c r="M131" s="45" t="str">
        <f t="shared" si="5"/>
        <v>18:32:07</v>
      </c>
    </row>
    <row r="132" ht="22.5" hidden="1" customHeight="1">
      <c r="A132" s="46" t="s">
        <v>69</v>
      </c>
      <c r="B132" s="46" t="s">
        <v>321</v>
      </c>
      <c r="C132" s="46" t="s">
        <v>74</v>
      </c>
      <c r="D132" s="46" t="s">
        <v>261</v>
      </c>
      <c r="E132" s="38">
        <f t="shared" si="7"/>
        <v>26</v>
      </c>
      <c r="F132" s="46" t="s">
        <v>142</v>
      </c>
      <c r="G132" s="46">
        <v>6.0</v>
      </c>
      <c r="H132" s="46" t="s">
        <v>855</v>
      </c>
      <c r="I132" s="46" t="s">
        <v>856</v>
      </c>
      <c r="J132" s="47" t="str">
        <f t="shared" si="2"/>
        <v>2025</v>
      </c>
      <c r="K132" s="38" t="str">
        <f t="shared" si="3"/>
        <v>12</v>
      </c>
      <c r="L132" s="38" t="str">
        <f t="shared" si="4"/>
        <v>05</v>
      </c>
      <c r="M132" s="45" t="str">
        <f t="shared" si="5"/>
        <v>18:23:53</v>
      </c>
    </row>
    <row r="133" ht="22.5" hidden="1" customHeight="1">
      <c r="A133" s="38" t="s">
        <v>69</v>
      </c>
      <c r="B133" s="38" t="s">
        <v>858</v>
      </c>
      <c r="C133" s="38" t="s">
        <v>74</v>
      </c>
      <c r="D133" s="38" t="s">
        <v>189</v>
      </c>
      <c r="E133" s="38">
        <f t="shared" si="7"/>
        <v>16</v>
      </c>
      <c r="F133" s="38" t="s">
        <v>190</v>
      </c>
      <c r="G133" s="38">
        <v>9.0</v>
      </c>
      <c r="H133" s="38" t="s">
        <v>859</v>
      </c>
      <c r="I133" s="38" t="s">
        <v>861</v>
      </c>
      <c r="J133" s="44" t="str">
        <f t="shared" si="2"/>
        <v>2025</v>
      </c>
      <c r="K133" s="38" t="str">
        <f t="shared" si="3"/>
        <v>12</v>
      </c>
      <c r="L133" s="38" t="str">
        <f t="shared" si="4"/>
        <v>05</v>
      </c>
      <c r="M133" s="45" t="str">
        <f t="shared" si="5"/>
        <v>18:20:46</v>
      </c>
    </row>
    <row r="134" ht="22.5" hidden="1" customHeight="1">
      <c r="A134" s="46" t="s">
        <v>69</v>
      </c>
      <c r="B134" s="46" t="s">
        <v>863</v>
      </c>
      <c r="C134" s="46" t="s">
        <v>74</v>
      </c>
      <c r="D134" s="46" t="s">
        <v>241</v>
      </c>
      <c r="E134" s="38">
        <f t="shared" si="7"/>
        <v>18</v>
      </c>
      <c r="F134" s="46" t="s">
        <v>124</v>
      </c>
      <c r="G134" s="46">
        <v>7.0</v>
      </c>
      <c r="H134" s="46" t="s">
        <v>865</v>
      </c>
      <c r="I134" s="46" t="s">
        <v>866</v>
      </c>
      <c r="J134" s="47" t="str">
        <f t="shared" si="2"/>
        <v>2025</v>
      </c>
      <c r="K134" s="38" t="str">
        <f t="shared" si="3"/>
        <v>12</v>
      </c>
      <c r="L134" s="38" t="str">
        <f t="shared" si="4"/>
        <v>05</v>
      </c>
      <c r="M134" s="45" t="str">
        <f t="shared" si="5"/>
        <v>18:20:28</v>
      </c>
    </row>
    <row r="135" ht="22.5" hidden="1" customHeight="1">
      <c r="A135" s="38" t="s">
        <v>69</v>
      </c>
      <c r="B135" s="38" t="s">
        <v>868</v>
      </c>
      <c r="C135" s="38" t="s">
        <v>74</v>
      </c>
      <c r="D135" s="38" t="s">
        <v>641</v>
      </c>
      <c r="E135" s="38">
        <f t="shared" si="7"/>
        <v>28</v>
      </c>
      <c r="F135" s="38" t="s">
        <v>174</v>
      </c>
      <c r="G135" s="38">
        <v>12.0</v>
      </c>
      <c r="H135" s="38" t="s">
        <v>869</v>
      </c>
      <c r="I135" s="38" t="s">
        <v>870</v>
      </c>
      <c r="J135" s="44" t="str">
        <f t="shared" si="2"/>
        <v>2025</v>
      </c>
      <c r="K135" s="38" t="str">
        <f t="shared" si="3"/>
        <v>12</v>
      </c>
      <c r="L135" s="38" t="str">
        <f t="shared" si="4"/>
        <v>05</v>
      </c>
      <c r="M135" s="45" t="str">
        <f t="shared" si="5"/>
        <v>18:06:11</v>
      </c>
    </row>
    <row r="136" ht="22.5" hidden="1" customHeight="1">
      <c r="A136" s="46" t="s">
        <v>69</v>
      </c>
      <c r="B136" s="46" t="s">
        <v>872</v>
      </c>
      <c r="C136" s="46" t="s">
        <v>74</v>
      </c>
      <c r="D136" s="46" t="s">
        <v>489</v>
      </c>
      <c r="E136" s="38">
        <f t="shared" si="7"/>
        <v>12</v>
      </c>
      <c r="F136" s="46" t="s">
        <v>91</v>
      </c>
      <c r="G136" s="46">
        <v>10.0</v>
      </c>
      <c r="H136" s="46" t="s">
        <v>873</v>
      </c>
      <c r="I136" s="46" t="s">
        <v>874</v>
      </c>
      <c r="J136" s="47" t="str">
        <f t="shared" si="2"/>
        <v>2025</v>
      </c>
      <c r="K136" s="38" t="str">
        <f t="shared" si="3"/>
        <v>12</v>
      </c>
      <c r="L136" s="38" t="str">
        <f t="shared" si="4"/>
        <v>05</v>
      </c>
      <c r="M136" s="45" t="str">
        <f t="shared" si="5"/>
        <v>17:46:39</v>
      </c>
    </row>
    <row r="137" ht="22.5" hidden="1" customHeight="1">
      <c r="A137" s="38" t="s">
        <v>69</v>
      </c>
      <c r="B137" s="38" t="s">
        <v>876</v>
      </c>
      <c r="C137" s="38" t="s">
        <v>74</v>
      </c>
      <c r="D137" s="38" t="s">
        <v>295</v>
      </c>
      <c r="E137" s="38">
        <f t="shared" si="7"/>
        <v>14</v>
      </c>
      <c r="F137" s="38" t="s">
        <v>124</v>
      </c>
      <c r="G137" s="38">
        <v>2.0</v>
      </c>
      <c r="H137" s="38" t="s">
        <v>878</v>
      </c>
      <c r="I137" s="38" t="s">
        <v>879</v>
      </c>
      <c r="J137" s="44" t="str">
        <f t="shared" si="2"/>
        <v>2025</v>
      </c>
      <c r="K137" s="38" t="str">
        <f t="shared" si="3"/>
        <v>12</v>
      </c>
      <c r="L137" s="38" t="str">
        <f t="shared" si="4"/>
        <v>05</v>
      </c>
      <c r="M137" s="45" t="str">
        <f t="shared" si="5"/>
        <v>17:39:26</v>
      </c>
    </row>
    <row r="138" ht="22.5" hidden="1" customHeight="1">
      <c r="A138" s="46" t="s">
        <v>69</v>
      </c>
      <c r="B138" s="46" t="s">
        <v>881</v>
      </c>
      <c r="C138" s="46" t="s">
        <v>74</v>
      </c>
      <c r="D138" s="46" t="s">
        <v>882</v>
      </c>
      <c r="E138" s="38">
        <f t="shared" si="7"/>
        <v>56</v>
      </c>
      <c r="F138" s="46" t="s">
        <v>101</v>
      </c>
      <c r="G138" s="46">
        <v>5.0</v>
      </c>
      <c r="H138" s="46" t="s">
        <v>884</v>
      </c>
      <c r="I138" s="46" t="s">
        <v>885</v>
      </c>
      <c r="J138" s="47" t="str">
        <f t="shared" si="2"/>
        <v>2025</v>
      </c>
      <c r="K138" s="38" t="str">
        <f t="shared" si="3"/>
        <v>12</v>
      </c>
      <c r="L138" s="38" t="str">
        <f t="shared" si="4"/>
        <v>05</v>
      </c>
      <c r="M138" s="45" t="str">
        <f t="shared" si="5"/>
        <v>17:27:55</v>
      </c>
    </row>
    <row r="139" ht="22.5" hidden="1" customHeight="1">
      <c r="A139" s="38" t="s">
        <v>69</v>
      </c>
      <c r="B139" s="38" t="s">
        <v>887</v>
      </c>
      <c r="C139" s="38" t="s">
        <v>74</v>
      </c>
      <c r="D139" s="38" t="s">
        <v>76</v>
      </c>
      <c r="E139" s="38">
        <f t="shared" si="7"/>
        <v>46</v>
      </c>
      <c r="F139" s="38" t="s">
        <v>52</v>
      </c>
      <c r="G139" s="38">
        <v>4.0</v>
      </c>
      <c r="H139" s="38" t="s">
        <v>888</v>
      </c>
      <c r="I139" s="38" t="s">
        <v>890</v>
      </c>
      <c r="J139" s="44" t="str">
        <f t="shared" si="2"/>
        <v>2025</v>
      </c>
      <c r="K139" s="38" t="str">
        <f t="shared" si="3"/>
        <v>12</v>
      </c>
      <c r="L139" s="38" t="str">
        <f t="shared" si="4"/>
        <v>05</v>
      </c>
      <c r="M139" s="45" t="str">
        <f t="shared" si="5"/>
        <v>16:11:51</v>
      </c>
    </row>
    <row r="140" ht="22.5" hidden="1" customHeight="1">
      <c r="A140" s="46" t="s">
        <v>69</v>
      </c>
      <c r="B140" s="46" t="s">
        <v>887</v>
      </c>
      <c r="C140" s="46" t="s">
        <v>74</v>
      </c>
      <c r="D140" s="46" t="s">
        <v>302</v>
      </c>
      <c r="E140" s="38">
        <f t="shared" si="7"/>
        <v>9</v>
      </c>
      <c r="F140" s="46" t="s">
        <v>110</v>
      </c>
      <c r="G140" s="46">
        <v>4.0</v>
      </c>
      <c r="H140" s="46" t="s">
        <v>892</v>
      </c>
      <c r="I140" s="46" t="s">
        <v>893</v>
      </c>
      <c r="J140" s="47" t="str">
        <f t="shared" si="2"/>
        <v>2025</v>
      </c>
      <c r="K140" s="38" t="str">
        <f t="shared" si="3"/>
        <v>12</v>
      </c>
      <c r="L140" s="38" t="str">
        <f t="shared" si="4"/>
        <v>05</v>
      </c>
      <c r="M140" s="45" t="str">
        <f t="shared" si="5"/>
        <v>16:05:53</v>
      </c>
    </row>
    <row r="141" ht="22.5" hidden="1" customHeight="1">
      <c r="A141" s="38" t="s">
        <v>69</v>
      </c>
      <c r="B141" s="38" t="s">
        <v>895</v>
      </c>
      <c r="C141" s="38" t="s">
        <v>74</v>
      </c>
      <c r="D141" s="38" t="s">
        <v>355</v>
      </c>
      <c r="E141" s="38">
        <f t="shared" si="7"/>
        <v>10</v>
      </c>
      <c r="F141" s="38" t="s">
        <v>52</v>
      </c>
      <c r="G141" s="38" t="s">
        <v>897</v>
      </c>
      <c r="H141" s="38" t="s">
        <v>898</v>
      </c>
      <c r="I141" s="38" t="s">
        <v>899</v>
      </c>
      <c r="J141" s="44" t="str">
        <f t="shared" si="2"/>
        <v>2025</v>
      </c>
      <c r="K141" s="38" t="str">
        <f t="shared" si="3"/>
        <v>12</v>
      </c>
      <c r="L141" s="38" t="str">
        <f t="shared" si="4"/>
        <v>05</v>
      </c>
      <c r="M141" s="45" t="str">
        <f t="shared" si="5"/>
        <v>14:35:23</v>
      </c>
    </row>
    <row r="142" ht="22.5" hidden="1" customHeight="1">
      <c r="A142" s="46" t="s">
        <v>69</v>
      </c>
      <c r="B142" s="46" t="s">
        <v>895</v>
      </c>
      <c r="C142" s="46" t="s">
        <v>74</v>
      </c>
      <c r="D142" s="46" t="s">
        <v>355</v>
      </c>
      <c r="E142" s="38">
        <f t="shared" si="7"/>
        <v>10</v>
      </c>
      <c r="F142" s="46" t="s">
        <v>149</v>
      </c>
      <c r="G142" s="46">
        <v>4.0</v>
      </c>
      <c r="H142" s="46" t="s">
        <v>904</v>
      </c>
      <c r="I142" s="46" t="s">
        <v>905</v>
      </c>
      <c r="J142" s="47" t="str">
        <f t="shared" si="2"/>
        <v>2025</v>
      </c>
      <c r="K142" s="38" t="str">
        <f t="shared" si="3"/>
        <v>12</v>
      </c>
      <c r="L142" s="38" t="str">
        <f t="shared" si="4"/>
        <v>05</v>
      </c>
      <c r="M142" s="45" t="str">
        <f t="shared" si="5"/>
        <v>14:32:57</v>
      </c>
    </row>
    <row r="143" ht="22.5" hidden="1" customHeight="1">
      <c r="A143" s="38" t="s">
        <v>69</v>
      </c>
      <c r="B143" s="38" t="s">
        <v>906</v>
      </c>
      <c r="C143" s="38" t="s">
        <v>74</v>
      </c>
      <c r="D143" s="38" t="s">
        <v>761</v>
      </c>
      <c r="E143" s="38">
        <f t="shared" si="7"/>
        <v>44</v>
      </c>
      <c r="F143" s="38" t="s">
        <v>110</v>
      </c>
      <c r="G143" s="38">
        <v>5.0</v>
      </c>
      <c r="H143" s="38" t="s">
        <v>908</v>
      </c>
      <c r="I143" s="38" t="s">
        <v>909</v>
      </c>
      <c r="J143" s="44" t="str">
        <f t="shared" si="2"/>
        <v>2025</v>
      </c>
      <c r="K143" s="38" t="str">
        <f t="shared" si="3"/>
        <v>12</v>
      </c>
      <c r="L143" s="38" t="str">
        <f t="shared" si="4"/>
        <v>05</v>
      </c>
      <c r="M143" s="45" t="str">
        <f t="shared" si="5"/>
        <v>10:30:24</v>
      </c>
    </row>
    <row r="144" ht="22.5" hidden="1" customHeight="1">
      <c r="A144" s="46" t="s">
        <v>69</v>
      </c>
      <c r="B144" s="46" t="s">
        <v>911</v>
      </c>
      <c r="C144" s="46" t="s">
        <v>74</v>
      </c>
      <c r="D144" s="46" t="s">
        <v>196</v>
      </c>
      <c r="E144" s="38">
        <f t="shared" si="7"/>
        <v>38</v>
      </c>
      <c r="F144" s="46" t="s">
        <v>78</v>
      </c>
      <c r="G144" s="46">
        <v>4.0</v>
      </c>
      <c r="H144" s="46" t="s">
        <v>913</v>
      </c>
      <c r="I144" s="46" t="s">
        <v>914</v>
      </c>
      <c r="J144" s="47" t="str">
        <f t="shared" si="2"/>
        <v>2025</v>
      </c>
      <c r="K144" s="38" t="str">
        <f t="shared" si="3"/>
        <v>12</v>
      </c>
      <c r="L144" s="38" t="str">
        <f t="shared" si="4"/>
        <v>05</v>
      </c>
      <c r="M144" s="45" t="str">
        <f t="shared" si="5"/>
        <v>10:27:51</v>
      </c>
    </row>
    <row r="145" ht="22.5" hidden="1" customHeight="1">
      <c r="A145" s="38" t="s">
        <v>69</v>
      </c>
      <c r="B145" s="38" t="s">
        <v>916</v>
      </c>
      <c r="C145" s="38" t="s">
        <v>74</v>
      </c>
      <c r="D145" s="38" t="s">
        <v>917</v>
      </c>
      <c r="E145" s="38">
        <f t="shared" si="7"/>
        <v>63</v>
      </c>
      <c r="F145" s="38" t="s">
        <v>20</v>
      </c>
      <c r="G145" s="38">
        <v>9.0</v>
      </c>
      <c r="H145" s="38" t="s">
        <v>919</v>
      </c>
      <c r="I145" s="38" t="s">
        <v>920</v>
      </c>
      <c r="J145" s="44" t="str">
        <f t="shared" si="2"/>
        <v>2025</v>
      </c>
      <c r="K145" s="38" t="str">
        <f t="shared" si="3"/>
        <v>12</v>
      </c>
      <c r="L145" s="38" t="str">
        <f t="shared" si="4"/>
        <v>05</v>
      </c>
      <c r="M145" s="45" t="str">
        <f t="shared" si="5"/>
        <v>10:03:48</v>
      </c>
    </row>
    <row r="146" ht="22.5" hidden="1" customHeight="1">
      <c r="A146" s="46" t="s">
        <v>69</v>
      </c>
      <c r="B146" s="46" t="s">
        <v>922</v>
      </c>
      <c r="C146" s="46" t="s">
        <v>74</v>
      </c>
      <c r="D146" s="46" t="s">
        <v>406</v>
      </c>
      <c r="E146" s="38">
        <f t="shared" si="7"/>
        <v>24</v>
      </c>
      <c r="F146" s="46" t="s">
        <v>91</v>
      </c>
      <c r="G146" s="46">
        <v>9.0</v>
      </c>
      <c r="H146" s="46" t="s">
        <v>924</v>
      </c>
      <c r="I146" s="46" t="s">
        <v>925</v>
      </c>
      <c r="J146" s="47" t="str">
        <f t="shared" si="2"/>
        <v>2025</v>
      </c>
      <c r="K146" s="38" t="str">
        <f t="shared" si="3"/>
        <v>12</v>
      </c>
      <c r="L146" s="38" t="str">
        <f t="shared" si="4"/>
        <v>05</v>
      </c>
      <c r="M146" s="45" t="str">
        <f t="shared" si="5"/>
        <v>08:41:11</v>
      </c>
    </row>
    <row r="147" ht="22.5" hidden="1" customHeight="1">
      <c r="A147" s="38" t="s">
        <v>69</v>
      </c>
      <c r="B147" s="38" t="s">
        <v>927</v>
      </c>
      <c r="C147" s="38" t="s">
        <v>343</v>
      </c>
      <c r="D147" s="38" t="s">
        <v>196</v>
      </c>
      <c r="E147" s="38">
        <f t="shared" si="7"/>
        <v>38</v>
      </c>
      <c r="F147" s="38" t="s">
        <v>116</v>
      </c>
      <c r="G147" s="38">
        <v>15.0</v>
      </c>
      <c r="H147" s="48"/>
      <c r="I147" s="38" t="s">
        <v>928</v>
      </c>
      <c r="J147" s="44" t="str">
        <f t="shared" si="2"/>
        <v>2025</v>
      </c>
      <c r="K147" s="38" t="str">
        <f t="shared" si="3"/>
        <v>12</v>
      </c>
      <c r="L147" s="38" t="str">
        <f t="shared" si="4"/>
        <v>04</v>
      </c>
      <c r="M147" s="45" t="str">
        <f t="shared" si="5"/>
        <v>20:47:15</v>
      </c>
    </row>
    <row r="148" ht="22.5" hidden="1" customHeight="1">
      <c r="A148" s="46" t="s">
        <v>69</v>
      </c>
      <c r="B148" s="46" t="s">
        <v>930</v>
      </c>
      <c r="C148" s="50"/>
      <c r="D148" s="50"/>
      <c r="E148" s="46">
        <v>8.0</v>
      </c>
      <c r="F148" s="46" t="s">
        <v>174</v>
      </c>
      <c r="G148" s="46">
        <v>14.0</v>
      </c>
      <c r="H148" s="46" t="s">
        <v>932</v>
      </c>
      <c r="I148" s="46" t="s">
        <v>933</v>
      </c>
      <c r="J148" s="47" t="str">
        <f t="shared" si="2"/>
        <v>2025</v>
      </c>
      <c r="K148" s="38" t="str">
        <f t="shared" si="3"/>
        <v>12</v>
      </c>
      <c r="L148" s="38" t="str">
        <f t="shared" si="4"/>
        <v>04</v>
      </c>
      <c r="M148" s="45" t="str">
        <f t="shared" si="5"/>
        <v>20:34:36</v>
      </c>
    </row>
    <row r="149" ht="22.5" hidden="1" customHeight="1">
      <c r="A149" s="38" t="s">
        <v>69</v>
      </c>
      <c r="B149" s="38" t="s">
        <v>930</v>
      </c>
      <c r="C149" s="38" t="s">
        <v>74</v>
      </c>
      <c r="D149" s="38" t="s">
        <v>936</v>
      </c>
      <c r="E149" s="59">
        <v>11.0</v>
      </c>
      <c r="F149" s="38" t="s">
        <v>182</v>
      </c>
      <c r="G149" s="38">
        <v>14.0</v>
      </c>
      <c r="H149" s="38" t="s">
        <v>932</v>
      </c>
      <c r="I149" s="38" t="s">
        <v>937</v>
      </c>
      <c r="J149" s="44" t="str">
        <f t="shared" si="2"/>
        <v>2025</v>
      </c>
      <c r="K149" s="38" t="str">
        <f t="shared" si="3"/>
        <v>12</v>
      </c>
      <c r="L149" s="38" t="str">
        <f t="shared" si="4"/>
        <v>04</v>
      </c>
      <c r="M149" s="45" t="str">
        <f t="shared" si="5"/>
        <v>20:34:35</v>
      </c>
    </row>
    <row r="150" ht="22.5" hidden="1" customHeight="1">
      <c r="A150" s="46" t="s">
        <v>69</v>
      </c>
      <c r="B150" s="46" t="s">
        <v>939</v>
      </c>
      <c r="C150" s="46" t="s">
        <v>74</v>
      </c>
      <c r="D150" s="46" t="s">
        <v>302</v>
      </c>
      <c r="E150" s="38">
        <f t="shared" ref="E150:E194" si="8">VALUE(SUBSTITUTE(D150, ".", ","))</f>
        <v>9</v>
      </c>
      <c r="F150" s="46" t="s">
        <v>78</v>
      </c>
      <c r="G150" s="46">
        <v>3.0</v>
      </c>
      <c r="H150" s="46" t="s">
        <v>941</v>
      </c>
      <c r="I150" s="46" t="s">
        <v>942</v>
      </c>
      <c r="J150" s="47" t="str">
        <f t="shared" si="2"/>
        <v>2025</v>
      </c>
      <c r="K150" s="38" t="str">
        <f t="shared" si="3"/>
        <v>12</v>
      </c>
      <c r="L150" s="38" t="str">
        <f t="shared" si="4"/>
        <v>04</v>
      </c>
      <c r="M150" s="45" t="str">
        <f t="shared" si="5"/>
        <v>19:43:56</v>
      </c>
    </row>
    <row r="151" ht="22.5" hidden="1" customHeight="1">
      <c r="A151" s="38" t="s">
        <v>69</v>
      </c>
      <c r="B151" s="38" t="s">
        <v>944</v>
      </c>
      <c r="C151" s="38" t="s">
        <v>343</v>
      </c>
      <c r="D151" s="38" t="s">
        <v>945</v>
      </c>
      <c r="E151" s="38">
        <f t="shared" si="8"/>
        <v>30</v>
      </c>
      <c r="F151" s="38" t="s">
        <v>132</v>
      </c>
      <c r="G151" s="38">
        <v>24.0</v>
      </c>
      <c r="H151" s="38" t="s">
        <v>947</v>
      </c>
      <c r="I151" s="38" t="s">
        <v>948</v>
      </c>
      <c r="J151" s="44" t="str">
        <f t="shared" si="2"/>
        <v>2025</v>
      </c>
      <c r="K151" s="38" t="str">
        <f t="shared" si="3"/>
        <v>12</v>
      </c>
      <c r="L151" s="38" t="str">
        <f t="shared" si="4"/>
        <v>04</v>
      </c>
      <c r="M151" s="45" t="str">
        <f t="shared" si="5"/>
        <v>19:41:01</v>
      </c>
    </row>
    <row r="152" ht="22.5" hidden="1" customHeight="1">
      <c r="A152" s="46" t="s">
        <v>69</v>
      </c>
      <c r="B152" s="46" t="s">
        <v>950</v>
      </c>
      <c r="C152" s="46" t="s">
        <v>74</v>
      </c>
      <c r="D152" s="46" t="s">
        <v>233</v>
      </c>
      <c r="E152" s="38">
        <f t="shared" si="8"/>
        <v>39</v>
      </c>
      <c r="F152" s="46" t="s">
        <v>116</v>
      </c>
      <c r="G152" s="46">
        <v>4.0</v>
      </c>
      <c r="H152" s="50"/>
      <c r="I152" s="46" t="s">
        <v>952</v>
      </c>
      <c r="J152" s="47" t="str">
        <f t="shared" si="2"/>
        <v>2025</v>
      </c>
      <c r="K152" s="38" t="str">
        <f t="shared" si="3"/>
        <v>12</v>
      </c>
      <c r="L152" s="38" t="str">
        <f t="shared" si="4"/>
        <v>04</v>
      </c>
      <c r="M152" s="45" t="str">
        <f t="shared" si="5"/>
        <v>18:37:26</v>
      </c>
    </row>
    <row r="153" ht="22.5" hidden="1" customHeight="1">
      <c r="A153" s="38" t="s">
        <v>69</v>
      </c>
      <c r="B153" s="38" t="s">
        <v>954</v>
      </c>
      <c r="C153" s="38" t="s">
        <v>74</v>
      </c>
      <c r="D153" s="38" t="s">
        <v>406</v>
      </c>
      <c r="E153" s="38">
        <f t="shared" si="8"/>
        <v>24</v>
      </c>
      <c r="F153" s="38" t="s">
        <v>136</v>
      </c>
      <c r="G153" s="38">
        <v>1.0</v>
      </c>
      <c r="H153" s="48"/>
      <c r="I153" s="38" t="s">
        <v>955</v>
      </c>
      <c r="J153" s="44" t="str">
        <f t="shared" si="2"/>
        <v>2025</v>
      </c>
      <c r="K153" s="38" t="str">
        <f t="shared" si="3"/>
        <v>12</v>
      </c>
      <c r="L153" s="38" t="str">
        <f t="shared" si="4"/>
        <v>04</v>
      </c>
      <c r="M153" s="45" t="str">
        <f t="shared" si="5"/>
        <v>18:17:27</v>
      </c>
    </row>
    <row r="154" ht="22.5" hidden="1" customHeight="1">
      <c r="A154" s="46" t="s">
        <v>69</v>
      </c>
      <c r="B154" s="46" t="s">
        <v>957</v>
      </c>
      <c r="C154" s="46" t="s">
        <v>343</v>
      </c>
      <c r="D154" s="46" t="s">
        <v>93</v>
      </c>
      <c r="E154" s="38">
        <f t="shared" si="8"/>
        <v>8</v>
      </c>
      <c r="F154" s="46" t="s">
        <v>52</v>
      </c>
      <c r="G154" s="46">
        <v>22.0</v>
      </c>
      <c r="H154" s="50"/>
      <c r="I154" s="46" t="s">
        <v>961</v>
      </c>
      <c r="J154" s="47" t="str">
        <f t="shared" si="2"/>
        <v>2025</v>
      </c>
      <c r="K154" s="38" t="str">
        <f t="shared" si="3"/>
        <v>12</v>
      </c>
      <c r="L154" s="38" t="str">
        <f t="shared" si="4"/>
        <v>04</v>
      </c>
      <c r="M154" s="45" t="str">
        <f t="shared" si="5"/>
        <v>18:11:23</v>
      </c>
    </row>
    <row r="155" ht="22.5" hidden="1" customHeight="1">
      <c r="A155" s="38" t="s">
        <v>69</v>
      </c>
      <c r="B155" s="38" t="s">
        <v>962</v>
      </c>
      <c r="C155" s="38" t="s">
        <v>74</v>
      </c>
      <c r="D155" s="38" t="s">
        <v>212</v>
      </c>
      <c r="E155" s="38">
        <f t="shared" si="8"/>
        <v>17</v>
      </c>
      <c r="F155" s="38" t="s">
        <v>105</v>
      </c>
      <c r="G155" s="38">
        <v>9.0</v>
      </c>
      <c r="H155" s="38" t="s">
        <v>965</v>
      </c>
      <c r="I155" s="38" t="s">
        <v>966</v>
      </c>
      <c r="J155" s="44" t="str">
        <f t="shared" si="2"/>
        <v>2025</v>
      </c>
      <c r="K155" s="38" t="str">
        <f t="shared" si="3"/>
        <v>12</v>
      </c>
      <c r="L155" s="38" t="str">
        <f t="shared" si="4"/>
        <v>04</v>
      </c>
      <c r="M155" s="45" t="str">
        <f t="shared" si="5"/>
        <v>17:32:39</v>
      </c>
    </row>
    <row r="156" ht="22.5" hidden="1" customHeight="1">
      <c r="A156" s="46" t="s">
        <v>69</v>
      </c>
      <c r="B156" s="46" t="s">
        <v>969</v>
      </c>
      <c r="C156" s="46" t="s">
        <v>74</v>
      </c>
      <c r="D156" s="46" t="s">
        <v>196</v>
      </c>
      <c r="E156" s="38">
        <f t="shared" si="8"/>
        <v>38</v>
      </c>
      <c r="F156" s="46" t="s">
        <v>132</v>
      </c>
      <c r="G156" s="46">
        <v>25.0</v>
      </c>
      <c r="H156" s="46" t="s">
        <v>970</v>
      </c>
      <c r="I156" s="46" t="s">
        <v>972</v>
      </c>
      <c r="J156" s="47" t="str">
        <f t="shared" si="2"/>
        <v>2025</v>
      </c>
      <c r="K156" s="38" t="str">
        <f t="shared" si="3"/>
        <v>12</v>
      </c>
      <c r="L156" s="38" t="str">
        <f t="shared" si="4"/>
        <v>04</v>
      </c>
      <c r="M156" s="45" t="str">
        <f t="shared" si="5"/>
        <v>15:48:46</v>
      </c>
    </row>
    <row r="157" ht="22.5" hidden="1" customHeight="1">
      <c r="A157" s="38" t="s">
        <v>69</v>
      </c>
      <c r="B157" s="38" t="s">
        <v>974</v>
      </c>
      <c r="C157" s="38" t="s">
        <v>74</v>
      </c>
      <c r="D157" s="38" t="s">
        <v>196</v>
      </c>
      <c r="E157" s="38">
        <f t="shared" si="8"/>
        <v>38</v>
      </c>
      <c r="F157" s="38" t="s">
        <v>20</v>
      </c>
      <c r="G157" s="38">
        <v>3.0</v>
      </c>
      <c r="H157" s="38" t="s">
        <v>976</v>
      </c>
      <c r="I157" s="38" t="s">
        <v>977</v>
      </c>
      <c r="J157" s="44" t="str">
        <f t="shared" si="2"/>
        <v>2025</v>
      </c>
      <c r="K157" s="38" t="str">
        <f t="shared" si="3"/>
        <v>12</v>
      </c>
      <c r="L157" s="38" t="str">
        <f t="shared" si="4"/>
        <v>04</v>
      </c>
      <c r="M157" s="45" t="str">
        <f t="shared" si="5"/>
        <v>14:58:58</v>
      </c>
    </row>
    <row r="158" ht="22.5" hidden="1" customHeight="1">
      <c r="A158" s="46" t="s">
        <v>69</v>
      </c>
      <c r="B158" s="46" t="s">
        <v>979</v>
      </c>
      <c r="C158" s="46" t="s">
        <v>74</v>
      </c>
      <c r="D158" s="46" t="s">
        <v>981</v>
      </c>
      <c r="E158" s="38">
        <f t="shared" si="8"/>
        <v>59</v>
      </c>
      <c r="F158" s="46" t="s">
        <v>124</v>
      </c>
      <c r="G158" s="46">
        <v>16.0</v>
      </c>
      <c r="H158" s="50"/>
      <c r="I158" s="46" t="s">
        <v>982</v>
      </c>
      <c r="J158" s="47" t="str">
        <f t="shared" si="2"/>
        <v>2025</v>
      </c>
      <c r="K158" s="38" t="str">
        <f t="shared" si="3"/>
        <v>12</v>
      </c>
      <c r="L158" s="38" t="str">
        <f t="shared" si="4"/>
        <v>04</v>
      </c>
      <c r="M158" s="45" t="str">
        <f t="shared" si="5"/>
        <v>14:46:06</v>
      </c>
    </row>
    <row r="159" ht="22.5" hidden="1" customHeight="1">
      <c r="A159" s="38" t="s">
        <v>69</v>
      </c>
      <c r="B159" s="38" t="s">
        <v>984</v>
      </c>
      <c r="C159" s="38" t="s">
        <v>74</v>
      </c>
      <c r="D159" s="38" t="s">
        <v>189</v>
      </c>
      <c r="E159" s="38">
        <f t="shared" si="8"/>
        <v>16</v>
      </c>
      <c r="F159" s="38" t="s">
        <v>132</v>
      </c>
      <c r="G159" s="38">
        <v>7.0</v>
      </c>
      <c r="H159" s="38" t="s">
        <v>986</v>
      </c>
      <c r="I159" s="38" t="s">
        <v>987</v>
      </c>
      <c r="J159" s="44" t="str">
        <f t="shared" si="2"/>
        <v>2025</v>
      </c>
      <c r="K159" s="38" t="str">
        <f t="shared" si="3"/>
        <v>12</v>
      </c>
      <c r="L159" s="38" t="str">
        <f t="shared" si="4"/>
        <v>04</v>
      </c>
      <c r="M159" s="45" t="str">
        <f t="shared" si="5"/>
        <v>14:45:34</v>
      </c>
    </row>
    <row r="160" ht="22.5" hidden="1" customHeight="1">
      <c r="A160" s="46" t="s">
        <v>69</v>
      </c>
      <c r="B160" s="46" t="s">
        <v>984</v>
      </c>
      <c r="C160" s="46" t="s">
        <v>74</v>
      </c>
      <c r="D160" s="46" t="s">
        <v>355</v>
      </c>
      <c r="E160" s="38">
        <f t="shared" si="8"/>
        <v>10</v>
      </c>
      <c r="F160" s="46" t="s">
        <v>132</v>
      </c>
      <c r="G160" s="46">
        <v>6.0</v>
      </c>
      <c r="H160" s="50"/>
      <c r="I160" s="46" t="s">
        <v>991</v>
      </c>
      <c r="J160" s="47" t="str">
        <f t="shared" si="2"/>
        <v>2025</v>
      </c>
      <c r="K160" s="38" t="str">
        <f t="shared" si="3"/>
        <v>12</v>
      </c>
      <c r="L160" s="38" t="str">
        <f t="shared" si="4"/>
        <v>04</v>
      </c>
      <c r="M160" s="45" t="str">
        <f t="shared" si="5"/>
        <v>14:43:11</v>
      </c>
    </row>
    <row r="161" ht="22.5" hidden="1" customHeight="1">
      <c r="A161" s="38" t="s">
        <v>69</v>
      </c>
      <c r="B161" s="38" t="s">
        <v>993</v>
      </c>
      <c r="C161" s="38" t="s">
        <v>74</v>
      </c>
      <c r="D161" s="38" t="s">
        <v>556</v>
      </c>
      <c r="E161" s="38">
        <f t="shared" si="8"/>
        <v>40</v>
      </c>
      <c r="F161" s="38" t="s">
        <v>182</v>
      </c>
      <c r="G161" s="38">
        <v>17.0</v>
      </c>
      <c r="H161" s="48"/>
      <c r="I161" s="38" t="s">
        <v>996</v>
      </c>
      <c r="J161" s="44" t="str">
        <f t="shared" si="2"/>
        <v>2025</v>
      </c>
      <c r="K161" s="38" t="str">
        <f t="shared" si="3"/>
        <v>12</v>
      </c>
      <c r="L161" s="38" t="str">
        <f t="shared" si="4"/>
        <v>04</v>
      </c>
      <c r="M161" s="45" t="str">
        <f t="shared" si="5"/>
        <v>13:36:42</v>
      </c>
    </row>
    <row r="162" ht="22.5" hidden="1" customHeight="1">
      <c r="A162" s="46" t="s">
        <v>69</v>
      </c>
      <c r="B162" s="46" t="s">
        <v>998</v>
      </c>
      <c r="C162" s="46" t="s">
        <v>343</v>
      </c>
      <c r="D162" s="46" t="s">
        <v>76</v>
      </c>
      <c r="E162" s="38">
        <f t="shared" si="8"/>
        <v>46</v>
      </c>
      <c r="F162" s="46" t="s">
        <v>174</v>
      </c>
      <c r="G162" s="46">
        <v>7.0</v>
      </c>
      <c r="H162" s="50"/>
      <c r="I162" s="46" t="s">
        <v>1000</v>
      </c>
      <c r="J162" s="47" t="str">
        <f t="shared" si="2"/>
        <v>2025</v>
      </c>
      <c r="K162" s="38" t="str">
        <f t="shared" si="3"/>
        <v>12</v>
      </c>
      <c r="L162" s="38" t="str">
        <f t="shared" si="4"/>
        <v>04</v>
      </c>
      <c r="M162" s="45" t="str">
        <f t="shared" si="5"/>
        <v>10:18:20</v>
      </c>
    </row>
    <row r="163" ht="22.5" hidden="1" customHeight="1">
      <c r="A163" s="38" t="s">
        <v>69</v>
      </c>
      <c r="B163" s="38" t="s">
        <v>1003</v>
      </c>
      <c r="C163" s="38" t="s">
        <v>343</v>
      </c>
      <c r="D163" s="38" t="s">
        <v>936</v>
      </c>
      <c r="E163" s="38">
        <f t="shared" si="8"/>
        <v>19</v>
      </c>
      <c r="F163" s="38" t="s">
        <v>52</v>
      </c>
      <c r="G163" s="38">
        <v>16.0</v>
      </c>
      <c r="H163" s="38" t="s">
        <v>1005</v>
      </c>
      <c r="I163" s="38" t="s">
        <v>1007</v>
      </c>
      <c r="J163" s="44" t="str">
        <f t="shared" si="2"/>
        <v>2025</v>
      </c>
      <c r="K163" s="38" t="str">
        <f t="shared" si="3"/>
        <v>12</v>
      </c>
      <c r="L163" s="38" t="str">
        <f t="shared" si="4"/>
        <v>04</v>
      </c>
      <c r="M163" s="45" t="str">
        <f t="shared" si="5"/>
        <v>09:51:39</v>
      </c>
    </row>
    <row r="164" ht="22.5" hidden="1" customHeight="1">
      <c r="A164" s="46" t="s">
        <v>69</v>
      </c>
      <c r="B164" s="46" t="s">
        <v>1003</v>
      </c>
      <c r="C164" s="46" t="s">
        <v>343</v>
      </c>
      <c r="D164" s="46" t="s">
        <v>241</v>
      </c>
      <c r="E164" s="38">
        <f t="shared" si="8"/>
        <v>18</v>
      </c>
      <c r="F164" s="46" t="s">
        <v>149</v>
      </c>
      <c r="G164" s="46">
        <v>5.0</v>
      </c>
      <c r="H164" s="46" t="s">
        <v>1005</v>
      </c>
      <c r="I164" s="46" t="s">
        <v>1009</v>
      </c>
      <c r="J164" s="47" t="str">
        <f t="shared" si="2"/>
        <v>2025</v>
      </c>
      <c r="K164" s="38" t="str">
        <f t="shared" si="3"/>
        <v>12</v>
      </c>
      <c r="L164" s="38" t="str">
        <f t="shared" si="4"/>
        <v>04</v>
      </c>
      <c r="M164" s="45" t="str">
        <f t="shared" si="5"/>
        <v>09:51:02</v>
      </c>
    </row>
    <row r="165" ht="22.5" hidden="1" customHeight="1">
      <c r="A165" s="38" t="s">
        <v>69</v>
      </c>
      <c r="B165" s="38" t="s">
        <v>1011</v>
      </c>
      <c r="C165" s="38" t="s">
        <v>74</v>
      </c>
      <c r="D165" s="38" t="s">
        <v>882</v>
      </c>
      <c r="E165" s="38">
        <f t="shared" si="8"/>
        <v>56</v>
      </c>
      <c r="F165" s="38" t="s">
        <v>52</v>
      </c>
      <c r="G165" s="38">
        <v>23.0</v>
      </c>
      <c r="H165" s="38" t="s">
        <v>1013</v>
      </c>
      <c r="I165" s="38" t="s">
        <v>1015</v>
      </c>
      <c r="J165" s="44" t="str">
        <f t="shared" si="2"/>
        <v>2025</v>
      </c>
      <c r="K165" s="38" t="str">
        <f t="shared" si="3"/>
        <v>12</v>
      </c>
      <c r="L165" s="38" t="str">
        <f t="shared" si="4"/>
        <v>04</v>
      </c>
      <c r="M165" s="45" t="str">
        <f t="shared" si="5"/>
        <v>08:36:29</v>
      </c>
    </row>
    <row r="166" ht="22.5" hidden="1" customHeight="1">
      <c r="A166" s="46" t="s">
        <v>69</v>
      </c>
      <c r="B166" s="46" t="s">
        <v>1017</v>
      </c>
      <c r="C166" s="46" t="s">
        <v>74</v>
      </c>
      <c r="D166" s="46" t="s">
        <v>196</v>
      </c>
      <c r="E166" s="38">
        <f t="shared" si="8"/>
        <v>38</v>
      </c>
      <c r="F166" s="46" t="s">
        <v>137</v>
      </c>
      <c r="G166" s="46">
        <v>11.0</v>
      </c>
      <c r="H166" s="46" t="s">
        <v>1019</v>
      </c>
      <c r="I166" s="46" t="s">
        <v>1020</v>
      </c>
      <c r="J166" s="47" t="str">
        <f t="shared" si="2"/>
        <v>2025</v>
      </c>
      <c r="K166" s="38" t="str">
        <f t="shared" si="3"/>
        <v>12</v>
      </c>
      <c r="L166" s="38" t="str">
        <f t="shared" si="4"/>
        <v>04</v>
      </c>
      <c r="M166" s="45" t="str">
        <f t="shared" si="5"/>
        <v>08:02:36</v>
      </c>
    </row>
    <row r="167" ht="22.5" hidden="1" customHeight="1">
      <c r="A167" s="38" t="s">
        <v>69</v>
      </c>
      <c r="B167" s="38" t="s">
        <v>1023</v>
      </c>
      <c r="C167" s="38" t="s">
        <v>74</v>
      </c>
      <c r="D167" s="38" t="s">
        <v>476</v>
      </c>
      <c r="E167" s="38">
        <f t="shared" si="8"/>
        <v>33</v>
      </c>
      <c r="F167" s="38" t="s">
        <v>190</v>
      </c>
      <c r="G167" s="38">
        <v>14.0</v>
      </c>
      <c r="H167" s="48"/>
      <c r="I167" s="38" t="s">
        <v>1026</v>
      </c>
      <c r="J167" s="44" t="str">
        <f t="shared" si="2"/>
        <v>2025</v>
      </c>
      <c r="K167" s="38" t="str">
        <f t="shared" si="3"/>
        <v>12</v>
      </c>
      <c r="L167" s="38" t="str">
        <f t="shared" si="4"/>
        <v>03</v>
      </c>
      <c r="M167" s="45" t="str">
        <f t="shared" si="5"/>
        <v>19:25:41</v>
      </c>
    </row>
    <row r="168" ht="22.5" hidden="1" customHeight="1">
      <c r="A168" s="46" t="s">
        <v>69</v>
      </c>
      <c r="B168" s="46" t="s">
        <v>1027</v>
      </c>
      <c r="C168" s="46" t="s">
        <v>74</v>
      </c>
      <c r="D168" s="46" t="s">
        <v>289</v>
      </c>
      <c r="E168" s="38">
        <f t="shared" si="8"/>
        <v>41</v>
      </c>
      <c r="F168" s="46" t="s">
        <v>98</v>
      </c>
      <c r="G168" s="46">
        <v>14.0</v>
      </c>
      <c r="H168" s="46" t="s">
        <v>1029</v>
      </c>
      <c r="I168" s="46" t="s">
        <v>1030</v>
      </c>
      <c r="J168" s="47" t="str">
        <f t="shared" si="2"/>
        <v>2025</v>
      </c>
      <c r="K168" s="38" t="str">
        <f t="shared" si="3"/>
        <v>12</v>
      </c>
      <c r="L168" s="38" t="str">
        <f t="shared" si="4"/>
        <v>03</v>
      </c>
      <c r="M168" s="45" t="str">
        <f t="shared" si="5"/>
        <v>19:18:46</v>
      </c>
    </row>
    <row r="169" ht="22.5" hidden="1" customHeight="1">
      <c r="A169" s="38" t="s">
        <v>69</v>
      </c>
      <c r="B169" s="38" t="s">
        <v>1027</v>
      </c>
      <c r="C169" s="38" t="s">
        <v>74</v>
      </c>
      <c r="D169" s="38" t="s">
        <v>1032</v>
      </c>
      <c r="E169" s="38">
        <f t="shared" si="8"/>
        <v>50</v>
      </c>
      <c r="F169" s="38" t="s">
        <v>52</v>
      </c>
      <c r="G169" s="38">
        <v>11.0</v>
      </c>
      <c r="H169" s="38" t="s">
        <v>1034</v>
      </c>
      <c r="I169" s="38" t="s">
        <v>1035</v>
      </c>
      <c r="J169" s="44" t="str">
        <f t="shared" si="2"/>
        <v>2025</v>
      </c>
      <c r="K169" s="38" t="str">
        <f t="shared" si="3"/>
        <v>12</v>
      </c>
      <c r="L169" s="38" t="str">
        <f t="shared" si="4"/>
        <v>03</v>
      </c>
      <c r="M169" s="45" t="str">
        <f t="shared" si="5"/>
        <v>18:30:33</v>
      </c>
    </row>
    <row r="170" ht="22.5" hidden="1" customHeight="1">
      <c r="A170" s="46" t="s">
        <v>69</v>
      </c>
      <c r="B170" s="46" t="s">
        <v>1037</v>
      </c>
      <c r="C170" s="46" t="s">
        <v>74</v>
      </c>
      <c r="D170" s="46" t="s">
        <v>93</v>
      </c>
      <c r="E170" s="38">
        <f t="shared" si="8"/>
        <v>8</v>
      </c>
      <c r="F170" s="46" t="s">
        <v>106</v>
      </c>
      <c r="G170" s="46">
        <v>10.0</v>
      </c>
      <c r="H170" s="50"/>
      <c r="I170" s="46" t="s">
        <v>1040</v>
      </c>
      <c r="J170" s="47" t="str">
        <f t="shared" si="2"/>
        <v>2025</v>
      </c>
      <c r="K170" s="38" t="str">
        <f t="shared" si="3"/>
        <v>12</v>
      </c>
      <c r="L170" s="38" t="str">
        <f t="shared" si="4"/>
        <v>03</v>
      </c>
      <c r="M170" s="45" t="str">
        <f t="shared" si="5"/>
        <v>18:04:49</v>
      </c>
    </row>
    <row r="171" ht="22.5" hidden="1" customHeight="1">
      <c r="A171" s="38" t="s">
        <v>69</v>
      </c>
      <c r="B171" s="38" t="s">
        <v>1042</v>
      </c>
      <c r="C171" s="38" t="s">
        <v>74</v>
      </c>
      <c r="D171" s="38" t="s">
        <v>220</v>
      </c>
      <c r="E171" s="38">
        <f t="shared" si="8"/>
        <v>13</v>
      </c>
      <c r="F171" s="38" t="s">
        <v>190</v>
      </c>
      <c r="G171" s="38">
        <v>2.0</v>
      </c>
      <c r="H171" s="38" t="s">
        <v>1045</v>
      </c>
      <c r="I171" s="38" t="s">
        <v>1046</v>
      </c>
      <c r="J171" s="44" t="str">
        <f t="shared" si="2"/>
        <v>2025</v>
      </c>
      <c r="K171" s="38" t="str">
        <f t="shared" si="3"/>
        <v>12</v>
      </c>
      <c r="L171" s="38" t="str">
        <f t="shared" si="4"/>
        <v>03</v>
      </c>
      <c r="M171" s="45" t="str">
        <f t="shared" si="5"/>
        <v>17:33:23</v>
      </c>
    </row>
    <row r="172" ht="22.5" hidden="1" customHeight="1">
      <c r="A172" s="46" t="s">
        <v>69</v>
      </c>
      <c r="B172" s="46" t="s">
        <v>1048</v>
      </c>
      <c r="C172" s="46" t="s">
        <v>74</v>
      </c>
      <c r="D172" s="46" t="s">
        <v>531</v>
      </c>
      <c r="E172" s="38">
        <f t="shared" si="8"/>
        <v>11</v>
      </c>
      <c r="F172" s="46" t="s">
        <v>182</v>
      </c>
      <c r="G172" s="46">
        <v>13.0</v>
      </c>
      <c r="H172" s="46" t="s">
        <v>1051</v>
      </c>
      <c r="I172" s="46" t="s">
        <v>1052</v>
      </c>
      <c r="J172" s="47" t="str">
        <f t="shared" si="2"/>
        <v>2025</v>
      </c>
      <c r="K172" s="38" t="str">
        <f t="shared" si="3"/>
        <v>12</v>
      </c>
      <c r="L172" s="38" t="str">
        <f t="shared" si="4"/>
        <v>03</v>
      </c>
      <c r="M172" s="45" t="str">
        <f t="shared" si="5"/>
        <v>17:20:58</v>
      </c>
    </row>
    <row r="173" ht="22.5" hidden="1" customHeight="1">
      <c r="A173" s="38" t="s">
        <v>69</v>
      </c>
      <c r="B173" s="38" t="s">
        <v>71</v>
      </c>
      <c r="C173" s="38" t="s">
        <v>74</v>
      </c>
      <c r="D173" s="38" t="s">
        <v>1055</v>
      </c>
      <c r="E173" s="38">
        <f t="shared" si="8"/>
        <v>53</v>
      </c>
      <c r="F173" s="38" t="s">
        <v>193</v>
      </c>
      <c r="G173" s="38">
        <v>6.0</v>
      </c>
      <c r="H173" s="38" t="s">
        <v>1057</v>
      </c>
      <c r="I173" s="38" t="s">
        <v>1058</v>
      </c>
      <c r="J173" s="44" t="str">
        <f t="shared" si="2"/>
        <v>2025</v>
      </c>
      <c r="K173" s="38" t="str">
        <f t="shared" si="3"/>
        <v>12</v>
      </c>
      <c r="L173" s="38" t="str">
        <f t="shared" si="4"/>
        <v>03</v>
      </c>
      <c r="M173" s="45" t="str">
        <f t="shared" si="5"/>
        <v>16:41:30</v>
      </c>
    </row>
    <row r="174" ht="22.5" hidden="1" customHeight="1">
      <c r="A174" s="46" t="s">
        <v>69</v>
      </c>
      <c r="B174" s="46" t="s">
        <v>1060</v>
      </c>
      <c r="C174" s="46" t="s">
        <v>74</v>
      </c>
      <c r="D174" s="46" t="s">
        <v>93</v>
      </c>
      <c r="E174" s="38">
        <f t="shared" si="8"/>
        <v>8</v>
      </c>
      <c r="F174" s="46" t="s">
        <v>206</v>
      </c>
      <c r="G174" s="46">
        <v>6.0</v>
      </c>
      <c r="H174" s="46" t="s">
        <v>1063</v>
      </c>
      <c r="I174" s="46" t="s">
        <v>1064</v>
      </c>
      <c r="J174" s="47" t="str">
        <f t="shared" si="2"/>
        <v>2025</v>
      </c>
      <c r="K174" s="38" t="str">
        <f t="shared" si="3"/>
        <v>12</v>
      </c>
      <c r="L174" s="38" t="str">
        <f t="shared" si="4"/>
        <v>03</v>
      </c>
      <c r="M174" s="45" t="str">
        <f t="shared" si="5"/>
        <v>15:40:07</v>
      </c>
    </row>
    <row r="175" ht="22.5" hidden="1" customHeight="1">
      <c r="A175" s="38" t="s">
        <v>69</v>
      </c>
      <c r="B175" s="38" t="s">
        <v>1066</v>
      </c>
      <c r="C175" s="38" t="s">
        <v>74</v>
      </c>
      <c r="D175" s="38" t="s">
        <v>93</v>
      </c>
      <c r="E175" s="38">
        <f t="shared" si="8"/>
        <v>8</v>
      </c>
      <c r="F175" s="38" t="s">
        <v>170</v>
      </c>
      <c r="G175" s="38">
        <v>4.0</v>
      </c>
      <c r="H175" s="38" t="s">
        <v>1068</v>
      </c>
      <c r="I175" s="38" t="s">
        <v>1069</v>
      </c>
      <c r="J175" s="44" t="str">
        <f t="shared" si="2"/>
        <v>2025</v>
      </c>
      <c r="K175" s="38" t="str">
        <f t="shared" si="3"/>
        <v>12</v>
      </c>
      <c r="L175" s="38" t="str">
        <f t="shared" si="4"/>
        <v>03</v>
      </c>
      <c r="M175" s="45" t="str">
        <f t="shared" si="5"/>
        <v>15:16:10</v>
      </c>
    </row>
    <row r="176" ht="22.5" hidden="1" customHeight="1">
      <c r="A176" s="46" t="s">
        <v>69</v>
      </c>
      <c r="B176" s="46" t="s">
        <v>1027</v>
      </c>
      <c r="C176" s="46" t="s">
        <v>74</v>
      </c>
      <c r="D176" s="46" t="s">
        <v>383</v>
      </c>
      <c r="E176" s="38">
        <f t="shared" si="8"/>
        <v>15</v>
      </c>
      <c r="F176" s="46" t="s">
        <v>115</v>
      </c>
      <c r="G176" s="46">
        <v>11.0</v>
      </c>
      <c r="H176" s="46" t="s">
        <v>1073</v>
      </c>
      <c r="I176" s="46" t="s">
        <v>1074</v>
      </c>
      <c r="J176" s="47" t="str">
        <f t="shared" si="2"/>
        <v>2025</v>
      </c>
      <c r="K176" s="38" t="str">
        <f t="shared" si="3"/>
        <v>12</v>
      </c>
      <c r="L176" s="38" t="str">
        <f t="shared" si="4"/>
        <v>03</v>
      </c>
      <c r="M176" s="45" t="str">
        <f t="shared" si="5"/>
        <v>10:07:11</v>
      </c>
    </row>
    <row r="177" ht="22.5" hidden="1" customHeight="1">
      <c r="A177" s="38" t="s">
        <v>69</v>
      </c>
      <c r="B177" s="38" t="s">
        <v>1076</v>
      </c>
      <c r="C177" s="38" t="s">
        <v>74</v>
      </c>
      <c r="D177" s="38" t="s">
        <v>1077</v>
      </c>
      <c r="E177" s="38">
        <f t="shared" si="8"/>
        <v>23</v>
      </c>
      <c r="F177" s="38" t="s">
        <v>132</v>
      </c>
      <c r="G177" s="38">
        <v>16.0</v>
      </c>
      <c r="H177" s="38" t="s">
        <v>1080</v>
      </c>
      <c r="I177" s="38" t="s">
        <v>1081</v>
      </c>
      <c r="J177" s="44" t="str">
        <f t="shared" si="2"/>
        <v>2025</v>
      </c>
      <c r="K177" s="38" t="str">
        <f t="shared" si="3"/>
        <v>12</v>
      </c>
      <c r="L177" s="38" t="str">
        <f t="shared" si="4"/>
        <v>03</v>
      </c>
      <c r="M177" s="45" t="str">
        <f t="shared" si="5"/>
        <v>09:56:32</v>
      </c>
    </row>
    <row r="178" ht="22.5" hidden="1" customHeight="1">
      <c r="A178" s="74" t="s">
        <v>69</v>
      </c>
      <c r="B178" s="46" t="s">
        <v>1011</v>
      </c>
      <c r="C178" s="74" t="s">
        <v>74</v>
      </c>
      <c r="D178" s="74" t="s">
        <v>289</v>
      </c>
      <c r="E178" s="38">
        <f t="shared" si="8"/>
        <v>41</v>
      </c>
      <c r="F178" s="74" t="s">
        <v>52</v>
      </c>
      <c r="G178" s="74">
        <v>42.0</v>
      </c>
      <c r="H178" s="74" t="s">
        <v>1086</v>
      </c>
      <c r="I178" s="74" t="s">
        <v>1087</v>
      </c>
      <c r="J178" s="47" t="str">
        <f t="shared" si="2"/>
        <v>2025</v>
      </c>
      <c r="K178" s="38" t="str">
        <f t="shared" si="3"/>
        <v>12</v>
      </c>
      <c r="L178" s="38" t="str">
        <f t="shared" si="4"/>
        <v>03</v>
      </c>
      <c r="M178" s="45" t="str">
        <f t="shared" si="5"/>
        <v>09:06:08</v>
      </c>
    </row>
    <row r="179" ht="22.5" hidden="1" customHeight="1">
      <c r="A179" s="38" t="s">
        <v>69</v>
      </c>
      <c r="B179" s="38" t="s">
        <v>1089</v>
      </c>
      <c r="C179" s="38" t="s">
        <v>343</v>
      </c>
      <c r="D179" s="38" t="s">
        <v>173</v>
      </c>
      <c r="E179" s="38">
        <f t="shared" si="8"/>
        <v>49</v>
      </c>
      <c r="F179" s="38" t="s">
        <v>98</v>
      </c>
      <c r="G179" s="38">
        <v>13.0</v>
      </c>
      <c r="H179" s="38" t="s">
        <v>1091</v>
      </c>
      <c r="I179" s="38" t="s">
        <v>1093</v>
      </c>
      <c r="J179" s="44" t="str">
        <f t="shared" si="2"/>
        <v>2025</v>
      </c>
      <c r="K179" s="38" t="str">
        <f t="shared" si="3"/>
        <v>12</v>
      </c>
      <c r="L179" s="38" t="str">
        <f t="shared" si="4"/>
        <v>03</v>
      </c>
      <c r="M179" s="45" t="str">
        <f t="shared" si="5"/>
        <v>08:46:26</v>
      </c>
    </row>
    <row r="180" ht="22.5" hidden="1" customHeight="1">
      <c r="A180" s="46" t="s">
        <v>69</v>
      </c>
      <c r="B180" s="46" t="s">
        <v>1095</v>
      </c>
      <c r="C180" s="46" t="s">
        <v>74</v>
      </c>
      <c r="D180" s="46" t="s">
        <v>693</v>
      </c>
      <c r="E180" s="38">
        <f t="shared" si="8"/>
        <v>54</v>
      </c>
      <c r="F180" s="46" t="s">
        <v>78</v>
      </c>
      <c r="G180" s="46">
        <v>20.0</v>
      </c>
      <c r="H180" s="46" t="s">
        <v>1098</v>
      </c>
      <c r="I180" s="46" t="s">
        <v>1099</v>
      </c>
      <c r="J180" s="47" t="str">
        <f t="shared" si="2"/>
        <v>2025</v>
      </c>
      <c r="K180" s="38" t="str">
        <f t="shared" si="3"/>
        <v>12</v>
      </c>
      <c r="L180" s="38" t="str">
        <f t="shared" si="4"/>
        <v>03</v>
      </c>
      <c r="M180" s="45" t="str">
        <f t="shared" si="5"/>
        <v>08:01:15</v>
      </c>
    </row>
    <row r="181" ht="22.5" hidden="1" customHeight="1">
      <c r="A181" s="38" t="s">
        <v>69</v>
      </c>
      <c r="B181" s="38" t="s">
        <v>1101</v>
      </c>
      <c r="C181" s="38" t="s">
        <v>74</v>
      </c>
      <c r="D181" s="38" t="s">
        <v>584</v>
      </c>
      <c r="E181" s="38">
        <f t="shared" si="8"/>
        <v>25</v>
      </c>
      <c r="F181" s="38" t="s">
        <v>182</v>
      </c>
      <c r="G181" s="38">
        <v>4.0</v>
      </c>
      <c r="H181" s="48"/>
      <c r="I181" s="38" t="s">
        <v>1104</v>
      </c>
      <c r="J181" s="44" t="str">
        <f t="shared" si="2"/>
        <v>2025</v>
      </c>
      <c r="K181" s="38" t="str">
        <f t="shared" si="3"/>
        <v>12</v>
      </c>
      <c r="L181" s="38" t="str">
        <f t="shared" si="4"/>
        <v>03</v>
      </c>
      <c r="M181" s="45" t="str">
        <f t="shared" si="5"/>
        <v>07:53:13</v>
      </c>
    </row>
    <row r="182" ht="22.5" hidden="1" customHeight="1">
      <c r="A182" s="46" t="s">
        <v>69</v>
      </c>
      <c r="B182" s="46" t="s">
        <v>1107</v>
      </c>
      <c r="C182" s="46" t="s">
        <v>74</v>
      </c>
      <c r="D182" s="46" t="s">
        <v>590</v>
      </c>
      <c r="E182" s="38">
        <f t="shared" si="8"/>
        <v>35</v>
      </c>
      <c r="F182" s="46" t="s">
        <v>67</v>
      </c>
      <c r="G182" s="46">
        <v>9.0</v>
      </c>
      <c r="H182" s="46" t="s">
        <v>1111</v>
      </c>
      <c r="I182" s="46" t="s">
        <v>1112</v>
      </c>
      <c r="J182" s="47" t="str">
        <f t="shared" si="2"/>
        <v>2025</v>
      </c>
      <c r="K182" s="38" t="str">
        <f t="shared" si="3"/>
        <v>12</v>
      </c>
      <c r="L182" s="38" t="str">
        <f t="shared" si="4"/>
        <v>03</v>
      </c>
      <c r="M182" s="45" t="str">
        <f t="shared" si="5"/>
        <v>07:39:41</v>
      </c>
    </row>
    <row r="183" ht="22.5" hidden="1" customHeight="1">
      <c r="A183" s="38" t="s">
        <v>69</v>
      </c>
      <c r="B183" s="38" t="s">
        <v>1115</v>
      </c>
      <c r="C183" s="38" t="s">
        <v>343</v>
      </c>
      <c r="D183" s="38" t="s">
        <v>241</v>
      </c>
      <c r="E183" s="38">
        <f t="shared" si="8"/>
        <v>18</v>
      </c>
      <c r="F183" s="38" t="s">
        <v>115</v>
      </c>
      <c r="G183" s="38">
        <v>17.0</v>
      </c>
      <c r="H183" s="38" t="s">
        <v>1117</v>
      </c>
      <c r="I183" s="38" t="s">
        <v>1118</v>
      </c>
      <c r="J183" s="44" t="str">
        <f t="shared" si="2"/>
        <v>2025</v>
      </c>
      <c r="K183" s="38" t="str">
        <f t="shared" si="3"/>
        <v>12</v>
      </c>
      <c r="L183" s="38" t="str">
        <f t="shared" si="4"/>
        <v>03</v>
      </c>
      <c r="M183" s="45" t="str">
        <f t="shared" si="5"/>
        <v>06:16:01</v>
      </c>
    </row>
    <row r="184" ht="22.5" hidden="1" customHeight="1">
      <c r="A184" s="46" t="s">
        <v>69</v>
      </c>
      <c r="B184" s="46" t="s">
        <v>1120</v>
      </c>
      <c r="C184" s="46" t="s">
        <v>74</v>
      </c>
      <c r="D184" s="46" t="s">
        <v>196</v>
      </c>
      <c r="E184" s="38">
        <f t="shared" si="8"/>
        <v>38</v>
      </c>
      <c r="F184" s="46" t="s">
        <v>136</v>
      </c>
      <c r="G184" s="46">
        <v>10.0</v>
      </c>
      <c r="H184" s="46" t="s">
        <v>1124</v>
      </c>
      <c r="I184" s="46" t="s">
        <v>1125</v>
      </c>
      <c r="J184" s="47" t="str">
        <f t="shared" si="2"/>
        <v>2025</v>
      </c>
      <c r="K184" s="38" t="str">
        <f t="shared" si="3"/>
        <v>12</v>
      </c>
      <c r="L184" s="38" t="str">
        <f t="shared" si="4"/>
        <v>02</v>
      </c>
      <c r="M184" s="45" t="str">
        <f t="shared" si="5"/>
        <v>20:27:46</v>
      </c>
    </row>
    <row r="185" ht="22.5" hidden="1" customHeight="1">
      <c r="A185" s="38" t="s">
        <v>69</v>
      </c>
      <c r="B185" s="38" t="s">
        <v>1120</v>
      </c>
      <c r="C185" s="38" t="s">
        <v>74</v>
      </c>
      <c r="D185" s="38" t="s">
        <v>233</v>
      </c>
      <c r="E185" s="38">
        <f t="shared" si="8"/>
        <v>39</v>
      </c>
      <c r="F185" s="38" t="s">
        <v>136</v>
      </c>
      <c r="G185" s="38">
        <v>5.0</v>
      </c>
      <c r="H185" s="38" t="s">
        <v>1129</v>
      </c>
      <c r="I185" s="38" t="s">
        <v>1130</v>
      </c>
      <c r="J185" s="44" t="str">
        <f t="shared" si="2"/>
        <v>2025</v>
      </c>
      <c r="K185" s="38" t="str">
        <f t="shared" si="3"/>
        <v>12</v>
      </c>
      <c r="L185" s="38" t="str">
        <f t="shared" si="4"/>
        <v>02</v>
      </c>
      <c r="M185" s="45" t="str">
        <f t="shared" si="5"/>
        <v>20:25:01</v>
      </c>
    </row>
    <row r="186" ht="22.5" hidden="1" customHeight="1">
      <c r="A186" s="46" t="s">
        <v>69</v>
      </c>
      <c r="B186" s="46" t="s">
        <v>1133</v>
      </c>
      <c r="C186" s="46" t="s">
        <v>74</v>
      </c>
      <c r="D186" s="46" t="s">
        <v>122</v>
      </c>
      <c r="E186" s="38">
        <f t="shared" si="8"/>
        <v>47</v>
      </c>
      <c r="F186" s="46" t="s">
        <v>167</v>
      </c>
      <c r="G186" s="46">
        <v>19.0</v>
      </c>
      <c r="H186" s="46" t="s">
        <v>1135</v>
      </c>
      <c r="I186" s="46" t="s">
        <v>1136</v>
      </c>
      <c r="J186" s="47" t="str">
        <f t="shared" si="2"/>
        <v>2025</v>
      </c>
      <c r="K186" s="38" t="str">
        <f t="shared" si="3"/>
        <v>12</v>
      </c>
      <c r="L186" s="38" t="str">
        <f t="shared" si="4"/>
        <v>02</v>
      </c>
      <c r="M186" s="45" t="str">
        <f t="shared" si="5"/>
        <v>19:48:11</v>
      </c>
    </row>
    <row r="187" ht="22.5" hidden="1" customHeight="1">
      <c r="A187" s="38" t="s">
        <v>69</v>
      </c>
      <c r="B187" s="38" t="s">
        <v>1138</v>
      </c>
      <c r="C187" s="38" t="s">
        <v>74</v>
      </c>
      <c r="D187" s="38" t="s">
        <v>361</v>
      </c>
      <c r="E187" s="38">
        <f t="shared" si="8"/>
        <v>45</v>
      </c>
      <c r="F187" s="38" t="s">
        <v>142</v>
      </c>
      <c r="G187" s="38">
        <v>7.0</v>
      </c>
      <c r="H187" s="48"/>
      <c r="I187" s="38" t="s">
        <v>1141</v>
      </c>
      <c r="J187" s="44" t="str">
        <f t="shared" si="2"/>
        <v>2025</v>
      </c>
      <c r="K187" s="38" t="str">
        <f t="shared" si="3"/>
        <v>12</v>
      </c>
      <c r="L187" s="38" t="str">
        <f t="shared" si="4"/>
        <v>02</v>
      </c>
      <c r="M187" s="45" t="str">
        <f t="shared" si="5"/>
        <v>19:40:37</v>
      </c>
    </row>
    <row r="188" ht="22.5" hidden="1" customHeight="1">
      <c r="A188" s="46" t="s">
        <v>69</v>
      </c>
      <c r="B188" s="46" t="s">
        <v>1145</v>
      </c>
      <c r="C188" s="46" t="s">
        <v>74</v>
      </c>
      <c r="D188" s="46" t="s">
        <v>302</v>
      </c>
      <c r="E188" s="38">
        <f t="shared" si="8"/>
        <v>9</v>
      </c>
      <c r="F188" s="46" t="s">
        <v>214</v>
      </c>
      <c r="G188" s="46">
        <v>7.0</v>
      </c>
      <c r="H188" s="46" t="s">
        <v>1147</v>
      </c>
      <c r="I188" s="46" t="s">
        <v>1149</v>
      </c>
      <c r="J188" s="47" t="str">
        <f t="shared" si="2"/>
        <v>2025</v>
      </c>
      <c r="K188" s="38" t="str">
        <f t="shared" si="3"/>
        <v>12</v>
      </c>
      <c r="L188" s="38" t="str">
        <f t="shared" si="4"/>
        <v>02</v>
      </c>
      <c r="M188" s="45" t="str">
        <f t="shared" si="5"/>
        <v>19:37:34</v>
      </c>
    </row>
    <row r="189" ht="22.5" hidden="1" customHeight="1">
      <c r="A189" s="38" t="s">
        <v>69</v>
      </c>
      <c r="B189" s="38" t="s">
        <v>1151</v>
      </c>
      <c r="C189" s="38" t="s">
        <v>74</v>
      </c>
      <c r="D189" s="38" t="s">
        <v>189</v>
      </c>
      <c r="E189" s="38">
        <f t="shared" si="8"/>
        <v>16</v>
      </c>
      <c r="F189" s="38" t="s">
        <v>82</v>
      </c>
      <c r="G189" s="38">
        <v>6.0</v>
      </c>
      <c r="H189" s="38" t="s">
        <v>1153</v>
      </c>
      <c r="I189" s="38" t="s">
        <v>1154</v>
      </c>
      <c r="J189" s="44" t="str">
        <f t="shared" si="2"/>
        <v>2025</v>
      </c>
      <c r="K189" s="38" t="str">
        <f t="shared" si="3"/>
        <v>12</v>
      </c>
      <c r="L189" s="38" t="str">
        <f t="shared" si="4"/>
        <v>02</v>
      </c>
      <c r="M189" s="45" t="str">
        <f t="shared" si="5"/>
        <v>18:58:27</v>
      </c>
    </row>
    <row r="190" ht="22.5" hidden="1" customHeight="1">
      <c r="A190" s="46" t="s">
        <v>69</v>
      </c>
      <c r="B190" s="46" t="s">
        <v>1156</v>
      </c>
      <c r="C190" s="46" t="s">
        <v>74</v>
      </c>
      <c r="D190" s="46" t="s">
        <v>936</v>
      </c>
      <c r="E190" s="38">
        <f t="shared" si="8"/>
        <v>19</v>
      </c>
      <c r="F190" s="46" t="s">
        <v>217</v>
      </c>
      <c r="G190" s="46">
        <v>3.0</v>
      </c>
      <c r="H190" s="50"/>
      <c r="I190" s="46" t="s">
        <v>1159</v>
      </c>
      <c r="J190" s="47" t="str">
        <f t="shared" si="2"/>
        <v>2025</v>
      </c>
      <c r="K190" s="38" t="str">
        <f t="shared" si="3"/>
        <v>12</v>
      </c>
      <c r="L190" s="38" t="str">
        <f t="shared" si="4"/>
        <v>02</v>
      </c>
      <c r="M190" s="45" t="str">
        <f t="shared" si="5"/>
        <v>17:32:59</v>
      </c>
    </row>
    <row r="191" ht="22.5" hidden="1" customHeight="1">
      <c r="A191" s="38" t="s">
        <v>69</v>
      </c>
      <c r="B191" s="38" t="s">
        <v>1161</v>
      </c>
      <c r="C191" s="38" t="s">
        <v>74</v>
      </c>
      <c r="D191" s="38" t="s">
        <v>1162</v>
      </c>
      <c r="E191" s="38">
        <f t="shared" si="8"/>
        <v>73</v>
      </c>
      <c r="F191" s="38" t="s">
        <v>20</v>
      </c>
      <c r="G191" s="38">
        <v>8.0</v>
      </c>
      <c r="H191" s="48"/>
      <c r="I191" s="38" t="s">
        <v>1164</v>
      </c>
      <c r="J191" s="44" t="str">
        <f t="shared" si="2"/>
        <v>2025</v>
      </c>
      <c r="K191" s="38" t="str">
        <f t="shared" si="3"/>
        <v>12</v>
      </c>
      <c r="L191" s="38" t="str">
        <f t="shared" si="4"/>
        <v>02</v>
      </c>
      <c r="M191" s="45" t="str">
        <f t="shared" si="5"/>
        <v>17:24:09</v>
      </c>
    </row>
    <row r="192" ht="22.5" hidden="1" customHeight="1">
      <c r="A192" s="46" t="s">
        <v>69</v>
      </c>
      <c r="B192" s="46" t="s">
        <v>1166</v>
      </c>
      <c r="C192" s="46" t="s">
        <v>74</v>
      </c>
      <c r="D192" s="46" t="s">
        <v>1167</v>
      </c>
      <c r="E192" s="38">
        <f t="shared" si="8"/>
        <v>21</v>
      </c>
      <c r="F192" s="46" t="s">
        <v>142</v>
      </c>
      <c r="G192" s="46">
        <v>2.0</v>
      </c>
      <c r="H192" s="46" t="s">
        <v>1168</v>
      </c>
      <c r="I192" s="46" t="s">
        <v>1169</v>
      </c>
      <c r="J192" s="47" t="str">
        <f t="shared" si="2"/>
        <v>2025</v>
      </c>
      <c r="K192" s="38" t="str">
        <f t="shared" si="3"/>
        <v>12</v>
      </c>
      <c r="L192" s="38" t="str">
        <f t="shared" si="4"/>
        <v>02</v>
      </c>
      <c r="M192" s="45" t="str">
        <f t="shared" si="5"/>
        <v>16:44:31</v>
      </c>
    </row>
    <row r="193" ht="22.5" hidden="1" customHeight="1">
      <c r="A193" s="38" t="s">
        <v>69</v>
      </c>
      <c r="B193" s="38" t="s">
        <v>1172</v>
      </c>
      <c r="C193" s="38" t="s">
        <v>74</v>
      </c>
      <c r="D193" s="38" t="s">
        <v>531</v>
      </c>
      <c r="E193" s="38">
        <f t="shared" si="8"/>
        <v>11</v>
      </c>
      <c r="F193" s="38" t="s">
        <v>170</v>
      </c>
      <c r="G193" s="38">
        <v>6.0</v>
      </c>
      <c r="H193" s="48"/>
      <c r="I193" s="38" t="s">
        <v>1176</v>
      </c>
      <c r="J193" s="44" t="str">
        <f t="shared" si="2"/>
        <v>2025</v>
      </c>
      <c r="K193" s="38" t="str">
        <f t="shared" si="3"/>
        <v>12</v>
      </c>
      <c r="L193" s="38" t="str">
        <f t="shared" si="4"/>
        <v>02</v>
      </c>
      <c r="M193" s="45" t="str">
        <f t="shared" si="5"/>
        <v>15:50:02</v>
      </c>
    </row>
    <row r="194" ht="22.5" hidden="1" customHeight="1">
      <c r="A194" s="46" t="s">
        <v>69</v>
      </c>
      <c r="B194" s="46" t="s">
        <v>651</v>
      </c>
      <c r="C194" s="46" t="s">
        <v>74</v>
      </c>
      <c r="D194" s="46" t="s">
        <v>1179</v>
      </c>
      <c r="E194" s="38">
        <f t="shared" si="8"/>
        <v>97</v>
      </c>
      <c r="F194" s="46" t="s">
        <v>101</v>
      </c>
      <c r="G194" s="46">
        <v>7.0</v>
      </c>
      <c r="H194" s="46" t="s">
        <v>1180</v>
      </c>
      <c r="I194" s="46" t="s">
        <v>1182</v>
      </c>
      <c r="J194" s="47" t="str">
        <f t="shared" si="2"/>
        <v>2025</v>
      </c>
      <c r="K194" s="38" t="str">
        <f t="shared" si="3"/>
        <v>12</v>
      </c>
      <c r="L194" s="38" t="str">
        <f t="shared" si="4"/>
        <v>02</v>
      </c>
      <c r="M194" s="45" t="str">
        <f t="shared" si="5"/>
        <v>15:13:17</v>
      </c>
    </row>
    <row r="195" ht="22.5" hidden="1" customHeight="1">
      <c r="A195" s="77" t="s">
        <v>1183</v>
      </c>
      <c r="B195" s="77" t="s">
        <v>74</v>
      </c>
      <c r="C195" s="77" t="s">
        <v>1185</v>
      </c>
      <c r="D195" s="77" t="s">
        <v>1186</v>
      </c>
      <c r="E195" s="38">
        <f t="shared" ref="E195:E199" si="9">-VALUE(SUBSTITUTE(D195, ".", ","))</f>
        <v>-95</v>
      </c>
      <c r="F195" s="46" t="str">
        <f t="shared" ref="F195:F199" si="10">H195</f>
        <v>1 cadena de 6"</v>
      </c>
      <c r="G195" s="46"/>
      <c r="H195" s="77" t="s">
        <v>1189</v>
      </c>
      <c r="I195" s="78">
        <v>45993.54200231482</v>
      </c>
      <c r="J195" s="44" t="str">
        <f t="shared" si="2"/>
        <v>2025</v>
      </c>
      <c r="K195" s="38" t="str">
        <f t="shared" si="3"/>
        <v>12</v>
      </c>
      <c r="L195" s="38" t="str">
        <f t="shared" si="4"/>
        <v>02</v>
      </c>
      <c r="M195" s="45" t="str">
        <f t="shared" si="5"/>
        <v>13:00:29</v>
      </c>
    </row>
    <row r="196" ht="22.5" hidden="1" customHeight="1">
      <c r="A196" s="77" t="s">
        <v>1183</v>
      </c>
      <c r="B196" s="77" t="s">
        <v>74</v>
      </c>
      <c r="C196" s="77" t="s">
        <v>1185</v>
      </c>
      <c r="D196" s="77" t="s">
        <v>1193</v>
      </c>
      <c r="E196" s="38">
        <f t="shared" si="9"/>
        <v>-90</v>
      </c>
      <c r="F196" s="46" t="str">
        <f t="shared" si="10"/>
        <v>2 niples de 4"</v>
      </c>
      <c r="G196" s="46"/>
      <c r="H196" s="77" t="s">
        <v>1194</v>
      </c>
      <c r="I196" s="78">
        <v>45993.54121527778</v>
      </c>
      <c r="J196" s="44" t="str">
        <f t="shared" si="2"/>
        <v>2025</v>
      </c>
      <c r="K196" s="38" t="str">
        <f t="shared" si="3"/>
        <v>12</v>
      </c>
      <c r="L196" s="38" t="str">
        <f t="shared" si="4"/>
        <v>02</v>
      </c>
      <c r="M196" s="45" t="str">
        <f t="shared" si="5"/>
        <v>12:59:21</v>
      </c>
    </row>
    <row r="197" ht="22.5" hidden="1" customHeight="1">
      <c r="A197" s="77" t="s">
        <v>1183</v>
      </c>
      <c r="B197" s="77" t="s">
        <v>74</v>
      </c>
      <c r="C197" s="77" t="s">
        <v>1185</v>
      </c>
      <c r="D197" s="77" t="s">
        <v>308</v>
      </c>
      <c r="E197" s="38">
        <f t="shared" si="9"/>
        <v>-60</v>
      </c>
      <c r="F197" s="46" t="str">
        <f t="shared" si="10"/>
        <v>4 adaptadores de 4"</v>
      </c>
      <c r="G197" s="46"/>
      <c r="H197" s="77" t="s">
        <v>1196</v>
      </c>
      <c r="I197" s="78">
        <v>45993.54039351852</v>
      </c>
      <c r="J197" s="44" t="str">
        <f t="shared" si="2"/>
        <v>2025</v>
      </c>
      <c r="K197" s="38" t="str">
        <f t="shared" si="3"/>
        <v>12</v>
      </c>
      <c r="L197" s="38" t="str">
        <f t="shared" si="4"/>
        <v>02</v>
      </c>
      <c r="M197" s="45" t="str">
        <f t="shared" si="5"/>
        <v>12:58:10</v>
      </c>
    </row>
    <row r="198" ht="22.5" hidden="1" customHeight="1">
      <c r="A198" s="77" t="s">
        <v>1183</v>
      </c>
      <c r="B198" s="77" t="s">
        <v>74</v>
      </c>
      <c r="C198" s="77" t="s">
        <v>1185</v>
      </c>
      <c r="D198" s="77" t="s">
        <v>1199</v>
      </c>
      <c r="E198" s="38">
        <f t="shared" si="9"/>
        <v>-200</v>
      </c>
      <c r="F198" s="46" t="str">
        <f t="shared" si="10"/>
        <v>1 válvula chek tipo paleta</v>
      </c>
      <c r="G198" s="46"/>
      <c r="H198" s="77" t="s">
        <v>1200</v>
      </c>
      <c r="I198" s="78">
        <v>45993.539664351854</v>
      </c>
      <c r="J198" s="44" t="str">
        <f t="shared" si="2"/>
        <v>2025</v>
      </c>
      <c r="K198" s="38" t="str">
        <f t="shared" si="3"/>
        <v>12</v>
      </c>
      <c r="L198" s="38" t="str">
        <f t="shared" si="4"/>
        <v>02</v>
      </c>
      <c r="M198" s="45" t="str">
        <f t="shared" si="5"/>
        <v>12:57:07</v>
      </c>
    </row>
    <row r="199" ht="22.5" hidden="1" customHeight="1">
      <c r="A199" s="77" t="s">
        <v>1183</v>
      </c>
      <c r="B199" s="77" t="s">
        <v>74</v>
      </c>
      <c r="C199" s="77" t="s">
        <v>1185</v>
      </c>
      <c r="D199" s="77" t="s">
        <v>1203</v>
      </c>
      <c r="E199" s="38">
        <f t="shared" si="9"/>
        <v>-280</v>
      </c>
      <c r="F199" s="46" t="str">
        <f t="shared" si="10"/>
        <v>2 llaves compuetas</v>
      </c>
      <c r="G199" s="46"/>
      <c r="H199" s="77" t="s">
        <v>1204</v>
      </c>
      <c r="I199" s="78">
        <v>45993.53871527778</v>
      </c>
      <c r="J199" s="44" t="str">
        <f t="shared" si="2"/>
        <v>2025</v>
      </c>
      <c r="K199" s="38" t="str">
        <f t="shared" si="3"/>
        <v>12</v>
      </c>
      <c r="L199" s="38" t="str">
        <f t="shared" si="4"/>
        <v>02</v>
      </c>
      <c r="M199" s="45" t="str">
        <f t="shared" si="5"/>
        <v>12:55:45</v>
      </c>
    </row>
    <row r="200" ht="22.5" hidden="1" customHeight="1">
      <c r="A200" s="38" t="s">
        <v>69</v>
      </c>
      <c r="B200" s="38" t="s">
        <v>1206</v>
      </c>
      <c r="C200" s="38" t="s">
        <v>74</v>
      </c>
      <c r="D200" s="38" t="s">
        <v>302</v>
      </c>
      <c r="E200" s="38">
        <f>VALUE(SUBSTITUTE(D200, ".", ","))</f>
        <v>9</v>
      </c>
      <c r="F200" s="38" t="s">
        <v>190</v>
      </c>
      <c r="G200" s="38">
        <v>4.0</v>
      </c>
      <c r="H200" s="48"/>
      <c r="I200" s="38" t="s">
        <v>1208</v>
      </c>
      <c r="J200" s="44" t="str">
        <f t="shared" si="2"/>
        <v>2025</v>
      </c>
      <c r="K200" s="38" t="str">
        <f t="shared" si="3"/>
        <v>12</v>
      </c>
      <c r="L200" s="38" t="str">
        <f t="shared" si="4"/>
        <v>02</v>
      </c>
      <c r="M200" s="45" t="str">
        <f t="shared" si="5"/>
        <v>12:29:18</v>
      </c>
    </row>
    <row r="201" ht="22.5" hidden="1" customHeight="1">
      <c r="A201" s="77" t="s">
        <v>1183</v>
      </c>
      <c r="B201" s="77" t="s">
        <v>74</v>
      </c>
      <c r="C201" s="77" t="s">
        <v>1185</v>
      </c>
      <c r="D201" s="77" t="s">
        <v>1032</v>
      </c>
      <c r="E201" s="38">
        <f t="shared" ref="E201:E202" si="11">-VALUE(SUBSTITUTE(D201, ".", ","))</f>
        <v>-50</v>
      </c>
      <c r="F201" s="46" t="str">
        <f t="shared" ref="F201:F202" si="12">H201</f>
        <v>devolución ferretería goche</v>
      </c>
      <c r="G201" s="46"/>
      <c r="H201" s="77" t="s">
        <v>1211</v>
      </c>
      <c r="I201" s="78">
        <v>45993.5155787037</v>
      </c>
      <c r="J201" s="44" t="str">
        <f t="shared" si="2"/>
        <v>2025</v>
      </c>
      <c r="K201" s="38" t="str">
        <f t="shared" si="3"/>
        <v>12</v>
      </c>
      <c r="L201" s="38" t="str">
        <f t="shared" si="4"/>
        <v>02</v>
      </c>
      <c r="M201" s="45" t="str">
        <f t="shared" si="5"/>
        <v>12:22:26</v>
      </c>
    </row>
    <row r="202" ht="22.5" hidden="1" customHeight="1">
      <c r="A202" s="77" t="s">
        <v>1183</v>
      </c>
      <c r="B202" s="77" t="s">
        <v>74</v>
      </c>
      <c r="C202" s="77" t="s">
        <v>1185</v>
      </c>
      <c r="D202" s="77" t="s">
        <v>722</v>
      </c>
      <c r="E202" s="38">
        <f t="shared" si="11"/>
        <v>-52</v>
      </c>
      <c r="F202" s="46" t="str">
        <f t="shared" si="12"/>
        <v>devolución por pago ferretería goche</v>
      </c>
      <c r="G202" s="46"/>
      <c r="H202" s="77" t="s">
        <v>1215</v>
      </c>
      <c r="I202" s="78">
        <v>45993.514502314814</v>
      </c>
      <c r="J202" s="44" t="str">
        <f t="shared" si="2"/>
        <v>2025</v>
      </c>
      <c r="K202" s="38" t="str">
        <f t="shared" si="3"/>
        <v>12</v>
      </c>
      <c r="L202" s="38" t="str">
        <f t="shared" si="4"/>
        <v>02</v>
      </c>
      <c r="M202" s="45" t="str">
        <f t="shared" si="5"/>
        <v>12:20:53</v>
      </c>
    </row>
    <row r="203" ht="22.5" hidden="1" customHeight="1">
      <c r="A203" s="46" t="s">
        <v>69</v>
      </c>
      <c r="B203" s="46" t="s">
        <v>1217</v>
      </c>
      <c r="C203" s="46" t="s">
        <v>74</v>
      </c>
      <c r="D203" s="46" t="s">
        <v>249</v>
      </c>
      <c r="E203" s="38">
        <f t="shared" ref="E203:E279" si="13">VALUE(SUBSTITUTE(D203, ".", ","))</f>
        <v>43</v>
      </c>
      <c r="F203" s="46" t="s">
        <v>78</v>
      </c>
      <c r="G203" s="46">
        <v>16.0</v>
      </c>
      <c r="H203" s="50"/>
      <c r="I203" s="46" t="s">
        <v>1219</v>
      </c>
      <c r="J203" s="47" t="str">
        <f t="shared" si="2"/>
        <v>2025</v>
      </c>
      <c r="K203" s="38" t="str">
        <f t="shared" si="3"/>
        <v>12</v>
      </c>
      <c r="L203" s="38" t="str">
        <f t="shared" si="4"/>
        <v>02</v>
      </c>
      <c r="M203" s="45" t="str">
        <f t="shared" si="5"/>
        <v>11:29:42</v>
      </c>
    </row>
    <row r="204" ht="22.5" hidden="1" customHeight="1">
      <c r="A204" s="38" t="s">
        <v>69</v>
      </c>
      <c r="B204" s="38" t="s">
        <v>1221</v>
      </c>
      <c r="C204" s="38" t="s">
        <v>74</v>
      </c>
      <c r="D204" s="38" t="s">
        <v>93</v>
      </c>
      <c r="E204" s="38">
        <f t="shared" si="13"/>
        <v>8</v>
      </c>
      <c r="F204" s="38" t="s">
        <v>91</v>
      </c>
      <c r="G204" s="38">
        <v>12.0</v>
      </c>
      <c r="H204" s="38" t="s">
        <v>1223</v>
      </c>
      <c r="I204" s="38" t="s">
        <v>1225</v>
      </c>
      <c r="J204" s="44" t="str">
        <f t="shared" si="2"/>
        <v>2025</v>
      </c>
      <c r="K204" s="38" t="str">
        <f t="shared" si="3"/>
        <v>12</v>
      </c>
      <c r="L204" s="38" t="str">
        <f t="shared" si="4"/>
        <v>02</v>
      </c>
      <c r="M204" s="45" t="str">
        <f t="shared" si="5"/>
        <v>10:45:11</v>
      </c>
    </row>
    <row r="205" ht="22.5" hidden="1" customHeight="1">
      <c r="A205" s="46" t="s">
        <v>69</v>
      </c>
      <c r="B205" s="46" t="s">
        <v>1227</v>
      </c>
      <c r="C205" s="46" t="s">
        <v>74</v>
      </c>
      <c r="D205" s="46" t="s">
        <v>241</v>
      </c>
      <c r="E205" s="38">
        <f t="shared" si="13"/>
        <v>18</v>
      </c>
      <c r="F205" s="46" t="s">
        <v>193</v>
      </c>
      <c r="G205" s="46">
        <v>8.0</v>
      </c>
      <c r="H205" s="46" t="s">
        <v>1228</v>
      </c>
      <c r="I205" s="46" t="s">
        <v>1230</v>
      </c>
      <c r="J205" s="47" t="str">
        <f t="shared" si="2"/>
        <v>2025</v>
      </c>
      <c r="K205" s="38" t="str">
        <f t="shared" si="3"/>
        <v>12</v>
      </c>
      <c r="L205" s="38" t="str">
        <f t="shared" si="4"/>
        <v>02</v>
      </c>
      <c r="M205" s="45" t="str">
        <f t="shared" si="5"/>
        <v>10:09:01</v>
      </c>
    </row>
    <row r="206" ht="22.5" hidden="1" customHeight="1">
      <c r="A206" s="46" t="s">
        <v>69</v>
      </c>
      <c r="B206" s="46" t="s">
        <v>1231</v>
      </c>
      <c r="C206" s="46" t="s">
        <v>74</v>
      </c>
      <c r="D206" s="46" t="s">
        <v>189</v>
      </c>
      <c r="E206" s="38">
        <f t="shared" si="13"/>
        <v>16</v>
      </c>
      <c r="F206" s="46" t="s">
        <v>190</v>
      </c>
      <c r="G206" s="46">
        <v>18.0</v>
      </c>
      <c r="H206" s="50"/>
      <c r="I206" s="46" t="s">
        <v>1233</v>
      </c>
      <c r="J206" s="47" t="str">
        <f t="shared" si="2"/>
        <v>2025</v>
      </c>
      <c r="K206" s="38" t="str">
        <f t="shared" si="3"/>
        <v>12</v>
      </c>
      <c r="L206" s="38" t="str">
        <f t="shared" si="4"/>
        <v>02</v>
      </c>
      <c r="M206" s="45" t="str">
        <f t="shared" si="5"/>
        <v>07:24:48</v>
      </c>
    </row>
    <row r="207" ht="22.5" hidden="1" customHeight="1">
      <c r="A207" s="38" t="s">
        <v>69</v>
      </c>
      <c r="B207" s="38" t="s">
        <v>1235</v>
      </c>
      <c r="C207" s="38" t="s">
        <v>74</v>
      </c>
      <c r="D207" s="38" t="s">
        <v>641</v>
      </c>
      <c r="E207" s="38">
        <f t="shared" si="13"/>
        <v>28</v>
      </c>
      <c r="F207" s="38" t="s">
        <v>190</v>
      </c>
      <c r="G207" s="38">
        <v>17.0</v>
      </c>
      <c r="H207" s="48"/>
      <c r="I207" s="38" t="s">
        <v>1237</v>
      </c>
      <c r="J207" s="44" t="str">
        <f t="shared" si="2"/>
        <v>2025</v>
      </c>
      <c r="K207" s="38" t="str">
        <f t="shared" si="3"/>
        <v>12</v>
      </c>
      <c r="L207" s="38" t="str">
        <f t="shared" si="4"/>
        <v>02</v>
      </c>
      <c r="M207" s="45" t="str">
        <f t="shared" si="5"/>
        <v>07:20:58</v>
      </c>
    </row>
    <row r="208" ht="22.5" hidden="1" customHeight="1">
      <c r="A208" s="46" t="s">
        <v>69</v>
      </c>
      <c r="B208" s="46" t="s">
        <v>359</v>
      </c>
      <c r="C208" s="46" t="s">
        <v>74</v>
      </c>
      <c r="D208" s="46" t="s">
        <v>220</v>
      </c>
      <c r="E208" s="38">
        <f t="shared" si="13"/>
        <v>13</v>
      </c>
      <c r="F208" s="46" t="s">
        <v>106</v>
      </c>
      <c r="G208" s="46">
        <v>11.0</v>
      </c>
      <c r="H208" s="46" t="s">
        <v>1240</v>
      </c>
      <c r="I208" s="46" t="s">
        <v>1241</v>
      </c>
      <c r="J208" s="47" t="str">
        <f t="shared" si="2"/>
        <v>2025</v>
      </c>
      <c r="K208" s="38" t="str">
        <f t="shared" si="3"/>
        <v>12</v>
      </c>
      <c r="L208" s="38" t="str">
        <f t="shared" si="4"/>
        <v>02</v>
      </c>
      <c r="M208" s="45" t="str">
        <f t="shared" si="5"/>
        <v>06:15:26</v>
      </c>
    </row>
    <row r="209" ht="22.5" hidden="1" customHeight="1">
      <c r="A209" s="38" t="s">
        <v>69</v>
      </c>
      <c r="B209" s="38" t="s">
        <v>74</v>
      </c>
      <c r="C209" s="38" t="s">
        <v>74</v>
      </c>
      <c r="D209" s="38" t="s">
        <v>144</v>
      </c>
      <c r="E209" s="38">
        <f t="shared" si="13"/>
        <v>42</v>
      </c>
      <c r="F209" s="38" t="s">
        <v>116</v>
      </c>
      <c r="G209" s="38">
        <v>13.0</v>
      </c>
      <c r="H209" s="38" t="s">
        <v>1243</v>
      </c>
      <c r="I209" s="38" t="s">
        <v>1245</v>
      </c>
      <c r="J209" s="44" t="str">
        <f t="shared" si="2"/>
        <v>2025</v>
      </c>
      <c r="K209" s="38" t="str">
        <f t="shared" si="3"/>
        <v>12</v>
      </c>
      <c r="L209" s="38" t="str">
        <f t="shared" si="4"/>
        <v>01</v>
      </c>
      <c r="M209" s="45" t="str">
        <f t="shared" si="5"/>
        <v>21:28:43</v>
      </c>
    </row>
    <row r="210" ht="22.5" hidden="1" customHeight="1">
      <c r="A210" s="46" t="s">
        <v>69</v>
      </c>
      <c r="B210" s="46" t="s">
        <v>1246</v>
      </c>
      <c r="C210" s="46" t="s">
        <v>74</v>
      </c>
      <c r="D210" s="46" t="s">
        <v>302</v>
      </c>
      <c r="E210" s="38">
        <f t="shared" si="13"/>
        <v>9</v>
      </c>
      <c r="F210" s="46" t="s">
        <v>217</v>
      </c>
      <c r="G210" s="46">
        <v>4.0</v>
      </c>
      <c r="H210" s="46" t="s">
        <v>1248</v>
      </c>
      <c r="I210" s="46" t="s">
        <v>1249</v>
      </c>
      <c r="J210" s="47" t="str">
        <f t="shared" si="2"/>
        <v>2025</v>
      </c>
      <c r="K210" s="38" t="str">
        <f t="shared" si="3"/>
        <v>12</v>
      </c>
      <c r="L210" s="38" t="str">
        <f t="shared" si="4"/>
        <v>01</v>
      </c>
      <c r="M210" s="45" t="str">
        <f t="shared" si="5"/>
        <v>21:23:54</v>
      </c>
    </row>
    <row r="211" ht="22.5" hidden="1" customHeight="1">
      <c r="A211" s="38" t="s">
        <v>69</v>
      </c>
      <c r="B211" s="38" t="s">
        <v>1246</v>
      </c>
      <c r="C211" s="38" t="s">
        <v>74</v>
      </c>
      <c r="D211" s="38" t="s">
        <v>1252</v>
      </c>
      <c r="E211" s="38">
        <f t="shared" si="13"/>
        <v>37</v>
      </c>
      <c r="F211" s="38" t="s">
        <v>217</v>
      </c>
      <c r="G211" s="38">
        <v>5.0</v>
      </c>
      <c r="H211" s="38" t="s">
        <v>1254</v>
      </c>
      <c r="I211" s="38" t="s">
        <v>1255</v>
      </c>
      <c r="J211" s="44" t="str">
        <f t="shared" si="2"/>
        <v>2025</v>
      </c>
      <c r="K211" s="38" t="str">
        <f t="shared" si="3"/>
        <v>12</v>
      </c>
      <c r="L211" s="38" t="str">
        <f t="shared" si="4"/>
        <v>01</v>
      </c>
      <c r="M211" s="45" t="str">
        <f t="shared" si="5"/>
        <v>21:23:05</v>
      </c>
    </row>
    <row r="212" ht="22.5" hidden="1" customHeight="1">
      <c r="A212" s="46" t="s">
        <v>69</v>
      </c>
      <c r="B212" s="46" t="s">
        <v>1257</v>
      </c>
      <c r="C212" s="46" t="s">
        <v>74</v>
      </c>
      <c r="D212" s="46" t="s">
        <v>590</v>
      </c>
      <c r="E212" s="38">
        <f t="shared" si="13"/>
        <v>35</v>
      </c>
      <c r="F212" s="46" t="s">
        <v>91</v>
      </c>
      <c r="G212" s="46">
        <v>5.0</v>
      </c>
      <c r="H212" s="46" t="s">
        <v>1259</v>
      </c>
      <c r="I212" s="46" t="s">
        <v>1260</v>
      </c>
      <c r="J212" s="47" t="str">
        <f t="shared" si="2"/>
        <v>2025</v>
      </c>
      <c r="K212" s="38" t="str">
        <f t="shared" si="3"/>
        <v>12</v>
      </c>
      <c r="L212" s="38" t="str">
        <f t="shared" si="4"/>
        <v>01</v>
      </c>
      <c r="M212" s="45" t="str">
        <f t="shared" si="5"/>
        <v>20:48:57</v>
      </c>
    </row>
    <row r="213" ht="22.5" hidden="1" customHeight="1">
      <c r="A213" s="46" t="s">
        <v>69</v>
      </c>
      <c r="B213" s="46" t="s">
        <v>1262</v>
      </c>
      <c r="C213" s="46" t="s">
        <v>74</v>
      </c>
      <c r="D213" s="46" t="s">
        <v>1032</v>
      </c>
      <c r="E213" s="38">
        <f t="shared" si="13"/>
        <v>50</v>
      </c>
      <c r="F213" s="46" t="s">
        <v>116</v>
      </c>
      <c r="G213" s="46">
        <v>7.0</v>
      </c>
      <c r="H213" s="46" t="s">
        <v>1263</v>
      </c>
      <c r="I213" s="46" t="s">
        <v>1265</v>
      </c>
      <c r="J213" s="47" t="str">
        <f t="shared" si="2"/>
        <v>2025</v>
      </c>
      <c r="K213" s="38" t="str">
        <f t="shared" si="3"/>
        <v>12</v>
      </c>
      <c r="L213" s="38" t="str">
        <f t="shared" si="4"/>
        <v>01</v>
      </c>
      <c r="M213" s="45" t="str">
        <f t="shared" si="5"/>
        <v>20:34:00</v>
      </c>
    </row>
    <row r="214" ht="22.5" hidden="1" customHeight="1">
      <c r="A214" s="38" t="s">
        <v>69</v>
      </c>
      <c r="B214" s="38" t="s">
        <v>1267</v>
      </c>
      <c r="C214" s="38" t="s">
        <v>74</v>
      </c>
      <c r="D214" s="38" t="s">
        <v>531</v>
      </c>
      <c r="E214" s="38">
        <f t="shared" si="13"/>
        <v>11</v>
      </c>
      <c r="F214" s="38" t="s">
        <v>115</v>
      </c>
      <c r="G214" s="38">
        <v>13.0</v>
      </c>
      <c r="H214" s="38" t="s">
        <v>1269</v>
      </c>
      <c r="I214" s="38" t="s">
        <v>1270</v>
      </c>
      <c r="J214" s="44" t="str">
        <f t="shared" si="2"/>
        <v>2025</v>
      </c>
      <c r="K214" s="38" t="str">
        <f t="shared" si="3"/>
        <v>12</v>
      </c>
      <c r="L214" s="38" t="str">
        <f t="shared" si="4"/>
        <v>01</v>
      </c>
      <c r="M214" s="45" t="str">
        <f t="shared" si="5"/>
        <v>20:14:18</v>
      </c>
    </row>
    <row r="215" ht="22.5" hidden="1" customHeight="1">
      <c r="A215" s="46" t="s">
        <v>69</v>
      </c>
      <c r="B215" s="46" t="s">
        <v>1272</v>
      </c>
      <c r="C215" s="46" t="s">
        <v>74</v>
      </c>
      <c r="D215" s="46" t="s">
        <v>93</v>
      </c>
      <c r="E215" s="38">
        <f t="shared" si="13"/>
        <v>8</v>
      </c>
      <c r="F215" s="46" t="s">
        <v>110</v>
      </c>
      <c r="G215" s="46">
        <v>7.0</v>
      </c>
      <c r="H215" s="46" t="s">
        <v>1274</v>
      </c>
      <c r="I215" s="46" t="s">
        <v>1275</v>
      </c>
      <c r="J215" s="47" t="str">
        <f t="shared" si="2"/>
        <v>2025</v>
      </c>
      <c r="K215" s="38" t="str">
        <f t="shared" si="3"/>
        <v>12</v>
      </c>
      <c r="L215" s="38" t="str">
        <f t="shared" si="4"/>
        <v>01</v>
      </c>
      <c r="M215" s="45" t="str">
        <f t="shared" si="5"/>
        <v>20:11:36</v>
      </c>
    </row>
    <row r="216" ht="22.5" hidden="1" customHeight="1">
      <c r="A216" s="46" t="s">
        <v>69</v>
      </c>
      <c r="B216" s="46" t="s">
        <v>1277</v>
      </c>
      <c r="C216" s="46" t="s">
        <v>74</v>
      </c>
      <c r="D216" s="46" t="s">
        <v>355</v>
      </c>
      <c r="E216" s="38">
        <f t="shared" si="13"/>
        <v>10</v>
      </c>
      <c r="F216" s="46" t="s">
        <v>67</v>
      </c>
      <c r="G216" s="46">
        <v>16.0</v>
      </c>
      <c r="H216" s="46" t="s">
        <v>1278</v>
      </c>
      <c r="I216" s="46" t="s">
        <v>1280</v>
      </c>
      <c r="J216" s="47" t="str">
        <f t="shared" si="2"/>
        <v>2025</v>
      </c>
      <c r="K216" s="38" t="str">
        <f t="shared" si="3"/>
        <v>12</v>
      </c>
      <c r="L216" s="38" t="str">
        <f t="shared" si="4"/>
        <v>01</v>
      </c>
      <c r="M216" s="45" t="str">
        <f t="shared" si="5"/>
        <v>19:20:49</v>
      </c>
    </row>
    <row r="217" ht="22.5" hidden="1" customHeight="1">
      <c r="A217" s="38" t="s">
        <v>69</v>
      </c>
      <c r="B217" s="38" t="s">
        <v>1282</v>
      </c>
      <c r="C217" s="38" t="s">
        <v>74</v>
      </c>
      <c r="D217" s="38" t="s">
        <v>1283</v>
      </c>
      <c r="E217" s="38">
        <f t="shared" si="13"/>
        <v>57</v>
      </c>
      <c r="F217" s="38" t="s">
        <v>67</v>
      </c>
      <c r="G217" s="38">
        <v>17.0</v>
      </c>
      <c r="H217" s="38" t="s">
        <v>1285</v>
      </c>
      <c r="I217" s="38" t="s">
        <v>1286</v>
      </c>
      <c r="J217" s="44" t="str">
        <f t="shared" si="2"/>
        <v>2025</v>
      </c>
      <c r="K217" s="38" t="str">
        <f t="shared" si="3"/>
        <v>12</v>
      </c>
      <c r="L217" s="38" t="str">
        <f t="shared" si="4"/>
        <v>01</v>
      </c>
      <c r="M217" s="45" t="str">
        <f t="shared" si="5"/>
        <v>18:59:36</v>
      </c>
    </row>
    <row r="218" ht="22.5" hidden="1" customHeight="1">
      <c r="A218" s="46" t="s">
        <v>69</v>
      </c>
      <c r="B218" s="46" t="s">
        <v>1027</v>
      </c>
      <c r="C218" s="46" t="s">
        <v>74</v>
      </c>
      <c r="D218" s="46" t="s">
        <v>355</v>
      </c>
      <c r="E218" s="38">
        <f t="shared" si="13"/>
        <v>10</v>
      </c>
      <c r="F218" s="46" t="s">
        <v>52</v>
      </c>
      <c r="G218" s="46">
        <v>9.0</v>
      </c>
      <c r="H218" s="46" t="s">
        <v>1289</v>
      </c>
      <c r="I218" s="46" t="s">
        <v>1290</v>
      </c>
      <c r="J218" s="47" t="str">
        <f t="shared" si="2"/>
        <v>2025</v>
      </c>
      <c r="K218" s="38" t="str">
        <f t="shared" si="3"/>
        <v>12</v>
      </c>
      <c r="L218" s="38" t="str">
        <f t="shared" si="4"/>
        <v>01</v>
      </c>
      <c r="M218" s="45" t="str">
        <f t="shared" si="5"/>
        <v>18:31:47</v>
      </c>
    </row>
    <row r="219" ht="22.5" hidden="1" customHeight="1">
      <c r="A219" s="38" t="s">
        <v>69</v>
      </c>
      <c r="B219" s="38" t="s">
        <v>1291</v>
      </c>
      <c r="C219" s="38" t="s">
        <v>74</v>
      </c>
      <c r="D219" s="38" t="s">
        <v>93</v>
      </c>
      <c r="E219" s="38">
        <f t="shared" si="13"/>
        <v>8</v>
      </c>
      <c r="F219" s="38" t="s">
        <v>106</v>
      </c>
      <c r="G219" s="38" t="s">
        <v>1293</v>
      </c>
      <c r="H219" s="38" t="s">
        <v>1294</v>
      </c>
      <c r="I219" s="38" t="s">
        <v>1295</v>
      </c>
      <c r="J219" s="44" t="str">
        <f t="shared" si="2"/>
        <v>2025</v>
      </c>
      <c r="K219" s="38" t="str">
        <f t="shared" si="3"/>
        <v>12</v>
      </c>
      <c r="L219" s="38" t="str">
        <f t="shared" si="4"/>
        <v>01</v>
      </c>
      <c r="M219" s="45" t="str">
        <f t="shared" si="5"/>
        <v>18:05:16</v>
      </c>
    </row>
    <row r="220" ht="22.5" hidden="1" customHeight="1">
      <c r="A220" s="46" t="s">
        <v>69</v>
      </c>
      <c r="B220" s="46" t="s">
        <v>1297</v>
      </c>
      <c r="C220" s="46" t="s">
        <v>74</v>
      </c>
      <c r="D220" s="46" t="s">
        <v>355</v>
      </c>
      <c r="E220" s="38">
        <f t="shared" si="13"/>
        <v>10</v>
      </c>
      <c r="F220" s="46" t="s">
        <v>106</v>
      </c>
      <c r="G220" s="46">
        <v>17.0</v>
      </c>
      <c r="H220" s="46" t="s">
        <v>1299</v>
      </c>
      <c r="I220" s="46" t="s">
        <v>1300</v>
      </c>
      <c r="J220" s="47" t="str">
        <f t="shared" si="2"/>
        <v>2025</v>
      </c>
      <c r="K220" s="38" t="str">
        <f t="shared" si="3"/>
        <v>12</v>
      </c>
      <c r="L220" s="38" t="str">
        <f t="shared" si="4"/>
        <v>01</v>
      </c>
      <c r="M220" s="45" t="str">
        <f t="shared" si="5"/>
        <v>17:36:07</v>
      </c>
    </row>
    <row r="221" ht="22.5" hidden="1" customHeight="1">
      <c r="A221" s="38" t="s">
        <v>69</v>
      </c>
      <c r="B221" s="38" t="s">
        <v>1302</v>
      </c>
      <c r="C221" s="38" t="s">
        <v>74</v>
      </c>
      <c r="D221" s="38" t="s">
        <v>196</v>
      </c>
      <c r="E221" s="38">
        <f t="shared" si="13"/>
        <v>38</v>
      </c>
      <c r="F221" s="38" t="s">
        <v>214</v>
      </c>
      <c r="G221" s="38">
        <v>1.0</v>
      </c>
      <c r="H221" s="38" t="s">
        <v>1303</v>
      </c>
      <c r="I221" s="38" t="s">
        <v>1305</v>
      </c>
      <c r="J221" s="44" t="str">
        <f t="shared" si="2"/>
        <v>2025</v>
      </c>
      <c r="K221" s="38" t="str">
        <f t="shared" si="3"/>
        <v>12</v>
      </c>
      <c r="L221" s="38" t="str">
        <f t="shared" si="4"/>
        <v>01</v>
      </c>
      <c r="M221" s="45" t="str">
        <f t="shared" si="5"/>
        <v>17:36:05</v>
      </c>
    </row>
    <row r="222" ht="22.5" hidden="1" customHeight="1">
      <c r="A222" s="38" t="s">
        <v>69</v>
      </c>
      <c r="B222" s="38" t="s">
        <v>1307</v>
      </c>
      <c r="C222" s="38" t="s">
        <v>74</v>
      </c>
      <c r="D222" s="38" t="s">
        <v>122</v>
      </c>
      <c r="E222" s="38">
        <f t="shared" si="13"/>
        <v>47</v>
      </c>
      <c r="F222" s="38" t="s">
        <v>105</v>
      </c>
      <c r="G222" s="38">
        <v>4.0</v>
      </c>
      <c r="H222" s="38" t="s">
        <v>1309</v>
      </c>
      <c r="I222" s="38" t="s">
        <v>1310</v>
      </c>
      <c r="J222" s="44" t="str">
        <f t="shared" si="2"/>
        <v>2025</v>
      </c>
      <c r="K222" s="38" t="str">
        <f t="shared" si="3"/>
        <v>12</v>
      </c>
      <c r="L222" s="38" t="str">
        <f t="shared" si="4"/>
        <v>01</v>
      </c>
      <c r="M222" s="45" t="str">
        <f t="shared" si="5"/>
        <v>16:23:46</v>
      </c>
    </row>
    <row r="223" ht="22.5" hidden="1" customHeight="1">
      <c r="A223" s="46" t="s">
        <v>69</v>
      </c>
      <c r="B223" s="46" t="s">
        <v>1313</v>
      </c>
      <c r="C223" s="46" t="s">
        <v>74</v>
      </c>
      <c r="D223" s="46" t="s">
        <v>355</v>
      </c>
      <c r="E223" s="38">
        <f t="shared" si="13"/>
        <v>10</v>
      </c>
      <c r="F223" s="46" t="s">
        <v>217</v>
      </c>
      <c r="G223" s="46">
        <v>2.0</v>
      </c>
      <c r="H223" s="46" t="s">
        <v>1315</v>
      </c>
      <c r="I223" s="46" t="s">
        <v>1316</v>
      </c>
      <c r="J223" s="47" t="str">
        <f t="shared" si="2"/>
        <v>2025</v>
      </c>
      <c r="K223" s="38" t="str">
        <f t="shared" si="3"/>
        <v>12</v>
      </c>
      <c r="L223" s="38" t="str">
        <f t="shared" si="4"/>
        <v>01</v>
      </c>
      <c r="M223" s="45" t="str">
        <f t="shared" si="5"/>
        <v>16:20:40</v>
      </c>
    </row>
    <row r="224" ht="22.5" hidden="1" customHeight="1">
      <c r="A224" s="38" t="s">
        <v>69</v>
      </c>
      <c r="B224" s="38" t="s">
        <v>872</v>
      </c>
      <c r="C224" s="38" t="s">
        <v>74</v>
      </c>
      <c r="D224" s="38" t="s">
        <v>93</v>
      </c>
      <c r="E224" s="38">
        <f t="shared" si="13"/>
        <v>8</v>
      </c>
      <c r="F224" s="38" t="s">
        <v>170</v>
      </c>
      <c r="G224" s="38">
        <v>5.0</v>
      </c>
      <c r="H224" s="38" t="s">
        <v>1319</v>
      </c>
      <c r="I224" s="38" t="s">
        <v>1320</v>
      </c>
      <c r="J224" s="44" t="str">
        <f t="shared" si="2"/>
        <v>2025</v>
      </c>
      <c r="K224" s="38" t="str">
        <f t="shared" si="3"/>
        <v>12</v>
      </c>
      <c r="L224" s="38" t="str">
        <f t="shared" si="4"/>
        <v>01</v>
      </c>
      <c r="M224" s="45" t="str">
        <f t="shared" si="5"/>
        <v>14:24:00</v>
      </c>
    </row>
    <row r="225" ht="22.5" hidden="1" customHeight="1">
      <c r="A225" s="46" t="s">
        <v>69</v>
      </c>
      <c r="B225" s="46" t="s">
        <v>1322</v>
      </c>
      <c r="C225" s="46" t="s">
        <v>74</v>
      </c>
      <c r="D225" s="46" t="s">
        <v>220</v>
      </c>
      <c r="E225" s="38">
        <f t="shared" si="13"/>
        <v>13</v>
      </c>
      <c r="F225" s="46" t="s">
        <v>132</v>
      </c>
      <c r="G225" s="46">
        <v>1.0</v>
      </c>
      <c r="H225" s="46" t="s">
        <v>1324</v>
      </c>
      <c r="I225" s="46" t="s">
        <v>1325</v>
      </c>
      <c r="J225" s="47" t="str">
        <f t="shared" si="2"/>
        <v>2025</v>
      </c>
      <c r="K225" s="38" t="str">
        <f t="shared" si="3"/>
        <v>12</v>
      </c>
      <c r="L225" s="38" t="str">
        <f t="shared" si="4"/>
        <v>01</v>
      </c>
      <c r="M225" s="45" t="str">
        <f t="shared" si="5"/>
        <v>13:53:09</v>
      </c>
    </row>
    <row r="226" ht="22.5" hidden="1" customHeight="1">
      <c r="A226" s="38" t="s">
        <v>69</v>
      </c>
      <c r="B226" s="38" t="s">
        <v>1327</v>
      </c>
      <c r="C226" s="38" t="s">
        <v>74</v>
      </c>
      <c r="D226" s="38" t="s">
        <v>144</v>
      </c>
      <c r="E226" s="38">
        <f t="shared" si="13"/>
        <v>42</v>
      </c>
      <c r="F226" s="38" t="s">
        <v>174</v>
      </c>
      <c r="G226" s="38">
        <v>16.0</v>
      </c>
      <c r="H226" s="38" t="s">
        <v>1329</v>
      </c>
      <c r="I226" s="38" t="s">
        <v>1330</v>
      </c>
      <c r="J226" s="44" t="str">
        <f t="shared" si="2"/>
        <v>2025</v>
      </c>
      <c r="K226" s="38" t="str">
        <f t="shared" si="3"/>
        <v>12</v>
      </c>
      <c r="L226" s="38" t="str">
        <f t="shared" si="4"/>
        <v>01</v>
      </c>
      <c r="M226" s="45" t="str">
        <f t="shared" si="5"/>
        <v>13:04:30</v>
      </c>
    </row>
    <row r="227" ht="22.5" hidden="1" customHeight="1">
      <c r="A227" s="46" t="s">
        <v>69</v>
      </c>
      <c r="B227" s="46" t="s">
        <v>1332</v>
      </c>
      <c r="C227" s="46" t="s">
        <v>74</v>
      </c>
      <c r="D227" s="46" t="s">
        <v>531</v>
      </c>
      <c r="E227" s="38">
        <f t="shared" si="13"/>
        <v>11</v>
      </c>
      <c r="F227" s="46" t="s">
        <v>167</v>
      </c>
      <c r="G227" s="46">
        <v>20.0</v>
      </c>
      <c r="H227" s="46" t="s">
        <v>1334</v>
      </c>
      <c r="I227" s="46" t="s">
        <v>1335</v>
      </c>
      <c r="J227" s="47" t="str">
        <f t="shared" si="2"/>
        <v>2025</v>
      </c>
      <c r="K227" s="38" t="str">
        <f t="shared" si="3"/>
        <v>12</v>
      </c>
      <c r="L227" s="38" t="str">
        <f t="shared" si="4"/>
        <v>01</v>
      </c>
      <c r="M227" s="45" t="str">
        <f t="shared" si="5"/>
        <v>12:31:20</v>
      </c>
    </row>
    <row r="228" ht="22.5" hidden="1" customHeight="1">
      <c r="A228" s="38" t="s">
        <v>69</v>
      </c>
      <c r="B228" s="38" t="s">
        <v>1332</v>
      </c>
      <c r="C228" s="38" t="s">
        <v>74</v>
      </c>
      <c r="D228" s="38" t="s">
        <v>1167</v>
      </c>
      <c r="E228" s="38">
        <f t="shared" si="13"/>
        <v>21</v>
      </c>
      <c r="F228" s="38" t="s">
        <v>120</v>
      </c>
      <c r="G228" s="38">
        <v>2.0</v>
      </c>
      <c r="H228" s="38" t="s">
        <v>1337</v>
      </c>
      <c r="I228" s="38" t="s">
        <v>1338</v>
      </c>
      <c r="J228" s="44" t="str">
        <f t="shared" si="2"/>
        <v>2025</v>
      </c>
      <c r="K228" s="38" t="str">
        <f t="shared" si="3"/>
        <v>12</v>
      </c>
      <c r="L228" s="38" t="str">
        <f t="shared" si="4"/>
        <v>01</v>
      </c>
      <c r="M228" s="45" t="str">
        <f t="shared" si="5"/>
        <v>12:28:33</v>
      </c>
    </row>
    <row r="229" ht="22.5" hidden="1" customHeight="1">
      <c r="A229" s="46" t="s">
        <v>69</v>
      </c>
      <c r="B229" s="46" t="s">
        <v>1339</v>
      </c>
      <c r="C229" s="46" t="s">
        <v>74</v>
      </c>
      <c r="D229" s="46" t="s">
        <v>722</v>
      </c>
      <c r="E229" s="38">
        <f t="shared" si="13"/>
        <v>52</v>
      </c>
      <c r="F229" s="46" t="s">
        <v>47</v>
      </c>
      <c r="G229" s="46">
        <v>15.0</v>
      </c>
      <c r="H229" s="46" t="s">
        <v>1341</v>
      </c>
      <c r="I229" s="46" t="s">
        <v>1342</v>
      </c>
      <c r="J229" s="47" t="str">
        <f t="shared" si="2"/>
        <v>2025</v>
      </c>
      <c r="K229" s="38" t="str">
        <f t="shared" si="3"/>
        <v>12</v>
      </c>
      <c r="L229" s="38" t="str">
        <f t="shared" si="4"/>
        <v>01</v>
      </c>
      <c r="M229" s="45" t="str">
        <f t="shared" si="5"/>
        <v>12:16:41</v>
      </c>
    </row>
    <row r="230" ht="22.5" hidden="1" customHeight="1">
      <c r="A230" s="38" t="s">
        <v>69</v>
      </c>
      <c r="B230" s="38" t="s">
        <v>314</v>
      </c>
      <c r="C230" s="38" t="s">
        <v>74</v>
      </c>
      <c r="D230" s="38" t="s">
        <v>113</v>
      </c>
      <c r="E230" s="38">
        <f t="shared" si="13"/>
        <v>36</v>
      </c>
      <c r="F230" s="38" t="s">
        <v>105</v>
      </c>
      <c r="G230" s="38">
        <v>8.0</v>
      </c>
      <c r="H230" s="38" t="s">
        <v>1343</v>
      </c>
      <c r="I230" s="38" t="s">
        <v>1344</v>
      </c>
      <c r="J230" s="44" t="str">
        <f t="shared" si="2"/>
        <v>2025</v>
      </c>
      <c r="K230" s="38" t="str">
        <f t="shared" si="3"/>
        <v>12</v>
      </c>
      <c r="L230" s="38" t="str">
        <f t="shared" si="4"/>
        <v>01</v>
      </c>
      <c r="M230" s="45" t="str">
        <f t="shared" si="5"/>
        <v>11:49:38</v>
      </c>
    </row>
    <row r="231" ht="22.5" hidden="1" customHeight="1">
      <c r="A231" s="46" t="s">
        <v>69</v>
      </c>
      <c r="B231" s="46" t="s">
        <v>1346</v>
      </c>
      <c r="C231" s="46" t="s">
        <v>74</v>
      </c>
      <c r="D231" s="46" t="s">
        <v>302</v>
      </c>
      <c r="E231" s="38">
        <f t="shared" si="13"/>
        <v>9</v>
      </c>
      <c r="F231" s="46" t="s">
        <v>101</v>
      </c>
      <c r="G231" s="46">
        <v>4.0</v>
      </c>
      <c r="H231" s="46" t="s">
        <v>1347</v>
      </c>
      <c r="I231" s="46" t="s">
        <v>1348</v>
      </c>
      <c r="J231" s="47" t="str">
        <f t="shared" si="2"/>
        <v>2025</v>
      </c>
      <c r="K231" s="38" t="str">
        <f t="shared" si="3"/>
        <v>12</v>
      </c>
      <c r="L231" s="38" t="str">
        <f t="shared" si="4"/>
        <v>01</v>
      </c>
      <c r="M231" s="45" t="str">
        <f t="shared" si="5"/>
        <v>10:32:07</v>
      </c>
    </row>
    <row r="232" ht="22.5" hidden="1" customHeight="1">
      <c r="A232" s="38" t="s">
        <v>69</v>
      </c>
      <c r="B232" s="38" t="s">
        <v>1350</v>
      </c>
      <c r="C232" s="38" t="s">
        <v>74</v>
      </c>
      <c r="D232" s="38" t="s">
        <v>400</v>
      </c>
      <c r="E232" s="38">
        <f t="shared" si="13"/>
        <v>55</v>
      </c>
      <c r="F232" s="38" t="s">
        <v>167</v>
      </c>
      <c r="G232" s="38">
        <v>1.0</v>
      </c>
      <c r="H232" s="48"/>
      <c r="I232" s="38" t="s">
        <v>1351</v>
      </c>
      <c r="J232" s="44" t="str">
        <f t="shared" si="2"/>
        <v>2025</v>
      </c>
      <c r="K232" s="38" t="str">
        <f t="shared" si="3"/>
        <v>12</v>
      </c>
      <c r="L232" s="38" t="str">
        <f t="shared" si="4"/>
        <v>01</v>
      </c>
      <c r="M232" s="45" t="str">
        <f t="shared" si="5"/>
        <v>08:48:25</v>
      </c>
    </row>
    <row r="233" ht="22.5" hidden="1" customHeight="1">
      <c r="A233" s="38" t="s">
        <v>69</v>
      </c>
      <c r="B233" s="38" t="s">
        <v>1352</v>
      </c>
      <c r="C233" s="38" t="s">
        <v>74</v>
      </c>
      <c r="D233" s="38" t="s">
        <v>220</v>
      </c>
      <c r="E233" s="38">
        <f t="shared" si="13"/>
        <v>13</v>
      </c>
      <c r="F233" s="38" t="s">
        <v>190</v>
      </c>
      <c r="G233" s="38">
        <v>16.0</v>
      </c>
      <c r="H233" s="38" t="s">
        <v>1353</v>
      </c>
      <c r="I233" s="38" t="s">
        <v>1354</v>
      </c>
      <c r="J233" s="44" t="str">
        <f t="shared" si="2"/>
        <v>2025</v>
      </c>
      <c r="K233" s="38" t="str">
        <f t="shared" si="3"/>
        <v>11</v>
      </c>
      <c r="L233" s="38" t="str">
        <f t="shared" si="4"/>
        <v>30</v>
      </c>
      <c r="M233" s="45" t="str">
        <f t="shared" si="5"/>
        <v>21:30:10</v>
      </c>
    </row>
    <row r="234" ht="22.5" hidden="1" customHeight="1">
      <c r="A234" s="46" t="s">
        <v>69</v>
      </c>
      <c r="B234" s="46" t="s">
        <v>1355</v>
      </c>
      <c r="C234" s="46" t="s">
        <v>74</v>
      </c>
      <c r="D234" s="46" t="s">
        <v>406</v>
      </c>
      <c r="E234" s="38">
        <f t="shared" si="13"/>
        <v>24</v>
      </c>
      <c r="F234" s="46" t="s">
        <v>136</v>
      </c>
      <c r="G234" s="46">
        <v>3.0</v>
      </c>
      <c r="H234" s="46" t="s">
        <v>1356</v>
      </c>
      <c r="I234" s="46" t="s">
        <v>1357</v>
      </c>
      <c r="J234" s="47" t="str">
        <f t="shared" si="2"/>
        <v>2025</v>
      </c>
      <c r="K234" s="38" t="str">
        <f t="shared" si="3"/>
        <v>11</v>
      </c>
      <c r="L234" s="38" t="str">
        <f t="shared" si="4"/>
        <v>30</v>
      </c>
      <c r="M234" s="45" t="str">
        <f t="shared" si="5"/>
        <v>21:27:12</v>
      </c>
    </row>
    <row r="235" ht="22.5" hidden="1" customHeight="1">
      <c r="A235" s="38" t="s">
        <v>69</v>
      </c>
      <c r="B235" s="38" t="s">
        <v>1138</v>
      </c>
      <c r="C235" s="38" t="s">
        <v>74</v>
      </c>
      <c r="D235" s="38" t="s">
        <v>641</v>
      </c>
      <c r="E235" s="38">
        <f t="shared" si="13"/>
        <v>28</v>
      </c>
      <c r="F235" s="38" t="s">
        <v>136</v>
      </c>
      <c r="G235" s="38">
        <v>12.0</v>
      </c>
      <c r="H235" s="48"/>
      <c r="I235" s="38" t="s">
        <v>1358</v>
      </c>
      <c r="J235" s="44" t="str">
        <f t="shared" si="2"/>
        <v>2025</v>
      </c>
      <c r="K235" s="38" t="str">
        <f t="shared" si="3"/>
        <v>11</v>
      </c>
      <c r="L235" s="38" t="str">
        <f t="shared" si="4"/>
        <v>30</v>
      </c>
      <c r="M235" s="45" t="str">
        <f t="shared" si="5"/>
        <v>21:17:07</v>
      </c>
    </row>
    <row r="236" ht="22.5" hidden="1" customHeight="1">
      <c r="A236" s="46" t="s">
        <v>69</v>
      </c>
      <c r="B236" s="46" t="s">
        <v>1359</v>
      </c>
      <c r="C236" s="46" t="s">
        <v>74</v>
      </c>
      <c r="D236" s="46" t="s">
        <v>531</v>
      </c>
      <c r="E236" s="38">
        <f t="shared" si="13"/>
        <v>11</v>
      </c>
      <c r="F236" s="46" t="s">
        <v>170</v>
      </c>
      <c r="G236" s="46">
        <v>1.0</v>
      </c>
      <c r="H236" s="46" t="s">
        <v>1360</v>
      </c>
      <c r="I236" s="46" t="s">
        <v>1361</v>
      </c>
      <c r="J236" s="47" t="str">
        <f t="shared" si="2"/>
        <v>2025</v>
      </c>
      <c r="K236" s="38" t="str">
        <f t="shared" si="3"/>
        <v>11</v>
      </c>
      <c r="L236" s="38" t="str">
        <f t="shared" si="4"/>
        <v>30</v>
      </c>
      <c r="M236" s="45" t="str">
        <f t="shared" si="5"/>
        <v>20:45:43</v>
      </c>
    </row>
    <row r="237" ht="22.5" hidden="1" customHeight="1">
      <c r="A237" s="38" t="s">
        <v>69</v>
      </c>
      <c r="B237" s="38" t="s">
        <v>1362</v>
      </c>
      <c r="C237" s="38" t="s">
        <v>74</v>
      </c>
      <c r="D237" s="38" t="s">
        <v>406</v>
      </c>
      <c r="E237" s="38">
        <f t="shared" si="13"/>
        <v>24</v>
      </c>
      <c r="F237" s="38" t="s">
        <v>20</v>
      </c>
      <c r="G237" s="38">
        <v>7.0</v>
      </c>
      <c r="H237" s="48"/>
      <c r="I237" s="38" t="s">
        <v>1363</v>
      </c>
      <c r="J237" s="44" t="str">
        <f t="shared" si="2"/>
        <v>2025</v>
      </c>
      <c r="K237" s="38" t="str">
        <f t="shared" si="3"/>
        <v>11</v>
      </c>
      <c r="L237" s="38" t="str">
        <f t="shared" si="4"/>
        <v>30</v>
      </c>
      <c r="M237" s="45" t="str">
        <f t="shared" si="5"/>
        <v>19:52:50</v>
      </c>
    </row>
    <row r="238" ht="22.5" hidden="1" customHeight="1">
      <c r="A238" s="46" t="s">
        <v>69</v>
      </c>
      <c r="B238" s="46" t="s">
        <v>1364</v>
      </c>
      <c r="C238" s="46" t="s">
        <v>343</v>
      </c>
      <c r="D238" s="46" t="s">
        <v>1365</v>
      </c>
      <c r="E238" s="38">
        <f t="shared" si="13"/>
        <v>29</v>
      </c>
      <c r="F238" s="46" t="s">
        <v>182</v>
      </c>
      <c r="G238" s="46">
        <v>6.0</v>
      </c>
      <c r="H238" s="46" t="s">
        <v>1366</v>
      </c>
      <c r="I238" s="46" t="s">
        <v>1367</v>
      </c>
      <c r="J238" s="47" t="str">
        <f t="shared" si="2"/>
        <v>2025</v>
      </c>
      <c r="K238" s="38" t="str">
        <f t="shared" si="3"/>
        <v>11</v>
      </c>
      <c r="L238" s="38" t="str">
        <f t="shared" si="4"/>
        <v>30</v>
      </c>
      <c r="M238" s="45" t="str">
        <f t="shared" si="5"/>
        <v>19:36:58</v>
      </c>
    </row>
    <row r="239" ht="22.5" hidden="1" customHeight="1">
      <c r="A239" s="38" t="s">
        <v>69</v>
      </c>
      <c r="B239" s="38" t="s">
        <v>1368</v>
      </c>
      <c r="C239" s="38" t="s">
        <v>74</v>
      </c>
      <c r="D239" s="38" t="s">
        <v>196</v>
      </c>
      <c r="E239" s="38">
        <f t="shared" si="13"/>
        <v>38</v>
      </c>
      <c r="F239" s="38" t="s">
        <v>186</v>
      </c>
      <c r="G239" s="38">
        <v>5.0</v>
      </c>
      <c r="H239" s="38" t="s">
        <v>1369</v>
      </c>
      <c r="I239" s="38" t="s">
        <v>1370</v>
      </c>
      <c r="J239" s="44" t="str">
        <f t="shared" si="2"/>
        <v>2025</v>
      </c>
      <c r="K239" s="38" t="str">
        <f t="shared" si="3"/>
        <v>11</v>
      </c>
      <c r="L239" s="38" t="str">
        <f t="shared" si="4"/>
        <v>30</v>
      </c>
      <c r="M239" s="45" t="str">
        <f t="shared" si="5"/>
        <v>19:21:49</v>
      </c>
    </row>
    <row r="240" ht="22.5" hidden="1" customHeight="1">
      <c r="A240" s="46" t="s">
        <v>69</v>
      </c>
      <c r="B240" s="46" t="s">
        <v>1371</v>
      </c>
      <c r="C240" s="46" t="s">
        <v>74</v>
      </c>
      <c r="D240" s="46" t="s">
        <v>93</v>
      </c>
      <c r="E240" s="38">
        <f t="shared" si="13"/>
        <v>8</v>
      </c>
      <c r="F240" s="46" t="s">
        <v>52</v>
      </c>
      <c r="G240" s="46">
        <v>34.0</v>
      </c>
      <c r="H240" s="46" t="s">
        <v>1372</v>
      </c>
      <c r="I240" s="46" t="s">
        <v>1373</v>
      </c>
      <c r="J240" s="47" t="str">
        <f t="shared" si="2"/>
        <v>2025</v>
      </c>
      <c r="K240" s="38" t="str">
        <f t="shared" si="3"/>
        <v>11</v>
      </c>
      <c r="L240" s="38" t="str">
        <f t="shared" si="4"/>
        <v>30</v>
      </c>
      <c r="M240" s="45" t="str">
        <f t="shared" si="5"/>
        <v>19:09:16</v>
      </c>
    </row>
    <row r="241" ht="22.5" hidden="1" customHeight="1">
      <c r="A241" s="38" t="s">
        <v>69</v>
      </c>
      <c r="B241" s="38" t="s">
        <v>1371</v>
      </c>
      <c r="C241" s="38" t="s">
        <v>74</v>
      </c>
      <c r="D241" s="38" t="s">
        <v>302</v>
      </c>
      <c r="E241" s="38">
        <f t="shared" si="13"/>
        <v>9</v>
      </c>
      <c r="F241" s="38" t="s">
        <v>52</v>
      </c>
      <c r="G241" s="38">
        <v>28.0</v>
      </c>
      <c r="H241" s="38" t="s">
        <v>1374</v>
      </c>
      <c r="I241" s="38" t="s">
        <v>1375</v>
      </c>
      <c r="J241" s="44" t="str">
        <f t="shared" si="2"/>
        <v>2025</v>
      </c>
      <c r="K241" s="38" t="str">
        <f t="shared" si="3"/>
        <v>11</v>
      </c>
      <c r="L241" s="38" t="str">
        <f t="shared" si="4"/>
        <v>30</v>
      </c>
      <c r="M241" s="45" t="str">
        <f t="shared" si="5"/>
        <v>19:07:46</v>
      </c>
    </row>
    <row r="242" ht="22.5" hidden="1" customHeight="1">
      <c r="A242" s="46" t="s">
        <v>69</v>
      </c>
      <c r="B242" s="46" t="s">
        <v>1376</v>
      </c>
      <c r="C242" s="46" t="s">
        <v>74</v>
      </c>
      <c r="D242" s="46" t="s">
        <v>1167</v>
      </c>
      <c r="E242" s="38">
        <f t="shared" si="13"/>
        <v>21</v>
      </c>
      <c r="F242" s="46" t="s">
        <v>142</v>
      </c>
      <c r="G242" s="46">
        <v>8.0</v>
      </c>
      <c r="H242" s="46" t="s">
        <v>1377</v>
      </c>
      <c r="I242" s="46" t="s">
        <v>1378</v>
      </c>
      <c r="J242" s="47" t="str">
        <f t="shared" si="2"/>
        <v>2025</v>
      </c>
      <c r="K242" s="38" t="str">
        <f t="shared" si="3"/>
        <v>11</v>
      </c>
      <c r="L242" s="38" t="str">
        <f t="shared" si="4"/>
        <v>30</v>
      </c>
      <c r="M242" s="45" t="str">
        <f t="shared" si="5"/>
        <v>18:07:02</v>
      </c>
    </row>
    <row r="243" ht="22.5" hidden="1" customHeight="1">
      <c r="A243" s="38" t="s">
        <v>69</v>
      </c>
      <c r="B243" s="38" t="s">
        <v>1379</v>
      </c>
      <c r="C243" s="38" t="s">
        <v>74</v>
      </c>
      <c r="D243" s="38" t="s">
        <v>144</v>
      </c>
      <c r="E243" s="38">
        <f t="shared" si="13"/>
        <v>42</v>
      </c>
      <c r="F243" s="38" t="s">
        <v>101</v>
      </c>
      <c r="G243" s="38">
        <v>15.0</v>
      </c>
      <c r="H243" s="38" t="s">
        <v>1380</v>
      </c>
      <c r="I243" s="38" t="s">
        <v>1381</v>
      </c>
      <c r="J243" s="44" t="str">
        <f t="shared" si="2"/>
        <v>2025</v>
      </c>
      <c r="K243" s="38" t="str">
        <f t="shared" si="3"/>
        <v>11</v>
      </c>
      <c r="L243" s="38" t="str">
        <f t="shared" si="4"/>
        <v>30</v>
      </c>
      <c r="M243" s="45" t="str">
        <f t="shared" si="5"/>
        <v>17:11:54</v>
      </c>
    </row>
    <row r="244" ht="22.5" hidden="1" customHeight="1">
      <c r="A244" s="46" t="s">
        <v>69</v>
      </c>
      <c r="B244" s="46" t="s">
        <v>1382</v>
      </c>
      <c r="C244" s="46" t="s">
        <v>74</v>
      </c>
      <c r="D244" s="46" t="s">
        <v>189</v>
      </c>
      <c r="E244" s="38">
        <f t="shared" si="13"/>
        <v>16</v>
      </c>
      <c r="F244" s="46" t="s">
        <v>82</v>
      </c>
      <c r="G244" s="46" t="s">
        <v>1383</v>
      </c>
      <c r="H244" s="46" t="s">
        <v>1384</v>
      </c>
      <c r="I244" s="46" t="s">
        <v>1385</v>
      </c>
      <c r="J244" s="47" t="str">
        <f t="shared" si="2"/>
        <v>2025</v>
      </c>
      <c r="K244" s="38" t="str">
        <f t="shared" si="3"/>
        <v>11</v>
      </c>
      <c r="L244" s="38" t="str">
        <f t="shared" si="4"/>
        <v>30</v>
      </c>
      <c r="M244" s="45" t="str">
        <f t="shared" si="5"/>
        <v>16:36:15</v>
      </c>
    </row>
    <row r="245" ht="22.5" hidden="1" customHeight="1">
      <c r="A245" s="38" t="s">
        <v>69</v>
      </c>
      <c r="B245" s="38" t="s">
        <v>1386</v>
      </c>
      <c r="C245" s="38" t="s">
        <v>74</v>
      </c>
      <c r="D245" s="38" t="s">
        <v>936</v>
      </c>
      <c r="E245" s="38">
        <f t="shared" si="13"/>
        <v>19</v>
      </c>
      <c r="F245" s="38" t="s">
        <v>52</v>
      </c>
      <c r="G245" s="38">
        <v>37.0</v>
      </c>
      <c r="H245" s="48"/>
      <c r="I245" s="38" t="s">
        <v>1387</v>
      </c>
      <c r="J245" s="44" t="str">
        <f t="shared" si="2"/>
        <v>2025</v>
      </c>
      <c r="K245" s="38" t="str">
        <f t="shared" si="3"/>
        <v>11</v>
      </c>
      <c r="L245" s="38" t="str">
        <f t="shared" si="4"/>
        <v>30</v>
      </c>
      <c r="M245" s="45" t="str">
        <f t="shared" si="5"/>
        <v>14:48:24</v>
      </c>
    </row>
    <row r="246" ht="22.5" hidden="1" customHeight="1">
      <c r="A246" s="46" t="s">
        <v>69</v>
      </c>
      <c r="B246" s="46" t="s">
        <v>1388</v>
      </c>
      <c r="C246" s="46" t="s">
        <v>74</v>
      </c>
      <c r="D246" s="46" t="s">
        <v>1389</v>
      </c>
      <c r="E246" s="38">
        <f t="shared" si="13"/>
        <v>61</v>
      </c>
      <c r="F246" s="46" t="s">
        <v>137</v>
      </c>
      <c r="G246" s="46">
        <v>6.0</v>
      </c>
      <c r="H246" s="46" t="s">
        <v>1390</v>
      </c>
      <c r="I246" s="46" t="s">
        <v>1391</v>
      </c>
      <c r="J246" s="47" t="str">
        <f t="shared" si="2"/>
        <v>2025</v>
      </c>
      <c r="K246" s="38" t="str">
        <f t="shared" si="3"/>
        <v>11</v>
      </c>
      <c r="L246" s="38" t="str">
        <f t="shared" si="4"/>
        <v>30</v>
      </c>
      <c r="M246" s="45" t="str">
        <f t="shared" si="5"/>
        <v>14:10:28</v>
      </c>
    </row>
    <row r="247" ht="22.5" hidden="1" customHeight="1">
      <c r="A247" s="38" t="s">
        <v>69</v>
      </c>
      <c r="B247" s="38" t="s">
        <v>1392</v>
      </c>
      <c r="C247" s="38" t="s">
        <v>74</v>
      </c>
      <c r="D247" s="38" t="s">
        <v>189</v>
      </c>
      <c r="E247" s="38">
        <f t="shared" si="13"/>
        <v>16</v>
      </c>
      <c r="F247" s="38" t="s">
        <v>182</v>
      </c>
      <c r="G247" s="38">
        <v>12.0</v>
      </c>
      <c r="H247" s="38" t="s">
        <v>1393</v>
      </c>
      <c r="I247" s="38" t="s">
        <v>1394</v>
      </c>
      <c r="J247" s="44" t="str">
        <f t="shared" si="2"/>
        <v>2025</v>
      </c>
      <c r="K247" s="38" t="str">
        <f t="shared" si="3"/>
        <v>11</v>
      </c>
      <c r="L247" s="38" t="str">
        <f t="shared" si="4"/>
        <v>30</v>
      </c>
      <c r="M247" s="45" t="str">
        <f t="shared" si="5"/>
        <v>11:55:01</v>
      </c>
    </row>
    <row r="248" ht="22.5" hidden="1" customHeight="1">
      <c r="A248" s="46" t="s">
        <v>69</v>
      </c>
      <c r="B248" s="46" t="s">
        <v>1395</v>
      </c>
      <c r="C248" s="46" t="s">
        <v>74</v>
      </c>
      <c r="D248" s="46" t="s">
        <v>220</v>
      </c>
      <c r="E248" s="38">
        <f t="shared" si="13"/>
        <v>13</v>
      </c>
      <c r="F248" s="46" t="s">
        <v>182</v>
      </c>
      <c r="G248" s="46">
        <v>3.0</v>
      </c>
      <c r="H248" s="46" t="s">
        <v>1396</v>
      </c>
      <c r="I248" s="46" t="s">
        <v>1397</v>
      </c>
      <c r="J248" s="47" t="str">
        <f t="shared" si="2"/>
        <v>2025</v>
      </c>
      <c r="K248" s="38" t="str">
        <f t="shared" si="3"/>
        <v>11</v>
      </c>
      <c r="L248" s="38" t="str">
        <f t="shared" si="4"/>
        <v>30</v>
      </c>
      <c r="M248" s="45" t="str">
        <f t="shared" si="5"/>
        <v>11:55:00</v>
      </c>
    </row>
    <row r="249" ht="22.5" hidden="1" customHeight="1">
      <c r="A249" s="38" t="s">
        <v>69</v>
      </c>
      <c r="B249" s="38" t="s">
        <v>1398</v>
      </c>
      <c r="C249" s="38" t="s">
        <v>74</v>
      </c>
      <c r="D249" s="38" t="s">
        <v>295</v>
      </c>
      <c r="E249" s="38">
        <f t="shared" si="13"/>
        <v>14</v>
      </c>
      <c r="F249" s="38" t="s">
        <v>136</v>
      </c>
      <c r="G249" s="38">
        <v>15.0</v>
      </c>
      <c r="H249" s="38" t="s">
        <v>1399</v>
      </c>
      <c r="I249" s="38" t="s">
        <v>1400</v>
      </c>
      <c r="J249" s="44" t="str">
        <f t="shared" si="2"/>
        <v>2025</v>
      </c>
      <c r="K249" s="38" t="str">
        <f t="shared" si="3"/>
        <v>11</v>
      </c>
      <c r="L249" s="38" t="str">
        <f t="shared" si="4"/>
        <v>30</v>
      </c>
      <c r="M249" s="45" t="str">
        <f t="shared" si="5"/>
        <v>11:46:33</v>
      </c>
    </row>
    <row r="250" ht="22.5" hidden="1" customHeight="1">
      <c r="A250" s="46" t="s">
        <v>69</v>
      </c>
      <c r="B250" s="46" t="s">
        <v>1401</v>
      </c>
      <c r="C250" s="46" t="s">
        <v>74</v>
      </c>
      <c r="D250" s="46" t="s">
        <v>189</v>
      </c>
      <c r="E250" s="38">
        <f t="shared" si="13"/>
        <v>16</v>
      </c>
      <c r="F250" s="46" t="s">
        <v>167</v>
      </c>
      <c r="G250" s="46">
        <v>10.0</v>
      </c>
      <c r="H250" s="50"/>
      <c r="I250" s="46" t="s">
        <v>1402</v>
      </c>
      <c r="J250" s="47" t="str">
        <f t="shared" si="2"/>
        <v>2025</v>
      </c>
      <c r="K250" s="38" t="str">
        <f t="shared" si="3"/>
        <v>11</v>
      </c>
      <c r="L250" s="38" t="str">
        <f t="shared" si="4"/>
        <v>30</v>
      </c>
      <c r="M250" s="45" t="str">
        <f t="shared" si="5"/>
        <v>11:05:40</v>
      </c>
    </row>
    <row r="251" ht="22.5" hidden="1" customHeight="1">
      <c r="A251" s="38" t="s">
        <v>69</v>
      </c>
      <c r="B251" s="38" t="s">
        <v>1403</v>
      </c>
      <c r="C251" s="38" t="s">
        <v>74</v>
      </c>
      <c r="D251" s="38" t="s">
        <v>1077</v>
      </c>
      <c r="E251" s="38">
        <f t="shared" si="13"/>
        <v>23</v>
      </c>
      <c r="F251" s="38" t="s">
        <v>157</v>
      </c>
      <c r="G251" s="38">
        <v>15.0</v>
      </c>
      <c r="H251" s="38" t="s">
        <v>1404</v>
      </c>
      <c r="I251" s="38" t="s">
        <v>1405</v>
      </c>
      <c r="J251" s="44" t="str">
        <f t="shared" si="2"/>
        <v>2025</v>
      </c>
      <c r="K251" s="38" t="str">
        <f t="shared" si="3"/>
        <v>11</v>
      </c>
      <c r="L251" s="38" t="str">
        <f t="shared" si="4"/>
        <v>30</v>
      </c>
      <c r="M251" s="45" t="str">
        <f t="shared" si="5"/>
        <v>11:05:04</v>
      </c>
    </row>
    <row r="252" ht="22.5" hidden="1" customHeight="1">
      <c r="A252" s="74" t="s">
        <v>69</v>
      </c>
      <c r="B252" s="46" t="s">
        <v>1406</v>
      </c>
      <c r="C252" s="46" t="s">
        <v>343</v>
      </c>
      <c r="D252" s="74" t="s">
        <v>1407</v>
      </c>
      <c r="E252" s="38">
        <f t="shared" si="13"/>
        <v>76</v>
      </c>
      <c r="F252" s="74" t="s">
        <v>98</v>
      </c>
      <c r="G252" s="74">
        <v>6.0</v>
      </c>
      <c r="H252" s="74" t="s">
        <v>1408</v>
      </c>
      <c r="I252" s="74" t="s">
        <v>1409</v>
      </c>
      <c r="J252" s="47" t="str">
        <f t="shared" si="2"/>
        <v>2025</v>
      </c>
      <c r="K252" s="38" t="str">
        <f t="shared" si="3"/>
        <v>11</v>
      </c>
      <c r="L252" s="38" t="str">
        <f t="shared" si="4"/>
        <v>30</v>
      </c>
      <c r="M252" s="45" t="str">
        <f t="shared" si="5"/>
        <v>10:17:18</v>
      </c>
    </row>
    <row r="253" ht="22.5" hidden="1" customHeight="1">
      <c r="A253" s="38" t="s">
        <v>69</v>
      </c>
      <c r="B253" s="38" t="s">
        <v>1410</v>
      </c>
      <c r="C253" s="38" t="s">
        <v>74</v>
      </c>
      <c r="D253" s="38" t="s">
        <v>556</v>
      </c>
      <c r="E253" s="38">
        <f t="shared" si="13"/>
        <v>40</v>
      </c>
      <c r="F253" s="38" t="s">
        <v>137</v>
      </c>
      <c r="G253" s="38">
        <v>36.0</v>
      </c>
      <c r="H253" s="48"/>
      <c r="I253" s="38" t="s">
        <v>1411</v>
      </c>
      <c r="J253" s="44" t="str">
        <f t="shared" si="2"/>
        <v>2025</v>
      </c>
      <c r="K253" s="38" t="str">
        <f t="shared" si="3"/>
        <v>11</v>
      </c>
      <c r="L253" s="38" t="str">
        <f t="shared" si="4"/>
        <v>30</v>
      </c>
      <c r="M253" s="45" t="str">
        <f t="shared" si="5"/>
        <v>08:51:51</v>
      </c>
    </row>
    <row r="254" ht="22.5" hidden="1" customHeight="1">
      <c r="A254" s="46" t="s">
        <v>69</v>
      </c>
      <c r="B254" s="46" t="s">
        <v>1412</v>
      </c>
      <c r="C254" s="46" t="s">
        <v>74</v>
      </c>
      <c r="D254" s="46" t="s">
        <v>295</v>
      </c>
      <c r="E254" s="38">
        <f t="shared" si="13"/>
        <v>14</v>
      </c>
      <c r="F254" s="46" t="s">
        <v>182</v>
      </c>
      <c r="G254" s="46">
        <v>1.0</v>
      </c>
      <c r="H254" s="46" t="s">
        <v>1413</v>
      </c>
      <c r="I254" s="46" t="s">
        <v>1414</v>
      </c>
      <c r="J254" s="47" t="str">
        <f t="shared" si="2"/>
        <v>2025</v>
      </c>
      <c r="K254" s="38" t="str">
        <f t="shared" si="3"/>
        <v>11</v>
      </c>
      <c r="L254" s="38" t="str">
        <f t="shared" si="4"/>
        <v>30</v>
      </c>
      <c r="M254" s="45" t="str">
        <f t="shared" si="5"/>
        <v>06:33:42</v>
      </c>
    </row>
    <row r="255" ht="22.5" hidden="1" customHeight="1">
      <c r="A255" s="38" t="s">
        <v>69</v>
      </c>
      <c r="B255" s="38" t="s">
        <v>944</v>
      </c>
      <c r="C255" s="38" t="s">
        <v>74</v>
      </c>
      <c r="D255" s="38" t="s">
        <v>93</v>
      </c>
      <c r="E255" s="38">
        <f t="shared" si="13"/>
        <v>8</v>
      </c>
      <c r="F255" s="38" t="s">
        <v>132</v>
      </c>
      <c r="G255" s="38">
        <v>24.0</v>
      </c>
      <c r="H255" s="38" t="s">
        <v>1415</v>
      </c>
      <c r="I255" s="38" t="s">
        <v>1416</v>
      </c>
      <c r="J255" s="44" t="str">
        <f t="shared" si="2"/>
        <v>2025</v>
      </c>
      <c r="K255" s="38" t="str">
        <f t="shared" si="3"/>
        <v>11</v>
      </c>
      <c r="L255" s="38" t="str">
        <f t="shared" si="4"/>
        <v>29</v>
      </c>
      <c r="M255" s="45" t="str">
        <f t="shared" si="5"/>
        <v>21:16:24</v>
      </c>
    </row>
    <row r="256" ht="22.5" hidden="1" customHeight="1">
      <c r="A256" s="46" t="s">
        <v>69</v>
      </c>
      <c r="B256" s="46" t="s">
        <v>1417</v>
      </c>
      <c r="C256" s="46" t="s">
        <v>74</v>
      </c>
      <c r="D256" s="46" t="s">
        <v>722</v>
      </c>
      <c r="E256" s="38">
        <f t="shared" si="13"/>
        <v>52</v>
      </c>
      <c r="F256" s="46" t="s">
        <v>128</v>
      </c>
      <c r="G256" s="46">
        <v>1.0</v>
      </c>
      <c r="H256" s="50"/>
      <c r="I256" s="46" t="s">
        <v>1418</v>
      </c>
      <c r="J256" s="47" t="str">
        <f t="shared" si="2"/>
        <v>2025</v>
      </c>
      <c r="K256" s="38" t="str">
        <f t="shared" si="3"/>
        <v>11</v>
      </c>
      <c r="L256" s="38" t="str">
        <f t="shared" si="4"/>
        <v>29</v>
      </c>
      <c r="M256" s="45" t="str">
        <f t="shared" si="5"/>
        <v>21:05:32</v>
      </c>
    </row>
    <row r="257" ht="22.5" hidden="1" customHeight="1">
      <c r="A257" s="38" t="s">
        <v>69</v>
      </c>
      <c r="B257" s="38" t="s">
        <v>1417</v>
      </c>
      <c r="C257" s="38" t="s">
        <v>74</v>
      </c>
      <c r="D257" s="38" t="s">
        <v>180</v>
      </c>
      <c r="E257" s="38">
        <f t="shared" si="13"/>
        <v>27</v>
      </c>
      <c r="F257" s="38" t="s">
        <v>47</v>
      </c>
      <c r="G257" s="38">
        <v>10.0</v>
      </c>
      <c r="H257" s="48"/>
      <c r="I257" s="38" t="s">
        <v>1419</v>
      </c>
      <c r="J257" s="44" t="str">
        <f t="shared" si="2"/>
        <v>2025</v>
      </c>
      <c r="K257" s="38" t="str">
        <f t="shared" si="3"/>
        <v>11</v>
      </c>
      <c r="L257" s="38" t="str">
        <f t="shared" si="4"/>
        <v>29</v>
      </c>
      <c r="M257" s="45" t="str">
        <f t="shared" si="5"/>
        <v>21:01:46</v>
      </c>
    </row>
    <row r="258" ht="22.5" hidden="1" customHeight="1">
      <c r="A258" s="46" t="s">
        <v>69</v>
      </c>
      <c r="B258" s="46" t="s">
        <v>1420</v>
      </c>
      <c r="C258" s="46" t="s">
        <v>74</v>
      </c>
      <c r="D258" s="46" t="s">
        <v>489</v>
      </c>
      <c r="E258" s="38">
        <f t="shared" si="13"/>
        <v>12</v>
      </c>
      <c r="F258" s="46" t="s">
        <v>91</v>
      </c>
      <c r="G258" s="46">
        <v>8.0</v>
      </c>
      <c r="H258" s="46" t="s">
        <v>1421</v>
      </c>
      <c r="I258" s="46" t="s">
        <v>1422</v>
      </c>
      <c r="J258" s="47" t="str">
        <f t="shared" si="2"/>
        <v>2025</v>
      </c>
      <c r="K258" s="38" t="str">
        <f t="shared" si="3"/>
        <v>11</v>
      </c>
      <c r="L258" s="38" t="str">
        <f t="shared" si="4"/>
        <v>29</v>
      </c>
      <c r="M258" s="45" t="str">
        <f t="shared" si="5"/>
        <v>20:36:43</v>
      </c>
    </row>
    <row r="259" ht="22.5" hidden="1" customHeight="1">
      <c r="A259" s="38" t="s">
        <v>69</v>
      </c>
      <c r="B259" s="38" t="s">
        <v>1423</v>
      </c>
      <c r="C259" s="38" t="s">
        <v>74</v>
      </c>
      <c r="D259" s="38" t="s">
        <v>1424</v>
      </c>
      <c r="E259" s="38">
        <f t="shared" si="13"/>
        <v>65</v>
      </c>
      <c r="F259" s="38" t="s">
        <v>91</v>
      </c>
      <c r="G259" s="38">
        <v>1.0</v>
      </c>
      <c r="H259" s="48"/>
      <c r="I259" s="38" t="s">
        <v>1425</v>
      </c>
      <c r="J259" s="44" t="str">
        <f t="shared" si="2"/>
        <v>2025</v>
      </c>
      <c r="K259" s="38" t="str">
        <f t="shared" si="3"/>
        <v>11</v>
      </c>
      <c r="L259" s="38" t="str">
        <f t="shared" si="4"/>
        <v>29</v>
      </c>
      <c r="M259" s="45" t="str">
        <f t="shared" si="5"/>
        <v>19:39:40</v>
      </c>
    </row>
    <row r="260" ht="22.5" hidden="1" customHeight="1">
      <c r="A260" s="46" t="s">
        <v>69</v>
      </c>
      <c r="B260" s="46" t="s">
        <v>1426</v>
      </c>
      <c r="C260" s="46" t="s">
        <v>74</v>
      </c>
      <c r="D260" s="46" t="s">
        <v>93</v>
      </c>
      <c r="E260" s="38">
        <f t="shared" si="13"/>
        <v>8</v>
      </c>
      <c r="F260" s="46" t="s">
        <v>214</v>
      </c>
      <c r="G260" s="46">
        <v>2.0</v>
      </c>
      <c r="H260" s="46" t="s">
        <v>1427</v>
      </c>
      <c r="I260" s="46" t="s">
        <v>1428</v>
      </c>
      <c r="J260" s="47" t="str">
        <f t="shared" si="2"/>
        <v>2025</v>
      </c>
      <c r="K260" s="38" t="str">
        <f t="shared" si="3"/>
        <v>11</v>
      </c>
      <c r="L260" s="38" t="str">
        <f t="shared" si="4"/>
        <v>29</v>
      </c>
      <c r="M260" s="45" t="str">
        <f t="shared" si="5"/>
        <v>18:38:01</v>
      </c>
    </row>
    <row r="261" ht="22.5" hidden="1" customHeight="1">
      <c r="A261" s="38" t="s">
        <v>69</v>
      </c>
      <c r="B261" s="38" t="s">
        <v>74</v>
      </c>
      <c r="C261" s="38" t="s">
        <v>74</v>
      </c>
      <c r="D261" s="38" t="s">
        <v>93</v>
      </c>
      <c r="E261" s="38">
        <f t="shared" si="13"/>
        <v>8</v>
      </c>
      <c r="F261" s="38" t="s">
        <v>193</v>
      </c>
      <c r="G261" s="38">
        <v>5.0</v>
      </c>
      <c r="H261" s="38" t="s">
        <v>1429</v>
      </c>
      <c r="I261" s="38" t="s">
        <v>1430</v>
      </c>
      <c r="J261" s="44" t="str">
        <f t="shared" si="2"/>
        <v>2025</v>
      </c>
      <c r="K261" s="38" t="str">
        <f t="shared" si="3"/>
        <v>11</v>
      </c>
      <c r="L261" s="38" t="str">
        <f t="shared" si="4"/>
        <v>29</v>
      </c>
      <c r="M261" s="45" t="str">
        <f t="shared" si="5"/>
        <v>18:01:57</v>
      </c>
    </row>
    <row r="262" ht="22.5" hidden="1" customHeight="1">
      <c r="A262" s="46" t="s">
        <v>69</v>
      </c>
      <c r="B262" s="46" t="s">
        <v>1431</v>
      </c>
      <c r="C262" s="46" t="s">
        <v>74</v>
      </c>
      <c r="D262" s="46" t="s">
        <v>93</v>
      </c>
      <c r="E262" s="38">
        <f t="shared" si="13"/>
        <v>8</v>
      </c>
      <c r="F262" s="46" t="s">
        <v>157</v>
      </c>
      <c r="G262" s="46">
        <v>8.0</v>
      </c>
      <c r="H262" s="46" t="s">
        <v>1432</v>
      </c>
      <c r="I262" s="46" t="s">
        <v>1433</v>
      </c>
      <c r="J262" s="47" t="str">
        <f t="shared" si="2"/>
        <v>2025</v>
      </c>
      <c r="K262" s="38" t="str">
        <f t="shared" si="3"/>
        <v>11</v>
      </c>
      <c r="L262" s="38" t="str">
        <f t="shared" si="4"/>
        <v>29</v>
      </c>
      <c r="M262" s="45" t="str">
        <f t="shared" si="5"/>
        <v>17:31:30</v>
      </c>
    </row>
    <row r="263" ht="22.5" hidden="1" customHeight="1">
      <c r="A263" s="38" t="s">
        <v>69</v>
      </c>
      <c r="B263" s="38" t="s">
        <v>1431</v>
      </c>
      <c r="C263" s="38" t="s">
        <v>74</v>
      </c>
      <c r="D263" s="38" t="s">
        <v>489</v>
      </c>
      <c r="E263" s="38">
        <f t="shared" si="13"/>
        <v>12</v>
      </c>
      <c r="F263" s="38" t="s">
        <v>106</v>
      </c>
      <c r="G263" s="38">
        <v>13.0</v>
      </c>
      <c r="H263" s="38" t="s">
        <v>1434</v>
      </c>
      <c r="I263" s="38" t="s">
        <v>1435</v>
      </c>
      <c r="J263" s="44" t="str">
        <f t="shared" si="2"/>
        <v>2025</v>
      </c>
      <c r="K263" s="38" t="str">
        <f t="shared" si="3"/>
        <v>11</v>
      </c>
      <c r="L263" s="38" t="str">
        <f t="shared" si="4"/>
        <v>29</v>
      </c>
      <c r="M263" s="45" t="str">
        <f t="shared" si="5"/>
        <v>17:30:33</v>
      </c>
    </row>
    <row r="264" ht="22.5" hidden="1" customHeight="1">
      <c r="A264" s="46" t="s">
        <v>69</v>
      </c>
      <c r="B264" s="46" t="s">
        <v>1436</v>
      </c>
      <c r="C264" s="46" t="s">
        <v>74</v>
      </c>
      <c r="D264" s="46" t="s">
        <v>355</v>
      </c>
      <c r="E264" s="38">
        <f t="shared" si="13"/>
        <v>10</v>
      </c>
      <c r="F264" s="46" t="s">
        <v>214</v>
      </c>
      <c r="G264" s="46">
        <v>6.0</v>
      </c>
      <c r="H264" s="46" t="s">
        <v>1437</v>
      </c>
      <c r="I264" s="46" t="s">
        <v>1438</v>
      </c>
      <c r="J264" s="47" t="str">
        <f t="shared" si="2"/>
        <v>2025</v>
      </c>
      <c r="K264" s="38" t="str">
        <f t="shared" si="3"/>
        <v>11</v>
      </c>
      <c r="L264" s="38" t="str">
        <f t="shared" si="4"/>
        <v>29</v>
      </c>
      <c r="M264" s="45" t="str">
        <f t="shared" si="5"/>
        <v>17:22:00</v>
      </c>
    </row>
    <row r="265" ht="22.5" hidden="1" customHeight="1">
      <c r="A265" s="38" t="s">
        <v>69</v>
      </c>
      <c r="B265" s="38" t="s">
        <v>1439</v>
      </c>
      <c r="C265" s="38" t="s">
        <v>74</v>
      </c>
      <c r="D265" s="38" t="s">
        <v>76</v>
      </c>
      <c r="E265" s="38">
        <f t="shared" si="13"/>
        <v>46</v>
      </c>
      <c r="F265" s="38" t="s">
        <v>206</v>
      </c>
      <c r="G265" s="38">
        <v>2.0</v>
      </c>
      <c r="H265" s="38" t="s">
        <v>1440</v>
      </c>
      <c r="I265" s="38" t="s">
        <v>1441</v>
      </c>
      <c r="J265" s="44" t="str">
        <f t="shared" si="2"/>
        <v>2025</v>
      </c>
      <c r="K265" s="38" t="str">
        <f t="shared" si="3"/>
        <v>11</v>
      </c>
      <c r="L265" s="38" t="str">
        <f t="shared" si="4"/>
        <v>29</v>
      </c>
      <c r="M265" s="45" t="str">
        <f t="shared" si="5"/>
        <v>16:58:04</v>
      </c>
    </row>
    <row r="266" ht="22.5" hidden="1" customHeight="1">
      <c r="A266" s="46" t="s">
        <v>69</v>
      </c>
      <c r="B266" s="46" t="s">
        <v>611</v>
      </c>
      <c r="C266" s="46" t="s">
        <v>74</v>
      </c>
      <c r="D266" s="46" t="s">
        <v>93</v>
      </c>
      <c r="E266" s="38">
        <f t="shared" si="13"/>
        <v>8</v>
      </c>
      <c r="F266" s="46" t="s">
        <v>167</v>
      </c>
      <c r="G266" s="46">
        <v>11.0</v>
      </c>
      <c r="H266" s="50"/>
      <c r="I266" s="46" t="s">
        <v>1442</v>
      </c>
      <c r="J266" s="47" t="str">
        <f t="shared" si="2"/>
        <v>2025</v>
      </c>
      <c r="K266" s="38" t="str">
        <f t="shared" si="3"/>
        <v>11</v>
      </c>
      <c r="L266" s="38" t="str">
        <f t="shared" si="4"/>
        <v>29</v>
      </c>
      <c r="M266" s="45" t="str">
        <f t="shared" si="5"/>
        <v>16:12:49</v>
      </c>
    </row>
    <row r="267" ht="22.5" hidden="1" customHeight="1">
      <c r="A267" s="38" t="s">
        <v>69</v>
      </c>
      <c r="B267" s="38" t="s">
        <v>1443</v>
      </c>
      <c r="C267" s="38" t="s">
        <v>74</v>
      </c>
      <c r="D267" s="38" t="s">
        <v>122</v>
      </c>
      <c r="E267" s="38">
        <f t="shared" si="13"/>
        <v>47</v>
      </c>
      <c r="F267" s="38" t="s">
        <v>157</v>
      </c>
      <c r="G267" s="38">
        <v>4.0</v>
      </c>
      <c r="H267" s="38" t="s">
        <v>1444</v>
      </c>
      <c r="I267" s="38" t="s">
        <v>1445</v>
      </c>
      <c r="J267" s="99" t="str">
        <f t="shared" si="2"/>
        <v>2025</v>
      </c>
      <c r="K267" s="38" t="str">
        <f t="shared" si="3"/>
        <v>11</v>
      </c>
      <c r="L267" s="38" t="str">
        <f t="shared" si="4"/>
        <v>29</v>
      </c>
      <c r="M267" s="45" t="str">
        <f t="shared" si="5"/>
        <v>16:12:12</v>
      </c>
    </row>
    <row r="268" ht="22.5" hidden="1" customHeight="1">
      <c r="A268" s="46" t="s">
        <v>69</v>
      </c>
      <c r="B268" s="46" t="s">
        <v>1446</v>
      </c>
      <c r="C268" s="46" t="s">
        <v>74</v>
      </c>
      <c r="D268" s="46" t="s">
        <v>1447</v>
      </c>
      <c r="E268" s="38">
        <f t="shared" si="13"/>
        <v>68</v>
      </c>
      <c r="F268" s="46" t="s">
        <v>132</v>
      </c>
      <c r="G268" s="46">
        <v>10.0</v>
      </c>
      <c r="H268" s="50"/>
      <c r="I268" s="46" t="s">
        <v>1448</v>
      </c>
      <c r="J268" s="100" t="str">
        <f t="shared" si="2"/>
        <v>2025</v>
      </c>
      <c r="K268" s="38" t="str">
        <f t="shared" si="3"/>
        <v>11</v>
      </c>
      <c r="L268" s="38" t="str">
        <f t="shared" si="4"/>
        <v>29</v>
      </c>
      <c r="M268" s="45" t="str">
        <f t="shared" si="5"/>
        <v>15:58:20</v>
      </c>
    </row>
    <row r="269" ht="22.5" hidden="1" customHeight="1">
      <c r="A269" s="38" t="s">
        <v>69</v>
      </c>
      <c r="B269" s="38" t="s">
        <v>1449</v>
      </c>
      <c r="C269" s="38" t="s">
        <v>74</v>
      </c>
      <c r="D269" s="38" t="s">
        <v>226</v>
      </c>
      <c r="E269" s="38">
        <f t="shared" si="13"/>
        <v>22</v>
      </c>
      <c r="F269" s="38" t="s">
        <v>120</v>
      </c>
      <c r="G269" s="38">
        <v>3.0</v>
      </c>
      <c r="H269" s="38" t="s">
        <v>1450</v>
      </c>
      <c r="I269" s="38" t="s">
        <v>1451</v>
      </c>
      <c r="J269" s="99" t="str">
        <f t="shared" si="2"/>
        <v>2025</v>
      </c>
      <c r="K269" s="38" t="str">
        <f t="shared" si="3"/>
        <v>11</v>
      </c>
      <c r="L269" s="38" t="str">
        <f t="shared" si="4"/>
        <v>29</v>
      </c>
      <c r="M269" s="45" t="str">
        <f t="shared" si="5"/>
        <v>14:54:55</v>
      </c>
    </row>
    <row r="270" ht="22.5" hidden="1" customHeight="1">
      <c r="A270" s="46" t="s">
        <v>69</v>
      </c>
      <c r="B270" s="46" t="s">
        <v>1452</v>
      </c>
      <c r="C270" s="46" t="s">
        <v>74</v>
      </c>
      <c r="D270" s="46" t="s">
        <v>1077</v>
      </c>
      <c r="E270" s="38">
        <f t="shared" si="13"/>
        <v>23</v>
      </c>
      <c r="F270" s="46" t="s">
        <v>190</v>
      </c>
      <c r="G270" s="46">
        <v>11.0</v>
      </c>
      <c r="H270" s="46" t="s">
        <v>1453</v>
      </c>
      <c r="I270" s="46" t="s">
        <v>1454</v>
      </c>
      <c r="J270" s="100" t="str">
        <f t="shared" si="2"/>
        <v>2025</v>
      </c>
      <c r="K270" s="38" t="str">
        <f t="shared" si="3"/>
        <v>11</v>
      </c>
      <c r="L270" s="38" t="str">
        <f t="shared" si="4"/>
        <v>29</v>
      </c>
      <c r="M270" s="45" t="str">
        <f t="shared" si="5"/>
        <v>14:40:10</v>
      </c>
    </row>
    <row r="271" ht="22.5" hidden="1" customHeight="1">
      <c r="A271" s="38" t="s">
        <v>69</v>
      </c>
      <c r="B271" s="38" t="s">
        <v>664</v>
      </c>
      <c r="C271" s="38" t="s">
        <v>74</v>
      </c>
      <c r="D271" s="38" t="s">
        <v>93</v>
      </c>
      <c r="E271" s="38">
        <f t="shared" si="13"/>
        <v>8</v>
      </c>
      <c r="F271" s="38" t="s">
        <v>157</v>
      </c>
      <c r="G271" s="38">
        <v>9.0</v>
      </c>
      <c r="H271" s="38" t="s">
        <v>1455</v>
      </c>
      <c r="I271" s="38" t="s">
        <v>1456</v>
      </c>
      <c r="J271" s="99" t="str">
        <f t="shared" si="2"/>
        <v>2025</v>
      </c>
      <c r="K271" s="38" t="str">
        <f t="shared" si="3"/>
        <v>11</v>
      </c>
      <c r="L271" s="38" t="str">
        <f t="shared" si="4"/>
        <v>29</v>
      </c>
      <c r="M271" s="45" t="str">
        <f t="shared" si="5"/>
        <v>13:39:41</v>
      </c>
    </row>
    <row r="272" ht="22.5" hidden="1" customHeight="1">
      <c r="A272" s="46" t="s">
        <v>69</v>
      </c>
      <c r="B272" s="46" t="s">
        <v>1457</v>
      </c>
      <c r="C272" s="46" t="s">
        <v>74</v>
      </c>
      <c r="D272" s="46" t="s">
        <v>212</v>
      </c>
      <c r="E272" s="38">
        <f t="shared" si="13"/>
        <v>17</v>
      </c>
      <c r="F272" s="46" t="s">
        <v>101</v>
      </c>
      <c r="G272" s="46">
        <v>9.0</v>
      </c>
      <c r="H272" s="50"/>
      <c r="I272" s="46" t="s">
        <v>1458</v>
      </c>
      <c r="J272" s="100" t="str">
        <f t="shared" si="2"/>
        <v>2025</v>
      </c>
      <c r="K272" s="38" t="str">
        <f t="shared" si="3"/>
        <v>11</v>
      </c>
      <c r="L272" s="38" t="str">
        <f t="shared" si="4"/>
        <v>29</v>
      </c>
      <c r="M272" s="45" t="str">
        <f t="shared" si="5"/>
        <v>10:43:32</v>
      </c>
    </row>
    <row r="273" ht="22.5" hidden="1" customHeight="1">
      <c r="A273" s="38" t="s">
        <v>69</v>
      </c>
      <c r="B273" s="38" t="s">
        <v>1459</v>
      </c>
      <c r="C273" s="38" t="s">
        <v>74</v>
      </c>
      <c r="D273" s="38" t="s">
        <v>355</v>
      </c>
      <c r="E273" s="38">
        <f t="shared" si="13"/>
        <v>10</v>
      </c>
      <c r="F273" s="38" t="s">
        <v>110</v>
      </c>
      <c r="G273" s="38">
        <v>2.0</v>
      </c>
      <c r="H273" s="48"/>
      <c r="I273" s="38" t="s">
        <v>1460</v>
      </c>
      <c r="J273" s="99" t="str">
        <f t="shared" si="2"/>
        <v>2025</v>
      </c>
      <c r="K273" s="38" t="str">
        <f t="shared" si="3"/>
        <v>11</v>
      </c>
      <c r="L273" s="38" t="str">
        <f t="shared" si="4"/>
        <v>29</v>
      </c>
      <c r="M273" s="45" t="str">
        <f t="shared" si="5"/>
        <v>10:21:18</v>
      </c>
    </row>
    <row r="274" ht="22.5" hidden="1" customHeight="1">
      <c r="A274" s="46" t="s">
        <v>69</v>
      </c>
      <c r="B274" s="46" t="s">
        <v>1461</v>
      </c>
      <c r="C274" s="46" t="s">
        <v>74</v>
      </c>
      <c r="D274" s="46" t="s">
        <v>981</v>
      </c>
      <c r="E274" s="38">
        <f t="shared" si="13"/>
        <v>59</v>
      </c>
      <c r="F274" s="46" t="s">
        <v>186</v>
      </c>
      <c r="G274" s="46">
        <v>8.0</v>
      </c>
      <c r="H274" s="46" t="s">
        <v>1462</v>
      </c>
      <c r="I274" s="46" t="s">
        <v>1463</v>
      </c>
      <c r="J274" s="100" t="str">
        <f t="shared" si="2"/>
        <v>2025</v>
      </c>
      <c r="K274" s="38" t="str">
        <f t="shared" si="3"/>
        <v>11</v>
      </c>
      <c r="L274" s="38" t="str">
        <f t="shared" si="4"/>
        <v>29</v>
      </c>
      <c r="M274" s="45" t="str">
        <f t="shared" si="5"/>
        <v>09:29:21</v>
      </c>
    </row>
    <row r="275" ht="22.5" hidden="1" customHeight="1">
      <c r="A275" s="38" t="s">
        <v>69</v>
      </c>
      <c r="B275" s="38" t="s">
        <v>1464</v>
      </c>
      <c r="C275" s="38" t="s">
        <v>74</v>
      </c>
      <c r="D275" s="38" t="s">
        <v>144</v>
      </c>
      <c r="E275" s="38">
        <f t="shared" si="13"/>
        <v>42</v>
      </c>
      <c r="F275" s="38" t="s">
        <v>120</v>
      </c>
      <c r="G275" s="38">
        <v>15.0</v>
      </c>
      <c r="H275" s="38" t="s">
        <v>1465</v>
      </c>
      <c r="I275" s="38" t="s">
        <v>1466</v>
      </c>
      <c r="J275" s="99" t="str">
        <f t="shared" si="2"/>
        <v>2025</v>
      </c>
      <c r="K275" s="38" t="str">
        <f t="shared" si="3"/>
        <v>11</v>
      </c>
      <c r="L275" s="38" t="str">
        <f t="shared" si="4"/>
        <v>29</v>
      </c>
      <c r="M275" s="45" t="str">
        <f t="shared" si="5"/>
        <v>09:22:37</v>
      </c>
    </row>
    <row r="276" ht="22.5" hidden="1" customHeight="1">
      <c r="A276" s="46" t="s">
        <v>69</v>
      </c>
      <c r="B276" s="46" t="s">
        <v>1467</v>
      </c>
      <c r="C276" s="46" t="s">
        <v>74</v>
      </c>
      <c r="D276" s="46" t="s">
        <v>936</v>
      </c>
      <c r="E276" s="38">
        <f t="shared" si="13"/>
        <v>19</v>
      </c>
      <c r="F276" s="46" t="s">
        <v>136</v>
      </c>
      <c r="G276" s="46">
        <v>4.0</v>
      </c>
      <c r="H276" s="46" t="s">
        <v>1468</v>
      </c>
      <c r="I276" s="46" t="s">
        <v>1469</v>
      </c>
      <c r="J276" s="100" t="str">
        <f t="shared" si="2"/>
        <v>2025</v>
      </c>
      <c r="K276" s="38" t="str">
        <f t="shared" si="3"/>
        <v>11</v>
      </c>
      <c r="L276" s="38" t="str">
        <f t="shared" si="4"/>
        <v>29</v>
      </c>
      <c r="M276" s="45" t="str">
        <f t="shared" si="5"/>
        <v>09:19:26</v>
      </c>
    </row>
    <row r="277" ht="22.5" hidden="1" customHeight="1">
      <c r="A277" s="38" t="s">
        <v>69</v>
      </c>
      <c r="B277" s="38" t="s">
        <v>1470</v>
      </c>
      <c r="C277" s="38" t="s">
        <v>74</v>
      </c>
      <c r="D277" s="38" t="s">
        <v>93</v>
      </c>
      <c r="E277" s="38">
        <f t="shared" si="13"/>
        <v>8</v>
      </c>
      <c r="F277" s="38" t="s">
        <v>52</v>
      </c>
      <c r="G277" s="38">
        <v>36.0</v>
      </c>
      <c r="H277" s="38" t="s">
        <v>1471</v>
      </c>
      <c r="I277" s="38" t="s">
        <v>1472</v>
      </c>
      <c r="J277" s="99" t="str">
        <f t="shared" si="2"/>
        <v>2025</v>
      </c>
      <c r="K277" s="38" t="str">
        <f t="shared" si="3"/>
        <v>11</v>
      </c>
      <c r="L277" s="38" t="str">
        <f t="shared" si="4"/>
        <v>29</v>
      </c>
      <c r="M277" s="45" t="str">
        <f t="shared" si="5"/>
        <v>08:19:14</v>
      </c>
    </row>
    <row r="278" ht="22.5" hidden="1" customHeight="1">
      <c r="A278" s="46" t="s">
        <v>69</v>
      </c>
      <c r="B278" s="46" t="s">
        <v>1473</v>
      </c>
      <c r="C278" s="46" t="s">
        <v>74</v>
      </c>
      <c r="D278" s="46" t="s">
        <v>93</v>
      </c>
      <c r="E278" s="38">
        <f t="shared" si="13"/>
        <v>8</v>
      </c>
      <c r="F278" s="46" t="s">
        <v>193</v>
      </c>
      <c r="G278" s="46">
        <v>11.0</v>
      </c>
      <c r="H278" s="46" t="s">
        <v>1474</v>
      </c>
      <c r="I278" s="46" t="s">
        <v>1475</v>
      </c>
      <c r="J278" s="100" t="str">
        <f t="shared" si="2"/>
        <v>2025</v>
      </c>
      <c r="K278" s="38" t="str">
        <f t="shared" si="3"/>
        <v>11</v>
      </c>
      <c r="L278" s="38" t="str">
        <f t="shared" si="4"/>
        <v>29</v>
      </c>
      <c r="M278" s="45" t="str">
        <f t="shared" si="5"/>
        <v>07:57:09</v>
      </c>
    </row>
    <row r="279" ht="22.5" hidden="1" customHeight="1">
      <c r="A279" s="38" t="s">
        <v>69</v>
      </c>
      <c r="B279" s="38" t="s">
        <v>1476</v>
      </c>
      <c r="C279" s="38" t="s">
        <v>74</v>
      </c>
      <c r="D279" s="38" t="s">
        <v>93</v>
      </c>
      <c r="E279" s="38">
        <f t="shared" si="13"/>
        <v>8</v>
      </c>
      <c r="F279" s="38" t="s">
        <v>78</v>
      </c>
      <c r="G279" s="38">
        <v>2.0</v>
      </c>
      <c r="H279" s="38" t="s">
        <v>1477</v>
      </c>
      <c r="I279" s="38" t="s">
        <v>1478</v>
      </c>
      <c r="J279" s="99" t="str">
        <f t="shared" si="2"/>
        <v>2025</v>
      </c>
      <c r="K279" s="38" t="str">
        <f t="shared" si="3"/>
        <v>11</v>
      </c>
      <c r="L279" s="38" t="str">
        <f t="shared" si="4"/>
        <v>29</v>
      </c>
      <c r="M279" s="45" t="str">
        <f t="shared" si="5"/>
        <v>06:24:26</v>
      </c>
    </row>
    <row r="280" ht="22.5" hidden="1" customHeight="1">
      <c r="A280" s="77" t="s">
        <v>1183</v>
      </c>
      <c r="B280" s="77" t="s">
        <v>74</v>
      </c>
      <c r="C280" s="77" t="s">
        <v>1479</v>
      </c>
      <c r="D280" s="77" t="s">
        <v>1480</v>
      </c>
      <c r="E280" s="38">
        <f>-VALUE(SUBSTITUTE(D280, ".", ","))</f>
        <v>-70</v>
      </c>
      <c r="F280" s="46" t="str">
        <f>H280</f>
        <v>trabajo de reparación de tuberia en sra Thalia</v>
      </c>
      <c r="G280" s="46"/>
      <c r="H280" s="77" t="s">
        <v>1481</v>
      </c>
      <c r="I280" s="78">
        <v>45990.30939814815</v>
      </c>
      <c r="J280" s="99" t="str">
        <f t="shared" si="2"/>
        <v>2025</v>
      </c>
      <c r="K280" s="38" t="str">
        <f t="shared" si="3"/>
        <v>11</v>
      </c>
      <c r="L280" s="38" t="str">
        <f t="shared" si="4"/>
        <v>29</v>
      </c>
      <c r="M280" s="45" t="str">
        <f t="shared" si="5"/>
        <v> 7:25:32</v>
      </c>
    </row>
    <row r="281" ht="22.5" hidden="1" customHeight="1">
      <c r="A281" s="46" t="s">
        <v>69</v>
      </c>
      <c r="B281" s="46" t="s">
        <v>1482</v>
      </c>
      <c r="C281" s="46" t="s">
        <v>74</v>
      </c>
      <c r="D281" s="46" t="s">
        <v>383</v>
      </c>
      <c r="E281" s="38">
        <f t="shared" ref="E281:E287" si="14">VALUE(SUBSTITUTE(D281, ".", ","))</f>
        <v>15</v>
      </c>
      <c r="F281" s="46" t="s">
        <v>174</v>
      </c>
      <c r="G281" s="46">
        <v>8.0</v>
      </c>
      <c r="H281" s="46" t="s">
        <v>1483</v>
      </c>
      <c r="I281" s="46" t="s">
        <v>1484</v>
      </c>
      <c r="J281" s="100" t="str">
        <f t="shared" si="2"/>
        <v>2025</v>
      </c>
      <c r="K281" s="38" t="str">
        <f t="shared" si="3"/>
        <v>11</v>
      </c>
      <c r="L281" s="38" t="str">
        <f t="shared" si="4"/>
        <v>28</v>
      </c>
      <c r="M281" s="45" t="str">
        <f t="shared" si="5"/>
        <v>21:17:46</v>
      </c>
    </row>
    <row r="282" ht="22.5" hidden="1" customHeight="1">
      <c r="A282" s="38" t="s">
        <v>69</v>
      </c>
      <c r="B282" s="38" t="s">
        <v>1482</v>
      </c>
      <c r="C282" s="38" t="s">
        <v>74</v>
      </c>
      <c r="D282" s="38" t="s">
        <v>93</v>
      </c>
      <c r="E282" s="38">
        <f t="shared" si="14"/>
        <v>8</v>
      </c>
      <c r="F282" s="38" t="s">
        <v>174</v>
      </c>
      <c r="G282" s="38">
        <v>8.0</v>
      </c>
      <c r="H282" s="38" t="s">
        <v>1485</v>
      </c>
      <c r="I282" s="38" t="s">
        <v>1486</v>
      </c>
      <c r="J282" s="99" t="str">
        <f t="shared" si="2"/>
        <v>2025</v>
      </c>
      <c r="K282" s="38" t="str">
        <f t="shared" si="3"/>
        <v>11</v>
      </c>
      <c r="L282" s="38" t="str">
        <f t="shared" si="4"/>
        <v>28</v>
      </c>
      <c r="M282" s="45" t="str">
        <f t="shared" si="5"/>
        <v>21:15:59</v>
      </c>
    </row>
    <row r="283" ht="22.5" hidden="1" customHeight="1">
      <c r="A283" s="101" t="s">
        <v>69</v>
      </c>
      <c r="B283" s="101" t="s">
        <v>1487</v>
      </c>
      <c r="C283" s="101" t="s">
        <v>74</v>
      </c>
      <c r="D283" s="101" t="s">
        <v>882</v>
      </c>
      <c r="E283" s="38">
        <f t="shared" si="14"/>
        <v>56</v>
      </c>
      <c r="F283" s="46" t="s">
        <v>20</v>
      </c>
      <c r="G283" s="46">
        <v>6.0</v>
      </c>
      <c r="H283" s="101" t="s">
        <v>1488</v>
      </c>
      <c r="I283" s="101" t="s">
        <v>1489</v>
      </c>
      <c r="J283" s="100" t="str">
        <f t="shared" si="2"/>
        <v>2025</v>
      </c>
      <c r="K283" s="38" t="str">
        <f t="shared" si="3"/>
        <v>11</v>
      </c>
      <c r="L283" s="38" t="str">
        <f t="shared" si="4"/>
        <v>28</v>
      </c>
      <c r="M283" s="45" t="str">
        <f t="shared" si="5"/>
        <v>18:22:14</v>
      </c>
    </row>
    <row r="284" ht="22.5" hidden="1" customHeight="1">
      <c r="A284" s="102" t="s">
        <v>69</v>
      </c>
      <c r="B284" s="102" t="s">
        <v>1490</v>
      </c>
      <c r="C284" s="102" t="s">
        <v>74</v>
      </c>
      <c r="D284" s="102" t="s">
        <v>361</v>
      </c>
      <c r="E284" s="38">
        <f t="shared" si="14"/>
        <v>45</v>
      </c>
      <c r="F284" s="38" t="s">
        <v>82</v>
      </c>
      <c r="G284" s="38">
        <v>3.0</v>
      </c>
      <c r="H284" s="102" t="s">
        <v>1491</v>
      </c>
      <c r="I284" s="102" t="s">
        <v>1492</v>
      </c>
      <c r="J284" s="99" t="str">
        <f t="shared" si="2"/>
        <v>2025</v>
      </c>
      <c r="K284" s="38" t="str">
        <f t="shared" si="3"/>
        <v>11</v>
      </c>
      <c r="L284" s="38" t="str">
        <f t="shared" si="4"/>
        <v>28</v>
      </c>
      <c r="M284" s="45" t="str">
        <f t="shared" si="5"/>
        <v>18:15:56</v>
      </c>
    </row>
    <row r="285" ht="22.5" hidden="1" customHeight="1">
      <c r="A285" s="101" t="s">
        <v>69</v>
      </c>
      <c r="B285" s="101" t="s">
        <v>1027</v>
      </c>
      <c r="C285" s="101" t="s">
        <v>74</v>
      </c>
      <c r="D285" s="101" t="s">
        <v>302</v>
      </c>
      <c r="E285" s="38">
        <f t="shared" si="14"/>
        <v>9</v>
      </c>
      <c r="F285" s="46" t="s">
        <v>52</v>
      </c>
      <c r="G285" s="46">
        <v>13.0</v>
      </c>
      <c r="H285" s="101" t="s">
        <v>1493</v>
      </c>
      <c r="I285" s="101" t="s">
        <v>1494</v>
      </c>
      <c r="J285" s="100" t="str">
        <f t="shared" si="2"/>
        <v>2025</v>
      </c>
      <c r="K285" s="38" t="str">
        <f t="shared" si="3"/>
        <v>11</v>
      </c>
      <c r="L285" s="38" t="str">
        <f t="shared" si="4"/>
        <v>28</v>
      </c>
      <c r="M285" s="45" t="str">
        <f t="shared" si="5"/>
        <v>18:07:36</v>
      </c>
    </row>
    <row r="286" ht="22.5" hidden="1" customHeight="1">
      <c r="A286" s="102" t="s">
        <v>69</v>
      </c>
      <c r="B286" s="102" t="s">
        <v>1027</v>
      </c>
      <c r="C286" s="102" t="s">
        <v>74</v>
      </c>
      <c r="D286" s="102" t="s">
        <v>302</v>
      </c>
      <c r="E286" s="38">
        <f t="shared" si="14"/>
        <v>9</v>
      </c>
      <c r="F286" s="38" t="s">
        <v>193</v>
      </c>
      <c r="G286" s="38">
        <v>1.0</v>
      </c>
      <c r="H286" s="102" t="s">
        <v>1495</v>
      </c>
      <c r="I286" s="102" t="s">
        <v>1496</v>
      </c>
      <c r="J286" s="99" t="str">
        <f t="shared" si="2"/>
        <v>2025</v>
      </c>
      <c r="K286" s="38" t="str">
        <f t="shared" si="3"/>
        <v>11</v>
      </c>
      <c r="L286" s="38" t="str">
        <f t="shared" si="4"/>
        <v>28</v>
      </c>
      <c r="M286" s="45" t="str">
        <f t="shared" si="5"/>
        <v>17:47:18</v>
      </c>
    </row>
    <row r="287" ht="22.5" hidden="1" customHeight="1">
      <c r="A287" s="101" t="s">
        <v>69</v>
      </c>
      <c r="B287" s="101" t="s">
        <v>1497</v>
      </c>
      <c r="C287" s="101" t="s">
        <v>74</v>
      </c>
      <c r="D287" s="101" t="s">
        <v>220</v>
      </c>
      <c r="E287" s="38">
        <f t="shared" si="14"/>
        <v>13</v>
      </c>
      <c r="F287" s="46" t="s">
        <v>120</v>
      </c>
      <c r="G287" s="46">
        <v>8.0</v>
      </c>
      <c r="H287" s="101" t="s">
        <v>1498</v>
      </c>
      <c r="I287" s="101" t="s">
        <v>1499</v>
      </c>
      <c r="J287" s="100" t="str">
        <f t="shared" si="2"/>
        <v>2025</v>
      </c>
      <c r="K287" s="38" t="str">
        <f t="shared" si="3"/>
        <v>11</v>
      </c>
      <c r="L287" s="38" t="str">
        <f t="shared" si="4"/>
        <v>28</v>
      </c>
      <c r="M287" s="45" t="str">
        <f t="shared" si="5"/>
        <v>16:00:13</v>
      </c>
    </row>
    <row r="288" ht="22.5" hidden="1" customHeight="1">
      <c r="A288" s="103" t="s">
        <v>1183</v>
      </c>
      <c r="B288" s="103" t="s">
        <v>74</v>
      </c>
      <c r="C288" s="103" t="s">
        <v>1500</v>
      </c>
      <c r="D288" s="103" t="s">
        <v>1501</v>
      </c>
      <c r="E288" s="38">
        <f t="shared" ref="E288:E292" si="15">-VALUE(SUBSTITUTE(D288, ".", ","))</f>
        <v>-12.4</v>
      </c>
      <c r="F288" s="46" t="str">
        <f t="shared" ref="F288:F292" si="16">H288</f>
        <v>impresión de recibos</v>
      </c>
      <c r="G288" s="46"/>
      <c r="H288" s="103" t="s">
        <v>1502</v>
      </c>
      <c r="I288" s="104">
        <v>45988.76892361111</v>
      </c>
      <c r="J288" s="99" t="str">
        <f t="shared" si="2"/>
        <v>2025</v>
      </c>
      <c r="K288" s="38" t="str">
        <f t="shared" si="3"/>
        <v>11</v>
      </c>
      <c r="L288" s="38" t="str">
        <f t="shared" si="4"/>
        <v>27</v>
      </c>
      <c r="M288" s="45" t="str">
        <f t="shared" si="5"/>
        <v>18:27:15</v>
      </c>
    </row>
    <row r="289" ht="22.5" hidden="1" customHeight="1">
      <c r="A289" s="103" t="s">
        <v>1183</v>
      </c>
      <c r="B289" s="103" t="s">
        <v>74</v>
      </c>
      <c r="C289" s="103" t="s">
        <v>74</v>
      </c>
      <c r="D289" s="103" t="s">
        <v>1503</v>
      </c>
      <c r="E289" s="38">
        <f t="shared" si="15"/>
        <v>-500</v>
      </c>
      <c r="F289" s="46" t="str">
        <f t="shared" si="16"/>
        <v>préstamo al pueblo</v>
      </c>
      <c r="G289" s="46"/>
      <c r="H289" s="103" t="s">
        <v>1504</v>
      </c>
      <c r="I289" s="104">
        <v>45986.26660879629</v>
      </c>
      <c r="J289" s="99" t="str">
        <f t="shared" si="2"/>
        <v>2025</v>
      </c>
      <c r="K289" s="38" t="str">
        <f t="shared" si="3"/>
        <v>11</v>
      </c>
      <c r="L289" s="38" t="str">
        <f t="shared" si="4"/>
        <v>25</v>
      </c>
      <c r="M289" s="45" t="str">
        <f t="shared" si="5"/>
        <v> 6:23:55</v>
      </c>
    </row>
    <row r="290" ht="22.5" hidden="1" customHeight="1">
      <c r="A290" s="103" t="s">
        <v>1183</v>
      </c>
      <c r="B290" s="103" t="s">
        <v>74</v>
      </c>
      <c r="C290" s="103" t="s">
        <v>1185</v>
      </c>
      <c r="D290" s="103" t="s">
        <v>1505</v>
      </c>
      <c r="E290" s="38">
        <f t="shared" si="15"/>
        <v>-169</v>
      </c>
      <c r="F290" s="46" t="str">
        <f t="shared" si="16"/>
        <v>llave cadena,pago cesar,2 cemento</v>
      </c>
      <c r="G290" s="46"/>
      <c r="H290" s="103" t="s">
        <v>1506</v>
      </c>
      <c r="I290" s="104">
        <v>45985.51945601852</v>
      </c>
      <c r="J290" s="99" t="str">
        <f t="shared" si="2"/>
        <v>2025</v>
      </c>
      <c r="K290" s="38" t="str">
        <f t="shared" si="3"/>
        <v>11</v>
      </c>
      <c r="L290" s="38" t="str">
        <f t="shared" si="4"/>
        <v>24</v>
      </c>
      <c r="M290" s="45" t="str">
        <f t="shared" si="5"/>
        <v>12:28:01</v>
      </c>
    </row>
    <row r="291" ht="22.5" hidden="1" customHeight="1">
      <c r="A291" s="103" t="s">
        <v>1183</v>
      </c>
      <c r="B291" s="103" t="s">
        <v>74</v>
      </c>
      <c r="C291" s="103" t="s">
        <v>1185</v>
      </c>
      <c r="D291" s="103" t="s">
        <v>1507</v>
      </c>
      <c r="E291" s="38">
        <f t="shared" si="15"/>
        <v>-400</v>
      </c>
      <c r="F291" s="46" t="str">
        <f t="shared" si="16"/>
        <v>2 llaves estilson</v>
      </c>
      <c r="G291" s="46"/>
      <c r="H291" s="103" t="s">
        <v>1508</v>
      </c>
      <c r="I291" s="104">
        <v>45985.51809027778</v>
      </c>
      <c r="J291" s="99" t="str">
        <f t="shared" si="2"/>
        <v>2025</v>
      </c>
      <c r="K291" s="38" t="str">
        <f t="shared" si="3"/>
        <v>11</v>
      </c>
      <c r="L291" s="38" t="str">
        <f t="shared" si="4"/>
        <v>24</v>
      </c>
      <c r="M291" s="45" t="str">
        <f t="shared" si="5"/>
        <v>12:26:03</v>
      </c>
    </row>
    <row r="292" ht="22.5" hidden="1" customHeight="1">
      <c r="A292" s="103" t="s">
        <v>1183</v>
      </c>
      <c r="B292" s="103" t="s">
        <v>74</v>
      </c>
      <c r="C292" s="103" t="s">
        <v>1185</v>
      </c>
      <c r="D292" s="103" t="s">
        <v>1503</v>
      </c>
      <c r="E292" s="38">
        <f t="shared" si="15"/>
        <v>-500</v>
      </c>
      <c r="F292" s="46" t="str">
        <f t="shared" si="16"/>
        <v>instalación de check con universales y adaptadores</v>
      </c>
      <c r="G292" s="46"/>
      <c r="H292" s="103" t="s">
        <v>1509</v>
      </c>
      <c r="I292" s="104">
        <v>45985.50591435185</v>
      </c>
      <c r="J292" s="99" t="str">
        <f t="shared" si="2"/>
        <v>2025</v>
      </c>
      <c r="K292" s="38" t="str">
        <f t="shared" si="3"/>
        <v>11</v>
      </c>
      <c r="L292" s="38" t="str">
        <f t="shared" si="4"/>
        <v>24</v>
      </c>
      <c r="M292" s="45" t="str">
        <f t="shared" si="5"/>
        <v>12:08:31</v>
      </c>
    </row>
    <row r="293" ht="22.5" hidden="1" customHeight="1">
      <c r="A293" s="102" t="s">
        <v>69</v>
      </c>
      <c r="B293" s="102" t="s">
        <v>301</v>
      </c>
      <c r="C293" s="102" t="s">
        <v>74</v>
      </c>
      <c r="D293" s="102" t="s">
        <v>1424</v>
      </c>
      <c r="E293" s="38">
        <f>VALUE(SUBSTITUTE(D293, ".", ","))</f>
        <v>65</v>
      </c>
      <c r="F293" s="38" t="s">
        <v>137</v>
      </c>
      <c r="G293" s="38">
        <v>35.0</v>
      </c>
      <c r="H293" s="105"/>
      <c r="I293" s="102" t="s">
        <v>1510</v>
      </c>
      <c r="J293" s="99" t="str">
        <f t="shared" si="2"/>
        <v>2025</v>
      </c>
      <c r="K293" s="38" t="str">
        <f t="shared" si="3"/>
        <v>11</v>
      </c>
      <c r="L293" s="38" t="str">
        <f t="shared" si="4"/>
        <v>23</v>
      </c>
      <c r="M293" s="45" t="str">
        <f t="shared" si="5"/>
        <v>13:38:55</v>
      </c>
    </row>
    <row r="294" ht="22.5" hidden="1" customHeight="1">
      <c r="A294" s="103" t="s">
        <v>1183</v>
      </c>
      <c r="B294" s="103" t="s">
        <v>74</v>
      </c>
      <c r="C294" s="103" t="s">
        <v>1185</v>
      </c>
      <c r="D294" s="103" t="s">
        <v>1511</v>
      </c>
      <c r="E294" s="38">
        <f t="shared" ref="E294:E303" si="17">-VALUE(SUBSTITUTE(D294, ".", ","))</f>
        <v>-228</v>
      </c>
      <c r="F294" s="46" t="str">
        <f t="shared" ref="F294:F303" si="18">H294</f>
        <v>instalación de check en faena (material)</v>
      </c>
      <c r="G294" s="46"/>
      <c r="H294" s="103" t="s">
        <v>1512</v>
      </c>
      <c r="I294" s="104">
        <v>45983.73981481481</v>
      </c>
      <c r="J294" s="99" t="str">
        <f t="shared" si="2"/>
        <v>2025</v>
      </c>
      <c r="K294" s="38" t="str">
        <f t="shared" si="3"/>
        <v>11</v>
      </c>
      <c r="L294" s="38" t="str">
        <f t="shared" si="4"/>
        <v>22</v>
      </c>
      <c r="M294" s="45" t="str">
        <f t="shared" si="5"/>
        <v>17:45:20</v>
      </c>
    </row>
    <row r="295" ht="22.5" hidden="1" customHeight="1">
      <c r="A295" s="103" t="s">
        <v>1183</v>
      </c>
      <c r="B295" s="103" t="s">
        <v>74</v>
      </c>
      <c r="C295" s="103" t="s">
        <v>1185</v>
      </c>
      <c r="D295" s="103" t="s">
        <v>1513</v>
      </c>
      <c r="E295" s="38">
        <f t="shared" si="17"/>
        <v>-360</v>
      </c>
      <c r="F295" s="46" t="str">
        <f t="shared" si="18"/>
        <v>accesorios e instalación de caudimetro y pago personal</v>
      </c>
      <c r="G295" s="46"/>
      <c r="H295" s="103" t="s">
        <v>1514</v>
      </c>
      <c r="I295" s="104">
        <v>45983.73869212963</v>
      </c>
      <c r="J295" s="99" t="str">
        <f t="shared" si="2"/>
        <v>2025</v>
      </c>
      <c r="K295" s="38" t="str">
        <f t="shared" si="3"/>
        <v>11</v>
      </c>
      <c r="L295" s="38" t="str">
        <f t="shared" si="4"/>
        <v>22</v>
      </c>
      <c r="M295" s="45" t="str">
        <f t="shared" si="5"/>
        <v>17:43:43</v>
      </c>
    </row>
    <row r="296" ht="22.5" hidden="1" customHeight="1">
      <c r="A296" s="103" t="s">
        <v>1183</v>
      </c>
      <c r="B296" s="103" t="s">
        <v>74</v>
      </c>
      <c r="C296" s="103" t="s">
        <v>1185</v>
      </c>
      <c r="D296" s="103" t="s">
        <v>1515</v>
      </c>
      <c r="E296" s="38">
        <f t="shared" si="17"/>
        <v>-450</v>
      </c>
      <c r="F296" s="46" t="str">
        <f t="shared" si="18"/>
        <v>caudimetro de 4" (tanque)</v>
      </c>
      <c r="G296" s="46"/>
      <c r="H296" s="103" t="s">
        <v>1516</v>
      </c>
      <c r="I296" s="104">
        <v>45983.73668981482</v>
      </c>
      <c r="J296" s="99" t="str">
        <f t="shared" si="2"/>
        <v>2025</v>
      </c>
      <c r="K296" s="38" t="str">
        <f t="shared" si="3"/>
        <v>11</v>
      </c>
      <c r="L296" s="38" t="str">
        <f t="shared" si="4"/>
        <v>22</v>
      </c>
      <c r="M296" s="45" t="str">
        <f t="shared" si="5"/>
        <v>17:40:50</v>
      </c>
    </row>
    <row r="297" ht="22.5" hidden="1" customHeight="1">
      <c r="A297" s="103" t="s">
        <v>1183</v>
      </c>
      <c r="B297" s="103" t="s">
        <v>74</v>
      </c>
      <c r="C297" s="103" t="s">
        <v>1185</v>
      </c>
      <c r="D297" s="103" t="s">
        <v>1517</v>
      </c>
      <c r="E297" s="38">
        <f t="shared" si="17"/>
        <v>-115</v>
      </c>
      <c r="F297" s="46" t="str">
        <f t="shared" si="18"/>
        <v>trabajos varios cajas de concreto y sus tapas</v>
      </c>
      <c r="G297" s="46"/>
      <c r="H297" s="103" t="s">
        <v>1518</v>
      </c>
      <c r="I297" s="104">
        <v>45983.73284722222</v>
      </c>
      <c r="J297" s="99" t="str">
        <f t="shared" si="2"/>
        <v>2025</v>
      </c>
      <c r="K297" s="38" t="str">
        <f t="shared" si="3"/>
        <v>11</v>
      </c>
      <c r="L297" s="38" t="str">
        <f t="shared" si="4"/>
        <v>22</v>
      </c>
      <c r="M297" s="45" t="str">
        <f t="shared" si="5"/>
        <v>17:35:18</v>
      </c>
    </row>
    <row r="298" ht="22.5" hidden="1" customHeight="1">
      <c r="A298" s="103" t="s">
        <v>1183</v>
      </c>
      <c r="B298" s="103" t="s">
        <v>74</v>
      </c>
      <c r="C298" s="103" t="s">
        <v>1185</v>
      </c>
      <c r="D298" s="103" t="s">
        <v>1503</v>
      </c>
      <c r="E298" s="38">
        <f t="shared" si="17"/>
        <v>-500</v>
      </c>
      <c r="F298" s="46" t="str">
        <f t="shared" si="18"/>
        <v>trabajos varios de construcción de cajas de</v>
      </c>
      <c r="G298" s="46"/>
      <c r="H298" s="103" t="s">
        <v>1519</v>
      </c>
      <c r="I298" s="104">
        <v>45983.73195601852</v>
      </c>
      <c r="J298" s="99" t="str">
        <f t="shared" si="2"/>
        <v>2025</v>
      </c>
      <c r="K298" s="38" t="str">
        <f t="shared" si="3"/>
        <v>11</v>
      </c>
      <c r="L298" s="38" t="str">
        <f t="shared" si="4"/>
        <v>22</v>
      </c>
      <c r="M298" s="45" t="str">
        <f t="shared" si="5"/>
        <v>17:34:01</v>
      </c>
    </row>
    <row r="299" ht="22.5" hidden="1" customHeight="1">
      <c r="A299" s="103" t="s">
        <v>1183</v>
      </c>
      <c r="B299" s="103" t="s">
        <v>74</v>
      </c>
      <c r="C299" s="103" t="s">
        <v>1185</v>
      </c>
      <c r="D299" s="103" t="s">
        <v>1520</v>
      </c>
      <c r="E299" s="38">
        <f t="shared" si="17"/>
        <v>-283</v>
      </c>
      <c r="F299" s="46" t="str">
        <f t="shared" si="18"/>
        <v>ferretería goche2(fierros, cemento)</v>
      </c>
      <c r="G299" s="46"/>
      <c r="H299" s="103" t="s">
        <v>1521</v>
      </c>
      <c r="I299" s="104">
        <v>45979.27449074074</v>
      </c>
      <c r="J299" s="99" t="str">
        <f t="shared" si="2"/>
        <v>2025</v>
      </c>
      <c r="K299" s="38" t="str">
        <f t="shared" si="3"/>
        <v>11</v>
      </c>
      <c r="L299" s="38" t="str">
        <f t="shared" si="4"/>
        <v>18</v>
      </c>
      <c r="M299" s="45" t="str">
        <f t="shared" si="5"/>
        <v> 6:35:16</v>
      </c>
    </row>
    <row r="300" ht="22.5" hidden="1" customHeight="1">
      <c r="A300" s="103" t="s">
        <v>1183</v>
      </c>
      <c r="B300" s="103" t="s">
        <v>74</v>
      </c>
      <c r="C300" s="103" t="s">
        <v>1185</v>
      </c>
      <c r="D300" s="103" t="s">
        <v>1522</v>
      </c>
      <c r="E300" s="38">
        <f t="shared" si="17"/>
        <v>-170</v>
      </c>
      <c r="F300" s="46" t="str">
        <f t="shared" si="18"/>
        <v>ferretería goche</v>
      </c>
      <c r="G300" s="46"/>
      <c r="H300" s="103" t="s">
        <v>1523</v>
      </c>
      <c r="I300" s="104">
        <v>45979.2719212963</v>
      </c>
      <c r="J300" s="99" t="str">
        <f t="shared" si="2"/>
        <v>2025</v>
      </c>
      <c r="K300" s="38" t="str">
        <f t="shared" si="3"/>
        <v>11</v>
      </c>
      <c r="L300" s="38" t="str">
        <f t="shared" si="4"/>
        <v>18</v>
      </c>
      <c r="M300" s="45" t="str">
        <f t="shared" si="5"/>
        <v> 6:31:34</v>
      </c>
    </row>
    <row r="301" ht="22.5" hidden="1" customHeight="1">
      <c r="A301" s="103" t="s">
        <v>1183</v>
      </c>
      <c r="B301" s="103" t="s">
        <v>74</v>
      </c>
      <c r="C301" s="103" t="s">
        <v>1185</v>
      </c>
      <c r="D301" s="103" t="s">
        <v>1524</v>
      </c>
      <c r="E301" s="38">
        <f t="shared" si="17"/>
        <v>-140</v>
      </c>
      <c r="F301" s="46" t="str">
        <f t="shared" si="18"/>
        <v>personal construcción de tapa de concreto</v>
      </c>
      <c r="G301" s="46"/>
      <c r="H301" s="103" t="s">
        <v>1525</v>
      </c>
      <c r="I301" s="104">
        <v>45979.27112268518</v>
      </c>
      <c r="J301" s="99" t="str">
        <f t="shared" si="2"/>
        <v>2025</v>
      </c>
      <c r="K301" s="38" t="str">
        <f t="shared" si="3"/>
        <v>11</v>
      </c>
      <c r="L301" s="38" t="str">
        <f t="shared" si="4"/>
        <v>18</v>
      </c>
      <c r="M301" s="45" t="str">
        <f t="shared" si="5"/>
        <v> 6:30:25</v>
      </c>
    </row>
    <row r="302" ht="22.5" hidden="1" customHeight="1">
      <c r="A302" s="103" t="s">
        <v>1183</v>
      </c>
      <c r="B302" s="103" t="s">
        <v>74</v>
      </c>
      <c r="C302" s="103" t="s">
        <v>1185</v>
      </c>
      <c r="D302" s="103" t="s">
        <v>1526</v>
      </c>
      <c r="E302" s="38">
        <f t="shared" si="17"/>
        <v>-190</v>
      </c>
      <c r="F302" s="46" t="str">
        <f t="shared" si="18"/>
        <v>personal construcción de caja cemento (granados)</v>
      </c>
      <c r="G302" s="46"/>
      <c r="H302" s="103" t="s">
        <v>1527</v>
      </c>
      <c r="I302" s="104">
        <v>45979.270219907405</v>
      </c>
      <c r="J302" s="99" t="str">
        <f t="shared" si="2"/>
        <v>2025</v>
      </c>
      <c r="K302" s="38" t="str">
        <f t="shared" si="3"/>
        <v>11</v>
      </c>
      <c r="L302" s="38" t="str">
        <f t="shared" si="4"/>
        <v>18</v>
      </c>
      <c r="M302" s="45" t="str">
        <f t="shared" si="5"/>
        <v> 6:29:07</v>
      </c>
    </row>
    <row r="303" ht="22.5" hidden="1" customHeight="1">
      <c r="A303" s="103" t="s">
        <v>1183</v>
      </c>
      <c r="B303" s="103" t="s">
        <v>74</v>
      </c>
      <c r="C303" s="103" t="s">
        <v>1185</v>
      </c>
      <c r="D303" s="103" t="s">
        <v>1203</v>
      </c>
      <c r="E303" s="38">
        <f t="shared" si="17"/>
        <v>-280</v>
      </c>
      <c r="F303" s="46" t="str">
        <f t="shared" si="18"/>
        <v>pago a trabajadores cerca  de la sequía y cerro (Thalia)</v>
      </c>
      <c r="G303" s="46"/>
      <c r="H303" s="103" t="s">
        <v>1528</v>
      </c>
      <c r="I303" s="104">
        <v>45978.89079861111</v>
      </c>
      <c r="J303" s="99" t="str">
        <f t="shared" si="2"/>
        <v>2025</v>
      </c>
      <c r="K303" s="38" t="str">
        <f t="shared" si="3"/>
        <v>11</v>
      </c>
      <c r="L303" s="38" t="str">
        <f t="shared" si="4"/>
        <v>17</v>
      </c>
      <c r="M303" s="45" t="str">
        <f t="shared" si="5"/>
        <v>21:22:45</v>
      </c>
    </row>
    <row r="304" ht="22.5" hidden="1" customHeight="1">
      <c r="A304" s="102" t="s">
        <v>69</v>
      </c>
      <c r="B304" s="102" t="s">
        <v>1529</v>
      </c>
      <c r="C304" s="102" t="s">
        <v>74</v>
      </c>
      <c r="D304" s="102" t="s">
        <v>1530</v>
      </c>
      <c r="E304" s="38">
        <f>VALUE(SUBSTITUTE(D304, ".", ","))</f>
        <v>100</v>
      </c>
      <c r="F304" s="38" t="s">
        <v>214</v>
      </c>
      <c r="G304" s="38">
        <v>11.0</v>
      </c>
      <c r="H304" s="105"/>
      <c r="I304" s="102" t="s">
        <v>1531</v>
      </c>
      <c r="J304" s="99" t="str">
        <f t="shared" si="2"/>
        <v>2025</v>
      </c>
      <c r="K304" s="38" t="str">
        <f t="shared" si="3"/>
        <v>11</v>
      </c>
      <c r="L304" s="38" t="str">
        <f t="shared" si="4"/>
        <v>16</v>
      </c>
      <c r="M304" s="45" t="str">
        <f t="shared" si="5"/>
        <v>19:31:11</v>
      </c>
    </row>
    <row r="305" ht="22.5" hidden="1" customHeight="1">
      <c r="A305" s="103" t="s">
        <v>1183</v>
      </c>
      <c r="B305" s="103" t="s">
        <v>74</v>
      </c>
      <c r="C305" s="103" t="s">
        <v>1185</v>
      </c>
      <c r="D305" s="103" t="s">
        <v>1203</v>
      </c>
      <c r="E305" s="38">
        <f>-VALUE(SUBSTITUTE(D305, ".", ","))</f>
        <v>-280</v>
      </c>
      <c r="F305" s="46" t="str">
        <f>H305</f>
        <v>reparación de tuberia 4 personas</v>
      </c>
      <c r="G305" s="46"/>
      <c r="H305" s="103" t="s">
        <v>1532</v>
      </c>
      <c r="I305" s="104">
        <v>45977.59190972222</v>
      </c>
      <c r="J305" s="99" t="str">
        <f t="shared" si="2"/>
        <v>2025</v>
      </c>
      <c r="K305" s="38" t="str">
        <f t="shared" si="3"/>
        <v>11</v>
      </c>
      <c r="L305" s="38" t="str">
        <f t="shared" si="4"/>
        <v>16</v>
      </c>
      <c r="M305" s="45" t="str">
        <f t="shared" si="5"/>
        <v>14:12:21</v>
      </c>
    </row>
    <row r="306" ht="22.5" customHeight="1">
      <c r="A306" s="102" t="s">
        <v>69</v>
      </c>
      <c r="B306" s="102" t="s">
        <v>1533</v>
      </c>
      <c r="C306" s="102" t="s">
        <v>343</v>
      </c>
      <c r="D306" s="102" t="s">
        <v>1480</v>
      </c>
      <c r="E306" s="38">
        <f>VALUE(SUBSTITUTE(D306, ".", ","))</f>
        <v>70</v>
      </c>
      <c r="F306" s="38" t="s">
        <v>182</v>
      </c>
      <c r="G306" s="38">
        <v>10.0</v>
      </c>
      <c r="H306" s="105"/>
      <c r="I306" s="102" t="s">
        <v>1534</v>
      </c>
      <c r="J306" s="99" t="str">
        <f t="shared" si="2"/>
        <v>2025</v>
      </c>
      <c r="K306" s="38" t="str">
        <f t="shared" si="3"/>
        <v>11</v>
      </c>
      <c r="L306" s="38" t="str">
        <f t="shared" si="4"/>
        <v>15</v>
      </c>
      <c r="M306" s="45" t="str">
        <f t="shared" si="5"/>
        <v>20:37:44</v>
      </c>
    </row>
    <row r="307" ht="22.5" hidden="1" customHeight="1">
      <c r="A307" s="103" t="s">
        <v>1183</v>
      </c>
      <c r="B307" s="103" t="s">
        <v>74</v>
      </c>
      <c r="C307" s="103" t="s">
        <v>1535</v>
      </c>
      <c r="D307" s="103" t="s">
        <v>1480</v>
      </c>
      <c r="E307" s="38">
        <f t="shared" ref="E307:E313" si="19">-VALUE(SUBSTITUTE(D307, ".", ","))</f>
        <v>-70</v>
      </c>
      <c r="F307" s="46" t="str">
        <f t="shared" ref="F307:F313" si="20">H307</f>
        <v>trabajo de reconexión de tubo</v>
      </c>
      <c r="G307" s="46"/>
      <c r="H307" s="103" t="s">
        <v>1536</v>
      </c>
      <c r="I307" s="104">
        <v>45973.799780092595</v>
      </c>
      <c r="J307" s="99" t="str">
        <f t="shared" si="2"/>
        <v>2025</v>
      </c>
      <c r="K307" s="38" t="str">
        <f t="shared" si="3"/>
        <v>11</v>
      </c>
      <c r="L307" s="38" t="str">
        <f t="shared" si="4"/>
        <v>12</v>
      </c>
      <c r="M307" s="45" t="str">
        <f t="shared" si="5"/>
        <v>19:11:41</v>
      </c>
    </row>
    <row r="308" ht="22.5" hidden="1" customHeight="1">
      <c r="A308" s="103" t="s">
        <v>1183</v>
      </c>
      <c r="B308" s="103" t="s">
        <v>74</v>
      </c>
      <c r="C308" s="103" t="s">
        <v>1537</v>
      </c>
      <c r="D308" s="103" t="s">
        <v>1480</v>
      </c>
      <c r="E308" s="38">
        <f t="shared" si="19"/>
        <v>-70</v>
      </c>
      <c r="F308" s="46" t="str">
        <f t="shared" si="20"/>
        <v>de reconexión de tubo</v>
      </c>
      <c r="G308" s="46"/>
      <c r="H308" s="103" t="s">
        <v>1538</v>
      </c>
      <c r="I308" s="104">
        <v>45973.56228009259</v>
      </c>
      <c r="J308" s="99" t="str">
        <f t="shared" si="2"/>
        <v>2025</v>
      </c>
      <c r="K308" s="38" t="str">
        <f t="shared" si="3"/>
        <v>11</v>
      </c>
      <c r="L308" s="38" t="str">
        <f t="shared" si="4"/>
        <v>12</v>
      </c>
      <c r="M308" s="45" t="str">
        <f t="shared" si="5"/>
        <v>13:29:41</v>
      </c>
    </row>
    <row r="309" ht="22.5" hidden="1" customHeight="1">
      <c r="A309" s="103" t="s">
        <v>1183</v>
      </c>
      <c r="B309" s="103" t="s">
        <v>74</v>
      </c>
      <c r="C309" s="103" t="s">
        <v>1539</v>
      </c>
      <c r="D309" s="103" t="s">
        <v>1524</v>
      </c>
      <c r="E309" s="38">
        <f t="shared" si="19"/>
        <v>-140</v>
      </c>
      <c r="F309" s="46" t="str">
        <f t="shared" si="20"/>
        <v>2 personal reestalacion de tubo</v>
      </c>
      <c r="G309" s="46"/>
      <c r="H309" s="103" t="s">
        <v>1540</v>
      </c>
      <c r="I309" s="104">
        <v>45973.554074074076</v>
      </c>
      <c r="J309" s="99" t="str">
        <f t="shared" si="2"/>
        <v>2025</v>
      </c>
      <c r="K309" s="38" t="str">
        <f t="shared" si="3"/>
        <v>11</v>
      </c>
      <c r="L309" s="38" t="str">
        <f t="shared" si="4"/>
        <v>12</v>
      </c>
      <c r="M309" s="45" t="str">
        <f t="shared" si="5"/>
        <v>13:17:52</v>
      </c>
    </row>
    <row r="310" ht="22.5" hidden="1" customHeight="1">
      <c r="A310" s="103" t="s">
        <v>1183</v>
      </c>
      <c r="B310" s="103" t="s">
        <v>343</v>
      </c>
      <c r="C310" s="103" t="s">
        <v>1541</v>
      </c>
      <c r="D310" s="103" t="s">
        <v>1032</v>
      </c>
      <c r="E310" s="38">
        <f t="shared" si="19"/>
        <v>-50</v>
      </c>
      <c r="F310" s="46" t="str">
        <f t="shared" si="20"/>
        <v>Sunat - Pago NPS</v>
      </c>
      <c r="G310" s="46"/>
      <c r="H310" s="103" t="s">
        <v>1542</v>
      </c>
      <c r="I310" s="104">
        <v>45972.563159722224</v>
      </c>
      <c r="J310" s="99" t="str">
        <f t="shared" si="2"/>
        <v>2025</v>
      </c>
      <c r="K310" s="38" t="str">
        <f t="shared" si="3"/>
        <v>11</v>
      </c>
      <c r="L310" s="38" t="str">
        <f t="shared" si="4"/>
        <v>11</v>
      </c>
      <c r="M310" s="45" t="str">
        <f t="shared" si="5"/>
        <v>13:30:57</v>
      </c>
    </row>
    <row r="311" ht="22.5" hidden="1" customHeight="1">
      <c r="A311" s="103" t="s">
        <v>1183</v>
      </c>
      <c r="B311" s="103" t="s">
        <v>74</v>
      </c>
      <c r="C311" s="103" t="s">
        <v>1543</v>
      </c>
      <c r="D311" s="103" t="s">
        <v>1199</v>
      </c>
      <c r="E311" s="38">
        <f t="shared" si="19"/>
        <v>-200</v>
      </c>
      <c r="F311" s="46" t="str">
        <f t="shared" si="20"/>
        <v>contador</v>
      </c>
      <c r="G311" s="46"/>
      <c r="H311" s="103" t="s">
        <v>1544</v>
      </c>
      <c r="I311" s="104">
        <v>45972.5446875</v>
      </c>
      <c r="J311" s="99" t="str">
        <f t="shared" si="2"/>
        <v>2025</v>
      </c>
      <c r="K311" s="38" t="str">
        <f t="shared" si="3"/>
        <v>11</v>
      </c>
      <c r="L311" s="38" t="str">
        <f t="shared" si="4"/>
        <v>11</v>
      </c>
      <c r="M311" s="45" t="str">
        <f t="shared" si="5"/>
        <v>13:04:21</v>
      </c>
    </row>
    <row r="312" ht="22.5" hidden="1" customHeight="1">
      <c r="A312" s="103" t="s">
        <v>1183</v>
      </c>
      <c r="B312" s="103" t="s">
        <v>74</v>
      </c>
      <c r="C312" s="103" t="s">
        <v>1185</v>
      </c>
      <c r="D312" s="103" t="s">
        <v>1480</v>
      </c>
      <c r="E312" s="38">
        <f t="shared" si="19"/>
        <v>-70</v>
      </c>
      <c r="F312" s="46" t="str">
        <f t="shared" si="20"/>
        <v>instalacion de check pichon</v>
      </c>
      <c r="G312" s="46"/>
      <c r="H312" s="103" t="s">
        <v>1545</v>
      </c>
      <c r="I312" s="104">
        <v>45972.35126157408</v>
      </c>
      <c r="J312" s="99" t="str">
        <f t="shared" si="2"/>
        <v>2025</v>
      </c>
      <c r="K312" s="38" t="str">
        <f t="shared" si="3"/>
        <v>11</v>
      </c>
      <c r="L312" s="38" t="str">
        <f t="shared" si="4"/>
        <v>11</v>
      </c>
      <c r="M312" s="45" t="str">
        <f t="shared" si="5"/>
        <v> 8:25:49</v>
      </c>
    </row>
    <row r="313" ht="22.5" hidden="1" customHeight="1">
      <c r="A313" s="103" t="s">
        <v>1183</v>
      </c>
      <c r="B313" s="103" t="s">
        <v>74</v>
      </c>
      <c r="C313" s="103" t="s">
        <v>74</v>
      </c>
      <c r="D313" s="103" t="s">
        <v>1503</v>
      </c>
      <c r="E313" s="38">
        <f t="shared" si="19"/>
        <v>-500</v>
      </c>
      <c r="F313" s="46" t="str">
        <f t="shared" si="20"/>
        <v>préstamo al pueblo</v>
      </c>
      <c r="G313" s="46"/>
      <c r="H313" s="103" t="s">
        <v>1504</v>
      </c>
      <c r="I313" s="104">
        <v>45969.69792824074</v>
      </c>
      <c r="J313" s="99" t="str">
        <f t="shared" si="2"/>
        <v>2025</v>
      </c>
      <c r="K313" s="38" t="str">
        <f t="shared" si="3"/>
        <v>11</v>
      </c>
      <c r="L313" s="38" t="str">
        <f t="shared" si="4"/>
        <v>08</v>
      </c>
      <c r="M313" s="45" t="str">
        <f t="shared" si="5"/>
        <v>16:45:01</v>
      </c>
    </row>
    <row r="314" ht="22.5" hidden="1" customHeight="1">
      <c r="A314" s="46" t="s">
        <v>69</v>
      </c>
      <c r="B314" s="46" t="s">
        <v>868</v>
      </c>
      <c r="C314" s="46" t="s">
        <v>74</v>
      </c>
      <c r="D314" s="46" t="s">
        <v>1546</v>
      </c>
      <c r="E314" s="38">
        <f t="shared" ref="E314:E315" si="21">VALUE(SUBSTITUTE(D314, ".", ","))</f>
        <v>20</v>
      </c>
      <c r="F314" s="46" t="s">
        <v>190</v>
      </c>
      <c r="G314" s="46">
        <v>5.0</v>
      </c>
      <c r="H314" s="46" t="s">
        <v>1547</v>
      </c>
      <c r="I314" s="46" t="s">
        <v>1548</v>
      </c>
      <c r="J314" s="100" t="str">
        <f t="shared" si="2"/>
        <v>2025</v>
      </c>
      <c r="K314" s="38" t="str">
        <f t="shared" si="3"/>
        <v>11</v>
      </c>
      <c r="L314" s="38" t="str">
        <f t="shared" si="4"/>
        <v>07</v>
      </c>
      <c r="M314" s="45" t="str">
        <f t="shared" si="5"/>
        <v>20:53:40</v>
      </c>
    </row>
    <row r="315" ht="22.5" hidden="1" customHeight="1">
      <c r="A315" s="106" t="s">
        <v>69</v>
      </c>
      <c r="B315" s="38" t="s">
        <v>698</v>
      </c>
      <c r="C315" s="106" t="s">
        <v>74</v>
      </c>
      <c r="D315" s="106" t="s">
        <v>1546</v>
      </c>
      <c r="E315" s="106">
        <f t="shared" si="21"/>
        <v>20</v>
      </c>
      <c r="F315" s="106" t="s">
        <v>136</v>
      </c>
      <c r="G315" s="106">
        <v>11.0</v>
      </c>
      <c r="H315" s="38" t="s">
        <v>1549</v>
      </c>
      <c r="I315" s="38" t="s">
        <v>1550</v>
      </c>
      <c r="J315" s="99" t="str">
        <f t="shared" si="2"/>
        <v>2025</v>
      </c>
      <c r="K315" s="38" t="str">
        <f t="shared" si="3"/>
        <v>11</v>
      </c>
      <c r="L315" s="38" t="str">
        <f t="shared" si="4"/>
        <v>07</v>
      </c>
      <c r="M315" s="45" t="str">
        <f t="shared" si="5"/>
        <v>20:29:35</v>
      </c>
    </row>
    <row r="317">
      <c r="E317" s="98">
        <f>SUM(E2:E315)</f>
        <v>1616.6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147</v>
      </c>
      <c r="F1" s="2" t="s">
        <v>148</v>
      </c>
      <c r="G1" s="2" t="s">
        <v>147</v>
      </c>
      <c r="H1" s="2" t="s">
        <v>16</v>
      </c>
      <c r="I1" s="2" t="s">
        <v>147</v>
      </c>
      <c r="J1" s="2" t="s">
        <v>16</v>
      </c>
      <c r="K1" s="2" t="s">
        <v>147</v>
      </c>
      <c r="L1" s="2" t="s">
        <v>16</v>
      </c>
      <c r="M1" s="2" t="s">
        <v>147</v>
      </c>
      <c r="N1" s="2" t="s">
        <v>16</v>
      </c>
      <c r="O1" s="2" t="s">
        <v>147</v>
      </c>
      <c r="P1" s="2" t="s">
        <v>16</v>
      </c>
      <c r="Q1" s="2" t="s">
        <v>153</v>
      </c>
      <c r="R1" s="2" t="s">
        <v>16</v>
      </c>
      <c r="S1" s="2" t="s">
        <v>153</v>
      </c>
      <c r="T1" s="2" t="s">
        <v>16</v>
      </c>
      <c r="U1" s="2" t="s">
        <v>155</v>
      </c>
      <c r="V1" s="2" t="s">
        <v>148</v>
      </c>
      <c r="W1" s="2" t="s">
        <v>156</v>
      </c>
      <c r="X1" s="2" t="s">
        <v>148</v>
      </c>
      <c r="Y1" s="2" t="s">
        <v>156</v>
      </c>
      <c r="Z1" s="2" t="s">
        <v>148</v>
      </c>
      <c r="AA1" s="2" t="s">
        <v>147</v>
      </c>
      <c r="AB1" s="2" t="s">
        <v>16</v>
      </c>
      <c r="AC1" s="2" t="s">
        <v>159</v>
      </c>
      <c r="AD1" s="2" t="s">
        <v>21</v>
      </c>
      <c r="AE1" s="2" t="s">
        <v>22</v>
      </c>
      <c r="AF1" s="2" t="s">
        <v>23</v>
      </c>
      <c r="AG1" s="2" t="s">
        <v>160</v>
      </c>
      <c r="AH1" s="2" t="s">
        <v>162</v>
      </c>
      <c r="AI1" s="2" t="s">
        <v>163</v>
      </c>
      <c r="AJ1" s="2" t="s">
        <v>32</v>
      </c>
      <c r="AK1" s="2" t="s">
        <v>164</v>
      </c>
      <c r="AL1" s="2" t="s">
        <v>165</v>
      </c>
      <c r="AM1" s="2" t="s">
        <v>15</v>
      </c>
    </row>
    <row r="2">
      <c r="A2" s="14">
        <v>1.0</v>
      </c>
      <c r="B2" s="14" t="s">
        <v>43</v>
      </c>
      <c r="C2" s="14" t="s">
        <v>20</v>
      </c>
      <c r="D2" s="14">
        <v>1.0</v>
      </c>
      <c r="E2" s="14">
        <v>2445.0</v>
      </c>
      <c r="F2" s="14">
        <v>6.0</v>
      </c>
      <c r="G2" s="14">
        <v>2451.0</v>
      </c>
      <c r="H2" s="14">
        <v>7.0</v>
      </c>
      <c r="I2" s="14">
        <v>2458.0</v>
      </c>
      <c r="J2" s="14">
        <v>6.0</v>
      </c>
      <c r="K2" s="14">
        <v>2464.0</v>
      </c>
      <c r="L2" s="14">
        <v>5.0</v>
      </c>
      <c r="M2" s="14">
        <v>2469.0</v>
      </c>
      <c r="N2" s="14">
        <v>7.0</v>
      </c>
      <c r="O2" s="14">
        <v>2476.0</v>
      </c>
      <c r="P2" s="14">
        <v>5.0</v>
      </c>
      <c r="Q2" s="14">
        <v>2481.0</v>
      </c>
      <c r="R2" s="14">
        <v>5.0</v>
      </c>
      <c r="S2" s="14">
        <v>2486.0</v>
      </c>
      <c r="T2" s="14">
        <v>5.0</v>
      </c>
      <c r="U2" s="14">
        <v>2491.0</v>
      </c>
      <c r="V2" s="14">
        <v>5.0</v>
      </c>
      <c r="W2" s="14">
        <v>2496.0</v>
      </c>
      <c r="X2" s="14">
        <v>5.0</v>
      </c>
      <c r="Y2" s="14">
        <v>2502.0</v>
      </c>
      <c r="Z2" s="14">
        <v>6.0</v>
      </c>
      <c r="AA2" s="14">
        <v>2506.0</v>
      </c>
      <c r="AB2" s="14">
        <v>4.0</v>
      </c>
      <c r="AC2" s="14">
        <v>5.0</v>
      </c>
      <c r="AD2" s="14">
        <v>0.0</v>
      </c>
      <c r="AE2" s="14">
        <v>0.0</v>
      </c>
      <c r="AG2" s="14">
        <v>3.0</v>
      </c>
      <c r="AH2" s="14">
        <v>0.0</v>
      </c>
      <c r="AI2" s="14">
        <v>8.0</v>
      </c>
    </row>
    <row r="3">
      <c r="A3" s="14">
        <v>2.0</v>
      </c>
      <c r="B3" s="14" t="s">
        <v>49</v>
      </c>
      <c r="C3" s="14" t="s">
        <v>20</v>
      </c>
      <c r="D3" s="14">
        <v>2.0</v>
      </c>
      <c r="E3" s="14">
        <v>1975.0</v>
      </c>
      <c r="F3" s="14">
        <v>37.0</v>
      </c>
      <c r="G3" s="14">
        <v>2012.0</v>
      </c>
      <c r="H3" s="14">
        <v>23.0</v>
      </c>
      <c r="I3" s="14">
        <v>2035.0</v>
      </c>
      <c r="J3" s="14">
        <v>32.0</v>
      </c>
      <c r="K3" s="14">
        <v>2067.0</v>
      </c>
      <c r="L3" s="14">
        <v>27.0</v>
      </c>
      <c r="M3" s="14">
        <v>2094.0</v>
      </c>
      <c r="N3" s="14">
        <v>26.0</v>
      </c>
      <c r="O3" s="14">
        <v>2120.0</v>
      </c>
      <c r="P3" s="14">
        <v>22.0</v>
      </c>
      <c r="Q3" s="14">
        <v>2142.0</v>
      </c>
      <c r="R3" s="14">
        <v>22.0</v>
      </c>
      <c r="S3" s="14">
        <v>2168.0</v>
      </c>
      <c r="T3" s="14">
        <v>26.0</v>
      </c>
      <c r="U3" s="14">
        <v>2193.0</v>
      </c>
      <c r="V3" s="14">
        <v>25.0</v>
      </c>
      <c r="W3" s="14">
        <v>2225.0</v>
      </c>
      <c r="X3" s="14">
        <v>32.0</v>
      </c>
      <c r="Y3" s="14">
        <v>2248.0</v>
      </c>
      <c r="Z3" s="14">
        <v>23.0</v>
      </c>
      <c r="AA3" s="14">
        <v>2288.0</v>
      </c>
      <c r="AB3" s="14">
        <v>40.0</v>
      </c>
      <c r="AC3" s="14">
        <v>40.0</v>
      </c>
      <c r="AD3" s="14">
        <v>0.0</v>
      </c>
      <c r="AE3" s="14">
        <v>0.0</v>
      </c>
      <c r="AG3" s="14">
        <v>3.0</v>
      </c>
      <c r="AH3" s="14">
        <v>0.0</v>
      </c>
      <c r="AI3" s="14">
        <v>43.0</v>
      </c>
    </row>
    <row r="4">
      <c r="A4" s="14">
        <v>3.0</v>
      </c>
      <c r="B4" s="14" t="s">
        <v>53</v>
      </c>
      <c r="C4" s="14" t="s">
        <v>20</v>
      </c>
      <c r="D4" s="14">
        <v>3.0</v>
      </c>
      <c r="K4" s="14">
        <v>0.0</v>
      </c>
      <c r="L4" s="14">
        <v>0.0</v>
      </c>
      <c r="M4" s="14">
        <v>0.0</v>
      </c>
      <c r="N4" s="14">
        <v>1.0</v>
      </c>
      <c r="O4" s="14">
        <v>1.0</v>
      </c>
      <c r="P4" s="14">
        <v>14.0</v>
      </c>
      <c r="Q4" s="14">
        <v>15.0</v>
      </c>
      <c r="R4" s="14">
        <v>14.0</v>
      </c>
      <c r="S4" s="14">
        <v>22.0</v>
      </c>
      <c r="T4" s="14">
        <v>7.0</v>
      </c>
      <c r="U4" s="14">
        <v>22.0</v>
      </c>
      <c r="V4" s="14">
        <v>0.0</v>
      </c>
      <c r="W4" s="14">
        <v>22.0</v>
      </c>
      <c r="X4" s="14">
        <v>0.0</v>
      </c>
      <c r="Y4" s="14">
        <v>22.0</v>
      </c>
      <c r="Z4" s="14">
        <v>0.0</v>
      </c>
      <c r="AA4" s="14">
        <v>22.0</v>
      </c>
      <c r="AB4" s="14">
        <v>0.0</v>
      </c>
      <c r="AC4" s="14">
        <v>5.0</v>
      </c>
      <c r="AD4" s="14">
        <v>0.0</v>
      </c>
      <c r="AE4" s="14">
        <v>0.0</v>
      </c>
      <c r="AG4" s="14">
        <v>3.0</v>
      </c>
      <c r="AH4" s="14">
        <v>0.0</v>
      </c>
      <c r="AI4" s="14">
        <v>8.0</v>
      </c>
    </row>
    <row r="5">
      <c r="A5" s="14">
        <v>4.0</v>
      </c>
      <c r="B5" s="14" t="s">
        <v>63</v>
      </c>
      <c r="C5" s="14" t="s">
        <v>20</v>
      </c>
      <c r="D5" s="14">
        <v>4.0</v>
      </c>
      <c r="E5" s="14">
        <v>1759.0</v>
      </c>
      <c r="F5" s="14">
        <v>0.0</v>
      </c>
      <c r="G5" s="14">
        <v>1759.0</v>
      </c>
      <c r="H5" s="14">
        <v>0.0</v>
      </c>
      <c r="I5" s="14">
        <v>1759.0</v>
      </c>
      <c r="J5" s="14">
        <v>3.0</v>
      </c>
      <c r="K5" s="14">
        <v>1762.0</v>
      </c>
      <c r="L5" s="14">
        <v>0.0</v>
      </c>
      <c r="M5" s="14">
        <v>1762.0</v>
      </c>
      <c r="N5" s="14">
        <v>0.0</v>
      </c>
      <c r="O5" s="14">
        <v>1762.0</v>
      </c>
      <c r="P5" s="14">
        <v>0.0</v>
      </c>
      <c r="Q5" s="14">
        <v>1762.0</v>
      </c>
      <c r="R5" s="14">
        <v>0.0</v>
      </c>
      <c r="S5" s="14">
        <v>1762.0</v>
      </c>
      <c r="T5" s="14">
        <v>0.0</v>
      </c>
      <c r="U5" s="14">
        <v>1732.0</v>
      </c>
      <c r="V5" s="14">
        <v>0.0</v>
      </c>
      <c r="W5" s="14">
        <v>1762.0</v>
      </c>
      <c r="X5" s="14">
        <v>30.0</v>
      </c>
      <c r="Y5" s="14">
        <v>1763.0</v>
      </c>
      <c r="Z5" s="14">
        <v>1.0</v>
      </c>
      <c r="AA5" s="14">
        <v>1763.0</v>
      </c>
      <c r="AB5" s="14">
        <v>0.0</v>
      </c>
      <c r="AC5" s="14">
        <v>5.0</v>
      </c>
      <c r="AD5" s="14">
        <v>41.0</v>
      </c>
      <c r="AE5" s="14">
        <v>40.0</v>
      </c>
      <c r="AG5" s="14">
        <v>3.0</v>
      </c>
      <c r="AH5" s="14">
        <v>20.0</v>
      </c>
      <c r="AI5" s="14">
        <v>109.0</v>
      </c>
    </row>
    <row r="6">
      <c r="A6" s="14">
        <v>5.0</v>
      </c>
      <c r="B6" s="14" t="s">
        <v>72</v>
      </c>
      <c r="C6" s="14" t="s">
        <v>20</v>
      </c>
      <c r="D6" s="14">
        <v>5.0</v>
      </c>
      <c r="E6" s="14">
        <v>2933.0</v>
      </c>
      <c r="F6" s="14">
        <v>35.0</v>
      </c>
      <c r="G6" s="14">
        <v>2968.0</v>
      </c>
      <c r="H6" s="14">
        <v>34.0</v>
      </c>
      <c r="I6" s="14">
        <v>3002.0</v>
      </c>
      <c r="J6" s="14">
        <v>23.0</v>
      </c>
      <c r="K6" s="14">
        <v>3025.0</v>
      </c>
      <c r="L6" s="14">
        <v>23.0</v>
      </c>
      <c r="M6" s="14">
        <v>3048.0</v>
      </c>
      <c r="N6" s="14">
        <v>16.0</v>
      </c>
      <c r="O6" s="14">
        <v>3064.0</v>
      </c>
      <c r="P6" s="14">
        <v>14.0</v>
      </c>
      <c r="Q6" s="14">
        <v>3078.0</v>
      </c>
      <c r="R6" s="14">
        <v>14.0</v>
      </c>
      <c r="S6" s="14">
        <v>3092.0</v>
      </c>
      <c r="T6" s="14">
        <v>14.0</v>
      </c>
      <c r="U6" s="14">
        <v>3108.0</v>
      </c>
      <c r="V6" s="14">
        <v>16.0</v>
      </c>
      <c r="W6" s="14">
        <v>3120.0</v>
      </c>
      <c r="X6" s="14">
        <v>12.0</v>
      </c>
      <c r="Y6" s="14">
        <v>3141.0</v>
      </c>
      <c r="Z6" s="14">
        <v>21.0</v>
      </c>
      <c r="AA6" s="14">
        <v>3162.0</v>
      </c>
      <c r="AB6" s="14">
        <v>21.0</v>
      </c>
      <c r="AC6" s="14">
        <v>21.0</v>
      </c>
      <c r="AD6" s="14">
        <v>0.0</v>
      </c>
      <c r="AE6" s="14">
        <v>0.0</v>
      </c>
      <c r="AG6" s="14">
        <v>3.0</v>
      </c>
      <c r="AH6" s="14">
        <v>0.0</v>
      </c>
      <c r="AI6" s="14">
        <v>24.0</v>
      </c>
    </row>
    <row r="7">
      <c r="A7" s="14">
        <v>6.0</v>
      </c>
      <c r="B7" s="14" t="s">
        <v>80</v>
      </c>
      <c r="C7" s="14" t="s">
        <v>20</v>
      </c>
      <c r="D7" s="14">
        <v>6.0</v>
      </c>
      <c r="E7" s="14">
        <v>1253.0</v>
      </c>
      <c r="F7" s="14">
        <v>45.0</v>
      </c>
      <c r="G7" s="14">
        <v>1298.0</v>
      </c>
      <c r="H7" s="14">
        <v>35.0</v>
      </c>
      <c r="I7" s="14">
        <v>1333.0</v>
      </c>
      <c r="J7" s="14">
        <v>25.0</v>
      </c>
      <c r="K7" s="14">
        <v>1358.0</v>
      </c>
      <c r="L7" s="14">
        <v>32.0</v>
      </c>
      <c r="M7" s="14">
        <v>1390.0</v>
      </c>
      <c r="N7" s="14">
        <v>22.0</v>
      </c>
      <c r="O7" s="14">
        <v>1412.0</v>
      </c>
      <c r="P7" s="14">
        <v>28.0</v>
      </c>
      <c r="Q7" s="14">
        <v>1440.0</v>
      </c>
      <c r="R7" s="14">
        <v>28.0</v>
      </c>
      <c r="S7" s="14">
        <v>1467.0</v>
      </c>
      <c r="T7" s="14">
        <v>27.0</v>
      </c>
      <c r="U7" s="14">
        <v>1491.0</v>
      </c>
      <c r="V7" s="14">
        <v>24.0</v>
      </c>
      <c r="W7" s="14">
        <v>1517.0</v>
      </c>
      <c r="X7" s="14">
        <v>26.0</v>
      </c>
      <c r="Y7" s="14">
        <v>1544.0</v>
      </c>
      <c r="Z7" s="14">
        <v>27.0</v>
      </c>
      <c r="AA7" s="14">
        <v>1571.0</v>
      </c>
      <c r="AB7" s="14">
        <v>27.0</v>
      </c>
      <c r="AC7" s="14">
        <v>27.0</v>
      </c>
      <c r="AD7" s="14">
        <v>0.0</v>
      </c>
      <c r="AE7" s="14">
        <v>0.0</v>
      </c>
      <c r="AG7" s="14">
        <v>3.0</v>
      </c>
      <c r="AH7" s="14">
        <v>0.0</v>
      </c>
      <c r="AI7" s="14">
        <v>30.0</v>
      </c>
    </row>
    <row r="8">
      <c r="A8" s="14">
        <v>7.0</v>
      </c>
      <c r="B8" s="14" t="s">
        <v>86</v>
      </c>
      <c r="C8" s="14" t="s">
        <v>20</v>
      </c>
      <c r="D8" s="14">
        <v>7.0</v>
      </c>
      <c r="E8" s="14">
        <v>1358.0</v>
      </c>
      <c r="F8" s="14">
        <v>24.0</v>
      </c>
      <c r="G8" s="14">
        <v>1382.0</v>
      </c>
      <c r="H8" s="14">
        <v>25.0</v>
      </c>
      <c r="I8" s="14">
        <v>1407.0</v>
      </c>
      <c r="J8" s="14">
        <v>22.0</v>
      </c>
      <c r="K8" s="14">
        <v>1429.0</v>
      </c>
      <c r="L8" s="14">
        <v>23.0</v>
      </c>
      <c r="M8" s="14">
        <v>1452.0</v>
      </c>
      <c r="N8" s="14">
        <v>19.0</v>
      </c>
      <c r="O8" s="14">
        <v>1471.0</v>
      </c>
      <c r="P8" s="14">
        <v>22.0</v>
      </c>
      <c r="Q8" s="14">
        <v>1493.0</v>
      </c>
      <c r="R8" s="14">
        <v>22.0</v>
      </c>
      <c r="S8" s="14">
        <v>1512.0</v>
      </c>
      <c r="T8" s="14">
        <v>19.0</v>
      </c>
      <c r="U8" s="14">
        <v>1529.0</v>
      </c>
      <c r="V8" s="14">
        <v>17.0</v>
      </c>
      <c r="W8" s="14">
        <v>1546.0</v>
      </c>
      <c r="X8" s="14">
        <v>17.0</v>
      </c>
      <c r="Y8" s="14">
        <v>1562.0</v>
      </c>
      <c r="Z8" s="14">
        <v>16.0</v>
      </c>
      <c r="AA8" s="14">
        <v>1579.0</v>
      </c>
      <c r="AB8" s="14">
        <v>17.0</v>
      </c>
      <c r="AC8" s="14">
        <v>17.0</v>
      </c>
      <c r="AD8" s="14">
        <v>19.0</v>
      </c>
      <c r="AE8" s="14">
        <v>0.0</v>
      </c>
      <c r="AG8" s="14">
        <v>3.0</v>
      </c>
      <c r="AH8" s="14">
        <v>0.0</v>
      </c>
      <c r="AI8" s="14">
        <v>39.0</v>
      </c>
    </row>
    <row r="9">
      <c r="A9" s="14">
        <v>8.0</v>
      </c>
      <c r="B9" s="14" t="s">
        <v>88</v>
      </c>
      <c r="C9" s="14" t="s">
        <v>20</v>
      </c>
      <c r="D9" s="14">
        <v>8.0</v>
      </c>
      <c r="E9" s="14">
        <v>5882.0</v>
      </c>
      <c r="F9" s="14">
        <v>35.0</v>
      </c>
      <c r="G9" s="14">
        <v>5917.0</v>
      </c>
      <c r="H9" s="14">
        <v>33.0</v>
      </c>
      <c r="I9" s="14">
        <v>5950.0</v>
      </c>
      <c r="J9" s="14">
        <v>25.0</v>
      </c>
      <c r="K9" s="14">
        <v>5975.0</v>
      </c>
      <c r="L9" s="14">
        <v>36.0</v>
      </c>
      <c r="M9" s="14">
        <v>6011.0</v>
      </c>
      <c r="N9" s="14">
        <v>21.0</v>
      </c>
      <c r="O9" s="14">
        <v>6032.0</v>
      </c>
      <c r="P9" s="14">
        <v>13.0</v>
      </c>
      <c r="Q9" s="14">
        <v>6045.0</v>
      </c>
      <c r="R9" s="14">
        <v>13.0</v>
      </c>
      <c r="S9" s="14">
        <v>6055.0</v>
      </c>
      <c r="T9" s="14">
        <v>10.0</v>
      </c>
      <c r="U9" s="14">
        <v>6067.0</v>
      </c>
      <c r="V9" s="14">
        <v>12.0</v>
      </c>
      <c r="W9" s="14">
        <v>6078.0</v>
      </c>
      <c r="X9" s="14">
        <v>11.0</v>
      </c>
      <c r="Y9" s="14">
        <v>6088.0</v>
      </c>
      <c r="Z9" s="14">
        <v>10.0</v>
      </c>
      <c r="AA9" s="14">
        <v>6103.0</v>
      </c>
      <c r="AB9" s="14">
        <v>15.0</v>
      </c>
      <c r="AC9" s="14">
        <v>15.0</v>
      </c>
      <c r="AD9" s="14">
        <v>0.0</v>
      </c>
      <c r="AE9" s="14">
        <v>0.0</v>
      </c>
      <c r="AG9" s="14">
        <v>3.0</v>
      </c>
      <c r="AH9" s="14">
        <v>0.0</v>
      </c>
      <c r="AI9" s="14">
        <v>18.0</v>
      </c>
    </row>
    <row r="10">
      <c r="A10" s="14">
        <v>9.0</v>
      </c>
      <c r="B10" s="14" t="s">
        <v>89</v>
      </c>
      <c r="C10" s="14" t="s">
        <v>20</v>
      </c>
      <c r="D10" s="14" t="s">
        <v>90</v>
      </c>
      <c r="P10" s="14">
        <v>18.0</v>
      </c>
      <c r="Q10" s="14">
        <v>18.0</v>
      </c>
      <c r="R10" s="14">
        <v>18.0</v>
      </c>
      <c r="S10" s="14">
        <v>26.0</v>
      </c>
      <c r="T10" s="14">
        <v>8.0</v>
      </c>
      <c r="U10" s="14">
        <v>32.0</v>
      </c>
      <c r="V10" s="14">
        <v>6.0</v>
      </c>
      <c r="W10" s="14">
        <v>46.0</v>
      </c>
      <c r="X10" s="14">
        <v>14.0</v>
      </c>
      <c r="Y10" s="14">
        <v>53.0</v>
      </c>
      <c r="Z10" s="14">
        <v>7.0</v>
      </c>
      <c r="AA10" s="14">
        <v>61.0</v>
      </c>
      <c r="AB10" s="14">
        <v>8.0</v>
      </c>
      <c r="AC10" s="14">
        <v>8.0</v>
      </c>
      <c r="AD10" s="14">
        <v>0.0</v>
      </c>
      <c r="AE10" s="14">
        <v>0.0</v>
      </c>
      <c r="AG10" s="14">
        <v>3.0</v>
      </c>
      <c r="AH10" s="14">
        <v>20.0</v>
      </c>
      <c r="AI10" s="14">
        <v>31.0</v>
      </c>
    </row>
    <row r="11">
      <c r="A11" s="14">
        <v>10.0</v>
      </c>
      <c r="B11" s="14" t="s">
        <v>94</v>
      </c>
      <c r="C11" s="14" t="s">
        <v>20</v>
      </c>
      <c r="D11" s="14">
        <v>9.0</v>
      </c>
      <c r="E11" s="14">
        <v>1381.0</v>
      </c>
      <c r="F11" s="14">
        <v>32.0</v>
      </c>
      <c r="G11" s="14">
        <v>1413.0</v>
      </c>
      <c r="H11" s="14">
        <v>30.0</v>
      </c>
      <c r="I11" s="14">
        <v>1443.0</v>
      </c>
      <c r="J11" s="14">
        <v>40.0</v>
      </c>
      <c r="K11" s="14">
        <v>1483.0</v>
      </c>
      <c r="L11" s="14">
        <v>33.0</v>
      </c>
      <c r="M11" s="14">
        <v>1516.0</v>
      </c>
      <c r="N11" s="14">
        <v>33.0</v>
      </c>
      <c r="O11" s="14">
        <v>1549.0</v>
      </c>
      <c r="P11" s="14">
        <v>27.0</v>
      </c>
      <c r="Q11" s="14">
        <v>1576.0</v>
      </c>
      <c r="R11" s="14">
        <v>27.0</v>
      </c>
      <c r="S11" s="14">
        <v>1601.0</v>
      </c>
      <c r="T11" s="14">
        <v>25.0</v>
      </c>
      <c r="U11" s="14">
        <v>1624.0</v>
      </c>
      <c r="V11" s="14">
        <v>23.0</v>
      </c>
      <c r="W11" s="14">
        <v>1646.0</v>
      </c>
      <c r="X11" s="14">
        <v>22.0</v>
      </c>
      <c r="Y11" s="14">
        <v>1673.0</v>
      </c>
      <c r="Z11" s="14">
        <v>27.0</v>
      </c>
      <c r="AA11" s="14">
        <v>1703.0</v>
      </c>
      <c r="AB11" s="14">
        <v>30.0</v>
      </c>
      <c r="AC11" s="14">
        <v>30.0</v>
      </c>
      <c r="AD11" s="14">
        <v>0.0</v>
      </c>
      <c r="AE11" s="14">
        <v>0.0</v>
      </c>
      <c r="AG11" s="14">
        <v>3.0</v>
      </c>
      <c r="AH11" s="14">
        <v>0.0</v>
      </c>
      <c r="AI11" s="14">
        <v>33.0</v>
      </c>
    </row>
    <row r="12">
      <c r="A12" s="14">
        <v>11.0</v>
      </c>
      <c r="B12" s="14" t="s">
        <v>96</v>
      </c>
      <c r="C12" s="14" t="s">
        <v>20</v>
      </c>
      <c r="D12" s="14">
        <v>10.0</v>
      </c>
      <c r="E12" s="14">
        <v>31.0</v>
      </c>
      <c r="F12" s="14">
        <v>10.0</v>
      </c>
      <c r="G12" s="14">
        <v>41.0</v>
      </c>
      <c r="H12" s="14">
        <v>29.0</v>
      </c>
      <c r="I12" s="14">
        <v>70.0</v>
      </c>
      <c r="J12" s="14">
        <v>18.0</v>
      </c>
      <c r="K12" s="14">
        <v>88.0</v>
      </c>
      <c r="L12" s="14">
        <v>29.0</v>
      </c>
      <c r="M12" s="14">
        <v>117.0</v>
      </c>
      <c r="N12" s="14">
        <v>20.0</v>
      </c>
      <c r="O12" s="14">
        <v>137.0</v>
      </c>
      <c r="P12" s="14">
        <v>163.0</v>
      </c>
      <c r="Q12" s="14">
        <v>300.0</v>
      </c>
      <c r="R12" s="14">
        <v>163.0</v>
      </c>
      <c r="S12" s="14">
        <v>371.0</v>
      </c>
      <c r="T12" s="14">
        <v>71.0</v>
      </c>
      <c r="U12" s="14">
        <v>379.0</v>
      </c>
      <c r="V12" s="14">
        <v>8.0</v>
      </c>
      <c r="W12" s="14">
        <v>384.0</v>
      </c>
      <c r="X12" s="14">
        <v>5.0</v>
      </c>
      <c r="Y12" s="14">
        <v>389.0</v>
      </c>
      <c r="Z12" s="14">
        <v>5.0</v>
      </c>
      <c r="AA12" s="14">
        <v>395.0</v>
      </c>
      <c r="AB12" s="14">
        <v>6.0</v>
      </c>
      <c r="AC12" s="14">
        <v>6.0</v>
      </c>
      <c r="AD12" s="14">
        <v>0.0</v>
      </c>
      <c r="AE12" s="14">
        <v>0.0</v>
      </c>
      <c r="AG12" s="14">
        <v>3.0</v>
      </c>
      <c r="AH12" s="14">
        <v>20.0</v>
      </c>
      <c r="AI12" s="14">
        <v>29.0</v>
      </c>
    </row>
    <row r="13">
      <c r="A13" s="14">
        <v>12.0</v>
      </c>
      <c r="B13" s="14" t="s">
        <v>100</v>
      </c>
      <c r="C13" s="14" t="s">
        <v>20</v>
      </c>
      <c r="D13" s="14">
        <v>11.0</v>
      </c>
      <c r="E13" s="14">
        <v>341.0</v>
      </c>
      <c r="F13" s="14">
        <v>0.0</v>
      </c>
      <c r="G13" s="14">
        <v>341.0</v>
      </c>
      <c r="H13" s="14">
        <v>1.0</v>
      </c>
      <c r="I13" s="14">
        <v>342.0</v>
      </c>
      <c r="J13" s="14">
        <v>1.0</v>
      </c>
      <c r="K13" s="14">
        <v>343.0</v>
      </c>
      <c r="L13" s="14">
        <v>0.0</v>
      </c>
      <c r="M13" s="14">
        <v>343.0</v>
      </c>
      <c r="N13" s="14">
        <v>1.0</v>
      </c>
      <c r="O13" s="14">
        <v>344.0</v>
      </c>
      <c r="P13" s="14">
        <v>0.0</v>
      </c>
      <c r="Q13" s="14">
        <v>344.0</v>
      </c>
      <c r="R13" s="14">
        <v>0.0</v>
      </c>
      <c r="S13" s="14">
        <v>345.0</v>
      </c>
      <c r="T13" s="14">
        <v>1.0</v>
      </c>
      <c r="U13" s="14">
        <v>346.0</v>
      </c>
      <c r="V13" s="14">
        <v>1.0</v>
      </c>
      <c r="W13" s="14">
        <v>346.0</v>
      </c>
      <c r="X13" s="14">
        <v>0.0</v>
      </c>
      <c r="Y13" s="14">
        <v>346.0</v>
      </c>
      <c r="Z13" s="14">
        <v>0.0</v>
      </c>
      <c r="AA13" s="14">
        <v>346.0</v>
      </c>
      <c r="AB13" s="14">
        <v>0.0</v>
      </c>
      <c r="AC13" s="14">
        <v>5.0</v>
      </c>
      <c r="AD13" s="14">
        <v>0.0</v>
      </c>
      <c r="AE13" s="14">
        <v>0.0</v>
      </c>
      <c r="AG13" s="14">
        <v>3.0</v>
      </c>
      <c r="AH13" s="14">
        <v>20.0</v>
      </c>
      <c r="AI13" s="14">
        <v>28.0</v>
      </c>
    </row>
    <row r="14">
      <c r="A14" s="14">
        <v>13.0</v>
      </c>
      <c r="B14" s="14" t="s">
        <v>104</v>
      </c>
      <c r="C14" s="14" t="s">
        <v>47</v>
      </c>
      <c r="D14" s="14">
        <v>1.0</v>
      </c>
      <c r="E14" s="14">
        <v>2078.0</v>
      </c>
      <c r="F14" s="14">
        <v>15.0</v>
      </c>
      <c r="G14" s="14">
        <v>2093.0</v>
      </c>
      <c r="H14" s="14">
        <v>0.0</v>
      </c>
      <c r="I14" s="14">
        <v>2093.0</v>
      </c>
      <c r="J14" s="14">
        <v>7.0</v>
      </c>
      <c r="K14" s="14">
        <v>2100.0</v>
      </c>
      <c r="L14" s="14">
        <v>10.0</v>
      </c>
      <c r="M14" s="14">
        <v>2110.0</v>
      </c>
      <c r="N14" s="14">
        <v>8.0</v>
      </c>
      <c r="O14" s="14">
        <v>2118.0</v>
      </c>
      <c r="P14" s="14">
        <v>5.0</v>
      </c>
      <c r="Q14" s="14">
        <v>2123.0</v>
      </c>
      <c r="R14" s="14">
        <v>5.0</v>
      </c>
      <c r="S14" s="14">
        <v>2131.0</v>
      </c>
      <c r="T14" s="14">
        <v>8.0</v>
      </c>
      <c r="U14" s="14">
        <v>2137.0</v>
      </c>
      <c r="V14" s="14">
        <v>6.0</v>
      </c>
      <c r="W14" s="14">
        <v>2141.0</v>
      </c>
      <c r="X14" s="14">
        <v>4.0</v>
      </c>
      <c r="Y14" s="14">
        <v>2147.0</v>
      </c>
      <c r="Z14" s="14">
        <v>6.0</v>
      </c>
      <c r="AA14" s="14">
        <v>2153.0</v>
      </c>
      <c r="AB14" s="14">
        <v>6.0</v>
      </c>
      <c r="AC14" s="14">
        <v>6.0</v>
      </c>
      <c r="AD14" s="14">
        <v>9.0</v>
      </c>
      <c r="AE14" s="14">
        <v>0.0</v>
      </c>
      <c r="AG14" s="14">
        <v>3.0</v>
      </c>
      <c r="AH14" s="14">
        <v>0.0</v>
      </c>
      <c r="AI14" s="14">
        <v>18.0</v>
      </c>
    </row>
    <row r="15">
      <c r="A15" s="14">
        <v>14.0</v>
      </c>
      <c r="B15" s="14" t="s">
        <v>108</v>
      </c>
      <c r="C15" s="14" t="s">
        <v>47</v>
      </c>
      <c r="D15" s="14">
        <v>2.0</v>
      </c>
      <c r="E15" s="14">
        <v>2104.0</v>
      </c>
      <c r="F15" s="14">
        <v>6.0</v>
      </c>
      <c r="G15" s="14">
        <v>2110.0</v>
      </c>
      <c r="H15" s="14">
        <v>3.0</v>
      </c>
      <c r="I15" s="14">
        <v>2113.0</v>
      </c>
      <c r="J15" s="14">
        <v>2.0</v>
      </c>
      <c r="K15" s="14">
        <v>2115.0</v>
      </c>
      <c r="L15" s="14">
        <v>11.0</v>
      </c>
      <c r="M15" s="14">
        <v>2126.0</v>
      </c>
      <c r="N15" s="14">
        <v>9.0</v>
      </c>
      <c r="O15" s="14">
        <v>2135.0</v>
      </c>
      <c r="P15" s="14">
        <v>6.0</v>
      </c>
      <c r="Q15" s="14">
        <v>2141.0</v>
      </c>
      <c r="R15" s="14">
        <v>6.0</v>
      </c>
      <c r="S15" s="14">
        <v>2146.0</v>
      </c>
      <c r="T15" s="14">
        <v>5.0</v>
      </c>
      <c r="U15" s="14">
        <v>2152.0</v>
      </c>
      <c r="V15" s="14">
        <v>6.0</v>
      </c>
      <c r="W15" s="14">
        <v>2157.0</v>
      </c>
      <c r="X15" s="14">
        <v>5.0</v>
      </c>
      <c r="Y15" s="14">
        <v>2164.0</v>
      </c>
      <c r="Z15" s="14">
        <v>7.0</v>
      </c>
      <c r="AA15" s="14">
        <v>2171.0</v>
      </c>
      <c r="AB15" s="14">
        <v>7.0</v>
      </c>
      <c r="AC15" s="14">
        <v>7.0</v>
      </c>
      <c r="AD15" s="14">
        <v>0.0</v>
      </c>
      <c r="AE15" s="14">
        <v>0.0</v>
      </c>
      <c r="AG15" s="14">
        <v>3.0</v>
      </c>
      <c r="AH15" s="14">
        <v>20.0</v>
      </c>
      <c r="AI15" s="14">
        <v>30.0</v>
      </c>
    </row>
    <row r="16">
      <c r="A16" s="14">
        <v>15.0</v>
      </c>
      <c r="B16" s="14" t="s">
        <v>111</v>
      </c>
      <c r="C16" s="14" t="s">
        <v>47</v>
      </c>
      <c r="D16" s="14">
        <v>3.0</v>
      </c>
      <c r="E16" s="14">
        <v>602.0</v>
      </c>
      <c r="F16" s="14">
        <v>9.0</v>
      </c>
      <c r="G16" s="14">
        <v>611.0</v>
      </c>
      <c r="H16" s="14">
        <v>10.0</v>
      </c>
      <c r="I16" s="14">
        <v>621.0</v>
      </c>
      <c r="J16" s="14">
        <v>10.0</v>
      </c>
      <c r="K16" s="14">
        <v>631.0</v>
      </c>
      <c r="L16" s="14">
        <v>9.0</v>
      </c>
      <c r="M16" s="14">
        <v>640.0</v>
      </c>
      <c r="N16" s="14">
        <v>8.0</v>
      </c>
      <c r="O16" s="14">
        <v>648.0</v>
      </c>
      <c r="P16" s="14">
        <v>10.0</v>
      </c>
      <c r="Q16" s="14">
        <v>658.0</v>
      </c>
      <c r="R16" s="14">
        <v>10.0</v>
      </c>
      <c r="S16" s="14">
        <v>669.0</v>
      </c>
      <c r="T16" s="14">
        <v>11.0</v>
      </c>
      <c r="U16" s="14">
        <v>676.0</v>
      </c>
      <c r="V16" s="14">
        <v>7.0</v>
      </c>
      <c r="W16" s="14">
        <v>682.0</v>
      </c>
      <c r="X16" s="14">
        <v>6.0</v>
      </c>
      <c r="Y16" s="14">
        <v>689.0</v>
      </c>
      <c r="Z16" s="14">
        <v>7.0</v>
      </c>
      <c r="AA16" s="14">
        <v>695.0</v>
      </c>
      <c r="AB16" s="14">
        <v>6.0</v>
      </c>
      <c r="AC16" s="14">
        <v>6.0</v>
      </c>
      <c r="AD16" s="14">
        <v>0.0</v>
      </c>
      <c r="AE16" s="14">
        <v>0.0</v>
      </c>
      <c r="AG16" s="14">
        <v>3.0</v>
      </c>
      <c r="AH16" s="14">
        <v>0.0</v>
      </c>
      <c r="AI16" s="14">
        <v>9.0</v>
      </c>
    </row>
    <row r="17">
      <c r="A17" s="14">
        <v>16.0</v>
      </c>
      <c r="B17" s="14" t="s">
        <v>114</v>
      </c>
      <c r="C17" s="14" t="s">
        <v>47</v>
      </c>
      <c r="D17" s="14">
        <v>4.0</v>
      </c>
      <c r="E17" s="14">
        <v>189.0</v>
      </c>
      <c r="F17" s="14">
        <v>10.0</v>
      </c>
      <c r="G17" s="14">
        <v>199.0</v>
      </c>
      <c r="H17" s="14">
        <v>12.0</v>
      </c>
      <c r="I17" s="14">
        <v>211.0</v>
      </c>
      <c r="J17" s="14">
        <v>15.0</v>
      </c>
      <c r="K17" s="14">
        <v>226.0</v>
      </c>
      <c r="L17" s="14">
        <v>13.0</v>
      </c>
      <c r="M17" s="14">
        <v>239.0</v>
      </c>
      <c r="N17" s="14">
        <v>13.0</v>
      </c>
      <c r="O17" s="14">
        <v>252.0</v>
      </c>
      <c r="P17" s="14">
        <v>21.0</v>
      </c>
      <c r="Q17" s="14">
        <v>273.0</v>
      </c>
      <c r="R17" s="14">
        <v>21.0</v>
      </c>
      <c r="S17" s="14">
        <v>291.0</v>
      </c>
      <c r="T17" s="14">
        <v>18.0</v>
      </c>
      <c r="U17" s="14">
        <v>311.0</v>
      </c>
      <c r="V17" s="14">
        <v>20.0</v>
      </c>
      <c r="W17" s="14">
        <v>331.0</v>
      </c>
      <c r="X17" s="14">
        <v>20.0</v>
      </c>
      <c r="Y17" s="14">
        <v>348.0</v>
      </c>
      <c r="Z17" s="14">
        <v>17.0</v>
      </c>
      <c r="AA17" s="14">
        <v>369.0</v>
      </c>
      <c r="AB17" s="14">
        <v>21.0</v>
      </c>
      <c r="AC17" s="14">
        <v>21.0</v>
      </c>
      <c r="AD17" s="14">
        <v>0.0</v>
      </c>
      <c r="AE17" s="14">
        <v>0.0</v>
      </c>
      <c r="AG17" s="14">
        <v>3.0</v>
      </c>
      <c r="AH17" s="14">
        <v>0.0</v>
      </c>
      <c r="AI17" s="14">
        <v>24.0</v>
      </c>
    </row>
    <row r="18">
      <c r="A18" s="14">
        <v>17.0</v>
      </c>
      <c r="B18" s="14" t="s">
        <v>118</v>
      </c>
      <c r="C18" s="14" t="s">
        <v>47</v>
      </c>
      <c r="D18" s="14">
        <v>5.0</v>
      </c>
      <c r="E18" s="14">
        <v>4425.0</v>
      </c>
      <c r="F18" s="14">
        <v>58.0</v>
      </c>
      <c r="G18" s="14">
        <v>4483.0</v>
      </c>
      <c r="H18" s="14">
        <v>45.0</v>
      </c>
      <c r="I18" s="14">
        <v>4528.0</v>
      </c>
      <c r="J18" s="14">
        <v>39.0</v>
      </c>
      <c r="K18" s="14">
        <v>4567.0</v>
      </c>
      <c r="L18" s="14">
        <v>33.0</v>
      </c>
      <c r="M18" s="14">
        <v>4600.0</v>
      </c>
      <c r="N18" s="14">
        <v>39.0</v>
      </c>
      <c r="O18" s="14">
        <v>4639.0</v>
      </c>
      <c r="P18" s="14">
        <v>34.0</v>
      </c>
      <c r="Q18" s="14">
        <v>4673.0</v>
      </c>
      <c r="R18" s="14">
        <v>34.0</v>
      </c>
      <c r="S18" s="14">
        <v>4706.0</v>
      </c>
      <c r="T18" s="14">
        <v>33.0</v>
      </c>
      <c r="U18" s="14">
        <v>4742.0</v>
      </c>
      <c r="V18" s="14">
        <v>36.0</v>
      </c>
      <c r="W18" s="14">
        <v>4775.0</v>
      </c>
      <c r="X18" s="14">
        <v>33.0</v>
      </c>
      <c r="Y18" s="14">
        <v>4810.0</v>
      </c>
      <c r="Z18" s="14">
        <v>35.0</v>
      </c>
      <c r="AA18" s="14">
        <v>4848.0</v>
      </c>
      <c r="AB18" s="14">
        <v>38.0</v>
      </c>
      <c r="AC18" s="14">
        <v>38.0</v>
      </c>
      <c r="AD18" s="14">
        <v>0.0</v>
      </c>
      <c r="AE18" s="14">
        <v>0.0</v>
      </c>
      <c r="AG18" s="14">
        <v>3.0</v>
      </c>
      <c r="AH18" s="14">
        <v>20.0</v>
      </c>
      <c r="AI18" s="14">
        <v>61.0</v>
      </c>
    </row>
    <row r="19">
      <c r="A19" s="14">
        <v>18.0</v>
      </c>
      <c r="B19" s="14" t="s">
        <v>121</v>
      </c>
      <c r="C19" s="14" t="s">
        <v>47</v>
      </c>
      <c r="D19" s="14">
        <v>6.0</v>
      </c>
      <c r="E19" s="14">
        <v>3385.0</v>
      </c>
      <c r="F19" s="14">
        <v>34.0</v>
      </c>
      <c r="G19" s="14">
        <v>3419.0</v>
      </c>
      <c r="H19" s="14">
        <v>35.0</v>
      </c>
      <c r="I19" s="14">
        <v>3454.0</v>
      </c>
      <c r="J19" s="14">
        <v>23.0</v>
      </c>
      <c r="K19" s="14">
        <v>3477.0</v>
      </c>
      <c r="L19" s="14">
        <v>23.0</v>
      </c>
      <c r="M19" s="14">
        <v>3500.0</v>
      </c>
      <c r="N19" s="14">
        <v>20.0</v>
      </c>
      <c r="O19" s="14">
        <v>3520.0</v>
      </c>
      <c r="P19" s="14">
        <v>26.0</v>
      </c>
      <c r="Q19" s="14">
        <v>3546.0</v>
      </c>
      <c r="R19" s="14">
        <v>26.0</v>
      </c>
      <c r="S19" s="14">
        <v>3570.0</v>
      </c>
      <c r="T19" s="14">
        <v>24.0</v>
      </c>
      <c r="U19" s="14">
        <v>3592.0</v>
      </c>
      <c r="V19" s="14">
        <v>22.0</v>
      </c>
      <c r="W19" s="14">
        <v>3612.0</v>
      </c>
      <c r="X19" s="14">
        <v>20.0</v>
      </c>
      <c r="Y19" s="14">
        <v>3634.0</v>
      </c>
      <c r="Z19" s="14">
        <v>22.0</v>
      </c>
      <c r="AA19" s="14">
        <v>3656.0</v>
      </c>
      <c r="AB19" s="14">
        <v>22.0</v>
      </c>
      <c r="AC19" s="14">
        <v>22.0</v>
      </c>
      <c r="AD19" s="14">
        <v>25.0</v>
      </c>
      <c r="AE19" s="14">
        <v>0.0</v>
      </c>
      <c r="AG19" s="14">
        <v>3.0</v>
      </c>
      <c r="AH19" s="14">
        <v>0.0</v>
      </c>
      <c r="AI19" s="14">
        <v>50.0</v>
      </c>
    </row>
    <row r="20">
      <c r="A20" s="14">
        <v>19.0</v>
      </c>
      <c r="B20" s="14" t="s">
        <v>123</v>
      </c>
      <c r="C20" s="14" t="s">
        <v>47</v>
      </c>
      <c r="D20" s="14">
        <v>7.0</v>
      </c>
      <c r="E20" s="14">
        <v>2289.0</v>
      </c>
      <c r="F20" s="14">
        <v>16.0</v>
      </c>
      <c r="G20" s="14">
        <v>2305.0</v>
      </c>
      <c r="H20" s="14">
        <v>17.0</v>
      </c>
      <c r="I20" s="14">
        <v>2322.0</v>
      </c>
      <c r="J20" s="14">
        <v>26.0</v>
      </c>
      <c r="K20" s="14">
        <v>2348.0</v>
      </c>
      <c r="L20" s="14">
        <v>16.0</v>
      </c>
      <c r="M20" s="14">
        <v>2364.0</v>
      </c>
      <c r="N20" s="14">
        <v>17.0</v>
      </c>
      <c r="O20" s="14">
        <v>2381.0</v>
      </c>
      <c r="P20" s="14">
        <v>16.0</v>
      </c>
      <c r="Q20" s="14">
        <v>2397.0</v>
      </c>
      <c r="R20" s="14">
        <v>16.0</v>
      </c>
      <c r="S20" s="14">
        <v>2414.0</v>
      </c>
      <c r="T20" s="14">
        <v>17.0</v>
      </c>
      <c r="U20" s="14">
        <v>2428.0</v>
      </c>
      <c r="V20" s="14">
        <v>14.0</v>
      </c>
      <c r="W20" s="14">
        <v>2443.0</v>
      </c>
      <c r="X20" s="14">
        <v>15.0</v>
      </c>
      <c r="Y20" s="14">
        <v>2455.0</v>
      </c>
      <c r="Z20" s="14">
        <v>12.0</v>
      </c>
      <c r="AA20" s="14">
        <v>2469.0</v>
      </c>
      <c r="AB20" s="14">
        <v>14.0</v>
      </c>
      <c r="AC20" s="14">
        <v>14.0</v>
      </c>
      <c r="AD20" s="14">
        <v>0.0</v>
      </c>
      <c r="AE20" s="14">
        <v>0.0</v>
      </c>
      <c r="AG20" s="14">
        <v>3.0</v>
      </c>
      <c r="AH20" s="14">
        <v>0.0</v>
      </c>
      <c r="AI20" s="14">
        <v>17.0</v>
      </c>
    </row>
    <row r="21" ht="15.75" customHeight="1">
      <c r="A21" s="14">
        <v>20.0</v>
      </c>
      <c r="B21" s="14" t="s">
        <v>127</v>
      </c>
      <c r="C21" s="14" t="s">
        <v>47</v>
      </c>
      <c r="D21" s="14">
        <v>8.0</v>
      </c>
      <c r="E21" s="14">
        <v>6347.0</v>
      </c>
      <c r="F21" s="14">
        <v>14.0</v>
      </c>
      <c r="G21" s="14">
        <v>6361.0</v>
      </c>
      <c r="H21" s="14">
        <v>17.0</v>
      </c>
      <c r="I21" s="14">
        <v>6378.0</v>
      </c>
      <c r="J21" s="14">
        <v>18.0</v>
      </c>
      <c r="K21" s="14">
        <v>6396.0</v>
      </c>
      <c r="L21" s="14">
        <v>15.0</v>
      </c>
      <c r="M21" s="14">
        <v>6411.0</v>
      </c>
      <c r="N21" s="14">
        <v>14.0</v>
      </c>
      <c r="O21" s="14">
        <v>6425.0</v>
      </c>
      <c r="P21" s="14">
        <v>14.0</v>
      </c>
      <c r="Q21" s="14">
        <v>6439.0</v>
      </c>
      <c r="R21" s="14">
        <v>14.0</v>
      </c>
      <c r="S21" s="14">
        <v>6456.0</v>
      </c>
      <c r="T21" s="14">
        <v>17.0</v>
      </c>
      <c r="U21" s="14">
        <v>6470.0</v>
      </c>
      <c r="V21" s="14">
        <v>14.0</v>
      </c>
      <c r="W21" s="14">
        <v>6484.0</v>
      </c>
      <c r="X21" s="14">
        <v>14.0</v>
      </c>
      <c r="Y21" s="14">
        <v>6497.0</v>
      </c>
      <c r="Z21" s="14">
        <v>13.0</v>
      </c>
      <c r="AA21" s="14">
        <v>6510.0</v>
      </c>
      <c r="AB21" s="14">
        <v>13.0</v>
      </c>
      <c r="AC21" s="14">
        <v>13.0</v>
      </c>
      <c r="AD21" s="14">
        <v>16.0</v>
      </c>
      <c r="AE21" s="14">
        <v>0.0</v>
      </c>
      <c r="AG21" s="14">
        <v>3.0</v>
      </c>
      <c r="AH21" s="14">
        <v>0.0</v>
      </c>
      <c r="AI21" s="14">
        <v>32.0</v>
      </c>
    </row>
    <row r="22" ht="15.75" customHeight="1">
      <c r="A22" s="14">
        <v>21.0</v>
      </c>
      <c r="B22" s="14" t="s">
        <v>130</v>
      </c>
      <c r="C22" s="14" t="s">
        <v>47</v>
      </c>
      <c r="D22" s="14">
        <v>9.0</v>
      </c>
      <c r="E22" s="14">
        <v>5905.0</v>
      </c>
      <c r="F22" s="14">
        <v>23.0</v>
      </c>
      <c r="G22" s="14">
        <v>5928.0</v>
      </c>
      <c r="H22" s="14">
        <v>25.0</v>
      </c>
      <c r="I22" s="14">
        <v>5953.0</v>
      </c>
      <c r="J22" s="14">
        <v>21.0</v>
      </c>
      <c r="K22" s="14">
        <v>5974.0</v>
      </c>
      <c r="L22" s="14">
        <v>16.0</v>
      </c>
      <c r="M22" s="14">
        <v>5990.0</v>
      </c>
      <c r="N22" s="14">
        <v>14.0</v>
      </c>
      <c r="O22" s="14">
        <v>6004.0</v>
      </c>
      <c r="P22" s="14">
        <v>14.0</v>
      </c>
      <c r="Q22" s="14">
        <v>6018.0</v>
      </c>
      <c r="R22" s="14">
        <v>14.0</v>
      </c>
      <c r="S22" s="14">
        <v>6045.0</v>
      </c>
      <c r="T22" s="14">
        <v>27.0</v>
      </c>
      <c r="U22" s="14">
        <v>6052.0</v>
      </c>
      <c r="V22" s="14">
        <v>7.0</v>
      </c>
      <c r="W22" s="14">
        <v>6058.0</v>
      </c>
      <c r="X22" s="14">
        <v>6.0</v>
      </c>
      <c r="Y22" s="14">
        <v>6062.0</v>
      </c>
      <c r="Z22" s="14">
        <v>4.0</v>
      </c>
      <c r="AA22" s="14">
        <v>6066.0</v>
      </c>
      <c r="AB22" s="14">
        <v>4.0</v>
      </c>
      <c r="AC22" s="14">
        <v>5.0</v>
      </c>
      <c r="AD22" s="14">
        <v>0.0</v>
      </c>
      <c r="AE22" s="14">
        <v>0.0</v>
      </c>
      <c r="AG22" s="14">
        <v>3.0</v>
      </c>
      <c r="AH22" s="14">
        <v>0.0</v>
      </c>
      <c r="AI22" s="14">
        <v>8.0</v>
      </c>
    </row>
    <row r="23" ht="15.75" customHeight="1">
      <c r="A23" s="14">
        <v>22.0</v>
      </c>
      <c r="B23" s="14" t="s">
        <v>133</v>
      </c>
      <c r="C23" s="14" t="s">
        <v>47</v>
      </c>
      <c r="D23" s="14">
        <v>11.0</v>
      </c>
      <c r="E23" s="14">
        <v>2676.0</v>
      </c>
      <c r="F23" s="14">
        <v>17.0</v>
      </c>
      <c r="G23" s="14">
        <v>2693.0</v>
      </c>
      <c r="H23" s="14">
        <v>18.0</v>
      </c>
      <c r="I23" s="14">
        <v>2711.0</v>
      </c>
      <c r="J23" s="14">
        <v>15.0</v>
      </c>
      <c r="K23" s="14">
        <v>2726.0</v>
      </c>
      <c r="L23" s="14">
        <v>19.0</v>
      </c>
      <c r="M23" s="14">
        <v>2745.0</v>
      </c>
      <c r="N23" s="14">
        <v>20.0</v>
      </c>
      <c r="O23" s="14">
        <v>2765.0</v>
      </c>
      <c r="P23" s="14">
        <v>17.0</v>
      </c>
      <c r="Q23" s="14">
        <v>2782.0</v>
      </c>
      <c r="R23" s="14">
        <v>17.0</v>
      </c>
      <c r="S23" s="14">
        <v>2795.0</v>
      </c>
      <c r="T23" s="14">
        <v>13.0</v>
      </c>
      <c r="U23" s="14">
        <v>2810.0</v>
      </c>
      <c r="V23" s="14">
        <v>15.0</v>
      </c>
      <c r="W23" s="14">
        <v>2823.0</v>
      </c>
      <c r="X23" s="14">
        <v>13.0</v>
      </c>
      <c r="Y23" s="14">
        <v>2837.0</v>
      </c>
      <c r="Z23" s="14">
        <v>14.0</v>
      </c>
      <c r="AA23" s="14">
        <v>2852.0</v>
      </c>
      <c r="AB23" s="14">
        <v>15.0</v>
      </c>
      <c r="AC23" s="14">
        <v>15.0</v>
      </c>
      <c r="AD23" s="14">
        <v>17.0</v>
      </c>
      <c r="AE23" s="14">
        <v>0.0</v>
      </c>
      <c r="AG23" s="14">
        <v>3.0</v>
      </c>
      <c r="AH23" s="14">
        <v>0.0</v>
      </c>
      <c r="AI23" s="14">
        <v>35.0</v>
      </c>
    </row>
    <row r="24" ht="15.75" customHeight="1">
      <c r="A24" s="14">
        <v>23.0</v>
      </c>
      <c r="B24" s="14" t="s">
        <v>135</v>
      </c>
      <c r="C24" s="14" t="s">
        <v>47</v>
      </c>
      <c r="D24" s="14">
        <v>10.0</v>
      </c>
      <c r="E24" s="14">
        <v>110.0</v>
      </c>
      <c r="F24" s="14">
        <v>3.0</v>
      </c>
      <c r="G24" s="14">
        <v>113.0</v>
      </c>
      <c r="H24" s="14">
        <v>36.0</v>
      </c>
      <c r="I24" s="14">
        <v>149.0</v>
      </c>
      <c r="J24" s="14">
        <v>63.0</v>
      </c>
      <c r="K24" s="14">
        <v>212.0</v>
      </c>
      <c r="L24" s="14">
        <v>2.0</v>
      </c>
      <c r="M24" s="14">
        <v>214.0</v>
      </c>
      <c r="N24" s="14">
        <v>3.0</v>
      </c>
      <c r="O24" s="14">
        <v>217.0</v>
      </c>
      <c r="P24" s="14">
        <v>55.0</v>
      </c>
      <c r="Q24" s="14">
        <v>272.0</v>
      </c>
      <c r="R24" s="14">
        <v>55.0</v>
      </c>
      <c r="S24" s="14">
        <v>276.0</v>
      </c>
      <c r="T24" s="14">
        <v>5.0</v>
      </c>
      <c r="U24" s="14">
        <v>278.0</v>
      </c>
      <c r="V24" s="14">
        <v>5.0</v>
      </c>
      <c r="W24" s="14">
        <v>284.0</v>
      </c>
      <c r="X24" s="14">
        <v>6.0</v>
      </c>
      <c r="Y24" s="14">
        <v>288.0</v>
      </c>
      <c r="Z24" s="14">
        <v>4.0</v>
      </c>
      <c r="AA24" s="14">
        <v>292.0</v>
      </c>
      <c r="AB24" s="14">
        <v>4.0</v>
      </c>
      <c r="AC24" s="14">
        <v>5.0</v>
      </c>
      <c r="AD24" s="14">
        <v>0.0</v>
      </c>
      <c r="AE24" s="14">
        <v>0.0</v>
      </c>
      <c r="AG24" s="14">
        <v>3.0</v>
      </c>
      <c r="AH24" s="14">
        <v>0.0</v>
      </c>
      <c r="AI24" s="14">
        <v>8.0</v>
      </c>
    </row>
    <row r="25" ht="15.75" customHeight="1">
      <c r="A25" s="14">
        <v>24.0</v>
      </c>
      <c r="B25" s="14" t="s">
        <v>140</v>
      </c>
      <c r="C25" s="14" t="s">
        <v>47</v>
      </c>
      <c r="D25" s="14">
        <v>12.0</v>
      </c>
      <c r="E25" s="14">
        <v>2213.0</v>
      </c>
      <c r="F25" s="14">
        <v>8.0</v>
      </c>
      <c r="G25" s="14">
        <v>2221.0</v>
      </c>
      <c r="H25" s="14">
        <v>8.0</v>
      </c>
      <c r="I25" s="14">
        <v>2229.0</v>
      </c>
      <c r="J25" s="14">
        <v>10.0</v>
      </c>
      <c r="K25" s="14">
        <v>2239.0</v>
      </c>
      <c r="L25" s="14">
        <v>7.0</v>
      </c>
      <c r="M25" s="14">
        <v>2246.0</v>
      </c>
      <c r="N25" s="14">
        <v>9.0</v>
      </c>
      <c r="O25" s="14">
        <v>2255.0</v>
      </c>
      <c r="P25" s="14">
        <v>6.0</v>
      </c>
      <c r="Q25" s="14">
        <v>2261.0</v>
      </c>
      <c r="R25" s="14">
        <v>6.0</v>
      </c>
      <c r="S25" s="14">
        <v>2267.0</v>
      </c>
      <c r="T25" s="14">
        <v>6.0</v>
      </c>
      <c r="U25" s="14">
        <v>2273.0</v>
      </c>
      <c r="V25" s="14">
        <v>6.0</v>
      </c>
      <c r="W25" s="14">
        <v>2278.0</v>
      </c>
      <c r="X25" s="14">
        <v>5.0</v>
      </c>
      <c r="Y25" s="14">
        <v>2285.0</v>
      </c>
      <c r="Z25" s="14">
        <v>7.0</v>
      </c>
      <c r="AA25" s="14">
        <v>2292.0</v>
      </c>
      <c r="AB25" s="14">
        <v>7.0</v>
      </c>
      <c r="AC25" s="14">
        <v>7.0</v>
      </c>
      <c r="AD25" s="14">
        <v>10.0</v>
      </c>
      <c r="AE25" s="14">
        <v>0.0</v>
      </c>
      <c r="AG25" s="14">
        <v>3.0</v>
      </c>
      <c r="AH25" s="14">
        <v>0.0</v>
      </c>
      <c r="AI25" s="14">
        <v>20.0</v>
      </c>
    </row>
    <row r="26" ht="15.75" customHeight="1">
      <c r="A26" s="14">
        <v>25.0</v>
      </c>
      <c r="B26" s="14" t="s">
        <v>145</v>
      </c>
      <c r="C26" s="14" t="s">
        <v>47</v>
      </c>
      <c r="D26" s="14" t="s">
        <v>146</v>
      </c>
      <c r="E26" s="14">
        <v>198.0</v>
      </c>
      <c r="F26" s="14">
        <v>6.0</v>
      </c>
      <c r="G26" s="14">
        <v>204.0</v>
      </c>
      <c r="H26" s="14">
        <v>7.0</v>
      </c>
      <c r="I26" s="14">
        <v>211.0</v>
      </c>
      <c r="J26" s="14">
        <v>6.0</v>
      </c>
      <c r="K26" s="14">
        <v>217.0</v>
      </c>
      <c r="L26" s="14">
        <v>6.0</v>
      </c>
      <c r="M26" s="14">
        <v>223.0</v>
      </c>
      <c r="N26" s="14">
        <v>6.0</v>
      </c>
      <c r="O26" s="14">
        <v>229.0</v>
      </c>
      <c r="P26" s="14">
        <v>6.0</v>
      </c>
      <c r="Q26" s="14">
        <v>235.0</v>
      </c>
      <c r="R26" s="14">
        <v>6.0</v>
      </c>
      <c r="S26" s="14">
        <v>239.0</v>
      </c>
      <c r="T26" s="14">
        <v>4.0</v>
      </c>
      <c r="U26" s="14">
        <v>244.0</v>
      </c>
      <c r="V26" s="14">
        <v>5.0</v>
      </c>
      <c r="W26" s="14">
        <v>250.0</v>
      </c>
      <c r="X26" s="14">
        <v>6.0</v>
      </c>
      <c r="Y26" s="14">
        <v>256.0</v>
      </c>
      <c r="Z26" s="14">
        <v>6.0</v>
      </c>
      <c r="AA26" s="14">
        <v>262.0</v>
      </c>
      <c r="AB26" s="14">
        <v>6.0</v>
      </c>
      <c r="AC26" s="14">
        <v>6.0</v>
      </c>
      <c r="AD26" s="14">
        <v>0.0</v>
      </c>
      <c r="AE26" s="14">
        <v>0.0</v>
      </c>
      <c r="AG26" s="14">
        <v>3.0</v>
      </c>
      <c r="AH26" s="14">
        <v>0.0</v>
      </c>
      <c r="AI26" s="14">
        <v>9.0</v>
      </c>
    </row>
    <row r="27" ht="15.75" customHeight="1">
      <c r="A27" s="14">
        <v>26.0</v>
      </c>
      <c r="B27" s="14" t="s">
        <v>154</v>
      </c>
      <c r="C27" s="14" t="s">
        <v>47</v>
      </c>
      <c r="D27" s="14">
        <v>13.0</v>
      </c>
      <c r="E27" s="14">
        <v>90.0</v>
      </c>
      <c r="F27" s="14">
        <v>13.0</v>
      </c>
      <c r="G27" s="14">
        <v>103.0</v>
      </c>
      <c r="H27" s="14">
        <v>12.0</v>
      </c>
      <c r="I27" s="14">
        <v>115.0</v>
      </c>
      <c r="J27" s="14">
        <v>16.0</v>
      </c>
      <c r="K27" s="14">
        <v>131.0</v>
      </c>
      <c r="L27" s="14">
        <v>6.0</v>
      </c>
      <c r="M27" s="14">
        <v>137.0</v>
      </c>
      <c r="N27" s="14">
        <v>5.0</v>
      </c>
      <c r="O27" s="14">
        <v>142.0</v>
      </c>
      <c r="P27" s="14">
        <v>5.0</v>
      </c>
      <c r="Q27" s="14">
        <v>147.0</v>
      </c>
      <c r="R27" s="14">
        <v>5.0</v>
      </c>
      <c r="S27" s="14">
        <v>152.0</v>
      </c>
      <c r="T27" s="14">
        <v>5.0</v>
      </c>
      <c r="U27" s="14">
        <v>157.0</v>
      </c>
      <c r="V27" s="14">
        <v>5.0</v>
      </c>
      <c r="W27" s="14">
        <v>165.0</v>
      </c>
      <c r="X27" s="14">
        <v>8.0</v>
      </c>
      <c r="Y27" s="14">
        <v>173.0</v>
      </c>
      <c r="Z27" s="14">
        <v>8.0</v>
      </c>
      <c r="AA27" s="14">
        <v>180.0</v>
      </c>
      <c r="AB27" s="14">
        <v>7.0</v>
      </c>
      <c r="AC27" s="14">
        <v>7.0</v>
      </c>
      <c r="AD27" s="14">
        <v>0.0</v>
      </c>
      <c r="AE27" s="14">
        <v>0.0</v>
      </c>
      <c r="AG27" s="14">
        <v>3.0</v>
      </c>
      <c r="AH27" s="14">
        <v>0.0</v>
      </c>
      <c r="AI27" s="14">
        <v>10.0</v>
      </c>
    </row>
    <row r="28" ht="15.75" customHeight="1">
      <c r="A28" s="14">
        <v>27.0</v>
      </c>
      <c r="B28" s="14" t="s">
        <v>166</v>
      </c>
      <c r="C28" s="14" t="s">
        <v>47</v>
      </c>
      <c r="D28" s="14">
        <v>15.0</v>
      </c>
      <c r="E28" s="14">
        <v>886.0</v>
      </c>
      <c r="F28" s="14">
        <v>12.0</v>
      </c>
      <c r="G28" s="14">
        <v>898.0</v>
      </c>
      <c r="H28" s="14">
        <v>18.0</v>
      </c>
      <c r="I28" s="14">
        <v>916.0</v>
      </c>
      <c r="J28" s="14">
        <v>13.0</v>
      </c>
      <c r="K28" s="14">
        <v>929.0</v>
      </c>
      <c r="L28" s="14">
        <v>18.0</v>
      </c>
      <c r="M28" s="14">
        <v>947.0</v>
      </c>
      <c r="N28" s="14">
        <v>18.0</v>
      </c>
      <c r="O28" s="14">
        <v>965.0</v>
      </c>
      <c r="P28" s="14">
        <v>20.0</v>
      </c>
      <c r="Q28" s="14">
        <v>985.0</v>
      </c>
      <c r="R28" s="14">
        <v>20.0</v>
      </c>
      <c r="S28" s="14">
        <v>1006.0</v>
      </c>
      <c r="T28" s="14">
        <v>21.0</v>
      </c>
      <c r="U28" s="14">
        <v>1028.0</v>
      </c>
      <c r="V28" s="14">
        <v>22.0</v>
      </c>
      <c r="W28" s="14">
        <v>1052.0</v>
      </c>
      <c r="X28" s="14">
        <v>24.0</v>
      </c>
      <c r="Y28" s="14">
        <v>1061.0</v>
      </c>
      <c r="Z28" s="14">
        <v>9.0</v>
      </c>
      <c r="AA28" s="14">
        <v>1105.0</v>
      </c>
      <c r="AB28" s="14">
        <v>44.0</v>
      </c>
      <c r="AC28" s="14">
        <v>44.0</v>
      </c>
      <c r="AD28" s="14">
        <v>0.0</v>
      </c>
      <c r="AE28" s="14">
        <v>0.0</v>
      </c>
      <c r="AG28" s="14">
        <v>3.0</v>
      </c>
      <c r="AH28" s="14">
        <v>0.0</v>
      </c>
      <c r="AI28" s="14">
        <v>47.0</v>
      </c>
    </row>
    <row r="29" ht="15.75" customHeight="1">
      <c r="A29" s="14">
        <v>28.0</v>
      </c>
      <c r="B29" s="14" t="s">
        <v>179</v>
      </c>
      <c r="C29" s="14" t="s">
        <v>47</v>
      </c>
      <c r="D29" s="14">
        <v>16.0</v>
      </c>
      <c r="E29" s="14">
        <v>322.0</v>
      </c>
      <c r="F29" s="14">
        <v>13.0</v>
      </c>
      <c r="G29" s="14">
        <v>335.0</v>
      </c>
      <c r="H29" s="14">
        <v>21.0</v>
      </c>
      <c r="I29" s="14">
        <v>356.0</v>
      </c>
      <c r="J29" s="14">
        <v>16.0</v>
      </c>
      <c r="K29" s="14">
        <v>372.0</v>
      </c>
      <c r="L29" s="14">
        <v>17.0</v>
      </c>
      <c r="M29" s="14">
        <v>389.0</v>
      </c>
      <c r="N29" s="14">
        <v>15.0</v>
      </c>
      <c r="O29" s="14">
        <v>404.0</v>
      </c>
      <c r="P29" s="14">
        <v>10.0</v>
      </c>
      <c r="Q29" s="14">
        <v>414.0</v>
      </c>
      <c r="R29" s="14">
        <v>10.0</v>
      </c>
      <c r="S29" s="14">
        <v>422.0</v>
      </c>
      <c r="T29" s="14">
        <v>8.0</v>
      </c>
      <c r="U29" s="14">
        <v>428.0</v>
      </c>
      <c r="V29" s="14">
        <v>6.0</v>
      </c>
      <c r="W29" s="14">
        <v>435.0</v>
      </c>
      <c r="X29" s="14">
        <v>7.0</v>
      </c>
      <c r="Y29" s="14">
        <v>442.0</v>
      </c>
      <c r="Z29" s="14">
        <v>7.0</v>
      </c>
      <c r="AA29" s="14">
        <v>452.0</v>
      </c>
      <c r="AB29" s="14">
        <v>10.0</v>
      </c>
      <c r="AC29" s="14">
        <v>10.0</v>
      </c>
      <c r="AD29" s="14">
        <v>0.0</v>
      </c>
      <c r="AE29" s="14">
        <v>0.0</v>
      </c>
      <c r="AG29" s="14">
        <v>3.0</v>
      </c>
      <c r="AH29" s="14">
        <v>20.0</v>
      </c>
      <c r="AI29" s="14">
        <v>33.0</v>
      </c>
    </row>
    <row r="30" ht="15.75" customHeight="1">
      <c r="A30" s="14">
        <v>29.0</v>
      </c>
      <c r="B30" s="14" t="s">
        <v>172</v>
      </c>
      <c r="C30" s="14" t="s">
        <v>47</v>
      </c>
      <c r="D30" s="14">
        <v>17.0</v>
      </c>
      <c r="E30" s="14">
        <v>16.0</v>
      </c>
      <c r="F30" s="14">
        <v>0.0</v>
      </c>
      <c r="G30" s="14">
        <v>16.0</v>
      </c>
      <c r="H30" s="14">
        <v>0.0</v>
      </c>
      <c r="I30" s="14">
        <v>16.0</v>
      </c>
      <c r="J30" s="14">
        <v>2.0</v>
      </c>
      <c r="K30" s="14">
        <v>18.0</v>
      </c>
      <c r="L30" s="14">
        <v>3.0</v>
      </c>
      <c r="M30" s="14">
        <v>21.0</v>
      </c>
      <c r="N30" s="14">
        <v>1.0</v>
      </c>
      <c r="O30" s="14">
        <v>22.0</v>
      </c>
      <c r="P30" s="14">
        <v>0.0</v>
      </c>
      <c r="Q30" s="14">
        <v>22.0</v>
      </c>
      <c r="R30" s="14">
        <v>0.0</v>
      </c>
      <c r="S30" s="14">
        <v>23.0</v>
      </c>
      <c r="T30" s="14">
        <v>1.0</v>
      </c>
      <c r="U30" s="14">
        <v>23.0</v>
      </c>
      <c r="V30" s="14">
        <v>0.0</v>
      </c>
      <c r="W30" s="14">
        <v>23.0</v>
      </c>
      <c r="X30" s="14">
        <v>0.0</v>
      </c>
      <c r="Y30" s="14">
        <v>24.0</v>
      </c>
      <c r="Z30" s="14">
        <v>1.0</v>
      </c>
      <c r="AA30" s="14">
        <v>24.0</v>
      </c>
      <c r="AB30" s="14">
        <v>0.0</v>
      </c>
      <c r="AC30" s="14">
        <v>5.0</v>
      </c>
      <c r="AD30" s="14">
        <v>0.0</v>
      </c>
      <c r="AE30" s="14">
        <v>0.0</v>
      </c>
      <c r="AG30" s="14">
        <v>3.0</v>
      </c>
      <c r="AH30" s="14">
        <v>0.0</v>
      </c>
      <c r="AI30" s="14">
        <v>8.0</v>
      </c>
    </row>
    <row r="31" ht="15.75" customHeight="1">
      <c r="A31" s="14">
        <v>30.0</v>
      </c>
      <c r="B31" s="14" t="s">
        <v>176</v>
      </c>
      <c r="C31" s="14" t="s">
        <v>47</v>
      </c>
      <c r="D31" s="14">
        <v>18.0</v>
      </c>
      <c r="E31" s="14">
        <v>632.0</v>
      </c>
      <c r="F31" s="14">
        <v>18.0</v>
      </c>
      <c r="G31" s="14">
        <v>650.0</v>
      </c>
      <c r="H31" s="14">
        <v>22.0</v>
      </c>
      <c r="I31" s="14">
        <v>672.0</v>
      </c>
      <c r="J31" s="14">
        <v>22.0</v>
      </c>
      <c r="K31" s="14">
        <v>694.0</v>
      </c>
      <c r="L31" s="14">
        <v>17.0</v>
      </c>
      <c r="M31" s="14">
        <v>711.0</v>
      </c>
      <c r="N31" s="14">
        <v>15.0</v>
      </c>
      <c r="O31" s="14">
        <v>726.0</v>
      </c>
      <c r="P31" s="14">
        <v>16.0</v>
      </c>
      <c r="Q31" s="14">
        <v>742.0</v>
      </c>
      <c r="R31" s="14">
        <v>16.0</v>
      </c>
      <c r="S31" s="14">
        <v>753.0</v>
      </c>
      <c r="T31" s="14">
        <v>11.0</v>
      </c>
      <c r="U31" s="14">
        <v>765.0</v>
      </c>
      <c r="V31" s="14">
        <v>12.0</v>
      </c>
      <c r="W31" s="14">
        <v>777.0</v>
      </c>
      <c r="X31" s="14">
        <v>12.0</v>
      </c>
      <c r="Y31" s="14">
        <v>790.0</v>
      </c>
      <c r="Z31" s="14">
        <v>13.0</v>
      </c>
      <c r="AA31" s="14">
        <v>803.0</v>
      </c>
      <c r="AB31" s="14">
        <v>13.0</v>
      </c>
      <c r="AC31" s="14">
        <v>13.0</v>
      </c>
      <c r="AD31" s="14">
        <v>0.0</v>
      </c>
      <c r="AE31" s="14">
        <v>0.0</v>
      </c>
      <c r="AG31" s="14">
        <v>3.0</v>
      </c>
      <c r="AH31" s="14">
        <v>0.0</v>
      </c>
      <c r="AI31" s="14">
        <v>16.0</v>
      </c>
    </row>
    <row r="32" ht="15.75" customHeight="1">
      <c r="A32" s="14">
        <v>31.0</v>
      </c>
      <c r="B32" s="14" t="s">
        <v>185</v>
      </c>
      <c r="C32" s="14" t="s">
        <v>47</v>
      </c>
      <c r="D32" s="14">
        <v>21.0</v>
      </c>
      <c r="E32" s="14">
        <v>0.0</v>
      </c>
      <c r="F32" s="14">
        <v>0.0</v>
      </c>
      <c r="G32" s="14">
        <v>0.0</v>
      </c>
      <c r="H32" s="14">
        <v>5.0</v>
      </c>
      <c r="I32" s="14">
        <v>5.0</v>
      </c>
      <c r="J32" s="14">
        <v>3.0</v>
      </c>
      <c r="K32" s="14">
        <v>3.0</v>
      </c>
      <c r="L32" s="14">
        <v>4.0</v>
      </c>
      <c r="M32" s="14">
        <v>7.0</v>
      </c>
      <c r="N32" s="14">
        <v>3.0</v>
      </c>
      <c r="O32" s="14">
        <v>10.0</v>
      </c>
      <c r="P32" s="14">
        <v>9.0</v>
      </c>
      <c r="Q32" s="14">
        <v>19.0</v>
      </c>
      <c r="R32" s="14">
        <v>9.0</v>
      </c>
      <c r="S32" s="14">
        <v>28.0</v>
      </c>
      <c r="T32" s="14">
        <v>9.0</v>
      </c>
      <c r="U32" s="14">
        <v>36.0</v>
      </c>
      <c r="V32" s="14">
        <v>8.0</v>
      </c>
      <c r="W32" s="14">
        <v>47.0</v>
      </c>
      <c r="X32" s="14">
        <v>11.0</v>
      </c>
      <c r="Y32" s="14">
        <v>60.0</v>
      </c>
      <c r="Z32" s="14">
        <v>13.0</v>
      </c>
      <c r="AA32" s="14">
        <v>72.0</v>
      </c>
      <c r="AB32" s="14">
        <v>12.0</v>
      </c>
      <c r="AC32" s="14">
        <v>12.0</v>
      </c>
      <c r="AD32" s="14">
        <v>0.0</v>
      </c>
      <c r="AE32" s="14">
        <v>0.0</v>
      </c>
      <c r="AG32" s="14">
        <v>3.0</v>
      </c>
      <c r="AH32" s="14">
        <v>0.0</v>
      </c>
      <c r="AI32" s="14">
        <v>15.0</v>
      </c>
    </row>
    <row r="33" ht="15.75" customHeight="1">
      <c r="A33" s="14">
        <v>32.0</v>
      </c>
      <c r="B33" s="14" t="s">
        <v>188</v>
      </c>
      <c r="C33" s="14" t="s">
        <v>47</v>
      </c>
      <c r="D33" s="14">
        <v>29.0</v>
      </c>
      <c r="F33" s="14">
        <v>0.0</v>
      </c>
      <c r="H33" s="14">
        <v>0.0</v>
      </c>
      <c r="I33" s="14">
        <v>0.0</v>
      </c>
      <c r="J33" s="14">
        <v>19.0</v>
      </c>
      <c r="K33" s="14">
        <v>19.0</v>
      </c>
      <c r="L33" s="14">
        <v>9.0</v>
      </c>
      <c r="M33" s="14">
        <v>28.0</v>
      </c>
      <c r="N33" s="14">
        <v>4.0</v>
      </c>
      <c r="O33" s="14">
        <v>32.0</v>
      </c>
      <c r="P33" s="14">
        <v>5.0</v>
      </c>
      <c r="Q33" s="14">
        <v>37.0</v>
      </c>
      <c r="R33" s="14">
        <v>5.0</v>
      </c>
      <c r="S33" s="14">
        <v>45.0</v>
      </c>
      <c r="T33" s="14">
        <v>8.0</v>
      </c>
      <c r="U33" s="14">
        <v>52.0</v>
      </c>
      <c r="V33" s="14">
        <v>7.0</v>
      </c>
      <c r="W33" s="14">
        <v>66.0</v>
      </c>
      <c r="X33" s="14">
        <v>14.0</v>
      </c>
      <c r="Y33" s="14">
        <v>78.0</v>
      </c>
      <c r="Z33" s="14">
        <v>12.0</v>
      </c>
      <c r="AA33" s="14">
        <v>88.0</v>
      </c>
      <c r="AB33" s="14">
        <v>10.0</v>
      </c>
      <c r="AC33" s="14">
        <v>10.0</v>
      </c>
      <c r="AD33" s="14">
        <v>0.0</v>
      </c>
      <c r="AE33" s="14">
        <v>0.0</v>
      </c>
      <c r="AF33" s="14">
        <v>100.0</v>
      </c>
      <c r="AG33" s="14">
        <v>3.0</v>
      </c>
      <c r="AH33" s="14">
        <v>0.0</v>
      </c>
      <c r="AI33" s="14">
        <v>113.0</v>
      </c>
    </row>
    <row r="34" ht="15.75" customHeight="1">
      <c r="A34" s="14">
        <v>33.0</v>
      </c>
      <c r="B34" s="14" t="s">
        <v>195</v>
      </c>
      <c r="C34" s="14" t="s">
        <v>52</v>
      </c>
      <c r="D34" s="14">
        <v>1.0</v>
      </c>
      <c r="E34" s="14">
        <v>1726.0</v>
      </c>
      <c r="F34" s="14">
        <v>16.0</v>
      </c>
      <c r="G34" s="14">
        <v>1742.0</v>
      </c>
      <c r="H34" s="14">
        <v>15.0</v>
      </c>
      <c r="I34" s="14">
        <v>1757.0</v>
      </c>
      <c r="J34" s="14">
        <v>13.0</v>
      </c>
      <c r="K34" s="14">
        <v>1770.0</v>
      </c>
      <c r="L34" s="14">
        <v>14.0</v>
      </c>
      <c r="M34" s="14">
        <v>1784.0</v>
      </c>
      <c r="N34" s="14">
        <v>13.0</v>
      </c>
      <c r="O34" s="14">
        <v>1797.0</v>
      </c>
      <c r="P34" s="14">
        <v>12.0</v>
      </c>
      <c r="Q34" s="14">
        <v>1809.0</v>
      </c>
      <c r="R34" s="14">
        <v>12.0</v>
      </c>
      <c r="S34" s="14">
        <v>1819.0</v>
      </c>
      <c r="T34" s="14">
        <v>10.0</v>
      </c>
      <c r="U34" s="14">
        <v>1831.0</v>
      </c>
      <c r="V34" s="14">
        <v>12.0</v>
      </c>
      <c r="W34" s="14">
        <v>1845.0</v>
      </c>
      <c r="X34" s="14">
        <v>14.0</v>
      </c>
      <c r="Y34" s="14">
        <v>1859.0</v>
      </c>
      <c r="Z34" s="14">
        <v>14.0</v>
      </c>
      <c r="AA34" s="14">
        <v>1873.0</v>
      </c>
      <c r="AB34" s="14">
        <v>14.0</v>
      </c>
      <c r="AC34" s="14">
        <v>14.0</v>
      </c>
      <c r="AD34" s="14">
        <v>0.0</v>
      </c>
      <c r="AE34" s="14">
        <v>0.0</v>
      </c>
      <c r="AG34" s="14">
        <v>3.0</v>
      </c>
      <c r="AH34" s="14">
        <v>20.0</v>
      </c>
      <c r="AI34" s="14">
        <v>37.0</v>
      </c>
    </row>
    <row r="35" ht="15.75" customHeight="1">
      <c r="A35" s="14">
        <v>34.0</v>
      </c>
      <c r="B35" s="14" t="s">
        <v>200</v>
      </c>
      <c r="C35" s="14" t="s">
        <v>52</v>
      </c>
      <c r="D35" s="14">
        <v>2.0</v>
      </c>
      <c r="E35" s="14">
        <v>796.0</v>
      </c>
      <c r="F35" s="14">
        <v>5.0</v>
      </c>
      <c r="G35" s="14">
        <v>801.0</v>
      </c>
      <c r="H35" s="14">
        <v>17.0</v>
      </c>
      <c r="I35" s="14">
        <v>818.0</v>
      </c>
      <c r="J35" s="14">
        <v>2.0</v>
      </c>
      <c r="K35" s="14">
        <v>820.0</v>
      </c>
      <c r="L35" s="14">
        <v>2.0</v>
      </c>
      <c r="M35" s="14">
        <v>822.0</v>
      </c>
      <c r="N35" s="14">
        <v>1.0</v>
      </c>
      <c r="O35" s="14">
        <v>823.0</v>
      </c>
      <c r="P35" s="14">
        <v>2.0</v>
      </c>
      <c r="Q35" s="14">
        <v>825.0</v>
      </c>
      <c r="R35" s="14">
        <v>2.0</v>
      </c>
      <c r="S35" s="14">
        <v>826.0</v>
      </c>
      <c r="T35" s="14">
        <v>1.0</v>
      </c>
      <c r="U35" s="14">
        <v>827.0</v>
      </c>
      <c r="V35" s="14">
        <v>1.0</v>
      </c>
      <c r="W35" s="14">
        <v>829.0</v>
      </c>
      <c r="X35" s="14">
        <v>2.0</v>
      </c>
      <c r="Y35" s="14">
        <v>830.0</v>
      </c>
      <c r="Z35" s="14">
        <v>1.0</v>
      </c>
      <c r="AA35" s="14">
        <v>833.0</v>
      </c>
      <c r="AB35" s="14">
        <v>3.0</v>
      </c>
      <c r="AC35" s="14">
        <v>5.0</v>
      </c>
      <c r="AD35" s="14">
        <v>0.0</v>
      </c>
      <c r="AE35" s="14">
        <v>0.0</v>
      </c>
      <c r="AG35" s="14">
        <v>3.0</v>
      </c>
      <c r="AH35" s="14">
        <v>0.0</v>
      </c>
      <c r="AI35" s="14">
        <v>8.0</v>
      </c>
    </row>
    <row r="36" ht="15.75" customHeight="1">
      <c r="A36" s="14">
        <v>35.0</v>
      </c>
      <c r="B36" s="14" t="s">
        <v>202</v>
      </c>
      <c r="C36" s="14" t="s">
        <v>52</v>
      </c>
      <c r="D36" s="14">
        <v>4.0</v>
      </c>
      <c r="E36" s="14">
        <v>2918.0</v>
      </c>
      <c r="F36" s="14">
        <v>20.0</v>
      </c>
      <c r="G36" s="14">
        <v>2938.0</v>
      </c>
      <c r="H36" s="14">
        <v>32.0</v>
      </c>
      <c r="I36" s="14">
        <v>2970.0</v>
      </c>
      <c r="J36" s="14">
        <v>30.0</v>
      </c>
      <c r="K36" s="14">
        <v>3000.0</v>
      </c>
      <c r="L36" s="14">
        <v>29.0</v>
      </c>
      <c r="M36" s="14">
        <v>3029.0</v>
      </c>
      <c r="N36" s="14">
        <v>22.0</v>
      </c>
      <c r="O36" s="14">
        <v>3051.0</v>
      </c>
      <c r="P36" s="14">
        <v>15.0</v>
      </c>
      <c r="Q36" s="14">
        <v>3066.0</v>
      </c>
      <c r="R36" s="14">
        <v>15.0</v>
      </c>
      <c r="S36" s="14">
        <v>3085.0</v>
      </c>
      <c r="T36" s="14">
        <v>19.0</v>
      </c>
      <c r="U36" s="14">
        <v>3106.0</v>
      </c>
      <c r="V36" s="14">
        <v>21.0</v>
      </c>
      <c r="W36" s="14">
        <v>3122.0</v>
      </c>
      <c r="X36" s="14">
        <v>16.0</v>
      </c>
      <c r="Y36" s="14">
        <v>3150.0</v>
      </c>
      <c r="Z36" s="14">
        <v>28.0</v>
      </c>
      <c r="AA36" s="14">
        <v>3175.0</v>
      </c>
      <c r="AB36" s="14">
        <v>25.0</v>
      </c>
      <c r="AC36" s="14">
        <v>25.0</v>
      </c>
      <c r="AD36" s="14">
        <v>0.0</v>
      </c>
      <c r="AE36" s="14">
        <v>0.0</v>
      </c>
      <c r="AG36" s="14">
        <v>3.0</v>
      </c>
      <c r="AH36" s="14">
        <v>0.0</v>
      </c>
      <c r="AI36" s="14">
        <v>28.0</v>
      </c>
    </row>
    <row r="37" ht="15.75" customHeight="1">
      <c r="A37" s="14">
        <v>36.0</v>
      </c>
      <c r="B37" s="14" t="s">
        <v>205</v>
      </c>
      <c r="C37" s="14" t="s">
        <v>52</v>
      </c>
      <c r="D37" s="14">
        <v>5.0</v>
      </c>
      <c r="E37" s="14">
        <v>3725.0</v>
      </c>
      <c r="F37" s="14">
        <v>22.0</v>
      </c>
      <c r="G37" s="14">
        <v>3747.0</v>
      </c>
      <c r="H37" s="14">
        <v>21.0</v>
      </c>
      <c r="I37" s="14">
        <v>3768.0</v>
      </c>
      <c r="J37" s="14">
        <v>19.0</v>
      </c>
      <c r="K37" s="14">
        <v>3787.0</v>
      </c>
      <c r="L37" s="14">
        <v>19.0</v>
      </c>
      <c r="M37" s="14">
        <v>3806.0</v>
      </c>
      <c r="N37" s="14">
        <v>18.0</v>
      </c>
      <c r="O37" s="14">
        <v>3824.0</v>
      </c>
      <c r="P37" s="14">
        <v>11.0</v>
      </c>
      <c r="Q37" s="14">
        <v>3835.0</v>
      </c>
      <c r="R37" s="14">
        <v>11.0</v>
      </c>
      <c r="S37" s="14">
        <v>3845.0</v>
      </c>
      <c r="T37" s="14">
        <v>10.0</v>
      </c>
      <c r="U37" s="14">
        <v>3859.0</v>
      </c>
      <c r="V37" s="14">
        <v>14.0</v>
      </c>
      <c r="W37" s="14">
        <v>3869.0</v>
      </c>
      <c r="X37" s="14">
        <v>10.0</v>
      </c>
      <c r="Y37" s="14">
        <v>3884.0</v>
      </c>
      <c r="Z37" s="14">
        <v>15.0</v>
      </c>
      <c r="AA37" s="14">
        <v>3899.0</v>
      </c>
      <c r="AB37" s="14">
        <v>15.0</v>
      </c>
      <c r="AC37" s="14">
        <v>15.0</v>
      </c>
      <c r="AD37" s="14">
        <v>0.0</v>
      </c>
      <c r="AE37" s="14">
        <v>0.0</v>
      </c>
      <c r="AG37" s="14">
        <v>3.0</v>
      </c>
      <c r="AH37" s="14">
        <v>0.0</v>
      </c>
      <c r="AI37" s="14">
        <v>18.0</v>
      </c>
    </row>
    <row r="38" ht="15.75" customHeight="1">
      <c r="A38" s="14">
        <v>37.0</v>
      </c>
      <c r="B38" s="14" t="s">
        <v>208</v>
      </c>
      <c r="C38" s="14" t="s">
        <v>52</v>
      </c>
      <c r="D38" s="14">
        <v>6.0</v>
      </c>
      <c r="E38" s="14">
        <v>150.0</v>
      </c>
      <c r="F38" s="14">
        <v>22.0</v>
      </c>
      <c r="G38" s="14">
        <v>172.0</v>
      </c>
      <c r="H38" s="14">
        <v>23.0</v>
      </c>
      <c r="I38" s="14">
        <v>195.0</v>
      </c>
      <c r="J38" s="14">
        <v>19.0</v>
      </c>
      <c r="K38" s="14">
        <v>214.0</v>
      </c>
      <c r="L38" s="14">
        <v>15.0</v>
      </c>
      <c r="M38" s="14">
        <v>229.0</v>
      </c>
      <c r="N38" s="14">
        <v>16.0</v>
      </c>
      <c r="O38" s="14">
        <v>245.0</v>
      </c>
      <c r="P38" s="14">
        <v>21.0</v>
      </c>
      <c r="Q38" s="14">
        <v>266.0</v>
      </c>
      <c r="R38" s="14">
        <v>21.0</v>
      </c>
      <c r="S38" s="14">
        <v>283.0</v>
      </c>
      <c r="T38" s="14">
        <v>17.0</v>
      </c>
      <c r="U38" s="14">
        <v>299.0</v>
      </c>
      <c r="V38" s="14">
        <v>16.0</v>
      </c>
      <c r="W38" s="14">
        <v>324.0</v>
      </c>
      <c r="X38" s="14">
        <v>25.0</v>
      </c>
      <c r="Y38" s="14">
        <v>350.0</v>
      </c>
      <c r="Z38" s="14">
        <v>26.0</v>
      </c>
      <c r="AA38" s="14">
        <v>370.0</v>
      </c>
      <c r="AB38" s="14">
        <v>20.0</v>
      </c>
      <c r="AC38" s="14">
        <v>20.0</v>
      </c>
      <c r="AD38" s="14">
        <v>0.0</v>
      </c>
      <c r="AE38" s="14">
        <v>0.0</v>
      </c>
      <c r="AG38" s="14">
        <v>3.0</v>
      </c>
      <c r="AH38" s="14">
        <v>40.0</v>
      </c>
      <c r="AI38" s="14">
        <v>63.0</v>
      </c>
    </row>
    <row r="39" ht="15.75" customHeight="1">
      <c r="A39" s="14">
        <v>38.0</v>
      </c>
      <c r="B39" s="14" t="s">
        <v>213</v>
      </c>
      <c r="C39" s="14" t="s">
        <v>52</v>
      </c>
      <c r="D39" s="14">
        <v>7.0</v>
      </c>
      <c r="E39" s="14">
        <v>2096.0</v>
      </c>
      <c r="F39" s="14">
        <v>43.0</v>
      </c>
      <c r="G39" s="14">
        <v>2139.0</v>
      </c>
      <c r="H39" s="14">
        <v>27.0</v>
      </c>
      <c r="I39" s="14">
        <v>2166.0</v>
      </c>
      <c r="J39" s="14">
        <v>20.0</v>
      </c>
      <c r="K39" s="14">
        <v>2186.0</v>
      </c>
      <c r="L39" s="14">
        <v>15.0</v>
      </c>
      <c r="M39" s="14">
        <v>2201.0</v>
      </c>
      <c r="N39" s="14">
        <v>14.0</v>
      </c>
      <c r="O39" s="14">
        <v>2215.0</v>
      </c>
      <c r="P39" s="14">
        <v>11.0</v>
      </c>
      <c r="Q39" s="14">
        <v>2226.0</v>
      </c>
      <c r="R39" s="14">
        <v>11.0</v>
      </c>
      <c r="S39" s="14">
        <v>2236.0</v>
      </c>
      <c r="T39" s="14">
        <v>10.0</v>
      </c>
      <c r="U39" s="14">
        <v>2246.0</v>
      </c>
      <c r="V39" s="14">
        <v>10.0</v>
      </c>
      <c r="W39" s="14">
        <v>2260.0</v>
      </c>
      <c r="X39" s="14">
        <v>14.0</v>
      </c>
      <c r="Y39" s="14">
        <v>2276.0</v>
      </c>
      <c r="Z39" s="14">
        <v>16.0</v>
      </c>
      <c r="AA39" s="14">
        <v>2288.0</v>
      </c>
      <c r="AB39" s="14">
        <v>12.0</v>
      </c>
      <c r="AC39" s="14">
        <v>12.0</v>
      </c>
      <c r="AD39" s="14">
        <v>0.0</v>
      </c>
      <c r="AE39" s="14">
        <v>0.0</v>
      </c>
      <c r="AG39" s="14">
        <v>3.0</v>
      </c>
      <c r="AH39" s="14">
        <v>40.0</v>
      </c>
      <c r="AI39" s="14">
        <v>55.0</v>
      </c>
    </row>
    <row r="40" ht="15.75" customHeight="1">
      <c r="A40" s="14">
        <v>39.0</v>
      </c>
      <c r="B40" s="14" t="s">
        <v>216</v>
      </c>
      <c r="C40" s="14" t="s">
        <v>52</v>
      </c>
      <c r="D40" s="14">
        <v>8.0</v>
      </c>
      <c r="E40" s="14">
        <v>156.0</v>
      </c>
      <c r="F40" s="14">
        <v>0.0</v>
      </c>
      <c r="G40" s="14">
        <v>156.0</v>
      </c>
      <c r="H40" s="14">
        <v>1.0</v>
      </c>
      <c r="I40" s="14">
        <v>157.0</v>
      </c>
      <c r="J40" s="14">
        <v>0.0</v>
      </c>
      <c r="K40" s="14">
        <v>157.0</v>
      </c>
      <c r="L40" s="14">
        <v>0.0</v>
      </c>
      <c r="M40" s="14">
        <v>157.0</v>
      </c>
      <c r="N40" s="14">
        <v>1.0</v>
      </c>
      <c r="O40" s="14">
        <v>158.0</v>
      </c>
      <c r="P40" s="14">
        <v>4.0</v>
      </c>
      <c r="Q40" s="14">
        <v>162.0</v>
      </c>
      <c r="R40" s="14">
        <v>4.0</v>
      </c>
      <c r="S40" s="14">
        <v>167.0</v>
      </c>
      <c r="T40" s="14">
        <v>5.0</v>
      </c>
      <c r="U40" s="14">
        <v>170.0</v>
      </c>
      <c r="V40" s="14">
        <v>3.0</v>
      </c>
      <c r="W40" s="14">
        <v>175.0</v>
      </c>
      <c r="X40" s="14">
        <v>5.0</v>
      </c>
      <c r="Y40" s="14">
        <v>179.0</v>
      </c>
      <c r="Z40" s="14">
        <v>4.0</v>
      </c>
      <c r="AA40" s="14">
        <v>184.0</v>
      </c>
      <c r="AB40" s="14">
        <v>5.0</v>
      </c>
      <c r="AC40" s="14">
        <v>5.0</v>
      </c>
      <c r="AD40" s="14">
        <v>8.0</v>
      </c>
      <c r="AE40" s="14">
        <v>0.0</v>
      </c>
      <c r="AG40" s="14">
        <v>3.0</v>
      </c>
      <c r="AH40" s="14">
        <v>20.0</v>
      </c>
      <c r="AI40" s="14">
        <v>36.0</v>
      </c>
    </row>
    <row r="41" ht="15.75" customHeight="1">
      <c r="A41" s="14">
        <v>40.0</v>
      </c>
      <c r="B41" s="14" t="s">
        <v>218</v>
      </c>
      <c r="C41" s="14" t="s">
        <v>52</v>
      </c>
      <c r="D41" s="14" t="s">
        <v>219</v>
      </c>
      <c r="E41" s="14">
        <v>509.0</v>
      </c>
      <c r="F41" s="14">
        <v>16.0</v>
      </c>
      <c r="G41" s="14">
        <v>525.0</v>
      </c>
      <c r="H41" s="14">
        <v>22.0</v>
      </c>
      <c r="I41" s="14">
        <v>547.0</v>
      </c>
      <c r="J41" s="14">
        <v>16.0</v>
      </c>
      <c r="K41" s="14">
        <v>563.0</v>
      </c>
      <c r="L41" s="14">
        <v>15.0</v>
      </c>
      <c r="M41" s="14">
        <v>578.0</v>
      </c>
      <c r="N41" s="14">
        <v>14.0</v>
      </c>
      <c r="O41" s="14">
        <v>592.0</v>
      </c>
      <c r="P41" s="14">
        <v>14.0</v>
      </c>
      <c r="Q41" s="14">
        <v>606.0</v>
      </c>
      <c r="R41" s="14">
        <v>14.0</v>
      </c>
      <c r="S41" s="14">
        <v>618.0</v>
      </c>
      <c r="T41" s="14">
        <v>12.0</v>
      </c>
      <c r="U41" s="14">
        <v>631.0</v>
      </c>
      <c r="V41" s="14">
        <v>13.0</v>
      </c>
      <c r="W41" s="14">
        <v>645.0</v>
      </c>
      <c r="X41" s="14">
        <v>14.0</v>
      </c>
      <c r="Y41" s="14">
        <v>668.0</v>
      </c>
      <c r="Z41" s="14">
        <v>23.0</v>
      </c>
      <c r="AA41" s="14">
        <v>689.0</v>
      </c>
      <c r="AB41" s="14">
        <v>21.0</v>
      </c>
      <c r="AC41" s="14">
        <v>21.0</v>
      </c>
      <c r="AD41" s="14">
        <v>0.0</v>
      </c>
      <c r="AE41" s="14">
        <v>0.0</v>
      </c>
      <c r="AG41" s="14">
        <v>3.0</v>
      </c>
      <c r="AH41" s="14">
        <v>0.0</v>
      </c>
      <c r="AI41" s="14">
        <v>24.0</v>
      </c>
    </row>
    <row r="42" ht="15.75" customHeight="1">
      <c r="A42" s="14">
        <v>41.0</v>
      </c>
      <c r="B42" s="14" t="s">
        <v>222</v>
      </c>
      <c r="C42" s="14" t="s">
        <v>52</v>
      </c>
      <c r="D42" s="14">
        <v>9.0</v>
      </c>
      <c r="E42" s="14">
        <v>2002.0</v>
      </c>
      <c r="F42" s="14">
        <v>5.0</v>
      </c>
      <c r="G42" s="14">
        <v>2007.0</v>
      </c>
      <c r="H42" s="14">
        <v>3.0</v>
      </c>
      <c r="I42" s="14">
        <v>2010.0</v>
      </c>
      <c r="J42" s="14">
        <v>29.0</v>
      </c>
      <c r="K42" s="14">
        <v>2039.0</v>
      </c>
      <c r="L42" s="14">
        <v>6.0</v>
      </c>
      <c r="M42" s="14">
        <v>2045.0</v>
      </c>
      <c r="N42" s="14">
        <v>4.0</v>
      </c>
      <c r="O42" s="14">
        <v>2049.0</v>
      </c>
      <c r="P42" s="14">
        <v>1.0</v>
      </c>
      <c r="Q42" s="14">
        <v>2050.0</v>
      </c>
      <c r="R42" s="14">
        <v>1.0</v>
      </c>
      <c r="S42" s="14">
        <v>2050.0</v>
      </c>
      <c r="T42" s="14">
        <v>0.0</v>
      </c>
      <c r="U42" s="14">
        <v>2050.0</v>
      </c>
      <c r="V42" s="14">
        <v>0.0</v>
      </c>
      <c r="W42" s="14">
        <v>2060.0</v>
      </c>
      <c r="X42" s="14">
        <v>10.0</v>
      </c>
      <c r="Y42" s="14">
        <v>2062.0</v>
      </c>
      <c r="Z42" s="14">
        <v>2.0</v>
      </c>
      <c r="AA42" s="14">
        <v>2064.0</v>
      </c>
      <c r="AB42" s="14">
        <v>2.0</v>
      </c>
      <c r="AC42" s="14">
        <v>5.0</v>
      </c>
      <c r="AD42" s="14">
        <v>0.0</v>
      </c>
      <c r="AE42" s="14">
        <v>0.0</v>
      </c>
      <c r="AG42" s="14">
        <v>3.0</v>
      </c>
      <c r="AH42" s="14">
        <v>0.0</v>
      </c>
      <c r="AI42" s="14">
        <v>8.0</v>
      </c>
    </row>
    <row r="43" ht="15.75" customHeight="1">
      <c r="A43" s="14">
        <v>42.0</v>
      </c>
      <c r="B43" s="14" t="s">
        <v>224</v>
      </c>
      <c r="C43" s="14" t="s">
        <v>52</v>
      </c>
      <c r="D43" s="14" t="s">
        <v>225</v>
      </c>
      <c r="E43" s="14">
        <v>306.0</v>
      </c>
      <c r="F43" s="14">
        <v>7.0</v>
      </c>
      <c r="G43" s="14">
        <v>313.0</v>
      </c>
      <c r="H43" s="14">
        <v>9.0</v>
      </c>
      <c r="I43" s="14">
        <v>322.0</v>
      </c>
      <c r="J43" s="14">
        <v>7.0</v>
      </c>
      <c r="K43" s="14">
        <v>329.0</v>
      </c>
      <c r="L43" s="14">
        <v>9.0</v>
      </c>
      <c r="M43" s="14">
        <v>338.0</v>
      </c>
      <c r="N43" s="14">
        <v>6.0</v>
      </c>
      <c r="O43" s="14">
        <v>344.0</v>
      </c>
      <c r="P43" s="14">
        <v>6.0</v>
      </c>
      <c r="Q43" s="14">
        <v>350.0</v>
      </c>
      <c r="R43" s="14">
        <v>6.0</v>
      </c>
      <c r="S43" s="14">
        <v>355.0</v>
      </c>
      <c r="T43" s="14">
        <v>5.0</v>
      </c>
      <c r="U43" s="14">
        <v>361.0</v>
      </c>
      <c r="V43" s="14">
        <v>6.0</v>
      </c>
      <c r="W43" s="14">
        <v>365.0</v>
      </c>
      <c r="X43" s="14">
        <v>4.0</v>
      </c>
      <c r="Y43" s="14">
        <v>373.0</v>
      </c>
      <c r="Z43" s="14">
        <v>8.0</v>
      </c>
      <c r="AA43" s="14">
        <v>381.0</v>
      </c>
      <c r="AB43" s="14">
        <v>8.0</v>
      </c>
      <c r="AC43" s="14">
        <v>8.0</v>
      </c>
      <c r="AD43" s="14">
        <v>0.0</v>
      </c>
      <c r="AE43" s="14">
        <v>0.0</v>
      </c>
      <c r="AG43" s="14">
        <v>3.0</v>
      </c>
      <c r="AH43" s="14">
        <v>0.0</v>
      </c>
      <c r="AI43" s="14">
        <v>11.0</v>
      </c>
    </row>
    <row r="44" ht="15.75" customHeight="1">
      <c r="A44" s="14">
        <v>43.0</v>
      </c>
      <c r="B44" s="14" t="s">
        <v>230</v>
      </c>
      <c r="C44" s="14" t="s">
        <v>52</v>
      </c>
      <c r="D44" s="14">
        <v>11.0</v>
      </c>
      <c r="E44" s="14">
        <v>325.0</v>
      </c>
      <c r="F44" s="14">
        <v>16.0</v>
      </c>
      <c r="G44" s="14">
        <v>341.0</v>
      </c>
      <c r="H44" s="14">
        <v>23.0</v>
      </c>
      <c r="I44" s="14">
        <v>364.0</v>
      </c>
      <c r="J44" s="14">
        <v>21.0</v>
      </c>
      <c r="K44" s="14">
        <v>385.0</v>
      </c>
      <c r="L44" s="14">
        <v>24.0</v>
      </c>
      <c r="M44" s="14">
        <v>409.0</v>
      </c>
      <c r="N44" s="14">
        <v>22.0</v>
      </c>
      <c r="O44" s="14">
        <v>431.0</v>
      </c>
      <c r="P44" s="14">
        <v>19.0</v>
      </c>
      <c r="Q44" s="14">
        <v>450.0</v>
      </c>
      <c r="R44" s="14">
        <v>19.0</v>
      </c>
      <c r="S44" s="14">
        <v>472.0</v>
      </c>
      <c r="T44" s="14">
        <v>22.0</v>
      </c>
      <c r="U44" s="14">
        <v>496.0</v>
      </c>
      <c r="V44" s="14">
        <v>24.0</v>
      </c>
      <c r="W44" s="14">
        <v>510.0</v>
      </c>
      <c r="X44" s="14">
        <v>14.0</v>
      </c>
      <c r="Y44" s="14">
        <v>526.0</v>
      </c>
      <c r="Z44" s="14">
        <v>16.0</v>
      </c>
      <c r="AA44" s="14">
        <v>552.0</v>
      </c>
      <c r="AB44" s="14">
        <v>26.0</v>
      </c>
      <c r="AC44" s="14">
        <v>26.0</v>
      </c>
      <c r="AD44" s="14">
        <v>0.0</v>
      </c>
      <c r="AE44" s="14">
        <v>0.0</v>
      </c>
      <c r="AG44" s="14">
        <v>3.0</v>
      </c>
      <c r="AH44" s="14">
        <v>0.0</v>
      </c>
      <c r="AI44" s="14">
        <v>29.0</v>
      </c>
    </row>
    <row r="45" ht="15.75" customHeight="1">
      <c r="A45" s="14">
        <v>44.0</v>
      </c>
      <c r="B45" s="14" t="s">
        <v>232</v>
      </c>
      <c r="C45" s="14" t="s">
        <v>52</v>
      </c>
      <c r="D45" s="14">
        <v>12.0</v>
      </c>
      <c r="E45" s="14">
        <v>1348.0</v>
      </c>
      <c r="F45" s="14">
        <v>16.0</v>
      </c>
      <c r="G45" s="14">
        <v>1364.0</v>
      </c>
      <c r="H45" s="14">
        <v>11.0</v>
      </c>
      <c r="I45" s="14">
        <v>1375.0</v>
      </c>
      <c r="J45" s="14">
        <v>18.0</v>
      </c>
      <c r="K45" s="14">
        <v>1393.0</v>
      </c>
      <c r="L45" s="14">
        <v>14.0</v>
      </c>
      <c r="M45" s="14">
        <v>1407.0</v>
      </c>
      <c r="N45" s="14">
        <v>12.0</v>
      </c>
      <c r="O45" s="14">
        <v>1419.0</v>
      </c>
      <c r="P45" s="14">
        <v>12.0</v>
      </c>
      <c r="Q45" s="14">
        <v>1431.0</v>
      </c>
      <c r="R45" s="14">
        <v>12.0</v>
      </c>
      <c r="S45" s="14">
        <v>1440.0</v>
      </c>
      <c r="T45" s="14">
        <v>9.0</v>
      </c>
      <c r="U45" s="14">
        <v>1454.0</v>
      </c>
      <c r="V45" s="14">
        <v>14.0</v>
      </c>
      <c r="W45" s="14">
        <v>1462.0</v>
      </c>
      <c r="X45" s="14">
        <v>8.0</v>
      </c>
      <c r="Y45" s="14">
        <v>1471.0</v>
      </c>
      <c r="Z45" s="14">
        <v>9.0</v>
      </c>
      <c r="AA45" s="14">
        <v>1483.0</v>
      </c>
      <c r="AB45" s="14">
        <v>12.0</v>
      </c>
      <c r="AC45" s="14">
        <v>12.0</v>
      </c>
      <c r="AD45" s="14">
        <v>0.0</v>
      </c>
      <c r="AE45" s="14">
        <v>0.0</v>
      </c>
      <c r="AG45" s="14">
        <v>3.0</v>
      </c>
      <c r="AH45" s="14">
        <v>0.0</v>
      </c>
      <c r="AI45" s="14">
        <v>15.0</v>
      </c>
    </row>
    <row r="46" ht="15.75" customHeight="1">
      <c r="A46" s="14">
        <v>45.0</v>
      </c>
      <c r="B46" s="14" t="s">
        <v>237</v>
      </c>
      <c r="C46" s="14" t="s">
        <v>52</v>
      </c>
      <c r="D46" s="14">
        <v>13.0</v>
      </c>
      <c r="E46" s="14">
        <v>1924.0</v>
      </c>
      <c r="F46" s="14">
        <v>9.0</v>
      </c>
      <c r="G46" s="14">
        <v>1933.0</v>
      </c>
      <c r="H46" s="14">
        <v>9.0</v>
      </c>
      <c r="I46" s="14">
        <v>1942.0</v>
      </c>
      <c r="J46" s="14">
        <v>7.0</v>
      </c>
      <c r="K46" s="14">
        <v>1949.0</v>
      </c>
      <c r="L46" s="14">
        <v>7.0</v>
      </c>
      <c r="M46" s="14">
        <v>1956.0</v>
      </c>
      <c r="N46" s="14">
        <v>11.0</v>
      </c>
      <c r="O46" s="14">
        <v>1967.0</v>
      </c>
      <c r="P46" s="14">
        <v>6.0</v>
      </c>
      <c r="Q46" s="14">
        <v>1973.0</v>
      </c>
      <c r="R46" s="14">
        <v>6.0</v>
      </c>
      <c r="S46" s="14">
        <v>1988.0</v>
      </c>
      <c r="T46" s="14">
        <v>15.0</v>
      </c>
      <c r="U46" s="14">
        <v>1993.0</v>
      </c>
      <c r="V46" s="14">
        <v>5.0</v>
      </c>
      <c r="W46" s="14">
        <v>2002.0</v>
      </c>
      <c r="X46" s="14">
        <v>9.0</v>
      </c>
      <c r="Y46" s="14">
        <v>2007.0</v>
      </c>
      <c r="Z46" s="14">
        <v>5.0</v>
      </c>
      <c r="AA46" s="14">
        <v>2012.0</v>
      </c>
      <c r="AB46" s="14">
        <v>5.0</v>
      </c>
      <c r="AC46" s="14">
        <v>5.0</v>
      </c>
      <c r="AD46" s="14">
        <v>0.0</v>
      </c>
      <c r="AE46" s="14">
        <v>0.0</v>
      </c>
      <c r="AG46" s="14">
        <v>3.0</v>
      </c>
      <c r="AH46" s="14">
        <v>0.0</v>
      </c>
      <c r="AI46" s="14">
        <v>8.0</v>
      </c>
    </row>
    <row r="47" ht="15.75" customHeight="1">
      <c r="A47" s="14">
        <v>46.0</v>
      </c>
      <c r="B47" s="14" t="s">
        <v>238</v>
      </c>
      <c r="C47" s="14" t="s">
        <v>52</v>
      </c>
      <c r="D47" s="14">
        <v>14.0</v>
      </c>
      <c r="E47" s="14">
        <v>648.0</v>
      </c>
      <c r="F47" s="14">
        <v>7.0</v>
      </c>
      <c r="G47" s="14">
        <v>655.0</v>
      </c>
      <c r="H47" s="14">
        <v>5.0</v>
      </c>
      <c r="I47" s="14">
        <v>660.0</v>
      </c>
      <c r="J47" s="14">
        <v>11.0</v>
      </c>
      <c r="K47" s="14">
        <v>671.0</v>
      </c>
      <c r="L47" s="14">
        <v>8.0</v>
      </c>
      <c r="M47" s="14">
        <v>679.0</v>
      </c>
      <c r="N47" s="14">
        <v>7.0</v>
      </c>
      <c r="O47" s="14">
        <v>686.0</v>
      </c>
      <c r="P47" s="14">
        <v>5.0</v>
      </c>
      <c r="Q47" s="14">
        <v>691.0</v>
      </c>
      <c r="R47" s="14">
        <v>5.0</v>
      </c>
      <c r="S47" s="14">
        <v>696.0</v>
      </c>
      <c r="T47" s="14">
        <v>5.0</v>
      </c>
      <c r="U47" s="14">
        <v>699.0</v>
      </c>
      <c r="V47" s="14">
        <v>5.0</v>
      </c>
      <c r="W47" s="14">
        <v>702.0</v>
      </c>
      <c r="X47" s="14">
        <v>3.0</v>
      </c>
      <c r="Y47" s="14">
        <v>708.0</v>
      </c>
      <c r="Z47" s="14">
        <v>6.0</v>
      </c>
      <c r="AA47" s="14">
        <v>714.0</v>
      </c>
      <c r="AB47" s="14">
        <v>6.0</v>
      </c>
      <c r="AC47" s="14">
        <v>6.0</v>
      </c>
      <c r="AD47" s="14">
        <v>0.0</v>
      </c>
      <c r="AE47" s="14">
        <v>0.0</v>
      </c>
      <c r="AG47" s="14">
        <v>3.0</v>
      </c>
      <c r="AH47" s="14">
        <v>0.0</v>
      </c>
      <c r="AI47" s="14">
        <v>9.0</v>
      </c>
    </row>
    <row r="48" ht="15.75" customHeight="1">
      <c r="A48" s="14">
        <v>47.0</v>
      </c>
      <c r="B48" s="14" t="s">
        <v>240</v>
      </c>
      <c r="C48" s="14" t="s">
        <v>52</v>
      </c>
      <c r="D48" s="14">
        <v>15.0</v>
      </c>
      <c r="E48" s="14">
        <v>1994.0</v>
      </c>
      <c r="F48" s="14">
        <v>6.0</v>
      </c>
      <c r="G48" s="14">
        <v>2000.0</v>
      </c>
      <c r="H48" s="14">
        <v>-5.0</v>
      </c>
      <c r="I48" s="14">
        <v>1995.0</v>
      </c>
      <c r="J48" s="14">
        <v>0.0</v>
      </c>
      <c r="K48" s="14">
        <v>0.0</v>
      </c>
      <c r="L48" s="14">
        <v>15.0</v>
      </c>
      <c r="M48" s="14">
        <v>15.0</v>
      </c>
      <c r="N48" s="14">
        <v>11.0</v>
      </c>
      <c r="O48" s="14">
        <v>26.0</v>
      </c>
      <c r="P48" s="14">
        <v>7.0</v>
      </c>
      <c r="Q48" s="14">
        <v>33.0</v>
      </c>
      <c r="R48" s="14">
        <v>7.0</v>
      </c>
      <c r="S48" s="14">
        <v>39.0</v>
      </c>
      <c r="T48" s="14">
        <v>6.0</v>
      </c>
      <c r="U48" s="14">
        <v>45.0</v>
      </c>
      <c r="V48" s="14">
        <v>6.0</v>
      </c>
      <c r="W48" s="14">
        <v>50.0</v>
      </c>
      <c r="X48" s="14">
        <v>5.0</v>
      </c>
      <c r="Y48" s="14">
        <v>53.0</v>
      </c>
      <c r="Z48" s="14">
        <v>3.0</v>
      </c>
      <c r="AA48" s="14">
        <v>56.0</v>
      </c>
      <c r="AB48" s="14">
        <v>3.0</v>
      </c>
      <c r="AC48" s="14">
        <v>5.0</v>
      </c>
      <c r="AD48" s="14">
        <v>0.0</v>
      </c>
      <c r="AE48" s="14">
        <v>0.0</v>
      </c>
      <c r="AG48" s="14">
        <v>3.0</v>
      </c>
      <c r="AH48" s="14">
        <v>0.0</v>
      </c>
      <c r="AI48" s="14">
        <v>8.0</v>
      </c>
    </row>
    <row r="49" ht="15.75" customHeight="1">
      <c r="A49" s="14">
        <v>48.0</v>
      </c>
      <c r="B49" s="14" t="s">
        <v>242</v>
      </c>
      <c r="C49" s="14" t="s">
        <v>52</v>
      </c>
      <c r="D49" s="14">
        <v>16.0</v>
      </c>
      <c r="E49" s="14">
        <v>1692.0</v>
      </c>
      <c r="F49" s="14">
        <v>9.0</v>
      </c>
      <c r="G49" s="14">
        <v>1701.0</v>
      </c>
      <c r="H49" s="14">
        <v>14.0</v>
      </c>
      <c r="I49" s="14">
        <v>1715.0</v>
      </c>
      <c r="J49" s="14">
        <v>5.0</v>
      </c>
      <c r="K49" s="14">
        <v>1720.0</v>
      </c>
      <c r="L49" s="14">
        <v>5.0</v>
      </c>
      <c r="M49" s="14">
        <v>1725.0</v>
      </c>
      <c r="N49" s="14">
        <v>5.0</v>
      </c>
      <c r="O49" s="14">
        <v>1730.0</v>
      </c>
      <c r="P49" s="14">
        <v>3.0</v>
      </c>
      <c r="Q49" s="14">
        <v>1733.0</v>
      </c>
      <c r="R49" s="14">
        <v>3.0</v>
      </c>
      <c r="S49" s="14">
        <v>1736.0</v>
      </c>
      <c r="T49" s="14">
        <v>3.0</v>
      </c>
      <c r="U49" s="14">
        <v>1744.0</v>
      </c>
      <c r="V49" s="14">
        <v>8.0</v>
      </c>
      <c r="W49" s="14">
        <v>1750.0</v>
      </c>
      <c r="X49" s="14">
        <v>6.0</v>
      </c>
      <c r="Y49" s="14">
        <v>1757.0</v>
      </c>
      <c r="Z49" s="14">
        <v>7.0</v>
      </c>
      <c r="AA49" s="14">
        <v>1763.0</v>
      </c>
      <c r="AB49" s="14">
        <v>6.0</v>
      </c>
      <c r="AC49" s="14">
        <v>6.0</v>
      </c>
      <c r="AD49" s="14">
        <v>10.0</v>
      </c>
      <c r="AE49" s="14">
        <v>0.0</v>
      </c>
      <c r="AG49" s="14">
        <v>3.0</v>
      </c>
      <c r="AH49" s="14">
        <v>0.0</v>
      </c>
      <c r="AI49" s="14">
        <v>19.0</v>
      </c>
    </row>
    <row r="50" ht="15.75" customHeight="1">
      <c r="A50" s="14">
        <v>49.0</v>
      </c>
      <c r="B50" s="14" t="s">
        <v>246</v>
      </c>
      <c r="C50" s="14" t="s">
        <v>52</v>
      </c>
      <c r="D50" s="14">
        <v>18.0</v>
      </c>
      <c r="E50" s="14">
        <v>263.0</v>
      </c>
      <c r="F50" s="14">
        <v>7.0</v>
      </c>
      <c r="G50" s="14">
        <v>270.0</v>
      </c>
      <c r="H50" s="14">
        <v>12.0</v>
      </c>
      <c r="I50" s="14">
        <v>282.0</v>
      </c>
      <c r="J50" s="14">
        <v>5.0</v>
      </c>
      <c r="K50" s="14">
        <v>287.0</v>
      </c>
      <c r="L50" s="14">
        <v>7.0</v>
      </c>
      <c r="M50" s="14">
        <v>294.0</v>
      </c>
      <c r="N50" s="14">
        <v>5.0</v>
      </c>
      <c r="O50" s="14">
        <v>299.0</v>
      </c>
      <c r="P50" s="14">
        <v>4.0</v>
      </c>
      <c r="Q50" s="14">
        <v>303.0</v>
      </c>
      <c r="R50" s="14">
        <v>4.0</v>
      </c>
      <c r="S50" s="14">
        <v>308.0</v>
      </c>
      <c r="T50" s="14">
        <v>5.0</v>
      </c>
      <c r="U50" s="14">
        <v>309.0</v>
      </c>
      <c r="V50" s="14">
        <v>1.0</v>
      </c>
      <c r="W50" s="14">
        <v>313.0</v>
      </c>
      <c r="X50" s="14">
        <v>4.0</v>
      </c>
      <c r="Y50" s="14">
        <v>318.0</v>
      </c>
      <c r="Z50" s="14">
        <v>5.0</v>
      </c>
      <c r="AA50" s="14">
        <v>326.0</v>
      </c>
      <c r="AB50" s="14">
        <v>8.0</v>
      </c>
      <c r="AC50" s="14">
        <v>8.0</v>
      </c>
      <c r="AD50" s="14">
        <v>0.0</v>
      </c>
      <c r="AE50" s="14">
        <v>0.0</v>
      </c>
      <c r="AG50" s="14">
        <v>3.0</v>
      </c>
      <c r="AH50" s="14">
        <v>0.0</v>
      </c>
      <c r="AI50" s="14">
        <v>11.0</v>
      </c>
    </row>
    <row r="51" ht="15.75" customHeight="1">
      <c r="A51" s="14">
        <v>50.0</v>
      </c>
      <c r="B51" s="14" t="s">
        <v>248</v>
      </c>
      <c r="C51" s="14" t="s">
        <v>52</v>
      </c>
      <c r="D51" s="14">
        <v>19.0</v>
      </c>
      <c r="E51" s="14">
        <v>3207.0</v>
      </c>
      <c r="F51" s="14">
        <v>21.0</v>
      </c>
      <c r="G51" s="14">
        <v>3228.0</v>
      </c>
      <c r="H51" s="14">
        <v>22.0</v>
      </c>
      <c r="I51" s="14">
        <v>3250.0</v>
      </c>
      <c r="J51" s="14">
        <v>18.0</v>
      </c>
      <c r="K51" s="14">
        <v>3268.0</v>
      </c>
      <c r="L51" s="14">
        <v>20.0</v>
      </c>
      <c r="M51" s="14">
        <v>3288.0</v>
      </c>
      <c r="N51" s="14">
        <v>20.0</v>
      </c>
      <c r="O51" s="14">
        <v>3308.0</v>
      </c>
      <c r="P51" s="14">
        <v>19.0</v>
      </c>
      <c r="Q51" s="14">
        <v>3327.0</v>
      </c>
      <c r="R51" s="14">
        <v>19.0</v>
      </c>
      <c r="S51" s="14">
        <v>3347.0</v>
      </c>
      <c r="T51" s="14">
        <v>20.0</v>
      </c>
      <c r="U51" s="14">
        <v>3363.0</v>
      </c>
      <c r="V51" s="14">
        <v>16.0</v>
      </c>
      <c r="W51" s="14">
        <v>3380.0</v>
      </c>
      <c r="X51" s="14">
        <v>17.0</v>
      </c>
      <c r="Y51" s="14">
        <v>3402.0</v>
      </c>
      <c r="Z51" s="14">
        <v>22.0</v>
      </c>
      <c r="AA51" s="14">
        <v>3425.0</v>
      </c>
      <c r="AB51" s="14">
        <v>23.0</v>
      </c>
      <c r="AC51" s="14">
        <v>23.0</v>
      </c>
      <c r="AD51" s="14">
        <v>0.0</v>
      </c>
      <c r="AE51" s="14">
        <v>0.0</v>
      </c>
      <c r="AG51" s="14">
        <v>3.0</v>
      </c>
      <c r="AH51" s="14">
        <v>0.0</v>
      </c>
      <c r="AI51" s="14">
        <v>26.0</v>
      </c>
    </row>
    <row r="52" ht="15.75" customHeight="1">
      <c r="A52" s="14">
        <v>51.0</v>
      </c>
      <c r="B52" s="14" t="s">
        <v>250</v>
      </c>
      <c r="C52" s="14" t="s">
        <v>52</v>
      </c>
      <c r="D52" s="14">
        <v>20.0</v>
      </c>
      <c r="E52" s="14">
        <v>2433.0</v>
      </c>
      <c r="F52" s="14">
        <v>20.0</v>
      </c>
      <c r="G52" s="14">
        <v>2453.0</v>
      </c>
      <c r="H52" s="14">
        <v>20.0</v>
      </c>
      <c r="I52" s="14">
        <v>2473.0</v>
      </c>
      <c r="J52" s="14">
        <v>21.0</v>
      </c>
      <c r="K52" s="14">
        <v>2494.0</v>
      </c>
      <c r="L52" s="14">
        <v>16.0</v>
      </c>
      <c r="M52" s="14">
        <v>2510.0</v>
      </c>
      <c r="N52" s="14">
        <v>18.0</v>
      </c>
      <c r="O52" s="14">
        <v>2528.0</v>
      </c>
      <c r="P52" s="14">
        <v>22.0</v>
      </c>
      <c r="Q52" s="14">
        <v>2550.0</v>
      </c>
      <c r="R52" s="14">
        <v>22.0</v>
      </c>
      <c r="S52" s="14">
        <v>2560.0</v>
      </c>
      <c r="T52" s="14">
        <v>10.0</v>
      </c>
      <c r="U52" s="14">
        <v>2570.0</v>
      </c>
      <c r="V52" s="14">
        <v>10.0</v>
      </c>
      <c r="W52" s="14">
        <v>2582.0</v>
      </c>
      <c r="X52" s="14">
        <v>12.0</v>
      </c>
      <c r="Y52" s="14">
        <v>2594.0</v>
      </c>
      <c r="Z52" s="14">
        <v>12.0</v>
      </c>
      <c r="AA52" s="14">
        <v>2608.0</v>
      </c>
      <c r="AB52" s="14">
        <v>14.0</v>
      </c>
      <c r="AC52" s="14">
        <v>14.0</v>
      </c>
      <c r="AD52" s="14">
        <v>0.0</v>
      </c>
      <c r="AE52" s="14">
        <v>0.0</v>
      </c>
      <c r="AG52" s="14">
        <v>3.0</v>
      </c>
      <c r="AH52" s="14">
        <v>20.0</v>
      </c>
      <c r="AI52" s="14">
        <v>37.0</v>
      </c>
    </row>
    <row r="53" ht="15.75" customHeight="1">
      <c r="A53" s="14">
        <v>53.0</v>
      </c>
      <c r="B53" s="14" t="s">
        <v>256</v>
      </c>
      <c r="C53" s="14" t="s">
        <v>52</v>
      </c>
      <c r="D53" s="14">
        <v>22.0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6.0</v>
      </c>
      <c r="O53" s="14">
        <v>6.0</v>
      </c>
      <c r="P53" s="14">
        <v>2.0</v>
      </c>
      <c r="Q53" s="14">
        <v>8.0</v>
      </c>
      <c r="R53" s="14">
        <v>2.0</v>
      </c>
      <c r="S53" s="14">
        <v>10.0</v>
      </c>
      <c r="T53" s="14">
        <v>2.0</v>
      </c>
      <c r="U53" s="14">
        <v>12.0</v>
      </c>
      <c r="V53" s="14">
        <v>2.0</v>
      </c>
      <c r="W53" s="14">
        <v>13.0</v>
      </c>
      <c r="X53" s="14">
        <v>1.0</v>
      </c>
      <c r="Y53" s="14">
        <v>18.0</v>
      </c>
      <c r="Z53" s="14">
        <v>5.0</v>
      </c>
      <c r="AA53" s="14">
        <v>25.0</v>
      </c>
      <c r="AB53" s="14">
        <v>7.0</v>
      </c>
      <c r="AC53" s="14">
        <v>7.0</v>
      </c>
      <c r="AD53" s="14">
        <v>0.0</v>
      </c>
      <c r="AE53" s="14">
        <v>0.0</v>
      </c>
      <c r="AG53" s="14">
        <v>3.0</v>
      </c>
      <c r="AH53" s="14">
        <v>20.0</v>
      </c>
      <c r="AI53" s="14">
        <v>30.0</v>
      </c>
    </row>
    <row r="54" ht="15.75" customHeight="1">
      <c r="A54" s="14">
        <v>54.0</v>
      </c>
      <c r="B54" s="14" t="s">
        <v>259</v>
      </c>
      <c r="C54" s="14" t="s">
        <v>52</v>
      </c>
      <c r="D54" s="14">
        <v>23.0</v>
      </c>
      <c r="E54" s="14">
        <v>4089.0</v>
      </c>
      <c r="F54" s="14">
        <v>20.0</v>
      </c>
      <c r="G54" s="14">
        <v>4109.0</v>
      </c>
      <c r="H54" s="14">
        <v>27.0</v>
      </c>
      <c r="I54" s="14">
        <v>4136.0</v>
      </c>
      <c r="J54" s="14">
        <v>25.0</v>
      </c>
      <c r="K54" s="14">
        <v>4161.0</v>
      </c>
      <c r="L54" s="14">
        <v>24.0</v>
      </c>
      <c r="M54" s="14">
        <v>4185.0</v>
      </c>
      <c r="N54" s="14">
        <v>25.0</v>
      </c>
      <c r="O54" s="14">
        <v>4210.0</v>
      </c>
      <c r="P54" s="14">
        <v>21.0</v>
      </c>
      <c r="Q54" s="14">
        <v>4231.0</v>
      </c>
      <c r="R54" s="14">
        <v>21.0</v>
      </c>
      <c r="S54" s="14">
        <v>4241.0</v>
      </c>
      <c r="T54" s="14">
        <v>10.0</v>
      </c>
      <c r="U54" s="14">
        <v>4249.0</v>
      </c>
      <c r="V54" s="14">
        <v>8.0</v>
      </c>
      <c r="W54" s="14">
        <v>4259.0</v>
      </c>
      <c r="X54" s="14">
        <v>10.0</v>
      </c>
      <c r="Y54" s="14">
        <v>4273.0</v>
      </c>
      <c r="Z54" s="14">
        <v>14.0</v>
      </c>
      <c r="AA54" s="14">
        <v>4288.0</v>
      </c>
      <c r="AB54" s="14">
        <v>15.0</v>
      </c>
      <c r="AC54" s="14">
        <v>15.0</v>
      </c>
      <c r="AD54" s="14">
        <v>0.0</v>
      </c>
      <c r="AE54" s="14">
        <v>0.0</v>
      </c>
      <c r="AG54" s="14">
        <v>3.0</v>
      </c>
      <c r="AH54" s="14">
        <v>20.0</v>
      </c>
      <c r="AI54" s="14">
        <v>38.0</v>
      </c>
    </row>
    <row r="55" ht="15.75" customHeight="1">
      <c r="A55" s="14">
        <v>55.0</v>
      </c>
      <c r="B55" s="14" t="s">
        <v>262</v>
      </c>
      <c r="C55" s="14" t="s">
        <v>52</v>
      </c>
      <c r="D55" s="14">
        <v>24.0</v>
      </c>
      <c r="E55" s="14">
        <v>490.0</v>
      </c>
      <c r="F55" s="14">
        <v>2.0</v>
      </c>
      <c r="G55" s="14">
        <v>492.0</v>
      </c>
      <c r="H55" s="14">
        <v>2.0</v>
      </c>
      <c r="I55" s="14">
        <v>494.0</v>
      </c>
      <c r="J55" s="14">
        <v>2.0</v>
      </c>
      <c r="K55" s="14">
        <v>496.0</v>
      </c>
      <c r="L55" s="14">
        <v>2.0</v>
      </c>
      <c r="M55" s="14">
        <v>498.0</v>
      </c>
      <c r="N55" s="14">
        <v>2.0</v>
      </c>
      <c r="O55" s="14">
        <v>500.0</v>
      </c>
      <c r="P55" s="14">
        <v>3.0</v>
      </c>
      <c r="Q55" s="14">
        <v>503.0</v>
      </c>
      <c r="R55" s="14">
        <v>3.0</v>
      </c>
      <c r="S55" s="14">
        <v>505.0</v>
      </c>
      <c r="T55" s="14">
        <v>2.0</v>
      </c>
      <c r="U55" s="14">
        <v>507.0</v>
      </c>
      <c r="V55" s="14">
        <v>2.0</v>
      </c>
      <c r="W55" s="14">
        <v>508.0</v>
      </c>
      <c r="X55" s="14">
        <v>1.0</v>
      </c>
      <c r="Y55" s="14">
        <v>510.0</v>
      </c>
      <c r="Z55" s="14">
        <v>2.0</v>
      </c>
      <c r="AA55" s="14">
        <v>514.0</v>
      </c>
      <c r="AB55" s="14">
        <v>4.0</v>
      </c>
      <c r="AC55" s="14">
        <v>5.0</v>
      </c>
      <c r="AD55" s="14">
        <v>0.0</v>
      </c>
      <c r="AE55" s="14">
        <v>0.0</v>
      </c>
      <c r="AG55" s="14">
        <v>3.0</v>
      </c>
      <c r="AH55" s="14">
        <v>20.0</v>
      </c>
      <c r="AI55" s="14">
        <v>28.0</v>
      </c>
    </row>
    <row r="56" ht="15.75" customHeight="1">
      <c r="A56" s="14">
        <v>56.0</v>
      </c>
      <c r="B56" s="14" t="s">
        <v>265</v>
      </c>
      <c r="C56" s="14" t="s">
        <v>52</v>
      </c>
      <c r="D56" s="14">
        <v>25.0</v>
      </c>
      <c r="E56" s="14">
        <v>3686.0</v>
      </c>
      <c r="F56" s="14">
        <v>11.0</v>
      </c>
      <c r="G56" s="14">
        <v>3697.0</v>
      </c>
      <c r="H56" s="14">
        <v>12.0</v>
      </c>
      <c r="I56" s="14">
        <v>3709.0</v>
      </c>
      <c r="J56" s="14">
        <v>12.0</v>
      </c>
      <c r="K56" s="14">
        <v>3721.0</v>
      </c>
      <c r="L56" s="14">
        <v>9.0</v>
      </c>
      <c r="M56" s="14">
        <v>3730.0</v>
      </c>
      <c r="N56" s="14">
        <v>10.0</v>
      </c>
      <c r="O56" s="14">
        <v>3740.0</v>
      </c>
      <c r="P56" s="14">
        <v>10.0</v>
      </c>
      <c r="Q56" s="14">
        <v>3750.0</v>
      </c>
      <c r="R56" s="14">
        <v>10.0</v>
      </c>
      <c r="S56" s="14">
        <v>3758.0</v>
      </c>
      <c r="T56" s="14">
        <v>8.0</v>
      </c>
      <c r="U56" s="14">
        <v>3767.0</v>
      </c>
      <c r="V56" s="14">
        <v>9.0</v>
      </c>
      <c r="W56" s="14">
        <v>3775.0</v>
      </c>
      <c r="X56" s="14">
        <v>8.0</v>
      </c>
      <c r="Y56" s="14">
        <v>3784.0</v>
      </c>
      <c r="Z56" s="14">
        <v>9.0</v>
      </c>
      <c r="AA56" s="14">
        <v>3798.0</v>
      </c>
      <c r="AB56" s="14">
        <v>14.0</v>
      </c>
      <c r="AC56" s="14">
        <v>14.0</v>
      </c>
      <c r="AD56" s="14">
        <v>0.0</v>
      </c>
      <c r="AE56" s="14">
        <v>0.0</v>
      </c>
      <c r="AG56" s="14">
        <v>3.0</v>
      </c>
      <c r="AH56" s="14">
        <v>0.0</v>
      </c>
      <c r="AI56" s="14">
        <v>17.0</v>
      </c>
    </row>
    <row r="57" ht="15.75" customHeight="1">
      <c r="A57" s="14">
        <v>57.0</v>
      </c>
      <c r="B57" s="14" t="s">
        <v>266</v>
      </c>
      <c r="C57" s="14" t="s">
        <v>52</v>
      </c>
      <c r="D57" s="14">
        <v>26.0</v>
      </c>
      <c r="E57" s="14">
        <v>1495.0</v>
      </c>
      <c r="F57" s="14">
        <v>0.0</v>
      </c>
      <c r="G57" s="14">
        <v>1495.0</v>
      </c>
      <c r="H57" s="14">
        <v>1.0</v>
      </c>
      <c r="I57" s="14">
        <v>1496.0</v>
      </c>
      <c r="J57" s="14">
        <v>0.0</v>
      </c>
      <c r="K57" s="14">
        <v>1496.0</v>
      </c>
      <c r="L57" s="14">
        <v>0.0</v>
      </c>
      <c r="M57" s="14">
        <v>1496.0</v>
      </c>
      <c r="N57" s="14">
        <v>0.0</v>
      </c>
      <c r="O57" s="14">
        <v>1496.0</v>
      </c>
      <c r="P57" s="14">
        <v>0.0</v>
      </c>
      <c r="Q57" s="14">
        <v>1496.0</v>
      </c>
      <c r="R57" s="14">
        <v>0.0</v>
      </c>
      <c r="S57" s="14">
        <v>1496.0</v>
      </c>
      <c r="T57" s="14">
        <v>0.0</v>
      </c>
      <c r="U57" s="14">
        <v>1497.0</v>
      </c>
      <c r="V57" s="14">
        <v>1.0</v>
      </c>
      <c r="W57" s="14">
        <v>1497.0</v>
      </c>
      <c r="X57" s="14">
        <v>0.0</v>
      </c>
      <c r="Y57" s="14">
        <v>1497.0</v>
      </c>
      <c r="Z57" s="14">
        <v>0.0</v>
      </c>
      <c r="AA57" s="14">
        <v>1498.0</v>
      </c>
      <c r="AB57" s="14">
        <v>1.0</v>
      </c>
      <c r="AC57" s="14">
        <v>5.0</v>
      </c>
      <c r="AD57" s="14">
        <v>0.0</v>
      </c>
      <c r="AE57" s="14">
        <v>0.0</v>
      </c>
      <c r="AG57" s="14">
        <v>3.0</v>
      </c>
      <c r="AH57" s="14">
        <v>0.0</v>
      </c>
      <c r="AI57" s="14">
        <v>8.0</v>
      </c>
    </row>
    <row r="58" ht="15.75" customHeight="1">
      <c r="A58" s="14">
        <v>58.0</v>
      </c>
      <c r="B58" s="14" t="s">
        <v>268</v>
      </c>
      <c r="C58" s="14" t="s">
        <v>52</v>
      </c>
      <c r="D58" s="14">
        <v>27.0</v>
      </c>
      <c r="E58" s="14">
        <v>26.0</v>
      </c>
      <c r="F58" s="14">
        <v>3.0</v>
      </c>
      <c r="G58" s="14">
        <v>29.0</v>
      </c>
      <c r="H58" s="14">
        <v>5.0</v>
      </c>
      <c r="I58" s="14">
        <v>34.0</v>
      </c>
      <c r="J58" s="14">
        <v>5.0</v>
      </c>
      <c r="K58" s="14">
        <v>39.0</v>
      </c>
      <c r="L58" s="14">
        <v>5.0</v>
      </c>
      <c r="M58" s="14">
        <v>44.0</v>
      </c>
      <c r="N58" s="14">
        <v>4.0</v>
      </c>
      <c r="O58" s="14">
        <v>48.0</v>
      </c>
      <c r="P58" s="14">
        <v>3.0</v>
      </c>
      <c r="Q58" s="14">
        <v>51.0</v>
      </c>
      <c r="R58" s="14">
        <v>3.0</v>
      </c>
      <c r="S58" s="14">
        <v>55.0</v>
      </c>
      <c r="T58" s="14">
        <v>4.0</v>
      </c>
      <c r="U58" s="14">
        <v>59.0</v>
      </c>
      <c r="V58" s="14">
        <v>4.0</v>
      </c>
      <c r="W58" s="14">
        <v>65.0</v>
      </c>
      <c r="X58" s="14">
        <v>6.0</v>
      </c>
      <c r="Y58" s="14">
        <v>73.0</v>
      </c>
      <c r="Z58" s="14">
        <v>8.0</v>
      </c>
      <c r="AA58" s="14">
        <v>79.0</v>
      </c>
      <c r="AB58" s="14">
        <v>6.0</v>
      </c>
      <c r="AC58" s="14">
        <v>6.0</v>
      </c>
      <c r="AD58" s="14">
        <v>0.0</v>
      </c>
      <c r="AE58" s="14">
        <v>0.0</v>
      </c>
      <c r="AG58" s="14">
        <v>3.0</v>
      </c>
      <c r="AH58" s="14">
        <v>20.0</v>
      </c>
      <c r="AI58" s="14">
        <v>29.0</v>
      </c>
    </row>
    <row r="59" ht="15.75" customHeight="1">
      <c r="A59" s="14">
        <v>59.0</v>
      </c>
      <c r="B59" s="14" t="s">
        <v>271</v>
      </c>
      <c r="C59" s="14" t="s">
        <v>52</v>
      </c>
      <c r="D59" s="14">
        <v>28.0</v>
      </c>
      <c r="E59" s="14">
        <v>5284.0</v>
      </c>
      <c r="F59" s="14">
        <v>27.0</v>
      </c>
      <c r="G59" s="14">
        <v>5311.0</v>
      </c>
      <c r="H59" s="14">
        <v>33.0</v>
      </c>
      <c r="I59" s="14">
        <v>5344.0</v>
      </c>
      <c r="J59" s="14">
        <v>18.0</v>
      </c>
      <c r="K59" s="14">
        <v>5362.0</v>
      </c>
      <c r="L59" s="14">
        <v>27.0</v>
      </c>
      <c r="M59" s="14">
        <v>5389.0</v>
      </c>
      <c r="N59" s="14">
        <v>12.0</v>
      </c>
      <c r="O59" s="14">
        <v>5401.0</v>
      </c>
      <c r="P59" s="14">
        <v>13.0</v>
      </c>
      <c r="Q59" s="14">
        <v>5414.0</v>
      </c>
      <c r="R59" s="14">
        <v>13.0</v>
      </c>
      <c r="S59" s="14">
        <v>5419.0</v>
      </c>
      <c r="T59" s="14">
        <v>5.0</v>
      </c>
      <c r="U59" s="14">
        <v>5436.0</v>
      </c>
      <c r="V59" s="14">
        <v>17.0</v>
      </c>
      <c r="W59" s="14">
        <v>5450.0</v>
      </c>
      <c r="X59" s="14">
        <v>14.0</v>
      </c>
      <c r="Y59" s="14">
        <v>5457.0</v>
      </c>
      <c r="Z59" s="14">
        <v>7.0</v>
      </c>
      <c r="AA59" s="14">
        <v>5471.0</v>
      </c>
      <c r="AB59" s="14">
        <v>14.0</v>
      </c>
      <c r="AC59" s="14">
        <v>14.0</v>
      </c>
      <c r="AD59" s="14">
        <v>0.0</v>
      </c>
      <c r="AE59" s="14">
        <v>0.0</v>
      </c>
      <c r="AG59" s="14">
        <v>3.0</v>
      </c>
      <c r="AH59" s="14">
        <v>0.0</v>
      </c>
      <c r="AI59" s="14">
        <v>17.0</v>
      </c>
    </row>
    <row r="60" ht="15.75" customHeight="1">
      <c r="A60" s="14">
        <v>60.0</v>
      </c>
      <c r="B60" s="14" t="s">
        <v>273</v>
      </c>
      <c r="C60" s="14" t="s">
        <v>52</v>
      </c>
      <c r="D60" s="14">
        <v>30.0</v>
      </c>
      <c r="E60" s="14">
        <v>3083.0</v>
      </c>
      <c r="F60" s="14">
        <v>20.0</v>
      </c>
      <c r="G60" s="14">
        <v>3103.0</v>
      </c>
      <c r="H60" s="14">
        <v>23.0</v>
      </c>
      <c r="I60" s="14">
        <v>3126.0</v>
      </c>
      <c r="J60" s="14">
        <v>23.0</v>
      </c>
      <c r="K60" s="14">
        <v>3149.0</v>
      </c>
      <c r="L60" s="14">
        <v>18.0</v>
      </c>
      <c r="M60" s="14">
        <v>3167.0</v>
      </c>
      <c r="N60" s="14">
        <v>19.0</v>
      </c>
      <c r="O60" s="14">
        <v>3186.0</v>
      </c>
      <c r="P60" s="14">
        <v>19.0</v>
      </c>
      <c r="Q60" s="14">
        <v>3205.0</v>
      </c>
      <c r="R60" s="14">
        <v>19.0</v>
      </c>
      <c r="S60" s="14">
        <v>3218.0</v>
      </c>
      <c r="T60" s="14">
        <v>13.0</v>
      </c>
      <c r="U60" s="14">
        <v>3239.0</v>
      </c>
      <c r="V60" s="14">
        <v>21.0</v>
      </c>
      <c r="W60" s="14">
        <v>3252.0</v>
      </c>
      <c r="X60" s="14">
        <v>13.0</v>
      </c>
      <c r="Y60" s="14">
        <v>3271.0</v>
      </c>
      <c r="Z60" s="14">
        <v>19.0</v>
      </c>
      <c r="AA60" s="14">
        <v>3289.0</v>
      </c>
      <c r="AB60" s="14">
        <v>18.0</v>
      </c>
      <c r="AC60" s="14">
        <v>18.0</v>
      </c>
      <c r="AD60" s="14">
        <v>0.0</v>
      </c>
      <c r="AE60" s="14">
        <v>0.0</v>
      </c>
      <c r="AG60" s="14">
        <v>3.0</v>
      </c>
      <c r="AH60" s="14">
        <v>0.0</v>
      </c>
      <c r="AI60" s="14">
        <v>21.0</v>
      </c>
    </row>
    <row r="61" ht="15.75" customHeight="1">
      <c r="A61" s="14">
        <v>61.0</v>
      </c>
      <c r="B61" s="14" t="s">
        <v>275</v>
      </c>
      <c r="C61" s="14" t="s">
        <v>52</v>
      </c>
      <c r="D61" s="14">
        <v>31.0</v>
      </c>
      <c r="E61" s="14">
        <v>413.0</v>
      </c>
      <c r="F61" s="14">
        <v>25.0</v>
      </c>
      <c r="G61" s="14">
        <v>438.0</v>
      </c>
      <c r="H61" s="14">
        <v>10.0</v>
      </c>
      <c r="I61" s="14">
        <v>448.0</v>
      </c>
      <c r="J61" s="14">
        <v>12.0</v>
      </c>
      <c r="K61" s="14">
        <v>460.0</v>
      </c>
      <c r="L61" s="14">
        <v>13.0</v>
      </c>
      <c r="M61" s="14">
        <v>473.0</v>
      </c>
      <c r="N61" s="14">
        <v>12.0</v>
      </c>
      <c r="O61" s="14">
        <v>485.0</v>
      </c>
      <c r="P61" s="14">
        <v>9.0</v>
      </c>
      <c r="Q61" s="14">
        <v>494.0</v>
      </c>
      <c r="R61" s="14">
        <v>9.0</v>
      </c>
      <c r="S61" s="14">
        <v>500.0</v>
      </c>
      <c r="T61" s="14">
        <v>6.0</v>
      </c>
      <c r="U61" s="14">
        <v>505.0</v>
      </c>
      <c r="V61" s="14">
        <v>5.0</v>
      </c>
      <c r="W61" s="14">
        <v>513.0</v>
      </c>
      <c r="X61" s="14">
        <v>8.0</v>
      </c>
      <c r="Y61" s="14">
        <v>523.0</v>
      </c>
      <c r="Z61" s="14">
        <v>10.0</v>
      </c>
      <c r="AA61" s="14">
        <v>534.0</v>
      </c>
      <c r="AB61" s="14">
        <v>11.0</v>
      </c>
      <c r="AC61" s="14">
        <v>11.0</v>
      </c>
      <c r="AD61" s="14">
        <v>0.0</v>
      </c>
      <c r="AE61" s="14">
        <v>0.0</v>
      </c>
      <c r="AG61" s="14">
        <v>3.0</v>
      </c>
      <c r="AH61" s="14">
        <v>0.0</v>
      </c>
      <c r="AI61" s="14">
        <v>14.0</v>
      </c>
    </row>
    <row r="62" ht="15.75" customHeight="1">
      <c r="A62" s="14">
        <v>62.0</v>
      </c>
      <c r="B62" s="14" t="s">
        <v>277</v>
      </c>
      <c r="C62" s="14" t="s">
        <v>52</v>
      </c>
      <c r="D62" s="14">
        <v>32.0</v>
      </c>
      <c r="E62" s="14">
        <v>1570.0</v>
      </c>
      <c r="F62" s="14">
        <v>4.0</v>
      </c>
      <c r="G62" s="14">
        <v>1574.0</v>
      </c>
      <c r="H62" s="14">
        <v>5.0</v>
      </c>
      <c r="I62" s="14">
        <v>1579.0</v>
      </c>
      <c r="J62" s="14">
        <v>4.0</v>
      </c>
      <c r="K62" s="14">
        <v>1583.0</v>
      </c>
      <c r="L62" s="14">
        <v>5.0</v>
      </c>
      <c r="M62" s="14">
        <v>1588.0</v>
      </c>
      <c r="N62" s="14">
        <v>3.0</v>
      </c>
      <c r="O62" s="14">
        <v>1591.0</v>
      </c>
      <c r="P62" s="14">
        <v>5.0</v>
      </c>
      <c r="Q62" s="14">
        <v>1596.0</v>
      </c>
      <c r="R62" s="14">
        <v>5.0</v>
      </c>
      <c r="S62" s="14">
        <v>1601.0</v>
      </c>
      <c r="T62" s="14">
        <v>5.0</v>
      </c>
      <c r="U62" s="14">
        <v>1606.0</v>
      </c>
      <c r="V62" s="14">
        <v>5.0</v>
      </c>
      <c r="W62" s="14">
        <v>1609.0</v>
      </c>
      <c r="X62" s="14">
        <v>3.0</v>
      </c>
      <c r="Y62" s="14">
        <v>1613.0</v>
      </c>
      <c r="Z62" s="14">
        <v>4.0</v>
      </c>
      <c r="AA62" s="14">
        <v>1616.0</v>
      </c>
      <c r="AB62" s="14">
        <v>3.0</v>
      </c>
      <c r="AC62" s="14">
        <v>5.0</v>
      </c>
      <c r="AD62" s="14">
        <v>0.0</v>
      </c>
      <c r="AE62" s="14">
        <v>0.0</v>
      </c>
      <c r="AG62" s="14">
        <v>3.0</v>
      </c>
      <c r="AH62" s="14">
        <v>0.0</v>
      </c>
      <c r="AI62" s="14">
        <v>8.0</v>
      </c>
    </row>
    <row r="63" ht="15.75" customHeight="1">
      <c r="A63" s="14">
        <v>63.0</v>
      </c>
      <c r="B63" s="14" t="s">
        <v>278</v>
      </c>
      <c r="C63" s="14" t="s">
        <v>52</v>
      </c>
      <c r="D63" s="14">
        <v>33.0</v>
      </c>
      <c r="E63" s="14">
        <v>1005.0</v>
      </c>
      <c r="F63" s="14">
        <v>30.0</v>
      </c>
      <c r="G63" s="14">
        <v>1035.0</v>
      </c>
      <c r="H63" s="14">
        <v>-1016.0</v>
      </c>
      <c r="I63" s="14">
        <v>19.0</v>
      </c>
      <c r="J63" s="14">
        <v>13.0</v>
      </c>
      <c r="K63" s="14">
        <v>32.0</v>
      </c>
      <c r="L63" s="14">
        <v>15.0</v>
      </c>
      <c r="M63" s="14">
        <v>47.0</v>
      </c>
      <c r="N63" s="14">
        <v>13.0</v>
      </c>
      <c r="O63" s="14">
        <v>60.0</v>
      </c>
      <c r="P63" s="14">
        <v>18.0</v>
      </c>
      <c r="Q63" s="14">
        <v>78.0</v>
      </c>
      <c r="R63" s="14">
        <v>18.0</v>
      </c>
      <c r="S63" s="14">
        <v>88.0</v>
      </c>
      <c r="T63" s="14">
        <v>10.0</v>
      </c>
      <c r="U63" s="14">
        <v>104.0</v>
      </c>
      <c r="V63" s="14">
        <v>16.0</v>
      </c>
      <c r="W63" s="14">
        <v>122.0</v>
      </c>
      <c r="X63" s="14">
        <v>18.0</v>
      </c>
      <c r="Y63" s="14">
        <v>128.0</v>
      </c>
      <c r="Z63" s="14">
        <v>6.0</v>
      </c>
      <c r="AA63" s="14">
        <v>143.0</v>
      </c>
      <c r="AB63" s="14">
        <v>15.0</v>
      </c>
      <c r="AC63" s="14">
        <v>15.0</v>
      </c>
      <c r="AD63" s="14">
        <v>0.0</v>
      </c>
      <c r="AE63" s="14">
        <v>0.0</v>
      </c>
      <c r="AG63" s="14">
        <v>3.0</v>
      </c>
      <c r="AH63" s="14">
        <v>20.0</v>
      </c>
      <c r="AI63" s="14">
        <v>38.0</v>
      </c>
    </row>
    <row r="64" ht="15.75" customHeight="1">
      <c r="A64" s="14">
        <v>64.0</v>
      </c>
      <c r="B64" s="14" t="s">
        <v>280</v>
      </c>
      <c r="C64" s="14" t="s">
        <v>52</v>
      </c>
      <c r="D64" s="14">
        <v>34.0</v>
      </c>
      <c r="E64" s="14">
        <v>616.0</v>
      </c>
      <c r="F64" s="14">
        <v>4.0</v>
      </c>
      <c r="G64" s="14">
        <v>620.0</v>
      </c>
      <c r="H64" s="14">
        <v>6.0</v>
      </c>
      <c r="I64" s="14">
        <v>626.0</v>
      </c>
      <c r="J64" s="14">
        <v>3.0</v>
      </c>
      <c r="K64" s="14">
        <v>629.0</v>
      </c>
      <c r="L64" s="14">
        <v>3.0</v>
      </c>
      <c r="M64" s="14">
        <v>632.0</v>
      </c>
      <c r="N64" s="14">
        <v>0.0</v>
      </c>
      <c r="O64" s="14">
        <v>632.0</v>
      </c>
      <c r="P64" s="14">
        <v>0.0</v>
      </c>
      <c r="Q64" s="14">
        <v>632.0</v>
      </c>
      <c r="R64" s="14">
        <v>0.0</v>
      </c>
      <c r="S64" s="14">
        <v>632.0</v>
      </c>
      <c r="T64" s="14">
        <v>0.0</v>
      </c>
      <c r="U64" s="14">
        <v>632.0</v>
      </c>
      <c r="V64" s="14">
        <v>0.0</v>
      </c>
      <c r="W64" s="14">
        <v>632.0</v>
      </c>
      <c r="X64" s="14">
        <v>0.0</v>
      </c>
      <c r="Y64" s="14">
        <v>632.0</v>
      </c>
      <c r="Z64" s="14">
        <v>0.0</v>
      </c>
      <c r="AA64" s="14">
        <v>632.0</v>
      </c>
      <c r="AB64" s="14">
        <v>0.0</v>
      </c>
      <c r="AC64" s="14">
        <v>5.0</v>
      </c>
      <c r="AD64" s="14">
        <v>0.0</v>
      </c>
      <c r="AE64" s="14">
        <v>0.0</v>
      </c>
      <c r="AG64" s="14">
        <v>3.0</v>
      </c>
      <c r="AH64" s="14">
        <v>0.0</v>
      </c>
      <c r="AI64" s="14">
        <v>8.0</v>
      </c>
    </row>
    <row r="65" ht="15.75" customHeight="1">
      <c r="A65" s="14">
        <v>65.0</v>
      </c>
      <c r="B65" s="14" t="s">
        <v>282</v>
      </c>
      <c r="C65" s="14" t="s">
        <v>52</v>
      </c>
      <c r="D65" s="14">
        <v>35.0</v>
      </c>
      <c r="E65" s="14">
        <v>328.0</v>
      </c>
      <c r="F65" s="14">
        <v>11.0</v>
      </c>
      <c r="G65" s="14">
        <v>339.0</v>
      </c>
      <c r="H65" s="14">
        <v>11.0</v>
      </c>
      <c r="I65" s="14">
        <v>350.0</v>
      </c>
      <c r="J65" s="14">
        <v>10.0</v>
      </c>
      <c r="K65" s="14">
        <v>360.0</v>
      </c>
      <c r="L65" s="14">
        <v>10.0</v>
      </c>
      <c r="M65" s="14">
        <v>370.0</v>
      </c>
      <c r="N65" s="14">
        <v>12.0</v>
      </c>
      <c r="O65" s="14">
        <v>382.0</v>
      </c>
      <c r="P65" s="14">
        <v>12.0</v>
      </c>
      <c r="Q65" s="14">
        <v>394.0</v>
      </c>
      <c r="R65" s="14">
        <v>12.0</v>
      </c>
      <c r="S65" s="14">
        <v>404.0</v>
      </c>
      <c r="T65" s="14">
        <v>10.0</v>
      </c>
      <c r="U65" s="14">
        <v>413.0</v>
      </c>
      <c r="V65" s="14">
        <v>9.0</v>
      </c>
      <c r="W65" s="14">
        <v>425.0</v>
      </c>
      <c r="X65" s="14">
        <v>12.0</v>
      </c>
      <c r="Y65" s="14">
        <v>435.0</v>
      </c>
      <c r="Z65" s="14">
        <v>10.0</v>
      </c>
      <c r="AA65" s="14">
        <v>445.0</v>
      </c>
      <c r="AB65" s="14">
        <v>10.0</v>
      </c>
      <c r="AC65" s="14">
        <v>10.0</v>
      </c>
      <c r="AD65" s="14">
        <v>28.0</v>
      </c>
      <c r="AE65" s="14">
        <v>0.0</v>
      </c>
      <c r="AF65" s="14">
        <v>100.0</v>
      </c>
      <c r="AG65" s="14">
        <v>3.0</v>
      </c>
      <c r="AH65" s="14">
        <v>20.0</v>
      </c>
      <c r="AI65" s="14">
        <v>161.0</v>
      </c>
    </row>
    <row r="66" ht="15.75" customHeight="1">
      <c r="A66" s="14">
        <v>66.0</v>
      </c>
      <c r="B66" s="14" t="s">
        <v>284</v>
      </c>
      <c r="C66" s="14" t="s">
        <v>52</v>
      </c>
      <c r="D66" s="14">
        <v>36.0</v>
      </c>
      <c r="E66" s="14">
        <v>158.0</v>
      </c>
      <c r="F66" s="14">
        <v>9.0</v>
      </c>
      <c r="G66" s="14">
        <v>167.0</v>
      </c>
      <c r="H66" s="14">
        <v>8.0</v>
      </c>
      <c r="I66" s="14">
        <v>175.0</v>
      </c>
      <c r="J66" s="14">
        <v>5.0</v>
      </c>
      <c r="K66" s="14">
        <v>180.0</v>
      </c>
      <c r="L66" s="14">
        <v>5.0</v>
      </c>
      <c r="M66" s="14">
        <v>185.0</v>
      </c>
      <c r="N66" s="14">
        <v>3.0</v>
      </c>
      <c r="O66" s="14">
        <v>188.0</v>
      </c>
      <c r="P66" s="14">
        <v>5.0</v>
      </c>
      <c r="Q66" s="14">
        <v>193.0</v>
      </c>
      <c r="R66" s="14">
        <v>5.0</v>
      </c>
      <c r="S66" s="14">
        <v>196.0</v>
      </c>
      <c r="T66" s="14">
        <v>3.0</v>
      </c>
      <c r="U66" s="14">
        <v>199.0</v>
      </c>
      <c r="V66" s="14">
        <v>3.0</v>
      </c>
      <c r="W66" s="14">
        <v>201.0</v>
      </c>
      <c r="X66" s="14">
        <v>2.0</v>
      </c>
      <c r="Y66" s="14">
        <v>204.0</v>
      </c>
      <c r="Z66" s="14">
        <v>3.0</v>
      </c>
      <c r="AA66" s="14">
        <v>208.0</v>
      </c>
      <c r="AB66" s="14">
        <v>4.0</v>
      </c>
      <c r="AC66" s="14">
        <v>5.0</v>
      </c>
      <c r="AD66" s="14">
        <v>0.0</v>
      </c>
      <c r="AE66" s="14">
        <v>0.0</v>
      </c>
      <c r="AG66" s="14">
        <v>3.0</v>
      </c>
      <c r="AH66" s="14">
        <v>0.0</v>
      </c>
      <c r="AI66" s="14">
        <v>8.0</v>
      </c>
    </row>
    <row r="67" ht="15.75" customHeight="1">
      <c r="A67" s="14">
        <v>67.0</v>
      </c>
      <c r="B67" s="14" t="s">
        <v>287</v>
      </c>
      <c r="C67" s="14" t="s">
        <v>52</v>
      </c>
      <c r="D67" s="14">
        <v>37.0</v>
      </c>
      <c r="E67" s="14">
        <v>93.0</v>
      </c>
      <c r="F67" s="14">
        <v>7.0</v>
      </c>
      <c r="G67" s="14">
        <v>100.0</v>
      </c>
      <c r="H67" s="14">
        <v>9.0</v>
      </c>
      <c r="I67" s="14">
        <v>109.0</v>
      </c>
      <c r="J67" s="14">
        <v>8.0</v>
      </c>
      <c r="K67" s="14">
        <v>117.0</v>
      </c>
      <c r="L67" s="14">
        <v>9.0</v>
      </c>
      <c r="M67" s="14">
        <v>126.0</v>
      </c>
      <c r="N67" s="14">
        <v>8.0</v>
      </c>
      <c r="O67" s="14">
        <v>134.0</v>
      </c>
      <c r="P67" s="14">
        <v>6.0</v>
      </c>
      <c r="Q67" s="14">
        <v>140.0</v>
      </c>
      <c r="R67" s="14">
        <v>6.0</v>
      </c>
      <c r="S67" s="14">
        <v>146.0</v>
      </c>
      <c r="T67" s="14">
        <v>6.0</v>
      </c>
      <c r="U67" s="14">
        <v>152.0</v>
      </c>
      <c r="V67" s="14">
        <v>6.0</v>
      </c>
      <c r="W67" s="14">
        <v>157.0</v>
      </c>
      <c r="X67" s="14">
        <v>5.0</v>
      </c>
      <c r="Y67" s="14">
        <v>163.0</v>
      </c>
      <c r="Z67" s="14">
        <v>6.0</v>
      </c>
      <c r="AA67" s="14">
        <v>169.0</v>
      </c>
      <c r="AB67" s="14">
        <v>6.0</v>
      </c>
      <c r="AC67" s="14">
        <v>6.0</v>
      </c>
      <c r="AD67" s="14">
        <v>0.0</v>
      </c>
      <c r="AE67" s="14">
        <v>0.0</v>
      </c>
      <c r="AG67" s="14">
        <v>3.0</v>
      </c>
      <c r="AH67" s="14">
        <v>20.0</v>
      </c>
      <c r="AI67" s="14">
        <v>29.0</v>
      </c>
    </row>
    <row r="68" ht="15.75" customHeight="1">
      <c r="A68" s="14">
        <v>68.0</v>
      </c>
      <c r="B68" s="14" t="s">
        <v>290</v>
      </c>
      <c r="C68" s="14" t="s">
        <v>52</v>
      </c>
      <c r="D68" s="14">
        <v>42.0</v>
      </c>
      <c r="F68" s="14">
        <v>0.0</v>
      </c>
      <c r="H68" s="14">
        <v>4.0</v>
      </c>
      <c r="I68" s="14">
        <v>4.0</v>
      </c>
      <c r="J68" s="14">
        <v>8.0</v>
      </c>
      <c r="K68" s="14">
        <v>12.0</v>
      </c>
      <c r="L68" s="14">
        <v>9.0</v>
      </c>
      <c r="M68" s="14">
        <v>21.0</v>
      </c>
      <c r="N68" s="14">
        <v>6.0</v>
      </c>
      <c r="O68" s="14">
        <v>27.0</v>
      </c>
      <c r="P68" s="14">
        <v>21.0</v>
      </c>
      <c r="Q68" s="14">
        <v>48.0</v>
      </c>
      <c r="R68" s="14">
        <v>21.0</v>
      </c>
      <c r="S68" s="14">
        <v>62.0</v>
      </c>
      <c r="T68" s="14">
        <v>14.0</v>
      </c>
      <c r="U68" s="14">
        <v>73.0</v>
      </c>
      <c r="V68" s="14">
        <v>11.0</v>
      </c>
      <c r="W68" s="14">
        <v>85.0</v>
      </c>
      <c r="X68" s="14">
        <v>12.0</v>
      </c>
      <c r="Y68" s="14">
        <v>97.0</v>
      </c>
      <c r="Z68" s="14">
        <v>12.0</v>
      </c>
      <c r="AA68" s="14">
        <v>112.0</v>
      </c>
      <c r="AB68" s="14">
        <v>15.0</v>
      </c>
      <c r="AC68" s="14">
        <v>15.0</v>
      </c>
      <c r="AD68" s="14">
        <v>0.0</v>
      </c>
      <c r="AE68" s="14">
        <v>0.0</v>
      </c>
      <c r="AF68" s="14">
        <v>100.0</v>
      </c>
      <c r="AG68" s="14">
        <v>3.0</v>
      </c>
      <c r="AH68" s="14">
        <v>20.0</v>
      </c>
      <c r="AI68" s="14">
        <v>138.0</v>
      </c>
    </row>
    <row r="69" ht="15.75" customHeight="1">
      <c r="A69" s="14">
        <v>69.0</v>
      </c>
      <c r="B69" s="14" t="s">
        <v>293</v>
      </c>
      <c r="C69" s="14" t="s">
        <v>52</v>
      </c>
      <c r="D69" s="14">
        <v>45.0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5.0</v>
      </c>
      <c r="AD69" s="14">
        <v>8.0</v>
      </c>
      <c r="AE69" s="14">
        <v>0.0</v>
      </c>
      <c r="AF69" s="14">
        <v>100.0</v>
      </c>
      <c r="AG69" s="14">
        <v>3.0</v>
      </c>
      <c r="AH69" s="14">
        <v>0.0</v>
      </c>
      <c r="AI69" s="14">
        <v>116.0</v>
      </c>
    </row>
    <row r="70" ht="15.75" customHeight="1">
      <c r="A70" s="14">
        <v>70.0</v>
      </c>
      <c r="B70" s="14" t="s">
        <v>296</v>
      </c>
      <c r="C70" s="14" t="s">
        <v>67</v>
      </c>
      <c r="D70" s="14">
        <v>1.0</v>
      </c>
      <c r="E70" s="14">
        <v>1625.0</v>
      </c>
      <c r="F70" s="14">
        <v>7.0</v>
      </c>
      <c r="G70" s="14">
        <v>1632.0</v>
      </c>
      <c r="H70" s="14">
        <v>7.0</v>
      </c>
      <c r="I70" s="14">
        <v>1639.0</v>
      </c>
      <c r="J70" s="14">
        <v>7.0</v>
      </c>
      <c r="K70" s="14">
        <v>1646.0</v>
      </c>
      <c r="L70" s="14">
        <v>7.0</v>
      </c>
      <c r="M70" s="14">
        <v>1653.0</v>
      </c>
      <c r="N70" s="14">
        <v>6.0</v>
      </c>
      <c r="O70" s="14">
        <v>1659.0</v>
      </c>
      <c r="P70" s="14">
        <v>6.0</v>
      </c>
      <c r="Q70" s="14">
        <v>1665.0</v>
      </c>
      <c r="R70" s="14">
        <v>6.0</v>
      </c>
      <c r="S70" s="14">
        <v>1669.0</v>
      </c>
      <c r="T70" s="14">
        <v>4.0</v>
      </c>
      <c r="U70" s="14">
        <v>1675.0</v>
      </c>
      <c r="V70" s="14">
        <v>6.0</v>
      </c>
      <c r="W70" s="14">
        <v>1680.0</v>
      </c>
      <c r="X70" s="14">
        <v>5.0</v>
      </c>
      <c r="Y70" s="14">
        <v>1685.0</v>
      </c>
      <c r="Z70" s="14">
        <v>5.0</v>
      </c>
      <c r="AA70" s="14">
        <v>1693.0</v>
      </c>
      <c r="AB70" s="14">
        <v>8.0</v>
      </c>
      <c r="AC70" s="14">
        <v>8.0</v>
      </c>
      <c r="AD70" s="14">
        <v>0.0</v>
      </c>
      <c r="AE70" s="14">
        <v>0.0</v>
      </c>
      <c r="AG70" s="14">
        <v>3.0</v>
      </c>
      <c r="AH70" s="14">
        <v>0.0</v>
      </c>
      <c r="AI70" s="14">
        <v>11.0</v>
      </c>
    </row>
    <row r="71" ht="15.75" customHeight="1">
      <c r="A71" s="14">
        <v>71.0</v>
      </c>
      <c r="B71" s="14" t="s">
        <v>299</v>
      </c>
      <c r="C71" s="14" t="s">
        <v>67</v>
      </c>
      <c r="D71" s="14">
        <v>2.0</v>
      </c>
      <c r="E71" s="14">
        <v>1772.0</v>
      </c>
      <c r="F71" s="14">
        <v>17.0</v>
      </c>
      <c r="G71" s="14">
        <v>1789.0</v>
      </c>
      <c r="H71" s="14">
        <v>18.0</v>
      </c>
      <c r="I71" s="14">
        <v>1807.0</v>
      </c>
      <c r="J71" s="14">
        <v>17.0</v>
      </c>
      <c r="K71" s="14">
        <v>1824.0</v>
      </c>
      <c r="L71" s="14">
        <v>17.0</v>
      </c>
      <c r="M71" s="14">
        <v>1841.0</v>
      </c>
      <c r="N71" s="14">
        <v>12.0</v>
      </c>
      <c r="O71" s="14">
        <v>1853.0</v>
      </c>
      <c r="P71" s="14">
        <v>7.0</v>
      </c>
      <c r="Q71" s="14">
        <v>1860.0</v>
      </c>
      <c r="R71" s="14">
        <v>7.0</v>
      </c>
      <c r="S71" s="14">
        <v>1864.0</v>
      </c>
      <c r="T71" s="14">
        <v>4.0</v>
      </c>
      <c r="U71" s="14">
        <v>1868.0</v>
      </c>
      <c r="V71" s="14">
        <v>4.0</v>
      </c>
      <c r="W71" s="14">
        <v>1872.0</v>
      </c>
      <c r="X71" s="14">
        <v>4.0</v>
      </c>
      <c r="Y71" s="14">
        <v>1883.0</v>
      </c>
      <c r="Z71" s="14">
        <v>11.0</v>
      </c>
      <c r="AA71" s="14">
        <v>1918.0</v>
      </c>
      <c r="AB71" s="14">
        <v>35.0</v>
      </c>
      <c r="AC71" s="14">
        <v>35.0</v>
      </c>
      <c r="AD71" s="14">
        <v>0.0</v>
      </c>
      <c r="AE71" s="14">
        <v>0.0</v>
      </c>
      <c r="AG71" s="14">
        <v>3.0</v>
      </c>
      <c r="AH71" s="14">
        <v>20.0</v>
      </c>
      <c r="AI71" s="14">
        <v>58.0</v>
      </c>
    </row>
    <row r="72" ht="15.75" customHeight="1">
      <c r="A72" s="14">
        <v>72.0</v>
      </c>
      <c r="B72" s="14" t="s">
        <v>300</v>
      </c>
      <c r="C72" s="14" t="s">
        <v>67</v>
      </c>
      <c r="D72" s="14">
        <v>3.0</v>
      </c>
      <c r="E72" s="14">
        <v>1087.0</v>
      </c>
      <c r="F72" s="14">
        <v>34.0</v>
      </c>
      <c r="G72" s="14">
        <v>1121.0</v>
      </c>
      <c r="H72" s="14">
        <v>7.0</v>
      </c>
      <c r="I72" s="14">
        <v>1128.0</v>
      </c>
      <c r="J72" s="14">
        <v>7.0</v>
      </c>
      <c r="K72" s="14">
        <v>1135.0</v>
      </c>
      <c r="L72" s="14">
        <v>9.0</v>
      </c>
      <c r="M72" s="14">
        <v>1144.0</v>
      </c>
      <c r="N72" s="14">
        <v>9.0</v>
      </c>
      <c r="O72" s="14">
        <v>1153.0</v>
      </c>
      <c r="P72" s="14">
        <v>10.0</v>
      </c>
      <c r="Q72" s="14">
        <v>1163.0</v>
      </c>
      <c r="R72" s="14">
        <v>10.0</v>
      </c>
      <c r="S72" s="14">
        <v>1171.0</v>
      </c>
      <c r="T72" s="14">
        <v>8.0</v>
      </c>
      <c r="U72" s="14">
        <v>1183.0</v>
      </c>
      <c r="V72" s="14">
        <v>12.0</v>
      </c>
      <c r="W72" s="14">
        <v>1192.0</v>
      </c>
      <c r="X72" s="14">
        <v>9.0</v>
      </c>
      <c r="Y72" s="14">
        <v>1201.0</v>
      </c>
      <c r="Z72" s="14">
        <v>9.0</v>
      </c>
      <c r="AA72" s="14">
        <v>1210.0</v>
      </c>
      <c r="AB72" s="14">
        <v>9.0</v>
      </c>
      <c r="AC72" s="14">
        <v>9.0</v>
      </c>
      <c r="AD72" s="14">
        <v>0.0</v>
      </c>
      <c r="AE72" s="14">
        <v>0.0</v>
      </c>
      <c r="AG72" s="14">
        <v>3.0</v>
      </c>
      <c r="AH72" s="14">
        <v>0.0</v>
      </c>
      <c r="AI72" s="14">
        <v>12.0</v>
      </c>
    </row>
    <row r="73" ht="15.75" customHeight="1">
      <c r="A73" s="14">
        <v>73.0</v>
      </c>
      <c r="B73" s="14" t="s">
        <v>304</v>
      </c>
      <c r="C73" s="14" t="s">
        <v>67</v>
      </c>
      <c r="D73" s="14">
        <v>4.0</v>
      </c>
      <c r="E73" s="14">
        <v>168.0</v>
      </c>
      <c r="F73" s="14">
        <v>10.0</v>
      </c>
      <c r="G73" s="14">
        <v>178.0</v>
      </c>
      <c r="H73" s="14">
        <v>-10.0</v>
      </c>
      <c r="I73" s="14">
        <v>168.0</v>
      </c>
      <c r="J73" s="14">
        <v>0.0</v>
      </c>
      <c r="K73" s="14">
        <v>0.0</v>
      </c>
      <c r="L73" s="14">
        <v>16.0</v>
      </c>
      <c r="M73" s="14">
        <v>16.0</v>
      </c>
      <c r="N73" s="14">
        <v>12.0</v>
      </c>
      <c r="O73" s="14">
        <v>28.0</v>
      </c>
      <c r="P73" s="14">
        <v>20.0</v>
      </c>
      <c r="Q73" s="14">
        <v>48.0</v>
      </c>
      <c r="R73" s="14">
        <v>20.0</v>
      </c>
      <c r="S73" s="14">
        <v>63.0</v>
      </c>
      <c r="T73" s="14">
        <v>15.0</v>
      </c>
      <c r="U73" s="14">
        <v>74.0</v>
      </c>
      <c r="V73" s="14">
        <v>11.0</v>
      </c>
      <c r="W73" s="14">
        <v>86.0</v>
      </c>
      <c r="X73" s="14">
        <v>12.0</v>
      </c>
      <c r="Y73" s="14">
        <v>97.0</v>
      </c>
      <c r="Z73" s="14">
        <v>11.0</v>
      </c>
      <c r="AA73" s="14">
        <v>113.0</v>
      </c>
      <c r="AB73" s="14">
        <v>16.0</v>
      </c>
      <c r="AC73" s="14">
        <v>16.0</v>
      </c>
      <c r="AD73" s="14">
        <v>0.0</v>
      </c>
      <c r="AE73" s="14">
        <v>0.0</v>
      </c>
      <c r="AG73" s="14">
        <v>3.0</v>
      </c>
      <c r="AH73" s="14">
        <v>20.0</v>
      </c>
      <c r="AI73" s="14">
        <v>39.0</v>
      </c>
    </row>
    <row r="74" ht="15.75" customHeight="1">
      <c r="A74" s="14">
        <v>74.0</v>
      </c>
      <c r="B74" s="14" t="s">
        <v>306</v>
      </c>
      <c r="C74" s="14" t="s">
        <v>67</v>
      </c>
      <c r="D74" s="14">
        <v>5.0</v>
      </c>
      <c r="E74" s="14">
        <v>225.0</v>
      </c>
      <c r="F74" s="14">
        <v>14.0</v>
      </c>
      <c r="G74" s="14">
        <v>239.0</v>
      </c>
      <c r="H74" s="14">
        <v>35.0</v>
      </c>
      <c r="I74" s="14">
        <v>274.0</v>
      </c>
      <c r="J74" s="14">
        <v>14.0</v>
      </c>
      <c r="K74" s="14">
        <v>288.0</v>
      </c>
      <c r="L74" s="14">
        <v>13.0</v>
      </c>
      <c r="M74" s="14">
        <v>301.0</v>
      </c>
      <c r="N74" s="14">
        <v>7.0</v>
      </c>
      <c r="O74" s="14">
        <v>308.0</v>
      </c>
      <c r="P74" s="14">
        <v>8.0</v>
      </c>
      <c r="Q74" s="14">
        <v>316.0</v>
      </c>
      <c r="R74" s="14">
        <v>8.0</v>
      </c>
      <c r="S74" s="14">
        <v>324.0</v>
      </c>
      <c r="T74" s="14">
        <v>8.0</v>
      </c>
      <c r="U74" s="14">
        <v>333.0</v>
      </c>
      <c r="V74" s="14">
        <v>9.0</v>
      </c>
      <c r="W74" s="14">
        <v>344.0</v>
      </c>
      <c r="X74" s="14">
        <v>11.0</v>
      </c>
      <c r="Y74" s="14">
        <v>352.0</v>
      </c>
      <c r="Z74" s="14">
        <v>8.0</v>
      </c>
      <c r="AA74" s="14">
        <v>367.0</v>
      </c>
      <c r="AB74" s="14">
        <v>15.0</v>
      </c>
      <c r="AC74" s="14">
        <v>15.0</v>
      </c>
      <c r="AD74" s="14">
        <v>0.0</v>
      </c>
      <c r="AE74" s="14">
        <v>0.0</v>
      </c>
      <c r="AG74" s="14">
        <v>3.0</v>
      </c>
      <c r="AH74" s="14">
        <v>0.0</v>
      </c>
      <c r="AI74" s="14">
        <v>18.0</v>
      </c>
    </row>
    <row r="75" ht="15.75" customHeight="1">
      <c r="A75" s="14">
        <v>75.0</v>
      </c>
      <c r="B75" s="14" t="s">
        <v>309</v>
      </c>
      <c r="C75" s="14" t="s">
        <v>67</v>
      </c>
      <c r="D75" s="14">
        <v>6.0</v>
      </c>
      <c r="E75" s="14">
        <v>7638.0</v>
      </c>
      <c r="F75" s="14">
        <v>20.0</v>
      </c>
      <c r="G75" s="14">
        <v>7658.0</v>
      </c>
      <c r="H75" s="14">
        <v>26.0</v>
      </c>
      <c r="I75" s="14">
        <v>7684.0</v>
      </c>
      <c r="J75" s="14">
        <v>19.0</v>
      </c>
      <c r="K75" s="14">
        <v>7703.0</v>
      </c>
      <c r="L75" s="14">
        <v>27.0</v>
      </c>
      <c r="M75" s="14">
        <v>7730.0</v>
      </c>
      <c r="N75" s="14">
        <v>16.0</v>
      </c>
      <c r="O75" s="14">
        <v>7746.0</v>
      </c>
      <c r="P75" s="14">
        <v>15.0</v>
      </c>
      <c r="Q75" s="14">
        <v>7761.0</v>
      </c>
      <c r="R75" s="14">
        <v>15.0</v>
      </c>
      <c r="S75" s="14">
        <v>7775.0</v>
      </c>
      <c r="T75" s="14">
        <v>14.0</v>
      </c>
      <c r="U75" s="14">
        <v>7789.0</v>
      </c>
      <c r="V75" s="14">
        <v>14.0</v>
      </c>
      <c r="W75" s="14">
        <v>7803.0</v>
      </c>
      <c r="X75" s="14">
        <v>14.0</v>
      </c>
      <c r="Y75" s="14">
        <v>7822.0</v>
      </c>
      <c r="Z75" s="14">
        <v>19.0</v>
      </c>
      <c r="AA75" s="14">
        <v>7840.0</v>
      </c>
      <c r="AB75" s="14">
        <v>18.0</v>
      </c>
      <c r="AC75" s="14">
        <v>18.0</v>
      </c>
      <c r="AD75" s="14">
        <v>0.0</v>
      </c>
      <c r="AE75" s="14">
        <v>0.0</v>
      </c>
      <c r="AG75" s="14">
        <v>3.0</v>
      </c>
      <c r="AH75" s="14">
        <v>0.0</v>
      </c>
      <c r="AI75" s="14">
        <v>21.0</v>
      </c>
    </row>
    <row r="76" ht="15.75" customHeight="1">
      <c r="A76" s="14">
        <v>76.0</v>
      </c>
      <c r="B76" s="14" t="s">
        <v>313</v>
      </c>
      <c r="C76" s="14" t="s">
        <v>67</v>
      </c>
      <c r="D76" s="14">
        <v>7.0</v>
      </c>
      <c r="E76" s="14">
        <v>3878.0</v>
      </c>
      <c r="F76" s="14">
        <v>73.0</v>
      </c>
      <c r="G76" s="14">
        <v>3951.0</v>
      </c>
      <c r="H76" s="14">
        <v>74.0</v>
      </c>
      <c r="I76" s="14">
        <v>4025.0</v>
      </c>
      <c r="J76" s="14">
        <v>65.0</v>
      </c>
      <c r="K76" s="14">
        <v>4090.0</v>
      </c>
      <c r="L76" s="14">
        <v>71.0</v>
      </c>
      <c r="M76" s="14">
        <v>4161.0</v>
      </c>
      <c r="N76" s="14">
        <v>61.0</v>
      </c>
      <c r="O76" s="14">
        <v>4222.0</v>
      </c>
      <c r="P76" s="14">
        <v>58.0</v>
      </c>
      <c r="Q76" s="14">
        <v>4280.0</v>
      </c>
      <c r="R76" s="14">
        <v>58.0</v>
      </c>
      <c r="S76" s="14">
        <v>4331.0</v>
      </c>
      <c r="T76" s="14">
        <v>51.0</v>
      </c>
      <c r="U76" s="14">
        <v>4382.0</v>
      </c>
      <c r="V76" s="14">
        <v>51.0</v>
      </c>
      <c r="W76" s="14">
        <v>4445.0</v>
      </c>
      <c r="X76" s="14">
        <v>63.0</v>
      </c>
      <c r="Y76" s="14">
        <v>4507.0</v>
      </c>
      <c r="Z76" s="14">
        <v>62.0</v>
      </c>
      <c r="AA76" s="14">
        <v>4584.0</v>
      </c>
      <c r="AB76" s="14">
        <v>77.0</v>
      </c>
      <c r="AC76" s="14">
        <v>77.0</v>
      </c>
      <c r="AD76" s="14">
        <v>65.0</v>
      </c>
      <c r="AE76" s="14">
        <v>0.0</v>
      </c>
      <c r="AG76" s="14">
        <v>3.0</v>
      </c>
      <c r="AH76" s="14">
        <v>0.0</v>
      </c>
      <c r="AI76" s="14">
        <v>145.0</v>
      </c>
    </row>
    <row r="77" ht="15.75" customHeight="1">
      <c r="A77" s="14">
        <v>77.0</v>
      </c>
      <c r="B77" s="14" t="s">
        <v>315</v>
      </c>
      <c r="C77" s="14" t="s">
        <v>67</v>
      </c>
      <c r="D77" s="14">
        <v>8.0</v>
      </c>
      <c r="E77" s="14">
        <v>1622.0</v>
      </c>
      <c r="F77" s="14">
        <v>6.0</v>
      </c>
      <c r="G77" s="14">
        <v>1628.0</v>
      </c>
      <c r="H77" s="14">
        <v>6.0</v>
      </c>
      <c r="I77" s="14">
        <v>1634.0</v>
      </c>
      <c r="J77" s="14">
        <v>6.0</v>
      </c>
      <c r="K77" s="14">
        <v>1640.0</v>
      </c>
      <c r="L77" s="14">
        <v>6.0</v>
      </c>
      <c r="M77" s="14">
        <v>1646.0</v>
      </c>
      <c r="N77" s="14">
        <v>7.0</v>
      </c>
      <c r="O77" s="14">
        <v>1653.0</v>
      </c>
      <c r="P77" s="14">
        <v>5.0</v>
      </c>
      <c r="Q77" s="14">
        <v>1658.0</v>
      </c>
      <c r="R77" s="14">
        <v>5.0</v>
      </c>
      <c r="S77" s="14">
        <v>1667.0</v>
      </c>
      <c r="T77" s="14">
        <v>9.0</v>
      </c>
      <c r="U77" s="14">
        <v>1671.0</v>
      </c>
      <c r="V77" s="14">
        <v>4.0</v>
      </c>
      <c r="W77" s="14">
        <v>1676.0</v>
      </c>
      <c r="X77" s="14">
        <v>5.0</v>
      </c>
      <c r="Y77" s="14">
        <v>1681.0</v>
      </c>
      <c r="Z77" s="14">
        <v>5.0</v>
      </c>
      <c r="AA77" s="14">
        <v>1686.0</v>
      </c>
      <c r="AB77" s="14">
        <v>5.0</v>
      </c>
      <c r="AC77" s="14">
        <v>5.0</v>
      </c>
      <c r="AD77" s="14">
        <v>0.0</v>
      </c>
      <c r="AE77" s="14">
        <v>0.0</v>
      </c>
      <c r="AG77" s="14">
        <v>3.0</v>
      </c>
      <c r="AH77" s="14">
        <v>0.0</v>
      </c>
      <c r="AI77" s="14">
        <v>8.0</v>
      </c>
    </row>
    <row r="78" ht="15.75" customHeight="1">
      <c r="A78" s="14">
        <v>78.0</v>
      </c>
      <c r="B78" s="14" t="s">
        <v>319</v>
      </c>
      <c r="C78" s="14" t="s">
        <v>67</v>
      </c>
      <c r="D78" s="14">
        <v>9.0</v>
      </c>
      <c r="E78" s="14">
        <v>3754.0</v>
      </c>
      <c r="F78" s="14">
        <v>25.0</v>
      </c>
      <c r="G78" s="14">
        <v>3779.0</v>
      </c>
      <c r="H78" s="14">
        <v>21.0</v>
      </c>
      <c r="I78" s="14">
        <v>3800.0</v>
      </c>
      <c r="J78" s="14">
        <v>18.0</v>
      </c>
      <c r="K78" s="14">
        <v>3818.0</v>
      </c>
      <c r="L78" s="14">
        <v>17.0</v>
      </c>
      <c r="M78" s="14">
        <v>3835.0</v>
      </c>
      <c r="N78" s="14">
        <v>16.0</v>
      </c>
      <c r="O78" s="14">
        <v>3851.0</v>
      </c>
      <c r="P78" s="14">
        <v>21.0</v>
      </c>
      <c r="Q78" s="14">
        <v>3872.0</v>
      </c>
      <c r="R78" s="14">
        <v>21.0</v>
      </c>
      <c r="S78" s="14">
        <v>3893.0</v>
      </c>
      <c r="T78" s="14">
        <v>21.0</v>
      </c>
      <c r="U78" s="14">
        <v>3904.0</v>
      </c>
      <c r="V78" s="14">
        <v>11.0</v>
      </c>
      <c r="W78" s="14">
        <v>3915.0</v>
      </c>
      <c r="X78" s="14">
        <v>11.0</v>
      </c>
      <c r="Y78" s="14">
        <v>3929.0</v>
      </c>
      <c r="Z78" s="14">
        <v>14.0</v>
      </c>
      <c r="AA78" s="14">
        <v>3942.0</v>
      </c>
      <c r="AB78" s="14">
        <v>13.0</v>
      </c>
      <c r="AC78" s="14">
        <v>13.0</v>
      </c>
      <c r="AD78" s="14">
        <v>0.0</v>
      </c>
      <c r="AE78" s="14">
        <v>0.0</v>
      </c>
      <c r="AG78" s="14">
        <v>3.0</v>
      </c>
      <c r="AH78" s="14">
        <v>0.0</v>
      </c>
      <c r="AI78" s="14">
        <v>16.0</v>
      </c>
    </row>
    <row r="79" ht="15.75" customHeight="1">
      <c r="A79" s="14">
        <v>79.0</v>
      </c>
      <c r="B79" s="14" t="s">
        <v>322</v>
      </c>
      <c r="C79" s="14" t="s">
        <v>67</v>
      </c>
      <c r="D79" s="14">
        <v>10.0</v>
      </c>
      <c r="E79" s="14">
        <v>2569.0</v>
      </c>
      <c r="F79" s="14">
        <v>11.0</v>
      </c>
      <c r="G79" s="14">
        <v>2580.0</v>
      </c>
      <c r="H79" s="14">
        <v>12.0</v>
      </c>
      <c r="I79" s="14">
        <v>2592.0</v>
      </c>
      <c r="J79" s="14">
        <v>13.0</v>
      </c>
      <c r="K79" s="14">
        <v>2605.0</v>
      </c>
      <c r="L79" s="14">
        <v>14.0</v>
      </c>
      <c r="M79" s="14">
        <v>2619.0</v>
      </c>
      <c r="N79" s="14">
        <v>13.0</v>
      </c>
      <c r="O79" s="14">
        <v>2632.0</v>
      </c>
      <c r="P79" s="14">
        <v>11.0</v>
      </c>
      <c r="Q79" s="14">
        <v>2643.0</v>
      </c>
      <c r="R79" s="14">
        <v>11.0</v>
      </c>
      <c r="S79" s="14">
        <v>2655.0</v>
      </c>
      <c r="T79" s="14">
        <v>12.0</v>
      </c>
      <c r="U79" s="14">
        <v>2667.0</v>
      </c>
      <c r="V79" s="14">
        <v>12.0</v>
      </c>
      <c r="W79" s="14">
        <v>2677.0</v>
      </c>
      <c r="X79" s="14">
        <v>10.0</v>
      </c>
      <c r="Y79" s="14">
        <v>2687.0</v>
      </c>
      <c r="Z79" s="14">
        <v>10.0</v>
      </c>
      <c r="AA79" s="14">
        <v>2697.0</v>
      </c>
      <c r="AB79" s="14">
        <v>10.0</v>
      </c>
      <c r="AC79" s="14">
        <v>10.0</v>
      </c>
      <c r="AD79" s="14">
        <v>0.0</v>
      </c>
      <c r="AE79" s="14">
        <v>0.0</v>
      </c>
      <c r="AG79" s="14">
        <v>3.0</v>
      </c>
      <c r="AH79" s="14">
        <v>0.0</v>
      </c>
      <c r="AI79" s="14">
        <v>13.0</v>
      </c>
    </row>
    <row r="80" ht="15.75" customHeight="1">
      <c r="A80" s="14">
        <v>80.0</v>
      </c>
      <c r="B80" s="14" t="s">
        <v>323</v>
      </c>
      <c r="C80" s="14" t="s">
        <v>67</v>
      </c>
      <c r="D80" s="14">
        <v>11.0</v>
      </c>
      <c r="E80" s="14">
        <v>721.0</v>
      </c>
      <c r="F80" s="14">
        <v>14.0</v>
      </c>
      <c r="G80" s="14">
        <v>735.0</v>
      </c>
      <c r="H80" s="14">
        <v>16.0</v>
      </c>
      <c r="I80" s="14">
        <v>751.0</v>
      </c>
      <c r="J80" s="14">
        <v>14.0</v>
      </c>
      <c r="K80" s="14">
        <v>765.0</v>
      </c>
      <c r="L80" s="14">
        <v>13.0</v>
      </c>
      <c r="M80" s="14">
        <v>778.0</v>
      </c>
      <c r="N80" s="14">
        <v>12.0</v>
      </c>
      <c r="O80" s="14">
        <v>790.0</v>
      </c>
      <c r="P80" s="14">
        <v>12.0</v>
      </c>
      <c r="Q80" s="14">
        <v>802.0</v>
      </c>
      <c r="R80" s="14">
        <v>12.0</v>
      </c>
      <c r="S80" s="14">
        <v>812.0</v>
      </c>
      <c r="T80" s="14">
        <v>10.0</v>
      </c>
      <c r="U80" s="14">
        <v>823.0</v>
      </c>
      <c r="V80" s="14">
        <v>11.0</v>
      </c>
      <c r="W80" s="14">
        <v>834.0</v>
      </c>
      <c r="X80" s="14">
        <v>11.0</v>
      </c>
      <c r="Y80" s="14">
        <v>844.0</v>
      </c>
      <c r="Z80" s="14">
        <v>10.0</v>
      </c>
      <c r="AA80" s="14">
        <v>855.0</v>
      </c>
      <c r="AB80" s="14">
        <v>11.0</v>
      </c>
      <c r="AC80" s="14">
        <v>11.0</v>
      </c>
      <c r="AD80" s="14">
        <v>0.0</v>
      </c>
      <c r="AE80" s="14">
        <v>0.0</v>
      </c>
      <c r="AG80" s="14">
        <v>3.0</v>
      </c>
      <c r="AH80" s="14">
        <v>20.0</v>
      </c>
      <c r="AI80" s="14">
        <v>34.0</v>
      </c>
    </row>
    <row r="81" ht="15.75" customHeight="1">
      <c r="A81" s="14">
        <v>81.0</v>
      </c>
      <c r="B81" s="14" t="s">
        <v>326</v>
      </c>
      <c r="C81" s="14" t="s">
        <v>67</v>
      </c>
      <c r="D81" s="14">
        <v>12.0</v>
      </c>
      <c r="E81" s="14">
        <v>1033.0</v>
      </c>
      <c r="F81" s="14">
        <v>20.0</v>
      </c>
      <c r="G81" s="14">
        <v>1053.0</v>
      </c>
      <c r="H81" s="14">
        <v>-20.0</v>
      </c>
      <c r="I81" s="14">
        <v>1033.0</v>
      </c>
      <c r="J81" s="14">
        <v>0.0</v>
      </c>
      <c r="K81" s="14">
        <v>0.0</v>
      </c>
      <c r="L81" s="14">
        <v>36.0</v>
      </c>
      <c r="M81" s="14">
        <v>36.0</v>
      </c>
      <c r="N81" s="14">
        <v>28.0</v>
      </c>
      <c r="O81" s="14">
        <v>64.0</v>
      </c>
      <c r="P81" s="14">
        <v>29.0</v>
      </c>
      <c r="Q81" s="14">
        <v>93.0</v>
      </c>
      <c r="R81" s="14">
        <v>29.0</v>
      </c>
      <c r="S81" s="14">
        <v>116.0</v>
      </c>
      <c r="T81" s="14">
        <v>23.0</v>
      </c>
      <c r="U81" s="14">
        <v>133.0</v>
      </c>
      <c r="V81" s="14">
        <v>17.0</v>
      </c>
      <c r="W81" s="14">
        <v>153.0</v>
      </c>
      <c r="X81" s="14">
        <v>20.0</v>
      </c>
      <c r="Y81" s="14">
        <v>175.0</v>
      </c>
      <c r="Z81" s="14">
        <v>22.0</v>
      </c>
      <c r="AA81" s="14">
        <v>215.0</v>
      </c>
      <c r="AB81" s="14">
        <v>40.0</v>
      </c>
      <c r="AC81" s="14">
        <v>40.0</v>
      </c>
      <c r="AD81" s="14">
        <v>0.0</v>
      </c>
      <c r="AE81" s="14">
        <v>0.0</v>
      </c>
      <c r="AG81" s="14">
        <v>3.0</v>
      </c>
      <c r="AH81" s="14">
        <v>20.0</v>
      </c>
      <c r="AI81" s="14">
        <v>63.0</v>
      </c>
    </row>
    <row r="82" ht="15.75" customHeight="1">
      <c r="A82" s="14">
        <v>82.0</v>
      </c>
      <c r="B82" s="14" t="s">
        <v>328</v>
      </c>
      <c r="C82" s="14" t="s">
        <v>67</v>
      </c>
      <c r="D82" s="14">
        <v>13.0</v>
      </c>
      <c r="E82" s="14">
        <v>26.0</v>
      </c>
      <c r="F82" s="14">
        <v>29.0</v>
      </c>
      <c r="G82" s="14">
        <v>55.0</v>
      </c>
      <c r="H82" s="14">
        <v>23.0</v>
      </c>
      <c r="I82" s="14">
        <v>78.0</v>
      </c>
      <c r="J82" s="14">
        <v>21.0</v>
      </c>
      <c r="K82" s="14">
        <v>99.0</v>
      </c>
      <c r="L82" s="14">
        <v>17.0</v>
      </c>
      <c r="M82" s="14">
        <v>116.0</v>
      </c>
      <c r="N82" s="14">
        <v>16.0</v>
      </c>
      <c r="O82" s="14">
        <v>132.0</v>
      </c>
      <c r="P82" s="14">
        <v>15.0</v>
      </c>
      <c r="Q82" s="14">
        <v>147.0</v>
      </c>
      <c r="R82" s="14">
        <v>15.0</v>
      </c>
      <c r="S82" s="14">
        <v>162.0</v>
      </c>
      <c r="T82" s="14">
        <v>15.0</v>
      </c>
      <c r="U82" s="14">
        <v>176.0</v>
      </c>
      <c r="V82" s="14">
        <v>14.0</v>
      </c>
      <c r="W82" s="14">
        <v>191.0</v>
      </c>
      <c r="X82" s="14">
        <v>15.0</v>
      </c>
      <c r="Y82" s="14">
        <v>206.0</v>
      </c>
      <c r="Z82" s="14">
        <v>15.0</v>
      </c>
      <c r="AA82" s="14">
        <v>221.0</v>
      </c>
      <c r="AB82" s="14">
        <v>15.0</v>
      </c>
      <c r="AC82" s="14">
        <v>15.0</v>
      </c>
      <c r="AD82" s="14">
        <v>0.0</v>
      </c>
      <c r="AE82" s="14">
        <v>0.0</v>
      </c>
      <c r="AG82" s="14">
        <v>3.0</v>
      </c>
      <c r="AH82" s="14">
        <v>0.0</v>
      </c>
      <c r="AI82" s="14">
        <v>18.0</v>
      </c>
    </row>
    <row r="83" ht="15.75" customHeight="1">
      <c r="A83" s="14">
        <v>83.0</v>
      </c>
      <c r="B83" s="14" t="s">
        <v>331</v>
      </c>
      <c r="C83" s="14" t="s">
        <v>67</v>
      </c>
      <c r="D83" s="14">
        <v>16.0</v>
      </c>
      <c r="E83" s="14">
        <v>1499.0</v>
      </c>
      <c r="F83" s="14">
        <v>7.0</v>
      </c>
      <c r="G83" s="14">
        <v>1506.0</v>
      </c>
      <c r="H83" s="14">
        <v>5.0</v>
      </c>
      <c r="I83" s="14">
        <v>1511.0</v>
      </c>
      <c r="J83" s="14">
        <v>13.0</v>
      </c>
      <c r="K83" s="14">
        <v>1524.0</v>
      </c>
      <c r="L83" s="14">
        <v>14.0</v>
      </c>
      <c r="M83" s="14">
        <v>1538.0</v>
      </c>
      <c r="N83" s="14">
        <v>4.0</v>
      </c>
      <c r="O83" s="14">
        <v>1542.0</v>
      </c>
      <c r="P83" s="14">
        <v>4.0</v>
      </c>
      <c r="Q83" s="14">
        <v>1546.0</v>
      </c>
      <c r="R83" s="14">
        <v>4.0</v>
      </c>
      <c r="S83" s="14">
        <v>1551.0</v>
      </c>
      <c r="T83" s="14">
        <v>5.0</v>
      </c>
      <c r="U83" s="14">
        <v>1555.0</v>
      </c>
      <c r="V83" s="14">
        <v>4.0</v>
      </c>
      <c r="W83" s="14">
        <v>1559.0</v>
      </c>
      <c r="X83" s="14">
        <v>4.0</v>
      </c>
      <c r="Y83" s="14">
        <v>1562.0</v>
      </c>
      <c r="Z83" s="14">
        <v>3.0</v>
      </c>
      <c r="AA83" s="14">
        <v>1567.0</v>
      </c>
      <c r="AB83" s="14">
        <v>5.0</v>
      </c>
      <c r="AC83" s="14">
        <v>5.0</v>
      </c>
      <c r="AD83" s="14">
        <v>0.0</v>
      </c>
      <c r="AE83" s="14">
        <v>0.0</v>
      </c>
      <c r="AG83" s="14">
        <v>3.0</v>
      </c>
      <c r="AH83" s="14">
        <v>0.0</v>
      </c>
      <c r="AI83" s="14">
        <v>8.0</v>
      </c>
    </row>
    <row r="84" ht="15.75" customHeight="1">
      <c r="A84" s="14">
        <v>84.0</v>
      </c>
      <c r="B84" s="14" t="s">
        <v>333</v>
      </c>
      <c r="C84" s="14" t="s">
        <v>67</v>
      </c>
      <c r="D84" s="14">
        <v>17.0</v>
      </c>
      <c r="E84" s="14">
        <v>2613.0</v>
      </c>
      <c r="F84" s="14">
        <v>22.0</v>
      </c>
      <c r="G84" s="14">
        <v>2635.0</v>
      </c>
      <c r="H84" s="14">
        <v>22.0</v>
      </c>
      <c r="I84" s="14">
        <v>2657.0</v>
      </c>
      <c r="J84" s="14">
        <v>20.0</v>
      </c>
      <c r="K84" s="14">
        <v>2677.0</v>
      </c>
      <c r="L84" s="14">
        <v>18.0</v>
      </c>
      <c r="M84" s="14">
        <v>2695.0</v>
      </c>
      <c r="N84" s="14">
        <v>17.0</v>
      </c>
      <c r="O84" s="14">
        <v>2712.0</v>
      </c>
      <c r="P84" s="14">
        <v>15.0</v>
      </c>
      <c r="Q84" s="14">
        <v>2727.0</v>
      </c>
      <c r="R84" s="14">
        <v>15.0</v>
      </c>
      <c r="S84" s="14">
        <v>2740.0</v>
      </c>
      <c r="T84" s="14">
        <v>13.0</v>
      </c>
      <c r="U84" s="14">
        <v>2753.0</v>
      </c>
      <c r="V84" s="14">
        <v>13.0</v>
      </c>
      <c r="W84" s="14">
        <v>2765.0</v>
      </c>
      <c r="X84" s="14">
        <v>12.0</v>
      </c>
      <c r="Y84" s="14">
        <v>2779.0</v>
      </c>
      <c r="Z84" s="14">
        <v>14.0</v>
      </c>
      <c r="AA84" s="14">
        <v>2794.0</v>
      </c>
      <c r="AB84" s="14">
        <v>15.0</v>
      </c>
      <c r="AC84" s="14">
        <v>15.0</v>
      </c>
      <c r="AD84" s="14">
        <v>0.0</v>
      </c>
      <c r="AE84" s="14">
        <v>0.0</v>
      </c>
      <c r="AG84" s="14">
        <v>3.0</v>
      </c>
      <c r="AH84" s="14">
        <v>0.0</v>
      </c>
      <c r="AI84" s="14">
        <v>18.0</v>
      </c>
    </row>
    <row r="85" ht="15.75" customHeight="1">
      <c r="A85" s="14">
        <v>85.0</v>
      </c>
      <c r="B85" s="14" t="s">
        <v>335</v>
      </c>
      <c r="C85" s="14" t="s">
        <v>67</v>
      </c>
      <c r="D85" s="14">
        <v>18.0</v>
      </c>
      <c r="E85" s="14">
        <v>316.0</v>
      </c>
      <c r="F85" s="14">
        <v>27.0</v>
      </c>
      <c r="G85" s="14">
        <v>343.0</v>
      </c>
      <c r="H85" s="14">
        <v>29.0</v>
      </c>
      <c r="I85" s="14">
        <v>372.0</v>
      </c>
      <c r="J85" s="14">
        <v>17.0</v>
      </c>
      <c r="K85" s="14">
        <v>389.0</v>
      </c>
      <c r="L85" s="14">
        <v>17.0</v>
      </c>
      <c r="M85" s="14">
        <v>406.0</v>
      </c>
      <c r="N85" s="14">
        <v>17.0</v>
      </c>
      <c r="O85" s="14">
        <v>423.0</v>
      </c>
      <c r="P85" s="14">
        <v>23.0</v>
      </c>
      <c r="Q85" s="14">
        <v>446.0</v>
      </c>
      <c r="R85" s="14">
        <v>23.0</v>
      </c>
      <c r="S85" s="14">
        <v>462.0</v>
      </c>
      <c r="T85" s="14">
        <v>16.0</v>
      </c>
      <c r="U85" s="14">
        <v>485.0</v>
      </c>
      <c r="V85" s="14">
        <v>23.0</v>
      </c>
      <c r="W85" s="14">
        <v>506.0</v>
      </c>
      <c r="X85" s="14">
        <v>21.0</v>
      </c>
      <c r="Y85" s="14">
        <v>530.0</v>
      </c>
      <c r="Z85" s="14">
        <v>24.0</v>
      </c>
      <c r="AA85" s="14">
        <v>561.0</v>
      </c>
      <c r="AB85" s="14">
        <v>31.0</v>
      </c>
      <c r="AC85" s="14">
        <v>31.0</v>
      </c>
      <c r="AD85" s="14">
        <v>0.0</v>
      </c>
      <c r="AE85" s="14">
        <v>0.0</v>
      </c>
      <c r="AG85" s="14">
        <v>3.0</v>
      </c>
      <c r="AH85" s="14">
        <v>0.0</v>
      </c>
      <c r="AI85" s="14">
        <v>34.0</v>
      </c>
    </row>
    <row r="86" ht="15.75" customHeight="1">
      <c r="A86" s="14">
        <v>86.0</v>
      </c>
      <c r="B86" s="14" t="s">
        <v>338</v>
      </c>
      <c r="C86" s="14" t="s">
        <v>67</v>
      </c>
      <c r="D86" s="14">
        <v>19.0</v>
      </c>
      <c r="E86" s="14">
        <v>1651.0</v>
      </c>
      <c r="F86" s="14">
        <v>8.0</v>
      </c>
      <c r="G86" s="14">
        <v>1659.0</v>
      </c>
      <c r="H86" s="14">
        <v>14.0</v>
      </c>
      <c r="I86" s="14">
        <v>1673.0</v>
      </c>
      <c r="J86" s="14">
        <v>9.0</v>
      </c>
      <c r="K86" s="14">
        <v>1682.0</v>
      </c>
      <c r="L86" s="14">
        <v>7.0</v>
      </c>
      <c r="M86" s="14">
        <v>1689.0</v>
      </c>
      <c r="N86" s="14">
        <v>6.0</v>
      </c>
      <c r="O86" s="14">
        <v>1695.0</v>
      </c>
      <c r="P86" s="14">
        <v>3.0</v>
      </c>
      <c r="Q86" s="14">
        <v>1698.0</v>
      </c>
      <c r="R86" s="14">
        <v>3.0</v>
      </c>
      <c r="S86" s="14">
        <v>1702.0</v>
      </c>
      <c r="T86" s="14">
        <v>4.0</v>
      </c>
      <c r="U86" s="14">
        <v>1705.0</v>
      </c>
      <c r="V86" s="14">
        <v>3.0</v>
      </c>
      <c r="W86" s="14">
        <v>1706.0</v>
      </c>
      <c r="X86" s="14">
        <v>1.0</v>
      </c>
      <c r="Y86" s="14">
        <v>1711.0</v>
      </c>
      <c r="Z86" s="14">
        <v>5.0</v>
      </c>
      <c r="AA86" s="14">
        <v>1724.0</v>
      </c>
      <c r="AB86" s="14">
        <v>13.0</v>
      </c>
      <c r="AC86" s="14">
        <v>13.0</v>
      </c>
      <c r="AD86" s="14">
        <v>0.0</v>
      </c>
      <c r="AE86" s="14">
        <v>0.0</v>
      </c>
      <c r="AG86" s="14">
        <v>3.0</v>
      </c>
      <c r="AH86" s="14">
        <v>0.0</v>
      </c>
      <c r="AI86" s="14">
        <v>16.0</v>
      </c>
    </row>
    <row r="87" ht="15.75" customHeight="1">
      <c r="A87" s="14">
        <v>87.0</v>
      </c>
      <c r="B87" s="14" t="s">
        <v>340</v>
      </c>
      <c r="C87" s="14" t="s">
        <v>82</v>
      </c>
      <c r="D87" s="14">
        <v>1.0</v>
      </c>
      <c r="E87" s="14">
        <v>123.0</v>
      </c>
      <c r="F87" s="14">
        <v>8.0</v>
      </c>
      <c r="G87" s="14">
        <v>131.0</v>
      </c>
      <c r="H87" s="14">
        <v>8.0</v>
      </c>
      <c r="I87" s="14">
        <v>139.0</v>
      </c>
      <c r="J87" s="14">
        <v>8.0</v>
      </c>
      <c r="K87" s="14">
        <v>147.0</v>
      </c>
      <c r="L87" s="14">
        <v>9.0</v>
      </c>
      <c r="M87" s="14">
        <v>156.0</v>
      </c>
      <c r="N87" s="14">
        <v>9.0</v>
      </c>
      <c r="O87" s="14">
        <v>165.0</v>
      </c>
      <c r="P87" s="14">
        <v>6.0</v>
      </c>
      <c r="Q87" s="14">
        <v>171.0</v>
      </c>
      <c r="R87" s="14">
        <v>6.0</v>
      </c>
      <c r="S87" s="14">
        <v>177.0</v>
      </c>
      <c r="T87" s="14">
        <v>6.0</v>
      </c>
      <c r="U87" s="14">
        <v>185.0</v>
      </c>
      <c r="V87" s="14">
        <v>8.0</v>
      </c>
      <c r="W87" s="14">
        <v>192.0</v>
      </c>
      <c r="X87" s="14">
        <v>7.0</v>
      </c>
      <c r="Y87" s="14">
        <v>198.0</v>
      </c>
      <c r="Z87" s="14">
        <v>6.0</v>
      </c>
      <c r="AA87" s="14">
        <v>206.0</v>
      </c>
      <c r="AB87" s="14">
        <v>8.0</v>
      </c>
      <c r="AC87" s="14">
        <v>8.0</v>
      </c>
      <c r="AD87" s="14">
        <v>0.0</v>
      </c>
      <c r="AE87" s="14">
        <v>0.0</v>
      </c>
      <c r="AG87" s="14">
        <v>3.0</v>
      </c>
      <c r="AH87" s="14">
        <v>0.0</v>
      </c>
      <c r="AI87" s="14">
        <v>11.0</v>
      </c>
    </row>
    <row r="88" ht="15.75" customHeight="1">
      <c r="A88" s="14">
        <v>88.0</v>
      </c>
      <c r="B88" s="14" t="s">
        <v>342</v>
      </c>
      <c r="C88" s="14" t="s">
        <v>82</v>
      </c>
      <c r="D88" s="14">
        <v>2.0</v>
      </c>
      <c r="E88" s="14">
        <v>2908.0</v>
      </c>
      <c r="F88" s="14">
        <v>12.0</v>
      </c>
      <c r="G88" s="14">
        <v>2920.0</v>
      </c>
      <c r="H88" s="14">
        <v>11.0</v>
      </c>
      <c r="I88" s="14">
        <v>2931.0</v>
      </c>
      <c r="J88" s="14">
        <v>12.0</v>
      </c>
      <c r="K88" s="14">
        <v>2943.0</v>
      </c>
      <c r="L88" s="14">
        <v>9.0</v>
      </c>
      <c r="M88" s="14">
        <v>2952.0</v>
      </c>
      <c r="N88" s="14">
        <v>10.0</v>
      </c>
      <c r="O88" s="14">
        <v>2962.0</v>
      </c>
      <c r="P88" s="14">
        <v>8.0</v>
      </c>
      <c r="Q88" s="14">
        <v>2970.0</v>
      </c>
      <c r="R88" s="14">
        <v>8.0</v>
      </c>
      <c r="S88" s="14">
        <v>2988.0</v>
      </c>
      <c r="T88" s="14">
        <v>18.0</v>
      </c>
      <c r="U88" s="14">
        <v>2998.0</v>
      </c>
      <c r="V88" s="14">
        <v>10.0</v>
      </c>
      <c r="W88" s="14">
        <v>3015.0</v>
      </c>
      <c r="X88" s="14">
        <v>17.0</v>
      </c>
      <c r="Y88" s="14">
        <v>3026.0</v>
      </c>
      <c r="Z88" s="14">
        <v>11.0</v>
      </c>
      <c r="AA88" s="14">
        <v>3038.0</v>
      </c>
      <c r="AB88" s="14">
        <v>12.0</v>
      </c>
      <c r="AC88" s="14">
        <v>12.0</v>
      </c>
      <c r="AD88" s="14">
        <v>0.0</v>
      </c>
      <c r="AE88" s="14">
        <v>0.0</v>
      </c>
      <c r="AG88" s="14">
        <v>3.0</v>
      </c>
      <c r="AH88" s="14">
        <v>0.0</v>
      </c>
      <c r="AI88" s="14">
        <v>15.0</v>
      </c>
    </row>
    <row r="89" ht="15.75" customHeight="1">
      <c r="A89" s="14">
        <v>89.0</v>
      </c>
      <c r="B89" s="14" t="s">
        <v>344</v>
      </c>
      <c r="C89" s="14" t="s">
        <v>82</v>
      </c>
      <c r="D89" s="14">
        <v>3.0</v>
      </c>
      <c r="E89" s="14">
        <v>2023.0</v>
      </c>
      <c r="F89" s="14">
        <v>78.0</v>
      </c>
      <c r="G89" s="14">
        <v>2101.0</v>
      </c>
      <c r="H89" s="14">
        <v>66.0</v>
      </c>
      <c r="I89" s="14">
        <v>2167.0</v>
      </c>
      <c r="J89" s="14">
        <v>74.0</v>
      </c>
      <c r="K89" s="14">
        <v>2241.0</v>
      </c>
      <c r="L89" s="14">
        <v>73.0</v>
      </c>
      <c r="M89" s="14">
        <v>2314.0</v>
      </c>
      <c r="N89" s="14">
        <v>72.0</v>
      </c>
      <c r="O89" s="14">
        <v>2386.0</v>
      </c>
      <c r="P89" s="14">
        <v>73.0</v>
      </c>
      <c r="Q89" s="14">
        <v>2459.0</v>
      </c>
      <c r="R89" s="14">
        <v>73.0</v>
      </c>
      <c r="S89" s="14">
        <v>2527.0</v>
      </c>
      <c r="T89" s="14">
        <v>68.0</v>
      </c>
      <c r="U89" s="14">
        <v>2584.0</v>
      </c>
      <c r="V89" s="14">
        <v>57.0</v>
      </c>
      <c r="W89" s="14">
        <v>2601.0</v>
      </c>
      <c r="X89" s="14">
        <v>17.0</v>
      </c>
      <c r="Y89" s="14">
        <v>2609.0</v>
      </c>
      <c r="Z89" s="14">
        <v>8.0</v>
      </c>
      <c r="AA89" s="14">
        <v>2619.0</v>
      </c>
      <c r="AB89" s="14">
        <v>10.0</v>
      </c>
      <c r="AC89" s="14">
        <v>10.0</v>
      </c>
      <c r="AD89" s="14">
        <v>0.0</v>
      </c>
      <c r="AE89" s="14">
        <v>0.0</v>
      </c>
      <c r="AG89" s="14">
        <v>3.0</v>
      </c>
      <c r="AH89" s="14">
        <v>20.0</v>
      </c>
      <c r="AI89" s="14">
        <v>33.0</v>
      </c>
    </row>
    <row r="90" ht="15.75" customHeight="1">
      <c r="A90" s="14">
        <v>90.0</v>
      </c>
      <c r="B90" s="14" t="s">
        <v>346</v>
      </c>
      <c r="C90" s="14" t="s">
        <v>82</v>
      </c>
      <c r="D90" s="14">
        <v>4.0</v>
      </c>
      <c r="E90" s="14">
        <v>1736.0</v>
      </c>
      <c r="F90" s="14">
        <v>11.0</v>
      </c>
      <c r="G90" s="14">
        <v>1747.0</v>
      </c>
      <c r="H90" s="14">
        <v>12.0</v>
      </c>
      <c r="I90" s="14">
        <v>1759.0</v>
      </c>
      <c r="J90" s="14">
        <v>9.0</v>
      </c>
      <c r="K90" s="14">
        <v>1768.0</v>
      </c>
      <c r="L90" s="14">
        <v>14.0</v>
      </c>
      <c r="M90" s="14">
        <v>1782.0</v>
      </c>
      <c r="N90" s="14">
        <v>12.0</v>
      </c>
      <c r="O90" s="14">
        <v>1794.0</v>
      </c>
      <c r="P90" s="14">
        <v>5.0</v>
      </c>
      <c r="Q90" s="14">
        <v>1799.0</v>
      </c>
      <c r="R90" s="14">
        <v>5.0</v>
      </c>
      <c r="S90" s="14">
        <v>1803.0</v>
      </c>
      <c r="T90" s="14">
        <v>4.0</v>
      </c>
      <c r="U90" s="14">
        <v>1810.0</v>
      </c>
      <c r="V90" s="14">
        <v>7.0</v>
      </c>
      <c r="W90" s="14">
        <v>1822.0</v>
      </c>
      <c r="X90" s="14">
        <v>12.0</v>
      </c>
      <c r="Y90" s="14">
        <v>0.0</v>
      </c>
      <c r="Z90" s="14">
        <v>0.0</v>
      </c>
      <c r="AA90" s="14">
        <v>8.0</v>
      </c>
      <c r="AB90" s="14">
        <v>8.0</v>
      </c>
      <c r="AC90" s="14">
        <v>8.0</v>
      </c>
      <c r="AD90" s="14">
        <v>20.0</v>
      </c>
      <c r="AE90" s="14">
        <v>0.0</v>
      </c>
      <c r="AF90" s="14">
        <v>65.0</v>
      </c>
      <c r="AG90" s="14">
        <v>3.0</v>
      </c>
      <c r="AH90" s="14">
        <v>0.0</v>
      </c>
      <c r="AI90" s="14">
        <v>96.0</v>
      </c>
    </row>
    <row r="91" ht="15.75" customHeight="1">
      <c r="A91" s="14">
        <v>91.0</v>
      </c>
      <c r="B91" s="14" t="s">
        <v>348</v>
      </c>
      <c r="C91" s="14" t="s">
        <v>82</v>
      </c>
      <c r="D91" s="14">
        <v>6.0</v>
      </c>
      <c r="E91" s="14">
        <v>623.0</v>
      </c>
      <c r="F91" s="14">
        <v>16.0</v>
      </c>
      <c r="G91" s="14">
        <v>639.0</v>
      </c>
      <c r="H91" s="14">
        <v>17.0</v>
      </c>
      <c r="I91" s="14">
        <v>656.0</v>
      </c>
      <c r="J91" s="14">
        <v>19.0</v>
      </c>
      <c r="K91" s="14">
        <v>675.0</v>
      </c>
      <c r="L91" s="14">
        <v>14.0</v>
      </c>
      <c r="M91" s="14">
        <v>689.0</v>
      </c>
      <c r="N91" s="14">
        <v>15.0</v>
      </c>
      <c r="O91" s="14">
        <v>704.0</v>
      </c>
      <c r="P91" s="14">
        <v>11.0</v>
      </c>
      <c r="Q91" s="14">
        <v>715.0</v>
      </c>
      <c r="R91" s="14">
        <v>11.0</v>
      </c>
      <c r="S91" s="14">
        <v>722.0</v>
      </c>
      <c r="T91" s="14">
        <v>7.0</v>
      </c>
      <c r="U91" s="14">
        <v>730.0</v>
      </c>
      <c r="V91" s="14">
        <v>8.0</v>
      </c>
      <c r="W91" s="14">
        <v>740.0</v>
      </c>
      <c r="X91" s="14">
        <v>10.0</v>
      </c>
      <c r="Y91" s="14">
        <v>750.0</v>
      </c>
      <c r="Z91" s="14">
        <v>10.0</v>
      </c>
      <c r="AA91" s="14">
        <v>765.0</v>
      </c>
      <c r="AB91" s="14">
        <v>15.0</v>
      </c>
      <c r="AC91" s="14">
        <v>15.0</v>
      </c>
      <c r="AD91" s="14">
        <v>0.0</v>
      </c>
      <c r="AE91" s="14">
        <v>0.0</v>
      </c>
      <c r="AG91" s="14">
        <v>3.0</v>
      </c>
      <c r="AH91" s="14">
        <v>0.0</v>
      </c>
      <c r="AI91" s="14">
        <v>18.0</v>
      </c>
    </row>
    <row r="92" ht="15.75" customHeight="1">
      <c r="A92" s="14">
        <v>92.0</v>
      </c>
      <c r="B92" s="14" t="s">
        <v>352</v>
      </c>
      <c r="C92" s="14" t="s">
        <v>82</v>
      </c>
      <c r="D92" s="14">
        <v>7.0</v>
      </c>
      <c r="E92" s="14">
        <v>1760.0</v>
      </c>
      <c r="F92" s="14">
        <v>3.0</v>
      </c>
      <c r="G92" s="14">
        <v>1763.0</v>
      </c>
      <c r="H92" s="14">
        <v>10.0</v>
      </c>
      <c r="I92" s="14">
        <v>1773.0</v>
      </c>
      <c r="J92" s="14">
        <v>7.0</v>
      </c>
      <c r="K92" s="14">
        <v>1780.0</v>
      </c>
      <c r="L92" s="14">
        <v>3.0</v>
      </c>
      <c r="M92" s="14">
        <v>1783.0</v>
      </c>
      <c r="N92" s="14">
        <v>15.0</v>
      </c>
      <c r="O92" s="14">
        <v>1798.0</v>
      </c>
      <c r="P92" s="14">
        <v>2.0</v>
      </c>
      <c r="Q92" s="14">
        <v>1800.0</v>
      </c>
      <c r="R92" s="14">
        <v>2.0</v>
      </c>
      <c r="S92" s="14">
        <v>1803.0</v>
      </c>
      <c r="T92" s="14">
        <v>3.0</v>
      </c>
      <c r="U92" s="14">
        <v>1804.0</v>
      </c>
      <c r="V92" s="14">
        <v>1.0</v>
      </c>
      <c r="W92" s="14">
        <v>1808.0</v>
      </c>
      <c r="X92" s="14">
        <v>4.0</v>
      </c>
      <c r="Y92" s="14">
        <v>1814.0</v>
      </c>
      <c r="Z92" s="14">
        <v>6.0</v>
      </c>
      <c r="AA92" s="14">
        <v>1819.0</v>
      </c>
      <c r="AB92" s="14">
        <v>5.0</v>
      </c>
      <c r="AC92" s="14">
        <v>5.0</v>
      </c>
      <c r="AD92" s="14">
        <v>0.0</v>
      </c>
      <c r="AE92" s="14">
        <v>0.0</v>
      </c>
      <c r="AG92" s="14">
        <v>3.0</v>
      </c>
      <c r="AH92" s="14">
        <v>0.0</v>
      </c>
      <c r="AI92" s="14">
        <v>8.0</v>
      </c>
    </row>
    <row r="93" ht="15.75" customHeight="1">
      <c r="A93" s="14">
        <v>93.0</v>
      </c>
      <c r="B93" s="14" t="s">
        <v>354</v>
      </c>
      <c r="C93" s="14" t="s">
        <v>82</v>
      </c>
      <c r="D93" s="14">
        <v>8.0</v>
      </c>
      <c r="E93" s="14">
        <v>826.0</v>
      </c>
      <c r="F93" s="14">
        <v>4.0</v>
      </c>
      <c r="G93" s="14">
        <v>830.0</v>
      </c>
      <c r="H93" s="14">
        <v>5.0</v>
      </c>
      <c r="I93" s="14">
        <v>835.0</v>
      </c>
      <c r="J93" s="14">
        <v>7.0</v>
      </c>
      <c r="K93" s="14">
        <v>842.0</v>
      </c>
      <c r="L93" s="14">
        <v>9.0</v>
      </c>
      <c r="M93" s="14">
        <v>851.0</v>
      </c>
      <c r="N93" s="14">
        <v>21.0</v>
      </c>
      <c r="O93" s="14">
        <v>872.0</v>
      </c>
      <c r="P93" s="14">
        <v>5.0</v>
      </c>
      <c r="Q93" s="14">
        <v>877.0</v>
      </c>
      <c r="R93" s="14">
        <v>5.0</v>
      </c>
      <c r="S93" s="14">
        <v>896.0</v>
      </c>
      <c r="T93" s="14">
        <v>19.0</v>
      </c>
      <c r="U93" s="14">
        <v>899.0</v>
      </c>
      <c r="V93" s="14">
        <v>3.0</v>
      </c>
      <c r="W93" s="14">
        <v>904.0</v>
      </c>
      <c r="X93" s="14">
        <v>5.0</v>
      </c>
      <c r="Y93" s="14">
        <v>913.0</v>
      </c>
      <c r="Z93" s="14">
        <v>9.0</v>
      </c>
      <c r="AA93" s="14">
        <v>919.0</v>
      </c>
      <c r="AB93" s="14">
        <v>6.0</v>
      </c>
      <c r="AC93" s="14">
        <v>6.0</v>
      </c>
      <c r="AD93" s="14">
        <v>0.0</v>
      </c>
      <c r="AE93" s="14">
        <v>0.0</v>
      </c>
      <c r="AG93" s="14">
        <v>3.0</v>
      </c>
      <c r="AH93" s="14">
        <v>0.0</v>
      </c>
      <c r="AI93" s="14">
        <v>9.0</v>
      </c>
    </row>
    <row r="94" ht="15.75" customHeight="1">
      <c r="A94" s="14">
        <v>94.0</v>
      </c>
      <c r="B94" s="14" t="s">
        <v>358</v>
      </c>
      <c r="C94" s="14" t="s">
        <v>82</v>
      </c>
      <c r="D94" s="14">
        <v>9.0</v>
      </c>
      <c r="E94" s="14">
        <v>3190.0</v>
      </c>
      <c r="F94" s="14">
        <v>21.0</v>
      </c>
      <c r="G94" s="14">
        <v>3211.0</v>
      </c>
      <c r="H94" s="14">
        <v>21.0</v>
      </c>
      <c r="I94" s="14">
        <v>3232.0</v>
      </c>
      <c r="J94" s="14">
        <v>20.0</v>
      </c>
      <c r="K94" s="14">
        <v>3252.0</v>
      </c>
      <c r="L94" s="14">
        <v>22.0</v>
      </c>
      <c r="M94" s="14">
        <v>3274.0</v>
      </c>
      <c r="N94" s="14">
        <v>23.0</v>
      </c>
      <c r="O94" s="14">
        <v>3297.0</v>
      </c>
      <c r="P94" s="14">
        <v>17.0</v>
      </c>
      <c r="Q94" s="14">
        <v>3314.0</v>
      </c>
      <c r="R94" s="14">
        <v>17.0</v>
      </c>
      <c r="S94" s="14">
        <v>3328.0</v>
      </c>
      <c r="T94" s="14">
        <v>14.0</v>
      </c>
      <c r="U94" s="14">
        <v>3340.0</v>
      </c>
      <c r="V94" s="14">
        <v>12.0</v>
      </c>
      <c r="W94" s="14">
        <v>3355.0</v>
      </c>
      <c r="X94" s="14">
        <v>15.0</v>
      </c>
      <c r="Y94" s="14">
        <v>3375.0</v>
      </c>
      <c r="Z94" s="14">
        <v>20.0</v>
      </c>
      <c r="AA94" s="14">
        <v>3397.0</v>
      </c>
      <c r="AB94" s="14">
        <v>22.0</v>
      </c>
      <c r="AC94" s="14">
        <v>22.0</v>
      </c>
      <c r="AD94" s="14">
        <v>0.0</v>
      </c>
      <c r="AE94" s="14">
        <v>0.0</v>
      </c>
      <c r="AG94" s="14">
        <v>3.0</v>
      </c>
      <c r="AH94" s="14">
        <v>0.0</v>
      </c>
      <c r="AI94" s="14">
        <v>25.0</v>
      </c>
    </row>
    <row r="95" ht="15.75" customHeight="1">
      <c r="A95" s="14">
        <v>95.0</v>
      </c>
      <c r="B95" s="14" t="s">
        <v>360</v>
      </c>
      <c r="C95" s="14" t="s">
        <v>82</v>
      </c>
      <c r="D95" s="14">
        <v>10.0</v>
      </c>
      <c r="E95" s="14">
        <v>100.0</v>
      </c>
      <c r="F95" s="14">
        <v>51.0</v>
      </c>
      <c r="G95" s="14">
        <v>151.0</v>
      </c>
      <c r="H95" s="14">
        <v>49.0</v>
      </c>
      <c r="I95" s="14">
        <v>200.0</v>
      </c>
      <c r="J95" s="14">
        <v>36.0</v>
      </c>
      <c r="K95" s="14">
        <v>236.0</v>
      </c>
      <c r="L95" s="14">
        <v>32.0</v>
      </c>
      <c r="M95" s="14">
        <v>268.0</v>
      </c>
      <c r="N95" s="14">
        <v>29.0</v>
      </c>
      <c r="O95" s="14">
        <v>297.0</v>
      </c>
      <c r="P95" s="14">
        <v>23.0</v>
      </c>
      <c r="Q95" s="14">
        <v>320.0</v>
      </c>
      <c r="R95" s="14">
        <v>23.0</v>
      </c>
      <c r="S95" s="14">
        <v>340.0</v>
      </c>
      <c r="T95" s="14">
        <v>20.0</v>
      </c>
      <c r="U95" s="14">
        <v>359.0</v>
      </c>
      <c r="V95" s="14">
        <v>19.0</v>
      </c>
      <c r="W95" s="14">
        <v>386.0</v>
      </c>
      <c r="X95" s="14">
        <v>27.0</v>
      </c>
      <c r="Y95" s="14">
        <v>411.0</v>
      </c>
      <c r="Z95" s="14">
        <v>25.0</v>
      </c>
      <c r="AA95" s="14">
        <v>445.0</v>
      </c>
      <c r="AB95" s="14">
        <v>34.0</v>
      </c>
      <c r="AC95" s="14">
        <v>34.0</v>
      </c>
      <c r="AD95" s="14">
        <v>28.0</v>
      </c>
      <c r="AE95" s="14">
        <v>0.0</v>
      </c>
      <c r="AG95" s="14">
        <v>3.0</v>
      </c>
      <c r="AH95" s="14">
        <v>20.0</v>
      </c>
      <c r="AI95" s="14">
        <v>85.0</v>
      </c>
    </row>
    <row r="96" ht="15.75" customHeight="1">
      <c r="A96" s="14">
        <v>96.0</v>
      </c>
      <c r="B96" s="14" t="s">
        <v>362</v>
      </c>
      <c r="C96" s="14" t="s">
        <v>82</v>
      </c>
      <c r="D96" s="14">
        <v>11.0</v>
      </c>
      <c r="E96" s="14">
        <v>3342.0</v>
      </c>
      <c r="F96" s="14">
        <v>56.0</v>
      </c>
      <c r="G96" s="14">
        <v>3398.0</v>
      </c>
      <c r="H96" s="14">
        <v>48.0</v>
      </c>
      <c r="I96" s="14">
        <v>3446.0</v>
      </c>
      <c r="J96" s="14">
        <v>33.0</v>
      </c>
      <c r="K96" s="14">
        <v>3479.0</v>
      </c>
      <c r="L96" s="14">
        <v>29.0</v>
      </c>
      <c r="M96" s="14">
        <v>3508.0</v>
      </c>
      <c r="N96" s="14">
        <v>30.0</v>
      </c>
      <c r="O96" s="14">
        <v>3538.0</v>
      </c>
      <c r="P96" s="14">
        <v>26.0</v>
      </c>
      <c r="Q96" s="14">
        <v>3564.0</v>
      </c>
      <c r="R96" s="14">
        <v>26.0</v>
      </c>
      <c r="S96" s="14">
        <v>3587.0</v>
      </c>
      <c r="T96" s="14">
        <v>23.0</v>
      </c>
      <c r="U96" s="14">
        <v>3610.0</v>
      </c>
      <c r="V96" s="14">
        <v>23.0</v>
      </c>
      <c r="W96" s="14">
        <v>3633.0</v>
      </c>
      <c r="X96" s="14">
        <v>23.0</v>
      </c>
      <c r="Y96" s="14">
        <v>3659.0</v>
      </c>
      <c r="Z96" s="14">
        <v>26.0</v>
      </c>
      <c r="AA96" s="14">
        <v>3685.0</v>
      </c>
      <c r="AB96" s="14">
        <v>26.0</v>
      </c>
      <c r="AC96" s="14">
        <v>26.0</v>
      </c>
      <c r="AD96" s="14">
        <v>0.0</v>
      </c>
      <c r="AE96" s="14">
        <v>0.0</v>
      </c>
      <c r="AG96" s="14">
        <v>3.0</v>
      </c>
      <c r="AH96" s="14">
        <v>0.0</v>
      </c>
      <c r="AI96" s="14">
        <v>29.0</v>
      </c>
    </row>
    <row r="97" ht="15.75" customHeight="1">
      <c r="A97" s="14">
        <v>97.0</v>
      </c>
      <c r="B97" s="14" t="s">
        <v>365</v>
      </c>
      <c r="C97" s="14" t="s">
        <v>82</v>
      </c>
      <c r="D97" s="14">
        <v>12.0</v>
      </c>
      <c r="E97" s="14">
        <v>3375.0</v>
      </c>
      <c r="F97" s="14">
        <v>16.0</v>
      </c>
      <c r="G97" s="14">
        <v>3391.0</v>
      </c>
      <c r="H97" s="14">
        <v>13.0</v>
      </c>
      <c r="I97" s="14">
        <v>3404.0</v>
      </c>
      <c r="J97" s="14">
        <v>13.0</v>
      </c>
      <c r="K97" s="14">
        <v>3417.0</v>
      </c>
      <c r="L97" s="14">
        <v>12.0</v>
      </c>
      <c r="M97" s="14">
        <v>3429.0</v>
      </c>
      <c r="N97" s="14">
        <v>13.0</v>
      </c>
      <c r="O97" s="14">
        <v>3442.0</v>
      </c>
      <c r="P97" s="14">
        <v>10.0</v>
      </c>
      <c r="Q97" s="14">
        <v>3452.0</v>
      </c>
      <c r="R97" s="14">
        <v>10.0</v>
      </c>
      <c r="S97" s="14">
        <v>3463.0</v>
      </c>
      <c r="T97" s="14">
        <v>11.0</v>
      </c>
      <c r="U97" s="14">
        <v>3473.0</v>
      </c>
      <c r="V97" s="14">
        <v>10.0</v>
      </c>
      <c r="W97" s="14">
        <v>3489.0</v>
      </c>
      <c r="X97" s="14">
        <v>16.0</v>
      </c>
      <c r="Y97" s="14">
        <v>3503.0</v>
      </c>
      <c r="Z97" s="14">
        <v>14.0</v>
      </c>
      <c r="AA97" s="14">
        <v>3516.0</v>
      </c>
      <c r="AB97" s="14">
        <v>13.0</v>
      </c>
      <c r="AC97" s="14">
        <v>13.0</v>
      </c>
      <c r="AD97" s="14">
        <v>17.0</v>
      </c>
      <c r="AE97" s="14">
        <v>0.0</v>
      </c>
      <c r="AG97" s="14">
        <v>3.0</v>
      </c>
      <c r="AH97" s="14">
        <v>0.0</v>
      </c>
      <c r="AI97" s="14">
        <v>33.0</v>
      </c>
    </row>
    <row r="98" ht="15.75" customHeight="1">
      <c r="A98" s="14">
        <v>98.0</v>
      </c>
      <c r="B98" s="14" t="s">
        <v>366</v>
      </c>
      <c r="C98" s="14" t="s">
        <v>82</v>
      </c>
      <c r="D98" s="14">
        <v>13.0</v>
      </c>
      <c r="E98" s="14">
        <v>2528.0</v>
      </c>
      <c r="F98" s="14">
        <v>28.0</v>
      </c>
      <c r="G98" s="14">
        <v>2556.0</v>
      </c>
      <c r="H98" s="14">
        <v>30.0</v>
      </c>
      <c r="I98" s="14">
        <v>2586.0</v>
      </c>
      <c r="J98" s="14">
        <v>19.0</v>
      </c>
      <c r="K98" s="14">
        <v>2605.0</v>
      </c>
      <c r="L98" s="14">
        <v>20.0</v>
      </c>
      <c r="M98" s="14">
        <v>2625.0</v>
      </c>
      <c r="N98" s="14">
        <v>26.0</v>
      </c>
      <c r="O98" s="14">
        <v>2651.0</v>
      </c>
      <c r="P98" s="14">
        <v>21.0</v>
      </c>
      <c r="Q98" s="14">
        <v>2672.0</v>
      </c>
      <c r="R98" s="14">
        <v>21.0</v>
      </c>
      <c r="S98" s="14">
        <v>2691.0</v>
      </c>
      <c r="T98" s="14">
        <v>19.0</v>
      </c>
      <c r="U98" s="14">
        <v>2710.0</v>
      </c>
      <c r="V98" s="14">
        <v>19.0</v>
      </c>
      <c r="W98" s="14">
        <v>2727.0</v>
      </c>
      <c r="X98" s="14">
        <v>17.0</v>
      </c>
      <c r="Y98" s="14">
        <v>2751.0</v>
      </c>
      <c r="Z98" s="14">
        <v>24.0</v>
      </c>
      <c r="AA98" s="14">
        <v>2767.0</v>
      </c>
      <c r="AB98" s="14">
        <v>16.0</v>
      </c>
      <c r="AC98" s="14">
        <v>16.0</v>
      </c>
      <c r="AD98" s="14">
        <v>0.0</v>
      </c>
      <c r="AE98" s="14">
        <v>0.0</v>
      </c>
      <c r="AG98" s="14">
        <v>3.0</v>
      </c>
      <c r="AH98" s="14">
        <v>0.0</v>
      </c>
      <c r="AI98" s="14">
        <v>19.0</v>
      </c>
    </row>
    <row r="99" ht="15.75" customHeight="1">
      <c r="A99" s="14">
        <v>99.0</v>
      </c>
      <c r="B99" s="14" t="s">
        <v>367</v>
      </c>
      <c r="C99" s="14" t="s">
        <v>82</v>
      </c>
      <c r="D99" s="14">
        <v>14.0</v>
      </c>
      <c r="E99" s="14">
        <v>4542.0</v>
      </c>
      <c r="F99" s="14">
        <v>18.0</v>
      </c>
      <c r="G99" s="14">
        <v>4560.0</v>
      </c>
      <c r="H99" s="14">
        <v>18.0</v>
      </c>
      <c r="I99" s="14">
        <v>4578.0</v>
      </c>
      <c r="J99" s="14">
        <v>18.0</v>
      </c>
      <c r="K99" s="14">
        <v>4596.0</v>
      </c>
      <c r="L99" s="14">
        <v>27.0</v>
      </c>
      <c r="M99" s="14">
        <v>4623.0</v>
      </c>
      <c r="N99" s="14">
        <v>33.0</v>
      </c>
      <c r="O99" s="14">
        <v>4656.0</v>
      </c>
      <c r="P99" s="14">
        <v>14.0</v>
      </c>
      <c r="Q99" s="14">
        <v>4670.0</v>
      </c>
      <c r="R99" s="14">
        <v>14.0</v>
      </c>
      <c r="S99" s="14">
        <v>4683.0</v>
      </c>
      <c r="T99" s="14">
        <v>13.0</v>
      </c>
      <c r="U99" s="14">
        <v>4695.0</v>
      </c>
      <c r="V99" s="14">
        <v>12.0</v>
      </c>
      <c r="W99" s="14">
        <v>4708.0</v>
      </c>
      <c r="X99" s="14">
        <v>13.0</v>
      </c>
      <c r="Y99" s="14">
        <v>4722.0</v>
      </c>
      <c r="Z99" s="14">
        <v>14.0</v>
      </c>
      <c r="AA99" s="14">
        <v>4740.0</v>
      </c>
      <c r="AB99" s="14">
        <v>18.0</v>
      </c>
      <c r="AC99" s="14">
        <v>18.0</v>
      </c>
      <c r="AD99" s="14">
        <v>0.0</v>
      </c>
      <c r="AE99" s="14">
        <v>0.0</v>
      </c>
      <c r="AG99" s="14">
        <v>3.0</v>
      </c>
      <c r="AH99" s="14">
        <v>0.0</v>
      </c>
      <c r="AI99" s="14">
        <v>21.0</v>
      </c>
    </row>
    <row r="100" ht="15.75" customHeight="1">
      <c r="A100" s="14">
        <v>100.0</v>
      </c>
      <c r="B100" s="14" t="s">
        <v>369</v>
      </c>
      <c r="C100" s="14" t="s">
        <v>82</v>
      </c>
      <c r="D100" s="14" t="s">
        <v>370</v>
      </c>
      <c r="E100" s="14">
        <v>216.0</v>
      </c>
      <c r="F100" s="14">
        <v>4.0</v>
      </c>
      <c r="G100" s="14">
        <v>220.0</v>
      </c>
      <c r="H100" s="14">
        <v>5.0</v>
      </c>
      <c r="I100" s="14">
        <v>225.0</v>
      </c>
      <c r="J100" s="14">
        <v>6.0</v>
      </c>
      <c r="K100" s="14">
        <v>231.0</v>
      </c>
      <c r="L100" s="14">
        <v>4.0</v>
      </c>
      <c r="M100" s="14">
        <v>235.0</v>
      </c>
      <c r="N100" s="14">
        <v>4.0</v>
      </c>
      <c r="O100" s="14">
        <v>239.0</v>
      </c>
      <c r="P100" s="14">
        <v>4.0</v>
      </c>
      <c r="Q100" s="14">
        <v>243.0</v>
      </c>
      <c r="R100" s="14">
        <v>4.0</v>
      </c>
      <c r="S100" s="14">
        <v>246.0</v>
      </c>
      <c r="T100" s="14">
        <v>3.0</v>
      </c>
      <c r="U100" s="14">
        <v>249.0</v>
      </c>
      <c r="V100" s="14">
        <v>3.0</v>
      </c>
      <c r="W100" s="14">
        <v>252.0</v>
      </c>
      <c r="X100" s="14">
        <v>3.0</v>
      </c>
      <c r="Y100" s="14">
        <v>256.0</v>
      </c>
      <c r="Z100" s="14">
        <v>4.0</v>
      </c>
      <c r="AA100" s="14">
        <v>260.0</v>
      </c>
      <c r="AB100" s="14">
        <v>4.0</v>
      </c>
      <c r="AC100" s="14">
        <v>5.0</v>
      </c>
      <c r="AD100" s="14">
        <v>8.0</v>
      </c>
      <c r="AE100" s="14">
        <v>0.0</v>
      </c>
      <c r="AG100" s="14">
        <v>3.0</v>
      </c>
      <c r="AH100" s="14">
        <v>0.0</v>
      </c>
      <c r="AI100" s="14">
        <v>16.0</v>
      </c>
    </row>
    <row r="101" ht="15.75" customHeight="1">
      <c r="A101" s="14">
        <v>101.0</v>
      </c>
      <c r="B101" s="14" t="s">
        <v>372</v>
      </c>
      <c r="C101" s="14" t="s">
        <v>82</v>
      </c>
      <c r="D101" s="14">
        <v>19.0</v>
      </c>
      <c r="P101" s="14">
        <v>1.0</v>
      </c>
      <c r="Q101" s="14">
        <v>0.0</v>
      </c>
      <c r="R101" s="14">
        <v>0.0</v>
      </c>
      <c r="S101" s="14">
        <v>0.0</v>
      </c>
      <c r="T101" s="14">
        <v>0.0</v>
      </c>
      <c r="U101" s="14">
        <v>0.0</v>
      </c>
      <c r="V101" s="14">
        <v>0.0</v>
      </c>
      <c r="W101" s="14">
        <v>0.0</v>
      </c>
      <c r="X101" s="14">
        <v>0.0</v>
      </c>
      <c r="Y101" s="14">
        <v>0.0</v>
      </c>
      <c r="Z101" s="14">
        <v>0.0</v>
      </c>
      <c r="AA101" s="14">
        <v>0.0</v>
      </c>
      <c r="AB101" s="14">
        <v>0.0</v>
      </c>
      <c r="AC101" s="14">
        <v>5.0</v>
      </c>
      <c r="AD101" s="14">
        <v>0.0</v>
      </c>
      <c r="AE101" s="14">
        <v>0.0</v>
      </c>
      <c r="AG101" s="14">
        <v>3.0</v>
      </c>
      <c r="AH101" s="14">
        <v>0.0</v>
      </c>
      <c r="AI101" s="14">
        <v>8.0</v>
      </c>
    </row>
    <row r="102" ht="15.75" customHeight="1">
      <c r="A102" s="14">
        <v>102.0</v>
      </c>
      <c r="B102" s="14" t="s">
        <v>373</v>
      </c>
      <c r="C102" s="14" t="s">
        <v>91</v>
      </c>
      <c r="D102" s="14">
        <v>1.0</v>
      </c>
      <c r="E102" s="14">
        <v>344.0</v>
      </c>
      <c r="F102" s="14">
        <v>23.0</v>
      </c>
      <c r="G102" s="14">
        <v>367.0</v>
      </c>
      <c r="H102" s="14">
        <v>20.0</v>
      </c>
      <c r="I102" s="14">
        <v>387.0</v>
      </c>
      <c r="J102" s="14">
        <v>23.0</v>
      </c>
      <c r="K102" s="14">
        <v>410.0</v>
      </c>
      <c r="L102" s="14">
        <v>19.0</v>
      </c>
      <c r="M102" s="14">
        <v>429.0</v>
      </c>
      <c r="N102" s="14">
        <v>20.0</v>
      </c>
      <c r="O102" s="14">
        <v>449.0</v>
      </c>
      <c r="P102" s="14">
        <v>16.0</v>
      </c>
      <c r="Q102" s="14">
        <v>465.0</v>
      </c>
      <c r="R102" s="14">
        <v>16.0</v>
      </c>
      <c r="S102" s="14">
        <v>481.0</v>
      </c>
      <c r="T102" s="14">
        <v>16.0</v>
      </c>
      <c r="U102" s="14">
        <v>498.0</v>
      </c>
      <c r="V102" s="14">
        <v>17.0</v>
      </c>
      <c r="W102" s="14">
        <v>518.0</v>
      </c>
      <c r="X102" s="14">
        <v>20.0</v>
      </c>
      <c r="Y102" s="14">
        <v>534.0</v>
      </c>
      <c r="Z102" s="14">
        <v>16.0</v>
      </c>
      <c r="AA102" s="14">
        <v>553.0</v>
      </c>
      <c r="AB102" s="14">
        <v>19.0</v>
      </c>
      <c r="AC102" s="14">
        <v>19.0</v>
      </c>
      <c r="AD102" s="14">
        <v>0.0</v>
      </c>
      <c r="AE102" s="14">
        <v>0.0</v>
      </c>
      <c r="AG102" s="14">
        <v>3.0</v>
      </c>
      <c r="AH102" s="14">
        <v>0.0</v>
      </c>
      <c r="AI102" s="14">
        <v>22.0</v>
      </c>
    </row>
    <row r="103" ht="15.75" customHeight="1">
      <c r="A103" s="14">
        <v>103.0</v>
      </c>
      <c r="B103" s="14" t="s">
        <v>375</v>
      </c>
      <c r="C103" s="14" t="s">
        <v>91</v>
      </c>
      <c r="D103" s="14">
        <v>3.0</v>
      </c>
      <c r="E103" s="14">
        <v>1.0</v>
      </c>
      <c r="F103" s="14">
        <v>0.0</v>
      </c>
      <c r="G103" s="14">
        <v>1.0</v>
      </c>
      <c r="H103" s="14">
        <v>4.0</v>
      </c>
      <c r="I103" s="14">
        <v>5.0</v>
      </c>
      <c r="J103" s="14">
        <v>1.0</v>
      </c>
      <c r="K103" s="14">
        <v>2.0</v>
      </c>
      <c r="L103" s="14">
        <v>3.0</v>
      </c>
      <c r="M103" s="14">
        <v>5.0</v>
      </c>
      <c r="N103" s="14">
        <v>-2.0</v>
      </c>
      <c r="O103" s="14">
        <v>3.0</v>
      </c>
      <c r="P103" s="14">
        <v>0.0</v>
      </c>
      <c r="Q103" s="14">
        <v>3.0</v>
      </c>
      <c r="R103" s="14">
        <v>0.0</v>
      </c>
      <c r="S103" s="14">
        <v>3.0</v>
      </c>
      <c r="T103" s="14">
        <v>0.0</v>
      </c>
      <c r="U103" s="14">
        <v>3.0</v>
      </c>
      <c r="V103" s="14">
        <v>0.0</v>
      </c>
      <c r="W103" s="14">
        <v>3.0</v>
      </c>
      <c r="X103" s="14">
        <v>0.0</v>
      </c>
      <c r="Y103" s="14">
        <v>3.0</v>
      </c>
      <c r="Z103" s="14">
        <v>0.0</v>
      </c>
      <c r="AA103" s="14">
        <v>3.0</v>
      </c>
      <c r="AB103" s="14">
        <v>0.0</v>
      </c>
      <c r="AC103" s="14">
        <v>5.0</v>
      </c>
      <c r="AD103" s="14">
        <v>0.0</v>
      </c>
      <c r="AE103" s="14">
        <v>0.0</v>
      </c>
      <c r="AG103" s="14">
        <v>3.0</v>
      </c>
      <c r="AH103" s="14">
        <v>0.0</v>
      </c>
      <c r="AI103" s="14">
        <v>8.0</v>
      </c>
    </row>
    <row r="104" ht="15.75" customHeight="1">
      <c r="A104" s="14">
        <v>104.0</v>
      </c>
      <c r="B104" s="14" t="s">
        <v>377</v>
      </c>
      <c r="C104" s="14" t="s">
        <v>91</v>
      </c>
      <c r="D104" s="14" t="s">
        <v>378</v>
      </c>
      <c r="E104" s="14">
        <v>251.0</v>
      </c>
      <c r="F104" s="14">
        <v>4.0</v>
      </c>
      <c r="G104" s="14">
        <v>255.0</v>
      </c>
      <c r="H104" s="14">
        <v>12.0</v>
      </c>
      <c r="I104" s="14">
        <v>267.0</v>
      </c>
      <c r="J104" s="14">
        <v>8.0</v>
      </c>
      <c r="K104" s="14">
        <v>275.0</v>
      </c>
      <c r="L104" s="14">
        <v>9.0</v>
      </c>
      <c r="M104" s="14">
        <v>284.0</v>
      </c>
      <c r="N104" s="14">
        <v>7.0</v>
      </c>
      <c r="O104" s="14">
        <v>291.0</v>
      </c>
      <c r="P104" s="14">
        <v>4.0</v>
      </c>
      <c r="Q104" s="14">
        <v>295.0</v>
      </c>
      <c r="R104" s="14">
        <v>4.0</v>
      </c>
      <c r="S104" s="14">
        <v>296.0</v>
      </c>
      <c r="T104" s="14">
        <v>1.0</v>
      </c>
      <c r="U104" s="14">
        <v>296.0</v>
      </c>
      <c r="V104" s="14">
        <v>0.0</v>
      </c>
      <c r="W104" s="14">
        <v>297.0</v>
      </c>
      <c r="X104" s="14">
        <v>1.0</v>
      </c>
      <c r="Y104" s="14">
        <v>297.0</v>
      </c>
      <c r="Z104" s="14">
        <v>0.0</v>
      </c>
      <c r="AA104" s="14">
        <v>297.0</v>
      </c>
      <c r="AB104" s="14">
        <v>0.0</v>
      </c>
      <c r="AC104" s="14">
        <v>5.0</v>
      </c>
      <c r="AD104" s="14">
        <v>0.0</v>
      </c>
      <c r="AE104" s="14">
        <v>0.0</v>
      </c>
      <c r="AG104" s="14">
        <v>3.0</v>
      </c>
      <c r="AH104" s="14">
        <v>20.0</v>
      </c>
      <c r="AI104" s="14">
        <v>28.0</v>
      </c>
    </row>
    <row r="105" ht="15.75" customHeight="1">
      <c r="A105" s="14">
        <v>105.0</v>
      </c>
      <c r="B105" s="14" t="s">
        <v>381</v>
      </c>
      <c r="C105" s="14" t="s">
        <v>91</v>
      </c>
      <c r="D105" s="14">
        <v>4.0</v>
      </c>
      <c r="E105" s="14">
        <v>353.0</v>
      </c>
      <c r="F105" s="14">
        <v>11.0</v>
      </c>
      <c r="G105" s="14">
        <v>364.0</v>
      </c>
      <c r="H105" s="14">
        <v>15.0</v>
      </c>
      <c r="I105" s="14">
        <v>379.0</v>
      </c>
      <c r="J105" s="14">
        <v>14.0</v>
      </c>
      <c r="K105" s="14">
        <v>393.0</v>
      </c>
      <c r="L105" s="14">
        <v>15.0</v>
      </c>
      <c r="M105" s="14">
        <v>408.0</v>
      </c>
      <c r="N105" s="14">
        <v>17.0</v>
      </c>
      <c r="O105" s="14">
        <v>425.0</v>
      </c>
      <c r="P105" s="14">
        <v>10.0</v>
      </c>
      <c r="Q105" s="14">
        <v>435.0</v>
      </c>
      <c r="R105" s="14">
        <v>10.0</v>
      </c>
      <c r="S105" s="14">
        <v>444.0</v>
      </c>
      <c r="T105" s="14">
        <v>9.0</v>
      </c>
      <c r="U105" s="14">
        <v>455.0</v>
      </c>
      <c r="V105" s="14">
        <v>11.0</v>
      </c>
      <c r="W105" s="14">
        <v>465.0</v>
      </c>
      <c r="X105" s="14">
        <v>10.0</v>
      </c>
      <c r="Y105" s="14">
        <v>476.0</v>
      </c>
      <c r="Z105" s="14">
        <v>11.0</v>
      </c>
      <c r="AA105" s="14">
        <v>490.0</v>
      </c>
      <c r="AB105" s="14">
        <v>14.0</v>
      </c>
      <c r="AC105" s="14">
        <v>14.0</v>
      </c>
      <c r="AD105" s="14">
        <v>14.0</v>
      </c>
      <c r="AE105" s="14">
        <v>0.0</v>
      </c>
      <c r="AG105" s="14">
        <v>3.0</v>
      </c>
      <c r="AH105" s="14">
        <v>40.0</v>
      </c>
      <c r="AI105" s="14">
        <v>71.0</v>
      </c>
    </row>
    <row r="106" ht="15.75" customHeight="1">
      <c r="A106" s="14">
        <v>106.0</v>
      </c>
      <c r="B106" s="14" t="s">
        <v>382</v>
      </c>
      <c r="C106" s="14" t="s">
        <v>91</v>
      </c>
      <c r="D106" s="14">
        <v>5.0</v>
      </c>
      <c r="E106" s="14">
        <v>1428.0</v>
      </c>
      <c r="F106" s="14">
        <v>27.0</v>
      </c>
      <c r="G106" s="14">
        <v>1455.0</v>
      </c>
      <c r="H106" s="14">
        <v>34.0</v>
      </c>
      <c r="I106" s="14">
        <v>1489.0</v>
      </c>
      <c r="J106" s="14">
        <v>29.0</v>
      </c>
      <c r="K106" s="14">
        <v>1518.0</v>
      </c>
      <c r="L106" s="14">
        <v>26.0</v>
      </c>
      <c r="M106" s="14">
        <v>1544.0</v>
      </c>
      <c r="N106" s="14">
        <v>28.0</v>
      </c>
      <c r="O106" s="14">
        <v>1572.0</v>
      </c>
      <c r="P106" s="14">
        <v>29.0</v>
      </c>
      <c r="Q106" s="14">
        <v>1601.0</v>
      </c>
      <c r="R106" s="14">
        <v>29.0</v>
      </c>
      <c r="S106" s="14">
        <v>1623.0</v>
      </c>
      <c r="T106" s="14">
        <v>22.0</v>
      </c>
      <c r="U106" s="14">
        <v>1643.0</v>
      </c>
      <c r="V106" s="14">
        <v>20.0</v>
      </c>
      <c r="W106" s="14">
        <v>1662.0</v>
      </c>
      <c r="X106" s="14">
        <v>19.0</v>
      </c>
      <c r="Y106" s="14">
        <v>1686.0</v>
      </c>
      <c r="Z106" s="14">
        <v>24.0</v>
      </c>
      <c r="AA106" s="14">
        <v>1714.0</v>
      </c>
      <c r="AB106" s="14">
        <v>28.0</v>
      </c>
      <c r="AC106" s="14">
        <v>28.0</v>
      </c>
      <c r="AD106" s="14">
        <v>0.0</v>
      </c>
      <c r="AE106" s="14">
        <v>0.0</v>
      </c>
      <c r="AG106" s="14">
        <v>3.0</v>
      </c>
      <c r="AH106" s="14">
        <v>0.0</v>
      </c>
      <c r="AI106" s="14">
        <v>31.0</v>
      </c>
    </row>
    <row r="107" ht="15.75" customHeight="1">
      <c r="A107" s="14">
        <v>107.0</v>
      </c>
      <c r="B107" s="14" t="s">
        <v>384</v>
      </c>
      <c r="C107" s="14" t="s">
        <v>91</v>
      </c>
      <c r="D107" s="14">
        <v>6.0</v>
      </c>
      <c r="E107" s="14">
        <v>2851.0</v>
      </c>
      <c r="F107" s="14">
        <v>20.0</v>
      </c>
      <c r="G107" s="14">
        <v>2871.0</v>
      </c>
      <c r="H107" s="14">
        <v>20.0</v>
      </c>
      <c r="I107" s="14">
        <v>2891.0</v>
      </c>
      <c r="J107" s="14">
        <v>16.0</v>
      </c>
      <c r="K107" s="14">
        <v>2907.0</v>
      </c>
      <c r="L107" s="14">
        <v>16.0</v>
      </c>
      <c r="M107" s="14">
        <v>2923.0</v>
      </c>
      <c r="N107" s="14">
        <v>16.0</v>
      </c>
      <c r="O107" s="14">
        <v>2939.0</v>
      </c>
      <c r="P107" s="14">
        <v>11.0</v>
      </c>
      <c r="Q107" s="14">
        <v>2950.0</v>
      </c>
      <c r="R107" s="14">
        <v>11.0</v>
      </c>
      <c r="S107" s="14">
        <v>2960.0</v>
      </c>
      <c r="T107" s="14">
        <v>10.0</v>
      </c>
      <c r="U107" s="14">
        <v>2971.0</v>
      </c>
      <c r="V107" s="14">
        <v>11.0</v>
      </c>
      <c r="W107" s="14">
        <v>2978.0</v>
      </c>
      <c r="X107" s="14">
        <v>7.0</v>
      </c>
      <c r="Y107" s="14">
        <v>2993.0</v>
      </c>
      <c r="Z107" s="14">
        <v>15.0</v>
      </c>
      <c r="AA107" s="14">
        <v>3012.0</v>
      </c>
      <c r="AB107" s="14">
        <v>19.0</v>
      </c>
      <c r="AC107" s="14">
        <v>19.0</v>
      </c>
      <c r="AD107" s="14">
        <v>0.0</v>
      </c>
      <c r="AE107" s="14">
        <v>0.0</v>
      </c>
      <c r="AG107" s="14">
        <v>3.0</v>
      </c>
      <c r="AH107" s="14">
        <v>0.0</v>
      </c>
      <c r="AI107" s="14">
        <v>22.0</v>
      </c>
    </row>
    <row r="108" ht="15.75" customHeight="1">
      <c r="A108" s="14">
        <v>108.0</v>
      </c>
      <c r="B108" s="14" t="s">
        <v>388</v>
      </c>
      <c r="C108" s="14" t="s">
        <v>91</v>
      </c>
      <c r="D108" s="14">
        <v>7.0</v>
      </c>
      <c r="E108" s="14">
        <v>6500.0</v>
      </c>
      <c r="F108" s="14">
        <v>33.0</v>
      </c>
      <c r="G108" s="14">
        <v>6533.0</v>
      </c>
      <c r="H108" s="14">
        <v>40.0</v>
      </c>
      <c r="I108" s="14">
        <v>6573.0</v>
      </c>
      <c r="J108" s="14">
        <v>26.0</v>
      </c>
      <c r="K108" s="14">
        <v>6599.0</v>
      </c>
      <c r="L108" s="14">
        <v>33.0</v>
      </c>
      <c r="M108" s="14">
        <v>6632.0</v>
      </c>
      <c r="N108" s="14">
        <v>19.0</v>
      </c>
      <c r="O108" s="14">
        <v>6651.0</v>
      </c>
      <c r="P108" s="14">
        <v>23.0</v>
      </c>
      <c r="Q108" s="14">
        <v>6674.0</v>
      </c>
      <c r="R108" s="14">
        <v>23.0</v>
      </c>
      <c r="S108" s="14">
        <v>6692.0</v>
      </c>
      <c r="T108" s="14">
        <v>18.0</v>
      </c>
      <c r="U108" s="14">
        <v>6708.0</v>
      </c>
      <c r="V108" s="14">
        <v>16.0</v>
      </c>
      <c r="W108" s="14">
        <v>6727.0</v>
      </c>
      <c r="X108" s="14">
        <v>19.0</v>
      </c>
      <c r="Y108" s="14">
        <v>6751.0</v>
      </c>
      <c r="Z108" s="14">
        <v>24.0</v>
      </c>
      <c r="AA108" s="14">
        <v>6780.0</v>
      </c>
      <c r="AB108" s="14">
        <v>29.0</v>
      </c>
      <c r="AC108" s="14">
        <v>29.0</v>
      </c>
      <c r="AD108" s="14">
        <v>27.0</v>
      </c>
      <c r="AE108" s="14">
        <v>0.0</v>
      </c>
      <c r="AG108" s="14">
        <v>3.0</v>
      </c>
      <c r="AH108" s="14">
        <v>0.0</v>
      </c>
      <c r="AI108" s="14">
        <v>59.0</v>
      </c>
    </row>
    <row r="109" ht="15.75" customHeight="1">
      <c r="A109" s="14">
        <v>109.0</v>
      </c>
      <c r="B109" s="14" t="s">
        <v>390</v>
      </c>
      <c r="C109" s="14" t="s">
        <v>91</v>
      </c>
      <c r="D109" s="14">
        <v>8.0</v>
      </c>
      <c r="E109" s="14">
        <v>1568.0</v>
      </c>
      <c r="F109" s="14">
        <v>16.0</v>
      </c>
      <c r="G109" s="14">
        <v>1584.0</v>
      </c>
      <c r="H109" s="14">
        <v>11.0</v>
      </c>
      <c r="I109" s="14">
        <v>1595.0</v>
      </c>
      <c r="J109" s="14">
        <v>8.0</v>
      </c>
      <c r="K109" s="14">
        <v>1603.0</v>
      </c>
      <c r="L109" s="14">
        <v>11.0</v>
      </c>
      <c r="M109" s="14">
        <v>1614.0</v>
      </c>
      <c r="N109" s="14">
        <v>10.0</v>
      </c>
      <c r="O109" s="14">
        <v>1624.0</v>
      </c>
      <c r="P109" s="14">
        <v>10.0</v>
      </c>
      <c r="Q109" s="14">
        <v>1634.0</v>
      </c>
      <c r="R109" s="14">
        <v>10.0</v>
      </c>
      <c r="S109" s="14">
        <v>1641.0</v>
      </c>
      <c r="T109" s="14">
        <v>7.0</v>
      </c>
      <c r="U109" s="14">
        <v>1650.0</v>
      </c>
      <c r="V109" s="14">
        <v>9.0</v>
      </c>
      <c r="W109" s="14">
        <v>1659.0</v>
      </c>
      <c r="X109" s="14">
        <v>9.0</v>
      </c>
      <c r="Y109" s="14">
        <v>1665.0</v>
      </c>
      <c r="Z109" s="14">
        <v>6.0</v>
      </c>
      <c r="AA109" s="14">
        <v>1673.0</v>
      </c>
      <c r="AB109" s="14">
        <v>8.0</v>
      </c>
      <c r="AC109" s="14">
        <v>8.0</v>
      </c>
      <c r="AD109" s="14">
        <v>0.0</v>
      </c>
      <c r="AE109" s="14">
        <v>0.0</v>
      </c>
      <c r="AG109" s="14">
        <v>3.0</v>
      </c>
      <c r="AH109" s="14">
        <v>0.0</v>
      </c>
      <c r="AI109" s="14">
        <v>11.0</v>
      </c>
    </row>
    <row r="110" ht="15.75" customHeight="1">
      <c r="A110" s="14">
        <v>111.0</v>
      </c>
      <c r="B110" s="14" t="s">
        <v>395</v>
      </c>
      <c r="C110" s="14" t="s">
        <v>91</v>
      </c>
      <c r="D110" s="14">
        <v>10.0</v>
      </c>
      <c r="E110" s="14">
        <v>2420.0</v>
      </c>
      <c r="F110" s="14">
        <v>21.0</v>
      </c>
      <c r="G110" s="14">
        <v>2441.0</v>
      </c>
      <c r="H110" s="14">
        <v>6.0</v>
      </c>
      <c r="I110" s="14">
        <v>2447.0</v>
      </c>
      <c r="J110" s="14">
        <v>5.0</v>
      </c>
      <c r="K110" s="14">
        <v>5.0</v>
      </c>
      <c r="L110" s="14">
        <v>7.0</v>
      </c>
      <c r="M110" s="14">
        <v>12.0</v>
      </c>
      <c r="N110" s="14">
        <v>7.0</v>
      </c>
      <c r="O110" s="14">
        <v>19.0</v>
      </c>
      <c r="P110" s="14">
        <v>5.0</v>
      </c>
      <c r="Q110" s="14">
        <v>24.0</v>
      </c>
      <c r="R110" s="14">
        <v>5.0</v>
      </c>
      <c r="S110" s="14">
        <v>30.0</v>
      </c>
      <c r="T110" s="14">
        <v>6.0</v>
      </c>
      <c r="U110" s="14">
        <v>39.0</v>
      </c>
      <c r="V110" s="14">
        <v>9.0</v>
      </c>
      <c r="W110" s="14">
        <v>47.0</v>
      </c>
      <c r="X110" s="14">
        <v>8.0</v>
      </c>
      <c r="Y110" s="14">
        <v>57.0</v>
      </c>
      <c r="Z110" s="14">
        <v>10.0</v>
      </c>
      <c r="AA110" s="14">
        <v>70.0</v>
      </c>
      <c r="AB110" s="14">
        <v>13.0</v>
      </c>
      <c r="AC110" s="14">
        <v>13.0</v>
      </c>
      <c r="AD110" s="14">
        <v>0.0</v>
      </c>
      <c r="AE110" s="14">
        <v>0.0</v>
      </c>
      <c r="AG110" s="14">
        <v>3.0</v>
      </c>
      <c r="AH110" s="14">
        <v>0.0</v>
      </c>
      <c r="AI110" s="14">
        <v>16.0</v>
      </c>
    </row>
    <row r="111" ht="15.75" customHeight="1">
      <c r="A111" s="14">
        <v>112.0</v>
      </c>
      <c r="B111" s="14" t="s">
        <v>398</v>
      </c>
      <c r="C111" s="14" t="s">
        <v>91</v>
      </c>
      <c r="D111" s="14">
        <v>11.0</v>
      </c>
      <c r="E111" s="14">
        <v>2633.0</v>
      </c>
      <c r="F111" s="14">
        <v>21.0</v>
      </c>
      <c r="G111" s="14">
        <v>2654.0</v>
      </c>
      <c r="H111" s="14">
        <v>28.0</v>
      </c>
      <c r="I111" s="14">
        <v>2682.0</v>
      </c>
      <c r="J111" s="14">
        <v>20.0</v>
      </c>
      <c r="K111" s="14">
        <v>2702.0</v>
      </c>
      <c r="L111" s="14">
        <v>19.0</v>
      </c>
      <c r="M111" s="14">
        <v>2721.0</v>
      </c>
      <c r="N111" s="14">
        <v>16.0</v>
      </c>
      <c r="O111" s="14">
        <v>2737.0</v>
      </c>
      <c r="P111" s="14">
        <v>13.0</v>
      </c>
      <c r="Q111" s="14">
        <v>2750.0</v>
      </c>
      <c r="R111" s="14">
        <v>13.0</v>
      </c>
      <c r="S111" s="14">
        <v>2762.0</v>
      </c>
      <c r="T111" s="14">
        <v>12.0</v>
      </c>
      <c r="U111" s="14">
        <v>2773.0</v>
      </c>
      <c r="V111" s="14">
        <v>11.0</v>
      </c>
      <c r="W111" s="14">
        <v>2783.0</v>
      </c>
      <c r="X111" s="14">
        <v>10.0</v>
      </c>
      <c r="Y111" s="14">
        <v>2796.0</v>
      </c>
      <c r="Z111" s="14">
        <v>13.0</v>
      </c>
      <c r="AA111" s="14">
        <v>2811.0</v>
      </c>
      <c r="AB111" s="14">
        <v>15.0</v>
      </c>
      <c r="AC111" s="14">
        <v>15.0</v>
      </c>
      <c r="AD111" s="14">
        <v>0.0</v>
      </c>
      <c r="AE111" s="14">
        <v>0.0</v>
      </c>
      <c r="AG111" s="14">
        <v>3.0</v>
      </c>
      <c r="AH111" s="14">
        <v>0.0</v>
      </c>
      <c r="AI111" s="14">
        <v>18.0</v>
      </c>
    </row>
    <row r="112" ht="15.75" customHeight="1">
      <c r="A112" s="14">
        <v>113.0</v>
      </c>
      <c r="B112" s="14" t="s">
        <v>401</v>
      </c>
      <c r="C112" s="14" t="s">
        <v>91</v>
      </c>
      <c r="D112" s="14">
        <v>12.0</v>
      </c>
      <c r="E112" s="14">
        <v>1044.0</v>
      </c>
      <c r="F112" s="14">
        <v>9.0</v>
      </c>
      <c r="G112" s="14">
        <v>1053.0</v>
      </c>
      <c r="H112" s="14">
        <v>9.0</v>
      </c>
      <c r="I112" s="14">
        <v>1062.0</v>
      </c>
      <c r="J112" s="14">
        <v>7.0</v>
      </c>
      <c r="K112" s="14">
        <v>1069.0</v>
      </c>
      <c r="L112" s="14">
        <v>6.0</v>
      </c>
      <c r="M112" s="14">
        <v>1075.0</v>
      </c>
      <c r="N112" s="14">
        <v>4.0</v>
      </c>
      <c r="O112" s="14">
        <v>1079.0</v>
      </c>
      <c r="P112" s="14">
        <v>4.0</v>
      </c>
      <c r="Q112" s="14">
        <v>1083.0</v>
      </c>
      <c r="R112" s="14">
        <v>4.0</v>
      </c>
      <c r="S112" s="14">
        <v>1086.0</v>
      </c>
      <c r="T112" s="14">
        <v>3.0</v>
      </c>
      <c r="U112" s="14">
        <v>1090.0</v>
      </c>
      <c r="V112" s="14">
        <v>4.0</v>
      </c>
      <c r="W112" s="14">
        <v>1093.0</v>
      </c>
      <c r="X112" s="14">
        <v>3.0</v>
      </c>
      <c r="Y112" s="14">
        <v>1107.0</v>
      </c>
      <c r="Z112" s="14">
        <v>14.0</v>
      </c>
      <c r="AA112" s="14">
        <v>1106.0</v>
      </c>
      <c r="AB112" s="14">
        <v>-1.0</v>
      </c>
      <c r="AC112" s="14">
        <v>5.0</v>
      </c>
      <c r="AD112" s="14">
        <v>0.0</v>
      </c>
      <c r="AE112" s="14">
        <v>0.0</v>
      </c>
      <c r="AG112" s="14">
        <v>3.0</v>
      </c>
      <c r="AH112" s="14">
        <v>20.0</v>
      </c>
      <c r="AI112" s="14">
        <v>28.0</v>
      </c>
    </row>
    <row r="113" ht="15.75" customHeight="1">
      <c r="A113" s="14">
        <v>114.0</v>
      </c>
      <c r="B113" s="14" t="s">
        <v>404</v>
      </c>
      <c r="C113" s="14" t="s">
        <v>91</v>
      </c>
      <c r="D113" s="14">
        <v>14.0</v>
      </c>
      <c r="E113" s="14">
        <v>717.0</v>
      </c>
      <c r="F113" s="14">
        <v>40.0</v>
      </c>
      <c r="G113" s="14">
        <v>757.0</v>
      </c>
      <c r="H113" s="14">
        <v>33.0</v>
      </c>
      <c r="I113" s="14">
        <v>790.0</v>
      </c>
      <c r="J113" s="14">
        <v>40.0</v>
      </c>
      <c r="K113" s="14">
        <v>830.0</v>
      </c>
      <c r="L113" s="14">
        <v>34.0</v>
      </c>
      <c r="M113" s="14">
        <v>864.0</v>
      </c>
      <c r="N113" s="14">
        <v>38.0</v>
      </c>
      <c r="O113" s="14">
        <v>902.0</v>
      </c>
      <c r="P113" s="14">
        <v>34.0</v>
      </c>
      <c r="Q113" s="14">
        <v>936.0</v>
      </c>
      <c r="R113" s="14">
        <v>34.0</v>
      </c>
      <c r="S113" s="14">
        <v>969.0</v>
      </c>
      <c r="T113" s="14">
        <v>33.0</v>
      </c>
      <c r="U113" s="14">
        <v>1001.0</v>
      </c>
      <c r="V113" s="14">
        <v>32.0</v>
      </c>
      <c r="W113" s="14">
        <v>1033.0</v>
      </c>
      <c r="X113" s="14">
        <v>32.0</v>
      </c>
      <c r="Y113" s="14">
        <v>1069.0</v>
      </c>
      <c r="Z113" s="14">
        <v>36.0</v>
      </c>
      <c r="AA113" s="14">
        <v>1134.0</v>
      </c>
      <c r="AB113" s="14">
        <v>65.0</v>
      </c>
      <c r="AC113" s="14">
        <v>130.0</v>
      </c>
      <c r="AD113" s="14">
        <v>0.0</v>
      </c>
      <c r="AE113" s="14">
        <v>0.0</v>
      </c>
      <c r="AG113" s="14">
        <v>3.0</v>
      </c>
      <c r="AH113" s="14">
        <v>20.0</v>
      </c>
      <c r="AI113" s="14">
        <v>153.0</v>
      </c>
    </row>
    <row r="114" ht="15.75" customHeight="1">
      <c r="A114" s="14">
        <v>115.0</v>
      </c>
      <c r="B114" s="14" t="s">
        <v>407</v>
      </c>
      <c r="C114" s="14" t="s">
        <v>91</v>
      </c>
      <c r="D114" s="14">
        <v>15.0</v>
      </c>
      <c r="E114" s="14">
        <v>432.0</v>
      </c>
      <c r="F114" s="14">
        <v>11.0</v>
      </c>
      <c r="G114" s="14">
        <v>443.0</v>
      </c>
      <c r="H114" s="14">
        <v>12.0</v>
      </c>
      <c r="I114" s="14">
        <v>455.0</v>
      </c>
      <c r="J114" s="14">
        <v>8.0</v>
      </c>
      <c r="K114" s="14">
        <v>463.0</v>
      </c>
      <c r="L114" s="14">
        <v>11.0</v>
      </c>
      <c r="M114" s="14">
        <v>474.0</v>
      </c>
      <c r="N114" s="14">
        <v>13.0</v>
      </c>
      <c r="O114" s="14">
        <v>487.0</v>
      </c>
      <c r="P114" s="14">
        <v>10.0</v>
      </c>
      <c r="Q114" s="14">
        <v>497.0</v>
      </c>
      <c r="R114" s="14">
        <v>10.0</v>
      </c>
      <c r="S114" s="14">
        <v>504.0</v>
      </c>
      <c r="T114" s="14">
        <v>7.0</v>
      </c>
      <c r="U114" s="14">
        <v>515.0</v>
      </c>
      <c r="V114" s="14">
        <v>11.0</v>
      </c>
      <c r="W114" s="14">
        <v>525.0</v>
      </c>
      <c r="X114" s="14">
        <v>10.0</v>
      </c>
      <c r="Y114" s="14">
        <v>535.0</v>
      </c>
      <c r="Z114" s="14">
        <v>10.0</v>
      </c>
      <c r="AA114" s="14">
        <v>548.0</v>
      </c>
      <c r="AB114" s="14">
        <v>13.0</v>
      </c>
      <c r="AC114" s="14">
        <v>13.0</v>
      </c>
      <c r="AD114" s="14">
        <v>0.0</v>
      </c>
      <c r="AE114" s="14">
        <v>0.0</v>
      </c>
      <c r="AG114" s="14">
        <v>3.0</v>
      </c>
      <c r="AH114" s="14">
        <v>0.0</v>
      </c>
      <c r="AI114" s="14">
        <v>16.0</v>
      </c>
    </row>
    <row r="115" ht="15.75" customHeight="1">
      <c r="A115" s="14">
        <v>116.0</v>
      </c>
      <c r="B115" s="14" t="s">
        <v>410</v>
      </c>
      <c r="C115" s="14" t="s">
        <v>98</v>
      </c>
      <c r="D115" s="14">
        <v>1.0</v>
      </c>
      <c r="E115" s="14">
        <v>352.0</v>
      </c>
      <c r="F115" s="14">
        <v>23.0</v>
      </c>
      <c r="G115" s="14">
        <v>375.0</v>
      </c>
      <c r="H115" s="14">
        <v>21.0</v>
      </c>
      <c r="I115" s="14">
        <v>396.0</v>
      </c>
      <c r="J115" s="14">
        <v>17.0</v>
      </c>
      <c r="K115" s="14">
        <v>413.0</v>
      </c>
      <c r="L115" s="14">
        <v>18.0</v>
      </c>
      <c r="M115" s="14">
        <v>431.0</v>
      </c>
      <c r="N115" s="14">
        <v>17.0</v>
      </c>
      <c r="O115" s="14">
        <v>448.0</v>
      </c>
      <c r="P115" s="14">
        <v>16.0</v>
      </c>
      <c r="Q115" s="14">
        <v>464.0</v>
      </c>
      <c r="R115" s="14">
        <v>16.0</v>
      </c>
      <c r="S115" s="14">
        <v>479.0</v>
      </c>
      <c r="T115" s="14">
        <v>15.0</v>
      </c>
      <c r="U115" s="14">
        <v>493.0</v>
      </c>
      <c r="V115" s="14">
        <v>14.0</v>
      </c>
      <c r="W115" s="14">
        <v>507.0</v>
      </c>
      <c r="X115" s="14">
        <v>14.0</v>
      </c>
      <c r="Y115" s="14">
        <v>523.0</v>
      </c>
      <c r="Z115" s="14">
        <v>16.0</v>
      </c>
      <c r="AA115" s="14">
        <v>540.0</v>
      </c>
      <c r="AB115" s="14">
        <v>17.0</v>
      </c>
      <c r="AC115" s="14">
        <v>17.0</v>
      </c>
      <c r="AD115" s="14">
        <v>0.0</v>
      </c>
      <c r="AE115" s="14">
        <v>0.0</v>
      </c>
      <c r="AG115" s="14">
        <v>3.0</v>
      </c>
      <c r="AH115" s="14">
        <v>0.0</v>
      </c>
      <c r="AI115" s="14">
        <v>20.0</v>
      </c>
    </row>
    <row r="116" ht="15.75" customHeight="1">
      <c r="A116" s="14">
        <v>117.0</v>
      </c>
      <c r="B116" s="14" t="s">
        <v>412</v>
      </c>
      <c r="C116" s="14" t="s">
        <v>98</v>
      </c>
      <c r="D116" s="14">
        <v>2.0</v>
      </c>
      <c r="E116" s="14">
        <v>3422.0</v>
      </c>
      <c r="F116" s="14">
        <v>27.0</v>
      </c>
      <c r="G116" s="14">
        <v>3449.0</v>
      </c>
      <c r="H116" s="14">
        <v>26.0</v>
      </c>
      <c r="I116" s="14">
        <v>3475.0</v>
      </c>
      <c r="J116" s="14">
        <v>23.0</v>
      </c>
      <c r="K116" s="14">
        <v>3498.0</v>
      </c>
      <c r="L116" s="14">
        <v>22.0</v>
      </c>
      <c r="M116" s="14">
        <v>3520.0</v>
      </c>
      <c r="N116" s="14">
        <v>18.0</v>
      </c>
      <c r="O116" s="14">
        <v>3538.0</v>
      </c>
      <c r="P116" s="14">
        <v>16.0</v>
      </c>
      <c r="Q116" s="14">
        <v>3554.0</v>
      </c>
      <c r="R116" s="14">
        <v>16.0</v>
      </c>
      <c r="S116" s="14">
        <v>3568.0</v>
      </c>
      <c r="T116" s="14">
        <v>14.0</v>
      </c>
      <c r="U116" s="14">
        <v>3583.0</v>
      </c>
      <c r="V116" s="14">
        <v>15.0</v>
      </c>
      <c r="W116" s="14">
        <v>3599.0</v>
      </c>
      <c r="X116" s="14">
        <v>16.0</v>
      </c>
      <c r="Y116" s="14">
        <v>3615.0</v>
      </c>
      <c r="Z116" s="14">
        <v>16.0</v>
      </c>
      <c r="AA116" s="14">
        <v>3635.0</v>
      </c>
      <c r="AB116" s="14">
        <v>20.0</v>
      </c>
      <c r="AC116" s="14">
        <v>20.0</v>
      </c>
      <c r="AD116" s="14">
        <v>19.0</v>
      </c>
      <c r="AE116" s="14">
        <v>0.0</v>
      </c>
      <c r="AG116" s="14">
        <v>3.0</v>
      </c>
      <c r="AH116" s="14">
        <v>0.0</v>
      </c>
      <c r="AI116" s="14">
        <v>42.0</v>
      </c>
    </row>
    <row r="117" ht="15.75" customHeight="1">
      <c r="A117" s="14">
        <v>118.0</v>
      </c>
      <c r="B117" s="14" t="s">
        <v>415</v>
      </c>
      <c r="C117" s="14" t="s">
        <v>98</v>
      </c>
      <c r="D117" s="14">
        <v>3.0</v>
      </c>
      <c r="E117" s="14">
        <v>2071.0</v>
      </c>
      <c r="F117" s="14">
        <v>8.0</v>
      </c>
      <c r="G117" s="14">
        <v>2079.0</v>
      </c>
      <c r="H117" s="14">
        <v>9.0</v>
      </c>
      <c r="I117" s="14">
        <v>2088.0</v>
      </c>
      <c r="J117" s="14">
        <v>9.0</v>
      </c>
      <c r="K117" s="14">
        <v>2097.0</v>
      </c>
      <c r="L117" s="14">
        <v>9.0</v>
      </c>
      <c r="M117" s="14">
        <v>2106.0</v>
      </c>
      <c r="N117" s="14">
        <v>7.0</v>
      </c>
      <c r="O117" s="14">
        <v>2113.0</v>
      </c>
      <c r="P117" s="14">
        <v>8.0</v>
      </c>
      <c r="Q117" s="14">
        <v>2121.0</v>
      </c>
      <c r="R117" s="14">
        <v>8.0</v>
      </c>
      <c r="S117" s="14">
        <v>2129.0</v>
      </c>
      <c r="T117" s="14">
        <v>8.0</v>
      </c>
      <c r="U117" s="14">
        <v>2135.0</v>
      </c>
      <c r="V117" s="14">
        <v>6.0</v>
      </c>
      <c r="W117" s="14">
        <v>2141.0</v>
      </c>
      <c r="X117" s="14">
        <v>6.0</v>
      </c>
      <c r="Y117" s="14">
        <v>2148.0</v>
      </c>
      <c r="Z117" s="14">
        <v>7.0</v>
      </c>
      <c r="AA117" s="14">
        <v>2155.0</v>
      </c>
      <c r="AB117" s="14">
        <v>7.0</v>
      </c>
      <c r="AC117" s="14">
        <v>7.0</v>
      </c>
      <c r="AD117" s="14">
        <v>0.0</v>
      </c>
      <c r="AE117" s="14">
        <v>0.0</v>
      </c>
      <c r="AG117" s="14">
        <v>3.0</v>
      </c>
      <c r="AH117" s="14">
        <v>0.0</v>
      </c>
      <c r="AI117" s="14">
        <v>10.0</v>
      </c>
    </row>
    <row r="118" ht="15.75" customHeight="1">
      <c r="A118" s="14">
        <v>119.0</v>
      </c>
      <c r="B118" s="14" t="s">
        <v>417</v>
      </c>
      <c r="C118" s="14" t="s">
        <v>98</v>
      </c>
      <c r="D118" s="14">
        <v>4.0</v>
      </c>
      <c r="E118" s="14">
        <v>1231.0</v>
      </c>
      <c r="F118" s="14">
        <v>6.0</v>
      </c>
      <c r="G118" s="14">
        <v>1237.0</v>
      </c>
      <c r="H118" s="14">
        <v>9.0</v>
      </c>
      <c r="I118" s="14">
        <v>1246.0</v>
      </c>
      <c r="J118" s="14">
        <v>8.0</v>
      </c>
      <c r="K118" s="14">
        <v>1254.0</v>
      </c>
      <c r="L118" s="14">
        <v>7.0</v>
      </c>
      <c r="M118" s="14">
        <v>1261.0</v>
      </c>
      <c r="N118" s="14">
        <v>5.0</v>
      </c>
      <c r="O118" s="14">
        <v>1266.0</v>
      </c>
      <c r="P118" s="14">
        <v>5.0</v>
      </c>
      <c r="Q118" s="14">
        <v>1271.0</v>
      </c>
      <c r="R118" s="14">
        <v>5.0</v>
      </c>
      <c r="S118" s="14">
        <v>1275.0</v>
      </c>
      <c r="T118" s="14">
        <v>4.0</v>
      </c>
      <c r="U118" s="14">
        <v>1279.0</v>
      </c>
      <c r="V118" s="14">
        <v>4.0</v>
      </c>
      <c r="W118" s="14">
        <v>1284.0</v>
      </c>
      <c r="X118" s="14">
        <v>5.0</v>
      </c>
      <c r="Y118" s="14">
        <v>1289.0</v>
      </c>
      <c r="Z118" s="14">
        <v>5.0</v>
      </c>
      <c r="AA118" s="14">
        <v>1296.0</v>
      </c>
      <c r="AB118" s="14">
        <v>7.0</v>
      </c>
      <c r="AC118" s="14">
        <v>7.0</v>
      </c>
      <c r="AD118" s="14">
        <v>0.0</v>
      </c>
      <c r="AE118" s="14">
        <v>0.0</v>
      </c>
      <c r="AG118" s="14">
        <v>3.0</v>
      </c>
      <c r="AH118" s="14">
        <v>0.0</v>
      </c>
      <c r="AI118" s="14">
        <v>10.0</v>
      </c>
    </row>
    <row r="119" ht="15.75" customHeight="1">
      <c r="A119" s="14">
        <v>120.0</v>
      </c>
      <c r="B119" s="14" t="s">
        <v>418</v>
      </c>
      <c r="C119" s="14" t="s">
        <v>98</v>
      </c>
      <c r="D119" s="14">
        <v>5.0</v>
      </c>
      <c r="E119" s="14">
        <v>1298.0</v>
      </c>
      <c r="F119" s="14">
        <v>27.0</v>
      </c>
      <c r="G119" s="14">
        <v>1325.0</v>
      </c>
      <c r="H119" s="14">
        <v>-27.0</v>
      </c>
      <c r="I119" s="14">
        <v>1298.0</v>
      </c>
      <c r="J119" s="14">
        <v>0.0</v>
      </c>
      <c r="K119" s="14">
        <v>0.0</v>
      </c>
      <c r="L119" s="14">
        <v>17.0</v>
      </c>
      <c r="M119" s="14">
        <v>17.0</v>
      </c>
      <c r="N119" s="14">
        <v>20.0</v>
      </c>
      <c r="O119" s="14">
        <v>37.0</v>
      </c>
      <c r="P119" s="14">
        <v>43.0</v>
      </c>
      <c r="Q119" s="14">
        <v>80.0</v>
      </c>
      <c r="R119" s="14">
        <v>43.0</v>
      </c>
      <c r="S119" s="14">
        <v>116.0</v>
      </c>
      <c r="T119" s="14">
        <v>36.0</v>
      </c>
      <c r="U119" s="14">
        <v>133.0</v>
      </c>
      <c r="V119" s="14">
        <v>17.0</v>
      </c>
      <c r="W119" s="14">
        <v>153.0</v>
      </c>
      <c r="X119" s="14">
        <v>20.0</v>
      </c>
      <c r="Y119" s="14">
        <v>189.0</v>
      </c>
      <c r="Z119" s="14">
        <v>36.0</v>
      </c>
      <c r="AA119" s="14">
        <v>214.0</v>
      </c>
      <c r="AB119" s="14">
        <v>25.0</v>
      </c>
      <c r="AC119" s="14">
        <v>25.0</v>
      </c>
      <c r="AD119" s="14">
        <v>0.0</v>
      </c>
      <c r="AE119" s="14">
        <v>0.0</v>
      </c>
      <c r="AG119" s="14">
        <v>3.0</v>
      </c>
      <c r="AH119" s="14">
        <v>0.0</v>
      </c>
      <c r="AI119" s="14">
        <v>28.0</v>
      </c>
    </row>
    <row r="120" ht="15.75" customHeight="1">
      <c r="A120" s="14">
        <v>121.0</v>
      </c>
      <c r="B120" s="14" t="s">
        <v>421</v>
      </c>
      <c r="C120" s="14" t="s">
        <v>98</v>
      </c>
      <c r="D120" s="14">
        <v>6.0</v>
      </c>
      <c r="E120" s="14">
        <v>3295.0</v>
      </c>
      <c r="F120" s="14">
        <v>33.0</v>
      </c>
      <c r="G120" s="14">
        <v>3328.0</v>
      </c>
      <c r="H120" s="14">
        <v>35.0</v>
      </c>
      <c r="I120" s="14">
        <v>3363.0</v>
      </c>
      <c r="J120" s="14">
        <v>31.0</v>
      </c>
      <c r="K120" s="14">
        <v>3394.0</v>
      </c>
      <c r="L120" s="14">
        <v>25.0</v>
      </c>
      <c r="M120" s="14">
        <v>3419.0</v>
      </c>
      <c r="N120" s="14">
        <v>22.0</v>
      </c>
      <c r="O120" s="14">
        <v>3441.0</v>
      </c>
      <c r="P120" s="14">
        <v>19.0</v>
      </c>
      <c r="Q120" s="14">
        <v>3460.0</v>
      </c>
      <c r="R120" s="14">
        <v>19.0</v>
      </c>
      <c r="S120" s="14">
        <v>3475.0</v>
      </c>
      <c r="T120" s="14">
        <v>15.0</v>
      </c>
      <c r="U120" s="14">
        <v>3491.0</v>
      </c>
      <c r="V120" s="14">
        <v>16.0</v>
      </c>
      <c r="W120" s="14">
        <v>3507.0</v>
      </c>
      <c r="X120" s="14">
        <v>16.0</v>
      </c>
      <c r="Y120" s="14">
        <v>3527.0</v>
      </c>
      <c r="Z120" s="14">
        <v>20.0</v>
      </c>
      <c r="AA120" s="14">
        <v>3555.0</v>
      </c>
      <c r="AB120" s="14">
        <v>28.0</v>
      </c>
      <c r="AC120" s="14">
        <v>28.0</v>
      </c>
      <c r="AD120" s="14">
        <v>0.0</v>
      </c>
      <c r="AE120" s="14">
        <v>0.0</v>
      </c>
      <c r="AG120" s="14">
        <v>3.0</v>
      </c>
      <c r="AH120" s="14">
        <v>20.0</v>
      </c>
      <c r="AI120" s="14">
        <v>51.0</v>
      </c>
    </row>
    <row r="121" ht="15.75" customHeight="1">
      <c r="A121" s="14">
        <v>122.0</v>
      </c>
      <c r="B121" s="14" t="s">
        <v>422</v>
      </c>
      <c r="C121" s="14" t="s">
        <v>98</v>
      </c>
      <c r="D121" s="14">
        <v>7.0</v>
      </c>
      <c r="E121" s="14">
        <v>888.0</v>
      </c>
      <c r="F121" s="14">
        <v>14.0</v>
      </c>
      <c r="G121" s="14">
        <v>902.0</v>
      </c>
      <c r="H121" s="14">
        <v>24.0</v>
      </c>
      <c r="I121" s="14">
        <v>926.0</v>
      </c>
      <c r="J121" s="14">
        <v>15.0</v>
      </c>
      <c r="K121" s="14">
        <v>941.0</v>
      </c>
      <c r="L121" s="14">
        <v>25.0</v>
      </c>
      <c r="M121" s="14">
        <v>966.0</v>
      </c>
      <c r="N121" s="14">
        <v>65.0</v>
      </c>
      <c r="O121" s="14">
        <v>1031.0</v>
      </c>
      <c r="P121" s="14">
        <v>11.0</v>
      </c>
      <c r="Q121" s="14">
        <v>1042.0</v>
      </c>
      <c r="R121" s="14">
        <v>11.0</v>
      </c>
      <c r="S121" s="14">
        <v>1090.0</v>
      </c>
      <c r="T121" s="14">
        <v>48.0</v>
      </c>
      <c r="U121" s="14">
        <v>1112.0</v>
      </c>
      <c r="V121" s="14">
        <v>22.0</v>
      </c>
      <c r="W121" s="14">
        <v>1261.0</v>
      </c>
      <c r="X121" s="14">
        <v>149.0</v>
      </c>
      <c r="Y121" s="14">
        <v>1281.0</v>
      </c>
      <c r="Z121" s="14">
        <v>20.0</v>
      </c>
      <c r="AA121" s="14">
        <v>1315.0</v>
      </c>
      <c r="AB121" s="14">
        <v>34.0</v>
      </c>
      <c r="AC121" s="14">
        <v>34.0</v>
      </c>
      <c r="AD121" s="14">
        <v>0.0</v>
      </c>
      <c r="AE121" s="14">
        <v>0.0</v>
      </c>
      <c r="AG121" s="14">
        <v>3.0</v>
      </c>
      <c r="AH121" s="14">
        <v>20.0</v>
      </c>
      <c r="AI121" s="14">
        <v>57.0</v>
      </c>
    </row>
    <row r="122" ht="15.75" customHeight="1">
      <c r="A122" s="14">
        <v>123.0</v>
      </c>
      <c r="B122" s="14" t="s">
        <v>426</v>
      </c>
      <c r="C122" s="14" t="s">
        <v>98</v>
      </c>
      <c r="D122" s="14">
        <v>8.0</v>
      </c>
      <c r="E122" s="14">
        <v>4592.0</v>
      </c>
      <c r="F122" s="14">
        <v>37.0</v>
      </c>
      <c r="G122" s="14">
        <v>4629.0</v>
      </c>
      <c r="H122" s="14">
        <v>38.0</v>
      </c>
      <c r="I122" s="14">
        <v>4667.0</v>
      </c>
      <c r="J122" s="14">
        <v>38.0</v>
      </c>
      <c r="K122" s="14">
        <v>4705.0</v>
      </c>
      <c r="L122" s="14">
        <v>39.0</v>
      </c>
      <c r="M122" s="14">
        <v>4744.0</v>
      </c>
      <c r="N122" s="14">
        <v>37.0</v>
      </c>
      <c r="O122" s="14">
        <v>4781.0</v>
      </c>
      <c r="P122" s="14">
        <v>20.0</v>
      </c>
      <c r="Q122" s="14">
        <v>4801.0</v>
      </c>
      <c r="R122" s="14">
        <v>20.0</v>
      </c>
      <c r="S122" s="14">
        <v>4817.0</v>
      </c>
      <c r="T122" s="14">
        <v>16.0</v>
      </c>
      <c r="U122" s="14">
        <v>4833.0</v>
      </c>
      <c r="V122" s="14">
        <v>16.0</v>
      </c>
      <c r="W122" s="14">
        <v>4854.0</v>
      </c>
      <c r="X122" s="14">
        <v>21.0</v>
      </c>
      <c r="Y122" s="14">
        <v>4874.0</v>
      </c>
      <c r="Z122" s="14">
        <v>20.0</v>
      </c>
      <c r="AA122" s="14">
        <v>4903.0</v>
      </c>
      <c r="AB122" s="14">
        <v>29.0</v>
      </c>
      <c r="AC122" s="14">
        <v>29.0</v>
      </c>
      <c r="AD122" s="14">
        <v>0.0</v>
      </c>
      <c r="AE122" s="14">
        <v>0.0</v>
      </c>
      <c r="AG122" s="14">
        <v>3.0</v>
      </c>
      <c r="AH122" s="14">
        <v>0.0</v>
      </c>
      <c r="AI122" s="14">
        <v>32.0</v>
      </c>
    </row>
    <row r="123" ht="15.75" customHeight="1">
      <c r="A123" s="14">
        <v>124.0</v>
      </c>
      <c r="B123" s="14" t="s">
        <v>429</v>
      </c>
      <c r="C123" s="14" t="s">
        <v>98</v>
      </c>
      <c r="D123" s="14">
        <v>9.0</v>
      </c>
      <c r="E123" s="14">
        <v>584.0</v>
      </c>
      <c r="F123" s="14">
        <v>19.0</v>
      </c>
      <c r="G123" s="14">
        <v>603.0</v>
      </c>
      <c r="H123" s="14">
        <v>23.0</v>
      </c>
      <c r="I123" s="14">
        <v>626.0</v>
      </c>
      <c r="J123" s="14">
        <v>25.0</v>
      </c>
      <c r="K123" s="14">
        <v>651.0</v>
      </c>
      <c r="L123" s="14">
        <v>30.0</v>
      </c>
      <c r="M123" s="14">
        <v>681.0</v>
      </c>
      <c r="N123" s="14">
        <v>21.0</v>
      </c>
      <c r="O123" s="14">
        <v>702.0</v>
      </c>
      <c r="P123" s="14">
        <v>16.0</v>
      </c>
      <c r="Q123" s="14">
        <v>718.0</v>
      </c>
      <c r="R123" s="14">
        <v>16.0</v>
      </c>
      <c r="S123" s="14">
        <v>742.0</v>
      </c>
      <c r="T123" s="14">
        <v>24.0</v>
      </c>
      <c r="U123" s="14">
        <v>764.0</v>
      </c>
      <c r="V123" s="14">
        <v>22.0</v>
      </c>
      <c r="W123" s="14">
        <v>774.0</v>
      </c>
      <c r="X123" s="14">
        <v>10.0</v>
      </c>
      <c r="Y123" s="14">
        <v>787.0</v>
      </c>
      <c r="Z123" s="14">
        <v>13.0</v>
      </c>
      <c r="AA123" s="14">
        <v>804.0</v>
      </c>
      <c r="AB123" s="14">
        <v>17.0</v>
      </c>
      <c r="AC123" s="14">
        <v>17.0</v>
      </c>
      <c r="AD123" s="14">
        <v>16.0</v>
      </c>
      <c r="AE123" s="14">
        <v>0.0</v>
      </c>
      <c r="AG123" s="14">
        <v>3.0</v>
      </c>
      <c r="AH123" s="14">
        <v>0.0</v>
      </c>
      <c r="AI123" s="14">
        <v>36.0</v>
      </c>
    </row>
    <row r="124" ht="15.75" customHeight="1">
      <c r="A124" s="14">
        <v>125.0</v>
      </c>
      <c r="B124" s="14" t="s">
        <v>432</v>
      </c>
      <c r="C124" s="14" t="s">
        <v>98</v>
      </c>
      <c r="D124" s="14">
        <v>11.0</v>
      </c>
      <c r="E124" s="14">
        <v>3716.0</v>
      </c>
      <c r="F124" s="14">
        <v>16.0</v>
      </c>
      <c r="G124" s="14">
        <v>3732.0</v>
      </c>
      <c r="H124" s="14">
        <v>21.0</v>
      </c>
      <c r="I124" s="14">
        <v>3753.0</v>
      </c>
      <c r="J124" s="14">
        <v>24.0</v>
      </c>
      <c r="K124" s="14">
        <v>3777.0</v>
      </c>
      <c r="L124" s="14">
        <v>19.0</v>
      </c>
      <c r="M124" s="14">
        <v>3796.0</v>
      </c>
      <c r="N124" s="14">
        <v>16.0</v>
      </c>
      <c r="O124" s="14">
        <v>3812.0</v>
      </c>
      <c r="P124" s="14">
        <v>12.0</v>
      </c>
      <c r="Q124" s="14">
        <v>3824.0</v>
      </c>
      <c r="R124" s="14">
        <v>12.0</v>
      </c>
      <c r="S124" s="14">
        <v>3837.0</v>
      </c>
      <c r="T124" s="14">
        <v>13.0</v>
      </c>
      <c r="U124" s="14">
        <v>3848.0</v>
      </c>
      <c r="V124" s="14">
        <v>11.0</v>
      </c>
      <c r="W124" s="14">
        <v>3856.0</v>
      </c>
      <c r="X124" s="14">
        <v>8.0</v>
      </c>
      <c r="Y124" s="14">
        <v>3864.0</v>
      </c>
      <c r="Z124" s="14">
        <v>8.0</v>
      </c>
      <c r="AA124" s="14">
        <v>3879.0</v>
      </c>
      <c r="AB124" s="14">
        <v>15.0</v>
      </c>
      <c r="AC124" s="14">
        <v>15.0</v>
      </c>
      <c r="AD124" s="14">
        <v>0.0</v>
      </c>
      <c r="AE124" s="14">
        <v>0.0</v>
      </c>
      <c r="AG124" s="14">
        <v>3.0</v>
      </c>
      <c r="AH124" s="14">
        <v>0.0</v>
      </c>
      <c r="AI124" s="14">
        <v>18.0</v>
      </c>
    </row>
    <row r="125" ht="15.75" customHeight="1">
      <c r="A125" s="14">
        <v>126.0</v>
      </c>
      <c r="B125" s="14" t="s">
        <v>434</v>
      </c>
      <c r="C125" s="14" t="s">
        <v>98</v>
      </c>
      <c r="D125" s="14">
        <v>12.0</v>
      </c>
      <c r="E125" s="14">
        <v>2463.0</v>
      </c>
      <c r="F125" s="14">
        <v>11.0</v>
      </c>
      <c r="G125" s="14">
        <v>2474.0</v>
      </c>
      <c r="H125" s="14">
        <v>12.0</v>
      </c>
      <c r="I125" s="14">
        <v>2486.0</v>
      </c>
      <c r="J125" s="14">
        <v>12.0</v>
      </c>
      <c r="K125" s="14">
        <v>2498.0</v>
      </c>
      <c r="L125" s="14">
        <v>12.0</v>
      </c>
      <c r="M125" s="14">
        <v>2510.0</v>
      </c>
      <c r="N125" s="14">
        <v>10.0</v>
      </c>
      <c r="O125" s="14">
        <v>2520.0</v>
      </c>
      <c r="P125" s="14">
        <v>9.0</v>
      </c>
      <c r="Q125" s="14">
        <v>2529.0</v>
      </c>
      <c r="R125" s="14">
        <v>9.0</v>
      </c>
      <c r="S125" s="14">
        <v>2534.0</v>
      </c>
      <c r="T125" s="14">
        <v>5.0</v>
      </c>
      <c r="U125" s="14">
        <v>2543.0</v>
      </c>
      <c r="V125" s="14">
        <v>9.0</v>
      </c>
      <c r="W125" s="14">
        <v>2561.0</v>
      </c>
      <c r="X125" s="14">
        <v>18.0</v>
      </c>
      <c r="Y125" s="14">
        <v>2568.0</v>
      </c>
      <c r="Z125" s="14">
        <v>7.0</v>
      </c>
      <c r="AA125" s="14">
        <v>2583.0</v>
      </c>
      <c r="AB125" s="14">
        <v>15.0</v>
      </c>
      <c r="AC125" s="14">
        <v>15.0</v>
      </c>
      <c r="AD125" s="14">
        <v>0.0</v>
      </c>
      <c r="AE125" s="14">
        <v>0.0</v>
      </c>
      <c r="AG125" s="14">
        <v>3.0</v>
      </c>
      <c r="AH125" s="14">
        <v>0.0</v>
      </c>
      <c r="AI125" s="14">
        <v>18.0</v>
      </c>
    </row>
    <row r="126" ht="15.75" customHeight="1">
      <c r="A126" s="14">
        <v>127.0</v>
      </c>
      <c r="B126" s="14" t="s">
        <v>437</v>
      </c>
      <c r="C126" s="14" t="s">
        <v>98</v>
      </c>
      <c r="D126" s="14">
        <v>13.0</v>
      </c>
      <c r="E126" s="14">
        <v>4938.0</v>
      </c>
      <c r="F126" s="14">
        <v>31.0</v>
      </c>
      <c r="G126" s="14">
        <v>4969.0</v>
      </c>
      <c r="H126" s="14">
        <v>32.0</v>
      </c>
      <c r="I126" s="14">
        <v>5001.0</v>
      </c>
      <c r="J126" s="14">
        <v>27.0</v>
      </c>
      <c r="K126" s="14">
        <v>5028.0</v>
      </c>
      <c r="L126" s="14">
        <v>22.0</v>
      </c>
      <c r="M126" s="14">
        <v>5050.0</v>
      </c>
      <c r="N126" s="14">
        <v>38.0</v>
      </c>
      <c r="O126" s="14">
        <v>5088.0</v>
      </c>
      <c r="P126" s="14">
        <v>19.0</v>
      </c>
      <c r="Q126" s="14">
        <v>5107.0</v>
      </c>
      <c r="R126" s="14">
        <v>19.0</v>
      </c>
      <c r="S126" s="14">
        <v>5137.0</v>
      </c>
      <c r="T126" s="14">
        <v>30.0</v>
      </c>
      <c r="U126" s="14">
        <v>5160.0</v>
      </c>
      <c r="V126" s="14">
        <v>23.0</v>
      </c>
      <c r="W126" s="14">
        <v>5182.0</v>
      </c>
      <c r="X126" s="14">
        <v>22.0</v>
      </c>
      <c r="Y126" s="14">
        <v>5220.0</v>
      </c>
      <c r="Z126" s="14">
        <v>38.0</v>
      </c>
      <c r="AA126" s="14">
        <v>5258.0</v>
      </c>
      <c r="AB126" s="14">
        <v>38.0</v>
      </c>
      <c r="AC126" s="14">
        <v>38.0</v>
      </c>
      <c r="AD126" s="14">
        <v>41.0</v>
      </c>
      <c r="AE126" s="14">
        <v>0.0</v>
      </c>
      <c r="AG126" s="14">
        <v>3.0</v>
      </c>
      <c r="AH126" s="14">
        <v>20.0</v>
      </c>
      <c r="AI126" s="14">
        <v>102.0</v>
      </c>
    </row>
    <row r="127" ht="15.75" customHeight="1">
      <c r="A127" s="14">
        <v>128.0</v>
      </c>
      <c r="B127" s="14" t="s">
        <v>438</v>
      </c>
      <c r="C127" s="14" t="s">
        <v>98</v>
      </c>
      <c r="D127" s="14">
        <v>14.0</v>
      </c>
      <c r="E127" s="14">
        <v>1710.0</v>
      </c>
      <c r="F127" s="14">
        <v>16.0</v>
      </c>
      <c r="G127" s="14">
        <v>1726.0</v>
      </c>
      <c r="H127" s="14">
        <v>20.0</v>
      </c>
      <c r="I127" s="14">
        <v>1746.0</v>
      </c>
      <c r="J127" s="14">
        <v>14.0</v>
      </c>
      <c r="K127" s="14">
        <v>1760.0</v>
      </c>
      <c r="L127" s="14">
        <v>14.0</v>
      </c>
      <c r="M127" s="14">
        <v>1774.0</v>
      </c>
      <c r="N127" s="14">
        <v>14.0</v>
      </c>
      <c r="O127" s="14">
        <v>1788.0</v>
      </c>
      <c r="P127" s="14">
        <v>11.0</v>
      </c>
      <c r="Q127" s="14">
        <v>1799.0</v>
      </c>
      <c r="R127" s="14">
        <v>11.0</v>
      </c>
      <c r="S127" s="14">
        <v>1809.0</v>
      </c>
      <c r="T127" s="14">
        <v>10.0</v>
      </c>
      <c r="U127" s="14">
        <v>1819.0</v>
      </c>
      <c r="V127" s="14">
        <v>10.0</v>
      </c>
      <c r="W127" s="14">
        <v>1831.0</v>
      </c>
      <c r="X127" s="14">
        <v>12.0</v>
      </c>
      <c r="Y127" s="14">
        <v>1844.0</v>
      </c>
      <c r="Z127" s="14">
        <v>13.0</v>
      </c>
      <c r="AA127" s="14">
        <v>1859.0</v>
      </c>
      <c r="AB127" s="14">
        <v>15.0</v>
      </c>
      <c r="AC127" s="14">
        <v>15.0</v>
      </c>
      <c r="AD127" s="14">
        <v>0.0</v>
      </c>
      <c r="AE127" s="14">
        <v>0.0</v>
      </c>
      <c r="AG127" s="14">
        <v>3.0</v>
      </c>
      <c r="AH127" s="14">
        <v>0.0</v>
      </c>
      <c r="AI127" s="14">
        <v>18.0</v>
      </c>
    </row>
    <row r="128" ht="15.75" customHeight="1">
      <c r="A128" s="14">
        <v>129.0</v>
      </c>
      <c r="B128" s="14" t="s">
        <v>440</v>
      </c>
      <c r="C128" s="14" t="s">
        <v>98</v>
      </c>
      <c r="D128" s="14">
        <v>15.0</v>
      </c>
      <c r="E128" s="14">
        <v>1918.0</v>
      </c>
      <c r="F128" s="14">
        <v>7.0</v>
      </c>
      <c r="G128" s="14">
        <v>1925.0</v>
      </c>
      <c r="H128" s="14">
        <v>12.0</v>
      </c>
      <c r="I128" s="14">
        <v>1937.0</v>
      </c>
      <c r="J128" s="14">
        <v>12.0</v>
      </c>
      <c r="K128" s="14">
        <v>1949.0</v>
      </c>
      <c r="L128" s="14">
        <v>6.0</v>
      </c>
      <c r="M128" s="14">
        <v>1955.0</v>
      </c>
      <c r="N128" s="14">
        <v>7.0</v>
      </c>
      <c r="O128" s="14">
        <v>1962.0</v>
      </c>
      <c r="P128" s="14">
        <v>9.0</v>
      </c>
      <c r="Q128" s="14">
        <v>1971.0</v>
      </c>
      <c r="R128" s="14">
        <v>9.0</v>
      </c>
      <c r="S128" s="14">
        <v>1974.0</v>
      </c>
      <c r="T128" s="14">
        <v>3.0</v>
      </c>
      <c r="U128" s="14">
        <v>1978.0</v>
      </c>
      <c r="V128" s="14">
        <v>4.0</v>
      </c>
      <c r="W128" s="14">
        <v>1982.0</v>
      </c>
      <c r="X128" s="14">
        <v>4.0</v>
      </c>
      <c r="Y128" s="14">
        <v>1987.0</v>
      </c>
      <c r="Z128" s="14">
        <v>5.0</v>
      </c>
      <c r="AA128" s="14">
        <v>1999.0</v>
      </c>
      <c r="AB128" s="14">
        <v>12.0</v>
      </c>
      <c r="AC128" s="14">
        <v>12.0</v>
      </c>
      <c r="AD128" s="14">
        <v>0.0</v>
      </c>
      <c r="AE128" s="14">
        <v>0.0</v>
      </c>
      <c r="AG128" s="14">
        <v>3.0</v>
      </c>
      <c r="AH128" s="14">
        <v>20.0</v>
      </c>
      <c r="AI128" s="14">
        <v>35.0</v>
      </c>
    </row>
    <row r="129" ht="15.75" customHeight="1">
      <c r="A129" s="14">
        <v>130.0</v>
      </c>
      <c r="B129" s="14" t="s">
        <v>443</v>
      </c>
      <c r="C129" s="14" t="s">
        <v>98</v>
      </c>
      <c r="D129" s="14">
        <v>16.0</v>
      </c>
      <c r="E129" s="14">
        <v>4603.0</v>
      </c>
      <c r="F129" s="14">
        <v>13.0</v>
      </c>
      <c r="G129" s="14">
        <v>4616.0</v>
      </c>
      <c r="H129" s="14">
        <v>16.0</v>
      </c>
      <c r="I129" s="14">
        <v>4632.0</v>
      </c>
      <c r="J129" s="14">
        <v>13.0</v>
      </c>
      <c r="K129" s="14">
        <v>4645.0</v>
      </c>
      <c r="L129" s="14">
        <v>9.0</v>
      </c>
      <c r="M129" s="14">
        <v>4654.0</v>
      </c>
      <c r="N129" s="14">
        <v>13.0</v>
      </c>
      <c r="O129" s="14">
        <v>4667.0</v>
      </c>
      <c r="P129" s="14">
        <v>14.0</v>
      </c>
      <c r="Q129" s="14">
        <v>4681.0</v>
      </c>
      <c r="R129" s="14">
        <v>14.0</v>
      </c>
      <c r="S129" s="14">
        <v>4688.0</v>
      </c>
      <c r="T129" s="14">
        <v>7.0</v>
      </c>
      <c r="U129" s="14">
        <v>4696.0</v>
      </c>
      <c r="V129" s="14">
        <v>8.0</v>
      </c>
      <c r="W129" s="14">
        <v>4704.0</v>
      </c>
      <c r="X129" s="14">
        <v>8.0</v>
      </c>
      <c r="Y129" s="14">
        <v>4713.0</v>
      </c>
      <c r="Z129" s="14">
        <v>9.0</v>
      </c>
      <c r="AA129" s="14">
        <v>4721.0</v>
      </c>
      <c r="AB129" s="14">
        <v>8.0</v>
      </c>
      <c r="AC129" s="14">
        <v>8.0</v>
      </c>
      <c r="AD129" s="14">
        <v>0.0</v>
      </c>
      <c r="AE129" s="14">
        <v>0.0</v>
      </c>
      <c r="AG129" s="14">
        <v>3.0</v>
      </c>
      <c r="AH129" s="14">
        <v>20.0</v>
      </c>
      <c r="AI129" s="14">
        <v>31.0</v>
      </c>
    </row>
    <row r="130" ht="15.75" customHeight="1">
      <c r="A130" s="14">
        <v>131.0</v>
      </c>
      <c r="B130" s="14" t="s">
        <v>445</v>
      </c>
      <c r="C130" s="14" t="s">
        <v>98</v>
      </c>
      <c r="D130" s="14" t="s">
        <v>446</v>
      </c>
      <c r="E130" s="14">
        <v>12.0</v>
      </c>
      <c r="F130" s="14">
        <v>15.0</v>
      </c>
      <c r="G130" s="14">
        <v>27.0</v>
      </c>
      <c r="H130" s="14">
        <v>19.0</v>
      </c>
      <c r="I130" s="14">
        <v>46.0</v>
      </c>
      <c r="J130" s="14">
        <v>20.0</v>
      </c>
      <c r="K130" s="14">
        <v>66.0</v>
      </c>
      <c r="L130" s="14">
        <v>19.0</v>
      </c>
      <c r="M130" s="14">
        <v>85.0</v>
      </c>
      <c r="N130" s="14">
        <v>20.0</v>
      </c>
      <c r="O130" s="14">
        <v>105.0</v>
      </c>
      <c r="P130" s="14">
        <v>16.0</v>
      </c>
      <c r="Q130" s="14">
        <v>121.0</v>
      </c>
      <c r="R130" s="14">
        <v>16.0</v>
      </c>
      <c r="S130" s="14">
        <v>137.0</v>
      </c>
      <c r="T130" s="14">
        <v>16.0</v>
      </c>
      <c r="U130" s="14">
        <v>161.0</v>
      </c>
      <c r="V130" s="14">
        <v>24.0</v>
      </c>
      <c r="W130" s="14">
        <v>183.0</v>
      </c>
      <c r="X130" s="14">
        <v>22.0</v>
      </c>
      <c r="Y130" s="14">
        <v>216.0</v>
      </c>
      <c r="Z130" s="14">
        <v>33.0</v>
      </c>
      <c r="AA130" s="14">
        <v>253.0</v>
      </c>
      <c r="AB130" s="14">
        <v>37.0</v>
      </c>
      <c r="AC130" s="14">
        <v>37.0</v>
      </c>
      <c r="AD130" s="14">
        <v>0.0</v>
      </c>
      <c r="AE130" s="14">
        <v>0.0</v>
      </c>
      <c r="AG130" s="14">
        <v>3.0</v>
      </c>
      <c r="AH130" s="14">
        <v>20.0</v>
      </c>
      <c r="AI130" s="14">
        <v>60.0</v>
      </c>
    </row>
    <row r="131" ht="15.75" customHeight="1">
      <c r="A131" s="14">
        <v>132.0</v>
      </c>
      <c r="B131" s="14" t="s">
        <v>448</v>
      </c>
      <c r="C131" s="14" t="s">
        <v>98</v>
      </c>
      <c r="D131" s="14">
        <v>17.0</v>
      </c>
      <c r="E131" s="14">
        <v>1244.0</v>
      </c>
      <c r="F131" s="14">
        <v>22.0</v>
      </c>
      <c r="G131" s="14">
        <v>1266.0</v>
      </c>
      <c r="H131" s="14">
        <v>32.0</v>
      </c>
      <c r="I131" s="14">
        <v>1298.0</v>
      </c>
      <c r="J131" s="14">
        <v>33.0</v>
      </c>
      <c r="K131" s="14">
        <v>1331.0</v>
      </c>
      <c r="L131" s="14">
        <v>17.0</v>
      </c>
      <c r="M131" s="14">
        <v>1348.0</v>
      </c>
      <c r="N131" s="14">
        <v>12.0</v>
      </c>
      <c r="O131" s="14">
        <v>1360.0</v>
      </c>
      <c r="P131" s="14">
        <v>3.0</v>
      </c>
      <c r="Q131" s="14">
        <v>1363.0</v>
      </c>
      <c r="R131" s="14">
        <v>3.0</v>
      </c>
      <c r="S131" s="14">
        <v>1364.0</v>
      </c>
      <c r="T131" s="14">
        <v>1.0</v>
      </c>
      <c r="U131" s="14">
        <v>1364.0</v>
      </c>
      <c r="V131" s="14">
        <v>0.0</v>
      </c>
      <c r="W131" s="14">
        <v>1365.0</v>
      </c>
      <c r="X131" s="14">
        <v>1.0</v>
      </c>
      <c r="Y131" s="14">
        <v>1365.0</v>
      </c>
      <c r="Z131" s="14">
        <v>0.0</v>
      </c>
      <c r="AA131" s="14">
        <v>1365.0</v>
      </c>
      <c r="AB131" s="14">
        <v>0.0</v>
      </c>
      <c r="AC131" s="14">
        <v>5.0</v>
      </c>
      <c r="AD131" s="14">
        <v>0.0</v>
      </c>
      <c r="AE131" s="14">
        <v>0.0</v>
      </c>
      <c r="AG131" s="14">
        <v>3.0</v>
      </c>
      <c r="AH131" s="14">
        <v>20.0</v>
      </c>
      <c r="AI131" s="14">
        <v>28.0</v>
      </c>
    </row>
    <row r="132" ht="15.75" customHeight="1">
      <c r="A132" s="14">
        <v>133.0</v>
      </c>
      <c r="B132" s="14" t="s">
        <v>450</v>
      </c>
      <c r="C132" s="14" t="s">
        <v>98</v>
      </c>
      <c r="D132" s="14">
        <v>18.0</v>
      </c>
      <c r="E132" s="14">
        <v>1000.0</v>
      </c>
      <c r="F132" s="14">
        <v>9.0</v>
      </c>
      <c r="G132" s="14">
        <v>1009.0</v>
      </c>
      <c r="H132" s="14">
        <v>7.0</v>
      </c>
      <c r="I132" s="14">
        <v>1016.0</v>
      </c>
      <c r="J132" s="14">
        <v>5.0</v>
      </c>
      <c r="K132" s="14">
        <v>1021.0</v>
      </c>
      <c r="L132" s="14">
        <v>8.0</v>
      </c>
      <c r="M132" s="14">
        <v>1029.0</v>
      </c>
      <c r="N132" s="14">
        <v>4.0</v>
      </c>
      <c r="O132" s="14">
        <v>1033.0</v>
      </c>
      <c r="P132" s="14">
        <v>2.0</v>
      </c>
      <c r="Q132" s="14">
        <v>1035.0</v>
      </c>
      <c r="R132" s="14">
        <v>2.0</v>
      </c>
      <c r="S132" s="14">
        <v>1036.0</v>
      </c>
      <c r="T132" s="14">
        <v>1.0</v>
      </c>
      <c r="U132" s="14">
        <v>1039.0</v>
      </c>
      <c r="V132" s="14">
        <v>3.0</v>
      </c>
      <c r="W132" s="14">
        <v>1046.0</v>
      </c>
      <c r="X132" s="14">
        <v>7.0</v>
      </c>
      <c r="Y132" s="14">
        <v>1048.0</v>
      </c>
      <c r="Z132" s="14">
        <v>2.0</v>
      </c>
      <c r="AA132" s="14">
        <v>1049.0</v>
      </c>
      <c r="AB132" s="14">
        <v>1.0</v>
      </c>
      <c r="AC132" s="14">
        <v>5.0</v>
      </c>
      <c r="AD132" s="14">
        <v>0.0</v>
      </c>
      <c r="AE132" s="14">
        <v>0.0</v>
      </c>
      <c r="AG132" s="14">
        <v>3.0</v>
      </c>
      <c r="AH132" s="14">
        <v>0.0</v>
      </c>
      <c r="AI132" s="14">
        <v>8.0</v>
      </c>
    </row>
    <row r="133" ht="15.75" customHeight="1">
      <c r="A133" s="14">
        <v>134.0</v>
      </c>
      <c r="B133" s="14" t="s">
        <v>456</v>
      </c>
      <c r="C133" s="14" t="s">
        <v>98</v>
      </c>
      <c r="D133" s="14">
        <v>19.0</v>
      </c>
      <c r="E133" s="14">
        <v>2832.0</v>
      </c>
      <c r="F133" s="14">
        <v>25.0</v>
      </c>
      <c r="G133" s="14">
        <v>2857.0</v>
      </c>
      <c r="H133" s="14">
        <v>26.0</v>
      </c>
      <c r="I133" s="14">
        <v>2883.0</v>
      </c>
      <c r="J133" s="14">
        <v>25.0</v>
      </c>
      <c r="K133" s="14">
        <v>2908.0</v>
      </c>
      <c r="L133" s="14">
        <v>27.0</v>
      </c>
      <c r="M133" s="14">
        <v>2935.0</v>
      </c>
      <c r="N133" s="14">
        <v>21.0</v>
      </c>
      <c r="O133" s="14">
        <v>2956.0</v>
      </c>
      <c r="P133" s="14">
        <v>19.0</v>
      </c>
      <c r="Q133" s="14">
        <v>2975.0</v>
      </c>
      <c r="R133" s="14">
        <v>19.0</v>
      </c>
      <c r="S133" s="14">
        <v>2991.0</v>
      </c>
      <c r="T133" s="14">
        <v>16.0</v>
      </c>
      <c r="U133" s="14">
        <v>3007.0</v>
      </c>
      <c r="V133" s="14">
        <v>16.0</v>
      </c>
      <c r="W133" s="14">
        <v>3021.0</v>
      </c>
      <c r="X133" s="14">
        <v>14.0</v>
      </c>
      <c r="Y133" s="14">
        <v>3035.0</v>
      </c>
      <c r="Z133" s="14">
        <v>14.0</v>
      </c>
      <c r="AA133" s="14">
        <v>3051.0</v>
      </c>
      <c r="AB133" s="14">
        <v>16.0</v>
      </c>
      <c r="AC133" s="14">
        <v>16.0</v>
      </c>
      <c r="AD133" s="14">
        <v>0.0</v>
      </c>
      <c r="AE133" s="14">
        <v>0.0</v>
      </c>
      <c r="AG133" s="14">
        <v>3.0</v>
      </c>
      <c r="AH133" s="14">
        <v>0.0</v>
      </c>
      <c r="AI133" s="14">
        <v>19.0</v>
      </c>
    </row>
    <row r="134" ht="15.75" customHeight="1">
      <c r="A134" s="14">
        <v>135.0</v>
      </c>
      <c r="B134" s="14" t="s">
        <v>458</v>
      </c>
      <c r="C134" s="14" t="s">
        <v>98</v>
      </c>
      <c r="D134" s="14">
        <v>20.0</v>
      </c>
      <c r="E134" s="14">
        <v>2713.0</v>
      </c>
      <c r="F134" s="14">
        <v>19.0</v>
      </c>
      <c r="G134" s="14">
        <v>2732.0</v>
      </c>
      <c r="H134" s="14">
        <v>17.0</v>
      </c>
      <c r="I134" s="14">
        <v>2749.0</v>
      </c>
      <c r="J134" s="14">
        <v>15.0</v>
      </c>
      <c r="K134" s="14">
        <v>2764.0</v>
      </c>
      <c r="L134" s="14">
        <v>14.0</v>
      </c>
      <c r="M134" s="14">
        <v>2778.0</v>
      </c>
      <c r="N134" s="14">
        <v>13.0</v>
      </c>
      <c r="O134" s="14">
        <v>2791.0</v>
      </c>
      <c r="P134" s="14">
        <v>14.0</v>
      </c>
      <c r="Q134" s="14">
        <v>2805.0</v>
      </c>
      <c r="R134" s="14">
        <v>14.0</v>
      </c>
      <c r="S134" s="14">
        <v>2816.0</v>
      </c>
      <c r="T134" s="14">
        <v>11.0</v>
      </c>
      <c r="U134" s="14">
        <v>2827.0</v>
      </c>
      <c r="V134" s="14">
        <v>11.0</v>
      </c>
      <c r="W134" s="14">
        <v>2838.0</v>
      </c>
      <c r="X134" s="14">
        <v>11.0</v>
      </c>
      <c r="Y134" s="14">
        <v>2850.0</v>
      </c>
      <c r="Z134" s="14">
        <v>12.0</v>
      </c>
      <c r="AA134" s="14">
        <v>2865.0</v>
      </c>
      <c r="AB134" s="14">
        <v>15.0</v>
      </c>
      <c r="AC134" s="14">
        <v>15.0</v>
      </c>
      <c r="AD134" s="14">
        <v>0.0</v>
      </c>
      <c r="AE134" s="14">
        <v>0.0</v>
      </c>
      <c r="AG134" s="14">
        <v>3.0</v>
      </c>
      <c r="AH134" s="14">
        <v>0.0</v>
      </c>
      <c r="AI134" s="14">
        <v>18.0</v>
      </c>
    </row>
    <row r="135" ht="15.75" customHeight="1">
      <c r="A135" s="14">
        <v>136.0</v>
      </c>
      <c r="B135" s="14" t="s">
        <v>460</v>
      </c>
      <c r="C135" s="14" t="s">
        <v>98</v>
      </c>
      <c r="D135" s="14">
        <v>21.0</v>
      </c>
      <c r="E135" s="14">
        <v>1104.0</v>
      </c>
      <c r="F135" s="14">
        <v>27.0</v>
      </c>
      <c r="G135" s="14">
        <v>1131.0</v>
      </c>
      <c r="H135" s="14">
        <v>35.0</v>
      </c>
      <c r="I135" s="14">
        <v>1166.0</v>
      </c>
      <c r="J135" s="14">
        <v>30.0</v>
      </c>
      <c r="K135" s="14">
        <v>1196.0</v>
      </c>
      <c r="L135" s="14">
        <v>29.0</v>
      </c>
      <c r="M135" s="14">
        <v>1225.0</v>
      </c>
      <c r="N135" s="14">
        <v>23.0</v>
      </c>
      <c r="O135" s="14">
        <v>1248.0</v>
      </c>
      <c r="P135" s="14">
        <v>21.0</v>
      </c>
      <c r="Q135" s="14">
        <v>1269.0</v>
      </c>
      <c r="R135" s="14">
        <v>21.0</v>
      </c>
      <c r="S135" s="14">
        <v>1288.0</v>
      </c>
      <c r="T135" s="14">
        <v>19.0</v>
      </c>
      <c r="U135" s="14">
        <v>1305.0</v>
      </c>
      <c r="V135" s="14">
        <v>17.0</v>
      </c>
      <c r="W135" s="14">
        <v>1322.0</v>
      </c>
      <c r="X135" s="14">
        <v>17.0</v>
      </c>
      <c r="Y135" s="14">
        <v>1340.0</v>
      </c>
      <c r="Z135" s="14">
        <v>18.0</v>
      </c>
      <c r="AA135" s="14">
        <v>1363.0</v>
      </c>
      <c r="AB135" s="14">
        <v>23.0</v>
      </c>
      <c r="AC135" s="14">
        <v>23.0</v>
      </c>
      <c r="AD135" s="14">
        <v>0.0</v>
      </c>
      <c r="AE135" s="14">
        <v>0.0</v>
      </c>
      <c r="AG135" s="14">
        <v>3.0</v>
      </c>
      <c r="AH135" s="14">
        <v>0.0</v>
      </c>
      <c r="AI135" s="14">
        <v>26.0</v>
      </c>
    </row>
    <row r="136" ht="15.75" customHeight="1">
      <c r="A136" s="14">
        <v>137.0</v>
      </c>
      <c r="B136" s="14" t="s">
        <v>462</v>
      </c>
      <c r="C136" s="14" t="s">
        <v>98</v>
      </c>
      <c r="D136" s="14" t="s">
        <v>463</v>
      </c>
      <c r="E136" s="14">
        <v>458.0</v>
      </c>
      <c r="F136" s="14">
        <v>13.0</v>
      </c>
      <c r="G136" s="14">
        <v>471.0</v>
      </c>
      <c r="H136" s="14">
        <v>14.0</v>
      </c>
      <c r="I136" s="14">
        <v>485.0</v>
      </c>
      <c r="J136" s="14">
        <v>14.0</v>
      </c>
      <c r="K136" s="14">
        <v>499.0</v>
      </c>
      <c r="L136" s="14">
        <v>11.0</v>
      </c>
      <c r="M136" s="14">
        <v>510.0</v>
      </c>
      <c r="N136" s="14">
        <v>11.0</v>
      </c>
      <c r="O136" s="14">
        <v>521.0</v>
      </c>
      <c r="P136" s="14">
        <v>10.0</v>
      </c>
      <c r="Q136" s="14">
        <v>531.0</v>
      </c>
      <c r="R136" s="14">
        <v>10.0</v>
      </c>
      <c r="S136" s="14">
        <v>540.0</v>
      </c>
      <c r="T136" s="14">
        <v>9.0</v>
      </c>
      <c r="U136" s="14">
        <v>544.0</v>
      </c>
      <c r="V136" s="14">
        <v>4.0</v>
      </c>
      <c r="W136" s="14">
        <v>551.0</v>
      </c>
      <c r="X136" s="14">
        <v>7.0</v>
      </c>
      <c r="Y136" s="14">
        <v>559.0</v>
      </c>
      <c r="Z136" s="14">
        <v>8.0</v>
      </c>
      <c r="AA136" s="14">
        <v>571.0</v>
      </c>
      <c r="AB136" s="14">
        <v>12.0</v>
      </c>
      <c r="AC136" s="14">
        <v>12.0</v>
      </c>
      <c r="AD136" s="14">
        <v>0.0</v>
      </c>
      <c r="AE136" s="14">
        <v>0.0</v>
      </c>
      <c r="AG136" s="14">
        <v>3.0</v>
      </c>
      <c r="AH136" s="14">
        <v>0.0</v>
      </c>
      <c r="AI136" s="14">
        <v>15.0</v>
      </c>
    </row>
    <row r="137" ht="15.75" customHeight="1">
      <c r="A137" s="14">
        <v>138.0</v>
      </c>
      <c r="B137" s="14" t="s">
        <v>465</v>
      </c>
      <c r="C137" s="14" t="s">
        <v>98</v>
      </c>
      <c r="D137" s="14">
        <v>22.0</v>
      </c>
      <c r="E137" s="14">
        <v>3480.0</v>
      </c>
      <c r="F137" s="14">
        <v>28.0</v>
      </c>
      <c r="G137" s="14">
        <v>3508.0</v>
      </c>
      <c r="H137" s="14">
        <v>39.0</v>
      </c>
      <c r="I137" s="14">
        <v>3547.0</v>
      </c>
      <c r="J137" s="14">
        <v>29.0</v>
      </c>
      <c r="K137" s="14">
        <v>3576.0</v>
      </c>
      <c r="L137" s="14">
        <v>37.0</v>
      </c>
      <c r="M137" s="14">
        <v>3613.0</v>
      </c>
      <c r="N137" s="14">
        <v>33.0</v>
      </c>
      <c r="O137" s="14">
        <v>3646.0</v>
      </c>
      <c r="P137" s="14">
        <v>32.0</v>
      </c>
      <c r="Q137" s="14">
        <v>3678.0</v>
      </c>
      <c r="R137" s="14">
        <v>32.0</v>
      </c>
      <c r="S137" s="14">
        <v>3701.0</v>
      </c>
      <c r="T137" s="14">
        <v>23.0</v>
      </c>
      <c r="U137" s="14">
        <v>3725.0</v>
      </c>
      <c r="V137" s="14">
        <v>24.0</v>
      </c>
      <c r="W137" s="14">
        <v>3750.0</v>
      </c>
      <c r="X137" s="14">
        <v>25.0</v>
      </c>
      <c r="Y137" s="14">
        <v>3809.0</v>
      </c>
      <c r="Z137" s="14">
        <v>59.0</v>
      </c>
      <c r="AA137" s="14">
        <v>3855.0</v>
      </c>
      <c r="AB137" s="14">
        <v>46.0</v>
      </c>
      <c r="AC137" s="14">
        <v>46.0</v>
      </c>
      <c r="AD137" s="14">
        <v>0.0</v>
      </c>
      <c r="AE137" s="14">
        <v>0.0</v>
      </c>
      <c r="AG137" s="14">
        <v>3.0</v>
      </c>
      <c r="AH137" s="14">
        <v>0.0</v>
      </c>
      <c r="AI137" s="14">
        <v>49.0</v>
      </c>
    </row>
    <row r="138" ht="15.75" customHeight="1">
      <c r="A138" s="14">
        <v>139.0</v>
      </c>
      <c r="B138" s="14" t="s">
        <v>468</v>
      </c>
      <c r="C138" s="14" t="s">
        <v>98</v>
      </c>
      <c r="D138" s="14">
        <v>23.0</v>
      </c>
      <c r="E138" s="14">
        <v>121.0</v>
      </c>
      <c r="F138" s="14">
        <v>10.0</v>
      </c>
      <c r="G138" s="14">
        <v>131.0</v>
      </c>
      <c r="H138" s="14">
        <v>8.0</v>
      </c>
      <c r="I138" s="14">
        <v>139.0</v>
      </c>
      <c r="J138" s="14">
        <v>11.0</v>
      </c>
      <c r="K138" s="14">
        <v>150.0</v>
      </c>
      <c r="L138" s="14">
        <v>9.0</v>
      </c>
      <c r="M138" s="14">
        <v>159.0</v>
      </c>
      <c r="N138" s="14">
        <v>10.0</v>
      </c>
      <c r="O138" s="14">
        <v>169.0</v>
      </c>
      <c r="P138" s="14">
        <v>6.0</v>
      </c>
      <c r="Q138" s="14">
        <v>175.0</v>
      </c>
      <c r="R138" s="14">
        <v>6.0</v>
      </c>
      <c r="S138" s="14">
        <v>178.0</v>
      </c>
      <c r="T138" s="14">
        <v>3.0</v>
      </c>
      <c r="U138" s="14">
        <v>181.0</v>
      </c>
      <c r="V138" s="14">
        <v>3.0</v>
      </c>
      <c r="W138" s="14">
        <v>185.0</v>
      </c>
      <c r="X138" s="14">
        <v>4.0</v>
      </c>
      <c r="Y138" s="14">
        <v>194.0</v>
      </c>
      <c r="Z138" s="14">
        <v>9.0</v>
      </c>
      <c r="AA138" s="14">
        <v>204.0</v>
      </c>
      <c r="AB138" s="14">
        <v>10.0</v>
      </c>
      <c r="AC138" s="14">
        <v>10.0</v>
      </c>
      <c r="AD138" s="14">
        <v>12.0</v>
      </c>
      <c r="AE138" s="14">
        <v>0.0</v>
      </c>
      <c r="AG138" s="14">
        <v>3.0</v>
      </c>
      <c r="AH138" s="14">
        <v>20.0</v>
      </c>
      <c r="AI138" s="14">
        <v>45.0</v>
      </c>
    </row>
    <row r="139" ht="15.75" customHeight="1">
      <c r="A139" s="14">
        <v>140.0</v>
      </c>
      <c r="B139" s="14" t="s">
        <v>473</v>
      </c>
      <c r="C139" s="14" t="s">
        <v>98</v>
      </c>
      <c r="D139" s="14">
        <v>24.0</v>
      </c>
      <c r="E139" s="14">
        <v>3250.0</v>
      </c>
      <c r="F139" s="14">
        <v>30.0</v>
      </c>
      <c r="G139" s="14">
        <v>3280.0</v>
      </c>
      <c r="H139" s="14">
        <v>30.0</v>
      </c>
      <c r="I139" s="14">
        <v>15.0</v>
      </c>
      <c r="J139" s="14">
        <v>18.0</v>
      </c>
      <c r="K139" s="14">
        <v>33.0</v>
      </c>
      <c r="L139" s="14">
        <v>22.0</v>
      </c>
      <c r="M139" s="14">
        <v>55.0</v>
      </c>
      <c r="N139" s="14">
        <v>34.0</v>
      </c>
      <c r="O139" s="14">
        <v>89.0</v>
      </c>
      <c r="P139" s="14">
        <v>21.0</v>
      </c>
      <c r="Q139" s="14">
        <v>110.0</v>
      </c>
      <c r="R139" s="14">
        <v>21.0</v>
      </c>
      <c r="S139" s="14">
        <v>121.0</v>
      </c>
      <c r="T139" s="14">
        <v>11.0</v>
      </c>
      <c r="U139" s="14">
        <v>133.0</v>
      </c>
      <c r="V139" s="14">
        <v>12.0</v>
      </c>
      <c r="W139" s="14">
        <v>150.0</v>
      </c>
      <c r="X139" s="14">
        <v>17.0</v>
      </c>
      <c r="Y139" s="14">
        <v>166.0</v>
      </c>
      <c r="Z139" s="14">
        <v>16.0</v>
      </c>
      <c r="AA139" s="14">
        <v>180.0</v>
      </c>
      <c r="AB139" s="14">
        <v>14.0</v>
      </c>
      <c r="AC139" s="14">
        <v>14.0</v>
      </c>
      <c r="AD139" s="14">
        <v>0.0</v>
      </c>
      <c r="AE139" s="14">
        <v>0.0</v>
      </c>
      <c r="AG139" s="14">
        <v>3.0</v>
      </c>
      <c r="AH139" s="14">
        <v>0.0</v>
      </c>
      <c r="AI139" s="14">
        <v>17.0</v>
      </c>
    </row>
    <row r="140" ht="15.75" customHeight="1">
      <c r="A140" s="14">
        <v>141.0</v>
      </c>
      <c r="B140" s="14" t="s">
        <v>475</v>
      </c>
      <c r="C140" s="14" t="s">
        <v>101</v>
      </c>
      <c r="D140" s="14">
        <v>1.0</v>
      </c>
      <c r="E140" s="14">
        <v>2245.0</v>
      </c>
      <c r="F140" s="14">
        <v>33.0</v>
      </c>
      <c r="G140" s="14">
        <v>2278.0</v>
      </c>
      <c r="H140" s="14">
        <v>19.0</v>
      </c>
      <c r="I140" s="14">
        <v>2297.0</v>
      </c>
      <c r="J140" s="14">
        <v>11.0</v>
      </c>
      <c r="K140" s="14">
        <v>2308.0</v>
      </c>
      <c r="L140" s="14">
        <v>8.0</v>
      </c>
      <c r="M140" s="14">
        <v>2316.0</v>
      </c>
      <c r="N140" s="14">
        <v>7.0</v>
      </c>
      <c r="O140" s="14">
        <v>2323.0</v>
      </c>
      <c r="P140" s="14">
        <v>8.0</v>
      </c>
      <c r="Q140" s="14">
        <v>2331.0</v>
      </c>
      <c r="R140" s="14">
        <v>8.0</v>
      </c>
      <c r="S140" s="14">
        <v>2339.0</v>
      </c>
      <c r="T140" s="14">
        <v>8.0</v>
      </c>
      <c r="U140" s="14">
        <v>2355.0</v>
      </c>
      <c r="V140" s="14">
        <v>16.0</v>
      </c>
      <c r="W140" s="14">
        <v>2370.0</v>
      </c>
      <c r="X140" s="14">
        <v>15.0</v>
      </c>
      <c r="Y140" s="14">
        <v>2384.0</v>
      </c>
      <c r="Z140" s="14">
        <v>14.0</v>
      </c>
      <c r="AA140" s="14">
        <v>2401.0</v>
      </c>
      <c r="AB140" s="14">
        <v>17.0</v>
      </c>
      <c r="AC140" s="14">
        <v>17.0</v>
      </c>
      <c r="AD140" s="14">
        <v>0.0</v>
      </c>
      <c r="AE140" s="14">
        <v>0.0</v>
      </c>
      <c r="AG140" s="14">
        <v>3.0</v>
      </c>
      <c r="AH140" s="14">
        <v>0.0</v>
      </c>
      <c r="AI140" s="14">
        <v>20.0</v>
      </c>
    </row>
    <row r="141" ht="15.75" customHeight="1">
      <c r="A141" s="14">
        <v>142.0</v>
      </c>
      <c r="B141" s="14" t="s">
        <v>479</v>
      </c>
      <c r="C141" s="14" t="s">
        <v>101</v>
      </c>
      <c r="D141" s="14">
        <v>2.0</v>
      </c>
      <c r="E141" s="14">
        <v>1883.0</v>
      </c>
      <c r="F141" s="14">
        <v>7.0</v>
      </c>
      <c r="G141" s="14">
        <v>1890.0</v>
      </c>
      <c r="H141" s="14">
        <v>7.0</v>
      </c>
      <c r="I141" s="14">
        <v>1897.0</v>
      </c>
      <c r="J141" s="14">
        <v>10.0</v>
      </c>
      <c r="K141" s="14">
        <v>1907.0</v>
      </c>
      <c r="L141" s="14">
        <v>11.0</v>
      </c>
      <c r="M141" s="14">
        <v>1918.0</v>
      </c>
      <c r="N141" s="14">
        <v>10.0</v>
      </c>
      <c r="O141" s="14">
        <v>1928.0</v>
      </c>
      <c r="P141" s="14">
        <v>10.0</v>
      </c>
      <c r="Q141" s="14">
        <v>1938.0</v>
      </c>
      <c r="R141" s="14">
        <v>10.0</v>
      </c>
      <c r="S141" s="14">
        <v>1947.0</v>
      </c>
      <c r="T141" s="14">
        <v>9.0</v>
      </c>
      <c r="U141" s="14">
        <v>1958.0</v>
      </c>
      <c r="V141" s="14">
        <v>11.0</v>
      </c>
      <c r="W141" s="14">
        <v>1968.0</v>
      </c>
      <c r="X141" s="14">
        <v>10.0</v>
      </c>
      <c r="Y141" s="14">
        <v>1980.0</v>
      </c>
      <c r="Z141" s="14">
        <v>12.0</v>
      </c>
      <c r="AA141" s="14">
        <v>1992.0</v>
      </c>
      <c r="AB141" s="14">
        <v>12.0</v>
      </c>
      <c r="AC141" s="14">
        <v>12.0</v>
      </c>
      <c r="AD141" s="14">
        <v>0.0</v>
      </c>
      <c r="AE141" s="14">
        <v>0.0</v>
      </c>
      <c r="AG141" s="14">
        <v>3.0</v>
      </c>
      <c r="AH141" s="14">
        <v>0.0</v>
      </c>
      <c r="AI141" s="14">
        <v>15.0</v>
      </c>
    </row>
    <row r="142" ht="15.75" customHeight="1">
      <c r="A142" s="14">
        <v>143.0</v>
      </c>
      <c r="B142" s="14" t="s">
        <v>480</v>
      </c>
      <c r="C142" s="14" t="s">
        <v>101</v>
      </c>
      <c r="D142" s="14">
        <v>3.0</v>
      </c>
      <c r="E142" s="14">
        <v>2872.0</v>
      </c>
      <c r="F142" s="14">
        <v>14.0</v>
      </c>
      <c r="G142" s="14">
        <v>2886.0</v>
      </c>
      <c r="H142" s="14">
        <v>13.0</v>
      </c>
      <c r="I142" s="14">
        <v>2899.0</v>
      </c>
      <c r="J142" s="14">
        <v>14.0</v>
      </c>
      <c r="K142" s="14">
        <v>2913.0</v>
      </c>
      <c r="L142" s="14">
        <v>15.0</v>
      </c>
      <c r="M142" s="14">
        <v>2928.0</v>
      </c>
      <c r="N142" s="14">
        <v>13.0</v>
      </c>
      <c r="O142" s="14">
        <v>2941.0</v>
      </c>
      <c r="P142" s="14">
        <v>10.0</v>
      </c>
      <c r="Q142" s="14">
        <v>2951.0</v>
      </c>
      <c r="R142" s="14">
        <v>10.0</v>
      </c>
      <c r="S142" s="14">
        <v>2961.0</v>
      </c>
      <c r="T142" s="14">
        <v>10.0</v>
      </c>
      <c r="U142" s="14">
        <v>2967.0</v>
      </c>
      <c r="V142" s="14">
        <v>6.0</v>
      </c>
      <c r="W142" s="14">
        <v>2973.0</v>
      </c>
      <c r="X142" s="14">
        <v>6.0</v>
      </c>
      <c r="Y142" s="14">
        <v>2982.0</v>
      </c>
      <c r="Z142" s="14">
        <v>9.0</v>
      </c>
      <c r="AA142" s="14">
        <v>2983.0</v>
      </c>
      <c r="AB142" s="14">
        <v>1.0</v>
      </c>
      <c r="AC142" s="14">
        <v>5.0</v>
      </c>
      <c r="AD142" s="14">
        <v>0.0</v>
      </c>
      <c r="AE142" s="14">
        <v>0.0</v>
      </c>
      <c r="AG142" s="14">
        <v>3.0</v>
      </c>
      <c r="AH142" s="14">
        <v>0.0</v>
      </c>
      <c r="AI142" s="14">
        <v>8.0</v>
      </c>
    </row>
    <row r="143" ht="15.75" customHeight="1">
      <c r="A143" s="14">
        <v>144.0</v>
      </c>
      <c r="B143" s="14" t="s">
        <v>482</v>
      </c>
      <c r="C143" s="14" t="s">
        <v>101</v>
      </c>
      <c r="D143" s="14">
        <v>4.0</v>
      </c>
      <c r="E143" s="14">
        <v>2133.0</v>
      </c>
      <c r="F143" s="14">
        <v>18.0</v>
      </c>
      <c r="G143" s="14">
        <v>2151.0</v>
      </c>
      <c r="H143" s="14">
        <v>15.0</v>
      </c>
      <c r="I143" s="14">
        <v>2166.0</v>
      </c>
      <c r="J143" s="14">
        <v>8.0</v>
      </c>
      <c r="K143" s="14">
        <v>2174.0</v>
      </c>
      <c r="L143" s="14">
        <v>12.0</v>
      </c>
      <c r="M143" s="14">
        <v>2186.0</v>
      </c>
      <c r="N143" s="14">
        <v>13.0</v>
      </c>
      <c r="O143" s="14">
        <v>2199.0</v>
      </c>
      <c r="P143" s="14">
        <v>24.0</v>
      </c>
      <c r="Q143" s="14">
        <v>2223.0</v>
      </c>
      <c r="R143" s="14">
        <v>24.0</v>
      </c>
      <c r="S143" s="14">
        <v>2235.0</v>
      </c>
      <c r="T143" s="14">
        <v>12.0</v>
      </c>
      <c r="U143" s="14">
        <v>2252.0</v>
      </c>
      <c r="V143" s="14">
        <v>17.0</v>
      </c>
      <c r="W143" s="14">
        <v>2267.0</v>
      </c>
      <c r="X143" s="14">
        <v>15.0</v>
      </c>
      <c r="Y143" s="14">
        <v>2279.0</v>
      </c>
      <c r="Z143" s="14">
        <v>12.0</v>
      </c>
      <c r="AA143" s="14">
        <v>2288.0</v>
      </c>
      <c r="AB143" s="14">
        <v>9.0</v>
      </c>
      <c r="AC143" s="14">
        <v>9.0</v>
      </c>
      <c r="AD143" s="14">
        <v>0.0</v>
      </c>
      <c r="AE143" s="14">
        <v>0.0</v>
      </c>
      <c r="AG143" s="14">
        <v>3.0</v>
      </c>
      <c r="AH143" s="14">
        <v>0.0</v>
      </c>
      <c r="AI143" s="14">
        <v>12.0</v>
      </c>
    </row>
    <row r="144" ht="15.75" customHeight="1">
      <c r="A144" s="14">
        <v>145.0</v>
      </c>
      <c r="B144" s="14" t="s">
        <v>483</v>
      </c>
      <c r="C144" s="14" t="s">
        <v>101</v>
      </c>
      <c r="D144" s="14">
        <v>5.0</v>
      </c>
      <c r="E144" s="14">
        <v>5105.0</v>
      </c>
      <c r="F144" s="14">
        <v>27.0</v>
      </c>
      <c r="G144" s="14">
        <v>5132.0</v>
      </c>
      <c r="H144" s="14">
        <v>20.0</v>
      </c>
      <c r="I144" s="14">
        <v>5152.0</v>
      </c>
      <c r="J144" s="14">
        <v>32.0</v>
      </c>
      <c r="K144" s="14">
        <v>5184.0</v>
      </c>
      <c r="L144" s="14">
        <v>29.0</v>
      </c>
      <c r="M144" s="14">
        <v>5213.0</v>
      </c>
      <c r="N144" s="14">
        <v>24.0</v>
      </c>
      <c r="O144" s="14">
        <v>5237.0</v>
      </c>
      <c r="P144" s="14">
        <v>23.0</v>
      </c>
      <c r="Q144" s="14">
        <v>5260.0</v>
      </c>
      <c r="R144" s="14">
        <v>23.0</v>
      </c>
      <c r="S144" s="14">
        <v>5281.0</v>
      </c>
      <c r="T144" s="14">
        <v>21.0</v>
      </c>
      <c r="U144" s="14">
        <v>5303.0</v>
      </c>
      <c r="V144" s="14">
        <v>22.0</v>
      </c>
      <c r="W144" s="14">
        <v>5319.0</v>
      </c>
      <c r="X144" s="14">
        <v>16.0</v>
      </c>
      <c r="Y144" s="14">
        <v>5330.0</v>
      </c>
      <c r="Z144" s="14">
        <v>11.0</v>
      </c>
      <c r="AA144" s="14">
        <v>5343.0</v>
      </c>
      <c r="AB144" s="14">
        <v>13.0</v>
      </c>
      <c r="AC144" s="14">
        <v>13.0</v>
      </c>
      <c r="AD144" s="14">
        <v>0.0</v>
      </c>
      <c r="AE144" s="14">
        <v>0.0</v>
      </c>
      <c r="AG144" s="14">
        <v>3.0</v>
      </c>
      <c r="AH144" s="14">
        <v>20.0</v>
      </c>
      <c r="AI144" s="14">
        <v>36.0</v>
      </c>
    </row>
    <row r="145" ht="15.75" customHeight="1">
      <c r="A145" s="14">
        <v>146.0</v>
      </c>
      <c r="B145" s="14" t="s">
        <v>488</v>
      </c>
      <c r="C145" s="14" t="s">
        <v>101</v>
      </c>
      <c r="D145" s="14">
        <v>7.0</v>
      </c>
      <c r="E145" s="14">
        <v>6909.0</v>
      </c>
      <c r="F145" s="14">
        <v>34.0</v>
      </c>
      <c r="G145" s="14">
        <v>6943.0</v>
      </c>
      <c r="H145" s="14">
        <v>37.0</v>
      </c>
      <c r="I145" s="14">
        <v>6980.0</v>
      </c>
      <c r="J145" s="14">
        <v>37.0</v>
      </c>
      <c r="K145" s="14">
        <v>7017.0</v>
      </c>
      <c r="L145" s="14">
        <v>34.0</v>
      </c>
      <c r="M145" s="14">
        <v>7051.0</v>
      </c>
      <c r="N145" s="14">
        <v>31.0</v>
      </c>
      <c r="O145" s="14">
        <v>7082.0</v>
      </c>
      <c r="P145" s="14">
        <v>25.0</v>
      </c>
      <c r="Q145" s="14">
        <v>7107.0</v>
      </c>
      <c r="R145" s="14">
        <v>25.0</v>
      </c>
      <c r="S145" s="14">
        <v>7132.0</v>
      </c>
      <c r="T145" s="14">
        <v>25.0</v>
      </c>
      <c r="U145" s="14">
        <v>7154.0</v>
      </c>
      <c r="V145" s="14">
        <v>22.0</v>
      </c>
      <c r="W145" s="14">
        <v>7178.0</v>
      </c>
      <c r="X145" s="14">
        <v>24.0</v>
      </c>
      <c r="Y145" s="14">
        <v>7207.0</v>
      </c>
      <c r="Z145" s="14">
        <v>29.0</v>
      </c>
      <c r="AA145" s="14">
        <v>7236.0</v>
      </c>
      <c r="AB145" s="14">
        <v>29.0</v>
      </c>
      <c r="AC145" s="14">
        <v>29.0</v>
      </c>
      <c r="AD145" s="14">
        <v>0.0</v>
      </c>
      <c r="AE145" s="14">
        <v>0.0</v>
      </c>
      <c r="AG145" s="14">
        <v>3.0</v>
      </c>
      <c r="AH145" s="14">
        <v>20.0</v>
      </c>
      <c r="AI145" s="14">
        <v>52.0</v>
      </c>
    </row>
    <row r="146" ht="15.75" customHeight="1">
      <c r="A146" s="14">
        <v>147.0</v>
      </c>
      <c r="B146" s="14" t="s">
        <v>492</v>
      </c>
      <c r="C146" s="14" t="s">
        <v>101</v>
      </c>
      <c r="D146" s="14">
        <v>8.0</v>
      </c>
      <c r="E146" s="14">
        <v>2211.0</v>
      </c>
      <c r="F146" s="14">
        <v>16.0</v>
      </c>
      <c r="G146" s="14">
        <v>2227.0</v>
      </c>
      <c r="H146" s="14">
        <v>14.0</v>
      </c>
      <c r="I146" s="14">
        <v>2241.0</v>
      </c>
      <c r="J146" s="14">
        <v>13.0</v>
      </c>
      <c r="K146" s="14">
        <v>2254.0</v>
      </c>
      <c r="L146" s="14">
        <v>14.0</v>
      </c>
      <c r="M146" s="14">
        <v>2268.0</v>
      </c>
      <c r="N146" s="14">
        <v>15.0</v>
      </c>
      <c r="O146" s="14">
        <v>2283.0</v>
      </c>
      <c r="P146" s="14">
        <v>13.0</v>
      </c>
      <c r="Q146" s="14">
        <v>2296.0</v>
      </c>
      <c r="R146" s="14">
        <v>13.0</v>
      </c>
      <c r="S146" s="14">
        <v>2307.0</v>
      </c>
      <c r="T146" s="14">
        <v>11.0</v>
      </c>
      <c r="U146" s="14">
        <v>2319.0</v>
      </c>
      <c r="V146" s="14">
        <v>12.0</v>
      </c>
      <c r="W146" s="14">
        <v>2330.0</v>
      </c>
      <c r="X146" s="14">
        <v>11.0</v>
      </c>
      <c r="Y146" s="14">
        <v>2342.0</v>
      </c>
      <c r="Z146" s="14">
        <v>12.0</v>
      </c>
      <c r="AA146" s="14">
        <v>2355.0</v>
      </c>
      <c r="AB146" s="14">
        <v>13.0</v>
      </c>
      <c r="AC146" s="14">
        <v>13.0</v>
      </c>
      <c r="AD146" s="14">
        <v>0.0</v>
      </c>
      <c r="AE146" s="14">
        <v>0.0</v>
      </c>
      <c r="AG146" s="14">
        <v>3.0</v>
      </c>
      <c r="AH146" s="14">
        <v>0.0</v>
      </c>
      <c r="AI146" s="14">
        <v>16.0</v>
      </c>
    </row>
    <row r="147" ht="15.75" customHeight="1">
      <c r="A147" s="14">
        <v>148.0</v>
      </c>
      <c r="B147" s="14" t="s">
        <v>494</v>
      </c>
      <c r="C147" s="14" t="s">
        <v>101</v>
      </c>
      <c r="D147" s="14">
        <v>9.0</v>
      </c>
      <c r="E147" s="14">
        <v>2433.0</v>
      </c>
      <c r="F147" s="14">
        <v>11.0</v>
      </c>
      <c r="G147" s="14">
        <v>2444.0</v>
      </c>
      <c r="H147" s="14">
        <v>11.0</v>
      </c>
      <c r="I147" s="14">
        <v>2455.0</v>
      </c>
      <c r="J147" s="14">
        <v>10.0</v>
      </c>
      <c r="K147" s="14">
        <v>2465.0</v>
      </c>
      <c r="L147" s="14">
        <v>10.0</v>
      </c>
      <c r="M147" s="14">
        <v>2475.0</v>
      </c>
      <c r="N147" s="14">
        <v>7.0</v>
      </c>
      <c r="O147" s="14">
        <v>2482.0</v>
      </c>
      <c r="P147" s="14">
        <v>11.0</v>
      </c>
      <c r="Q147" s="14">
        <v>2493.0</v>
      </c>
      <c r="R147" s="14">
        <v>11.0</v>
      </c>
      <c r="S147" s="14">
        <v>2504.0</v>
      </c>
      <c r="T147" s="14">
        <v>11.0</v>
      </c>
      <c r="U147" s="14">
        <v>2520.0</v>
      </c>
      <c r="V147" s="14">
        <v>16.0</v>
      </c>
      <c r="W147" s="14">
        <v>2553.0</v>
      </c>
      <c r="X147" s="14">
        <v>33.0</v>
      </c>
      <c r="Y147" s="14">
        <v>2562.0</v>
      </c>
      <c r="Z147" s="14">
        <v>9.0</v>
      </c>
      <c r="AA147" s="14">
        <v>2571.0</v>
      </c>
      <c r="AB147" s="14">
        <v>9.0</v>
      </c>
      <c r="AC147" s="14">
        <v>9.0</v>
      </c>
      <c r="AD147" s="14">
        <v>0.0</v>
      </c>
      <c r="AE147" s="14">
        <v>0.0</v>
      </c>
      <c r="AG147" s="14">
        <v>3.0</v>
      </c>
      <c r="AH147" s="14">
        <v>0.0</v>
      </c>
      <c r="AI147" s="14">
        <v>12.0</v>
      </c>
    </row>
    <row r="148" ht="15.75" customHeight="1">
      <c r="A148" s="14">
        <v>149.0</v>
      </c>
      <c r="B148" s="14" t="s">
        <v>498</v>
      </c>
      <c r="C148" s="14" t="s">
        <v>101</v>
      </c>
      <c r="D148" s="14">
        <v>10.0</v>
      </c>
      <c r="E148" s="14">
        <v>1495.0</v>
      </c>
      <c r="F148" s="14">
        <v>2.0</v>
      </c>
      <c r="G148" s="14">
        <v>1497.0</v>
      </c>
      <c r="H148" s="14">
        <v>7.0</v>
      </c>
      <c r="I148" s="14">
        <v>1504.0</v>
      </c>
      <c r="J148" s="14">
        <v>6.0</v>
      </c>
      <c r="K148" s="14">
        <v>1510.0</v>
      </c>
      <c r="L148" s="14">
        <v>6.0</v>
      </c>
      <c r="M148" s="14">
        <v>1516.0</v>
      </c>
      <c r="N148" s="14">
        <v>4.0</v>
      </c>
      <c r="O148" s="14">
        <v>1520.0</v>
      </c>
      <c r="P148" s="14">
        <v>4.0</v>
      </c>
      <c r="Q148" s="14">
        <v>1524.0</v>
      </c>
      <c r="R148" s="14">
        <v>4.0</v>
      </c>
      <c r="S148" s="14">
        <v>1524.0</v>
      </c>
      <c r="T148" s="14">
        <v>0.0</v>
      </c>
      <c r="U148" s="14">
        <v>1529.0</v>
      </c>
      <c r="V148" s="14">
        <v>5.0</v>
      </c>
      <c r="W148" s="14">
        <v>1534.0</v>
      </c>
      <c r="X148" s="14">
        <v>5.0</v>
      </c>
      <c r="Y148" s="14">
        <v>1539.0</v>
      </c>
      <c r="Z148" s="14">
        <v>5.0</v>
      </c>
      <c r="AA148" s="14">
        <v>1543.0</v>
      </c>
      <c r="AB148" s="14">
        <v>4.0</v>
      </c>
      <c r="AC148" s="14">
        <v>5.0</v>
      </c>
      <c r="AD148" s="14">
        <v>0.0</v>
      </c>
      <c r="AE148" s="14">
        <v>0.0</v>
      </c>
      <c r="AG148" s="14">
        <v>3.0</v>
      </c>
      <c r="AH148" s="14">
        <v>0.0</v>
      </c>
      <c r="AI148" s="14">
        <v>8.0</v>
      </c>
    </row>
    <row r="149" ht="15.75" customHeight="1">
      <c r="A149" s="14">
        <v>150.0</v>
      </c>
      <c r="B149" s="14" t="s">
        <v>500</v>
      </c>
      <c r="C149" s="14" t="s">
        <v>101</v>
      </c>
      <c r="D149" s="14">
        <v>11.0</v>
      </c>
      <c r="E149" s="14">
        <v>985.0</v>
      </c>
      <c r="F149" s="14">
        <v>7.0</v>
      </c>
      <c r="G149" s="14">
        <v>992.0</v>
      </c>
      <c r="H149" s="14">
        <v>7.0</v>
      </c>
      <c r="I149" s="14">
        <v>999.0</v>
      </c>
      <c r="J149" s="14">
        <v>6.0</v>
      </c>
      <c r="K149" s="14">
        <v>1005.0</v>
      </c>
      <c r="L149" s="14">
        <v>9.0</v>
      </c>
      <c r="M149" s="14">
        <v>1014.0</v>
      </c>
      <c r="N149" s="14">
        <v>6.0</v>
      </c>
      <c r="O149" s="14">
        <v>1020.0</v>
      </c>
      <c r="P149" s="14">
        <v>4.0</v>
      </c>
      <c r="Q149" s="14">
        <v>1024.0</v>
      </c>
      <c r="R149" s="14">
        <v>4.0</v>
      </c>
      <c r="S149" s="14">
        <v>1029.0</v>
      </c>
      <c r="T149" s="14">
        <v>5.0</v>
      </c>
      <c r="U149" s="14">
        <v>1035.0</v>
      </c>
      <c r="V149" s="14">
        <v>6.0</v>
      </c>
      <c r="W149" s="14">
        <v>1040.0</v>
      </c>
      <c r="X149" s="14">
        <v>5.0</v>
      </c>
      <c r="Y149" s="14">
        <v>1044.0</v>
      </c>
      <c r="Z149" s="14">
        <v>4.0</v>
      </c>
      <c r="AA149" s="14">
        <v>1049.0</v>
      </c>
      <c r="AB149" s="14">
        <v>5.0</v>
      </c>
      <c r="AC149" s="14">
        <v>5.0</v>
      </c>
      <c r="AD149" s="14">
        <v>0.0</v>
      </c>
      <c r="AE149" s="14">
        <v>0.0</v>
      </c>
      <c r="AG149" s="14">
        <v>3.0</v>
      </c>
      <c r="AH149" s="14">
        <v>0.0</v>
      </c>
      <c r="AI149" s="14">
        <v>8.0</v>
      </c>
    </row>
    <row r="150" ht="15.75" customHeight="1">
      <c r="A150" s="14">
        <v>151.0</v>
      </c>
      <c r="B150" s="14" t="s">
        <v>503</v>
      </c>
      <c r="C150" s="14" t="s">
        <v>101</v>
      </c>
      <c r="D150" s="14">
        <v>12.0</v>
      </c>
      <c r="E150" s="14">
        <v>1934.0</v>
      </c>
      <c r="F150" s="14">
        <v>9.0</v>
      </c>
      <c r="G150" s="14">
        <v>1943.0</v>
      </c>
      <c r="H150" s="14">
        <v>12.0</v>
      </c>
      <c r="I150" s="14">
        <v>1955.0</v>
      </c>
      <c r="J150" s="14">
        <v>11.0</v>
      </c>
      <c r="K150" s="14">
        <v>1966.0</v>
      </c>
      <c r="L150" s="14">
        <v>10.0</v>
      </c>
      <c r="M150" s="14">
        <v>1976.0</v>
      </c>
      <c r="N150" s="14">
        <v>13.0</v>
      </c>
      <c r="O150" s="14">
        <v>1989.0</v>
      </c>
      <c r="P150" s="14">
        <v>12.0</v>
      </c>
      <c r="Q150" s="14">
        <v>2001.0</v>
      </c>
      <c r="R150" s="14">
        <v>12.0</v>
      </c>
      <c r="S150" s="14">
        <v>2008.0</v>
      </c>
      <c r="T150" s="14">
        <v>7.0</v>
      </c>
      <c r="U150" s="14">
        <v>2018.0</v>
      </c>
      <c r="V150" s="14">
        <v>10.0</v>
      </c>
      <c r="W150" s="14">
        <v>2028.0</v>
      </c>
      <c r="X150" s="14">
        <v>10.0</v>
      </c>
      <c r="Y150" s="14">
        <v>2038.0</v>
      </c>
      <c r="Z150" s="14">
        <v>10.0</v>
      </c>
      <c r="AA150" s="14">
        <v>2047.0</v>
      </c>
      <c r="AB150" s="14">
        <v>9.0</v>
      </c>
      <c r="AC150" s="14">
        <v>9.0</v>
      </c>
      <c r="AD150" s="14">
        <v>0.0</v>
      </c>
      <c r="AE150" s="14">
        <v>0.0</v>
      </c>
      <c r="AG150" s="14">
        <v>3.0</v>
      </c>
      <c r="AH150" s="14">
        <v>0.0</v>
      </c>
      <c r="AI150" s="14">
        <v>12.0</v>
      </c>
    </row>
    <row r="151" ht="15.75" customHeight="1">
      <c r="A151" s="14">
        <v>152.0</v>
      </c>
      <c r="B151" s="14" t="s">
        <v>506</v>
      </c>
      <c r="C151" s="14" t="s">
        <v>101</v>
      </c>
      <c r="D151" s="14">
        <v>13.0</v>
      </c>
      <c r="E151" s="14">
        <v>2140.0</v>
      </c>
      <c r="F151" s="14">
        <v>19.0</v>
      </c>
      <c r="G151" s="14">
        <v>2159.0</v>
      </c>
      <c r="H151" s="14">
        <v>32.0</v>
      </c>
      <c r="I151" s="14">
        <v>2191.0</v>
      </c>
      <c r="J151" s="14">
        <v>35.0</v>
      </c>
      <c r="K151" s="14">
        <v>2226.0</v>
      </c>
      <c r="L151" s="14">
        <v>30.0</v>
      </c>
      <c r="M151" s="14">
        <v>2256.0</v>
      </c>
      <c r="N151" s="14">
        <v>23.0</v>
      </c>
      <c r="O151" s="14">
        <v>2279.0</v>
      </c>
      <c r="P151" s="14">
        <v>16.0</v>
      </c>
      <c r="Q151" s="14">
        <v>2295.0</v>
      </c>
      <c r="R151" s="14">
        <v>16.0</v>
      </c>
      <c r="S151" s="14">
        <v>2312.0</v>
      </c>
      <c r="T151" s="14">
        <v>17.0</v>
      </c>
      <c r="U151" s="14">
        <v>2329.0</v>
      </c>
      <c r="V151" s="14">
        <v>17.0</v>
      </c>
      <c r="W151" s="14">
        <v>2349.0</v>
      </c>
      <c r="X151" s="14">
        <v>20.0</v>
      </c>
      <c r="Y151" s="14">
        <v>2379.0</v>
      </c>
      <c r="Z151" s="14">
        <v>30.0</v>
      </c>
      <c r="AA151" s="14">
        <v>2406.0</v>
      </c>
      <c r="AB151" s="14">
        <v>27.0</v>
      </c>
      <c r="AC151" s="14">
        <v>27.0</v>
      </c>
      <c r="AD151" s="14">
        <v>0.0</v>
      </c>
      <c r="AE151" s="14">
        <v>0.0</v>
      </c>
      <c r="AG151" s="14">
        <v>3.0</v>
      </c>
      <c r="AH151" s="14">
        <v>0.0</v>
      </c>
      <c r="AI151" s="14">
        <v>30.0</v>
      </c>
    </row>
    <row r="152" ht="15.75" customHeight="1">
      <c r="A152" s="14">
        <v>153.0</v>
      </c>
      <c r="B152" s="14" t="s">
        <v>510</v>
      </c>
      <c r="C152" s="14" t="s">
        <v>101</v>
      </c>
      <c r="D152" s="14">
        <v>14.0</v>
      </c>
      <c r="E152" s="14">
        <v>1592.0</v>
      </c>
      <c r="F152" s="14">
        <v>8.0</v>
      </c>
      <c r="G152" s="14">
        <v>1600.0</v>
      </c>
      <c r="H152" s="14">
        <v>10.0</v>
      </c>
      <c r="I152" s="14">
        <v>1610.0</v>
      </c>
      <c r="J152" s="14">
        <v>9.0</v>
      </c>
      <c r="K152" s="14">
        <v>1619.0</v>
      </c>
      <c r="L152" s="14">
        <v>7.0</v>
      </c>
      <c r="M152" s="14">
        <v>1626.0</v>
      </c>
      <c r="N152" s="14">
        <v>7.0</v>
      </c>
      <c r="O152" s="14">
        <v>1633.0</v>
      </c>
      <c r="P152" s="14">
        <v>8.0</v>
      </c>
      <c r="Q152" s="14">
        <v>1641.0</v>
      </c>
      <c r="R152" s="14">
        <v>8.0</v>
      </c>
      <c r="S152" s="14">
        <v>1648.0</v>
      </c>
      <c r="T152" s="14">
        <v>7.0</v>
      </c>
      <c r="U152" s="14">
        <v>1657.0</v>
      </c>
      <c r="V152" s="14">
        <v>9.0</v>
      </c>
      <c r="W152" s="14">
        <v>1668.0</v>
      </c>
      <c r="X152" s="14">
        <v>11.0</v>
      </c>
      <c r="Y152" s="14">
        <v>1675.0</v>
      </c>
      <c r="Z152" s="14">
        <v>7.0</v>
      </c>
      <c r="AA152" s="14">
        <v>1684.0</v>
      </c>
      <c r="AB152" s="14">
        <v>9.0</v>
      </c>
      <c r="AC152" s="14">
        <v>9.0</v>
      </c>
      <c r="AD152" s="14">
        <v>0.0</v>
      </c>
      <c r="AE152" s="14">
        <v>0.0</v>
      </c>
      <c r="AG152" s="14">
        <v>3.0</v>
      </c>
      <c r="AH152" s="14">
        <v>0.0</v>
      </c>
      <c r="AI152" s="14">
        <v>12.0</v>
      </c>
    </row>
    <row r="153" ht="15.75" customHeight="1">
      <c r="A153" s="14">
        <v>154.0</v>
      </c>
      <c r="B153" s="14" t="s">
        <v>515</v>
      </c>
      <c r="C153" s="14" t="s">
        <v>101</v>
      </c>
      <c r="D153" s="14">
        <v>15.0</v>
      </c>
      <c r="E153" s="14">
        <v>906.0</v>
      </c>
      <c r="F153" s="14">
        <v>12.0</v>
      </c>
      <c r="G153" s="14">
        <v>918.0</v>
      </c>
      <c r="H153" s="14">
        <v>14.0</v>
      </c>
      <c r="I153" s="14">
        <v>932.0</v>
      </c>
      <c r="J153" s="14">
        <v>12.0</v>
      </c>
      <c r="K153" s="14">
        <v>944.0</v>
      </c>
      <c r="L153" s="14">
        <v>10.0</v>
      </c>
      <c r="M153" s="14">
        <v>954.0</v>
      </c>
      <c r="N153" s="14">
        <v>10.0</v>
      </c>
      <c r="O153" s="14">
        <v>964.0</v>
      </c>
      <c r="P153" s="14">
        <v>12.0</v>
      </c>
      <c r="Q153" s="14">
        <v>976.0</v>
      </c>
      <c r="R153" s="14">
        <v>12.0</v>
      </c>
      <c r="S153" s="14">
        <v>984.0</v>
      </c>
      <c r="T153" s="14">
        <v>8.0</v>
      </c>
      <c r="U153" s="14">
        <v>995.0</v>
      </c>
      <c r="V153" s="14">
        <v>11.0</v>
      </c>
      <c r="W153" s="14">
        <v>1001.0</v>
      </c>
      <c r="X153" s="14">
        <v>6.0</v>
      </c>
      <c r="Y153" s="14">
        <v>1009.0</v>
      </c>
      <c r="Z153" s="14">
        <v>8.0</v>
      </c>
      <c r="AA153" s="14">
        <v>1018.0</v>
      </c>
      <c r="AB153" s="14">
        <v>9.0</v>
      </c>
      <c r="AC153" s="14">
        <v>9.0</v>
      </c>
      <c r="AD153" s="14">
        <v>0.0</v>
      </c>
      <c r="AE153" s="14">
        <v>0.0</v>
      </c>
      <c r="AG153" s="14">
        <v>3.0</v>
      </c>
      <c r="AH153" s="14">
        <v>0.0</v>
      </c>
      <c r="AI153" s="14">
        <v>12.0</v>
      </c>
    </row>
    <row r="154" ht="15.75" customHeight="1">
      <c r="A154" s="14">
        <v>155.0</v>
      </c>
      <c r="B154" s="14" t="s">
        <v>516</v>
      </c>
      <c r="C154" s="14" t="s">
        <v>101</v>
      </c>
      <c r="D154" s="14">
        <v>16.0</v>
      </c>
      <c r="E154" s="14">
        <v>2271.0</v>
      </c>
      <c r="F154" s="14">
        <v>16.0</v>
      </c>
      <c r="G154" s="14">
        <v>2287.0</v>
      </c>
      <c r="H154" s="14">
        <v>15.0</v>
      </c>
      <c r="I154" s="14">
        <v>2302.0</v>
      </c>
      <c r="J154" s="14">
        <v>13.0</v>
      </c>
      <c r="K154" s="14">
        <v>2315.0</v>
      </c>
      <c r="L154" s="14">
        <v>10.0</v>
      </c>
      <c r="M154" s="14">
        <v>2325.0</v>
      </c>
      <c r="N154" s="14">
        <v>7.0</v>
      </c>
      <c r="O154" s="14">
        <v>2332.0</v>
      </c>
      <c r="P154" s="14">
        <v>4.0</v>
      </c>
      <c r="Q154" s="14">
        <v>2336.0</v>
      </c>
      <c r="R154" s="14">
        <v>4.0</v>
      </c>
      <c r="S154" s="14">
        <v>2342.0</v>
      </c>
      <c r="T154" s="14">
        <v>6.0</v>
      </c>
      <c r="U154" s="14">
        <v>2348.0</v>
      </c>
      <c r="V154" s="14">
        <v>6.0</v>
      </c>
      <c r="W154" s="14">
        <v>2354.0</v>
      </c>
      <c r="X154" s="14">
        <v>6.0</v>
      </c>
      <c r="Y154" s="14">
        <v>2359.0</v>
      </c>
      <c r="Z154" s="14">
        <v>5.0</v>
      </c>
      <c r="AA154" s="14">
        <v>2364.0</v>
      </c>
      <c r="AB154" s="14">
        <v>5.0</v>
      </c>
      <c r="AC154" s="14">
        <v>5.0</v>
      </c>
      <c r="AD154" s="14">
        <v>8.0</v>
      </c>
      <c r="AE154" s="14">
        <v>0.0</v>
      </c>
      <c r="AG154" s="14">
        <v>3.0</v>
      </c>
      <c r="AH154" s="14">
        <v>20.0</v>
      </c>
      <c r="AI154" s="14">
        <v>36.0</v>
      </c>
    </row>
    <row r="155" ht="15.75" customHeight="1">
      <c r="A155" s="14">
        <v>156.0</v>
      </c>
      <c r="B155" s="14" t="s">
        <v>518</v>
      </c>
      <c r="C155" s="14" t="s">
        <v>101</v>
      </c>
      <c r="D155" s="14">
        <v>17.0</v>
      </c>
      <c r="E155" s="14">
        <v>2510.0</v>
      </c>
      <c r="F155" s="14">
        <v>11.0</v>
      </c>
      <c r="G155" s="14">
        <v>2521.0</v>
      </c>
      <c r="H155" s="14">
        <v>10.0</v>
      </c>
      <c r="I155" s="14">
        <v>2531.0</v>
      </c>
      <c r="J155" s="14">
        <v>10.0</v>
      </c>
      <c r="K155" s="14">
        <v>2541.0</v>
      </c>
      <c r="L155" s="14">
        <v>10.0</v>
      </c>
      <c r="M155" s="14">
        <v>2551.0</v>
      </c>
      <c r="N155" s="14">
        <v>9.0</v>
      </c>
      <c r="O155" s="14">
        <v>2560.0</v>
      </c>
      <c r="P155" s="14">
        <v>8.0</v>
      </c>
      <c r="Q155" s="14">
        <v>2568.0</v>
      </c>
      <c r="R155" s="14">
        <v>8.0</v>
      </c>
      <c r="S155" s="14">
        <v>2575.0</v>
      </c>
      <c r="T155" s="14">
        <v>7.0</v>
      </c>
      <c r="U155" s="14">
        <v>2583.0</v>
      </c>
      <c r="V155" s="14">
        <v>8.0</v>
      </c>
      <c r="W155" s="14">
        <v>2592.0</v>
      </c>
      <c r="X155" s="14">
        <v>9.0</v>
      </c>
      <c r="Y155" s="14">
        <v>2600.0</v>
      </c>
      <c r="Z155" s="14">
        <v>8.0</v>
      </c>
      <c r="AA155" s="14">
        <v>2609.0</v>
      </c>
      <c r="AB155" s="14">
        <v>9.0</v>
      </c>
      <c r="AC155" s="14">
        <v>9.0</v>
      </c>
      <c r="AD155" s="14">
        <v>0.0</v>
      </c>
      <c r="AE155" s="14">
        <v>0.0</v>
      </c>
      <c r="AG155" s="14">
        <v>3.0</v>
      </c>
      <c r="AH155" s="14">
        <v>20.0</v>
      </c>
      <c r="AI155" s="14">
        <v>32.0</v>
      </c>
    </row>
    <row r="156" ht="15.75" customHeight="1">
      <c r="A156" s="14">
        <v>157.0</v>
      </c>
      <c r="B156" s="14" t="s">
        <v>521</v>
      </c>
      <c r="C156" s="14" t="s">
        <v>101</v>
      </c>
      <c r="D156" s="14">
        <v>18.0</v>
      </c>
      <c r="E156" s="14">
        <v>1597.0</v>
      </c>
      <c r="F156" s="14">
        <v>8.0</v>
      </c>
      <c r="G156" s="14">
        <v>1605.0</v>
      </c>
      <c r="H156" s="14">
        <v>9.0</v>
      </c>
      <c r="I156" s="14">
        <v>1614.0</v>
      </c>
      <c r="J156" s="14">
        <v>7.0</v>
      </c>
      <c r="K156" s="14">
        <v>1621.0</v>
      </c>
      <c r="L156" s="14">
        <v>6.0</v>
      </c>
      <c r="M156" s="14">
        <v>1627.0</v>
      </c>
      <c r="N156" s="14">
        <v>6.0</v>
      </c>
      <c r="O156" s="14">
        <v>1633.0</v>
      </c>
      <c r="P156" s="14">
        <v>3.0</v>
      </c>
      <c r="Q156" s="14">
        <v>1636.0</v>
      </c>
      <c r="R156" s="14">
        <v>3.0</v>
      </c>
      <c r="S156" s="14">
        <v>1641.0</v>
      </c>
      <c r="T156" s="14">
        <v>5.0</v>
      </c>
      <c r="U156" s="14">
        <v>1644.0</v>
      </c>
      <c r="V156" s="14">
        <v>3.0</v>
      </c>
      <c r="W156" s="14">
        <v>1649.0</v>
      </c>
      <c r="X156" s="14">
        <v>5.0</v>
      </c>
      <c r="Y156" s="14">
        <v>1657.0</v>
      </c>
      <c r="Z156" s="14">
        <v>8.0</v>
      </c>
      <c r="AA156" s="14">
        <v>1666.0</v>
      </c>
      <c r="AB156" s="14">
        <v>9.0</v>
      </c>
      <c r="AC156" s="14">
        <v>9.0</v>
      </c>
      <c r="AD156" s="14">
        <v>0.0</v>
      </c>
      <c r="AE156" s="14">
        <v>0.0</v>
      </c>
      <c r="AG156" s="14">
        <v>3.0</v>
      </c>
      <c r="AH156" s="14">
        <v>0.0</v>
      </c>
      <c r="AI156" s="14">
        <v>12.0</v>
      </c>
    </row>
    <row r="157" ht="15.75" customHeight="1">
      <c r="A157" s="14">
        <v>158.0</v>
      </c>
      <c r="B157" s="14" t="s">
        <v>523</v>
      </c>
      <c r="C157" s="14" t="s">
        <v>101</v>
      </c>
      <c r="D157" s="14">
        <v>19.0</v>
      </c>
      <c r="E157" s="14">
        <v>1657.0</v>
      </c>
      <c r="F157" s="14">
        <v>7.0</v>
      </c>
      <c r="G157" s="14">
        <v>1664.0</v>
      </c>
      <c r="H157" s="14">
        <v>6.0</v>
      </c>
      <c r="I157" s="14">
        <v>1670.0</v>
      </c>
      <c r="J157" s="14">
        <v>6.0</v>
      </c>
      <c r="K157" s="14">
        <v>1676.0</v>
      </c>
      <c r="L157" s="14">
        <v>6.0</v>
      </c>
      <c r="M157" s="14">
        <v>1682.0</v>
      </c>
      <c r="N157" s="14">
        <v>5.0</v>
      </c>
      <c r="O157" s="14">
        <v>1687.0</v>
      </c>
      <c r="P157" s="14">
        <v>6.0</v>
      </c>
      <c r="Q157" s="14">
        <v>1693.0</v>
      </c>
      <c r="R157" s="14">
        <v>6.0</v>
      </c>
      <c r="S157" s="14">
        <v>1696.0</v>
      </c>
      <c r="T157" s="14">
        <v>3.0</v>
      </c>
      <c r="U157" s="14">
        <v>1701.0</v>
      </c>
      <c r="V157" s="14">
        <v>5.0</v>
      </c>
      <c r="W157" s="14">
        <v>1704.0</v>
      </c>
      <c r="X157" s="14">
        <v>3.0</v>
      </c>
      <c r="Y157" s="14">
        <v>1708.0</v>
      </c>
      <c r="Z157" s="14">
        <v>4.0</v>
      </c>
      <c r="AA157" s="14">
        <v>1713.0</v>
      </c>
      <c r="AB157" s="14">
        <v>5.0</v>
      </c>
      <c r="AC157" s="14">
        <v>5.0</v>
      </c>
      <c r="AD157" s="14">
        <v>0.0</v>
      </c>
      <c r="AE157" s="14">
        <v>0.0</v>
      </c>
      <c r="AG157" s="14">
        <v>3.0</v>
      </c>
      <c r="AH157" s="14">
        <v>0.0</v>
      </c>
      <c r="AI157" s="14">
        <v>8.0</v>
      </c>
    </row>
    <row r="158" ht="15.75" customHeight="1">
      <c r="A158" s="14">
        <v>159.0</v>
      </c>
      <c r="B158" s="14" t="s">
        <v>527</v>
      </c>
      <c r="C158" s="14" t="s">
        <v>101</v>
      </c>
      <c r="D158" s="14">
        <v>20.0</v>
      </c>
      <c r="E158" s="14">
        <v>1193.0</v>
      </c>
      <c r="F158" s="14">
        <v>0.0</v>
      </c>
      <c r="G158" s="14">
        <v>1193.0</v>
      </c>
      <c r="H158" s="14">
        <v>0.0</v>
      </c>
      <c r="I158" s="14">
        <v>1193.0</v>
      </c>
      <c r="J158" s="14">
        <v>0.0</v>
      </c>
      <c r="K158" s="14">
        <v>1193.0</v>
      </c>
      <c r="L158" s="14">
        <v>0.0</v>
      </c>
      <c r="M158" s="14">
        <v>1193.0</v>
      </c>
      <c r="N158" s="14">
        <v>0.0</v>
      </c>
      <c r="O158" s="14">
        <v>1193.0</v>
      </c>
      <c r="P158" s="14">
        <v>0.0</v>
      </c>
      <c r="Q158" s="14">
        <v>1193.0</v>
      </c>
      <c r="R158" s="14">
        <v>0.0</v>
      </c>
      <c r="S158" s="14">
        <v>1193.0</v>
      </c>
      <c r="T158" s="14">
        <v>0.0</v>
      </c>
      <c r="U158" s="14">
        <v>1193.0</v>
      </c>
      <c r="V158" s="14">
        <v>0.0</v>
      </c>
      <c r="W158" s="14">
        <v>1193.0</v>
      </c>
      <c r="X158" s="14">
        <v>0.0</v>
      </c>
      <c r="Y158" s="14">
        <v>1193.0</v>
      </c>
      <c r="Z158" s="14">
        <v>0.0</v>
      </c>
      <c r="AA158" s="14">
        <v>1193.0</v>
      </c>
      <c r="AB158" s="14">
        <v>0.0</v>
      </c>
      <c r="AC158" s="14">
        <v>5.0</v>
      </c>
      <c r="AD158" s="14">
        <v>8.0</v>
      </c>
      <c r="AE158" s="14">
        <v>0.0</v>
      </c>
      <c r="AG158" s="14">
        <v>3.0</v>
      </c>
      <c r="AH158" s="14">
        <v>20.0</v>
      </c>
      <c r="AI158" s="14">
        <v>36.0</v>
      </c>
    </row>
    <row r="159" ht="15.75" customHeight="1">
      <c r="A159" s="14">
        <v>160.0</v>
      </c>
      <c r="B159" s="14" t="s">
        <v>529</v>
      </c>
      <c r="C159" s="14" t="s">
        <v>101</v>
      </c>
      <c r="D159" s="14">
        <v>21.0</v>
      </c>
      <c r="E159" s="14">
        <v>2039.0</v>
      </c>
      <c r="F159" s="14">
        <v>14.0</v>
      </c>
      <c r="G159" s="14">
        <v>2053.0</v>
      </c>
      <c r="H159" s="14">
        <v>17.0</v>
      </c>
      <c r="I159" s="14">
        <v>2070.0</v>
      </c>
      <c r="J159" s="14">
        <v>14.0</v>
      </c>
      <c r="K159" s="14">
        <v>2084.0</v>
      </c>
      <c r="L159" s="14">
        <v>15.0</v>
      </c>
      <c r="M159" s="14">
        <v>2099.0</v>
      </c>
      <c r="N159" s="14">
        <v>12.0</v>
      </c>
      <c r="O159" s="14">
        <v>2111.0</v>
      </c>
      <c r="P159" s="14">
        <v>11.0</v>
      </c>
      <c r="Q159" s="14">
        <v>2122.0</v>
      </c>
      <c r="R159" s="14">
        <v>11.0</v>
      </c>
      <c r="S159" s="14">
        <v>2130.0</v>
      </c>
      <c r="T159" s="14">
        <v>8.0</v>
      </c>
      <c r="U159" s="14">
        <v>2141.0</v>
      </c>
      <c r="V159" s="14">
        <v>11.0</v>
      </c>
      <c r="W159" s="14">
        <v>2151.0</v>
      </c>
      <c r="X159" s="14">
        <v>10.0</v>
      </c>
      <c r="Y159" s="14">
        <v>2163.0</v>
      </c>
      <c r="Z159" s="14">
        <v>12.0</v>
      </c>
      <c r="AA159" s="14">
        <v>2175.0</v>
      </c>
      <c r="AB159" s="14">
        <v>12.0</v>
      </c>
      <c r="AC159" s="14">
        <v>12.0</v>
      </c>
      <c r="AD159" s="14">
        <v>15.0</v>
      </c>
      <c r="AE159" s="14">
        <v>0.0</v>
      </c>
      <c r="AG159" s="14">
        <v>3.0</v>
      </c>
      <c r="AH159" s="14">
        <v>0.0</v>
      </c>
      <c r="AI159" s="14">
        <v>30.0</v>
      </c>
    </row>
    <row r="160" ht="15.75" customHeight="1">
      <c r="A160" s="14">
        <v>161.0</v>
      </c>
      <c r="B160" s="14" t="s">
        <v>532</v>
      </c>
      <c r="C160" s="14" t="s">
        <v>101</v>
      </c>
      <c r="D160" s="14">
        <v>22.0</v>
      </c>
      <c r="E160" s="14">
        <v>2274.0</v>
      </c>
      <c r="F160" s="14">
        <v>15.0</v>
      </c>
      <c r="G160" s="14">
        <v>2289.0</v>
      </c>
      <c r="H160" s="14">
        <v>15.0</v>
      </c>
      <c r="I160" s="14">
        <v>2304.0</v>
      </c>
      <c r="J160" s="14">
        <v>11.0</v>
      </c>
      <c r="K160" s="14">
        <v>2315.0</v>
      </c>
      <c r="L160" s="14">
        <v>12.0</v>
      </c>
      <c r="M160" s="14">
        <v>2327.0</v>
      </c>
      <c r="N160" s="14">
        <v>12.0</v>
      </c>
      <c r="O160" s="14">
        <v>2339.0</v>
      </c>
      <c r="P160" s="14">
        <v>10.0</v>
      </c>
      <c r="Q160" s="14">
        <v>2349.0</v>
      </c>
      <c r="R160" s="14">
        <v>10.0</v>
      </c>
      <c r="S160" s="14">
        <v>2356.0</v>
      </c>
      <c r="T160" s="14">
        <v>7.0</v>
      </c>
      <c r="U160" s="14">
        <v>2362.0</v>
      </c>
      <c r="V160" s="14">
        <v>6.0</v>
      </c>
      <c r="W160" s="14">
        <v>2369.0</v>
      </c>
      <c r="X160" s="14">
        <v>7.0</v>
      </c>
      <c r="Y160" s="14">
        <v>2377.0</v>
      </c>
      <c r="Z160" s="14">
        <v>8.0</v>
      </c>
      <c r="AA160" s="14">
        <v>2387.0</v>
      </c>
      <c r="AB160" s="14">
        <v>10.0</v>
      </c>
      <c r="AC160" s="14">
        <v>10.0</v>
      </c>
      <c r="AD160" s="14">
        <v>0.0</v>
      </c>
      <c r="AE160" s="14">
        <v>0.0</v>
      </c>
      <c r="AG160" s="14">
        <v>3.0</v>
      </c>
      <c r="AH160" s="14">
        <v>20.0</v>
      </c>
      <c r="AI160" s="14">
        <v>33.0</v>
      </c>
    </row>
    <row r="161" ht="15.75" customHeight="1">
      <c r="A161" s="14">
        <v>162.0</v>
      </c>
      <c r="B161" s="14" t="s">
        <v>534</v>
      </c>
      <c r="C161" s="14" t="s">
        <v>106</v>
      </c>
      <c r="D161" s="14">
        <v>1.0</v>
      </c>
      <c r="E161" s="14">
        <v>3020.0</v>
      </c>
      <c r="F161" s="14">
        <v>11.0</v>
      </c>
      <c r="G161" s="14">
        <v>3031.0</v>
      </c>
      <c r="H161" s="14">
        <v>10.0</v>
      </c>
      <c r="I161" s="14">
        <v>3041.0</v>
      </c>
      <c r="J161" s="14">
        <v>11.0</v>
      </c>
      <c r="K161" s="14">
        <v>3052.0</v>
      </c>
      <c r="L161" s="14">
        <v>9.0</v>
      </c>
      <c r="M161" s="14">
        <v>3061.0</v>
      </c>
      <c r="N161" s="14">
        <v>11.0</v>
      </c>
      <c r="O161" s="14">
        <v>3072.0</v>
      </c>
      <c r="P161" s="14">
        <v>9.0</v>
      </c>
      <c r="Q161" s="14">
        <v>3081.0</v>
      </c>
      <c r="R161" s="14">
        <v>9.0</v>
      </c>
      <c r="S161" s="14">
        <v>3089.0</v>
      </c>
      <c r="T161" s="14">
        <v>8.0</v>
      </c>
      <c r="U161" s="14">
        <v>3098.0</v>
      </c>
      <c r="V161" s="14">
        <v>9.0</v>
      </c>
      <c r="W161" s="14">
        <v>3109.0</v>
      </c>
      <c r="X161" s="14">
        <v>11.0</v>
      </c>
      <c r="Y161" s="14">
        <v>3120.0</v>
      </c>
      <c r="Z161" s="14">
        <v>11.0</v>
      </c>
      <c r="AA161" s="14">
        <v>3135.0</v>
      </c>
      <c r="AB161" s="14">
        <v>15.0</v>
      </c>
      <c r="AC161" s="14">
        <v>15.0</v>
      </c>
      <c r="AD161" s="14">
        <v>0.0</v>
      </c>
      <c r="AE161" s="14">
        <v>0.0</v>
      </c>
      <c r="AG161" s="14">
        <v>3.0</v>
      </c>
      <c r="AH161" s="14">
        <v>0.0</v>
      </c>
      <c r="AI161" s="14">
        <v>18.0</v>
      </c>
    </row>
    <row r="162" ht="15.75" customHeight="1">
      <c r="A162" s="14">
        <v>163.0</v>
      </c>
      <c r="B162" s="14" t="s">
        <v>536</v>
      </c>
      <c r="C162" s="14" t="s">
        <v>106</v>
      </c>
      <c r="D162" s="14">
        <v>2.0</v>
      </c>
      <c r="E162" s="14">
        <v>314.0</v>
      </c>
      <c r="F162" s="14">
        <v>6.0</v>
      </c>
      <c r="G162" s="14">
        <v>320.0</v>
      </c>
      <c r="H162" s="14">
        <v>4.0</v>
      </c>
      <c r="I162" s="14">
        <v>324.0</v>
      </c>
      <c r="J162" s="14">
        <v>4.0</v>
      </c>
      <c r="K162" s="14">
        <v>328.0</v>
      </c>
      <c r="L162" s="14">
        <v>3.0</v>
      </c>
      <c r="M162" s="14">
        <v>331.0</v>
      </c>
      <c r="N162" s="14">
        <v>5.0</v>
      </c>
      <c r="O162" s="14">
        <v>336.0</v>
      </c>
      <c r="P162" s="14">
        <v>3.0</v>
      </c>
      <c r="Q162" s="14">
        <v>339.0</v>
      </c>
      <c r="R162" s="14">
        <v>3.0</v>
      </c>
      <c r="S162" s="14">
        <v>342.0</v>
      </c>
      <c r="T162" s="14">
        <v>3.0</v>
      </c>
      <c r="U162" s="14">
        <v>346.0</v>
      </c>
      <c r="V162" s="14">
        <v>4.0</v>
      </c>
      <c r="W162" s="14">
        <v>354.0</v>
      </c>
      <c r="X162" s="14">
        <v>8.0</v>
      </c>
      <c r="Y162" s="14">
        <v>362.0</v>
      </c>
      <c r="Z162" s="14">
        <v>8.0</v>
      </c>
      <c r="AA162" s="14">
        <v>372.0</v>
      </c>
      <c r="AB162" s="14">
        <v>10.0</v>
      </c>
      <c r="AC162" s="14">
        <v>10.0</v>
      </c>
      <c r="AD162" s="14">
        <v>0.0</v>
      </c>
      <c r="AE162" s="14">
        <v>0.0</v>
      </c>
      <c r="AG162" s="14">
        <v>3.0</v>
      </c>
      <c r="AH162" s="14">
        <v>0.0</v>
      </c>
      <c r="AI162" s="14">
        <v>13.0</v>
      </c>
    </row>
    <row r="163" ht="15.75" customHeight="1">
      <c r="A163" s="14">
        <v>164.0</v>
      </c>
      <c r="B163" s="14" t="s">
        <v>538</v>
      </c>
      <c r="C163" s="14" t="s">
        <v>106</v>
      </c>
      <c r="D163" s="14" t="s">
        <v>540</v>
      </c>
      <c r="E163" s="14">
        <v>29.0</v>
      </c>
      <c r="F163" s="14">
        <v>3.0</v>
      </c>
      <c r="G163" s="14">
        <v>32.0</v>
      </c>
      <c r="H163" s="14">
        <v>3.0</v>
      </c>
      <c r="I163" s="14">
        <v>35.0</v>
      </c>
      <c r="J163" s="14">
        <v>3.0</v>
      </c>
      <c r="K163" s="14">
        <v>38.0</v>
      </c>
      <c r="L163" s="14">
        <v>3.0</v>
      </c>
      <c r="M163" s="14">
        <v>41.0</v>
      </c>
      <c r="N163" s="14">
        <v>3.0</v>
      </c>
      <c r="O163" s="14">
        <v>44.0</v>
      </c>
      <c r="P163" s="14">
        <v>3.0</v>
      </c>
      <c r="Q163" s="14">
        <v>47.0</v>
      </c>
      <c r="R163" s="14">
        <v>3.0</v>
      </c>
      <c r="S163" s="14">
        <v>50.0</v>
      </c>
      <c r="T163" s="14">
        <v>3.0</v>
      </c>
      <c r="U163" s="14">
        <v>52.0</v>
      </c>
      <c r="V163" s="14">
        <v>2.0</v>
      </c>
      <c r="W163" s="14">
        <v>54.0</v>
      </c>
      <c r="X163" s="14">
        <v>2.0</v>
      </c>
      <c r="Y163" s="14">
        <v>56.0</v>
      </c>
      <c r="Z163" s="14">
        <v>2.0</v>
      </c>
      <c r="AA163" s="14">
        <v>61.0</v>
      </c>
      <c r="AB163" s="14">
        <v>5.0</v>
      </c>
      <c r="AC163" s="14">
        <v>5.0</v>
      </c>
      <c r="AD163" s="14">
        <v>0.0</v>
      </c>
      <c r="AE163" s="14">
        <v>0.0</v>
      </c>
      <c r="AG163" s="14">
        <v>3.0</v>
      </c>
      <c r="AH163" s="14">
        <v>0.0</v>
      </c>
      <c r="AI163" s="14">
        <v>8.0</v>
      </c>
    </row>
    <row r="164" ht="15.75" customHeight="1">
      <c r="A164" s="14">
        <v>165.0</v>
      </c>
      <c r="B164" s="14" t="s">
        <v>541</v>
      </c>
      <c r="C164" s="14" t="s">
        <v>106</v>
      </c>
      <c r="D164" s="14">
        <v>3.0</v>
      </c>
      <c r="E164" s="14">
        <v>1453.0</v>
      </c>
      <c r="F164" s="14">
        <v>24.0</v>
      </c>
      <c r="G164" s="14">
        <v>1477.0</v>
      </c>
      <c r="H164" s="14">
        <v>22.0</v>
      </c>
      <c r="I164" s="14">
        <v>1499.0</v>
      </c>
      <c r="J164" s="14">
        <v>20.0</v>
      </c>
      <c r="K164" s="14">
        <v>1519.0</v>
      </c>
      <c r="L164" s="14">
        <v>21.0</v>
      </c>
      <c r="M164" s="14">
        <v>1540.0</v>
      </c>
      <c r="N164" s="14">
        <v>17.0</v>
      </c>
      <c r="O164" s="14">
        <v>1557.0</v>
      </c>
      <c r="P164" s="14">
        <v>16.0</v>
      </c>
      <c r="Q164" s="14">
        <v>1573.0</v>
      </c>
      <c r="R164" s="14">
        <v>16.0</v>
      </c>
      <c r="S164" s="14">
        <v>1596.0</v>
      </c>
      <c r="T164" s="14">
        <v>23.0</v>
      </c>
      <c r="U164" s="14">
        <v>1621.0</v>
      </c>
      <c r="V164" s="14">
        <v>25.0</v>
      </c>
      <c r="W164" s="14">
        <v>1642.0</v>
      </c>
      <c r="X164" s="14">
        <v>21.0</v>
      </c>
      <c r="Y164" s="14">
        <v>1668.0</v>
      </c>
      <c r="Z164" s="14">
        <v>26.0</v>
      </c>
      <c r="AA164" s="14">
        <v>1689.0</v>
      </c>
      <c r="AB164" s="14">
        <v>21.0</v>
      </c>
      <c r="AC164" s="14">
        <v>21.0</v>
      </c>
      <c r="AD164" s="14">
        <v>0.0</v>
      </c>
      <c r="AE164" s="14">
        <v>0.0</v>
      </c>
      <c r="AG164" s="14">
        <v>3.0</v>
      </c>
      <c r="AH164" s="14">
        <v>20.0</v>
      </c>
      <c r="AI164" s="14">
        <v>44.0</v>
      </c>
    </row>
    <row r="165" ht="15.75" customHeight="1">
      <c r="A165" s="14">
        <v>166.0</v>
      </c>
      <c r="B165" s="14" t="s">
        <v>543</v>
      </c>
      <c r="C165" s="14" t="s">
        <v>106</v>
      </c>
      <c r="D165" s="14">
        <v>4.0</v>
      </c>
      <c r="E165" s="14">
        <v>628.0</v>
      </c>
      <c r="F165" s="14">
        <v>4.0</v>
      </c>
      <c r="G165" s="14">
        <v>632.0</v>
      </c>
      <c r="H165" s="14">
        <v>-8.0</v>
      </c>
      <c r="I165" s="14">
        <v>634.0</v>
      </c>
      <c r="J165" s="14">
        <v>16.0</v>
      </c>
      <c r="K165" s="14">
        <v>640.0</v>
      </c>
      <c r="L165" s="14">
        <v>1.0</v>
      </c>
      <c r="M165" s="14">
        <v>641.0</v>
      </c>
      <c r="N165" s="14">
        <v>3.0</v>
      </c>
      <c r="O165" s="14">
        <v>644.0</v>
      </c>
      <c r="P165" s="14">
        <v>2.0</v>
      </c>
      <c r="Q165" s="14">
        <v>646.0</v>
      </c>
      <c r="R165" s="14">
        <v>2.0</v>
      </c>
      <c r="S165" s="14">
        <v>647.0</v>
      </c>
      <c r="T165" s="14">
        <v>1.0</v>
      </c>
      <c r="U165" s="14">
        <v>648.0</v>
      </c>
      <c r="V165" s="14">
        <v>1.0</v>
      </c>
      <c r="W165" s="14">
        <v>649.0</v>
      </c>
      <c r="X165" s="14">
        <v>1.0</v>
      </c>
      <c r="Y165" s="14">
        <v>650.0</v>
      </c>
      <c r="Z165" s="14">
        <v>1.0</v>
      </c>
      <c r="AA165" s="14">
        <v>651.0</v>
      </c>
      <c r="AB165" s="14">
        <v>1.0</v>
      </c>
      <c r="AC165" s="14">
        <v>5.0</v>
      </c>
      <c r="AD165" s="14">
        <v>0.0</v>
      </c>
      <c r="AE165" s="14">
        <v>0.0</v>
      </c>
      <c r="AG165" s="14">
        <v>3.0</v>
      </c>
      <c r="AH165" s="14">
        <v>0.0</v>
      </c>
      <c r="AI165" s="14">
        <v>8.0</v>
      </c>
    </row>
    <row r="166" ht="15.75" customHeight="1">
      <c r="A166" s="14">
        <v>167.0</v>
      </c>
      <c r="B166" s="14" t="s">
        <v>546</v>
      </c>
      <c r="C166" s="14" t="s">
        <v>106</v>
      </c>
      <c r="D166" s="14">
        <v>5.0</v>
      </c>
      <c r="E166" s="14">
        <v>2586.0</v>
      </c>
      <c r="F166" s="14">
        <v>37.0</v>
      </c>
      <c r="G166" s="14">
        <v>2623.0</v>
      </c>
      <c r="H166" s="14">
        <v>34.0</v>
      </c>
      <c r="I166" s="14">
        <v>2657.0</v>
      </c>
      <c r="J166" s="14">
        <v>35.0</v>
      </c>
      <c r="K166" s="14">
        <v>2692.0</v>
      </c>
      <c r="L166" s="14">
        <v>26.0</v>
      </c>
      <c r="M166" s="14">
        <v>2718.0</v>
      </c>
      <c r="N166" s="14">
        <v>29.0</v>
      </c>
      <c r="O166" s="14">
        <v>2747.0</v>
      </c>
      <c r="P166" s="14">
        <v>27.0</v>
      </c>
      <c r="Q166" s="14">
        <v>2774.0</v>
      </c>
      <c r="R166" s="14">
        <v>27.0</v>
      </c>
      <c r="S166" s="14">
        <v>2798.0</v>
      </c>
      <c r="T166" s="14">
        <v>24.0</v>
      </c>
      <c r="U166" s="14">
        <v>2823.0</v>
      </c>
      <c r="V166" s="14">
        <v>25.0</v>
      </c>
      <c r="W166" s="14">
        <v>2849.0</v>
      </c>
      <c r="X166" s="14">
        <v>26.0</v>
      </c>
      <c r="Y166" s="14">
        <v>2868.0</v>
      </c>
      <c r="Z166" s="14">
        <v>19.0</v>
      </c>
      <c r="AA166" s="14">
        <v>2894.0</v>
      </c>
      <c r="AB166" s="14">
        <v>26.0</v>
      </c>
      <c r="AC166" s="14">
        <v>26.0</v>
      </c>
      <c r="AD166" s="14">
        <v>0.0</v>
      </c>
      <c r="AE166" s="14">
        <v>0.0</v>
      </c>
      <c r="AG166" s="14">
        <v>3.0</v>
      </c>
      <c r="AH166" s="14">
        <v>0.0</v>
      </c>
      <c r="AI166" s="14">
        <v>29.0</v>
      </c>
    </row>
    <row r="167" ht="15.75" customHeight="1">
      <c r="A167" s="14">
        <v>168.0</v>
      </c>
      <c r="B167" s="14" t="s">
        <v>548</v>
      </c>
      <c r="C167" s="14" t="s">
        <v>106</v>
      </c>
      <c r="D167" s="14">
        <v>6.0</v>
      </c>
      <c r="E167" s="14">
        <v>2306.0</v>
      </c>
      <c r="F167" s="14">
        <v>27.0</v>
      </c>
      <c r="G167" s="14">
        <v>2333.0</v>
      </c>
      <c r="H167" s="14">
        <v>-2316.0</v>
      </c>
      <c r="I167" s="14">
        <v>17.0</v>
      </c>
      <c r="J167" s="14">
        <v>17.0</v>
      </c>
      <c r="K167" s="14">
        <v>34.0</v>
      </c>
      <c r="L167" s="14">
        <v>16.0</v>
      </c>
      <c r="M167" s="14">
        <v>50.0</v>
      </c>
      <c r="N167" s="14">
        <v>17.0</v>
      </c>
      <c r="O167" s="14">
        <v>67.0</v>
      </c>
      <c r="P167" s="14">
        <v>16.0</v>
      </c>
      <c r="Q167" s="14">
        <v>83.0</v>
      </c>
      <c r="R167" s="14">
        <v>16.0</v>
      </c>
      <c r="S167" s="14">
        <v>97.0</v>
      </c>
      <c r="T167" s="14">
        <v>14.0</v>
      </c>
      <c r="U167" s="14">
        <v>111.0</v>
      </c>
      <c r="V167" s="14">
        <v>14.0</v>
      </c>
      <c r="W167" s="14">
        <v>124.0</v>
      </c>
      <c r="X167" s="14">
        <v>13.0</v>
      </c>
      <c r="Y167" s="14">
        <v>144.0</v>
      </c>
      <c r="Z167" s="14">
        <v>20.0</v>
      </c>
      <c r="AA167" s="14">
        <v>166.0</v>
      </c>
      <c r="AB167" s="14">
        <v>22.0</v>
      </c>
      <c r="AC167" s="14">
        <v>22.0</v>
      </c>
      <c r="AD167" s="14">
        <v>23.0</v>
      </c>
      <c r="AE167" s="14">
        <v>0.0</v>
      </c>
      <c r="AG167" s="14">
        <v>3.0</v>
      </c>
      <c r="AH167" s="14">
        <v>0.0</v>
      </c>
      <c r="AI167" s="14">
        <v>48.0</v>
      </c>
    </row>
    <row r="168" ht="15.75" customHeight="1">
      <c r="A168" s="14">
        <v>169.0</v>
      </c>
      <c r="B168" s="14" t="s">
        <v>551</v>
      </c>
      <c r="C168" s="14" t="s">
        <v>106</v>
      </c>
      <c r="D168" s="14">
        <v>7.0</v>
      </c>
      <c r="E168" s="14">
        <v>260.0</v>
      </c>
      <c r="F168" s="14">
        <v>10.0</v>
      </c>
      <c r="G168" s="14">
        <v>270.0</v>
      </c>
      <c r="H168" s="14">
        <v>12.0</v>
      </c>
      <c r="I168" s="14">
        <v>282.0</v>
      </c>
      <c r="J168" s="14">
        <v>15.0</v>
      </c>
      <c r="K168" s="14">
        <v>297.0</v>
      </c>
      <c r="L168" s="14">
        <v>14.0</v>
      </c>
      <c r="M168" s="14">
        <v>311.0</v>
      </c>
      <c r="N168" s="14">
        <v>10.0</v>
      </c>
      <c r="O168" s="14">
        <v>321.0</v>
      </c>
      <c r="P168" s="14">
        <v>9.0</v>
      </c>
      <c r="Q168" s="14">
        <v>330.0</v>
      </c>
      <c r="R168" s="14">
        <v>9.0</v>
      </c>
      <c r="S168" s="14">
        <v>338.0</v>
      </c>
      <c r="T168" s="14">
        <v>8.0</v>
      </c>
      <c r="U168" s="14">
        <v>348.0</v>
      </c>
      <c r="V168" s="14">
        <v>10.0</v>
      </c>
      <c r="W168" s="14">
        <v>357.0</v>
      </c>
      <c r="X168" s="14">
        <v>9.0</v>
      </c>
      <c r="Y168" s="14">
        <v>366.0</v>
      </c>
      <c r="Z168" s="14">
        <v>9.0</v>
      </c>
      <c r="AA168" s="14">
        <v>378.0</v>
      </c>
      <c r="AB168" s="14">
        <v>12.0</v>
      </c>
      <c r="AC168" s="14">
        <v>12.0</v>
      </c>
      <c r="AD168" s="14">
        <v>0.0</v>
      </c>
      <c r="AE168" s="14">
        <v>0.0</v>
      </c>
      <c r="AG168" s="14">
        <v>3.0</v>
      </c>
      <c r="AH168" s="14">
        <v>20.0</v>
      </c>
      <c r="AI168" s="14">
        <v>35.0</v>
      </c>
    </row>
    <row r="169" ht="15.75" customHeight="1">
      <c r="A169" s="14">
        <v>170.0</v>
      </c>
      <c r="B169" s="14" t="s">
        <v>553</v>
      </c>
      <c r="C169" s="14" t="s">
        <v>106</v>
      </c>
      <c r="D169" s="14">
        <v>8.0</v>
      </c>
      <c r="E169" s="14">
        <v>582.0</v>
      </c>
      <c r="F169" s="14">
        <v>0.0</v>
      </c>
      <c r="G169" s="14">
        <v>582.0</v>
      </c>
      <c r="H169" s="14">
        <v>5.0</v>
      </c>
      <c r="I169" s="14">
        <v>587.0</v>
      </c>
      <c r="J169" s="14">
        <v>2.0</v>
      </c>
      <c r="K169" s="14">
        <v>589.0</v>
      </c>
      <c r="L169" s="14">
        <v>0.0</v>
      </c>
      <c r="M169" s="14">
        <v>589.0</v>
      </c>
      <c r="N169" s="14">
        <v>2.0</v>
      </c>
      <c r="O169" s="14">
        <v>591.0</v>
      </c>
      <c r="P169" s="14">
        <v>1.0</v>
      </c>
      <c r="Q169" s="14">
        <v>592.0</v>
      </c>
      <c r="R169" s="14">
        <v>1.0</v>
      </c>
      <c r="S169" s="14">
        <v>592.0</v>
      </c>
      <c r="T169" s="14">
        <v>0.0</v>
      </c>
      <c r="U169" s="14">
        <v>593.0</v>
      </c>
      <c r="V169" s="14">
        <v>1.0</v>
      </c>
      <c r="W169" s="14">
        <v>594.0</v>
      </c>
      <c r="X169" s="14">
        <v>1.0</v>
      </c>
      <c r="Y169" s="14">
        <v>594.0</v>
      </c>
      <c r="Z169" s="14">
        <v>0.0</v>
      </c>
      <c r="AA169" s="14">
        <v>594.0</v>
      </c>
      <c r="AB169" s="14">
        <v>0.0</v>
      </c>
      <c r="AC169" s="14">
        <v>5.0</v>
      </c>
      <c r="AD169" s="14">
        <v>0.0</v>
      </c>
      <c r="AE169" s="14">
        <v>0.0</v>
      </c>
      <c r="AG169" s="14">
        <v>3.0</v>
      </c>
      <c r="AH169" s="14">
        <v>0.0</v>
      </c>
      <c r="AI169" s="14">
        <v>8.0</v>
      </c>
    </row>
    <row r="170" ht="15.75" customHeight="1">
      <c r="A170" s="14">
        <v>171.0</v>
      </c>
      <c r="B170" s="14" t="s">
        <v>554</v>
      </c>
      <c r="C170" s="14" t="s">
        <v>106</v>
      </c>
      <c r="D170" s="14">
        <v>9.0</v>
      </c>
      <c r="E170" s="14">
        <v>378.0</v>
      </c>
      <c r="F170" s="14">
        <v>0.0</v>
      </c>
      <c r="G170" s="14">
        <v>378.0</v>
      </c>
      <c r="H170" s="14">
        <v>0.0</v>
      </c>
      <c r="I170" s="14">
        <v>378.0</v>
      </c>
      <c r="J170" s="14">
        <v>0.0</v>
      </c>
      <c r="K170" s="14">
        <v>378.0</v>
      </c>
      <c r="L170" s="14">
        <v>0.0</v>
      </c>
      <c r="M170" s="14">
        <v>378.0</v>
      </c>
      <c r="N170" s="14">
        <v>0.0</v>
      </c>
      <c r="O170" s="14">
        <v>378.0</v>
      </c>
      <c r="P170" s="14">
        <v>0.0</v>
      </c>
      <c r="Q170" s="14">
        <v>378.0</v>
      </c>
      <c r="R170" s="14">
        <v>0.0</v>
      </c>
      <c r="S170" s="14">
        <v>378.0</v>
      </c>
      <c r="T170" s="14">
        <v>0.0</v>
      </c>
      <c r="U170" s="14">
        <v>378.0</v>
      </c>
      <c r="V170" s="14">
        <v>0.0</v>
      </c>
      <c r="W170" s="14">
        <v>378.0</v>
      </c>
      <c r="X170" s="14">
        <v>0.0</v>
      </c>
      <c r="Y170" s="14">
        <v>378.0</v>
      </c>
      <c r="Z170" s="14">
        <v>0.0</v>
      </c>
      <c r="AA170" s="14">
        <v>378.0</v>
      </c>
      <c r="AB170" s="14">
        <v>0.0</v>
      </c>
      <c r="AC170" s="14">
        <v>5.0</v>
      </c>
      <c r="AD170" s="14">
        <v>8.0</v>
      </c>
      <c r="AE170" s="14">
        <v>0.0</v>
      </c>
      <c r="AG170" s="14">
        <v>3.0</v>
      </c>
      <c r="AH170" s="14">
        <v>20.0</v>
      </c>
      <c r="AI170" s="14">
        <v>36.0</v>
      </c>
    </row>
    <row r="171" ht="15.75" customHeight="1">
      <c r="A171" s="14">
        <v>172.0</v>
      </c>
      <c r="B171" s="14" t="s">
        <v>557</v>
      </c>
      <c r="C171" s="14" t="s">
        <v>106</v>
      </c>
      <c r="D171" s="14">
        <v>10.0</v>
      </c>
      <c r="E171" s="14">
        <v>1019.0</v>
      </c>
      <c r="F171" s="14">
        <v>5.0</v>
      </c>
      <c r="G171" s="14">
        <v>1024.0</v>
      </c>
      <c r="H171" s="14">
        <v>1.0</v>
      </c>
      <c r="I171" s="14">
        <v>1025.0</v>
      </c>
      <c r="J171" s="14">
        <v>0.0</v>
      </c>
      <c r="K171" s="14">
        <v>1025.0</v>
      </c>
      <c r="L171" s="14">
        <v>0.0</v>
      </c>
      <c r="M171" s="14">
        <v>1025.0</v>
      </c>
      <c r="N171" s="14">
        <v>0.0</v>
      </c>
      <c r="O171" s="14">
        <v>1025.0</v>
      </c>
      <c r="P171" s="14">
        <v>1.0</v>
      </c>
      <c r="Q171" s="14">
        <v>1026.0</v>
      </c>
      <c r="R171" s="14">
        <v>1.0</v>
      </c>
      <c r="S171" s="14">
        <v>1037.0</v>
      </c>
      <c r="T171" s="14">
        <v>11.0</v>
      </c>
      <c r="U171" s="14">
        <v>1057.0</v>
      </c>
      <c r="V171" s="14">
        <v>20.0</v>
      </c>
      <c r="W171" s="14">
        <v>1058.0</v>
      </c>
      <c r="X171" s="14">
        <v>1.0</v>
      </c>
      <c r="Y171" s="14">
        <v>1063.0</v>
      </c>
      <c r="Z171" s="14">
        <v>5.0</v>
      </c>
      <c r="AA171" s="14">
        <v>1063.0</v>
      </c>
      <c r="AB171" s="14">
        <v>0.0</v>
      </c>
      <c r="AC171" s="14">
        <v>5.0</v>
      </c>
      <c r="AD171" s="14">
        <v>0.0</v>
      </c>
      <c r="AE171" s="14">
        <v>0.0</v>
      </c>
      <c r="AG171" s="14">
        <v>3.0</v>
      </c>
      <c r="AH171" s="14">
        <v>0.0</v>
      </c>
      <c r="AI171" s="14">
        <v>8.0</v>
      </c>
    </row>
    <row r="172" ht="15.75" customHeight="1">
      <c r="A172" s="14">
        <v>173.0</v>
      </c>
      <c r="B172" s="14" t="s">
        <v>561</v>
      </c>
      <c r="C172" s="14" t="s">
        <v>106</v>
      </c>
      <c r="D172" s="14">
        <v>11.0</v>
      </c>
      <c r="E172" s="14">
        <v>2966.0</v>
      </c>
      <c r="F172" s="14">
        <v>24.0</v>
      </c>
      <c r="G172" s="14">
        <v>2990.0</v>
      </c>
      <c r="H172" s="14">
        <v>20.0</v>
      </c>
      <c r="I172" s="14">
        <v>3010.0</v>
      </c>
      <c r="J172" s="14">
        <v>22.0</v>
      </c>
      <c r="K172" s="14">
        <v>3032.0</v>
      </c>
      <c r="L172" s="14">
        <v>20.0</v>
      </c>
      <c r="M172" s="14">
        <v>3052.0</v>
      </c>
      <c r="N172" s="14">
        <v>17.0</v>
      </c>
      <c r="O172" s="14">
        <v>3069.0</v>
      </c>
      <c r="P172" s="14">
        <v>14.0</v>
      </c>
      <c r="Q172" s="14">
        <v>3083.0</v>
      </c>
      <c r="R172" s="14">
        <v>14.0</v>
      </c>
      <c r="S172" s="14">
        <v>3096.0</v>
      </c>
      <c r="T172" s="14">
        <v>13.0</v>
      </c>
      <c r="U172" s="14">
        <v>3110.0</v>
      </c>
      <c r="V172" s="14">
        <v>14.0</v>
      </c>
      <c r="W172" s="14">
        <v>3120.0</v>
      </c>
      <c r="X172" s="14">
        <v>10.0</v>
      </c>
      <c r="Y172" s="14">
        <v>3130.0</v>
      </c>
      <c r="Z172" s="14">
        <v>10.0</v>
      </c>
      <c r="AA172" s="14">
        <v>3145.0</v>
      </c>
      <c r="AB172" s="14">
        <v>15.0</v>
      </c>
      <c r="AC172" s="14">
        <v>15.0</v>
      </c>
      <c r="AD172" s="14">
        <v>0.0</v>
      </c>
      <c r="AE172" s="14">
        <v>0.0</v>
      </c>
      <c r="AG172" s="14">
        <v>3.0</v>
      </c>
      <c r="AH172" s="14">
        <v>0.0</v>
      </c>
      <c r="AI172" s="14">
        <v>18.0</v>
      </c>
    </row>
    <row r="173" ht="15.75" customHeight="1">
      <c r="A173" s="14">
        <v>174.0</v>
      </c>
      <c r="B173" s="14" t="s">
        <v>563</v>
      </c>
      <c r="C173" s="14" t="s">
        <v>106</v>
      </c>
      <c r="D173" s="14">
        <v>12.0</v>
      </c>
      <c r="E173" s="14">
        <v>2008.0</v>
      </c>
      <c r="F173" s="14">
        <v>11.0</v>
      </c>
      <c r="G173" s="14">
        <v>2019.0</v>
      </c>
      <c r="H173" s="14">
        <v>9.0</v>
      </c>
      <c r="I173" s="14">
        <v>2028.0</v>
      </c>
      <c r="J173" s="14">
        <v>11.0</v>
      </c>
      <c r="K173" s="14">
        <v>2039.0</v>
      </c>
      <c r="L173" s="14">
        <v>8.0</v>
      </c>
      <c r="M173" s="14">
        <v>2047.0</v>
      </c>
      <c r="N173" s="14">
        <v>9.0</v>
      </c>
      <c r="O173" s="14">
        <v>2056.0</v>
      </c>
      <c r="P173" s="14">
        <v>8.0</v>
      </c>
      <c r="Q173" s="14">
        <v>2064.0</v>
      </c>
      <c r="R173" s="14">
        <v>8.0</v>
      </c>
      <c r="S173" s="14">
        <v>2067.0</v>
      </c>
      <c r="T173" s="14">
        <v>3.0</v>
      </c>
      <c r="U173" s="14">
        <v>2074.0</v>
      </c>
      <c r="V173" s="14">
        <v>7.0</v>
      </c>
      <c r="W173" s="14">
        <v>2077.0</v>
      </c>
      <c r="X173" s="14">
        <v>3.0</v>
      </c>
      <c r="Y173" s="14">
        <v>2084.0</v>
      </c>
      <c r="Z173" s="14">
        <v>7.0</v>
      </c>
      <c r="AA173" s="14">
        <v>2090.0</v>
      </c>
      <c r="AB173" s="14">
        <v>6.0</v>
      </c>
      <c r="AC173" s="14">
        <v>6.0</v>
      </c>
      <c r="AD173" s="14">
        <v>20.0</v>
      </c>
      <c r="AE173" s="14">
        <v>40.0</v>
      </c>
      <c r="AG173" s="14">
        <v>3.0</v>
      </c>
      <c r="AH173" s="14">
        <v>0.0</v>
      </c>
      <c r="AI173" s="14">
        <v>69.0</v>
      </c>
    </row>
    <row r="174" ht="15.75" customHeight="1">
      <c r="A174" s="14">
        <v>175.0</v>
      </c>
      <c r="B174" s="14" t="s">
        <v>566</v>
      </c>
      <c r="C174" s="14" t="s">
        <v>106</v>
      </c>
      <c r="D174" s="14">
        <v>13.0</v>
      </c>
      <c r="E174" s="14">
        <v>1642.0</v>
      </c>
      <c r="F174" s="14">
        <v>8.0</v>
      </c>
      <c r="G174" s="14">
        <v>1650.0</v>
      </c>
      <c r="H174" s="14">
        <v>11.0</v>
      </c>
      <c r="I174" s="14">
        <v>1661.0</v>
      </c>
      <c r="J174" s="14">
        <v>10.0</v>
      </c>
      <c r="K174" s="14">
        <v>1671.0</v>
      </c>
      <c r="L174" s="14">
        <v>6.0</v>
      </c>
      <c r="M174" s="14">
        <v>1677.0</v>
      </c>
      <c r="N174" s="14">
        <v>7.0</v>
      </c>
      <c r="O174" s="14">
        <v>1684.0</v>
      </c>
      <c r="P174" s="14">
        <v>5.0</v>
      </c>
      <c r="Q174" s="14">
        <v>1689.0</v>
      </c>
      <c r="R174" s="14">
        <v>5.0</v>
      </c>
      <c r="S174" s="14">
        <v>1700.0</v>
      </c>
      <c r="T174" s="14">
        <v>11.0</v>
      </c>
      <c r="U174" s="14">
        <v>1707.0</v>
      </c>
      <c r="V174" s="14">
        <v>7.0</v>
      </c>
      <c r="W174" s="14">
        <v>1717.0</v>
      </c>
      <c r="X174" s="14">
        <v>10.0</v>
      </c>
      <c r="Y174" s="14">
        <v>1730.0</v>
      </c>
      <c r="Z174" s="14">
        <v>13.0</v>
      </c>
      <c r="AA174" s="14">
        <v>1736.0</v>
      </c>
      <c r="AB174" s="14">
        <v>6.0</v>
      </c>
      <c r="AC174" s="14">
        <v>6.0</v>
      </c>
      <c r="AD174" s="14">
        <v>16.0</v>
      </c>
      <c r="AE174" s="14">
        <v>0.0</v>
      </c>
      <c r="AG174" s="14">
        <v>3.0</v>
      </c>
      <c r="AH174" s="14">
        <v>0.0</v>
      </c>
      <c r="AI174" s="14">
        <v>25.0</v>
      </c>
    </row>
    <row r="175" ht="15.75" customHeight="1">
      <c r="A175" s="14">
        <v>176.0</v>
      </c>
      <c r="B175" s="14" t="s">
        <v>568</v>
      </c>
      <c r="C175" s="14" t="s">
        <v>106</v>
      </c>
      <c r="D175" s="14">
        <v>14.0</v>
      </c>
      <c r="E175" s="14">
        <v>2137.0</v>
      </c>
      <c r="F175" s="14">
        <v>5.0</v>
      </c>
      <c r="G175" s="14">
        <v>2142.0</v>
      </c>
      <c r="H175" s="14">
        <v>6.0</v>
      </c>
      <c r="I175" s="14">
        <v>2148.0</v>
      </c>
      <c r="J175" s="14">
        <v>6.0</v>
      </c>
      <c r="K175" s="14">
        <v>2154.0</v>
      </c>
      <c r="L175" s="14">
        <v>9.0</v>
      </c>
      <c r="M175" s="14">
        <v>2163.0</v>
      </c>
      <c r="N175" s="14">
        <v>14.0</v>
      </c>
      <c r="O175" s="14">
        <v>2177.0</v>
      </c>
      <c r="P175" s="14">
        <v>10.0</v>
      </c>
      <c r="Q175" s="14">
        <v>2187.0</v>
      </c>
      <c r="R175" s="14">
        <v>10.0</v>
      </c>
      <c r="S175" s="14">
        <v>2192.0</v>
      </c>
      <c r="T175" s="14">
        <v>5.0</v>
      </c>
      <c r="U175" s="14">
        <v>2201.0</v>
      </c>
      <c r="V175" s="14">
        <v>9.0</v>
      </c>
      <c r="W175" s="14">
        <v>2210.0</v>
      </c>
      <c r="X175" s="14">
        <v>9.0</v>
      </c>
      <c r="Y175" s="14">
        <v>2215.0</v>
      </c>
      <c r="Z175" s="14">
        <v>5.0</v>
      </c>
      <c r="AA175" s="14">
        <v>2219.0</v>
      </c>
      <c r="AB175" s="14">
        <v>4.0</v>
      </c>
      <c r="AC175" s="14">
        <v>5.0</v>
      </c>
      <c r="AD175" s="14">
        <v>0.0</v>
      </c>
      <c r="AE175" s="14">
        <v>0.0</v>
      </c>
      <c r="AG175" s="14">
        <v>3.0</v>
      </c>
      <c r="AH175" s="14">
        <v>0.0</v>
      </c>
      <c r="AI175" s="14">
        <v>8.0</v>
      </c>
    </row>
    <row r="176" ht="15.75" customHeight="1">
      <c r="A176" s="14">
        <v>177.0</v>
      </c>
      <c r="B176" s="14" t="s">
        <v>570</v>
      </c>
      <c r="C176" s="14" t="s">
        <v>106</v>
      </c>
      <c r="D176" s="14">
        <v>15.0</v>
      </c>
      <c r="E176" s="14">
        <v>2119.0</v>
      </c>
      <c r="F176" s="14">
        <v>21.0</v>
      </c>
      <c r="G176" s="14">
        <v>2140.0</v>
      </c>
      <c r="H176" s="14">
        <v>27.0</v>
      </c>
      <c r="I176" s="14">
        <v>2167.0</v>
      </c>
      <c r="J176" s="14">
        <v>31.0</v>
      </c>
      <c r="K176" s="14">
        <v>2198.0</v>
      </c>
      <c r="L176" s="14">
        <v>22.0</v>
      </c>
      <c r="M176" s="14">
        <v>2220.0</v>
      </c>
      <c r="N176" s="14">
        <v>13.0</v>
      </c>
      <c r="O176" s="14">
        <v>2233.0</v>
      </c>
      <c r="P176" s="14">
        <v>12.0</v>
      </c>
      <c r="Q176" s="14">
        <v>2245.0</v>
      </c>
      <c r="R176" s="14">
        <v>12.0</v>
      </c>
      <c r="S176" s="14">
        <v>2256.0</v>
      </c>
      <c r="T176" s="14">
        <v>11.0</v>
      </c>
      <c r="U176" s="14">
        <v>2271.0</v>
      </c>
      <c r="V176" s="14">
        <v>15.0</v>
      </c>
      <c r="W176" s="14">
        <v>2284.0</v>
      </c>
      <c r="X176" s="14">
        <v>13.0</v>
      </c>
      <c r="Y176" s="14">
        <v>2297.0</v>
      </c>
      <c r="Z176" s="14">
        <v>13.0</v>
      </c>
      <c r="AA176" s="14">
        <v>2309.0</v>
      </c>
      <c r="AB176" s="14">
        <v>12.0</v>
      </c>
      <c r="AC176" s="14">
        <v>12.0</v>
      </c>
      <c r="AD176" s="14">
        <v>0.0</v>
      </c>
      <c r="AE176" s="14">
        <v>0.0</v>
      </c>
      <c r="AG176" s="14">
        <v>3.0</v>
      </c>
      <c r="AH176" s="14">
        <v>20.0</v>
      </c>
      <c r="AI176" s="14">
        <v>35.0</v>
      </c>
    </row>
    <row r="177" ht="15.75" customHeight="1">
      <c r="A177" s="14">
        <v>178.0</v>
      </c>
      <c r="B177" s="14" t="s">
        <v>573</v>
      </c>
      <c r="C177" s="14" t="s">
        <v>106</v>
      </c>
      <c r="D177" s="14">
        <v>16.0</v>
      </c>
      <c r="E177" s="14">
        <v>1034.0</v>
      </c>
      <c r="F177" s="14">
        <v>18.0</v>
      </c>
      <c r="G177" s="14">
        <v>1052.0</v>
      </c>
      <c r="H177" s="14">
        <v>12.0</v>
      </c>
      <c r="I177" s="14">
        <v>1064.0</v>
      </c>
      <c r="J177" s="14">
        <v>4.0</v>
      </c>
      <c r="K177" s="14">
        <v>1068.0</v>
      </c>
      <c r="L177" s="14">
        <v>4.0</v>
      </c>
      <c r="M177" s="14">
        <v>1072.0</v>
      </c>
      <c r="N177" s="14">
        <v>6.0</v>
      </c>
      <c r="O177" s="14">
        <v>1078.0</v>
      </c>
      <c r="P177" s="14">
        <v>5.0</v>
      </c>
      <c r="Q177" s="14">
        <v>1083.0</v>
      </c>
      <c r="R177" s="14">
        <v>5.0</v>
      </c>
      <c r="S177" s="14">
        <v>1087.0</v>
      </c>
      <c r="T177" s="14">
        <v>4.0</v>
      </c>
      <c r="U177" s="14">
        <v>1090.0</v>
      </c>
      <c r="V177" s="14">
        <v>3.0</v>
      </c>
      <c r="W177" s="14">
        <v>1091.0</v>
      </c>
      <c r="X177" s="14">
        <v>1.0</v>
      </c>
      <c r="Y177" s="14">
        <v>1093.0</v>
      </c>
      <c r="Z177" s="14">
        <v>2.0</v>
      </c>
      <c r="AA177" s="14">
        <v>1097.0</v>
      </c>
      <c r="AB177" s="14">
        <v>4.0</v>
      </c>
      <c r="AC177" s="14">
        <v>5.0</v>
      </c>
      <c r="AD177" s="14">
        <v>0.0</v>
      </c>
      <c r="AE177" s="14">
        <v>0.0</v>
      </c>
      <c r="AG177" s="14">
        <v>3.0</v>
      </c>
      <c r="AH177" s="14">
        <v>0.0</v>
      </c>
      <c r="AI177" s="14">
        <v>8.0</v>
      </c>
    </row>
    <row r="178" ht="15.75" customHeight="1">
      <c r="A178" s="14">
        <v>179.0</v>
      </c>
      <c r="B178" s="14" t="s">
        <v>575</v>
      </c>
      <c r="C178" s="14" t="s">
        <v>106</v>
      </c>
      <c r="D178" s="14">
        <v>17.0</v>
      </c>
      <c r="E178" s="14">
        <v>1028.0</v>
      </c>
      <c r="F178" s="14">
        <v>0.0</v>
      </c>
      <c r="G178" s="14">
        <v>1028.0</v>
      </c>
      <c r="H178" s="14">
        <v>1.0</v>
      </c>
      <c r="I178" s="14">
        <v>1029.0</v>
      </c>
      <c r="J178" s="14">
        <v>1.0</v>
      </c>
      <c r="K178" s="14">
        <v>1030.0</v>
      </c>
      <c r="L178" s="14">
        <v>0.0</v>
      </c>
      <c r="M178" s="14">
        <v>1030.0</v>
      </c>
      <c r="N178" s="14">
        <v>1.0</v>
      </c>
      <c r="O178" s="14">
        <v>1031.0</v>
      </c>
      <c r="P178" s="14">
        <v>1.0</v>
      </c>
      <c r="Q178" s="14">
        <v>1032.0</v>
      </c>
      <c r="R178" s="14">
        <v>1.0</v>
      </c>
      <c r="S178" s="14">
        <v>1034.0</v>
      </c>
      <c r="T178" s="14">
        <v>2.0</v>
      </c>
      <c r="U178" s="14">
        <v>1039.0</v>
      </c>
      <c r="V178" s="14">
        <v>5.0</v>
      </c>
      <c r="W178" s="14">
        <v>1041.0</v>
      </c>
      <c r="X178" s="14">
        <v>2.0</v>
      </c>
      <c r="Y178" s="14">
        <v>1043.0</v>
      </c>
      <c r="Z178" s="14">
        <v>2.0</v>
      </c>
      <c r="AA178" s="14">
        <v>1049.0</v>
      </c>
      <c r="AB178" s="14">
        <v>6.0</v>
      </c>
      <c r="AC178" s="14">
        <v>6.0</v>
      </c>
      <c r="AD178" s="14">
        <v>0.0</v>
      </c>
      <c r="AE178" s="14">
        <v>0.0</v>
      </c>
      <c r="AG178" s="14">
        <v>3.0</v>
      </c>
      <c r="AH178" s="14">
        <v>0.0</v>
      </c>
      <c r="AI178" s="14">
        <v>9.0</v>
      </c>
    </row>
    <row r="179" ht="15.75" customHeight="1">
      <c r="A179" s="14">
        <v>180.0</v>
      </c>
      <c r="B179" s="14" t="s">
        <v>578</v>
      </c>
      <c r="C179" s="14" t="s">
        <v>106</v>
      </c>
      <c r="D179" s="14">
        <v>18.0</v>
      </c>
      <c r="E179" s="14">
        <v>233.0</v>
      </c>
      <c r="F179" s="14">
        <v>15.0</v>
      </c>
      <c r="G179" s="14">
        <v>248.0</v>
      </c>
      <c r="H179" s="14">
        <v>9.0</v>
      </c>
      <c r="I179" s="14">
        <v>257.0</v>
      </c>
      <c r="J179" s="14">
        <v>10.0</v>
      </c>
      <c r="K179" s="14">
        <v>267.0</v>
      </c>
      <c r="L179" s="14">
        <v>8.0</v>
      </c>
      <c r="M179" s="14">
        <v>275.0</v>
      </c>
      <c r="N179" s="14">
        <v>6.0</v>
      </c>
      <c r="O179" s="14">
        <v>281.0</v>
      </c>
      <c r="P179" s="14">
        <v>5.0</v>
      </c>
      <c r="Q179" s="14">
        <v>286.0</v>
      </c>
      <c r="R179" s="14">
        <v>5.0</v>
      </c>
      <c r="S179" s="14">
        <v>292.0</v>
      </c>
      <c r="T179" s="14">
        <v>6.0</v>
      </c>
      <c r="U179" s="14">
        <v>304.0</v>
      </c>
      <c r="V179" s="14">
        <v>12.0</v>
      </c>
      <c r="W179" s="14">
        <v>317.0</v>
      </c>
      <c r="X179" s="14">
        <v>13.0</v>
      </c>
      <c r="Y179" s="14">
        <v>336.0</v>
      </c>
      <c r="Z179" s="14">
        <v>19.0</v>
      </c>
      <c r="AA179" s="14">
        <v>344.0</v>
      </c>
      <c r="AB179" s="14">
        <v>8.0</v>
      </c>
      <c r="AC179" s="14">
        <v>8.0</v>
      </c>
      <c r="AD179" s="14">
        <v>0.0</v>
      </c>
      <c r="AE179" s="14">
        <v>0.0</v>
      </c>
      <c r="AG179" s="14">
        <v>3.0</v>
      </c>
      <c r="AH179" s="14">
        <v>20.0</v>
      </c>
      <c r="AI179" s="14">
        <v>31.0</v>
      </c>
    </row>
    <row r="180" ht="15.75" customHeight="1">
      <c r="A180" s="14">
        <v>181.0</v>
      </c>
      <c r="B180" s="14" t="s">
        <v>579</v>
      </c>
      <c r="C180" s="14" t="s">
        <v>110</v>
      </c>
      <c r="D180" s="14">
        <v>1.0</v>
      </c>
      <c r="E180" s="14">
        <v>1497.0</v>
      </c>
      <c r="F180" s="14">
        <v>23.0</v>
      </c>
      <c r="G180" s="14">
        <v>1520.0</v>
      </c>
      <c r="H180" s="14">
        <v>32.0</v>
      </c>
      <c r="I180" s="14">
        <v>1552.0</v>
      </c>
      <c r="J180" s="14">
        <v>36.0</v>
      </c>
      <c r="K180" s="14">
        <v>1568.0</v>
      </c>
      <c r="L180" s="14">
        <v>5.0</v>
      </c>
      <c r="M180" s="14">
        <v>1573.0</v>
      </c>
      <c r="N180" s="14">
        <v>28.0</v>
      </c>
      <c r="O180" s="14">
        <v>1601.0</v>
      </c>
      <c r="P180" s="14">
        <v>49.0</v>
      </c>
      <c r="Q180" s="14">
        <v>1650.0</v>
      </c>
      <c r="R180" s="14">
        <v>49.0</v>
      </c>
      <c r="S180" s="14">
        <v>1681.0</v>
      </c>
      <c r="T180" s="14">
        <v>31.0</v>
      </c>
      <c r="U180" s="14">
        <v>1716.0</v>
      </c>
      <c r="V180" s="14">
        <v>35.0</v>
      </c>
      <c r="W180" s="14">
        <v>1748.0</v>
      </c>
      <c r="X180" s="14">
        <v>32.0</v>
      </c>
      <c r="Y180" s="14">
        <v>1770.0</v>
      </c>
      <c r="Z180" s="14">
        <v>22.0</v>
      </c>
      <c r="AA180" s="14">
        <v>1803.0</v>
      </c>
      <c r="AB180" s="14">
        <v>33.0</v>
      </c>
      <c r="AC180" s="14">
        <v>33.0</v>
      </c>
      <c r="AD180" s="14">
        <v>0.0</v>
      </c>
      <c r="AE180" s="14">
        <v>0.0</v>
      </c>
      <c r="AG180" s="14">
        <v>3.0</v>
      </c>
      <c r="AH180" s="14">
        <v>0.0</v>
      </c>
      <c r="AI180" s="14">
        <v>36.0</v>
      </c>
    </row>
    <row r="181" ht="15.75" customHeight="1">
      <c r="A181" s="14">
        <v>182.0</v>
      </c>
      <c r="B181" s="14" t="s">
        <v>582</v>
      </c>
      <c r="C181" s="14" t="s">
        <v>110</v>
      </c>
      <c r="D181" s="14">
        <v>2.0</v>
      </c>
      <c r="E181" s="14">
        <v>178.0</v>
      </c>
      <c r="F181" s="14">
        <v>13.0</v>
      </c>
      <c r="G181" s="14">
        <v>191.0</v>
      </c>
      <c r="H181" s="14">
        <v>19.0</v>
      </c>
      <c r="I181" s="14">
        <v>210.0</v>
      </c>
      <c r="J181" s="14">
        <v>16.0</v>
      </c>
      <c r="K181" s="14">
        <v>226.0</v>
      </c>
      <c r="L181" s="14">
        <v>10.0</v>
      </c>
      <c r="M181" s="14">
        <v>236.0</v>
      </c>
      <c r="N181" s="14">
        <v>7.0</v>
      </c>
      <c r="O181" s="14">
        <v>243.0</v>
      </c>
      <c r="P181" s="14">
        <v>8.0</v>
      </c>
      <c r="Q181" s="14">
        <v>251.0</v>
      </c>
      <c r="R181" s="14">
        <v>8.0</v>
      </c>
      <c r="S181" s="14">
        <v>258.0</v>
      </c>
      <c r="T181" s="14">
        <v>7.0</v>
      </c>
      <c r="U181" s="14">
        <v>265.0</v>
      </c>
      <c r="V181" s="14">
        <v>7.0</v>
      </c>
      <c r="W181" s="14">
        <v>271.0</v>
      </c>
      <c r="X181" s="14">
        <v>6.0</v>
      </c>
      <c r="Y181" s="14">
        <v>279.0</v>
      </c>
      <c r="Z181" s="14">
        <v>8.0</v>
      </c>
      <c r="AA181" s="14">
        <v>295.0</v>
      </c>
      <c r="AB181" s="14">
        <v>16.0</v>
      </c>
      <c r="AC181" s="14">
        <v>16.0</v>
      </c>
      <c r="AD181" s="14">
        <v>0.0</v>
      </c>
      <c r="AE181" s="14">
        <v>0.0</v>
      </c>
      <c r="AG181" s="14">
        <v>3.0</v>
      </c>
      <c r="AH181" s="14">
        <v>0.0</v>
      </c>
      <c r="AI181" s="14">
        <v>19.0</v>
      </c>
    </row>
    <row r="182" ht="15.75" customHeight="1">
      <c r="A182" s="14">
        <v>183.0</v>
      </c>
      <c r="B182" s="14" t="s">
        <v>585</v>
      </c>
      <c r="C182" s="14" t="s">
        <v>110</v>
      </c>
      <c r="D182" s="14">
        <v>3.0</v>
      </c>
      <c r="E182" s="14">
        <v>707.0</v>
      </c>
      <c r="F182" s="14">
        <v>0.0</v>
      </c>
      <c r="G182" s="14">
        <v>707.0</v>
      </c>
      <c r="H182" s="14">
        <v>0.0</v>
      </c>
      <c r="I182" s="14">
        <v>707.0</v>
      </c>
      <c r="J182" s="14">
        <v>0.0</v>
      </c>
      <c r="K182" s="14">
        <v>707.0</v>
      </c>
      <c r="L182" s="14">
        <v>0.0</v>
      </c>
      <c r="M182" s="14">
        <v>707.0</v>
      </c>
      <c r="N182" s="14">
        <v>0.0</v>
      </c>
      <c r="O182" s="14">
        <v>707.0</v>
      </c>
      <c r="P182" s="14">
        <v>0.0</v>
      </c>
      <c r="Q182" s="14">
        <v>707.0</v>
      </c>
      <c r="R182" s="14">
        <v>0.0</v>
      </c>
      <c r="S182" s="14">
        <v>707.0</v>
      </c>
      <c r="T182" s="14">
        <v>0.0</v>
      </c>
      <c r="U182" s="14">
        <v>707.0</v>
      </c>
      <c r="V182" s="14">
        <v>0.0</v>
      </c>
      <c r="W182" s="14">
        <v>707.0</v>
      </c>
      <c r="X182" s="14">
        <v>0.0</v>
      </c>
      <c r="Y182" s="14">
        <v>707.0</v>
      </c>
      <c r="Z182" s="14">
        <v>0.0</v>
      </c>
      <c r="AA182" s="14">
        <v>707.0</v>
      </c>
      <c r="AB182" s="14">
        <v>0.0</v>
      </c>
      <c r="AC182" s="14">
        <v>5.0</v>
      </c>
      <c r="AD182" s="14">
        <v>0.0</v>
      </c>
      <c r="AE182" s="14">
        <v>0.0</v>
      </c>
      <c r="AG182" s="14">
        <v>3.0</v>
      </c>
      <c r="AH182" s="14">
        <v>0.0</v>
      </c>
      <c r="AI182" s="14">
        <v>8.0</v>
      </c>
    </row>
    <row r="183" ht="15.75" customHeight="1">
      <c r="A183" s="14">
        <v>184.0</v>
      </c>
      <c r="B183" s="14" t="s">
        <v>588</v>
      </c>
      <c r="C183" s="14" t="s">
        <v>110</v>
      </c>
      <c r="D183" s="14">
        <v>4.0</v>
      </c>
      <c r="E183" s="14">
        <v>935.0</v>
      </c>
      <c r="F183" s="14">
        <v>11.0</v>
      </c>
      <c r="G183" s="14">
        <v>946.0</v>
      </c>
      <c r="H183" s="14">
        <v>15.0</v>
      </c>
      <c r="I183" s="14">
        <v>961.0</v>
      </c>
      <c r="J183" s="14">
        <v>12.0</v>
      </c>
      <c r="K183" s="14">
        <v>973.0</v>
      </c>
      <c r="L183" s="14">
        <v>14.0</v>
      </c>
      <c r="M183" s="14">
        <v>987.0</v>
      </c>
      <c r="N183" s="14">
        <v>8.0</v>
      </c>
      <c r="O183" s="14">
        <v>995.0</v>
      </c>
      <c r="P183" s="14">
        <v>4.0</v>
      </c>
      <c r="Q183" s="14">
        <v>999.0</v>
      </c>
      <c r="R183" s="14">
        <v>4.0</v>
      </c>
      <c r="S183" s="14">
        <v>1005.0</v>
      </c>
      <c r="T183" s="14">
        <v>6.0</v>
      </c>
      <c r="U183" s="14">
        <v>1011.0</v>
      </c>
      <c r="V183" s="14">
        <v>6.0</v>
      </c>
      <c r="W183" s="14">
        <v>1019.0</v>
      </c>
      <c r="X183" s="14">
        <v>8.0</v>
      </c>
      <c r="Y183" s="14">
        <v>1024.0</v>
      </c>
      <c r="Z183" s="14">
        <v>5.0</v>
      </c>
      <c r="AA183" s="14">
        <v>1033.0</v>
      </c>
      <c r="AB183" s="14">
        <v>9.0</v>
      </c>
      <c r="AC183" s="14">
        <v>9.0</v>
      </c>
      <c r="AD183" s="14">
        <v>0.0</v>
      </c>
      <c r="AE183" s="14">
        <v>0.0</v>
      </c>
      <c r="AG183" s="14">
        <v>3.0</v>
      </c>
      <c r="AH183" s="14">
        <v>0.0</v>
      </c>
      <c r="AI183" s="14">
        <v>12.0</v>
      </c>
    </row>
    <row r="184" ht="15.75" customHeight="1">
      <c r="A184" s="14">
        <v>185.0</v>
      </c>
      <c r="B184" s="14" t="s">
        <v>591</v>
      </c>
      <c r="C184" s="14" t="s">
        <v>110</v>
      </c>
      <c r="D184" s="14">
        <v>5.0</v>
      </c>
      <c r="E184" s="14">
        <v>3115.0</v>
      </c>
      <c r="F184" s="14">
        <v>21.0</v>
      </c>
      <c r="G184" s="14">
        <v>3136.0</v>
      </c>
      <c r="H184" s="14">
        <v>17.0</v>
      </c>
      <c r="I184" s="14">
        <v>3153.0</v>
      </c>
      <c r="J184" s="14">
        <v>19.0</v>
      </c>
      <c r="K184" s="14">
        <v>3172.0</v>
      </c>
      <c r="L184" s="14">
        <v>16.0</v>
      </c>
      <c r="M184" s="14">
        <v>3188.0</v>
      </c>
      <c r="N184" s="14">
        <v>17.0</v>
      </c>
      <c r="O184" s="14">
        <v>3205.0</v>
      </c>
      <c r="P184" s="14">
        <v>24.0</v>
      </c>
      <c r="Q184" s="14">
        <v>3229.0</v>
      </c>
      <c r="R184" s="14">
        <v>24.0</v>
      </c>
      <c r="S184" s="14">
        <v>3251.0</v>
      </c>
      <c r="T184" s="14">
        <v>22.0</v>
      </c>
      <c r="U184" s="14">
        <v>3265.0</v>
      </c>
      <c r="V184" s="14">
        <v>14.0</v>
      </c>
      <c r="W184" s="14">
        <v>3274.0</v>
      </c>
      <c r="X184" s="14">
        <v>9.0</v>
      </c>
      <c r="Y184" s="14">
        <v>3284.0</v>
      </c>
      <c r="Z184" s="14">
        <v>10.0</v>
      </c>
      <c r="AA184" s="14">
        <v>3297.0</v>
      </c>
      <c r="AB184" s="14">
        <v>13.0</v>
      </c>
      <c r="AC184" s="14">
        <v>13.0</v>
      </c>
      <c r="AD184" s="14">
        <v>0.0</v>
      </c>
      <c r="AE184" s="14">
        <v>0.0</v>
      </c>
      <c r="AG184" s="14">
        <v>3.0</v>
      </c>
      <c r="AH184" s="14">
        <v>0.0</v>
      </c>
      <c r="AI184" s="14">
        <v>16.0</v>
      </c>
    </row>
    <row r="185" ht="15.75" customHeight="1">
      <c r="A185" s="14">
        <v>186.0</v>
      </c>
      <c r="B185" s="14" t="s">
        <v>594</v>
      </c>
      <c r="C185" s="14" t="s">
        <v>110</v>
      </c>
      <c r="D185" s="14">
        <v>7.0</v>
      </c>
      <c r="E185" s="14">
        <v>1986.0</v>
      </c>
      <c r="F185" s="14">
        <v>6.0</v>
      </c>
      <c r="G185" s="14">
        <v>1992.0</v>
      </c>
      <c r="H185" s="14">
        <v>7.0</v>
      </c>
      <c r="I185" s="14">
        <v>1999.0</v>
      </c>
      <c r="J185" s="14">
        <v>7.0</v>
      </c>
      <c r="K185" s="14">
        <v>2006.0</v>
      </c>
      <c r="L185" s="14">
        <v>6.0</v>
      </c>
      <c r="M185" s="14">
        <v>2012.0</v>
      </c>
      <c r="N185" s="14">
        <v>6.0</v>
      </c>
      <c r="O185" s="14">
        <v>2018.0</v>
      </c>
      <c r="P185" s="14">
        <v>7.0</v>
      </c>
      <c r="Q185" s="14">
        <v>2025.0</v>
      </c>
      <c r="R185" s="14">
        <v>7.0</v>
      </c>
      <c r="S185" s="14">
        <v>2030.0</v>
      </c>
      <c r="T185" s="14">
        <v>5.0</v>
      </c>
      <c r="U185" s="14">
        <v>2040.0</v>
      </c>
      <c r="V185" s="14">
        <v>10.0</v>
      </c>
      <c r="W185" s="14">
        <v>2046.0</v>
      </c>
      <c r="X185" s="14">
        <v>6.0</v>
      </c>
      <c r="Y185" s="14">
        <v>2054.0</v>
      </c>
      <c r="Z185" s="14">
        <v>8.0</v>
      </c>
      <c r="AA185" s="14">
        <v>2059.0</v>
      </c>
      <c r="AB185" s="14">
        <v>5.0</v>
      </c>
      <c r="AC185" s="14">
        <v>5.0</v>
      </c>
      <c r="AD185" s="14">
        <v>0.0</v>
      </c>
      <c r="AE185" s="14">
        <v>0.0</v>
      </c>
      <c r="AG185" s="14">
        <v>3.0</v>
      </c>
      <c r="AH185" s="14">
        <v>0.0</v>
      </c>
      <c r="AI185" s="14">
        <v>8.0</v>
      </c>
    </row>
    <row r="186" ht="15.75" customHeight="1">
      <c r="A186" s="14">
        <v>187.0</v>
      </c>
      <c r="B186" s="14" t="s">
        <v>596</v>
      </c>
      <c r="C186" s="14" t="s">
        <v>110</v>
      </c>
      <c r="D186" s="14">
        <v>8.0</v>
      </c>
      <c r="E186" s="14">
        <v>2114.0</v>
      </c>
      <c r="F186" s="14">
        <v>15.0</v>
      </c>
      <c r="G186" s="14">
        <v>2129.0</v>
      </c>
      <c r="H186" s="14">
        <v>12.0</v>
      </c>
      <c r="I186" s="14">
        <v>2141.0</v>
      </c>
      <c r="J186" s="14">
        <v>15.0</v>
      </c>
      <c r="K186" s="14">
        <v>2156.0</v>
      </c>
      <c r="L186" s="14">
        <v>13.0</v>
      </c>
      <c r="M186" s="14">
        <v>2169.0</v>
      </c>
      <c r="N186" s="14">
        <v>11.0</v>
      </c>
      <c r="O186" s="14">
        <v>2180.0</v>
      </c>
      <c r="P186" s="14">
        <v>8.0</v>
      </c>
      <c r="Q186" s="14">
        <v>2188.0</v>
      </c>
      <c r="R186" s="14">
        <v>8.0</v>
      </c>
      <c r="S186" s="14">
        <v>2195.0</v>
      </c>
      <c r="T186" s="14">
        <v>7.0</v>
      </c>
      <c r="U186" s="14">
        <v>2201.0</v>
      </c>
      <c r="V186" s="14">
        <v>6.0</v>
      </c>
      <c r="W186" s="14">
        <v>2207.0</v>
      </c>
      <c r="X186" s="14">
        <v>6.0</v>
      </c>
      <c r="Y186" s="14">
        <v>2218.0</v>
      </c>
      <c r="Z186" s="14">
        <v>11.0</v>
      </c>
      <c r="AA186" s="14">
        <v>2225.0</v>
      </c>
      <c r="AB186" s="14">
        <v>7.0</v>
      </c>
      <c r="AC186" s="14">
        <v>7.0</v>
      </c>
      <c r="AD186" s="14">
        <v>0.0</v>
      </c>
      <c r="AE186" s="14">
        <v>0.0</v>
      </c>
      <c r="AG186" s="14">
        <v>3.0</v>
      </c>
      <c r="AH186" s="14">
        <v>0.0</v>
      </c>
      <c r="AI186" s="14">
        <v>10.0</v>
      </c>
    </row>
    <row r="187" ht="15.75" customHeight="1">
      <c r="A187" s="14">
        <v>188.0</v>
      </c>
      <c r="B187" s="14" t="s">
        <v>599</v>
      </c>
      <c r="C187" s="14" t="s">
        <v>110</v>
      </c>
      <c r="D187" s="14">
        <v>9.0</v>
      </c>
      <c r="E187" s="14">
        <v>2687.0</v>
      </c>
      <c r="F187" s="14">
        <v>16.0</v>
      </c>
      <c r="G187" s="14">
        <v>2703.0</v>
      </c>
      <c r="H187" s="14">
        <v>17.0</v>
      </c>
      <c r="I187" s="14">
        <v>2720.0</v>
      </c>
      <c r="J187" s="14">
        <v>15.0</v>
      </c>
      <c r="K187" s="14">
        <v>2735.0</v>
      </c>
      <c r="L187" s="14">
        <v>14.0</v>
      </c>
      <c r="M187" s="14">
        <v>2749.0</v>
      </c>
      <c r="N187" s="14">
        <v>13.0</v>
      </c>
      <c r="O187" s="14">
        <v>2762.0</v>
      </c>
      <c r="P187" s="14">
        <v>10.0</v>
      </c>
      <c r="Q187" s="14">
        <v>2772.0</v>
      </c>
      <c r="R187" s="14">
        <v>10.0</v>
      </c>
      <c r="S187" s="14">
        <v>2781.0</v>
      </c>
      <c r="T187" s="14">
        <v>9.0</v>
      </c>
      <c r="U187" s="14">
        <v>2791.0</v>
      </c>
      <c r="V187" s="14">
        <v>10.0</v>
      </c>
      <c r="W187" s="14">
        <v>2801.0</v>
      </c>
      <c r="X187" s="14">
        <v>10.0</v>
      </c>
      <c r="Y187" s="14">
        <v>2815.0</v>
      </c>
      <c r="Z187" s="14">
        <v>14.0</v>
      </c>
      <c r="AA187" s="14">
        <v>2830.0</v>
      </c>
      <c r="AB187" s="14">
        <v>15.0</v>
      </c>
      <c r="AC187" s="14">
        <v>15.0</v>
      </c>
      <c r="AD187" s="14">
        <v>0.0</v>
      </c>
      <c r="AE187" s="14">
        <v>0.0</v>
      </c>
      <c r="AG187" s="14">
        <v>3.0</v>
      </c>
      <c r="AH187" s="14">
        <v>0.0</v>
      </c>
      <c r="AI187" s="14">
        <v>18.0</v>
      </c>
    </row>
    <row r="188" ht="15.75" customHeight="1">
      <c r="A188" s="14">
        <v>189.0</v>
      </c>
      <c r="B188" s="14" t="s">
        <v>600</v>
      </c>
      <c r="C188" s="14" t="s">
        <v>110</v>
      </c>
      <c r="D188" s="14">
        <v>10.0</v>
      </c>
      <c r="E188" s="14">
        <v>1634.0</v>
      </c>
      <c r="F188" s="14">
        <v>22.0</v>
      </c>
      <c r="G188" s="14">
        <v>1656.0</v>
      </c>
      <c r="H188" s="14">
        <v>40.0</v>
      </c>
      <c r="I188" s="14">
        <v>1696.0</v>
      </c>
      <c r="J188" s="14">
        <v>32.0</v>
      </c>
      <c r="K188" s="14">
        <v>1728.0</v>
      </c>
      <c r="L188" s="14">
        <v>28.0</v>
      </c>
      <c r="M188" s="14">
        <v>1756.0</v>
      </c>
      <c r="N188" s="14">
        <v>30.0</v>
      </c>
      <c r="O188" s="14">
        <v>1786.0</v>
      </c>
      <c r="P188" s="14">
        <v>24.0</v>
      </c>
      <c r="Q188" s="14">
        <v>1810.0</v>
      </c>
      <c r="R188" s="14">
        <v>24.0</v>
      </c>
      <c r="S188" s="14">
        <v>1834.0</v>
      </c>
      <c r="T188" s="14">
        <v>24.0</v>
      </c>
      <c r="U188" s="14">
        <v>1859.0</v>
      </c>
      <c r="V188" s="14">
        <v>25.0</v>
      </c>
      <c r="W188" s="14">
        <v>1882.0</v>
      </c>
      <c r="X188" s="14">
        <v>23.0</v>
      </c>
      <c r="Y188" s="14">
        <v>1907.0</v>
      </c>
      <c r="Z188" s="14">
        <v>25.0</v>
      </c>
      <c r="AA188" s="14">
        <v>1923.0</v>
      </c>
      <c r="AB188" s="14">
        <v>16.0</v>
      </c>
      <c r="AC188" s="14">
        <v>16.0</v>
      </c>
      <c r="AD188" s="14">
        <v>0.0</v>
      </c>
      <c r="AE188" s="14">
        <v>0.0</v>
      </c>
      <c r="AG188" s="14">
        <v>3.0</v>
      </c>
      <c r="AH188" s="14">
        <v>0.0</v>
      </c>
      <c r="AI188" s="14">
        <v>19.0</v>
      </c>
    </row>
    <row r="189" ht="15.75" customHeight="1">
      <c r="A189" s="14">
        <v>190.0</v>
      </c>
      <c r="B189" s="14" t="s">
        <v>603</v>
      </c>
      <c r="C189" s="14" t="s">
        <v>110</v>
      </c>
      <c r="D189" s="14">
        <v>11.0</v>
      </c>
      <c r="E189" s="14">
        <v>1122.0</v>
      </c>
      <c r="F189" s="14">
        <v>14.0</v>
      </c>
      <c r="G189" s="14">
        <v>1136.0</v>
      </c>
      <c r="H189" s="14">
        <v>15.0</v>
      </c>
      <c r="I189" s="14">
        <v>1151.0</v>
      </c>
      <c r="J189" s="14">
        <v>13.0</v>
      </c>
      <c r="K189" s="14">
        <v>1164.0</v>
      </c>
      <c r="L189" s="14">
        <v>13.0</v>
      </c>
      <c r="M189" s="14">
        <v>1177.0</v>
      </c>
      <c r="N189" s="14">
        <v>13.0</v>
      </c>
      <c r="O189" s="14">
        <v>1190.0</v>
      </c>
      <c r="P189" s="14">
        <v>12.0</v>
      </c>
      <c r="Q189" s="14">
        <v>1202.0</v>
      </c>
      <c r="R189" s="14">
        <v>12.0</v>
      </c>
      <c r="S189" s="14">
        <v>1212.0</v>
      </c>
      <c r="T189" s="14">
        <v>10.0</v>
      </c>
      <c r="U189" s="14">
        <v>1224.0</v>
      </c>
      <c r="V189" s="14">
        <v>12.0</v>
      </c>
      <c r="W189" s="14">
        <v>1236.0</v>
      </c>
      <c r="X189" s="14">
        <v>12.0</v>
      </c>
      <c r="Y189" s="14">
        <v>1247.0</v>
      </c>
      <c r="Z189" s="14">
        <v>11.0</v>
      </c>
      <c r="AA189" s="14">
        <v>1258.0</v>
      </c>
      <c r="AB189" s="14">
        <v>11.0</v>
      </c>
      <c r="AC189" s="14">
        <v>11.0</v>
      </c>
      <c r="AD189" s="14">
        <v>0.0</v>
      </c>
      <c r="AE189" s="14">
        <v>0.0</v>
      </c>
      <c r="AG189" s="14">
        <v>3.0</v>
      </c>
      <c r="AH189" s="14">
        <v>20.0</v>
      </c>
      <c r="AI189" s="14">
        <v>34.0</v>
      </c>
    </row>
    <row r="190" ht="15.75" customHeight="1">
      <c r="A190" s="14">
        <v>191.0</v>
      </c>
      <c r="B190" s="14" t="s">
        <v>606</v>
      </c>
      <c r="C190" s="14" t="s">
        <v>110</v>
      </c>
      <c r="D190" s="14">
        <v>12.0</v>
      </c>
      <c r="E190" s="14">
        <v>616.0</v>
      </c>
      <c r="F190" s="14">
        <v>1.0</v>
      </c>
      <c r="G190" s="14">
        <v>617.0</v>
      </c>
      <c r="H190" s="14">
        <v>4.0</v>
      </c>
      <c r="I190" s="14">
        <v>621.0</v>
      </c>
      <c r="J190" s="14">
        <v>5.0</v>
      </c>
      <c r="K190" s="14">
        <v>626.0</v>
      </c>
      <c r="L190" s="14">
        <v>3.0</v>
      </c>
      <c r="M190" s="14">
        <v>629.0</v>
      </c>
      <c r="N190" s="14">
        <v>2.0</v>
      </c>
      <c r="O190" s="14">
        <v>631.0</v>
      </c>
      <c r="P190" s="14">
        <v>2.0</v>
      </c>
      <c r="Q190" s="14">
        <v>633.0</v>
      </c>
      <c r="R190" s="14">
        <v>2.0</v>
      </c>
      <c r="S190" s="14">
        <v>634.0</v>
      </c>
      <c r="T190" s="14">
        <v>1.0</v>
      </c>
      <c r="U190" s="14">
        <v>636.0</v>
      </c>
      <c r="V190" s="14">
        <v>2.0</v>
      </c>
      <c r="W190" s="14">
        <v>636.0</v>
      </c>
      <c r="X190" s="14">
        <v>0.0</v>
      </c>
      <c r="Y190" s="14">
        <v>637.0</v>
      </c>
      <c r="Z190" s="14">
        <v>1.0</v>
      </c>
      <c r="AA190" s="14">
        <v>638.0</v>
      </c>
      <c r="AB190" s="14">
        <v>1.0</v>
      </c>
      <c r="AC190" s="14">
        <v>5.0</v>
      </c>
      <c r="AD190" s="14">
        <v>0.0</v>
      </c>
      <c r="AE190" s="14">
        <v>0.0</v>
      </c>
      <c r="AG190" s="14">
        <v>3.0</v>
      </c>
      <c r="AH190" s="14">
        <v>20.0</v>
      </c>
      <c r="AI190" s="14">
        <v>28.0</v>
      </c>
    </row>
    <row r="191" ht="15.75" customHeight="1">
      <c r="A191" s="14">
        <v>193.0</v>
      </c>
      <c r="B191" s="14" t="s">
        <v>610</v>
      </c>
      <c r="C191" s="14" t="s">
        <v>115</v>
      </c>
      <c r="D191" s="14">
        <v>1.0</v>
      </c>
      <c r="E191" s="14">
        <v>2007.0</v>
      </c>
      <c r="F191" s="14">
        <v>26.0</v>
      </c>
      <c r="G191" s="14">
        <v>2033.0</v>
      </c>
      <c r="H191" s="14">
        <v>9.0</v>
      </c>
      <c r="I191" s="14">
        <v>2042.0</v>
      </c>
      <c r="J191" s="14">
        <v>10.0</v>
      </c>
      <c r="K191" s="14">
        <v>2052.0</v>
      </c>
      <c r="L191" s="14">
        <v>9.0</v>
      </c>
      <c r="M191" s="14">
        <v>2061.0</v>
      </c>
      <c r="N191" s="14">
        <v>17.0</v>
      </c>
      <c r="O191" s="14">
        <v>2078.0</v>
      </c>
      <c r="P191" s="14">
        <v>11.0</v>
      </c>
      <c r="Q191" s="14">
        <v>2089.0</v>
      </c>
      <c r="R191" s="14">
        <v>11.0</v>
      </c>
      <c r="S191" s="14">
        <v>2093.0</v>
      </c>
      <c r="T191" s="14">
        <v>4.0</v>
      </c>
      <c r="U191" s="14">
        <v>2100.0</v>
      </c>
      <c r="V191" s="14">
        <v>7.0</v>
      </c>
      <c r="W191" s="14">
        <v>2104.0</v>
      </c>
      <c r="X191" s="14">
        <v>4.0</v>
      </c>
      <c r="Y191" s="14">
        <v>2114.0</v>
      </c>
      <c r="Z191" s="14">
        <v>10.0</v>
      </c>
      <c r="AA191" s="14">
        <v>2123.0</v>
      </c>
      <c r="AB191" s="14">
        <v>9.0</v>
      </c>
      <c r="AC191" s="14">
        <v>9.0</v>
      </c>
      <c r="AD191" s="14">
        <v>0.0</v>
      </c>
      <c r="AE191" s="14">
        <v>0.0</v>
      </c>
      <c r="AG191" s="14">
        <v>3.0</v>
      </c>
      <c r="AH191" s="14">
        <v>0.0</v>
      </c>
      <c r="AI191" s="14">
        <v>12.0</v>
      </c>
    </row>
    <row r="192" ht="15.75" customHeight="1">
      <c r="A192" s="14">
        <v>194.0</v>
      </c>
      <c r="B192" s="14" t="s">
        <v>612</v>
      </c>
      <c r="C192" s="14" t="s">
        <v>115</v>
      </c>
      <c r="D192" s="14">
        <v>2.0</v>
      </c>
      <c r="E192" s="14">
        <v>2142.0</v>
      </c>
      <c r="F192" s="14">
        <v>14.0</v>
      </c>
      <c r="G192" s="14">
        <v>2156.0</v>
      </c>
      <c r="H192" s="14">
        <v>13.0</v>
      </c>
      <c r="I192" s="14">
        <v>2169.0</v>
      </c>
      <c r="J192" s="14">
        <v>12.0</v>
      </c>
      <c r="K192" s="14">
        <v>2181.0</v>
      </c>
      <c r="L192" s="14">
        <v>14.0</v>
      </c>
      <c r="M192" s="14">
        <v>2195.0</v>
      </c>
      <c r="N192" s="14">
        <v>11.0</v>
      </c>
      <c r="O192" s="14">
        <v>2206.0</v>
      </c>
      <c r="P192" s="14">
        <v>10.0</v>
      </c>
      <c r="Q192" s="14">
        <v>2216.0</v>
      </c>
      <c r="R192" s="14">
        <v>10.0</v>
      </c>
      <c r="S192" s="14">
        <v>2227.0</v>
      </c>
      <c r="T192" s="14">
        <v>11.0</v>
      </c>
      <c r="U192" s="14">
        <v>2236.0</v>
      </c>
      <c r="V192" s="14">
        <v>9.0</v>
      </c>
      <c r="W192" s="14">
        <v>2250.0</v>
      </c>
      <c r="X192" s="14">
        <v>14.0</v>
      </c>
      <c r="Y192" s="14">
        <v>2259.0</v>
      </c>
      <c r="Z192" s="14">
        <v>9.0</v>
      </c>
      <c r="AA192" s="14">
        <v>2268.0</v>
      </c>
      <c r="AB192" s="14">
        <v>9.0</v>
      </c>
      <c r="AC192" s="14">
        <v>9.0</v>
      </c>
      <c r="AD192" s="14">
        <v>0.0</v>
      </c>
      <c r="AE192" s="14">
        <v>0.0</v>
      </c>
      <c r="AG192" s="14">
        <v>3.0</v>
      </c>
      <c r="AH192" s="14">
        <v>0.0</v>
      </c>
      <c r="AI192" s="14">
        <v>12.0</v>
      </c>
    </row>
    <row r="193" ht="15.75" customHeight="1">
      <c r="A193" s="14">
        <v>195.0</v>
      </c>
      <c r="B193" s="14" t="s">
        <v>614</v>
      </c>
      <c r="C193" s="14" t="s">
        <v>115</v>
      </c>
      <c r="D193" s="14">
        <v>3.0</v>
      </c>
      <c r="E193" s="14">
        <v>3004.0</v>
      </c>
      <c r="F193" s="14">
        <v>4.0</v>
      </c>
      <c r="G193" s="14">
        <v>3008.0</v>
      </c>
      <c r="H193" s="14">
        <v>3.0</v>
      </c>
      <c r="I193" s="14">
        <v>3011.0</v>
      </c>
      <c r="J193" s="14">
        <v>4.0</v>
      </c>
      <c r="K193" s="14">
        <v>3015.0</v>
      </c>
      <c r="L193" s="14">
        <v>3.0</v>
      </c>
      <c r="M193" s="14">
        <v>3018.0</v>
      </c>
      <c r="N193" s="14">
        <v>6.0</v>
      </c>
      <c r="O193" s="14">
        <v>3024.0</v>
      </c>
      <c r="P193" s="14">
        <v>1.0</v>
      </c>
      <c r="Q193" s="14">
        <v>3025.0</v>
      </c>
      <c r="R193" s="14">
        <v>1.0</v>
      </c>
      <c r="S193" s="14">
        <v>0.0</v>
      </c>
      <c r="T193" s="14">
        <v>2.0</v>
      </c>
      <c r="U193" s="14">
        <v>2.0</v>
      </c>
      <c r="V193" s="14">
        <v>2.0</v>
      </c>
      <c r="W193" s="14">
        <v>9.0</v>
      </c>
      <c r="X193" s="14">
        <v>7.0</v>
      </c>
      <c r="Y193" s="14">
        <v>13.0</v>
      </c>
      <c r="Z193" s="14">
        <v>4.0</v>
      </c>
      <c r="AA193" s="14">
        <v>22.0</v>
      </c>
      <c r="AB193" s="14">
        <v>9.0</v>
      </c>
      <c r="AC193" s="14">
        <v>9.0</v>
      </c>
      <c r="AD193" s="14">
        <v>0.0</v>
      </c>
      <c r="AE193" s="14">
        <v>0.0</v>
      </c>
      <c r="AG193" s="14">
        <v>3.0</v>
      </c>
      <c r="AH193" s="14">
        <v>0.0</v>
      </c>
      <c r="AI193" s="14">
        <v>12.0</v>
      </c>
    </row>
    <row r="194" ht="15.75" customHeight="1">
      <c r="A194" s="14">
        <v>196.0</v>
      </c>
      <c r="B194" s="14" t="s">
        <v>615</v>
      </c>
      <c r="C194" s="14" t="s">
        <v>115</v>
      </c>
      <c r="D194" s="14">
        <v>4.0</v>
      </c>
      <c r="E194" s="14">
        <v>2761.0</v>
      </c>
      <c r="F194" s="14">
        <v>22.0</v>
      </c>
      <c r="G194" s="14">
        <v>2783.0</v>
      </c>
      <c r="H194" s="14">
        <v>26.0</v>
      </c>
      <c r="I194" s="14">
        <v>2809.0</v>
      </c>
      <c r="J194" s="14">
        <v>27.0</v>
      </c>
      <c r="K194" s="14">
        <v>2836.0</v>
      </c>
      <c r="L194" s="14">
        <v>27.0</v>
      </c>
      <c r="M194" s="14">
        <v>2863.0</v>
      </c>
      <c r="N194" s="14">
        <v>22.0</v>
      </c>
      <c r="O194" s="14">
        <v>2885.0</v>
      </c>
      <c r="P194" s="14">
        <v>25.0</v>
      </c>
      <c r="Q194" s="14">
        <v>2910.0</v>
      </c>
      <c r="R194" s="14">
        <v>25.0</v>
      </c>
      <c r="S194" s="14">
        <v>2934.0</v>
      </c>
      <c r="T194" s="14">
        <v>24.0</v>
      </c>
      <c r="U194" s="14">
        <v>2962.0</v>
      </c>
      <c r="V194" s="14">
        <v>28.0</v>
      </c>
      <c r="W194" s="14">
        <v>2989.0</v>
      </c>
      <c r="X194" s="14">
        <v>27.0</v>
      </c>
      <c r="Y194" s="14">
        <v>3016.0</v>
      </c>
      <c r="Z194" s="14">
        <v>27.0</v>
      </c>
      <c r="AA194" s="14">
        <v>3041.0</v>
      </c>
      <c r="AB194" s="14">
        <v>25.0</v>
      </c>
      <c r="AC194" s="14">
        <v>25.0</v>
      </c>
      <c r="AD194" s="14">
        <v>0.0</v>
      </c>
      <c r="AE194" s="14">
        <v>0.0</v>
      </c>
      <c r="AG194" s="14">
        <v>3.0</v>
      </c>
      <c r="AH194" s="14">
        <v>0.0</v>
      </c>
      <c r="AI194" s="14">
        <v>28.0</v>
      </c>
    </row>
    <row r="195" ht="15.75" customHeight="1">
      <c r="A195" s="14">
        <v>197.0</v>
      </c>
      <c r="B195" s="14" t="s">
        <v>617</v>
      </c>
      <c r="C195" s="14" t="s">
        <v>115</v>
      </c>
      <c r="D195" s="14">
        <v>6.0</v>
      </c>
      <c r="E195" s="14">
        <v>3164.0</v>
      </c>
      <c r="F195" s="14">
        <v>22.0</v>
      </c>
      <c r="G195" s="14">
        <v>3186.0</v>
      </c>
      <c r="H195" s="14">
        <v>26.0</v>
      </c>
      <c r="I195" s="14">
        <v>3212.0</v>
      </c>
      <c r="J195" s="14">
        <v>23.0</v>
      </c>
      <c r="K195" s="14">
        <v>3235.0</v>
      </c>
      <c r="L195" s="14">
        <v>22.0</v>
      </c>
      <c r="M195" s="14">
        <v>3257.0</v>
      </c>
      <c r="N195" s="14">
        <v>25.0</v>
      </c>
      <c r="O195" s="14">
        <v>3282.0</v>
      </c>
      <c r="P195" s="14">
        <v>19.0</v>
      </c>
      <c r="Q195" s="14">
        <v>3301.0</v>
      </c>
      <c r="R195" s="14">
        <v>19.0</v>
      </c>
      <c r="S195" s="14">
        <v>3321.0</v>
      </c>
      <c r="T195" s="14">
        <v>20.0</v>
      </c>
      <c r="U195" s="14">
        <v>3338.0</v>
      </c>
      <c r="V195" s="14">
        <v>17.0</v>
      </c>
      <c r="W195" s="14">
        <v>3354.0</v>
      </c>
      <c r="X195" s="14">
        <v>16.0</v>
      </c>
      <c r="Y195" s="14">
        <v>3371.0</v>
      </c>
      <c r="Z195" s="14">
        <v>17.0</v>
      </c>
      <c r="AA195" s="14">
        <v>3388.0</v>
      </c>
      <c r="AB195" s="14">
        <v>17.0</v>
      </c>
      <c r="AC195" s="14">
        <v>17.0</v>
      </c>
      <c r="AD195" s="14">
        <v>0.0</v>
      </c>
      <c r="AE195" s="14">
        <v>0.0</v>
      </c>
      <c r="AG195" s="14">
        <v>3.0</v>
      </c>
      <c r="AH195" s="14">
        <v>0.0</v>
      </c>
      <c r="AI195" s="14">
        <v>20.0</v>
      </c>
    </row>
    <row r="196" ht="15.75" customHeight="1">
      <c r="A196" s="14">
        <v>198.0</v>
      </c>
      <c r="B196" s="14" t="s">
        <v>618</v>
      </c>
      <c r="C196" s="14" t="s">
        <v>115</v>
      </c>
      <c r="D196" s="14">
        <v>7.0</v>
      </c>
      <c r="E196" s="14">
        <v>1743.0</v>
      </c>
      <c r="F196" s="14">
        <v>10.0</v>
      </c>
      <c r="G196" s="14">
        <v>1753.0</v>
      </c>
      <c r="H196" s="14">
        <v>1.0</v>
      </c>
      <c r="I196" s="14">
        <v>1754.0</v>
      </c>
      <c r="J196" s="14">
        <v>5.0</v>
      </c>
      <c r="K196" s="14">
        <v>1759.0</v>
      </c>
      <c r="L196" s="14">
        <v>14.0</v>
      </c>
      <c r="M196" s="14">
        <v>1773.0</v>
      </c>
      <c r="N196" s="14">
        <v>21.0</v>
      </c>
      <c r="O196" s="14">
        <v>1794.0</v>
      </c>
      <c r="P196" s="14">
        <v>17.0</v>
      </c>
      <c r="Q196" s="14">
        <v>1811.0</v>
      </c>
      <c r="R196" s="14">
        <v>17.0</v>
      </c>
      <c r="S196" s="14">
        <v>1832.0</v>
      </c>
      <c r="T196" s="14">
        <v>21.0</v>
      </c>
      <c r="U196" s="14">
        <v>1846.0</v>
      </c>
      <c r="V196" s="14">
        <v>14.0</v>
      </c>
      <c r="W196" s="14">
        <v>1858.0</v>
      </c>
      <c r="X196" s="14">
        <v>12.0</v>
      </c>
      <c r="Y196" s="14">
        <v>1867.0</v>
      </c>
      <c r="Z196" s="14">
        <v>9.0</v>
      </c>
      <c r="AA196" s="14">
        <v>1878.0</v>
      </c>
      <c r="AB196" s="14">
        <v>11.0</v>
      </c>
      <c r="AC196" s="14">
        <v>11.0</v>
      </c>
      <c r="AD196" s="14">
        <v>0.0</v>
      </c>
      <c r="AE196" s="14">
        <v>0.0</v>
      </c>
      <c r="AG196" s="14">
        <v>3.0</v>
      </c>
      <c r="AH196" s="14">
        <v>0.0</v>
      </c>
      <c r="AI196" s="14">
        <v>14.0</v>
      </c>
    </row>
    <row r="197" ht="15.75" customHeight="1">
      <c r="A197" s="14">
        <v>199.0</v>
      </c>
      <c r="B197" s="14" t="s">
        <v>620</v>
      </c>
      <c r="C197" s="14" t="s">
        <v>115</v>
      </c>
      <c r="D197" s="14">
        <v>8.0</v>
      </c>
      <c r="E197" s="14">
        <v>1167.0</v>
      </c>
      <c r="F197" s="14">
        <v>6.0</v>
      </c>
      <c r="G197" s="14">
        <v>1173.0</v>
      </c>
      <c r="H197" s="14">
        <v>8.0</v>
      </c>
      <c r="I197" s="14">
        <v>1181.0</v>
      </c>
      <c r="J197" s="14">
        <v>4.0</v>
      </c>
      <c r="K197" s="14">
        <v>1185.0</v>
      </c>
      <c r="L197" s="14">
        <v>4.0</v>
      </c>
      <c r="M197" s="14">
        <v>1189.0</v>
      </c>
      <c r="N197" s="14">
        <v>2.0</v>
      </c>
      <c r="O197" s="14">
        <v>1191.0</v>
      </c>
      <c r="P197" s="14">
        <v>2.0</v>
      </c>
      <c r="Q197" s="14">
        <v>1193.0</v>
      </c>
      <c r="R197" s="14">
        <v>2.0</v>
      </c>
      <c r="S197" s="14">
        <v>1194.0</v>
      </c>
      <c r="T197" s="14">
        <v>1.0</v>
      </c>
      <c r="U197" s="14">
        <v>1196.0</v>
      </c>
      <c r="V197" s="14">
        <v>2.0</v>
      </c>
      <c r="W197" s="14">
        <v>1199.0</v>
      </c>
      <c r="X197" s="14">
        <v>3.0</v>
      </c>
      <c r="Y197" s="14">
        <v>1205.0</v>
      </c>
      <c r="Z197" s="14">
        <v>6.0</v>
      </c>
      <c r="AA197" s="14">
        <v>1210.0</v>
      </c>
      <c r="AB197" s="14">
        <v>5.0</v>
      </c>
      <c r="AC197" s="14">
        <v>5.0</v>
      </c>
      <c r="AD197" s="14">
        <v>0.0</v>
      </c>
      <c r="AE197" s="14">
        <v>0.0</v>
      </c>
      <c r="AG197" s="14">
        <v>3.0</v>
      </c>
      <c r="AH197" s="14">
        <v>0.0</v>
      </c>
      <c r="AI197" s="14">
        <v>8.0</v>
      </c>
    </row>
    <row r="198" ht="15.75" customHeight="1">
      <c r="A198" s="14">
        <v>200.0</v>
      </c>
      <c r="B198" s="14" t="s">
        <v>623</v>
      </c>
      <c r="C198" s="14" t="s">
        <v>115</v>
      </c>
      <c r="D198" s="14">
        <v>9.0</v>
      </c>
      <c r="E198" s="14">
        <v>1403.0</v>
      </c>
      <c r="F198" s="14">
        <v>10.0</v>
      </c>
      <c r="G198" s="14">
        <v>1413.0</v>
      </c>
      <c r="H198" s="14">
        <v>16.0</v>
      </c>
      <c r="I198" s="14">
        <v>1429.0</v>
      </c>
      <c r="J198" s="14">
        <v>12.0</v>
      </c>
      <c r="K198" s="14">
        <v>1441.0</v>
      </c>
      <c r="L198" s="14">
        <v>12.0</v>
      </c>
      <c r="M198" s="14">
        <v>1453.0</v>
      </c>
      <c r="N198" s="14">
        <v>10.0</v>
      </c>
      <c r="O198" s="14">
        <v>1463.0</v>
      </c>
      <c r="P198" s="14">
        <v>8.0</v>
      </c>
      <c r="Q198" s="14">
        <v>1471.0</v>
      </c>
      <c r="R198" s="14">
        <v>8.0</v>
      </c>
      <c r="S198" s="14">
        <v>1479.0</v>
      </c>
      <c r="T198" s="14">
        <v>8.0</v>
      </c>
      <c r="U198" s="14">
        <v>1485.0</v>
      </c>
      <c r="V198" s="14">
        <v>6.0</v>
      </c>
      <c r="W198" s="14">
        <v>1491.0</v>
      </c>
      <c r="X198" s="14">
        <v>6.0</v>
      </c>
      <c r="Y198" s="14">
        <v>1499.0</v>
      </c>
      <c r="Z198" s="14">
        <v>8.0</v>
      </c>
      <c r="AA198" s="14">
        <v>1508.0</v>
      </c>
      <c r="AB198" s="14">
        <v>9.0</v>
      </c>
      <c r="AC198" s="14">
        <v>9.0</v>
      </c>
      <c r="AD198" s="14">
        <v>0.0</v>
      </c>
      <c r="AE198" s="14">
        <v>0.0</v>
      </c>
      <c r="AG198" s="14">
        <v>3.0</v>
      </c>
      <c r="AH198" s="14">
        <v>0.0</v>
      </c>
      <c r="AI198" s="14">
        <v>12.0</v>
      </c>
    </row>
    <row r="199" ht="15.75" customHeight="1">
      <c r="A199" s="14">
        <v>201.0</v>
      </c>
      <c r="B199" s="14" t="s">
        <v>625</v>
      </c>
      <c r="C199" s="14" t="s">
        <v>115</v>
      </c>
      <c r="D199" s="14">
        <v>10.0</v>
      </c>
      <c r="E199" s="14">
        <v>2366.0</v>
      </c>
      <c r="F199" s="14">
        <v>10.0</v>
      </c>
      <c r="G199" s="14">
        <v>2376.0</v>
      </c>
      <c r="H199" s="14">
        <v>14.0</v>
      </c>
      <c r="I199" s="14">
        <v>2390.0</v>
      </c>
      <c r="J199" s="14">
        <v>11.0</v>
      </c>
      <c r="K199" s="14">
        <v>2401.0</v>
      </c>
      <c r="L199" s="14">
        <v>16.0</v>
      </c>
      <c r="M199" s="14">
        <v>2417.0</v>
      </c>
      <c r="N199" s="14">
        <v>10.0</v>
      </c>
      <c r="O199" s="14">
        <v>2427.0</v>
      </c>
      <c r="P199" s="14">
        <v>10.0</v>
      </c>
      <c r="Q199" s="14">
        <v>2437.0</v>
      </c>
      <c r="R199" s="14">
        <v>10.0</v>
      </c>
      <c r="S199" s="14">
        <v>2445.0</v>
      </c>
      <c r="T199" s="14">
        <v>8.0</v>
      </c>
      <c r="U199" s="14">
        <v>2453.0</v>
      </c>
      <c r="V199" s="14">
        <v>8.0</v>
      </c>
      <c r="W199" s="14">
        <v>2457.0</v>
      </c>
      <c r="X199" s="14">
        <v>4.0</v>
      </c>
      <c r="Y199" s="14">
        <v>2462.0</v>
      </c>
      <c r="Z199" s="14">
        <v>5.0</v>
      </c>
      <c r="AA199" s="14">
        <v>2469.0</v>
      </c>
      <c r="AB199" s="14">
        <v>7.0</v>
      </c>
      <c r="AC199" s="14">
        <v>7.0</v>
      </c>
      <c r="AD199" s="14">
        <v>0.0</v>
      </c>
      <c r="AE199" s="14">
        <v>0.0</v>
      </c>
      <c r="AG199" s="14">
        <v>3.0</v>
      </c>
      <c r="AH199" s="14">
        <v>0.0</v>
      </c>
      <c r="AI199" s="14">
        <v>10.0</v>
      </c>
    </row>
    <row r="200" ht="15.75" customHeight="1">
      <c r="A200" s="14">
        <v>202.0</v>
      </c>
      <c r="B200" s="14" t="s">
        <v>628</v>
      </c>
      <c r="C200" s="14" t="s">
        <v>115</v>
      </c>
      <c r="D200" s="14">
        <v>11.0</v>
      </c>
      <c r="E200" s="14">
        <v>662.0</v>
      </c>
      <c r="F200" s="14">
        <v>20.0</v>
      </c>
      <c r="G200" s="14">
        <v>682.0</v>
      </c>
      <c r="H200" s="14">
        <v>21.0</v>
      </c>
      <c r="I200" s="14">
        <v>703.0</v>
      </c>
      <c r="J200" s="14">
        <v>18.0</v>
      </c>
      <c r="K200" s="14">
        <v>721.0</v>
      </c>
      <c r="L200" s="14">
        <v>18.0</v>
      </c>
      <c r="M200" s="14">
        <v>739.0</v>
      </c>
      <c r="N200" s="14">
        <v>17.0</v>
      </c>
      <c r="O200" s="14">
        <v>756.0</v>
      </c>
      <c r="P200" s="14">
        <v>15.0</v>
      </c>
      <c r="Q200" s="14">
        <v>771.0</v>
      </c>
      <c r="R200" s="14">
        <v>15.0</v>
      </c>
      <c r="S200" s="14">
        <v>784.0</v>
      </c>
      <c r="T200" s="14">
        <v>13.0</v>
      </c>
      <c r="U200" s="14">
        <v>797.0</v>
      </c>
      <c r="V200" s="14">
        <v>13.0</v>
      </c>
      <c r="W200" s="14">
        <v>810.0</v>
      </c>
      <c r="X200" s="14">
        <v>13.0</v>
      </c>
      <c r="Y200" s="14">
        <v>822.0</v>
      </c>
      <c r="Z200" s="14">
        <v>12.0</v>
      </c>
      <c r="AA200" s="14">
        <v>836.0</v>
      </c>
      <c r="AB200" s="14">
        <v>14.0</v>
      </c>
      <c r="AC200" s="14">
        <v>14.0</v>
      </c>
      <c r="AD200" s="14">
        <v>15.0</v>
      </c>
      <c r="AE200" s="14">
        <v>0.0</v>
      </c>
      <c r="AG200" s="14">
        <v>3.0</v>
      </c>
      <c r="AH200" s="14">
        <v>0.0</v>
      </c>
      <c r="AI200" s="14">
        <v>32.0</v>
      </c>
    </row>
    <row r="201" ht="15.75" customHeight="1">
      <c r="A201" s="14">
        <v>203.0</v>
      </c>
      <c r="B201" s="14" t="s">
        <v>632</v>
      </c>
      <c r="C201" s="14" t="s">
        <v>115</v>
      </c>
      <c r="D201" s="14">
        <v>12.0</v>
      </c>
      <c r="E201" s="14">
        <v>4239.0</v>
      </c>
      <c r="F201" s="14">
        <v>45.0</v>
      </c>
      <c r="G201" s="14">
        <v>4284.0</v>
      </c>
      <c r="H201" s="14">
        <v>40.0</v>
      </c>
      <c r="I201" s="14">
        <v>4324.0</v>
      </c>
      <c r="J201" s="14">
        <v>35.0</v>
      </c>
      <c r="K201" s="14">
        <v>4359.0</v>
      </c>
      <c r="L201" s="14">
        <v>34.0</v>
      </c>
      <c r="M201" s="14">
        <v>4393.0</v>
      </c>
      <c r="N201" s="14">
        <v>31.0</v>
      </c>
      <c r="O201" s="14">
        <v>4424.0</v>
      </c>
      <c r="P201" s="14">
        <v>26.0</v>
      </c>
      <c r="Q201" s="14">
        <v>4450.0</v>
      </c>
      <c r="R201" s="14">
        <v>26.0</v>
      </c>
      <c r="S201" s="14">
        <v>0.0</v>
      </c>
      <c r="T201" s="14">
        <v>25.0</v>
      </c>
      <c r="U201" s="14">
        <v>22.0</v>
      </c>
      <c r="V201" s="14">
        <v>22.0</v>
      </c>
      <c r="W201" s="14">
        <v>50.0</v>
      </c>
      <c r="X201" s="14">
        <v>28.0</v>
      </c>
      <c r="Y201" s="14">
        <v>83.0</v>
      </c>
      <c r="Z201" s="14">
        <v>33.0</v>
      </c>
      <c r="AA201" s="14">
        <v>118.0</v>
      </c>
      <c r="AB201" s="14">
        <v>35.0</v>
      </c>
      <c r="AC201" s="14">
        <v>35.0</v>
      </c>
      <c r="AD201" s="14">
        <v>36.0</v>
      </c>
      <c r="AE201" s="14">
        <v>0.0</v>
      </c>
      <c r="AG201" s="14">
        <v>3.0</v>
      </c>
      <c r="AH201" s="14">
        <v>0.0</v>
      </c>
      <c r="AI201" s="14">
        <v>74.0</v>
      </c>
    </row>
    <row r="202" ht="15.75" customHeight="1">
      <c r="A202" s="14">
        <v>204.0</v>
      </c>
      <c r="B202" s="14" t="s">
        <v>635</v>
      </c>
      <c r="C202" s="14" t="s">
        <v>115</v>
      </c>
      <c r="D202" s="14">
        <v>13.0</v>
      </c>
      <c r="E202" s="14">
        <v>1085.0</v>
      </c>
      <c r="F202" s="14">
        <v>14.0</v>
      </c>
      <c r="G202" s="14">
        <v>1099.0</v>
      </c>
      <c r="H202" s="14">
        <v>15.0</v>
      </c>
      <c r="I202" s="14">
        <v>1114.0</v>
      </c>
      <c r="J202" s="14">
        <v>12.0</v>
      </c>
      <c r="K202" s="14">
        <v>1126.0</v>
      </c>
      <c r="L202" s="14">
        <v>7.0</v>
      </c>
      <c r="M202" s="14">
        <v>1133.0</v>
      </c>
      <c r="N202" s="14">
        <v>5.0</v>
      </c>
      <c r="O202" s="14">
        <v>1138.0</v>
      </c>
      <c r="P202" s="14">
        <v>8.0</v>
      </c>
      <c r="Q202" s="14">
        <v>1146.0</v>
      </c>
      <c r="R202" s="14">
        <v>8.0</v>
      </c>
      <c r="S202" s="14">
        <v>1154.0</v>
      </c>
      <c r="T202" s="14">
        <v>8.0</v>
      </c>
      <c r="U202" s="14">
        <v>1162.0</v>
      </c>
      <c r="V202" s="14">
        <v>8.0</v>
      </c>
      <c r="W202" s="14">
        <v>1168.0</v>
      </c>
      <c r="X202" s="14">
        <v>6.0</v>
      </c>
      <c r="Y202" s="14">
        <v>1176.0</v>
      </c>
      <c r="Z202" s="14">
        <v>8.0</v>
      </c>
      <c r="AA202" s="14">
        <v>1184.0</v>
      </c>
      <c r="AB202" s="14">
        <v>8.0</v>
      </c>
      <c r="AC202" s="14">
        <v>8.0</v>
      </c>
      <c r="AD202" s="14">
        <v>0.0</v>
      </c>
      <c r="AE202" s="14">
        <v>0.0</v>
      </c>
      <c r="AG202" s="14">
        <v>3.0</v>
      </c>
      <c r="AH202" s="14">
        <v>0.0</v>
      </c>
      <c r="AI202" s="14">
        <v>11.0</v>
      </c>
    </row>
    <row r="203" ht="15.75" customHeight="1">
      <c r="A203" s="14">
        <v>205.0</v>
      </c>
      <c r="B203" s="14" t="s">
        <v>637</v>
      </c>
      <c r="C203" s="14" t="s">
        <v>115</v>
      </c>
      <c r="D203" s="14">
        <v>14.0</v>
      </c>
      <c r="E203" s="14">
        <v>829.0</v>
      </c>
      <c r="F203" s="14">
        <v>22.0</v>
      </c>
      <c r="G203" s="14">
        <v>851.0</v>
      </c>
      <c r="H203" s="14">
        <v>17.0</v>
      </c>
      <c r="I203" s="14">
        <v>868.0</v>
      </c>
      <c r="J203" s="14">
        <v>18.0</v>
      </c>
      <c r="K203" s="14">
        <v>886.0</v>
      </c>
      <c r="L203" s="14">
        <v>29.0</v>
      </c>
      <c r="M203" s="14">
        <v>915.0</v>
      </c>
      <c r="N203" s="14">
        <v>12.0</v>
      </c>
      <c r="O203" s="14">
        <v>927.0</v>
      </c>
      <c r="P203" s="14">
        <v>18.0</v>
      </c>
      <c r="Q203" s="14">
        <v>945.0</v>
      </c>
      <c r="R203" s="14">
        <v>18.0</v>
      </c>
      <c r="S203" s="14">
        <v>963.0</v>
      </c>
      <c r="T203" s="14">
        <v>18.0</v>
      </c>
      <c r="U203" s="14">
        <v>983.0</v>
      </c>
      <c r="V203" s="14">
        <v>20.0</v>
      </c>
      <c r="W203" s="14">
        <v>1033.0</v>
      </c>
      <c r="X203" s="14">
        <v>50.0</v>
      </c>
      <c r="Y203" s="14">
        <v>0.0</v>
      </c>
      <c r="Z203" s="14">
        <v>0.0</v>
      </c>
      <c r="AA203" s="14">
        <v>19.0</v>
      </c>
      <c r="AB203" s="14">
        <v>19.0</v>
      </c>
      <c r="AC203" s="14">
        <v>19.0</v>
      </c>
      <c r="AD203" s="14">
        <v>0.0</v>
      </c>
      <c r="AE203" s="14">
        <v>0.0</v>
      </c>
      <c r="AF203" s="14">
        <v>65.0</v>
      </c>
      <c r="AG203" s="14">
        <v>3.0</v>
      </c>
      <c r="AH203" s="14">
        <v>0.0</v>
      </c>
      <c r="AI203" s="14">
        <v>87.0</v>
      </c>
    </row>
    <row r="204" ht="15.75" customHeight="1">
      <c r="A204" s="14">
        <v>206.0</v>
      </c>
      <c r="B204" s="14" t="s">
        <v>639</v>
      </c>
      <c r="C204" s="14" t="s">
        <v>115</v>
      </c>
      <c r="D204" s="14">
        <v>15.0</v>
      </c>
      <c r="E204" s="14">
        <v>1661.0</v>
      </c>
      <c r="F204" s="14">
        <v>18.0</v>
      </c>
      <c r="G204" s="14">
        <v>1679.0</v>
      </c>
      <c r="H204" s="14">
        <v>25.0</v>
      </c>
      <c r="I204" s="14">
        <v>1704.0</v>
      </c>
      <c r="J204" s="14">
        <v>22.0</v>
      </c>
      <c r="K204" s="14">
        <v>1726.0</v>
      </c>
      <c r="L204" s="14">
        <v>18.0</v>
      </c>
      <c r="M204" s="14">
        <v>1744.0</v>
      </c>
      <c r="N204" s="14">
        <v>16.0</v>
      </c>
      <c r="O204" s="14">
        <v>1760.0</v>
      </c>
      <c r="P204" s="14">
        <v>13.0</v>
      </c>
      <c r="Q204" s="14">
        <v>1773.0</v>
      </c>
      <c r="R204" s="14">
        <v>13.0</v>
      </c>
      <c r="S204" s="14">
        <v>0.0</v>
      </c>
      <c r="T204" s="14">
        <v>27.0</v>
      </c>
      <c r="U204" s="14">
        <v>15.0</v>
      </c>
      <c r="V204" s="14">
        <v>15.0</v>
      </c>
      <c r="W204" s="14">
        <v>35.0</v>
      </c>
      <c r="X204" s="14">
        <v>20.0</v>
      </c>
      <c r="Y204" s="14">
        <v>48.0</v>
      </c>
      <c r="Z204" s="14">
        <v>13.0</v>
      </c>
      <c r="AA204" s="14">
        <v>68.0</v>
      </c>
      <c r="AB204" s="14">
        <v>20.0</v>
      </c>
      <c r="AC204" s="14">
        <v>20.0</v>
      </c>
      <c r="AD204" s="14">
        <v>0.0</v>
      </c>
      <c r="AE204" s="14">
        <v>0.0</v>
      </c>
      <c r="AG204" s="14">
        <v>3.0</v>
      </c>
      <c r="AH204" s="14">
        <v>0.0</v>
      </c>
      <c r="AI204" s="14">
        <v>23.0</v>
      </c>
    </row>
    <row r="205" ht="15.75" customHeight="1">
      <c r="A205" s="14">
        <v>207.0</v>
      </c>
      <c r="B205" s="14" t="s">
        <v>644</v>
      </c>
      <c r="C205" s="14" t="s">
        <v>115</v>
      </c>
      <c r="D205" s="14">
        <v>17.0</v>
      </c>
      <c r="E205" s="14">
        <v>2033.0</v>
      </c>
      <c r="F205" s="14">
        <v>11.0</v>
      </c>
      <c r="G205" s="14">
        <v>2044.0</v>
      </c>
      <c r="H205" s="14">
        <v>12.0</v>
      </c>
      <c r="I205" s="14">
        <v>2056.0</v>
      </c>
      <c r="J205" s="14">
        <v>11.0</v>
      </c>
      <c r="K205" s="14">
        <v>2067.0</v>
      </c>
      <c r="L205" s="14">
        <v>12.0</v>
      </c>
      <c r="M205" s="14">
        <v>2079.0</v>
      </c>
      <c r="N205" s="14">
        <v>11.0</v>
      </c>
      <c r="O205" s="14">
        <v>2090.0</v>
      </c>
      <c r="P205" s="14">
        <v>10.0</v>
      </c>
      <c r="Q205" s="14">
        <v>2100.0</v>
      </c>
      <c r="R205" s="14">
        <v>10.0</v>
      </c>
      <c r="S205" s="14">
        <v>2109.0</v>
      </c>
      <c r="T205" s="14">
        <v>9.0</v>
      </c>
      <c r="U205" s="14">
        <v>2118.0</v>
      </c>
      <c r="V205" s="14">
        <v>9.0</v>
      </c>
      <c r="W205" s="14">
        <v>2129.0</v>
      </c>
      <c r="X205" s="14">
        <v>11.0</v>
      </c>
      <c r="Y205" s="14">
        <v>2141.0</v>
      </c>
      <c r="Z205" s="14">
        <v>12.0</v>
      </c>
      <c r="AA205" s="14">
        <v>2152.0</v>
      </c>
      <c r="AB205" s="14">
        <v>11.0</v>
      </c>
      <c r="AC205" s="14">
        <v>11.0</v>
      </c>
      <c r="AD205" s="14">
        <v>0.0</v>
      </c>
      <c r="AE205" s="14">
        <v>0.0</v>
      </c>
      <c r="AG205" s="14">
        <v>3.0</v>
      </c>
      <c r="AH205" s="14">
        <v>0.0</v>
      </c>
      <c r="AI205" s="14">
        <v>14.0</v>
      </c>
    </row>
    <row r="206" ht="15.75" customHeight="1">
      <c r="A206" s="14">
        <v>208.0</v>
      </c>
      <c r="B206" s="14" t="s">
        <v>647</v>
      </c>
      <c r="C206" s="14" t="s">
        <v>120</v>
      </c>
      <c r="D206" s="14">
        <v>1.0</v>
      </c>
      <c r="E206" s="14">
        <v>2499.0</v>
      </c>
      <c r="F206" s="14">
        <v>11.0</v>
      </c>
      <c r="G206" s="14">
        <v>2510.0</v>
      </c>
      <c r="H206" s="14">
        <v>8.0</v>
      </c>
      <c r="I206" s="14">
        <v>2518.0</v>
      </c>
      <c r="J206" s="14">
        <v>10.0</v>
      </c>
      <c r="K206" s="14">
        <v>2528.0</v>
      </c>
      <c r="L206" s="14">
        <v>8.0</v>
      </c>
      <c r="M206" s="14">
        <v>2536.0</v>
      </c>
      <c r="N206" s="14">
        <v>8.0</v>
      </c>
      <c r="O206" s="14">
        <v>2544.0</v>
      </c>
      <c r="P206" s="14">
        <v>7.0</v>
      </c>
      <c r="Q206" s="14">
        <v>2551.0</v>
      </c>
      <c r="R206" s="14">
        <v>7.0</v>
      </c>
      <c r="S206" s="14">
        <v>2558.0</v>
      </c>
      <c r="T206" s="14">
        <v>7.0</v>
      </c>
      <c r="U206" s="14">
        <v>2563.0</v>
      </c>
      <c r="V206" s="14">
        <v>5.0</v>
      </c>
      <c r="W206" s="14">
        <v>2570.0</v>
      </c>
      <c r="X206" s="14">
        <v>7.0</v>
      </c>
      <c r="Y206" s="14">
        <v>2581.0</v>
      </c>
      <c r="Z206" s="14">
        <v>11.0</v>
      </c>
      <c r="AA206" s="14">
        <v>2590.0</v>
      </c>
      <c r="AB206" s="14">
        <v>9.0</v>
      </c>
      <c r="AC206" s="14">
        <v>9.0</v>
      </c>
      <c r="AD206" s="14">
        <v>0.0</v>
      </c>
      <c r="AE206" s="14">
        <v>0.0</v>
      </c>
      <c r="AG206" s="14">
        <v>3.0</v>
      </c>
      <c r="AH206" s="14">
        <v>0.0</v>
      </c>
      <c r="AI206" s="14">
        <v>12.0</v>
      </c>
    </row>
    <row r="207" ht="15.75" customHeight="1">
      <c r="A207" s="14">
        <v>209.0</v>
      </c>
      <c r="B207" s="14" t="s">
        <v>650</v>
      </c>
      <c r="C207" s="14" t="s">
        <v>120</v>
      </c>
      <c r="D207" s="14">
        <v>2.0</v>
      </c>
      <c r="E207" s="14">
        <v>3774.0</v>
      </c>
      <c r="F207" s="14">
        <v>22.0</v>
      </c>
      <c r="G207" s="14">
        <v>3796.0</v>
      </c>
      <c r="H207" s="14">
        <v>26.0</v>
      </c>
      <c r="I207" s="14">
        <v>3822.0</v>
      </c>
      <c r="J207" s="14">
        <v>27.0</v>
      </c>
      <c r="K207" s="14">
        <v>3849.0</v>
      </c>
      <c r="L207" s="14">
        <v>23.0</v>
      </c>
      <c r="M207" s="14">
        <v>3872.0</v>
      </c>
      <c r="N207" s="14">
        <v>24.0</v>
      </c>
      <c r="O207" s="14">
        <v>3896.0</v>
      </c>
      <c r="P207" s="14">
        <v>22.0</v>
      </c>
      <c r="Q207" s="14">
        <v>3918.0</v>
      </c>
      <c r="R207" s="14">
        <v>22.0</v>
      </c>
      <c r="S207" s="14">
        <v>3937.0</v>
      </c>
      <c r="T207" s="14">
        <v>19.0</v>
      </c>
      <c r="U207" s="14">
        <v>3959.0</v>
      </c>
      <c r="V207" s="14">
        <v>22.0</v>
      </c>
      <c r="W207" s="14">
        <v>3979.0</v>
      </c>
      <c r="X207" s="14">
        <v>20.0</v>
      </c>
      <c r="Y207" s="14">
        <v>3996.0</v>
      </c>
      <c r="Z207" s="14">
        <v>17.0</v>
      </c>
      <c r="AA207" s="14">
        <v>4014.0</v>
      </c>
      <c r="AB207" s="14">
        <v>18.0</v>
      </c>
      <c r="AC207" s="14">
        <v>18.0</v>
      </c>
      <c r="AD207" s="14">
        <v>0.0</v>
      </c>
      <c r="AE207" s="14">
        <v>0.0</v>
      </c>
      <c r="AG207" s="14">
        <v>3.0</v>
      </c>
      <c r="AH207" s="14">
        <v>0.0</v>
      </c>
      <c r="AI207" s="14">
        <v>21.0</v>
      </c>
    </row>
    <row r="208" ht="15.75" customHeight="1">
      <c r="A208" s="14">
        <v>210.0</v>
      </c>
      <c r="B208" s="14" t="s">
        <v>652</v>
      </c>
      <c r="C208" s="14" t="s">
        <v>120</v>
      </c>
      <c r="D208" s="14">
        <v>3.0</v>
      </c>
      <c r="E208" s="14">
        <v>2835.0</v>
      </c>
      <c r="F208" s="14">
        <v>23.0</v>
      </c>
      <c r="G208" s="14">
        <v>2858.0</v>
      </c>
      <c r="H208" s="14">
        <v>22.0</v>
      </c>
      <c r="I208" s="14">
        <v>2880.0</v>
      </c>
      <c r="J208" s="14">
        <v>11.0</v>
      </c>
      <c r="K208" s="14">
        <v>2891.0</v>
      </c>
      <c r="L208" s="14">
        <v>10.0</v>
      </c>
      <c r="M208" s="14">
        <v>2901.0</v>
      </c>
      <c r="N208" s="14">
        <v>8.0</v>
      </c>
      <c r="O208" s="14">
        <v>2909.0</v>
      </c>
      <c r="P208" s="14">
        <v>11.0</v>
      </c>
      <c r="Q208" s="14">
        <v>2920.0</v>
      </c>
      <c r="R208" s="14">
        <v>11.0</v>
      </c>
      <c r="S208" s="14">
        <v>2927.0</v>
      </c>
      <c r="T208" s="14">
        <v>7.0</v>
      </c>
      <c r="U208" s="14">
        <v>2943.0</v>
      </c>
      <c r="V208" s="14">
        <v>16.0</v>
      </c>
      <c r="W208" s="14">
        <v>2953.0</v>
      </c>
      <c r="X208" s="14">
        <v>10.0</v>
      </c>
      <c r="Y208" s="14">
        <v>2975.0</v>
      </c>
      <c r="Z208" s="14">
        <v>22.0</v>
      </c>
      <c r="AA208" s="14">
        <v>2998.0</v>
      </c>
      <c r="AB208" s="14">
        <v>23.0</v>
      </c>
      <c r="AC208" s="14">
        <v>23.0</v>
      </c>
      <c r="AD208" s="14">
        <v>0.0</v>
      </c>
      <c r="AE208" s="14">
        <v>0.0</v>
      </c>
      <c r="AG208" s="14">
        <v>3.0</v>
      </c>
      <c r="AH208" s="14">
        <v>20.0</v>
      </c>
      <c r="AI208" s="14">
        <v>46.0</v>
      </c>
    </row>
    <row r="209" ht="15.75" customHeight="1">
      <c r="A209" s="14">
        <v>211.0</v>
      </c>
      <c r="B209" s="14" t="s">
        <v>654</v>
      </c>
      <c r="C209" s="14" t="s">
        <v>120</v>
      </c>
      <c r="D209" s="14">
        <v>4.0</v>
      </c>
      <c r="E209" s="14">
        <v>2273.0</v>
      </c>
      <c r="F209" s="14">
        <v>12.0</v>
      </c>
      <c r="G209" s="14">
        <v>2285.0</v>
      </c>
      <c r="H209" s="14">
        <v>12.0</v>
      </c>
      <c r="I209" s="14">
        <v>2297.0</v>
      </c>
      <c r="J209" s="14">
        <v>14.0</v>
      </c>
      <c r="K209" s="14">
        <v>2311.0</v>
      </c>
      <c r="L209" s="14">
        <v>11.0</v>
      </c>
      <c r="M209" s="14">
        <v>2322.0</v>
      </c>
      <c r="N209" s="14">
        <v>33.0</v>
      </c>
      <c r="O209" s="14">
        <v>2335.0</v>
      </c>
      <c r="P209" s="14">
        <v>9.0</v>
      </c>
      <c r="Q209" s="14">
        <v>2344.0</v>
      </c>
      <c r="R209" s="14">
        <v>9.0</v>
      </c>
      <c r="S209" s="14">
        <v>2353.0</v>
      </c>
      <c r="T209" s="14">
        <v>9.0</v>
      </c>
      <c r="U209" s="14">
        <v>2364.0</v>
      </c>
      <c r="V209" s="14">
        <v>11.0</v>
      </c>
      <c r="W209" s="14">
        <v>2376.0</v>
      </c>
      <c r="X209" s="14">
        <v>12.0</v>
      </c>
      <c r="Y209" s="14">
        <v>2386.0</v>
      </c>
      <c r="Z209" s="14">
        <v>10.0</v>
      </c>
      <c r="AA209" s="14">
        <v>2399.0</v>
      </c>
      <c r="AB209" s="14">
        <v>13.0</v>
      </c>
      <c r="AC209" s="14">
        <v>13.0</v>
      </c>
      <c r="AD209" s="14">
        <v>0.0</v>
      </c>
      <c r="AE209" s="14">
        <v>0.0</v>
      </c>
      <c r="AG209" s="14">
        <v>3.0</v>
      </c>
      <c r="AH209" s="14">
        <v>0.0</v>
      </c>
      <c r="AI209" s="14">
        <v>16.0</v>
      </c>
    </row>
    <row r="210" ht="15.75" customHeight="1">
      <c r="A210" s="14">
        <v>212.0</v>
      </c>
      <c r="B210" s="14" t="s">
        <v>656</v>
      </c>
      <c r="C210" s="14" t="s">
        <v>120</v>
      </c>
      <c r="D210" s="14">
        <v>5.0</v>
      </c>
      <c r="E210" s="14">
        <v>212.0</v>
      </c>
      <c r="F210" s="14">
        <v>7.0</v>
      </c>
      <c r="G210" s="14">
        <v>219.0</v>
      </c>
      <c r="H210" s="14">
        <v>7.0</v>
      </c>
      <c r="I210" s="14">
        <v>226.0</v>
      </c>
      <c r="J210" s="14">
        <v>7.0</v>
      </c>
      <c r="K210" s="14">
        <v>233.0</v>
      </c>
      <c r="L210" s="14">
        <v>7.0</v>
      </c>
      <c r="M210" s="14">
        <v>240.0</v>
      </c>
      <c r="N210" s="14">
        <v>5.0</v>
      </c>
      <c r="O210" s="14">
        <v>245.0</v>
      </c>
      <c r="P210" s="14">
        <v>5.0</v>
      </c>
      <c r="Q210" s="14">
        <v>250.0</v>
      </c>
      <c r="R210" s="14">
        <v>5.0</v>
      </c>
      <c r="S210" s="14">
        <v>252.0</v>
      </c>
      <c r="T210" s="14">
        <v>2.0</v>
      </c>
      <c r="U210" s="14">
        <v>256.0</v>
      </c>
      <c r="V210" s="14">
        <v>4.0</v>
      </c>
      <c r="W210" s="14">
        <v>261.0</v>
      </c>
      <c r="X210" s="14">
        <v>5.0</v>
      </c>
      <c r="Y210" s="14">
        <v>265.0</v>
      </c>
      <c r="Z210" s="14">
        <v>4.0</v>
      </c>
      <c r="AA210" s="14">
        <v>270.0</v>
      </c>
      <c r="AB210" s="14">
        <v>5.0</v>
      </c>
      <c r="AC210" s="14">
        <v>5.0</v>
      </c>
      <c r="AD210" s="14">
        <v>0.0</v>
      </c>
      <c r="AE210" s="14">
        <v>0.0</v>
      </c>
      <c r="AG210" s="14">
        <v>3.0</v>
      </c>
      <c r="AH210" s="14">
        <v>0.0</v>
      </c>
      <c r="AI210" s="14">
        <v>8.0</v>
      </c>
    </row>
    <row r="211" ht="15.75" customHeight="1">
      <c r="A211" s="14">
        <v>213.0</v>
      </c>
      <c r="B211" s="14" t="s">
        <v>660</v>
      </c>
      <c r="C211" s="14" t="s">
        <v>120</v>
      </c>
      <c r="D211" s="14">
        <v>6.0</v>
      </c>
      <c r="E211" s="14">
        <v>3442.0</v>
      </c>
      <c r="F211" s="14">
        <v>19.0</v>
      </c>
      <c r="G211" s="14">
        <v>3461.0</v>
      </c>
      <c r="H211" s="14">
        <v>11.0</v>
      </c>
      <c r="I211" s="14">
        <v>3472.0</v>
      </c>
      <c r="J211" s="14">
        <v>15.0</v>
      </c>
      <c r="K211" s="14">
        <v>3487.0</v>
      </c>
      <c r="L211" s="14">
        <v>10.0</v>
      </c>
      <c r="M211" s="14">
        <v>3497.0</v>
      </c>
      <c r="N211" s="14">
        <v>10.0</v>
      </c>
      <c r="O211" s="14">
        <v>3507.0</v>
      </c>
      <c r="P211" s="14">
        <v>11.0</v>
      </c>
      <c r="Q211" s="14">
        <v>3518.0</v>
      </c>
      <c r="R211" s="14">
        <v>11.0</v>
      </c>
      <c r="S211" s="14">
        <v>3525.0</v>
      </c>
      <c r="T211" s="14">
        <v>7.0</v>
      </c>
      <c r="U211" s="14">
        <v>3534.0</v>
      </c>
      <c r="V211" s="14">
        <v>9.0</v>
      </c>
      <c r="W211" s="14">
        <v>3545.0</v>
      </c>
      <c r="X211" s="14">
        <v>11.0</v>
      </c>
      <c r="Y211" s="14">
        <v>3555.0</v>
      </c>
      <c r="Z211" s="14">
        <v>10.0</v>
      </c>
      <c r="AA211" s="14">
        <v>3565.0</v>
      </c>
      <c r="AB211" s="14">
        <v>10.0</v>
      </c>
      <c r="AC211" s="14">
        <v>10.0</v>
      </c>
      <c r="AD211" s="14">
        <v>13.0</v>
      </c>
      <c r="AE211" s="14">
        <v>0.0</v>
      </c>
      <c r="AG211" s="14">
        <v>3.0</v>
      </c>
      <c r="AH211" s="14">
        <v>0.0</v>
      </c>
      <c r="AI211" s="14">
        <v>26.0</v>
      </c>
    </row>
    <row r="212" ht="15.75" customHeight="1">
      <c r="A212" s="14">
        <v>214.0</v>
      </c>
      <c r="B212" s="14" t="s">
        <v>663</v>
      </c>
      <c r="C212" s="14" t="s">
        <v>120</v>
      </c>
      <c r="D212" s="14">
        <v>7.0</v>
      </c>
      <c r="E212" s="14">
        <v>2167.0</v>
      </c>
      <c r="F212" s="14">
        <v>8.0</v>
      </c>
      <c r="G212" s="14">
        <v>2175.0</v>
      </c>
      <c r="H212" s="14">
        <v>8.0</v>
      </c>
      <c r="I212" s="14">
        <v>2183.0</v>
      </c>
      <c r="J212" s="14">
        <v>7.0</v>
      </c>
      <c r="K212" s="14">
        <v>2190.0</v>
      </c>
      <c r="L212" s="14">
        <v>8.0</v>
      </c>
      <c r="M212" s="14">
        <v>2198.0</v>
      </c>
      <c r="N212" s="14">
        <v>6.0</v>
      </c>
      <c r="O212" s="14">
        <v>2204.0</v>
      </c>
      <c r="P212" s="14">
        <v>5.0</v>
      </c>
      <c r="Q212" s="14">
        <v>2209.0</v>
      </c>
      <c r="R212" s="14">
        <v>5.0</v>
      </c>
      <c r="S212" s="14">
        <v>2209.0</v>
      </c>
      <c r="T212" s="14">
        <v>0.0</v>
      </c>
      <c r="U212" s="14">
        <v>2213.0</v>
      </c>
      <c r="V212" s="14">
        <v>4.0</v>
      </c>
      <c r="W212" s="14">
        <v>2220.0</v>
      </c>
      <c r="X212" s="14">
        <v>7.0</v>
      </c>
      <c r="Y212" s="14">
        <v>2225.0</v>
      </c>
      <c r="Z212" s="14">
        <v>5.0</v>
      </c>
      <c r="AA212" s="14">
        <v>2232.0</v>
      </c>
      <c r="AB212" s="14">
        <v>7.0</v>
      </c>
      <c r="AC212" s="14">
        <v>7.0</v>
      </c>
      <c r="AD212" s="14">
        <v>0.0</v>
      </c>
      <c r="AE212" s="14">
        <v>0.0</v>
      </c>
      <c r="AG212" s="14">
        <v>3.0</v>
      </c>
      <c r="AH212" s="14">
        <v>0.0</v>
      </c>
      <c r="AI212" s="14">
        <v>10.0</v>
      </c>
    </row>
    <row r="213" ht="15.75" customHeight="1">
      <c r="A213" s="14">
        <v>215.0</v>
      </c>
      <c r="B213" s="14" t="s">
        <v>667</v>
      </c>
      <c r="C213" s="14" t="s">
        <v>120</v>
      </c>
      <c r="D213" s="14">
        <v>8.0</v>
      </c>
      <c r="E213" s="14">
        <v>1989.0</v>
      </c>
      <c r="F213" s="14">
        <v>32.0</v>
      </c>
      <c r="G213" s="14">
        <v>2021.0</v>
      </c>
      <c r="H213" s="14">
        <v>15.0</v>
      </c>
      <c r="I213" s="14">
        <v>2036.0</v>
      </c>
      <c r="J213" s="14">
        <v>15.0</v>
      </c>
      <c r="K213" s="14">
        <v>2051.0</v>
      </c>
      <c r="L213" s="14">
        <v>10.0</v>
      </c>
      <c r="M213" s="14">
        <v>2061.0</v>
      </c>
      <c r="N213" s="14">
        <v>9.0</v>
      </c>
      <c r="O213" s="14">
        <v>2070.0</v>
      </c>
      <c r="P213" s="14">
        <v>9.0</v>
      </c>
      <c r="Q213" s="14">
        <v>2079.0</v>
      </c>
      <c r="R213" s="14">
        <v>9.0</v>
      </c>
      <c r="S213" s="14">
        <v>2087.0</v>
      </c>
      <c r="T213" s="14">
        <v>8.0</v>
      </c>
      <c r="U213" s="14">
        <v>2098.0</v>
      </c>
      <c r="V213" s="14">
        <v>11.0</v>
      </c>
      <c r="W213" s="14">
        <v>2107.0</v>
      </c>
      <c r="X213" s="14">
        <v>9.0</v>
      </c>
      <c r="Y213" s="14">
        <v>2122.0</v>
      </c>
      <c r="Z213" s="14">
        <v>15.0</v>
      </c>
      <c r="AA213" s="14">
        <v>2136.0</v>
      </c>
      <c r="AB213" s="14">
        <v>14.0</v>
      </c>
      <c r="AC213" s="14">
        <v>14.0</v>
      </c>
      <c r="AD213" s="14">
        <v>0.0</v>
      </c>
      <c r="AE213" s="14">
        <v>0.0</v>
      </c>
      <c r="AG213" s="14">
        <v>3.0</v>
      </c>
      <c r="AH213" s="14">
        <v>0.0</v>
      </c>
      <c r="AI213" s="14">
        <v>17.0</v>
      </c>
    </row>
    <row r="214" ht="15.75" customHeight="1">
      <c r="A214" s="14">
        <v>216.0</v>
      </c>
      <c r="B214" s="14" t="s">
        <v>669</v>
      </c>
      <c r="C214" s="14" t="s">
        <v>120</v>
      </c>
      <c r="D214" s="14">
        <v>10.0</v>
      </c>
      <c r="E214" s="14">
        <v>781.0</v>
      </c>
      <c r="F214" s="14">
        <v>9.0</v>
      </c>
      <c r="G214" s="14">
        <v>790.0</v>
      </c>
      <c r="H214" s="14">
        <v>9.0</v>
      </c>
      <c r="I214" s="14">
        <v>799.0</v>
      </c>
      <c r="J214" s="14">
        <v>9.0</v>
      </c>
      <c r="K214" s="14">
        <v>800.0</v>
      </c>
      <c r="L214" s="14">
        <v>0.0</v>
      </c>
      <c r="M214" s="14">
        <v>800.0</v>
      </c>
      <c r="N214" s="14">
        <v>8.0</v>
      </c>
      <c r="O214" s="14">
        <v>808.0</v>
      </c>
      <c r="P214" s="14">
        <v>9.0</v>
      </c>
      <c r="Q214" s="14">
        <v>817.0</v>
      </c>
      <c r="R214" s="14">
        <v>9.0</v>
      </c>
      <c r="S214" s="14">
        <v>820.0</v>
      </c>
      <c r="T214" s="14">
        <v>3.0</v>
      </c>
      <c r="U214" s="14">
        <v>827.0</v>
      </c>
      <c r="V214" s="14">
        <v>7.0</v>
      </c>
      <c r="W214" s="14">
        <v>831.0</v>
      </c>
      <c r="X214" s="14">
        <v>4.0</v>
      </c>
      <c r="Y214" s="14">
        <v>842.0</v>
      </c>
      <c r="Z214" s="14">
        <v>11.0</v>
      </c>
      <c r="AA214" s="14">
        <v>849.0</v>
      </c>
      <c r="AB214" s="14">
        <v>7.0</v>
      </c>
      <c r="AC214" s="14">
        <v>7.0</v>
      </c>
      <c r="AD214" s="14">
        <v>0.0</v>
      </c>
      <c r="AE214" s="14">
        <v>0.0</v>
      </c>
      <c r="AG214" s="14">
        <v>3.0</v>
      </c>
      <c r="AH214" s="14">
        <v>0.0</v>
      </c>
      <c r="AI214" s="14">
        <v>10.0</v>
      </c>
    </row>
    <row r="215" ht="15.75" customHeight="1">
      <c r="A215" s="14">
        <v>217.0</v>
      </c>
      <c r="B215" s="14" t="s">
        <v>670</v>
      </c>
      <c r="C215" s="14" t="s">
        <v>120</v>
      </c>
      <c r="D215" s="14">
        <v>11.0</v>
      </c>
      <c r="E215" s="14">
        <v>1511.0</v>
      </c>
      <c r="F215" s="14">
        <v>10.0</v>
      </c>
      <c r="G215" s="14">
        <v>1521.0</v>
      </c>
      <c r="H215" s="14">
        <v>13.0</v>
      </c>
      <c r="I215" s="14">
        <v>1534.0</v>
      </c>
      <c r="J215" s="14">
        <v>11.0</v>
      </c>
      <c r="K215" s="14">
        <v>1545.0</v>
      </c>
      <c r="L215" s="14">
        <v>9.0</v>
      </c>
      <c r="M215" s="14">
        <v>1554.0</v>
      </c>
      <c r="N215" s="14">
        <v>10.0</v>
      </c>
      <c r="O215" s="14">
        <v>1564.0</v>
      </c>
      <c r="P215" s="14">
        <v>10.0</v>
      </c>
      <c r="Q215" s="14">
        <v>1574.0</v>
      </c>
      <c r="R215" s="14">
        <v>10.0</v>
      </c>
      <c r="S215" s="14">
        <v>1581.0</v>
      </c>
      <c r="T215" s="14">
        <v>7.0</v>
      </c>
      <c r="U215" s="14">
        <v>1588.0</v>
      </c>
      <c r="V215" s="14">
        <v>7.0</v>
      </c>
      <c r="W215" s="14">
        <v>1594.0</v>
      </c>
      <c r="X215" s="14">
        <v>6.0</v>
      </c>
      <c r="Y215" s="14">
        <v>1601.0</v>
      </c>
      <c r="Z215" s="14">
        <v>7.0</v>
      </c>
      <c r="AA215" s="14">
        <v>1611.0</v>
      </c>
      <c r="AB215" s="14">
        <v>10.0</v>
      </c>
      <c r="AC215" s="14">
        <v>10.0</v>
      </c>
      <c r="AD215" s="14">
        <v>0.0</v>
      </c>
      <c r="AE215" s="14">
        <v>0.0</v>
      </c>
      <c r="AG215" s="14">
        <v>3.0</v>
      </c>
      <c r="AH215" s="14">
        <v>0.0</v>
      </c>
      <c r="AI215" s="14">
        <v>13.0</v>
      </c>
    </row>
    <row r="216" ht="15.75" customHeight="1">
      <c r="A216" s="14">
        <v>218.0</v>
      </c>
      <c r="B216" s="14" t="s">
        <v>673</v>
      </c>
      <c r="C216" s="14" t="s">
        <v>120</v>
      </c>
      <c r="D216" s="14">
        <v>12.0</v>
      </c>
      <c r="E216" s="14">
        <v>4254.0</v>
      </c>
      <c r="F216" s="14">
        <v>32.0</v>
      </c>
      <c r="G216" s="14">
        <v>4286.0</v>
      </c>
      <c r="H216" s="14">
        <v>19.0</v>
      </c>
      <c r="I216" s="14">
        <v>4305.0</v>
      </c>
      <c r="J216" s="14">
        <v>15.0</v>
      </c>
      <c r="K216" s="14">
        <v>4320.0</v>
      </c>
      <c r="L216" s="14">
        <v>16.0</v>
      </c>
      <c r="M216" s="14">
        <v>4336.0</v>
      </c>
      <c r="N216" s="14">
        <v>17.0</v>
      </c>
      <c r="O216" s="14">
        <v>4353.0</v>
      </c>
      <c r="P216" s="14">
        <v>17.0</v>
      </c>
      <c r="Q216" s="14">
        <v>4370.0</v>
      </c>
      <c r="R216" s="14">
        <v>17.0</v>
      </c>
      <c r="S216" s="14">
        <v>4383.0</v>
      </c>
      <c r="T216" s="14">
        <v>13.0</v>
      </c>
      <c r="U216" s="14">
        <v>4401.0</v>
      </c>
      <c r="V216" s="14">
        <v>18.0</v>
      </c>
      <c r="W216" s="14">
        <v>4418.0</v>
      </c>
      <c r="X216" s="14">
        <v>17.0</v>
      </c>
      <c r="Y216" s="14">
        <v>4435.0</v>
      </c>
      <c r="Z216" s="14">
        <v>17.0</v>
      </c>
      <c r="AA216" s="14">
        <v>4453.0</v>
      </c>
      <c r="AB216" s="14">
        <v>18.0</v>
      </c>
      <c r="AC216" s="14">
        <v>18.0</v>
      </c>
      <c r="AD216" s="14">
        <v>0.0</v>
      </c>
      <c r="AE216" s="14">
        <v>0.0</v>
      </c>
      <c r="AG216" s="14">
        <v>3.0</v>
      </c>
      <c r="AH216" s="14">
        <v>0.0</v>
      </c>
      <c r="AI216" s="14">
        <v>21.0</v>
      </c>
    </row>
    <row r="217" ht="15.75" customHeight="1">
      <c r="A217" s="14">
        <v>219.0</v>
      </c>
      <c r="B217" s="14" t="s">
        <v>676</v>
      </c>
      <c r="C217" s="14" t="s">
        <v>120</v>
      </c>
      <c r="D217" s="14">
        <v>13.0</v>
      </c>
      <c r="E217" s="14">
        <v>1149.0</v>
      </c>
      <c r="F217" s="14">
        <v>19.0</v>
      </c>
      <c r="G217" s="14">
        <v>1168.0</v>
      </c>
      <c r="H217" s="14">
        <v>12.0</v>
      </c>
      <c r="I217" s="14">
        <v>1180.0</v>
      </c>
      <c r="J217" s="14">
        <v>13.0</v>
      </c>
      <c r="K217" s="14">
        <v>1193.0</v>
      </c>
      <c r="L217" s="14">
        <v>14.0</v>
      </c>
      <c r="M217" s="14">
        <v>1207.0</v>
      </c>
      <c r="N217" s="14">
        <v>10.0</v>
      </c>
      <c r="O217" s="14">
        <v>1217.0</v>
      </c>
      <c r="P217" s="14">
        <v>8.0</v>
      </c>
      <c r="Q217" s="14">
        <v>1225.0</v>
      </c>
      <c r="R217" s="14">
        <v>8.0</v>
      </c>
      <c r="S217" s="14">
        <v>1231.0</v>
      </c>
      <c r="T217" s="14">
        <v>6.0</v>
      </c>
      <c r="U217" s="14">
        <v>1238.0</v>
      </c>
      <c r="V217" s="14">
        <v>7.0</v>
      </c>
      <c r="W217" s="14">
        <v>1249.0</v>
      </c>
      <c r="X217" s="14">
        <v>11.0</v>
      </c>
      <c r="Y217" s="14">
        <v>1257.0</v>
      </c>
      <c r="Z217" s="14">
        <v>8.0</v>
      </c>
      <c r="AA217" s="14">
        <v>1267.0</v>
      </c>
      <c r="AB217" s="14">
        <v>10.0</v>
      </c>
      <c r="AC217" s="14">
        <v>10.0</v>
      </c>
      <c r="AD217" s="14">
        <v>0.0</v>
      </c>
      <c r="AE217" s="14">
        <v>0.0</v>
      </c>
      <c r="AG217" s="14">
        <v>3.0</v>
      </c>
      <c r="AH217" s="14">
        <v>0.0</v>
      </c>
      <c r="AI217" s="14">
        <v>13.0</v>
      </c>
    </row>
    <row r="218" ht="15.75" customHeight="1">
      <c r="A218" s="14">
        <v>220.0</v>
      </c>
      <c r="B218" s="14" t="s">
        <v>677</v>
      </c>
      <c r="C218" s="14" t="s">
        <v>120</v>
      </c>
      <c r="D218" s="14">
        <v>14.0</v>
      </c>
      <c r="E218" s="14">
        <v>3963.0</v>
      </c>
      <c r="F218" s="14">
        <v>26.0</v>
      </c>
      <c r="G218" s="14">
        <v>3989.0</v>
      </c>
      <c r="H218" s="14">
        <v>23.0</v>
      </c>
      <c r="I218" s="14">
        <v>4012.0</v>
      </c>
      <c r="J218" s="14">
        <v>26.0</v>
      </c>
      <c r="K218" s="14">
        <v>4038.0</v>
      </c>
      <c r="L218" s="14">
        <v>23.0</v>
      </c>
      <c r="M218" s="14">
        <v>4061.0</v>
      </c>
      <c r="N218" s="14">
        <v>21.0</v>
      </c>
      <c r="O218" s="14">
        <v>4082.0</v>
      </c>
      <c r="P218" s="14">
        <v>21.0</v>
      </c>
      <c r="Q218" s="14">
        <v>4103.0</v>
      </c>
      <c r="R218" s="14">
        <v>21.0</v>
      </c>
      <c r="S218" s="14">
        <v>4120.0</v>
      </c>
      <c r="T218" s="14">
        <v>17.0</v>
      </c>
      <c r="U218" s="14">
        <v>4139.0</v>
      </c>
      <c r="V218" s="14">
        <v>19.0</v>
      </c>
      <c r="W218" s="14">
        <v>4161.0</v>
      </c>
      <c r="X218" s="14">
        <v>22.0</v>
      </c>
      <c r="Y218" s="14">
        <v>4181.0</v>
      </c>
      <c r="Z218" s="14">
        <v>20.0</v>
      </c>
      <c r="AA218" s="14">
        <v>4201.0</v>
      </c>
      <c r="AB218" s="14">
        <v>20.0</v>
      </c>
      <c r="AC218" s="14">
        <v>20.0</v>
      </c>
      <c r="AD218" s="14">
        <v>0.0</v>
      </c>
      <c r="AE218" s="14">
        <v>0.0</v>
      </c>
      <c r="AG218" s="14">
        <v>3.0</v>
      </c>
      <c r="AH218" s="14">
        <v>0.0</v>
      </c>
      <c r="AI218" s="14">
        <v>23.0</v>
      </c>
    </row>
    <row r="219" ht="15.75" customHeight="1">
      <c r="A219" s="14">
        <v>221.0</v>
      </c>
      <c r="B219" s="14" t="s">
        <v>680</v>
      </c>
      <c r="C219" s="14" t="s">
        <v>120</v>
      </c>
      <c r="D219" s="14">
        <v>15.0</v>
      </c>
      <c r="E219" s="14">
        <v>2175.0</v>
      </c>
      <c r="F219" s="14">
        <v>11.0</v>
      </c>
      <c r="G219" s="14">
        <v>2186.0</v>
      </c>
      <c r="H219" s="14">
        <v>10.0</v>
      </c>
      <c r="I219" s="14">
        <v>2196.0</v>
      </c>
      <c r="J219" s="14">
        <v>12.0</v>
      </c>
      <c r="K219" s="14">
        <v>2208.0</v>
      </c>
      <c r="L219" s="14">
        <v>10.0</v>
      </c>
      <c r="M219" s="14">
        <v>2218.0</v>
      </c>
      <c r="N219" s="14">
        <v>10.0</v>
      </c>
      <c r="O219" s="14">
        <v>2228.0</v>
      </c>
      <c r="P219" s="14">
        <v>10.0</v>
      </c>
      <c r="Q219" s="14">
        <v>2238.0</v>
      </c>
      <c r="R219" s="14">
        <v>10.0</v>
      </c>
      <c r="S219" s="14">
        <v>2243.0</v>
      </c>
      <c r="T219" s="14">
        <v>5.0</v>
      </c>
      <c r="U219" s="14">
        <v>2251.0</v>
      </c>
      <c r="V219" s="14">
        <v>8.0</v>
      </c>
      <c r="W219" s="14">
        <v>2258.0</v>
      </c>
      <c r="X219" s="14">
        <v>7.0</v>
      </c>
      <c r="Y219" s="14">
        <v>2266.0</v>
      </c>
      <c r="Z219" s="14">
        <v>8.0</v>
      </c>
      <c r="AA219" s="14">
        <v>2275.0</v>
      </c>
      <c r="AB219" s="14">
        <v>9.0</v>
      </c>
      <c r="AC219" s="14">
        <v>9.0</v>
      </c>
      <c r="AD219" s="14">
        <v>0.0</v>
      </c>
      <c r="AE219" s="14">
        <v>0.0</v>
      </c>
      <c r="AG219" s="14">
        <v>3.0</v>
      </c>
      <c r="AH219" s="14">
        <v>0.0</v>
      </c>
      <c r="AI219" s="14">
        <v>12.0</v>
      </c>
    </row>
    <row r="220" ht="15.75" customHeight="1">
      <c r="A220" s="14">
        <v>222.0</v>
      </c>
      <c r="B220" s="14" t="s">
        <v>681</v>
      </c>
      <c r="C220" s="14" t="s">
        <v>124</v>
      </c>
      <c r="D220" s="14">
        <v>1.0</v>
      </c>
      <c r="E220" s="14">
        <v>2554.0</v>
      </c>
      <c r="F220" s="14">
        <v>21.0</v>
      </c>
      <c r="G220" s="14">
        <v>2575.0</v>
      </c>
      <c r="H220" s="14">
        <v>30.0</v>
      </c>
      <c r="I220" s="14">
        <v>2605.0</v>
      </c>
      <c r="J220" s="14">
        <v>22.0</v>
      </c>
      <c r="K220" s="14">
        <v>2627.0</v>
      </c>
      <c r="L220" s="14">
        <v>21.0</v>
      </c>
      <c r="M220" s="14">
        <v>2648.0</v>
      </c>
      <c r="N220" s="14">
        <v>24.0</v>
      </c>
      <c r="O220" s="14">
        <v>2672.0</v>
      </c>
      <c r="P220" s="14">
        <v>20.0</v>
      </c>
      <c r="Q220" s="14">
        <v>2692.0</v>
      </c>
      <c r="R220" s="14">
        <v>20.0</v>
      </c>
      <c r="S220" s="14">
        <v>2711.0</v>
      </c>
      <c r="T220" s="14">
        <v>19.0</v>
      </c>
      <c r="U220" s="14">
        <v>2731.0</v>
      </c>
      <c r="V220" s="14">
        <v>20.0</v>
      </c>
      <c r="W220" s="14">
        <v>2750.0</v>
      </c>
      <c r="X220" s="14">
        <v>19.0</v>
      </c>
      <c r="Y220" s="14">
        <v>2771.0</v>
      </c>
      <c r="Z220" s="14">
        <v>21.0</v>
      </c>
      <c r="AA220" s="14">
        <v>2790.0</v>
      </c>
      <c r="AB220" s="14">
        <v>19.0</v>
      </c>
      <c r="AC220" s="14">
        <v>19.0</v>
      </c>
      <c r="AD220" s="14">
        <v>0.0</v>
      </c>
      <c r="AE220" s="14">
        <v>0.0</v>
      </c>
      <c r="AG220" s="14">
        <v>3.0</v>
      </c>
      <c r="AH220" s="14">
        <v>0.0</v>
      </c>
      <c r="AI220" s="14">
        <v>22.0</v>
      </c>
    </row>
    <row r="221" ht="15.75" customHeight="1">
      <c r="A221" s="14">
        <v>223.0</v>
      </c>
      <c r="B221" s="14" t="s">
        <v>685</v>
      </c>
      <c r="C221" s="14" t="s">
        <v>124</v>
      </c>
      <c r="D221" s="14">
        <v>2.0</v>
      </c>
      <c r="E221" s="14">
        <v>2665.0</v>
      </c>
      <c r="F221" s="14">
        <v>11.0</v>
      </c>
      <c r="G221" s="14">
        <v>2676.0</v>
      </c>
      <c r="H221" s="14">
        <v>13.0</v>
      </c>
      <c r="I221" s="14">
        <v>2689.0</v>
      </c>
      <c r="J221" s="14">
        <v>14.0</v>
      </c>
      <c r="K221" s="14">
        <v>2703.0</v>
      </c>
      <c r="L221" s="14">
        <v>8.0</v>
      </c>
      <c r="M221" s="14">
        <v>2711.0</v>
      </c>
      <c r="N221" s="14">
        <v>11.0</v>
      </c>
      <c r="O221" s="14">
        <v>2722.0</v>
      </c>
      <c r="P221" s="14">
        <v>8.0</v>
      </c>
      <c r="Q221" s="14">
        <v>2730.0</v>
      </c>
      <c r="R221" s="14">
        <v>8.0</v>
      </c>
      <c r="S221" s="14">
        <v>2911.0</v>
      </c>
      <c r="T221" s="14">
        <v>181.0</v>
      </c>
      <c r="U221" s="14">
        <v>2921.0</v>
      </c>
      <c r="V221" s="14">
        <v>10.0</v>
      </c>
      <c r="W221" s="14">
        <v>2928.0</v>
      </c>
      <c r="X221" s="14">
        <v>7.0</v>
      </c>
      <c r="Y221" s="14">
        <v>2936.0</v>
      </c>
      <c r="Z221" s="14">
        <v>8.0</v>
      </c>
      <c r="AA221" s="14">
        <v>2948.0</v>
      </c>
      <c r="AB221" s="14">
        <v>12.0</v>
      </c>
      <c r="AC221" s="14">
        <v>12.0</v>
      </c>
      <c r="AD221" s="14">
        <v>0.0</v>
      </c>
      <c r="AE221" s="14">
        <v>0.0</v>
      </c>
      <c r="AG221" s="14">
        <v>3.0</v>
      </c>
      <c r="AH221" s="14">
        <v>0.0</v>
      </c>
      <c r="AI221" s="14">
        <v>15.0</v>
      </c>
    </row>
    <row r="222" ht="15.75" customHeight="1">
      <c r="A222" s="14">
        <v>224.0</v>
      </c>
      <c r="B222" s="14" t="s">
        <v>687</v>
      </c>
      <c r="C222" s="14" t="s">
        <v>124</v>
      </c>
      <c r="D222" s="14">
        <v>3.0</v>
      </c>
      <c r="E222" s="14">
        <v>1111.0</v>
      </c>
      <c r="F222" s="14">
        <v>6.0</v>
      </c>
      <c r="G222" s="14">
        <v>1117.0</v>
      </c>
      <c r="H222" s="14">
        <v>4.0</v>
      </c>
      <c r="I222" s="14">
        <v>1121.0</v>
      </c>
      <c r="J222" s="14">
        <v>3.0</v>
      </c>
      <c r="K222" s="14">
        <v>1124.0</v>
      </c>
      <c r="L222" s="14">
        <v>4.0</v>
      </c>
      <c r="M222" s="14">
        <v>1128.0</v>
      </c>
      <c r="N222" s="14">
        <v>1.0</v>
      </c>
      <c r="O222" s="14">
        <v>1129.0</v>
      </c>
      <c r="P222" s="14">
        <v>2.0</v>
      </c>
      <c r="Q222" s="14">
        <v>1131.0</v>
      </c>
      <c r="R222" s="14">
        <v>2.0</v>
      </c>
      <c r="S222" s="14">
        <v>1133.0</v>
      </c>
      <c r="T222" s="14">
        <v>2.0</v>
      </c>
      <c r="U222" s="14">
        <v>1135.0</v>
      </c>
      <c r="V222" s="14">
        <v>2.0</v>
      </c>
      <c r="W222" s="14">
        <v>1137.0</v>
      </c>
      <c r="X222" s="14">
        <v>2.0</v>
      </c>
      <c r="Y222" s="14">
        <v>1139.0</v>
      </c>
      <c r="Z222" s="14">
        <v>2.0</v>
      </c>
      <c r="AA222" s="14">
        <v>1142.0</v>
      </c>
      <c r="AB222" s="14">
        <v>3.0</v>
      </c>
      <c r="AC222" s="14">
        <v>5.0</v>
      </c>
      <c r="AD222" s="14">
        <v>0.0</v>
      </c>
      <c r="AE222" s="14">
        <v>0.0</v>
      </c>
      <c r="AG222" s="14">
        <v>3.0</v>
      </c>
      <c r="AH222" s="14">
        <v>0.0</v>
      </c>
      <c r="AI222" s="14">
        <v>8.0</v>
      </c>
    </row>
    <row r="223" ht="15.75" customHeight="1">
      <c r="A223" s="14">
        <v>225.0</v>
      </c>
      <c r="B223" s="14" t="s">
        <v>690</v>
      </c>
      <c r="C223" s="14" t="s">
        <v>124</v>
      </c>
      <c r="D223" s="14">
        <v>4.0</v>
      </c>
      <c r="E223" s="14">
        <v>2784.0</v>
      </c>
      <c r="F223" s="14">
        <v>8.0</v>
      </c>
      <c r="G223" s="14">
        <v>2792.0</v>
      </c>
      <c r="H223" s="14">
        <v>9.0</v>
      </c>
      <c r="I223" s="14">
        <v>2801.0</v>
      </c>
      <c r="J223" s="14">
        <v>11.0</v>
      </c>
      <c r="K223" s="14">
        <v>2812.0</v>
      </c>
      <c r="L223" s="14">
        <v>10.0</v>
      </c>
      <c r="M223" s="14">
        <v>2822.0</v>
      </c>
      <c r="N223" s="14">
        <v>9.0</v>
      </c>
      <c r="O223" s="14">
        <v>2831.0</v>
      </c>
      <c r="P223" s="14">
        <v>1.0</v>
      </c>
      <c r="Q223" s="14">
        <v>2832.0</v>
      </c>
      <c r="R223" s="14">
        <v>1.0</v>
      </c>
      <c r="S223" s="14">
        <v>2838.0</v>
      </c>
      <c r="T223" s="14">
        <v>6.0</v>
      </c>
      <c r="U223" s="14">
        <v>2856.0</v>
      </c>
      <c r="V223" s="14">
        <v>18.0</v>
      </c>
      <c r="W223" s="14">
        <v>2862.0</v>
      </c>
      <c r="X223" s="14">
        <v>6.0</v>
      </c>
      <c r="Y223" s="14">
        <v>2870.0</v>
      </c>
      <c r="Z223" s="14">
        <v>8.0</v>
      </c>
      <c r="AA223" s="14">
        <v>2878.0</v>
      </c>
      <c r="AB223" s="14">
        <v>8.0</v>
      </c>
      <c r="AC223" s="14">
        <v>8.0</v>
      </c>
      <c r="AD223" s="14">
        <v>0.0</v>
      </c>
      <c r="AE223" s="14">
        <v>0.0</v>
      </c>
      <c r="AG223" s="14">
        <v>3.0</v>
      </c>
      <c r="AH223" s="14">
        <v>0.0</v>
      </c>
      <c r="AI223" s="14">
        <v>11.0</v>
      </c>
    </row>
    <row r="224" ht="15.75" customHeight="1">
      <c r="A224" s="14">
        <v>226.0</v>
      </c>
      <c r="B224" s="14" t="s">
        <v>692</v>
      </c>
      <c r="C224" s="14" t="s">
        <v>124</v>
      </c>
      <c r="D224" s="14">
        <v>5.0</v>
      </c>
      <c r="E224" s="14">
        <v>1000.0</v>
      </c>
      <c r="F224" s="14">
        <v>10.0</v>
      </c>
      <c r="G224" s="14">
        <v>1010.0</v>
      </c>
      <c r="H224" s="14">
        <v>298.0</v>
      </c>
      <c r="I224" s="14">
        <v>1308.0</v>
      </c>
      <c r="J224" s="14">
        <v>0.0</v>
      </c>
      <c r="K224" s="14">
        <v>0.0</v>
      </c>
      <c r="L224" s="14">
        <v>12.0</v>
      </c>
      <c r="M224" s="14">
        <v>12.0</v>
      </c>
      <c r="N224" s="14">
        <v>13.0</v>
      </c>
      <c r="O224" s="14">
        <v>25.0</v>
      </c>
      <c r="P224" s="14">
        <v>11.0</v>
      </c>
      <c r="Q224" s="14">
        <v>36.0</v>
      </c>
      <c r="R224" s="14">
        <v>11.0</v>
      </c>
      <c r="S224" s="14">
        <v>45.0</v>
      </c>
      <c r="T224" s="14">
        <v>9.0</v>
      </c>
      <c r="U224" s="14">
        <v>53.0</v>
      </c>
      <c r="V224" s="14">
        <v>8.0</v>
      </c>
      <c r="W224" s="14">
        <v>69.0</v>
      </c>
      <c r="X224" s="14">
        <v>16.0</v>
      </c>
      <c r="Y224" s="14">
        <v>81.0</v>
      </c>
      <c r="Z224" s="14">
        <v>12.0</v>
      </c>
      <c r="AA224" s="14">
        <v>93.0</v>
      </c>
      <c r="AB224" s="14">
        <v>12.0</v>
      </c>
      <c r="AC224" s="14">
        <v>12.0</v>
      </c>
      <c r="AD224" s="14">
        <v>0.0</v>
      </c>
      <c r="AE224" s="14">
        <v>0.0</v>
      </c>
      <c r="AG224" s="14">
        <v>3.0</v>
      </c>
      <c r="AH224" s="14">
        <v>0.0</v>
      </c>
      <c r="AI224" s="14">
        <v>15.0</v>
      </c>
    </row>
    <row r="225" ht="15.75" customHeight="1">
      <c r="A225" s="14">
        <v>227.0</v>
      </c>
      <c r="B225" s="14" t="s">
        <v>696</v>
      </c>
      <c r="C225" s="14" t="s">
        <v>124</v>
      </c>
      <c r="D225" s="14">
        <v>6.0</v>
      </c>
      <c r="E225" s="14">
        <v>3540.0</v>
      </c>
      <c r="F225" s="14">
        <v>24.0</v>
      </c>
      <c r="G225" s="14">
        <v>3564.0</v>
      </c>
      <c r="H225" s="14">
        <v>18.0</v>
      </c>
      <c r="I225" s="14">
        <v>3582.0</v>
      </c>
      <c r="J225" s="14">
        <v>20.0</v>
      </c>
      <c r="K225" s="14">
        <v>3602.0</v>
      </c>
      <c r="L225" s="14">
        <v>18.0</v>
      </c>
      <c r="M225" s="14">
        <v>3620.0</v>
      </c>
      <c r="N225" s="14">
        <v>15.0</v>
      </c>
      <c r="O225" s="14">
        <v>3635.0</v>
      </c>
      <c r="P225" s="14">
        <v>15.0</v>
      </c>
      <c r="Q225" s="14">
        <v>3650.0</v>
      </c>
      <c r="R225" s="14">
        <v>15.0</v>
      </c>
      <c r="S225" s="14">
        <v>3662.0</v>
      </c>
      <c r="T225" s="14">
        <v>12.0</v>
      </c>
      <c r="U225" s="14">
        <v>3675.0</v>
      </c>
      <c r="V225" s="14">
        <v>13.0</v>
      </c>
      <c r="W225" s="14">
        <v>3692.0</v>
      </c>
      <c r="X225" s="14">
        <v>17.0</v>
      </c>
      <c r="Y225" s="14">
        <v>3707.0</v>
      </c>
      <c r="Z225" s="14">
        <v>15.0</v>
      </c>
      <c r="AA225" s="14">
        <v>3723.0</v>
      </c>
      <c r="AB225" s="14">
        <v>16.0</v>
      </c>
      <c r="AC225" s="14">
        <v>16.0</v>
      </c>
      <c r="AD225" s="14">
        <v>0.0</v>
      </c>
      <c r="AE225" s="14">
        <v>0.0</v>
      </c>
      <c r="AG225" s="14">
        <v>3.0</v>
      </c>
      <c r="AH225" s="14">
        <v>0.0</v>
      </c>
      <c r="AI225" s="14">
        <v>19.0</v>
      </c>
    </row>
    <row r="226" ht="15.75" customHeight="1">
      <c r="A226" s="14">
        <v>228.0</v>
      </c>
      <c r="B226" s="14" t="s">
        <v>697</v>
      </c>
      <c r="C226" s="14" t="s">
        <v>124</v>
      </c>
      <c r="D226" s="14">
        <v>7.0</v>
      </c>
      <c r="E226" s="14">
        <v>349.0</v>
      </c>
      <c r="F226" s="14">
        <v>12.0</v>
      </c>
      <c r="G226" s="14">
        <v>361.0</v>
      </c>
      <c r="H226" s="14">
        <v>18.0</v>
      </c>
      <c r="I226" s="14">
        <v>379.0</v>
      </c>
      <c r="J226" s="14">
        <v>13.0</v>
      </c>
      <c r="K226" s="14">
        <v>392.0</v>
      </c>
      <c r="L226" s="14">
        <v>12.0</v>
      </c>
      <c r="M226" s="14">
        <v>404.0</v>
      </c>
      <c r="N226" s="14">
        <v>14.0</v>
      </c>
      <c r="O226" s="14">
        <v>418.0</v>
      </c>
      <c r="P226" s="14">
        <v>12.0</v>
      </c>
      <c r="Q226" s="14">
        <v>430.0</v>
      </c>
      <c r="R226" s="14">
        <v>12.0</v>
      </c>
      <c r="S226" s="14">
        <v>440.0</v>
      </c>
      <c r="T226" s="14">
        <v>10.0</v>
      </c>
      <c r="U226" s="14">
        <v>452.0</v>
      </c>
      <c r="V226" s="14">
        <v>12.0</v>
      </c>
      <c r="W226" s="14">
        <v>462.0</v>
      </c>
      <c r="X226" s="14">
        <v>10.0</v>
      </c>
      <c r="Y226" s="14">
        <v>474.0</v>
      </c>
      <c r="Z226" s="14">
        <v>12.0</v>
      </c>
      <c r="AA226" s="14">
        <v>485.0</v>
      </c>
      <c r="AB226" s="14">
        <v>11.0</v>
      </c>
      <c r="AC226" s="14">
        <v>11.0</v>
      </c>
      <c r="AD226" s="14">
        <v>0.0</v>
      </c>
      <c r="AE226" s="14">
        <v>0.0</v>
      </c>
      <c r="AG226" s="14">
        <v>3.0</v>
      </c>
      <c r="AH226" s="14">
        <v>0.0</v>
      </c>
      <c r="AI226" s="14">
        <v>14.0</v>
      </c>
    </row>
    <row r="227" ht="15.75" customHeight="1">
      <c r="A227" s="14">
        <v>229.0</v>
      </c>
      <c r="B227" s="14" t="s">
        <v>699</v>
      </c>
      <c r="C227" s="14" t="s">
        <v>124</v>
      </c>
      <c r="D227" s="14">
        <v>8.0</v>
      </c>
      <c r="E227" s="14">
        <v>3408.0</v>
      </c>
      <c r="F227" s="14">
        <v>18.0</v>
      </c>
      <c r="G227" s="14">
        <v>3426.0</v>
      </c>
      <c r="H227" s="14">
        <v>12.0</v>
      </c>
      <c r="I227" s="14">
        <v>3438.0</v>
      </c>
      <c r="J227" s="14">
        <v>46.0</v>
      </c>
      <c r="K227" s="14">
        <v>3484.0</v>
      </c>
      <c r="L227" s="14">
        <v>13.0</v>
      </c>
      <c r="M227" s="14">
        <v>3497.0</v>
      </c>
      <c r="N227" s="14">
        <v>14.0</v>
      </c>
      <c r="O227" s="14">
        <v>3511.0</v>
      </c>
      <c r="P227" s="14">
        <v>14.0</v>
      </c>
      <c r="Q227" s="14">
        <v>3525.0</v>
      </c>
      <c r="R227" s="14">
        <v>14.0</v>
      </c>
      <c r="S227" s="14">
        <v>3537.0</v>
      </c>
      <c r="T227" s="14">
        <v>12.0</v>
      </c>
      <c r="U227" s="14">
        <v>3551.0</v>
      </c>
      <c r="V227" s="14">
        <v>14.0</v>
      </c>
      <c r="W227" s="14">
        <v>3564.0</v>
      </c>
      <c r="X227" s="14">
        <v>13.0</v>
      </c>
      <c r="Y227" s="14">
        <v>3576.0</v>
      </c>
      <c r="Z227" s="14">
        <v>12.0</v>
      </c>
      <c r="AA227" s="14">
        <v>3589.0</v>
      </c>
      <c r="AB227" s="14">
        <v>13.0</v>
      </c>
      <c r="AC227" s="14">
        <v>13.0</v>
      </c>
      <c r="AD227" s="14">
        <v>0.0</v>
      </c>
      <c r="AE227" s="14">
        <v>0.0</v>
      </c>
      <c r="AG227" s="14">
        <v>3.0</v>
      </c>
      <c r="AH227" s="14">
        <v>0.0</v>
      </c>
      <c r="AI227" s="14">
        <v>16.0</v>
      </c>
    </row>
    <row r="228" ht="15.75" customHeight="1">
      <c r="A228" s="14">
        <v>230.0</v>
      </c>
      <c r="B228" s="14" t="s">
        <v>702</v>
      </c>
      <c r="C228" s="14" t="s">
        <v>124</v>
      </c>
      <c r="D228" s="14">
        <v>9.0</v>
      </c>
      <c r="E228" s="14">
        <v>947.0</v>
      </c>
      <c r="F228" s="14">
        <v>1.0</v>
      </c>
      <c r="G228" s="14">
        <v>948.0</v>
      </c>
      <c r="H228" s="14">
        <v>1.0</v>
      </c>
      <c r="I228" s="14">
        <v>949.0</v>
      </c>
      <c r="J228" s="14">
        <v>1.0</v>
      </c>
      <c r="K228" s="14">
        <v>950.0</v>
      </c>
      <c r="L228" s="14">
        <v>1.0</v>
      </c>
      <c r="M228" s="14">
        <v>951.0</v>
      </c>
      <c r="N228" s="14">
        <v>0.0</v>
      </c>
      <c r="O228" s="14">
        <v>951.0</v>
      </c>
      <c r="P228" s="14">
        <v>0.0</v>
      </c>
      <c r="Q228" s="14">
        <v>951.0</v>
      </c>
      <c r="R228" s="14">
        <v>0.0</v>
      </c>
      <c r="S228" s="14">
        <v>951.0</v>
      </c>
      <c r="T228" s="14">
        <v>0.0</v>
      </c>
      <c r="U228" s="14">
        <v>952.0</v>
      </c>
      <c r="V228" s="14">
        <v>1.0</v>
      </c>
      <c r="W228" s="14">
        <v>952.0</v>
      </c>
      <c r="X228" s="14">
        <v>0.0</v>
      </c>
      <c r="Y228" s="14">
        <v>952.0</v>
      </c>
      <c r="Z228" s="14">
        <v>0.0</v>
      </c>
      <c r="AA228" s="14">
        <v>952.0</v>
      </c>
      <c r="AB228" s="14">
        <v>0.0</v>
      </c>
      <c r="AC228" s="14">
        <v>5.0</v>
      </c>
      <c r="AD228" s="14">
        <v>8.0</v>
      </c>
      <c r="AE228" s="14">
        <v>0.0</v>
      </c>
      <c r="AG228" s="14">
        <v>3.0</v>
      </c>
      <c r="AH228" s="14">
        <v>20.0</v>
      </c>
      <c r="AI228" s="14">
        <v>36.0</v>
      </c>
    </row>
    <row r="229" ht="15.75" customHeight="1">
      <c r="A229" s="14">
        <v>231.0</v>
      </c>
      <c r="B229" s="14" t="s">
        <v>703</v>
      </c>
      <c r="C229" s="14" t="s">
        <v>124</v>
      </c>
      <c r="D229" s="14">
        <v>10.0</v>
      </c>
      <c r="E229" s="14">
        <v>815.0</v>
      </c>
      <c r="F229" s="14">
        <v>17.0</v>
      </c>
      <c r="G229" s="14">
        <v>832.0</v>
      </c>
      <c r="H229" s="14">
        <v>12.0</v>
      </c>
      <c r="I229" s="14">
        <v>844.0</v>
      </c>
      <c r="J229" s="14">
        <v>13.0</v>
      </c>
      <c r="K229" s="14">
        <v>857.0</v>
      </c>
      <c r="L229" s="14">
        <v>13.0</v>
      </c>
      <c r="M229" s="14">
        <v>870.0</v>
      </c>
      <c r="N229" s="14">
        <v>10.0</v>
      </c>
      <c r="O229" s="14">
        <v>880.0</v>
      </c>
      <c r="P229" s="14">
        <v>9.0</v>
      </c>
      <c r="Q229" s="14">
        <v>889.0</v>
      </c>
      <c r="R229" s="14">
        <v>9.0</v>
      </c>
      <c r="S229" s="14">
        <v>897.0</v>
      </c>
      <c r="T229" s="14">
        <v>8.0</v>
      </c>
      <c r="U229" s="14">
        <v>905.0</v>
      </c>
      <c r="V229" s="14">
        <v>8.0</v>
      </c>
      <c r="W229" s="14">
        <v>913.0</v>
      </c>
      <c r="X229" s="14">
        <v>8.0</v>
      </c>
      <c r="Y229" s="14">
        <v>921.0</v>
      </c>
      <c r="Z229" s="14">
        <v>8.0</v>
      </c>
      <c r="AA229" s="14">
        <v>931.0</v>
      </c>
      <c r="AB229" s="14">
        <v>10.0</v>
      </c>
      <c r="AC229" s="14">
        <v>10.0</v>
      </c>
      <c r="AD229" s="14">
        <v>0.0</v>
      </c>
      <c r="AE229" s="14">
        <v>0.0</v>
      </c>
      <c r="AG229" s="14">
        <v>3.0</v>
      </c>
      <c r="AH229" s="14">
        <v>0.0</v>
      </c>
      <c r="AI229" s="14">
        <v>13.0</v>
      </c>
    </row>
    <row r="230" ht="15.75" customHeight="1">
      <c r="A230" s="14">
        <v>232.0</v>
      </c>
      <c r="B230" s="14" t="s">
        <v>706</v>
      </c>
      <c r="C230" s="14" t="s">
        <v>124</v>
      </c>
      <c r="D230" s="14">
        <v>11.0</v>
      </c>
      <c r="E230" s="14">
        <v>790.0</v>
      </c>
      <c r="F230" s="14">
        <v>1.0</v>
      </c>
      <c r="G230" s="14">
        <v>791.0</v>
      </c>
      <c r="H230" s="14">
        <v>0.0</v>
      </c>
      <c r="I230" s="14">
        <v>791.0</v>
      </c>
      <c r="J230" s="14">
        <v>0.0</v>
      </c>
      <c r="K230" s="14">
        <v>791.0</v>
      </c>
      <c r="L230" s="14">
        <v>0.0</v>
      </c>
      <c r="M230" s="14">
        <v>791.0</v>
      </c>
      <c r="N230" s="14">
        <v>2.0</v>
      </c>
      <c r="O230" s="14">
        <v>793.0</v>
      </c>
      <c r="P230" s="14">
        <v>1.0</v>
      </c>
      <c r="Q230" s="14">
        <v>794.0</v>
      </c>
      <c r="R230" s="14">
        <v>1.0</v>
      </c>
      <c r="S230" s="14">
        <v>795.0</v>
      </c>
      <c r="T230" s="14">
        <v>1.0</v>
      </c>
      <c r="U230" s="14">
        <v>798.0</v>
      </c>
      <c r="V230" s="14">
        <v>3.0</v>
      </c>
      <c r="W230" s="14">
        <v>799.0</v>
      </c>
      <c r="X230" s="14">
        <v>1.0</v>
      </c>
      <c r="Y230" s="14">
        <v>801.0</v>
      </c>
      <c r="Z230" s="14">
        <v>2.0</v>
      </c>
      <c r="AA230" s="14">
        <v>802.0</v>
      </c>
      <c r="AB230" s="14">
        <v>1.0</v>
      </c>
      <c r="AC230" s="14">
        <v>5.0</v>
      </c>
      <c r="AD230" s="14">
        <v>0.0</v>
      </c>
      <c r="AE230" s="14">
        <v>0.0</v>
      </c>
      <c r="AG230" s="14">
        <v>3.0</v>
      </c>
      <c r="AH230" s="14">
        <v>20.0</v>
      </c>
      <c r="AI230" s="14">
        <v>28.0</v>
      </c>
    </row>
    <row r="231" ht="15.75" customHeight="1">
      <c r="A231" s="14">
        <v>233.0</v>
      </c>
      <c r="B231" s="14" t="s">
        <v>709</v>
      </c>
      <c r="C231" s="14" t="s">
        <v>124</v>
      </c>
      <c r="D231" s="14">
        <v>13.0</v>
      </c>
      <c r="E231" s="14">
        <v>3687.0</v>
      </c>
      <c r="F231" s="14">
        <v>12.0</v>
      </c>
      <c r="G231" s="14">
        <v>3699.0</v>
      </c>
      <c r="H231" s="14">
        <v>9.0</v>
      </c>
      <c r="I231" s="14">
        <v>3708.0</v>
      </c>
      <c r="J231" s="14">
        <v>6.0</v>
      </c>
      <c r="K231" s="14">
        <v>3714.0</v>
      </c>
      <c r="L231" s="14">
        <v>9.0</v>
      </c>
      <c r="M231" s="14">
        <v>3723.0</v>
      </c>
      <c r="N231" s="14">
        <v>9.0</v>
      </c>
      <c r="O231" s="14">
        <v>9.0</v>
      </c>
      <c r="P231" s="14">
        <v>-2.0</v>
      </c>
      <c r="Q231" s="14">
        <v>7.0</v>
      </c>
      <c r="R231" s="14">
        <v>-2.0</v>
      </c>
      <c r="S231" s="14">
        <v>12.0</v>
      </c>
      <c r="T231" s="14">
        <v>5.0</v>
      </c>
      <c r="U231" s="14">
        <v>20.0</v>
      </c>
      <c r="V231" s="14">
        <v>8.0</v>
      </c>
      <c r="W231" s="14">
        <v>35.0</v>
      </c>
      <c r="X231" s="14">
        <v>15.0</v>
      </c>
      <c r="Y231" s="14">
        <v>41.0</v>
      </c>
      <c r="Z231" s="14">
        <v>6.0</v>
      </c>
      <c r="AA231" s="14">
        <v>48.0</v>
      </c>
      <c r="AB231" s="14">
        <v>7.0</v>
      </c>
      <c r="AC231" s="14">
        <v>7.0</v>
      </c>
      <c r="AD231" s="14">
        <v>0.0</v>
      </c>
      <c r="AE231" s="14">
        <v>0.0</v>
      </c>
      <c r="AG231" s="14">
        <v>3.0</v>
      </c>
      <c r="AH231" s="14">
        <v>0.0</v>
      </c>
      <c r="AI231" s="14">
        <v>10.0</v>
      </c>
    </row>
    <row r="232" ht="15.75" customHeight="1">
      <c r="A232" s="14">
        <v>234.0</v>
      </c>
      <c r="B232" s="14" t="s">
        <v>711</v>
      </c>
      <c r="C232" s="14" t="s">
        <v>124</v>
      </c>
      <c r="D232" s="14">
        <v>14.0</v>
      </c>
      <c r="E232" s="14">
        <v>1711.0</v>
      </c>
      <c r="F232" s="14">
        <v>10.0</v>
      </c>
      <c r="G232" s="14">
        <v>1721.0</v>
      </c>
      <c r="H232" s="14">
        <v>9.0</v>
      </c>
      <c r="I232" s="14">
        <v>1730.0</v>
      </c>
      <c r="J232" s="14">
        <v>5.0</v>
      </c>
      <c r="K232" s="14">
        <v>1735.0</v>
      </c>
      <c r="L232" s="14">
        <v>12.0</v>
      </c>
      <c r="M232" s="14">
        <v>1747.0</v>
      </c>
      <c r="N232" s="14">
        <v>10.0</v>
      </c>
      <c r="O232" s="14">
        <v>1757.0</v>
      </c>
      <c r="P232" s="14">
        <v>11.0</v>
      </c>
      <c r="Q232" s="14">
        <v>1768.0</v>
      </c>
      <c r="R232" s="14">
        <v>11.0</v>
      </c>
      <c r="S232" s="14">
        <v>1774.0</v>
      </c>
      <c r="T232" s="14">
        <v>6.0</v>
      </c>
      <c r="U232" s="14">
        <v>1782.0</v>
      </c>
      <c r="V232" s="14">
        <v>8.0</v>
      </c>
      <c r="W232" s="14">
        <v>1790.0</v>
      </c>
      <c r="X232" s="14">
        <v>8.0</v>
      </c>
      <c r="Y232" s="14">
        <v>1797.0</v>
      </c>
      <c r="Z232" s="14">
        <v>7.0</v>
      </c>
      <c r="AA232" s="14">
        <v>1808.0</v>
      </c>
      <c r="AB232" s="14">
        <v>11.0</v>
      </c>
      <c r="AC232" s="14">
        <v>11.0</v>
      </c>
      <c r="AD232" s="14">
        <v>0.0</v>
      </c>
      <c r="AE232" s="14">
        <v>0.0</v>
      </c>
      <c r="AG232" s="14">
        <v>3.0</v>
      </c>
      <c r="AH232" s="14">
        <v>0.0</v>
      </c>
      <c r="AI232" s="14">
        <v>14.0</v>
      </c>
    </row>
    <row r="233" ht="15.75" customHeight="1">
      <c r="A233" s="14">
        <v>235.0</v>
      </c>
      <c r="B233" s="14" t="s">
        <v>713</v>
      </c>
      <c r="C233" s="14" t="s">
        <v>124</v>
      </c>
      <c r="D233" s="14">
        <v>15.0</v>
      </c>
      <c r="E233" s="14">
        <v>8.0</v>
      </c>
      <c r="F233" s="14">
        <v>1.0</v>
      </c>
      <c r="G233" s="14">
        <v>9.0</v>
      </c>
      <c r="H233" s="14">
        <v>1.0</v>
      </c>
      <c r="I233" s="14">
        <v>10.0</v>
      </c>
      <c r="J233" s="14">
        <v>4.0</v>
      </c>
      <c r="K233" s="14">
        <v>14.0</v>
      </c>
      <c r="L233" s="14">
        <v>4.0</v>
      </c>
      <c r="M233" s="14">
        <v>18.0</v>
      </c>
      <c r="N233" s="14">
        <v>2.0</v>
      </c>
      <c r="O233" s="14">
        <v>20.0</v>
      </c>
      <c r="P233" s="14">
        <v>0.0</v>
      </c>
      <c r="Q233" s="14">
        <v>20.0</v>
      </c>
      <c r="R233" s="14">
        <v>0.0</v>
      </c>
      <c r="S233" s="14">
        <v>21.0</v>
      </c>
      <c r="T233" s="14">
        <v>1.0</v>
      </c>
      <c r="U233" s="14">
        <v>22.0</v>
      </c>
      <c r="V233" s="14">
        <v>1.0</v>
      </c>
      <c r="W233" s="14">
        <v>26.0</v>
      </c>
      <c r="X233" s="14">
        <v>4.0</v>
      </c>
      <c r="Y233" s="14">
        <v>29.0</v>
      </c>
      <c r="Z233" s="14">
        <v>3.0</v>
      </c>
      <c r="AA233" s="14">
        <v>32.0</v>
      </c>
      <c r="AB233" s="14">
        <v>3.0</v>
      </c>
      <c r="AC233" s="14">
        <v>5.0</v>
      </c>
      <c r="AD233" s="14">
        <v>0.0</v>
      </c>
      <c r="AE233" s="14">
        <v>0.0</v>
      </c>
      <c r="AG233" s="14">
        <v>3.0</v>
      </c>
      <c r="AH233" s="14">
        <v>0.0</v>
      </c>
      <c r="AI233" s="14">
        <v>8.0</v>
      </c>
    </row>
    <row r="234" ht="15.75" customHeight="1">
      <c r="A234" s="14">
        <v>236.0</v>
      </c>
      <c r="B234" s="14" t="s">
        <v>719</v>
      </c>
      <c r="C234" s="14" t="s">
        <v>124</v>
      </c>
      <c r="D234" s="14">
        <v>18.0</v>
      </c>
      <c r="E234" s="14">
        <v>2341.0</v>
      </c>
      <c r="F234" s="14">
        <v>17.0</v>
      </c>
      <c r="G234" s="14">
        <v>2358.0</v>
      </c>
      <c r="H234" s="14">
        <v>19.0</v>
      </c>
      <c r="I234" s="14">
        <v>2377.0</v>
      </c>
      <c r="J234" s="14">
        <v>15.0</v>
      </c>
      <c r="K234" s="14">
        <v>2392.0</v>
      </c>
      <c r="L234" s="14">
        <v>16.0</v>
      </c>
      <c r="M234" s="14">
        <v>2408.0</v>
      </c>
      <c r="N234" s="14">
        <v>13.0</v>
      </c>
      <c r="O234" s="14">
        <v>2421.0</v>
      </c>
      <c r="P234" s="14">
        <v>8.0</v>
      </c>
      <c r="Q234" s="14">
        <v>2429.0</v>
      </c>
      <c r="R234" s="14">
        <v>8.0</v>
      </c>
      <c r="S234" s="14">
        <v>2440.0</v>
      </c>
      <c r="T234" s="14">
        <v>11.0</v>
      </c>
      <c r="U234" s="14">
        <v>2448.0</v>
      </c>
      <c r="V234" s="14">
        <v>8.0</v>
      </c>
      <c r="W234" s="14">
        <v>2459.0</v>
      </c>
      <c r="X234" s="14">
        <v>11.0</v>
      </c>
      <c r="Y234" s="14">
        <v>2469.0</v>
      </c>
      <c r="Z234" s="14">
        <v>10.0</v>
      </c>
      <c r="AA234" s="14">
        <v>2479.0</v>
      </c>
      <c r="AB234" s="14">
        <v>10.0</v>
      </c>
      <c r="AC234" s="14">
        <v>10.0</v>
      </c>
      <c r="AD234" s="14">
        <v>0.0</v>
      </c>
      <c r="AE234" s="14">
        <v>0.0</v>
      </c>
      <c r="AG234" s="14">
        <v>3.0</v>
      </c>
      <c r="AH234" s="14">
        <v>0.0</v>
      </c>
      <c r="AI234" s="14">
        <v>13.0</v>
      </c>
    </row>
    <row r="235" ht="15.75" customHeight="1">
      <c r="A235" s="14">
        <v>237.0</v>
      </c>
      <c r="B235" s="14" t="s">
        <v>723</v>
      </c>
      <c r="C235" s="14" t="s">
        <v>124</v>
      </c>
      <c r="D235" s="14">
        <v>19.0</v>
      </c>
      <c r="E235" s="14">
        <v>2283.0</v>
      </c>
      <c r="F235" s="14">
        <v>17.0</v>
      </c>
      <c r="G235" s="14">
        <v>2300.0</v>
      </c>
      <c r="H235" s="14">
        <v>19.0</v>
      </c>
      <c r="I235" s="14">
        <v>2319.0</v>
      </c>
      <c r="J235" s="14">
        <v>19.0</v>
      </c>
      <c r="K235" s="14">
        <v>2338.0</v>
      </c>
      <c r="L235" s="14">
        <v>18.0</v>
      </c>
      <c r="M235" s="14">
        <v>2356.0</v>
      </c>
      <c r="N235" s="14">
        <v>16.0</v>
      </c>
      <c r="O235" s="14">
        <v>2372.0</v>
      </c>
      <c r="P235" s="14">
        <v>15.0</v>
      </c>
      <c r="Q235" s="14">
        <v>2387.0</v>
      </c>
      <c r="R235" s="14">
        <v>15.0</v>
      </c>
      <c r="S235" s="14">
        <v>2401.0</v>
      </c>
      <c r="T235" s="14">
        <v>14.0</v>
      </c>
      <c r="U235" s="14">
        <v>2418.0</v>
      </c>
      <c r="V235" s="14">
        <v>17.0</v>
      </c>
      <c r="W235" s="14">
        <v>2435.0</v>
      </c>
      <c r="X235" s="14">
        <v>17.0</v>
      </c>
      <c r="Y235" s="14">
        <v>2451.0</v>
      </c>
      <c r="Z235" s="14">
        <v>16.0</v>
      </c>
      <c r="AA235" s="14">
        <v>2472.0</v>
      </c>
      <c r="AB235" s="14">
        <v>21.0</v>
      </c>
      <c r="AC235" s="14">
        <v>21.0</v>
      </c>
      <c r="AD235" s="14">
        <v>0.0</v>
      </c>
      <c r="AE235" s="14">
        <v>0.0</v>
      </c>
      <c r="AG235" s="14">
        <v>3.0</v>
      </c>
      <c r="AH235" s="14">
        <v>0.0</v>
      </c>
      <c r="AI235" s="14">
        <v>24.0</v>
      </c>
    </row>
    <row r="236" ht="15.75" customHeight="1">
      <c r="A236" s="14">
        <v>238.0</v>
      </c>
      <c r="B236" s="14" t="s">
        <v>726</v>
      </c>
      <c r="C236" s="14" t="s">
        <v>124</v>
      </c>
      <c r="D236" s="14">
        <v>20.0</v>
      </c>
      <c r="E236" s="14">
        <v>1752.0</v>
      </c>
      <c r="F236" s="14">
        <v>20.0</v>
      </c>
      <c r="G236" s="14">
        <v>1772.0</v>
      </c>
      <c r="H236" s="14">
        <v>22.0</v>
      </c>
      <c r="I236" s="14">
        <v>1794.0</v>
      </c>
      <c r="J236" s="14">
        <v>20.0</v>
      </c>
      <c r="K236" s="14">
        <v>1814.0</v>
      </c>
      <c r="L236" s="14">
        <v>17.0</v>
      </c>
      <c r="M236" s="14">
        <v>1831.0</v>
      </c>
      <c r="N236" s="14">
        <v>18.0</v>
      </c>
      <c r="O236" s="14">
        <v>1849.0</v>
      </c>
      <c r="P236" s="14">
        <v>16.0</v>
      </c>
      <c r="Q236" s="14">
        <v>1865.0</v>
      </c>
      <c r="R236" s="14">
        <v>16.0</v>
      </c>
      <c r="S236" s="14">
        <v>1878.0</v>
      </c>
      <c r="T236" s="14">
        <v>13.0</v>
      </c>
      <c r="U236" s="14">
        <v>1895.0</v>
      </c>
      <c r="V236" s="14">
        <v>17.0</v>
      </c>
      <c r="W236" s="14">
        <v>1914.0</v>
      </c>
      <c r="X236" s="14">
        <v>19.0</v>
      </c>
      <c r="Y236" s="14">
        <v>1931.0</v>
      </c>
      <c r="Z236" s="14">
        <v>17.0</v>
      </c>
      <c r="AA236" s="14">
        <v>1950.0</v>
      </c>
      <c r="AB236" s="14">
        <v>19.0</v>
      </c>
      <c r="AC236" s="14">
        <v>19.0</v>
      </c>
      <c r="AD236" s="14">
        <v>0.0</v>
      </c>
      <c r="AE236" s="14">
        <v>0.0</v>
      </c>
      <c r="AG236" s="14">
        <v>3.0</v>
      </c>
      <c r="AH236" s="14">
        <v>0.0</v>
      </c>
      <c r="AI236" s="14">
        <v>22.0</v>
      </c>
    </row>
    <row r="237" ht="15.75" customHeight="1">
      <c r="A237" s="14">
        <v>239.0</v>
      </c>
      <c r="B237" s="14" t="s">
        <v>820</v>
      </c>
      <c r="C237" s="14" t="s">
        <v>124</v>
      </c>
      <c r="D237" s="14">
        <v>21.0</v>
      </c>
      <c r="E237" s="14">
        <v>3149.0</v>
      </c>
      <c r="F237" s="14">
        <v>21.0</v>
      </c>
      <c r="G237" s="14">
        <v>3170.0</v>
      </c>
      <c r="H237" s="14">
        <v>22.0</v>
      </c>
      <c r="I237" s="14">
        <v>3192.0</v>
      </c>
      <c r="J237" s="14">
        <v>22.0</v>
      </c>
      <c r="K237" s="14">
        <v>3214.0</v>
      </c>
      <c r="L237" s="14">
        <v>20.0</v>
      </c>
      <c r="M237" s="14">
        <v>3234.0</v>
      </c>
      <c r="N237" s="14">
        <v>19.0</v>
      </c>
      <c r="O237" s="14">
        <v>3253.0</v>
      </c>
      <c r="P237" s="14">
        <v>18.0</v>
      </c>
      <c r="Q237" s="14">
        <v>3271.0</v>
      </c>
      <c r="R237" s="14">
        <v>18.0</v>
      </c>
      <c r="S237" s="14">
        <v>3287.0</v>
      </c>
      <c r="T237" s="14">
        <v>16.0</v>
      </c>
      <c r="U237" s="14">
        <v>3303.0</v>
      </c>
      <c r="V237" s="14">
        <v>16.0</v>
      </c>
      <c r="W237" s="14">
        <v>3323.0</v>
      </c>
      <c r="X237" s="14">
        <v>20.0</v>
      </c>
      <c r="Y237" s="14">
        <v>3343.0</v>
      </c>
      <c r="Z237" s="14">
        <v>20.0</v>
      </c>
      <c r="AA237" s="14">
        <v>3366.0</v>
      </c>
      <c r="AB237" s="14">
        <v>23.0</v>
      </c>
      <c r="AC237" s="14">
        <v>23.0</v>
      </c>
      <c r="AD237" s="14">
        <v>0.0</v>
      </c>
      <c r="AE237" s="14">
        <v>0.0</v>
      </c>
      <c r="AG237" s="14">
        <v>3.0</v>
      </c>
      <c r="AH237" s="14">
        <v>0.0</v>
      </c>
      <c r="AI237" s="14">
        <v>26.0</v>
      </c>
    </row>
    <row r="238" ht="15.75" customHeight="1">
      <c r="A238" s="14">
        <v>240.0</v>
      </c>
      <c r="B238" s="14" t="s">
        <v>731</v>
      </c>
      <c r="C238" s="14" t="s">
        <v>124</v>
      </c>
      <c r="D238" s="14">
        <v>22.0</v>
      </c>
      <c r="E238" s="14">
        <v>3370.0</v>
      </c>
      <c r="F238" s="14">
        <v>14.0</v>
      </c>
      <c r="G238" s="14">
        <v>3384.0</v>
      </c>
      <c r="H238" s="14">
        <v>13.0</v>
      </c>
      <c r="I238" s="14">
        <v>3397.0</v>
      </c>
      <c r="J238" s="14">
        <v>19.0</v>
      </c>
      <c r="K238" s="14">
        <v>3416.0</v>
      </c>
      <c r="L238" s="14">
        <v>18.0</v>
      </c>
      <c r="M238" s="14">
        <v>3434.0</v>
      </c>
      <c r="N238" s="14">
        <v>15.0</v>
      </c>
      <c r="O238" s="14">
        <v>3449.0</v>
      </c>
      <c r="P238" s="14">
        <v>22.0</v>
      </c>
      <c r="Q238" s="14">
        <v>3471.0</v>
      </c>
      <c r="R238" s="14">
        <v>22.0</v>
      </c>
      <c r="S238" s="14">
        <v>3499.0</v>
      </c>
      <c r="T238" s="14">
        <v>28.0</v>
      </c>
      <c r="U238" s="14">
        <v>3534.0</v>
      </c>
      <c r="V238" s="14">
        <v>35.0</v>
      </c>
      <c r="W238" s="14">
        <v>3565.0</v>
      </c>
      <c r="X238" s="14">
        <v>31.0</v>
      </c>
      <c r="Y238" s="14">
        <v>3586.0</v>
      </c>
      <c r="Z238" s="14">
        <v>21.0</v>
      </c>
      <c r="AA238" s="14">
        <v>3605.0</v>
      </c>
      <c r="AB238" s="14">
        <v>19.0</v>
      </c>
      <c r="AC238" s="14">
        <v>19.0</v>
      </c>
      <c r="AD238" s="14">
        <v>0.0</v>
      </c>
      <c r="AE238" s="14">
        <v>0.0</v>
      </c>
      <c r="AG238" s="14">
        <v>3.0</v>
      </c>
      <c r="AH238" s="14">
        <v>0.0</v>
      </c>
      <c r="AI238" s="14">
        <v>22.0</v>
      </c>
    </row>
    <row r="239" ht="15.75" customHeight="1">
      <c r="A239" s="14">
        <v>241.0</v>
      </c>
      <c r="B239" s="14" t="s">
        <v>732</v>
      </c>
      <c r="C239" s="14" t="s">
        <v>128</v>
      </c>
      <c r="D239" s="14">
        <v>1.0</v>
      </c>
      <c r="E239" s="14">
        <v>1824.0</v>
      </c>
      <c r="F239" s="14">
        <v>18.0</v>
      </c>
      <c r="G239" s="14">
        <v>1842.0</v>
      </c>
      <c r="H239" s="14">
        <v>16.0</v>
      </c>
      <c r="I239" s="14">
        <v>1858.0</v>
      </c>
      <c r="J239" s="14">
        <v>14.0</v>
      </c>
      <c r="K239" s="14">
        <v>1872.0</v>
      </c>
      <c r="L239" s="14">
        <v>15.0</v>
      </c>
      <c r="M239" s="14">
        <v>1887.0</v>
      </c>
      <c r="N239" s="14">
        <v>14.0</v>
      </c>
      <c r="O239" s="14">
        <v>1901.0</v>
      </c>
      <c r="P239" s="14">
        <v>17.0</v>
      </c>
      <c r="Q239" s="14">
        <v>1918.0</v>
      </c>
      <c r="R239" s="14">
        <v>17.0</v>
      </c>
      <c r="S239" s="14">
        <v>1931.0</v>
      </c>
      <c r="T239" s="14">
        <v>13.0</v>
      </c>
      <c r="U239" s="14">
        <v>1945.0</v>
      </c>
      <c r="V239" s="14">
        <v>14.0</v>
      </c>
      <c r="W239" s="14">
        <v>1958.0</v>
      </c>
      <c r="X239" s="14">
        <v>13.0</v>
      </c>
      <c r="Y239" s="14">
        <v>1974.0</v>
      </c>
      <c r="Z239" s="14">
        <v>16.0</v>
      </c>
      <c r="AA239" s="14">
        <v>1982.0</v>
      </c>
      <c r="AB239" s="14">
        <v>8.0</v>
      </c>
      <c r="AC239" s="14">
        <v>8.0</v>
      </c>
      <c r="AD239" s="14">
        <v>0.0</v>
      </c>
      <c r="AE239" s="14">
        <v>0.0</v>
      </c>
      <c r="AG239" s="14">
        <v>3.0</v>
      </c>
      <c r="AH239" s="14">
        <v>20.0</v>
      </c>
      <c r="AI239" s="14">
        <v>31.0</v>
      </c>
    </row>
    <row r="240" ht="15.75" customHeight="1">
      <c r="A240" s="14">
        <v>242.0</v>
      </c>
      <c r="B240" s="14" t="s">
        <v>736</v>
      </c>
      <c r="C240" s="14" t="s">
        <v>128</v>
      </c>
      <c r="D240" s="14">
        <v>2.0</v>
      </c>
      <c r="E240" s="14">
        <v>3587.0</v>
      </c>
      <c r="F240" s="14">
        <v>32.0</v>
      </c>
      <c r="G240" s="14">
        <v>3619.0</v>
      </c>
      <c r="H240" s="14">
        <v>32.0</v>
      </c>
      <c r="I240" s="14">
        <v>3651.0</v>
      </c>
      <c r="J240" s="14">
        <v>27.0</v>
      </c>
      <c r="K240" s="14">
        <v>3678.0</v>
      </c>
      <c r="L240" s="14">
        <v>21.0</v>
      </c>
      <c r="M240" s="14">
        <v>3699.0</v>
      </c>
      <c r="N240" s="14">
        <v>31.0</v>
      </c>
      <c r="O240" s="14">
        <v>3730.0</v>
      </c>
      <c r="P240" s="14">
        <v>21.0</v>
      </c>
      <c r="Q240" s="14">
        <v>3751.0</v>
      </c>
      <c r="R240" s="14">
        <v>21.0</v>
      </c>
      <c r="S240" s="14">
        <v>3766.0</v>
      </c>
      <c r="T240" s="14">
        <v>15.0</v>
      </c>
      <c r="U240" s="14">
        <v>3786.0</v>
      </c>
      <c r="V240" s="14">
        <v>20.0</v>
      </c>
      <c r="W240" s="14">
        <v>3807.0</v>
      </c>
      <c r="X240" s="14">
        <v>21.0</v>
      </c>
      <c r="Y240" s="14">
        <v>3828.0</v>
      </c>
      <c r="Z240" s="14">
        <v>21.0</v>
      </c>
      <c r="AA240" s="14">
        <v>3854.0</v>
      </c>
      <c r="AB240" s="14">
        <v>26.0</v>
      </c>
      <c r="AC240" s="14">
        <v>26.0</v>
      </c>
      <c r="AD240" s="14">
        <v>0.0</v>
      </c>
      <c r="AE240" s="14">
        <v>0.0</v>
      </c>
      <c r="AG240" s="14">
        <v>3.0</v>
      </c>
      <c r="AH240" s="14">
        <v>0.0</v>
      </c>
      <c r="AI240" s="14">
        <v>29.0</v>
      </c>
    </row>
    <row r="241" ht="15.75" customHeight="1">
      <c r="A241" s="14">
        <v>243.0</v>
      </c>
      <c r="B241" s="14" t="s">
        <v>738</v>
      </c>
      <c r="C241" s="14" t="s">
        <v>128</v>
      </c>
      <c r="D241" s="14">
        <v>3.0</v>
      </c>
      <c r="E241" s="14">
        <v>1281.0</v>
      </c>
      <c r="F241" s="14">
        <v>6.0</v>
      </c>
      <c r="G241" s="14">
        <v>1287.0</v>
      </c>
      <c r="H241" s="14">
        <v>6.0</v>
      </c>
      <c r="I241" s="14">
        <v>1293.0</v>
      </c>
      <c r="J241" s="14">
        <v>8.0</v>
      </c>
      <c r="K241" s="14">
        <v>1301.0</v>
      </c>
      <c r="L241" s="14">
        <v>6.0</v>
      </c>
      <c r="M241" s="14">
        <v>1307.0</v>
      </c>
      <c r="N241" s="14">
        <v>5.0</v>
      </c>
      <c r="O241" s="14">
        <v>1312.0</v>
      </c>
      <c r="P241" s="14">
        <v>7.0</v>
      </c>
      <c r="Q241" s="14">
        <v>1319.0</v>
      </c>
      <c r="R241" s="14">
        <v>7.0</v>
      </c>
      <c r="S241" s="14">
        <v>1324.0</v>
      </c>
      <c r="T241" s="14">
        <v>5.0</v>
      </c>
      <c r="U241" s="14">
        <v>0.0</v>
      </c>
      <c r="V241" s="14">
        <v>5.0</v>
      </c>
      <c r="W241" s="14">
        <v>1334.0</v>
      </c>
      <c r="X241" s="14">
        <v>13.0</v>
      </c>
      <c r="Y241" s="14">
        <v>1335.0</v>
      </c>
      <c r="Z241" s="14">
        <v>1.0</v>
      </c>
      <c r="AA241" s="14">
        <v>1341.0</v>
      </c>
      <c r="AB241" s="14">
        <v>6.0</v>
      </c>
      <c r="AC241" s="14">
        <v>6.0</v>
      </c>
      <c r="AD241" s="14">
        <v>0.0</v>
      </c>
      <c r="AE241" s="14">
        <v>0.0</v>
      </c>
      <c r="AG241" s="14">
        <v>3.0</v>
      </c>
      <c r="AH241" s="14">
        <v>0.0</v>
      </c>
      <c r="AI241" s="14">
        <v>9.0</v>
      </c>
    </row>
    <row r="242" ht="15.75" customHeight="1">
      <c r="A242" s="14">
        <v>244.0</v>
      </c>
      <c r="B242" s="14" t="s">
        <v>739</v>
      </c>
      <c r="C242" s="14" t="s">
        <v>128</v>
      </c>
      <c r="D242" s="14">
        <v>4.0</v>
      </c>
      <c r="E242" s="14">
        <v>21.0</v>
      </c>
      <c r="F242" s="14">
        <v>5.0</v>
      </c>
      <c r="G242" s="14">
        <v>26.0</v>
      </c>
      <c r="H242" s="14">
        <v>2.0</v>
      </c>
      <c r="I242" s="14">
        <v>28.0</v>
      </c>
      <c r="J242" s="14">
        <v>2.0</v>
      </c>
      <c r="K242" s="14">
        <v>30.0</v>
      </c>
      <c r="L242" s="14">
        <v>0.0</v>
      </c>
      <c r="M242" s="14">
        <v>30.0</v>
      </c>
      <c r="N242" s="14">
        <v>0.0</v>
      </c>
      <c r="O242" s="14">
        <v>30.0</v>
      </c>
      <c r="P242" s="14">
        <v>0.0</v>
      </c>
      <c r="Q242" s="14">
        <v>30.0</v>
      </c>
      <c r="R242" s="14">
        <v>0.0</v>
      </c>
      <c r="S242" s="14">
        <v>30.0</v>
      </c>
      <c r="T242" s="14">
        <v>0.0</v>
      </c>
      <c r="U242" s="14">
        <v>31.0</v>
      </c>
      <c r="V242" s="14">
        <v>1.0</v>
      </c>
      <c r="W242" s="14">
        <v>39.0</v>
      </c>
      <c r="X242" s="14">
        <v>8.0</v>
      </c>
      <c r="Y242" s="14">
        <v>45.0</v>
      </c>
      <c r="Z242" s="14">
        <v>6.0</v>
      </c>
      <c r="AA242" s="14">
        <v>48.0</v>
      </c>
      <c r="AB242" s="14">
        <v>3.0</v>
      </c>
      <c r="AC242" s="14">
        <v>5.0</v>
      </c>
      <c r="AD242" s="14">
        <v>0.0</v>
      </c>
      <c r="AE242" s="14">
        <v>0.0</v>
      </c>
      <c r="AG242" s="14">
        <v>3.0</v>
      </c>
      <c r="AH242" s="14">
        <v>0.0</v>
      </c>
      <c r="AI242" s="14">
        <v>8.0</v>
      </c>
    </row>
    <row r="243" ht="15.75" customHeight="1">
      <c r="A243" s="14">
        <v>245.0</v>
      </c>
      <c r="B243" s="14" t="s">
        <v>742</v>
      </c>
      <c r="C243" s="14" t="s">
        <v>128</v>
      </c>
      <c r="D243" s="14">
        <v>5.0</v>
      </c>
      <c r="E243" s="14">
        <v>54.0</v>
      </c>
      <c r="F243" s="14">
        <v>33.0</v>
      </c>
      <c r="G243" s="14">
        <v>87.0</v>
      </c>
      <c r="H243" s="14">
        <v>30.0</v>
      </c>
      <c r="I243" s="14">
        <v>117.0</v>
      </c>
      <c r="J243" s="14">
        <v>31.0</v>
      </c>
      <c r="K243" s="14">
        <v>148.0</v>
      </c>
      <c r="L243" s="14">
        <v>31.0</v>
      </c>
      <c r="M243" s="14">
        <v>179.0</v>
      </c>
      <c r="N243" s="14">
        <v>26.0</v>
      </c>
      <c r="O243" s="14">
        <v>205.0</v>
      </c>
      <c r="P243" s="14">
        <v>25.0</v>
      </c>
      <c r="Q243" s="14">
        <v>230.0</v>
      </c>
      <c r="R243" s="14">
        <v>25.0</v>
      </c>
      <c r="S243" s="14">
        <v>253.0</v>
      </c>
      <c r="T243" s="14">
        <v>23.0</v>
      </c>
      <c r="U243" s="14">
        <v>277.0</v>
      </c>
      <c r="V243" s="14">
        <v>24.0</v>
      </c>
      <c r="W243" s="14">
        <v>303.0</v>
      </c>
      <c r="X243" s="14">
        <v>26.0</v>
      </c>
      <c r="Y243" s="14">
        <v>328.0</v>
      </c>
      <c r="Z243" s="14">
        <v>25.0</v>
      </c>
      <c r="AA243" s="14">
        <v>352.0</v>
      </c>
      <c r="AB243" s="14">
        <v>24.0</v>
      </c>
      <c r="AC243" s="14">
        <v>24.0</v>
      </c>
      <c r="AD243" s="14">
        <v>0.0</v>
      </c>
      <c r="AE243" s="14">
        <v>0.0</v>
      </c>
      <c r="AG243" s="14">
        <v>3.0</v>
      </c>
      <c r="AH243" s="14">
        <v>20.0</v>
      </c>
      <c r="AI243" s="14">
        <v>47.0</v>
      </c>
    </row>
    <row r="244" ht="15.75" customHeight="1">
      <c r="A244" s="14">
        <v>246.0</v>
      </c>
      <c r="B244" s="14" t="s">
        <v>743</v>
      </c>
      <c r="C244" s="14" t="s">
        <v>132</v>
      </c>
      <c r="D244" s="14">
        <v>1.0</v>
      </c>
      <c r="E244" s="14">
        <v>1345.0</v>
      </c>
      <c r="F244" s="14">
        <v>8.0</v>
      </c>
      <c r="G244" s="14">
        <v>1353.0</v>
      </c>
      <c r="H244" s="14">
        <v>9.0</v>
      </c>
      <c r="I244" s="14">
        <v>1362.0</v>
      </c>
      <c r="J244" s="14">
        <v>7.0</v>
      </c>
      <c r="K244" s="14">
        <v>1369.0</v>
      </c>
      <c r="L244" s="14">
        <v>9.0</v>
      </c>
      <c r="M244" s="14">
        <v>1378.0</v>
      </c>
      <c r="N244" s="14">
        <v>8.0</v>
      </c>
      <c r="O244" s="14">
        <v>1386.0</v>
      </c>
      <c r="P244" s="14">
        <v>7.0</v>
      </c>
      <c r="Q244" s="14">
        <v>1393.0</v>
      </c>
      <c r="R244" s="14">
        <v>7.0</v>
      </c>
      <c r="S244" s="14">
        <v>1397.0</v>
      </c>
      <c r="T244" s="14">
        <v>4.0</v>
      </c>
      <c r="U244" s="14">
        <v>1402.0</v>
      </c>
      <c r="V244" s="14">
        <v>5.0</v>
      </c>
      <c r="W244" s="14">
        <v>1407.0</v>
      </c>
      <c r="X244" s="14">
        <v>5.0</v>
      </c>
      <c r="Y244" s="14">
        <v>1414.0</v>
      </c>
      <c r="Z244" s="14">
        <v>7.0</v>
      </c>
      <c r="AA244" s="14">
        <v>1422.0</v>
      </c>
      <c r="AB244" s="14">
        <v>8.0</v>
      </c>
      <c r="AC244" s="14">
        <v>8.0</v>
      </c>
      <c r="AD244" s="14">
        <v>0.0</v>
      </c>
      <c r="AE244" s="14">
        <v>0.0</v>
      </c>
      <c r="AG244" s="14">
        <v>3.0</v>
      </c>
      <c r="AH244" s="14">
        <v>0.0</v>
      </c>
      <c r="AI244" s="14">
        <v>11.0</v>
      </c>
    </row>
    <row r="245" ht="15.75" customHeight="1">
      <c r="A245" s="14">
        <v>247.0</v>
      </c>
      <c r="B245" s="14" t="s">
        <v>745</v>
      </c>
      <c r="C245" s="14" t="s">
        <v>132</v>
      </c>
      <c r="D245" s="14">
        <v>2.0</v>
      </c>
      <c r="E245" s="14">
        <v>2225.0</v>
      </c>
      <c r="F245" s="14">
        <v>12.0</v>
      </c>
      <c r="G245" s="14">
        <v>2237.0</v>
      </c>
      <c r="H245" s="14">
        <v>11.0</v>
      </c>
      <c r="I245" s="14">
        <v>2248.0</v>
      </c>
      <c r="J245" s="14">
        <v>12.0</v>
      </c>
      <c r="K245" s="14">
        <v>2260.0</v>
      </c>
      <c r="L245" s="14">
        <v>14.0</v>
      </c>
      <c r="M245" s="14">
        <v>2274.0</v>
      </c>
      <c r="N245" s="14">
        <v>13.0</v>
      </c>
      <c r="O245" s="14">
        <v>2287.0</v>
      </c>
      <c r="P245" s="14">
        <v>11.0</v>
      </c>
      <c r="Q245" s="14">
        <v>2298.0</v>
      </c>
      <c r="R245" s="14">
        <v>11.0</v>
      </c>
      <c r="S245" s="14">
        <v>2307.0</v>
      </c>
      <c r="T245" s="14">
        <v>9.0</v>
      </c>
      <c r="U245" s="14">
        <v>2314.0</v>
      </c>
      <c r="V245" s="14">
        <v>7.0</v>
      </c>
      <c r="W245" s="14">
        <v>2322.0</v>
      </c>
      <c r="X245" s="14">
        <v>8.0</v>
      </c>
      <c r="Y245" s="14">
        <v>2331.0</v>
      </c>
      <c r="Z245" s="14">
        <v>9.0</v>
      </c>
      <c r="AA245" s="14">
        <v>2340.0</v>
      </c>
      <c r="AB245" s="14">
        <v>9.0</v>
      </c>
      <c r="AC245" s="14">
        <v>9.0</v>
      </c>
      <c r="AD245" s="14">
        <v>0.0</v>
      </c>
      <c r="AE245" s="14">
        <v>0.0</v>
      </c>
      <c r="AG245" s="14">
        <v>3.0</v>
      </c>
      <c r="AH245" s="14">
        <v>0.0</v>
      </c>
      <c r="AI245" s="14">
        <v>12.0</v>
      </c>
    </row>
    <row r="246" ht="15.75" customHeight="1">
      <c r="A246" s="14">
        <v>248.0</v>
      </c>
      <c r="B246" s="14" t="s">
        <v>748</v>
      </c>
      <c r="C246" s="14" t="s">
        <v>132</v>
      </c>
      <c r="D246" s="14">
        <v>3.0</v>
      </c>
      <c r="E246" s="14">
        <v>1630.0</v>
      </c>
      <c r="F246" s="14">
        <v>9.0</v>
      </c>
      <c r="G246" s="14">
        <v>1639.0</v>
      </c>
      <c r="H246" s="14">
        <v>8.0</v>
      </c>
      <c r="I246" s="14">
        <v>1647.0</v>
      </c>
      <c r="J246" s="14">
        <v>7.0</v>
      </c>
      <c r="K246" s="14">
        <v>1654.0</v>
      </c>
      <c r="L246" s="14">
        <v>7.0</v>
      </c>
      <c r="M246" s="14">
        <v>1661.0</v>
      </c>
      <c r="N246" s="14">
        <v>6.0</v>
      </c>
      <c r="O246" s="14">
        <v>1667.0</v>
      </c>
      <c r="P246" s="14">
        <v>5.0</v>
      </c>
      <c r="Q246" s="14">
        <v>1672.0</v>
      </c>
      <c r="R246" s="14">
        <v>5.0</v>
      </c>
      <c r="S246" s="14">
        <v>1676.0</v>
      </c>
      <c r="T246" s="14">
        <v>4.0</v>
      </c>
      <c r="U246" s="14">
        <v>1679.0</v>
      </c>
      <c r="V246" s="14">
        <v>3.0</v>
      </c>
      <c r="W246" s="14">
        <v>1683.0</v>
      </c>
      <c r="X246" s="14">
        <v>4.0</v>
      </c>
      <c r="Y246" s="14">
        <v>1688.0</v>
      </c>
      <c r="Z246" s="14">
        <v>5.0</v>
      </c>
      <c r="AA246" s="14">
        <v>1695.0</v>
      </c>
      <c r="AB246" s="14">
        <v>7.0</v>
      </c>
      <c r="AC246" s="14">
        <v>7.0</v>
      </c>
      <c r="AD246" s="14">
        <v>0.0</v>
      </c>
      <c r="AE246" s="14">
        <v>0.0</v>
      </c>
      <c r="AG246" s="14">
        <v>3.0</v>
      </c>
      <c r="AH246" s="14">
        <v>20.0</v>
      </c>
      <c r="AI246" s="14">
        <v>30.0</v>
      </c>
    </row>
    <row r="247" ht="15.75" customHeight="1">
      <c r="A247" s="14">
        <v>249.0</v>
      </c>
      <c r="B247" s="14" t="s">
        <v>750</v>
      </c>
      <c r="C247" s="14" t="s">
        <v>132</v>
      </c>
      <c r="D247" s="14">
        <v>4.0</v>
      </c>
      <c r="E247" s="14">
        <v>1528.0</v>
      </c>
      <c r="F247" s="14">
        <v>12.0</v>
      </c>
      <c r="G247" s="14">
        <v>1540.0</v>
      </c>
      <c r="H247" s="14">
        <v>4.0</v>
      </c>
      <c r="I247" s="14">
        <v>1544.0</v>
      </c>
      <c r="J247" s="14">
        <v>1.0</v>
      </c>
      <c r="K247" s="14">
        <v>1545.0</v>
      </c>
      <c r="L247" s="14">
        <v>2.0</v>
      </c>
      <c r="M247" s="14">
        <v>1547.0</v>
      </c>
      <c r="N247" s="14">
        <v>0.0</v>
      </c>
      <c r="O247" s="14">
        <v>1547.0</v>
      </c>
      <c r="P247" s="14">
        <v>-1.0</v>
      </c>
      <c r="Q247" s="14">
        <v>1546.0</v>
      </c>
      <c r="R247" s="14">
        <v>-1.0</v>
      </c>
      <c r="S247" s="14">
        <v>1546.0</v>
      </c>
      <c r="T247" s="14">
        <v>0.0</v>
      </c>
      <c r="U247" s="14">
        <v>1546.0</v>
      </c>
      <c r="V247" s="14">
        <v>0.0</v>
      </c>
      <c r="W247" s="14">
        <v>1548.0</v>
      </c>
      <c r="X247" s="14">
        <v>2.0</v>
      </c>
      <c r="Y247" s="14">
        <v>1556.0</v>
      </c>
      <c r="Z247" s="14">
        <v>8.0</v>
      </c>
      <c r="AA247" s="14">
        <v>1564.0</v>
      </c>
      <c r="AB247" s="14">
        <v>8.0</v>
      </c>
      <c r="AC247" s="14">
        <v>8.0</v>
      </c>
      <c r="AD247" s="14">
        <v>0.0</v>
      </c>
      <c r="AE247" s="14">
        <v>0.0</v>
      </c>
      <c r="AG247" s="14">
        <v>3.0</v>
      </c>
      <c r="AH247" s="14">
        <v>0.0</v>
      </c>
      <c r="AI247" s="14">
        <v>11.0</v>
      </c>
    </row>
    <row r="248" ht="15.75" customHeight="1">
      <c r="A248" s="14">
        <v>250.0</v>
      </c>
      <c r="B248" s="14" t="s">
        <v>753</v>
      </c>
      <c r="C248" s="14" t="s">
        <v>132</v>
      </c>
      <c r="D248" s="14">
        <v>5.0</v>
      </c>
      <c r="E248" s="14">
        <v>574.0</v>
      </c>
      <c r="F248" s="14">
        <v>3.0</v>
      </c>
      <c r="G248" s="14">
        <v>577.0</v>
      </c>
      <c r="H248" s="14">
        <v>5.0</v>
      </c>
      <c r="I248" s="14">
        <v>582.0</v>
      </c>
      <c r="J248" s="14">
        <v>4.0</v>
      </c>
      <c r="K248" s="14">
        <v>586.0</v>
      </c>
      <c r="L248" s="14">
        <v>3.0</v>
      </c>
      <c r="M248" s="14">
        <v>589.0</v>
      </c>
      <c r="N248" s="14">
        <v>4.0</v>
      </c>
      <c r="O248" s="14">
        <v>593.0</v>
      </c>
      <c r="P248" s="14">
        <v>3.0</v>
      </c>
      <c r="Q248" s="14">
        <v>596.0</v>
      </c>
      <c r="R248" s="14">
        <v>3.0</v>
      </c>
      <c r="S248" s="14">
        <v>597.0</v>
      </c>
      <c r="T248" s="14">
        <v>1.0</v>
      </c>
      <c r="U248" s="14">
        <v>599.0</v>
      </c>
      <c r="V248" s="14">
        <v>2.0</v>
      </c>
      <c r="W248" s="14">
        <v>603.0</v>
      </c>
      <c r="X248" s="14">
        <v>4.0</v>
      </c>
      <c r="Y248" s="14">
        <v>607.0</v>
      </c>
      <c r="Z248" s="14">
        <v>4.0</v>
      </c>
      <c r="AA248" s="14">
        <v>610.0</v>
      </c>
      <c r="AB248" s="14">
        <v>3.0</v>
      </c>
      <c r="AC248" s="14">
        <v>5.0</v>
      </c>
      <c r="AD248" s="14">
        <v>0.0</v>
      </c>
      <c r="AE248" s="14">
        <v>0.0</v>
      </c>
      <c r="AG248" s="14">
        <v>3.0</v>
      </c>
      <c r="AH248" s="14">
        <v>0.0</v>
      </c>
      <c r="AI248" s="14">
        <v>8.0</v>
      </c>
    </row>
    <row r="249" ht="15.75" customHeight="1">
      <c r="A249" s="14">
        <v>251.0</v>
      </c>
      <c r="B249" s="14" t="s">
        <v>755</v>
      </c>
      <c r="C249" s="14" t="s">
        <v>132</v>
      </c>
      <c r="D249" s="14">
        <v>6.0</v>
      </c>
      <c r="E249" s="14">
        <v>757.0</v>
      </c>
      <c r="F249" s="14">
        <v>6.0</v>
      </c>
      <c r="G249" s="14">
        <v>763.0</v>
      </c>
      <c r="H249" s="14">
        <v>5.0</v>
      </c>
      <c r="I249" s="14">
        <v>768.0</v>
      </c>
      <c r="J249" s="14">
        <v>4.0</v>
      </c>
      <c r="K249" s="14">
        <v>772.0</v>
      </c>
      <c r="L249" s="14">
        <v>6.0</v>
      </c>
      <c r="M249" s="14">
        <v>778.0</v>
      </c>
      <c r="N249" s="14">
        <v>6.0</v>
      </c>
      <c r="O249" s="14">
        <v>784.0</v>
      </c>
      <c r="P249" s="14">
        <v>6.0</v>
      </c>
      <c r="Q249" s="14">
        <v>790.0</v>
      </c>
      <c r="R249" s="14">
        <v>6.0</v>
      </c>
      <c r="S249" s="14">
        <v>796.0</v>
      </c>
      <c r="T249" s="14">
        <v>6.0</v>
      </c>
      <c r="U249" s="14">
        <v>803.0</v>
      </c>
      <c r="V249" s="14">
        <v>7.0</v>
      </c>
      <c r="W249" s="14">
        <v>809.0</v>
      </c>
      <c r="X249" s="14">
        <v>6.0</v>
      </c>
      <c r="Y249" s="14">
        <v>815.0</v>
      </c>
      <c r="Z249" s="14">
        <v>6.0</v>
      </c>
      <c r="AA249" s="14">
        <v>823.0</v>
      </c>
      <c r="AB249" s="14">
        <v>8.0</v>
      </c>
      <c r="AC249" s="14">
        <v>8.0</v>
      </c>
      <c r="AD249" s="14">
        <v>0.0</v>
      </c>
      <c r="AE249" s="14">
        <v>0.0</v>
      </c>
      <c r="AG249" s="14">
        <v>3.0</v>
      </c>
      <c r="AH249" s="14">
        <v>0.0</v>
      </c>
      <c r="AI249" s="14">
        <v>11.0</v>
      </c>
    </row>
    <row r="250" ht="15.75" customHeight="1">
      <c r="A250" s="14">
        <v>252.0</v>
      </c>
      <c r="B250" s="14" t="s">
        <v>757</v>
      </c>
      <c r="C250" s="14" t="s">
        <v>132</v>
      </c>
      <c r="D250" s="14">
        <v>7.0</v>
      </c>
      <c r="E250" s="14">
        <v>114.0</v>
      </c>
      <c r="F250" s="14">
        <v>5.0</v>
      </c>
      <c r="G250" s="14">
        <v>119.0</v>
      </c>
      <c r="H250" s="14">
        <v>1.0</v>
      </c>
      <c r="I250" s="14">
        <v>120.0</v>
      </c>
      <c r="J250" s="14">
        <v>5.0</v>
      </c>
      <c r="K250" s="14">
        <v>125.0</v>
      </c>
      <c r="L250" s="14">
        <v>4.0</v>
      </c>
      <c r="M250" s="14">
        <v>129.0</v>
      </c>
      <c r="N250" s="14">
        <v>1.0</v>
      </c>
      <c r="O250" s="14">
        <v>130.0</v>
      </c>
      <c r="P250" s="14">
        <v>0.0</v>
      </c>
      <c r="Q250" s="14">
        <v>130.0</v>
      </c>
      <c r="R250" s="14">
        <v>0.0</v>
      </c>
      <c r="S250" s="14">
        <v>130.0</v>
      </c>
      <c r="T250" s="14">
        <v>0.0</v>
      </c>
      <c r="U250" s="14">
        <v>130.0</v>
      </c>
      <c r="V250" s="14">
        <v>0.0</v>
      </c>
      <c r="W250" s="14">
        <v>130.0</v>
      </c>
      <c r="X250" s="14">
        <v>0.0</v>
      </c>
      <c r="Y250" s="14">
        <v>131.0</v>
      </c>
      <c r="Z250" s="14">
        <v>1.0</v>
      </c>
      <c r="AA250" s="14">
        <v>132.0</v>
      </c>
      <c r="AB250" s="14">
        <v>1.0</v>
      </c>
      <c r="AC250" s="14">
        <v>5.0</v>
      </c>
      <c r="AD250" s="14">
        <v>0.0</v>
      </c>
      <c r="AE250" s="14">
        <v>0.0</v>
      </c>
      <c r="AG250" s="14">
        <v>3.0</v>
      </c>
      <c r="AH250" s="14">
        <v>20.0</v>
      </c>
      <c r="AI250" s="14">
        <v>28.0</v>
      </c>
    </row>
    <row r="251" ht="15.75" customHeight="1">
      <c r="A251" s="14">
        <v>253.0</v>
      </c>
      <c r="B251" s="14" t="s">
        <v>758</v>
      </c>
      <c r="C251" s="14" t="s">
        <v>132</v>
      </c>
      <c r="D251" s="14">
        <v>8.0</v>
      </c>
      <c r="E251" s="14">
        <v>1769.0</v>
      </c>
      <c r="F251" s="14">
        <v>9.0</v>
      </c>
      <c r="G251" s="14">
        <v>1778.0</v>
      </c>
      <c r="H251" s="14">
        <v>8.0</v>
      </c>
      <c r="I251" s="14">
        <v>1786.0</v>
      </c>
      <c r="J251" s="14">
        <v>6.0</v>
      </c>
      <c r="K251" s="14">
        <v>1792.0</v>
      </c>
      <c r="L251" s="14">
        <v>10.0</v>
      </c>
      <c r="M251" s="14">
        <v>1802.0</v>
      </c>
      <c r="N251" s="14">
        <v>9.0</v>
      </c>
      <c r="O251" s="14">
        <v>1811.0</v>
      </c>
      <c r="P251" s="14">
        <v>6.0</v>
      </c>
      <c r="Q251" s="14">
        <v>1817.0</v>
      </c>
      <c r="R251" s="14">
        <v>6.0</v>
      </c>
      <c r="S251" s="14">
        <v>1825.0</v>
      </c>
      <c r="T251" s="14">
        <v>8.0</v>
      </c>
      <c r="U251" s="14">
        <v>1833.0</v>
      </c>
      <c r="V251" s="14">
        <v>8.0</v>
      </c>
      <c r="W251" s="14">
        <v>1839.0</v>
      </c>
      <c r="X251" s="14">
        <v>6.0</v>
      </c>
      <c r="Y251" s="14">
        <v>1845.0</v>
      </c>
      <c r="Z251" s="14">
        <v>6.0</v>
      </c>
      <c r="AA251" s="14">
        <v>1849.0</v>
      </c>
      <c r="AB251" s="14">
        <v>4.0</v>
      </c>
      <c r="AC251" s="14">
        <v>5.0</v>
      </c>
      <c r="AD251" s="14">
        <v>0.0</v>
      </c>
      <c r="AE251" s="14">
        <v>0.0</v>
      </c>
      <c r="AG251" s="14">
        <v>3.0</v>
      </c>
      <c r="AH251" s="14">
        <v>0.0</v>
      </c>
      <c r="AI251" s="14">
        <v>8.0</v>
      </c>
    </row>
    <row r="252" ht="15.75" customHeight="1">
      <c r="A252" s="14">
        <v>254.0</v>
      </c>
      <c r="B252" s="14" t="s">
        <v>717</v>
      </c>
      <c r="C252" s="14" t="s">
        <v>132</v>
      </c>
      <c r="D252" s="14">
        <v>9.0</v>
      </c>
      <c r="E252" s="14">
        <v>2334.0</v>
      </c>
      <c r="F252" s="14">
        <v>30.0</v>
      </c>
      <c r="G252" s="14">
        <v>2364.0</v>
      </c>
      <c r="H252" s="14">
        <v>27.0</v>
      </c>
      <c r="I252" s="14">
        <v>2391.0</v>
      </c>
      <c r="J252" s="14">
        <v>25.0</v>
      </c>
      <c r="K252" s="14">
        <v>2416.0</v>
      </c>
      <c r="L252" s="14">
        <v>23.0</v>
      </c>
      <c r="M252" s="14">
        <v>2439.0</v>
      </c>
      <c r="N252" s="14">
        <v>22.0</v>
      </c>
      <c r="O252" s="14">
        <v>2461.0</v>
      </c>
      <c r="P252" s="14">
        <v>18.0</v>
      </c>
      <c r="Q252" s="14">
        <v>2479.0</v>
      </c>
      <c r="R252" s="14">
        <v>18.0</v>
      </c>
      <c r="S252" s="14">
        <v>2494.0</v>
      </c>
      <c r="T252" s="14">
        <v>15.0</v>
      </c>
      <c r="U252" s="14">
        <v>2509.0</v>
      </c>
      <c r="V252" s="14">
        <v>15.0</v>
      </c>
      <c r="W252" s="14">
        <v>2525.0</v>
      </c>
      <c r="X252" s="14">
        <v>16.0</v>
      </c>
      <c r="Y252" s="14">
        <v>2543.0</v>
      </c>
      <c r="Z252" s="14">
        <v>18.0</v>
      </c>
      <c r="AA252" s="14">
        <v>2563.0</v>
      </c>
      <c r="AB252" s="14">
        <v>20.0</v>
      </c>
      <c r="AC252" s="14">
        <v>20.0</v>
      </c>
      <c r="AD252" s="14">
        <v>0.0</v>
      </c>
      <c r="AE252" s="14">
        <v>0.0</v>
      </c>
      <c r="AG252" s="14">
        <v>3.0</v>
      </c>
      <c r="AH252" s="14">
        <v>0.0</v>
      </c>
      <c r="AI252" s="14">
        <v>23.0</v>
      </c>
    </row>
    <row r="253" ht="15.75" customHeight="1">
      <c r="A253" s="14">
        <v>255.0</v>
      </c>
      <c r="B253" s="14" t="s">
        <v>762</v>
      </c>
      <c r="C253" s="14" t="s">
        <v>132</v>
      </c>
      <c r="D253" s="14">
        <v>10.0</v>
      </c>
      <c r="E253" s="14">
        <v>822.0</v>
      </c>
      <c r="F253" s="14">
        <v>14.0</v>
      </c>
      <c r="G253" s="14">
        <v>836.0</v>
      </c>
      <c r="H253" s="14">
        <v>21.0</v>
      </c>
      <c r="I253" s="14">
        <v>857.0</v>
      </c>
      <c r="J253" s="14">
        <v>21.0</v>
      </c>
      <c r="K253" s="14">
        <v>878.0</v>
      </c>
      <c r="L253" s="14">
        <v>19.0</v>
      </c>
      <c r="M253" s="14">
        <v>897.0</v>
      </c>
      <c r="N253" s="14">
        <v>16.0</v>
      </c>
      <c r="O253" s="14">
        <v>913.0</v>
      </c>
      <c r="P253" s="14">
        <v>12.0</v>
      </c>
      <c r="Q253" s="14">
        <v>925.0</v>
      </c>
      <c r="R253" s="14">
        <v>12.0</v>
      </c>
      <c r="S253" s="14">
        <v>936.0</v>
      </c>
      <c r="T253" s="14">
        <v>11.0</v>
      </c>
      <c r="U253" s="14">
        <v>948.0</v>
      </c>
      <c r="V253" s="14">
        <v>12.0</v>
      </c>
      <c r="W253" s="14">
        <v>960.0</v>
      </c>
      <c r="X253" s="14">
        <v>12.0</v>
      </c>
      <c r="Y253" s="14">
        <v>974.0</v>
      </c>
      <c r="Z253" s="14">
        <v>14.0</v>
      </c>
      <c r="AA253" s="14">
        <v>987.0</v>
      </c>
      <c r="AB253" s="14">
        <v>13.0</v>
      </c>
      <c r="AC253" s="14">
        <v>13.0</v>
      </c>
      <c r="AD253" s="14">
        <v>0.0</v>
      </c>
      <c r="AE253" s="14">
        <v>0.0</v>
      </c>
      <c r="AG253" s="14">
        <v>3.0</v>
      </c>
      <c r="AH253" s="14">
        <v>0.0</v>
      </c>
      <c r="AI253" s="14">
        <v>16.0</v>
      </c>
    </row>
    <row r="254" ht="15.75" customHeight="1">
      <c r="A254" s="14">
        <v>256.0</v>
      </c>
      <c r="B254" s="14" t="s">
        <v>765</v>
      </c>
      <c r="C254" s="14" t="s">
        <v>132</v>
      </c>
      <c r="D254" s="14">
        <v>11.0</v>
      </c>
      <c r="E254" s="14">
        <v>139.0</v>
      </c>
      <c r="F254" s="14">
        <v>5.0</v>
      </c>
      <c r="G254" s="14">
        <v>144.0</v>
      </c>
      <c r="H254" s="14">
        <v>4.0</v>
      </c>
      <c r="I254" s="14">
        <v>148.0</v>
      </c>
      <c r="J254" s="14">
        <v>4.0</v>
      </c>
      <c r="K254" s="14">
        <v>152.0</v>
      </c>
      <c r="L254" s="14">
        <v>4.0</v>
      </c>
      <c r="M254" s="14">
        <v>156.0</v>
      </c>
      <c r="N254" s="14">
        <v>2.0</v>
      </c>
      <c r="O254" s="14">
        <v>158.0</v>
      </c>
      <c r="P254" s="14">
        <v>7.0</v>
      </c>
      <c r="Q254" s="14">
        <v>165.0</v>
      </c>
      <c r="R254" s="14">
        <v>7.0</v>
      </c>
      <c r="S254" s="14">
        <v>167.0</v>
      </c>
      <c r="T254" s="14">
        <v>2.0</v>
      </c>
      <c r="U254" s="14">
        <v>169.0</v>
      </c>
      <c r="V254" s="14">
        <v>2.0</v>
      </c>
      <c r="W254" s="14">
        <v>171.0</v>
      </c>
      <c r="X254" s="14">
        <v>2.0</v>
      </c>
      <c r="Y254" s="14">
        <v>176.0</v>
      </c>
      <c r="Z254" s="14">
        <v>5.0</v>
      </c>
      <c r="AA254" s="14">
        <v>184.0</v>
      </c>
      <c r="AB254" s="14">
        <v>8.0</v>
      </c>
      <c r="AC254" s="14">
        <v>8.0</v>
      </c>
      <c r="AD254" s="14">
        <v>0.0</v>
      </c>
      <c r="AE254" s="14">
        <v>0.0</v>
      </c>
      <c r="AG254" s="14">
        <v>3.0</v>
      </c>
      <c r="AH254" s="14">
        <v>0.0</v>
      </c>
      <c r="AI254" s="14">
        <v>11.0</v>
      </c>
    </row>
    <row r="255" ht="15.75" customHeight="1">
      <c r="A255" s="14">
        <v>257.0</v>
      </c>
      <c r="B255" s="14" t="s">
        <v>766</v>
      </c>
      <c r="C255" s="14" t="s">
        <v>132</v>
      </c>
      <c r="D255" s="14">
        <v>12.0</v>
      </c>
      <c r="E255" s="14">
        <v>1692.0</v>
      </c>
      <c r="F255" s="14">
        <v>6.0</v>
      </c>
      <c r="G255" s="14">
        <v>1698.0</v>
      </c>
      <c r="H255" s="14">
        <v>8.0</v>
      </c>
      <c r="I255" s="14">
        <v>1706.0</v>
      </c>
      <c r="J255" s="14">
        <v>6.0</v>
      </c>
      <c r="K255" s="14">
        <v>1712.0</v>
      </c>
      <c r="L255" s="14">
        <v>5.0</v>
      </c>
      <c r="M255" s="14">
        <v>1717.0</v>
      </c>
      <c r="N255" s="14">
        <v>7.0</v>
      </c>
      <c r="O255" s="14">
        <v>1724.0</v>
      </c>
      <c r="P255" s="14">
        <v>6.0</v>
      </c>
      <c r="Q255" s="14">
        <v>1730.0</v>
      </c>
      <c r="R255" s="14">
        <v>6.0</v>
      </c>
      <c r="S255" s="14">
        <v>1735.0</v>
      </c>
      <c r="T255" s="14">
        <v>5.0</v>
      </c>
      <c r="U255" s="14">
        <v>1740.0</v>
      </c>
      <c r="V255" s="14">
        <v>5.0</v>
      </c>
      <c r="W255" s="14">
        <v>1744.0</v>
      </c>
      <c r="X255" s="14">
        <v>4.0</v>
      </c>
      <c r="Y255" s="14">
        <v>1750.0</v>
      </c>
      <c r="Z255" s="14">
        <v>6.0</v>
      </c>
      <c r="AA255" s="14">
        <v>1772.0</v>
      </c>
      <c r="AB255" s="14">
        <v>22.0</v>
      </c>
      <c r="AC255" s="14">
        <v>22.0</v>
      </c>
      <c r="AD255" s="14">
        <v>0.0</v>
      </c>
      <c r="AE255" s="14">
        <v>0.0</v>
      </c>
      <c r="AG255" s="14">
        <v>3.0</v>
      </c>
      <c r="AH255" s="14">
        <v>0.0</v>
      </c>
      <c r="AI255" s="14">
        <v>25.0</v>
      </c>
    </row>
    <row r="256" ht="15.75" customHeight="1">
      <c r="A256" s="14">
        <v>258.0</v>
      </c>
      <c r="B256" s="14" t="s">
        <v>769</v>
      </c>
      <c r="C256" s="14" t="s">
        <v>132</v>
      </c>
      <c r="D256" s="14">
        <v>13.0</v>
      </c>
      <c r="E256" s="14">
        <v>2295.0</v>
      </c>
      <c r="F256" s="14">
        <v>16.0</v>
      </c>
      <c r="G256" s="14">
        <v>2311.0</v>
      </c>
      <c r="H256" s="14">
        <v>20.0</v>
      </c>
      <c r="I256" s="14">
        <v>2331.0</v>
      </c>
      <c r="J256" s="14">
        <v>13.0</v>
      </c>
      <c r="K256" s="14">
        <v>2344.0</v>
      </c>
      <c r="L256" s="14">
        <v>12.0</v>
      </c>
      <c r="M256" s="14">
        <v>2356.0</v>
      </c>
      <c r="N256" s="14">
        <v>10.0</v>
      </c>
      <c r="O256" s="14">
        <v>2366.0</v>
      </c>
      <c r="P256" s="14">
        <v>7.0</v>
      </c>
      <c r="Q256" s="14">
        <v>2373.0</v>
      </c>
      <c r="R256" s="14">
        <v>7.0</v>
      </c>
      <c r="S256" s="14">
        <v>2381.0</v>
      </c>
      <c r="T256" s="14">
        <v>8.0</v>
      </c>
      <c r="U256" s="14">
        <v>2391.0</v>
      </c>
      <c r="V256" s="14">
        <v>10.0</v>
      </c>
      <c r="W256" s="14">
        <v>2400.0</v>
      </c>
      <c r="X256" s="14">
        <v>9.0</v>
      </c>
      <c r="Y256" s="14">
        <v>2411.0</v>
      </c>
      <c r="Z256" s="14">
        <v>11.0</v>
      </c>
      <c r="AA256" s="14">
        <v>2422.0</v>
      </c>
      <c r="AB256" s="14">
        <v>11.0</v>
      </c>
      <c r="AC256" s="14">
        <v>11.0</v>
      </c>
      <c r="AD256" s="14">
        <v>0.0</v>
      </c>
      <c r="AE256" s="14">
        <v>0.0</v>
      </c>
      <c r="AG256" s="14">
        <v>3.0</v>
      </c>
      <c r="AH256" s="14">
        <v>0.0</v>
      </c>
      <c r="AI256" s="14">
        <v>14.0</v>
      </c>
    </row>
    <row r="257" ht="15.75" customHeight="1">
      <c r="A257" s="14">
        <v>259.0</v>
      </c>
      <c r="B257" s="14" t="s">
        <v>771</v>
      </c>
      <c r="C257" s="14" t="s">
        <v>132</v>
      </c>
      <c r="D257" s="14">
        <v>14.0</v>
      </c>
      <c r="E257" s="14">
        <v>432.0</v>
      </c>
      <c r="F257" s="14">
        <v>21.0</v>
      </c>
      <c r="G257" s="14">
        <v>453.0</v>
      </c>
      <c r="H257" s="14">
        <v>8.0</v>
      </c>
      <c r="I257" s="14">
        <v>461.0</v>
      </c>
      <c r="J257" s="14">
        <v>7.0</v>
      </c>
      <c r="K257" s="14">
        <v>468.0</v>
      </c>
      <c r="L257" s="14">
        <v>10.0</v>
      </c>
      <c r="M257" s="14">
        <v>478.0</v>
      </c>
      <c r="N257" s="14">
        <v>18.0</v>
      </c>
      <c r="O257" s="14">
        <v>496.0</v>
      </c>
      <c r="P257" s="14">
        <v>3.0</v>
      </c>
      <c r="Q257" s="14">
        <v>499.0</v>
      </c>
      <c r="R257" s="14">
        <v>3.0</v>
      </c>
      <c r="S257" s="14">
        <v>502.0</v>
      </c>
      <c r="T257" s="14">
        <v>3.0</v>
      </c>
      <c r="U257" s="14">
        <v>505.0</v>
      </c>
      <c r="V257" s="14">
        <v>3.0</v>
      </c>
      <c r="W257" s="14">
        <v>508.0</v>
      </c>
      <c r="X257" s="14">
        <v>3.0</v>
      </c>
      <c r="Y257" s="14">
        <v>512.0</v>
      </c>
      <c r="Z257" s="14">
        <v>4.0</v>
      </c>
      <c r="AA257" s="14">
        <v>517.0</v>
      </c>
      <c r="AB257" s="14">
        <v>5.0</v>
      </c>
      <c r="AC257" s="14">
        <v>5.0</v>
      </c>
      <c r="AD257" s="14">
        <v>0.0</v>
      </c>
      <c r="AE257" s="14">
        <v>0.0</v>
      </c>
      <c r="AG257" s="14">
        <v>3.0</v>
      </c>
      <c r="AH257" s="14">
        <v>0.0</v>
      </c>
      <c r="AI257" s="14">
        <v>8.0</v>
      </c>
    </row>
    <row r="258" ht="15.75" customHeight="1">
      <c r="A258" s="14">
        <v>260.0</v>
      </c>
      <c r="B258" s="14" t="s">
        <v>772</v>
      </c>
      <c r="C258" s="14" t="s">
        <v>132</v>
      </c>
      <c r="D258" s="14">
        <v>15.0</v>
      </c>
      <c r="E258" s="14">
        <v>586.0</v>
      </c>
      <c r="F258" s="14">
        <v>11.0</v>
      </c>
      <c r="G258" s="14">
        <v>597.0</v>
      </c>
      <c r="H258" s="14">
        <v>11.0</v>
      </c>
      <c r="I258" s="14">
        <v>608.0</v>
      </c>
      <c r="J258" s="14">
        <v>13.0</v>
      </c>
      <c r="K258" s="14">
        <v>621.0</v>
      </c>
      <c r="L258" s="14">
        <v>11.0</v>
      </c>
      <c r="M258" s="14">
        <v>632.0</v>
      </c>
      <c r="N258" s="14">
        <v>13.0</v>
      </c>
      <c r="O258" s="14">
        <v>645.0</v>
      </c>
      <c r="P258" s="14">
        <v>14.0</v>
      </c>
      <c r="Q258" s="14">
        <v>659.0</v>
      </c>
      <c r="R258" s="14">
        <v>14.0</v>
      </c>
      <c r="S258" s="14">
        <v>670.0</v>
      </c>
      <c r="T258" s="14">
        <v>11.0</v>
      </c>
      <c r="U258" s="14">
        <v>690.0</v>
      </c>
      <c r="V258" s="14">
        <v>20.0</v>
      </c>
      <c r="W258" s="14">
        <v>709.0</v>
      </c>
      <c r="X258" s="14">
        <v>19.0</v>
      </c>
      <c r="Y258" s="14">
        <v>727.0</v>
      </c>
      <c r="Z258" s="14">
        <v>18.0</v>
      </c>
      <c r="AA258" s="14">
        <v>745.0</v>
      </c>
      <c r="AB258" s="14">
        <v>18.0</v>
      </c>
      <c r="AC258" s="14">
        <v>18.0</v>
      </c>
      <c r="AD258" s="14">
        <v>0.0</v>
      </c>
      <c r="AE258" s="14">
        <v>0.0</v>
      </c>
      <c r="AG258" s="14">
        <v>3.0</v>
      </c>
      <c r="AH258" s="14">
        <v>20.0</v>
      </c>
      <c r="AI258" s="14">
        <v>41.0</v>
      </c>
    </row>
    <row r="259" ht="15.75" customHeight="1">
      <c r="A259" s="14">
        <v>261.0</v>
      </c>
      <c r="B259" s="14" t="s">
        <v>774</v>
      </c>
      <c r="C259" s="14" t="s">
        <v>132</v>
      </c>
      <c r="D259" s="14">
        <v>16.0</v>
      </c>
      <c r="E259" s="14">
        <v>357.0</v>
      </c>
      <c r="F259" s="14">
        <v>1.0</v>
      </c>
      <c r="G259" s="14">
        <v>358.0</v>
      </c>
      <c r="H259" s="14">
        <v>2.0</v>
      </c>
      <c r="I259" s="14">
        <v>360.0</v>
      </c>
      <c r="J259" s="14">
        <v>21.0</v>
      </c>
      <c r="K259" s="14">
        <v>381.0</v>
      </c>
      <c r="L259" s="14">
        <v>5.0</v>
      </c>
      <c r="M259" s="14">
        <v>386.0</v>
      </c>
      <c r="N259" s="14">
        <v>3.0</v>
      </c>
      <c r="O259" s="14">
        <v>389.0</v>
      </c>
      <c r="P259" s="14">
        <v>2.0</v>
      </c>
      <c r="Q259" s="14">
        <v>391.0</v>
      </c>
      <c r="R259" s="14">
        <v>2.0</v>
      </c>
      <c r="S259" s="14">
        <v>393.0</v>
      </c>
      <c r="T259" s="14">
        <v>2.0</v>
      </c>
      <c r="U259" s="14">
        <v>396.0</v>
      </c>
      <c r="V259" s="14">
        <v>3.0</v>
      </c>
      <c r="W259" s="14">
        <v>398.0</v>
      </c>
      <c r="X259" s="14">
        <v>2.0</v>
      </c>
      <c r="Y259" s="14">
        <v>433.0</v>
      </c>
      <c r="Z259" s="14">
        <v>35.0</v>
      </c>
      <c r="AA259" s="14">
        <v>434.0</v>
      </c>
      <c r="AB259" s="14">
        <v>1.0</v>
      </c>
      <c r="AC259" s="14">
        <v>5.0</v>
      </c>
      <c r="AD259" s="14">
        <v>0.0</v>
      </c>
      <c r="AE259" s="14">
        <v>0.0</v>
      </c>
      <c r="AG259" s="14">
        <v>3.0</v>
      </c>
      <c r="AH259" s="14">
        <v>0.0</v>
      </c>
      <c r="AI259" s="14">
        <v>8.0</v>
      </c>
    </row>
    <row r="260" ht="15.75" customHeight="1">
      <c r="A260" s="14">
        <v>262.0</v>
      </c>
      <c r="B260" s="14" t="s">
        <v>673</v>
      </c>
      <c r="C260" s="14" t="s">
        <v>132</v>
      </c>
      <c r="D260" s="14">
        <v>17.0</v>
      </c>
      <c r="E260" s="14">
        <v>1249.0</v>
      </c>
      <c r="F260" s="14">
        <v>2.0</v>
      </c>
      <c r="G260" s="14">
        <v>1251.0</v>
      </c>
      <c r="H260" s="14">
        <v>2.0</v>
      </c>
      <c r="I260" s="14">
        <v>1253.0</v>
      </c>
      <c r="J260" s="14">
        <v>2.0</v>
      </c>
      <c r="K260" s="14">
        <v>1255.0</v>
      </c>
      <c r="L260" s="14">
        <v>2.0</v>
      </c>
      <c r="M260" s="14">
        <v>1257.0</v>
      </c>
      <c r="N260" s="14">
        <v>3.0</v>
      </c>
      <c r="O260" s="14">
        <v>1260.0</v>
      </c>
      <c r="P260" s="14">
        <v>3.0</v>
      </c>
      <c r="Q260" s="14">
        <v>1263.0</v>
      </c>
      <c r="R260" s="14">
        <v>3.0</v>
      </c>
      <c r="S260" s="14">
        <v>1265.0</v>
      </c>
      <c r="T260" s="14">
        <v>2.0</v>
      </c>
      <c r="U260" s="14">
        <v>1269.0</v>
      </c>
      <c r="V260" s="14">
        <v>4.0</v>
      </c>
      <c r="W260" s="14">
        <v>1271.0</v>
      </c>
      <c r="X260" s="14">
        <v>2.0</v>
      </c>
      <c r="Y260" s="14">
        <v>1277.0</v>
      </c>
      <c r="Z260" s="14">
        <v>6.0</v>
      </c>
      <c r="AA260" s="14">
        <v>1280.0</v>
      </c>
      <c r="AB260" s="14">
        <v>3.0</v>
      </c>
      <c r="AC260" s="14">
        <v>5.0</v>
      </c>
      <c r="AD260" s="14">
        <v>0.0</v>
      </c>
      <c r="AE260" s="14">
        <v>0.0</v>
      </c>
      <c r="AG260" s="14">
        <v>3.0</v>
      </c>
      <c r="AH260" s="14">
        <v>20.0</v>
      </c>
      <c r="AI260" s="14">
        <v>28.0</v>
      </c>
    </row>
    <row r="261" ht="15.75" customHeight="1">
      <c r="A261" s="14">
        <v>263.0</v>
      </c>
      <c r="B261" s="14" t="s">
        <v>778</v>
      </c>
      <c r="C261" s="14" t="s">
        <v>132</v>
      </c>
      <c r="D261" s="14">
        <v>18.0</v>
      </c>
      <c r="E261" s="14">
        <v>180.0</v>
      </c>
      <c r="F261" s="14">
        <v>10.0</v>
      </c>
      <c r="G261" s="14">
        <v>190.0</v>
      </c>
      <c r="H261" s="14">
        <v>5.0</v>
      </c>
      <c r="I261" s="14">
        <v>195.0</v>
      </c>
      <c r="J261" s="14">
        <v>8.0</v>
      </c>
      <c r="K261" s="14">
        <v>203.0</v>
      </c>
      <c r="L261" s="14">
        <v>5.0</v>
      </c>
      <c r="M261" s="14">
        <v>208.0</v>
      </c>
      <c r="N261" s="14">
        <v>6.0</v>
      </c>
      <c r="O261" s="14">
        <v>214.0</v>
      </c>
      <c r="P261" s="14">
        <v>5.0</v>
      </c>
      <c r="Q261" s="14">
        <v>219.0</v>
      </c>
      <c r="R261" s="14">
        <v>5.0</v>
      </c>
      <c r="S261" s="14">
        <v>224.0</v>
      </c>
      <c r="T261" s="14">
        <v>5.0</v>
      </c>
      <c r="U261" s="14">
        <v>228.0</v>
      </c>
      <c r="V261" s="14">
        <v>4.0</v>
      </c>
      <c r="W261" s="14">
        <v>233.0</v>
      </c>
      <c r="X261" s="14">
        <v>5.0</v>
      </c>
      <c r="Y261" s="14">
        <v>237.0</v>
      </c>
      <c r="Z261" s="14">
        <v>4.0</v>
      </c>
      <c r="AA261" s="14">
        <v>243.0</v>
      </c>
      <c r="AB261" s="14">
        <v>6.0</v>
      </c>
      <c r="AC261" s="14">
        <v>6.0</v>
      </c>
      <c r="AD261" s="14">
        <v>8.0</v>
      </c>
      <c r="AE261" s="14">
        <v>0.0</v>
      </c>
      <c r="AG261" s="14">
        <v>3.0</v>
      </c>
      <c r="AH261" s="14">
        <v>0.0</v>
      </c>
      <c r="AI261" s="14">
        <v>17.0</v>
      </c>
    </row>
    <row r="262" ht="15.75" customHeight="1">
      <c r="A262" s="14">
        <v>264.0</v>
      </c>
      <c r="B262" s="14" t="s">
        <v>779</v>
      </c>
      <c r="C262" s="14" t="s">
        <v>132</v>
      </c>
      <c r="D262" s="14">
        <v>19.0</v>
      </c>
      <c r="E262" s="14">
        <v>2189.0</v>
      </c>
      <c r="F262" s="14">
        <v>13.0</v>
      </c>
      <c r="G262" s="14">
        <v>2202.0</v>
      </c>
      <c r="H262" s="14">
        <v>11.0</v>
      </c>
      <c r="I262" s="14">
        <v>2213.0</v>
      </c>
      <c r="J262" s="14">
        <v>9.0</v>
      </c>
      <c r="K262" s="14">
        <v>2222.0</v>
      </c>
      <c r="L262" s="14">
        <v>9.0</v>
      </c>
      <c r="M262" s="14">
        <v>2231.0</v>
      </c>
      <c r="N262" s="14">
        <v>12.0</v>
      </c>
      <c r="O262" s="14">
        <v>2243.0</v>
      </c>
      <c r="P262" s="14">
        <v>8.0</v>
      </c>
      <c r="Q262" s="14">
        <v>2251.0</v>
      </c>
      <c r="R262" s="14">
        <v>8.0</v>
      </c>
      <c r="S262" s="14">
        <v>2258.0</v>
      </c>
      <c r="T262" s="14">
        <v>7.0</v>
      </c>
      <c r="U262" s="14">
        <v>2265.0</v>
      </c>
      <c r="V262" s="14">
        <v>7.0</v>
      </c>
      <c r="W262" s="14">
        <v>2271.0</v>
      </c>
      <c r="X262" s="14">
        <v>6.0</v>
      </c>
      <c r="Y262" s="14">
        <v>2277.0</v>
      </c>
      <c r="Z262" s="14">
        <v>6.0</v>
      </c>
      <c r="AA262" s="14">
        <v>2283.0</v>
      </c>
      <c r="AB262" s="14">
        <v>6.0</v>
      </c>
      <c r="AC262" s="14">
        <v>6.0</v>
      </c>
      <c r="AD262" s="14">
        <v>0.0</v>
      </c>
      <c r="AE262" s="14">
        <v>0.0</v>
      </c>
      <c r="AG262" s="14">
        <v>3.0</v>
      </c>
      <c r="AH262" s="14">
        <v>0.0</v>
      </c>
      <c r="AI262" s="14">
        <v>9.0</v>
      </c>
    </row>
    <row r="263" ht="15.75" customHeight="1">
      <c r="A263" s="14">
        <v>265.0</v>
      </c>
      <c r="B263" s="14" t="s">
        <v>782</v>
      </c>
      <c r="C263" s="14" t="s">
        <v>132</v>
      </c>
      <c r="D263" s="14">
        <v>20.0</v>
      </c>
      <c r="E263" s="14">
        <v>2222.0</v>
      </c>
      <c r="F263" s="14">
        <v>30.0</v>
      </c>
      <c r="G263" s="14">
        <v>2252.0</v>
      </c>
      <c r="H263" s="14">
        <v>28.0</v>
      </c>
      <c r="I263" s="14">
        <v>2280.0</v>
      </c>
      <c r="J263" s="14">
        <v>17.0</v>
      </c>
      <c r="K263" s="14">
        <v>2297.0</v>
      </c>
      <c r="L263" s="14">
        <v>10.0</v>
      </c>
      <c r="M263" s="14">
        <v>2307.0</v>
      </c>
      <c r="N263" s="14">
        <v>11.0</v>
      </c>
      <c r="O263" s="14">
        <v>2318.0</v>
      </c>
      <c r="P263" s="14">
        <v>14.0</v>
      </c>
      <c r="Q263" s="14">
        <v>2332.0</v>
      </c>
      <c r="R263" s="14">
        <v>14.0</v>
      </c>
      <c r="S263" s="14">
        <v>2339.0</v>
      </c>
      <c r="T263" s="14">
        <v>7.0</v>
      </c>
      <c r="U263" s="14">
        <v>2347.0</v>
      </c>
      <c r="V263" s="14">
        <v>8.0</v>
      </c>
      <c r="W263" s="14">
        <v>2354.0</v>
      </c>
      <c r="X263" s="14">
        <v>7.0</v>
      </c>
      <c r="Y263" s="14">
        <v>2366.0</v>
      </c>
      <c r="Z263" s="14">
        <v>12.0</v>
      </c>
      <c r="AA263" s="14">
        <v>2377.0</v>
      </c>
      <c r="AB263" s="14">
        <v>11.0</v>
      </c>
      <c r="AC263" s="14">
        <v>11.0</v>
      </c>
      <c r="AD263" s="14">
        <v>0.0</v>
      </c>
      <c r="AE263" s="14">
        <v>0.0</v>
      </c>
      <c r="AG263" s="14">
        <v>3.0</v>
      </c>
      <c r="AH263" s="14">
        <v>0.0</v>
      </c>
      <c r="AI263" s="14">
        <v>14.0</v>
      </c>
    </row>
    <row r="264" ht="15.75" customHeight="1">
      <c r="A264" s="14">
        <v>266.0</v>
      </c>
      <c r="B264" s="14" t="s">
        <v>784</v>
      </c>
      <c r="C264" s="14" t="s">
        <v>132</v>
      </c>
      <c r="D264" s="14">
        <v>21.0</v>
      </c>
      <c r="E264" s="14">
        <v>686.0</v>
      </c>
      <c r="F264" s="14">
        <v>29.0</v>
      </c>
      <c r="G264" s="14">
        <v>715.0</v>
      </c>
      <c r="H264" s="14">
        <v>26.0</v>
      </c>
      <c r="I264" s="14">
        <v>741.0</v>
      </c>
      <c r="J264" s="14">
        <v>30.0</v>
      </c>
      <c r="K264" s="14">
        <v>771.0</v>
      </c>
      <c r="L264" s="14">
        <v>13.0</v>
      </c>
      <c r="M264" s="14">
        <v>784.0</v>
      </c>
      <c r="N264" s="14">
        <v>14.0</v>
      </c>
      <c r="O264" s="14">
        <v>798.0</v>
      </c>
      <c r="P264" s="14">
        <v>20.0</v>
      </c>
      <c r="Q264" s="14">
        <v>818.0</v>
      </c>
      <c r="R264" s="14">
        <v>20.0</v>
      </c>
      <c r="S264" s="14">
        <v>830.0</v>
      </c>
      <c r="T264" s="14">
        <v>12.0</v>
      </c>
      <c r="U264" s="14">
        <v>845.0</v>
      </c>
      <c r="V264" s="14">
        <v>15.0</v>
      </c>
      <c r="W264" s="14">
        <v>875.0</v>
      </c>
      <c r="X264" s="14">
        <v>30.0</v>
      </c>
      <c r="Y264" s="14">
        <v>876.0</v>
      </c>
      <c r="Z264" s="14">
        <v>1.0</v>
      </c>
      <c r="AA264" s="14">
        <v>890.0</v>
      </c>
      <c r="AB264" s="14">
        <v>14.0</v>
      </c>
      <c r="AC264" s="14">
        <v>14.0</v>
      </c>
      <c r="AD264" s="14">
        <v>0.0</v>
      </c>
      <c r="AE264" s="14">
        <v>0.0</v>
      </c>
      <c r="AG264" s="14">
        <v>3.0</v>
      </c>
      <c r="AH264" s="14">
        <v>0.0</v>
      </c>
      <c r="AI264" s="14">
        <v>17.0</v>
      </c>
    </row>
    <row r="265" ht="15.75" customHeight="1">
      <c r="A265" s="14">
        <v>267.0</v>
      </c>
      <c r="B265" s="14" t="s">
        <v>787</v>
      </c>
      <c r="C265" s="14" t="s">
        <v>132</v>
      </c>
      <c r="D265" s="14">
        <v>22.0</v>
      </c>
      <c r="E265" s="14">
        <v>1004.0</v>
      </c>
      <c r="F265" s="14">
        <v>2.0</v>
      </c>
      <c r="G265" s="14">
        <v>1006.0</v>
      </c>
      <c r="H265" s="14">
        <v>2.0</v>
      </c>
      <c r="I265" s="14">
        <v>1008.0</v>
      </c>
      <c r="J265" s="14">
        <v>2.0</v>
      </c>
      <c r="K265" s="14">
        <v>1010.0</v>
      </c>
      <c r="L265" s="14">
        <v>1.0</v>
      </c>
      <c r="M265" s="14">
        <v>1011.0</v>
      </c>
      <c r="N265" s="14">
        <v>1.0</v>
      </c>
      <c r="O265" s="14">
        <v>1012.0</v>
      </c>
      <c r="P265" s="14">
        <v>1.0</v>
      </c>
      <c r="Q265" s="14">
        <v>1013.0</v>
      </c>
      <c r="R265" s="14">
        <v>1.0</v>
      </c>
      <c r="S265" s="14">
        <v>1013.0</v>
      </c>
      <c r="T265" s="14">
        <v>0.0</v>
      </c>
      <c r="U265" s="14">
        <v>1013.0</v>
      </c>
      <c r="V265" s="14">
        <v>0.0</v>
      </c>
      <c r="W265" s="14">
        <v>1013.0</v>
      </c>
      <c r="X265" s="14">
        <v>0.0</v>
      </c>
      <c r="Y265" s="14">
        <v>1016.0</v>
      </c>
      <c r="Z265" s="14">
        <v>3.0</v>
      </c>
      <c r="AA265" s="14">
        <v>1024.0</v>
      </c>
      <c r="AB265" s="14">
        <v>8.0</v>
      </c>
      <c r="AC265" s="14">
        <v>8.0</v>
      </c>
      <c r="AD265" s="14">
        <v>0.0</v>
      </c>
      <c r="AE265" s="14">
        <v>0.0</v>
      </c>
      <c r="AG265" s="14">
        <v>3.0</v>
      </c>
      <c r="AH265" s="14">
        <v>20.0</v>
      </c>
      <c r="AI265" s="14">
        <v>31.0</v>
      </c>
    </row>
    <row r="266" ht="15.75" customHeight="1">
      <c r="A266" s="14">
        <v>268.0</v>
      </c>
      <c r="B266" s="14" t="s">
        <v>789</v>
      </c>
      <c r="C266" s="14" t="s">
        <v>132</v>
      </c>
      <c r="D266" s="14">
        <v>23.0</v>
      </c>
      <c r="E266" s="14">
        <v>1058.0</v>
      </c>
      <c r="F266" s="14">
        <v>4.0</v>
      </c>
      <c r="G266" s="14">
        <v>1062.0</v>
      </c>
      <c r="H266" s="14">
        <v>6.0</v>
      </c>
      <c r="I266" s="14">
        <v>1068.0</v>
      </c>
      <c r="J266" s="14">
        <v>6.0</v>
      </c>
      <c r="K266" s="14">
        <v>1074.0</v>
      </c>
      <c r="L266" s="14">
        <v>8.0</v>
      </c>
      <c r="M266" s="14">
        <v>1082.0</v>
      </c>
      <c r="N266" s="14">
        <v>3.0</v>
      </c>
      <c r="O266" s="14">
        <v>3.0</v>
      </c>
      <c r="P266" s="14">
        <v>4.0</v>
      </c>
      <c r="Q266" s="14">
        <v>7.0</v>
      </c>
      <c r="R266" s="14">
        <v>4.0</v>
      </c>
      <c r="S266" s="14">
        <v>10.0</v>
      </c>
      <c r="T266" s="14">
        <v>3.0</v>
      </c>
      <c r="U266" s="14">
        <v>13.0</v>
      </c>
      <c r="V266" s="14">
        <v>3.0</v>
      </c>
      <c r="W266" s="14">
        <v>16.0</v>
      </c>
      <c r="X266" s="14">
        <v>3.0</v>
      </c>
      <c r="Y266" s="14">
        <v>20.0</v>
      </c>
      <c r="Z266" s="14">
        <v>4.0</v>
      </c>
      <c r="AA266" s="14">
        <v>23.0</v>
      </c>
      <c r="AB266" s="14">
        <v>3.0</v>
      </c>
      <c r="AC266" s="14">
        <v>5.0</v>
      </c>
      <c r="AD266" s="14">
        <v>0.0</v>
      </c>
      <c r="AE266" s="14">
        <v>0.0</v>
      </c>
      <c r="AG266" s="14">
        <v>3.0</v>
      </c>
      <c r="AH266" s="14">
        <v>0.0</v>
      </c>
      <c r="AI266" s="14">
        <v>8.0</v>
      </c>
    </row>
    <row r="267" ht="15.75" customHeight="1">
      <c r="A267" s="14">
        <v>269.0</v>
      </c>
      <c r="B267" s="14" t="s">
        <v>792</v>
      </c>
      <c r="C267" s="14" t="s">
        <v>132</v>
      </c>
      <c r="D267" s="14">
        <v>24.0</v>
      </c>
      <c r="E267" s="14">
        <v>123.0</v>
      </c>
      <c r="F267" s="14">
        <v>1.0</v>
      </c>
      <c r="G267" s="14">
        <v>124.0</v>
      </c>
      <c r="H267" s="14">
        <v>0.0</v>
      </c>
      <c r="I267" s="14">
        <v>124.0</v>
      </c>
      <c r="J267" s="14">
        <v>0.0</v>
      </c>
      <c r="K267" s="14">
        <v>124.0</v>
      </c>
      <c r="L267" s="14">
        <v>3.0</v>
      </c>
      <c r="M267" s="14">
        <v>127.0</v>
      </c>
      <c r="N267" s="14">
        <v>2.0</v>
      </c>
      <c r="O267" s="14">
        <v>129.0</v>
      </c>
      <c r="P267" s="14">
        <v>1.0</v>
      </c>
      <c r="Q267" s="14">
        <v>130.0</v>
      </c>
      <c r="R267" s="14">
        <v>1.0</v>
      </c>
      <c r="S267" s="14">
        <v>132.0</v>
      </c>
      <c r="T267" s="14">
        <v>2.0</v>
      </c>
      <c r="U267" s="14">
        <v>133.0</v>
      </c>
      <c r="V267" s="14">
        <v>1.0</v>
      </c>
      <c r="W267" s="14">
        <v>133.0</v>
      </c>
      <c r="X267" s="14">
        <v>0.0</v>
      </c>
      <c r="Y267" s="14">
        <v>133.0</v>
      </c>
      <c r="Z267" s="14">
        <v>0.0</v>
      </c>
      <c r="AA267" s="14">
        <v>133.0</v>
      </c>
      <c r="AB267" s="14">
        <v>0.0</v>
      </c>
      <c r="AC267" s="14">
        <v>5.0</v>
      </c>
      <c r="AD267" s="14">
        <v>0.0</v>
      </c>
      <c r="AE267" s="14">
        <v>0.0</v>
      </c>
      <c r="AG267" s="14">
        <v>3.0</v>
      </c>
      <c r="AH267" s="14">
        <v>0.0</v>
      </c>
      <c r="AI267" s="14">
        <v>8.0</v>
      </c>
    </row>
    <row r="268" ht="15.75" customHeight="1">
      <c r="A268" s="14">
        <v>270.0</v>
      </c>
      <c r="B268" s="14" t="s">
        <v>796</v>
      </c>
      <c r="C268" s="14" t="s">
        <v>132</v>
      </c>
      <c r="D268" s="14">
        <v>25.0</v>
      </c>
      <c r="E268" s="14">
        <v>1050.0</v>
      </c>
      <c r="F268" s="14">
        <v>12.0</v>
      </c>
      <c r="G268" s="14">
        <v>1062.0</v>
      </c>
      <c r="H268" s="14">
        <v>5.0</v>
      </c>
      <c r="I268" s="14">
        <v>1067.0</v>
      </c>
      <c r="J268" s="14">
        <v>8.0</v>
      </c>
      <c r="K268" s="14">
        <v>1075.0</v>
      </c>
      <c r="L268" s="14">
        <v>10.0</v>
      </c>
      <c r="M268" s="14">
        <v>1085.0</v>
      </c>
      <c r="N268" s="14">
        <v>8.0</v>
      </c>
      <c r="O268" s="14">
        <v>1093.0</v>
      </c>
      <c r="P268" s="14">
        <v>2.0</v>
      </c>
      <c r="Q268" s="14">
        <v>1095.0</v>
      </c>
      <c r="R268" s="14">
        <v>2.0</v>
      </c>
      <c r="S268" s="14">
        <v>1096.0</v>
      </c>
      <c r="T268" s="14">
        <v>1.0</v>
      </c>
      <c r="U268" s="14">
        <v>1096.0</v>
      </c>
      <c r="V268" s="14">
        <v>0.0</v>
      </c>
      <c r="W268" s="14">
        <v>1098.0</v>
      </c>
      <c r="X268" s="14">
        <v>2.0</v>
      </c>
      <c r="Y268" s="14">
        <v>1099.0</v>
      </c>
      <c r="Z268" s="14">
        <v>1.0</v>
      </c>
      <c r="AA268" s="14">
        <v>1101.0</v>
      </c>
      <c r="AB268" s="14">
        <v>2.0</v>
      </c>
      <c r="AC268" s="14">
        <v>5.0</v>
      </c>
      <c r="AD268" s="14">
        <v>0.0</v>
      </c>
      <c r="AE268" s="14">
        <v>0.0</v>
      </c>
      <c r="AG268" s="14">
        <v>3.0</v>
      </c>
      <c r="AH268" s="14">
        <v>0.0</v>
      </c>
      <c r="AI268" s="14">
        <v>8.0</v>
      </c>
    </row>
    <row r="269" ht="15.75" customHeight="1">
      <c r="A269" s="14">
        <v>271.0</v>
      </c>
      <c r="B269" s="14" t="s">
        <v>797</v>
      </c>
      <c r="C269" s="14" t="s">
        <v>132</v>
      </c>
      <c r="D269" s="14">
        <v>26.0</v>
      </c>
      <c r="E269" s="14">
        <v>619.0</v>
      </c>
      <c r="F269" s="14">
        <v>0.0</v>
      </c>
      <c r="G269" s="14">
        <v>619.0</v>
      </c>
      <c r="H269" s="14">
        <v>0.0</v>
      </c>
      <c r="I269" s="14">
        <v>619.0</v>
      </c>
      <c r="J269" s="14">
        <v>0.0</v>
      </c>
      <c r="K269" s="14">
        <v>619.0</v>
      </c>
      <c r="L269" s="14">
        <v>0.0</v>
      </c>
      <c r="M269" s="14">
        <v>619.0</v>
      </c>
      <c r="N269" s="14">
        <v>0.0</v>
      </c>
      <c r="O269" s="14">
        <v>619.0</v>
      </c>
      <c r="P269" s="14">
        <v>0.0</v>
      </c>
      <c r="Q269" s="14">
        <v>619.0</v>
      </c>
      <c r="R269" s="14">
        <v>0.0</v>
      </c>
      <c r="S269" s="14">
        <v>619.0</v>
      </c>
      <c r="T269" s="14">
        <v>0.0</v>
      </c>
      <c r="U269" s="14">
        <v>619.0</v>
      </c>
      <c r="V269" s="14">
        <v>0.0</v>
      </c>
      <c r="W269" s="14">
        <v>619.0</v>
      </c>
      <c r="X269" s="14">
        <v>0.0</v>
      </c>
      <c r="Y269" s="14">
        <v>619.0</v>
      </c>
      <c r="Z269" s="14">
        <v>0.0</v>
      </c>
      <c r="AA269" s="14">
        <v>619.0</v>
      </c>
      <c r="AB269" s="14">
        <v>0.0</v>
      </c>
      <c r="AC269" s="14">
        <v>5.0</v>
      </c>
      <c r="AD269" s="14">
        <v>0.0</v>
      </c>
      <c r="AE269" s="14">
        <v>0.0</v>
      </c>
      <c r="AG269" s="14">
        <v>3.0</v>
      </c>
      <c r="AH269" s="14">
        <v>20.0</v>
      </c>
      <c r="AI269" s="14">
        <v>28.0</v>
      </c>
    </row>
    <row r="270" ht="15.75" customHeight="1">
      <c r="A270" s="14">
        <v>272.0</v>
      </c>
      <c r="B270" s="14" t="s">
        <v>800</v>
      </c>
      <c r="C270" s="14" t="s">
        <v>132</v>
      </c>
      <c r="D270" s="14">
        <v>27.0</v>
      </c>
      <c r="E270" s="14">
        <v>894.0</v>
      </c>
      <c r="F270" s="14">
        <v>14.0</v>
      </c>
      <c r="G270" s="14">
        <v>908.0</v>
      </c>
      <c r="H270" s="14">
        <v>13.0</v>
      </c>
      <c r="I270" s="14">
        <v>921.0</v>
      </c>
      <c r="J270" s="14">
        <v>9.0</v>
      </c>
      <c r="K270" s="14">
        <v>930.0</v>
      </c>
      <c r="L270" s="14">
        <v>13.0</v>
      </c>
      <c r="M270" s="14">
        <v>943.0</v>
      </c>
      <c r="N270" s="14">
        <v>8.0</v>
      </c>
      <c r="O270" s="14">
        <v>951.0</v>
      </c>
      <c r="P270" s="14">
        <v>8.0</v>
      </c>
      <c r="Q270" s="14">
        <v>959.0</v>
      </c>
      <c r="R270" s="14">
        <v>8.0</v>
      </c>
      <c r="S270" s="14">
        <v>965.0</v>
      </c>
      <c r="T270" s="14">
        <v>6.0</v>
      </c>
      <c r="U270" s="14">
        <v>971.0</v>
      </c>
      <c r="V270" s="14">
        <v>6.0</v>
      </c>
      <c r="W270" s="14">
        <v>978.0</v>
      </c>
      <c r="X270" s="14">
        <v>7.0</v>
      </c>
      <c r="Y270" s="14">
        <v>988.0</v>
      </c>
      <c r="Z270" s="14">
        <v>10.0</v>
      </c>
      <c r="AA270" s="14">
        <v>997.0</v>
      </c>
      <c r="AB270" s="14">
        <v>9.0</v>
      </c>
      <c r="AC270" s="14">
        <v>9.0</v>
      </c>
      <c r="AD270" s="14">
        <v>0.0</v>
      </c>
      <c r="AE270" s="14">
        <v>0.0</v>
      </c>
      <c r="AG270" s="14">
        <v>3.0</v>
      </c>
      <c r="AH270" s="14">
        <v>0.0</v>
      </c>
      <c r="AI270" s="14">
        <v>12.0</v>
      </c>
    </row>
    <row r="271" ht="15.75" customHeight="1">
      <c r="A271" s="14">
        <v>273.0</v>
      </c>
      <c r="B271" s="14" t="s">
        <v>801</v>
      </c>
      <c r="C271" s="14" t="s">
        <v>132</v>
      </c>
      <c r="D271" s="14" t="s">
        <v>802</v>
      </c>
      <c r="E271" s="14">
        <v>30.0</v>
      </c>
      <c r="F271" s="14">
        <v>7.0</v>
      </c>
      <c r="G271" s="14">
        <v>37.0</v>
      </c>
      <c r="H271" s="14">
        <v>9.0</v>
      </c>
      <c r="I271" s="14">
        <v>46.0</v>
      </c>
      <c r="J271" s="14">
        <v>6.0</v>
      </c>
      <c r="K271" s="14">
        <v>52.0</v>
      </c>
      <c r="L271" s="14">
        <v>7.0</v>
      </c>
      <c r="M271" s="14">
        <v>59.0</v>
      </c>
      <c r="N271" s="14">
        <v>7.0</v>
      </c>
      <c r="O271" s="14">
        <v>66.0</v>
      </c>
      <c r="P271" s="14">
        <v>6.0</v>
      </c>
      <c r="Q271" s="14">
        <v>72.0</v>
      </c>
      <c r="R271" s="14">
        <v>6.0</v>
      </c>
      <c r="S271" s="14">
        <v>78.0</v>
      </c>
      <c r="T271" s="14">
        <v>6.0</v>
      </c>
      <c r="U271" s="14">
        <v>82.0</v>
      </c>
      <c r="V271" s="14">
        <v>4.0</v>
      </c>
      <c r="W271" s="14">
        <v>88.0</v>
      </c>
      <c r="X271" s="14">
        <v>6.0</v>
      </c>
      <c r="Y271" s="14">
        <v>94.0</v>
      </c>
      <c r="Z271" s="14">
        <v>6.0</v>
      </c>
      <c r="AA271" s="14">
        <v>100.0</v>
      </c>
      <c r="AB271" s="14">
        <v>6.0</v>
      </c>
      <c r="AC271" s="14">
        <v>6.0</v>
      </c>
      <c r="AD271" s="14">
        <v>0.0</v>
      </c>
      <c r="AE271" s="14">
        <v>0.0</v>
      </c>
      <c r="AF271" s="14">
        <v>29.0</v>
      </c>
      <c r="AG271" s="14">
        <v>3.0</v>
      </c>
      <c r="AH271" s="14">
        <v>0.0</v>
      </c>
      <c r="AI271" s="14">
        <v>38.0</v>
      </c>
    </row>
    <row r="272" ht="15.75" customHeight="1">
      <c r="A272" s="14">
        <v>274.0</v>
      </c>
      <c r="B272" s="14" t="s">
        <v>805</v>
      </c>
      <c r="C272" s="14" t="s">
        <v>132</v>
      </c>
      <c r="D272" s="14">
        <v>28.0</v>
      </c>
      <c r="E272" s="14">
        <v>1011.0</v>
      </c>
      <c r="F272" s="14">
        <v>6.0</v>
      </c>
      <c r="G272" s="14">
        <v>1017.0</v>
      </c>
      <c r="H272" s="14">
        <v>2.0</v>
      </c>
      <c r="I272" s="14">
        <v>1019.0</v>
      </c>
      <c r="J272" s="14">
        <v>3.0</v>
      </c>
      <c r="K272" s="14">
        <v>1022.0</v>
      </c>
      <c r="L272" s="14">
        <v>3.0</v>
      </c>
      <c r="M272" s="14">
        <v>1025.0</v>
      </c>
      <c r="N272" s="14">
        <v>4.0</v>
      </c>
      <c r="O272" s="14">
        <v>1029.0</v>
      </c>
      <c r="P272" s="14">
        <v>4.0</v>
      </c>
      <c r="Q272" s="14">
        <v>1033.0</v>
      </c>
      <c r="R272" s="14">
        <v>4.0</v>
      </c>
      <c r="S272" s="14">
        <v>1037.0</v>
      </c>
      <c r="T272" s="14">
        <v>4.0</v>
      </c>
      <c r="U272" s="14">
        <v>1039.0</v>
      </c>
      <c r="V272" s="14">
        <v>2.0</v>
      </c>
      <c r="W272" s="14">
        <v>1041.0</v>
      </c>
      <c r="X272" s="14">
        <v>2.0</v>
      </c>
      <c r="Y272" s="14">
        <v>1043.0</v>
      </c>
      <c r="Z272" s="14">
        <v>2.0</v>
      </c>
      <c r="AA272" s="14">
        <v>1045.0</v>
      </c>
      <c r="AB272" s="14">
        <v>2.0</v>
      </c>
      <c r="AC272" s="14">
        <v>5.0</v>
      </c>
      <c r="AD272" s="14">
        <v>0.0</v>
      </c>
      <c r="AE272" s="14">
        <v>0.0</v>
      </c>
      <c r="AG272" s="14">
        <v>3.0</v>
      </c>
      <c r="AH272" s="14">
        <v>20.0</v>
      </c>
      <c r="AI272" s="14">
        <v>28.0</v>
      </c>
    </row>
    <row r="273" ht="15.75" customHeight="1">
      <c r="A273" s="14">
        <v>275.0</v>
      </c>
      <c r="B273" s="14" t="s">
        <v>806</v>
      </c>
      <c r="C273" s="14" t="s">
        <v>136</v>
      </c>
      <c r="D273" s="14">
        <v>1.0</v>
      </c>
      <c r="E273" s="14">
        <v>2395.0</v>
      </c>
      <c r="F273" s="14">
        <v>13.0</v>
      </c>
      <c r="G273" s="14">
        <v>2408.0</v>
      </c>
      <c r="H273" s="14">
        <v>10.0</v>
      </c>
      <c r="I273" s="14">
        <v>2418.0</v>
      </c>
      <c r="J273" s="14">
        <v>13.0</v>
      </c>
      <c r="K273" s="14">
        <v>2431.0</v>
      </c>
      <c r="L273" s="14">
        <v>9.0</v>
      </c>
      <c r="M273" s="14">
        <v>2440.0</v>
      </c>
      <c r="N273" s="14">
        <v>9.0</v>
      </c>
      <c r="O273" s="14">
        <v>2449.0</v>
      </c>
      <c r="P273" s="14">
        <v>9.0</v>
      </c>
      <c r="Q273" s="14">
        <v>2458.0</v>
      </c>
      <c r="R273" s="14">
        <v>9.0</v>
      </c>
      <c r="S273" s="14">
        <v>2467.0</v>
      </c>
      <c r="T273" s="14">
        <v>9.0</v>
      </c>
      <c r="U273" s="14">
        <v>2474.0</v>
      </c>
      <c r="V273" s="14">
        <v>7.0</v>
      </c>
      <c r="W273" s="14">
        <v>2481.0</v>
      </c>
      <c r="X273" s="14">
        <v>7.0</v>
      </c>
      <c r="Y273" s="14">
        <v>2491.0</v>
      </c>
      <c r="Z273" s="14">
        <v>10.0</v>
      </c>
      <c r="AA273" s="14">
        <v>2493.0</v>
      </c>
      <c r="AB273" s="14">
        <v>2.0</v>
      </c>
      <c r="AC273" s="14">
        <v>5.0</v>
      </c>
      <c r="AD273" s="14">
        <v>0.0</v>
      </c>
      <c r="AE273" s="14">
        <v>0.0</v>
      </c>
      <c r="AG273" s="14">
        <v>3.0</v>
      </c>
      <c r="AH273" s="14">
        <v>0.0</v>
      </c>
      <c r="AI273" s="14">
        <v>8.0</v>
      </c>
    </row>
    <row r="274" ht="15.75" customHeight="1">
      <c r="A274" s="14">
        <v>276.0</v>
      </c>
      <c r="B274" s="14" t="s">
        <v>809</v>
      </c>
      <c r="C274" s="14" t="s">
        <v>136</v>
      </c>
      <c r="D274" s="14">
        <v>2.0</v>
      </c>
      <c r="E274" s="14">
        <v>262.0</v>
      </c>
      <c r="F274" s="14">
        <v>15.0</v>
      </c>
      <c r="G274" s="14">
        <v>277.0</v>
      </c>
      <c r="H274" s="14">
        <v>16.0</v>
      </c>
      <c r="I274" s="14">
        <v>293.0</v>
      </c>
      <c r="J274" s="14">
        <v>14.0</v>
      </c>
      <c r="K274" s="14">
        <v>307.0</v>
      </c>
      <c r="L274" s="14">
        <v>18.0</v>
      </c>
      <c r="M274" s="14">
        <v>325.0</v>
      </c>
      <c r="N274" s="14">
        <v>14.0</v>
      </c>
      <c r="O274" s="14">
        <v>339.0</v>
      </c>
      <c r="P274" s="14">
        <v>11.0</v>
      </c>
      <c r="Q274" s="14">
        <v>350.0</v>
      </c>
      <c r="R274" s="14">
        <v>11.0</v>
      </c>
      <c r="S274" s="14">
        <v>359.0</v>
      </c>
      <c r="T274" s="14">
        <v>9.0</v>
      </c>
      <c r="U274" s="14">
        <v>368.0</v>
      </c>
      <c r="V274" s="14">
        <v>9.0</v>
      </c>
      <c r="W274" s="14">
        <v>378.0</v>
      </c>
      <c r="X274" s="14">
        <v>10.0</v>
      </c>
      <c r="Y274" s="14">
        <v>390.0</v>
      </c>
      <c r="Z274" s="14">
        <v>12.0</v>
      </c>
      <c r="AA274" s="14">
        <v>402.0</v>
      </c>
      <c r="AB274" s="14">
        <v>12.0</v>
      </c>
      <c r="AC274" s="14">
        <v>12.0</v>
      </c>
      <c r="AD274" s="14">
        <v>0.0</v>
      </c>
      <c r="AE274" s="14">
        <v>0.0</v>
      </c>
      <c r="AG274" s="14">
        <v>3.0</v>
      </c>
      <c r="AH274" s="14">
        <v>20.0</v>
      </c>
      <c r="AI274" s="14">
        <v>35.0</v>
      </c>
    </row>
    <row r="275" ht="15.75" customHeight="1">
      <c r="A275" s="14">
        <v>277.0</v>
      </c>
      <c r="B275" s="14" t="s">
        <v>810</v>
      </c>
      <c r="C275" s="14" t="s">
        <v>136</v>
      </c>
      <c r="D275" s="14">
        <v>3.0</v>
      </c>
      <c r="E275" s="14">
        <v>2107.0</v>
      </c>
      <c r="F275" s="14">
        <v>28.0</v>
      </c>
      <c r="G275" s="14">
        <v>2135.0</v>
      </c>
      <c r="H275" s="14">
        <v>19.0</v>
      </c>
      <c r="I275" s="14">
        <v>2154.0</v>
      </c>
      <c r="J275" s="14">
        <v>15.0</v>
      </c>
      <c r="K275" s="14">
        <v>2169.0</v>
      </c>
      <c r="L275" s="14">
        <v>20.0</v>
      </c>
      <c r="M275" s="14">
        <v>2189.0</v>
      </c>
      <c r="N275" s="14">
        <v>18.0</v>
      </c>
      <c r="O275" s="14">
        <v>2207.0</v>
      </c>
      <c r="P275" s="14">
        <v>19.0</v>
      </c>
      <c r="Q275" s="14">
        <v>2226.0</v>
      </c>
      <c r="R275" s="14">
        <v>19.0</v>
      </c>
      <c r="S275" s="14">
        <v>2248.0</v>
      </c>
      <c r="T275" s="14">
        <v>22.0</v>
      </c>
      <c r="U275" s="14">
        <v>2259.0</v>
      </c>
      <c r="V275" s="14">
        <v>11.0</v>
      </c>
      <c r="W275" s="14">
        <v>2270.0</v>
      </c>
      <c r="X275" s="14">
        <v>11.0</v>
      </c>
      <c r="Y275" s="14">
        <v>2284.0</v>
      </c>
      <c r="Z275" s="14">
        <v>14.0</v>
      </c>
      <c r="AA275" s="14">
        <v>2298.0</v>
      </c>
      <c r="AB275" s="14">
        <v>14.0</v>
      </c>
      <c r="AC275" s="14">
        <v>14.0</v>
      </c>
      <c r="AD275" s="14">
        <v>0.0</v>
      </c>
      <c r="AE275" s="14">
        <v>0.0</v>
      </c>
      <c r="AG275" s="14">
        <v>3.0</v>
      </c>
      <c r="AH275" s="14">
        <v>0.0</v>
      </c>
      <c r="AI275" s="14">
        <v>17.0</v>
      </c>
    </row>
    <row r="276" ht="15.75" customHeight="1">
      <c r="A276" s="14">
        <v>278.0</v>
      </c>
      <c r="B276" s="14" t="s">
        <v>813</v>
      </c>
      <c r="C276" s="14" t="s">
        <v>136</v>
      </c>
      <c r="D276" s="14">
        <v>4.0</v>
      </c>
      <c r="E276" s="14">
        <v>1890.0</v>
      </c>
      <c r="F276" s="14">
        <v>16.0</v>
      </c>
      <c r="G276" s="14">
        <v>1906.0</v>
      </c>
      <c r="H276" s="14">
        <v>19.0</v>
      </c>
      <c r="I276" s="14">
        <v>1925.0</v>
      </c>
      <c r="J276" s="14">
        <v>17.0</v>
      </c>
      <c r="K276" s="14">
        <v>1942.0</v>
      </c>
      <c r="L276" s="14">
        <v>14.0</v>
      </c>
      <c r="M276" s="14">
        <v>1956.0</v>
      </c>
      <c r="N276" s="14">
        <v>14.0</v>
      </c>
      <c r="O276" s="14">
        <v>1970.0</v>
      </c>
      <c r="P276" s="14">
        <v>12.0</v>
      </c>
      <c r="Q276" s="14">
        <v>1982.0</v>
      </c>
      <c r="R276" s="14">
        <v>12.0</v>
      </c>
      <c r="S276" s="14">
        <v>1991.0</v>
      </c>
      <c r="T276" s="14">
        <v>9.0</v>
      </c>
      <c r="U276" s="14">
        <v>2007.0</v>
      </c>
      <c r="V276" s="14">
        <v>16.0</v>
      </c>
      <c r="W276" s="14">
        <v>2028.0</v>
      </c>
      <c r="X276" s="14">
        <v>21.0</v>
      </c>
      <c r="Y276" s="14">
        <v>2041.0</v>
      </c>
      <c r="Z276" s="14">
        <v>13.0</v>
      </c>
      <c r="AA276" s="14">
        <v>2056.0</v>
      </c>
      <c r="AB276" s="14">
        <v>15.0</v>
      </c>
      <c r="AC276" s="14">
        <v>15.0</v>
      </c>
      <c r="AD276" s="14">
        <v>0.0</v>
      </c>
      <c r="AE276" s="14">
        <v>0.0</v>
      </c>
      <c r="AG276" s="14">
        <v>3.0</v>
      </c>
      <c r="AH276" s="14">
        <v>0.0</v>
      </c>
      <c r="AI276" s="14">
        <v>18.0</v>
      </c>
    </row>
    <row r="277" ht="15.75" customHeight="1">
      <c r="A277" s="14">
        <v>279.0</v>
      </c>
      <c r="B277" s="14" t="s">
        <v>815</v>
      </c>
      <c r="C277" s="14" t="s">
        <v>136</v>
      </c>
      <c r="D277" s="14">
        <v>5.0</v>
      </c>
      <c r="E277" s="14">
        <v>10.0</v>
      </c>
      <c r="F277" s="14">
        <v>10.0</v>
      </c>
      <c r="G277" s="14">
        <v>20.0</v>
      </c>
      <c r="H277" s="14">
        <v>0.0</v>
      </c>
      <c r="I277" s="14">
        <v>20.0</v>
      </c>
      <c r="J277" s="14">
        <v>5.0</v>
      </c>
      <c r="K277" s="14">
        <v>25.0</v>
      </c>
      <c r="L277" s="14">
        <v>5.0</v>
      </c>
      <c r="M277" s="14">
        <v>30.0</v>
      </c>
      <c r="N277" s="14">
        <v>4.0</v>
      </c>
      <c r="O277" s="14">
        <v>34.0</v>
      </c>
      <c r="P277" s="14">
        <v>3.0</v>
      </c>
      <c r="Q277" s="14">
        <v>37.0</v>
      </c>
      <c r="R277" s="14">
        <v>3.0</v>
      </c>
      <c r="S277" s="14">
        <v>41.0</v>
      </c>
      <c r="T277" s="14">
        <v>4.0</v>
      </c>
      <c r="U277" s="14">
        <v>46.0</v>
      </c>
      <c r="V277" s="14">
        <v>5.0</v>
      </c>
      <c r="W277" s="14">
        <v>49.0</v>
      </c>
      <c r="X277" s="14">
        <v>3.0</v>
      </c>
      <c r="Y277" s="14">
        <v>53.0</v>
      </c>
      <c r="Z277" s="14">
        <v>4.0</v>
      </c>
      <c r="AA277" s="14">
        <v>57.0</v>
      </c>
      <c r="AB277" s="14">
        <v>4.0</v>
      </c>
      <c r="AC277" s="14">
        <v>5.0</v>
      </c>
      <c r="AD277" s="14">
        <v>0.0</v>
      </c>
      <c r="AE277" s="14">
        <v>0.0</v>
      </c>
      <c r="AG277" s="14">
        <v>3.0</v>
      </c>
      <c r="AH277" s="14">
        <v>20.0</v>
      </c>
      <c r="AI277" s="14">
        <v>28.0</v>
      </c>
    </row>
    <row r="278" ht="15.75" customHeight="1">
      <c r="A278" s="14">
        <v>280.0</v>
      </c>
      <c r="B278" s="14" t="s">
        <v>819</v>
      </c>
      <c r="C278" s="14" t="s">
        <v>136</v>
      </c>
      <c r="D278" s="14">
        <v>7.0</v>
      </c>
      <c r="E278" s="14">
        <v>798.0</v>
      </c>
      <c r="F278" s="14">
        <v>34.0</v>
      </c>
      <c r="G278" s="14">
        <v>832.0</v>
      </c>
      <c r="H278" s="14">
        <v>26.0</v>
      </c>
      <c r="I278" s="14">
        <v>858.0</v>
      </c>
      <c r="J278" s="14">
        <v>23.0</v>
      </c>
      <c r="K278" s="14">
        <v>881.0</v>
      </c>
      <c r="L278" s="14">
        <v>19.0</v>
      </c>
      <c r="M278" s="14">
        <v>900.0</v>
      </c>
      <c r="N278" s="14">
        <v>19.0</v>
      </c>
      <c r="O278" s="14">
        <v>919.0</v>
      </c>
      <c r="P278" s="14">
        <v>22.0</v>
      </c>
      <c r="Q278" s="14">
        <v>941.0</v>
      </c>
      <c r="R278" s="14">
        <v>22.0</v>
      </c>
      <c r="S278" s="14">
        <v>958.0</v>
      </c>
      <c r="T278" s="14">
        <v>17.0</v>
      </c>
      <c r="U278" s="14">
        <v>974.0</v>
      </c>
      <c r="V278" s="14">
        <v>16.0</v>
      </c>
      <c r="W278" s="14">
        <v>990.0</v>
      </c>
      <c r="X278" s="14">
        <v>16.0</v>
      </c>
      <c r="Y278" s="14">
        <v>1010.0</v>
      </c>
      <c r="Z278" s="14">
        <v>20.0</v>
      </c>
      <c r="AA278" s="14">
        <v>1035.0</v>
      </c>
      <c r="AB278" s="14">
        <v>25.0</v>
      </c>
      <c r="AC278" s="14">
        <v>25.0</v>
      </c>
      <c r="AD278" s="14">
        <v>0.0</v>
      </c>
      <c r="AE278" s="14">
        <v>0.0</v>
      </c>
      <c r="AG278" s="14">
        <v>3.0</v>
      </c>
      <c r="AH278" s="14">
        <v>0.0</v>
      </c>
      <c r="AI278" s="14">
        <v>28.0</v>
      </c>
    </row>
    <row r="279" ht="15.75" customHeight="1">
      <c r="A279" s="14">
        <v>281.0</v>
      </c>
      <c r="B279" s="14" t="s">
        <v>822</v>
      </c>
      <c r="C279" s="14" t="s">
        <v>136</v>
      </c>
      <c r="D279" s="14">
        <v>8.0</v>
      </c>
      <c r="E279" s="14">
        <v>1832.0</v>
      </c>
      <c r="F279" s="14">
        <v>9.0</v>
      </c>
      <c r="G279" s="14">
        <v>1841.0</v>
      </c>
      <c r="H279" s="14">
        <v>10.0</v>
      </c>
      <c r="I279" s="14">
        <v>1851.0</v>
      </c>
      <c r="J279" s="14">
        <v>7.0</v>
      </c>
      <c r="K279" s="14">
        <v>1858.0</v>
      </c>
      <c r="L279" s="14">
        <v>7.0</v>
      </c>
      <c r="M279" s="14">
        <v>1865.0</v>
      </c>
      <c r="N279" s="14">
        <v>5.0</v>
      </c>
      <c r="O279" s="14">
        <v>1870.0</v>
      </c>
      <c r="P279" s="14">
        <v>8.0</v>
      </c>
      <c r="Q279" s="14">
        <v>1878.0</v>
      </c>
      <c r="R279" s="14">
        <v>8.0</v>
      </c>
      <c r="S279" s="14">
        <v>1879.0</v>
      </c>
      <c r="T279" s="14">
        <v>1.0</v>
      </c>
      <c r="U279" s="14">
        <v>1883.0</v>
      </c>
      <c r="V279" s="14">
        <v>4.0</v>
      </c>
      <c r="W279" s="14">
        <v>1888.0</v>
      </c>
      <c r="X279" s="14">
        <v>5.0</v>
      </c>
      <c r="Y279" s="14">
        <v>1894.0</v>
      </c>
      <c r="Z279" s="14">
        <v>6.0</v>
      </c>
      <c r="AA279" s="14">
        <v>1900.0</v>
      </c>
      <c r="AB279" s="14">
        <v>6.0</v>
      </c>
      <c r="AC279" s="14">
        <v>6.0</v>
      </c>
      <c r="AD279" s="14">
        <v>0.0</v>
      </c>
      <c r="AE279" s="14">
        <v>0.0</v>
      </c>
      <c r="AG279" s="14">
        <v>3.0</v>
      </c>
      <c r="AH279" s="14">
        <v>0.0</v>
      </c>
      <c r="AI279" s="14">
        <v>9.0</v>
      </c>
    </row>
    <row r="280" ht="15.75" customHeight="1">
      <c r="A280" s="14">
        <v>282.0</v>
      </c>
      <c r="B280" s="14" t="s">
        <v>825</v>
      </c>
      <c r="C280" s="14" t="s">
        <v>136</v>
      </c>
      <c r="D280" s="14">
        <v>10.0</v>
      </c>
      <c r="E280" s="14">
        <v>560.0</v>
      </c>
      <c r="F280" s="14">
        <v>8.0</v>
      </c>
      <c r="G280" s="14">
        <v>568.0</v>
      </c>
      <c r="H280" s="14">
        <v>11.0</v>
      </c>
      <c r="I280" s="14">
        <v>579.0</v>
      </c>
      <c r="J280" s="14">
        <v>8.0</v>
      </c>
      <c r="K280" s="14">
        <v>587.0</v>
      </c>
      <c r="L280" s="14">
        <v>7.0</v>
      </c>
      <c r="M280" s="14">
        <v>594.0</v>
      </c>
      <c r="N280" s="14">
        <v>7.0</v>
      </c>
      <c r="O280" s="14">
        <v>601.0</v>
      </c>
      <c r="P280" s="14">
        <v>5.0</v>
      </c>
      <c r="Q280" s="14">
        <v>606.0</v>
      </c>
      <c r="R280" s="14">
        <v>5.0</v>
      </c>
      <c r="S280" s="14">
        <v>613.0</v>
      </c>
      <c r="T280" s="14">
        <v>7.0</v>
      </c>
      <c r="U280" s="14">
        <v>618.0</v>
      </c>
      <c r="V280" s="14">
        <v>5.0</v>
      </c>
      <c r="W280" s="14">
        <v>623.0</v>
      </c>
      <c r="X280" s="14">
        <v>5.0</v>
      </c>
      <c r="Y280" s="14">
        <v>629.0</v>
      </c>
      <c r="Z280" s="14">
        <v>6.0</v>
      </c>
      <c r="AA280" s="14">
        <v>636.0</v>
      </c>
      <c r="AB280" s="14">
        <v>7.0</v>
      </c>
      <c r="AC280" s="14">
        <v>7.0</v>
      </c>
      <c r="AD280" s="14">
        <v>0.0</v>
      </c>
      <c r="AE280" s="14">
        <v>0.0</v>
      </c>
      <c r="AG280" s="14">
        <v>3.0</v>
      </c>
      <c r="AH280" s="14">
        <v>0.0</v>
      </c>
      <c r="AI280" s="14">
        <v>10.0</v>
      </c>
    </row>
    <row r="281" ht="15.75" customHeight="1">
      <c r="A281" s="14">
        <v>283.0</v>
      </c>
      <c r="B281" s="14" t="s">
        <v>826</v>
      </c>
      <c r="C281" s="14" t="s">
        <v>136</v>
      </c>
      <c r="D281" s="14">
        <v>11.0</v>
      </c>
      <c r="E281" s="14">
        <v>1707.0</v>
      </c>
      <c r="F281" s="14">
        <v>21.0</v>
      </c>
      <c r="G281" s="14">
        <v>1728.0</v>
      </c>
      <c r="H281" s="14">
        <v>12.0</v>
      </c>
      <c r="I281" s="14">
        <v>1740.0</v>
      </c>
      <c r="J281" s="14">
        <v>6.0</v>
      </c>
      <c r="K281" s="14">
        <v>1746.0</v>
      </c>
      <c r="L281" s="14">
        <v>14.0</v>
      </c>
      <c r="M281" s="14">
        <v>1760.0</v>
      </c>
      <c r="N281" s="14">
        <v>56.0</v>
      </c>
      <c r="O281" s="14">
        <v>1816.0</v>
      </c>
      <c r="P281" s="14">
        <v>19.0</v>
      </c>
      <c r="Q281" s="14">
        <v>1835.0</v>
      </c>
      <c r="R281" s="14">
        <v>19.0</v>
      </c>
      <c r="S281" s="14">
        <v>1844.0</v>
      </c>
      <c r="T281" s="14">
        <v>9.0</v>
      </c>
      <c r="U281" s="14">
        <v>1847.0</v>
      </c>
      <c r="V281" s="14">
        <v>3.0</v>
      </c>
      <c r="W281" s="14">
        <v>1849.0</v>
      </c>
      <c r="X281" s="14">
        <v>2.0</v>
      </c>
      <c r="Y281" s="14">
        <v>1853.0</v>
      </c>
      <c r="Z281" s="14">
        <v>4.0</v>
      </c>
      <c r="AA281" s="14">
        <v>1855.0</v>
      </c>
      <c r="AB281" s="14">
        <v>2.0</v>
      </c>
      <c r="AC281" s="14">
        <v>5.0</v>
      </c>
      <c r="AD281" s="14">
        <v>0.0</v>
      </c>
      <c r="AE281" s="14">
        <v>0.0</v>
      </c>
      <c r="AG281" s="14">
        <v>3.0</v>
      </c>
      <c r="AH281" s="14">
        <v>20.0</v>
      </c>
      <c r="AI281" s="14">
        <v>28.0</v>
      </c>
    </row>
    <row r="282" ht="15.75" customHeight="1">
      <c r="A282" s="14">
        <v>284.0</v>
      </c>
      <c r="B282" s="14" t="s">
        <v>831</v>
      </c>
      <c r="C282" s="14" t="s">
        <v>136</v>
      </c>
      <c r="D282" s="14" t="s">
        <v>832</v>
      </c>
      <c r="E282" s="14">
        <v>71.0</v>
      </c>
      <c r="F282" s="14">
        <v>6.0</v>
      </c>
      <c r="G282" s="14">
        <v>77.0</v>
      </c>
      <c r="H282" s="14">
        <v>7.0</v>
      </c>
      <c r="I282" s="14">
        <v>84.0</v>
      </c>
      <c r="J282" s="14">
        <v>6.0</v>
      </c>
      <c r="K282" s="14">
        <v>90.0</v>
      </c>
      <c r="L282" s="14">
        <v>8.0</v>
      </c>
      <c r="M282" s="14">
        <v>98.0</v>
      </c>
      <c r="N282" s="14">
        <v>6.0</v>
      </c>
      <c r="O282" s="14">
        <v>104.0</v>
      </c>
      <c r="P282" s="14">
        <v>6.0</v>
      </c>
      <c r="Q282" s="14">
        <v>110.0</v>
      </c>
      <c r="R282" s="14">
        <v>6.0</v>
      </c>
      <c r="S282" s="14">
        <v>116.0</v>
      </c>
      <c r="T282" s="14">
        <v>6.0</v>
      </c>
      <c r="U282" s="14">
        <v>127.0</v>
      </c>
      <c r="V282" s="14">
        <v>11.0</v>
      </c>
      <c r="W282" s="14">
        <v>132.0</v>
      </c>
      <c r="X282" s="14">
        <v>5.0</v>
      </c>
      <c r="Y282" s="14">
        <v>139.0</v>
      </c>
      <c r="Z282" s="14">
        <v>7.0</v>
      </c>
      <c r="AA282" s="14">
        <v>147.0</v>
      </c>
      <c r="AB282" s="14">
        <v>8.0</v>
      </c>
      <c r="AC282" s="14">
        <v>8.0</v>
      </c>
      <c r="AD282" s="14">
        <v>0.0</v>
      </c>
      <c r="AE282" s="14">
        <v>0.0</v>
      </c>
      <c r="AG282" s="14">
        <v>3.0</v>
      </c>
      <c r="AH282" s="14">
        <v>0.0</v>
      </c>
      <c r="AI282" s="14">
        <v>11.0</v>
      </c>
    </row>
    <row r="283" ht="15.75" customHeight="1">
      <c r="A283" s="14">
        <v>285.0</v>
      </c>
      <c r="B283" s="14" t="s">
        <v>835</v>
      </c>
      <c r="C283" s="14" t="s">
        <v>136</v>
      </c>
      <c r="D283" s="14">
        <v>12.0</v>
      </c>
      <c r="E283" s="14">
        <v>1757.0</v>
      </c>
      <c r="F283" s="14">
        <v>22.0</v>
      </c>
      <c r="G283" s="14">
        <v>1779.0</v>
      </c>
      <c r="H283" s="14">
        <v>24.0</v>
      </c>
      <c r="I283" s="14">
        <v>1803.0</v>
      </c>
      <c r="J283" s="14">
        <v>20.0</v>
      </c>
      <c r="K283" s="14">
        <v>1823.0</v>
      </c>
      <c r="L283" s="14">
        <v>17.0</v>
      </c>
      <c r="M283" s="14">
        <v>1840.0</v>
      </c>
      <c r="N283" s="14">
        <v>12.0</v>
      </c>
      <c r="O283" s="14">
        <v>1852.0</v>
      </c>
      <c r="P283" s="14">
        <v>13.0</v>
      </c>
      <c r="Q283" s="14">
        <v>1865.0</v>
      </c>
      <c r="R283" s="14">
        <v>13.0</v>
      </c>
      <c r="S283" s="14">
        <v>1878.0</v>
      </c>
      <c r="T283" s="14">
        <v>13.0</v>
      </c>
      <c r="U283" s="14">
        <v>1893.0</v>
      </c>
      <c r="V283" s="14">
        <v>15.0</v>
      </c>
      <c r="W283" s="14">
        <v>1906.0</v>
      </c>
      <c r="X283" s="14">
        <v>13.0</v>
      </c>
      <c r="Y283" s="14">
        <v>1921.0</v>
      </c>
      <c r="Z283" s="14">
        <v>15.0</v>
      </c>
      <c r="AA283" s="14">
        <v>1939.0</v>
      </c>
      <c r="AB283" s="14">
        <v>18.0</v>
      </c>
      <c r="AC283" s="14">
        <v>18.0</v>
      </c>
      <c r="AD283" s="14">
        <v>18.0</v>
      </c>
      <c r="AE283" s="14">
        <v>0.0</v>
      </c>
      <c r="AG283" s="14">
        <v>3.0</v>
      </c>
      <c r="AH283" s="14">
        <v>0.0</v>
      </c>
      <c r="AI283" s="14">
        <v>39.0</v>
      </c>
    </row>
    <row r="284" ht="15.75" customHeight="1">
      <c r="A284" s="14">
        <v>286.0</v>
      </c>
      <c r="B284" s="14" t="s">
        <v>838</v>
      </c>
      <c r="C284" s="14" t="s">
        <v>136</v>
      </c>
      <c r="D284" s="14">
        <v>13.0</v>
      </c>
      <c r="E284" s="14">
        <v>1562.0</v>
      </c>
      <c r="F284" s="14">
        <v>8.0</v>
      </c>
      <c r="G284" s="14">
        <v>1570.0</v>
      </c>
      <c r="H284" s="14">
        <v>8.0</v>
      </c>
      <c r="I284" s="14">
        <v>1578.0</v>
      </c>
      <c r="J284" s="14">
        <v>8.0</v>
      </c>
      <c r="K284" s="14">
        <v>1586.0</v>
      </c>
      <c r="L284" s="14">
        <v>6.0</v>
      </c>
      <c r="M284" s="14">
        <v>1592.0</v>
      </c>
      <c r="N284" s="14">
        <v>6.0</v>
      </c>
      <c r="O284" s="14">
        <v>1598.0</v>
      </c>
      <c r="P284" s="14">
        <v>5.0</v>
      </c>
      <c r="Q284" s="14">
        <v>1603.0</v>
      </c>
      <c r="R284" s="14">
        <v>5.0</v>
      </c>
      <c r="S284" s="14">
        <v>1608.0</v>
      </c>
      <c r="T284" s="14">
        <v>5.0</v>
      </c>
      <c r="U284" s="14">
        <v>1617.0</v>
      </c>
      <c r="V284" s="14">
        <v>9.0</v>
      </c>
      <c r="W284" s="14">
        <v>1622.0</v>
      </c>
      <c r="X284" s="14">
        <v>5.0</v>
      </c>
      <c r="Y284" s="14">
        <v>1627.0</v>
      </c>
      <c r="Z284" s="14">
        <v>5.0</v>
      </c>
      <c r="AA284" s="14">
        <v>1632.0</v>
      </c>
      <c r="AB284" s="14">
        <v>5.0</v>
      </c>
      <c r="AC284" s="14">
        <v>5.0</v>
      </c>
      <c r="AD284" s="14">
        <v>0.0</v>
      </c>
      <c r="AE284" s="14">
        <v>0.0</v>
      </c>
      <c r="AG284" s="14">
        <v>3.0</v>
      </c>
      <c r="AH284" s="14">
        <v>0.0</v>
      </c>
      <c r="AI284" s="14">
        <v>8.0</v>
      </c>
    </row>
    <row r="285" ht="15.75" customHeight="1">
      <c r="A285" s="14">
        <v>287.0</v>
      </c>
      <c r="B285" s="14" t="s">
        <v>841</v>
      </c>
      <c r="C285" s="14" t="s">
        <v>136</v>
      </c>
      <c r="D285" s="14">
        <v>14.0</v>
      </c>
      <c r="E285" s="14">
        <v>32.0</v>
      </c>
      <c r="F285" s="14">
        <v>5.0</v>
      </c>
      <c r="G285" s="14">
        <v>37.0</v>
      </c>
      <c r="H285" s="14">
        <v>7.0</v>
      </c>
      <c r="I285" s="14">
        <v>44.0</v>
      </c>
      <c r="J285" s="14">
        <v>5.0</v>
      </c>
      <c r="K285" s="14">
        <v>49.0</v>
      </c>
      <c r="L285" s="14">
        <v>9.0</v>
      </c>
      <c r="M285" s="14">
        <v>58.0</v>
      </c>
      <c r="N285" s="14">
        <v>-2.0</v>
      </c>
      <c r="O285" s="14">
        <v>56.0</v>
      </c>
      <c r="P285" s="14">
        <v>4.0</v>
      </c>
      <c r="Q285" s="14">
        <v>60.0</v>
      </c>
      <c r="R285" s="14">
        <v>4.0</v>
      </c>
      <c r="S285" s="14">
        <v>62.0</v>
      </c>
      <c r="T285" s="14">
        <v>2.0</v>
      </c>
      <c r="U285" s="14">
        <v>65.0</v>
      </c>
      <c r="V285" s="14">
        <v>3.0</v>
      </c>
      <c r="W285" s="14">
        <v>66.0</v>
      </c>
      <c r="X285" s="14">
        <v>1.0</v>
      </c>
      <c r="Y285" s="14">
        <v>67.0</v>
      </c>
      <c r="Z285" s="14">
        <v>1.0</v>
      </c>
      <c r="AA285" s="14">
        <v>68.0</v>
      </c>
      <c r="AB285" s="14">
        <v>1.0</v>
      </c>
      <c r="AC285" s="14">
        <v>5.0</v>
      </c>
      <c r="AD285" s="14">
        <v>0.0</v>
      </c>
      <c r="AE285" s="14">
        <v>0.0</v>
      </c>
      <c r="AG285" s="14">
        <v>3.0</v>
      </c>
      <c r="AH285" s="14">
        <v>20.0</v>
      </c>
      <c r="AI285" s="14">
        <v>28.0</v>
      </c>
    </row>
    <row r="286" ht="15.75" customHeight="1">
      <c r="A286" s="14">
        <v>288.0</v>
      </c>
      <c r="B286" s="14" t="s">
        <v>843</v>
      </c>
      <c r="C286" s="14" t="s">
        <v>136</v>
      </c>
      <c r="D286" s="14">
        <v>15.0</v>
      </c>
      <c r="E286" s="14">
        <v>1086.0</v>
      </c>
      <c r="F286" s="14">
        <v>13.0</v>
      </c>
      <c r="G286" s="14">
        <v>1099.0</v>
      </c>
      <c r="H286" s="14">
        <v>15.0</v>
      </c>
      <c r="I286" s="14">
        <v>1114.0</v>
      </c>
      <c r="J286" s="14">
        <v>11.0</v>
      </c>
      <c r="K286" s="14">
        <v>1125.0</v>
      </c>
      <c r="L286" s="14">
        <v>8.0</v>
      </c>
      <c r="M286" s="14">
        <v>1133.0</v>
      </c>
      <c r="N286" s="14">
        <v>9.0</v>
      </c>
      <c r="O286" s="14">
        <v>1142.0</v>
      </c>
      <c r="P286" s="14">
        <v>2.0</v>
      </c>
      <c r="Q286" s="14">
        <v>1144.0</v>
      </c>
      <c r="R286" s="14">
        <v>2.0</v>
      </c>
      <c r="S286" s="14">
        <v>1145.0</v>
      </c>
      <c r="T286" s="14">
        <v>1.0</v>
      </c>
      <c r="U286" s="14">
        <v>1147.0</v>
      </c>
      <c r="V286" s="14">
        <v>2.0</v>
      </c>
      <c r="W286" s="14">
        <v>1148.0</v>
      </c>
      <c r="X286" s="14">
        <v>1.0</v>
      </c>
      <c r="Y286" s="14">
        <v>1151.0</v>
      </c>
      <c r="Z286" s="14">
        <v>3.0</v>
      </c>
      <c r="AA286" s="14">
        <v>1153.0</v>
      </c>
      <c r="AB286" s="14">
        <v>2.0</v>
      </c>
      <c r="AC286" s="14">
        <v>5.0</v>
      </c>
      <c r="AD286" s="14">
        <v>0.0</v>
      </c>
      <c r="AE286" s="14">
        <v>0.0</v>
      </c>
      <c r="AG286" s="14">
        <v>3.0</v>
      </c>
      <c r="AH286" s="14">
        <v>0.0</v>
      </c>
      <c r="AI286" s="14">
        <v>8.0</v>
      </c>
    </row>
    <row r="287" ht="15.75" customHeight="1">
      <c r="A287" s="14">
        <v>289.0</v>
      </c>
      <c r="B287" s="14" t="s">
        <v>844</v>
      </c>
      <c r="C287" s="14" t="s">
        <v>136</v>
      </c>
      <c r="D287" s="14">
        <v>17.0</v>
      </c>
      <c r="E287" s="14">
        <v>555.0</v>
      </c>
      <c r="F287" s="14">
        <v>6.0</v>
      </c>
      <c r="G287" s="14">
        <v>561.0</v>
      </c>
      <c r="H287" s="14">
        <v>6.0</v>
      </c>
      <c r="I287" s="14">
        <v>567.0</v>
      </c>
      <c r="J287" s="14">
        <v>7.0</v>
      </c>
      <c r="K287" s="14">
        <v>574.0</v>
      </c>
      <c r="L287" s="14">
        <v>6.0</v>
      </c>
      <c r="M287" s="14">
        <v>580.0</v>
      </c>
      <c r="N287" s="14">
        <v>5.0</v>
      </c>
      <c r="O287" s="14">
        <v>585.0</v>
      </c>
      <c r="P287" s="14">
        <v>5.0</v>
      </c>
      <c r="Q287" s="14">
        <v>590.0</v>
      </c>
      <c r="R287" s="14">
        <v>5.0</v>
      </c>
      <c r="S287" s="14">
        <v>594.0</v>
      </c>
      <c r="T287" s="14">
        <v>4.0</v>
      </c>
      <c r="U287" s="14">
        <v>598.0</v>
      </c>
      <c r="V287" s="14">
        <v>4.0</v>
      </c>
      <c r="W287" s="14">
        <v>603.0</v>
      </c>
      <c r="X287" s="14">
        <v>5.0</v>
      </c>
      <c r="Y287" s="14">
        <v>609.0</v>
      </c>
      <c r="Z287" s="14">
        <v>6.0</v>
      </c>
      <c r="AA287" s="14">
        <v>616.0</v>
      </c>
      <c r="AB287" s="14">
        <v>7.0</v>
      </c>
      <c r="AC287" s="14">
        <v>7.0</v>
      </c>
      <c r="AD287" s="14">
        <v>0.0</v>
      </c>
      <c r="AE287" s="14">
        <v>0.0</v>
      </c>
      <c r="AG287" s="14">
        <v>3.0</v>
      </c>
      <c r="AH287" s="14">
        <v>0.0</v>
      </c>
      <c r="AI287" s="14">
        <v>10.0</v>
      </c>
    </row>
    <row r="288" ht="15.75" customHeight="1">
      <c r="A288" s="14">
        <v>290.0</v>
      </c>
      <c r="B288" s="14" t="s">
        <v>847</v>
      </c>
      <c r="C288" s="14" t="s">
        <v>136</v>
      </c>
      <c r="D288" s="14">
        <v>18.0</v>
      </c>
      <c r="E288" s="14">
        <v>1296.0</v>
      </c>
      <c r="F288" s="14">
        <v>7.0</v>
      </c>
      <c r="G288" s="14">
        <v>1303.0</v>
      </c>
      <c r="H288" s="14">
        <v>8.0</v>
      </c>
      <c r="I288" s="14">
        <v>1311.0</v>
      </c>
      <c r="J288" s="14">
        <v>7.0</v>
      </c>
      <c r="K288" s="14">
        <v>1318.0</v>
      </c>
      <c r="L288" s="14">
        <v>7.0</v>
      </c>
      <c r="M288" s="14">
        <v>1325.0</v>
      </c>
      <c r="N288" s="14">
        <v>6.0</v>
      </c>
      <c r="O288" s="14">
        <v>1331.0</v>
      </c>
      <c r="P288" s="14">
        <v>4.0</v>
      </c>
      <c r="Q288" s="14">
        <v>1335.0</v>
      </c>
      <c r="R288" s="14">
        <v>4.0</v>
      </c>
      <c r="S288" s="14">
        <v>1337.0</v>
      </c>
      <c r="T288" s="14">
        <v>2.0</v>
      </c>
      <c r="U288" s="14">
        <v>1340.0</v>
      </c>
      <c r="V288" s="14">
        <v>3.0</v>
      </c>
      <c r="W288" s="14">
        <v>1343.0</v>
      </c>
      <c r="X288" s="14">
        <v>3.0</v>
      </c>
      <c r="Y288" s="14">
        <v>1347.0</v>
      </c>
      <c r="Z288" s="14">
        <v>4.0</v>
      </c>
      <c r="AA288" s="14">
        <v>1353.0</v>
      </c>
      <c r="AB288" s="14">
        <v>6.0</v>
      </c>
      <c r="AC288" s="14">
        <v>6.0</v>
      </c>
      <c r="AD288" s="14">
        <v>8.0</v>
      </c>
      <c r="AE288" s="14">
        <v>0.0</v>
      </c>
      <c r="AG288" s="14">
        <v>3.0</v>
      </c>
      <c r="AH288" s="14">
        <v>0.0</v>
      </c>
      <c r="AI288" s="14">
        <v>17.0</v>
      </c>
    </row>
    <row r="289" ht="15.75" customHeight="1">
      <c r="A289" s="14">
        <v>291.0</v>
      </c>
      <c r="B289" s="14" t="s">
        <v>850</v>
      </c>
      <c r="C289" s="14" t="s">
        <v>136</v>
      </c>
      <c r="D289" s="14">
        <v>19.0</v>
      </c>
      <c r="E289" s="14">
        <v>1869.0</v>
      </c>
      <c r="F289" s="14">
        <v>11.0</v>
      </c>
      <c r="G289" s="14">
        <v>1880.0</v>
      </c>
      <c r="H289" s="14">
        <v>21.0</v>
      </c>
      <c r="I289" s="14">
        <v>1901.0</v>
      </c>
      <c r="J289" s="14">
        <v>10.0</v>
      </c>
      <c r="K289" s="14">
        <v>1911.0</v>
      </c>
      <c r="L289" s="14">
        <v>7.0</v>
      </c>
      <c r="M289" s="14">
        <v>1918.0</v>
      </c>
      <c r="N289" s="14">
        <v>9.0</v>
      </c>
      <c r="O289" s="14">
        <v>1927.0</v>
      </c>
      <c r="P289" s="14">
        <v>8.0</v>
      </c>
      <c r="Q289" s="14">
        <v>1935.0</v>
      </c>
      <c r="R289" s="14">
        <v>8.0</v>
      </c>
      <c r="S289" s="14">
        <v>1945.0</v>
      </c>
      <c r="T289" s="14">
        <v>10.0</v>
      </c>
      <c r="U289" s="14">
        <v>1950.0</v>
      </c>
      <c r="V289" s="14">
        <v>5.0</v>
      </c>
      <c r="W289" s="14">
        <v>1957.0</v>
      </c>
      <c r="X289" s="14">
        <v>7.0</v>
      </c>
      <c r="Y289" s="14">
        <v>1965.0</v>
      </c>
      <c r="Z289" s="14">
        <v>8.0</v>
      </c>
      <c r="AA289" s="14">
        <v>1973.0</v>
      </c>
      <c r="AB289" s="14">
        <v>8.0</v>
      </c>
      <c r="AC289" s="14">
        <v>8.0</v>
      </c>
      <c r="AD289" s="14">
        <v>0.0</v>
      </c>
      <c r="AE289" s="14">
        <v>0.0</v>
      </c>
      <c r="AG289" s="14">
        <v>3.0</v>
      </c>
      <c r="AH289" s="14">
        <v>0.0</v>
      </c>
      <c r="AI289" s="14">
        <v>11.0</v>
      </c>
    </row>
    <row r="290" ht="15.75" customHeight="1">
      <c r="A290" s="14">
        <v>292.0</v>
      </c>
      <c r="B290" s="14" t="s">
        <v>853</v>
      </c>
      <c r="C290" s="14" t="s">
        <v>142</v>
      </c>
      <c r="D290" s="14">
        <v>1.0</v>
      </c>
      <c r="E290" s="14">
        <v>268.0</v>
      </c>
      <c r="F290" s="14">
        <v>2.0</v>
      </c>
      <c r="G290" s="14">
        <v>270.0</v>
      </c>
      <c r="H290" s="14">
        <v>2.0</v>
      </c>
      <c r="I290" s="14">
        <v>272.0</v>
      </c>
      <c r="J290" s="14">
        <v>1.0</v>
      </c>
      <c r="K290" s="14">
        <v>273.0</v>
      </c>
      <c r="L290" s="14">
        <v>1.0</v>
      </c>
      <c r="M290" s="14">
        <v>274.0</v>
      </c>
      <c r="N290" s="14">
        <v>2.0</v>
      </c>
      <c r="O290" s="14">
        <v>276.0</v>
      </c>
      <c r="P290" s="14">
        <v>0.0</v>
      </c>
      <c r="Q290" s="14">
        <v>276.0</v>
      </c>
      <c r="R290" s="14">
        <v>0.0</v>
      </c>
      <c r="S290" s="14">
        <v>276.0</v>
      </c>
      <c r="T290" s="14">
        <v>0.0</v>
      </c>
      <c r="U290" s="14">
        <v>277.0</v>
      </c>
      <c r="V290" s="14">
        <v>1.0</v>
      </c>
      <c r="W290" s="14">
        <v>278.0</v>
      </c>
      <c r="X290" s="14">
        <v>1.0</v>
      </c>
      <c r="Y290" s="14">
        <v>279.0</v>
      </c>
      <c r="Z290" s="14">
        <v>1.0</v>
      </c>
      <c r="AA290" s="14">
        <v>282.0</v>
      </c>
      <c r="AB290" s="14">
        <v>3.0</v>
      </c>
      <c r="AC290" s="14">
        <v>5.0</v>
      </c>
      <c r="AD290" s="14">
        <v>0.0</v>
      </c>
      <c r="AE290" s="14">
        <v>0.0</v>
      </c>
      <c r="AG290" s="14">
        <v>3.0</v>
      </c>
      <c r="AH290" s="14">
        <v>0.0</v>
      </c>
      <c r="AI290" s="14">
        <v>8.0</v>
      </c>
    </row>
    <row r="291" ht="15.75" customHeight="1">
      <c r="A291" s="14">
        <v>293.0</v>
      </c>
      <c r="B291" s="14" t="s">
        <v>854</v>
      </c>
      <c r="C291" s="14" t="s">
        <v>142</v>
      </c>
      <c r="D291" s="14">
        <v>2.0</v>
      </c>
      <c r="E291" s="14">
        <v>385.0</v>
      </c>
      <c r="F291" s="14">
        <v>9.0</v>
      </c>
      <c r="G291" s="14">
        <v>394.0</v>
      </c>
      <c r="H291" s="14">
        <v>11.0</v>
      </c>
      <c r="I291" s="14">
        <v>405.0</v>
      </c>
      <c r="J291" s="14">
        <v>12.0</v>
      </c>
      <c r="K291" s="14">
        <v>417.0</v>
      </c>
      <c r="L291" s="14">
        <v>12.0</v>
      </c>
      <c r="M291" s="14">
        <v>429.0</v>
      </c>
      <c r="N291" s="14">
        <v>10.0</v>
      </c>
      <c r="O291" s="14">
        <v>439.0</v>
      </c>
      <c r="P291" s="14">
        <v>16.0</v>
      </c>
      <c r="Q291" s="14">
        <v>455.0</v>
      </c>
      <c r="R291" s="14">
        <v>16.0</v>
      </c>
      <c r="S291" s="14">
        <v>468.0</v>
      </c>
      <c r="T291" s="14">
        <v>13.0</v>
      </c>
      <c r="U291" s="14">
        <v>484.0</v>
      </c>
      <c r="V291" s="14">
        <v>16.0</v>
      </c>
      <c r="W291" s="14">
        <v>514.0</v>
      </c>
      <c r="X291" s="14">
        <v>30.0</v>
      </c>
      <c r="Y291" s="14">
        <v>539.0</v>
      </c>
      <c r="Z291" s="14">
        <v>25.0</v>
      </c>
      <c r="AA291" s="14">
        <v>565.0</v>
      </c>
      <c r="AB291" s="14">
        <v>26.0</v>
      </c>
      <c r="AC291" s="14">
        <v>26.0</v>
      </c>
      <c r="AD291" s="14">
        <v>0.0</v>
      </c>
      <c r="AE291" s="14">
        <v>0.0</v>
      </c>
      <c r="AG291" s="14">
        <v>3.0</v>
      </c>
      <c r="AH291" s="14">
        <v>0.0</v>
      </c>
      <c r="AI291" s="14">
        <v>29.0</v>
      </c>
    </row>
    <row r="292" ht="15.75" customHeight="1">
      <c r="A292" s="14">
        <v>294.0</v>
      </c>
      <c r="B292" s="14" t="s">
        <v>857</v>
      </c>
      <c r="C292" s="14" t="s">
        <v>142</v>
      </c>
      <c r="D292" s="14">
        <v>3.0</v>
      </c>
      <c r="E292" s="14">
        <v>2141.0</v>
      </c>
      <c r="F292" s="14">
        <v>19.0</v>
      </c>
      <c r="G292" s="14">
        <v>2160.0</v>
      </c>
      <c r="H292" s="14">
        <v>11.0</v>
      </c>
      <c r="I292" s="14">
        <v>2171.0</v>
      </c>
      <c r="J292" s="14">
        <v>12.0</v>
      </c>
      <c r="K292" s="14">
        <v>2183.0</v>
      </c>
      <c r="L292" s="14">
        <v>11.0</v>
      </c>
      <c r="M292" s="14">
        <v>2194.0</v>
      </c>
      <c r="N292" s="14">
        <v>10.0</v>
      </c>
      <c r="O292" s="14">
        <v>2204.0</v>
      </c>
      <c r="P292" s="14">
        <v>12.0</v>
      </c>
      <c r="Q292" s="14">
        <v>2216.0</v>
      </c>
      <c r="R292" s="14">
        <v>12.0</v>
      </c>
      <c r="S292" s="14">
        <v>2224.0</v>
      </c>
      <c r="T292" s="14">
        <v>8.0</v>
      </c>
      <c r="U292" s="14">
        <v>2231.0</v>
      </c>
      <c r="V292" s="14">
        <v>7.0</v>
      </c>
      <c r="W292" s="14">
        <v>2239.0</v>
      </c>
      <c r="X292" s="14">
        <v>8.0</v>
      </c>
      <c r="Y292" s="14">
        <v>2249.0</v>
      </c>
      <c r="Z292" s="14">
        <v>10.0</v>
      </c>
      <c r="AA292" s="14">
        <v>2261.0</v>
      </c>
      <c r="AB292" s="14">
        <v>12.0</v>
      </c>
      <c r="AC292" s="14">
        <v>12.0</v>
      </c>
      <c r="AD292" s="14">
        <v>13.0</v>
      </c>
      <c r="AE292" s="14">
        <v>0.0</v>
      </c>
      <c r="AG292" s="14">
        <v>3.0</v>
      </c>
      <c r="AH292" s="14">
        <v>0.0</v>
      </c>
      <c r="AI292" s="14">
        <v>28.0</v>
      </c>
    </row>
    <row r="293" ht="15.75" customHeight="1">
      <c r="A293" s="14">
        <v>295.0</v>
      </c>
      <c r="B293" s="14" t="s">
        <v>860</v>
      </c>
      <c r="C293" s="14" t="s">
        <v>142</v>
      </c>
      <c r="D293" s="14">
        <v>5.0</v>
      </c>
      <c r="E293" s="14">
        <v>3126.0</v>
      </c>
      <c r="F293" s="14">
        <v>11.0</v>
      </c>
      <c r="G293" s="14">
        <v>3137.0</v>
      </c>
      <c r="H293" s="14">
        <v>15.0</v>
      </c>
      <c r="I293" s="14">
        <v>3152.0</v>
      </c>
      <c r="J293" s="14">
        <v>17.0</v>
      </c>
      <c r="K293" s="14">
        <v>3169.0</v>
      </c>
      <c r="L293" s="14">
        <v>20.0</v>
      </c>
      <c r="M293" s="14">
        <v>3189.0</v>
      </c>
      <c r="N293" s="14">
        <v>14.0</v>
      </c>
      <c r="O293" s="14">
        <v>3203.0</v>
      </c>
      <c r="P293" s="14">
        <v>8.0</v>
      </c>
      <c r="Q293" s="14">
        <v>3211.0</v>
      </c>
      <c r="R293" s="14">
        <v>8.0</v>
      </c>
      <c r="S293" s="14">
        <v>3219.0</v>
      </c>
      <c r="T293" s="14">
        <v>8.0</v>
      </c>
      <c r="U293" s="14">
        <v>3217.0</v>
      </c>
      <c r="V293" s="14">
        <v>8.0</v>
      </c>
      <c r="W293" s="14">
        <v>3233.0</v>
      </c>
      <c r="X293" s="14">
        <v>16.0</v>
      </c>
      <c r="Y293" s="14">
        <v>3243.0</v>
      </c>
      <c r="Z293" s="14">
        <v>10.0</v>
      </c>
      <c r="AA293" s="14">
        <v>3252.0</v>
      </c>
      <c r="AB293" s="14">
        <v>9.0</v>
      </c>
      <c r="AC293" s="14">
        <v>9.0</v>
      </c>
      <c r="AD293" s="14">
        <v>13.0</v>
      </c>
      <c r="AE293" s="14">
        <v>0.0</v>
      </c>
      <c r="AG293" s="14">
        <v>3.0</v>
      </c>
      <c r="AH293" s="14">
        <v>0.0</v>
      </c>
      <c r="AI293" s="14">
        <v>25.0</v>
      </c>
    </row>
    <row r="294" ht="15.75" customHeight="1">
      <c r="A294" s="14">
        <v>296.0</v>
      </c>
      <c r="B294" s="14" t="s">
        <v>862</v>
      </c>
      <c r="C294" s="14" t="s">
        <v>142</v>
      </c>
      <c r="D294" s="14">
        <v>6.0</v>
      </c>
      <c r="E294" s="14">
        <v>1303.0</v>
      </c>
      <c r="F294" s="14">
        <v>37.0</v>
      </c>
      <c r="G294" s="14">
        <v>1340.0</v>
      </c>
      <c r="H294" s="14">
        <v>43.0</v>
      </c>
      <c r="I294" s="14">
        <v>1383.0</v>
      </c>
      <c r="J294" s="14">
        <v>36.0</v>
      </c>
      <c r="K294" s="14">
        <v>1419.0</v>
      </c>
      <c r="L294" s="14">
        <v>21.0</v>
      </c>
      <c r="M294" s="14">
        <v>1440.0</v>
      </c>
      <c r="N294" s="14">
        <v>31.0</v>
      </c>
      <c r="O294" s="14">
        <v>1471.0</v>
      </c>
      <c r="P294" s="14">
        <v>19.0</v>
      </c>
      <c r="Q294" s="14">
        <v>1490.0</v>
      </c>
      <c r="R294" s="14">
        <v>19.0</v>
      </c>
      <c r="S294" s="14">
        <v>1508.0</v>
      </c>
      <c r="T294" s="14">
        <v>18.0</v>
      </c>
      <c r="U294" s="14">
        <v>1531.0</v>
      </c>
      <c r="V294" s="14">
        <v>23.0</v>
      </c>
      <c r="W294" s="14">
        <v>1548.0</v>
      </c>
      <c r="X294" s="14">
        <v>17.0</v>
      </c>
      <c r="Y294" s="14">
        <v>1568.0</v>
      </c>
      <c r="Z294" s="14">
        <v>20.0</v>
      </c>
      <c r="AA294" s="14">
        <v>1594.0</v>
      </c>
      <c r="AB294" s="14">
        <v>26.0</v>
      </c>
      <c r="AC294" s="14">
        <v>26.0</v>
      </c>
      <c r="AD294" s="14">
        <v>23.0</v>
      </c>
      <c r="AE294" s="14">
        <v>0.0</v>
      </c>
      <c r="AG294" s="14">
        <v>3.0</v>
      </c>
      <c r="AH294" s="14">
        <v>0.0</v>
      </c>
      <c r="AI294" s="14">
        <v>52.0</v>
      </c>
    </row>
    <row r="295" ht="15.75" customHeight="1">
      <c r="A295" s="14">
        <v>297.0</v>
      </c>
      <c r="B295" s="14" t="s">
        <v>864</v>
      </c>
      <c r="C295" s="14" t="s">
        <v>142</v>
      </c>
      <c r="D295" s="14">
        <v>7.0</v>
      </c>
      <c r="E295" s="14">
        <v>1192.0</v>
      </c>
      <c r="F295" s="14">
        <v>19.0</v>
      </c>
      <c r="G295" s="14">
        <v>1211.0</v>
      </c>
      <c r="H295" s="14">
        <v>27.0</v>
      </c>
      <c r="I295" s="14">
        <v>1238.0</v>
      </c>
      <c r="J295" s="14">
        <v>28.0</v>
      </c>
      <c r="K295" s="14">
        <v>1266.0</v>
      </c>
      <c r="L295" s="14">
        <v>22.0</v>
      </c>
      <c r="M295" s="14">
        <v>1288.0</v>
      </c>
      <c r="N295" s="14">
        <v>19.0</v>
      </c>
      <c r="O295" s="14">
        <v>1307.0</v>
      </c>
      <c r="P295" s="14">
        <v>17.0</v>
      </c>
      <c r="Q295" s="14">
        <v>1324.0</v>
      </c>
      <c r="R295" s="14">
        <v>17.0</v>
      </c>
      <c r="S295" s="14">
        <v>1338.0</v>
      </c>
      <c r="T295" s="14">
        <v>14.0</v>
      </c>
      <c r="U295" s="14">
        <v>1356.0</v>
      </c>
      <c r="V295" s="14">
        <v>18.0</v>
      </c>
      <c r="W295" s="14">
        <v>1372.0</v>
      </c>
      <c r="X295" s="14">
        <v>16.0</v>
      </c>
      <c r="Y295" s="14">
        <v>1388.0</v>
      </c>
      <c r="Z295" s="14">
        <v>16.0</v>
      </c>
      <c r="AA295" s="14">
        <v>1401.0</v>
      </c>
      <c r="AB295" s="14">
        <v>13.0</v>
      </c>
      <c r="AC295" s="14">
        <v>13.0</v>
      </c>
      <c r="AD295" s="14">
        <v>0.0</v>
      </c>
      <c r="AE295" s="14">
        <v>0.0</v>
      </c>
      <c r="AG295" s="14">
        <v>3.0</v>
      </c>
      <c r="AH295" s="14">
        <v>0.0</v>
      </c>
      <c r="AI295" s="14">
        <v>16.0</v>
      </c>
    </row>
    <row r="296" ht="15.75" customHeight="1">
      <c r="A296" s="14">
        <v>298.0</v>
      </c>
      <c r="B296" s="14" t="s">
        <v>867</v>
      </c>
      <c r="C296" s="14" t="s">
        <v>142</v>
      </c>
      <c r="D296" s="14">
        <v>8.0</v>
      </c>
      <c r="E296" s="14">
        <v>2262.0</v>
      </c>
      <c r="F296" s="14">
        <v>15.0</v>
      </c>
      <c r="G296" s="14">
        <v>2277.0</v>
      </c>
      <c r="H296" s="14">
        <v>15.0</v>
      </c>
      <c r="I296" s="14">
        <v>2292.0</v>
      </c>
      <c r="J296" s="14">
        <v>13.0</v>
      </c>
      <c r="K296" s="14">
        <v>2305.0</v>
      </c>
      <c r="L296" s="14">
        <v>11.0</v>
      </c>
      <c r="M296" s="14">
        <v>2316.0</v>
      </c>
      <c r="N296" s="14">
        <v>11.0</v>
      </c>
      <c r="O296" s="14">
        <v>2327.0</v>
      </c>
      <c r="P296" s="14">
        <v>10.0</v>
      </c>
      <c r="Q296" s="14">
        <v>2337.0</v>
      </c>
      <c r="R296" s="14">
        <v>10.0</v>
      </c>
      <c r="S296" s="14">
        <v>2346.0</v>
      </c>
      <c r="T296" s="14">
        <v>9.0</v>
      </c>
      <c r="U296" s="14">
        <v>2354.0</v>
      </c>
      <c r="V296" s="14">
        <v>8.0</v>
      </c>
      <c r="W296" s="14">
        <v>2364.0</v>
      </c>
      <c r="X296" s="14">
        <v>10.0</v>
      </c>
      <c r="Y296" s="14">
        <v>2375.0</v>
      </c>
      <c r="Z296" s="14">
        <v>11.0</v>
      </c>
      <c r="AA296" s="14">
        <v>2387.0</v>
      </c>
      <c r="AB296" s="14">
        <v>12.0</v>
      </c>
      <c r="AC296" s="14">
        <v>12.0</v>
      </c>
      <c r="AD296" s="14">
        <v>0.0</v>
      </c>
      <c r="AE296" s="14">
        <v>0.0</v>
      </c>
      <c r="AG296" s="14">
        <v>3.0</v>
      </c>
      <c r="AH296" s="14">
        <v>0.0</v>
      </c>
      <c r="AI296" s="14">
        <v>15.0</v>
      </c>
    </row>
    <row r="297" ht="15.75" customHeight="1">
      <c r="A297" s="14">
        <v>299.0</v>
      </c>
      <c r="B297" s="14" t="s">
        <v>871</v>
      </c>
      <c r="C297" s="14" t="s">
        <v>142</v>
      </c>
      <c r="D297" s="14">
        <v>9.0</v>
      </c>
      <c r="E297" s="14">
        <v>1955.0</v>
      </c>
      <c r="F297" s="14">
        <v>13.0</v>
      </c>
      <c r="G297" s="14">
        <v>1968.0</v>
      </c>
      <c r="H297" s="14">
        <v>14.0</v>
      </c>
      <c r="I297" s="14">
        <v>1982.0</v>
      </c>
      <c r="J297" s="14">
        <v>12.0</v>
      </c>
      <c r="K297" s="14">
        <v>1994.0</v>
      </c>
      <c r="L297" s="14">
        <v>11.0</v>
      </c>
      <c r="M297" s="14">
        <v>2005.0</v>
      </c>
      <c r="N297" s="14">
        <v>10.0</v>
      </c>
      <c r="O297" s="14">
        <v>2015.0</v>
      </c>
      <c r="P297" s="14">
        <v>9.0</v>
      </c>
      <c r="Q297" s="14">
        <v>2024.0</v>
      </c>
      <c r="R297" s="14">
        <v>9.0</v>
      </c>
      <c r="S297" s="14">
        <v>2033.0</v>
      </c>
      <c r="T297" s="14">
        <v>9.0</v>
      </c>
      <c r="U297" s="14">
        <v>2044.0</v>
      </c>
      <c r="V297" s="14">
        <v>11.0</v>
      </c>
      <c r="W297" s="14">
        <v>2055.0</v>
      </c>
      <c r="X297" s="14">
        <v>11.0</v>
      </c>
      <c r="Y297" s="14">
        <v>2066.0</v>
      </c>
      <c r="Z297" s="14">
        <v>11.0</v>
      </c>
      <c r="AA297" s="14">
        <v>2077.0</v>
      </c>
      <c r="AB297" s="14">
        <v>11.0</v>
      </c>
      <c r="AC297" s="14">
        <v>11.0</v>
      </c>
      <c r="AD297" s="14">
        <v>0.0</v>
      </c>
      <c r="AE297" s="14">
        <v>0.0</v>
      </c>
      <c r="AG297" s="14">
        <v>3.0</v>
      </c>
      <c r="AH297" s="14">
        <v>0.0</v>
      </c>
      <c r="AI297" s="14">
        <v>14.0</v>
      </c>
    </row>
    <row r="298" ht="15.75" customHeight="1">
      <c r="A298" s="14">
        <v>300.0</v>
      </c>
      <c r="B298" s="14" t="s">
        <v>875</v>
      </c>
      <c r="C298" s="14" t="s">
        <v>142</v>
      </c>
      <c r="D298" s="14">
        <v>12.0</v>
      </c>
      <c r="E298" s="14">
        <v>610.0</v>
      </c>
      <c r="F298" s="14">
        <v>16.0</v>
      </c>
      <c r="G298" s="14">
        <v>626.0</v>
      </c>
      <c r="H298" s="14">
        <v>15.0</v>
      </c>
      <c r="I298" s="14">
        <v>641.0</v>
      </c>
      <c r="J298" s="14">
        <v>18.0</v>
      </c>
      <c r="K298" s="14">
        <v>659.0</v>
      </c>
      <c r="L298" s="14">
        <v>15.0</v>
      </c>
      <c r="M298" s="14">
        <v>674.0</v>
      </c>
      <c r="N298" s="14">
        <v>14.0</v>
      </c>
      <c r="O298" s="14">
        <v>688.0</v>
      </c>
      <c r="P298" s="14">
        <v>10.0</v>
      </c>
      <c r="Q298" s="14">
        <v>698.0</v>
      </c>
      <c r="R298" s="14">
        <v>10.0</v>
      </c>
      <c r="S298" s="14">
        <v>709.0</v>
      </c>
      <c r="T298" s="14">
        <v>11.0</v>
      </c>
      <c r="U298" s="14">
        <v>716.0</v>
      </c>
      <c r="V298" s="14">
        <v>7.0</v>
      </c>
      <c r="W298" s="14">
        <v>724.0</v>
      </c>
      <c r="X298" s="14">
        <v>8.0</v>
      </c>
      <c r="Y298" s="14">
        <v>734.0</v>
      </c>
      <c r="Z298" s="14">
        <v>10.0</v>
      </c>
      <c r="AA298" s="14">
        <v>747.0</v>
      </c>
      <c r="AB298" s="14">
        <v>13.0</v>
      </c>
      <c r="AC298" s="14">
        <v>13.0</v>
      </c>
      <c r="AD298" s="14">
        <v>0.0</v>
      </c>
      <c r="AE298" s="14">
        <v>0.0</v>
      </c>
      <c r="AG298" s="14">
        <v>3.0</v>
      </c>
      <c r="AH298" s="14">
        <v>0.0</v>
      </c>
      <c r="AI298" s="14">
        <v>16.0</v>
      </c>
    </row>
    <row r="299" ht="15.75" customHeight="1">
      <c r="A299" s="14">
        <v>301.0</v>
      </c>
      <c r="B299" s="14" t="s">
        <v>877</v>
      </c>
      <c r="C299" s="14" t="s">
        <v>142</v>
      </c>
      <c r="D299" s="14">
        <v>13.0</v>
      </c>
      <c r="E299" s="14">
        <v>593.0</v>
      </c>
      <c r="F299" s="14">
        <v>9.0</v>
      </c>
      <c r="G299" s="14">
        <v>602.0</v>
      </c>
      <c r="H299" s="14">
        <v>12.0</v>
      </c>
      <c r="I299" s="14">
        <v>614.0</v>
      </c>
      <c r="J299" s="14">
        <v>11.0</v>
      </c>
      <c r="K299" s="14">
        <v>625.0</v>
      </c>
      <c r="L299" s="14">
        <v>9.0</v>
      </c>
      <c r="M299" s="14">
        <v>634.0</v>
      </c>
      <c r="N299" s="14">
        <v>7.0</v>
      </c>
      <c r="O299" s="14">
        <v>641.0</v>
      </c>
      <c r="P299" s="14">
        <v>6.0</v>
      </c>
      <c r="Q299" s="14">
        <v>647.0</v>
      </c>
      <c r="R299" s="14">
        <v>6.0</v>
      </c>
      <c r="S299" s="14">
        <v>653.0</v>
      </c>
      <c r="T299" s="14">
        <v>6.0</v>
      </c>
      <c r="U299" s="14">
        <v>661.0</v>
      </c>
      <c r="V299" s="14">
        <v>8.0</v>
      </c>
      <c r="W299" s="14">
        <v>667.0</v>
      </c>
      <c r="X299" s="14">
        <v>6.0</v>
      </c>
      <c r="Y299" s="14">
        <v>675.0</v>
      </c>
      <c r="Z299" s="14">
        <v>8.0</v>
      </c>
      <c r="AA299" s="14">
        <v>683.0</v>
      </c>
      <c r="AB299" s="14">
        <v>8.0</v>
      </c>
      <c r="AC299" s="14">
        <v>8.0</v>
      </c>
      <c r="AD299" s="14">
        <v>0.0</v>
      </c>
      <c r="AE299" s="14">
        <v>0.0</v>
      </c>
      <c r="AG299" s="14">
        <v>3.0</v>
      </c>
      <c r="AH299" s="14">
        <v>0.0</v>
      </c>
      <c r="AI299" s="14">
        <v>11.0</v>
      </c>
    </row>
    <row r="300" ht="15.75" customHeight="1">
      <c r="A300" s="14">
        <v>302.0</v>
      </c>
      <c r="B300" s="14" t="s">
        <v>880</v>
      </c>
      <c r="C300" s="14" t="s">
        <v>142</v>
      </c>
      <c r="D300" s="14">
        <v>14.0</v>
      </c>
      <c r="E300" s="14">
        <v>914.0</v>
      </c>
      <c r="F300" s="14">
        <v>11.0</v>
      </c>
      <c r="G300" s="14">
        <v>925.0</v>
      </c>
      <c r="H300" s="14">
        <v>11.0</v>
      </c>
      <c r="I300" s="14">
        <v>936.0</v>
      </c>
      <c r="J300" s="14">
        <v>9.0</v>
      </c>
      <c r="K300" s="14">
        <v>945.0</v>
      </c>
      <c r="L300" s="14">
        <v>9.0</v>
      </c>
      <c r="M300" s="14">
        <v>954.0</v>
      </c>
      <c r="N300" s="14">
        <v>7.0</v>
      </c>
      <c r="O300" s="14">
        <v>961.0</v>
      </c>
      <c r="P300" s="14">
        <v>5.0</v>
      </c>
      <c r="Q300" s="14">
        <v>966.0</v>
      </c>
      <c r="R300" s="14">
        <v>5.0</v>
      </c>
      <c r="S300" s="14">
        <v>971.0</v>
      </c>
      <c r="T300" s="14">
        <v>5.0</v>
      </c>
      <c r="U300" s="14">
        <v>977.0</v>
      </c>
      <c r="V300" s="14">
        <v>6.0</v>
      </c>
      <c r="W300" s="14">
        <v>982.0</v>
      </c>
      <c r="X300" s="14">
        <v>5.0</v>
      </c>
      <c r="Y300" s="14">
        <v>988.0</v>
      </c>
      <c r="Z300" s="14">
        <v>6.0</v>
      </c>
      <c r="AA300" s="14">
        <v>993.0</v>
      </c>
      <c r="AB300" s="14">
        <v>5.0</v>
      </c>
      <c r="AC300" s="14">
        <v>5.0</v>
      </c>
      <c r="AD300" s="14">
        <v>2.0</v>
      </c>
      <c r="AE300" s="14">
        <v>0.0</v>
      </c>
      <c r="AG300" s="14">
        <v>3.0</v>
      </c>
      <c r="AH300" s="14">
        <v>20.0</v>
      </c>
      <c r="AI300" s="14">
        <v>30.0</v>
      </c>
    </row>
    <row r="301" ht="15.75" customHeight="1">
      <c r="A301" s="14">
        <v>303.0</v>
      </c>
      <c r="B301" s="14" t="s">
        <v>883</v>
      </c>
      <c r="C301" s="14" t="s">
        <v>142</v>
      </c>
      <c r="D301" s="14">
        <v>15.0</v>
      </c>
      <c r="E301" s="14">
        <v>255.0</v>
      </c>
      <c r="F301" s="14">
        <v>4.0</v>
      </c>
      <c r="G301" s="14">
        <v>259.0</v>
      </c>
      <c r="H301" s="14">
        <v>3.0</v>
      </c>
      <c r="I301" s="14">
        <v>262.0</v>
      </c>
      <c r="J301" s="14">
        <v>2.0</v>
      </c>
      <c r="K301" s="14">
        <v>264.0</v>
      </c>
      <c r="L301" s="14">
        <v>3.0</v>
      </c>
      <c r="M301" s="14">
        <v>267.0</v>
      </c>
      <c r="N301" s="14">
        <v>3.0</v>
      </c>
      <c r="O301" s="14">
        <v>270.0</v>
      </c>
      <c r="P301" s="14">
        <v>3.0</v>
      </c>
      <c r="Q301" s="14">
        <v>273.0</v>
      </c>
      <c r="R301" s="14">
        <v>3.0</v>
      </c>
      <c r="S301" s="14">
        <v>274.0</v>
      </c>
      <c r="T301" s="14">
        <v>1.0</v>
      </c>
      <c r="U301" s="14">
        <v>276.0</v>
      </c>
      <c r="V301" s="14">
        <v>2.0</v>
      </c>
      <c r="W301" s="14">
        <v>277.0</v>
      </c>
      <c r="X301" s="14">
        <v>1.0</v>
      </c>
      <c r="Y301" s="14">
        <v>280.0</v>
      </c>
      <c r="Z301" s="14">
        <v>3.0</v>
      </c>
      <c r="AA301" s="14">
        <v>282.0</v>
      </c>
      <c r="AB301" s="14">
        <v>2.0</v>
      </c>
      <c r="AC301" s="14">
        <v>5.0</v>
      </c>
      <c r="AD301" s="14">
        <v>0.0</v>
      </c>
      <c r="AE301" s="14">
        <v>0.0</v>
      </c>
      <c r="AG301" s="14">
        <v>3.0</v>
      </c>
      <c r="AH301" s="14">
        <v>0.0</v>
      </c>
      <c r="AI301" s="14">
        <v>8.0</v>
      </c>
    </row>
    <row r="302" ht="15.75" customHeight="1">
      <c r="A302" s="14">
        <v>304.0</v>
      </c>
      <c r="B302" s="14" t="s">
        <v>886</v>
      </c>
      <c r="C302" s="14" t="s">
        <v>142</v>
      </c>
      <c r="D302" s="14">
        <v>16.0</v>
      </c>
      <c r="E302" s="14">
        <v>37.0</v>
      </c>
      <c r="F302" s="14">
        <v>2.0</v>
      </c>
      <c r="G302" s="14">
        <v>39.0</v>
      </c>
      <c r="H302" s="14">
        <v>0.0</v>
      </c>
      <c r="I302" s="14">
        <v>39.0</v>
      </c>
      <c r="J302" s="14">
        <v>4.0</v>
      </c>
      <c r="K302" s="14">
        <v>43.0</v>
      </c>
      <c r="L302" s="14">
        <v>4.0</v>
      </c>
      <c r="M302" s="14">
        <v>47.0</v>
      </c>
      <c r="N302" s="14">
        <v>4.0</v>
      </c>
      <c r="O302" s="14">
        <v>51.0</v>
      </c>
      <c r="P302" s="14">
        <v>4.0</v>
      </c>
      <c r="Q302" s="14">
        <v>55.0</v>
      </c>
      <c r="R302" s="14">
        <v>4.0</v>
      </c>
      <c r="S302" s="14">
        <v>59.0</v>
      </c>
      <c r="T302" s="14">
        <v>4.0</v>
      </c>
      <c r="U302" s="14">
        <v>63.0</v>
      </c>
      <c r="V302" s="14">
        <v>4.0</v>
      </c>
      <c r="W302" s="14">
        <v>67.0</v>
      </c>
      <c r="X302" s="14">
        <v>4.0</v>
      </c>
      <c r="Y302" s="14">
        <v>72.0</v>
      </c>
      <c r="Z302" s="14">
        <v>5.0</v>
      </c>
      <c r="AA302" s="14">
        <v>79.0</v>
      </c>
      <c r="AB302" s="14">
        <v>7.0</v>
      </c>
      <c r="AC302" s="14">
        <v>7.0</v>
      </c>
      <c r="AD302" s="14">
        <v>8.0</v>
      </c>
      <c r="AE302" s="14">
        <v>0.0</v>
      </c>
      <c r="AG302" s="14">
        <v>3.0</v>
      </c>
      <c r="AH302" s="14">
        <v>20.0</v>
      </c>
      <c r="AI302" s="14">
        <v>38.0</v>
      </c>
    </row>
    <row r="303" ht="15.75" customHeight="1">
      <c r="A303" s="14">
        <v>305.0</v>
      </c>
      <c r="B303" s="14" t="s">
        <v>889</v>
      </c>
      <c r="C303" s="14" t="s">
        <v>149</v>
      </c>
      <c r="D303" s="14">
        <v>1.0</v>
      </c>
      <c r="E303" s="14">
        <v>781.0</v>
      </c>
      <c r="F303" s="14">
        <v>20.0</v>
      </c>
      <c r="G303" s="14">
        <v>801.0</v>
      </c>
      <c r="H303" s="14">
        <v>-20.0</v>
      </c>
      <c r="I303" s="14">
        <v>781.0</v>
      </c>
      <c r="J303" s="14">
        <v>0.0</v>
      </c>
      <c r="K303" s="14">
        <v>0.0</v>
      </c>
      <c r="L303" s="14">
        <v>7.0</v>
      </c>
      <c r="M303" s="14">
        <v>7.0</v>
      </c>
      <c r="N303" s="14">
        <v>11.0</v>
      </c>
      <c r="O303" s="14">
        <v>18.0</v>
      </c>
      <c r="P303" s="14">
        <v>7.0</v>
      </c>
      <c r="Q303" s="14">
        <v>25.0</v>
      </c>
      <c r="R303" s="14">
        <v>7.0</v>
      </c>
      <c r="S303" s="14">
        <v>30.0</v>
      </c>
      <c r="T303" s="14">
        <v>5.0</v>
      </c>
      <c r="U303" s="14">
        <v>35.0</v>
      </c>
      <c r="V303" s="14">
        <v>5.0</v>
      </c>
      <c r="W303" s="14">
        <v>40.0</v>
      </c>
      <c r="X303" s="14">
        <v>5.0</v>
      </c>
      <c r="Y303" s="14">
        <v>47.0</v>
      </c>
      <c r="Z303" s="14">
        <v>7.0</v>
      </c>
      <c r="AA303" s="14">
        <v>53.0</v>
      </c>
      <c r="AB303" s="14">
        <v>6.0</v>
      </c>
      <c r="AC303" s="14">
        <v>6.0</v>
      </c>
      <c r="AD303" s="14">
        <v>10.0</v>
      </c>
      <c r="AE303" s="14">
        <v>0.0</v>
      </c>
      <c r="AG303" s="14">
        <v>3.0</v>
      </c>
      <c r="AH303" s="14">
        <v>20.0</v>
      </c>
      <c r="AI303" s="14">
        <v>39.0</v>
      </c>
    </row>
    <row r="304" ht="15.75" customHeight="1">
      <c r="A304" s="14">
        <v>306.0</v>
      </c>
      <c r="B304" s="14" t="s">
        <v>891</v>
      </c>
      <c r="C304" s="14" t="s">
        <v>149</v>
      </c>
      <c r="D304" s="14">
        <v>2.0</v>
      </c>
      <c r="E304" s="14">
        <v>2128.0</v>
      </c>
      <c r="F304" s="14">
        <v>24.0</v>
      </c>
      <c r="G304" s="14">
        <v>2152.0</v>
      </c>
      <c r="H304" s="14">
        <v>24.0</v>
      </c>
      <c r="I304" s="14">
        <v>2176.0</v>
      </c>
      <c r="J304" s="14">
        <v>21.0</v>
      </c>
      <c r="K304" s="14">
        <v>2197.0</v>
      </c>
      <c r="L304" s="14">
        <v>17.0</v>
      </c>
      <c r="M304" s="14">
        <v>2214.0</v>
      </c>
      <c r="N304" s="14">
        <v>17.0</v>
      </c>
      <c r="O304" s="14">
        <v>2231.0</v>
      </c>
      <c r="P304" s="14">
        <v>12.0</v>
      </c>
      <c r="Q304" s="14">
        <v>2243.0</v>
      </c>
      <c r="R304" s="14">
        <v>12.0</v>
      </c>
      <c r="S304" s="14">
        <v>2256.0</v>
      </c>
      <c r="T304" s="14">
        <v>13.0</v>
      </c>
      <c r="U304" s="14">
        <v>2268.0</v>
      </c>
      <c r="V304" s="14">
        <v>12.0</v>
      </c>
      <c r="W304" s="14">
        <v>2285.0</v>
      </c>
      <c r="X304" s="14">
        <v>17.0</v>
      </c>
      <c r="Y304" s="14">
        <v>2299.0</v>
      </c>
      <c r="Z304" s="14">
        <v>14.0</v>
      </c>
      <c r="AA304" s="14">
        <v>2314.0</v>
      </c>
      <c r="AB304" s="14">
        <v>15.0</v>
      </c>
      <c r="AC304" s="14">
        <v>15.0</v>
      </c>
      <c r="AD304" s="14">
        <v>0.0</v>
      </c>
      <c r="AE304" s="14">
        <v>0.0</v>
      </c>
      <c r="AG304" s="14">
        <v>3.0</v>
      </c>
      <c r="AH304" s="14">
        <v>0.0</v>
      </c>
      <c r="AI304" s="14">
        <v>18.0</v>
      </c>
    </row>
    <row r="305" ht="15.75" customHeight="1">
      <c r="A305" s="14">
        <v>307.0</v>
      </c>
      <c r="B305" s="14" t="s">
        <v>894</v>
      </c>
      <c r="C305" s="14" t="s">
        <v>149</v>
      </c>
      <c r="D305" s="14">
        <v>3.0</v>
      </c>
      <c r="E305" s="14">
        <v>1800.0</v>
      </c>
      <c r="F305" s="14">
        <v>7.0</v>
      </c>
      <c r="G305" s="14">
        <v>1807.0</v>
      </c>
      <c r="H305" s="14">
        <v>369.0</v>
      </c>
      <c r="I305" s="14">
        <v>2176.0</v>
      </c>
      <c r="J305" s="14">
        <v>0.0</v>
      </c>
      <c r="K305" s="14">
        <v>0.0</v>
      </c>
      <c r="L305" s="14">
        <v>5.0</v>
      </c>
      <c r="M305" s="14">
        <v>5.0</v>
      </c>
      <c r="N305" s="14">
        <v>3.0</v>
      </c>
      <c r="O305" s="14">
        <v>8.0</v>
      </c>
      <c r="P305" s="14">
        <v>1.0</v>
      </c>
      <c r="Q305" s="14">
        <v>9.0</v>
      </c>
      <c r="R305" s="14">
        <v>1.0</v>
      </c>
      <c r="S305" s="14">
        <v>12.0</v>
      </c>
      <c r="T305" s="14">
        <v>3.0</v>
      </c>
      <c r="U305" s="14">
        <v>15.0</v>
      </c>
      <c r="V305" s="14">
        <v>3.0</v>
      </c>
      <c r="W305" s="14">
        <v>17.0</v>
      </c>
      <c r="X305" s="14">
        <v>2.0</v>
      </c>
      <c r="Y305" s="14">
        <v>20.0</v>
      </c>
      <c r="Z305" s="14">
        <v>3.0</v>
      </c>
      <c r="AA305" s="14">
        <v>25.0</v>
      </c>
      <c r="AB305" s="14">
        <v>5.0</v>
      </c>
      <c r="AC305" s="14">
        <v>5.0</v>
      </c>
      <c r="AD305" s="14">
        <v>0.0</v>
      </c>
      <c r="AE305" s="14">
        <v>0.0</v>
      </c>
      <c r="AG305" s="14">
        <v>3.0</v>
      </c>
      <c r="AH305" s="14">
        <v>20.0</v>
      </c>
      <c r="AI305" s="14">
        <v>28.0</v>
      </c>
    </row>
    <row r="306" ht="15.75" customHeight="1">
      <c r="A306" s="14">
        <v>308.0</v>
      </c>
      <c r="B306" s="14" t="s">
        <v>896</v>
      </c>
      <c r="C306" s="14" t="s">
        <v>149</v>
      </c>
      <c r="D306" s="14">
        <v>4.0</v>
      </c>
      <c r="E306" s="14">
        <v>570.0</v>
      </c>
      <c r="F306" s="14">
        <v>9.0</v>
      </c>
      <c r="G306" s="14">
        <v>579.0</v>
      </c>
      <c r="H306" s="14">
        <v>8.0</v>
      </c>
      <c r="I306" s="14">
        <v>587.0</v>
      </c>
      <c r="J306" s="14">
        <v>8.0</v>
      </c>
      <c r="K306" s="14">
        <v>595.0</v>
      </c>
      <c r="L306" s="14">
        <v>9.0</v>
      </c>
      <c r="M306" s="14">
        <v>604.0</v>
      </c>
      <c r="N306" s="14">
        <v>10.0</v>
      </c>
      <c r="O306" s="14">
        <v>614.0</v>
      </c>
      <c r="P306" s="14">
        <v>8.0</v>
      </c>
      <c r="Q306" s="14">
        <v>622.0</v>
      </c>
      <c r="R306" s="14">
        <v>8.0</v>
      </c>
      <c r="S306" s="14">
        <v>629.0</v>
      </c>
      <c r="T306" s="14">
        <v>7.0</v>
      </c>
      <c r="U306" s="14">
        <v>636.0</v>
      </c>
      <c r="V306" s="14">
        <v>7.0</v>
      </c>
      <c r="W306" s="14">
        <v>642.0</v>
      </c>
      <c r="X306" s="14">
        <v>6.0</v>
      </c>
      <c r="Y306" s="14">
        <v>648.0</v>
      </c>
      <c r="Z306" s="14">
        <v>6.0</v>
      </c>
      <c r="AA306" s="14">
        <v>655.0</v>
      </c>
      <c r="AB306" s="14">
        <v>7.0</v>
      </c>
      <c r="AC306" s="14">
        <v>7.0</v>
      </c>
      <c r="AD306" s="14">
        <v>0.0</v>
      </c>
      <c r="AE306" s="14">
        <v>0.0</v>
      </c>
      <c r="AG306" s="14">
        <v>3.0</v>
      </c>
      <c r="AH306" s="14">
        <v>20.0</v>
      </c>
      <c r="AI306" s="14">
        <v>30.0</v>
      </c>
    </row>
    <row r="307" ht="15.75" customHeight="1">
      <c r="A307" s="14">
        <v>309.0</v>
      </c>
      <c r="B307" s="14" t="s">
        <v>900</v>
      </c>
      <c r="C307" s="14" t="s">
        <v>149</v>
      </c>
      <c r="D307" s="14">
        <v>5.0</v>
      </c>
      <c r="E307" s="14">
        <v>364.0</v>
      </c>
      <c r="F307" s="14">
        <v>21.0</v>
      </c>
      <c r="G307" s="14">
        <v>385.0</v>
      </c>
      <c r="H307" s="14">
        <v>28.0</v>
      </c>
      <c r="I307" s="14">
        <v>413.0</v>
      </c>
      <c r="J307" s="14">
        <v>5.0</v>
      </c>
      <c r="K307" s="14">
        <v>418.0</v>
      </c>
      <c r="L307" s="14">
        <v>1.0</v>
      </c>
      <c r="M307" s="14">
        <v>419.0</v>
      </c>
      <c r="N307" s="14">
        <v>2.0</v>
      </c>
      <c r="O307" s="14">
        <v>421.0</v>
      </c>
      <c r="P307" s="14">
        <v>2.0</v>
      </c>
      <c r="Q307" s="14">
        <v>423.0</v>
      </c>
      <c r="R307" s="14">
        <v>2.0</v>
      </c>
      <c r="S307" s="14">
        <v>425.0</v>
      </c>
      <c r="T307" s="14">
        <v>2.0</v>
      </c>
      <c r="U307" s="14">
        <v>426.0</v>
      </c>
      <c r="V307" s="14">
        <v>1.0</v>
      </c>
      <c r="W307" s="14">
        <v>429.0</v>
      </c>
      <c r="X307" s="14">
        <v>3.0</v>
      </c>
      <c r="Y307" s="14">
        <v>431.0</v>
      </c>
      <c r="Z307" s="14">
        <v>2.0</v>
      </c>
      <c r="AA307" s="14">
        <v>433.0</v>
      </c>
      <c r="AB307" s="14">
        <v>2.0</v>
      </c>
      <c r="AC307" s="14">
        <v>5.0</v>
      </c>
      <c r="AD307" s="14">
        <v>8.0</v>
      </c>
      <c r="AE307" s="14">
        <v>0.0</v>
      </c>
      <c r="AG307" s="14">
        <v>3.0</v>
      </c>
      <c r="AH307" s="14">
        <v>0.0</v>
      </c>
      <c r="AI307" s="14">
        <v>16.0</v>
      </c>
    </row>
    <row r="308" ht="15.75" customHeight="1">
      <c r="A308" s="14">
        <v>310.0</v>
      </c>
      <c r="B308" s="14" t="s">
        <v>902</v>
      </c>
      <c r="C308" s="14" t="s">
        <v>149</v>
      </c>
      <c r="D308" s="14">
        <v>7.0</v>
      </c>
      <c r="E308" s="14">
        <v>2763.0</v>
      </c>
      <c r="F308" s="14">
        <v>20.0</v>
      </c>
      <c r="G308" s="14">
        <v>2783.0</v>
      </c>
      <c r="H308" s="14">
        <v>-20.0</v>
      </c>
      <c r="I308" s="14">
        <v>2763.0</v>
      </c>
      <c r="J308" s="14">
        <v>0.0</v>
      </c>
      <c r="K308" s="14">
        <v>0.0</v>
      </c>
      <c r="L308" s="14">
        <v>14.0</v>
      </c>
      <c r="M308" s="14">
        <v>14.0</v>
      </c>
      <c r="N308" s="14">
        <v>11.0</v>
      </c>
      <c r="O308" s="14">
        <v>25.0</v>
      </c>
      <c r="P308" s="14">
        <v>9.0</v>
      </c>
      <c r="Q308" s="14">
        <v>34.0</v>
      </c>
      <c r="R308" s="14">
        <v>9.0</v>
      </c>
      <c r="S308" s="14">
        <v>43.0</v>
      </c>
      <c r="T308" s="14">
        <v>9.0</v>
      </c>
      <c r="U308" s="14">
        <v>53.0</v>
      </c>
      <c r="V308" s="14">
        <v>10.0</v>
      </c>
      <c r="W308" s="14">
        <v>64.0</v>
      </c>
      <c r="X308" s="14">
        <v>11.0</v>
      </c>
      <c r="Y308" s="14">
        <v>72.0</v>
      </c>
      <c r="Z308" s="14">
        <v>8.0</v>
      </c>
      <c r="AA308" s="14">
        <v>81.0</v>
      </c>
      <c r="AB308" s="14">
        <v>9.0</v>
      </c>
      <c r="AC308" s="14">
        <v>9.0</v>
      </c>
      <c r="AD308" s="14">
        <v>11.0</v>
      </c>
      <c r="AE308" s="14">
        <v>0.0</v>
      </c>
      <c r="AG308" s="14">
        <v>3.0</v>
      </c>
      <c r="AH308" s="14">
        <v>0.0</v>
      </c>
      <c r="AI308" s="14">
        <v>23.0</v>
      </c>
    </row>
    <row r="309" ht="15.75" customHeight="1">
      <c r="A309" s="14">
        <v>311.0</v>
      </c>
      <c r="B309" s="14" t="s">
        <v>903</v>
      </c>
      <c r="C309" s="14" t="s">
        <v>149</v>
      </c>
      <c r="D309" s="14">
        <v>8.0</v>
      </c>
      <c r="E309" s="14">
        <v>1790.0</v>
      </c>
      <c r="F309" s="14">
        <v>14.0</v>
      </c>
      <c r="G309" s="14">
        <v>1804.0</v>
      </c>
      <c r="H309" s="14">
        <v>11.0</v>
      </c>
      <c r="I309" s="14">
        <v>1815.0</v>
      </c>
      <c r="J309" s="14">
        <v>13.0</v>
      </c>
      <c r="K309" s="14">
        <v>1828.0</v>
      </c>
      <c r="L309" s="14">
        <v>14.0</v>
      </c>
      <c r="M309" s="14">
        <v>1842.0</v>
      </c>
      <c r="N309" s="14">
        <v>11.0</v>
      </c>
      <c r="O309" s="14">
        <v>1853.0</v>
      </c>
      <c r="P309" s="14">
        <v>8.0</v>
      </c>
      <c r="Q309" s="14">
        <v>1861.0</v>
      </c>
      <c r="R309" s="14">
        <v>8.0</v>
      </c>
      <c r="S309" s="14">
        <v>1868.0</v>
      </c>
      <c r="T309" s="14">
        <v>7.0</v>
      </c>
      <c r="U309" s="14">
        <v>1875.0</v>
      </c>
      <c r="V309" s="14">
        <v>7.0</v>
      </c>
      <c r="W309" s="14">
        <v>1885.0</v>
      </c>
      <c r="X309" s="14">
        <v>10.0</v>
      </c>
      <c r="Y309" s="14">
        <v>1894.0</v>
      </c>
      <c r="Z309" s="14">
        <v>9.0</v>
      </c>
      <c r="AA309" s="14">
        <v>1903.0</v>
      </c>
      <c r="AB309" s="14">
        <v>9.0</v>
      </c>
      <c r="AC309" s="14">
        <v>9.0</v>
      </c>
      <c r="AD309" s="14">
        <v>0.0</v>
      </c>
      <c r="AE309" s="14">
        <v>0.0</v>
      </c>
      <c r="AG309" s="14">
        <v>3.0</v>
      </c>
      <c r="AH309" s="14">
        <v>0.0</v>
      </c>
      <c r="AI309" s="14">
        <v>12.0</v>
      </c>
    </row>
    <row r="310" ht="15.75" customHeight="1">
      <c r="A310" s="14">
        <v>312.0</v>
      </c>
      <c r="B310" s="14" t="s">
        <v>907</v>
      </c>
      <c r="C310" s="14" t="s">
        <v>157</v>
      </c>
      <c r="D310" s="14">
        <v>1.0</v>
      </c>
      <c r="E310" s="14">
        <v>154.0</v>
      </c>
      <c r="F310" s="14">
        <v>29.0</v>
      </c>
      <c r="G310" s="14">
        <v>183.0</v>
      </c>
      <c r="H310" s="14">
        <v>30.0</v>
      </c>
      <c r="I310" s="14">
        <v>213.0</v>
      </c>
      <c r="J310" s="14">
        <v>27.0</v>
      </c>
      <c r="K310" s="14">
        <v>240.0</v>
      </c>
      <c r="L310" s="14">
        <v>23.0</v>
      </c>
      <c r="M310" s="14">
        <v>263.0</v>
      </c>
      <c r="N310" s="14">
        <v>18.0</v>
      </c>
      <c r="O310" s="14">
        <v>281.0</v>
      </c>
      <c r="P310" s="14">
        <v>21.0</v>
      </c>
      <c r="Q310" s="14">
        <v>302.0</v>
      </c>
      <c r="R310" s="14">
        <v>21.0</v>
      </c>
      <c r="S310" s="14">
        <v>318.0</v>
      </c>
      <c r="T310" s="14">
        <v>16.0</v>
      </c>
      <c r="U310" s="14">
        <v>334.0</v>
      </c>
      <c r="V310" s="14">
        <v>16.0</v>
      </c>
      <c r="W310" s="14">
        <v>349.0</v>
      </c>
      <c r="X310" s="14">
        <v>15.0</v>
      </c>
      <c r="Y310" s="14">
        <v>368.0</v>
      </c>
      <c r="Z310" s="14">
        <v>19.0</v>
      </c>
      <c r="AA310" s="14">
        <v>388.0</v>
      </c>
      <c r="AB310" s="14">
        <v>20.0</v>
      </c>
      <c r="AC310" s="14">
        <v>20.0</v>
      </c>
      <c r="AD310" s="14">
        <v>0.0</v>
      </c>
      <c r="AE310" s="14">
        <v>0.0</v>
      </c>
      <c r="AG310" s="14">
        <v>3.0</v>
      </c>
      <c r="AH310" s="14">
        <v>20.0</v>
      </c>
      <c r="AI310" s="14">
        <v>43.0</v>
      </c>
    </row>
    <row r="311" ht="15.75" customHeight="1">
      <c r="A311" s="14">
        <v>313.0</v>
      </c>
      <c r="B311" s="14" t="s">
        <v>910</v>
      </c>
      <c r="C311" s="14" t="s">
        <v>157</v>
      </c>
      <c r="D311" s="14">
        <v>2.0</v>
      </c>
      <c r="E311" s="14">
        <v>1504.0</v>
      </c>
      <c r="F311" s="14">
        <v>28.0</v>
      </c>
      <c r="G311" s="14">
        <v>1532.0</v>
      </c>
      <c r="H311" s="14">
        <v>26.0</v>
      </c>
      <c r="I311" s="14">
        <v>1558.0</v>
      </c>
      <c r="J311" s="14">
        <v>25.0</v>
      </c>
      <c r="K311" s="14">
        <v>1583.0</v>
      </c>
      <c r="L311" s="14">
        <v>28.0</v>
      </c>
      <c r="M311" s="14">
        <v>1611.0</v>
      </c>
      <c r="N311" s="14">
        <v>26.0</v>
      </c>
      <c r="O311" s="14">
        <v>1637.0</v>
      </c>
      <c r="P311" s="14">
        <v>17.0</v>
      </c>
      <c r="Q311" s="14">
        <v>1654.0</v>
      </c>
      <c r="R311" s="14">
        <v>17.0</v>
      </c>
      <c r="S311" s="14">
        <v>1672.0</v>
      </c>
      <c r="T311" s="14">
        <v>18.0</v>
      </c>
      <c r="U311" s="14">
        <v>1686.0</v>
      </c>
      <c r="V311" s="14">
        <v>14.0</v>
      </c>
      <c r="W311" s="14">
        <v>1706.0</v>
      </c>
      <c r="X311" s="14">
        <v>20.0</v>
      </c>
      <c r="Y311" s="14">
        <v>1730.0</v>
      </c>
      <c r="Z311" s="14">
        <v>24.0</v>
      </c>
      <c r="AA311" s="14">
        <v>1750.0</v>
      </c>
      <c r="AB311" s="14">
        <v>20.0</v>
      </c>
      <c r="AC311" s="14">
        <v>20.0</v>
      </c>
      <c r="AD311" s="14">
        <v>0.0</v>
      </c>
      <c r="AE311" s="14">
        <v>0.0</v>
      </c>
      <c r="AG311" s="14">
        <v>3.0</v>
      </c>
      <c r="AH311" s="14">
        <v>20.0</v>
      </c>
      <c r="AI311" s="14">
        <v>43.0</v>
      </c>
    </row>
    <row r="312" ht="15.75" customHeight="1">
      <c r="A312" s="14">
        <v>314.0</v>
      </c>
      <c r="B312" s="14" t="s">
        <v>912</v>
      </c>
      <c r="C312" s="14" t="s">
        <v>157</v>
      </c>
      <c r="D312" s="14">
        <v>3.0</v>
      </c>
      <c r="E312" s="14">
        <v>1365.0</v>
      </c>
      <c r="F312" s="14">
        <v>10.0</v>
      </c>
      <c r="G312" s="14">
        <v>1375.0</v>
      </c>
      <c r="H312" s="14">
        <v>12.0</v>
      </c>
      <c r="I312" s="14">
        <v>1387.0</v>
      </c>
      <c r="J312" s="14">
        <v>10.0</v>
      </c>
      <c r="K312" s="14">
        <v>1397.0</v>
      </c>
      <c r="L312" s="14">
        <v>10.0</v>
      </c>
      <c r="M312" s="14">
        <v>1407.0</v>
      </c>
      <c r="N312" s="14">
        <v>8.0</v>
      </c>
      <c r="O312" s="14">
        <v>1415.0</v>
      </c>
      <c r="P312" s="14">
        <v>9.0</v>
      </c>
      <c r="Q312" s="14">
        <v>1424.0</v>
      </c>
      <c r="R312" s="14">
        <v>9.0</v>
      </c>
      <c r="S312" s="14">
        <v>1431.0</v>
      </c>
      <c r="T312" s="14">
        <v>7.0</v>
      </c>
      <c r="U312" s="14">
        <v>1437.0</v>
      </c>
      <c r="V312" s="14">
        <v>6.0</v>
      </c>
      <c r="W312" s="14">
        <v>1445.0</v>
      </c>
      <c r="X312" s="14">
        <v>8.0</v>
      </c>
      <c r="Y312" s="14">
        <v>1453.0</v>
      </c>
      <c r="Z312" s="14">
        <v>8.0</v>
      </c>
      <c r="AA312" s="14">
        <v>1463.0</v>
      </c>
      <c r="AB312" s="14">
        <v>10.0</v>
      </c>
      <c r="AC312" s="14">
        <v>10.0</v>
      </c>
      <c r="AD312" s="14">
        <v>0.0</v>
      </c>
      <c r="AE312" s="14">
        <v>0.0</v>
      </c>
      <c r="AG312" s="14">
        <v>3.0</v>
      </c>
      <c r="AH312" s="14">
        <v>0.0</v>
      </c>
      <c r="AI312" s="14">
        <v>13.0</v>
      </c>
    </row>
    <row r="313" ht="15.75" customHeight="1">
      <c r="A313" s="14">
        <v>315.0</v>
      </c>
      <c r="B313" s="14" t="s">
        <v>915</v>
      </c>
      <c r="C313" s="14" t="s">
        <v>157</v>
      </c>
      <c r="D313" s="14">
        <v>4.0</v>
      </c>
      <c r="E313" s="14">
        <v>3136.0</v>
      </c>
      <c r="F313" s="14">
        <v>21.0</v>
      </c>
      <c r="G313" s="14">
        <v>3157.0</v>
      </c>
      <c r="H313" s="14">
        <v>19.0</v>
      </c>
      <c r="I313" s="14">
        <v>3176.0</v>
      </c>
      <c r="J313" s="14">
        <v>24.0</v>
      </c>
      <c r="K313" s="14">
        <v>3200.0</v>
      </c>
      <c r="L313" s="14">
        <v>28.0</v>
      </c>
      <c r="M313" s="14">
        <v>3228.0</v>
      </c>
      <c r="N313" s="14">
        <v>23.0</v>
      </c>
      <c r="O313" s="14">
        <v>3251.0</v>
      </c>
      <c r="P313" s="14">
        <v>20.0</v>
      </c>
      <c r="Q313" s="14">
        <v>3271.0</v>
      </c>
      <c r="R313" s="14">
        <v>20.0</v>
      </c>
      <c r="S313" s="14">
        <v>3285.0</v>
      </c>
      <c r="T313" s="14">
        <v>14.0</v>
      </c>
      <c r="U313" s="14">
        <v>3305.0</v>
      </c>
      <c r="V313" s="14">
        <v>20.0</v>
      </c>
      <c r="W313" s="14">
        <v>3324.0</v>
      </c>
      <c r="X313" s="14">
        <v>19.0</v>
      </c>
      <c r="Y313" s="14">
        <v>3344.0</v>
      </c>
      <c r="Z313" s="14">
        <v>20.0</v>
      </c>
      <c r="AA313" s="14">
        <v>3363.0</v>
      </c>
      <c r="AB313" s="14">
        <v>19.0</v>
      </c>
      <c r="AC313" s="14">
        <v>19.0</v>
      </c>
      <c r="AD313" s="14">
        <v>0.0</v>
      </c>
      <c r="AE313" s="14">
        <v>0.0</v>
      </c>
      <c r="AG313" s="14">
        <v>3.0</v>
      </c>
      <c r="AH313" s="14">
        <v>0.0</v>
      </c>
      <c r="AI313" s="14">
        <v>22.0</v>
      </c>
    </row>
    <row r="314" ht="15.75" customHeight="1">
      <c r="A314" s="14">
        <v>316.0</v>
      </c>
      <c r="B314" s="14" t="s">
        <v>918</v>
      </c>
      <c r="C314" s="14" t="s">
        <v>157</v>
      </c>
      <c r="D314" s="14">
        <v>5.0</v>
      </c>
      <c r="E314" s="14">
        <v>1766.0</v>
      </c>
      <c r="F314" s="14">
        <v>23.0</v>
      </c>
      <c r="G314" s="14">
        <v>1789.0</v>
      </c>
      <c r="H314" s="14">
        <v>25.0</v>
      </c>
      <c r="I314" s="14">
        <v>1814.0</v>
      </c>
      <c r="J314" s="14">
        <v>24.0</v>
      </c>
      <c r="K314" s="14">
        <v>1838.0</v>
      </c>
      <c r="L314" s="14">
        <v>24.0</v>
      </c>
      <c r="M314" s="14">
        <v>1862.0</v>
      </c>
      <c r="N314" s="14">
        <v>21.0</v>
      </c>
      <c r="O314" s="14">
        <v>1883.0</v>
      </c>
      <c r="P314" s="14">
        <v>13.0</v>
      </c>
      <c r="Q314" s="14">
        <v>1896.0</v>
      </c>
      <c r="R314" s="14">
        <v>13.0</v>
      </c>
      <c r="S314" s="14">
        <v>1910.0</v>
      </c>
      <c r="T314" s="14">
        <v>14.0</v>
      </c>
      <c r="U314" s="14">
        <v>1923.0</v>
      </c>
      <c r="V314" s="14">
        <v>13.0</v>
      </c>
      <c r="W314" s="14">
        <v>1937.0</v>
      </c>
      <c r="X314" s="14">
        <v>14.0</v>
      </c>
      <c r="Y314" s="14">
        <v>1950.0</v>
      </c>
      <c r="Z314" s="14">
        <v>13.0</v>
      </c>
      <c r="AA314" s="14">
        <v>1966.0</v>
      </c>
      <c r="AB314" s="14">
        <v>16.0</v>
      </c>
      <c r="AC314" s="14">
        <v>16.0</v>
      </c>
      <c r="AD314" s="14">
        <v>0.0</v>
      </c>
      <c r="AE314" s="14">
        <v>0.0</v>
      </c>
      <c r="AG314" s="14">
        <v>3.0</v>
      </c>
      <c r="AH314" s="14">
        <v>0.0</v>
      </c>
      <c r="AI314" s="14">
        <v>19.0</v>
      </c>
    </row>
    <row r="315" ht="15.75" customHeight="1">
      <c r="A315" s="14">
        <v>317.0</v>
      </c>
      <c r="B315" s="14" t="s">
        <v>921</v>
      </c>
      <c r="C315" s="14" t="s">
        <v>157</v>
      </c>
      <c r="D315" s="14">
        <v>7.0</v>
      </c>
      <c r="E315" s="14">
        <v>145.0</v>
      </c>
      <c r="F315" s="14">
        <v>2.0</v>
      </c>
      <c r="G315" s="14">
        <v>147.0</v>
      </c>
      <c r="H315" s="14">
        <v>1.0</v>
      </c>
      <c r="I315" s="14">
        <v>148.0</v>
      </c>
      <c r="J315" s="14">
        <v>2.0</v>
      </c>
      <c r="K315" s="14">
        <v>150.0</v>
      </c>
      <c r="L315" s="14">
        <v>2.0</v>
      </c>
      <c r="M315" s="14">
        <v>152.0</v>
      </c>
      <c r="N315" s="14">
        <v>0.0</v>
      </c>
      <c r="O315" s="14">
        <v>152.0</v>
      </c>
      <c r="P315" s="14">
        <v>1.0</v>
      </c>
      <c r="Q315" s="14">
        <v>153.0</v>
      </c>
      <c r="R315" s="14">
        <v>1.0</v>
      </c>
      <c r="S315" s="14">
        <v>154.0</v>
      </c>
      <c r="T315" s="14">
        <v>1.0</v>
      </c>
      <c r="U315" s="14">
        <v>155.0</v>
      </c>
      <c r="V315" s="14">
        <v>1.0</v>
      </c>
      <c r="W315" s="14">
        <v>155.0</v>
      </c>
      <c r="X315" s="14">
        <v>0.0</v>
      </c>
      <c r="Y315" s="14">
        <v>157.0</v>
      </c>
      <c r="Z315" s="14">
        <v>2.0</v>
      </c>
      <c r="AA315" s="14">
        <v>160.0</v>
      </c>
      <c r="AB315" s="14">
        <v>3.0</v>
      </c>
      <c r="AC315" s="14">
        <v>5.0</v>
      </c>
      <c r="AD315" s="14">
        <v>0.0</v>
      </c>
      <c r="AE315" s="14">
        <v>0.0</v>
      </c>
      <c r="AG315" s="14">
        <v>3.0</v>
      </c>
      <c r="AH315" s="14">
        <v>20.0</v>
      </c>
      <c r="AI315" s="14">
        <v>28.0</v>
      </c>
    </row>
    <row r="316" ht="15.75" customHeight="1">
      <c r="A316" s="14">
        <v>318.0</v>
      </c>
      <c r="B316" s="14" t="s">
        <v>923</v>
      </c>
      <c r="C316" s="14" t="s">
        <v>157</v>
      </c>
      <c r="D316" s="14">
        <v>8.0</v>
      </c>
      <c r="E316" s="14">
        <v>325.0</v>
      </c>
      <c r="F316" s="14">
        <v>1.0</v>
      </c>
      <c r="G316" s="14">
        <v>326.0</v>
      </c>
      <c r="H316" s="14">
        <v>0.0</v>
      </c>
      <c r="I316" s="14">
        <v>326.0</v>
      </c>
      <c r="J316" s="14">
        <v>1.0</v>
      </c>
      <c r="K316" s="14">
        <v>327.0</v>
      </c>
      <c r="L316" s="14">
        <v>0.0</v>
      </c>
      <c r="M316" s="14">
        <v>327.0</v>
      </c>
      <c r="N316" s="14">
        <v>1.0</v>
      </c>
      <c r="O316" s="14">
        <v>328.0</v>
      </c>
      <c r="P316" s="14">
        <v>0.0</v>
      </c>
      <c r="Q316" s="14">
        <v>328.0</v>
      </c>
      <c r="R316" s="14">
        <v>0.0</v>
      </c>
      <c r="S316" s="14">
        <v>328.0</v>
      </c>
      <c r="T316" s="14">
        <v>0.0</v>
      </c>
      <c r="U316" s="14">
        <v>328.0</v>
      </c>
      <c r="V316" s="14">
        <v>0.0</v>
      </c>
      <c r="W316" s="14">
        <v>335.0</v>
      </c>
      <c r="X316" s="14">
        <v>7.0</v>
      </c>
      <c r="Y316" s="14">
        <v>335.0</v>
      </c>
      <c r="Z316" s="14">
        <v>0.0</v>
      </c>
      <c r="AA316" s="14">
        <v>335.0</v>
      </c>
      <c r="AB316" s="14">
        <v>0.0</v>
      </c>
      <c r="AC316" s="14">
        <v>5.0</v>
      </c>
      <c r="AD316" s="14">
        <v>0.0</v>
      </c>
      <c r="AE316" s="14">
        <v>0.0</v>
      </c>
      <c r="AG316" s="14">
        <v>3.0</v>
      </c>
      <c r="AH316" s="14">
        <v>0.0</v>
      </c>
      <c r="AI316" s="14">
        <v>8.0</v>
      </c>
    </row>
    <row r="317" ht="15.75" customHeight="1">
      <c r="A317" s="14">
        <v>319.0</v>
      </c>
      <c r="B317" s="14" t="s">
        <v>926</v>
      </c>
      <c r="C317" s="14" t="s">
        <v>157</v>
      </c>
      <c r="D317" s="14">
        <v>9.0</v>
      </c>
      <c r="E317" s="14">
        <v>638.0</v>
      </c>
      <c r="F317" s="14">
        <v>11.0</v>
      </c>
      <c r="G317" s="14">
        <v>649.0</v>
      </c>
      <c r="H317" s="14">
        <v>13.0</v>
      </c>
      <c r="I317" s="14">
        <v>662.0</v>
      </c>
      <c r="J317" s="14">
        <v>12.0</v>
      </c>
      <c r="K317" s="14">
        <v>674.0</v>
      </c>
      <c r="L317" s="14">
        <v>12.0</v>
      </c>
      <c r="M317" s="14">
        <v>686.0</v>
      </c>
      <c r="N317" s="14">
        <v>10.0</v>
      </c>
      <c r="O317" s="14">
        <v>696.0</v>
      </c>
      <c r="P317" s="14">
        <v>8.0</v>
      </c>
      <c r="Q317" s="14">
        <v>704.0</v>
      </c>
      <c r="R317" s="14">
        <v>8.0</v>
      </c>
      <c r="S317" s="14">
        <v>710.0</v>
      </c>
      <c r="T317" s="14">
        <v>6.0</v>
      </c>
      <c r="U317" s="14">
        <v>715.0</v>
      </c>
      <c r="V317" s="14">
        <v>5.0</v>
      </c>
      <c r="W317" s="14">
        <v>720.0</v>
      </c>
      <c r="X317" s="14">
        <v>5.0</v>
      </c>
      <c r="Y317" s="14">
        <v>724.0</v>
      </c>
      <c r="Z317" s="14">
        <v>4.0</v>
      </c>
      <c r="AA317" s="14">
        <v>729.0</v>
      </c>
      <c r="AB317" s="14">
        <v>5.0</v>
      </c>
      <c r="AC317" s="14">
        <v>5.0</v>
      </c>
      <c r="AD317" s="14">
        <v>0.0</v>
      </c>
      <c r="AE317" s="14">
        <v>0.0</v>
      </c>
      <c r="AG317" s="14">
        <v>3.0</v>
      </c>
      <c r="AH317" s="14">
        <v>0.0</v>
      </c>
      <c r="AI317" s="14">
        <v>8.0</v>
      </c>
    </row>
    <row r="318" ht="15.75" customHeight="1">
      <c r="A318" s="14">
        <v>320.0</v>
      </c>
      <c r="B318" s="14" t="s">
        <v>929</v>
      </c>
      <c r="C318" s="14" t="s">
        <v>157</v>
      </c>
      <c r="D318" s="14">
        <v>10.0</v>
      </c>
      <c r="E318" s="14">
        <v>1696.0</v>
      </c>
      <c r="F318" s="14">
        <v>6.0</v>
      </c>
      <c r="G318" s="14">
        <v>1702.0</v>
      </c>
      <c r="H318" s="14">
        <v>9.0</v>
      </c>
      <c r="I318" s="14">
        <v>1711.0</v>
      </c>
      <c r="J318" s="14">
        <v>4.0</v>
      </c>
      <c r="K318" s="14">
        <v>1715.0</v>
      </c>
      <c r="L318" s="14">
        <v>5.0</v>
      </c>
      <c r="M318" s="14">
        <v>1720.0</v>
      </c>
      <c r="N318" s="14">
        <v>4.0</v>
      </c>
      <c r="O318" s="14">
        <v>1724.0</v>
      </c>
      <c r="P318" s="14">
        <v>4.0</v>
      </c>
      <c r="Q318" s="14">
        <v>1728.0</v>
      </c>
      <c r="R318" s="14">
        <v>4.0</v>
      </c>
      <c r="S318" s="14">
        <v>1731.0</v>
      </c>
      <c r="T318" s="14">
        <v>3.0</v>
      </c>
      <c r="U318" s="14">
        <v>1734.0</v>
      </c>
      <c r="V318" s="14">
        <v>3.0</v>
      </c>
      <c r="W318" s="14">
        <v>1737.0</v>
      </c>
      <c r="X318" s="14">
        <v>3.0</v>
      </c>
      <c r="Y318" s="14">
        <v>1740.0</v>
      </c>
      <c r="Z318" s="14">
        <v>3.0</v>
      </c>
      <c r="AA318" s="14">
        <v>1743.0</v>
      </c>
      <c r="AB318" s="14">
        <v>3.0</v>
      </c>
      <c r="AC318" s="14">
        <v>5.0</v>
      </c>
      <c r="AD318" s="14">
        <v>0.0</v>
      </c>
      <c r="AE318" s="14">
        <v>0.0</v>
      </c>
      <c r="AG318" s="14">
        <v>3.0</v>
      </c>
      <c r="AH318" s="14">
        <v>0.0</v>
      </c>
      <c r="AI318" s="14">
        <v>8.0</v>
      </c>
    </row>
    <row r="319" ht="15.75" customHeight="1">
      <c r="A319" s="14">
        <v>321.0</v>
      </c>
      <c r="B319" s="14" t="s">
        <v>931</v>
      </c>
      <c r="C319" s="14" t="s">
        <v>157</v>
      </c>
      <c r="D319" s="14">
        <v>11.0</v>
      </c>
      <c r="E319" s="14">
        <v>1184.0</v>
      </c>
      <c r="F319" s="14">
        <v>7.0</v>
      </c>
      <c r="G319" s="14">
        <v>1191.0</v>
      </c>
      <c r="H319" s="14">
        <v>8.0</v>
      </c>
      <c r="I319" s="14">
        <v>1199.0</v>
      </c>
      <c r="J319" s="14">
        <v>11.0</v>
      </c>
      <c r="K319" s="14">
        <v>1210.0</v>
      </c>
      <c r="L319" s="14">
        <v>11.0</v>
      </c>
      <c r="M319" s="14">
        <v>1221.0</v>
      </c>
      <c r="N319" s="14">
        <v>13.0</v>
      </c>
      <c r="O319" s="14">
        <v>1234.0</v>
      </c>
      <c r="P319" s="14">
        <v>12.0</v>
      </c>
      <c r="Q319" s="14">
        <v>1246.0</v>
      </c>
      <c r="R319" s="14">
        <v>12.0</v>
      </c>
      <c r="S319" s="14">
        <v>1252.0</v>
      </c>
      <c r="T319" s="14">
        <v>6.0</v>
      </c>
      <c r="U319" s="14">
        <v>1260.0</v>
      </c>
      <c r="V319" s="14">
        <v>8.0</v>
      </c>
      <c r="W319" s="14">
        <v>1268.0</v>
      </c>
      <c r="X319" s="14">
        <v>8.0</v>
      </c>
      <c r="Y319" s="14">
        <v>1273.0</v>
      </c>
      <c r="Z319" s="14">
        <v>5.0</v>
      </c>
      <c r="AA319" s="14">
        <v>1287.0</v>
      </c>
      <c r="AB319" s="14">
        <v>14.0</v>
      </c>
      <c r="AC319" s="14">
        <v>14.0</v>
      </c>
      <c r="AD319" s="14">
        <v>0.0</v>
      </c>
      <c r="AE319" s="14">
        <v>0.0</v>
      </c>
      <c r="AG319" s="14">
        <v>3.0</v>
      </c>
      <c r="AH319" s="14">
        <v>0.0</v>
      </c>
      <c r="AI319" s="14">
        <v>17.0</v>
      </c>
    </row>
    <row r="320" ht="15.75" customHeight="1">
      <c r="A320" s="14">
        <v>322.0</v>
      </c>
      <c r="B320" s="14" t="s">
        <v>934</v>
      </c>
      <c r="C320" s="14" t="s">
        <v>157</v>
      </c>
      <c r="D320" s="14">
        <v>12.0</v>
      </c>
      <c r="E320" s="14">
        <v>30.0</v>
      </c>
      <c r="F320" s="14">
        <v>2.0</v>
      </c>
      <c r="G320" s="14">
        <v>32.0</v>
      </c>
      <c r="H320" s="14">
        <v>2.0</v>
      </c>
      <c r="I320" s="14">
        <v>34.0</v>
      </c>
      <c r="J320" s="14">
        <v>5.0</v>
      </c>
      <c r="K320" s="14">
        <v>39.0</v>
      </c>
      <c r="L320" s="14">
        <v>8.0</v>
      </c>
      <c r="M320" s="14">
        <v>47.0</v>
      </c>
      <c r="N320" s="14">
        <v>1.0</v>
      </c>
      <c r="O320" s="14">
        <v>48.0</v>
      </c>
      <c r="P320" s="14">
        <v>1.0</v>
      </c>
      <c r="Q320" s="14">
        <v>49.0</v>
      </c>
      <c r="R320" s="14">
        <v>1.0</v>
      </c>
      <c r="S320" s="14">
        <v>49.0</v>
      </c>
      <c r="T320" s="14">
        <v>0.0</v>
      </c>
      <c r="U320" s="14">
        <v>49.0</v>
      </c>
      <c r="V320" s="14">
        <v>0.0</v>
      </c>
      <c r="W320" s="14">
        <v>50.0</v>
      </c>
      <c r="X320" s="14">
        <v>1.0</v>
      </c>
      <c r="Y320" s="14">
        <v>50.0</v>
      </c>
      <c r="Z320" s="14">
        <v>0.0</v>
      </c>
      <c r="AA320" s="14">
        <v>51.0</v>
      </c>
      <c r="AB320" s="14">
        <v>1.0</v>
      </c>
      <c r="AC320" s="14">
        <v>5.0</v>
      </c>
      <c r="AD320" s="14">
        <v>0.0</v>
      </c>
      <c r="AE320" s="14">
        <v>0.0</v>
      </c>
      <c r="AG320" s="14">
        <v>3.0</v>
      </c>
      <c r="AH320" s="14">
        <v>0.0</v>
      </c>
      <c r="AI320" s="14">
        <v>8.0</v>
      </c>
    </row>
    <row r="321" ht="15.75" customHeight="1">
      <c r="A321" s="14">
        <v>323.0</v>
      </c>
      <c r="B321" s="14" t="s">
        <v>935</v>
      </c>
      <c r="C321" s="14" t="s">
        <v>157</v>
      </c>
      <c r="D321" s="14">
        <v>13.0</v>
      </c>
      <c r="E321" s="14">
        <v>4129.0</v>
      </c>
      <c r="F321" s="14">
        <v>17.0</v>
      </c>
      <c r="G321" s="14">
        <v>4146.0</v>
      </c>
      <c r="H321" s="14">
        <v>17.0</v>
      </c>
      <c r="I321" s="14">
        <v>4163.0</v>
      </c>
      <c r="J321" s="14">
        <v>15.0</v>
      </c>
      <c r="K321" s="14">
        <v>4178.0</v>
      </c>
      <c r="L321" s="14">
        <v>13.0</v>
      </c>
      <c r="M321" s="14">
        <v>4191.0</v>
      </c>
      <c r="N321" s="14">
        <v>11.0</v>
      </c>
      <c r="O321" s="14">
        <v>4202.0</v>
      </c>
      <c r="P321" s="14">
        <v>9.0</v>
      </c>
      <c r="Q321" s="14">
        <v>4211.0</v>
      </c>
      <c r="R321" s="14">
        <v>9.0</v>
      </c>
      <c r="S321" s="14">
        <v>4221.0</v>
      </c>
      <c r="T321" s="14">
        <v>10.0</v>
      </c>
      <c r="U321" s="14">
        <v>4233.0</v>
      </c>
      <c r="V321" s="14">
        <v>12.0</v>
      </c>
      <c r="W321" s="14">
        <v>4241.0</v>
      </c>
      <c r="X321" s="14">
        <v>8.0</v>
      </c>
      <c r="Y321" s="14">
        <v>4254.0</v>
      </c>
      <c r="Z321" s="14">
        <v>13.0</v>
      </c>
      <c r="AA321" s="14">
        <v>4268.0</v>
      </c>
      <c r="AB321" s="14">
        <v>14.0</v>
      </c>
      <c r="AC321" s="14">
        <v>14.0</v>
      </c>
      <c r="AD321" s="14">
        <v>0.0</v>
      </c>
      <c r="AE321" s="14">
        <v>0.0</v>
      </c>
      <c r="AG321" s="14">
        <v>3.0</v>
      </c>
      <c r="AH321" s="14">
        <v>20.0</v>
      </c>
      <c r="AI321" s="14">
        <v>37.0</v>
      </c>
    </row>
    <row r="322" ht="15.75" customHeight="1">
      <c r="A322" s="14">
        <v>324.0</v>
      </c>
      <c r="B322" s="14" t="s">
        <v>938</v>
      </c>
      <c r="C322" s="14" t="s">
        <v>157</v>
      </c>
      <c r="D322" s="14">
        <v>15.0</v>
      </c>
      <c r="E322" s="14">
        <v>1348.0</v>
      </c>
      <c r="F322" s="14">
        <v>8.0</v>
      </c>
      <c r="G322" s="14">
        <v>1356.0</v>
      </c>
      <c r="H322" s="14">
        <v>8.0</v>
      </c>
      <c r="I322" s="14">
        <v>1364.0</v>
      </c>
      <c r="J322" s="14">
        <v>8.0</v>
      </c>
      <c r="K322" s="14">
        <v>1372.0</v>
      </c>
      <c r="L322" s="14">
        <v>6.0</v>
      </c>
      <c r="M322" s="14">
        <v>1378.0</v>
      </c>
      <c r="N322" s="14">
        <v>5.0</v>
      </c>
      <c r="O322" s="14">
        <v>1383.0</v>
      </c>
      <c r="P322" s="14">
        <v>5.0</v>
      </c>
      <c r="Q322" s="14">
        <v>1388.0</v>
      </c>
      <c r="R322" s="14">
        <v>5.0</v>
      </c>
      <c r="S322" s="14">
        <v>1394.0</v>
      </c>
      <c r="T322" s="14">
        <v>6.0</v>
      </c>
      <c r="U322" s="14">
        <v>1400.0</v>
      </c>
      <c r="V322" s="14">
        <v>6.0</v>
      </c>
      <c r="W322" s="14">
        <v>1407.0</v>
      </c>
      <c r="X322" s="14">
        <v>7.0</v>
      </c>
      <c r="Y322" s="14">
        <v>1412.0</v>
      </c>
      <c r="Z322" s="14">
        <v>5.0</v>
      </c>
      <c r="AA322" s="14">
        <v>1418.0</v>
      </c>
      <c r="AB322" s="14">
        <v>6.0</v>
      </c>
      <c r="AC322" s="14">
        <v>6.0</v>
      </c>
      <c r="AD322" s="14">
        <v>0.0</v>
      </c>
      <c r="AE322" s="14">
        <v>0.0</v>
      </c>
      <c r="AG322" s="14">
        <v>3.0</v>
      </c>
      <c r="AH322" s="14">
        <v>0.0</v>
      </c>
      <c r="AI322" s="14">
        <v>9.0</v>
      </c>
    </row>
    <row r="323" ht="15.75" customHeight="1">
      <c r="A323" s="14">
        <v>325.0</v>
      </c>
      <c r="B323" s="14" t="s">
        <v>940</v>
      </c>
      <c r="C323" s="14" t="s">
        <v>167</v>
      </c>
      <c r="D323" s="14">
        <v>1.0</v>
      </c>
      <c r="E323" s="14">
        <v>2335.0</v>
      </c>
      <c r="F323" s="14">
        <v>15.0</v>
      </c>
      <c r="G323" s="14">
        <v>2350.0</v>
      </c>
      <c r="H323" s="14">
        <v>22.0</v>
      </c>
      <c r="I323" s="14">
        <v>2372.0</v>
      </c>
      <c r="J323" s="14">
        <v>18.0</v>
      </c>
      <c r="K323" s="14">
        <v>2390.0</v>
      </c>
      <c r="L323" s="14">
        <v>11.0</v>
      </c>
      <c r="M323" s="14">
        <v>2401.0</v>
      </c>
      <c r="N323" s="14">
        <v>15.0</v>
      </c>
      <c r="O323" s="14">
        <v>2416.0</v>
      </c>
      <c r="P323" s="14">
        <v>11.0</v>
      </c>
      <c r="Q323" s="14">
        <v>2427.0</v>
      </c>
      <c r="R323" s="14">
        <v>11.0</v>
      </c>
      <c r="S323" s="14">
        <v>2436.0</v>
      </c>
      <c r="T323" s="14">
        <v>9.0</v>
      </c>
      <c r="U323" s="14">
        <v>2447.0</v>
      </c>
      <c r="V323" s="14">
        <v>11.0</v>
      </c>
      <c r="W323" s="14">
        <v>2455.0</v>
      </c>
      <c r="X323" s="14">
        <v>8.0</v>
      </c>
      <c r="Y323" s="14">
        <v>2466.0</v>
      </c>
      <c r="Z323" s="14">
        <v>11.0</v>
      </c>
      <c r="AA323" s="14">
        <v>2479.0</v>
      </c>
      <c r="AB323" s="14">
        <v>13.0</v>
      </c>
      <c r="AC323" s="14">
        <v>13.0</v>
      </c>
      <c r="AD323" s="14">
        <v>0.0</v>
      </c>
      <c r="AE323" s="14">
        <v>0.0</v>
      </c>
      <c r="AG323" s="14">
        <v>3.0</v>
      </c>
      <c r="AH323" s="14">
        <v>0.0</v>
      </c>
      <c r="AI323" s="14">
        <v>16.0</v>
      </c>
    </row>
    <row r="324" ht="15.75" customHeight="1">
      <c r="A324" s="14">
        <v>326.0</v>
      </c>
      <c r="B324" s="14" t="s">
        <v>943</v>
      </c>
      <c r="C324" s="14" t="s">
        <v>167</v>
      </c>
      <c r="D324" s="14">
        <v>3.0</v>
      </c>
      <c r="E324" s="14">
        <v>45.0</v>
      </c>
      <c r="F324" s="14">
        <v>8.0</v>
      </c>
      <c r="G324" s="14">
        <v>53.0</v>
      </c>
      <c r="H324" s="14">
        <v>8.0</v>
      </c>
      <c r="I324" s="14">
        <v>61.0</v>
      </c>
      <c r="J324" s="14">
        <v>8.0</v>
      </c>
      <c r="K324" s="14">
        <v>69.0</v>
      </c>
      <c r="L324" s="14">
        <v>6.0</v>
      </c>
      <c r="M324" s="14">
        <v>75.0</v>
      </c>
      <c r="N324" s="14">
        <v>7.0</v>
      </c>
      <c r="O324" s="14">
        <v>82.0</v>
      </c>
      <c r="P324" s="14">
        <v>1.0</v>
      </c>
      <c r="Q324" s="14">
        <v>83.0</v>
      </c>
      <c r="R324" s="14">
        <v>1.0</v>
      </c>
      <c r="S324" s="14">
        <v>86.0</v>
      </c>
      <c r="T324" s="14">
        <v>3.0</v>
      </c>
      <c r="U324" s="14">
        <v>90.0</v>
      </c>
      <c r="V324" s="14">
        <v>4.0</v>
      </c>
      <c r="W324" s="14">
        <v>94.0</v>
      </c>
      <c r="X324" s="14">
        <v>4.0</v>
      </c>
      <c r="Y324" s="14">
        <v>98.0</v>
      </c>
      <c r="Z324" s="14">
        <v>4.0</v>
      </c>
      <c r="AA324" s="14">
        <v>102.0</v>
      </c>
      <c r="AB324" s="14">
        <v>4.0</v>
      </c>
      <c r="AC324" s="14">
        <v>5.0</v>
      </c>
      <c r="AD324" s="14">
        <v>0.0</v>
      </c>
      <c r="AE324" s="14">
        <v>0.0</v>
      </c>
      <c r="AG324" s="14">
        <v>3.0</v>
      </c>
      <c r="AH324" s="14">
        <v>0.0</v>
      </c>
      <c r="AI324" s="14">
        <v>8.0</v>
      </c>
    </row>
    <row r="325" ht="15.75" customHeight="1">
      <c r="A325" s="14">
        <v>327.0</v>
      </c>
      <c r="B325" s="14" t="s">
        <v>946</v>
      </c>
      <c r="C325" s="14" t="s">
        <v>167</v>
      </c>
      <c r="D325" s="14">
        <v>4.0</v>
      </c>
      <c r="E325" s="14">
        <v>1147.0</v>
      </c>
      <c r="F325" s="14">
        <v>9.0</v>
      </c>
      <c r="G325" s="14">
        <v>1156.0</v>
      </c>
      <c r="H325" s="14">
        <v>10.0</v>
      </c>
      <c r="I325" s="14">
        <v>1166.0</v>
      </c>
      <c r="J325" s="14">
        <v>10.0</v>
      </c>
      <c r="K325" s="14">
        <v>1176.0</v>
      </c>
      <c r="L325" s="14">
        <v>8.0</v>
      </c>
      <c r="M325" s="14">
        <v>1184.0</v>
      </c>
      <c r="N325" s="14">
        <v>18.0</v>
      </c>
      <c r="O325" s="14">
        <v>1202.0</v>
      </c>
      <c r="P325" s="14">
        <v>5.0</v>
      </c>
      <c r="Q325" s="14">
        <v>1207.0</v>
      </c>
      <c r="R325" s="14">
        <v>5.0</v>
      </c>
      <c r="S325" s="14">
        <v>1211.0</v>
      </c>
      <c r="T325" s="14">
        <v>4.0</v>
      </c>
      <c r="U325" s="14">
        <v>1235.0</v>
      </c>
      <c r="V325" s="14">
        <v>24.0</v>
      </c>
      <c r="W325" s="14">
        <v>1241.0</v>
      </c>
      <c r="X325" s="14">
        <v>6.0</v>
      </c>
      <c r="Y325" s="14">
        <v>1248.0</v>
      </c>
      <c r="Z325" s="14">
        <v>7.0</v>
      </c>
      <c r="AA325" s="14">
        <v>1254.0</v>
      </c>
      <c r="AB325" s="14">
        <v>6.0</v>
      </c>
      <c r="AC325" s="14">
        <v>6.0</v>
      </c>
      <c r="AD325" s="14">
        <v>10.0</v>
      </c>
      <c r="AE325" s="14">
        <v>0.0</v>
      </c>
      <c r="AG325" s="14">
        <v>3.0</v>
      </c>
      <c r="AH325" s="14">
        <v>0.0</v>
      </c>
      <c r="AI325" s="14">
        <v>19.0</v>
      </c>
    </row>
    <row r="326" ht="15.75" customHeight="1">
      <c r="A326" s="14">
        <v>328.0</v>
      </c>
      <c r="B326" s="14" t="s">
        <v>949</v>
      </c>
      <c r="C326" s="14" t="s">
        <v>167</v>
      </c>
      <c r="D326" s="14">
        <v>5.0</v>
      </c>
      <c r="E326" s="14">
        <v>375.0</v>
      </c>
      <c r="F326" s="14">
        <v>0.0</v>
      </c>
      <c r="G326" s="14">
        <v>375.0</v>
      </c>
      <c r="H326" s="14">
        <v>0.0</v>
      </c>
      <c r="I326" s="14">
        <v>375.0</v>
      </c>
      <c r="J326" s="14">
        <v>0.0</v>
      </c>
      <c r="K326" s="14">
        <v>375.0</v>
      </c>
      <c r="L326" s="14">
        <v>0.0</v>
      </c>
      <c r="M326" s="14">
        <v>375.0</v>
      </c>
      <c r="N326" s="14">
        <v>0.0</v>
      </c>
      <c r="O326" s="14">
        <v>375.0</v>
      </c>
      <c r="P326" s="14">
        <v>-3.0</v>
      </c>
      <c r="Q326" s="14">
        <v>372.0</v>
      </c>
      <c r="R326" s="14">
        <v>-3.0</v>
      </c>
      <c r="S326" s="14">
        <v>372.0</v>
      </c>
      <c r="T326" s="14">
        <v>0.0</v>
      </c>
      <c r="U326" s="14">
        <v>372.0</v>
      </c>
      <c r="V326" s="14">
        <v>0.0</v>
      </c>
      <c r="W326" s="14">
        <v>372.0</v>
      </c>
      <c r="X326" s="14">
        <v>0.0</v>
      </c>
      <c r="Y326" s="14">
        <v>372.0</v>
      </c>
      <c r="Z326" s="14">
        <v>0.0</v>
      </c>
      <c r="AA326" s="14">
        <v>372.0</v>
      </c>
      <c r="AB326" s="14">
        <v>0.0</v>
      </c>
      <c r="AC326" s="14">
        <v>5.0</v>
      </c>
      <c r="AD326" s="14">
        <v>0.0</v>
      </c>
      <c r="AE326" s="14">
        <v>0.0</v>
      </c>
      <c r="AG326" s="14">
        <v>3.0</v>
      </c>
      <c r="AH326" s="14">
        <v>0.0</v>
      </c>
      <c r="AI326" s="14">
        <v>8.0</v>
      </c>
    </row>
    <row r="327" ht="15.75" customHeight="1">
      <c r="A327" s="14">
        <v>329.0</v>
      </c>
      <c r="B327" s="14" t="s">
        <v>951</v>
      </c>
      <c r="C327" s="14" t="s">
        <v>167</v>
      </c>
      <c r="D327" s="14">
        <v>6.0</v>
      </c>
      <c r="E327" s="14">
        <v>2836.0</v>
      </c>
      <c r="F327" s="14">
        <v>18.0</v>
      </c>
      <c r="G327" s="14">
        <v>2854.0</v>
      </c>
      <c r="H327" s="14">
        <v>20.0</v>
      </c>
      <c r="I327" s="14">
        <v>2874.0</v>
      </c>
      <c r="J327" s="14">
        <v>13.0</v>
      </c>
      <c r="K327" s="14">
        <v>2887.0</v>
      </c>
      <c r="L327" s="14">
        <v>20.0</v>
      </c>
      <c r="M327" s="14">
        <v>2907.0</v>
      </c>
      <c r="N327" s="14">
        <v>11.0</v>
      </c>
      <c r="O327" s="14">
        <v>2918.0</v>
      </c>
      <c r="P327" s="14">
        <v>15.0</v>
      </c>
      <c r="Q327" s="14">
        <v>2933.0</v>
      </c>
      <c r="R327" s="14">
        <v>15.0</v>
      </c>
      <c r="S327" s="14">
        <v>2939.0</v>
      </c>
      <c r="T327" s="14">
        <v>6.0</v>
      </c>
      <c r="U327" s="14">
        <v>2947.0</v>
      </c>
      <c r="V327" s="14">
        <v>8.0</v>
      </c>
      <c r="W327" s="14">
        <v>2968.0</v>
      </c>
      <c r="X327" s="14">
        <v>21.0</v>
      </c>
      <c r="Y327" s="14">
        <v>2986.0</v>
      </c>
      <c r="Z327" s="14">
        <v>18.0</v>
      </c>
      <c r="AA327" s="14">
        <v>2998.0</v>
      </c>
      <c r="AB327" s="14">
        <v>12.0</v>
      </c>
      <c r="AC327" s="14">
        <v>12.0</v>
      </c>
      <c r="AD327" s="14">
        <v>21.0</v>
      </c>
      <c r="AE327" s="14">
        <v>0.0</v>
      </c>
      <c r="AG327" s="14">
        <v>3.0</v>
      </c>
      <c r="AH327" s="14">
        <v>0.0</v>
      </c>
      <c r="AI327" s="14">
        <v>36.0</v>
      </c>
    </row>
    <row r="328" ht="15.75" customHeight="1">
      <c r="A328" s="14">
        <v>330.0</v>
      </c>
      <c r="B328" s="14" t="s">
        <v>953</v>
      </c>
      <c r="C328" s="14" t="s">
        <v>167</v>
      </c>
      <c r="D328" s="14">
        <v>7.0</v>
      </c>
      <c r="E328" s="14">
        <v>3139.0</v>
      </c>
      <c r="F328" s="14">
        <v>18.0</v>
      </c>
      <c r="G328" s="14">
        <v>3157.0</v>
      </c>
      <c r="H328" s="14">
        <v>18.0</v>
      </c>
      <c r="I328" s="14">
        <v>3175.0</v>
      </c>
      <c r="J328" s="14">
        <v>17.0</v>
      </c>
      <c r="K328" s="14">
        <v>3192.0</v>
      </c>
      <c r="L328" s="14">
        <v>19.0</v>
      </c>
      <c r="M328" s="14">
        <v>3211.0</v>
      </c>
      <c r="N328" s="14">
        <v>15.0</v>
      </c>
      <c r="O328" s="14">
        <v>3226.0</v>
      </c>
      <c r="P328" s="14">
        <v>16.0</v>
      </c>
      <c r="Q328" s="14">
        <v>3242.0</v>
      </c>
      <c r="R328" s="14">
        <v>16.0</v>
      </c>
      <c r="S328" s="14">
        <v>3253.0</v>
      </c>
      <c r="T328" s="14">
        <v>11.0</v>
      </c>
      <c r="U328" s="14">
        <v>3267.0</v>
      </c>
      <c r="V328" s="14">
        <v>14.0</v>
      </c>
      <c r="W328" s="14">
        <v>3278.0</v>
      </c>
      <c r="X328" s="14">
        <v>11.0</v>
      </c>
      <c r="Y328" s="14">
        <v>3291.0</v>
      </c>
      <c r="Z328" s="14">
        <v>13.0</v>
      </c>
      <c r="AA328" s="14">
        <v>3306.0</v>
      </c>
      <c r="AB328" s="14">
        <v>15.0</v>
      </c>
      <c r="AC328" s="14">
        <v>15.0</v>
      </c>
      <c r="AD328" s="14">
        <v>0.0</v>
      </c>
      <c r="AE328" s="14">
        <v>0.0</v>
      </c>
      <c r="AG328" s="14">
        <v>3.0</v>
      </c>
      <c r="AH328" s="14">
        <v>0.0</v>
      </c>
      <c r="AI328" s="14">
        <v>18.0</v>
      </c>
    </row>
    <row r="329" ht="15.75" customHeight="1">
      <c r="A329" s="14">
        <v>331.0</v>
      </c>
      <c r="B329" s="14" t="s">
        <v>956</v>
      </c>
      <c r="C329" s="14" t="s">
        <v>167</v>
      </c>
      <c r="D329" s="14">
        <v>8.0</v>
      </c>
      <c r="E329" s="14">
        <v>2049.0</v>
      </c>
      <c r="F329" s="14">
        <v>6.0</v>
      </c>
      <c r="G329" s="14">
        <v>2055.0</v>
      </c>
      <c r="H329" s="14">
        <v>9.0</v>
      </c>
      <c r="I329" s="14">
        <v>2064.0</v>
      </c>
      <c r="J329" s="14">
        <v>5.0</v>
      </c>
      <c r="K329" s="14">
        <v>2069.0</v>
      </c>
      <c r="L329" s="14">
        <v>5.0</v>
      </c>
      <c r="M329" s="14">
        <v>2074.0</v>
      </c>
      <c r="N329" s="14">
        <v>6.0</v>
      </c>
      <c r="O329" s="14">
        <v>2080.0</v>
      </c>
      <c r="P329" s="14">
        <v>2.0</v>
      </c>
      <c r="Q329" s="14">
        <v>2082.0</v>
      </c>
      <c r="R329" s="14">
        <v>2.0</v>
      </c>
      <c r="S329" s="14">
        <v>2084.0</v>
      </c>
      <c r="T329" s="14">
        <v>2.0</v>
      </c>
      <c r="U329" s="14">
        <v>2085.0</v>
      </c>
      <c r="V329" s="14">
        <v>1.0</v>
      </c>
      <c r="W329" s="14">
        <v>2087.0</v>
      </c>
      <c r="X329" s="14">
        <v>2.0</v>
      </c>
      <c r="Y329" s="14">
        <v>2090.0</v>
      </c>
      <c r="Z329" s="14">
        <v>3.0</v>
      </c>
      <c r="AA329" s="14">
        <v>2096.0</v>
      </c>
      <c r="AB329" s="14">
        <v>6.0</v>
      </c>
      <c r="AC329" s="14">
        <v>6.0</v>
      </c>
      <c r="AD329" s="14">
        <v>0.0</v>
      </c>
      <c r="AE329" s="14">
        <v>0.0</v>
      </c>
      <c r="AG329" s="14">
        <v>3.0</v>
      </c>
      <c r="AH329" s="14">
        <v>0.0</v>
      </c>
      <c r="AI329" s="14">
        <v>9.0</v>
      </c>
    </row>
    <row r="330" ht="15.75" customHeight="1">
      <c r="A330" s="14">
        <v>332.0</v>
      </c>
      <c r="B330" s="14" t="s">
        <v>958</v>
      </c>
      <c r="C330" s="14" t="s">
        <v>167</v>
      </c>
      <c r="D330" s="14">
        <v>9.0</v>
      </c>
      <c r="E330" s="14">
        <v>601.0</v>
      </c>
      <c r="F330" s="14">
        <v>0.0</v>
      </c>
      <c r="G330" s="14">
        <v>601.0</v>
      </c>
      <c r="H330" s="14">
        <v>0.0</v>
      </c>
      <c r="I330" s="14">
        <v>601.0</v>
      </c>
      <c r="J330" s="14">
        <v>0.0</v>
      </c>
      <c r="K330" s="14">
        <v>601.0</v>
      </c>
      <c r="L330" s="14">
        <v>0.0</v>
      </c>
      <c r="M330" s="14">
        <v>601.0</v>
      </c>
      <c r="N330" s="14">
        <v>0.0</v>
      </c>
      <c r="O330" s="14">
        <v>601.0</v>
      </c>
      <c r="P330" s="14">
        <v>0.0</v>
      </c>
      <c r="Q330" s="14">
        <v>601.0</v>
      </c>
      <c r="R330" s="14">
        <v>0.0</v>
      </c>
      <c r="S330" s="14">
        <v>601.0</v>
      </c>
      <c r="T330" s="14">
        <v>0.0</v>
      </c>
      <c r="U330" s="14">
        <v>601.0</v>
      </c>
      <c r="V330" s="14">
        <v>0.0</v>
      </c>
      <c r="W330" s="14">
        <v>601.0</v>
      </c>
      <c r="X330" s="14">
        <v>0.0</v>
      </c>
      <c r="Y330" s="14">
        <v>601.0</v>
      </c>
      <c r="Z330" s="14">
        <v>0.0</v>
      </c>
      <c r="AA330" s="14">
        <v>601.0</v>
      </c>
      <c r="AB330" s="14">
        <v>0.0</v>
      </c>
      <c r="AC330" s="14">
        <v>5.0</v>
      </c>
      <c r="AD330" s="14">
        <v>32.0</v>
      </c>
      <c r="AE330" s="14">
        <v>40.0</v>
      </c>
      <c r="AG330" s="14">
        <v>3.0</v>
      </c>
      <c r="AH330" s="14">
        <v>40.0</v>
      </c>
      <c r="AI330" s="14">
        <v>120.0</v>
      </c>
    </row>
    <row r="331" ht="15.75" customHeight="1">
      <c r="A331" s="14">
        <v>333.0</v>
      </c>
      <c r="B331" s="14" t="s">
        <v>960</v>
      </c>
      <c r="C331" s="14" t="s">
        <v>167</v>
      </c>
      <c r="D331" s="14">
        <v>10.0</v>
      </c>
      <c r="E331" s="14">
        <v>2525.0</v>
      </c>
      <c r="F331" s="14">
        <v>32.0</v>
      </c>
      <c r="G331" s="14">
        <v>2557.0</v>
      </c>
      <c r="H331" s="14">
        <v>42.0</v>
      </c>
      <c r="I331" s="14">
        <v>2599.0</v>
      </c>
      <c r="J331" s="14">
        <v>30.0</v>
      </c>
      <c r="K331" s="14">
        <v>2629.0</v>
      </c>
      <c r="L331" s="14">
        <v>24.0</v>
      </c>
      <c r="M331" s="14">
        <v>2653.0</v>
      </c>
      <c r="N331" s="14">
        <v>23.0</v>
      </c>
      <c r="O331" s="14">
        <v>2676.0</v>
      </c>
      <c r="P331" s="14">
        <v>22.0</v>
      </c>
      <c r="Q331" s="14">
        <v>2698.0</v>
      </c>
      <c r="R331" s="14">
        <v>22.0</v>
      </c>
      <c r="S331" s="14">
        <v>2720.0</v>
      </c>
      <c r="T331" s="14">
        <v>22.0</v>
      </c>
      <c r="U331" s="14">
        <v>2742.0</v>
      </c>
      <c r="V331" s="14">
        <v>22.0</v>
      </c>
      <c r="W331" s="14">
        <v>2763.0</v>
      </c>
      <c r="X331" s="14">
        <v>21.0</v>
      </c>
      <c r="Y331" s="14">
        <v>2786.0</v>
      </c>
      <c r="Z331" s="14">
        <v>23.0</v>
      </c>
      <c r="AA331" s="14">
        <v>2816.0</v>
      </c>
      <c r="AB331" s="14">
        <v>30.0</v>
      </c>
      <c r="AC331" s="14">
        <v>30.0</v>
      </c>
      <c r="AD331" s="14">
        <v>26.0</v>
      </c>
      <c r="AE331" s="14">
        <v>0.0</v>
      </c>
      <c r="AG331" s="14">
        <v>3.0</v>
      </c>
      <c r="AH331" s="14">
        <v>0.0</v>
      </c>
      <c r="AI331" s="14">
        <v>59.0</v>
      </c>
    </row>
    <row r="332" ht="15.75" customHeight="1">
      <c r="A332" s="14">
        <v>334.0</v>
      </c>
      <c r="B332" s="14" t="s">
        <v>963</v>
      </c>
      <c r="C332" s="14" t="s">
        <v>167</v>
      </c>
      <c r="D332" s="14">
        <v>11.0</v>
      </c>
      <c r="E332" s="14">
        <v>380.0</v>
      </c>
      <c r="F332" s="14">
        <v>6.0</v>
      </c>
      <c r="G332" s="14">
        <v>386.0</v>
      </c>
      <c r="H332" s="14">
        <v>6.0</v>
      </c>
      <c r="I332" s="14">
        <v>392.0</v>
      </c>
      <c r="J332" s="14">
        <v>4.0</v>
      </c>
      <c r="K332" s="14">
        <v>396.0</v>
      </c>
      <c r="L332" s="14">
        <v>5.0</v>
      </c>
      <c r="M332" s="14">
        <v>401.0</v>
      </c>
      <c r="N332" s="14">
        <v>4.0</v>
      </c>
      <c r="O332" s="14">
        <v>405.0</v>
      </c>
      <c r="P332" s="14">
        <v>3.0</v>
      </c>
      <c r="Q332" s="14">
        <v>408.0</v>
      </c>
      <c r="R332" s="14">
        <v>3.0</v>
      </c>
      <c r="S332" s="14">
        <v>410.0</v>
      </c>
      <c r="T332" s="14">
        <v>2.0</v>
      </c>
      <c r="U332" s="14">
        <v>413.0</v>
      </c>
      <c r="V332" s="14">
        <v>3.0</v>
      </c>
      <c r="W332" s="14">
        <v>416.0</v>
      </c>
      <c r="X332" s="14">
        <v>3.0</v>
      </c>
      <c r="Y332" s="14">
        <v>421.0</v>
      </c>
      <c r="Z332" s="14">
        <v>5.0</v>
      </c>
      <c r="AA332" s="14">
        <v>425.0</v>
      </c>
      <c r="AB332" s="14">
        <v>4.0</v>
      </c>
      <c r="AC332" s="14">
        <v>5.0</v>
      </c>
      <c r="AD332" s="14">
        <v>0.0</v>
      </c>
      <c r="AE332" s="14">
        <v>0.0</v>
      </c>
      <c r="AG332" s="14">
        <v>3.0</v>
      </c>
      <c r="AH332" s="14">
        <v>0.0</v>
      </c>
      <c r="AI332" s="14">
        <v>8.0</v>
      </c>
    </row>
    <row r="333" ht="15.75" customHeight="1">
      <c r="A333" s="14">
        <v>335.0</v>
      </c>
      <c r="B333" s="14" t="s">
        <v>967</v>
      </c>
      <c r="C333" s="14" t="s">
        <v>167</v>
      </c>
      <c r="D333" s="14">
        <v>13.0</v>
      </c>
      <c r="E333" s="14">
        <v>987.0</v>
      </c>
      <c r="F333" s="14">
        <v>0.0</v>
      </c>
      <c r="G333" s="14">
        <v>987.0</v>
      </c>
      <c r="H333" s="14">
        <v>0.0</v>
      </c>
      <c r="I333" s="14">
        <v>987.0</v>
      </c>
      <c r="J333" s="14">
        <v>0.0</v>
      </c>
      <c r="K333" s="14">
        <v>987.0</v>
      </c>
      <c r="L333" s="14">
        <v>0.0</v>
      </c>
      <c r="M333" s="14">
        <v>987.0</v>
      </c>
      <c r="N333" s="14">
        <v>0.0</v>
      </c>
      <c r="O333" s="14">
        <v>987.0</v>
      </c>
      <c r="P333" s="14">
        <v>0.0</v>
      </c>
      <c r="Q333" s="14">
        <v>987.0</v>
      </c>
      <c r="R333" s="14">
        <v>0.0</v>
      </c>
      <c r="S333" s="14">
        <v>987.0</v>
      </c>
      <c r="T333" s="14">
        <v>0.0</v>
      </c>
      <c r="U333" s="14">
        <v>987.0</v>
      </c>
      <c r="V333" s="14">
        <v>0.0</v>
      </c>
      <c r="W333" s="14">
        <v>987.0</v>
      </c>
      <c r="X333" s="14">
        <v>0.0</v>
      </c>
      <c r="Y333" s="14">
        <v>987.0</v>
      </c>
      <c r="Z333" s="14">
        <v>0.0</v>
      </c>
      <c r="AA333" s="14">
        <v>987.0</v>
      </c>
      <c r="AB333" s="14">
        <v>0.0</v>
      </c>
      <c r="AC333" s="14">
        <v>5.0</v>
      </c>
      <c r="AD333" s="14">
        <v>32.0</v>
      </c>
      <c r="AE333" s="14">
        <v>40.0</v>
      </c>
      <c r="AG333" s="14">
        <v>3.0</v>
      </c>
      <c r="AH333" s="14">
        <v>40.0</v>
      </c>
      <c r="AI333" s="14">
        <v>120.0</v>
      </c>
    </row>
    <row r="334" ht="15.75" customHeight="1">
      <c r="A334" s="14">
        <v>336.0</v>
      </c>
      <c r="B334" s="14" t="s">
        <v>968</v>
      </c>
      <c r="C334" s="14" t="s">
        <v>167</v>
      </c>
      <c r="D334" s="14">
        <v>14.0</v>
      </c>
      <c r="E334" s="14">
        <v>1406.0</v>
      </c>
      <c r="F334" s="14">
        <v>15.0</v>
      </c>
      <c r="G334" s="14">
        <v>1421.0</v>
      </c>
      <c r="H334" s="14">
        <v>22.0</v>
      </c>
      <c r="I334" s="14">
        <v>1443.0</v>
      </c>
      <c r="J334" s="14">
        <v>18.0</v>
      </c>
      <c r="K334" s="14">
        <v>1461.0</v>
      </c>
      <c r="L334" s="14">
        <v>19.0</v>
      </c>
      <c r="M334" s="14">
        <v>1480.0</v>
      </c>
      <c r="N334" s="14">
        <v>20.0</v>
      </c>
      <c r="O334" s="14">
        <v>1500.0</v>
      </c>
      <c r="P334" s="14">
        <v>13.0</v>
      </c>
      <c r="Q334" s="14">
        <v>1513.0</v>
      </c>
      <c r="R334" s="14">
        <v>13.0</v>
      </c>
      <c r="S334" s="14">
        <v>1527.0</v>
      </c>
      <c r="T334" s="14">
        <v>14.0</v>
      </c>
      <c r="U334" s="14">
        <v>1542.0</v>
      </c>
      <c r="V334" s="14">
        <v>15.0</v>
      </c>
      <c r="W334" s="14">
        <v>1561.0</v>
      </c>
      <c r="X334" s="14">
        <v>19.0</v>
      </c>
      <c r="Y334" s="14">
        <v>1585.0</v>
      </c>
      <c r="Z334" s="14">
        <v>24.0</v>
      </c>
      <c r="AA334" s="14">
        <v>1614.0</v>
      </c>
      <c r="AB334" s="14">
        <v>29.0</v>
      </c>
      <c r="AC334" s="14">
        <v>29.0</v>
      </c>
      <c r="AD334" s="14">
        <v>0.0</v>
      </c>
      <c r="AE334" s="14">
        <v>0.0</v>
      </c>
      <c r="AG334" s="14">
        <v>3.0</v>
      </c>
      <c r="AH334" s="14">
        <v>20.0</v>
      </c>
      <c r="AI334" s="14">
        <v>52.0</v>
      </c>
    </row>
    <row r="335" ht="15.75" customHeight="1">
      <c r="A335" s="14">
        <v>337.0</v>
      </c>
      <c r="B335" s="14" t="s">
        <v>971</v>
      </c>
      <c r="C335" s="14" t="s">
        <v>167</v>
      </c>
      <c r="D335" s="14">
        <v>15.0</v>
      </c>
      <c r="E335" s="14">
        <v>290.0</v>
      </c>
      <c r="F335" s="14">
        <v>4.0</v>
      </c>
      <c r="G335" s="14">
        <v>294.0</v>
      </c>
      <c r="H335" s="14">
        <v>2.0</v>
      </c>
      <c r="I335" s="14">
        <v>296.0</v>
      </c>
      <c r="J335" s="14">
        <v>3.0</v>
      </c>
      <c r="K335" s="14">
        <v>299.0</v>
      </c>
      <c r="L335" s="14">
        <v>2.0</v>
      </c>
      <c r="M335" s="14">
        <v>301.0</v>
      </c>
      <c r="N335" s="14">
        <v>5.0</v>
      </c>
      <c r="O335" s="14">
        <v>306.0</v>
      </c>
      <c r="P335" s="14">
        <v>3.0</v>
      </c>
      <c r="Q335" s="14">
        <v>309.0</v>
      </c>
      <c r="R335" s="14">
        <v>3.0</v>
      </c>
      <c r="S335" s="14">
        <v>309.0</v>
      </c>
      <c r="T335" s="14">
        <v>0.0</v>
      </c>
      <c r="U335" s="14">
        <v>309.0</v>
      </c>
      <c r="V335" s="14">
        <v>0.0</v>
      </c>
      <c r="W335" s="14">
        <v>310.0</v>
      </c>
      <c r="X335" s="14">
        <v>1.0</v>
      </c>
      <c r="Y335" s="14">
        <v>311.0</v>
      </c>
      <c r="Z335" s="14">
        <v>1.0</v>
      </c>
      <c r="AA335" s="14">
        <v>313.0</v>
      </c>
      <c r="AB335" s="14">
        <v>2.0</v>
      </c>
      <c r="AC335" s="14">
        <v>5.0</v>
      </c>
      <c r="AD335" s="14">
        <v>0.0</v>
      </c>
      <c r="AE335" s="14">
        <v>0.0</v>
      </c>
      <c r="AG335" s="14">
        <v>3.0</v>
      </c>
      <c r="AH335" s="14">
        <v>0.0</v>
      </c>
      <c r="AI335" s="14">
        <v>8.0</v>
      </c>
    </row>
    <row r="336" ht="15.75" customHeight="1">
      <c r="A336" s="14">
        <v>338.0</v>
      </c>
      <c r="B336" s="14" t="s">
        <v>973</v>
      </c>
      <c r="C336" s="14" t="s">
        <v>167</v>
      </c>
      <c r="D336" s="14">
        <v>16.0</v>
      </c>
      <c r="E336" s="14">
        <v>1017.0</v>
      </c>
      <c r="F336" s="14">
        <v>15.0</v>
      </c>
      <c r="G336" s="14">
        <v>1032.0</v>
      </c>
      <c r="H336" s="14">
        <v>18.0</v>
      </c>
      <c r="I336" s="14">
        <v>1050.0</v>
      </c>
      <c r="J336" s="14">
        <v>22.0</v>
      </c>
      <c r="K336" s="14">
        <v>1072.0</v>
      </c>
      <c r="L336" s="14">
        <v>18.0</v>
      </c>
      <c r="M336" s="14">
        <v>1090.0</v>
      </c>
      <c r="N336" s="14">
        <v>13.0</v>
      </c>
      <c r="O336" s="14">
        <v>1103.0</v>
      </c>
      <c r="P336" s="14">
        <v>10.0</v>
      </c>
      <c r="Q336" s="14">
        <v>1113.0</v>
      </c>
      <c r="R336" s="14">
        <v>10.0</v>
      </c>
      <c r="S336" s="14">
        <v>1117.0</v>
      </c>
      <c r="T336" s="14">
        <v>4.0</v>
      </c>
      <c r="U336" s="14">
        <v>1124.0</v>
      </c>
      <c r="V336" s="14">
        <v>7.0</v>
      </c>
      <c r="W336" s="14">
        <v>1131.0</v>
      </c>
      <c r="X336" s="14">
        <v>7.0</v>
      </c>
      <c r="Y336" s="14">
        <v>1137.0</v>
      </c>
      <c r="Z336" s="14">
        <v>6.0</v>
      </c>
      <c r="AA336" s="14">
        <v>1141.0</v>
      </c>
      <c r="AB336" s="14">
        <v>4.0</v>
      </c>
      <c r="AC336" s="14">
        <v>5.0</v>
      </c>
      <c r="AD336" s="14">
        <v>0.0</v>
      </c>
      <c r="AE336" s="14">
        <v>0.0</v>
      </c>
      <c r="AG336" s="14">
        <v>3.0</v>
      </c>
      <c r="AH336" s="14">
        <v>20.0</v>
      </c>
      <c r="AI336" s="14">
        <v>28.0</v>
      </c>
    </row>
    <row r="337" ht="15.75" customHeight="1">
      <c r="A337" s="14">
        <v>339.0</v>
      </c>
      <c r="B337" s="14" t="s">
        <v>975</v>
      </c>
      <c r="C337" s="14" t="s">
        <v>167</v>
      </c>
      <c r="D337" s="14">
        <v>17.0</v>
      </c>
      <c r="E337" s="14">
        <v>2398.0</v>
      </c>
      <c r="F337" s="14">
        <v>2.0</v>
      </c>
      <c r="G337" s="14">
        <v>2400.0</v>
      </c>
      <c r="H337" s="14">
        <v>1.0</v>
      </c>
      <c r="I337" s="14">
        <v>2401.0</v>
      </c>
      <c r="J337" s="14">
        <v>1.0</v>
      </c>
      <c r="K337" s="14">
        <v>2402.0</v>
      </c>
      <c r="L337" s="14">
        <v>0.0</v>
      </c>
      <c r="M337" s="14">
        <v>2402.0</v>
      </c>
      <c r="N337" s="14">
        <v>0.0</v>
      </c>
      <c r="O337" s="14">
        <v>2402.0</v>
      </c>
      <c r="P337" s="14">
        <v>1.0</v>
      </c>
      <c r="Q337" s="14">
        <v>2403.0</v>
      </c>
      <c r="R337" s="14">
        <v>1.0</v>
      </c>
      <c r="S337" s="14">
        <v>2403.0</v>
      </c>
      <c r="T337" s="14">
        <v>0.0</v>
      </c>
      <c r="U337" s="14">
        <v>2403.0</v>
      </c>
      <c r="V337" s="14">
        <v>0.0</v>
      </c>
      <c r="W337" s="14">
        <v>2403.0</v>
      </c>
      <c r="X337" s="14">
        <v>0.0</v>
      </c>
      <c r="Y337" s="14">
        <v>2403.0</v>
      </c>
      <c r="Z337" s="14">
        <v>0.0</v>
      </c>
      <c r="AA337" s="14">
        <v>2403.0</v>
      </c>
      <c r="AB337" s="14">
        <v>0.0</v>
      </c>
      <c r="AC337" s="14">
        <v>5.0</v>
      </c>
      <c r="AD337" s="14">
        <v>24.0</v>
      </c>
      <c r="AE337" s="14">
        <v>40.0</v>
      </c>
      <c r="AG337" s="14">
        <v>3.0</v>
      </c>
      <c r="AH337" s="14">
        <v>40.0</v>
      </c>
      <c r="AI337" s="14">
        <v>112.0</v>
      </c>
    </row>
    <row r="338" ht="15.75" customHeight="1">
      <c r="A338" s="14">
        <v>340.0</v>
      </c>
      <c r="B338" s="14" t="s">
        <v>978</v>
      </c>
      <c r="C338" s="14" t="s">
        <v>167</v>
      </c>
      <c r="D338" s="14">
        <v>18.0</v>
      </c>
      <c r="E338" s="14">
        <v>1404.0</v>
      </c>
      <c r="F338" s="14">
        <v>14.0</v>
      </c>
      <c r="G338" s="14">
        <v>1418.0</v>
      </c>
      <c r="H338" s="14">
        <v>17.0</v>
      </c>
      <c r="I338" s="14">
        <v>1435.0</v>
      </c>
      <c r="J338" s="14">
        <v>13.0</v>
      </c>
      <c r="K338" s="14">
        <v>1448.0</v>
      </c>
      <c r="L338" s="14">
        <v>11.0</v>
      </c>
      <c r="M338" s="14">
        <v>1459.0</v>
      </c>
      <c r="N338" s="14">
        <v>9.0</v>
      </c>
      <c r="O338" s="14">
        <v>1468.0</v>
      </c>
      <c r="P338" s="14">
        <v>13.0</v>
      </c>
      <c r="Q338" s="14">
        <v>1481.0</v>
      </c>
      <c r="R338" s="14">
        <v>13.0</v>
      </c>
      <c r="S338" s="14">
        <v>1494.0</v>
      </c>
      <c r="T338" s="14">
        <v>13.0</v>
      </c>
      <c r="U338" s="14">
        <v>1506.0</v>
      </c>
      <c r="V338" s="14">
        <v>12.0</v>
      </c>
      <c r="W338" s="14">
        <v>1517.0</v>
      </c>
      <c r="X338" s="14">
        <v>11.0</v>
      </c>
      <c r="Y338" s="14">
        <v>1533.0</v>
      </c>
      <c r="Z338" s="14">
        <v>16.0</v>
      </c>
      <c r="AA338" s="14">
        <v>1548.0</v>
      </c>
      <c r="AB338" s="14">
        <v>15.0</v>
      </c>
      <c r="AC338" s="14">
        <v>15.0</v>
      </c>
      <c r="AD338" s="14">
        <v>0.0</v>
      </c>
      <c r="AE338" s="14">
        <v>0.0</v>
      </c>
      <c r="AG338" s="14">
        <v>3.0</v>
      </c>
      <c r="AH338" s="14">
        <v>20.0</v>
      </c>
      <c r="AI338" s="14">
        <v>38.0</v>
      </c>
    </row>
    <row r="339" ht="15.75" customHeight="1">
      <c r="A339" s="14">
        <v>341.0</v>
      </c>
      <c r="B339" s="14" t="s">
        <v>980</v>
      </c>
      <c r="C339" s="14" t="s">
        <v>167</v>
      </c>
      <c r="D339" s="14">
        <v>19.0</v>
      </c>
      <c r="E339" s="14">
        <v>1129.0</v>
      </c>
      <c r="F339" s="14">
        <v>25.0</v>
      </c>
      <c r="G339" s="14">
        <v>1154.0</v>
      </c>
      <c r="H339" s="14">
        <v>-25.0</v>
      </c>
      <c r="I339" s="14">
        <v>1129.0</v>
      </c>
      <c r="J339" s="14">
        <v>0.0</v>
      </c>
      <c r="K339" s="14">
        <v>0.0</v>
      </c>
      <c r="L339" s="14">
        <v>27.0</v>
      </c>
      <c r="M339" s="14">
        <v>27.0</v>
      </c>
      <c r="N339" s="14">
        <v>17.0</v>
      </c>
      <c r="O339" s="14">
        <v>44.0</v>
      </c>
      <c r="P339" s="14">
        <v>13.0</v>
      </c>
      <c r="Q339" s="14">
        <v>57.0</v>
      </c>
      <c r="R339" s="14">
        <v>13.0</v>
      </c>
      <c r="S339" s="14">
        <v>71.0</v>
      </c>
      <c r="T339" s="14">
        <v>14.0</v>
      </c>
      <c r="U339" s="14">
        <v>84.0</v>
      </c>
      <c r="V339" s="14">
        <v>13.0</v>
      </c>
      <c r="W339" s="14">
        <v>96.0</v>
      </c>
      <c r="X339" s="14">
        <v>12.0</v>
      </c>
      <c r="Y339" s="14">
        <v>113.0</v>
      </c>
      <c r="Z339" s="14">
        <v>17.0</v>
      </c>
      <c r="AA339" s="14">
        <v>130.0</v>
      </c>
      <c r="AB339" s="14">
        <v>17.0</v>
      </c>
      <c r="AC339" s="14">
        <v>17.0</v>
      </c>
      <c r="AD339" s="14">
        <v>0.0</v>
      </c>
      <c r="AE339" s="14">
        <v>0.0</v>
      </c>
      <c r="AG339" s="14">
        <v>3.0</v>
      </c>
      <c r="AH339" s="14">
        <v>20.0</v>
      </c>
      <c r="AI339" s="14">
        <v>40.0</v>
      </c>
    </row>
    <row r="340" ht="15.75" customHeight="1">
      <c r="A340" s="14">
        <v>342.0</v>
      </c>
      <c r="B340" s="14" t="s">
        <v>983</v>
      </c>
      <c r="C340" s="14" t="s">
        <v>167</v>
      </c>
      <c r="D340" s="14">
        <v>20.0</v>
      </c>
      <c r="E340" s="14">
        <v>284.0</v>
      </c>
      <c r="F340" s="14">
        <v>6.0</v>
      </c>
      <c r="G340" s="14">
        <v>290.0</v>
      </c>
      <c r="H340" s="14">
        <v>4.0</v>
      </c>
      <c r="I340" s="14">
        <v>294.0</v>
      </c>
      <c r="J340" s="14">
        <v>3.0</v>
      </c>
      <c r="K340" s="14">
        <v>297.0</v>
      </c>
      <c r="L340" s="14">
        <v>3.0</v>
      </c>
      <c r="M340" s="14">
        <v>300.0</v>
      </c>
      <c r="N340" s="14">
        <v>2.0</v>
      </c>
      <c r="O340" s="14">
        <v>302.0</v>
      </c>
      <c r="P340" s="14">
        <v>3.0</v>
      </c>
      <c r="Q340" s="14">
        <v>305.0</v>
      </c>
      <c r="R340" s="14">
        <v>3.0</v>
      </c>
      <c r="S340" s="14">
        <v>307.0</v>
      </c>
      <c r="T340" s="14">
        <v>2.0</v>
      </c>
      <c r="U340" s="14">
        <v>311.0</v>
      </c>
      <c r="V340" s="14">
        <v>4.0</v>
      </c>
      <c r="W340" s="14">
        <v>332.0</v>
      </c>
      <c r="X340" s="14">
        <v>21.0</v>
      </c>
      <c r="Y340" s="14">
        <v>339.0</v>
      </c>
      <c r="Z340" s="14">
        <v>7.0</v>
      </c>
      <c r="AA340" s="14">
        <v>345.0</v>
      </c>
      <c r="AB340" s="14">
        <v>6.0</v>
      </c>
      <c r="AC340" s="14">
        <v>6.0</v>
      </c>
      <c r="AD340" s="14">
        <v>0.0</v>
      </c>
      <c r="AE340" s="14">
        <v>0.0</v>
      </c>
      <c r="AG340" s="14">
        <v>3.0</v>
      </c>
      <c r="AH340" s="14">
        <v>0.0</v>
      </c>
      <c r="AI340" s="14">
        <v>9.0</v>
      </c>
    </row>
    <row r="341" ht="15.75" customHeight="1">
      <c r="A341" s="14">
        <v>343.0</v>
      </c>
      <c r="B341" s="14" t="s">
        <v>985</v>
      </c>
      <c r="C341" s="14" t="s">
        <v>170</v>
      </c>
      <c r="D341" s="14">
        <v>1.0</v>
      </c>
      <c r="E341" s="14">
        <v>1934.0</v>
      </c>
      <c r="F341" s="14">
        <v>11.0</v>
      </c>
      <c r="G341" s="14">
        <v>1945.0</v>
      </c>
      <c r="H341" s="14">
        <v>18.0</v>
      </c>
      <c r="I341" s="14">
        <v>1963.0</v>
      </c>
      <c r="J341" s="14">
        <v>16.0</v>
      </c>
      <c r="K341" s="14">
        <v>1979.0</v>
      </c>
      <c r="L341" s="14">
        <v>11.0</v>
      </c>
      <c r="M341" s="14">
        <v>1990.0</v>
      </c>
      <c r="N341" s="14">
        <v>13.0</v>
      </c>
      <c r="O341" s="14">
        <v>2003.0</v>
      </c>
      <c r="P341" s="14">
        <v>10.0</v>
      </c>
      <c r="Q341" s="14">
        <v>2013.0</v>
      </c>
      <c r="R341" s="14">
        <v>10.0</v>
      </c>
      <c r="S341" s="14">
        <v>2019.0</v>
      </c>
      <c r="T341" s="14">
        <v>6.0</v>
      </c>
      <c r="U341" s="14">
        <v>2027.0</v>
      </c>
      <c r="V341" s="14">
        <v>8.0</v>
      </c>
      <c r="W341" s="14">
        <v>2034.0</v>
      </c>
      <c r="X341" s="14">
        <v>7.0</v>
      </c>
      <c r="Y341" s="14">
        <v>2043.0</v>
      </c>
      <c r="Z341" s="14">
        <v>9.0</v>
      </c>
      <c r="AA341" s="14">
        <v>2051.0</v>
      </c>
      <c r="AB341" s="14">
        <v>8.0</v>
      </c>
      <c r="AC341" s="14">
        <v>8.0</v>
      </c>
      <c r="AD341" s="14">
        <v>0.0</v>
      </c>
      <c r="AE341" s="14">
        <v>0.0</v>
      </c>
      <c r="AG341" s="14">
        <v>3.0</v>
      </c>
      <c r="AH341" s="14">
        <v>0.0</v>
      </c>
      <c r="AI341" s="14">
        <v>11.0</v>
      </c>
    </row>
    <row r="342" ht="15.75" customHeight="1">
      <c r="A342" s="14">
        <v>344.0</v>
      </c>
      <c r="B342" s="14" t="s">
        <v>988</v>
      </c>
      <c r="C342" s="14" t="s">
        <v>170</v>
      </c>
      <c r="D342" s="14">
        <v>2.0</v>
      </c>
      <c r="E342" s="14">
        <v>248.0</v>
      </c>
      <c r="F342" s="14">
        <v>5.0</v>
      </c>
      <c r="G342" s="14">
        <v>253.0</v>
      </c>
      <c r="H342" s="14">
        <v>4.0</v>
      </c>
      <c r="I342" s="14">
        <v>257.0</v>
      </c>
      <c r="J342" s="14">
        <v>6.0</v>
      </c>
      <c r="K342" s="14">
        <v>263.0</v>
      </c>
      <c r="L342" s="14">
        <v>6.0</v>
      </c>
      <c r="M342" s="14">
        <v>269.0</v>
      </c>
      <c r="N342" s="14">
        <v>5.0</v>
      </c>
      <c r="O342" s="14">
        <v>274.0</v>
      </c>
      <c r="P342" s="14">
        <v>9.0</v>
      </c>
      <c r="Q342" s="14">
        <v>283.0</v>
      </c>
      <c r="R342" s="14">
        <v>9.0</v>
      </c>
      <c r="S342" s="14">
        <v>289.0</v>
      </c>
      <c r="T342" s="14">
        <v>6.0</v>
      </c>
      <c r="U342" s="14">
        <v>295.0</v>
      </c>
      <c r="V342" s="14">
        <v>6.0</v>
      </c>
      <c r="W342" s="14">
        <v>299.0</v>
      </c>
      <c r="X342" s="14">
        <v>4.0</v>
      </c>
      <c r="Y342" s="14">
        <v>303.0</v>
      </c>
      <c r="Z342" s="14">
        <v>4.0</v>
      </c>
      <c r="AA342" s="14">
        <v>307.0</v>
      </c>
      <c r="AB342" s="14">
        <v>4.0</v>
      </c>
      <c r="AC342" s="14">
        <v>5.0</v>
      </c>
      <c r="AD342" s="14">
        <v>0.0</v>
      </c>
      <c r="AE342" s="14">
        <v>0.0</v>
      </c>
      <c r="AG342" s="14">
        <v>3.0</v>
      </c>
      <c r="AH342" s="14">
        <v>0.0</v>
      </c>
      <c r="AI342" s="14">
        <v>8.0</v>
      </c>
    </row>
    <row r="343" ht="15.75" customHeight="1">
      <c r="A343" s="14">
        <v>345.0</v>
      </c>
      <c r="B343" s="14" t="s">
        <v>989</v>
      </c>
      <c r="C343" s="14" t="s">
        <v>170</v>
      </c>
      <c r="D343" s="14">
        <v>3.0</v>
      </c>
      <c r="E343" s="14">
        <v>865.0</v>
      </c>
      <c r="F343" s="14">
        <v>7.0</v>
      </c>
      <c r="G343" s="14">
        <v>872.0</v>
      </c>
      <c r="H343" s="14">
        <v>8.0</v>
      </c>
      <c r="I343" s="14">
        <v>880.0</v>
      </c>
      <c r="J343" s="14">
        <v>5.0</v>
      </c>
      <c r="K343" s="14">
        <v>885.0</v>
      </c>
      <c r="L343" s="14">
        <v>7.0</v>
      </c>
      <c r="M343" s="14">
        <v>892.0</v>
      </c>
      <c r="N343" s="14">
        <v>6.0</v>
      </c>
      <c r="O343" s="14">
        <v>898.0</v>
      </c>
      <c r="P343" s="14">
        <v>7.0</v>
      </c>
      <c r="Q343" s="14">
        <v>905.0</v>
      </c>
      <c r="R343" s="14">
        <v>7.0</v>
      </c>
      <c r="S343" s="14">
        <v>918.0</v>
      </c>
      <c r="T343" s="14">
        <v>13.0</v>
      </c>
      <c r="U343" s="14">
        <v>922.0</v>
      </c>
      <c r="V343" s="14">
        <v>4.0</v>
      </c>
      <c r="W343" s="14">
        <v>927.0</v>
      </c>
      <c r="X343" s="14">
        <v>5.0</v>
      </c>
      <c r="Y343" s="14">
        <v>932.0</v>
      </c>
      <c r="Z343" s="14">
        <v>5.0</v>
      </c>
      <c r="AA343" s="14">
        <v>938.0</v>
      </c>
      <c r="AB343" s="14">
        <v>6.0</v>
      </c>
      <c r="AC343" s="14">
        <v>6.0</v>
      </c>
      <c r="AD343" s="14">
        <v>0.0</v>
      </c>
      <c r="AE343" s="14">
        <v>0.0</v>
      </c>
      <c r="AG343" s="14">
        <v>3.0</v>
      </c>
      <c r="AH343" s="14">
        <v>0.0</v>
      </c>
      <c r="AI343" s="14">
        <v>9.0</v>
      </c>
    </row>
    <row r="344" ht="15.75" customHeight="1">
      <c r="A344" s="14">
        <v>346.0</v>
      </c>
      <c r="B344" s="14" t="s">
        <v>990</v>
      </c>
      <c r="C344" s="14" t="s">
        <v>170</v>
      </c>
      <c r="D344" s="14">
        <v>4.0</v>
      </c>
      <c r="E344" s="14">
        <v>0.0</v>
      </c>
      <c r="F344" s="14">
        <v>0.0</v>
      </c>
      <c r="G344" s="14">
        <v>0.0</v>
      </c>
      <c r="H344" s="14">
        <v>0.0</v>
      </c>
      <c r="I344" s="14">
        <v>0.0</v>
      </c>
      <c r="J344" s="14">
        <v>0.0</v>
      </c>
      <c r="K344" s="14">
        <v>0.0</v>
      </c>
      <c r="L344" s="14">
        <v>5.0</v>
      </c>
      <c r="M344" s="14">
        <v>5.0</v>
      </c>
      <c r="N344" s="14">
        <v>-4.0</v>
      </c>
      <c r="O344" s="14">
        <v>1.0</v>
      </c>
      <c r="P344" s="14">
        <v>0.0</v>
      </c>
      <c r="Q344" s="14">
        <v>1.0</v>
      </c>
      <c r="R344" s="14">
        <v>0.0</v>
      </c>
      <c r="S344" s="14">
        <v>1.0</v>
      </c>
      <c r="T344" s="14">
        <v>0.0</v>
      </c>
      <c r="U344" s="14">
        <v>0.0</v>
      </c>
      <c r="V344" s="14">
        <v>0.0</v>
      </c>
      <c r="W344" s="14">
        <v>0.0</v>
      </c>
      <c r="X344" s="14">
        <v>0.0</v>
      </c>
      <c r="Y344" s="14">
        <v>1.0</v>
      </c>
      <c r="Z344" s="14">
        <v>1.0</v>
      </c>
      <c r="AA344" s="14">
        <v>2.0</v>
      </c>
      <c r="AB344" s="14">
        <v>1.0</v>
      </c>
      <c r="AC344" s="14">
        <v>5.0</v>
      </c>
      <c r="AD344" s="14">
        <v>0.0</v>
      </c>
      <c r="AE344" s="14">
        <v>0.0</v>
      </c>
      <c r="AG344" s="14">
        <v>3.0</v>
      </c>
      <c r="AH344" s="14">
        <v>20.0</v>
      </c>
      <c r="AI344" s="14">
        <v>28.0</v>
      </c>
    </row>
    <row r="345" ht="15.75" customHeight="1">
      <c r="A345" s="14">
        <v>347.0</v>
      </c>
      <c r="B345" s="14" t="s">
        <v>992</v>
      </c>
      <c r="C345" s="14" t="s">
        <v>170</v>
      </c>
      <c r="D345" s="14">
        <v>5.0</v>
      </c>
      <c r="E345" s="14">
        <v>7019.0</v>
      </c>
      <c r="F345" s="14">
        <v>6.0</v>
      </c>
      <c r="G345" s="14">
        <v>7025.0</v>
      </c>
      <c r="H345" s="14">
        <v>6.0</v>
      </c>
      <c r="I345" s="14">
        <v>7031.0</v>
      </c>
      <c r="J345" s="14">
        <v>3.0</v>
      </c>
      <c r="K345" s="14">
        <v>7034.0</v>
      </c>
      <c r="L345" s="14">
        <v>16.0</v>
      </c>
      <c r="M345" s="14">
        <v>7050.0</v>
      </c>
      <c r="N345" s="14">
        <v>6.0</v>
      </c>
      <c r="O345" s="14">
        <v>7056.0</v>
      </c>
      <c r="P345" s="14">
        <v>7.0</v>
      </c>
      <c r="Q345" s="14">
        <v>7063.0</v>
      </c>
      <c r="R345" s="14">
        <v>7.0</v>
      </c>
      <c r="S345" s="14">
        <v>7071.0</v>
      </c>
      <c r="T345" s="14">
        <v>8.0</v>
      </c>
      <c r="U345" s="14">
        <v>7083.0</v>
      </c>
      <c r="V345" s="14">
        <v>12.0</v>
      </c>
      <c r="W345" s="14">
        <v>7101.0</v>
      </c>
      <c r="X345" s="14">
        <v>18.0</v>
      </c>
      <c r="Y345" s="14">
        <v>7107.0</v>
      </c>
      <c r="Z345" s="14">
        <v>6.0</v>
      </c>
      <c r="AA345" s="14">
        <v>7111.0</v>
      </c>
      <c r="AB345" s="14">
        <v>4.0</v>
      </c>
      <c r="AC345" s="14">
        <v>5.0</v>
      </c>
      <c r="AD345" s="14">
        <v>0.0</v>
      </c>
      <c r="AE345" s="14">
        <v>0.0</v>
      </c>
      <c r="AG345" s="14">
        <v>3.0</v>
      </c>
      <c r="AH345" s="14">
        <v>0.0</v>
      </c>
      <c r="AI345" s="14">
        <v>8.0</v>
      </c>
    </row>
    <row r="346" ht="15.75" customHeight="1">
      <c r="A346" s="14">
        <v>348.0</v>
      </c>
      <c r="B346" s="14" t="s">
        <v>994</v>
      </c>
      <c r="C346" s="14" t="s">
        <v>170</v>
      </c>
      <c r="D346" s="14">
        <v>6.0</v>
      </c>
      <c r="E346" s="14">
        <v>1361.0</v>
      </c>
      <c r="F346" s="14">
        <v>8.0</v>
      </c>
      <c r="G346" s="14">
        <v>1369.0</v>
      </c>
      <c r="H346" s="14">
        <v>8.0</v>
      </c>
      <c r="I346" s="14">
        <v>1377.0</v>
      </c>
      <c r="J346" s="14">
        <v>6.0</v>
      </c>
      <c r="K346" s="14">
        <v>1383.0</v>
      </c>
      <c r="L346" s="14">
        <v>6.0</v>
      </c>
      <c r="M346" s="14">
        <v>1389.0</v>
      </c>
      <c r="N346" s="14">
        <v>7.0</v>
      </c>
      <c r="O346" s="14">
        <v>1396.0</v>
      </c>
      <c r="P346" s="14">
        <v>6.0</v>
      </c>
      <c r="Q346" s="14">
        <v>1402.0</v>
      </c>
      <c r="R346" s="14">
        <v>6.0</v>
      </c>
      <c r="S346" s="14">
        <v>1406.0</v>
      </c>
      <c r="T346" s="14">
        <v>4.0</v>
      </c>
      <c r="U346" s="14">
        <v>1410.0</v>
      </c>
      <c r="V346" s="14">
        <v>4.0</v>
      </c>
      <c r="W346" s="14">
        <v>1415.0</v>
      </c>
      <c r="X346" s="14">
        <v>5.0</v>
      </c>
      <c r="Y346" s="14">
        <v>1420.0</v>
      </c>
      <c r="Z346" s="14">
        <v>5.0</v>
      </c>
      <c r="AA346" s="14">
        <v>1425.0</v>
      </c>
      <c r="AB346" s="14">
        <v>5.0</v>
      </c>
      <c r="AC346" s="14">
        <v>5.0</v>
      </c>
      <c r="AD346" s="14">
        <v>0.0</v>
      </c>
      <c r="AE346" s="14">
        <v>0.0</v>
      </c>
      <c r="AG346" s="14">
        <v>3.0</v>
      </c>
      <c r="AH346" s="14">
        <v>0.0</v>
      </c>
      <c r="AI346" s="14">
        <v>8.0</v>
      </c>
    </row>
    <row r="347" ht="15.75" customHeight="1">
      <c r="A347" s="14">
        <v>349.0</v>
      </c>
      <c r="B347" s="14" t="s">
        <v>995</v>
      </c>
      <c r="C347" s="14" t="s">
        <v>174</v>
      </c>
      <c r="D347" s="14">
        <v>1.0</v>
      </c>
      <c r="E347" s="14">
        <v>774.0</v>
      </c>
      <c r="F347" s="14">
        <v>23.0</v>
      </c>
      <c r="G347" s="14">
        <v>797.0</v>
      </c>
      <c r="H347" s="14">
        <v>25.0</v>
      </c>
      <c r="I347" s="14">
        <v>822.0</v>
      </c>
      <c r="J347" s="14">
        <v>24.0</v>
      </c>
      <c r="K347" s="14">
        <v>846.0</v>
      </c>
      <c r="L347" s="14">
        <v>19.0</v>
      </c>
      <c r="M347" s="14">
        <v>865.0</v>
      </c>
      <c r="N347" s="14">
        <v>14.0</v>
      </c>
      <c r="O347" s="14">
        <v>879.0</v>
      </c>
      <c r="P347" s="14">
        <v>15.0</v>
      </c>
      <c r="Q347" s="14">
        <v>894.0</v>
      </c>
      <c r="R347" s="14">
        <v>15.0</v>
      </c>
      <c r="S347" s="14">
        <v>907.0</v>
      </c>
      <c r="T347" s="14">
        <v>13.0</v>
      </c>
      <c r="U347" s="14">
        <v>918.0</v>
      </c>
      <c r="V347" s="14">
        <v>11.0</v>
      </c>
      <c r="W347" s="14">
        <v>931.0</v>
      </c>
      <c r="X347" s="14">
        <v>13.0</v>
      </c>
      <c r="Y347" s="14">
        <v>944.0</v>
      </c>
      <c r="Z347" s="14">
        <v>13.0</v>
      </c>
      <c r="AA347" s="14">
        <v>962.0</v>
      </c>
      <c r="AB347" s="14">
        <v>18.0</v>
      </c>
      <c r="AC347" s="14">
        <v>18.0</v>
      </c>
      <c r="AD347" s="14">
        <v>0.0</v>
      </c>
      <c r="AE347" s="14">
        <v>0.0</v>
      </c>
      <c r="AG347" s="14">
        <v>3.0</v>
      </c>
      <c r="AH347" s="14">
        <v>0.0</v>
      </c>
      <c r="AI347" s="14">
        <v>21.0</v>
      </c>
    </row>
    <row r="348" ht="15.75" customHeight="1">
      <c r="A348" s="14">
        <v>350.0</v>
      </c>
      <c r="B348" s="14" t="s">
        <v>343</v>
      </c>
      <c r="C348" s="14" t="s">
        <v>174</v>
      </c>
      <c r="D348" s="14">
        <v>2.0</v>
      </c>
      <c r="E348" s="14">
        <v>10.0</v>
      </c>
      <c r="F348" s="14">
        <v>1.0</v>
      </c>
      <c r="G348" s="14">
        <v>11.0</v>
      </c>
      <c r="H348" s="14">
        <v>1.0</v>
      </c>
      <c r="I348" s="14">
        <v>12.0</v>
      </c>
      <c r="J348" s="14">
        <v>0.0</v>
      </c>
      <c r="K348" s="14">
        <v>12.0</v>
      </c>
      <c r="L348" s="14">
        <v>1.0</v>
      </c>
      <c r="M348" s="14">
        <v>13.0</v>
      </c>
      <c r="N348" s="14">
        <v>1.0</v>
      </c>
      <c r="O348" s="14">
        <v>14.0</v>
      </c>
      <c r="P348" s="14">
        <v>0.0</v>
      </c>
      <c r="Q348" s="14">
        <v>14.0</v>
      </c>
      <c r="R348" s="14">
        <v>0.0</v>
      </c>
      <c r="S348" s="14">
        <v>14.0</v>
      </c>
      <c r="T348" s="14">
        <v>0.0</v>
      </c>
      <c r="U348" s="14">
        <v>15.0</v>
      </c>
      <c r="V348" s="14">
        <v>1.0</v>
      </c>
      <c r="W348" s="14">
        <v>16.0</v>
      </c>
      <c r="X348" s="14">
        <v>1.0</v>
      </c>
      <c r="Y348" s="14">
        <v>16.0</v>
      </c>
      <c r="Z348" s="14">
        <v>0.0</v>
      </c>
      <c r="AA348" s="14">
        <v>17.0</v>
      </c>
      <c r="AB348" s="14">
        <v>1.0</v>
      </c>
      <c r="AC348" s="14">
        <v>5.0</v>
      </c>
      <c r="AD348" s="14">
        <v>0.0</v>
      </c>
      <c r="AE348" s="14">
        <v>0.0</v>
      </c>
      <c r="AG348" s="14">
        <v>3.0</v>
      </c>
      <c r="AH348" s="14">
        <v>0.0</v>
      </c>
      <c r="AI348" s="14">
        <v>8.0</v>
      </c>
    </row>
    <row r="349" ht="15.75" customHeight="1">
      <c r="A349" s="14">
        <v>351.0</v>
      </c>
      <c r="B349" s="14" t="s">
        <v>999</v>
      </c>
      <c r="C349" s="14" t="s">
        <v>174</v>
      </c>
      <c r="D349" s="14">
        <v>3.0</v>
      </c>
      <c r="E349" s="14">
        <v>239.0</v>
      </c>
      <c r="F349" s="14">
        <v>10.0</v>
      </c>
      <c r="G349" s="14">
        <v>249.0</v>
      </c>
      <c r="H349" s="14">
        <v>-10.0</v>
      </c>
      <c r="I349" s="14">
        <v>239.0</v>
      </c>
      <c r="J349" s="14">
        <v>0.0</v>
      </c>
      <c r="K349" s="14">
        <v>0.0</v>
      </c>
      <c r="L349" s="14">
        <v>2.0</v>
      </c>
      <c r="M349" s="14">
        <v>2.0</v>
      </c>
      <c r="N349" s="14">
        <v>3.0</v>
      </c>
      <c r="O349" s="14">
        <v>5.0</v>
      </c>
      <c r="P349" s="14">
        <v>1.0</v>
      </c>
      <c r="Q349" s="14">
        <v>6.0</v>
      </c>
      <c r="R349" s="14">
        <v>1.0</v>
      </c>
      <c r="S349" s="14">
        <v>7.0</v>
      </c>
      <c r="T349" s="14">
        <v>1.0</v>
      </c>
      <c r="U349" s="14">
        <v>7.0</v>
      </c>
      <c r="V349" s="14">
        <v>0.0</v>
      </c>
      <c r="W349" s="14">
        <v>9.0</v>
      </c>
      <c r="X349" s="14">
        <v>2.0</v>
      </c>
      <c r="Y349" s="14">
        <v>9.0</v>
      </c>
      <c r="Z349" s="14">
        <v>0.0</v>
      </c>
      <c r="AA349" s="14">
        <v>10.0</v>
      </c>
      <c r="AB349" s="14">
        <v>1.0</v>
      </c>
      <c r="AC349" s="14">
        <v>5.0</v>
      </c>
      <c r="AD349" s="14">
        <v>0.0</v>
      </c>
      <c r="AE349" s="14">
        <v>0.0</v>
      </c>
      <c r="AG349" s="14">
        <v>3.0</v>
      </c>
      <c r="AH349" s="14">
        <v>0.0</v>
      </c>
      <c r="AI349" s="14">
        <v>8.0</v>
      </c>
    </row>
    <row r="350" ht="15.75" customHeight="1">
      <c r="A350" s="14">
        <v>352.0</v>
      </c>
      <c r="B350" s="14" t="s">
        <v>1001</v>
      </c>
      <c r="C350" s="14" t="s">
        <v>174</v>
      </c>
      <c r="D350" s="14">
        <v>4.0</v>
      </c>
      <c r="E350" s="14">
        <v>184.0</v>
      </c>
      <c r="F350" s="14">
        <v>9.0</v>
      </c>
      <c r="G350" s="14">
        <v>193.0</v>
      </c>
      <c r="H350" s="14">
        <v>9.0</v>
      </c>
      <c r="I350" s="14">
        <v>202.0</v>
      </c>
      <c r="J350" s="14">
        <v>8.0</v>
      </c>
      <c r="K350" s="14">
        <v>210.0</v>
      </c>
      <c r="L350" s="14">
        <v>4.0</v>
      </c>
      <c r="M350" s="14">
        <v>214.0</v>
      </c>
      <c r="N350" s="14">
        <v>3.0</v>
      </c>
      <c r="O350" s="14">
        <v>217.0</v>
      </c>
      <c r="P350" s="14">
        <v>2.0</v>
      </c>
      <c r="Q350" s="14">
        <v>219.0</v>
      </c>
      <c r="R350" s="14">
        <v>2.0</v>
      </c>
      <c r="S350" s="14">
        <v>222.0</v>
      </c>
      <c r="T350" s="14">
        <v>3.0</v>
      </c>
      <c r="U350" s="14">
        <v>224.0</v>
      </c>
      <c r="V350" s="14">
        <v>2.0</v>
      </c>
      <c r="W350" s="14">
        <v>227.0</v>
      </c>
      <c r="X350" s="14">
        <v>3.0</v>
      </c>
      <c r="Y350" s="14">
        <v>229.0</v>
      </c>
      <c r="Z350" s="14">
        <v>2.0</v>
      </c>
      <c r="AA350" s="14">
        <v>232.0</v>
      </c>
      <c r="AB350" s="14">
        <v>3.0</v>
      </c>
      <c r="AC350" s="14">
        <v>5.0</v>
      </c>
      <c r="AD350" s="14">
        <v>0.0</v>
      </c>
      <c r="AE350" s="14">
        <v>0.0</v>
      </c>
      <c r="AG350" s="14">
        <v>3.0</v>
      </c>
      <c r="AH350" s="14">
        <v>0.0</v>
      </c>
      <c r="AI350" s="14">
        <v>8.0</v>
      </c>
    </row>
    <row r="351" ht="15.75" customHeight="1">
      <c r="A351" s="14">
        <v>353.0</v>
      </c>
      <c r="B351" s="14" t="s">
        <v>1002</v>
      </c>
      <c r="C351" s="14" t="s">
        <v>174</v>
      </c>
      <c r="D351" s="14">
        <v>5.0</v>
      </c>
      <c r="E351" s="14">
        <v>712.0</v>
      </c>
      <c r="F351" s="14">
        <v>9.0</v>
      </c>
      <c r="G351" s="14">
        <v>721.0</v>
      </c>
      <c r="H351" s="14">
        <v>6.0</v>
      </c>
      <c r="I351" s="14">
        <v>727.0</v>
      </c>
      <c r="J351" s="14">
        <v>6.0</v>
      </c>
      <c r="K351" s="14">
        <v>733.0</v>
      </c>
      <c r="L351" s="14">
        <v>12.0</v>
      </c>
      <c r="M351" s="14">
        <v>745.0</v>
      </c>
      <c r="N351" s="14">
        <v>11.0</v>
      </c>
      <c r="O351" s="14">
        <v>756.0</v>
      </c>
      <c r="P351" s="14">
        <v>9.0</v>
      </c>
      <c r="Q351" s="14">
        <v>765.0</v>
      </c>
      <c r="R351" s="14">
        <v>9.0</v>
      </c>
      <c r="S351" s="14">
        <v>774.0</v>
      </c>
      <c r="T351" s="14">
        <v>9.0</v>
      </c>
      <c r="U351" s="14">
        <v>781.0</v>
      </c>
      <c r="V351" s="14">
        <v>7.0</v>
      </c>
      <c r="W351" s="14">
        <v>794.0</v>
      </c>
      <c r="X351" s="14">
        <v>13.0</v>
      </c>
      <c r="Y351" s="14">
        <v>806.0</v>
      </c>
      <c r="Z351" s="14">
        <v>12.0</v>
      </c>
      <c r="AA351" s="14">
        <v>821.0</v>
      </c>
      <c r="AB351" s="14">
        <v>15.0</v>
      </c>
      <c r="AC351" s="14">
        <v>15.0</v>
      </c>
      <c r="AD351" s="14">
        <v>0.0</v>
      </c>
      <c r="AE351" s="14">
        <v>0.0</v>
      </c>
      <c r="AG351" s="14">
        <v>3.0</v>
      </c>
      <c r="AH351" s="14">
        <v>0.0</v>
      </c>
      <c r="AI351" s="14">
        <v>18.0</v>
      </c>
    </row>
    <row r="352" ht="15.75" customHeight="1">
      <c r="A352" s="14">
        <v>354.0</v>
      </c>
      <c r="B352" s="14" t="s">
        <v>1006</v>
      </c>
      <c r="C352" s="14" t="s">
        <v>174</v>
      </c>
      <c r="D352" s="14">
        <v>6.0</v>
      </c>
      <c r="E352" s="14">
        <v>1803.0</v>
      </c>
      <c r="F352" s="14">
        <v>10.0</v>
      </c>
      <c r="G352" s="14">
        <v>1813.0</v>
      </c>
      <c r="H352" s="14">
        <v>12.0</v>
      </c>
      <c r="I352" s="14">
        <v>1825.0</v>
      </c>
      <c r="J352" s="14">
        <v>8.0</v>
      </c>
      <c r="K352" s="14">
        <v>1833.0</v>
      </c>
      <c r="L352" s="14">
        <v>8.0</v>
      </c>
      <c r="M352" s="14">
        <v>1841.0</v>
      </c>
      <c r="N352" s="14">
        <v>7.0</v>
      </c>
      <c r="O352" s="14">
        <v>1848.0</v>
      </c>
      <c r="P352" s="14">
        <v>8.0</v>
      </c>
      <c r="Q352" s="14">
        <v>1856.0</v>
      </c>
      <c r="R352" s="14">
        <v>8.0</v>
      </c>
      <c r="S352" s="14">
        <v>1862.0</v>
      </c>
      <c r="T352" s="14">
        <v>6.0</v>
      </c>
      <c r="U352" s="14">
        <v>1869.0</v>
      </c>
      <c r="V352" s="14">
        <v>7.0</v>
      </c>
      <c r="W352" s="14">
        <v>1876.0</v>
      </c>
      <c r="X352" s="14">
        <v>7.0</v>
      </c>
      <c r="Y352" s="14">
        <v>1882.0</v>
      </c>
      <c r="Z352" s="14">
        <v>6.0</v>
      </c>
      <c r="AA352" s="14">
        <v>1890.0</v>
      </c>
      <c r="AB352" s="14">
        <v>8.0</v>
      </c>
      <c r="AC352" s="14">
        <v>8.0</v>
      </c>
      <c r="AD352" s="14">
        <v>0.0</v>
      </c>
      <c r="AE352" s="14">
        <v>0.0</v>
      </c>
      <c r="AG352" s="14">
        <v>3.0</v>
      </c>
      <c r="AH352" s="14">
        <v>0.0</v>
      </c>
      <c r="AI352" s="14">
        <v>11.0</v>
      </c>
    </row>
    <row r="353" ht="15.75" customHeight="1">
      <c r="A353" s="14">
        <v>355.0</v>
      </c>
      <c r="B353" s="14" t="s">
        <v>1106</v>
      </c>
      <c r="C353" s="14" t="s">
        <v>174</v>
      </c>
      <c r="D353" s="14">
        <v>7.0</v>
      </c>
      <c r="E353" s="14">
        <v>932.0</v>
      </c>
      <c r="F353" s="14">
        <v>6.0</v>
      </c>
      <c r="G353" s="14">
        <v>938.0</v>
      </c>
      <c r="H353" s="14">
        <v>10.0</v>
      </c>
      <c r="I353" s="14">
        <v>948.0</v>
      </c>
      <c r="J353" s="14">
        <v>9.0</v>
      </c>
      <c r="K353" s="14">
        <v>957.0</v>
      </c>
      <c r="L353" s="14">
        <v>8.0</v>
      </c>
      <c r="M353" s="14">
        <v>965.0</v>
      </c>
      <c r="N353" s="14">
        <v>10.0</v>
      </c>
      <c r="O353" s="14">
        <v>975.0</v>
      </c>
      <c r="P353" s="14">
        <v>7.0</v>
      </c>
      <c r="Q353" s="14">
        <v>982.0</v>
      </c>
      <c r="R353" s="14">
        <v>7.0</v>
      </c>
      <c r="S353" s="14">
        <v>986.0</v>
      </c>
      <c r="T353" s="14">
        <v>4.0</v>
      </c>
      <c r="U353" s="14">
        <v>993.0</v>
      </c>
      <c r="V353" s="14">
        <v>7.0</v>
      </c>
      <c r="W353" s="14">
        <v>997.0</v>
      </c>
      <c r="X353" s="14">
        <v>4.0</v>
      </c>
      <c r="Y353" s="14">
        <v>1005.0</v>
      </c>
      <c r="Z353" s="14">
        <v>8.0</v>
      </c>
      <c r="AA353" s="14">
        <v>1013.0</v>
      </c>
      <c r="AB353" s="14">
        <v>8.0</v>
      </c>
      <c r="AC353" s="14">
        <v>8.0</v>
      </c>
      <c r="AD353" s="14">
        <v>0.0</v>
      </c>
      <c r="AE353" s="14">
        <v>0.0</v>
      </c>
      <c r="AG353" s="14">
        <v>3.0</v>
      </c>
      <c r="AH353" s="14">
        <v>0.0</v>
      </c>
      <c r="AI353" s="14">
        <v>11.0</v>
      </c>
    </row>
    <row r="354" ht="15.75" customHeight="1">
      <c r="A354" s="14">
        <v>356.0</v>
      </c>
      <c r="B354" s="14" t="s">
        <v>1010</v>
      </c>
      <c r="C354" s="14" t="s">
        <v>174</v>
      </c>
      <c r="D354" s="14">
        <v>8.0</v>
      </c>
      <c r="E354" s="14">
        <v>502.0</v>
      </c>
      <c r="F354" s="14">
        <v>0.0</v>
      </c>
      <c r="G354" s="14">
        <v>502.0</v>
      </c>
      <c r="H354" s="14">
        <v>1.0</v>
      </c>
      <c r="I354" s="14">
        <v>503.0</v>
      </c>
      <c r="J354" s="14">
        <v>0.0</v>
      </c>
      <c r="K354" s="14">
        <v>503.0</v>
      </c>
      <c r="L354" s="14">
        <v>0.0</v>
      </c>
      <c r="M354" s="14">
        <v>503.0</v>
      </c>
      <c r="N354" s="14">
        <v>0.0</v>
      </c>
      <c r="O354" s="14">
        <v>503.0</v>
      </c>
      <c r="P354" s="14">
        <v>0.0</v>
      </c>
      <c r="Q354" s="14">
        <v>503.0</v>
      </c>
      <c r="R354" s="14">
        <v>0.0</v>
      </c>
      <c r="S354" s="14">
        <v>503.0</v>
      </c>
      <c r="T354" s="14">
        <v>0.0</v>
      </c>
      <c r="U354" s="14">
        <v>503.0</v>
      </c>
      <c r="V354" s="14">
        <v>0.0</v>
      </c>
      <c r="W354" s="14">
        <v>503.0</v>
      </c>
      <c r="X354" s="14">
        <v>0.0</v>
      </c>
      <c r="Y354" s="14">
        <v>504.0</v>
      </c>
      <c r="Z354" s="14">
        <v>1.0</v>
      </c>
      <c r="AA354" s="14">
        <v>507.0</v>
      </c>
      <c r="AB354" s="14">
        <v>3.0</v>
      </c>
      <c r="AC354" s="14">
        <v>5.0</v>
      </c>
      <c r="AD354" s="14">
        <v>0.0</v>
      </c>
      <c r="AE354" s="14">
        <v>0.0</v>
      </c>
      <c r="AG354" s="14">
        <v>3.0</v>
      </c>
      <c r="AH354" s="14">
        <v>20.0</v>
      </c>
      <c r="AI354" s="14">
        <v>28.0</v>
      </c>
    </row>
    <row r="355" ht="15.75" customHeight="1">
      <c r="A355" s="14">
        <v>357.0</v>
      </c>
      <c r="B355" s="14" t="s">
        <v>1012</v>
      </c>
      <c r="C355" s="14" t="s">
        <v>174</v>
      </c>
      <c r="D355" s="14">
        <v>9.0</v>
      </c>
      <c r="E355" s="14">
        <v>768.0</v>
      </c>
      <c r="F355" s="14">
        <v>26.0</v>
      </c>
      <c r="G355" s="14">
        <v>794.0</v>
      </c>
      <c r="H355" s="14">
        <v>37.0</v>
      </c>
      <c r="I355" s="14">
        <v>831.0</v>
      </c>
      <c r="J355" s="14">
        <v>8.0</v>
      </c>
      <c r="K355" s="14">
        <v>839.0</v>
      </c>
      <c r="L355" s="14">
        <v>7.0</v>
      </c>
      <c r="M355" s="14">
        <v>846.0</v>
      </c>
      <c r="N355" s="14">
        <v>6.0</v>
      </c>
      <c r="O355" s="14">
        <v>852.0</v>
      </c>
      <c r="P355" s="14">
        <v>3.0</v>
      </c>
      <c r="Q355" s="14">
        <v>855.0</v>
      </c>
      <c r="R355" s="14">
        <v>3.0</v>
      </c>
      <c r="S355" s="14">
        <v>856.0</v>
      </c>
      <c r="T355" s="14">
        <v>1.0</v>
      </c>
      <c r="U355" s="14">
        <v>861.0</v>
      </c>
      <c r="V355" s="14">
        <v>5.0</v>
      </c>
      <c r="W355" s="14">
        <v>865.0</v>
      </c>
      <c r="X355" s="14">
        <v>4.0</v>
      </c>
      <c r="Y355" s="14">
        <v>869.0</v>
      </c>
      <c r="Z355" s="14">
        <v>4.0</v>
      </c>
      <c r="AA355" s="14">
        <v>873.0</v>
      </c>
      <c r="AB355" s="14">
        <v>4.0</v>
      </c>
      <c r="AC355" s="14">
        <v>5.0</v>
      </c>
      <c r="AD355" s="14">
        <v>0.0</v>
      </c>
      <c r="AE355" s="14">
        <v>0.0</v>
      </c>
      <c r="AG355" s="14">
        <v>3.0</v>
      </c>
      <c r="AH355" s="14">
        <v>20.0</v>
      </c>
      <c r="AI355" s="14">
        <v>28.0</v>
      </c>
    </row>
    <row r="356" ht="15.75" customHeight="1">
      <c r="A356" s="14">
        <v>358.0</v>
      </c>
      <c r="B356" s="14" t="s">
        <v>1014</v>
      </c>
      <c r="C356" s="14" t="s">
        <v>174</v>
      </c>
      <c r="D356" s="14">
        <v>10.0</v>
      </c>
      <c r="E356" s="14">
        <v>1993.0</v>
      </c>
      <c r="F356" s="14">
        <v>17.0</v>
      </c>
      <c r="G356" s="14">
        <v>2010.0</v>
      </c>
      <c r="H356" s="14">
        <v>20.0</v>
      </c>
      <c r="I356" s="14">
        <v>2030.0</v>
      </c>
      <c r="J356" s="14">
        <v>18.0</v>
      </c>
      <c r="K356" s="14">
        <v>2048.0</v>
      </c>
      <c r="L356" s="14">
        <v>22.0</v>
      </c>
      <c r="M356" s="14">
        <v>2070.0</v>
      </c>
      <c r="N356" s="14">
        <v>29.0</v>
      </c>
      <c r="O356" s="14">
        <v>2099.0</v>
      </c>
      <c r="P356" s="14">
        <v>19.0</v>
      </c>
      <c r="Q356" s="14">
        <v>2118.0</v>
      </c>
      <c r="R356" s="14">
        <v>19.0</v>
      </c>
      <c r="S356" s="14">
        <v>2132.0</v>
      </c>
      <c r="T356" s="14">
        <v>14.0</v>
      </c>
      <c r="U356" s="14">
        <v>2147.0</v>
      </c>
      <c r="V356" s="14">
        <v>15.0</v>
      </c>
      <c r="W356" s="14">
        <v>2164.0</v>
      </c>
      <c r="X356" s="14">
        <v>17.0</v>
      </c>
      <c r="Y356" s="14">
        <v>2178.0</v>
      </c>
      <c r="Z356" s="14">
        <v>14.0</v>
      </c>
      <c r="AA356" s="14">
        <v>2192.0</v>
      </c>
      <c r="AB356" s="14">
        <v>14.0</v>
      </c>
      <c r="AC356" s="14">
        <v>14.0</v>
      </c>
      <c r="AD356" s="14">
        <v>0.0</v>
      </c>
      <c r="AE356" s="14">
        <v>0.0</v>
      </c>
      <c r="AG356" s="14">
        <v>3.0</v>
      </c>
      <c r="AH356" s="14">
        <v>0.0</v>
      </c>
      <c r="AI356" s="14">
        <v>17.0</v>
      </c>
    </row>
    <row r="357" ht="15.75" customHeight="1">
      <c r="A357" s="14">
        <v>359.0</v>
      </c>
      <c r="B357" s="14" t="s">
        <v>1018</v>
      </c>
      <c r="C357" s="14" t="s">
        <v>174</v>
      </c>
      <c r="D357" s="14">
        <v>11.0</v>
      </c>
      <c r="E357" s="14">
        <v>1228.0</v>
      </c>
      <c r="F357" s="14">
        <v>10.0</v>
      </c>
      <c r="G357" s="14">
        <v>1238.0</v>
      </c>
      <c r="H357" s="14">
        <v>9.0</v>
      </c>
      <c r="I357" s="14">
        <v>1247.0</v>
      </c>
      <c r="J357" s="14">
        <v>8.0</v>
      </c>
      <c r="K357" s="14">
        <v>1255.0</v>
      </c>
      <c r="L357" s="14">
        <v>9.0</v>
      </c>
      <c r="M357" s="14">
        <v>1264.0</v>
      </c>
      <c r="N357" s="14">
        <v>20.0</v>
      </c>
      <c r="O357" s="14">
        <v>1284.0</v>
      </c>
      <c r="P357" s="14">
        <v>13.0</v>
      </c>
      <c r="Q357" s="14">
        <v>1297.0</v>
      </c>
      <c r="R357" s="14">
        <v>13.0</v>
      </c>
      <c r="S357" s="14">
        <v>1312.0</v>
      </c>
      <c r="T357" s="14">
        <v>15.0</v>
      </c>
      <c r="U357" s="14">
        <v>1321.0</v>
      </c>
      <c r="V357" s="14">
        <v>9.0</v>
      </c>
      <c r="W357" s="14">
        <v>1327.0</v>
      </c>
      <c r="X357" s="14">
        <v>6.0</v>
      </c>
      <c r="Y357" s="14">
        <v>1334.0</v>
      </c>
      <c r="Z357" s="14">
        <v>7.0</v>
      </c>
      <c r="AA357" s="14">
        <v>1340.0</v>
      </c>
      <c r="AB357" s="14">
        <v>6.0</v>
      </c>
      <c r="AC357" s="14">
        <v>6.0</v>
      </c>
      <c r="AD357" s="14">
        <v>0.0</v>
      </c>
      <c r="AE357" s="14">
        <v>0.0</v>
      </c>
      <c r="AG357" s="14">
        <v>3.0</v>
      </c>
      <c r="AH357" s="14">
        <v>0.0</v>
      </c>
      <c r="AI357" s="14">
        <v>9.0</v>
      </c>
    </row>
    <row r="358" ht="15.75" customHeight="1">
      <c r="A358" s="14">
        <v>360.0</v>
      </c>
      <c r="B358" s="14" t="s">
        <v>1021</v>
      </c>
      <c r="C358" s="14" t="s">
        <v>174</v>
      </c>
      <c r="D358" s="14">
        <v>12.0</v>
      </c>
      <c r="E358" s="14">
        <v>1930.0</v>
      </c>
      <c r="F358" s="14">
        <v>20.0</v>
      </c>
      <c r="G358" s="14">
        <v>1950.0</v>
      </c>
      <c r="H358" s="14">
        <v>23.0</v>
      </c>
      <c r="I358" s="14">
        <v>1973.0</v>
      </c>
      <c r="J358" s="14">
        <v>23.0</v>
      </c>
      <c r="K358" s="14">
        <v>1996.0</v>
      </c>
      <c r="L358" s="14">
        <v>22.0</v>
      </c>
      <c r="M358" s="14">
        <v>2018.0</v>
      </c>
      <c r="N358" s="14">
        <v>14.0</v>
      </c>
      <c r="O358" s="14">
        <v>2032.0</v>
      </c>
      <c r="P358" s="14">
        <v>14.0</v>
      </c>
      <c r="Q358" s="14">
        <v>2046.0</v>
      </c>
      <c r="R358" s="14">
        <v>14.0</v>
      </c>
      <c r="S358" s="14">
        <v>2058.0</v>
      </c>
      <c r="T358" s="14">
        <v>12.0</v>
      </c>
      <c r="U358" s="14">
        <v>2075.0</v>
      </c>
      <c r="V358" s="14">
        <v>17.0</v>
      </c>
      <c r="W358" s="14">
        <v>2109.0</v>
      </c>
      <c r="X358" s="14">
        <v>34.0</v>
      </c>
      <c r="Y358" s="14">
        <v>2127.0</v>
      </c>
      <c r="Z358" s="14">
        <v>18.0</v>
      </c>
      <c r="AA358" s="14">
        <v>2140.0</v>
      </c>
      <c r="AB358" s="14">
        <v>13.0</v>
      </c>
      <c r="AC358" s="14">
        <v>13.0</v>
      </c>
      <c r="AD358" s="14">
        <v>0.0</v>
      </c>
      <c r="AE358" s="14">
        <v>0.0</v>
      </c>
      <c r="AG358" s="14">
        <v>3.0</v>
      </c>
      <c r="AH358" s="14">
        <v>0.0</v>
      </c>
      <c r="AI358" s="14">
        <v>16.0</v>
      </c>
    </row>
    <row r="359" ht="15.75" customHeight="1">
      <c r="A359" s="14">
        <v>361.0</v>
      </c>
      <c r="B359" s="14" t="s">
        <v>1022</v>
      </c>
      <c r="C359" s="14" t="s">
        <v>174</v>
      </c>
      <c r="D359" s="14">
        <v>13.0</v>
      </c>
      <c r="E359" s="14">
        <v>1917.0</v>
      </c>
      <c r="F359" s="14">
        <v>8.0</v>
      </c>
      <c r="G359" s="14">
        <v>1925.0</v>
      </c>
      <c r="H359" s="14">
        <v>2.0</v>
      </c>
      <c r="I359" s="14">
        <v>1927.0</v>
      </c>
      <c r="J359" s="14">
        <v>7.0</v>
      </c>
      <c r="K359" s="14">
        <v>1934.0</v>
      </c>
      <c r="L359" s="14">
        <v>8.0</v>
      </c>
      <c r="M359" s="14">
        <v>1942.0</v>
      </c>
      <c r="N359" s="14">
        <v>11.0</v>
      </c>
      <c r="O359" s="14">
        <v>1953.0</v>
      </c>
      <c r="P359" s="14">
        <v>10.0</v>
      </c>
      <c r="Q359" s="14">
        <v>1963.0</v>
      </c>
      <c r="R359" s="14">
        <v>10.0</v>
      </c>
      <c r="S359" s="14">
        <v>1972.0</v>
      </c>
      <c r="T359" s="14">
        <v>9.0</v>
      </c>
      <c r="U359" s="14">
        <v>1982.0</v>
      </c>
      <c r="V359" s="14">
        <v>10.0</v>
      </c>
      <c r="W359" s="14">
        <v>1990.0</v>
      </c>
      <c r="X359" s="14">
        <v>8.0</v>
      </c>
      <c r="Y359" s="14">
        <v>1998.0</v>
      </c>
      <c r="Z359" s="14">
        <v>8.0</v>
      </c>
      <c r="AA359" s="14">
        <v>2007.0</v>
      </c>
      <c r="AB359" s="14">
        <v>9.0</v>
      </c>
      <c r="AC359" s="14">
        <v>9.0</v>
      </c>
      <c r="AD359" s="14">
        <v>0.0</v>
      </c>
      <c r="AE359" s="14">
        <v>0.0</v>
      </c>
      <c r="AG359" s="14">
        <v>3.0</v>
      </c>
      <c r="AH359" s="14">
        <v>0.0</v>
      </c>
      <c r="AI359" s="14">
        <v>12.0</v>
      </c>
    </row>
    <row r="360" ht="15.75" customHeight="1">
      <c r="A360" s="14">
        <v>362.0</v>
      </c>
      <c r="B360" s="14" t="s">
        <v>1025</v>
      </c>
      <c r="C360" s="14" t="s">
        <v>174</v>
      </c>
      <c r="D360" s="14">
        <v>14.0</v>
      </c>
      <c r="E360" s="14">
        <v>215.0</v>
      </c>
      <c r="F360" s="14">
        <v>1.0</v>
      </c>
      <c r="G360" s="14">
        <v>216.0</v>
      </c>
      <c r="H360" s="14">
        <v>1.0</v>
      </c>
      <c r="I360" s="14">
        <v>217.0</v>
      </c>
      <c r="J360" s="14">
        <v>1.0</v>
      </c>
      <c r="K360" s="14">
        <v>218.0</v>
      </c>
      <c r="L360" s="14">
        <v>1.0</v>
      </c>
      <c r="M360" s="14">
        <v>219.0</v>
      </c>
      <c r="N360" s="14">
        <v>1.0</v>
      </c>
      <c r="O360" s="14">
        <v>220.0</v>
      </c>
      <c r="P360" s="14">
        <v>0.0</v>
      </c>
      <c r="Q360" s="14">
        <v>220.0</v>
      </c>
      <c r="R360" s="14">
        <v>0.0</v>
      </c>
      <c r="S360" s="14">
        <v>220.0</v>
      </c>
      <c r="T360" s="14">
        <v>0.0</v>
      </c>
      <c r="U360" s="14">
        <v>220.0</v>
      </c>
      <c r="V360" s="14">
        <v>0.0</v>
      </c>
      <c r="W360" s="14">
        <v>220.0</v>
      </c>
      <c r="X360" s="14">
        <v>0.0</v>
      </c>
      <c r="Y360" s="14">
        <v>220.0</v>
      </c>
      <c r="Z360" s="14">
        <v>0.0</v>
      </c>
      <c r="AA360" s="14">
        <v>220.0</v>
      </c>
      <c r="AB360" s="14">
        <v>0.0</v>
      </c>
      <c r="AC360" s="14">
        <v>5.0</v>
      </c>
      <c r="AD360" s="14">
        <v>0.0</v>
      </c>
      <c r="AE360" s="14">
        <v>0.0</v>
      </c>
      <c r="AG360" s="14">
        <v>3.0</v>
      </c>
      <c r="AH360" s="14">
        <v>20.0</v>
      </c>
      <c r="AI360" s="14">
        <v>28.0</v>
      </c>
    </row>
    <row r="361" ht="15.75" customHeight="1">
      <c r="A361" s="14">
        <v>363.0</v>
      </c>
      <c r="B361" s="14" t="s">
        <v>1028</v>
      </c>
      <c r="C361" s="14" t="s">
        <v>174</v>
      </c>
      <c r="D361" s="14">
        <v>15.0</v>
      </c>
      <c r="E361" s="14">
        <v>789.0</v>
      </c>
      <c r="F361" s="14">
        <v>1.0</v>
      </c>
      <c r="G361" s="14">
        <v>790.0</v>
      </c>
      <c r="H361" s="14">
        <v>6.0</v>
      </c>
      <c r="I361" s="14">
        <v>796.0</v>
      </c>
      <c r="J361" s="14">
        <v>8.0</v>
      </c>
      <c r="K361" s="14">
        <v>804.0</v>
      </c>
      <c r="L361" s="14">
        <v>10.0</v>
      </c>
      <c r="M361" s="14">
        <v>814.0</v>
      </c>
      <c r="N361" s="14">
        <v>8.0</v>
      </c>
      <c r="O361" s="14">
        <v>822.0</v>
      </c>
      <c r="P361" s="14">
        <v>8.0</v>
      </c>
      <c r="Q361" s="14">
        <v>830.0</v>
      </c>
      <c r="R361" s="14">
        <v>8.0</v>
      </c>
      <c r="S361" s="14">
        <v>836.0</v>
      </c>
      <c r="T361" s="14">
        <v>6.0</v>
      </c>
      <c r="U361" s="14">
        <v>842.0</v>
      </c>
      <c r="V361" s="14">
        <v>6.0</v>
      </c>
      <c r="W361" s="14">
        <v>847.0</v>
      </c>
      <c r="X361" s="14">
        <v>5.0</v>
      </c>
      <c r="Y361" s="14">
        <v>852.0</v>
      </c>
      <c r="Z361" s="14">
        <v>5.0</v>
      </c>
      <c r="AA361" s="14">
        <v>859.0</v>
      </c>
      <c r="AB361" s="14">
        <v>7.0</v>
      </c>
      <c r="AC361" s="14">
        <v>7.0</v>
      </c>
      <c r="AD361" s="14">
        <v>0.0</v>
      </c>
      <c r="AE361" s="14">
        <v>0.0</v>
      </c>
      <c r="AG361" s="14">
        <v>3.0</v>
      </c>
      <c r="AH361" s="14">
        <v>0.0</v>
      </c>
      <c r="AI361" s="14">
        <v>10.0</v>
      </c>
    </row>
    <row r="362" ht="15.75" customHeight="1">
      <c r="A362" s="14">
        <v>364.0</v>
      </c>
      <c r="B362" s="14" t="s">
        <v>1031</v>
      </c>
      <c r="C362" s="14" t="s">
        <v>174</v>
      </c>
      <c r="D362" s="14">
        <v>16.0</v>
      </c>
      <c r="E362" s="14">
        <v>398.0</v>
      </c>
      <c r="F362" s="14">
        <v>2.0</v>
      </c>
      <c r="G362" s="14">
        <v>400.0</v>
      </c>
      <c r="H362" s="14">
        <v>4.0</v>
      </c>
      <c r="I362" s="14">
        <v>404.0</v>
      </c>
      <c r="J362" s="14">
        <v>2.0</v>
      </c>
      <c r="K362" s="14">
        <v>406.0</v>
      </c>
      <c r="L362" s="14">
        <v>4.0</v>
      </c>
      <c r="M362" s="14">
        <v>410.0</v>
      </c>
      <c r="N362" s="14">
        <v>5.0</v>
      </c>
      <c r="O362" s="14">
        <v>415.0</v>
      </c>
      <c r="P362" s="14">
        <v>4.0</v>
      </c>
      <c r="Q362" s="14">
        <v>419.0</v>
      </c>
      <c r="R362" s="14">
        <v>4.0</v>
      </c>
      <c r="S362" s="14">
        <v>422.0</v>
      </c>
      <c r="T362" s="14">
        <v>3.0</v>
      </c>
      <c r="U362" s="14">
        <v>423.0</v>
      </c>
      <c r="V362" s="14">
        <v>1.0</v>
      </c>
      <c r="W362" s="14">
        <v>423.0</v>
      </c>
      <c r="X362" s="14">
        <v>0.0</v>
      </c>
      <c r="Y362" s="14">
        <v>423.0</v>
      </c>
      <c r="Z362" s="14">
        <v>0.0</v>
      </c>
      <c r="AA362" s="14">
        <v>423.0</v>
      </c>
      <c r="AB362" s="14">
        <v>0.0</v>
      </c>
      <c r="AC362" s="14">
        <v>5.0</v>
      </c>
      <c r="AD362" s="14">
        <v>0.0</v>
      </c>
      <c r="AE362" s="14">
        <v>0.0</v>
      </c>
      <c r="AG362" s="14">
        <v>3.0</v>
      </c>
      <c r="AH362" s="14">
        <v>0.0</v>
      </c>
      <c r="AI362" s="14">
        <v>8.0</v>
      </c>
    </row>
    <row r="363" ht="15.75" customHeight="1">
      <c r="A363" s="14">
        <v>365.0</v>
      </c>
      <c r="B363" s="14" t="s">
        <v>1033</v>
      </c>
      <c r="C363" s="14" t="s">
        <v>78</v>
      </c>
      <c r="D363" s="14">
        <v>1.0</v>
      </c>
      <c r="E363" s="14">
        <v>22.0</v>
      </c>
      <c r="F363" s="14">
        <v>0.0</v>
      </c>
      <c r="G363" s="14">
        <v>22.0</v>
      </c>
      <c r="H363" s="14">
        <v>0.0</v>
      </c>
      <c r="I363" s="14">
        <v>22.0</v>
      </c>
      <c r="J363" s="14">
        <v>0.0</v>
      </c>
      <c r="K363" s="14">
        <v>22.0</v>
      </c>
      <c r="L363" s="14">
        <v>0.0</v>
      </c>
      <c r="M363" s="14">
        <v>22.0</v>
      </c>
      <c r="N363" s="14">
        <v>0.0</v>
      </c>
      <c r="O363" s="14">
        <v>22.0</v>
      </c>
      <c r="P363" s="14">
        <v>0.0</v>
      </c>
      <c r="Q363" s="14">
        <v>22.0</v>
      </c>
      <c r="R363" s="14">
        <v>0.0</v>
      </c>
      <c r="S363" s="14">
        <v>22.0</v>
      </c>
      <c r="T363" s="14">
        <v>0.0</v>
      </c>
      <c r="U363" s="14">
        <v>22.0</v>
      </c>
      <c r="V363" s="14">
        <v>0.0</v>
      </c>
      <c r="W363" s="14">
        <v>22.0</v>
      </c>
      <c r="X363" s="14">
        <v>0.0</v>
      </c>
      <c r="Y363" s="14">
        <v>23.0</v>
      </c>
      <c r="Z363" s="14">
        <v>1.0</v>
      </c>
      <c r="AA363" s="14">
        <v>23.0</v>
      </c>
      <c r="AB363" s="14">
        <v>0.0</v>
      </c>
      <c r="AC363" s="14">
        <v>5.0</v>
      </c>
      <c r="AD363" s="14">
        <v>0.0</v>
      </c>
      <c r="AE363" s="14">
        <v>0.0</v>
      </c>
      <c r="AG363" s="14">
        <v>3.0</v>
      </c>
      <c r="AH363" s="14">
        <v>0.0</v>
      </c>
      <c r="AI363" s="14">
        <v>8.0</v>
      </c>
    </row>
    <row r="364" ht="15.75" customHeight="1">
      <c r="A364" s="14">
        <v>366.0</v>
      </c>
      <c r="B364" s="14" t="s">
        <v>1036</v>
      </c>
      <c r="C364" s="14" t="s">
        <v>78</v>
      </c>
      <c r="D364" s="14">
        <v>2.0</v>
      </c>
      <c r="E364" s="14">
        <v>2.0</v>
      </c>
      <c r="F364" s="14">
        <v>0.0</v>
      </c>
      <c r="G364" s="14">
        <v>2.0</v>
      </c>
      <c r="H364" s="14">
        <v>0.0</v>
      </c>
      <c r="I364" s="14">
        <v>2.0</v>
      </c>
      <c r="J364" s="14">
        <v>0.0</v>
      </c>
      <c r="K364" s="14">
        <v>2.0</v>
      </c>
      <c r="L364" s="14">
        <v>0.0</v>
      </c>
      <c r="M364" s="14">
        <v>2.0</v>
      </c>
      <c r="N364" s="14">
        <v>1.0</v>
      </c>
      <c r="O364" s="14">
        <v>3.0</v>
      </c>
      <c r="P364" s="14">
        <v>0.0</v>
      </c>
      <c r="Q364" s="14">
        <v>3.0</v>
      </c>
      <c r="R364" s="14">
        <v>0.0</v>
      </c>
      <c r="S364" s="14">
        <v>3.0</v>
      </c>
      <c r="T364" s="14">
        <v>0.0</v>
      </c>
      <c r="U364" s="14">
        <v>3.0</v>
      </c>
      <c r="V364" s="14">
        <v>0.0</v>
      </c>
      <c r="W364" s="14">
        <v>3.0</v>
      </c>
      <c r="X364" s="14">
        <v>0.0</v>
      </c>
      <c r="Y364" s="14">
        <v>4.0</v>
      </c>
      <c r="Z364" s="14">
        <v>1.0</v>
      </c>
      <c r="AA364" s="14">
        <v>4.0</v>
      </c>
      <c r="AB364" s="14">
        <v>0.0</v>
      </c>
      <c r="AC364" s="14">
        <v>5.0</v>
      </c>
      <c r="AD364" s="14">
        <v>0.0</v>
      </c>
      <c r="AE364" s="14">
        <v>0.0</v>
      </c>
      <c r="AG364" s="14">
        <v>3.0</v>
      </c>
      <c r="AH364" s="14">
        <v>20.0</v>
      </c>
      <c r="AI364" s="14">
        <v>28.0</v>
      </c>
    </row>
    <row r="365" ht="15.75" customHeight="1">
      <c r="A365" s="14">
        <v>367.0</v>
      </c>
      <c r="B365" s="14" t="s">
        <v>1038</v>
      </c>
      <c r="C365" s="14" t="s">
        <v>78</v>
      </c>
      <c r="D365" s="14">
        <v>3.0</v>
      </c>
      <c r="E365" s="14">
        <v>661.0</v>
      </c>
      <c r="F365" s="14">
        <v>3.0</v>
      </c>
      <c r="G365" s="14">
        <v>664.0</v>
      </c>
      <c r="H365" s="14">
        <v>4.0</v>
      </c>
      <c r="I365" s="14">
        <v>668.0</v>
      </c>
      <c r="J365" s="14">
        <v>4.0</v>
      </c>
      <c r="K365" s="14">
        <v>672.0</v>
      </c>
      <c r="L365" s="14">
        <v>3.0</v>
      </c>
      <c r="M365" s="14">
        <v>675.0</v>
      </c>
      <c r="N365" s="14">
        <v>3.0</v>
      </c>
      <c r="O365" s="14">
        <v>678.0</v>
      </c>
      <c r="P365" s="14">
        <v>3.0</v>
      </c>
      <c r="Q365" s="14">
        <v>681.0</v>
      </c>
      <c r="R365" s="14">
        <v>3.0</v>
      </c>
      <c r="S365" s="14">
        <v>683.0</v>
      </c>
      <c r="T365" s="14">
        <v>2.0</v>
      </c>
      <c r="U365" s="14">
        <v>686.0</v>
      </c>
      <c r="V365" s="14">
        <v>3.0</v>
      </c>
      <c r="W365" s="14">
        <v>687.0</v>
      </c>
      <c r="X365" s="14">
        <v>1.0</v>
      </c>
      <c r="Y365" s="14">
        <v>694.0</v>
      </c>
      <c r="Z365" s="14">
        <v>7.0</v>
      </c>
      <c r="AA365" s="14">
        <v>696.0</v>
      </c>
      <c r="AB365" s="14">
        <v>2.0</v>
      </c>
      <c r="AC365" s="14">
        <v>5.0</v>
      </c>
      <c r="AD365" s="14">
        <v>0.0</v>
      </c>
      <c r="AE365" s="14">
        <v>0.0</v>
      </c>
      <c r="AG365" s="14">
        <v>3.0</v>
      </c>
      <c r="AH365" s="14">
        <v>0.0</v>
      </c>
      <c r="AI365" s="14">
        <v>8.0</v>
      </c>
    </row>
    <row r="366" ht="15.75" customHeight="1">
      <c r="A366" s="14">
        <v>368.0</v>
      </c>
      <c r="B366" s="14" t="s">
        <v>1039</v>
      </c>
      <c r="C366" s="14" t="s">
        <v>78</v>
      </c>
      <c r="D366" s="14">
        <v>4.0</v>
      </c>
      <c r="E366" s="14">
        <v>1709.0</v>
      </c>
      <c r="F366" s="14">
        <v>19.0</v>
      </c>
      <c r="G366" s="14">
        <v>1728.0</v>
      </c>
      <c r="H366" s="14">
        <v>18.0</v>
      </c>
      <c r="I366" s="14">
        <v>1746.0</v>
      </c>
      <c r="J366" s="14">
        <v>22.0</v>
      </c>
      <c r="K366" s="14">
        <v>1768.0</v>
      </c>
      <c r="L366" s="14">
        <v>22.0</v>
      </c>
      <c r="M366" s="14">
        <v>1790.0</v>
      </c>
      <c r="N366" s="14">
        <v>16.0</v>
      </c>
      <c r="O366" s="14">
        <v>1806.0</v>
      </c>
      <c r="P366" s="14">
        <v>8.0</v>
      </c>
      <c r="Q366" s="14">
        <v>1814.0</v>
      </c>
      <c r="R366" s="14">
        <v>8.0</v>
      </c>
      <c r="S366" s="14">
        <v>1822.0</v>
      </c>
      <c r="T366" s="14">
        <v>8.0</v>
      </c>
      <c r="U366" s="14">
        <v>1832.0</v>
      </c>
      <c r="V366" s="14">
        <v>10.0</v>
      </c>
      <c r="W366" s="14">
        <v>1844.0</v>
      </c>
      <c r="X366" s="14">
        <v>12.0</v>
      </c>
      <c r="Y366" s="14">
        <v>1863.0</v>
      </c>
      <c r="Z366" s="14">
        <v>19.0</v>
      </c>
      <c r="AA366" s="14">
        <v>1880.0</v>
      </c>
      <c r="AB366" s="14">
        <v>17.0</v>
      </c>
      <c r="AC366" s="14">
        <v>17.0</v>
      </c>
      <c r="AD366" s="14">
        <v>0.0</v>
      </c>
      <c r="AE366" s="14">
        <v>0.0</v>
      </c>
      <c r="AG366" s="14">
        <v>3.0</v>
      </c>
      <c r="AH366" s="14">
        <v>20.0</v>
      </c>
      <c r="AI366" s="14">
        <v>40.0</v>
      </c>
    </row>
    <row r="367" ht="15.75" customHeight="1">
      <c r="A367" s="14">
        <v>369.0</v>
      </c>
      <c r="B367" s="14" t="s">
        <v>1041</v>
      </c>
      <c r="C367" s="14" t="s">
        <v>78</v>
      </c>
      <c r="D367" s="14">
        <v>5.0</v>
      </c>
      <c r="E367" s="14">
        <v>927.0</v>
      </c>
      <c r="F367" s="14">
        <v>7.0</v>
      </c>
      <c r="G367" s="14">
        <v>934.0</v>
      </c>
      <c r="H367" s="14">
        <v>0.0</v>
      </c>
      <c r="I367" s="14">
        <v>934.0</v>
      </c>
      <c r="J367" s="14">
        <v>7.0</v>
      </c>
      <c r="K367" s="14">
        <v>941.0</v>
      </c>
      <c r="L367" s="14">
        <v>4.0</v>
      </c>
      <c r="M367" s="14">
        <v>945.0</v>
      </c>
      <c r="N367" s="14">
        <v>3.0</v>
      </c>
      <c r="O367" s="14">
        <v>948.0</v>
      </c>
      <c r="P367" s="14">
        <v>2.0</v>
      </c>
      <c r="Q367" s="14">
        <v>950.0</v>
      </c>
      <c r="R367" s="14">
        <v>2.0</v>
      </c>
      <c r="S367" s="14">
        <v>951.0</v>
      </c>
      <c r="T367" s="14">
        <v>5.0</v>
      </c>
      <c r="U367" s="14">
        <v>952.0</v>
      </c>
      <c r="V367" s="14">
        <v>1.0</v>
      </c>
      <c r="W367" s="14">
        <v>952.0</v>
      </c>
      <c r="X367" s="14">
        <v>0.0</v>
      </c>
      <c r="Y367" s="14">
        <v>953.0</v>
      </c>
      <c r="Z367" s="14">
        <v>1.0</v>
      </c>
      <c r="AA367" s="14">
        <v>956.0</v>
      </c>
      <c r="AB367" s="14">
        <v>3.0</v>
      </c>
      <c r="AC367" s="14">
        <v>5.0</v>
      </c>
      <c r="AD367" s="14">
        <v>0.0</v>
      </c>
      <c r="AE367" s="14">
        <v>0.0</v>
      </c>
      <c r="AG367" s="14">
        <v>3.0</v>
      </c>
      <c r="AH367" s="14">
        <v>20.0</v>
      </c>
      <c r="AI367" s="14">
        <v>28.0</v>
      </c>
    </row>
    <row r="368" ht="15.75" customHeight="1">
      <c r="A368" s="14">
        <v>370.0</v>
      </c>
      <c r="B368" s="14" t="s">
        <v>1043</v>
      </c>
      <c r="C368" s="14" t="s">
        <v>78</v>
      </c>
      <c r="D368" s="14">
        <v>6.0</v>
      </c>
      <c r="E368" s="14">
        <v>1406.0</v>
      </c>
      <c r="F368" s="14">
        <v>6.0</v>
      </c>
      <c r="G368" s="14">
        <v>1412.0</v>
      </c>
      <c r="H368" s="14">
        <v>4.0</v>
      </c>
      <c r="I368" s="14">
        <v>1416.0</v>
      </c>
      <c r="J368" s="14">
        <v>6.0</v>
      </c>
      <c r="K368" s="14">
        <v>1422.0</v>
      </c>
      <c r="L368" s="14">
        <v>6.0</v>
      </c>
      <c r="M368" s="14">
        <v>1428.0</v>
      </c>
      <c r="N368" s="14">
        <v>4.0</v>
      </c>
      <c r="O368" s="14">
        <v>1432.0</v>
      </c>
      <c r="P368" s="14">
        <v>3.0</v>
      </c>
      <c r="Q368" s="14">
        <v>1435.0</v>
      </c>
      <c r="R368" s="14">
        <v>3.0</v>
      </c>
      <c r="S368" s="14">
        <v>1436.0</v>
      </c>
      <c r="T368" s="14">
        <v>1.0</v>
      </c>
      <c r="U368" s="14">
        <v>1437.0</v>
      </c>
      <c r="V368" s="14">
        <v>1.0</v>
      </c>
      <c r="W368" s="14">
        <v>1438.0</v>
      </c>
      <c r="X368" s="14">
        <v>1.0</v>
      </c>
      <c r="Y368" s="14">
        <v>1440.0</v>
      </c>
      <c r="Z368" s="14">
        <v>2.0</v>
      </c>
      <c r="AA368" s="14">
        <v>1443.0</v>
      </c>
      <c r="AB368" s="14">
        <v>3.0</v>
      </c>
      <c r="AC368" s="14">
        <v>5.0</v>
      </c>
      <c r="AD368" s="14">
        <v>0.0</v>
      </c>
      <c r="AE368" s="14">
        <v>0.0</v>
      </c>
      <c r="AG368" s="14">
        <v>3.0</v>
      </c>
      <c r="AH368" s="14">
        <v>0.0</v>
      </c>
      <c r="AI368" s="14">
        <v>8.0</v>
      </c>
    </row>
    <row r="369" ht="15.75" customHeight="1">
      <c r="A369" s="14">
        <v>371.0</v>
      </c>
      <c r="B369" s="14" t="s">
        <v>1044</v>
      </c>
      <c r="C369" s="14" t="s">
        <v>78</v>
      </c>
      <c r="D369" s="14">
        <v>7.0</v>
      </c>
      <c r="E369" s="14">
        <v>251.0</v>
      </c>
      <c r="F369" s="14">
        <v>6.0</v>
      </c>
      <c r="G369" s="14">
        <v>257.0</v>
      </c>
      <c r="H369" s="14">
        <v>3.0</v>
      </c>
      <c r="I369" s="14">
        <v>260.0</v>
      </c>
      <c r="J369" s="14">
        <v>3.0</v>
      </c>
      <c r="K369" s="14">
        <v>263.0</v>
      </c>
      <c r="L369" s="14">
        <v>5.0</v>
      </c>
      <c r="M369" s="14">
        <v>268.0</v>
      </c>
      <c r="N369" s="14">
        <v>4.0</v>
      </c>
      <c r="O369" s="14">
        <v>272.0</v>
      </c>
      <c r="P369" s="14">
        <v>3.0</v>
      </c>
      <c r="Q369" s="14">
        <v>275.0</v>
      </c>
      <c r="R369" s="14">
        <v>3.0</v>
      </c>
      <c r="S369" s="14">
        <v>276.0</v>
      </c>
      <c r="T369" s="14">
        <v>1.0</v>
      </c>
      <c r="U369" s="14">
        <v>279.0</v>
      </c>
      <c r="V369" s="14">
        <v>3.0</v>
      </c>
      <c r="W369" s="14">
        <v>281.0</v>
      </c>
      <c r="X369" s="14">
        <v>2.0</v>
      </c>
      <c r="Y369" s="14">
        <v>284.0</v>
      </c>
      <c r="Z369" s="14">
        <v>3.0</v>
      </c>
      <c r="AA369" s="14">
        <v>288.0</v>
      </c>
      <c r="AB369" s="14">
        <v>4.0</v>
      </c>
      <c r="AC369" s="14">
        <v>5.0</v>
      </c>
      <c r="AD369" s="14">
        <v>0.0</v>
      </c>
      <c r="AE369" s="14">
        <v>0.0</v>
      </c>
      <c r="AG369" s="14">
        <v>3.0</v>
      </c>
      <c r="AH369" s="14">
        <v>0.0</v>
      </c>
      <c r="AI369" s="14">
        <v>8.0</v>
      </c>
    </row>
    <row r="370" ht="15.75" customHeight="1">
      <c r="A370" s="14">
        <v>372.0</v>
      </c>
      <c r="B370" s="14" t="s">
        <v>1047</v>
      </c>
      <c r="C370" s="14" t="s">
        <v>78</v>
      </c>
      <c r="D370" s="14">
        <v>9.0</v>
      </c>
      <c r="E370" s="14">
        <v>0.0</v>
      </c>
      <c r="F370" s="14">
        <v>0.0</v>
      </c>
      <c r="G370" s="14">
        <v>0.0</v>
      </c>
      <c r="H370" s="14">
        <v>0.0</v>
      </c>
      <c r="I370" s="14">
        <v>0.0</v>
      </c>
      <c r="J370" s="14">
        <v>0.0</v>
      </c>
      <c r="K370" s="14">
        <v>0.0</v>
      </c>
      <c r="L370" s="14">
        <v>5.0</v>
      </c>
      <c r="M370" s="14">
        <v>5.0</v>
      </c>
      <c r="N370" s="14">
        <v>-4.0</v>
      </c>
      <c r="O370" s="14">
        <v>1.0</v>
      </c>
      <c r="P370" s="14">
        <v>0.0</v>
      </c>
      <c r="Q370" s="14">
        <v>1.0</v>
      </c>
      <c r="R370" s="14">
        <v>0.0</v>
      </c>
      <c r="S370" s="14">
        <v>1.0</v>
      </c>
      <c r="T370" s="14">
        <v>0.0</v>
      </c>
      <c r="U370" s="14">
        <v>0.0</v>
      </c>
      <c r="V370" s="14">
        <v>0.0</v>
      </c>
      <c r="W370" s="14">
        <v>0.0</v>
      </c>
      <c r="X370" s="14">
        <v>0.0</v>
      </c>
      <c r="Y370" s="14">
        <v>0.0</v>
      </c>
      <c r="Z370" s="14">
        <v>0.0</v>
      </c>
      <c r="AA370" s="14">
        <v>0.0</v>
      </c>
      <c r="AB370" s="14">
        <v>0.0</v>
      </c>
      <c r="AC370" s="14">
        <v>5.0</v>
      </c>
      <c r="AD370" s="14">
        <v>0.0</v>
      </c>
      <c r="AE370" s="14">
        <v>0.0</v>
      </c>
      <c r="AG370" s="14">
        <v>3.0</v>
      </c>
      <c r="AH370" s="14">
        <v>20.0</v>
      </c>
      <c r="AI370" s="14">
        <v>28.0</v>
      </c>
    </row>
    <row r="371" ht="15.75" customHeight="1">
      <c r="A371" s="14">
        <v>373.0</v>
      </c>
      <c r="B371" s="14" t="s">
        <v>1049</v>
      </c>
      <c r="C371" s="14" t="s">
        <v>78</v>
      </c>
      <c r="D371" s="14">
        <v>13.0</v>
      </c>
      <c r="E371" s="14">
        <v>452.0</v>
      </c>
      <c r="F371" s="14">
        <v>14.0</v>
      </c>
      <c r="G371" s="14">
        <v>466.0</v>
      </c>
      <c r="H371" s="14">
        <v>15.0</v>
      </c>
      <c r="I371" s="14">
        <v>481.0</v>
      </c>
      <c r="J371" s="14">
        <v>11.0</v>
      </c>
      <c r="K371" s="14">
        <v>492.0</v>
      </c>
      <c r="L371" s="14">
        <v>11.0</v>
      </c>
      <c r="M371" s="14">
        <v>503.0</v>
      </c>
      <c r="N371" s="14">
        <v>6.0</v>
      </c>
      <c r="O371" s="14">
        <v>509.0</v>
      </c>
      <c r="P371" s="14">
        <v>3.0</v>
      </c>
      <c r="Q371" s="14">
        <v>512.0</v>
      </c>
      <c r="R371" s="14">
        <v>3.0</v>
      </c>
      <c r="S371" s="14">
        <v>515.0</v>
      </c>
      <c r="T371" s="14">
        <v>3.0</v>
      </c>
      <c r="U371" s="14">
        <v>517.0</v>
      </c>
      <c r="V371" s="14">
        <v>2.0</v>
      </c>
      <c r="W371" s="14">
        <v>523.0</v>
      </c>
      <c r="X371" s="14">
        <v>6.0</v>
      </c>
      <c r="Y371" s="14">
        <v>532.0</v>
      </c>
      <c r="Z371" s="14">
        <v>9.0</v>
      </c>
      <c r="AA371" s="14">
        <v>543.0</v>
      </c>
      <c r="AB371" s="14">
        <v>11.0</v>
      </c>
      <c r="AC371" s="14">
        <v>11.0</v>
      </c>
      <c r="AD371" s="14">
        <v>0.0</v>
      </c>
      <c r="AE371" s="14">
        <v>0.0</v>
      </c>
      <c r="AG371" s="14">
        <v>3.0</v>
      </c>
      <c r="AH371" s="14">
        <v>0.0</v>
      </c>
      <c r="AI371" s="14">
        <v>14.0</v>
      </c>
    </row>
    <row r="372" ht="15.75" customHeight="1">
      <c r="A372" s="14">
        <v>374.0</v>
      </c>
      <c r="B372" s="14" t="s">
        <v>1050</v>
      </c>
      <c r="C372" s="14" t="s">
        <v>78</v>
      </c>
      <c r="D372" s="14">
        <v>14.0</v>
      </c>
      <c r="E372" s="14">
        <v>76.0</v>
      </c>
      <c r="F372" s="14">
        <v>0.0</v>
      </c>
      <c r="G372" s="14">
        <v>76.0</v>
      </c>
      <c r="H372" s="14">
        <v>0.0</v>
      </c>
      <c r="I372" s="14">
        <v>76.0</v>
      </c>
      <c r="J372" s="14">
        <v>0.0</v>
      </c>
      <c r="K372" s="14">
        <v>76.0</v>
      </c>
      <c r="L372" s="14">
        <v>0.0</v>
      </c>
      <c r="M372" s="14">
        <v>76.0</v>
      </c>
      <c r="N372" s="14">
        <v>0.0</v>
      </c>
      <c r="O372" s="14">
        <v>70.0</v>
      </c>
      <c r="P372" s="14">
        <v>-1.0</v>
      </c>
      <c r="Q372" s="14">
        <v>69.0</v>
      </c>
      <c r="R372" s="14">
        <v>-1.0</v>
      </c>
      <c r="S372" s="14">
        <v>69.0</v>
      </c>
      <c r="T372" s="14">
        <v>0.0</v>
      </c>
      <c r="U372" s="14">
        <v>69.0</v>
      </c>
      <c r="V372" s="14">
        <v>0.0</v>
      </c>
      <c r="W372" s="14">
        <v>69.0</v>
      </c>
      <c r="X372" s="14">
        <v>0.0</v>
      </c>
      <c r="Y372" s="14">
        <v>69.0</v>
      </c>
      <c r="Z372" s="14">
        <v>0.0</v>
      </c>
      <c r="AA372" s="14">
        <v>69.0</v>
      </c>
      <c r="AB372" s="14">
        <v>0.0</v>
      </c>
      <c r="AC372" s="14">
        <v>5.0</v>
      </c>
      <c r="AD372" s="14">
        <v>0.0</v>
      </c>
      <c r="AE372" s="14">
        <v>0.0</v>
      </c>
      <c r="AG372" s="14">
        <v>3.0</v>
      </c>
      <c r="AH372" s="14">
        <v>0.0</v>
      </c>
      <c r="AI372" s="14">
        <v>8.0</v>
      </c>
    </row>
    <row r="373" ht="15.75" customHeight="1">
      <c r="A373" s="14">
        <v>375.0</v>
      </c>
      <c r="B373" s="14" t="s">
        <v>1053</v>
      </c>
      <c r="C373" s="14" t="s">
        <v>78</v>
      </c>
      <c r="D373" s="14">
        <v>16.0</v>
      </c>
      <c r="E373" s="14">
        <v>3306.0</v>
      </c>
      <c r="F373" s="14">
        <v>12.0</v>
      </c>
      <c r="G373" s="14">
        <v>3318.0</v>
      </c>
      <c r="H373" s="14">
        <v>12.0</v>
      </c>
      <c r="I373" s="14">
        <v>3330.0</v>
      </c>
      <c r="J373" s="14">
        <v>12.0</v>
      </c>
      <c r="K373" s="14">
        <v>3342.0</v>
      </c>
      <c r="L373" s="14">
        <v>11.0</v>
      </c>
      <c r="M373" s="14">
        <v>3353.0</v>
      </c>
      <c r="N373" s="14">
        <v>9.0</v>
      </c>
      <c r="O373" s="14">
        <v>3362.0</v>
      </c>
      <c r="P373" s="14">
        <v>7.0</v>
      </c>
      <c r="Q373" s="14">
        <v>3369.0</v>
      </c>
      <c r="R373" s="14">
        <v>7.0</v>
      </c>
      <c r="S373" s="14">
        <v>3380.0</v>
      </c>
      <c r="T373" s="14">
        <v>11.0</v>
      </c>
      <c r="U373" s="14">
        <v>3393.0</v>
      </c>
      <c r="V373" s="14">
        <v>13.0</v>
      </c>
      <c r="W373" s="14">
        <v>3406.0</v>
      </c>
      <c r="X373" s="14">
        <v>13.0</v>
      </c>
      <c r="Y373" s="14">
        <v>3419.0</v>
      </c>
      <c r="Z373" s="14">
        <v>13.0</v>
      </c>
      <c r="AA373" s="14">
        <v>3437.0</v>
      </c>
      <c r="AB373" s="14">
        <v>18.0</v>
      </c>
      <c r="AC373" s="14">
        <v>18.0</v>
      </c>
      <c r="AD373" s="14">
        <v>0.0</v>
      </c>
      <c r="AE373" s="14">
        <v>0.0</v>
      </c>
      <c r="AG373" s="14">
        <v>3.0</v>
      </c>
      <c r="AH373" s="14">
        <v>0.0</v>
      </c>
      <c r="AI373" s="14">
        <v>21.0</v>
      </c>
    </row>
    <row r="374" ht="15.75" customHeight="1">
      <c r="A374" s="14">
        <v>376.0</v>
      </c>
      <c r="B374" s="14" t="s">
        <v>1054</v>
      </c>
      <c r="C374" s="14" t="s">
        <v>78</v>
      </c>
      <c r="D374" s="14">
        <v>17.0</v>
      </c>
      <c r="E374" s="14">
        <v>1948.0</v>
      </c>
      <c r="F374" s="14">
        <v>16.0</v>
      </c>
      <c r="G374" s="14">
        <v>1964.0</v>
      </c>
      <c r="H374" s="14">
        <v>19.0</v>
      </c>
      <c r="I374" s="14">
        <v>1983.0</v>
      </c>
      <c r="J374" s="14">
        <v>14.0</v>
      </c>
      <c r="K374" s="14">
        <v>1997.0</v>
      </c>
      <c r="L374" s="14">
        <v>18.0</v>
      </c>
      <c r="M374" s="14">
        <v>2015.0</v>
      </c>
      <c r="N374" s="14">
        <v>13.0</v>
      </c>
      <c r="O374" s="14">
        <v>2028.0</v>
      </c>
      <c r="P374" s="14">
        <v>12.0</v>
      </c>
      <c r="Q374" s="14">
        <v>2040.0</v>
      </c>
      <c r="R374" s="14">
        <v>12.0</v>
      </c>
      <c r="S374" s="14">
        <v>2053.0</v>
      </c>
      <c r="T374" s="14">
        <v>13.0</v>
      </c>
      <c r="U374" s="14">
        <v>2064.0</v>
      </c>
      <c r="V374" s="14">
        <v>11.0</v>
      </c>
      <c r="W374" s="14">
        <v>2072.0</v>
      </c>
      <c r="X374" s="14">
        <v>8.0</v>
      </c>
      <c r="Y374" s="14">
        <v>2082.0</v>
      </c>
      <c r="Z374" s="14">
        <v>10.0</v>
      </c>
      <c r="AA374" s="14">
        <v>2091.0</v>
      </c>
      <c r="AB374" s="14">
        <v>9.0</v>
      </c>
      <c r="AC374" s="14">
        <v>9.0</v>
      </c>
      <c r="AD374" s="14">
        <v>13.0</v>
      </c>
      <c r="AE374" s="14">
        <v>0.0</v>
      </c>
      <c r="AG374" s="14">
        <v>3.0</v>
      </c>
      <c r="AH374" s="14">
        <v>20.0</v>
      </c>
      <c r="AI374" s="14">
        <v>45.0</v>
      </c>
    </row>
    <row r="375" ht="15.75" customHeight="1">
      <c r="A375" s="14">
        <v>377.0</v>
      </c>
      <c r="B375" s="14" t="s">
        <v>1056</v>
      </c>
      <c r="C375" s="14" t="s">
        <v>78</v>
      </c>
      <c r="D375" s="14">
        <v>19.0</v>
      </c>
      <c r="E375" s="14">
        <v>1957.0</v>
      </c>
      <c r="F375" s="14">
        <v>15.0</v>
      </c>
      <c r="G375" s="14">
        <v>1972.0</v>
      </c>
      <c r="H375" s="14">
        <v>17.0</v>
      </c>
      <c r="I375" s="14">
        <v>1989.0</v>
      </c>
      <c r="J375" s="14">
        <v>15.0</v>
      </c>
      <c r="K375" s="14">
        <v>2004.0</v>
      </c>
      <c r="L375" s="14">
        <v>17.0</v>
      </c>
      <c r="M375" s="14">
        <v>2021.0</v>
      </c>
      <c r="N375" s="14">
        <v>15.0</v>
      </c>
      <c r="O375" s="14">
        <v>2036.0</v>
      </c>
      <c r="P375" s="14">
        <v>10.0</v>
      </c>
      <c r="Q375" s="14">
        <v>2046.0</v>
      </c>
      <c r="R375" s="14">
        <v>10.0</v>
      </c>
      <c r="S375" s="14">
        <v>2055.0</v>
      </c>
      <c r="T375" s="14">
        <v>9.0</v>
      </c>
      <c r="U375" s="14">
        <v>2066.0</v>
      </c>
      <c r="V375" s="14">
        <v>11.0</v>
      </c>
      <c r="W375" s="14">
        <v>2075.0</v>
      </c>
      <c r="X375" s="14">
        <v>9.0</v>
      </c>
      <c r="Y375" s="14">
        <v>2087.0</v>
      </c>
      <c r="Z375" s="14">
        <v>12.0</v>
      </c>
      <c r="AA375" s="14">
        <v>2099.0</v>
      </c>
      <c r="AB375" s="14">
        <v>12.0</v>
      </c>
      <c r="AC375" s="14">
        <v>12.0</v>
      </c>
      <c r="AD375" s="14">
        <v>0.0</v>
      </c>
      <c r="AE375" s="14">
        <v>0.0</v>
      </c>
      <c r="AG375" s="14">
        <v>3.0</v>
      </c>
      <c r="AH375" s="14">
        <v>0.0</v>
      </c>
      <c r="AI375" s="14">
        <v>15.0</v>
      </c>
    </row>
    <row r="376" ht="15.75" customHeight="1">
      <c r="A376" s="14">
        <v>378.0</v>
      </c>
      <c r="B376" s="14" t="s">
        <v>1059</v>
      </c>
      <c r="C376" s="14" t="s">
        <v>78</v>
      </c>
      <c r="D376" s="14">
        <v>20.0</v>
      </c>
      <c r="E376" s="14">
        <v>667.0</v>
      </c>
      <c r="F376" s="14">
        <v>20.0</v>
      </c>
      <c r="G376" s="14">
        <v>687.0</v>
      </c>
      <c r="H376" s="14">
        <v>22.0</v>
      </c>
      <c r="I376" s="14">
        <v>709.0</v>
      </c>
      <c r="J376" s="14">
        <v>14.0</v>
      </c>
      <c r="K376" s="14">
        <v>723.0</v>
      </c>
      <c r="L376" s="14">
        <v>18.0</v>
      </c>
      <c r="M376" s="14">
        <v>741.0</v>
      </c>
      <c r="N376" s="14">
        <v>25.0</v>
      </c>
      <c r="O376" s="14">
        <v>766.0</v>
      </c>
      <c r="P376" s="14">
        <v>17.0</v>
      </c>
      <c r="Q376" s="14">
        <v>783.0</v>
      </c>
      <c r="R376" s="14">
        <v>17.0</v>
      </c>
      <c r="S376" s="14">
        <v>805.0</v>
      </c>
      <c r="T376" s="14">
        <v>22.0</v>
      </c>
      <c r="U376" s="14">
        <v>824.0</v>
      </c>
      <c r="V376" s="14">
        <v>19.0</v>
      </c>
      <c r="W376" s="14">
        <v>837.0</v>
      </c>
      <c r="X376" s="14">
        <v>13.0</v>
      </c>
      <c r="Y376" s="14">
        <v>858.0</v>
      </c>
      <c r="Z376" s="14">
        <v>21.0</v>
      </c>
      <c r="AA376" s="14">
        <v>874.0</v>
      </c>
      <c r="AB376" s="14">
        <v>16.0</v>
      </c>
      <c r="AC376" s="14">
        <v>16.0</v>
      </c>
      <c r="AD376" s="14">
        <v>0.0</v>
      </c>
      <c r="AE376" s="14">
        <v>0.0</v>
      </c>
      <c r="AG376" s="14">
        <v>3.0</v>
      </c>
      <c r="AH376" s="14">
        <v>20.0</v>
      </c>
      <c r="AI376" s="14">
        <v>39.0</v>
      </c>
    </row>
    <row r="377" ht="15.75" customHeight="1">
      <c r="A377" s="14">
        <v>379.0</v>
      </c>
      <c r="B377" s="14" t="s">
        <v>1062</v>
      </c>
      <c r="C377" s="14" t="s">
        <v>182</v>
      </c>
      <c r="D377" s="14">
        <v>1.0</v>
      </c>
      <c r="E377" s="14">
        <v>1689.0</v>
      </c>
      <c r="F377" s="14">
        <v>10.0</v>
      </c>
      <c r="G377" s="14">
        <v>1699.0</v>
      </c>
      <c r="H377" s="14">
        <v>10.0</v>
      </c>
      <c r="I377" s="14">
        <v>1709.0</v>
      </c>
      <c r="J377" s="14">
        <v>8.0</v>
      </c>
      <c r="K377" s="14">
        <v>1717.0</v>
      </c>
      <c r="L377" s="14">
        <v>9.0</v>
      </c>
      <c r="M377" s="14">
        <v>1726.0</v>
      </c>
      <c r="N377" s="14">
        <v>2.0</v>
      </c>
      <c r="O377" s="14">
        <v>1728.0</v>
      </c>
      <c r="P377" s="14">
        <v>0.0</v>
      </c>
      <c r="Q377" s="14">
        <v>0.0</v>
      </c>
      <c r="R377" s="14">
        <v>-1728.0</v>
      </c>
      <c r="S377" s="14">
        <v>3.0</v>
      </c>
      <c r="T377" s="14">
        <v>3.0</v>
      </c>
      <c r="U377" s="14">
        <v>12.0</v>
      </c>
      <c r="V377" s="14">
        <v>9.0</v>
      </c>
      <c r="W377" s="14">
        <v>19.0</v>
      </c>
      <c r="X377" s="14">
        <v>7.0</v>
      </c>
      <c r="Y377" s="14">
        <v>28.0</v>
      </c>
      <c r="Z377" s="14">
        <v>9.0</v>
      </c>
      <c r="AA377" s="14">
        <v>38.0</v>
      </c>
      <c r="AB377" s="14">
        <v>10.0</v>
      </c>
      <c r="AC377" s="14">
        <v>10.0</v>
      </c>
      <c r="AD377" s="14">
        <v>0.0</v>
      </c>
      <c r="AE377" s="14">
        <v>0.0</v>
      </c>
      <c r="AG377" s="14">
        <v>3.0</v>
      </c>
      <c r="AH377" s="14">
        <v>0.0</v>
      </c>
      <c r="AI377" s="14">
        <v>13.0</v>
      </c>
    </row>
    <row r="378" ht="15.75" customHeight="1">
      <c r="A378" s="14">
        <v>380.0</v>
      </c>
      <c r="B378" s="14" t="s">
        <v>1065</v>
      </c>
      <c r="C378" s="14" t="s">
        <v>182</v>
      </c>
      <c r="D378" s="14">
        <v>2.0</v>
      </c>
      <c r="E378" s="14">
        <v>1209.0</v>
      </c>
      <c r="F378" s="14">
        <v>28.0</v>
      </c>
      <c r="G378" s="14">
        <v>1237.0</v>
      </c>
      <c r="H378" s="14">
        <v>33.0</v>
      </c>
      <c r="I378" s="14">
        <v>1270.0</v>
      </c>
      <c r="J378" s="14">
        <v>22.0</v>
      </c>
      <c r="K378" s="14">
        <v>1292.0</v>
      </c>
      <c r="L378" s="14">
        <v>25.0</v>
      </c>
      <c r="M378" s="14">
        <v>1317.0</v>
      </c>
      <c r="N378" s="14">
        <v>30.0</v>
      </c>
      <c r="O378" s="14">
        <v>1347.0</v>
      </c>
      <c r="P378" s="14">
        <v>17.0</v>
      </c>
      <c r="Q378" s="14">
        <v>1364.0</v>
      </c>
      <c r="R378" s="14">
        <v>17.0</v>
      </c>
      <c r="S378" s="14">
        <v>1378.0</v>
      </c>
      <c r="T378" s="14">
        <v>14.0</v>
      </c>
      <c r="U378" s="14">
        <v>1393.0</v>
      </c>
      <c r="V378" s="14">
        <v>15.0</v>
      </c>
      <c r="W378" s="14">
        <v>1406.0</v>
      </c>
      <c r="X378" s="14">
        <v>13.0</v>
      </c>
      <c r="Y378" s="14">
        <v>1419.0</v>
      </c>
      <c r="Z378" s="14">
        <v>13.0</v>
      </c>
      <c r="AA378" s="14">
        <v>1438.0</v>
      </c>
      <c r="AB378" s="14">
        <v>19.0</v>
      </c>
      <c r="AC378" s="14">
        <v>19.0</v>
      </c>
      <c r="AD378" s="14">
        <v>0.0</v>
      </c>
      <c r="AE378" s="14">
        <v>0.0</v>
      </c>
      <c r="AG378" s="14">
        <v>3.0</v>
      </c>
      <c r="AH378" s="14">
        <v>0.0</v>
      </c>
      <c r="AI378" s="14">
        <v>22.0</v>
      </c>
    </row>
    <row r="379" ht="15.75" customHeight="1">
      <c r="A379" s="14">
        <v>381.0</v>
      </c>
      <c r="B379" s="14" t="s">
        <v>1067</v>
      </c>
      <c r="C379" s="14" t="s">
        <v>182</v>
      </c>
      <c r="D379" s="14">
        <v>3.0</v>
      </c>
      <c r="E379" s="14">
        <v>414.0</v>
      </c>
      <c r="F379" s="14">
        <v>16.0</v>
      </c>
      <c r="G379" s="14">
        <v>430.0</v>
      </c>
      <c r="H379" s="14">
        <v>15.0</v>
      </c>
      <c r="I379" s="14">
        <v>445.0</v>
      </c>
      <c r="J379" s="14">
        <v>12.0</v>
      </c>
      <c r="K379" s="14">
        <v>457.0</v>
      </c>
      <c r="L379" s="14">
        <v>15.0</v>
      </c>
      <c r="M379" s="14">
        <v>472.0</v>
      </c>
      <c r="N379" s="14">
        <v>12.0</v>
      </c>
      <c r="O379" s="14">
        <v>484.0</v>
      </c>
      <c r="P379" s="14">
        <v>12.0</v>
      </c>
      <c r="Q379" s="14">
        <v>496.0</v>
      </c>
      <c r="R379" s="14">
        <v>12.0</v>
      </c>
      <c r="S379" s="14">
        <v>507.0</v>
      </c>
      <c r="T379" s="14">
        <v>11.0</v>
      </c>
      <c r="U379" s="14">
        <v>518.0</v>
      </c>
      <c r="V379" s="14">
        <v>11.0</v>
      </c>
      <c r="W379" s="14">
        <v>529.0</v>
      </c>
      <c r="X379" s="14">
        <v>11.0</v>
      </c>
      <c r="Y379" s="14">
        <v>541.0</v>
      </c>
      <c r="Z379" s="14">
        <v>12.0</v>
      </c>
      <c r="AA379" s="14">
        <v>555.0</v>
      </c>
      <c r="AB379" s="14">
        <v>14.0</v>
      </c>
      <c r="AC379" s="14">
        <v>14.0</v>
      </c>
      <c r="AD379" s="14">
        <v>0.0</v>
      </c>
      <c r="AE379" s="14">
        <v>0.0</v>
      </c>
      <c r="AG379" s="14">
        <v>3.0</v>
      </c>
      <c r="AH379" s="14">
        <v>0.0</v>
      </c>
      <c r="AI379" s="14">
        <v>17.0</v>
      </c>
    </row>
    <row r="380" ht="15.75" customHeight="1">
      <c r="A380" s="14">
        <v>382.0</v>
      </c>
      <c r="B380" s="14" t="s">
        <v>1070</v>
      </c>
      <c r="C380" s="14" t="s">
        <v>182</v>
      </c>
      <c r="D380" s="14">
        <v>4.0</v>
      </c>
      <c r="E380" s="14">
        <v>2865.0</v>
      </c>
      <c r="F380" s="14">
        <v>28.0</v>
      </c>
      <c r="G380" s="14">
        <v>2893.0</v>
      </c>
      <c r="H380" s="14">
        <v>30.0</v>
      </c>
      <c r="I380" s="14">
        <v>2923.0</v>
      </c>
      <c r="J380" s="14">
        <v>24.0</v>
      </c>
      <c r="K380" s="14">
        <v>2947.0</v>
      </c>
      <c r="L380" s="14">
        <v>21.0</v>
      </c>
      <c r="M380" s="14">
        <v>2968.0</v>
      </c>
      <c r="N380" s="14">
        <v>23.0</v>
      </c>
      <c r="O380" s="14">
        <v>2991.0</v>
      </c>
      <c r="P380" s="14">
        <v>19.0</v>
      </c>
      <c r="Q380" s="14">
        <v>3010.0</v>
      </c>
      <c r="R380" s="14">
        <v>19.0</v>
      </c>
      <c r="S380" s="14">
        <v>3023.0</v>
      </c>
      <c r="T380" s="14">
        <v>13.0</v>
      </c>
      <c r="U380" s="14">
        <v>3038.0</v>
      </c>
      <c r="V380" s="14">
        <v>15.0</v>
      </c>
      <c r="W380" s="14">
        <v>3052.0</v>
      </c>
      <c r="X380" s="14">
        <v>14.0</v>
      </c>
      <c r="Y380" s="14">
        <v>3065.0</v>
      </c>
      <c r="Z380" s="14">
        <v>13.0</v>
      </c>
      <c r="AA380" s="14">
        <v>3081.0</v>
      </c>
      <c r="AB380" s="14">
        <v>16.0</v>
      </c>
      <c r="AC380" s="14">
        <v>16.0</v>
      </c>
      <c r="AD380" s="14">
        <v>0.0</v>
      </c>
      <c r="AE380" s="14">
        <v>0.0</v>
      </c>
      <c r="AG380" s="14">
        <v>3.0</v>
      </c>
      <c r="AH380" s="14">
        <v>0.0</v>
      </c>
      <c r="AI380" s="14">
        <v>19.0</v>
      </c>
    </row>
    <row r="381" ht="15.75" customHeight="1">
      <c r="A381" s="14">
        <v>383.0</v>
      </c>
      <c r="B381" s="14" t="s">
        <v>1071</v>
      </c>
      <c r="C381" s="14" t="s">
        <v>182</v>
      </c>
      <c r="D381" s="14">
        <v>6.0</v>
      </c>
      <c r="E381" s="14">
        <v>2067.0</v>
      </c>
      <c r="F381" s="14">
        <v>26.0</v>
      </c>
      <c r="G381" s="14">
        <v>2093.0</v>
      </c>
      <c r="H381" s="14">
        <v>30.0</v>
      </c>
      <c r="I381" s="14">
        <v>2123.0</v>
      </c>
      <c r="J381" s="14">
        <v>27.0</v>
      </c>
      <c r="K381" s="14">
        <v>2150.0</v>
      </c>
      <c r="L381" s="14">
        <v>24.0</v>
      </c>
      <c r="M381" s="14">
        <v>2174.0</v>
      </c>
      <c r="N381" s="14">
        <v>25.0</v>
      </c>
      <c r="O381" s="14">
        <v>2199.0</v>
      </c>
      <c r="P381" s="14">
        <v>19.0</v>
      </c>
      <c r="Q381" s="14">
        <v>2218.0</v>
      </c>
      <c r="R381" s="14">
        <v>19.0</v>
      </c>
      <c r="S381" s="14">
        <v>2235.0</v>
      </c>
      <c r="T381" s="14">
        <v>17.0</v>
      </c>
      <c r="U381" s="14">
        <v>2253.0</v>
      </c>
      <c r="V381" s="14">
        <v>18.0</v>
      </c>
      <c r="W381" s="14">
        <v>2270.0</v>
      </c>
      <c r="X381" s="14">
        <v>17.0</v>
      </c>
      <c r="Y381" s="14">
        <v>2286.0</v>
      </c>
      <c r="Z381" s="14">
        <v>16.0</v>
      </c>
      <c r="AA381" s="14">
        <v>2303.0</v>
      </c>
      <c r="AB381" s="14">
        <v>17.0</v>
      </c>
      <c r="AC381" s="14">
        <v>17.0</v>
      </c>
      <c r="AD381" s="14">
        <v>19.0</v>
      </c>
      <c r="AE381" s="14">
        <v>0.0</v>
      </c>
      <c r="AG381" s="14">
        <v>3.0</v>
      </c>
      <c r="AH381" s="14">
        <v>0.0</v>
      </c>
      <c r="AI381" s="14">
        <v>39.0</v>
      </c>
    </row>
    <row r="382" ht="15.75" customHeight="1">
      <c r="A382" s="14">
        <v>384.0</v>
      </c>
      <c r="B382" s="14" t="s">
        <v>1175</v>
      </c>
      <c r="C382" s="14" t="s">
        <v>182</v>
      </c>
      <c r="D382" s="14">
        <v>9.0</v>
      </c>
      <c r="E382" s="14">
        <v>264.0</v>
      </c>
      <c r="F382" s="14">
        <v>19.0</v>
      </c>
      <c r="G382" s="14">
        <v>283.0</v>
      </c>
      <c r="H382" s="14">
        <v>23.0</v>
      </c>
      <c r="I382" s="14">
        <v>306.0</v>
      </c>
      <c r="J382" s="14">
        <v>19.0</v>
      </c>
      <c r="K382" s="14">
        <v>325.0</v>
      </c>
      <c r="L382" s="14">
        <v>18.0</v>
      </c>
      <c r="M382" s="14">
        <v>343.0</v>
      </c>
      <c r="N382" s="14">
        <v>13.0</v>
      </c>
      <c r="O382" s="14">
        <v>356.0</v>
      </c>
      <c r="P382" s="14">
        <v>13.0</v>
      </c>
      <c r="Q382" s="14">
        <v>369.0</v>
      </c>
      <c r="R382" s="14">
        <v>13.0</v>
      </c>
      <c r="S382" s="14">
        <v>378.0</v>
      </c>
      <c r="T382" s="14">
        <v>9.0</v>
      </c>
      <c r="U382" s="14">
        <v>389.0</v>
      </c>
      <c r="V382" s="14">
        <v>11.0</v>
      </c>
      <c r="W382" s="14">
        <v>400.0</v>
      </c>
      <c r="X382" s="14">
        <v>11.0</v>
      </c>
      <c r="Y382" s="14">
        <v>416.0</v>
      </c>
      <c r="Z382" s="14">
        <v>16.0</v>
      </c>
      <c r="AA382" s="14">
        <v>431.0</v>
      </c>
      <c r="AB382" s="14">
        <v>15.0</v>
      </c>
      <c r="AC382" s="14">
        <v>15.0</v>
      </c>
      <c r="AD382" s="14">
        <v>-11.0</v>
      </c>
      <c r="AE382" s="14">
        <v>0.0</v>
      </c>
      <c r="AG382" s="14">
        <v>3.0</v>
      </c>
      <c r="AH382" s="14">
        <v>0.0</v>
      </c>
      <c r="AI382" s="14">
        <v>7.0</v>
      </c>
    </row>
    <row r="383" ht="15.75" customHeight="1">
      <c r="A383" s="14">
        <v>385.0</v>
      </c>
      <c r="B383" s="14" t="s">
        <v>1075</v>
      </c>
      <c r="C383" s="14" t="s">
        <v>182</v>
      </c>
      <c r="D383" s="14">
        <v>10.0</v>
      </c>
      <c r="E383" s="14">
        <v>167.0</v>
      </c>
      <c r="F383" s="14">
        <v>8.0</v>
      </c>
      <c r="G383" s="14">
        <v>175.0</v>
      </c>
      <c r="H383" s="14">
        <v>6.0</v>
      </c>
      <c r="I383" s="14">
        <v>181.0</v>
      </c>
      <c r="J383" s="14">
        <v>9.0</v>
      </c>
      <c r="K383" s="14">
        <v>190.0</v>
      </c>
      <c r="L383" s="14">
        <v>34.0</v>
      </c>
      <c r="M383" s="14">
        <v>224.0</v>
      </c>
      <c r="N383" s="14">
        <v>22.0</v>
      </c>
      <c r="O383" s="14">
        <v>246.0</v>
      </c>
      <c r="P383" s="14">
        <v>7.0</v>
      </c>
      <c r="Q383" s="14">
        <v>253.0</v>
      </c>
      <c r="R383" s="14">
        <v>7.0</v>
      </c>
      <c r="S383" s="14">
        <v>257.0</v>
      </c>
      <c r="T383" s="14">
        <v>4.0</v>
      </c>
      <c r="U383" s="14">
        <v>264.0</v>
      </c>
      <c r="V383" s="14">
        <v>7.0</v>
      </c>
      <c r="W383" s="14">
        <v>268.0</v>
      </c>
      <c r="X383" s="14">
        <v>4.0</v>
      </c>
      <c r="Y383" s="14">
        <v>280.0</v>
      </c>
      <c r="Z383" s="14">
        <v>12.0</v>
      </c>
      <c r="AA383" s="14">
        <v>291.0</v>
      </c>
      <c r="AB383" s="14">
        <v>11.0</v>
      </c>
      <c r="AC383" s="14">
        <v>11.0</v>
      </c>
      <c r="AD383" s="14">
        <v>0.0</v>
      </c>
      <c r="AE383" s="14">
        <v>0.0</v>
      </c>
      <c r="AG383" s="14">
        <v>3.0</v>
      </c>
      <c r="AH383" s="14">
        <v>0.0</v>
      </c>
      <c r="AI383" s="14">
        <v>14.0</v>
      </c>
    </row>
    <row r="384" ht="15.75" customHeight="1">
      <c r="A384" s="14">
        <v>386.0</v>
      </c>
      <c r="B384" s="14" t="s">
        <v>1079</v>
      </c>
      <c r="C384" s="14" t="s">
        <v>182</v>
      </c>
      <c r="D384" s="14">
        <v>11.0</v>
      </c>
      <c r="E384" s="14">
        <v>14.0</v>
      </c>
      <c r="F384" s="14">
        <v>3.0</v>
      </c>
      <c r="G384" s="14">
        <v>17.0</v>
      </c>
      <c r="H384" s="14">
        <v>3.0</v>
      </c>
      <c r="I384" s="14">
        <v>20.0</v>
      </c>
      <c r="J384" s="14">
        <v>1.0</v>
      </c>
      <c r="K384" s="14">
        <v>21.0</v>
      </c>
      <c r="L384" s="14">
        <v>4.0</v>
      </c>
      <c r="M384" s="14">
        <v>25.0</v>
      </c>
      <c r="N384" s="14">
        <v>8.0</v>
      </c>
      <c r="O384" s="14">
        <v>33.0</v>
      </c>
      <c r="P384" s="14">
        <v>3.0</v>
      </c>
      <c r="Q384" s="14">
        <v>36.0</v>
      </c>
      <c r="R384" s="14">
        <v>3.0</v>
      </c>
      <c r="S384" s="14">
        <v>38.0</v>
      </c>
      <c r="T384" s="14">
        <v>2.0</v>
      </c>
      <c r="U384" s="14">
        <v>39.0</v>
      </c>
      <c r="V384" s="14">
        <v>1.0</v>
      </c>
      <c r="W384" s="14">
        <v>40.0</v>
      </c>
      <c r="X384" s="14">
        <v>1.0</v>
      </c>
      <c r="Y384" s="14">
        <v>41.0</v>
      </c>
      <c r="Z384" s="14">
        <v>1.0</v>
      </c>
      <c r="AA384" s="14">
        <v>43.0</v>
      </c>
      <c r="AB384" s="14">
        <v>2.0</v>
      </c>
      <c r="AC384" s="14">
        <v>5.0</v>
      </c>
      <c r="AD384" s="14">
        <v>0.0</v>
      </c>
      <c r="AE384" s="14">
        <v>0.0</v>
      </c>
      <c r="AG384" s="14">
        <v>3.0</v>
      </c>
      <c r="AH384" s="14">
        <v>0.0</v>
      </c>
      <c r="AI384" s="14">
        <v>8.0</v>
      </c>
    </row>
    <row r="385" ht="15.75" customHeight="1">
      <c r="A385" s="14">
        <v>387.0</v>
      </c>
      <c r="B385" s="14" t="s">
        <v>1082</v>
      </c>
      <c r="C385" s="14" t="s">
        <v>182</v>
      </c>
      <c r="D385" s="14">
        <v>12.0</v>
      </c>
      <c r="E385" s="14">
        <v>959.0</v>
      </c>
      <c r="F385" s="14">
        <v>11.0</v>
      </c>
      <c r="G385" s="14">
        <v>970.0</v>
      </c>
      <c r="H385" s="14">
        <v>12.0</v>
      </c>
      <c r="I385" s="14">
        <v>982.0</v>
      </c>
      <c r="J385" s="14">
        <v>12.0</v>
      </c>
      <c r="K385" s="14">
        <v>994.0</v>
      </c>
      <c r="L385" s="14">
        <v>8.0</v>
      </c>
      <c r="M385" s="14">
        <v>1002.0</v>
      </c>
      <c r="N385" s="14">
        <v>7.0</v>
      </c>
      <c r="O385" s="14">
        <v>1009.0</v>
      </c>
      <c r="P385" s="14">
        <v>4.0</v>
      </c>
      <c r="Q385" s="14">
        <v>1013.0</v>
      </c>
      <c r="R385" s="14">
        <v>4.0</v>
      </c>
      <c r="S385" s="14">
        <v>1017.0</v>
      </c>
      <c r="T385" s="14">
        <v>4.0</v>
      </c>
      <c r="U385" s="14">
        <v>1024.0</v>
      </c>
      <c r="V385" s="14">
        <v>7.0</v>
      </c>
      <c r="W385" s="14">
        <v>1030.0</v>
      </c>
      <c r="X385" s="14">
        <v>6.0</v>
      </c>
      <c r="Y385" s="14">
        <v>1044.0</v>
      </c>
      <c r="Z385" s="14">
        <v>14.0</v>
      </c>
      <c r="AA385" s="14">
        <v>1051.0</v>
      </c>
      <c r="AB385" s="14">
        <v>7.0</v>
      </c>
      <c r="AC385" s="14">
        <v>7.0</v>
      </c>
      <c r="AD385" s="14">
        <v>0.0</v>
      </c>
      <c r="AE385" s="14">
        <v>0.0</v>
      </c>
      <c r="AG385" s="14">
        <v>3.0</v>
      </c>
      <c r="AH385" s="14">
        <v>0.0</v>
      </c>
      <c r="AI385" s="14">
        <v>10.0</v>
      </c>
    </row>
    <row r="386" ht="15.75" customHeight="1">
      <c r="A386" s="14">
        <v>388.0</v>
      </c>
      <c r="B386" s="14" t="s">
        <v>1083</v>
      </c>
      <c r="C386" s="14" t="s">
        <v>182</v>
      </c>
      <c r="D386" s="14">
        <v>13.0</v>
      </c>
      <c r="E386" s="14">
        <v>715.0</v>
      </c>
      <c r="F386" s="14">
        <v>14.0</v>
      </c>
      <c r="G386" s="14">
        <v>729.0</v>
      </c>
      <c r="H386" s="14">
        <v>14.0</v>
      </c>
      <c r="I386" s="14">
        <v>743.0</v>
      </c>
      <c r="J386" s="14">
        <v>14.0</v>
      </c>
      <c r="K386" s="14">
        <v>757.0</v>
      </c>
      <c r="L386" s="14">
        <v>19.0</v>
      </c>
      <c r="M386" s="14">
        <v>776.0</v>
      </c>
      <c r="N386" s="14">
        <v>11.0</v>
      </c>
      <c r="O386" s="14">
        <v>787.0</v>
      </c>
      <c r="P386" s="14">
        <v>11.0</v>
      </c>
      <c r="Q386" s="14">
        <v>798.0</v>
      </c>
      <c r="R386" s="14">
        <v>11.0</v>
      </c>
      <c r="S386" s="14">
        <v>808.0</v>
      </c>
      <c r="T386" s="14">
        <v>10.0</v>
      </c>
      <c r="U386" s="14">
        <v>817.0</v>
      </c>
      <c r="V386" s="14">
        <v>9.0</v>
      </c>
      <c r="W386" s="14">
        <v>827.0</v>
      </c>
      <c r="X386" s="14">
        <v>10.0</v>
      </c>
      <c r="Y386" s="14">
        <v>837.0</v>
      </c>
      <c r="Z386" s="14">
        <v>10.0</v>
      </c>
      <c r="AA386" s="14">
        <v>844.0</v>
      </c>
      <c r="AB386" s="14">
        <v>7.0</v>
      </c>
      <c r="AC386" s="14">
        <v>7.0</v>
      </c>
      <c r="AD386" s="14">
        <v>0.0</v>
      </c>
      <c r="AE386" s="14">
        <v>0.0</v>
      </c>
      <c r="AG386" s="14">
        <v>3.0</v>
      </c>
      <c r="AH386" s="14">
        <v>0.0</v>
      </c>
      <c r="AI386" s="14">
        <v>10.0</v>
      </c>
    </row>
    <row r="387" ht="15.75" customHeight="1">
      <c r="A387" s="14">
        <v>389.0</v>
      </c>
      <c r="B387" s="14" t="s">
        <v>1084</v>
      </c>
      <c r="C387" s="14" t="s">
        <v>182</v>
      </c>
      <c r="D387" s="14">
        <v>14.0</v>
      </c>
      <c r="E387" s="14">
        <v>1037.0</v>
      </c>
      <c r="F387" s="14">
        <v>13.0</v>
      </c>
      <c r="G387" s="14">
        <v>1050.0</v>
      </c>
      <c r="H387" s="14">
        <v>12.0</v>
      </c>
      <c r="I387" s="14">
        <v>1062.0</v>
      </c>
      <c r="J387" s="14">
        <v>10.0</v>
      </c>
      <c r="K387" s="14">
        <v>1072.0</v>
      </c>
      <c r="L387" s="14">
        <v>9.0</v>
      </c>
      <c r="M387" s="14">
        <v>1081.0</v>
      </c>
      <c r="N387" s="14">
        <v>9.0</v>
      </c>
      <c r="O387" s="14">
        <v>1090.0</v>
      </c>
      <c r="P387" s="14">
        <v>8.0</v>
      </c>
      <c r="Q387" s="14">
        <v>1098.0</v>
      </c>
      <c r="R387" s="14">
        <v>8.0</v>
      </c>
      <c r="S387" s="14">
        <v>0.0</v>
      </c>
      <c r="T387" s="14">
        <v>7.0</v>
      </c>
      <c r="U387" s="14">
        <v>5.0</v>
      </c>
      <c r="V387" s="14">
        <v>5.0</v>
      </c>
      <c r="W387" s="14">
        <v>12.0</v>
      </c>
      <c r="X387" s="14">
        <v>7.0</v>
      </c>
      <c r="Y387" s="14">
        <v>20.0</v>
      </c>
      <c r="Z387" s="14">
        <v>8.0</v>
      </c>
      <c r="AA387" s="14">
        <v>30.0</v>
      </c>
      <c r="AB387" s="14">
        <v>10.0</v>
      </c>
      <c r="AC387" s="14">
        <v>10.0</v>
      </c>
      <c r="AD387" s="14">
        <v>0.0</v>
      </c>
      <c r="AE387" s="14">
        <v>0.0</v>
      </c>
      <c r="AF387" s="14">
        <v>44.0</v>
      </c>
      <c r="AG387" s="14">
        <v>3.0</v>
      </c>
      <c r="AH387" s="14">
        <v>20.0</v>
      </c>
      <c r="AI387" s="14">
        <v>77.0</v>
      </c>
    </row>
    <row r="388" ht="15.75" customHeight="1">
      <c r="A388" s="14">
        <v>390.0</v>
      </c>
      <c r="B388" s="14" t="s">
        <v>1085</v>
      </c>
      <c r="C388" s="14" t="s">
        <v>182</v>
      </c>
      <c r="D388" s="14">
        <v>17.0</v>
      </c>
      <c r="E388" s="14">
        <v>1172.0</v>
      </c>
      <c r="F388" s="14">
        <v>7.0</v>
      </c>
      <c r="G388" s="14">
        <v>1179.0</v>
      </c>
      <c r="H388" s="14">
        <v>9.0</v>
      </c>
      <c r="I388" s="14">
        <v>1188.0</v>
      </c>
      <c r="J388" s="14">
        <v>6.0</v>
      </c>
      <c r="K388" s="14">
        <v>1194.0</v>
      </c>
      <c r="L388" s="14">
        <v>8.0</v>
      </c>
      <c r="M388" s="14">
        <v>1202.0</v>
      </c>
      <c r="N388" s="14">
        <v>6.0</v>
      </c>
      <c r="O388" s="14">
        <v>1208.0</v>
      </c>
      <c r="P388" s="14">
        <v>5.0</v>
      </c>
      <c r="Q388" s="14">
        <v>1213.0</v>
      </c>
      <c r="R388" s="14">
        <v>5.0</v>
      </c>
      <c r="S388" s="14">
        <v>1218.0</v>
      </c>
      <c r="T388" s="14">
        <v>5.0</v>
      </c>
      <c r="U388" s="14">
        <v>1223.0</v>
      </c>
      <c r="V388" s="14">
        <v>5.0</v>
      </c>
      <c r="W388" s="14">
        <v>1229.0</v>
      </c>
      <c r="X388" s="14">
        <v>6.0</v>
      </c>
      <c r="Y388" s="14">
        <v>1236.0</v>
      </c>
      <c r="Z388" s="14">
        <v>7.0</v>
      </c>
      <c r="AA388" s="14">
        <v>1241.0</v>
      </c>
      <c r="AB388" s="14">
        <v>5.0</v>
      </c>
      <c r="AC388" s="14">
        <v>5.0</v>
      </c>
      <c r="AD388" s="14">
        <v>0.0</v>
      </c>
      <c r="AE388" s="14">
        <v>0.0</v>
      </c>
      <c r="AG388" s="14">
        <v>3.0</v>
      </c>
      <c r="AH388" s="14">
        <v>0.0</v>
      </c>
      <c r="AI388" s="14">
        <v>8.0</v>
      </c>
    </row>
    <row r="389" ht="15.75" customHeight="1">
      <c r="A389" s="14">
        <v>391.0</v>
      </c>
      <c r="B389" s="14" t="s">
        <v>1090</v>
      </c>
      <c r="C389" s="14" t="s">
        <v>182</v>
      </c>
      <c r="D389" s="14">
        <v>31.0</v>
      </c>
      <c r="E389" s="14">
        <v>35.0</v>
      </c>
      <c r="F389" s="14">
        <v>2.0</v>
      </c>
      <c r="G389" s="14">
        <v>37.0</v>
      </c>
      <c r="H389" s="14">
        <v>0.0</v>
      </c>
      <c r="I389" s="14">
        <v>37.0</v>
      </c>
      <c r="J389" s="14">
        <v>0.0</v>
      </c>
      <c r="K389" s="14">
        <v>37.0</v>
      </c>
      <c r="L389" s="14">
        <v>0.0</v>
      </c>
      <c r="M389" s="14">
        <v>37.0</v>
      </c>
      <c r="N389" s="14">
        <v>1.0</v>
      </c>
      <c r="O389" s="14">
        <v>38.0</v>
      </c>
      <c r="P389" s="14">
        <v>3.0</v>
      </c>
      <c r="Q389" s="14">
        <v>41.0</v>
      </c>
      <c r="R389" s="14">
        <v>3.0</v>
      </c>
      <c r="S389" s="14">
        <v>43.0</v>
      </c>
      <c r="T389" s="14">
        <v>2.0</v>
      </c>
      <c r="U389" s="14">
        <v>46.0</v>
      </c>
      <c r="V389" s="14">
        <v>3.0</v>
      </c>
      <c r="W389" s="14">
        <v>46.0</v>
      </c>
      <c r="X389" s="14">
        <v>0.0</v>
      </c>
      <c r="Y389" s="14">
        <v>46.0</v>
      </c>
      <c r="Z389" s="14">
        <v>0.0</v>
      </c>
      <c r="AA389" s="14">
        <v>46.0</v>
      </c>
      <c r="AB389" s="14">
        <v>0.0</v>
      </c>
      <c r="AC389" s="14">
        <v>5.0</v>
      </c>
      <c r="AD389" s="14">
        <v>16.0</v>
      </c>
      <c r="AE389" s="14">
        <v>40.0</v>
      </c>
      <c r="AG389" s="14">
        <v>3.0</v>
      </c>
      <c r="AH389" s="14">
        <v>40.0</v>
      </c>
      <c r="AI389" s="14">
        <v>104.0</v>
      </c>
    </row>
    <row r="390" ht="15.75" customHeight="1">
      <c r="A390" s="14">
        <v>392.0</v>
      </c>
      <c r="B390" s="14" t="s">
        <v>1092</v>
      </c>
      <c r="C390" s="14" t="s">
        <v>182</v>
      </c>
      <c r="D390" s="14">
        <v>32.0</v>
      </c>
      <c r="E390" s="14">
        <v>197.0</v>
      </c>
      <c r="F390" s="14">
        <v>4.0</v>
      </c>
      <c r="G390" s="14">
        <v>201.0</v>
      </c>
      <c r="H390" s="14">
        <v>4.0</v>
      </c>
      <c r="I390" s="14">
        <v>205.0</v>
      </c>
      <c r="J390" s="14">
        <v>4.0</v>
      </c>
      <c r="K390" s="14">
        <v>209.0</v>
      </c>
      <c r="L390" s="14">
        <v>4.0</v>
      </c>
      <c r="M390" s="14">
        <v>213.0</v>
      </c>
      <c r="N390" s="14">
        <v>3.0</v>
      </c>
      <c r="O390" s="14">
        <v>216.0</v>
      </c>
      <c r="P390" s="14">
        <v>4.0</v>
      </c>
      <c r="Q390" s="14">
        <v>220.0</v>
      </c>
      <c r="R390" s="14">
        <v>4.0</v>
      </c>
      <c r="S390" s="14">
        <v>223.0</v>
      </c>
      <c r="T390" s="14">
        <v>3.0</v>
      </c>
      <c r="U390" s="14">
        <v>226.0</v>
      </c>
      <c r="V390" s="14">
        <v>3.0</v>
      </c>
      <c r="W390" s="14">
        <v>228.0</v>
      </c>
      <c r="X390" s="14">
        <v>2.0</v>
      </c>
      <c r="Y390" s="14">
        <v>229.0</v>
      </c>
      <c r="Z390" s="14">
        <v>1.0</v>
      </c>
      <c r="AA390" s="14">
        <v>232.0</v>
      </c>
      <c r="AB390" s="14">
        <v>3.0</v>
      </c>
      <c r="AC390" s="14">
        <v>5.0</v>
      </c>
      <c r="AD390" s="14">
        <v>0.0</v>
      </c>
      <c r="AE390" s="14">
        <v>0.0</v>
      </c>
      <c r="AG390" s="14">
        <v>3.0</v>
      </c>
      <c r="AH390" s="14">
        <v>0.0</v>
      </c>
      <c r="AI390" s="14">
        <v>8.0</v>
      </c>
    </row>
    <row r="391" ht="15.75" customHeight="1">
      <c r="A391" s="14">
        <v>393.0</v>
      </c>
      <c r="B391" s="14" t="s">
        <v>1094</v>
      </c>
      <c r="C391" s="14" t="s">
        <v>182</v>
      </c>
      <c r="D391" s="14">
        <v>33.0</v>
      </c>
      <c r="E391" s="14">
        <v>617.0</v>
      </c>
      <c r="F391" s="14">
        <v>12.0</v>
      </c>
      <c r="G391" s="14">
        <v>629.0</v>
      </c>
      <c r="H391" s="14">
        <v>12.0</v>
      </c>
      <c r="I391" s="14">
        <v>641.0</v>
      </c>
      <c r="J391" s="14">
        <v>12.0</v>
      </c>
      <c r="K391" s="14">
        <v>653.0</v>
      </c>
      <c r="L391" s="14">
        <v>15.0</v>
      </c>
      <c r="M391" s="14">
        <v>668.0</v>
      </c>
      <c r="N391" s="14">
        <v>12.0</v>
      </c>
      <c r="O391" s="14">
        <v>680.0</v>
      </c>
      <c r="P391" s="14">
        <v>8.0</v>
      </c>
      <c r="Q391" s="14">
        <v>688.0</v>
      </c>
      <c r="R391" s="14">
        <v>8.0</v>
      </c>
      <c r="S391" s="14">
        <v>695.0</v>
      </c>
      <c r="T391" s="14">
        <v>7.0</v>
      </c>
      <c r="U391" s="14">
        <v>702.0</v>
      </c>
      <c r="V391" s="14">
        <v>7.0</v>
      </c>
      <c r="W391" s="14">
        <v>708.0</v>
      </c>
      <c r="X391" s="14">
        <v>6.0</v>
      </c>
      <c r="Y391" s="14">
        <v>716.0</v>
      </c>
      <c r="Z391" s="14">
        <v>8.0</v>
      </c>
      <c r="AA391" s="14">
        <v>725.0</v>
      </c>
      <c r="AB391" s="14">
        <v>9.0</v>
      </c>
      <c r="AC391" s="14">
        <v>9.0</v>
      </c>
      <c r="AD391" s="14">
        <v>0.0</v>
      </c>
      <c r="AE391" s="14">
        <v>0.0</v>
      </c>
      <c r="AG391" s="14">
        <v>3.0</v>
      </c>
      <c r="AH391" s="14">
        <v>20.0</v>
      </c>
      <c r="AI391" s="14">
        <v>32.0</v>
      </c>
    </row>
    <row r="392" ht="15.75" customHeight="1">
      <c r="A392" s="14">
        <v>394.0</v>
      </c>
      <c r="B392" s="14" t="s">
        <v>1097</v>
      </c>
      <c r="C392" s="14" t="s">
        <v>182</v>
      </c>
      <c r="D392" s="14">
        <v>34.0</v>
      </c>
      <c r="E392" s="14">
        <v>105.0</v>
      </c>
      <c r="F392" s="14">
        <v>12.0</v>
      </c>
      <c r="G392" s="14">
        <v>117.0</v>
      </c>
      <c r="H392" s="14">
        <v>7.0</v>
      </c>
      <c r="I392" s="14">
        <v>124.0</v>
      </c>
      <c r="J392" s="14">
        <v>4.0</v>
      </c>
      <c r="K392" s="14">
        <v>128.0</v>
      </c>
      <c r="L392" s="14">
        <v>4.0</v>
      </c>
      <c r="M392" s="14">
        <v>132.0</v>
      </c>
      <c r="N392" s="14">
        <v>3.0</v>
      </c>
      <c r="O392" s="14">
        <v>135.0</v>
      </c>
      <c r="P392" s="14">
        <v>4.0</v>
      </c>
      <c r="Q392" s="14">
        <v>139.0</v>
      </c>
      <c r="R392" s="14">
        <v>4.0</v>
      </c>
      <c r="S392" s="14">
        <v>142.0</v>
      </c>
      <c r="T392" s="14">
        <v>3.0</v>
      </c>
      <c r="U392" s="14">
        <v>147.0</v>
      </c>
      <c r="V392" s="14">
        <v>5.0</v>
      </c>
      <c r="W392" s="14">
        <v>154.0</v>
      </c>
      <c r="X392" s="14">
        <v>7.0</v>
      </c>
      <c r="Y392" s="14">
        <v>158.0</v>
      </c>
      <c r="Z392" s="14">
        <v>4.0</v>
      </c>
      <c r="AA392" s="14">
        <v>164.0</v>
      </c>
      <c r="AB392" s="14">
        <v>6.0</v>
      </c>
      <c r="AC392" s="14">
        <v>6.0</v>
      </c>
      <c r="AD392" s="14">
        <v>0.0</v>
      </c>
      <c r="AE392" s="14">
        <v>0.0</v>
      </c>
      <c r="AG392" s="14">
        <v>3.0</v>
      </c>
      <c r="AH392" s="14">
        <v>0.0</v>
      </c>
      <c r="AI392" s="14">
        <v>9.0</v>
      </c>
    </row>
    <row r="393" ht="15.75" customHeight="1">
      <c r="A393" s="14">
        <v>395.0</v>
      </c>
      <c r="B393" s="14" t="s">
        <v>1088</v>
      </c>
      <c r="C393" s="14" t="s">
        <v>182</v>
      </c>
      <c r="D393" s="14">
        <v>35.0</v>
      </c>
      <c r="W393" s="14">
        <v>0.0</v>
      </c>
      <c r="X393" s="14">
        <v>0.0</v>
      </c>
      <c r="Y393" s="14">
        <v>0.0</v>
      </c>
      <c r="Z393" s="14">
        <v>0.0</v>
      </c>
      <c r="AA393" s="14">
        <v>3.0</v>
      </c>
      <c r="AB393" s="14">
        <v>3.0</v>
      </c>
      <c r="AC393" s="14">
        <v>5.0</v>
      </c>
      <c r="AD393" s="14">
        <v>8.0</v>
      </c>
      <c r="AE393" s="14">
        <v>0.0</v>
      </c>
      <c r="AG393" s="14">
        <v>3.0</v>
      </c>
      <c r="AH393" s="14">
        <v>20.0</v>
      </c>
      <c r="AI393" s="14">
        <v>36.0</v>
      </c>
    </row>
    <row r="394" ht="15.75" customHeight="1">
      <c r="A394" s="14">
        <v>396.0</v>
      </c>
      <c r="B394" s="14" t="s">
        <v>1100</v>
      </c>
      <c r="C394" s="14" t="s">
        <v>186</v>
      </c>
      <c r="D394" s="14">
        <v>1.0</v>
      </c>
      <c r="E394" s="14">
        <v>1418.0</v>
      </c>
      <c r="F394" s="14">
        <v>9.0</v>
      </c>
      <c r="G394" s="14">
        <v>1427.0</v>
      </c>
      <c r="H394" s="14">
        <v>9.0</v>
      </c>
      <c r="I394" s="14">
        <v>1436.0</v>
      </c>
      <c r="J394" s="14">
        <v>7.0</v>
      </c>
      <c r="K394" s="14">
        <v>1443.0</v>
      </c>
      <c r="L394" s="14">
        <v>8.0</v>
      </c>
      <c r="M394" s="14">
        <v>1451.0</v>
      </c>
      <c r="N394" s="14">
        <v>7.0</v>
      </c>
      <c r="O394" s="14">
        <v>1458.0</v>
      </c>
      <c r="P394" s="14">
        <v>9.0</v>
      </c>
      <c r="Q394" s="14">
        <v>1467.0</v>
      </c>
      <c r="R394" s="14">
        <v>9.0</v>
      </c>
      <c r="S394" s="14">
        <v>1473.0</v>
      </c>
      <c r="T394" s="14">
        <v>6.0</v>
      </c>
      <c r="U394" s="14">
        <v>1479.0</v>
      </c>
      <c r="V394" s="14">
        <v>6.0</v>
      </c>
      <c r="W394" s="14">
        <v>1485.0</v>
      </c>
      <c r="X394" s="14">
        <v>6.0</v>
      </c>
      <c r="Y394" s="14">
        <v>1493.0</v>
      </c>
      <c r="Z394" s="14">
        <v>8.0</v>
      </c>
      <c r="AA394" s="14">
        <v>1501.0</v>
      </c>
      <c r="AB394" s="14">
        <v>8.0</v>
      </c>
      <c r="AC394" s="14">
        <v>8.0</v>
      </c>
      <c r="AD394" s="14">
        <v>0.0</v>
      </c>
      <c r="AE394" s="14">
        <v>0.0</v>
      </c>
      <c r="AG394" s="14">
        <v>3.0</v>
      </c>
      <c r="AH394" s="14">
        <v>0.0</v>
      </c>
      <c r="AI394" s="14">
        <v>11.0</v>
      </c>
    </row>
    <row r="395" ht="15.75" customHeight="1">
      <c r="A395" s="14">
        <v>397.0</v>
      </c>
      <c r="B395" s="14" t="s">
        <v>1102</v>
      </c>
      <c r="C395" s="14" t="s">
        <v>186</v>
      </c>
      <c r="D395" s="14">
        <v>2.0</v>
      </c>
      <c r="E395" s="14">
        <v>2.0</v>
      </c>
      <c r="F395" s="14">
        <v>0.0</v>
      </c>
      <c r="G395" s="14">
        <v>2.0</v>
      </c>
      <c r="H395" s="14">
        <v>0.0</v>
      </c>
      <c r="I395" s="14">
        <v>2.0</v>
      </c>
      <c r="J395" s="14">
        <v>0.0</v>
      </c>
      <c r="K395" s="14">
        <v>2.0</v>
      </c>
      <c r="L395" s="14">
        <v>0.0</v>
      </c>
      <c r="M395" s="14">
        <v>2.0</v>
      </c>
      <c r="N395" s="14">
        <v>8.0</v>
      </c>
      <c r="O395" s="14">
        <v>10.0</v>
      </c>
      <c r="P395" s="14">
        <v>5.0</v>
      </c>
      <c r="Q395" s="14">
        <v>15.0</v>
      </c>
      <c r="R395" s="14">
        <v>5.0</v>
      </c>
      <c r="S395" s="14">
        <v>16.0</v>
      </c>
      <c r="T395" s="14">
        <v>1.0</v>
      </c>
      <c r="U395" s="14">
        <v>17.0</v>
      </c>
      <c r="V395" s="14">
        <v>1.0</v>
      </c>
      <c r="W395" s="14">
        <v>18.0</v>
      </c>
      <c r="X395" s="14">
        <v>1.0</v>
      </c>
      <c r="Y395" s="14">
        <v>18.0</v>
      </c>
      <c r="Z395" s="14">
        <v>0.0</v>
      </c>
      <c r="AA395" s="14">
        <v>18.0</v>
      </c>
      <c r="AB395" s="14">
        <v>0.0</v>
      </c>
      <c r="AC395" s="14">
        <v>5.0</v>
      </c>
      <c r="AD395" s="14">
        <v>0.0</v>
      </c>
      <c r="AE395" s="14">
        <v>0.0</v>
      </c>
      <c r="AG395" s="14">
        <v>3.0</v>
      </c>
      <c r="AH395" s="14">
        <v>0.0</v>
      </c>
      <c r="AI395" s="14">
        <v>8.0</v>
      </c>
    </row>
    <row r="396" ht="15.75" customHeight="1">
      <c r="A396" s="14">
        <v>398.0</v>
      </c>
      <c r="B396" s="14" t="s">
        <v>1105</v>
      </c>
      <c r="C396" s="14" t="s">
        <v>186</v>
      </c>
      <c r="D396" s="14">
        <v>5.0</v>
      </c>
      <c r="E396" s="14">
        <v>166.0</v>
      </c>
      <c r="F396" s="14">
        <v>0.0</v>
      </c>
      <c r="G396" s="14">
        <v>166.0</v>
      </c>
      <c r="H396" s="14">
        <v>8.0</v>
      </c>
      <c r="I396" s="14">
        <v>174.0</v>
      </c>
      <c r="J396" s="14">
        <v>12.0</v>
      </c>
      <c r="K396" s="14">
        <v>186.0</v>
      </c>
      <c r="L396" s="14">
        <v>14.0</v>
      </c>
      <c r="M396" s="14">
        <v>200.0</v>
      </c>
      <c r="N396" s="14">
        <v>8.0</v>
      </c>
      <c r="O396" s="14">
        <v>208.0</v>
      </c>
      <c r="P396" s="14">
        <v>8.0</v>
      </c>
      <c r="Q396" s="14">
        <v>216.0</v>
      </c>
      <c r="R396" s="14">
        <v>8.0</v>
      </c>
      <c r="S396" s="14">
        <v>221.0</v>
      </c>
      <c r="T396" s="14">
        <v>5.0</v>
      </c>
      <c r="U396" s="14">
        <v>228.0</v>
      </c>
      <c r="V396" s="14">
        <v>7.0</v>
      </c>
      <c r="W396" s="14">
        <v>234.0</v>
      </c>
      <c r="X396" s="14">
        <v>6.0</v>
      </c>
      <c r="Y396" s="14">
        <v>241.0</v>
      </c>
      <c r="Z396" s="14">
        <v>7.0</v>
      </c>
      <c r="AA396" s="14">
        <v>248.0</v>
      </c>
      <c r="AB396" s="14">
        <v>7.0</v>
      </c>
      <c r="AC396" s="14">
        <v>7.0</v>
      </c>
      <c r="AD396" s="14">
        <v>0.0</v>
      </c>
      <c r="AE396" s="14">
        <v>0.0</v>
      </c>
      <c r="AG396" s="14">
        <v>3.0</v>
      </c>
      <c r="AH396" s="14">
        <v>20.0</v>
      </c>
      <c r="AI396" s="14">
        <v>30.0</v>
      </c>
    </row>
    <row r="397" ht="15.75" customHeight="1">
      <c r="A397" s="14">
        <v>399.0</v>
      </c>
      <c r="B397" s="14" t="s">
        <v>1108</v>
      </c>
      <c r="C397" s="14" t="s">
        <v>186</v>
      </c>
      <c r="D397" s="14">
        <v>6.0</v>
      </c>
      <c r="E397" s="14">
        <v>1125.0</v>
      </c>
      <c r="F397" s="14">
        <v>17.0</v>
      </c>
      <c r="G397" s="14">
        <v>1142.0</v>
      </c>
      <c r="H397" s="14">
        <v>15.0</v>
      </c>
      <c r="I397" s="14">
        <v>1157.0</v>
      </c>
      <c r="J397" s="14">
        <v>3.0</v>
      </c>
      <c r="K397" s="14">
        <v>1160.0</v>
      </c>
      <c r="L397" s="14">
        <v>2.0</v>
      </c>
      <c r="M397" s="14">
        <v>1162.0</v>
      </c>
      <c r="N397" s="14">
        <v>2.0</v>
      </c>
      <c r="O397" s="14">
        <v>1164.0</v>
      </c>
      <c r="P397" s="14">
        <v>2.0</v>
      </c>
      <c r="Q397" s="14">
        <v>1166.0</v>
      </c>
      <c r="R397" s="14">
        <v>2.0</v>
      </c>
      <c r="S397" s="14">
        <v>1168.0</v>
      </c>
      <c r="T397" s="14">
        <v>2.0</v>
      </c>
      <c r="U397" s="14">
        <v>1172.0</v>
      </c>
      <c r="V397" s="14">
        <v>4.0</v>
      </c>
      <c r="W397" s="14">
        <v>1174.0</v>
      </c>
      <c r="X397" s="14">
        <v>2.0</v>
      </c>
      <c r="Y397" s="14">
        <v>1176.0</v>
      </c>
      <c r="Z397" s="14">
        <v>2.0</v>
      </c>
      <c r="AA397" s="14">
        <v>1177.0</v>
      </c>
      <c r="AB397" s="14">
        <v>1.0</v>
      </c>
      <c r="AC397" s="14">
        <v>5.0</v>
      </c>
      <c r="AD397" s="14">
        <v>0.0</v>
      </c>
      <c r="AE397" s="14">
        <v>0.0</v>
      </c>
      <c r="AG397" s="14">
        <v>3.0</v>
      </c>
      <c r="AH397" s="14">
        <v>0.0</v>
      </c>
      <c r="AI397" s="14">
        <v>8.0</v>
      </c>
    </row>
    <row r="398" ht="15.75" customHeight="1">
      <c r="A398" s="14">
        <v>400.0</v>
      </c>
      <c r="B398" s="14" t="s">
        <v>1110</v>
      </c>
      <c r="C398" s="14" t="s">
        <v>186</v>
      </c>
      <c r="D398" s="14">
        <v>8.0</v>
      </c>
      <c r="E398" s="14">
        <v>798.0</v>
      </c>
      <c r="F398" s="14">
        <v>20.0</v>
      </c>
      <c r="G398" s="14">
        <v>818.0</v>
      </c>
      <c r="H398" s="14">
        <v>18.0</v>
      </c>
      <c r="I398" s="14">
        <v>836.0</v>
      </c>
      <c r="J398" s="14">
        <v>15.0</v>
      </c>
      <c r="K398" s="14">
        <v>851.0</v>
      </c>
      <c r="L398" s="14">
        <v>15.0</v>
      </c>
      <c r="M398" s="14">
        <v>866.0</v>
      </c>
      <c r="N398" s="14">
        <v>13.0</v>
      </c>
      <c r="O398" s="14">
        <v>879.0</v>
      </c>
      <c r="P398" s="14">
        <v>16.0</v>
      </c>
      <c r="Q398" s="14">
        <v>895.0</v>
      </c>
      <c r="R398" s="14">
        <v>16.0</v>
      </c>
      <c r="S398" s="14">
        <v>909.0</v>
      </c>
      <c r="T398" s="14">
        <v>14.0</v>
      </c>
      <c r="U398" s="14">
        <v>922.0</v>
      </c>
      <c r="V398" s="14">
        <v>13.0</v>
      </c>
      <c r="W398" s="14">
        <v>936.0</v>
      </c>
      <c r="X398" s="14">
        <v>14.0</v>
      </c>
      <c r="Y398" s="14">
        <v>949.0</v>
      </c>
      <c r="Z398" s="14">
        <v>13.0</v>
      </c>
      <c r="AA398" s="14">
        <v>963.0</v>
      </c>
      <c r="AB398" s="14">
        <v>14.0</v>
      </c>
      <c r="AC398" s="14">
        <v>14.0</v>
      </c>
      <c r="AD398" s="14">
        <v>16.0</v>
      </c>
      <c r="AE398" s="14">
        <v>0.0</v>
      </c>
      <c r="AG398" s="14">
        <v>3.0</v>
      </c>
      <c r="AH398" s="14">
        <v>0.0</v>
      </c>
      <c r="AI398" s="14">
        <v>33.0</v>
      </c>
    </row>
    <row r="399" ht="15.75" customHeight="1">
      <c r="A399" s="14">
        <v>401.0</v>
      </c>
      <c r="B399" s="14" t="s">
        <v>1113</v>
      </c>
      <c r="C399" s="14" t="s">
        <v>186</v>
      </c>
      <c r="D399" s="14">
        <v>9.0</v>
      </c>
      <c r="E399" s="14">
        <v>729.0</v>
      </c>
      <c r="F399" s="14">
        <v>14.0</v>
      </c>
      <c r="G399" s="14">
        <v>743.0</v>
      </c>
      <c r="H399" s="14">
        <v>15.0</v>
      </c>
      <c r="I399" s="14">
        <v>758.0</v>
      </c>
      <c r="J399" s="14">
        <v>12.0</v>
      </c>
      <c r="K399" s="14">
        <v>770.0</v>
      </c>
      <c r="L399" s="14">
        <v>19.0</v>
      </c>
      <c r="M399" s="14">
        <v>789.0</v>
      </c>
      <c r="N399" s="14">
        <v>4.0</v>
      </c>
      <c r="O399" s="14">
        <v>793.0</v>
      </c>
      <c r="P399" s="14">
        <v>9.0</v>
      </c>
      <c r="Q399" s="14">
        <v>802.0</v>
      </c>
      <c r="R399" s="14">
        <v>9.0</v>
      </c>
      <c r="S399" s="14">
        <v>808.0</v>
      </c>
      <c r="T399" s="14">
        <v>6.0</v>
      </c>
      <c r="U399" s="14">
        <v>817.0</v>
      </c>
      <c r="V399" s="14">
        <v>9.0</v>
      </c>
      <c r="W399" s="14">
        <v>823.0</v>
      </c>
      <c r="X399" s="14">
        <v>6.0</v>
      </c>
      <c r="Y399" s="14">
        <v>830.0</v>
      </c>
      <c r="Z399" s="14">
        <v>7.0</v>
      </c>
      <c r="AA399" s="14">
        <v>839.0</v>
      </c>
      <c r="AB399" s="14">
        <v>9.0</v>
      </c>
      <c r="AC399" s="14">
        <v>9.0</v>
      </c>
      <c r="AD399" s="14">
        <v>0.0</v>
      </c>
      <c r="AE399" s="14">
        <v>0.0</v>
      </c>
      <c r="AG399" s="14">
        <v>3.0</v>
      </c>
      <c r="AH399" s="14">
        <v>20.0</v>
      </c>
      <c r="AI399" s="14">
        <v>32.0</v>
      </c>
    </row>
    <row r="400" ht="15.75" customHeight="1">
      <c r="A400" s="14">
        <v>402.0</v>
      </c>
      <c r="B400" s="14" t="s">
        <v>1114</v>
      </c>
      <c r="C400" s="14" t="s">
        <v>190</v>
      </c>
      <c r="D400" s="14">
        <v>2.0</v>
      </c>
      <c r="E400" s="14">
        <v>1272.0</v>
      </c>
      <c r="F400" s="14">
        <v>13.0</v>
      </c>
      <c r="G400" s="14">
        <v>1285.0</v>
      </c>
      <c r="H400" s="14">
        <v>13.0</v>
      </c>
      <c r="I400" s="14">
        <v>1298.0</v>
      </c>
      <c r="J400" s="14">
        <v>13.0</v>
      </c>
      <c r="K400" s="14">
        <v>1311.0</v>
      </c>
      <c r="L400" s="14">
        <v>9.0</v>
      </c>
      <c r="M400" s="14">
        <v>1320.0</v>
      </c>
      <c r="N400" s="14">
        <v>10.0</v>
      </c>
      <c r="O400" s="14">
        <v>1330.0</v>
      </c>
      <c r="P400" s="14">
        <v>10.0</v>
      </c>
      <c r="Q400" s="14">
        <v>1340.0</v>
      </c>
      <c r="R400" s="14">
        <v>10.0</v>
      </c>
      <c r="S400" s="14">
        <v>1347.0</v>
      </c>
      <c r="T400" s="14">
        <v>7.0</v>
      </c>
      <c r="U400" s="14">
        <v>1355.0</v>
      </c>
      <c r="V400" s="14">
        <v>8.0</v>
      </c>
      <c r="W400" s="14">
        <v>1363.0</v>
      </c>
      <c r="X400" s="14">
        <v>8.0</v>
      </c>
      <c r="Y400" s="14">
        <v>1371.0</v>
      </c>
      <c r="Z400" s="14">
        <v>8.0</v>
      </c>
      <c r="AA400" s="14">
        <v>1380.0</v>
      </c>
      <c r="AB400" s="14">
        <v>9.0</v>
      </c>
      <c r="AC400" s="14">
        <v>9.0</v>
      </c>
      <c r="AD400" s="14">
        <v>0.0</v>
      </c>
      <c r="AE400" s="14">
        <v>0.0</v>
      </c>
      <c r="AG400" s="14">
        <v>3.0</v>
      </c>
      <c r="AH400" s="14">
        <v>20.0</v>
      </c>
      <c r="AI400" s="14">
        <v>32.0</v>
      </c>
    </row>
    <row r="401" ht="15.75" customHeight="1">
      <c r="A401" s="14">
        <v>403.0</v>
      </c>
      <c r="B401" s="14" t="s">
        <v>1116</v>
      </c>
      <c r="C401" s="14" t="s">
        <v>190</v>
      </c>
      <c r="D401" s="14">
        <v>3.0</v>
      </c>
      <c r="E401" s="14">
        <v>236.0</v>
      </c>
      <c r="F401" s="14">
        <v>9.0</v>
      </c>
      <c r="G401" s="14">
        <v>245.0</v>
      </c>
      <c r="H401" s="14">
        <v>9.0</v>
      </c>
      <c r="I401" s="14">
        <v>254.0</v>
      </c>
      <c r="J401" s="14">
        <v>10.0</v>
      </c>
      <c r="K401" s="14">
        <v>264.0</v>
      </c>
      <c r="L401" s="14">
        <v>8.0</v>
      </c>
      <c r="M401" s="14">
        <v>272.0</v>
      </c>
      <c r="N401" s="14">
        <v>10.0</v>
      </c>
      <c r="O401" s="14">
        <v>282.0</v>
      </c>
      <c r="P401" s="14">
        <v>8.0</v>
      </c>
      <c r="Q401" s="14">
        <v>290.0</v>
      </c>
      <c r="R401" s="14">
        <v>8.0</v>
      </c>
      <c r="S401" s="14">
        <v>299.0</v>
      </c>
      <c r="T401" s="14">
        <v>9.0</v>
      </c>
      <c r="U401" s="14">
        <v>308.0</v>
      </c>
      <c r="V401" s="14">
        <v>9.0</v>
      </c>
      <c r="W401" s="14">
        <v>320.0</v>
      </c>
      <c r="X401" s="14">
        <v>12.0</v>
      </c>
      <c r="Y401" s="14">
        <v>329.0</v>
      </c>
      <c r="Z401" s="14">
        <v>9.0</v>
      </c>
      <c r="AA401" s="14">
        <v>338.0</v>
      </c>
      <c r="AB401" s="14">
        <v>9.0</v>
      </c>
      <c r="AC401" s="14">
        <v>9.0</v>
      </c>
      <c r="AD401" s="14">
        <v>0.0</v>
      </c>
      <c r="AE401" s="14">
        <v>0.0</v>
      </c>
      <c r="AG401" s="14">
        <v>3.0</v>
      </c>
      <c r="AH401" s="14">
        <v>20.0</v>
      </c>
      <c r="AI401" s="14">
        <v>32.0</v>
      </c>
    </row>
    <row r="402" ht="15.75" customHeight="1">
      <c r="A402" s="14">
        <v>404.0</v>
      </c>
      <c r="B402" s="14" t="s">
        <v>1119</v>
      </c>
      <c r="C402" s="14" t="s">
        <v>190</v>
      </c>
      <c r="D402" s="14">
        <v>4.0</v>
      </c>
      <c r="E402" s="14">
        <v>1837.0</v>
      </c>
      <c r="F402" s="14">
        <v>5.0</v>
      </c>
      <c r="G402" s="14">
        <v>1842.0</v>
      </c>
      <c r="H402" s="14">
        <v>5.0</v>
      </c>
      <c r="I402" s="14">
        <v>1847.0</v>
      </c>
      <c r="J402" s="14">
        <v>6.0</v>
      </c>
      <c r="K402" s="14">
        <v>1853.0</v>
      </c>
      <c r="L402" s="14">
        <v>6.0</v>
      </c>
      <c r="M402" s="14">
        <v>1859.0</v>
      </c>
      <c r="N402" s="14">
        <v>4.0</v>
      </c>
      <c r="O402" s="14">
        <v>1863.0</v>
      </c>
      <c r="P402" s="14">
        <v>5.0</v>
      </c>
      <c r="Q402" s="14">
        <v>1868.0</v>
      </c>
      <c r="R402" s="14">
        <v>5.0</v>
      </c>
      <c r="S402" s="14">
        <v>1878.0</v>
      </c>
      <c r="T402" s="14">
        <v>10.0</v>
      </c>
      <c r="U402" s="14">
        <v>1883.0</v>
      </c>
      <c r="V402" s="14">
        <v>5.0</v>
      </c>
      <c r="W402" s="14">
        <v>1888.0</v>
      </c>
      <c r="X402" s="14">
        <v>5.0</v>
      </c>
      <c r="Y402" s="14">
        <v>1892.0</v>
      </c>
      <c r="Z402" s="14">
        <v>4.0</v>
      </c>
      <c r="AA402" s="14">
        <v>1897.0</v>
      </c>
      <c r="AB402" s="14">
        <v>5.0</v>
      </c>
      <c r="AC402" s="14">
        <v>5.0</v>
      </c>
      <c r="AD402" s="14">
        <v>0.0</v>
      </c>
      <c r="AE402" s="14">
        <v>0.0</v>
      </c>
      <c r="AG402" s="14">
        <v>3.0</v>
      </c>
      <c r="AH402" s="14">
        <v>20.0</v>
      </c>
      <c r="AI402" s="14">
        <v>28.0</v>
      </c>
    </row>
    <row r="403" ht="15.75" customHeight="1">
      <c r="A403" s="14">
        <v>405.0</v>
      </c>
      <c r="B403" s="14" t="s">
        <v>1121</v>
      </c>
      <c r="C403" s="14" t="s">
        <v>190</v>
      </c>
      <c r="D403" s="14">
        <v>5.0</v>
      </c>
      <c r="E403" s="14">
        <v>1144.0</v>
      </c>
      <c r="F403" s="14">
        <v>3.0</v>
      </c>
      <c r="G403" s="14">
        <v>1147.0</v>
      </c>
      <c r="H403" s="14">
        <v>4.0</v>
      </c>
      <c r="I403" s="14">
        <v>1151.0</v>
      </c>
      <c r="J403" s="14">
        <v>2.0</v>
      </c>
      <c r="K403" s="14">
        <v>1153.0</v>
      </c>
      <c r="L403" s="14">
        <v>5.0</v>
      </c>
      <c r="M403" s="14">
        <v>1158.0</v>
      </c>
      <c r="N403" s="14">
        <v>4.0</v>
      </c>
      <c r="O403" s="14">
        <v>1162.0</v>
      </c>
      <c r="P403" s="14">
        <v>4.0</v>
      </c>
      <c r="Q403" s="14">
        <v>1166.0</v>
      </c>
      <c r="R403" s="14">
        <v>4.0</v>
      </c>
      <c r="S403" s="14">
        <v>1170.0</v>
      </c>
      <c r="T403" s="14">
        <v>4.0</v>
      </c>
      <c r="U403" s="14">
        <v>1168.0</v>
      </c>
      <c r="V403" s="14">
        <v>0.0</v>
      </c>
      <c r="W403" s="14">
        <v>1170.0</v>
      </c>
      <c r="X403" s="14">
        <v>2.0</v>
      </c>
      <c r="Y403" s="14">
        <v>1173.0</v>
      </c>
      <c r="Z403" s="14">
        <v>3.0</v>
      </c>
      <c r="AA403" s="14">
        <v>1177.0</v>
      </c>
      <c r="AB403" s="14">
        <v>4.0</v>
      </c>
      <c r="AC403" s="14">
        <v>5.0</v>
      </c>
      <c r="AD403" s="14">
        <v>0.0</v>
      </c>
      <c r="AE403" s="14">
        <v>0.0</v>
      </c>
      <c r="AG403" s="14">
        <v>3.0</v>
      </c>
      <c r="AH403" s="14">
        <v>0.0</v>
      </c>
      <c r="AI403" s="14">
        <v>8.0</v>
      </c>
    </row>
    <row r="404" ht="15.75" customHeight="1">
      <c r="A404" s="14">
        <v>406.0</v>
      </c>
      <c r="B404" s="14" t="s">
        <v>1220</v>
      </c>
      <c r="C404" s="14" t="s">
        <v>190</v>
      </c>
      <c r="D404" s="14">
        <v>6.0</v>
      </c>
      <c r="K404" s="14">
        <v>0.0</v>
      </c>
      <c r="L404" s="14">
        <v>0.0</v>
      </c>
      <c r="M404" s="14">
        <v>0.0</v>
      </c>
      <c r="N404" s="14">
        <v>1.0</v>
      </c>
      <c r="O404" s="14">
        <v>1.0</v>
      </c>
      <c r="P404" s="14">
        <v>0.0</v>
      </c>
      <c r="Q404" s="14">
        <v>1.0</v>
      </c>
      <c r="R404" s="14">
        <v>0.0</v>
      </c>
      <c r="S404" s="14">
        <v>1.0</v>
      </c>
      <c r="T404" s="14">
        <v>0.0</v>
      </c>
      <c r="U404" s="14">
        <v>0.0</v>
      </c>
      <c r="V404" s="14">
        <v>0.0</v>
      </c>
      <c r="W404" s="14">
        <v>0.0</v>
      </c>
      <c r="X404" s="14">
        <v>0.0</v>
      </c>
      <c r="Y404" s="14">
        <v>0.0</v>
      </c>
      <c r="Z404" s="14">
        <v>0.0</v>
      </c>
      <c r="AA404" s="14">
        <v>0.0</v>
      </c>
      <c r="AB404" s="14">
        <v>0.0</v>
      </c>
      <c r="AC404" s="14">
        <v>5.0</v>
      </c>
      <c r="AD404" s="14">
        <v>32.0</v>
      </c>
      <c r="AE404" s="14">
        <v>40.0</v>
      </c>
      <c r="AF404" s="14">
        <v>100.0</v>
      </c>
      <c r="AG404" s="14">
        <v>3.0</v>
      </c>
      <c r="AH404" s="14">
        <v>40.0</v>
      </c>
      <c r="AI404" s="14">
        <v>220.0</v>
      </c>
    </row>
    <row r="405" ht="15.75" customHeight="1">
      <c r="A405" s="14">
        <v>407.0</v>
      </c>
      <c r="B405" s="14" t="s">
        <v>1123</v>
      </c>
      <c r="C405" s="14" t="s">
        <v>190</v>
      </c>
      <c r="D405" s="14">
        <v>7.0</v>
      </c>
      <c r="E405" s="14">
        <v>799.0</v>
      </c>
      <c r="F405" s="14">
        <v>8.0</v>
      </c>
      <c r="G405" s="14">
        <v>807.0</v>
      </c>
      <c r="H405" s="14">
        <v>8.0</v>
      </c>
      <c r="I405" s="14">
        <v>815.0</v>
      </c>
      <c r="J405" s="14">
        <v>9.0</v>
      </c>
      <c r="K405" s="14">
        <v>824.0</v>
      </c>
      <c r="L405" s="14">
        <v>8.0</v>
      </c>
      <c r="M405" s="14">
        <v>832.0</v>
      </c>
      <c r="N405" s="14">
        <v>10.0</v>
      </c>
      <c r="O405" s="14">
        <v>842.0</v>
      </c>
      <c r="P405" s="14">
        <v>8.0</v>
      </c>
      <c r="Q405" s="14">
        <v>850.0</v>
      </c>
      <c r="R405" s="14">
        <v>8.0</v>
      </c>
      <c r="S405" s="14">
        <v>858.0</v>
      </c>
      <c r="T405" s="14">
        <v>8.0</v>
      </c>
      <c r="U405" s="14">
        <v>873.0</v>
      </c>
      <c r="V405" s="14">
        <v>15.0</v>
      </c>
      <c r="W405" s="14">
        <v>886.0</v>
      </c>
      <c r="X405" s="14">
        <v>13.0</v>
      </c>
      <c r="Y405" s="14">
        <v>894.0</v>
      </c>
      <c r="Z405" s="14">
        <v>8.0</v>
      </c>
      <c r="AA405" s="14">
        <v>902.0</v>
      </c>
      <c r="AB405" s="14">
        <v>8.0</v>
      </c>
      <c r="AC405" s="14">
        <v>8.0</v>
      </c>
      <c r="AD405" s="14">
        <v>0.0</v>
      </c>
      <c r="AE405" s="14">
        <v>0.0</v>
      </c>
      <c r="AG405" s="14">
        <v>3.0</v>
      </c>
      <c r="AH405" s="14">
        <v>20.0</v>
      </c>
      <c r="AI405" s="14">
        <v>31.0</v>
      </c>
    </row>
    <row r="406" ht="15.75" customHeight="1">
      <c r="A406" s="14">
        <v>408.0</v>
      </c>
      <c r="B406" s="14" t="s">
        <v>1127</v>
      </c>
      <c r="C406" s="14" t="s">
        <v>190</v>
      </c>
      <c r="D406" s="14">
        <v>8.0</v>
      </c>
      <c r="E406" s="14">
        <v>151.0</v>
      </c>
      <c r="F406" s="14">
        <v>12.0</v>
      </c>
      <c r="G406" s="14">
        <v>163.0</v>
      </c>
      <c r="H406" s="14">
        <v>11.0</v>
      </c>
      <c r="I406" s="14">
        <v>174.0</v>
      </c>
      <c r="J406" s="14">
        <v>8.0</v>
      </c>
      <c r="K406" s="14">
        <v>182.0</v>
      </c>
      <c r="L406" s="14">
        <v>11.0</v>
      </c>
      <c r="M406" s="14">
        <v>193.0</v>
      </c>
      <c r="N406" s="14">
        <v>8.0</v>
      </c>
      <c r="O406" s="14">
        <v>201.0</v>
      </c>
      <c r="P406" s="14">
        <v>9.0</v>
      </c>
      <c r="Q406" s="14">
        <v>210.0</v>
      </c>
      <c r="R406" s="14">
        <v>9.0</v>
      </c>
      <c r="S406" s="14">
        <v>219.0</v>
      </c>
      <c r="T406" s="14">
        <v>9.0</v>
      </c>
      <c r="U406" s="14">
        <v>227.0</v>
      </c>
      <c r="V406" s="14">
        <v>8.0</v>
      </c>
      <c r="W406" s="14">
        <v>235.0</v>
      </c>
      <c r="X406" s="14">
        <v>8.0</v>
      </c>
      <c r="Y406" s="14">
        <v>243.0</v>
      </c>
      <c r="Z406" s="14">
        <v>8.0</v>
      </c>
      <c r="AA406" s="14">
        <v>250.0</v>
      </c>
      <c r="AB406" s="14">
        <v>7.0</v>
      </c>
      <c r="AC406" s="14">
        <v>7.0</v>
      </c>
      <c r="AD406" s="14">
        <v>0.0</v>
      </c>
      <c r="AE406" s="14">
        <v>0.0</v>
      </c>
      <c r="AG406" s="14">
        <v>3.0</v>
      </c>
      <c r="AH406" s="14">
        <v>0.0</v>
      </c>
      <c r="AI406" s="14">
        <v>10.0</v>
      </c>
    </row>
    <row r="407" ht="15.75" customHeight="1">
      <c r="A407" s="14">
        <v>409.0</v>
      </c>
      <c r="B407" s="14" t="s">
        <v>1128</v>
      </c>
      <c r="C407" s="14" t="s">
        <v>190</v>
      </c>
      <c r="D407" s="14">
        <v>9.0</v>
      </c>
      <c r="E407" s="14">
        <v>358.0</v>
      </c>
      <c r="F407" s="14">
        <v>6.0</v>
      </c>
      <c r="G407" s="14">
        <v>364.0</v>
      </c>
      <c r="H407" s="14">
        <v>8.0</v>
      </c>
      <c r="I407" s="14">
        <v>372.0</v>
      </c>
      <c r="J407" s="14">
        <v>7.0</v>
      </c>
      <c r="K407" s="14">
        <v>379.0</v>
      </c>
      <c r="L407" s="14">
        <v>6.0</v>
      </c>
      <c r="M407" s="14">
        <v>385.0</v>
      </c>
      <c r="N407" s="14">
        <v>6.0</v>
      </c>
      <c r="O407" s="14">
        <v>391.0</v>
      </c>
      <c r="P407" s="14">
        <v>2.0</v>
      </c>
      <c r="Q407" s="14">
        <v>393.0</v>
      </c>
      <c r="R407" s="14">
        <v>2.0</v>
      </c>
      <c r="S407" s="14">
        <v>393.0</v>
      </c>
      <c r="T407" s="14">
        <v>0.0</v>
      </c>
      <c r="U407" s="14">
        <v>400.0</v>
      </c>
      <c r="V407" s="14">
        <v>7.0</v>
      </c>
      <c r="W407" s="14">
        <v>403.0</v>
      </c>
      <c r="X407" s="14">
        <v>3.0</v>
      </c>
      <c r="Y407" s="14">
        <v>407.0</v>
      </c>
      <c r="Z407" s="14">
        <v>4.0</v>
      </c>
      <c r="AA407" s="14">
        <v>411.0</v>
      </c>
      <c r="AB407" s="14">
        <v>4.0</v>
      </c>
      <c r="AC407" s="14">
        <v>5.0</v>
      </c>
      <c r="AD407" s="14">
        <v>8.0</v>
      </c>
      <c r="AE407" s="14">
        <v>0.0</v>
      </c>
      <c r="AG407" s="14">
        <v>3.0</v>
      </c>
      <c r="AH407" s="14">
        <v>0.0</v>
      </c>
      <c r="AI407" s="14">
        <v>16.0</v>
      </c>
    </row>
    <row r="408" ht="15.75" customHeight="1">
      <c r="A408" s="14">
        <v>410.0</v>
      </c>
      <c r="B408" s="14" t="s">
        <v>1131</v>
      </c>
      <c r="C408" s="14" t="s">
        <v>190</v>
      </c>
      <c r="D408" s="14">
        <v>11.0</v>
      </c>
      <c r="E408" s="14">
        <v>1073.0</v>
      </c>
      <c r="F408" s="14">
        <v>8.0</v>
      </c>
      <c r="G408" s="14">
        <v>1081.0</v>
      </c>
      <c r="H408" s="14">
        <v>11.0</v>
      </c>
      <c r="I408" s="14">
        <v>1092.0</v>
      </c>
      <c r="J408" s="14">
        <v>11.0</v>
      </c>
      <c r="K408" s="14">
        <v>1103.0</v>
      </c>
      <c r="L408" s="14">
        <v>13.0</v>
      </c>
      <c r="M408" s="14">
        <v>1116.0</v>
      </c>
      <c r="N408" s="14">
        <v>10.0</v>
      </c>
      <c r="O408" s="14">
        <v>1126.0</v>
      </c>
      <c r="P408" s="14">
        <v>12.0</v>
      </c>
      <c r="Q408" s="14">
        <v>1138.0</v>
      </c>
      <c r="R408" s="14">
        <v>12.0</v>
      </c>
      <c r="S408" s="14">
        <v>1153.0</v>
      </c>
      <c r="T408" s="14">
        <v>15.0</v>
      </c>
      <c r="U408" s="14">
        <v>1170.0</v>
      </c>
      <c r="V408" s="14">
        <v>17.0</v>
      </c>
      <c r="W408" s="14">
        <v>1184.0</v>
      </c>
      <c r="X408" s="14">
        <v>14.0</v>
      </c>
      <c r="Y408" s="14">
        <v>1198.0</v>
      </c>
      <c r="Z408" s="14">
        <v>14.0</v>
      </c>
      <c r="AA408" s="14">
        <v>1211.0</v>
      </c>
      <c r="AB408" s="14">
        <v>13.0</v>
      </c>
      <c r="AC408" s="14">
        <v>13.0</v>
      </c>
      <c r="AD408" s="14">
        <v>0.0</v>
      </c>
      <c r="AE408" s="14">
        <v>0.0</v>
      </c>
      <c r="AG408" s="14">
        <v>3.0</v>
      </c>
      <c r="AH408" s="14">
        <v>0.0</v>
      </c>
      <c r="AI408" s="14">
        <v>16.0</v>
      </c>
    </row>
    <row r="409" ht="15.75" customHeight="1">
      <c r="A409" s="14">
        <v>411.0</v>
      </c>
      <c r="B409" s="14" t="s">
        <v>1132</v>
      </c>
      <c r="C409" s="14" t="s">
        <v>190</v>
      </c>
      <c r="D409" s="14">
        <v>12.0</v>
      </c>
      <c r="E409" s="14">
        <v>56.0</v>
      </c>
      <c r="F409" s="14">
        <v>1.0</v>
      </c>
      <c r="G409" s="14">
        <v>57.0</v>
      </c>
      <c r="H409" s="14">
        <v>2.0</v>
      </c>
      <c r="I409" s="14">
        <v>59.0</v>
      </c>
      <c r="J409" s="14">
        <v>1.0</v>
      </c>
      <c r="K409" s="14">
        <v>60.0</v>
      </c>
      <c r="L409" s="14">
        <v>0.0</v>
      </c>
      <c r="M409" s="14">
        <v>60.0</v>
      </c>
      <c r="N409" s="14">
        <v>0.0</v>
      </c>
      <c r="O409" s="14">
        <v>60.0</v>
      </c>
      <c r="P409" s="14">
        <v>1.0</v>
      </c>
      <c r="Q409" s="14">
        <v>61.0</v>
      </c>
      <c r="R409" s="14">
        <v>1.0</v>
      </c>
      <c r="S409" s="14">
        <v>61.0</v>
      </c>
      <c r="T409" s="14">
        <v>0.0</v>
      </c>
      <c r="U409" s="14">
        <v>61.0</v>
      </c>
      <c r="V409" s="14">
        <v>0.0</v>
      </c>
      <c r="W409" s="14">
        <v>61.0</v>
      </c>
      <c r="X409" s="14">
        <v>0.0</v>
      </c>
      <c r="Y409" s="14">
        <v>61.0</v>
      </c>
      <c r="Z409" s="14">
        <v>0.0</v>
      </c>
      <c r="AA409" s="14">
        <v>62.0</v>
      </c>
      <c r="AB409" s="14">
        <v>1.0</v>
      </c>
      <c r="AC409" s="14">
        <v>5.0</v>
      </c>
      <c r="AD409" s="14">
        <v>8.0</v>
      </c>
      <c r="AE409" s="14">
        <v>0.0</v>
      </c>
      <c r="AG409" s="14">
        <v>3.0</v>
      </c>
      <c r="AH409" s="14">
        <v>20.0</v>
      </c>
      <c r="AI409" s="14">
        <v>36.0</v>
      </c>
    </row>
    <row r="410" ht="15.75" customHeight="1">
      <c r="A410" s="14">
        <v>412.0</v>
      </c>
      <c r="B410" s="14" t="s">
        <v>1134</v>
      </c>
      <c r="C410" s="14" t="s">
        <v>190</v>
      </c>
      <c r="D410" s="14">
        <v>13.0</v>
      </c>
      <c r="E410" s="14">
        <v>450.0</v>
      </c>
      <c r="F410" s="14">
        <v>4.0</v>
      </c>
      <c r="G410" s="14">
        <v>454.0</v>
      </c>
      <c r="H410" s="14">
        <v>8.0</v>
      </c>
      <c r="I410" s="14">
        <v>462.0</v>
      </c>
      <c r="J410" s="14">
        <v>1.0</v>
      </c>
      <c r="K410" s="14">
        <v>463.0</v>
      </c>
      <c r="L410" s="14">
        <v>4.0</v>
      </c>
      <c r="M410" s="14">
        <v>467.0</v>
      </c>
      <c r="N410" s="14">
        <v>4.0</v>
      </c>
      <c r="O410" s="14">
        <v>471.0</v>
      </c>
      <c r="P410" s="14">
        <v>4.0</v>
      </c>
      <c r="Q410" s="14">
        <v>475.0</v>
      </c>
      <c r="R410" s="14">
        <v>4.0</v>
      </c>
      <c r="S410" s="14">
        <v>480.0</v>
      </c>
      <c r="T410" s="14">
        <v>5.0</v>
      </c>
      <c r="U410" s="14">
        <v>488.0</v>
      </c>
      <c r="V410" s="14">
        <v>8.0</v>
      </c>
      <c r="W410" s="14">
        <v>495.0</v>
      </c>
      <c r="X410" s="14">
        <v>7.0</v>
      </c>
      <c r="Y410" s="14">
        <v>501.0</v>
      </c>
      <c r="Z410" s="14">
        <v>6.0</v>
      </c>
      <c r="AA410" s="14">
        <v>507.0</v>
      </c>
      <c r="AB410" s="14">
        <v>6.0</v>
      </c>
      <c r="AC410" s="14">
        <v>6.0</v>
      </c>
      <c r="AD410" s="14">
        <v>0.0</v>
      </c>
      <c r="AE410" s="14">
        <v>0.0</v>
      </c>
      <c r="AG410" s="14">
        <v>3.0</v>
      </c>
      <c r="AH410" s="14">
        <v>0.0</v>
      </c>
      <c r="AI410" s="14">
        <v>9.0</v>
      </c>
    </row>
    <row r="411" ht="15.75" customHeight="1">
      <c r="A411" s="14">
        <v>413.0</v>
      </c>
      <c r="B411" s="14" t="s">
        <v>1137</v>
      </c>
      <c r="C411" s="14" t="s">
        <v>190</v>
      </c>
      <c r="D411" s="14">
        <v>14.0</v>
      </c>
      <c r="E411" s="14">
        <v>931.0</v>
      </c>
      <c r="F411" s="14">
        <v>10.0</v>
      </c>
      <c r="G411" s="14">
        <v>941.0</v>
      </c>
      <c r="H411" s="14">
        <v>9.0</v>
      </c>
      <c r="I411" s="14">
        <v>950.0</v>
      </c>
      <c r="J411" s="14">
        <v>13.0</v>
      </c>
      <c r="K411" s="14">
        <v>963.0</v>
      </c>
      <c r="L411" s="14">
        <v>10.0</v>
      </c>
      <c r="M411" s="14">
        <v>973.0</v>
      </c>
      <c r="N411" s="14">
        <v>10.0</v>
      </c>
      <c r="O411" s="14">
        <v>983.0</v>
      </c>
      <c r="P411" s="14">
        <v>27.0</v>
      </c>
      <c r="Q411" s="14">
        <v>1010.0</v>
      </c>
      <c r="R411" s="14">
        <v>27.0</v>
      </c>
      <c r="S411" s="14">
        <v>1023.0</v>
      </c>
      <c r="T411" s="14">
        <v>13.0</v>
      </c>
      <c r="U411" s="14">
        <v>1030.0</v>
      </c>
      <c r="V411" s="14">
        <v>7.0</v>
      </c>
      <c r="W411" s="14">
        <v>1039.0</v>
      </c>
      <c r="X411" s="14">
        <v>9.0</v>
      </c>
      <c r="Y411" s="14">
        <v>1047.0</v>
      </c>
      <c r="Z411" s="14">
        <v>8.0</v>
      </c>
      <c r="AA411" s="14">
        <v>1053.0</v>
      </c>
      <c r="AB411" s="14">
        <v>6.0</v>
      </c>
      <c r="AC411" s="14">
        <v>6.0</v>
      </c>
      <c r="AD411" s="14">
        <v>0.0</v>
      </c>
      <c r="AE411" s="14">
        <v>0.0</v>
      </c>
      <c r="AG411" s="14">
        <v>3.0</v>
      </c>
      <c r="AH411" s="14">
        <v>20.0</v>
      </c>
      <c r="AI411" s="14">
        <v>29.0</v>
      </c>
    </row>
    <row r="412" ht="15.75" customHeight="1">
      <c r="A412" s="14">
        <v>414.0</v>
      </c>
      <c r="B412" s="14" t="s">
        <v>1140</v>
      </c>
      <c r="C412" s="14" t="s">
        <v>190</v>
      </c>
      <c r="D412" s="14">
        <v>15.0</v>
      </c>
      <c r="E412" s="14">
        <v>1308.0</v>
      </c>
      <c r="F412" s="14">
        <v>10.0</v>
      </c>
      <c r="G412" s="14">
        <v>1318.0</v>
      </c>
      <c r="H412" s="14">
        <v>11.0</v>
      </c>
      <c r="I412" s="14">
        <v>1329.0</v>
      </c>
      <c r="J412" s="14">
        <v>7.0</v>
      </c>
      <c r="K412" s="14">
        <v>1336.0</v>
      </c>
      <c r="L412" s="14">
        <v>9.0</v>
      </c>
      <c r="M412" s="14">
        <v>1345.0</v>
      </c>
      <c r="N412" s="14">
        <v>7.0</v>
      </c>
      <c r="O412" s="14">
        <v>1352.0</v>
      </c>
      <c r="P412" s="14">
        <v>6.0</v>
      </c>
      <c r="Q412" s="14">
        <v>1358.0</v>
      </c>
      <c r="R412" s="14">
        <v>6.0</v>
      </c>
      <c r="S412" s="14">
        <v>1362.0</v>
      </c>
      <c r="T412" s="14">
        <v>4.0</v>
      </c>
      <c r="U412" s="14">
        <v>1366.0</v>
      </c>
      <c r="V412" s="14">
        <v>4.0</v>
      </c>
      <c r="W412" s="14">
        <v>1372.0</v>
      </c>
      <c r="X412" s="14">
        <v>6.0</v>
      </c>
      <c r="Y412" s="14">
        <v>1380.0</v>
      </c>
      <c r="Z412" s="14">
        <v>8.0</v>
      </c>
      <c r="AA412" s="14">
        <v>1389.0</v>
      </c>
      <c r="AB412" s="14">
        <v>9.0</v>
      </c>
      <c r="AC412" s="14">
        <v>9.0</v>
      </c>
      <c r="AD412" s="14">
        <v>11.0</v>
      </c>
      <c r="AE412" s="14">
        <v>0.0</v>
      </c>
      <c r="AG412" s="14">
        <v>3.0</v>
      </c>
      <c r="AH412" s="14">
        <v>20.0</v>
      </c>
      <c r="AI412" s="14">
        <v>43.0</v>
      </c>
    </row>
    <row r="413" ht="15.75" customHeight="1">
      <c r="A413" s="14">
        <v>415.0</v>
      </c>
      <c r="B413" s="14" t="s">
        <v>1142</v>
      </c>
      <c r="C413" s="14" t="s">
        <v>190</v>
      </c>
      <c r="D413" s="14">
        <v>16.0</v>
      </c>
      <c r="E413" s="14">
        <v>1730.0</v>
      </c>
      <c r="F413" s="14">
        <v>16.0</v>
      </c>
      <c r="G413" s="14">
        <v>1746.0</v>
      </c>
      <c r="H413" s="14">
        <v>16.0</v>
      </c>
      <c r="I413" s="14">
        <v>1762.0</v>
      </c>
      <c r="J413" s="14">
        <v>13.0</v>
      </c>
      <c r="K413" s="14">
        <v>1775.0</v>
      </c>
      <c r="L413" s="14">
        <v>12.0</v>
      </c>
      <c r="M413" s="14">
        <v>1787.0</v>
      </c>
      <c r="N413" s="14">
        <v>14.0</v>
      </c>
      <c r="O413" s="14">
        <v>1801.0</v>
      </c>
      <c r="P413" s="14">
        <v>9.0</v>
      </c>
      <c r="Q413" s="14">
        <v>1810.0</v>
      </c>
      <c r="R413" s="14">
        <v>9.0</v>
      </c>
      <c r="S413" s="14">
        <v>1817.0</v>
      </c>
      <c r="T413" s="14">
        <v>68.0</v>
      </c>
      <c r="U413" s="14">
        <v>1825.0</v>
      </c>
      <c r="V413" s="14">
        <v>8.0</v>
      </c>
      <c r="W413" s="14">
        <v>1840.0</v>
      </c>
      <c r="X413" s="14">
        <v>15.0</v>
      </c>
      <c r="Y413" s="14">
        <v>1858.0</v>
      </c>
      <c r="Z413" s="14">
        <v>18.0</v>
      </c>
      <c r="AA413" s="14">
        <v>1876.0</v>
      </c>
      <c r="AB413" s="14">
        <v>18.0</v>
      </c>
      <c r="AC413" s="14">
        <v>18.0</v>
      </c>
      <c r="AD413" s="14">
        <v>0.0</v>
      </c>
      <c r="AE413" s="14">
        <v>0.0</v>
      </c>
      <c r="AG413" s="14">
        <v>3.0</v>
      </c>
      <c r="AH413" s="14">
        <v>0.0</v>
      </c>
      <c r="AI413" s="14">
        <v>21.0</v>
      </c>
    </row>
    <row r="414" ht="15.75" customHeight="1">
      <c r="A414" s="14">
        <v>416.0</v>
      </c>
      <c r="B414" s="14" t="s">
        <v>1144</v>
      </c>
      <c r="C414" s="14" t="s">
        <v>190</v>
      </c>
      <c r="D414" s="14">
        <v>17.0</v>
      </c>
      <c r="E414" s="14">
        <v>1431.0</v>
      </c>
      <c r="F414" s="14">
        <v>11.0</v>
      </c>
      <c r="G414" s="14">
        <v>1442.0</v>
      </c>
      <c r="H414" s="14">
        <v>10.0</v>
      </c>
      <c r="I414" s="14">
        <v>1452.0</v>
      </c>
      <c r="J414" s="14">
        <v>5.0</v>
      </c>
      <c r="K414" s="14">
        <v>1457.0</v>
      </c>
      <c r="L414" s="14">
        <v>7.0</v>
      </c>
      <c r="M414" s="14">
        <v>1464.0</v>
      </c>
      <c r="N414" s="14">
        <v>7.0</v>
      </c>
      <c r="O414" s="14">
        <v>1471.0</v>
      </c>
      <c r="P414" s="14">
        <v>25.0</v>
      </c>
      <c r="Q414" s="14">
        <v>1496.0</v>
      </c>
      <c r="R414" s="14">
        <v>25.0</v>
      </c>
      <c r="S414" s="14">
        <v>1508.0</v>
      </c>
      <c r="T414" s="14">
        <v>12.0</v>
      </c>
      <c r="U414" s="14">
        <v>1521.0</v>
      </c>
      <c r="V414" s="14">
        <v>13.0</v>
      </c>
      <c r="W414" s="14">
        <v>1537.0</v>
      </c>
      <c r="X414" s="14">
        <v>16.0</v>
      </c>
      <c r="Y414" s="14">
        <v>1553.0</v>
      </c>
      <c r="Z414" s="14">
        <v>16.0</v>
      </c>
      <c r="AA414" s="14">
        <v>1569.0</v>
      </c>
      <c r="AB414" s="14">
        <v>16.0</v>
      </c>
      <c r="AC414" s="14">
        <v>16.0</v>
      </c>
      <c r="AD414" s="14">
        <v>0.0</v>
      </c>
      <c r="AE414" s="14">
        <v>0.0</v>
      </c>
      <c r="AG414" s="14">
        <v>3.0</v>
      </c>
      <c r="AH414" s="14">
        <v>0.0</v>
      </c>
      <c r="AI414" s="14">
        <v>19.0</v>
      </c>
    </row>
    <row r="415" ht="15.75" customHeight="1">
      <c r="A415" s="14">
        <v>417.0</v>
      </c>
      <c r="B415" s="14" t="s">
        <v>1146</v>
      </c>
      <c r="C415" s="14" t="s">
        <v>190</v>
      </c>
      <c r="D415" s="14">
        <v>18.0</v>
      </c>
      <c r="W415" s="14">
        <v>0.0</v>
      </c>
      <c r="X415" s="14">
        <v>0.0</v>
      </c>
      <c r="Y415" s="14">
        <v>4.0</v>
      </c>
      <c r="Z415" s="14">
        <v>4.0</v>
      </c>
      <c r="AA415" s="14">
        <v>9.0</v>
      </c>
      <c r="AB415" s="14">
        <v>5.0</v>
      </c>
      <c r="AC415" s="14">
        <v>5.0</v>
      </c>
      <c r="AD415" s="14">
        <v>0.0</v>
      </c>
      <c r="AE415" s="14">
        <v>0.0</v>
      </c>
      <c r="AG415" s="14">
        <v>3.0</v>
      </c>
      <c r="AH415" s="14">
        <v>0.0</v>
      </c>
      <c r="AI415" s="14">
        <v>8.0</v>
      </c>
    </row>
    <row r="416" ht="15.75" customHeight="1">
      <c r="A416" s="14">
        <v>418.0</v>
      </c>
      <c r="B416" s="14" t="s">
        <v>1148</v>
      </c>
      <c r="C416" s="14" t="s">
        <v>193</v>
      </c>
      <c r="D416" s="14">
        <v>1.0</v>
      </c>
      <c r="E416" s="14">
        <v>414.0</v>
      </c>
      <c r="F416" s="14">
        <v>4.0</v>
      </c>
      <c r="G416" s="14">
        <v>418.0</v>
      </c>
      <c r="H416" s="14">
        <v>4.0</v>
      </c>
      <c r="I416" s="14">
        <v>422.0</v>
      </c>
      <c r="J416" s="14">
        <v>5.0</v>
      </c>
      <c r="K416" s="14">
        <v>427.0</v>
      </c>
      <c r="L416" s="14">
        <v>4.0</v>
      </c>
      <c r="M416" s="14">
        <v>431.0</v>
      </c>
      <c r="N416" s="14">
        <v>5.0</v>
      </c>
      <c r="O416" s="14">
        <v>436.0</v>
      </c>
      <c r="P416" s="14">
        <v>3.0</v>
      </c>
      <c r="Q416" s="14">
        <v>439.0</v>
      </c>
      <c r="R416" s="14">
        <v>3.0</v>
      </c>
      <c r="S416" s="14">
        <v>442.0</v>
      </c>
      <c r="T416" s="14">
        <v>3.0</v>
      </c>
      <c r="U416" s="14">
        <v>444.0</v>
      </c>
      <c r="V416" s="14">
        <v>2.0</v>
      </c>
      <c r="W416" s="14">
        <v>448.0</v>
      </c>
      <c r="X416" s="14">
        <v>4.0</v>
      </c>
      <c r="Y416" s="14">
        <v>449.0</v>
      </c>
      <c r="Z416" s="14">
        <v>1.0</v>
      </c>
      <c r="AA416" s="14">
        <v>451.0</v>
      </c>
      <c r="AB416" s="14">
        <v>2.0</v>
      </c>
      <c r="AC416" s="14">
        <v>5.0</v>
      </c>
      <c r="AD416" s="14">
        <v>0.0</v>
      </c>
      <c r="AE416" s="14">
        <v>0.0</v>
      </c>
      <c r="AG416" s="14">
        <v>3.0</v>
      </c>
      <c r="AH416" s="14">
        <v>0.0</v>
      </c>
      <c r="AI416" s="14">
        <v>8.0</v>
      </c>
    </row>
    <row r="417" ht="15.75" customHeight="1">
      <c r="A417" s="14">
        <v>419.0</v>
      </c>
      <c r="B417" s="14" t="s">
        <v>1150</v>
      </c>
      <c r="C417" s="14" t="s">
        <v>193</v>
      </c>
      <c r="D417" s="14">
        <v>2.0</v>
      </c>
      <c r="E417" s="14">
        <v>689.0</v>
      </c>
      <c r="F417" s="14">
        <v>7.0</v>
      </c>
      <c r="G417" s="14">
        <v>696.0</v>
      </c>
      <c r="H417" s="14">
        <v>7.0</v>
      </c>
      <c r="I417" s="14">
        <v>703.0</v>
      </c>
      <c r="J417" s="14">
        <v>8.0</v>
      </c>
      <c r="K417" s="14">
        <v>711.0</v>
      </c>
      <c r="L417" s="14">
        <v>18.0</v>
      </c>
      <c r="M417" s="14">
        <v>729.0</v>
      </c>
      <c r="N417" s="14">
        <v>8.0</v>
      </c>
      <c r="O417" s="14">
        <v>737.0</v>
      </c>
      <c r="P417" s="14">
        <v>5.0</v>
      </c>
      <c r="Q417" s="14">
        <v>742.0</v>
      </c>
      <c r="R417" s="14">
        <v>5.0</v>
      </c>
      <c r="S417" s="14">
        <v>750.0</v>
      </c>
      <c r="T417" s="14">
        <v>8.0</v>
      </c>
      <c r="U417" s="14">
        <v>762.0</v>
      </c>
      <c r="V417" s="14">
        <v>12.0</v>
      </c>
      <c r="W417" s="14">
        <v>770.0</v>
      </c>
      <c r="X417" s="14">
        <v>8.0</v>
      </c>
      <c r="Y417" s="14">
        <v>779.0</v>
      </c>
      <c r="Z417" s="14">
        <v>9.0</v>
      </c>
      <c r="AA417" s="14">
        <v>783.0</v>
      </c>
      <c r="AB417" s="14">
        <v>4.0</v>
      </c>
      <c r="AC417" s="14">
        <v>5.0</v>
      </c>
      <c r="AD417" s="14">
        <v>0.0</v>
      </c>
      <c r="AE417" s="14">
        <v>0.0</v>
      </c>
      <c r="AG417" s="14">
        <v>3.0</v>
      </c>
      <c r="AH417" s="14">
        <v>20.0</v>
      </c>
      <c r="AI417" s="14">
        <v>28.0</v>
      </c>
    </row>
    <row r="418" ht="15.75" customHeight="1">
      <c r="A418" s="14">
        <v>420.0</v>
      </c>
      <c r="B418" s="14" t="s">
        <v>1152</v>
      </c>
      <c r="C418" s="14" t="s">
        <v>193</v>
      </c>
      <c r="D418" s="14">
        <v>3.0</v>
      </c>
      <c r="E418" s="14">
        <v>6059.0</v>
      </c>
      <c r="F418" s="14">
        <v>50.0</v>
      </c>
      <c r="G418" s="14">
        <v>6109.0</v>
      </c>
      <c r="H418" s="14">
        <v>61.0</v>
      </c>
      <c r="I418" s="14">
        <v>6170.0</v>
      </c>
      <c r="J418" s="14">
        <v>60.0</v>
      </c>
      <c r="K418" s="14">
        <v>6230.0</v>
      </c>
      <c r="L418" s="14">
        <v>49.0</v>
      </c>
      <c r="M418" s="14">
        <v>6279.0</v>
      </c>
      <c r="N418" s="14">
        <v>44.0</v>
      </c>
      <c r="O418" s="14">
        <v>6323.0</v>
      </c>
      <c r="P418" s="14">
        <v>53.0</v>
      </c>
      <c r="Q418" s="14">
        <v>6376.0</v>
      </c>
      <c r="R418" s="14">
        <v>53.0</v>
      </c>
      <c r="S418" s="14">
        <v>6433.0</v>
      </c>
      <c r="T418" s="14">
        <v>57.0</v>
      </c>
      <c r="U418" s="14">
        <v>6488.0</v>
      </c>
      <c r="V418" s="14">
        <v>55.0</v>
      </c>
      <c r="W418" s="14">
        <v>6540.0</v>
      </c>
      <c r="X418" s="14">
        <v>52.0</v>
      </c>
      <c r="Y418" s="14">
        <v>6604.0</v>
      </c>
      <c r="Z418" s="14">
        <v>64.0</v>
      </c>
      <c r="AA418" s="14">
        <v>6684.0</v>
      </c>
      <c r="AB418" s="14">
        <v>80.0</v>
      </c>
      <c r="AC418" s="14">
        <v>160.0</v>
      </c>
      <c r="AD418" s="14">
        <v>0.0</v>
      </c>
      <c r="AE418" s="14">
        <v>0.0</v>
      </c>
      <c r="AG418" s="14">
        <v>3.0</v>
      </c>
      <c r="AH418" s="14">
        <v>0.0</v>
      </c>
      <c r="AI418" s="14">
        <v>163.0</v>
      </c>
    </row>
    <row r="419" ht="15.75" customHeight="1">
      <c r="A419" s="14">
        <v>421.0</v>
      </c>
      <c r="B419" s="14" t="s">
        <v>1155</v>
      </c>
      <c r="C419" s="14" t="s">
        <v>193</v>
      </c>
      <c r="D419" s="14">
        <v>4.0</v>
      </c>
      <c r="K419" s="14">
        <v>0.0</v>
      </c>
      <c r="L419" s="14">
        <v>11.0</v>
      </c>
      <c r="M419" s="14">
        <v>11.0</v>
      </c>
      <c r="N419" s="14">
        <v>6.0</v>
      </c>
      <c r="O419" s="14">
        <v>17.0</v>
      </c>
      <c r="P419" s="14">
        <v>9.0</v>
      </c>
      <c r="Q419" s="14">
        <v>26.0</v>
      </c>
      <c r="R419" s="14">
        <v>9.0</v>
      </c>
      <c r="S419" s="14">
        <v>32.0</v>
      </c>
      <c r="T419" s="14">
        <v>6.0</v>
      </c>
      <c r="U419" s="14">
        <v>41.0</v>
      </c>
      <c r="V419" s="14">
        <v>9.0</v>
      </c>
      <c r="W419" s="14">
        <v>50.0</v>
      </c>
      <c r="X419" s="14">
        <v>9.0</v>
      </c>
      <c r="Y419" s="14">
        <v>59.0</v>
      </c>
      <c r="Z419" s="14">
        <v>9.0</v>
      </c>
      <c r="AA419" s="14">
        <v>67.0</v>
      </c>
      <c r="AB419" s="14">
        <v>8.0</v>
      </c>
      <c r="AC419" s="14">
        <v>8.0</v>
      </c>
      <c r="AD419" s="14">
        <v>0.0</v>
      </c>
      <c r="AE419" s="14">
        <v>0.0</v>
      </c>
      <c r="AG419" s="14">
        <v>3.0</v>
      </c>
      <c r="AH419" s="14">
        <v>20.0</v>
      </c>
      <c r="AI419" s="14">
        <v>31.0</v>
      </c>
    </row>
    <row r="420" ht="15.75" customHeight="1">
      <c r="A420" s="14">
        <v>422.0</v>
      </c>
      <c r="B420" s="14" t="s">
        <v>1157</v>
      </c>
      <c r="C420" s="14" t="s">
        <v>193</v>
      </c>
      <c r="D420" s="14">
        <v>5.0</v>
      </c>
      <c r="E420" s="14">
        <v>918.0</v>
      </c>
      <c r="F420" s="14">
        <v>6.0</v>
      </c>
      <c r="G420" s="14">
        <v>924.0</v>
      </c>
      <c r="H420" s="14">
        <v>6.0</v>
      </c>
      <c r="I420" s="14">
        <v>930.0</v>
      </c>
      <c r="J420" s="14">
        <v>6.0</v>
      </c>
      <c r="K420" s="14">
        <v>936.0</v>
      </c>
      <c r="L420" s="14">
        <v>5.0</v>
      </c>
      <c r="M420" s="14">
        <v>941.0</v>
      </c>
      <c r="N420" s="14">
        <v>6.0</v>
      </c>
      <c r="O420" s="14">
        <v>947.0</v>
      </c>
      <c r="P420" s="14">
        <v>4.0</v>
      </c>
      <c r="Q420" s="14">
        <v>951.0</v>
      </c>
      <c r="R420" s="14">
        <v>4.0</v>
      </c>
      <c r="S420" s="14">
        <v>956.0</v>
      </c>
      <c r="T420" s="14">
        <v>5.0</v>
      </c>
      <c r="U420" s="14">
        <v>963.0</v>
      </c>
      <c r="V420" s="14">
        <v>7.0</v>
      </c>
      <c r="W420" s="14">
        <v>968.0</v>
      </c>
      <c r="X420" s="14">
        <v>5.0</v>
      </c>
      <c r="Y420" s="14">
        <v>974.0</v>
      </c>
      <c r="Z420" s="14">
        <v>6.0</v>
      </c>
      <c r="AA420" s="14">
        <v>979.0</v>
      </c>
      <c r="AB420" s="14">
        <v>5.0</v>
      </c>
      <c r="AC420" s="14">
        <v>5.0</v>
      </c>
      <c r="AD420" s="14">
        <v>0.0</v>
      </c>
      <c r="AE420" s="14">
        <v>0.0</v>
      </c>
      <c r="AG420" s="14">
        <v>3.0</v>
      </c>
      <c r="AH420" s="14">
        <v>20.0</v>
      </c>
      <c r="AI420" s="14">
        <v>28.0</v>
      </c>
    </row>
    <row r="421" ht="15.75" customHeight="1">
      <c r="A421" s="14">
        <v>423.0</v>
      </c>
      <c r="B421" s="14" t="s">
        <v>1253</v>
      </c>
      <c r="C421" s="14" t="s">
        <v>193</v>
      </c>
      <c r="D421" s="14">
        <v>6.0</v>
      </c>
      <c r="E421" s="14">
        <v>980.0</v>
      </c>
      <c r="F421" s="14">
        <v>10.0</v>
      </c>
      <c r="G421" s="14">
        <v>990.0</v>
      </c>
      <c r="H421" s="14">
        <v>9.0</v>
      </c>
      <c r="I421" s="14">
        <v>999.0</v>
      </c>
      <c r="J421" s="14">
        <v>8.0</v>
      </c>
      <c r="K421" s="14">
        <v>1007.0</v>
      </c>
      <c r="L421" s="14">
        <v>7.0</v>
      </c>
      <c r="M421" s="14">
        <v>1014.0</v>
      </c>
      <c r="N421" s="14">
        <v>4.0</v>
      </c>
      <c r="O421" s="14">
        <v>1018.0</v>
      </c>
      <c r="P421" s="14">
        <v>8.0</v>
      </c>
      <c r="Q421" s="14">
        <v>1026.0</v>
      </c>
      <c r="R421" s="14">
        <v>8.0</v>
      </c>
      <c r="S421" s="14">
        <v>1036.0</v>
      </c>
      <c r="T421" s="14">
        <v>10.0</v>
      </c>
      <c r="U421" s="14">
        <v>1045.0</v>
      </c>
      <c r="V421" s="14">
        <v>9.0</v>
      </c>
      <c r="W421" s="14">
        <v>1054.0</v>
      </c>
      <c r="X421" s="14">
        <v>9.0</v>
      </c>
      <c r="Y421" s="14">
        <v>1063.0</v>
      </c>
      <c r="Z421" s="14">
        <v>9.0</v>
      </c>
      <c r="AA421" s="14">
        <v>1071.0</v>
      </c>
      <c r="AB421" s="14">
        <v>8.0</v>
      </c>
      <c r="AC421" s="14">
        <v>8.0</v>
      </c>
      <c r="AD421" s="14">
        <v>0.0</v>
      </c>
      <c r="AE421" s="14">
        <v>0.0</v>
      </c>
      <c r="AG421" s="14">
        <v>3.0</v>
      </c>
      <c r="AH421" s="14">
        <v>0.0</v>
      </c>
      <c r="AI421" s="14">
        <v>11.0</v>
      </c>
    </row>
    <row r="422" ht="15.75" customHeight="1">
      <c r="A422" s="14">
        <v>424.0</v>
      </c>
      <c r="B422" s="14" t="s">
        <v>1160</v>
      </c>
      <c r="C422" s="14" t="s">
        <v>193</v>
      </c>
      <c r="D422" s="14">
        <v>7.0</v>
      </c>
      <c r="E422" s="14">
        <v>98.0</v>
      </c>
      <c r="F422" s="14">
        <v>4.0</v>
      </c>
      <c r="G422" s="14">
        <v>102.0</v>
      </c>
      <c r="H422" s="14">
        <v>5.0</v>
      </c>
      <c r="I422" s="14">
        <v>107.0</v>
      </c>
      <c r="J422" s="14">
        <v>4.0</v>
      </c>
      <c r="K422" s="14">
        <v>111.0</v>
      </c>
      <c r="L422" s="14">
        <v>6.0</v>
      </c>
      <c r="M422" s="14">
        <v>117.0</v>
      </c>
      <c r="N422" s="14">
        <v>5.0</v>
      </c>
      <c r="O422" s="14">
        <v>122.0</v>
      </c>
      <c r="P422" s="14">
        <v>5.0</v>
      </c>
      <c r="Q422" s="14">
        <v>127.0</v>
      </c>
      <c r="R422" s="14">
        <v>5.0</v>
      </c>
      <c r="S422" s="14">
        <v>134.0</v>
      </c>
      <c r="T422" s="14">
        <v>7.0</v>
      </c>
      <c r="U422" s="14">
        <v>138.0</v>
      </c>
      <c r="V422" s="14">
        <v>4.0</v>
      </c>
      <c r="W422" s="14">
        <v>143.0</v>
      </c>
      <c r="X422" s="14">
        <v>5.0</v>
      </c>
      <c r="Y422" s="14">
        <v>149.0</v>
      </c>
      <c r="Z422" s="14">
        <v>6.0</v>
      </c>
      <c r="AA422" s="14">
        <v>155.0</v>
      </c>
      <c r="AB422" s="14">
        <v>6.0</v>
      </c>
      <c r="AC422" s="14">
        <v>6.0</v>
      </c>
      <c r="AD422" s="14">
        <v>0.0</v>
      </c>
      <c r="AE422" s="14">
        <v>0.0</v>
      </c>
      <c r="AG422" s="14">
        <v>3.0</v>
      </c>
      <c r="AH422" s="14">
        <v>0.0</v>
      </c>
      <c r="AI422" s="14">
        <v>9.0</v>
      </c>
    </row>
    <row r="423" ht="15.75" customHeight="1">
      <c r="A423" s="14">
        <v>425.0</v>
      </c>
      <c r="B423" s="14" t="s">
        <v>1163</v>
      </c>
      <c r="C423" s="14" t="s">
        <v>193</v>
      </c>
      <c r="D423" s="14">
        <v>8.0</v>
      </c>
      <c r="E423" s="14">
        <v>262.0</v>
      </c>
      <c r="F423" s="14">
        <v>5.0</v>
      </c>
      <c r="G423" s="14">
        <v>267.0</v>
      </c>
      <c r="H423" s="14">
        <v>10.0</v>
      </c>
      <c r="I423" s="14">
        <v>277.0</v>
      </c>
      <c r="J423" s="14">
        <v>8.0</v>
      </c>
      <c r="K423" s="14">
        <v>285.0</v>
      </c>
      <c r="L423" s="14">
        <v>10.0</v>
      </c>
      <c r="M423" s="14">
        <v>295.0</v>
      </c>
      <c r="N423" s="14">
        <v>5.0</v>
      </c>
      <c r="O423" s="14">
        <v>300.0</v>
      </c>
      <c r="P423" s="14">
        <v>8.0</v>
      </c>
      <c r="Q423" s="14">
        <v>308.0</v>
      </c>
      <c r="R423" s="14">
        <v>8.0</v>
      </c>
      <c r="S423" s="14">
        <v>314.0</v>
      </c>
      <c r="T423" s="14">
        <v>6.0</v>
      </c>
      <c r="U423" s="14">
        <v>321.0</v>
      </c>
      <c r="V423" s="14">
        <v>7.0</v>
      </c>
      <c r="W423" s="14">
        <v>326.0</v>
      </c>
      <c r="X423" s="14">
        <v>5.0</v>
      </c>
      <c r="Y423" s="14">
        <v>338.0</v>
      </c>
      <c r="Z423" s="14">
        <v>12.0</v>
      </c>
      <c r="AA423" s="14">
        <v>346.0</v>
      </c>
      <c r="AB423" s="14">
        <v>8.0</v>
      </c>
      <c r="AC423" s="14">
        <v>8.0</v>
      </c>
      <c r="AD423" s="14">
        <v>0.0</v>
      </c>
      <c r="AE423" s="14">
        <v>0.0</v>
      </c>
      <c r="AG423" s="14">
        <v>3.0</v>
      </c>
      <c r="AH423" s="14">
        <v>40.0</v>
      </c>
      <c r="AI423" s="14">
        <v>51.0</v>
      </c>
    </row>
    <row r="424" ht="15.75" customHeight="1">
      <c r="A424" s="14">
        <v>426.0</v>
      </c>
      <c r="B424" s="14" t="s">
        <v>1165</v>
      </c>
      <c r="C424" s="14" t="s">
        <v>193</v>
      </c>
      <c r="D424" s="14">
        <v>11.0</v>
      </c>
      <c r="E424" s="14">
        <v>1936.0</v>
      </c>
      <c r="F424" s="14">
        <v>3.0</v>
      </c>
      <c r="G424" s="14">
        <v>1939.0</v>
      </c>
      <c r="H424" s="14">
        <v>-2.0</v>
      </c>
      <c r="I424" s="14">
        <v>1937.0</v>
      </c>
      <c r="J424" s="14">
        <v>1.0</v>
      </c>
      <c r="K424" s="14">
        <v>1938.0</v>
      </c>
      <c r="L424" s="14">
        <v>4.0</v>
      </c>
      <c r="M424" s="14">
        <v>1942.0</v>
      </c>
      <c r="N424" s="14">
        <v>4.0</v>
      </c>
      <c r="O424" s="14">
        <v>1946.0</v>
      </c>
      <c r="P424" s="14">
        <v>2.0</v>
      </c>
      <c r="Q424" s="14">
        <v>1948.0</v>
      </c>
      <c r="R424" s="14">
        <v>2.0</v>
      </c>
      <c r="S424" s="14">
        <v>1952.0</v>
      </c>
      <c r="T424" s="14">
        <v>4.0</v>
      </c>
      <c r="U424" s="14">
        <v>1955.0</v>
      </c>
      <c r="V424" s="14">
        <v>3.0</v>
      </c>
      <c r="W424" s="14">
        <v>1958.0</v>
      </c>
      <c r="X424" s="14">
        <v>3.0</v>
      </c>
      <c r="Y424" s="14">
        <v>1960.0</v>
      </c>
      <c r="Z424" s="14">
        <v>2.0</v>
      </c>
      <c r="AA424" s="14">
        <v>1963.0</v>
      </c>
      <c r="AB424" s="14">
        <v>3.0</v>
      </c>
      <c r="AC424" s="14">
        <v>5.0</v>
      </c>
      <c r="AD424" s="14">
        <v>0.0</v>
      </c>
      <c r="AE424" s="14">
        <v>0.0</v>
      </c>
      <c r="AG424" s="14">
        <v>3.0</v>
      </c>
      <c r="AH424" s="14">
        <v>0.0</v>
      </c>
      <c r="AI424" s="14">
        <v>8.0</v>
      </c>
    </row>
    <row r="425" ht="15.75" customHeight="1">
      <c r="A425" s="14">
        <v>427.0</v>
      </c>
      <c r="B425" s="14" t="s">
        <v>1170</v>
      </c>
      <c r="C425" s="14" t="s">
        <v>193</v>
      </c>
      <c r="D425" s="14">
        <v>13.0</v>
      </c>
      <c r="Y425" s="14">
        <v>5.0</v>
      </c>
      <c r="Z425" s="14">
        <v>0.0</v>
      </c>
      <c r="AA425" s="14">
        <v>39.0</v>
      </c>
      <c r="AB425" s="14">
        <v>34.0</v>
      </c>
      <c r="AC425" s="14">
        <v>34.0</v>
      </c>
      <c r="AD425" s="14">
        <v>0.0</v>
      </c>
      <c r="AE425" s="14">
        <v>0.0</v>
      </c>
      <c r="AG425" s="14">
        <v>3.0</v>
      </c>
      <c r="AH425" s="14">
        <v>0.0</v>
      </c>
      <c r="AI425" s="14">
        <v>37.0</v>
      </c>
    </row>
    <row r="426" ht="15.75" customHeight="1">
      <c r="A426" s="14">
        <v>428.0</v>
      </c>
      <c r="B426" s="14" t="s">
        <v>1173</v>
      </c>
      <c r="C426" s="14" t="s">
        <v>105</v>
      </c>
      <c r="D426" s="14">
        <v>3.0</v>
      </c>
      <c r="E426" s="14">
        <v>1452.0</v>
      </c>
      <c r="F426" s="14">
        <v>15.0</v>
      </c>
      <c r="G426" s="14">
        <v>1467.0</v>
      </c>
      <c r="H426" s="14">
        <v>15.0</v>
      </c>
      <c r="I426" s="14">
        <v>1482.0</v>
      </c>
      <c r="J426" s="14">
        <v>13.0</v>
      </c>
      <c r="K426" s="14">
        <v>1495.0</v>
      </c>
      <c r="L426" s="14">
        <v>13.0</v>
      </c>
      <c r="M426" s="14">
        <v>1508.0</v>
      </c>
      <c r="N426" s="14">
        <v>13.0</v>
      </c>
      <c r="O426" s="14">
        <v>1521.0</v>
      </c>
      <c r="P426" s="14">
        <v>7.0</v>
      </c>
      <c r="Q426" s="14">
        <v>1528.0</v>
      </c>
      <c r="R426" s="14">
        <v>7.0</v>
      </c>
      <c r="S426" s="14">
        <v>1534.0</v>
      </c>
      <c r="T426" s="14">
        <v>6.0</v>
      </c>
      <c r="U426" s="14">
        <v>1539.0</v>
      </c>
      <c r="V426" s="14">
        <v>5.0</v>
      </c>
      <c r="W426" s="14">
        <v>1549.0</v>
      </c>
      <c r="X426" s="14">
        <v>10.0</v>
      </c>
      <c r="Y426" s="14">
        <v>1558.0</v>
      </c>
      <c r="Z426" s="14">
        <v>9.0</v>
      </c>
      <c r="AA426" s="14">
        <v>1568.0</v>
      </c>
      <c r="AB426" s="14">
        <v>10.0</v>
      </c>
      <c r="AC426" s="14">
        <v>10.0</v>
      </c>
      <c r="AD426" s="14">
        <v>0.0</v>
      </c>
      <c r="AE426" s="14">
        <v>0.0</v>
      </c>
      <c r="AG426" s="14">
        <v>3.0</v>
      </c>
      <c r="AH426" s="14">
        <v>0.0</v>
      </c>
      <c r="AI426" s="14">
        <v>13.0</v>
      </c>
    </row>
    <row r="427" ht="15.75" customHeight="1">
      <c r="A427" s="14">
        <v>429.0</v>
      </c>
      <c r="B427" s="14" t="s">
        <v>1178</v>
      </c>
      <c r="C427" s="14" t="s">
        <v>105</v>
      </c>
      <c r="D427" s="14">
        <v>4.0</v>
      </c>
      <c r="E427" s="14">
        <v>1198.0</v>
      </c>
      <c r="F427" s="14">
        <v>18.0</v>
      </c>
      <c r="G427" s="14">
        <v>1216.0</v>
      </c>
      <c r="H427" s="14">
        <v>19.0</v>
      </c>
      <c r="I427" s="14">
        <v>1235.0</v>
      </c>
      <c r="J427" s="14">
        <v>13.0</v>
      </c>
      <c r="K427" s="14">
        <v>1248.0</v>
      </c>
      <c r="L427" s="14">
        <v>13.0</v>
      </c>
      <c r="M427" s="14">
        <v>1261.0</v>
      </c>
      <c r="N427" s="14">
        <v>14.0</v>
      </c>
      <c r="O427" s="14">
        <v>1275.0</v>
      </c>
      <c r="P427" s="14">
        <v>12.0</v>
      </c>
      <c r="Q427" s="14">
        <v>1287.0</v>
      </c>
      <c r="R427" s="14">
        <v>12.0</v>
      </c>
      <c r="S427" s="14">
        <v>1296.0</v>
      </c>
      <c r="T427" s="14">
        <v>9.0</v>
      </c>
      <c r="U427" s="14">
        <v>1300.0</v>
      </c>
      <c r="V427" s="14">
        <v>4.0</v>
      </c>
      <c r="W427" s="14">
        <v>1322.0</v>
      </c>
      <c r="X427" s="14">
        <v>22.0</v>
      </c>
      <c r="Y427" s="14">
        <v>1332.0</v>
      </c>
      <c r="Z427" s="14">
        <v>10.0</v>
      </c>
      <c r="AA427" s="14">
        <v>1344.0</v>
      </c>
      <c r="AB427" s="14">
        <v>12.0</v>
      </c>
      <c r="AC427" s="14">
        <v>12.0</v>
      </c>
      <c r="AD427" s="14">
        <v>0.0</v>
      </c>
      <c r="AE427" s="14">
        <v>0.0</v>
      </c>
      <c r="AG427" s="14">
        <v>3.0</v>
      </c>
      <c r="AH427" s="14">
        <v>0.0</v>
      </c>
      <c r="AI427" s="14">
        <v>15.0</v>
      </c>
    </row>
    <row r="428" ht="15.75" customHeight="1">
      <c r="A428" s="14">
        <v>430.0</v>
      </c>
      <c r="B428" s="14" t="s">
        <v>1181</v>
      </c>
      <c r="C428" s="14" t="s">
        <v>105</v>
      </c>
      <c r="D428" s="14">
        <v>5.0</v>
      </c>
      <c r="E428" s="14">
        <v>1314.0</v>
      </c>
      <c r="F428" s="14">
        <v>12.0</v>
      </c>
      <c r="G428" s="14">
        <v>1326.0</v>
      </c>
      <c r="H428" s="14">
        <v>11.0</v>
      </c>
      <c r="I428" s="14">
        <v>1337.0</v>
      </c>
      <c r="J428" s="14">
        <v>10.0</v>
      </c>
      <c r="K428" s="14">
        <v>1347.0</v>
      </c>
      <c r="L428" s="14">
        <v>10.0</v>
      </c>
      <c r="M428" s="14">
        <v>1357.0</v>
      </c>
      <c r="N428" s="14">
        <v>9.0</v>
      </c>
      <c r="O428" s="14">
        <v>1366.0</v>
      </c>
      <c r="P428" s="14">
        <v>8.0</v>
      </c>
      <c r="Q428" s="14">
        <v>1374.0</v>
      </c>
      <c r="R428" s="14">
        <v>8.0</v>
      </c>
      <c r="S428" s="14">
        <v>1381.0</v>
      </c>
      <c r="T428" s="14">
        <v>7.0</v>
      </c>
      <c r="U428" s="14">
        <v>1385.0</v>
      </c>
      <c r="V428" s="14">
        <v>4.0</v>
      </c>
      <c r="W428" s="14">
        <v>1396.0</v>
      </c>
      <c r="X428" s="14">
        <v>11.0</v>
      </c>
      <c r="Y428" s="14">
        <v>1404.0</v>
      </c>
      <c r="Z428" s="14">
        <v>8.0</v>
      </c>
      <c r="AA428" s="14">
        <v>1412.0</v>
      </c>
      <c r="AB428" s="14">
        <v>8.0</v>
      </c>
      <c r="AC428" s="14">
        <v>8.0</v>
      </c>
      <c r="AD428" s="14">
        <v>0.0</v>
      </c>
      <c r="AE428" s="14">
        <v>0.0</v>
      </c>
      <c r="AG428" s="14">
        <v>3.0</v>
      </c>
      <c r="AH428" s="14">
        <v>20.0</v>
      </c>
      <c r="AI428" s="14">
        <v>31.0</v>
      </c>
    </row>
    <row r="429" ht="15.75" customHeight="1">
      <c r="A429" s="14">
        <v>431.0</v>
      </c>
      <c r="B429" s="14" t="s">
        <v>1184</v>
      </c>
      <c r="C429" s="14" t="s">
        <v>105</v>
      </c>
      <c r="D429" s="14">
        <v>6.0</v>
      </c>
      <c r="E429" s="14">
        <v>857.0</v>
      </c>
      <c r="F429" s="14">
        <v>10.0</v>
      </c>
      <c r="G429" s="14">
        <v>867.0</v>
      </c>
      <c r="H429" s="14">
        <v>10.0</v>
      </c>
      <c r="I429" s="14">
        <v>877.0</v>
      </c>
      <c r="J429" s="14">
        <v>7.0</v>
      </c>
      <c r="K429" s="14">
        <v>884.0</v>
      </c>
      <c r="L429" s="14">
        <v>10.0</v>
      </c>
      <c r="M429" s="14">
        <v>894.0</v>
      </c>
      <c r="N429" s="14">
        <v>9.0</v>
      </c>
      <c r="O429" s="14">
        <v>903.0</v>
      </c>
      <c r="P429" s="14">
        <v>10.0</v>
      </c>
      <c r="Q429" s="14">
        <v>913.0</v>
      </c>
      <c r="R429" s="14">
        <v>10.0</v>
      </c>
      <c r="S429" s="14">
        <v>921.0</v>
      </c>
      <c r="T429" s="14">
        <v>8.0</v>
      </c>
      <c r="U429" s="14">
        <v>929.0</v>
      </c>
      <c r="V429" s="14">
        <v>8.0</v>
      </c>
      <c r="W429" s="14">
        <v>937.0</v>
      </c>
      <c r="X429" s="14">
        <v>8.0</v>
      </c>
      <c r="Y429" s="14">
        <v>947.0</v>
      </c>
      <c r="Z429" s="14">
        <v>10.0</v>
      </c>
      <c r="AA429" s="14">
        <v>956.0</v>
      </c>
      <c r="AB429" s="14">
        <v>9.0</v>
      </c>
      <c r="AC429" s="14">
        <v>9.0</v>
      </c>
      <c r="AD429" s="14">
        <v>13.0</v>
      </c>
      <c r="AE429" s="14">
        <v>0.0</v>
      </c>
      <c r="AG429" s="14">
        <v>3.0</v>
      </c>
      <c r="AH429" s="14">
        <v>20.0</v>
      </c>
      <c r="AI429" s="14">
        <v>45.0</v>
      </c>
    </row>
    <row r="430" ht="15.75" customHeight="1">
      <c r="A430" s="14">
        <v>432.0</v>
      </c>
      <c r="B430" s="14" t="s">
        <v>1187</v>
      </c>
      <c r="C430" s="14" t="s">
        <v>105</v>
      </c>
      <c r="D430" s="14">
        <v>8.0</v>
      </c>
      <c r="E430" s="14">
        <v>1334.0</v>
      </c>
      <c r="F430" s="14">
        <v>26.0</v>
      </c>
      <c r="G430" s="14">
        <v>1360.0</v>
      </c>
      <c r="H430" s="14">
        <v>28.0</v>
      </c>
      <c r="I430" s="14">
        <v>1388.0</v>
      </c>
      <c r="J430" s="14">
        <v>16.0</v>
      </c>
      <c r="K430" s="14">
        <v>1404.0</v>
      </c>
      <c r="L430" s="14">
        <v>13.0</v>
      </c>
      <c r="M430" s="14">
        <v>1417.0</v>
      </c>
      <c r="N430" s="14">
        <v>16.0</v>
      </c>
      <c r="O430" s="14">
        <v>1433.0</v>
      </c>
      <c r="P430" s="14">
        <v>15.0</v>
      </c>
      <c r="Q430" s="14">
        <v>1448.0</v>
      </c>
      <c r="R430" s="14">
        <v>15.0</v>
      </c>
      <c r="S430" s="14">
        <v>1458.0</v>
      </c>
      <c r="T430" s="14">
        <v>10.0</v>
      </c>
      <c r="U430" s="14">
        <v>1470.0</v>
      </c>
      <c r="V430" s="14">
        <v>12.0</v>
      </c>
      <c r="W430" s="14">
        <v>1482.0</v>
      </c>
      <c r="X430" s="14">
        <v>12.0</v>
      </c>
      <c r="Y430" s="14">
        <v>1495.0</v>
      </c>
      <c r="Z430" s="14">
        <v>13.0</v>
      </c>
      <c r="AA430" s="14">
        <v>1508.0</v>
      </c>
      <c r="AB430" s="14">
        <v>13.0</v>
      </c>
      <c r="AC430" s="14">
        <v>13.0</v>
      </c>
      <c r="AD430" s="14">
        <v>16.0</v>
      </c>
      <c r="AE430" s="14">
        <v>0.0</v>
      </c>
      <c r="AG430" s="14">
        <v>3.0</v>
      </c>
      <c r="AH430" s="14">
        <v>20.0</v>
      </c>
      <c r="AI430" s="14">
        <v>52.0</v>
      </c>
    </row>
    <row r="431" ht="15.75" customHeight="1">
      <c r="A431" s="14">
        <v>433.0</v>
      </c>
      <c r="B431" s="14" t="s">
        <v>1188</v>
      </c>
      <c r="C431" s="14" t="s">
        <v>105</v>
      </c>
      <c r="D431" s="14">
        <v>9.0</v>
      </c>
      <c r="E431" s="14">
        <v>1334.0</v>
      </c>
      <c r="F431" s="14">
        <v>13.0</v>
      </c>
      <c r="G431" s="14">
        <v>1347.0</v>
      </c>
      <c r="H431" s="14">
        <v>14.0</v>
      </c>
      <c r="I431" s="14">
        <v>1361.0</v>
      </c>
      <c r="J431" s="14">
        <v>12.0</v>
      </c>
      <c r="K431" s="14">
        <v>1373.0</v>
      </c>
      <c r="L431" s="14">
        <v>14.0</v>
      </c>
      <c r="M431" s="14">
        <v>1387.0</v>
      </c>
      <c r="N431" s="14">
        <v>13.0</v>
      </c>
      <c r="O431" s="14">
        <v>1400.0</v>
      </c>
      <c r="P431" s="14">
        <v>15.0</v>
      </c>
      <c r="Q431" s="14">
        <v>1415.0</v>
      </c>
      <c r="R431" s="14">
        <v>15.0</v>
      </c>
      <c r="S431" s="14">
        <v>1429.0</v>
      </c>
      <c r="T431" s="14">
        <v>14.0</v>
      </c>
      <c r="U431" s="14">
        <v>1437.0</v>
      </c>
      <c r="V431" s="14">
        <v>8.0</v>
      </c>
      <c r="W431" s="14">
        <v>1447.0</v>
      </c>
      <c r="X431" s="14">
        <v>10.0</v>
      </c>
      <c r="Y431" s="14">
        <v>1454.0</v>
      </c>
      <c r="Z431" s="14">
        <v>7.0</v>
      </c>
      <c r="AA431" s="14">
        <v>1467.0</v>
      </c>
      <c r="AB431" s="14">
        <v>13.0</v>
      </c>
      <c r="AC431" s="14">
        <v>13.0</v>
      </c>
      <c r="AD431" s="14">
        <v>0.0</v>
      </c>
      <c r="AE431" s="14">
        <v>0.0</v>
      </c>
      <c r="AG431" s="14">
        <v>3.0</v>
      </c>
      <c r="AH431" s="14">
        <v>0.0</v>
      </c>
      <c r="AI431" s="14">
        <v>16.0</v>
      </c>
    </row>
    <row r="432" ht="15.75" customHeight="1">
      <c r="A432" s="14">
        <v>434.0</v>
      </c>
      <c r="B432" s="14" t="s">
        <v>1190</v>
      </c>
      <c r="C432" s="14" t="s">
        <v>105</v>
      </c>
      <c r="D432" s="14">
        <v>10.0</v>
      </c>
      <c r="E432" s="14">
        <v>1245.0</v>
      </c>
      <c r="F432" s="14">
        <v>9.0</v>
      </c>
      <c r="G432" s="14">
        <v>1254.0</v>
      </c>
      <c r="H432" s="14">
        <v>110.0</v>
      </c>
      <c r="I432" s="14">
        <v>1364.0</v>
      </c>
      <c r="J432" s="14">
        <v>10.0</v>
      </c>
      <c r="K432" s="14">
        <v>1374.0</v>
      </c>
      <c r="L432" s="14">
        <v>10.0</v>
      </c>
      <c r="M432" s="14">
        <v>1384.0</v>
      </c>
      <c r="N432" s="14">
        <v>7.0</v>
      </c>
      <c r="O432" s="14">
        <v>1391.0</v>
      </c>
      <c r="P432" s="14">
        <v>7.0</v>
      </c>
      <c r="Q432" s="14">
        <v>1398.0</v>
      </c>
      <c r="R432" s="14">
        <v>7.0</v>
      </c>
      <c r="S432" s="14">
        <v>1406.0</v>
      </c>
      <c r="T432" s="14">
        <v>8.0</v>
      </c>
      <c r="U432" s="14">
        <v>1412.0</v>
      </c>
      <c r="V432" s="14">
        <v>6.0</v>
      </c>
      <c r="W432" s="14">
        <v>1418.0</v>
      </c>
      <c r="X432" s="14">
        <v>6.0</v>
      </c>
      <c r="Y432" s="14">
        <v>1429.0</v>
      </c>
      <c r="Z432" s="14">
        <v>11.0</v>
      </c>
      <c r="AA432" s="14">
        <v>1438.0</v>
      </c>
      <c r="AB432" s="14">
        <v>9.0</v>
      </c>
      <c r="AC432" s="14">
        <v>9.0</v>
      </c>
      <c r="AD432" s="14">
        <v>0.0</v>
      </c>
      <c r="AE432" s="14">
        <v>0.0</v>
      </c>
      <c r="AG432" s="14">
        <v>3.0</v>
      </c>
      <c r="AH432" s="14">
        <v>0.0</v>
      </c>
      <c r="AI432" s="14">
        <v>12.0</v>
      </c>
    </row>
    <row r="433" ht="15.75" customHeight="1">
      <c r="A433" s="14">
        <v>435.0</v>
      </c>
      <c r="B433" s="14" t="s">
        <v>1192</v>
      </c>
      <c r="C433" s="14" t="s">
        <v>105</v>
      </c>
      <c r="D433" s="14">
        <v>11.0</v>
      </c>
      <c r="E433" s="14">
        <v>438.0</v>
      </c>
      <c r="F433" s="14">
        <v>6.0</v>
      </c>
      <c r="G433" s="14">
        <v>444.0</v>
      </c>
      <c r="H433" s="14">
        <v>19.0</v>
      </c>
      <c r="I433" s="14">
        <v>463.0</v>
      </c>
      <c r="J433" s="14">
        <v>16.0</v>
      </c>
      <c r="K433" s="14">
        <v>479.0</v>
      </c>
      <c r="L433" s="14">
        <v>12.0</v>
      </c>
      <c r="M433" s="14">
        <v>491.0</v>
      </c>
      <c r="N433" s="14">
        <v>11.0</v>
      </c>
      <c r="O433" s="14">
        <v>502.0</v>
      </c>
      <c r="P433" s="14">
        <v>7.0</v>
      </c>
      <c r="Q433" s="14">
        <v>509.0</v>
      </c>
      <c r="R433" s="14">
        <v>7.0</v>
      </c>
      <c r="S433" s="14">
        <v>517.0</v>
      </c>
      <c r="T433" s="14">
        <v>8.0</v>
      </c>
      <c r="U433" s="14">
        <v>523.0</v>
      </c>
      <c r="V433" s="14">
        <v>6.0</v>
      </c>
      <c r="W433" s="14">
        <v>530.0</v>
      </c>
      <c r="X433" s="14">
        <v>7.0</v>
      </c>
      <c r="Y433" s="14">
        <v>541.0</v>
      </c>
      <c r="Z433" s="14">
        <v>11.0</v>
      </c>
      <c r="AA433" s="14">
        <v>549.0</v>
      </c>
      <c r="AB433" s="14">
        <v>8.0</v>
      </c>
      <c r="AC433" s="14">
        <v>8.0</v>
      </c>
      <c r="AD433" s="14">
        <v>14.0</v>
      </c>
      <c r="AE433" s="14">
        <v>0.0</v>
      </c>
      <c r="AG433" s="14">
        <v>3.0</v>
      </c>
      <c r="AH433" s="14">
        <v>0.0</v>
      </c>
      <c r="AI433" s="14">
        <v>25.0</v>
      </c>
    </row>
    <row r="434" ht="15.75" customHeight="1">
      <c r="A434" s="14">
        <v>436.0</v>
      </c>
      <c r="B434" s="14" t="s">
        <v>1033</v>
      </c>
      <c r="C434" s="14" t="s">
        <v>105</v>
      </c>
      <c r="D434" s="14">
        <v>12.0</v>
      </c>
      <c r="E434" s="14">
        <v>2265.0</v>
      </c>
      <c r="F434" s="14">
        <v>2.0</v>
      </c>
      <c r="G434" s="14">
        <v>2267.0</v>
      </c>
      <c r="H434" s="14">
        <v>5.0</v>
      </c>
      <c r="I434" s="14">
        <v>2272.0</v>
      </c>
      <c r="J434" s="14">
        <v>1.0</v>
      </c>
      <c r="K434" s="14">
        <v>0.0</v>
      </c>
      <c r="L434" s="14">
        <v>2.0</v>
      </c>
      <c r="M434" s="14">
        <v>2.0</v>
      </c>
      <c r="N434" s="14">
        <v>4.0</v>
      </c>
      <c r="O434" s="14">
        <v>6.0</v>
      </c>
      <c r="P434" s="14">
        <v>5.0</v>
      </c>
      <c r="Q434" s="14">
        <v>11.0</v>
      </c>
      <c r="R434" s="14">
        <v>5.0</v>
      </c>
      <c r="S434" s="14">
        <v>13.0</v>
      </c>
      <c r="T434" s="14">
        <v>2.0</v>
      </c>
      <c r="U434" s="14">
        <v>18.0</v>
      </c>
      <c r="V434" s="14">
        <v>5.0</v>
      </c>
      <c r="W434" s="14">
        <v>23.0</v>
      </c>
      <c r="X434" s="14">
        <v>5.0</v>
      </c>
      <c r="Y434" s="14">
        <v>46.0</v>
      </c>
      <c r="Z434" s="14">
        <v>23.0</v>
      </c>
      <c r="AA434" s="14">
        <v>50.0</v>
      </c>
      <c r="AB434" s="14">
        <v>4.0</v>
      </c>
      <c r="AC434" s="14">
        <v>5.0</v>
      </c>
      <c r="AD434" s="14">
        <v>0.0</v>
      </c>
      <c r="AE434" s="14">
        <v>0.0</v>
      </c>
      <c r="AG434" s="14">
        <v>3.0</v>
      </c>
      <c r="AH434" s="14">
        <v>0.0</v>
      </c>
      <c r="AI434" s="14">
        <v>8.0</v>
      </c>
    </row>
    <row r="435" ht="15.75" customHeight="1">
      <c r="A435" s="14">
        <v>437.0</v>
      </c>
      <c r="B435" s="14" t="s">
        <v>1195</v>
      </c>
      <c r="C435" s="14" t="s">
        <v>105</v>
      </c>
      <c r="D435" s="14">
        <v>13.0</v>
      </c>
      <c r="E435" s="14">
        <v>2421.0</v>
      </c>
      <c r="F435" s="14">
        <v>12.0</v>
      </c>
      <c r="G435" s="14">
        <v>2433.0</v>
      </c>
      <c r="H435" s="14">
        <v>32.0</v>
      </c>
      <c r="I435" s="14">
        <v>2465.0</v>
      </c>
      <c r="J435" s="14">
        <v>34.0</v>
      </c>
      <c r="K435" s="14">
        <v>2499.0</v>
      </c>
      <c r="L435" s="14">
        <v>15.0</v>
      </c>
      <c r="M435" s="14">
        <v>2514.0</v>
      </c>
      <c r="N435" s="14">
        <v>-2.0</v>
      </c>
      <c r="O435" s="14">
        <v>2512.0</v>
      </c>
      <c r="P435" s="14">
        <v>4.0</v>
      </c>
      <c r="Q435" s="14">
        <v>2516.0</v>
      </c>
      <c r="R435" s="14">
        <v>4.0</v>
      </c>
      <c r="S435" s="14">
        <v>2518.0</v>
      </c>
      <c r="T435" s="14">
        <v>2.0</v>
      </c>
      <c r="U435" s="14">
        <v>2529.0</v>
      </c>
      <c r="V435" s="14">
        <v>11.0</v>
      </c>
      <c r="W435" s="14">
        <v>2537.0</v>
      </c>
      <c r="X435" s="14">
        <v>8.0</v>
      </c>
      <c r="Y435" s="14">
        <v>2537.0</v>
      </c>
      <c r="Z435" s="14">
        <v>0.0</v>
      </c>
      <c r="AA435" s="14">
        <v>2538.0</v>
      </c>
      <c r="AB435" s="14">
        <v>1.0</v>
      </c>
      <c r="AC435" s="14">
        <v>5.0</v>
      </c>
      <c r="AD435" s="14">
        <v>0.0</v>
      </c>
      <c r="AE435" s="14">
        <v>0.0</v>
      </c>
      <c r="AG435" s="14">
        <v>3.0</v>
      </c>
      <c r="AH435" s="14">
        <v>0.0</v>
      </c>
      <c r="AI435" s="14">
        <v>8.0</v>
      </c>
    </row>
    <row r="436" ht="15.75" customHeight="1">
      <c r="A436" s="14">
        <v>438.0</v>
      </c>
      <c r="B436" s="14" t="s">
        <v>1197</v>
      </c>
      <c r="C436" s="14" t="s">
        <v>105</v>
      </c>
      <c r="D436" s="14">
        <v>14.0</v>
      </c>
      <c r="E436" s="14">
        <v>110.0</v>
      </c>
      <c r="F436" s="14">
        <v>0.0</v>
      </c>
      <c r="G436" s="14">
        <v>110.0</v>
      </c>
      <c r="H436" s="14">
        <v>0.0</v>
      </c>
      <c r="I436" s="14">
        <v>110.0</v>
      </c>
      <c r="J436" s="14">
        <v>0.0</v>
      </c>
      <c r="K436" s="14">
        <v>110.0</v>
      </c>
      <c r="L436" s="14">
        <v>0.0</v>
      </c>
      <c r="M436" s="14">
        <v>110.0</v>
      </c>
      <c r="N436" s="14">
        <v>0.0</v>
      </c>
      <c r="O436" s="14">
        <v>110.0</v>
      </c>
      <c r="P436" s="14">
        <v>0.0</v>
      </c>
      <c r="Q436" s="14">
        <v>110.0</v>
      </c>
      <c r="R436" s="14">
        <v>0.0</v>
      </c>
      <c r="S436" s="14">
        <v>110.0</v>
      </c>
      <c r="T436" s="14">
        <v>0.0</v>
      </c>
      <c r="U436" s="14">
        <v>110.0</v>
      </c>
      <c r="V436" s="14">
        <v>0.0</v>
      </c>
      <c r="W436" s="14">
        <v>110.0</v>
      </c>
      <c r="X436" s="14">
        <v>0.0</v>
      </c>
      <c r="Y436" s="14">
        <v>110.0</v>
      </c>
      <c r="Z436" s="14">
        <v>0.0</v>
      </c>
      <c r="AA436" s="14">
        <v>110.0</v>
      </c>
      <c r="AB436" s="14">
        <v>0.0</v>
      </c>
      <c r="AC436" s="14">
        <v>5.0</v>
      </c>
      <c r="AD436" s="14">
        <v>0.0</v>
      </c>
      <c r="AE436" s="14">
        <v>0.0</v>
      </c>
      <c r="AG436" s="14">
        <v>3.0</v>
      </c>
      <c r="AH436" s="14">
        <v>0.0</v>
      </c>
      <c r="AI436" s="14">
        <v>8.0</v>
      </c>
    </row>
    <row r="437" ht="15.75" customHeight="1">
      <c r="A437" s="14">
        <v>439.0</v>
      </c>
      <c r="B437" s="14" t="s">
        <v>1201</v>
      </c>
      <c r="C437" s="14" t="s">
        <v>116</v>
      </c>
      <c r="D437" s="14">
        <v>2.0</v>
      </c>
      <c r="R437" s="14">
        <v>0.0</v>
      </c>
      <c r="S437" s="14">
        <v>0.0</v>
      </c>
      <c r="T437" s="14">
        <v>0.0</v>
      </c>
      <c r="U437" s="14">
        <v>0.0</v>
      </c>
      <c r="V437" s="14">
        <v>0.0</v>
      </c>
      <c r="W437" s="14">
        <v>0.0</v>
      </c>
      <c r="X437" s="14">
        <v>0.0</v>
      </c>
      <c r="Y437" s="14">
        <v>0.0</v>
      </c>
      <c r="Z437" s="14">
        <v>0.0</v>
      </c>
      <c r="AA437" s="14">
        <v>0.0</v>
      </c>
      <c r="AB437" s="14">
        <v>0.0</v>
      </c>
      <c r="AC437" s="14">
        <v>5.0</v>
      </c>
      <c r="AD437" s="14">
        <v>0.0</v>
      </c>
      <c r="AE437" s="14">
        <v>0.0</v>
      </c>
      <c r="AG437" s="14">
        <v>3.0</v>
      </c>
      <c r="AH437" s="14">
        <v>20.0</v>
      </c>
      <c r="AI437" s="14">
        <v>28.0</v>
      </c>
    </row>
    <row r="438" ht="15.75" customHeight="1">
      <c r="A438" s="14">
        <v>440.0</v>
      </c>
      <c r="B438" s="14" t="s">
        <v>1202</v>
      </c>
      <c r="C438" s="14" t="s">
        <v>116</v>
      </c>
      <c r="D438" s="14">
        <v>3.0</v>
      </c>
      <c r="E438" s="14">
        <v>312.0</v>
      </c>
      <c r="F438" s="14">
        <v>6.0</v>
      </c>
      <c r="G438" s="14">
        <v>318.0</v>
      </c>
      <c r="H438" s="14">
        <v>6.0</v>
      </c>
      <c r="I438" s="14">
        <v>324.0</v>
      </c>
      <c r="J438" s="14">
        <v>6.0</v>
      </c>
      <c r="K438" s="14">
        <v>330.0</v>
      </c>
      <c r="L438" s="14">
        <v>11.0</v>
      </c>
      <c r="M438" s="14">
        <v>341.0</v>
      </c>
      <c r="N438" s="14">
        <v>4.0</v>
      </c>
      <c r="O438" s="14">
        <v>345.0</v>
      </c>
      <c r="P438" s="14">
        <v>3.0</v>
      </c>
      <c r="Q438" s="14">
        <v>348.0</v>
      </c>
      <c r="R438" s="14">
        <v>3.0</v>
      </c>
      <c r="S438" s="14">
        <v>351.0</v>
      </c>
      <c r="T438" s="14">
        <v>3.0</v>
      </c>
      <c r="U438" s="14">
        <v>354.0</v>
      </c>
      <c r="V438" s="14">
        <v>3.0</v>
      </c>
      <c r="W438" s="14">
        <v>356.0</v>
      </c>
      <c r="X438" s="14">
        <v>2.0</v>
      </c>
      <c r="Y438" s="14">
        <v>362.0</v>
      </c>
      <c r="Z438" s="14">
        <v>6.0</v>
      </c>
      <c r="AA438" s="14">
        <v>366.0</v>
      </c>
      <c r="AB438" s="14">
        <v>4.0</v>
      </c>
      <c r="AC438" s="14">
        <v>5.0</v>
      </c>
      <c r="AD438" s="14">
        <v>0.0</v>
      </c>
      <c r="AE438" s="14">
        <v>0.0</v>
      </c>
      <c r="AG438" s="14">
        <v>3.0</v>
      </c>
      <c r="AH438" s="14">
        <v>0.0</v>
      </c>
      <c r="AI438" s="14">
        <v>8.0</v>
      </c>
    </row>
    <row r="439" ht="15.75" customHeight="1">
      <c r="A439" s="14">
        <v>441.0</v>
      </c>
      <c r="B439" s="14" t="s">
        <v>1205</v>
      </c>
      <c r="C439" s="14" t="s">
        <v>116</v>
      </c>
      <c r="D439" s="14">
        <v>4.0</v>
      </c>
      <c r="E439" s="14">
        <v>297.0</v>
      </c>
      <c r="F439" s="14">
        <v>1.0</v>
      </c>
      <c r="G439" s="14">
        <v>298.0</v>
      </c>
      <c r="H439" s="14">
        <v>2.0</v>
      </c>
      <c r="I439" s="14">
        <v>300.0</v>
      </c>
      <c r="J439" s="14">
        <v>24.0</v>
      </c>
      <c r="K439" s="14">
        <v>324.0</v>
      </c>
      <c r="L439" s="14">
        <v>1.0</v>
      </c>
      <c r="M439" s="14">
        <v>325.0</v>
      </c>
      <c r="N439" s="14">
        <v>3.0</v>
      </c>
      <c r="O439" s="14">
        <v>328.0</v>
      </c>
      <c r="P439" s="14">
        <v>1.0</v>
      </c>
      <c r="Q439" s="14">
        <v>329.0</v>
      </c>
      <c r="R439" s="14">
        <v>1.0</v>
      </c>
      <c r="S439" s="14">
        <v>379.0</v>
      </c>
      <c r="T439" s="14">
        <v>50.0</v>
      </c>
      <c r="U439" s="14">
        <v>380.0</v>
      </c>
      <c r="V439" s="14">
        <v>1.0</v>
      </c>
      <c r="W439" s="14">
        <v>382.0</v>
      </c>
      <c r="X439" s="14">
        <v>2.0</v>
      </c>
      <c r="Y439" s="14">
        <v>382.0</v>
      </c>
      <c r="Z439" s="14">
        <v>0.0</v>
      </c>
      <c r="AA439" s="14">
        <v>384.0</v>
      </c>
      <c r="AB439" s="14">
        <v>2.0</v>
      </c>
      <c r="AC439" s="14">
        <v>5.0</v>
      </c>
      <c r="AD439" s="14">
        <v>0.0</v>
      </c>
      <c r="AE439" s="14">
        <v>0.0</v>
      </c>
      <c r="AG439" s="14">
        <v>3.0</v>
      </c>
      <c r="AH439" s="14">
        <v>20.0</v>
      </c>
      <c r="AI439" s="14">
        <v>28.0</v>
      </c>
    </row>
    <row r="440" ht="15.75" customHeight="1">
      <c r="A440" s="14">
        <v>442.0</v>
      </c>
      <c r="B440" s="14" t="s">
        <v>1207</v>
      </c>
      <c r="C440" s="14" t="s">
        <v>116</v>
      </c>
      <c r="D440" s="14">
        <v>5.0</v>
      </c>
      <c r="E440" s="14">
        <v>3192.0</v>
      </c>
      <c r="F440" s="14">
        <v>8.0</v>
      </c>
      <c r="G440" s="14">
        <v>3200.0</v>
      </c>
      <c r="H440" s="14">
        <v>10.0</v>
      </c>
      <c r="I440" s="14">
        <v>3210.0</v>
      </c>
      <c r="J440" s="14">
        <v>8.0</v>
      </c>
      <c r="K440" s="14">
        <v>3218.0</v>
      </c>
      <c r="L440" s="14">
        <v>9.0</v>
      </c>
      <c r="M440" s="14">
        <v>3227.0</v>
      </c>
      <c r="N440" s="14">
        <v>7.0</v>
      </c>
      <c r="O440" s="14">
        <v>3234.0</v>
      </c>
      <c r="P440" s="14">
        <v>6.0</v>
      </c>
      <c r="Q440" s="14">
        <v>3240.0</v>
      </c>
      <c r="R440" s="14">
        <v>6.0</v>
      </c>
      <c r="S440" s="14">
        <v>3245.0</v>
      </c>
      <c r="T440" s="14">
        <v>5.0</v>
      </c>
      <c r="U440" s="14">
        <v>3250.0</v>
      </c>
      <c r="V440" s="14">
        <v>5.0</v>
      </c>
      <c r="W440" s="14">
        <v>3255.0</v>
      </c>
      <c r="X440" s="14">
        <v>5.0</v>
      </c>
      <c r="Y440" s="14">
        <v>3260.0</v>
      </c>
      <c r="Z440" s="14">
        <v>5.0</v>
      </c>
      <c r="AA440" s="14">
        <v>3266.0</v>
      </c>
      <c r="AB440" s="14">
        <v>6.0</v>
      </c>
      <c r="AC440" s="14">
        <v>6.0</v>
      </c>
      <c r="AD440" s="14">
        <v>0.0</v>
      </c>
      <c r="AE440" s="14">
        <v>0.0</v>
      </c>
      <c r="AG440" s="14">
        <v>3.0</v>
      </c>
      <c r="AH440" s="14">
        <v>0.0</v>
      </c>
      <c r="AI440" s="14">
        <v>9.0</v>
      </c>
    </row>
    <row r="441" ht="15.75" customHeight="1">
      <c r="A441" s="14">
        <v>443.0</v>
      </c>
      <c r="B441" s="14" t="s">
        <v>1209</v>
      </c>
      <c r="C441" s="14" t="s">
        <v>116</v>
      </c>
      <c r="D441" s="14">
        <v>6.0</v>
      </c>
      <c r="E441" s="14">
        <v>813.0</v>
      </c>
      <c r="F441" s="14">
        <v>2.0</v>
      </c>
      <c r="G441" s="14">
        <v>815.0</v>
      </c>
      <c r="H441" s="14">
        <v>4.0</v>
      </c>
      <c r="I441" s="14">
        <v>819.0</v>
      </c>
      <c r="J441" s="14">
        <v>2.0</v>
      </c>
      <c r="K441" s="14">
        <v>821.0</v>
      </c>
      <c r="L441" s="14">
        <v>3.0</v>
      </c>
      <c r="M441" s="14">
        <v>824.0</v>
      </c>
      <c r="N441" s="14">
        <v>4.0</v>
      </c>
      <c r="O441" s="14">
        <v>828.0</v>
      </c>
      <c r="P441" s="14">
        <v>3.0</v>
      </c>
      <c r="Q441" s="14">
        <v>831.0</v>
      </c>
      <c r="R441" s="14">
        <v>3.0</v>
      </c>
      <c r="S441" s="14">
        <v>832.0</v>
      </c>
      <c r="T441" s="14">
        <v>1.0</v>
      </c>
      <c r="U441" s="14">
        <v>833.0</v>
      </c>
      <c r="V441" s="14">
        <v>1.0</v>
      </c>
      <c r="W441" s="14">
        <v>836.0</v>
      </c>
      <c r="X441" s="14">
        <v>3.0</v>
      </c>
      <c r="Y441" s="14">
        <v>840.0</v>
      </c>
      <c r="Z441" s="14">
        <v>4.0</v>
      </c>
      <c r="AA441" s="14">
        <v>844.0</v>
      </c>
      <c r="AB441" s="14">
        <v>4.0</v>
      </c>
      <c r="AC441" s="14">
        <v>5.0</v>
      </c>
      <c r="AD441" s="14">
        <v>0.0</v>
      </c>
      <c r="AE441" s="14">
        <v>0.0</v>
      </c>
      <c r="AG441" s="14">
        <v>3.0</v>
      </c>
      <c r="AH441" s="14">
        <v>20.0</v>
      </c>
      <c r="AI441" s="14">
        <v>28.0</v>
      </c>
    </row>
    <row r="442" ht="15.75" customHeight="1">
      <c r="A442" s="14">
        <v>444.0</v>
      </c>
      <c r="B442" s="14" t="s">
        <v>1210</v>
      </c>
      <c r="C442" s="14" t="s">
        <v>116</v>
      </c>
      <c r="D442" s="14">
        <v>7.0</v>
      </c>
      <c r="E442" s="14">
        <v>545.0</v>
      </c>
      <c r="F442" s="14">
        <v>12.0</v>
      </c>
      <c r="G442" s="14">
        <v>557.0</v>
      </c>
      <c r="H442" s="14">
        <v>15.0</v>
      </c>
      <c r="I442" s="14">
        <v>572.0</v>
      </c>
      <c r="J442" s="14">
        <v>21.0</v>
      </c>
      <c r="K442" s="14">
        <v>593.0</v>
      </c>
      <c r="L442" s="14">
        <v>26.0</v>
      </c>
      <c r="M442" s="14">
        <v>619.0</v>
      </c>
      <c r="N442" s="14">
        <v>24.0</v>
      </c>
      <c r="O442" s="14">
        <v>643.0</v>
      </c>
      <c r="P442" s="14">
        <v>18.0</v>
      </c>
      <c r="Q442" s="14">
        <v>661.0</v>
      </c>
      <c r="R442" s="14">
        <v>18.0</v>
      </c>
      <c r="S442" s="14">
        <v>0.0</v>
      </c>
      <c r="T442" s="14">
        <v>7.0</v>
      </c>
      <c r="U442" s="14">
        <v>2.0</v>
      </c>
      <c r="V442" s="14">
        <v>2.0</v>
      </c>
      <c r="W442" s="14">
        <v>9.0</v>
      </c>
      <c r="X442" s="14">
        <v>7.0</v>
      </c>
      <c r="Y442" s="14">
        <v>18.0</v>
      </c>
      <c r="Z442" s="14">
        <v>9.0</v>
      </c>
      <c r="AA442" s="14">
        <v>25.0</v>
      </c>
      <c r="AB442" s="14">
        <v>7.0</v>
      </c>
      <c r="AC442" s="14">
        <v>7.0</v>
      </c>
      <c r="AD442" s="14">
        <v>0.0</v>
      </c>
      <c r="AE442" s="14">
        <v>0.0</v>
      </c>
      <c r="AG442" s="14">
        <v>3.0</v>
      </c>
      <c r="AH442" s="14">
        <v>20.0</v>
      </c>
      <c r="AI442" s="14">
        <v>30.0</v>
      </c>
    </row>
    <row r="443" ht="15.75" customHeight="1">
      <c r="A443" s="14">
        <v>445.0</v>
      </c>
      <c r="B443" s="14" t="s">
        <v>1212</v>
      </c>
      <c r="C443" s="14" t="s">
        <v>116</v>
      </c>
      <c r="D443" s="14">
        <v>8.0</v>
      </c>
      <c r="E443" s="14">
        <v>178.0</v>
      </c>
      <c r="F443" s="14">
        <v>16.0</v>
      </c>
      <c r="G443" s="14">
        <v>194.0</v>
      </c>
      <c r="H443" s="14">
        <v>13.0</v>
      </c>
      <c r="I443" s="14">
        <v>207.0</v>
      </c>
      <c r="J443" s="14">
        <v>14.0</v>
      </c>
      <c r="K443" s="14">
        <v>221.0</v>
      </c>
      <c r="L443" s="14">
        <v>13.0</v>
      </c>
      <c r="M443" s="14">
        <v>234.0</v>
      </c>
      <c r="N443" s="14">
        <v>11.0</v>
      </c>
      <c r="O443" s="14">
        <v>245.0</v>
      </c>
      <c r="P443" s="14">
        <v>11.0</v>
      </c>
      <c r="Q443" s="14">
        <v>256.0</v>
      </c>
      <c r="R443" s="14">
        <v>11.0</v>
      </c>
      <c r="S443" s="14">
        <v>266.0</v>
      </c>
      <c r="T443" s="14">
        <v>10.0</v>
      </c>
      <c r="U443" s="14">
        <v>275.0</v>
      </c>
      <c r="V443" s="14">
        <v>9.0</v>
      </c>
      <c r="W443" s="14">
        <v>284.0</v>
      </c>
      <c r="X443" s="14">
        <v>9.0</v>
      </c>
      <c r="Y443" s="14">
        <v>295.0</v>
      </c>
      <c r="Z443" s="14">
        <v>11.0</v>
      </c>
      <c r="AA443" s="14">
        <v>309.0</v>
      </c>
      <c r="AB443" s="14">
        <v>14.0</v>
      </c>
      <c r="AC443" s="14">
        <v>14.0</v>
      </c>
      <c r="AD443" s="14">
        <v>14.0</v>
      </c>
      <c r="AE443" s="14">
        <v>0.0</v>
      </c>
      <c r="AG443" s="14">
        <v>3.0</v>
      </c>
      <c r="AH443" s="14">
        <v>0.0</v>
      </c>
      <c r="AI443" s="14">
        <v>31.0</v>
      </c>
    </row>
    <row r="444" ht="15.75" customHeight="1">
      <c r="A444" s="14">
        <v>446.0</v>
      </c>
      <c r="B444" s="14" t="s">
        <v>1198</v>
      </c>
      <c r="C444" s="14" t="s">
        <v>116</v>
      </c>
      <c r="D444" s="14">
        <v>11.0</v>
      </c>
      <c r="E444" s="14">
        <v>1673.0</v>
      </c>
      <c r="F444" s="14">
        <v>10.0</v>
      </c>
      <c r="G444" s="14">
        <v>1683.0</v>
      </c>
      <c r="H444" s="14">
        <v>9.0</v>
      </c>
      <c r="I444" s="14">
        <v>1692.0</v>
      </c>
      <c r="J444" s="14">
        <v>9.0</v>
      </c>
      <c r="K444" s="14">
        <v>1701.0</v>
      </c>
      <c r="L444" s="14">
        <v>9.0</v>
      </c>
      <c r="M444" s="14">
        <v>1710.0</v>
      </c>
      <c r="N444" s="14">
        <v>7.0</v>
      </c>
      <c r="O444" s="14">
        <v>1717.0</v>
      </c>
      <c r="P444" s="14">
        <v>8.0</v>
      </c>
      <c r="Q444" s="14">
        <v>1725.0</v>
      </c>
      <c r="R444" s="14">
        <v>8.0</v>
      </c>
      <c r="S444" s="14">
        <v>1730.0</v>
      </c>
      <c r="T444" s="14">
        <v>5.0</v>
      </c>
      <c r="U444" s="14">
        <v>1736.0</v>
      </c>
      <c r="V444" s="14">
        <v>6.0</v>
      </c>
      <c r="W444" s="14">
        <v>1742.0</v>
      </c>
      <c r="X444" s="14">
        <v>6.0</v>
      </c>
      <c r="Y444" s="14">
        <v>1751.0</v>
      </c>
      <c r="Z444" s="14">
        <v>9.0</v>
      </c>
      <c r="AA444" s="14">
        <v>1761.0</v>
      </c>
      <c r="AB444" s="14">
        <v>10.0</v>
      </c>
      <c r="AC444" s="14">
        <v>10.0</v>
      </c>
      <c r="AD444" s="14">
        <v>0.0</v>
      </c>
      <c r="AE444" s="14">
        <v>0.0</v>
      </c>
      <c r="AG444" s="14">
        <v>3.0</v>
      </c>
      <c r="AH444" s="14">
        <v>20.0</v>
      </c>
      <c r="AI444" s="14">
        <v>33.0</v>
      </c>
    </row>
    <row r="445" ht="15.75" customHeight="1">
      <c r="A445" s="14">
        <v>447.0</v>
      </c>
      <c r="B445" s="14" t="s">
        <v>1213</v>
      </c>
      <c r="C445" s="14" t="s">
        <v>116</v>
      </c>
      <c r="D445" s="14">
        <v>13.0</v>
      </c>
      <c r="E445" s="14">
        <v>297.0</v>
      </c>
      <c r="F445" s="14">
        <v>9.0</v>
      </c>
      <c r="G445" s="14">
        <v>306.0</v>
      </c>
      <c r="H445" s="14">
        <v>10.0</v>
      </c>
      <c r="I445" s="14">
        <v>316.0</v>
      </c>
      <c r="J445" s="14">
        <v>8.0</v>
      </c>
      <c r="K445" s="14">
        <v>324.0</v>
      </c>
      <c r="L445" s="14">
        <v>8.0</v>
      </c>
      <c r="M445" s="14">
        <v>332.0</v>
      </c>
      <c r="N445" s="14">
        <v>8.0</v>
      </c>
      <c r="O445" s="14">
        <v>340.0</v>
      </c>
      <c r="P445" s="14">
        <v>8.0</v>
      </c>
      <c r="Q445" s="14">
        <v>348.0</v>
      </c>
      <c r="R445" s="14">
        <v>8.0</v>
      </c>
      <c r="S445" s="14">
        <v>354.0</v>
      </c>
      <c r="T445" s="14">
        <v>6.0</v>
      </c>
      <c r="U445" s="14">
        <v>362.0</v>
      </c>
      <c r="V445" s="14">
        <v>8.0</v>
      </c>
      <c r="W445" s="14">
        <v>373.0</v>
      </c>
      <c r="X445" s="14">
        <v>11.0</v>
      </c>
      <c r="Y445" s="14">
        <v>382.0</v>
      </c>
      <c r="Z445" s="14">
        <v>9.0</v>
      </c>
      <c r="AA445" s="14">
        <v>390.0</v>
      </c>
      <c r="AB445" s="14">
        <v>8.0</v>
      </c>
      <c r="AC445" s="14">
        <v>8.0</v>
      </c>
      <c r="AD445" s="14">
        <v>0.0</v>
      </c>
      <c r="AE445" s="14">
        <v>0.0</v>
      </c>
      <c r="AG445" s="14">
        <v>3.0</v>
      </c>
      <c r="AH445" s="14">
        <v>0.0</v>
      </c>
      <c r="AI445" s="14">
        <v>11.0</v>
      </c>
    </row>
    <row r="446" ht="15.75" customHeight="1">
      <c r="A446" s="14">
        <v>448.0</v>
      </c>
      <c r="B446" s="14" t="s">
        <v>1214</v>
      </c>
      <c r="C446" s="14" t="s">
        <v>116</v>
      </c>
      <c r="D446" s="14">
        <v>14.0</v>
      </c>
      <c r="E446" s="14">
        <v>573.0</v>
      </c>
      <c r="F446" s="14">
        <v>6.0</v>
      </c>
      <c r="G446" s="14">
        <v>579.0</v>
      </c>
      <c r="H446" s="14">
        <v>7.0</v>
      </c>
      <c r="I446" s="14">
        <v>586.0</v>
      </c>
      <c r="J446" s="14">
        <v>7.0</v>
      </c>
      <c r="K446" s="14">
        <v>593.0</v>
      </c>
      <c r="L446" s="14">
        <v>5.0</v>
      </c>
      <c r="M446" s="14">
        <v>598.0</v>
      </c>
      <c r="N446" s="14">
        <v>3.0</v>
      </c>
      <c r="O446" s="14">
        <v>601.0</v>
      </c>
      <c r="P446" s="14">
        <v>2.0</v>
      </c>
      <c r="Q446" s="14">
        <v>603.0</v>
      </c>
      <c r="R446" s="14">
        <v>2.0</v>
      </c>
      <c r="S446" s="14">
        <v>607.0</v>
      </c>
      <c r="T446" s="14">
        <v>4.0</v>
      </c>
      <c r="U446" s="14">
        <v>609.0</v>
      </c>
      <c r="V446" s="14">
        <v>2.0</v>
      </c>
      <c r="W446" s="14">
        <v>612.0</v>
      </c>
      <c r="X446" s="14">
        <v>3.0</v>
      </c>
      <c r="Y446" s="14">
        <v>615.0</v>
      </c>
      <c r="Z446" s="14">
        <v>3.0</v>
      </c>
      <c r="AA446" s="14">
        <v>618.0</v>
      </c>
      <c r="AB446" s="14">
        <v>3.0</v>
      </c>
      <c r="AC446" s="14">
        <v>5.0</v>
      </c>
      <c r="AD446" s="14">
        <v>0.0</v>
      </c>
      <c r="AE446" s="14">
        <v>0.0</v>
      </c>
      <c r="AG446" s="14">
        <v>3.0</v>
      </c>
      <c r="AH446" s="14">
        <v>20.0</v>
      </c>
      <c r="AI446" s="14">
        <v>28.0</v>
      </c>
    </row>
    <row r="447" ht="15.75" customHeight="1">
      <c r="A447" s="14">
        <v>449.0</v>
      </c>
      <c r="B447" s="14" t="s">
        <v>1216</v>
      </c>
      <c r="C447" s="14" t="s">
        <v>116</v>
      </c>
      <c r="D447" s="14">
        <v>15.0</v>
      </c>
      <c r="E447" s="14">
        <v>19.0</v>
      </c>
      <c r="F447" s="14">
        <v>7.0</v>
      </c>
      <c r="G447" s="14">
        <v>26.0</v>
      </c>
      <c r="H447" s="14">
        <v>8.0</v>
      </c>
      <c r="I447" s="14">
        <v>34.0</v>
      </c>
      <c r="J447" s="14">
        <v>6.0</v>
      </c>
      <c r="K447" s="14">
        <v>40.0</v>
      </c>
      <c r="L447" s="14">
        <v>7.0</v>
      </c>
      <c r="M447" s="14">
        <v>47.0</v>
      </c>
      <c r="N447" s="14">
        <v>5.0</v>
      </c>
      <c r="O447" s="14">
        <v>52.0</v>
      </c>
      <c r="P447" s="14">
        <v>4.0</v>
      </c>
      <c r="Q447" s="14">
        <v>56.0</v>
      </c>
      <c r="R447" s="14">
        <v>4.0</v>
      </c>
      <c r="S447" s="14">
        <v>61.0</v>
      </c>
      <c r="T447" s="14">
        <v>5.0</v>
      </c>
      <c r="U447" s="14">
        <v>64.0</v>
      </c>
      <c r="V447" s="14">
        <v>3.0</v>
      </c>
      <c r="W447" s="14">
        <v>67.0</v>
      </c>
      <c r="X447" s="14">
        <v>3.0</v>
      </c>
      <c r="Y447" s="14">
        <v>71.0</v>
      </c>
      <c r="Z447" s="14">
        <v>4.0</v>
      </c>
      <c r="AA447" s="14">
        <v>76.0</v>
      </c>
      <c r="AB447" s="14">
        <v>5.0</v>
      </c>
      <c r="AC447" s="14">
        <v>5.0</v>
      </c>
      <c r="AD447" s="14">
        <v>0.0</v>
      </c>
      <c r="AE447" s="14">
        <v>0.0</v>
      </c>
      <c r="AG447" s="14">
        <v>3.0</v>
      </c>
      <c r="AH447" s="14">
        <v>0.0</v>
      </c>
      <c r="AI447" s="14">
        <v>8.0</v>
      </c>
    </row>
    <row r="448" ht="15.75" customHeight="1">
      <c r="A448" s="14">
        <v>450.0</v>
      </c>
      <c r="B448" s="14" t="s">
        <v>1218</v>
      </c>
      <c r="C448" s="14" t="s">
        <v>116</v>
      </c>
      <c r="D448" s="14">
        <v>16.0</v>
      </c>
      <c r="E448" s="14">
        <v>567.0</v>
      </c>
      <c r="F448" s="14">
        <v>16.0</v>
      </c>
      <c r="G448" s="14">
        <v>583.0</v>
      </c>
      <c r="H448" s="14">
        <v>14.0</v>
      </c>
      <c r="I448" s="14">
        <v>597.0</v>
      </c>
      <c r="J448" s="14">
        <v>15.0</v>
      </c>
      <c r="K448" s="14">
        <v>612.0</v>
      </c>
      <c r="L448" s="14">
        <v>15.0</v>
      </c>
      <c r="M448" s="14">
        <v>627.0</v>
      </c>
      <c r="N448" s="14">
        <v>14.0</v>
      </c>
      <c r="O448" s="14">
        <v>641.0</v>
      </c>
      <c r="P448" s="14">
        <v>12.0</v>
      </c>
      <c r="Q448" s="14">
        <v>653.0</v>
      </c>
      <c r="R448" s="14">
        <v>12.0</v>
      </c>
      <c r="S448" s="14">
        <v>663.0</v>
      </c>
      <c r="T448" s="14">
        <v>10.0</v>
      </c>
      <c r="U448" s="14">
        <v>675.0</v>
      </c>
      <c r="V448" s="14">
        <v>12.0</v>
      </c>
      <c r="W448" s="14">
        <v>687.0</v>
      </c>
      <c r="X448" s="14">
        <v>12.0</v>
      </c>
      <c r="Y448" s="14">
        <v>698.0</v>
      </c>
      <c r="Z448" s="14">
        <v>11.0</v>
      </c>
      <c r="AA448" s="14">
        <v>710.0</v>
      </c>
      <c r="AB448" s="14">
        <v>12.0</v>
      </c>
      <c r="AC448" s="14">
        <v>12.0</v>
      </c>
      <c r="AD448" s="14">
        <v>6.0</v>
      </c>
      <c r="AE448" s="14">
        <v>0.0</v>
      </c>
      <c r="AG448" s="14">
        <v>3.0</v>
      </c>
      <c r="AH448" s="14">
        <v>20.0</v>
      </c>
      <c r="AI448" s="14">
        <v>41.0</v>
      </c>
    </row>
    <row r="449" ht="15.75" customHeight="1">
      <c r="A449" s="14">
        <v>451.0</v>
      </c>
      <c r="B449" s="14" t="s">
        <v>1222</v>
      </c>
      <c r="C449" s="14" t="s">
        <v>116</v>
      </c>
      <c r="D449" s="14">
        <v>17.0</v>
      </c>
      <c r="E449" s="14">
        <v>228.0</v>
      </c>
      <c r="F449" s="14">
        <v>7.0</v>
      </c>
      <c r="G449" s="14">
        <v>235.0</v>
      </c>
      <c r="H449" s="14">
        <v>9.0</v>
      </c>
      <c r="I449" s="14">
        <v>244.0</v>
      </c>
      <c r="J449" s="14">
        <v>7.0</v>
      </c>
      <c r="K449" s="14">
        <v>251.0</v>
      </c>
      <c r="L449" s="14">
        <v>8.0</v>
      </c>
      <c r="M449" s="14">
        <v>259.0</v>
      </c>
      <c r="N449" s="14">
        <v>6.0</v>
      </c>
      <c r="O449" s="14">
        <v>265.0</v>
      </c>
      <c r="P449" s="14">
        <v>6.0</v>
      </c>
      <c r="Q449" s="14">
        <v>271.0</v>
      </c>
      <c r="R449" s="14">
        <v>6.0</v>
      </c>
      <c r="S449" s="14">
        <v>277.0</v>
      </c>
      <c r="T449" s="14">
        <v>6.0</v>
      </c>
      <c r="U449" s="14">
        <v>281.0</v>
      </c>
      <c r="V449" s="14">
        <v>4.0</v>
      </c>
      <c r="W449" s="14">
        <v>287.0</v>
      </c>
      <c r="X449" s="14">
        <v>6.0</v>
      </c>
      <c r="Y449" s="14">
        <v>294.0</v>
      </c>
      <c r="Z449" s="14">
        <v>7.0</v>
      </c>
      <c r="AA449" s="14">
        <v>300.0</v>
      </c>
      <c r="AB449" s="14">
        <v>6.0</v>
      </c>
      <c r="AC449" s="14">
        <v>6.0</v>
      </c>
      <c r="AD449" s="14">
        <v>10.0</v>
      </c>
      <c r="AE449" s="14">
        <v>0.0</v>
      </c>
      <c r="AG449" s="14">
        <v>3.0</v>
      </c>
      <c r="AH449" s="14">
        <v>20.0</v>
      </c>
      <c r="AI449" s="14">
        <v>39.0</v>
      </c>
    </row>
    <row r="450" ht="15.75" customHeight="1">
      <c r="A450" s="14">
        <v>452.0</v>
      </c>
      <c r="B450" s="14" t="s">
        <v>1224</v>
      </c>
      <c r="C450" s="14" t="s">
        <v>206</v>
      </c>
      <c r="D450" s="14">
        <v>1.0</v>
      </c>
      <c r="E450" s="14">
        <v>154.0</v>
      </c>
      <c r="F450" s="14">
        <v>1.0</v>
      </c>
      <c r="G450" s="14">
        <v>155.0</v>
      </c>
      <c r="H450" s="14">
        <v>1.0</v>
      </c>
      <c r="I450" s="14">
        <v>156.0</v>
      </c>
      <c r="J450" s="14">
        <v>1.0</v>
      </c>
      <c r="K450" s="14">
        <v>157.0</v>
      </c>
      <c r="L450" s="14">
        <v>1.0</v>
      </c>
      <c r="M450" s="14">
        <v>158.0</v>
      </c>
      <c r="N450" s="14">
        <v>1.0</v>
      </c>
      <c r="O450" s="14">
        <v>159.0</v>
      </c>
      <c r="P450" s="14">
        <v>0.0</v>
      </c>
      <c r="Q450" s="14">
        <v>159.0</v>
      </c>
      <c r="R450" s="14">
        <v>0.0</v>
      </c>
      <c r="S450" s="14">
        <v>160.0</v>
      </c>
      <c r="T450" s="14">
        <v>1.0</v>
      </c>
      <c r="U450" s="14">
        <v>160.0</v>
      </c>
      <c r="V450" s="14">
        <v>0.0</v>
      </c>
      <c r="W450" s="14">
        <v>160.0</v>
      </c>
      <c r="X450" s="14">
        <v>0.0</v>
      </c>
      <c r="Y450" s="14">
        <v>161.0</v>
      </c>
      <c r="Z450" s="14">
        <v>1.0</v>
      </c>
      <c r="AA450" s="14">
        <v>162.0</v>
      </c>
      <c r="AB450" s="14">
        <v>1.0</v>
      </c>
      <c r="AC450" s="14">
        <v>5.0</v>
      </c>
      <c r="AD450" s="14">
        <v>8.0</v>
      </c>
      <c r="AE450" s="14">
        <v>0.0</v>
      </c>
      <c r="AG450" s="14">
        <v>3.0</v>
      </c>
      <c r="AH450" s="14">
        <v>20.0</v>
      </c>
      <c r="AI450" s="14">
        <v>36.0</v>
      </c>
    </row>
    <row r="451" ht="15.75" customHeight="1">
      <c r="A451" s="14">
        <v>453.0</v>
      </c>
      <c r="B451" s="14" t="s">
        <v>1226</v>
      </c>
      <c r="C451" s="14" t="s">
        <v>206</v>
      </c>
      <c r="D451" s="14">
        <v>2.0</v>
      </c>
      <c r="E451" s="14">
        <v>36.0</v>
      </c>
      <c r="F451" s="14">
        <v>1.0</v>
      </c>
      <c r="G451" s="14">
        <v>37.0</v>
      </c>
      <c r="H451" s="14">
        <v>0.0</v>
      </c>
      <c r="I451" s="14">
        <v>37.0</v>
      </c>
      <c r="J451" s="14">
        <v>1.0</v>
      </c>
      <c r="K451" s="14">
        <v>38.0</v>
      </c>
      <c r="L451" s="14">
        <v>1.0</v>
      </c>
      <c r="M451" s="14">
        <v>39.0</v>
      </c>
      <c r="N451" s="14">
        <v>0.0</v>
      </c>
      <c r="O451" s="14">
        <v>39.0</v>
      </c>
      <c r="P451" s="14">
        <v>0.0</v>
      </c>
      <c r="Q451" s="14">
        <v>39.0</v>
      </c>
      <c r="R451" s="14">
        <v>0.0</v>
      </c>
      <c r="S451" s="14">
        <v>39.0</v>
      </c>
      <c r="T451" s="14">
        <v>0.0</v>
      </c>
      <c r="U451" s="14">
        <v>39.0</v>
      </c>
      <c r="V451" s="14">
        <v>0.0</v>
      </c>
      <c r="W451" s="14">
        <v>39.0</v>
      </c>
      <c r="X451" s="14">
        <v>0.0</v>
      </c>
      <c r="Y451" s="14">
        <v>39.0</v>
      </c>
      <c r="Z451" s="14">
        <v>0.0</v>
      </c>
      <c r="AA451" s="14">
        <v>39.0</v>
      </c>
      <c r="AB451" s="14">
        <v>0.0</v>
      </c>
      <c r="AC451" s="14">
        <v>5.0</v>
      </c>
      <c r="AD451" s="14">
        <v>0.0</v>
      </c>
      <c r="AE451" s="14">
        <v>0.0</v>
      </c>
      <c r="AG451" s="14">
        <v>3.0</v>
      </c>
      <c r="AH451" s="14">
        <v>20.0</v>
      </c>
      <c r="AI451" s="14">
        <v>28.0</v>
      </c>
    </row>
    <row r="452" ht="15.75" customHeight="1">
      <c r="A452" s="14">
        <v>454.0</v>
      </c>
      <c r="B452" s="14" t="s">
        <v>1229</v>
      </c>
      <c r="C452" s="14" t="s">
        <v>206</v>
      </c>
      <c r="D452" s="14">
        <v>3.0</v>
      </c>
      <c r="E452" s="14">
        <v>531.0</v>
      </c>
      <c r="F452" s="14">
        <v>3.0</v>
      </c>
      <c r="G452" s="14">
        <v>534.0</v>
      </c>
      <c r="H452" s="14">
        <v>3.0</v>
      </c>
      <c r="I452" s="14">
        <v>537.0</v>
      </c>
      <c r="J452" s="14">
        <v>3.0</v>
      </c>
      <c r="K452" s="14">
        <v>540.0</v>
      </c>
      <c r="L452" s="14">
        <v>3.0</v>
      </c>
      <c r="M452" s="14">
        <v>543.0</v>
      </c>
      <c r="N452" s="14">
        <v>2.0</v>
      </c>
      <c r="O452" s="14">
        <v>545.0</v>
      </c>
      <c r="P452" s="14">
        <v>1.0</v>
      </c>
      <c r="Q452" s="14">
        <v>546.0</v>
      </c>
      <c r="R452" s="14">
        <v>1.0</v>
      </c>
      <c r="S452" s="14">
        <v>548.0</v>
      </c>
      <c r="T452" s="14">
        <v>2.0</v>
      </c>
      <c r="U452" s="14">
        <v>549.0</v>
      </c>
      <c r="V452" s="14">
        <v>1.0</v>
      </c>
      <c r="W452" s="14">
        <v>550.0</v>
      </c>
      <c r="X452" s="14">
        <v>1.0</v>
      </c>
      <c r="Y452" s="14">
        <v>553.0</v>
      </c>
      <c r="Z452" s="14">
        <v>3.0</v>
      </c>
      <c r="AA452" s="14">
        <v>555.0</v>
      </c>
      <c r="AB452" s="14">
        <v>2.0</v>
      </c>
      <c r="AC452" s="14">
        <v>5.0</v>
      </c>
      <c r="AD452" s="14">
        <v>0.0</v>
      </c>
      <c r="AE452" s="14">
        <v>0.0</v>
      </c>
      <c r="AG452" s="14">
        <v>3.0</v>
      </c>
      <c r="AH452" s="14">
        <v>0.0</v>
      </c>
      <c r="AI452" s="14">
        <v>8.0</v>
      </c>
    </row>
    <row r="453" ht="15.75" customHeight="1">
      <c r="A453" s="14">
        <v>455.0</v>
      </c>
      <c r="B453" s="14" t="s">
        <v>1232</v>
      </c>
      <c r="C453" s="14" t="s">
        <v>206</v>
      </c>
      <c r="D453" s="14">
        <v>4.0</v>
      </c>
      <c r="E453" s="14">
        <v>1660.0</v>
      </c>
      <c r="F453" s="14">
        <v>0.0</v>
      </c>
      <c r="G453" s="14">
        <v>1660.0</v>
      </c>
      <c r="H453" s="14">
        <v>0.0</v>
      </c>
      <c r="I453" s="14">
        <v>1660.0</v>
      </c>
      <c r="J453" s="14">
        <v>0.0</v>
      </c>
      <c r="K453" s="14">
        <v>1660.0</v>
      </c>
      <c r="L453" s="14">
        <v>0.0</v>
      </c>
      <c r="M453" s="14">
        <v>1660.0</v>
      </c>
      <c r="N453" s="14">
        <v>0.0</v>
      </c>
      <c r="O453" s="14">
        <v>1660.0</v>
      </c>
      <c r="P453" s="14">
        <v>0.0</v>
      </c>
      <c r="Q453" s="14">
        <v>1660.0</v>
      </c>
      <c r="R453" s="14">
        <v>0.0</v>
      </c>
      <c r="S453" s="14">
        <v>1660.0</v>
      </c>
      <c r="T453" s="14">
        <v>0.0</v>
      </c>
      <c r="U453" s="14">
        <v>1660.0</v>
      </c>
      <c r="V453" s="14">
        <v>0.0</v>
      </c>
      <c r="W453" s="14">
        <v>1660.0</v>
      </c>
      <c r="X453" s="14">
        <v>0.0</v>
      </c>
      <c r="Y453" s="14">
        <v>1660.0</v>
      </c>
      <c r="Z453" s="14">
        <v>0.0</v>
      </c>
      <c r="AA453" s="14">
        <v>1660.0</v>
      </c>
      <c r="AB453" s="14">
        <v>0.0</v>
      </c>
      <c r="AC453" s="14">
        <v>5.0</v>
      </c>
      <c r="AD453" s="14">
        <v>0.0</v>
      </c>
      <c r="AE453" s="14">
        <v>0.0</v>
      </c>
      <c r="AG453" s="14">
        <v>3.0</v>
      </c>
      <c r="AH453" s="14">
        <v>0.0</v>
      </c>
      <c r="AI453" s="14">
        <v>8.0</v>
      </c>
    </row>
    <row r="454" ht="15.75" customHeight="1">
      <c r="A454" s="14">
        <v>456.0</v>
      </c>
      <c r="B454" s="14" t="s">
        <v>1234</v>
      </c>
      <c r="C454" s="14" t="s">
        <v>206</v>
      </c>
      <c r="D454" s="14">
        <v>5.0</v>
      </c>
      <c r="E454" s="14">
        <v>36.0</v>
      </c>
      <c r="F454" s="14">
        <v>1.0</v>
      </c>
      <c r="G454" s="14">
        <v>37.0</v>
      </c>
      <c r="H454" s="14">
        <v>719.0</v>
      </c>
      <c r="I454" s="14">
        <v>756.0</v>
      </c>
      <c r="J454" s="14">
        <v>7.0</v>
      </c>
      <c r="K454" s="14">
        <v>763.0</v>
      </c>
      <c r="L454" s="14">
        <v>6.0</v>
      </c>
      <c r="M454" s="14">
        <v>769.0</v>
      </c>
      <c r="N454" s="14">
        <v>5.0</v>
      </c>
      <c r="O454" s="14">
        <v>774.0</v>
      </c>
      <c r="P454" s="14">
        <v>5.0</v>
      </c>
      <c r="Q454" s="14">
        <v>779.0</v>
      </c>
      <c r="R454" s="14">
        <v>5.0</v>
      </c>
      <c r="S454" s="14">
        <v>784.0</v>
      </c>
      <c r="T454" s="14">
        <v>5.0</v>
      </c>
      <c r="U454" s="14">
        <v>789.0</v>
      </c>
      <c r="V454" s="14">
        <v>5.0</v>
      </c>
      <c r="W454" s="14">
        <v>793.0</v>
      </c>
      <c r="X454" s="14">
        <v>4.0</v>
      </c>
      <c r="Y454" s="14">
        <v>801.0</v>
      </c>
      <c r="Z454" s="14">
        <v>8.0</v>
      </c>
      <c r="AA454" s="14">
        <v>806.0</v>
      </c>
      <c r="AB454" s="14">
        <v>5.0</v>
      </c>
      <c r="AC454" s="14">
        <v>5.0</v>
      </c>
      <c r="AD454" s="14">
        <v>0.0</v>
      </c>
      <c r="AE454" s="14">
        <v>0.0</v>
      </c>
      <c r="AG454" s="14">
        <v>3.0</v>
      </c>
      <c r="AH454" s="14">
        <v>20.0</v>
      </c>
      <c r="AI454" s="14">
        <v>28.0</v>
      </c>
    </row>
    <row r="455" ht="15.75" customHeight="1">
      <c r="A455" s="14">
        <v>457.0</v>
      </c>
      <c r="B455" s="14" t="s">
        <v>1236</v>
      </c>
      <c r="C455" s="14" t="s">
        <v>206</v>
      </c>
      <c r="D455" s="14">
        <v>6.0</v>
      </c>
      <c r="E455" s="14">
        <v>172.0</v>
      </c>
      <c r="F455" s="14">
        <v>3.0</v>
      </c>
      <c r="G455" s="14">
        <v>175.0</v>
      </c>
      <c r="H455" s="14">
        <v>5.0</v>
      </c>
      <c r="I455" s="14">
        <v>180.0</v>
      </c>
      <c r="J455" s="14">
        <v>2.0</v>
      </c>
      <c r="K455" s="14">
        <v>182.0</v>
      </c>
      <c r="L455" s="14">
        <v>3.0</v>
      </c>
      <c r="M455" s="14">
        <v>185.0</v>
      </c>
      <c r="N455" s="14">
        <v>3.0</v>
      </c>
      <c r="O455" s="14">
        <v>188.0</v>
      </c>
      <c r="P455" s="14">
        <v>3.0</v>
      </c>
      <c r="Q455" s="14">
        <v>191.0</v>
      </c>
      <c r="R455" s="14">
        <v>3.0</v>
      </c>
      <c r="S455" s="14">
        <v>193.0</v>
      </c>
      <c r="T455" s="14">
        <v>2.0</v>
      </c>
      <c r="U455" s="14">
        <v>195.0</v>
      </c>
      <c r="V455" s="14">
        <v>2.0</v>
      </c>
      <c r="W455" s="14">
        <v>198.0</v>
      </c>
      <c r="X455" s="14">
        <v>3.0</v>
      </c>
      <c r="Y455" s="14">
        <v>201.0</v>
      </c>
      <c r="Z455" s="14">
        <v>3.0</v>
      </c>
      <c r="AA455" s="14">
        <v>203.0</v>
      </c>
      <c r="AB455" s="14">
        <v>2.0</v>
      </c>
      <c r="AC455" s="14">
        <v>5.0</v>
      </c>
      <c r="AD455" s="14">
        <v>0.0</v>
      </c>
      <c r="AE455" s="14">
        <v>0.0</v>
      </c>
      <c r="AG455" s="14">
        <v>3.0</v>
      </c>
      <c r="AH455" s="14">
        <v>0.0</v>
      </c>
      <c r="AI455" s="14">
        <v>8.0</v>
      </c>
    </row>
    <row r="456" ht="15.75" customHeight="1">
      <c r="A456" s="14">
        <v>458.0</v>
      </c>
      <c r="B456" s="14" t="s">
        <v>1238</v>
      </c>
      <c r="C456" s="14" t="s">
        <v>211</v>
      </c>
      <c r="D456" s="14">
        <v>1.0</v>
      </c>
      <c r="E456" s="14">
        <v>663.0</v>
      </c>
      <c r="F456" s="14">
        <v>21.0</v>
      </c>
      <c r="G456" s="14">
        <v>684.0</v>
      </c>
      <c r="H456" s="14">
        <v>21.0</v>
      </c>
      <c r="I456" s="14">
        <v>705.0</v>
      </c>
      <c r="J456" s="14">
        <v>20.0</v>
      </c>
      <c r="K456" s="14">
        <v>725.0</v>
      </c>
      <c r="L456" s="14">
        <v>15.0</v>
      </c>
      <c r="M456" s="14">
        <v>740.0</v>
      </c>
      <c r="N456" s="14">
        <v>13.0</v>
      </c>
      <c r="O456" s="14">
        <v>753.0</v>
      </c>
      <c r="P456" s="14">
        <v>13.0</v>
      </c>
      <c r="Q456" s="14">
        <v>766.0</v>
      </c>
      <c r="R456" s="14">
        <v>13.0</v>
      </c>
      <c r="S456" s="14">
        <v>777.0</v>
      </c>
      <c r="T456" s="14">
        <v>11.0</v>
      </c>
      <c r="U456" s="14">
        <v>787.0</v>
      </c>
      <c r="V456" s="14">
        <v>10.0</v>
      </c>
      <c r="W456" s="14">
        <v>797.0</v>
      </c>
      <c r="X456" s="14">
        <v>10.0</v>
      </c>
      <c r="Y456" s="14">
        <v>810.0</v>
      </c>
      <c r="Z456" s="14">
        <v>13.0</v>
      </c>
      <c r="AA456" s="14">
        <v>819.0</v>
      </c>
      <c r="AB456" s="14">
        <v>9.0</v>
      </c>
      <c r="AC456" s="14">
        <v>9.0</v>
      </c>
      <c r="AD456" s="14">
        <v>0.0</v>
      </c>
      <c r="AE456" s="14">
        <v>0.0</v>
      </c>
      <c r="AG456" s="14">
        <v>3.0</v>
      </c>
      <c r="AH456" s="14">
        <v>0.0</v>
      </c>
      <c r="AI456" s="14">
        <v>12.0</v>
      </c>
    </row>
    <row r="457" ht="15.75" customHeight="1">
      <c r="A457" s="14">
        <v>459.0</v>
      </c>
      <c r="B457" s="14" t="s">
        <v>1239</v>
      </c>
      <c r="C457" s="14" t="s">
        <v>211</v>
      </c>
      <c r="D457" s="14">
        <v>3.0</v>
      </c>
      <c r="G457" s="14">
        <v>0.0</v>
      </c>
      <c r="H457" s="14">
        <v>0.0</v>
      </c>
      <c r="I457" s="14">
        <v>0.0</v>
      </c>
      <c r="J457" s="14">
        <v>0.0</v>
      </c>
      <c r="K457" s="14">
        <v>0.0</v>
      </c>
      <c r="L457" s="14">
        <v>5.0</v>
      </c>
      <c r="M457" s="14">
        <v>5.0</v>
      </c>
      <c r="N457" s="14">
        <v>0.0</v>
      </c>
      <c r="O457" s="14">
        <v>5.0</v>
      </c>
      <c r="P457" s="14">
        <v>-4.0</v>
      </c>
      <c r="Q457" s="14">
        <v>1.0</v>
      </c>
      <c r="R457" s="14">
        <v>-4.0</v>
      </c>
      <c r="S457" s="14">
        <v>1.0</v>
      </c>
      <c r="T457" s="14">
        <v>0.0</v>
      </c>
      <c r="U457" s="14">
        <v>0.0</v>
      </c>
      <c r="V457" s="14">
        <v>0.0</v>
      </c>
      <c r="W457" s="14">
        <v>0.0</v>
      </c>
      <c r="X457" s="14">
        <v>0.0</v>
      </c>
      <c r="Y457" s="14">
        <v>0.0</v>
      </c>
      <c r="Z457" s="14">
        <v>0.0</v>
      </c>
      <c r="AA457" s="14">
        <v>4.0</v>
      </c>
      <c r="AB457" s="14">
        <v>4.0</v>
      </c>
      <c r="AC457" s="14">
        <v>5.0</v>
      </c>
      <c r="AD457" s="14">
        <v>0.0</v>
      </c>
      <c r="AE457" s="14">
        <v>0.0</v>
      </c>
      <c r="AG457" s="14">
        <v>3.0</v>
      </c>
      <c r="AH457" s="14">
        <v>0.0</v>
      </c>
      <c r="AI457" s="14">
        <v>8.0</v>
      </c>
    </row>
    <row r="458" ht="15.75" customHeight="1">
      <c r="A458" s="14">
        <v>460.0</v>
      </c>
      <c r="B458" s="14" t="s">
        <v>1242</v>
      </c>
      <c r="C458" s="14" t="s">
        <v>211</v>
      </c>
      <c r="D458" s="14">
        <v>4.0</v>
      </c>
      <c r="E458" s="14">
        <v>700.0</v>
      </c>
      <c r="F458" s="14">
        <v>7.0</v>
      </c>
      <c r="G458" s="14">
        <v>707.0</v>
      </c>
      <c r="H458" s="14">
        <v>5.0</v>
      </c>
      <c r="I458" s="14">
        <v>712.0</v>
      </c>
      <c r="J458" s="14">
        <v>8.0</v>
      </c>
      <c r="K458" s="14">
        <v>720.0</v>
      </c>
      <c r="L458" s="14">
        <v>14.0</v>
      </c>
      <c r="M458" s="14">
        <v>734.0</v>
      </c>
      <c r="N458" s="14">
        <v>12.0</v>
      </c>
      <c r="O458" s="14">
        <v>746.0</v>
      </c>
      <c r="P458" s="14">
        <v>8.0</v>
      </c>
      <c r="Q458" s="14">
        <v>754.0</v>
      </c>
      <c r="R458" s="14">
        <v>8.0</v>
      </c>
      <c r="S458" s="14">
        <v>768.0</v>
      </c>
      <c r="T458" s="14">
        <v>14.0</v>
      </c>
      <c r="U458" s="14">
        <v>785.0</v>
      </c>
      <c r="V458" s="14">
        <v>17.0</v>
      </c>
      <c r="W458" s="14">
        <v>797.0</v>
      </c>
      <c r="X458" s="14">
        <v>12.0</v>
      </c>
      <c r="Y458" s="14">
        <v>806.0</v>
      </c>
      <c r="Z458" s="14">
        <v>9.0</v>
      </c>
      <c r="AA458" s="14">
        <v>819.0</v>
      </c>
      <c r="AB458" s="14">
        <v>13.0</v>
      </c>
      <c r="AC458" s="14">
        <v>13.0</v>
      </c>
      <c r="AD458" s="14">
        <v>0.0</v>
      </c>
      <c r="AE458" s="14">
        <v>0.0</v>
      </c>
      <c r="AG458" s="14">
        <v>3.0</v>
      </c>
      <c r="AH458" s="14">
        <v>0.0</v>
      </c>
      <c r="AI458" s="14">
        <v>16.0</v>
      </c>
    </row>
    <row r="459" ht="15.75" customHeight="1">
      <c r="A459" s="14">
        <v>461.0</v>
      </c>
      <c r="B459" s="14" t="s">
        <v>1244</v>
      </c>
      <c r="C459" s="14" t="s">
        <v>211</v>
      </c>
      <c r="D459" s="14">
        <v>6.0</v>
      </c>
      <c r="E459" s="14">
        <v>0.0</v>
      </c>
      <c r="F459" s="14">
        <v>0.0</v>
      </c>
      <c r="G459" s="14">
        <v>0.0</v>
      </c>
      <c r="H459" s="14">
        <v>0.0</v>
      </c>
      <c r="I459" s="14">
        <v>0.0</v>
      </c>
      <c r="J459" s="14">
        <v>0.0</v>
      </c>
      <c r="K459" s="14">
        <v>0.0</v>
      </c>
      <c r="L459" s="14">
        <v>5.0</v>
      </c>
      <c r="M459" s="14">
        <v>5.0</v>
      </c>
      <c r="N459" s="14">
        <v>-4.0</v>
      </c>
      <c r="O459" s="14">
        <v>1.0</v>
      </c>
      <c r="P459" s="14">
        <v>0.0</v>
      </c>
      <c r="Q459" s="14">
        <v>1.0</v>
      </c>
      <c r="R459" s="14">
        <v>0.0</v>
      </c>
      <c r="S459" s="14">
        <v>1.0</v>
      </c>
      <c r="T459" s="14">
        <v>0.0</v>
      </c>
      <c r="U459" s="14">
        <v>0.0</v>
      </c>
      <c r="V459" s="14">
        <v>0.0</v>
      </c>
      <c r="W459" s="14">
        <v>0.0</v>
      </c>
      <c r="X459" s="14">
        <v>0.0</v>
      </c>
      <c r="Y459" s="14">
        <v>0.0</v>
      </c>
      <c r="Z459" s="14">
        <v>0.0</v>
      </c>
      <c r="AA459" s="14">
        <v>0.0</v>
      </c>
      <c r="AB459" s="14">
        <v>0.0</v>
      </c>
      <c r="AC459" s="14">
        <v>5.0</v>
      </c>
      <c r="AD459" s="14">
        <v>24.0</v>
      </c>
      <c r="AE459" s="14">
        <v>40.0</v>
      </c>
      <c r="AF459" s="14">
        <v>100.0</v>
      </c>
      <c r="AG459" s="14">
        <v>3.0</v>
      </c>
      <c r="AH459" s="14">
        <v>40.0</v>
      </c>
      <c r="AI459" s="14">
        <v>212.0</v>
      </c>
    </row>
    <row r="460" ht="15.75" customHeight="1">
      <c r="A460" s="14">
        <v>462.0</v>
      </c>
      <c r="B460" s="14" t="s">
        <v>1247</v>
      </c>
      <c r="C460" s="14" t="s">
        <v>211</v>
      </c>
      <c r="D460" s="14">
        <v>7.0</v>
      </c>
      <c r="E460" s="14">
        <v>65.0</v>
      </c>
      <c r="F460" s="14">
        <v>10.0</v>
      </c>
      <c r="G460" s="14">
        <v>75.0</v>
      </c>
      <c r="H460" s="14">
        <v>9.0</v>
      </c>
      <c r="I460" s="14">
        <v>84.0</v>
      </c>
      <c r="J460" s="14">
        <v>12.0</v>
      </c>
      <c r="K460" s="14">
        <v>96.0</v>
      </c>
      <c r="L460" s="14">
        <v>11.0</v>
      </c>
      <c r="M460" s="14">
        <v>107.0</v>
      </c>
      <c r="N460" s="14">
        <v>8.0</v>
      </c>
      <c r="O460" s="14">
        <v>115.0</v>
      </c>
      <c r="P460" s="14">
        <v>7.0</v>
      </c>
      <c r="Q460" s="14">
        <v>122.0</v>
      </c>
      <c r="R460" s="14">
        <v>7.0</v>
      </c>
      <c r="S460" s="14">
        <v>131.0</v>
      </c>
      <c r="T460" s="14">
        <v>9.0</v>
      </c>
      <c r="U460" s="14">
        <v>137.0</v>
      </c>
      <c r="V460" s="14">
        <v>6.0</v>
      </c>
      <c r="W460" s="14">
        <v>145.0</v>
      </c>
      <c r="X460" s="14">
        <v>8.0</v>
      </c>
      <c r="Y460" s="14">
        <v>155.0</v>
      </c>
      <c r="Z460" s="14">
        <v>10.0</v>
      </c>
      <c r="AA460" s="14">
        <v>165.0</v>
      </c>
      <c r="AB460" s="14">
        <v>10.0</v>
      </c>
      <c r="AC460" s="14">
        <v>10.0</v>
      </c>
      <c r="AD460" s="14">
        <v>0.0</v>
      </c>
      <c r="AE460" s="14">
        <v>0.0</v>
      </c>
      <c r="AF460" s="14">
        <v>100.0</v>
      </c>
      <c r="AG460" s="14">
        <v>3.0</v>
      </c>
      <c r="AH460" s="14">
        <v>0.0</v>
      </c>
      <c r="AI460" s="14">
        <v>113.0</v>
      </c>
    </row>
    <row r="461" ht="15.75" customHeight="1">
      <c r="A461" s="14">
        <v>463.0</v>
      </c>
      <c r="B461" s="14" t="s">
        <v>1250</v>
      </c>
      <c r="C461" s="14" t="s">
        <v>211</v>
      </c>
      <c r="D461" s="14">
        <v>8.0</v>
      </c>
      <c r="E461" s="14">
        <v>126.0</v>
      </c>
      <c r="F461" s="14">
        <v>2.0</v>
      </c>
      <c r="G461" s="14">
        <v>128.0</v>
      </c>
      <c r="H461" s="14">
        <v>4.0</v>
      </c>
      <c r="I461" s="14">
        <v>132.0</v>
      </c>
      <c r="J461" s="14">
        <v>8.0</v>
      </c>
      <c r="K461" s="14">
        <v>140.0</v>
      </c>
      <c r="L461" s="14">
        <v>4.0</v>
      </c>
      <c r="M461" s="14">
        <v>144.0</v>
      </c>
      <c r="N461" s="14">
        <v>8.0</v>
      </c>
      <c r="O461" s="14">
        <v>152.0</v>
      </c>
      <c r="P461" s="14">
        <v>4.0</v>
      </c>
      <c r="Q461" s="14">
        <v>156.0</v>
      </c>
      <c r="R461" s="14">
        <v>4.0</v>
      </c>
      <c r="S461" s="14">
        <v>161.0</v>
      </c>
      <c r="T461" s="14">
        <v>5.0</v>
      </c>
      <c r="U461" s="14">
        <v>167.0</v>
      </c>
      <c r="V461" s="14">
        <v>6.0</v>
      </c>
      <c r="W461" s="14">
        <v>185.0</v>
      </c>
      <c r="X461" s="14">
        <v>18.0</v>
      </c>
      <c r="Y461" s="14">
        <v>200.0</v>
      </c>
      <c r="Z461" s="14">
        <v>15.0</v>
      </c>
      <c r="AA461" s="14">
        <v>222.0</v>
      </c>
      <c r="AB461" s="14">
        <v>22.0</v>
      </c>
      <c r="AC461" s="14">
        <v>22.0</v>
      </c>
      <c r="AD461" s="14">
        <v>0.0</v>
      </c>
      <c r="AE461" s="14">
        <v>0.0</v>
      </c>
      <c r="AG461" s="14">
        <v>3.0</v>
      </c>
      <c r="AH461" s="14">
        <v>0.0</v>
      </c>
      <c r="AI461" s="14">
        <v>25.0</v>
      </c>
    </row>
    <row r="462" ht="15.75" customHeight="1">
      <c r="A462" s="14">
        <v>464.0</v>
      </c>
      <c r="B462" s="14" t="s">
        <v>1256</v>
      </c>
      <c r="C462" s="14" t="s">
        <v>214</v>
      </c>
      <c r="D462" s="14">
        <v>1.0</v>
      </c>
      <c r="E462" s="14">
        <v>144.0</v>
      </c>
      <c r="F462" s="14">
        <v>4.0</v>
      </c>
      <c r="G462" s="14">
        <v>148.0</v>
      </c>
      <c r="H462" s="14">
        <v>5.0</v>
      </c>
      <c r="I462" s="14">
        <v>153.0</v>
      </c>
      <c r="J462" s="14">
        <v>7.0</v>
      </c>
      <c r="K462" s="14">
        <v>160.0</v>
      </c>
      <c r="L462" s="14">
        <v>4.0</v>
      </c>
      <c r="M462" s="14">
        <v>164.0</v>
      </c>
      <c r="N462" s="14">
        <v>4.0</v>
      </c>
      <c r="O462" s="14">
        <v>168.0</v>
      </c>
      <c r="P462" s="14">
        <v>3.0</v>
      </c>
      <c r="Q462" s="14">
        <v>171.0</v>
      </c>
      <c r="R462" s="14">
        <v>3.0</v>
      </c>
      <c r="S462" s="14">
        <v>175.0</v>
      </c>
      <c r="T462" s="14">
        <v>4.0</v>
      </c>
      <c r="U462" s="14">
        <v>177.0</v>
      </c>
      <c r="V462" s="14">
        <v>2.0</v>
      </c>
      <c r="W462" s="14">
        <v>180.0</v>
      </c>
      <c r="X462" s="14">
        <v>3.0</v>
      </c>
      <c r="Y462" s="14">
        <v>182.0</v>
      </c>
      <c r="Z462" s="14">
        <v>2.0</v>
      </c>
      <c r="AA462" s="14">
        <v>187.0</v>
      </c>
      <c r="AB462" s="14">
        <v>5.0</v>
      </c>
      <c r="AC462" s="14">
        <v>5.0</v>
      </c>
      <c r="AD462" s="14">
        <v>0.0</v>
      </c>
      <c r="AE462" s="14">
        <v>0.0</v>
      </c>
      <c r="AG462" s="14">
        <v>3.0</v>
      </c>
      <c r="AH462" s="14">
        <v>0.0</v>
      </c>
      <c r="AI462" s="14">
        <v>8.0</v>
      </c>
    </row>
    <row r="463" ht="15.75" customHeight="1">
      <c r="A463" s="14">
        <v>465.0</v>
      </c>
      <c r="B463" s="14" t="s">
        <v>1258</v>
      </c>
      <c r="C463" s="14" t="s">
        <v>214</v>
      </c>
      <c r="D463" s="14">
        <v>2.0</v>
      </c>
      <c r="E463" s="14">
        <v>754.0</v>
      </c>
      <c r="F463" s="14">
        <v>3.0</v>
      </c>
      <c r="G463" s="14">
        <v>757.0</v>
      </c>
      <c r="H463" s="14">
        <v>4.0</v>
      </c>
      <c r="I463" s="14">
        <v>761.0</v>
      </c>
      <c r="J463" s="14">
        <v>3.0</v>
      </c>
      <c r="K463" s="14">
        <v>764.0</v>
      </c>
      <c r="L463" s="14">
        <v>25.0</v>
      </c>
      <c r="M463" s="14">
        <v>789.0</v>
      </c>
      <c r="N463" s="14">
        <v>2.0</v>
      </c>
      <c r="O463" s="14">
        <v>791.0</v>
      </c>
      <c r="P463" s="14">
        <v>2.0</v>
      </c>
      <c r="Q463" s="14">
        <v>793.0</v>
      </c>
      <c r="R463" s="14">
        <v>2.0</v>
      </c>
      <c r="S463" s="14">
        <v>794.0</v>
      </c>
      <c r="T463" s="14">
        <v>1.0</v>
      </c>
      <c r="U463" s="14">
        <v>796.0</v>
      </c>
      <c r="V463" s="14">
        <v>2.0</v>
      </c>
      <c r="W463" s="14">
        <v>798.0</v>
      </c>
      <c r="X463" s="14">
        <v>2.0</v>
      </c>
      <c r="Y463" s="14">
        <v>799.0</v>
      </c>
      <c r="Z463" s="14">
        <v>1.0</v>
      </c>
      <c r="AA463" s="14">
        <v>799.0</v>
      </c>
      <c r="AB463" s="14">
        <v>0.0</v>
      </c>
      <c r="AC463" s="14">
        <v>5.0</v>
      </c>
      <c r="AD463" s="14">
        <v>0.0</v>
      </c>
      <c r="AE463" s="14">
        <v>0.0</v>
      </c>
      <c r="AG463" s="14">
        <v>3.0</v>
      </c>
      <c r="AH463" s="14">
        <v>0.0</v>
      </c>
      <c r="AI463" s="14">
        <v>8.0</v>
      </c>
    </row>
    <row r="464" ht="15.75" customHeight="1">
      <c r="A464" s="14">
        <v>466.0</v>
      </c>
      <c r="B464" s="14" t="s">
        <v>1261</v>
      </c>
      <c r="C464" s="14" t="s">
        <v>214</v>
      </c>
      <c r="D464" s="14">
        <v>4.0</v>
      </c>
      <c r="E464" s="14">
        <v>1056.0</v>
      </c>
      <c r="F464" s="14">
        <v>16.0</v>
      </c>
      <c r="G464" s="14">
        <v>1072.0</v>
      </c>
      <c r="H464" s="14">
        <v>14.0</v>
      </c>
      <c r="I464" s="14">
        <v>1086.0</v>
      </c>
      <c r="J464" s="14">
        <v>11.0</v>
      </c>
      <c r="K464" s="14">
        <v>1097.0</v>
      </c>
      <c r="L464" s="14">
        <v>15.0</v>
      </c>
      <c r="M464" s="14">
        <v>1112.0</v>
      </c>
      <c r="N464" s="14">
        <v>9.0</v>
      </c>
      <c r="O464" s="14">
        <v>1121.0</v>
      </c>
      <c r="P464" s="14">
        <v>0.0</v>
      </c>
      <c r="Q464" s="14">
        <v>1121.0</v>
      </c>
      <c r="R464" s="14">
        <v>0.0</v>
      </c>
      <c r="S464" s="14">
        <v>1126.0</v>
      </c>
      <c r="T464" s="14">
        <v>5.0</v>
      </c>
      <c r="U464" s="14">
        <v>1132.0</v>
      </c>
      <c r="V464" s="14">
        <v>6.0</v>
      </c>
      <c r="W464" s="14">
        <v>1140.0</v>
      </c>
      <c r="X464" s="14">
        <v>8.0</v>
      </c>
      <c r="Y464" s="14">
        <v>1167.0</v>
      </c>
      <c r="Z464" s="14">
        <v>27.0</v>
      </c>
      <c r="AA464" s="14">
        <v>1232.0</v>
      </c>
      <c r="AB464" s="14">
        <v>65.0</v>
      </c>
      <c r="AC464" s="14">
        <v>65.0</v>
      </c>
      <c r="AD464" s="14">
        <v>30.0</v>
      </c>
      <c r="AE464" s="14">
        <v>0.0</v>
      </c>
      <c r="AG464" s="14">
        <v>3.0</v>
      </c>
      <c r="AH464" s="14">
        <v>0.0</v>
      </c>
      <c r="AI464" s="14">
        <v>98.0</v>
      </c>
    </row>
    <row r="465" ht="15.75" customHeight="1">
      <c r="A465" s="14">
        <v>467.0</v>
      </c>
      <c r="B465" s="14" t="s">
        <v>1264</v>
      </c>
      <c r="C465" s="14" t="s">
        <v>214</v>
      </c>
      <c r="D465" s="14">
        <v>6.0</v>
      </c>
      <c r="E465" s="14">
        <v>153.0</v>
      </c>
      <c r="F465" s="14">
        <v>8.0</v>
      </c>
      <c r="G465" s="14">
        <v>161.0</v>
      </c>
      <c r="H465" s="14">
        <v>8.0</v>
      </c>
      <c r="I465" s="14">
        <v>169.0</v>
      </c>
      <c r="J465" s="14">
        <v>9.0</v>
      </c>
      <c r="K465" s="14">
        <v>178.0</v>
      </c>
      <c r="L465" s="14">
        <v>8.0</v>
      </c>
      <c r="M465" s="14">
        <v>186.0</v>
      </c>
      <c r="N465" s="14">
        <v>9.0</v>
      </c>
      <c r="O465" s="14">
        <v>195.0</v>
      </c>
      <c r="P465" s="14">
        <v>6.0</v>
      </c>
      <c r="Q465" s="14">
        <v>201.0</v>
      </c>
      <c r="R465" s="14">
        <v>6.0</v>
      </c>
      <c r="S465" s="14">
        <v>206.0</v>
      </c>
      <c r="T465" s="14">
        <v>5.0</v>
      </c>
      <c r="U465" s="14">
        <v>211.0</v>
      </c>
      <c r="V465" s="14">
        <v>5.0</v>
      </c>
      <c r="W465" s="14">
        <v>217.0</v>
      </c>
      <c r="X465" s="14">
        <v>6.0</v>
      </c>
      <c r="Y465" s="14">
        <v>223.0</v>
      </c>
      <c r="Z465" s="14">
        <v>6.0</v>
      </c>
      <c r="AA465" s="14">
        <v>229.0</v>
      </c>
      <c r="AB465" s="14">
        <v>6.0</v>
      </c>
      <c r="AC465" s="14">
        <v>6.0</v>
      </c>
      <c r="AD465" s="14">
        <v>9.0</v>
      </c>
      <c r="AE465" s="14">
        <v>0.0</v>
      </c>
      <c r="AG465" s="14">
        <v>3.0</v>
      </c>
      <c r="AH465" s="14">
        <v>0.0</v>
      </c>
      <c r="AI465" s="14">
        <v>18.0</v>
      </c>
    </row>
    <row r="466" ht="15.75" customHeight="1">
      <c r="A466" s="14">
        <v>468.0</v>
      </c>
      <c r="B466" s="14" t="s">
        <v>1266</v>
      </c>
      <c r="C466" s="14" t="s">
        <v>214</v>
      </c>
      <c r="D466" s="14">
        <v>7.0</v>
      </c>
      <c r="W466" s="14">
        <v>0.0</v>
      </c>
      <c r="X466" s="14">
        <v>0.0</v>
      </c>
      <c r="Y466" s="14">
        <v>8.0</v>
      </c>
      <c r="Z466" s="14">
        <v>8.0</v>
      </c>
      <c r="AA466" s="14">
        <v>14.0</v>
      </c>
      <c r="AB466" s="14">
        <v>6.0</v>
      </c>
      <c r="AC466" s="14">
        <v>6.0</v>
      </c>
      <c r="AD466" s="14">
        <v>0.0</v>
      </c>
      <c r="AE466" s="14">
        <v>0.0</v>
      </c>
      <c r="AF466" s="14">
        <v>100.0</v>
      </c>
      <c r="AG466" s="14">
        <v>3.0</v>
      </c>
      <c r="AH466" s="14">
        <v>0.0</v>
      </c>
      <c r="AI466" s="14">
        <v>109.0</v>
      </c>
    </row>
    <row r="467" ht="15.75" customHeight="1">
      <c r="A467" s="14">
        <v>469.0</v>
      </c>
      <c r="B467" s="14" t="s">
        <v>1268</v>
      </c>
      <c r="C467" s="14" t="s">
        <v>214</v>
      </c>
      <c r="D467" s="14">
        <v>8.0</v>
      </c>
      <c r="E467" s="14">
        <v>1031.0</v>
      </c>
      <c r="F467" s="14">
        <v>24.0</v>
      </c>
      <c r="G467" s="14">
        <v>1055.0</v>
      </c>
      <c r="H467" s="14">
        <v>33.0</v>
      </c>
      <c r="I467" s="14">
        <v>1088.0</v>
      </c>
      <c r="J467" s="14">
        <v>24.0</v>
      </c>
      <c r="K467" s="14">
        <v>1112.0</v>
      </c>
      <c r="L467" s="14">
        <v>29.0</v>
      </c>
      <c r="M467" s="14">
        <v>1141.0</v>
      </c>
      <c r="N467" s="14">
        <v>23.0</v>
      </c>
      <c r="O467" s="14">
        <v>1164.0</v>
      </c>
      <c r="P467" s="14">
        <v>32.0</v>
      </c>
      <c r="Q467" s="14">
        <v>1196.0</v>
      </c>
      <c r="R467" s="14">
        <v>32.0</v>
      </c>
      <c r="S467" s="14">
        <v>1214.0</v>
      </c>
      <c r="T467" s="14">
        <v>18.0</v>
      </c>
      <c r="U467" s="14">
        <v>1242.0</v>
      </c>
      <c r="V467" s="14">
        <v>28.0</v>
      </c>
      <c r="W467" s="14">
        <v>1274.0</v>
      </c>
      <c r="X467" s="14">
        <v>32.0</v>
      </c>
      <c r="Y467" s="14">
        <v>1301.0</v>
      </c>
      <c r="Z467" s="14">
        <v>27.0</v>
      </c>
      <c r="AA467" s="14">
        <v>1321.0</v>
      </c>
      <c r="AB467" s="14">
        <v>20.0</v>
      </c>
      <c r="AC467" s="14">
        <v>20.0</v>
      </c>
      <c r="AD467" s="14">
        <v>0.0</v>
      </c>
      <c r="AE467" s="14">
        <v>0.0</v>
      </c>
      <c r="AG467" s="14">
        <v>3.0</v>
      </c>
      <c r="AH467" s="14">
        <v>0.0</v>
      </c>
      <c r="AI467" s="14">
        <v>23.0</v>
      </c>
    </row>
    <row r="468" ht="15.75" customHeight="1">
      <c r="A468" s="14">
        <v>470.0</v>
      </c>
      <c r="B468" s="14" t="s">
        <v>1271</v>
      </c>
      <c r="C468" s="14" t="s">
        <v>214</v>
      </c>
      <c r="D468" s="14">
        <v>9.0</v>
      </c>
      <c r="E468" s="14">
        <v>38.0</v>
      </c>
      <c r="F468" s="14">
        <v>5.0</v>
      </c>
      <c r="G468" s="14">
        <v>43.0</v>
      </c>
      <c r="H468" s="14">
        <v>7.0</v>
      </c>
      <c r="I468" s="14">
        <v>50.0</v>
      </c>
      <c r="J468" s="14">
        <v>4.0</v>
      </c>
      <c r="K468" s="14">
        <v>54.0</v>
      </c>
      <c r="L468" s="14">
        <v>5.0</v>
      </c>
      <c r="M468" s="14">
        <v>59.0</v>
      </c>
      <c r="N468" s="14">
        <v>5.0</v>
      </c>
      <c r="O468" s="14">
        <v>64.0</v>
      </c>
      <c r="P468" s="14">
        <v>1.0</v>
      </c>
      <c r="Q468" s="14">
        <v>65.0</v>
      </c>
      <c r="R468" s="14">
        <v>1.0</v>
      </c>
      <c r="S468" s="14">
        <v>68.0</v>
      </c>
      <c r="T468" s="14">
        <v>3.0</v>
      </c>
      <c r="U468" s="14">
        <v>70.0</v>
      </c>
      <c r="V468" s="14">
        <v>2.0</v>
      </c>
      <c r="W468" s="14">
        <v>72.0</v>
      </c>
      <c r="X468" s="14">
        <v>2.0</v>
      </c>
      <c r="Y468" s="14">
        <v>75.0</v>
      </c>
      <c r="Z468" s="14">
        <v>3.0</v>
      </c>
      <c r="AA468" s="14">
        <v>78.0</v>
      </c>
      <c r="AB468" s="14">
        <v>3.0</v>
      </c>
      <c r="AC468" s="14">
        <v>5.0</v>
      </c>
      <c r="AD468" s="14">
        <v>0.0</v>
      </c>
      <c r="AE468" s="14">
        <v>0.0</v>
      </c>
      <c r="AG468" s="14">
        <v>3.0</v>
      </c>
      <c r="AH468" s="14">
        <v>0.0</v>
      </c>
      <c r="AI468" s="14">
        <v>8.0</v>
      </c>
    </row>
    <row r="469" ht="15.75" customHeight="1">
      <c r="A469" s="14">
        <v>471.0</v>
      </c>
      <c r="B469" s="14" t="s">
        <v>1273</v>
      </c>
      <c r="C469" s="14" t="s">
        <v>214</v>
      </c>
      <c r="D469" s="14">
        <v>10.0</v>
      </c>
      <c r="E469" s="14">
        <v>795.0</v>
      </c>
      <c r="F469" s="14">
        <v>7.0</v>
      </c>
      <c r="G469" s="14">
        <v>802.0</v>
      </c>
      <c r="H469" s="14">
        <v>9.0</v>
      </c>
      <c r="I469" s="14">
        <v>811.0</v>
      </c>
      <c r="J469" s="14">
        <v>6.0</v>
      </c>
      <c r="K469" s="14">
        <v>817.0</v>
      </c>
      <c r="L469" s="14">
        <v>7.0</v>
      </c>
      <c r="M469" s="14">
        <v>824.0</v>
      </c>
      <c r="N469" s="14">
        <v>5.0</v>
      </c>
      <c r="O469" s="14">
        <v>829.0</v>
      </c>
      <c r="P469" s="14">
        <v>7.0</v>
      </c>
      <c r="Q469" s="14">
        <v>836.0</v>
      </c>
      <c r="R469" s="14">
        <v>7.0</v>
      </c>
      <c r="S469" s="14">
        <v>841.0</v>
      </c>
      <c r="T469" s="14">
        <v>5.0</v>
      </c>
      <c r="U469" s="14">
        <v>848.0</v>
      </c>
      <c r="V469" s="14">
        <v>7.0</v>
      </c>
      <c r="W469" s="14">
        <v>853.0</v>
      </c>
      <c r="X469" s="14">
        <v>5.0</v>
      </c>
      <c r="Y469" s="14">
        <v>858.0</v>
      </c>
      <c r="Z469" s="14">
        <v>5.0</v>
      </c>
      <c r="AA469" s="14">
        <v>864.0</v>
      </c>
      <c r="AB469" s="14">
        <v>6.0</v>
      </c>
      <c r="AC469" s="14">
        <v>6.0</v>
      </c>
      <c r="AD469" s="14">
        <v>0.0</v>
      </c>
      <c r="AE469" s="14">
        <v>0.0</v>
      </c>
      <c r="AG469" s="14">
        <v>3.0</v>
      </c>
      <c r="AH469" s="14">
        <v>0.0</v>
      </c>
      <c r="AI469" s="14">
        <v>9.0</v>
      </c>
    </row>
    <row r="470" ht="15.75" customHeight="1">
      <c r="A470" s="14">
        <v>472.0</v>
      </c>
      <c r="B470" s="14" t="s">
        <v>1276</v>
      </c>
      <c r="C470" s="14" t="s">
        <v>214</v>
      </c>
      <c r="D470" s="14">
        <v>11.0</v>
      </c>
      <c r="E470" s="14">
        <v>20.0</v>
      </c>
      <c r="F470" s="14">
        <v>1.0</v>
      </c>
      <c r="G470" s="14">
        <v>21.0</v>
      </c>
      <c r="H470" s="14">
        <v>1.0</v>
      </c>
      <c r="I470" s="14">
        <v>22.0</v>
      </c>
      <c r="J470" s="14">
        <v>2.0</v>
      </c>
      <c r="K470" s="14">
        <v>24.0</v>
      </c>
      <c r="L470" s="14">
        <v>1.0</v>
      </c>
      <c r="M470" s="14">
        <v>25.0</v>
      </c>
      <c r="N470" s="14">
        <v>2.0</v>
      </c>
      <c r="O470" s="14">
        <v>27.0</v>
      </c>
      <c r="P470" s="14">
        <v>2.0</v>
      </c>
      <c r="Q470" s="14">
        <v>29.0</v>
      </c>
      <c r="R470" s="14">
        <v>2.0</v>
      </c>
      <c r="S470" s="14">
        <v>30.0</v>
      </c>
      <c r="T470" s="14">
        <v>1.0</v>
      </c>
      <c r="U470" s="14">
        <v>32.0</v>
      </c>
      <c r="V470" s="14">
        <v>2.0</v>
      </c>
      <c r="W470" s="14">
        <v>35.0</v>
      </c>
      <c r="X470" s="14">
        <v>3.0</v>
      </c>
      <c r="Y470" s="14">
        <v>39.0</v>
      </c>
      <c r="Z470" s="14">
        <v>4.0</v>
      </c>
      <c r="AA470" s="14">
        <v>44.0</v>
      </c>
      <c r="AB470" s="14">
        <v>5.0</v>
      </c>
      <c r="AC470" s="14">
        <v>5.0</v>
      </c>
      <c r="AD470" s="14">
        <v>8.0</v>
      </c>
      <c r="AE470" s="14">
        <v>0.0</v>
      </c>
      <c r="AF470" s="14">
        <v>100.0</v>
      </c>
      <c r="AG470" s="14">
        <v>3.0</v>
      </c>
      <c r="AH470" s="14">
        <v>0.0</v>
      </c>
      <c r="AI470" s="14">
        <v>116.0</v>
      </c>
    </row>
    <row r="471" ht="15.75" customHeight="1">
      <c r="A471" s="14">
        <v>473.0</v>
      </c>
      <c r="B471" s="14" t="s">
        <v>1281</v>
      </c>
      <c r="C471" s="14" t="s">
        <v>214</v>
      </c>
      <c r="D471" s="14">
        <v>13.0</v>
      </c>
      <c r="E471" s="14">
        <v>189.0</v>
      </c>
      <c r="F471" s="14">
        <v>2.0</v>
      </c>
      <c r="G471" s="14">
        <v>191.0</v>
      </c>
      <c r="H471" s="14">
        <v>3.0</v>
      </c>
      <c r="I471" s="14">
        <v>194.0</v>
      </c>
      <c r="J471" s="14">
        <v>2.0</v>
      </c>
      <c r="K471" s="14">
        <v>196.0</v>
      </c>
      <c r="L471" s="14">
        <v>2.0</v>
      </c>
      <c r="M471" s="14">
        <v>198.0</v>
      </c>
      <c r="N471" s="14">
        <v>3.0</v>
      </c>
      <c r="O471" s="14">
        <v>201.0</v>
      </c>
      <c r="P471" s="14">
        <v>2.0</v>
      </c>
      <c r="Q471" s="14">
        <v>203.0</v>
      </c>
      <c r="R471" s="14">
        <v>2.0</v>
      </c>
      <c r="S471" s="14">
        <v>204.0</v>
      </c>
      <c r="T471" s="14">
        <v>1.0</v>
      </c>
      <c r="U471" s="14">
        <v>206.0</v>
      </c>
      <c r="V471" s="14">
        <v>2.0</v>
      </c>
      <c r="W471" s="14">
        <v>208.0</v>
      </c>
      <c r="X471" s="14">
        <v>2.0</v>
      </c>
      <c r="Y471" s="14">
        <v>210.0</v>
      </c>
      <c r="Z471" s="14">
        <v>2.0</v>
      </c>
      <c r="AA471" s="14">
        <v>213.0</v>
      </c>
      <c r="AB471" s="14">
        <v>3.0</v>
      </c>
      <c r="AC471" s="14">
        <v>5.0</v>
      </c>
      <c r="AD471" s="14">
        <v>0.0</v>
      </c>
      <c r="AE471" s="14">
        <v>0.0</v>
      </c>
      <c r="AG471" s="14">
        <v>3.0</v>
      </c>
      <c r="AH471" s="14">
        <v>0.0</v>
      </c>
      <c r="AI471" s="14">
        <v>8.0</v>
      </c>
    </row>
    <row r="472" ht="15.75" customHeight="1">
      <c r="A472" s="14">
        <v>474.0</v>
      </c>
      <c r="B472" s="14" t="s">
        <v>1284</v>
      </c>
      <c r="C472" s="14" t="s">
        <v>217</v>
      </c>
      <c r="D472" s="14">
        <v>1.0</v>
      </c>
      <c r="E472" s="14">
        <v>30.0</v>
      </c>
      <c r="F472" s="14">
        <v>2.0</v>
      </c>
      <c r="G472" s="14">
        <v>32.0</v>
      </c>
      <c r="H472" s="14">
        <v>4.0</v>
      </c>
      <c r="I472" s="14">
        <v>36.0</v>
      </c>
      <c r="J472" s="14">
        <v>4.0</v>
      </c>
      <c r="K472" s="14">
        <v>40.0</v>
      </c>
      <c r="L472" s="14">
        <v>5.0</v>
      </c>
      <c r="M472" s="14">
        <v>45.0</v>
      </c>
      <c r="N472" s="14">
        <v>1.0</v>
      </c>
      <c r="O472" s="14">
        <v>46.0</v>
      </c>
      <c r="P472" s="14">
        <v>3.0</v>
      </c>
      <c r="Q472" s="14">
        <v>49.0</v>
      </c>
      <c r="R472" s="14">
        <v>3.0</v>
      </c>
      <c r="S472" s="14">
        <v>51.0</v>
      </c>
      <c r="T472" s="14">
        <v>2.0</v>
      </c>
      <c r="U472" s="14">
        <v>54.0</v>
      </c>
      <c r="V472" s="14">
        <v>3.0</v>
      </c>
      <c r="W472" s="14">
        <v>56.0</v>
      </c>
      <c r="X472" s="14">
        <v>2.0</v>
      </c>
      <c r="Y472" s="14">
        <v>58.0</v>
      </c>
      <c r="Z472" s="14">
        <v>2.0</v>
      </c>
      <c r="AA472" s="14">
        <v>61.0</v>
      </c>
      <c r="AB472" s="14">
        <v>3.0</v>
      </c>
      <c r="AC472" s="14">
        <v>5.0</v>
      </c>
      <c r="AD472" s="14">
        <v>8.0</v>
      </c>
      <c r="AE472" s="14">
        <v>0.0</v>
      </c>
      <c r="AG472" s="14">
        <v>3.0</v>
      </c>
      <c r="AH472" s="14">
        <v>0.0</v>
      </c>
      <c r="AI472" s="14">
        <v>16.0</v>
      </c>
    </row>
    <row r="473" ht="15.75" customHeight="1">
      <c r="A473" s="14">
        <v>475.0</v>
      </c>
      <c r="B473" s="14" t="s">
        <v>1287</v>
      </c>
      <c r="C473" s="14" t="s">
        <v>217</v>
      </c>
      <c r="D473" s="14">
        <v>2.0</v>
      </c>
      <c r="E473" s="14">
        <v>438.0</v>
      </c>
      <c r="F473" s="14">
        <v>17.0</v>
      </c>
      <c r="G473" s="14">
        <v>455.0</v>
      </c>
      <c r="H473" s="14">
        <v>0.0</v>
      </c>
      <c r="I473" s="14">
        <v>455.0</v>
      </c>
      <c r="J473" s="14">
        <v>8.0</v>
      </c>
      <c r="K473" s="14">
        <v>463.0</v>
      </c>
      <c r="L473" s="14">
        <v>8.0</v>
      </c>
      <c r="M473" s="14">
        <v>471.0</v>
      </c>
      <c r="N473" s="14">
        <v>9.0</v>
      </c>
      <c r="O473" s="14">
        <v>480.0</v>
      </c>
      <c r="P473" s="14">
        <v>6.0</v>
      </c>
      <c r="Q473" s="14">
        <v>486.0</v>
      </c>
      <c r="R473" s="14">
        <v>6.0</v>
      </c>
      <c r="S473" s="14">
        <v>491.0</v>
      </c>
      <c r="T473" s="14">
        <v>5.0</v>
      </c>
      <c r="U473" s="14">
        <v>496.0</v>
      </c>
      <c r="V473" s="14">
        <v>5.0</v>
      </c>
      <c r="W473" s="14">
        <v>501.0</v>
      </c>
      <c r="X473" s="14">
        <v>5.0</v>
      </c>
      <c r="Y473" s="14">
        <v>507.0</v>
      </c>
      <c r="Z473" s="14">
        <v>6.0</v>
      </c>
      <c r="AA473" s="14">
        <v>514.0</v>
      </c>
      <c r="AB473" s="14">
        <v>7.0</v>
      </c>
      <c r="AC473" s="14">
        <v>7.0</v>
      </c>
      <c r="AD473" s="14">
        <v>0.0</v>
      </c>
      <c r="AE473" s="14">
        <v>0.0</v>
      </c>
      <c r="AG473" s="14">
        <v>3.0</v>
      </c>
      <c r="AH473" s="14">
        <v>0.0</v>
      </c>
      <c r="AI473" s="14">
        <v>10.0</v>
      </c>
    </row>
    <row r="474" ht="15.75" customHeight="1">
      <c r="A474" s="14">
        <v>476.0</v>
      </c>
      <c r="B474" s="14" t="s">
        <v>1288</v>
      </c>
      <c r="C474" s="14" t="s">
        <v>217</v>
      </c>
      <c r="D474" s="14">
        <v>3.0</v>
      </c>
      <c r="E474" s="14">
        <v>695.0</v>
      </c>
      <c r="F474" s="14">
        <v>7.0</v>
      </c>
      <c r="G474" s="14">
        <v>702.0</v>
      </c>
      <c r="H474" s="14">
        <v>9.0</v>
      </c>
      <c r="I474" s="14">
        <v>711.0</v>
      </c>
      <c r="J474" s="14">
        <v>6.0</v>
      </c>
      <c r="K474" s="14">
        <v>717.0</v>
      </c>
      <c r="L474" s="14">
        <v>8.0</v>
      </c>
      <c r="M474" s="14">
        <v>725.0</v>
      </c>
      <c r="N474" s="14">
        <v>7.0</v>
      </c>
      <c r="O474" s="14">
        <v>732.0</v>
      </c>
      <c r="P474" s="14">
        <v>4.0</v>
      </c>
      <c r="Q474" s="14">
        <v>736.0</v>
      </c>
      <c r="R474" s="14">
        <v>4.0</v>
      </c>
      <c r="S474" s="14">
        <v>743.0</v>
      </c>
      <c r="T474" s="14">
        <v>7.0</v>
      </c>
      <c r="U474" s="14">
        <v>746.0</v>
      </c>
      <c r="V474" s="14">
        <v>3.0</v>
      </c>
      <c r="W474" s="14">
        <v>753.0</v>
      </c>
      <c r="X474" s="14">
        <v>7.0</v>
      </c>
      <c r="Y474" s="14">
        <v>759.0</v>
      </c>
      <c r="Z474" s="14">
        <v>6.0</v>
      </c>
      <c r="AA474" s="14">
        <v>763.0</v>
      </c>
      <c r="AB474" s="14">
        <v>4.0</v>
      </c>
      <c r="AC474" s="14">
        <v>5.0</v>
      </c>
      <c r="AD474" s="14">
        <v>0.0</v>
      </c>
      <c r="AE474" s="14">
        <v>0.0</v>
      </c>
      <c r="AG474" s="14">
        <v>3.0</v>
      </c>
      <c r="AH474" s="14">
        <v>0.0</v>
      </c>
      <c r="AI474" s="14">
        <v>8.0</v>
      </c>
    </row>
    <row r="475" ht="15.75" customHeight="1">
      <c r="A475" s="14">
        <v>477.0</v>
      </c>
      <c r="B475" s="14" t="s">
        <v>1292</v>
      </c>
      <c r="C475" s="14" t="s">
        <v>217</v>
      </c>
      <c r="D475" s="14">
        <v>4.0</v>
      </c>
      <c r="E475" s="14">
        <v>865.0</v>
      </c>
      <c r="F475" s="14">
        <v>11.0</v>
      </c>
      <c r="G475" s="14">
        <v>876.0</v>
      </c>
      <c r="H475" s="14">
        <v>15.0</v>
      </c>
      <c r="I475" s="14">
        <v>891.0</v>
      </c>
      <c r="J475" s="14">
        <v>12.0</v>
      </c>
      <c r="K475" s="14">
        <v>903.0</v>
      </c>
      <c r="L475" s="14">
        <v>12.0</v>
      </c>
      <c r="M475" s="14">
        <v>915.0</v>
      </c>
      <c r="N475" s="14">
        <v>8.0</v>
      </c>
      <c r="O475" s="14">
        <v>923.0</v>
      </c>
      <c r="P475" s="14">
        <v>7.0</v>
      </c>
      <c r="Q475" s="14">
        <v>930.0</v>
      </c>
      <c r="R475" s="14">
        <v>7.0</v>
      </c>
      <c r="S475" s="14">
        <v>936.0</v>
      </c>
      <c r="T475" s="14">
        <v>6.0</v>
      </c>
      <c r="U475" s="14">
        <v>940.0</v>
      </c>
      <c r="V475" s="14">
        <v>4.0</v>
      </c>
      <c r="W475" s="14">
        <v>944.0</v>
      </c>
      <c r="X475" s="14">
        <v>4.0</v>
      </c>
      <c r="Y475" s="14">
        <v>948.0</v>
      </c>
      <c r="Z475" s="14">
        <v>4.0</v>
      </c>
      <c r="AA475" s="14">
        <v>956.0</v>
      </c>
      <c r="AB475" s="14">
        <v>8.0</v>
      </c>
      <c r="AC475" s="14">
        <v>8.0</v>
      </c>
      <c r="AD475" s="14">
        <v>0.0</v>
      </c>
      <c r="AE475" s="14">
        <v>0.0</v>
      </c>
      <c r="AG475" s="14">
        <v>3.0</v>
      </c>
      <c r="AH475" s="14">
        <v>0.0</v>
      </c>
      <c r="AI475" s="14">
        <v>11.0</v>
      </c>
    </row>
    <row r="476" ht="15.75" customHeight="1">
      <c r="A476" s="14">
        <v>478.0</v>
      </c>
      <c r="B476" s="14" t="s">
        <v>1296</v>
      </c>
      <c r="C476" s="14" t="s">
        <v>217</v>
      </c>
      <c r="D476" s="14">
        <v>5.0</v>
      </c>
      <c r="E476" s="14">
        <v>660.0</v>
      </c>
      <c r="F476" s="14">
        <v>15.0</v>
      </c>
      <c r="G476" s="14">
        <v>675.0</v>
      </c>
      <c r="H476" s="14">
        <v>12.0</v>
      </c>
      <c r="I476" s="14">
        <v>687.0</v>
      </c>
      <c r="J476" s="14">
        <v>13.0</v>
      </c>
      <c r="K476" s="14">
        <v>700.0</v>
      </c>
      <c r="L476" s="14">
        <v>13.0</v>
      </c>
      <c r="M476" s="14">
        <v>713.0</v>
      </c>
      <c r="N476" s="14">
        <v>19.0</v>
      </c>
      <c r="O476" s="14">
        <v>732.0</v>
      </c>
      <c r="P476" s="14">
        <v>8.0</v>
      </c>
      <c r="Q476" s="14">
        <v>740.0</v>
      </c>
      <c r="R476" s="14">
        <v>8.0</v>
      </c>
      <c r="S476" s="14">
        <v>748.0</v>
      </c>
      <c r="T476" s="14">
        <v>8.0</v>
      </c>
      <c r="U476" s="14">
        <v>762.0</v>
      </c>
      <c r="V476" s="14">
        <v>14.0</v>
      </c>
      <c r="W476" s="14">
        <v>773.0</v>
      </c>
      <c r="X476" s="14">
        <v>11.0</v>
      </c>
      <c r="Y476" s="14">
        <v>779.0</v>
      </c>
      <c r="Z476" s="14">
        <v>6.0</v>
      </c>
      <c r="AA476" s="14">
        <v>787.0</v>
      </c>
      <c r="AB476" s="14">
        <v>8.0</v>
      </c>
      <c r="AC476" s="14">
        <v>8.0</v>
      </c>
      <c r="AD476" s="14">
        <v>0.0</v>
      </c>
      <c r="AE476" s="14">
        <v>0.0</v>
      </c>
      <c r="AG476" s="14">
        <v>3.0</v>
      </c>
      <c r="AH476" s="14">
        <v>0.0</v>
      </c>
      <c r="AI476" s="14">
        <v>11.0</v>
      </c>
    </row>
    <row r="477" ht="15.75" customHeight="1">
      <c r="A477" s="14">
        <v>479.0</v>
      </c>
      <c r="B477" s="14" t="s">
        <v>1298</v>
      </c>
      <c r="C477" s="14" t="s">
        <v>137</v>
      </c>
      <c r="D477" s="14">
        <v>1.0</v>
      </c>
      <c r="E477" s="14">
        <v>26.0</v>
      </c>
      <c r="F477" s="14">
        <v>0.0</v>
      </c>
      <c r="G477" s="14">
        <v>26.0</v>
      </c>
      <c r="H477" s="14">
        <v>0.0</v>
      </c>
      <c r="I477" s="14">
        <v>26.0</v>
      </c>
      <c r="J477" s="14">
        <v>0.0</v>
      </c>
      <c r="K477" s="14">
        <v>26.0</v>
      </c>
      <c r="L477" s="14">
        <v>0.0</v>
      </c>
      <c r="M477" s="14">
        <v>26.0</v>
      </c>
      <c r="N477" s="14">
        <v>0.0</v>
      </c>
      <c r="O477" s="14">
        <v>26.0</v>
      </c>
      <c r="P477" s="14">
        <v>0.0</v>
      </c>
      <c r="Q477" s="14">
        <v>26.0</v>
      </c>
      <c r="R477" s="14">
        <v>0.0</v>
      </c>
      <c r="S477" s="14">
        <v>26.0</v>
      </c>
      <c r="T477" s="14">
        <v>0.0</v>
      </c>
      <c r="U477" s="14">
        <v>26.0</v>
      </c>
      <c r="V477" s="14">
        <v>0.0</v>
      </c>
      <c r="W477" s="14">
        <v>26.0</v>
      </c>
      <c r="X477" s="14">
        <v>0.0</v>
      </c>
      <c r="Y477" s="14">
        <v>27.0</v>
      </c>
      <c r="Z477" s="14">
        <v>1.0</v>
      </c>
      <c r="AA477" s="14">
        <v>27.0</v>
      </c>
      <c r="AB477" s="14">
        <v>0.0</v>
      </c>
      <c r="AC477" s="14">
        <v>5.0</v>
      </c>
      <c r="AD477" s="14">
        <v>0.0</v>
      </c>
      <c r="AE477" s="14">
        <v>0.0</v>
      </c>
      <c r="AG477" s="14">
        <v>3.0</v>
      </c>
      <c r="AH477" s="14">
        <v>0.0</v>
      </c>
      <c r="AI477" s="14">
        <v>8.0</v>
      </c>
    </row>
    <row r="478" ht="15.75" customHeight="1">
      <c r="A478" s="14">
        <v>480.0</v>
      </c>
      <c r="B478" s="14" t="s">
        <v>1301</v>
      </c>
      <c r="C478" s="14" t="s">
        <v>137</v>
      </c>
      <c r="D478" s="14">
        <v>3.0</v>
      </c>
      <c r="E478" s="14">
        <v>160.0</v>
      </c>
      <c r="F478" s="14">
        <v>6.0</v>
      </c>
      <c r="G478" s="14">
        <v>166.0</v>
      </c>
      <c r="H478" s="14">
        <v>10.0</v>
      </c>
      <c r="I478" s="14">
        <v>176.0</v>
      </c>
      <c r="J478" s="14">
        <v>7.0</v>
      </c>
      <c r="K478" s="14">
        <v>183.0</v>
      </c>
      <c r="L478" s="14">
        <v>7.0</v>
      </c>
      <c r="M478" s="14">
        <v>190.0</v>
      </c>
      <c r="N478" s="14">
        <v>9.0</v>
      </c>
      <c r="O478" s="14">
        <v>199.0</v>
      </c>
      <c r="P478" s="14">
        <v>6.0</v>
      </c>
      <c r="Q478" s="14">
        <v>205.0</v>
      </c>
      <c r="R478" s="14">
        <v>6.0</v>
      </c>
      <c r="S478" s="14">
        <v>211.0</v>
      </c>
      <c r="T478" s="14">
        <v>6.0</v>
      </c>
      <c r="U478" s="14">
        <v>216.0</v>
      </c>
      <c r="V478" s="14">
        <v>5.0</v>
      </c>
      <c r="W478" s="14">
        <v>221.0</v>
      </c>
      <c r="X478" s="14">
        <v>5.0</v>
      </c>
      <c r="Y478" s="14">
        <v>227.0</v>
      </c>
      <c r="Z478" s="14">
        <v>6.0</v>
      </c>
      <c r="AA478" s="14">
        <v>233.0</v>
      </c>
      <c r="AB478" s="14">
        <v>6.0</v>
      </c>
      <c r="AC478" s="14">
        <v>6.0</v>
      </c>
      <c r="AD478" s="14">
        <v>0.0</v>
      </c>
      <c r="AE478" s="14">
        <v>0.0</v>
      </c>
      <c r="AG478" s="14">
        <v>3.0</v>
      </c>
      <c r="AH478" s="14">
        <v>0.0</v>
      </c>
      <c r="AI478" s="14">
        <v>9.0</v>
      </c>
    </row>
    <row r="479" ht="15.75" customHeight="1">
      <c r="A479" s="14">
        <v>481.0</v>
      </c>
      <c r="B479" s="14" t="s">
        <v>1333</v>
      </c>
      <c r="C479" s="14" t="s">
        <v>137</v>
      </c>
      <c r="D479" s="14">
        <v>5.0</v>
      </c>
      <c r="E479" s="14">
        <v>308.0</v>
      </c>
      <c r="F479" s="14">
        <v>6.0</v>
      </c>
      <c r="G479" s="14">
        <v>314.0</v>
      </c>
      <c r="H479" s="14">
        <v>9.0</v>
      </c>
      <c r="I479" s="14">
        <v>323.0</v>
      </c>
      <c r="J479" s="14">
        <v>9.0</v>
      </c>
      <c r="K479" s="14">
        <v>332.0</v>
      </c>
      <c r="L479" s="14">
        <v>7.0</v>
      </c>
      <c r="M479" s="14">
        <v>339.0</v>
      </c>
      <c r="N479" s="14">
        <v>8.0</v>
      </c>
      <c r="O479" s="14">
        <v>347.0</v>
      </c>
      <c r="P479" s="14">
        <v>6.0</v>
      </c>
      <c r="Q479" s="14">
        <v>353.0</v>
      </c>
      <c r="R479" s="14">
        <v>6.0</v>
      </c>
      <c r="S479" s="14">
        <v>362.0</v>
      </c>
      <c r="T479" s="14">
        <v>9.0</v>
      </c>
      <c r="U479" s="14">
        <v>367.0</v>
      </c>
      <c r="V479" s="14">
        <v>5.0</v>
      </c>
      <c r="W479" s="14">
        <v>374.0</v>
      </c>
      <c r="X479" s="14">
        <v>7.0</v>
      </c>
      <c r="Y479" s="14">
        <v>379.0</v>
      </c>
      <c r="Z479" s="14">
        <v>5.0</v>
      </c>
      <c r="AA479" s="14">
        <v>386.0</v>
      </c>
      <c r="AB479" s="14">
        <v>7.0</v>
      </c>
      <c r="AC479" s="14">
        <v>7.0</v>
      </c>
      <c r="AD479" s="14">
        <v>0.0</v>
      </c>
      <c r="AE479" s="14">
        <v>0.0</v>
      </c>
      <c r="AG479" s="14">
        <v>3.0</v>
      </c>
      <c r="AH479" s="14">
        <v>20.0</v>
      </c>
      <c r="AI479" s="14">
        <v>30.0</v>
      </c>
    </row>
    <row r="480" ht="15.75" customHeight="1">
      <c r="A480" s="14">
        <v>482.0</v>
      </c>
      <c r="B480" s="14" t="s">
        <v>1308</v>
      </c>
      <c r="C480" s="14" t="s">
        <v>137</v>
      </c>
      <c r="D480" s="14">
        <v>6.0</v>
      </c>
      <c r="E480" s="14">
        <v>134.0</v>
      </c>
      <c r="F480" s="14">
        <v>3.0</v>
      </c>
      <c r="G480" s="14">
        <v>137.0</v>
      </c>
      <c r="H480" s="14">
        <v>0.0</v>
      </c>
      <c r="I480" s="14">
        <v>137.0</v>
      </c>
      <c r="J480" s="14">
        <v>0.0</v>
      </c>
      <c r="K480" s="14">
        <v>137.0</v>
      </c>
      <c r="L480" s="14">
        <v>0.0</v>
      </c>
      <c r="M480" s="14">
        <v>137.0</v>
      </c>
      <c r="N480" s="14">
        <v>0.0</v>
      </c>
      <c r="O480" s="14">
        <v>137.0</v>
      </c>
      <c r="P480" s="14">
        <v>0.0</v>
      </c>
      <c r="Q480" s="14">
        <v>137.0</v>
      </c>
      <c r="R480" s="14">
        <v>0.0</v>
      </c>
      <c r="S480" s="14">
        <v>138.0</v>
      </c>
      <c r="T480" s="14">
        <v>1.0</v>
      </c>
      <c r="U480" s="14">
        <v>140.0</v>
      </c>
      <c r="V480" s="14">
        <v>2.0</v>
      </c>
      <c r="W480" s="14">
        <v>144.0</v>
      </c>
      <c r="X480" s="14">
        <v>4.0</v>
      </c>
      <c r="Y480" s="14">
        <v>148.0</v>
      </c>
      <c r="Z480" s="14">
        <v>4.0</v>
      </c>
      <c r="AA480" s="14">
        <v>150.0</v>
      </c>
      <c r="AB480" s="14">
        <v>2.0</v>
      </c>
      <c r="AC480" s="14">
        <v>5.0</v>
      </c>
      <c r="AD480" s="14">
        <v>0.0</v>
      </c>
      <c r="AE480" s="14">
        <v>0.0</v>
      </c>
      <c r="AG480" s="14">
        <v>3.0</v>
      </c>
      <c r="AH480" s="14">
        <v>0.0</v>
      </c>
      <c r="AI480" s="14">
        <v>8.0</v>
      </c>
    </row>
    <row r="481" ht="15.75" customHeight="1">
      <c r="A481" s="14">
        <v>483.0</v>
      </c>
      <c r="B481" s="14" t="s">
        <v>1311</v>
      </c>
      <c r="C481" s="14" t="s">
        <v>137</v>
      </c>
      <c r="D481" s="14">
        <v>7.0</v>
      </c>
      <c r="E481" s="14">
        <v>245.0</v>
      </c>
      <c r="F481" s="14">
        <v>9.0</v>
      </c>
      <c r="G481" s="14">
        <v>254.0</v>
      </c>
      <c r="H481" s="14">
        <v>8.0</v>
      </c>
      <c r="I481" s="14">
        <v>262.0</v>
      </c>
      <c r="J481" s="14">
        <v>6.0</v>
      </c>
      <c r="K481" s="14">
        <v>268.0</v>
      </c>
      <c r="L481" s="14">
        <v>7.0</v>
      </c>
      <c r="M481" s="14">
        <v>275.0</v>
      </c>
      <c r="N481" s="14">
        <v>7.0</v>
      </c>
      <c r="O481" s="14">
        <v>282.0</v>
      </c>
      <c r="P481" s="14">
        <v>6.0</v>
      </c>
      <c r="Q481" s="14">
        <v>288.0</v>
      </c>
      <c r="R481" s="14">
        <v>6.0</v>
      </c>
      <c r="S481" s="14">
        <v>295.0</v>
      </c>
      <c r="T481" s="14">
        <v>7.0</v>
      </c>
      <c r="U481" s="14">
        <v>303.0</v>
      </c>
      <c r="V481" s="14">
        <v>8.0</v>
      </c>
      <c r="W481" s="14">
        <v>304.0</v>
      </c>
      <c r="X481" s="14">
        <v>1.0</v>
      </c>
      <c r="Y481" s="14">
        <v>319.0</v>
      </c>
      <c r="Z481" s="14">
        <v>15.0</v>
      </c>
      <c r="AA481" s="14">
        <v>327.0</v>
      </c>
      <c r="AB481" s="14">
        <v>8.0</v>
      </c>
      <c r="AC481" s="14">
        <v>8.0</v>
      </c>
      <c r="AD481" s="14">
        <v>0.0</v>
      </c>
      <c r="AE481" s="14">
        <v>0.0</v>
      </c>
      <c r="AG481" s="14">
        <v>3.0</v>
      </c>
      <c r="AH481" s="14">
        <v>0.0</v>
      </c>
      <c r="AI481" s="14">
        <v>11.0</v>
      </c>
    </row>
    <row r="482" ht="15.75" customHeight="1">
      <c r="A482" s="14">
        <v>484.0</v>
      </c>
      <c r="B482" s="14" t="s">
        <v>1312</v>
      </c>
      <c r="C482" s="14" t="s">
        <v>137</v>
      </c>
      <c r="D482" s="14">
        <v>8.0</v>
      </c>
      <c r="E482" s="14">
        <v>62.0</v>
      </c>
      <c r="F482" s="14">
        <v>1.0</v>
      </c>
      <c r="G482" s="14">
        <v>63.0</v>
      </c>
      <c r="H482" s="14">
        <v>0.0</v>
      </c>
      <c r="I482" s="14">
        <v>63.0</v>
      </c>
      <c r="J482" s="14">
        <v>0.0</v>
      </c>
      <c r="K482" s="14">
        <v>63.0</v>
      </c>
      <c r="L482" s="14">
        <v>0.0</v>
      </c>
      <c r="M482" s="14">
        <v>63.0</v>
      </c>
      <c r="N482" s="14">
        <v>0.0</v>
      </c>
      <c r="O482" s="14">
        <v>63.0</v>
      </c>
      <c r="P482" s="14">
        <v>0.0</v>
      </c>
      <c r="Q482" s="14">
        <v>63.0</v>
      </c>
      <c r="R482" s="14">
        <v>0.0</v>
      </c>
      <c r="S482" s="14">
        <v>66.0</v>
      </c>
      <c r="T482" s="14">
        <v>3.0</v>
      </c>
      <c r="U482" s="14">
        <v>66.0</v>
      </c>
      <c r="V482" s="14">
        <v>0.0</v>
      </c>
      <c r="W482" s="14">
        <v>66.0</v>
      </c>
      <c r="X482" s="14">
        <v>0.0</v>
      </c>
      <c r="Y482" s="14">
        <v>81.0</v>
      </c>
      <c r="Z482" s="14">
        <v>15.0</v>
      </c>
      <c r="AA482" s="14">
        <v>84.0</v>
      </c>
      <c r="AB482" s="14">
        <v>3.0</v>
      </c>
      <c r="AC482" s="14">
        <v>5.0</v>
      </c>
      <c r="AD482" s="14">
        <v>0.0</v>
      </c>
      <c r="AE482" s="14">
        <v>0.0</v>
      </c>
      <c r="AG482" s="14">
        <v>3.0</v>
      </c>
      <c r="AH482" s="14">
        <v>0.0</v>
      </c>
      <c r="AI482" s="14">
        <v>8.0</v>
      </c>
    </row>
    <row r="483" ht="15.75" customHeight="1">
      <c r="A483" s="14">
        <v>485.0</v>
      </c>
      <c r="B483" s="14" t="s">
        <v>1314</v>
      </c>
      <c r="C483" s="14" t="s">
        <v>137</v>
      </c>
      <c r="D483" s="14">
        <v>10.0</v>
      </c>
      <c r="E483" s="14">
        <v>279.0</v>
      </c>
      <c r="F483" s="14">
        <v>6.0</v>
      </c>
      <c r="G483" s="14">
        <v>285.0</v>
      </c>
      <c r="H483" s="14">
        <v>6.0</v>
      </c>
      <c r="I483" s="14">
        <v>291.0</v>
      </c>
      <c r="J483" s="14">
        <v>7.0</v>
      </c>
      <c r="K483" s="14">
        <v>298.0</v>
      </c>
      <c r="L483" s="14">
        <v>3.0</v>
      </c>
      <c r="M483" s="14">
        <v>301.0</v>
      </c>
      <c r="N483" s="14">
        <v>4.0</v>
      </c>
      <c r="O483" s="14">
        <v>305.0</v>
      </c>
      <c r="P483" s="14">
        <v>4.0</v>
      </c>
      <c r="Q483" s="14">
        <v>309.0</v>
      </c>
      <c r="R483" s="14">
        <v>4.0</v>
      </c>
      <c r="S483" s="14">
        <v>311.0</v>
      </c>
      <c r="T483" s="14">
        <v>2.0</v>
      </c>
      <c r="U483" s="14">
        <v>315.0</v>
      </c>
      <c r="V483" s="14">
        <v>4.0</v>
      </c>
      <c r="W483" s="14">
        <v>317.0</v>
      </c>
      <c r="X483" s="14">
        <v>2.0</v>
      </c>
      <c r="Y483" s="14">
        <v>321.0</v>
      </c>
      <c r="Z483" s="14">
        <v>4.0</v>
      </c>
      <c r="AA483" s="14">
        <v>323.0</v>
      </c>
      <c r="AB483" s="14">
        <v>2.0</v>
      </c>
      <c r="AC483" s="14">
        <v>5.0</v>
      </c>
      <c r="AD483" s="14">
        <v>8.0</v>
      </c>
      <c r="AE483" s="14">
        <v>0.0</v>
      </c>
      <c r="AG483" s="14">
        <v>3.0</v>
      </c>
      <c r="AH483" s="14">
        <v>0.0</v>
      </c>
      <c r="AI483" s="14">
        <v>16.0</v>
      </c>
    </row>
    <row r="484" ht="15.75" customHeight="1">
      <c r="A484" s="14">
        <v>486.0</v>
      </c>
      <c r="B484" s="14" t="s">
        <v>1317</v>
      </c>
      <c r="C484" s="14" t="s">
        <v>137</v>
      </c>
      <c r="D484" s="14">
        <v>11.0</v>
      </c>
      <c r="E484" s="14">
        <v>481.0</v>
      </c>
      <c r="F484" s="14">
        <v>7.0</v>
      </c>
      <c r="G484" s="14">
        <v>488.0</v>
      </c>
      <c r="H484" s="14">
        <v>9.0</v>
      </c>
      <c r="I484" s="14">
        <v>497.0</v>
      </c>
      <c r="J484" s="14">
        <v>6.0</v>
      </c>
      <c r="K484" s="14">
        <v>503.0</v>
      </c>
      <c r="L484" s="14">
        <v>6.0</v>
      </c>
      <c r="M484" s="14">
        <v>509.0</v>
      </c>
      <c r="N484" s="14">
        <v>4.0</v>
      </c>
      <c r="O484" s="14">
        <v>513.0</v>
      </c>
      <c r="P484" s="14">
        <v>5.0</v>
      </c>
      <c r="Q484" s="14">
        <v>518.0</v>
      </c>
      <c r="R484" s="14">
        <v>5.0</v>
      </c>
      <c r="S484" s="14">
        <v>522.0</v>
      </c>
      <c r="T484" s="14">
        <v>4.0</v>
      </c>
      <c r="U484" s="14">
        <v>526.0</v>
      </c>
      <c r="V484" s="14">
        <v>4.0</v>
      </c>
      <c r="W484" s="14">
        <v>534.0</v>
      </c>
      <c r="X484" s="14">
        <v>8.0</v>
      </c>
      <c r="Y484" s="14">
        <v>538.0</v>
      </c>
      <c r="Z484" s="14">
        <v>4.0</v>
      </c>
      <c r="AA484" s="14">
        <v>543.0</v>
      </c>
      <c r="AB484" s="14">
        <v>5.0</v>
      </c>
      <c r="AC484" s="14">
        <v>5.0</v>
      </c>
      <c r="AD484" s="14">
        <v>0.0</v>
      </c>
      <c r="AE484" s="14">
        <v>0.0</v>
      </c>
      <c r="AG484" s="14">
        <v>3.0</v>
      </c>
      <c r="AH484" s="14">
        <v>0.0</v>
      </c>
      <c r="AI484" s="14">
        <v>8.0</v>
      </c>
    </row>
    <row r="485" ht="15.75" customHeight="1">
      <c r="A485" s="14">
        <v>487.0</v>
      </c>
      <c r="B485" s="14" t="s">
        <v>1318</v>
      </c>
      <c r="C485" s="14" t="s">
        <v>137</v>
      </c>
      <c r="D485" s="14">
        <v>12.0</v>
      </c>
      <c r="E485" s="14">
        <v>444.0</v>
      </c>
      <c r="F485" s="14">
        <v>11.0</v>
      </c>
      <c r="G485" s="14">
        <v>455.0</v>
      </c>
      <c r="H485" s="14">
        <v>14.0</v>
      </c>
      <c r="I485" s="14">
        <v>469.0</v>
      </c>
      <c r="J485" s="14">
        <v>12.0</v>
      </c>
      <c r="K485" s="14">
        <v>481.0</v>
      </c>
      <c r="L485" s="14">
        <v>14.0</v>
      </c>
      <c r="M485" s="14">
        <v>495.0</v>
      </c>
      <c r="N485" s="14">
        <v>10.0</v>
      </c>
      <c r="O485" s="14">
        <v>505.0</v>
      </c>
      <c r="P485" s="14">
        <v>10.0</v>
      </c>
      <c r="Q485" s="14">
        <v>515.0</v>
      </c>
      <c r="R485" s="14">
        <v>10.0</v>
      </c>
      <c r="S485" s="14">
        <v>524.0</v>
      </c>
      <c r="T485" s="14">
        <v>9.0</v>
      </c>
      <c r="U485" s="14">
        <v>535.0</v>
      </c>
      <c r="V485" s="14">
        <v>11.0</v>
      </c>
      <c r="W485" s="14">
        <v>544.0</v>
      </c>
      <c r="X485" s="14">
        <v>9.0</v>
      </c>
      <c r="Y485" s="14">
        <v>556.0</v>
      </c>
      <c r="Z485" s="14">
        <v>12.0</v>
      </c>
      <c r="AA485" s="14">
        <v>566.0</v>
      </c>
      <c r="AB485" s="14">
        <v>10.0</v>
      </c>
      <c r="AC485" s="14">
        <v>10.0</v>
      </c>
      <c r="AD485" s="14">
        <v>0.0</v>
      </c>
      <c r="AE485" s="14">
        <v>0.0</v>
      </c>
      <c r="AG485" s="14">
        <v>3.0</v>
      </c>
      <c r="AH485" s="14">
        <v>0.0</v>
      </c>
      <c r="AI485" s="14">
        <v>13.0</v>
      </c>
    </row>
    <row r="486" ht="15.75" customHeight="1">
      <c r="A486" s="14">
        <v>488.0</v>
      </c>
      <c r="B486" s="14" t="s">
        <v>1321</v>
      </c>
      <c r="C486" s="14" t="s">
        <v>137</v>
      </c>
      <c r="D486" s="14">
        <v>13.0</v>
      </c>
      <c r="E486" s="14">
        <v>50.0</v>
      </c>
      <c r="F486" s="14">
        <v>6.0</v>
      </c>
      <c r="G486" s="14">
        <v>56.0</v>
      </c>
      <c r="H486" s="14">
        <v>23.0</v>
      </c>
      <c r="I486" s="14">
        <v>79.0</v>
      </c>
      <c r="J486" s="14">
        <v>20.0</v>
      </c>
      <c r="K486" s="14">
        <v>99.0</v>
      </c>
      <c r="L486" s="14">
        <v>3.0</v>
      </c>
      <c r="M486" s="14">
        <v>102.0</v>
      </c>
      <c r="N486" s="14">
        <v>22.0</v>
      </c>
      <c r="O486" s="14">
        <v>124.0</v>
      </c>
      <c r="P486" s="14">
        <v>23.0</v>
      </c>
      <c r="Q486" s="14">
        <v>147.0</v>
      </c>
      <c r="R486" s="14">
        <v>23.0</v>
      </c>
      <c r="S486" s="14">
        <v>154.0</v>
      </c>
      <c r="T486" s="14">
        <v>7.0</v>
      </c>
      <c r="U486" s="14">
        <v>154.0</v>
      </c>
      <c r="V486" s="14">
        <v>0.0</v>
      </c>
      <c r="W486" s="14">
        <v>154.0</v>
      </c>
      <c r="X486" s="14">
        <v>0.0</v>
      </c>
      <c r="Y486" s="14">
        <v>154.0</v>
      </c>
      <c r="Z486" s="14">
        <v>0.0</v>
      </c>
      <c r="AA486" s="14">
        <v>154.0</v>
      </c>
      <c r="AB486" s="14">
        <v>0.0</v>
      </c>
      <c r="AC486" s="14">
        <v>5.0</v>
      </c>
      <c r="AD486" s="14">
        <v>0.0</v>
      </c>
      <c r="AE486" s="14">
        <v>0.0</v>
      </c>
      <c r="AG486" s="14">
        <v>3.0</v>
      </c>
      <c r="AH486" s="14">
        <v>0.0</v>
      </c>
      <c r="AI486" s="14">
        <v>8.0</v>
      </c>
    </row>
    <row r="487" ht="15.75" customHeight="1">
      <c r="A487" s="14">
        <v>489.0</v>
      </c>
      <c r="B487" s="14" t="s">
        <v>1323</v>
      </c>
      <c r="C487" s="14" t="s">
        <v>137</v>
      </c>
      <c r="D487" s="14">
        <v>15.0</v>
      </c>
      <c r="E487" s="14">
        <v>410.0</v>
      </c>
      <c r="F487" s="14">
        <v>11.0</v>
      </c>
      <c r="G487" s="14">
        <v>421.0</v>
      </c>
      <c r="H487" s="14">
        <v>15.0</v>
      </c>
      <c r="I487" s="14">
        <v>436.0</v>
      </c>
      <c r="J487" s="14">
        <v>11.0</v>
      </c>
      <c r="K487" s="14">
        <v>447.0</v>
      </c>
      <c r="L487" s="14">
        <v>12.0</v>
      </c>
      <c r="M487" s="14">
        <v>459.0</v>
      </c>
      <c r="N487" s="14">
        <v>11.0</v>
      </c>
      <c r="O487" s="14">
        <v>470.0</v>
      </c>
      <c r="P487" s="14">
        <v>9.0</v>
      </c>
      <c r="Q487" s="14">
        <v>479.0</v>
      </c>
      <c r="R487" s="14">
        <v>9.0</v>
      </c>
      <c r="S487" s="14">
        <v>487.0</v>
      </c>
      <c r="T487" s="14">
        <v>8.0</v>
      </c>
      <c r="U487" s="14">
        <v>495.0</v>
      </c>
      <c r="V487" s="14">
        <v>8.0</v>
      </c>
      <c r="W487" s="14">
        <v>505.0</v>
      </c>
      <c r="X487" s="14">
        <v>10.0</v>
      </c>
      <c r="Y487" s="14">
        <v>515.0</v>
      </c>
      <c r="Z487" s="14">
        <v>10.0</v>
      </c>
      <c r="AA487" s="14">
        <v>519.0</v>
      </c>
      <c r="AB487" s="14">
        <v>4.0</v>
      </c>
      <c r="AC487" s="14">
        <v>5.0</v>
      </c>
      <c r="AD487" s="14">
        <v>13.0</v>
      </c>
      <c r="AE487" s="14">
        <v>0.0</v>
      </c>
      <c r="AG487" s="14">
        <v>3.0</v>
      </c>
      <c r="AH487" s="14">
        <v>0.0</v>
      </c>
      <c r="AI487" s="14">
        <v>21.0</v>
      </c>
    </row>
    <row r="488" ht="15.75" customHeight="1">
      <c r="A488" s="14">
        <v>490.0</v>
      </c>
      <c r="B488" s="14" t="s">
        <v>1326</v>
      </c>
      <c r="C488" s="14" t="s">
        <v>137</v>
      </c>
      <c r="D488" s="14">
        <v>16.0</v>
      </c>
      <c r="E488" s="14">
        <v>7.0</v>
      </c>
      <c r="F488" s="14">
        <v>2.0</v>
      </c>
      <c r="G488" s="14">
        <v>9.0</v>
      </c>
      <c r="H488" s="14">
        <v>1.0</v>
      </c>
      <c r="I488" s="14">
        <v>10.0</v>
      </c>
      <c r="J488" s="14">
        <v>1.0</v>
      </c>
      <c r="K488" s="14">
        <v>11.0</v>
      </c>
      <c r="L488" s="14">
        <v>1.0</v>
      </c>
      <c r="M488" s="14">
        <v>12.0</v>
      </c>
      <c r="N488" s="14">
        <v>1.0</v>
      </c>
      <c r="O488" s="14">
        <v>13.0</v>
      </c>
      <c r="P488" s="14">
        <v>1.0</v>
      </c>
      <c r="Q488" s="14">
        <v>14.0</v>
      </c>
      <c r="R488" s="14">
        <v>1.0</v>
      </c>
      <c r="S488" s="14">
        <v>14.0</v>
      </c>
      <c r="T488" s="14">
        <v>0.0</v>
      </c>
      <c r="U488" s="14">
        <v>14.0</v>
      </c>
      <c r="V488" s="14">
        <v>0.0</v>
      </c>
      <c r="W488" s="14">
        <v>15.0</v>
      </c>
      <c r="X488" s="14">
        <v>1.0</v>
      </c>
      <c r="Y488" s="14">
        <v>15.0</v>
      </c>
      <c r="Z488" s="14">
        <v>0.0</v>
      </c>
      <c r="AA488" s="14">
        <v>15.0</v>
      </c>
      <c r="AB488" s="14">
        <v>0.0</v>
      </c>
      <c r="AC488" s="14">
        <v>5.0</v>
      </c>
      <c r="AD488" s="14">
        <v>0.0</v>
      </c>
      <c r="AE488" s="14">
        <v>0.0</v>
      </c>
      <c r="AG488" s="14">
        <v>3.0</v>
      </c>
      <c r="AH488" s="14">
        <v>0.0</v>
      </c>
      <c r="AI488" s="14">
        <v>8.0</v>
      </c>
    </row>
    <row r="489" ht="15.75" customHeight="1">
      <c r="A489" s="14">
        <v>491.0</v>
      </c>
      <c r="B489" s="14" t="s">
        <v>1331</v>
      </c>
      <c r="C489" s="14" t="s">
        <v>137</v>
      </c>
      <c r="D489" s="14">
        <v>35.0</v>
      </c>
      <c r="E489" s="14">
        <v>26.0</v>
      </c>
      <c r="F489" s="14">
        <v>12.0</v>
      </c>
      <c r="G489" s="14">
        <v>38.0</v>
      </c>
      <c r="H489" s="14">
        <v>9.0</v>
      </c>
      <c r="I489" s="14">
        <v>47.0</v>
      </c>
      <c r="J489" s="14">
        <v>12.0</v>
      </c>
      <c r="K489" s="14">
        <v>59.0</v>
      </c>
      <c r="L489" s="14">
        <v>12.0</v>
      </c>
      <c r="M489" s="14">
        <v>71.0</v>
      </c>
      <c r="N489" s="14">
        <v>4.0</v>
      </c>
      <c r="O489" s="14">
        <v>75.0</v>
      </c>
      <c r="P489" s="14">
        <v>5.0</v>
      </c>
      <c r="Q489" s="14">
        <v>80.0</v>
      </c>
      <c r="R489" s="14">
        <v>5.0</v>
      </c>
      <c r="S489" s="14">
        <v>84.0</v>
      </c>
      <c r="T489" s="14">
        <v>4.0</v>
      </c>
      <c r="U489" s="14">
        <v>88.0</v>
      </c>
      <c r="V489" s="14">
        <v>4.0</v>
      </c>
      <c r="W489" s="14">
        <v>93.0</v>
      </c>
      <c r="X489" s="14">
        <v>5.0</v>
      </c>
      <c r="Y489" s="14">
        <v>98.0</v>
      </c>
      <c r="Z489" s="14">
        <v>5.0</v>
      </c>
      <c r="AA489" s="14">
        <v>104.0</v>
      </c>
      <c r="AB489" s="14">
        <v>6.0</v>
      </c>
      <c r="AC489" s="14">
        <v>6.0</v>
      </c>
      <c r="AD489" s="14">
        <v>0.0</v>
      </c>
      <c r="AE489" s="14">
        <v>0.0</v>
      </c>
      <c r="AF489" s="14">
        <v>100.0</v>
      </c>
      <c r="AG489" s="14">
        <v>3.0</v>
      </c>
      <c r="AH489" s="14">
        <v>20.0</v>
      </c>
      <c r="AI489" s="14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