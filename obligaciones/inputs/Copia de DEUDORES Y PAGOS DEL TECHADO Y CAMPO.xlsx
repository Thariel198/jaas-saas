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Corregido" sheetId="2" r:id="rId5"/>
  </sheets>
  <definedNames>
    <definedName hidden="1" localSheetId="0" name="_xlnm._FilterDatabase">Hoja1!$K$3:$M$432</definedName>
    <definedName hidden="1" localSheetId="1" name="_xlnm._FilterDatabase">Corregido!$A$1:$F$431</definedName>
  </definedNames>
  <calcPr/>
  <extLst>
    <ext uri="GoogleSheetsCustomDataVersion2">
      <go:sheetsCustomData xmlns:go="http://customooxmlschemas.google.com/" r:id="rId6" roundtripDataChecksum="S3WkafJuvrPGHPLCWGm8U1sypZK3qiQDinwdHKDNWZ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8">
      <text>
        <t xml:space="preserve">======
ID#AAAB600xF48
Usuario    (2026-05-21 19:28:16)
LOTE CONSTRUIDO DESABITADO - LOTE ACUMULADO POR COFORPI</t>
      </text>
    </comment>
    <comment authorId="0" ref="D99">
      <text>
        <t xml:space="preserve">======
ID#AAAB600xF40
Usuario    (2026-05-21 19:28:16)
ADQUIERE EL TERRENO EN LA MODALIDAD DE TRANSFERENCIA DE LA SRA. GRAVIEA ROSA HUAYTA ESPINOZA</t>
      </text>
    </comment>
    <comment authorId="0" ref="D65">
      <text>
        <t xml:space="preserve">======
ID#AAAB600xF5E
Usuario    (2026-05-21 19:28:16)
LOTE ACUMULADO FALTA  REGULARIZAR SU PAGO DE MULTAS Y FAENAS Y CUOTAS</t>
      </text>
    </comment>
    <comment authorId="0" ref="D94">
      <text>
        <t xml:space="preserve">======
ID#AAAB600xF5M
Usuario    (2026-05-21 19:28:16)
TERRENO SEMI COSNTRUIDO - DESABITADO</t>
      </text>
    </comment>
    <comment authorId="0" ref="D77">
      <text>
        <t xml:space="preserve">======
ID#AAAB600xF5Q
    (2026-05-21 19:28:16)
FALTA CAMBIO A NOMBRE DEL NUEVO  SOCIO, DEBIDO A QUE
NO HA HECHO LLEGAR TRANFERENCIA</t>
      </text>
    </comment>
    <comment authorId="0" ref="D76">
      <text>
        <t xml:space="preserve">======
ID#AAAB600xF44
    (2026-05-21 19:28:16)
SOCIO SEMI INACTIVO NO TIENE CUOTAS . FALTA CAMBIO DE  SOCIO DEBIDO AQUE NO HA REALIZADO TENSFERENCIA. SOCIO INACTIVO, DEBE CUOTAS</t>
      </text>
    </comment>
    <comment authorId="0" ref="D87">
      <text>
        <t xml:space="preserve">======
ID#AAAB600xF5I
Usuario    (2026-05-21 19:28:16)
ADQUIERE EL TERRENO EN LA MODALIDAD DE TRASNFERNCIA DE LA SRA. EIZABETH  CARINA OBREGON HUAYTA</t>
      </text>
    </comment>
    <comment authorId="0" ref="D69">
      <text>
        <t xml:space="preserve">======
ID#AAAB600xF5U
Usuario    (2026-05-21 19:28:16)
LOTE CONSTRUIDO DESABITADO - LOTE ACUMULADO POR COFOPRI</t>
      </text>
    </comment>
    <comment authorId="0" ref="D85">
      <text>
        <t xml:space="preserve">======
ID#AAAB600xF5A
Usuario    (2026-05-21 19:28:16)
TERRENO SIN CONSTRUCCION</t>
      </text>
    </comment>
  </commentList>
  <extLst>
    <ext uri="GoogleSheetsCustomDataVersion2">
      <go:sheetsCustomData xmlns:go="http://customooxmlschemas.google.com/" r:id="rId1" roundtripDataSignature="AMtx7mg6w7j6HKO+eoC7ruMdsry/YgG2GA=="/>
    </ext>
  </extLst>
</comments>
</file>

<file path=xl/sharedStrings.xml><?xml version="1.0" encoding="utf-8"?>
<sst xmlns="http://schemas.openxmlformats.org/spreadsheetml/2006/main" count="1960" uniqueCount="654">
  <si>
    <t>DEUDORES TECHADO LOCAL COMUNAL Y CAMPO SINTETICO</t>
  </si>
  <si>
    <t>TECHADO LOCAL</t>
  </si>
  <si>
    <t>CAMPO SINTETICO</t>
  </si>
  <si>
    <t xml:space="preserve">      NOMBRES Y APELLIDOS DE SOCIOS DEUDORES </t>
  </si>
  <si>
    <t>D.N.I</t>
  </si>
  <si>
    <t>MZ</t>
  </si>
  <si>
    <t>LOTE</t>
  </si>
  <si>
    <t>MONTO</t>
  </si>
  <si>
    <t>NOMBRES Y APELLIDOS</t>
  </si>
  <si>
    <t>LT</t>
  </si>
  <si>
    <t>FELIX HUERTA AGAMA</t>
  </si>
  <si>
    <t>A</t>
  </si>
  <si>
    <t xml:space="preserve">MARCELINA OBREGON  DE AVILA </t>
  </si>
  <si>
    <t>GABY REYES JUAREZ</t>
  </si>
  <si>
    <t>6A</t>
  </si>
  <si>
    <t>ROSA  AURORA ROCA VIDAL</t>
  </si>
  <si>
    <t>ALEJANDRO RAPREY VELAZQUES</t>
  </si>
  <si>
    <t>B</t>
  </si>
  <si>
    <t>OSCAR PAJUELO COCHACHIN</t>
  </si>
  <si>
    <t>SAORY RAPRAY SILVA</t>
  </si>
  <si>
    <t>JULIA AGAMA</t>
  </si>
  <si>
    <t>SILVESTRA CATALINA CHAVEZ ESPINOZA</t>
  </si>
  <si>
    <t>C</t>
  </si>
  <si>
    <t>ESTEBAN REYES SANCHEZ</t>
  </si>
  <si>
    <t>CARMEN PEREZ MONTES</t>
  </si>
  <si>
    <t>JUAN CARLOS MELGAREJO BEDON</t>
  </si>
  <si>
    <t>ANALI QUINECHE MORANTE</t>
  </si>
  <si>
    <t>VICTOR MELGAREJO CORCINO</t>
  </si>
  <si>
    <t>MARIA VICTORIA NORABUENA ESTRADA</t>
  </si>
  <si>
    <t>ROSA GUERERO MAGUIÑA</t>
  </si>
  <si>
    <t>VICTOR TRUJILLO POLICARPIO</t>
  </si>
  <si>
    <t>D</t>
  </si>
  <si>
    <t>CRISELL DE LA CRUZ</t>
  </si>
  <si>
    <t xml:space="preserve">A </t>
  </si>
  <si>
    <t>SALOMON RODRIGUEZ GARCIA</t>
  </si>
  <si>
    <t xml:space="preserve">CARLOS YPANAQUE FRANCISCO </t>
  </si>
  <si>
    <t>A1</t>
  </si>
  <si>
    <t>EDGARDO TARAZONA FLORES</t>
  </si>
  <si>
    <t>EUGENIA UTRILLA FRANCISCO</t>
  </si>
  <si>
    <t>FAUSTINO POMA PALLACA</t>
  </si>
  <si>
    <t>E</t>
  </si>
  <si>
    <t>ODELIO DELGADO OBREGON</t>
  </si>
  <si>
    <t>GREGORIA SIGUEÑAS UGARTE</t>
  </si>
  <si>
    <t>RAUL DELGADO OBREGON</t>
  </si>
  <si>
    <t>VILMA DAIS SIGUEÑAS UGARTE</t>
  </si>
  <si>
    <t>SANDRA DELGADO VEGA</t>
  </si>
  <si>
    <t>MELQUIADES SULCA HUAMANI</t>
  </si>
  <si>
    <t>F</t>
  </si>
  <si>
    <t>WASHINTON MEDRANO MALLMA</t>
  </si>
  <si>
    <t>TOLENTINO ERMITAÑO  JULCA MORENO</t>
  </si>
  <si>
    <t>ALAN GARCIA  ZORRILLA</t>
  </si>
  <si>
    <t>ALBERTO TARAZONA  CALDAS</t>
  </si>
  <si>
    <t>ERIKA MARIBEL AMBROSIO COSME</t>
  </si>
  <si>
    <t>HERMINIO LUCERO TRUJILLO</t>
  </si>
  <si>
    <t>ROQUE GAUDENCIO SALES VEGA</t>
  </si>
  <si>
    <t>ARMANDO MIGUEL GODO</t>
  </si>
  <si>
    <t>ENRIQUE TRUJILLO LOERA</t>
  </si>
  <si>
    <t>ROSA DEONICIA MONTESINOS ESPINOZA</t>
  </si>
  <si>
    <t>G</t>
  </si>
  <si>
    <t>BACILIO UTRILLA FRANCISCO</t>
  </si>
  <si>
    <t>VICTOR MANUEL JARA ESPINOZA</t>
  </si>
  <si>
    <t>ESTANISLAO ESTEBAN REYNALDO ROSALES</t>
  </si>
  <si>
    <t>WILDA CLEOFE   ROMERO VALLADARES</t>
  </si>
  <si>
    <t>EDUARDO JULIAN REYNALDO ROSALES</t>
  </si>
  <si>
    <t xml:space="preserve">ERNESTINA VALLADARES </t>
  </si>
  <si>
    <t>MELINA JUAREZ TOLEDO</t>
  </si>
  <si>
    <t xml:space="preserve">MICAELA BONIFACIO DE GOMEZ  </t>
  </si>
  <si>
    <t>POMPEYO CELESTINO LLIUYA</t>
  </si>
  <si>
    <t>LILA FLORINDA SOLIS DE ROSALES</t>
  </si>
  <si>
    <t>ROSA VICTORIA MILLA MORALES</t>
  </si>
  <si>
    <t>MARITZA ALBORNOZ SIGUEÑAS</t>
  </si>
  <si>
    <t>16A</t>
  </si>
  <si>
    <t>LIDIA PARIAMACHI DE PAZ</t>
  </si>
  <si>
    <t>LUISA RUFINA SIGUEÑAS LOARTE</t>
  </si>
  <si>
    <t xml:space="preserve">ROSALINA OLIMPIA CIRIACO </t>
  </si>
  <si>
    <t>FERNANDO CARRION MENDOZA</t>
  </si>
  <si>
    <t>ROSA GUERRERO MAGUIÑA</t>
  </si>
  <si>
    <t>GREGORIO TOLENTINO SANCHEZ</t>
  </si>
  <si>
    <t>H</t>
  </si>
  <si>
    <t>MARCELINO VILLAFUANA PALLACA</t>
  </si>
  <si>
    <t>JULIO TEODORO NIETO ORTIZ</t>
  </si>
  <si>
    <t>JULIAN VILLAJUANA PALLACA</t>
  </si>
  <si>
    <t>LILIANA CARHUACHAGUA  MACEDO</t>
  </si>
  <si>
    <t>I</t>
  </si>
  <si>
    <t>TEOFILO RAMOS DE LA CRUZ</t>
  </si>
  <si>
    <t>SILVESTRE SILVERIO GOMERO</t>
  </si>
  <si>
    <t xml:space="preserve">SALOME DIAZ VARGAS </t>
  </si>
  <si>
    <t>JULIA CARDENAS ALVARADO</t>
  </si>
  <si>
    <t>CAMILA HIDALGO MAYTAHUARI</t>
  </si>
  <si>
    <t>ROBERTO NIETO HUERTA</t>
  </si>
  <si>
    <t>ELURERIA PARIAMACHI</t>
  </si>
  <si>
    <t>TERESA ROMERO BAZAN</t>
  </si>
  <si>
    <t>LUZ DINA MIRAVAL HUERTA</t>
  </si>
  <si>
    <t>ADOLFO ROSARIO ROJAS</t>
  </si>
  <si>
    <t>CLETO TENORIO MORI</t>
  </si>
  <si>
    <t>COMEDOR POPULAR</t>
  </si>
  <si>
    <t>J</t>
  </si>
  <si>
    <t>MELISA ISABEL PILLACA GARCIA</t>
  </si>
  <si>
    <t>CAPILLA SEÑOR DE LA SOLEDAD</t>
  </si>
  <si>
    <t>FELIX EUSTAQUIO POMA DE LA CRUZ</t>
  </si>
  <si>
    <t>B1</t>
  </si>
  <si>
    <t>JOSE YOVERA CHEVO</t>
  </si>
  <si>
    <t>RUSMILA SIMON ALANIA</t>
  </si>
  <si>
    <t>JORGE BARBOZA AMANTE</t>
  </si>
  <si>
    <t>JOHAN ENSO RODRIGUEZ FLOREZ</t>
  </si>
  <si>
    <t>VICTOR BARBOZA AMANTE</t>
  </si>
  <si>
    <t>EDGAR LUCIO AGUSTIN SANCHEZ</t>
  </si>
  <si>
    <t>FABIAN FELIPE MONTALVO JULCA</t>
  </si>
  <si>
    <t>K</t>
  </si>
  <si>
    <t>FILOMENO PAUCAR CENTENO</t>
  </si>
  <si>
    <t>DELIA DORIS HUAMANSUPA PEREZ</t>
  </si>
  <si>
    <t>L</t>
  </si>
  <si>
    <t>ANGELA MELCHOR CRUZ</t>
  </si>
  <si>
    <t>ELOY ALBERTO SIGUEÑAS UGARTE</t>
  </si>
  <si>
    <t>KANDY ELIZABETH GARFIAS LOPEZ</t>
  </si>
  <si>
    <t>SEGUNDO FRANCISCO SHUÑA</t>
  </si>
  <si>
    <t>M</t>
  </si>
  <si>
    <t>ANTONIO  MORENO REQUEZ</t>
  </si>
  <si>
    <t xml:space="preserve">ROSA JUANA MINAYA VILLANUEVA   </t>
  </si>
  <si>
    <t>MARIA COSME JULCA</t>
  </si>
  <si>
    <t>HUGO TAFUR</t>
  </si>
  <si>
    <t>AZUCENA PATRICIO POLO CIRILO</t>
  </si>
  <si>
    <t>BI</t>
  </si>
  <si>
    <t>OLGA MARIA SANCHEZ DE QUITO</t>
  </si>
  <si>
    <t>ODILON  CERNA ROMERO</t>
  </si>
  <si>
    <t>ANGELICA RUFINA  TOLENTINO SANCHEZ</t>
  </si>
  <si>
    <t>N</t>
  </si>
  <si>
    <t xml:space="preserve">OLGA HUERTA </t>
  </si>
  <si>
    <t>CARMELO RAMIREZ RODRIGUEZ</t>
  </si>
  <si>
    <t>O</t>
  </si>
  <si>
    <t xml:space="preserve">EDWIN AGÜERO TRUJILLO </t>
  </si>
  <si>
    <t>FLOR VALDIVIA MILLA</t>
  </si>
  <si>
    <t>P</t>
  </si>
  <si>
    <t>TIMOTEO ROMERO JULCA</t>
  </si>
  <si>
    <t>EUSEBIO CAURINO PEÑA</t>
  </si>
  <si>
    <t>AGAPITO PRINCIPE</t>
  </si>
  <si>
    <t>VICTOR EDGARDO SOLORZANO ROSALES</t>
  </si>
  <si>
    <t>DIANA JARA TRUJILLO</t>
  </si>
  <si>
    <t>BENITA MARGARITA TAHUA OROPEZA</t>
  </si>
  <si>
    <t>VICTOR AGUSTO LOPEZ TRUJILLO</t>
  </si>
  <si>
    <t>JUANA VICTORIA ARMAS HUARCA</t>
  </si>
  <si>
    <t>ANDRES QUITO  TORRES</t>
  </si>
  <si>
    <t>TELIO DE LA CRUZ VENTURO</t>
  </si>
  <si>
    <t>JUAN UCULMANA SANCHEZ</t>
  </si>
  <si>
    <t>RAUL ROMERO MAYO</t>
  </si>
  <si>
    <t>SONIA MORENO CASTILLEJO</t>
  </si>
  <si>
    <t>9A</t>
  </si>
  <si>
    <t>CARLOS BLAS TRUJILLO</t>
  </si>
  <si>
    <t>SABINA DULCE DE CHAUCA</t>
  </si>
  <si>
    <t>BEATRIZ ROMERO VALLADARES</t>
  </si>
  <si>
    <t>Q</t>
  </si>
  <si>
    <t>MACEDONIO MORALES BENTURO</t>
  </si>
  <si>
    <t>JUANA SILVIA MORALES VEGA</t>
  </si>
  <si>
    <t>IRMA HUAÑAHUI LOPEZ</t>
  </si>
  <si>
    <t>ROSA CATALINA TOLENTINO SANCHEZ</t>
  </si>
  <si>
    <t>R</t>
  </si>
  <si>
    <t xml:space="preserve">JUAN RIOS BLAS </t>
  </si>
  <si>
    <t>JULIO RIOS BLAS</t>
  </si>
  <si>
    <t>WILDER SANTIAGO VALERIO</t>
  </si>
  <si>
    <t>S</t>
  </si>
  <si>
    <t>DANIEL TERAN MOREYRA</t>
  </si>
  <si>
    <t>JAVIER SANTIAGO VALERIO</t>
  </si>
  <si>
    <t>MARCELIANO VALLADARES TRUJILLO</t>
  </si>
  <si>
    <t>VICTORIA COSME CERNA</t>
  </si>
  <si>
    <t>ANTONIO VALLADARES DOMINGUES</t>
  </si>
  <si>
    <t>ANACLETO MORENO AYALA</t>
  </si>
  <si>
    <t>RUBEN REYES VILLAJUANA</t>
  </si>
  <si>
    <t>ANA ISABEL GARRO ROJAS</t>
  </si>
  <si>
    <t>ABRAHAM SANTOS BARRERA VEGA</t>
  </si>
  <si>
    <t>YOLANDA RIMAC CULLA</t>
  </si>
  <si>
    <t>T</t>
  </si>
  <si>
    <t>ANTONIA MAYO TRUJILLO</t>
  </si>
  <si>
    <t xml:space="preserve">C </t>
  </si>
  <si>
    <t>SAMUEL SAMARITANO ROMERO</t>
  </si>
  <si>
    <t xml:space="preserve"> ALFREDO CARLOS VENTURA CAPCHA</t>
  </si>
  <si>
    <t>ELISA AURORA SAMARITANO VEGA</t>
  </si>
  <si>
    <t>JULIO HUERTA MILLA</t>
  </si>
  <si>
    <t>PEDRO CANDACHO HUARAC</t>
  </si>
  <si>
    <t>TEOFILA CLEMENTE MORENO</t>
  </si>
  <si>
    <t>JUVENAL MENDOZA JULLCA</t>
  </si>
  <si>
    <t>NANCY FLORES LEON</t>
  </si>
  <si>
    <t>VIOLETA MABEL CAURINO CABELLO</t>
  </si>
  <si>
    <t>V</t>
  </si>
  <si>
    <t>OSTIN AGÜERO TRUJILLO</t>
  </si>
  <si>
    <t>MASIAS  MELCHOR CACERES</t>
  </si>
  <si>
    <t>SABINO SAAVEDRA TRUJILLO</t>
  </si>
  <si>
    <t>JENY JAIMES TRUJILLO</t>
  </si>
  <si>
    <t>W</t>
  </si>
  <si>
    <t>SONIA CERNA MELGAREJO</t>
  </si>
  <si>
    <t xml:space="preserve">JOSE VARGAS CAURINO </t>
  </si>
  <si>
    <t xml:space="preserve">IGLESIA ADVENTISTA </t>
  </si>
  <si>
    <t>MARIA PASTOR SALES DE CARRASCO</t>
  </si>
  <si>
    <t xml:space="preserve">FAUSTA HUERTA AGAMA </t>
  </si>
  <si>
    <t>GABBY ALICIA HEREDIA ESPINOZA</t>
  </si>
  <si>
    <t>X</t>
  </si>
  <si>
    <t>EDITA ROMERO MAYO</t>
  </si>
  <si>
    <t>YOLANDA MERCEDES LOZANO MINAYA</t>
  </si>
  <si>
    <t>EBER AGÜERO TRUJILLO</t>
  </si>
  <si>
    <t>IVAN FILOMENO CHAVEZ DAMAZO</t>
  </si>
  <si>
    <t>RAQUEL SORIA BUSTAMANTE</t>
  </si>
  <si>
    <t>CELINA ELVIRA LOZANO MINAYA</t>
  </si>
  <si>
    <t> 15750637</t>
  </si>
  <si>
    <t>MARILUZ MELGAREJO BEDON</t>
  </si>
  <si>
    <t>ISENIA YESICA CASTILLO BRONCANO</t>
  </si>
  <si>
    <t>Y</t>
  </si>
  <si>
    <t>JANET JESSICA ROMERO MAYO</t>
  </si>
  <si>
    <t>MARTA BACILIO RAMOS</t>
  </si>
  <si>
    <t>Z</t>
  </si>
  <si>
    <t>JANET COCHACHIN</t>
  </si>
  <si>
    <t>WILSON FELIX PATRICIO HUAYTA</t>
  </si>
  <si>
    <t>BIANA LOZANO MINAYA</t>
  </si>
  <si>
    <t>C1</t>
  </si>
  <si>
    <t>MARLENY SAMARITANO HEREDIA</t>
  </si>
  <si>
    <t xml:space="preserve">JUDITH PIMENTEL ESTRADA </t>
  </si>
  <si>
    <t>ESTHEFANY MAGALY  PONTE SANCHEZ</t>
  </si>
  <si>
    <t>EUGENIA ESCUDERO SOLANO</t>
  </si>
  <si>
    <t>MILAGROS VERONICA  SIGUEÑAS SAENS</t>
  </si>
  <si>
    <t>SANTA HUERTA NEPONOCENO</t>
  </si>
  <si>
    <t>LILIANA REQUEZ MENDOZA</t>
  </si>
  <si>
    <t xml:space="preserve">ROBERTO MACARLOPU FLORES </t>
  </si>
  <si>
    <t xml:space="preserve">NORMA ELVIRA PALMADERA CORAQUILLO </t>
  </si>
  <si>
    <t>JUAN SOTELO VENTURA CAPCHA</t>
  </si>
  <si>
    <t xml:space="preserve">DEUNICIA CORAQUILLO VALERIO </t>
  </si>
  <si>
    <t>MARCO ANTONIO CASTILLEJO ROMERO</t>
  </si>
  <si>
    <t>AUBERTINA TRUJILLO TOLENTINO</t>
  </si>
  <si>
    <t>JULIO PRINCIPE LUNA</t>
  </si>
  <si>
    <t>DELFINA PUMALLANQUI GOMEZ</t>
  </si>
  <si>
    <t>TERESA JARA DE FERNANDEZ</t>
  </si>
  <si>
    <t>DELIA CARMEN VENTURO MORALES</t>
  </si>
  <si>
    <t>GUILLERMO JARA NIETO</t>
  </si>
  <si>
    <t>JENY LINO ILLAJANQUI</t>
  </si>
  <si>
    <t>MAXIMILIANO JARA NIETO</t>
  </si>
  <si>
    <t>FAUSTINA PUMALLANQUI GOMEZ</t>
  </si>
  <si>
    <t>D1</t>
  </si>
  <si>
    <t>ANTONIA SAENZ TICLIO</t>
  </si>
  <si>
    <t>ELMER DAVID CLEMENTE RODRIGUEZ</t>
  </si>
  <si>
    <t>E1</t>
  </si>
  <si>
    <t>FRANCISCO CAURINO CABELLO</t>
  </si>
  <si>
    <t>VICENTA DOMINGUEZ ULLOA</t>
  </si>
  <si>
    <t>F1</t>
  </si>
  <si>
    <t xml:space="preserve">ZENON MARTIN BURGA TORRES </t>
  </si>
  <si>
    <t>H1</t>
  </si>
  <si>
    <t>ROSA ELVIRA MUÑOS HERMITAÑO</t>
  </si>
  <si>
    <t xml:space="preserve">D </t>
  </si>
  <si>
    <t xml:space="preserve">TANIA SAMARITANO HERREDIA </t>
  </si>
  <si>
    <t>G1</t>
  </si>
  <si>
    <t>ADOLFO GUILLERMO   JARA TRUJILLO</t>
  </si>
  <si>
    <t>ANTONY JAVIER CRUZ SAMARITANO</t>
  </si>
  <si>
    <t>ESTEBAN GUERERO CHINGEL</t>
  </si>
  <si>
    <t>FREDY INGA GAMARA</t>
  </si>
  <si>
    <t>MACARIO REQUEZ ROMERO</t>
  </si>
  <si>
    <t>ROY MELGAREJO ROMERO</t>
  </si>
  <si>
    <t>FELIPE VENTURO CAPCHA</t>
  </si>
  <si>
    <t>ELAMI AZUCENA ULLOA OLIVO</t>
  </si>
  <si>
    <t>MARGARITA CRIOLLO</t>
  </si>
  <si>
    <t xml:space="preserve">JUANA LOPEZ CANTARO </t>
  </si>
  <si>
    <t>ELMER MELENDEZ BLAS</t>
  </si>
  <si>
    <t>DI</t>
  </si>
  <si>
    <t xml:space="preserve">ONITA CELUMIT PONTE EGUIZABAL </t>
  </si>
  <si>
    <t xml:space="preserve">YOLANDA MATILDE MONTALVO </t>
  </si>
  <si>
    <t>JORJE LUIS ROSALES</t>
  </si>
  <si>
    <t>2A</t>
  </si>
  <si>
    <t>FELIX DARIO ROSALES</t>
  </si>
  <si>
    <t>2B</t>
  </si>
  <si>
    <t>CARMEN ROSA VALENCIA FERNANDEZ</t>
  </si>
  <si>
    <t>FELIX VELASQUEZ LOPEZ</t>
  </si>
  <si>
    <t>LUIS ALBERTO GOMES LAGUANA</t>
  </si>
  <si>
    <t>WAGNER TRUJILLO MENDOZA</t>
  </si>
  <si>
    <t>GERTRUDIS VIDAL GONZALES</t>
  </si>
  <si>
    <t>NANCY SIGUEÑAS UGARTE</t>
  </si>
  <si>
    <t>TEOFILA FERNANDEZ REYES</t>
  </si>
  <si>
    <t>RIMENITA LINDOLINA  MUÑOZ HERMITAÑO</t>
  </si>
  <si>
    <t>FELICIANO SIGUEÑAS UGARTE</t>
  </si>
  <si>
    <t>JONNY NIÑO</t>
  </si>
  <si>
    <t>RENE MEDRANO MALLMA</t>
  </si>
  <si>
    <t>MARIA ELENA SEGURA MELCHOR</t>
  </si>
  <si>
    <t>MARIA DEL PILAR MATIENZO LOPEZ</t>
  </si>
  <si>
    <t>JUAN ENCARNACION RACACHA</t>
  </si>
  <si>
    <t>MANUEL NIÑO HUERTA</t>
  </si>
  <si>
    <t>JULIO VEGA CERDA</t>
  </si>
  <si>
    <t>KAMELA DELGADO VEGA</t>
  </si>
  <si>
    <t>MARIA TERESA GODO SIFUENTES</t>
  </si>
  <si>
    <t>TEOFILO AYALA GASPAR</t>
  </si>
  <si>
    <t>ANTONY LAURENCIO CABALLERO</t>
  </si>
  <si>
    <t>GUDELIA  MIRANDA  VEGA</t>
  </si>
  <si>
    <t>ANA LUNA  GONSALES</t>
  </si>
  <si>
    <t>DARIO VEGA JULCA</t>
  </si>
  <si>
    <t>DARIO SAENZ MURPHY</t>
  </si>
  <si>
    <t>ABIGAIL SONIA GASPAR VEGA</t>
  </si>
  <si>
    <t>3A</t>
  </si>
  <si>
    <t>MILI MANUEL TUCTO</t>
  </si>
  <si>
    <t>RUT MILLA  CRUZ</t>
  </si>
  <si>
    <t>ANTONIO GUTIERREZ PACHAMANGO</t>
  </si>
  <si>
    <t>SANTA VALLADARES DOMINGUES</t>
  </si>
  <si>
    <t>CESAR ALFREDO VIRU GASPAR</t>
  </si>
  <si>
    <t>EFRAIN CANDACHO HUARAC</t>
  </si>
  <si>
    <t>JUAN MARCOS BAUTISTA PEREZ</t>
  </si>
  <si>
    <t>RUBEN MORALES VELASQUE</t>
  </si>
  <si>
    <t>LUZ GASPAR VENTURA</t>
  </si>
  <si>
    <t>ISABEL MORENO REQUEZ</t>
  </si>
  <si>
    <t>VIOLETA MORALES BASAN</t>
  </si>
  <si>
    <t>NATALIA CHINCHAS COLLAS</t>
  </si>
  <si>
    <t xml:space="preserve">COMEDOR POPULAR </t>
  </si>
  <si>
    <t xml:space="preserve">ANTONIA MELGAREJO CORCINO </t>
  </si>
  <si>
    <t>CELICA TRUJILLO LUCIANO</t>
  </si>
  <si>
    <t>RODRIGO TEODORO SAAVEDRA TRUJILLO</t>
  </si>
  <si>
    <t>ELEUTERIO ROLANDO OCAÑA ROMERO</t>
  </si>
  <si>
    <t xml:space="preserve">BENITA LEON JARA </t>
  </si>
  <si>
    <t>AGUSTO  SANTOS ROMERO VALLADARES</t>
  </si>
  <si>
    <t>ANA ROMERO VALLADARES</t>
  </si>
  <si>
    <t>DEYSI COSME GARCILAZO</t>
  </si>
  <si>
    <t xml:space="preserve">SOFIA  FRANCISCO CHINCHAY </t>
  </si>
  <si>
    <t xml:space="preserve">HIPOLITO RAMIREZ CENTENO </t>
  </si>
  <si>
    <t>CARLOS SIGUEÑAS SAENZ</t>
  </si>
  <si>
    <t>16  C</t>
  </si>
  <si>
    <t>CRESOSTO ALBORNOZ TICLLIO</t>
  </si>
  <si>
    <t>16 B</t>
  </si>
  <si>
    <t>GILBERTO FELIX LUIS MESA</t>
  </si>
  <si>
    <t>VIKY SALES PROLEON</t>
  </si>
  <si>
    <t>GI</t>
  </si>
  <si>
    <t>ANA MARIA GONZALES SOTO</t>
  </si>
  <si>
    <t>ROSSANA SAMARITANO  HERREDIA</t>
  </si>
  <si>
    <t>ROBER SAMARITANO HERREDIA</t>
  </si>
  <si>
    <t>EUGENIA HERREDIA DE SAMARITANO</t>
  </si>
  <si>
    <t>JONY SAMARITANO HERREDIA</t>
  </si>
  <si>
    <t xml:space="preserve">G1 </t>
  </si>
  <si>
    <t>JOSE SAMARITANO HUAPALLA</t>
  </si>
  <si>
    <t>LESLY BELEN LOPEZ SAMARITANO</t>
  </si>
  <si>
    <t>AMALIA SAMARITANO</t>
  </si>
  <si>
    <t>LOLA PARIONA LEYVA</t>
  </si>
  <si>
    <t>FELICITA COCHACHIN MILLA</t>
  </si>
  <si>
    <t xml:space="preserve">ESTEBAN DE PAZ LLIUYA </t>
  </si>
  <si>
    <t xml:space="preserve">JUSTINA HILDA DEPAZ VILLAFANA </t>
  </si>
  <si>
    <t>GISELLA YESSICA DELGADO</t>
  </si>
  <si>
    <t>BRIGIDA CERNA SOLIS</t>
  </si>
  <si>
    <t>INOCENCIA MILLA BOTELLO</t>
  </si>
  <si>
    <t>PEDRO PALMADERA HERRERA</t>
  </si>
  <si>
    <t>ALEJANDRO GASPAR OLORTEGUI</t>
  </si>
  <si>
    <t xml:space="preserve">CLEMENTE RODRIGUEZ ROJAS </t>
  </si>
  <si>
    <t>VERONICA  SALES DE MAYO</t>
  </si>
  <si>
    <t>ALEJANDRO LOPEZ ZORRILLA</t>
  </si>
  <si>
    <t>GODOREDO VAZQUEZ LOAYZA</t>
  </si>
  <si>
    <t>MARCIAL MILLA CRUZ</t>
  </si>
  <si>
    <t>JUSTINA ALEGRIA BENITES</t>
  </si>
  <si>
    <t>CIRIACO  MORALES LOPEZ</t>
  </si>
  <si>
    <t>FRANCISCO MORENO VARGAS</t>
  </si>
  <si>
    <t>ANCELMO BELVEDER NUÑEZ</t>
  </si>
  <si>
    <t xml:space="preserve">ROMAN LOZANO MINAYA </t>
  </si>
  <si>
    <t>CIPRIANO LOZANO MINAYA</t>
  </si>
  <si>
    <t>VICTOR RICARDO CASTELLANO CHAVES</t>
  </si>
  <si>
    <t>YOLIT VILLANUEVA ALEGRIA</t>
  </si>
  <si>
    <t>WALTER OCAÑA CASCA</t>
  </si>
  <si>
    <t xml:space="preserve">HI </t>
  </si>
  <si>
    <t>JORGE ORENCIO MORENO ROSALES</t>
  </si>
  <si>
    <t>NELSON NOE MONTALVO CANO</t>
  </si>
  <si>
    <t>LISBET VILLANUEVA ALEGRIA</t>
  </si>
  <si>
    <t>MELANY GASPAR CRIOLLO</t>
  </si>
  <si>
    <t>MARYURI ZAPATA MARTINEZ</t>
  </si>
  <si>
    <t>FELICIA ZAPATA FLORES</t>
  </si>
  <si>
    <t>YICSON  ALEXIS ZAPATA MARTINEZ</t>
  </si>
  <si>
    <t>HI</t>
  </si>
  <si>
    <t>JIMM PAUL  ZAPATA MARTINEZ</t>
  </si>
  <si>
    <t>FAUSTO GARCIA TRUJILLO</t>
  </si>
  <si>
    <t xml:space="preserve">I </t>
  </si>
  <si>
    <t>LIVIA PAJUELO ATANACIO</t>
  </si>
  <si>
    <t>CHARLES FRANCO HUERTA PAJUELO</t>
  </si>
  <si>
    <t>EUGENIO MOYA DURAN</t>
  </si>
  <si>
    <t>PABLO ROSARIO QUISPE</t>
  </si>
  <si>
    <t>AURELIO DE LA CRUZ PEREZ</t>
  </si>
  <si>
    <t>DARIO ROSALES ROMERO</t>
  </si>
  <si>
    <t>ROSA CARDENAS ALVARADO</t>
  </si>
  <si>
    <t>OTILIA ANA RAMIRAZ LUCIANO</t>
  </si>
  <si>
    <t>DOMINGA CHACARA LOPEZ</t>
  </si>
  <si>
    <t>VALENTIN ALBINO DURAN VALLADARES</t>
  </si>
  <si>
    <t>ROMULA MELGAREJO SALES</t>
  </si>
  <si>
    <t>JULIA BARRERA GARCILAZO</t>
  </si>
  <si>
    <t>IGLESIA WESLEYANA PEREGRINO</t>
  </si>
  <si>
    <t>HECTOR AGÜERO TRUJILLO</t>
  </si>
  <si>
    <t>VILMA CELESTINO VILLAFANA</t>
  </si>
  <si>
    <t>MARCELO CHINCHAY REGALADO</t>
  </si>
  <si>
    <t>ESPERANZA CHINCHAY ( IVET)</t>
  </si>
  <si>
    <t>HAYDEE RIMAC ALBERTO</t>
  </si>
  <si>
    <t xml:space="preserve">JULIA ROBLES CASTILLO </t>
  </si>
  <si>
    <t xml:space="preserve">LUISA FELICIANA SANCHEZ RAFAEL </t>
  </si>
  <si>
    <t>SEGUNDO BRONACO DE PAZ ELIZABET)</t>
  </si>
  <si>
    <t>CENTRO EDUCATIVO TUPAC AMARU</t>
  </si>
  <si>
    <t>CONSTANTINA DOMINGUEZ PROLEON</t>
  </si>
  <si>
    <t>ANTONIO ESPINOZA SIFUENTES</t>
  </si>
  <si>
    <t>YULY TRUJILLO CRUZ</t>
  </si>
  <si>
    <t>EMILIA CRUZ</t>
  </si>
  <si>
    <t>SOSIMO ROJAS TRUJILLO</t>
  </si>
  <si>
    <t>VICTOR ORTEGA DE LA CRUZ</t>
  </si>
  <si>
    <t>FELIX LEON JARA</t>
  </si>
  <si>
    <t>VICTOR FLORES DURAN</t>
  </si>
  <si>
    <t>SANTA LUCIA CAURINO CORPUS</t>
  </si>
  <si>
    <t>MARINO JAIMES VIDAL</t>
  </si>
  <si>
    <t>MARTINA MORALES RIOS</t>
  </si>
  <si>
    <t>ALAJANDRO LUIS JULCA</t>
  </si>
  <si>
    <t>RUBEN LUIS GARCILAZO</t>
  </si>
  <si>
    <t>SAMUEL  LLAMA LUNA</t>
  </si>
  <si>
    <t>MATILDE MEZA CASTILLEJO</t>
  </si>
  <si>
    <t>MARCIAL SANCHEZ ARAUS</t>
  </si>
  <si>
    <t>ROBERTO CARLOS QUISPE ROMAN</t>
  </si>
  <si>
    <t>ELENA CASPA DIAS</t>
  </si>
  <si>
    <t>ALEJANDRO JULCA</t>
  </si>
  <si>
    <t>EDGAR SILVA  GHIGGO</t>
  </si>
  <si>
    <t>RAUL OLIVO CORDOVA</t>
  </si>
  <si>
    <t>ELEUTERIO PASTOR LEYVA</t>
  </si>
  <si>
    <t>MARGARITA SAAVEDRA TRUJILLO</t>
  </si>
  <si>
    <t>ANA RODRIGUEZ DOMINGUEZ</t>
  </si>
  <si>
    <t>MARIANELA RIVERA VITATE</t>
  </si>
  <si>
    <t xml:space="preserve">JAIME  VILLANUEVA ALEGRIA </t>
  </si>
  <si>
    <t>NARCIZO LOPEZ CAPCHA</t>
  </si>
  <si>
    <t xml:space="preserve">DALMACIO LOPEZ CAPCHA </t>
  </si>
  <si>
    <t>JOSE SOCOLA RUIZ</t>
  </si>
  <si>
    <t>AGUSTINA CORZO DE VALVARDE</t>
  </si>
  <si>
    <t>MAXIMA MARCELA CARRANZA RODRIGUEZ</t>
  </si>
  <si>
    <t>SEGUNDINA ESPINOZA LOPEZ</t>
  </si>
  <si>
    <t>TEODORA BLAS QUISPE</t>
  </si>
  <si>
    <t xml:space="preserve">MERCURIO LUNA FLORES </t>
  </si>
  <si>
    <t>SILVA DEMETRO BLAS QUISPE</t>
  </si>
  <si>
    <t xml:space="preserve">JUANA MAYO SALES </t>
  </si>
  <si>
    <t>LUCILA SALES ENTRADA</t>
  </si>
  <si>
    <t>VICTORIA COCHACHIN  CASIO</t>
  </si>
  <si>
    <t>ROSA LOPEZ VDA DE DURAN</t>
  </si>
  <si>
    <t>ENMA BLAS QUISPE</t>
  </si>
  <si>
    <t>LEONCIO CASTELLEJO CAPCHA</t>
  </si>
  <si>
    <t>IGLESIA EVANGELICA BAUTISTA</t>
  </si>
  <si>
    <t>MAGDA BLAS MORALES</t>
  </si>
  <si>
    <t>FELICIANA REQUEZ DE MORENO</t>
  </si>
  <si>
    <t>MARGARITA YANE DE LA CRUZ</t>
  </si>
  <si>
    <t>ROGELIO CLEMENTE ROSALES CULLA</t>
  </si>
  <si>
    <t>JOSE SOLORZANO ESTRADA</t>
  </si>
  <si>
    <t>CARLOS PEREZ RAMIREZ</t>
  </si>
  <si>
    <t>CIRILA QUIJANO MELGAREJO</t>
  </si>
  <si>
    <t>RAMON MARCELINO ROSALES MENACHO</t>
  </si>
  <si>
    <t>ALEJANDRO CACHA SANTOS</t>
  </si>
  <si>
    <t>LINDA AGURTO SANCHEZ</t>
  </si>
  <si>
    <t>DAVID JUARES TOLEDO</t>
  </si>
  <si>
    <t xml:space="preserve">ALBINA MAGNA CALVO GIRALDO </t>
  </si>
  <si>
    <t>CARMEN INGARUCA JULCA</t>
  </si>
  <si>
    <t>MANUEL SAAVEDRA TRUJILLO</t>
  </si>
  <si>
    <t>EDGAR ROSARIO ESPINOZA</t>
  </si>
  <si>
    <t>HERMOGENES ESCUDERO LOPEZ</t>
  </si>
  <si>
    <t>MARIA RAMIREZ RODRIGUES</t>
  </si>
  <si>
    <t xml:space="preserve">LOURDES MEDRANO  MALLMA </t>
  </si>
  <si>
    <t>RAUL BLAS QUISPE</t>
  </si>
  <si>
    <t>TERESA BLAS QUISPE</t>
  </si>
  <si>
    <t>EPIFANEO ESCUDERO LOPEZ</t>
  </si>
  <si>
    <t>CATALINA DURAN DOMINGUEZ</t>
  </si>
  <si>
    <t>PEDRO MENDOZA MAGUIÑA</t>
  </si>
  <si>
    <t>IGNACIO MOYA DURAN</t>
  </si>
  <si>
    <t>NELLY DE LA CRUZ HUAMAN</t>
  </si>
  <si>
    <t xml:space="preserve"> EDGAR MELGAREJO BEDON </t>
  </si>
  <si>
    <t>DONATA SAMARITANO  CERNA</t>
  </si>
  <si>
    <t>APOLONIO  DURAND VALLADARES</t>
  </si>
  <si>
    <t>SIMONA GASPAR OLORTEGUI</t>
  </si>
  <si>
    <t>JULIA  CRUZ SAAVEDRA</t>
  </si>
  <si>
    <t>JAVIER MELGAREJO CASTILLO</t>
  </si>
  <si>
    <t>TERESA LOPEZ SAMARITANO</t>
  </si>
  <si>
    <t>MARIA MAGDA HUERTA MILLA</t>
  </si>
  <si>
    <t xml:space="preserve">KAREN LOZADA HUERTA </t>
  </si>
  <si>
    <t>FELICITAS ROSALES PABLO</t>
  </si>
  <si>
    <t>MISAEL HERRERA PRINCIPE</t>
  </si>
  <si>
    <t>DANTE MEDRANO MALLMA</t>
  </si>
  <si>
    <t>CLARA  LORENZA ARLEQUIN</t>
  </si>
  <si>
    <t>27A</t>
  </si>
  <si>
    <t xml:space="preserve">SILVIA ESCUDERO PROLEON </t>
  </si>
  <si>
    <t>ELADIO MORAN RIVERA</t>
  </si>
  <si>
    <t>ALFREDO JARA TRUJILLO</t>
  </si>
  <si>
    <t>ALFREDO MONTALVO COSME</t>
  </si>
  <si>
    <t>LURDES MELCHOR ALBORNOZ</t>
  </si>
  <si>
    <t xml:space="preserve">ANDRES ROMERO QUISPE </t>
  </si>
  <si>
    <t>RITA CAPCHA  DOMINGUEZ</t>
  </si>
  <si>
    <t xml:space="preserve">CIRIA ESCUDERO PROLEON </t>
  </si>
  <si>
    <t>MAURICIA DURAN</t>
  </si>
  <si>
    <t xml:space="preserve">JULIA  ROSALES CULLA </t>
  </si>
  <si>
    <t>11A</t>
  </si>
  <si>
    <t>YUDIT VENTURO ROSALES</t>
  </si>
  <si>
    <t>CALIXTO  BLAS TRUJILLO</t>
  </si>
  <si>
    <t>LEONCIO BLAS QUISPE</t>
  </si>
  <si>
    <t>MARCELINA MELENDEZ JULCA</t>
  </si>
  <si>
    <t>GERALDINE  VELASQUEZ</t>
  </si>
  <si>
    <t>HONORATA  HERRERA ULLOA</t>
  </si>
  <si>
    <t>PABLO ROMERO GARCILAZO</t>
  </si>
  <si>
    <t>MAXIMO GARCILAZO ROMERO</t>
  </si>
  <si>
    <t xml:space="preserve">ELIAZAR FERNANDEZ QUISPE </t>
  </si>
  <si>
    <t xml:space="preserve">MARIA MARTINA PEÑA VEGA </t>
  </si>
  <si>
    <t>DONATA MESA GARCILAZO</t>
  </si>
  <si>
    <t>ALEJANDRO TRUJILLO DIAZ</t>
  </si>
  <si>
    <t>TEODORA MEZA GARCILAZO</t>
  </si>
  <si>
    <t>IDA AURORA HUACANCA CASCA</t>
  </si>
  <si>
    <t>JESICA OLIVO INGARUCA</t>
  </si>
  <si>
    <t>FLORA CASTILLEJO VENTURO</t>
  </si>
  <si>
    <t xml:space="preserve">FRANK TERAN </t>
  </si>
  <si>
    <t>ROSAURA OROYA SACRE</t>
  </si>
  <si>
    <t>DONATO ENRIQUE RAMIREZ</t>
  </si>
  <si>
    <t>SERAFINA MAMANI MAMANI</t>
  </si>
  <si>
    <t>VANESA MILLA CRUZ</t>
  </si>
  <si>
    <t>EVA MELENDEZ JULCA</t>
  </si>
  <si>
    <t>WALTER SOLORSANO MELGAREJO</t>
  </si>
  <si>
    <t>LUCIA MORENO ROSALES</t>
  </si>
  <si>
    <t>MAXIMO MORENO ROSALES</t>
  </si>
  <si>
    <t>BERNANDINO  GAMARRA JIMENES</t>
  </si>
  <si>
    <t xml:space="preserve">ELMER MORENO TORRES </t>
  </si>
  <si>
    <t>NANCY MORENO TORRES</t>
  </si>
  <si>
    <t>MARCO LONCIO SOLORZANO ESTRADA</t>
  </si>
  <si>
    <t>HERMELINDA CHAVEZ ESPINOZA</t>
  </si>
  <si>
    <t xml:space="preserve">FREDY JIMENEZ MONTALVO </t>
  </si>
  <si>
    <t>JOSE  PALMADERA MILLA</t>
  </si>
  <si>
    <t>NELLY VALLADARES  DOMINGUEZ</t>
  </si>
  <si>
    <t>JACINTA AMES AGUIRRE</t>
  </si>
  <si>
    <t>NOEMI ALBORNOZ SIGUEÑAS</t>
  </si>
  <si>
    <t>MIGUEL MELENDES JULCA</t>
  </si>
  <si>
    <t>MIRO ROLANDO CERNA MELGAREJO</t>
  </si>
  <si>
    <t>RIVET VILLANUEVA ALEGRIA</t>
  </si>
  <si>
    <t>JORGE CAHUALLANO HUERTA</t>
  </si>
  <si>
    <t>NORMA JARA ESPINOZA</t>
  </si>
  <si>
    <t>MERCEDES VEGA SALES</t>
  </si>
  <si>
    <t>MIGUEL ANGEL ROMERO VALLADARES</t>
  </si>
  <si>
    <t>MARIA JULCA RIOS</t>
  </si>
  <si>
    <t>JOSE ZAPATA FLORES</t>
  </si>
  <si>
    <t>U</t>
  </si>
  <si>
    <t>ALEXANDRA RIMAC CHINCHAY</t>
  </si>
  <si>
    <t>MARCELINA GOMES BONIFACIO</t>
  </si>
  <si>
    <t>ANA MARIA ESPINOZA FERNANDEZ</t>
  </si>
  <si>
    <t>BENILDA PALACIOS RODRIGUEZ</t>
  </si>
  <si>
    <t xml:space="preserve">MILAGROS MEDRANO CALVO </t>
  </si>
  <si>
    <t>YONY SOLORZANO</t>
  </si>
  <si>
    <t>JANET VILLANUEVA ALEGRIA</t>
  </si>
  <si>
    <t>IGLESIA MOVIMIENTO MISIONERO MUNDIAL</t>
  </si>
  <si>
    <t>SUSANA MORENO ROSALES</t>
  </si>
  <si>
    <t>SONIA  ARQUIÑO MELENDEZ</t>
  </si>
  <si>
    <t>TEOFILO TRUJILLO SAMARITANO</t>
  </si>
  <si>
    <t>NORMA VEGA SALES</t>
  </si>
  <si>
    <t>FRANCISCA CLARA HUAYTAFLORENTINO</t>
  </si>
  <si>
    <t>MIRIAM SIGUEÑAS SAENZ</t>
  </si>
  <si>
    <t>MARISOL BLAS BARRERA</t>
  </si>
  <si>
    <t>ESTEBAN PATRICIO TREBEJO</t>
  </si>
  <si>
    <t>v</t>
  </si>
  <si>
    <t>CLEVER LOPEZ TRUJILLO</t>
  </si>
  <si>
    <t xml:space="preserve"> LEONARDO HUAMANI SOTELO</t>
  </si>
  <si>
    <t>JANET VASQUEZ MINAYA</t>
  </si>
  <si>
    <t>SONIA MASIAS KUSIHUAMAN</t>
  </si>
  <si>
    <t>NELLY MORENO  LICITO</t>
  </si>
  <si>
    <t>YESICA MELISSA ESPINOZA FERNANDEZ</t>
  </si>
  <si>
    <t xml:space="preserve">FLOR DEL PILAR VALENCIA YNGA </t>
  </si>
  <si>
    <t>VIKY MASIAS KUSIHUAMAN</t>
  </si>
  <si>
    <t>RENATO NICANDRO ALBORNOZ  SIGUEÑAS</t>
  </si>
  <si>
    <t>LUZ MERCEDES VARGAS CAURINO</t>
  </si>
  <si>
    <t>YASNINA JAIMES TRUJILLO</t>
  </si>
  <si>
    <t>MERVIN JOSIMAR LINGAN RUEDA</t>
  </si>
  <si>
    <t xml:space="preserve">JULIAN ROCA VALENCIA </t>
  </si>
  <si>
    <t xml:space="preserve">RUDY ROCA SEBASTIAN </t>
  </si>
  <si>
    <t>WILBER JUVENAL MELCHOR ALBORNOZ</t>
  </si>
  <si>
    <t>CRISTINA PASTOR SALES</t>
  </si>
  <si>
    <t xml:space="preserve">JUDITH DEYSI PASTOR </t>
  </si>
  <si>
    <t>TITO OSORIO MELGAREJO</t>
  </si>
  <si>
    <t>CARLOS ALFREDO JARA GOMEZ</t>
  </si>
  <si>
    <t>BERTHA ELVA GASPAR PEÑA</t>
  </si>
  <si>
    <t>LUCINDA MELENDEZ BLAS</t>
  </si>
  <si>
    <t>ADRIAN MARCIAL ANTONIO MURGA</t>
  </si>
  <si>
    <t>ROSA ESPINOZA</t>
  </si>
  <si>
    <t>MARIA ROSA JIMENEZ ROCA</t>
  </si>
  <si>
    <t>CARLOS MARCIAL CASHPA CORAQUILLO</t>
  </si>
  <si>
    <t xml:space="preserve">CELSO AGÜERO VALLADARES </t>
  </si>
  <si>
    <t>PEDRO PABLO ABREGO ISIDRO</t>
  </si>
  <si>
    <t>MAGNA ABREGO ISIDRO</t>
  </si>
  <si>
    <t xml:space="preserve">FELIPE ORTIZ  APONTE </t>
  </si>
  <si>
    <t>DELIA CERNA POLO</t>
  </si>
  <si>
    <t>EDY  RONAL SANCHEZ RODRIGUEZ</t>
  </si>
  <si>
    <t>JUDITH MONTAÑEZ ROJAS</t>
  </si>
  <si>
    <t>BELISARIO MORALES HERRERA</t>
  </si>
  <si>
    <t>HAYDEE CERNA NEYRA</t>
  </si>
  <si>
    <t>FELIX LUNA LOPEZ</t>
  </si>
  <si>
    <t>ORLANDO VASQUEZ HURTADO</t>
  </si>
  <si>
    <t>JAVIER ESPINOZA FERNANDEZ</t>
  </si>
  <si>
    <t>MARIA BACILIOS RAMOS</t>
  </si>
  <si>
    <t xml:space="preserve">JUAN JOSE ACOSTA SURICHAQUI  </t>
  </si>
  <si>
    <t>z</t>
  </si>
  <si>
    <t xml:space="preserve">SARA TARAZONA MIGUEL </t>
  </si>
  <si>
    <t>ELENA CASTILLEJO CANCHARI</t>
  </si>
  <si>
    <t xml:space="preserve">YENI POLO CIRILO </t>
  </si>
  <si>
    <t>ROSA REQUENA DELGADILLO</t>
  </si>
  <si>
    <t>ROSA DURAN SALES</t>
  </si>
  <si>
    <t>ALFREDO GRADOS APELO</t>
  </si>
  <si>
    <t>JUAN FLORES TRUJILLO</t>
  </si>
  <si>
    <t>ROBER FLORES TRUJILLO</t>
  </si>
  <si>
    <t>NOEMI GLADYS POLO CIRILO</t>
  </si>
  <si>
    <t>FERNANDO ALCANTARA CONDOR</t>
  </si>
  <si>
    <t>FELIX MANUEL POZO CASTRO</t>
  </si>
  <si>
    <t>BARTOLOME ECHEVARRIA</t>
  </si>
  <si>
    <t>A1-10 (Liliana Requez)</t>
  </si>
  <si>
    <t>A1-9 (Enrique Trujillo)</t>
  </si>
  <si>
    <t>A1-8 (Erika Maribel)</t>
  </si>
  <si>
    <t>T-14 (Corte y reconxion)</t>
  </si>
  <si>
    <t>B-5 (Corte y reconexion)</t>
  </si>
  <si>
    <t>NOMBRE</t>
  </si>
  <si>
    <t>TECHADO</t>
  </si>
  <si>
    <t>CAMPO</t>
  </si>
  <si>
    <t>MARCELINA OBREGON  DE AVILA</t>
  </si>
  <si>
    <t>CARLOS YPANAQUE FRANCISCO</t>
  </si>
  <si>
    <t>ROSALINA OLIMPIA CIRIACO</t>
  </si>
  <si>
    <t>SALOME DIAZ VARGAS</t>
  </si>
  <si>
    <t>OLGA HUERTA</t>
  </si>
  <si>
    <t>EDWIN AGÜERO TRUJILLO</t>
  </si>
  <si>
    <t>JUAN RIOS BLAS</t>
  </si>
  <si>
    <t>ALFREDO CARLOS VENTURA CAPCHA</t>
  </si>
  <si>
    <t>IGLESIA ADVENTISTA</t>
  </si>
  <si>
    <t>FAUSTA HUERTA AGAMA</t>
  </si>
  <si>
    <t>JUDITH PIMENTEL ESTRADA</t>
  </si>
  <si>
    <t>ROBERTO MACARLOPU FLORES</t>
  </si>
  <si>
    <t>JUANA LOPEZ CANTARO</t>
  </si>
  <si>
    <t>ONITA CELUMIT PONTE EGUIZABAL</t>
  </si>
  <si>
    <t>YOLANDA MATILDE MONTALVO</t>
  </si>
  <si>
    <t>ANTONIA MELGAREJO CORCINO</t>
  </si>
  <si>
    <t>BENITA LEON JARA</t>
  </si>
  <si>
    <t>SOFIA  FRANCISCO CHINCHAY</t>
  </si>
  <si>
    <t>HIPOLITO RAMIREZ CENTENO</t>
  </si>
  <si>
    <t>ESTEBAN DE PAZ LLIUYA</t>
  </si>
  <si>
    <t>JUSTINA HILDA DEPAZ VILLAFANA</t>
  </si>
  <si>
    <t>CLEMENTE RODRIGUEZ ROJAS</t>
  </si>
  <si>
    <t>ROMAN LOZANO MINAYA</t>
  </si>
  <si>
    <t>ZENON MARTIN BURGA TORRES</t>
  </si>
  <si>
    <t>JULIA ROBLES CASTILLO</t>
  </si>
  <si>
    <t>LUISA FELICIANA SANCHEZ RAFAEL</t>
  </si>
  <si>
    <t>JAIME  VILLANUEVA ALEGRIA</t>
  </si>
  <si>
    <t>DALMACIO LOPEZ CAPCHA</t>
  </si>
  <si>
    <t>MERCURIO LUNA FLORES</t>
  </si>
  <si>
    <t>JUANA MAYO SALES</t>
  </si>
  <si>
    <t>ALBINA MAGNA CALVO GIRALDO</t>
  </si>
  <si>
    <t>LOURDES MEDRANO  MALLMA</t>
  </si>
  <si>
    <t>EDGAR MELGAREJO BEDON</t>
  </si>
  <si>
    <t>KAREN LOZADA HUERTA</t>
  </si>
  <si>
    <t>SILVIA ESCUDERO PROLEON</t>
  </si>
  <si>
    <t>ANDRES ROMERO QUISPE</t>
  </si>
  <si>
    <t>CIRIA ESCUDERO PROLEON</t>
  </si>
  <si>
    <t>JULIA  ROSALES CULLA</t>
  </si>
  <si>
    <t>ELIAZAR FERNANDEZ QUISPE</t>
  </si>
  <si>
    <t>MARIA MARTINA PEÑA VEGA</t>
  </si>
  <si>
    <t>FRANK TERAN</t>
  </si>
  <si>
    <t>ELMER MORENO TORRES</t>
  </si>
  <si>
    <t>FREDY JIMENEZ MONTALVO</t>
  </si>
  <si>
    <t>MILAGROS MEDRANO CALVO</t>
  </si>
  <si>
    <t>LEONARDO HUAMANI SOTELO</t>
  </si>
  <si>
    <t>FLOR DEL PILAR VALENCIA YNGA</t>
  </si>
  <si>
    <t>JULIAN ROCA VALENCIA</t>
  </si>
  <si>
    <t>RUDY ROCA SEBASTIAN</t>
  </si>
  <si>
    <t>JUDITH DEYSI PASTOR</t>
  </si>
  <si>
    <t>CELSO AGÜERO VALLADARES</t>
  </si>
  <si>
    <t>FELIPE ORTIZ  APONTE</t>
  </si>
  <si>
    <t>JUAN JOSE ACOSTA SURICHAQUI</t>
  </si>
  <si>
    <t>SARA TARAZONA MIGUEL</t>
  </si>
  <si>
    <t>YENI POLO CIRILO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</si>
</sst>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000000"/>
      <name val="Arial"/>
      <scheme val="minor"/>
    </font>
    <font>
      <sz val="11.0"/>
      <color theme="1"/>
      <name val="Arial"/>
    </font>
    <font>
      <sz val="10.0"/>
      <color theme="1"/>
      <name val="Calibri"/>
    </font>
    <font>
      <sz val="11.0"/>
      <color theme="1"/>
      <name val="Calibri"/>
    </font>
    <font>
      <color theme="1"/>
      <name val="Arial"/>
    </font>
    <font>
      <b/>
      <sz val="9.0"/>
      <color theme="1"/>
      <name val="Calibri"/>
    </font>
    <font>
      <b/>
      <sz val="8.0"/>
      <color theme="1"/>
      <name val="Calibri"/>
    </font>
    <font/>
    <font>
      <sz val="9.0"/>
      <color theme="1"/>
      <name val="Arial"/>
    </font>
    <font>
      <sz val="8.0"/>
      <color theme="1"/>
      <name val="Calibri"/>
    </font>
    <font>
      <sz val="11.0"/>
      <color rgb="FFFF0000"/>
      <name val="Arial"/>
    </font>
    <font>
      <sz val="11.0"/>
      <color rgb="FF262626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C8C8C8"/>
        <bgColor rgb="FFC8C8C8"/>
      </patternFill>
    </fill>
    <fill>
      <patternFill patternType="solid">
        <fgColor rgb="FFFFE598"/>
        <bgColor rgb="FFFFE598"/>
      </patternFill>
    </fill>
    <fill>
      <patternFill patternType="solid">
        <fgColor rgb="FFD0CECE"/>
        <bgColor rgb="FFD0CECE"/>
      </patternFill>
    </fill>
    <fill>
      <patternFill patternType="solid">
        <fgColor rgb="FF92D050"/>
        <bgColor rgb="FF92D050"/>
      </patternFill>
    </fill>
  </fills>
  <borders count="1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2" fillId="0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4" fillId="3" fontId="1" numFmtId="0" xfId="0" applyAlignment="1" applyBorder="1" applyFill="1" applyFont="1">
      <alignment horizontal="center" vertical="center"/>
    </xf>
    <xf borderId="5" fillId="2" fontId="1" numFmtId="0" xfId="0" applyAlignment="1" applyBorder="1" applyFont="1">
      <alignment horizontal="left" vertical="center"/>
    </xf>
    <xf borderId="5" fillId="4" fontId="1" numFmtId="0" xfId="0" applyAlignment="1" applyBorder="1" applyFill="1" applyFont="1">
      <alignment horizontal="left" vertical="center"/>
    </xf>
    <xf borderId="5" fillId="4" fontId="1" numFmtId="0" xfId="0" applyAlignment="1" applyBorder="1" applyFont="1">
      <alignment horizontal="left" shrinkToFit="0" vertical="center" wrapText="1"/>
    </xf>
    <xf borderId="0" fillId="0" fontId="4" numFmtId="0" xfId="0" applyFont="1"/>
    <xf borderId="5" fillId="5" fontId="5" numFmtId="0" xfId="0" applyBorder="1" applyFill="1" applyFont="1"/>
    <xf borderId="5" fillId="6" fontId="6" numFmtId="0" xfId="0" applyBorder="1" applyFill="1" applyFont="1"/>
    <xf borderId="5" fillId="6" fontId="6" numFmtId="0" xfId="0" applyAlignment="1" applyBorder="1" applyFont="1">
      <alignment horizontal="left"/>
    </xf>
    <xf borderId="6" fillId="0" fontId="7" numFmtId="0" xfId="0" applyBorder="1" applyFont="1"/>
    <xf borderId="7" fillId="0" fontId="7" numFmtId="0" xfId="0" applyBorder="1" applyFont="1"/>
    <xf borderId="8" fillId="0" fontId="1" numFmtId="0" xfId="0" applyAlignment="1" applyBorder="1" applyFont="1">
      <alignment vertical="center"/>
    </xf>
    <xf borderId="5" fillId="0" fontId="1" numFmtId="0" xfId="0" applyAlignment="1" applyBorder="1" applyFont="1">
      <alignment horizontal="left" vertical="center"/>
    </xf>
    <xf borderId="5" fillId="0" fontId="1" numFmtId="0" xfId="0" applyAlignment="1" applyBorder="1" applyFont="1">
      <alignment horizontal="left" shrinkToFit="0" vertical="top" wrapText="1"/>
    </xf>
    <xf borderId="5" fillId="0" fontId="8" numFmtId="0" xfId="0" applyBorder="1" applyFont="1"/>
    <xf borderId="5" fillId="0" fontId="9" numFmtId="0" xfId="0" applyBorder="1" applyFont="1"/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 vertical="center"/>
    </xf>
    <xf borderId="9" fillId="7" fontId="9" numFmtId="0" xfId="0" applyAlignment="1" applyBorder="1" applyFill="1" applyFont="1">
      <alignment horizontal="left" vertical="center"/>
    </xf>
    <xf borderId="8" fillId="0" fontId="10" numFmtId="0" xfId="0" applyAlignment="1" applyBorder="1" applyFont="1">
      <alignment vertical="center"/>
    </xf>
    <xf borderId="5" fillId="0" fontId="10" numFmtId="0" xfId="0" applyAlignment="1" applyBorder="1" applyFont="1">
      <alignment horizontal="left" vertical="top"/>
    </xf>
    <xf borderId="5" fillId="0" fontId="10" numFmtId="0" xfId="0" applyAlignment="1" applyBorder="1" applyFont="1">
      <alignment horizontal="left" vertical="center"/>
    </xf>
    <xf borderId="5" fillId="0" fontId="10" numFmtId="0" xfId="0" applyAlignment="1" applyBorder="1" applyFont="1">
      <alignment horizontal="left" shrinkToFit="0" vertical="top" wrapText="1"/>
    </xf>
    <xf borderId="5" fillId="0" fontId="8" numFmtId="0" xfId="0" applyAlignment="1" applyBorder="1" applyFont="1">
      <alignment vertical="center"/>
    </xf>
    <xf borderId="10" fillId="0" fontId="8" numFmtId="0" xfId="0" applyBorder="1" applyFont="1"/>
    <xf borderId="5" fillId="0" fontId="9" numFmtId="0" xfId="0" applyAlignment="1" applyBorder="1" applyFont="1">
      <alignment horizontal="left" vertical="center"/>
    </xf>
    <xf borderId="5" fillId="0" fontId="1" numFmtId="0" xfId="0" applyAlignment="1" applyBorder="1" applyFont="1">
      <alignment horizontal="left" vertical="top"/>
    </xf>
    <xf borderId="4" fillId="2" fontId="1" numFmtId="0" xfId="0" applyAlignment="1" applyBorder="1" applyFont="1">
      <alignment vertical="center"/>
    </xf>
    <xf borderId="8" fillId="0" fontId="1" numFmtId="0" xfId="0" applyAlignment="1" applyBorder="1" applyFont="1">
      <alignment vertical="top"/>
    </xf>
    <xf borderId="8" fillId="0" fontId="1" numFmtId="0" xfId="0" applyAlignment="1" applyBorder="1" applyFont="1">
      <alignment horizontal="left" vertical="center"/>
    </xf>
    <xf borderId="8" fillId="0" fontId="10" numFmtId="0" xfId="0" applyAlignment="1" applyBorder="1" applyFont="1">
      <alignment vertical="top"/>
    </xf>
    <xf borderId="5" fillId="0" fontId="1" numFmtId="0" xfId="0" applyAlignment="1" applyBorder="1" applyFont="1">
      <alignment vertical="center"/>
    </xf>
    <xf borderId="11" fillId="0" fontId="1" numFmtId="0" xfId="0" applyBorder="1" applyFont="1"/>
    <xf borderId="8" fillId="0" fontId="11" numFmtId="0" xfId="0" applyAlignment="1" applyBorder="1" applyFont="1">
      <alignment vertical="center"/>
    </xf>
    <xf borderId="5" fillId="0" fontId="11" numFmtId="0" xfId="0" applyAlignment="1" applyBorder="1" applyFont="1">
      <alignment horizontal="left" vertical="center"/>
    </xf>
    <xf borderId="5" fillId="0" fontId="11" numFmtId="0" xfId="0" applyAlignment="1" applyBorder="1" applyFont="1">
      <alignment horizontal="left" shrinkToFit="0" vertical="top" wrapText="1"/>
    </xf>
    <xf borderId="5" fillId="0" fontId="1" numFmtId="0" xfId="0" applyAlignment="1" applyBorder="1" applyFont="1">
      <alignment horizontal="left" shrinkToFit="0" vertical="center" wrapText="1"/>
    </xf>
    <xf borderId="12" fillId="0" fontId="1" numFmtId="0" xfId="0" applyAlignment="1" applyBorder="1" applyFont="1">
      <alignment vertical="center"/>
    </xf>
    <xf borderId="0" fillId="0" fontId="1" numFmtId="0" xfId="0" applyAlignment="1" applyFont="1">
      <alignment horizontal="left"/>
    </xf>
    <xf borderId="8" fillId="0" fontId="8" numFmtId="0" xfId="0" applyAlignment="1" applyBorder="1" applyFont="1">
      <alignment vertical="center"/>
    </xf>
    <xf borderId="13" fillId="0" fontId="8" numFmtId="0" xfId="0" applyBorder="1" applyFont="1"/>
    <xf borderId="10" fillId="0" fontId="9" numFmtId="0" xfId="0" applyBorder="1" applyFont="1"/>
    <xf borderId="8" fillId="0" fontId="8" numFmtId="0" xfId="0" applyBorder="1" applyFont="1"/>
    <xf borderId="10" fillId="0" fontId="9" numFmtId="0" xfId="0" applyAlignment="1" applyBorder="1" applyFont="1">
      <alignment horizontal="left"/>
    </xf>
    <xf borderId="12" fillId="0" fontId="8" numFmtId="0" xfId="0" applyBorder="1" applyFont="1"/>
    <xf borderId="0" fillId="0" fontId="9" numFmtId="0" xfId="0" applyAlignment="1" applyFont="1">
      <alignment horizontal="left"/>
    </xf>
    <xf borderId="10" fillId="0" fontId="8" numFmtId="0" xfId="0" applyAlignment="1" applyBorder="1" applyFont="1">
      <alignment vertical="center"/>
    </xf>
    <xf borderId="2" fillId="0" fontId="8" numFmtId="0" xfId="0" applyBorder="1" applyFont="1"/>
    <xf borderId="2" fillId="0" fontId="9" numFmtId="0" xfId="0" applyAlignment="1" applyBorder="1" applyFont="1">
      <alignment horizontal="left"/>
    </xf>
    <xf borderId="14" fillId="2" fontId="9" numFmtId="0" xfId="0" applyAlignment="1" applyBorder="1" applyFont="1">
      <alignment horizontal="left" vertical="center"/>
    </xf>
    <xf borderId="2" fillId="0" fontId="8" numFmtId="0" xfId="0" applyAlignment="1" applyBorder="1" applyFont="1">
      <alignment vertical="center"/>
    </xf>
    <xf borderId="2" fillId="0" fontId="9" numFmtId="0" xfId="0" applyBorder="1" applyFont="1"/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hidden="1" min="2" max="2" width="3.25"/>
    <col customWidth="1" hidden="1" min="3" max="3" width="1.38"/>
    <col customWidth="1" min="4" max="4" width="51.88"/>
    <col customWidth="1" min="5" max="5" width="11.38"/>
    <col customWidth="1" min="6" max="6" width="5.38"/>
    <col customWidth="1" min="7" max="7" width="7.25"/>
    <col customWidth="1" min="8" max="8" width="10.75"/>
    <col customWidth="1" min="9" max="9" width="2.13"/>
    <col customWidth="1" min="10" max="10" width="4.13"/>
    <col customWidth="1" min="11" max="11" width="35.88"/>
    <col customWidth="1" min="12" max="12" width="4.75"/>
    <col customWidth="1" min="13" max="13" width="4.88"/>
    <col customWidth="1" min="14" max="14" width="10.38"/>
    <col customWidth="1" min="16" max="16" width="14.38"/>
    <col customWidth="1" min="17" max="17" width="5.63"/>
    <col customWidth="1" min="18" max="27" width="14.38"/>
  </cols>
  <sheetData>
    <row r="2">
      <c r="D2" s="1" t="s">
        <v>0</v>
      </c>
      <c r="E2" s="2"/>
      <c r="F2" s="2"/>
      <c r="G2" s="2"/>
      <c r="N2" s="3" t="s">
        <v>1</v>
      </c>
      <c r="O2" s="4" t="s">
        <v>2</v>
      </c>
    </row>
    <row r="3">
      <c r="D3" s="5" t="s">
        <v>3</v>
      </c>
      <c r="E3" s="6" t="s">
        <v>4</v>
      </c>
      <c r="F3" s="7" t="s">
        <v>5</v>
      </c>
      <c r="G3" s="8" t="s">
        <v>6</v>
      </c>
      <c r="H3" s="9" t="s">
        <v>7</v>
      </c>
      <c r="K3" s="10" t="s">
        <v>8</v>
      </c>
      <c r="L3" s="11" t="s">
        <v>5</v>
      </c>
      <c r="M3" s="12" t="s">
        <v>9</v>
      </c>
      <c r="N3" s="13"/>
      <c r="O3" s="14"/>
      <c r="P3" s="9" t="s">
        <v>7</v>
      </c>
    </row>
    <row r="4">
      <c r="C4" s="9">
        <v>1.0</v>
      </c>
      <c r="D4" s="15" t="s">
        <v>10</v>
      </c>
      <c r="E4" s="16">
        <v>1.5943862E7</v>
      </c>
      <c r="F4" s="16" t="s">
        <v>11</v>
      </c>
      <c r="G4" s="17">
        <v>4.0</v>
      </c>
      <c r="H4" s="9">
        <v>75.0</v>
      </c>
      <c r="J4" s="9">
        <v>1.0</v>
      </c>
      <c r="K4" s="18" t="s">
        <v>12</v>
      </c>
      <c r="L4" s="19" t="s">
        <v>11</v>
      </c>
      <c r="M4" s="20">
        <v>1.0</v>
      </c>
      <c r="N4" s="21">
        <v>25.0</v>
      </c>
      <c r="O4" s="22"/>
      <c r="P4" s="9">
        <f t="shared" ref="P4:P432" si="1">N4+O4</f>
        <v>25</v>
      </c>
    </row>
    <row r="5">
      <c r="C5" s="9">
        <v>2.0</v>
      </c>
      <c r="D5" s="15" t="s">
        <v>13</v>
      </c>
      <c r="E5" s="16">
        <v>4.7233733E7</v>
      </c>
      <c r="F5" s="16" t="s">
        <v>11</v>
      </c>
      <c r="G5" s="17" t="s">
        <v>14</v>
      </c>
      <c r="H5" s="9">
        <v>75.0</v>
      </c>
      <c r="J5" s="9">
        <v>2.0</v>
      </c>
      <c r="K5" s="18" t="s">
        <v>15</v>
      </c>
      <c r="L5" s="20" t="s">
        <v>11</v>
      </c>
      <c r="M5" s="20">
        <v>2.0</v>
      </c>
      <c r="N5" s="21">
        <v>25.0</v>
      </c>
      <c r="O5" s="22">
        <v>50.0</v>
      </c>
      <c r="P5" s="9">
        <f t="shared" si="1"/>
        <v>75</v>
      </c>
    </row>
    <row r="6">
      <c r="C6" s="9">
        <v>3.0</v>
      </c>
      <c r="D6" s="15" t="s">
        <v>16</v>
      </c>
      <c r="E6" s="16">
        <v>1.5952089E7</v>
      </c>
      <c r="F6" s="16" t="s">
        <v>17</v>
      </c>
      <c r="G6" s="17">
        <v>9.0</v>
      </c>
      <c r="H6" s="9">
        <v>75.0</v>
      </c>
      <c r="J6" s="9">
        <v>3.0</v>
      </c>
      <c r="K6" s="18" t="s">
        <v>18</v>
      </c>
      <c r="L6" s="20" t="s">
        <v>11</v>
      </c>
      <c r="M6" s="20">
        <v>3.0</v>
      </c>
      <c r="N6" s="21">
        <v>25.0</v>
      </c>
      <c r="O6" s="22">
        <v>50.0</v>
      </c>
      <c r="P6" s="9">
        <f t="shared" si="1"/>
        <v>75</v>
      </c>
    </row>
    <row r="7">
      <c r="C7" s="9">
        <v>4.0</v>
      </c>
      <c r="D7" s="15" t="s">
        <v>19</v>
      </c>
      <c r="E7" s="16">
        <v>7.472396E7</v>
      </c>
      <c r="F7" s="16" t="s">
        <v>17</v>
      </c>
      <c r="G7" s="17">
        <v>15.0</v>
      </c>
      <c r="H7" s="9">
        <v>75.0</v>
      </c>
      <c r="J7" s="9">
        <v>4.0</v>
      </c>
      <c r="K7" s="18" t="s">
        <v>20</v>
      </c>
      <c r="L7" s="20" t="s">
        <v>11</v>
      </c>
      <c r="M7" s="20">
        <v>5.0</v>
      </c>
      <c r="N7" s="21">
        <v>25.0</v>
      </c>
      <c r="O7" s="22">
        <v>50.0</v>
      </c>
      <c r="P7" s="9">
        <f t="shared" si="1"/>
        <v>75</v>
      </c>
    </row>
    <row r="8">
      <c r="C8" s="9">
        <v>5.0</v>
      </c>
      <c r="D8" s="15" t="s">
        <v>21</v>
      </c>
      <c r="E8" s="16">
        <v>3.2300095E7</v>
      </c>
      <c r="F8" s="16" t="s">
        <v>22</v>
      </c>
      <c r="G8" s="17">
        <v>10.0</v>
      </c>
      <c r="H8" s="9">
        <v>75.0</v>
      </c>
      <c r="J8" s="9">
        <v>5.0</v>
      </c>
      <c r="K8" s="18" t="s">
        <v>23</v>
      </c>
      <c r="L8" s="20" t="s">
        <v>11</v>
      </c>
      <c r="M8" s="20">
        <v>6.0</v>
      </c>
      <c r="N8" s="21">
        <v>25.0</v>
      </c>
      <c r="O8" s="22"/>
      <c r="P8" s="9">
        <f t="shared" si="1"/>
        <v>25</v>
      </c>
    </row>
    <row r="9">
      <c r="C9" s="9">
        <v>6.0</v>
      </c>
      <c r="D9" s="15" t="s">
        <v>24</v>
      </c>
      <c r="E9" s="16">
        <v>4.1971592E7</v>
      </c>
      <c r="F9" s="16" t="s">
        <v>22</v>
      </c>
      <c r="G9" s="17">
        <v>29.0</v>
      </c>
      <c r="H9" s="9">
        <v>75.0</v>
      </c>
      <c r="J9" s="9">
        <v>6.0</v>
      </c>
      <c r="K9" s="18" t="s">
        <v>25</v>
      </c>
      <c r="L9" s="20" t="s">
        <v>11</v>
      </c>
      <c r="M9" s="20">
        <v>7.0</v>
      </c>
      <c r="N9" s="21">
        <v>25.0</v>
      </c>
      <c r="O9" s="22">
        <v>50.0</v>
      </c>
      <c r="P9" s="9">
        <f t="shared" si="1"/>
        <v>75</v>
      </c>
    </row>
    <row r="10">
      <c r="C10" s="9">
        <v>7.0</v>
      </c>
      <c r="D10" s="15" t="s">
        <v>26</v>
      </c>
      <c r="E10" s="16"/>
      <c r="F10" s="16" t="s">
        <v>22</v>
      </c>
      <c r="G10" s="17">
        <v>35.0</v>
      </c>
      <c r="H10" s="9">
        <v>75.0</v>
      </c>
      <c r="J10" s="9">
        <v>7.0</v>
      </c>
      <c r="K10" s="18" t="s">
        <v>27</v>
      </c>
      <c r="L10" s="20" t="s">
        <v>11</v>
      </c>
      <c r="M10" s="20">
        <v>8.0</v>
      </c>
      <c r="N10" s="21">
        <v>25.0</v>
      </c>
      <c r="O10" s="22">
        <v>50.0</v>
      </c>
      <c r="P10" s="9">
        <f t="shared" si="1"/>
        <v>75</v>
      </c>
    </row>
    <row r="11">
      <c r="C11" s="9">
        <v>8.0</v>
      </c>
      <c r="D11" s="15" t="s">
        <v>28</v>
      </c>
      <c r="E11" s="16">
        <v>8.0154E7</v>
      </c>
      <c r="F11" s="16" t="s">
        <v>22</v>
      </c>
      <c r="G11" s="17">
        <v>36.0</v>
      </c>
      <c r="H11" s="9">
        <v>75.0</v>
      </c>
      <c r="J11" s="9">
        <v>8.0</v>
      </c>
      <c r="K11" s="18" t="s">
        <v>29</v>
      </c>
      <c r="L11" s="20" t="s">
        <v>11</v>
      </c>
      <c r="M11" s="20">
        <v>9.0</v>
      </c>
      <c r="N11" s="21">
        <v>25.0</v>
      </c>
      <c r="O11" s="22"/>
      <c r="P11" s="9">
        <f t="shared" si="1"/>
        <v>25</v>
      </c>
    </row>
    <row r="12">
      <c r="C12" s="9">
        <v>9.0</v>
      </c>
      <c r="D12" s="23" t="s">
        <v>30</v>
      </c>
      <c r="E12" s="24"/>
      <c r="F12" s="25" t="s">
        <v>31</v>
      </c>
      <c r="G12" s="26">
        <v>2.0</v>
      </c>
      <c r="H12" s="9">
        <v>75.0</v>
      </c>
      <c r="J12" s="9">
        <v>9.0</v>
      </c>
      <c r="K12" s="18" t="s">
        <v>32</v>
      </c>
      <c r="L12" s="20" t="s">
        <v>33</v>
      </c>
      <c r="M12" s="20">
        <v>10.0</v>
      </c>
      <c r="N12" s="21">
        <v>25.0</v>
      </c>
      <c r="O12" s="22">
        <v>50.0</v>
      </c>
      <c r="P12" s="9">
        <f t="shared" si="1"/>
        <v>75</v>
      </c>
    </row>
    <row r="13">
      <c r="C13" s="9">
        <v>10.0</v>
      </c>
      <c r="D13" s="15" t="s">
        <v>34</v>
      </c>
      <c r="E13" s="16">
        <v>1.601704E7</v>
      </c>
      <c r="F13" s="16" t="s">
        <v>31</v>
      </c>
      <c r="G13" s="17">
        <v>11.0</v>
      </c>
      <c r="H13" s="9">
        <v>75.0</v>
      </c>
      <c r="J13" s="9">
        <v>10.0</v>
      </c>
      <c r="K13" s="27" t="s">
        <v>35</v>
      </c>
      <c r="L13" s="19" t="s">
        <v>36</v>
      </c>
      <c r="M13" s="20">
        <v>1.0</v>
      </c>
      <c r="N13" s="21">
        <v>25.0</v>
      </c>
      <c r="O13" s="22">
        <v>50.0</v>
      </c>
      <c r="P13" s="9">
        <f t="shared" si="1"/>
        <v>75</v>
      </c>
    </row>
    <row r="14">
      <c r="C14" s="9">
        <v>11.0</v>
      </c>
      <c r="D14" s="23" t="s">
        <v>37</v>
      </c>
      <c r="E14" s="16">
        <v>3.2033726E7</v>
      </c>
      <c r="F14" s="16" t="s">
        <v>31</v>
      </c>
      <c r="G14" s="17">
        <v>16.0</v>
      </c>
      <c r="H14" s="9">
        <v>75.0</v>
      </c>
      <c r="J14" s="9">
        <v>11.0</v>
      </c>
      <c r="K14" s="27" t="s">
        <v>38</v>
      </c>
      <c r="L14" s="19" t="s">
        <v>36</v>
      </c>
      <c r="M14" s="20">
        <v>2.0</v>
      </c>
      <c r="N14" s="21">
        <v>25.0</v>
      </c>
      <c r="O14" s="22"/>
      <c r="P14" s="9">
        <f t="shared" si="1"/>
        <v>25</v>
      </c>
    </row>
    <row r="15">
      <c r="C15" s="9">
        <v>12.0</v>
      </c>
      <c r="D15" s="23" t="s">
        <v>39</v>
      </c>
      <c r="E15" s="24"/>
      <c r="F15" s="25" t="s">
        <v>40</v>
      </c>
      <c r="G15" s="26">
        <v>5.0</v>
      </c>
      <c r="H15" s="9">
        <v>75.0</v>
      </c>
      <c r="J15" s="9">
        <v>12.0</v>
      </c>
      <c r="K15" s="18" t="s">
        <v>41</v>
      </c>
      <c r="L15" s="19" t="s">
        <v>36</v>
      </c>
      <c r="M15" s="20">
        <v>3.0</v>
      </c>
      <c r="N15" s="21">
        <v>25.0</v>
      </c>
      <c r="O15" s="22">
        <v>50.0</v>
      </c>
      <c r="P15" s="9">
        <f t="shared" si="1"/>
        <v>75</v>
      </c>
    </row>
    <row r="16">
      <c r="C16" s="9">
        <v>13.0</v>
      </c>
      <c r="D16" s="15" t="s">
        <v>42</v>
      </c>
      <c r="E16" s="16">
        <v>1.6000446E7</v>
      </c>
      <c r="F16" s="16" t="s">
        <v>40</v>
      </c>
      <c r="G16" s="17">
        <v>10.0</v>
      </c>
      <c r="H16" s="9">
        <v>75.0</v>
      </c>
      <c r="J16" s="9">
        <v>13.0</v>
      </c>
      <c r="K16" s="18" t="s">
        <v>43</v>
      </c>
      <c r="L16" s="19" t="s">
        <v>36</v>
      </c>
      <c r="M16" s="20">
        <v>4.0</v>
      </c>
      <c r="N16" s="21">
        <v>25.0</v>
      </c>
      <c r="O16" s="22">
        <v>50.0</v>
      </c>
      <c r="P16" s="9">
        <f t="shared" si="1"/>
        <v>75</v>
      </c>
    </row>
    <row r="17">
      <c r="C17" s="9">
        <v>14.0</v>
      </c>
      <c r="D17" s="15" t="s">
        <v>44</v>
      </c>
      <c r="E17" s="16">
        <v>1.6005744E7</v>
      </c>
      <c r="F17" s="16" t="s">
        <v>40</v>
      </c>
      <c r="G17" s="17">
        <v>11.0</v>
      </c>
      <c r="H17" s="9">
        <v>75.0</v>
      </c>
      <c r="J17" s="9">
        <v>14.0</v>
      </c>
      <c r="K17" s="18" t="s">
        <v>45</v>
      </c>
      <c r="L17" s="19" t="s">
        <v>36</v>
      </c>
      <c r="M17" s="20">
        <v>5.0</v>
      </c>
      <c r="N17" s="21">
        <v>25.0</v>
      </c>
      <c r="O17" s="22">
        <v>50.0</v>
      </c>
      <c r="P17" s="9">
        <f t="shared" si="1"/>
        <v>75</v>
      </c>
    </row>
    <row r="18">
      <c r="C18" s="9">
        <v>15.0</v>
      </c>
      <c r="D18" s="23" t="s">
        <v>46</v>
      </c>
      <c r="E18" s="25">
        <v>1.5949244E7</v>
      </c>
      <c r="F18" s="25" t="s">
        <v>47</v>
      </c>
      <c r="G18" s="26">
        <v>2.0</v>
      </c>
      <c r="H18" s="9">
        <v>75.0</v>
      </c>
      <c r="J18" s="9">
        <v>15.0</v>
      </c>
      <c r="K18" s="18" t="s">
        <v>48</v>
      </c>
      <c r="L18" s="20" t="s">
        <v>36</v>
      </c>
      <c r="M18" s="20">
        <v>6.0</v>
      </c>
      <c r="N18" s="21">
        <v>25.0</v>
      </c>
      <c r="O18" s="22">
        <v>50.0</v>
      </c>
      <c r="P18" s="9">
        <f t="shared" si="1"/>
        <v>75</v>
      </c>
    </row>
    <row r="19">
      <c r="C19" s="9">
        <v>16.0</v>
      </c>
      <c r="D19" s="15" t="s">
        <v>49</v>
      </c>
      <c r="E19" s="16">
        <v>3.2735595E7</v>
      </c>
      <c r="F19" s="16" t="s">
        <v>47</v>
      </c>
      <c r="G19" s="17">
        <v>4.0</v>
      </c>
      <c r="H19" s="9">
        <v>75.0</v>
      </c>
      <c r="J19" s="9">
        <v>16.0</v>
      </c>
      <c r="K19" s="18" t="s">
        <v>50</v>
      </c>
      <c r="L19" s="20" t="s">
        <v>36</v>
      </c>
      <c r="M19" s="20">
        <v>7.0</v>
      </c>
      <c r="N19" s="21">
        <v>25.0</v>
      </c>
      <c r="O19" s="22">
        <v>50.0</v>
      </c>
      <c r="P19" s="9">
        <f t="shared" si="1"/>
        <v>75</v>
      </c>
    </row>
    <row r="20">
      <c r="C20" s="9">
        <v>17.0</v>
      </c>
      <c r="D20" s="15" t="s">
        <v>51</v>
      </c>
      <c r="E20" s="16">
        <v>1.595488E7</v>
      </c>
      <c r="F20" s="16" t="s">
        <v>47</v>
      </c>
      <c r="G20" s="17">
        <v>6.0</v>
      </c>
      <c r="H20" s="9">
        <v>75.0</v>
      </c>
      <c r="J20" s="9">
        <v>17.0</v>
      </c>
      <c r="K20" s="18" t="s">
        <v>52</v>
      </c>
      <c r="L20" s="20" t="s">
        <v>36</v>
      </c>
      <c r="M20" s="20">
        <v>8.0</v>
      </c>
      <c r="N20" s="21">
        <v>25.0</v>
      </c>
      <c r="O20" s="22"/>
      <c r="P20" s="9">
        <f t="shared" si="1"/>
        <v>25</v>
      </c>
    </row>
    <row r="21" ht="15.75" customHeight="1">
      <c r="C21" s="9">
        <v>18.0</v>
      </c>
      <c r="D21" s="15" t="s">
        <v>53</v>
      </c>
      <c r="E21" s="16">
        <v>8.0603787E7</v>
      </c>
      <c r="F21" s="16" t="s">
        <v>47</v>
      </c>
      <c r="G21" s="17">
        <v>10.0</v>
      </c>
      <c r="H21" s="9">
        <v>75.0</v>
      </c>
      <c r="J21" s="9">
        <v>18.0</v>
      </c>
      <c r="K21" s="18" t="s">
        <v>54</v>
      </c>
      <c r="L21" s="20" t="s">
        <v>36</v>
      </c>
      <c r="M21" s="20">
        <v>9.0</v>
      </c>
      <c r="N21" s="21">
        <v>25.0</v>
      </c>
      <c r="O21" s="22"/>
      <c r="P21" s="9">
        <f t="shared" si="1"/>
        <v>25</v>
      </c>
    </row>
    <row r="22" ht="15.75" customHeight="1">
      <c r="C22" s="9">
        <v>19.0</v>
      </c>
      <c r="D22" s="15" t="s">
        <v>55</v>
      </c>
      <c r="E22" s="16">
        <v>3.1608754E7</v>
      </c>
      <c r="F22" s="16" t="s">
        <v>47</v>
      </c>
      <c r="G22" s="17">
        <v>11.0</v>
      </c>
      <c r="H22" s="9">
        <v>75.0</v>
      </c>
      <c r="J22" s="9">
        <v>19.0</v>
      </c>
      <c r="K22" s="18" t="s">
        <v>56</v>
      </c>
      <c r="L22" s="20" t="s">
        <v>36</v>
      </c>
      <c r="M22" s="20">
        <v>10.0</v>
      </c>
      <c r="N22" s="21">
        <v>25.0</v>
      </c>
      <c r="O22" s="22">
        <v>50.0</v>
      </c>
      <c r="P22" s="9">
        <f t="shared" si="1"/>
        <v>75</v>
      </c>
    </row>
    <row r="23" ht="15.75" customHeight="1">
      <c r="C23" s="9">
        <v>20.0</v>
      </c>
      <c r="D23" s="15" t="s">
        <v>57</v>
      </c>
      <c r="E23" s="16">
        <v>1.5946964E7</v>
      </c>
      <c r="F23" s="16" t="s">
        <v>58</v>
      </c>
      <c r="G23" s="17">
        <v>2.0</v>
      </c>
      <c r="H23" s="9">
        <v>75.0</v>
      </c>
      <c r="J23" s="9">
        <v>20.0</v>
      </c>
      <c r="K23" s="18" t="s">
        <v>59</v>
      </c>
      <c r="L23" s="20" t="s">
        <v>17</v>
      </c>
      <c r="M23" s="20">
        <v>1.0</v>
      </c>
      <c r="N23" s="21">
        <v>25.0</v>
      </c>
      <c r="O23" s="22">
        <v>50.0</v>
      </c>
      <c r="P23" s="9">
        <f t="shared" si="1"/>
        <v>75</v>
      </c>
    </row>
    <row r="24" ht="15.75" customHeight="1">
      <c r="C24" s="9">
        <v>21.0</v>
      </c>
      <c r="D24" s="15" t="s">
        <v>60</v>
      </c>
      <c r="E24" s="16">
        <v>1.6000448E7</v>
      </c>
      <c r="F24" s="16" t="s">
        <v>58</v>
      </c>
      <c r="G24" s="17">
        <v>6.0</v>
      </c>
      <c r="H24" s="9">
        <v>75.0</v>
      </c>
      <c r="J24" s="9">
        <v>21.0</v>
      </c>
      <c r="K24" s="18" t="s">
        <v>61</v>
      </c>
      <c r="L24" s="19" t="s">
        <v>17</v>
      </c>
      <c r="M24" s="20">
        <v>2.0</v>
      </c>
      <c r="N24" s="21">
        <v>25.0</v>
      </c>
      <c r="O24" s="22">
        <v>50.0</v>
      </c>
      <c r="P24" s="9">
        <f t="shared" si="1"/>
        <v>75</v>
      </c>
    </row>
    <row r="25" ht="15.75" customHeight="1">
      <c r="C25" s="9">
        <v>22.0</v>
      </c>
      <c r="D25" s="15" t="s">
        <v>62</v>
      </c>
      <c r="E25" s="16">
        <v>7262765.0</v>
      </c>
      <c r="F25" s="16" t="s">
        <v>58</v>
      </c>
      <c r="G25" s="17">
        <v>10.0</v>
      </c>
      <c r="H25" s="9">
        <v>75.0</v>
      </c>
      <c r="J25" s="9">
        <v>22.0</v>
      </c>
      <c r="K25" s="18" t="s">
        <v>63</v>
      </c>
      <c r="L25" s="19" t="s">
        <v>17</v>
      </c>
      <c r="M25" s="20">
        <v>3.0</v>
      </c>
      <c r="N25" s="21">
        <v>25.0</v>
      </c>
      <c r="O25" s="22">
        <v>50.0</v>
      </c>
      <c r="P25" s="9">
        <f t="shared" si="1"/>
        <v>75</v>
      </c>
    </row>
    <row r="26" ht="15.75" customHeight="1">
      <c r="C26" s="9">
        <v>23.0</v>
      </c>
      <c r="D26" s="15" t="s">
        <v>64</v>
      </c>
      <c r="E26" s="16">
        <v>1.5949278E7</v>
      </c>
      <c r="F26" s="16" t="s">
        <v>58</v>
      </c>
      <c r="G26" s="17">
        <v>12.0</v>
      </c>
      <c r="H26" s="9">
        <v>75.0</v>
      </c>
      <c r="J26" s="9">
        <v>23.0</v>
      </c>
      <c r="K26" s="18" t="s">
        <v>65</v>
      </c>
      <c r="L26" s="19" t="s">
        <v>17</v>
      </c>
      <c r="M26" s="20">
        <v>4.0</v>
      </c>
      <c r="N26" s="21">
        <v>25.0</v>
      </c>
      <c r="O26" s="22"/>
      <c r="P26" s="9">
        <f t="shared" si="1"/>
        <v>25</v>
      </c>
    </row>
    <row r="27" ht="15.75" customHeight="1">
      <c r="C27" s="9">
        <v>24.0</v>
      </c>
      <c r="D27" s="15" t="s">
        <v>66</v>
      </c>
      <c r="E27" s="16">
        <v>1.5968975E7</v>
      </c>
      <c r="F27" s="16" t="s">
        <v>58</v>
      </c>
      <c r="G27" s="17">
        <v>14.0</v>
      </c>
      <c r="H27" s="9">
        <v>75.0</v>
      </c>
      <c r="J27" s="9">
        <v>24.0</v>
      </c>
      <c r="K27" s="18" t="s">
        <v>67</v>
      </c>
      <c r="L27" s="19" t="s">
        <v>17</v>
      </c>
      <c r="M27" s="20">
        <v>5.0</v>
      </c>
      <c r="N27" s="21">
        <v>25.0</v>
      </c>
      <c r="O27" s="22"/>
      <c r="P27" s="9">
        <f t="shared" si="1"/>
        <v>25</v>
      </c>
    </row>
    <row r="28" ht="15.75" customHeight="1">
      <c r="C28" s="9">
        <v>25.0</v>
      </c>
      <c r="D28" s="15" t="s">
        <v>68</v>
      </c>
      <c r="E28" s="16">
        <v>1.5757864E7</v>
      </c>
      <c r="F28" s="16" t="s">
        <v>58</v>
      </c>
      <c r="G28" s="17">
        <v>15.0</v>
      </c>
      <c r="H28" s="9">
        <v>75.0</v>
      </c>
      <c r="J28" s="9">
        <v>25.0</v>
      </c>
      <c r="K28" s="18" t="s">
        <v>69</v>
      </c>
      <c r="L28" s="19" t="s">
        <v>17</v>
      </c>
      <c r="M28" s="20">
        <v>6.0</v>
      </c>
      <c r="N28" s="21">
        <v>25.0</v>
      </c>
      <c r="O28" s="22">
        <v>50.0</v>
      </c>
      <c r="P28" s="9">
        <f t="shared" si="1"/>
        <v>75</v>
      </c>
    </row>
    <row r="29" ht="15.75" customHeight="1">
      <c r="C29" s="9">
        <v>26.0</v>
      </c>
      <c r="D29" s="15" t="s">
        <v>70</v>
      </c>
      <c r="E29" s="16">
        <v>4.5742383E7</v>
      </c>
      <c r="F29" s="16" t="s">
        <v>58</v>
      </c>
      <c r="G29" s="17" t="s">
        <v>71</v>
      </c>
      <c r="H29" s="9">
        <v>75.0</v>
      </c>
      <c r="J29" s="9">
        <v>26.0</v>
      </c>
      <c r="K29" s="18" t="s">
        <v>72</v>
      </c>
      <c r="L29" s="19" t="s">
        <v>17</v>
      </c>
      <c r="M29" s="20">
        <v>7.0</v>
      </c>
      <c r="N29" s="21">
        <v>25.0</v>
      </c>
      <c r="O29" s="22"/>
      <c r="P29" s="9">
        <f t="shared" si="1"/>
        <v>25</v>
      </c>
    </row>
    <row r="30" ht="15.75" customHeight="1">
      <c r="C30" s="9">
        <v>27.0</v>
      </c>
      <c r="D30" s="15" t="s">
        <v>73</v>
      </c>
      <c r="E30" s="16">
        <v>1.5945365E7</v>
      </c>
      <c r="F30" s="16" t="s">
        <v>58</v>
      </c>
      <c r="G30" s="17">
        <v>17.0</v>
      </c>
      <c r="H30" s="9">
        <v>75.0</v>
      </c>
      <c r="J30" s="9">
        <v>27.0</v>
      </c>
      <c r="K30" s="18" t="s">
        <v>74</v>
      </c>
      <c r="L30" s="19" t="s">
        <v>17</v>
      </c>
      <c r="M30" s="20">
        <v>8.0</v>
      </c>
      <c r="N30" s="21">
        <v>25.0</v>
      </c>
      <c r="O30" s="22"/>
      <c r="P30" s="9">
        <f t="shared" si="1"/>
        <v>25</v>
      </c>
    </row>
    <row r="31" ht="15.75" customHeight="1">
      <c r="C31" s="9">
        <v>28.0</v>
      </c>
      <c r="D31" s="15" t="s">
        <v>75</v>
      </c>
      <c r="E31" s="16">
        <v>3.296354E7</v>
      </c>
      <c r="F31" s="16" t="s">
        <v>58</v>
      </c>
      <c r="G31" s="17">
        <v>24.0</v>
      </c>
      <c r="H31" s="9">
        <v>75.0</v>
      </c>
      <c r="J31" s="9">
        <v>28.0</v>
      </c>
      <c r="K31" s="18" t="s">
        <v>76</v>
      </c>
      <c r="L31" s="19" t="s">
        <v>17</v>
      </c>
      <c r="M31" s="20">
        <v>9.0</v>
      </c>
      <c r="N31" s="21">
        <v>25.0</v>
      </c>
      <c r="O31" s="22"/>
      <c r="P31" s="9">
        <f t="shared" si="1"/>
        <v>25</v>
      </c>
    </row>
    <row r="32" ht="15.75" customHeight="1">
      <c r="C32" s="9">
        <v>31.0</v>
      </c>
      <c r="D32" s="15" t="s">
        <v>77</v>
      </c>
      <c r="E32" s="16">
        <v>1.601072E7</v>
      </c>
      <c r="F32" s="16" t="s">
        <v>78</v>
      </c>
      <c r="G32" s="17">
        <v>16.0</v>
      </c>
      <c r="H32" s="9">
        <v>75.0</v>
      </c>
      <c r="J32" s="9">
        <v>29.0</v>
      </c>
      <c r="K32" s="18" t="s">
        <v>79</v>
      </c>
      <c r="L32" s="19" t="s">
        <v>17</v>
      </c>
      <c r="M32" s="20">
        <v>10.0</v>
      </c>
      <c r="N32" s="21">
        <v>25.0</v>
      </c>
      <c r="O32" s="22">
        <v>50.0</v>
      </c>
      <c r="P32" s="9">
        <f t="shared" si="1"/>
        <v>75</v>
      </c>
    </row>
    <row r="33" ht="15.75" customHeight="1">
      <c r="C33" s="9">
        <v>32.0</v>
      </c>
      <c r="D33" s="15" t="s">
        <v>80</v>
      </c>
      <c r="E33" s="16">
        <v>1.5942698E7</v>
      </c>
      <c r="F33" s="16" t="s">
        <v>78</v>
      </c>
      <c r="G33" s="17">
        <v>17.0</v>
      </c>
      <c r="H33" s="9">
        <v>75.0</v>
      </c>
      <c r="J33" s="9">
        <v>30.0</v>
      </c>
      <c r="K33" s="28" t="s">
        <v>81</v>
      </c>
      <c r="L33" s="19" t="s">
        <v>17</v>
      </c>
      <c r="M33" s="20">
        <v>11.0</v>
      </c>
      <c r="N33" s="21">
        <v>25.0</v>
      </c>
      <c r="O33" s="22"/>
      <c r="P33" s="9">
        <f t="shared" si="1"/>
        <v>25</v>
      </c>
    </row>
    <row r="34" ht="15.75" customHeight="1">
      <c r="C34" s="9">
        <v>33.0</v>
      </c>
      <c r="D34" s="15" t="s">
        <v>82</v>
      </c>
      <c r="E34" s="16">
        <v>1.6020764E7</v>
      </c>
      <c r="F34" s="16" t="s">
        <v>83</v>
      </c>
      <c r="G34" s="17">
        <v>3.0</v>
      </c>
      <c r="H34" s="9">
        <v>75.0</v>
      </c>
      <c r="J34" s="9">
        <v>31.0</v>
      </c>
      <c r="K34" s="28" t="s">
        <v>84</v>
      </c>
      <c r="L34" s="19" t="s">
        <v>17</v>
      </c>
      <c r="M34" s="20">
        <v>12.0</v>
      </c>
      <c r="N34" s="21">
        <v>25.0</v>
      </c>
      <c r="O34" s="22">
        <v>50.0</v>
      </c>
      <c r="P34" s="9">
        <f t="shared" si="1"/>
        <v>75</v>
      </c>
    </row>
    <row r="35" ht="15.75" customHeight="1">
      <c r="C35" s="9">
        <v>34.0</v>
      </c>
      <c r="D35" s="15" t="s">
        <v>85</v>
      </c>
      <c r="E35" s="16">
        <v>3.1232069E7</v>
      </c>
      <c r="F35" s="16" t="s">
        <v>83</v>
      </c>
      <c r="G35" s="17">
        <v>8.0</v>
      </c>
      <c r="H35" s="9">
        <v>75.0</v>
      </c>
      <c r="J35" s="9">
        <v>32.0</v>
      </c>
      <c r="K35" s="18" t="s">
        <v>86</v>
      </c>
      <c r="L35" s="19" t="s">
        <v>17</v>
      </c>
      <c r="M35" s="29">
        <v>13.0</v>
      </c>
      <c r="N35" s="21">
        <v>25.0</v>
      </c>
      <c r="O35" s="22">
        <v>20.0</v>
      </c>
      <c r="P35" s="9">
        <f t="shared" si="1"/>
        <v>45</v>
      </c>
    </row>
    <row r="36" ht="15.75" customHeight="1">
      <c r="C36" s="9">
        <v>35.0</v>
      </c>
      <c r="D36" s="15" t="s">
        <v>87</v>
      </c>
      <c r="E36" s="16">
        <v>2.6654725E7</v>
      </c>
      <c r="F36" s="16" t="s">
        <v>83</v>
      </c>
      <c r="G36" s="16">
        <v>9.0</v>
      </c>
      <c r="H36" s="9">
        <v>75.0</v>
      </c>
      <c r="J36" s="9">
        <v>33.0</v>
      </c>
      <c r="K36" s="28" t="s">
        <v>88</v>
      </c>
      <c r="L36" s="19" t="s">
        <v>17</v>
      </c>
      <c r="M36" s="20">
        <v>14.0</v>
      </c>
      <c r="N36" s="21">
        <v>25.0</v>
      </c>
      <c r="O36" s="22"/>
      <c r="P36" s="9">
        <f t="shared" si="1"/>
        <v>25</v>
      </c>
    </row>
    <row r="37" ht="15.75" customHeight="1">
      <c r="C37" s="9">
        <v>36.0</v>
      </c>
      <c r="D37" s="15" t="s">
        <v>89</v>
      </c>
      <c r="E37" s="16">
        <v>1.5964943E7</v>
      </c>
      <c r="F37" s="16" t="s">
        <v>83</v>
      </c>
      <c r="G37" s="17">
        <v>14.0</v>
      </c>
      <c r="H37" s="9">
        <v>75.0</v>
      </c>
      <c r="J37" s="9">
        <v>34.0</v>
      </c>
      <c r="K37" s="18" t="s">
        <v>90</v>
      </c>
      <c r="L37" s="19" t="s">
        <v>17</v>
      </c>
      <c r="M37" s="20">
        <v>16.0</v>
      </c>
      <c r="N37" s="21">
        <v>25.0</v>
      </c>
      <c r="O37" s="22"/>
      <c r="P37" s="9">
        <f t="shared" si="1"/>
        <v>25</v>
      </c>
    </row>
    <row r="38" ht="15.75" customHeight="1">
      <c r="C38" s="9">
        <v>37.0</v>
      </c>
      <c r="D38" s="15" t="s">
        <v>91</v>
      </c>
      <c r="E38" s="16">
        <v>2.5774559E7</v>
      </c>
      <c r="F38" s="16" t="s">
        <v>83</v>
      </c>
      <c r="G38" s="17">
        <v>15.0</v>
      </c>
      <c r="H38" s="9">
        <v>75.0</v>
      </c>
      <c r="J38" s="9">
        <v>35.0</v>
      </c>
      <c r="K38" s="18" t="s">
        <v>92</v>
      </c>
      <c r="L38" s="19" t="s">
        <v>17</v>
      </c>
      <c r="M38" s="20">
        <v>17.0</v>
      </c>
      <c r="N38" s="21">
        <v>25.0</v>
      </c>
      <c r="O38" s="22">
        <v>30.0</v>
      </c>
      <c r="P38" s="9">
        <f t="shared" si="1"/>
        <v>55</v>
      </c>
    </row>
    <row r="39" ht="15.75" customHeight="1">
      <c r="C39" s="9">
        <v>38.0</v>
      </c>
      <c r="D39" s="15" t="s">
        <v>93</v>
      </c>
      <c r="E39" s="16">
        <v>3.2300308E7</v>
      </c>
      <c r="F39" s="16" t="s">
        <v>83</v>
      </c>
      <c r="G39" s="17">
        <v>16.0</v>
      </c>
      <c r="H39" s="9">
        <v>75.0</v>
      </c>
      <c r="J39" s="9">
        <v>36.0</v>
      </c>
      <c r="K39" s="18" t="s">
        <v>94</v>
      </c>
      <c r="L39" s="19" t="s">
        <v>17</v>
      </c>
      <c r="M39" s="20">
        <v>18.0</v>
      </c>
      <c r="N39" s="21">
        <v>25.0</v>
      </c>
      <c r="O39" s="22">
        <v>50.0</v>
      </c>
      <c r="P39" s="9">
        <f t="shared" si="1"/>
        <v>75</v>
      </c>
    </row>
    <row r="40" ht="15.75" customHeight="1">
      <c r="C40" s="9">
        <v>39.0</v>
      </c>
      <c r="D40" s="15" t="s">
        <v>95</v>
      </c>
      <c r="E40" s="30"/>
      <c r="F40" s="16" t="s">
        <v>96</v>
      </c>
      <c r="G40" s="17">
        <v>1.0</v>
      </c>
      <c r="H40" s="9">
        <v>75.0</v>
      </c>
      <c r="J40" s="9">
        <v>37.0</v>
      </c>
      <c r="K40" s="18" t="s">
        <v>97</v>
      </c>
      <c r="L40" s="20" t="s">
        <v>17</v>
      </c>
      <c r="M40" s="20">
        <v>19.0</v>
      </c>
      <c r="N40" s="21">
        <v>25.0</v>
      </c>
      <c r="O40" s="22">
        <v>50.0</v>
      </c>
      <c r="P40" s="9">
        <f t="shared" si="1"/>
        <v>75</v>
      </c>
    </row>
    <row r="41" ht="15.75" customHeight="1">
      <c r="C41" s="9">
        <v>40.0</v>
      </c>
      <c r="D41" s="31" t="s">
        <v>98</v>
      </c>
      <c r="E41" s="6"/>
      <c r="F41" s="6" t="s">
        <v>96</v>
      </c>
      <c r="G41" s="6">
        <v>6.0</v>
      </c>
      <c r="H41" s="9">
        <v>75.0</v>
      </c>
      <c r="J41" s="9">
        <v>38.0</v>
      </c>
      <c r="K41" s="27" t="s">
        <v>99</v>
      </c>
      <c r="L41" s="19" t="s">
        <v>100</v>
      </c>
      <c r="M41" s="20">
        <v>1.0</v>
      </c>
      <c r="N41" s="21">
        <v>25.0</v>
      </c>
      <c r="O41" s="22"/>
      <c r="P41" s="9">
        <f t="shared" si="1"/>
        <v>25</v>
      </c>
    </row>
    <row r="42" ht="15.75" customHeight="1">
      <c r="C42" s="9">
        <v>41.0</v>
      </c>
      <c r="D42" s="23" t="s">
        <v>101</v>
      </c>
      <c r="E42" s="25">
        <v>1.5954824E7</v>
      </c>
      <c r="F42" s="25" t="s">
        <v>96</v>
      </c>
      <c r="G42" s="26">
        <v>11.0</v>
      </c>
      <c r="H42" s="9">
        <v>75.0</v>
      </c>
      <c r="J42" s="9">
        <v>39.0</v>
      </c>
      <c r="K42" s="18" t="s">
        <v>102</v>
      </c>
      <c r="L42" s="20" t="s">
        <v>100</v>
      </c>
      <c r="M42" s="20">
        <v>2.0</v>
      </c>
      <c r="N42" s="21">
        <v>25.0</v>
      </c>
      <c r="O42" s="22"/>
      <c r="P42" s="9">
        <f t="shared" si="1"/>
        <v>25</v>
      </c>
    </row>
    <row r="43" ht="15.75" customHeight="1">
      <c r="C43" s="9">
        <v>42.0</v>
      </c>
      <c r="D43" s="23" t="s">
        <v>103</v>
      </c>
      <c r="E43" s="25">
        <v>1.5963186E7</v>
      </c>
      <c r="F43" s="25" t="s">
        <v>96</v>
      </c>
      <c r="G43" s="26">
        <v>12.0</v>
      </c>
      <c r="H43" s="9">
        <v>75.0</v>
      </c>
      <c r="J43" s="9">
        <v>40.0</v>
      </c>
      <c r="K43" s="18" t="s">
        <v>104</v>
      </c>
      <c r="L43" s="20" t="s">
        <v>100</v>
      </c>
      <c r="M43" s="20">
        <v>3.0</v>
      </c>
      <c r="N43" s="21">
        <v>25.0</v>
      </c>
      <c r="O43" s="22"/>
      <c r="P43" s="9">
        <f t="shared" si="1"/>
        <v>25</v>
      </c>
    </row>
    <row r="44" ht="15.75" customHeight="1">
      <c r="C44" s="9">
        <v>43.0</v>
      </c>
      <c r="D44" s="23" t="s">
        <v>105</v>
      </c>
      <c r="E44" s="25">
        <v>1.5958857E7</v>
      </c>
      <c r="F44" s="25" t="s">
        <v>96</v>
      </c>
      <c r="G44" s="26">
        <v>13.0</v>
      </c>
      <c r="H44" s="9">
        <v>75.0</v>
      </c>
      <c r="J44" s="9">
        <v>41.0</v>
      </c>
      <c r="K44" s="18" t="s">
        <v>106</v>
      </c>
      <c r="L44" s="20" t="s">
        <v>100</v>
      </c>
      <c r="M44" s="20">
        <v>4.0</v>
      </c>
      <c r="N44" s="21">
        <v>25.0</v>
      </c>
      <c r="O44" s="22">
        <v>50.0</v>
      </c>
      <c r="P44" s="9">
        <f t="shared" si="1"/>
        <v>75</v>
      </c>
    </row>
    <row r="45" ht="15.75" customHeight="1">
      <c r="C45" s="9">
        <v>44.0</v>
      </c>
      <c r="D45" s="15" t="s">
        <v>107</v>
      </c>
      <c r="E45" s="16">
        <v>1.5746907E7</v>
      </c>
      <c r="F45" s="16" t="s">
        <v>108</v>
      </c>
      <c r="G45" s="17">
        <v>15.0</v>
      </c>
      <c r="H45" s="9">
        <v>75.0</v>
      </c>
      <c r="J45" s="9">
        <v>42.0</v>
      </c>
      <c r="K45" s="18" t="s">
        <v>109</v>
      </c>
      <c r="L45" s="20" t="s">
        <v>100</v>
      </c>
      <c r="M45" s="20">
        <v>5.0</v>
      </c>
      <c r="N45" s="21">
        <v>25.0</v>
      </c>
      <c r="O45" s="22">
        <v>50.0</v>
      </c>
      <c r="P45" s="9">
        <f t="shared" si="1"/>
        <v>75</v>
      </c>
    </row>
    <row r="46" ht="15.75" customHeight="1">
      <c r="C46" s="9">
        <v>46.0</v>
      </c>
      <c r="D46" s="15" t="s">
        <v>110</v>
      </c>
      <c r="E46" s="16">
        <v>2.1000165E7</v>
      </c>
      <c r="F46" s="16" t="s">
        <v>111</v>
      </c>
      <c r="G46" s="17">
        <v>4.0</v>
      </c>
      <c r="H46" s="9">
        <v>75.0</v>
      </c>
      <c r="J46" s="9">
        <v>43.0</v>
      </c>
      <c r="K46" s="18" t="s">
        <v>112</v>
      </c>
      <c r="L46" s="19" t="s">
        <v>100</v>
      </c>
      <c r="M46" s="20">
        <v>6.0</v>
      </c>
      <c r="N46" s="21">
        <v>25.0</v>
      </c>
      <c r="O46" s="22"/>
      <c r="P46" s="9">
        <f t="shared" si="1"/>
        <v>25</v>
      </c>
    </row>
    <row r="47" ht="15.75" customHeight="1">
      <c r="C47" s="9">
        <v>47.0</v>
      </c>
      <c r="D47" s="15" t="s">
        <v>113</v>
      </c>
      <c r="E47" s="16">
        <v>1.5589462E7</v>
      </c>
      <c r="F47" s="16" t="s">
        <v>111</v>
      </c>
      <c r="G47" s="17">
        <v>10.0</v>
      </c>
      <c r="H47" s="9">
        <v>75.0</v>
      </c>
      <c r="J47" s="9">
        <v>44.0</v>
      </c>
      <c r="K47" s="18" t="s">
        <v>114</v>
      </c>
      <c r="L47" s="19" t="s">
        <v>100</v>
      </c>
      <c r="M47" s="20">
        <v>10.0</v>
      </c>
      <c r="N47" s="21">
        <v>25.0</v>
      </c>
      <c r="O47" s="22">
        <v>25.0</v>
      </c>
      <c r="P47" s="9">
        <f t="shared" si="1"/>
        <v>50</v>
      </c>
    </row>
    <row r="48" ht="15.75" customHeight="1">
      <c r="C48" s="9">
        <v>48.0</v>
      </c>
      <c r="D48" s="23" t="s">
        <v>115</v>
      </c>
      <c r="E48" s="24"/>
      <c r="F48" s="25" t="s">
        <v>116</v>
      </c>
      <c r="G48" s="26">
        <v>9.0</v>
      </c>
      <c r="H48" s="9">
        <v>75.0</v>
      </c>
      <c r="J48" s="9">
        <v>45.0</v>
      </c>
      <c r="K48" s="18" t="s">
        <v>117</v>
      </c>
      <c r="L48" s="20" t="s">
        <v>100</v>
      </c>
      <c r="M48" s="20">
        <v>11.0</v>
      </c>
      <c r="N48" s="21">
        <v>25.0</v>
      </c>
      <c r="O48" s="22">
        <v>50.0</v>
      </c>
      <c r="P48" s="9">
        <f t="shared" si="1"/>
        <v>75</v>
      </c>
    </row>
    <row r="49" ht="15.75" customHeight="1">
      <c r="C49" s="9">
        <v>50.0</v>
      </c>
      <c r="D49" s="15" t="s">
        <v>118</v>
      </c>
      <c r="E49" s="16">
        <v>1.5676921E7</v>
      </c>
      <c r="F49" s="16" t="s">
        <v>116</v>
      </c>
      <c r="G49" s="17">
        <v>13.0</v>
      </c>
      <c r="H49" s="9">
        <v>75.0</v>
      </c>
      <c r="J49" s="9">
        <v>46.0</v>
      </c>
      <c r="K49" s="18" t="s">
        <v>119</v>
      </c>
      <c r="L49" s="20" t="s">
        <v>100</v>
      </c>
      <c r="M49" s="20">
        <v>12.0</v>
      </c>
      <c r="N49" s="21">
        <v>25.0</v>
      </c>
      <c r="O49" s="22"/>
      <c r="P49" s="9">
        <f t="shared" si="1"/>
        <v>25</v>
      </c>
    </row>
    <row r="50" ht="15.75" customHeight="1">
      <c r="C50" s="9">
        <v>51.0</v>
      </c>
      <c r="D50" s="32" t="s">
        <v>120</v>
      </c>
      <c r="E50" s="30"/>
      <c r="F50" s="16" t="s">
        <v>116</v>
      </c>
      <c r="G50" s="17">
        <v>16.0</v>
      </c>
      <c r="H50" s="9">
        <v>75.0</v>
      </c>
      <c r="J50" s="9">
        <v>47.0</v>
      </c>
      <c r="K50" s="27" t="s">
        <v>121</v>
      </c>
      <c r="L50" s="19" t="s">
        <v>122</v>
      </c>
      <c r="M50" s="20">
        <v>9.0</v>
      </c>
      <c r="N50" s="21">
        <v>25.0</v>
      </c>
      <c r="O50" s="22"/>
      <c r="P50" s="9">
        <f t="shared" si="1"/>
        <v>25</v>
      </c>
    </row>
    <row r="51" ht="15.75" customHeight="1">
      <c r="C51" s="9">
        <v>52.0</v>
      </c>
      <c r="D51" s="15" t="s">
        <v>123</v>
      </c>
      <c r="E51" s="16">
        <v>1.575084E7</v>
      </c>
      <c r="F51" s="16" t="s">
        <v>116</v>
      </c>
      <c r="G51" s="17">
        <v>19.0</v>
      </c>
      <c r="H51" s="9">
        <v>75.0</v>
      </c>
      <c r="J51" s="9">
        <v>48.0</v>
      </c>
      <c r="K51" s="27" t="s">
        <v>124</v>
      </c>
      <c r="L51" s="19" t="s">
        <v>22</v>
      </c>
      <c r="M51" s="20">
        <v>1.0</v>
      </c>
      <c r="N51" s="21">
        <v>25.0</v>
      </c>
      <c r="O51" s="22"/>
      <c r="P51" s="9">
        <f t="shared" si="1"/>
        <v>25</v>
      </c>
    </row>
    <row r="52" ht="15.75" customHeight="1">
      <c r="C52" s="9">
        <v>53.0</v>
      </c>
      <c r="D52" s="15" t="s">
        <v>125</v>
      </c>
      <c r="E52" s="16">
        <v>1.5752173E7</v>
      </c>
      <c r="F52" s="16" t="s">
        <v>126</v>
      </c>
      <c r="G52" s="17">
        <v>3.0</v>
      </c>
      <c r="H52" s="9">
        <v>75.0</v>
      </c>
      <c r="J52" s="9">
        <v>49.0</v>
      </c>
      <c r="K52" s="18" t="s">
        <v>127</v>
      </c>
      <c r="L52" s="20" t="s">
        <v>22</v>
      </c>
      <c r="M52" s="20">
        <v>2.0</v>
      </c>
      <c r="N52" s="21">
        <v>25.0</v>
      </c>
      <c r="O52" s="22">
        <v>50.0</v>
      </c>
      <c r="P52" s="9">
        <f t="shared" si="1"/>
        <v>75</v>
      </c>
    </row>
    <row r="53" ht="15.75" customHeight="1">
      <c r="C53" s="9">
        <v>54.0</v>
      </c>
      <c r="D53" s="15" t="s">
        <v>128</v>
      </c>
      <c r="E53" s="16">
        <v>1.5946179E7</v>
      </c>
      <c r="F53" s="16" t="s">
        <v>129</v>
      </c>
      <c r="G53" s="17">
        <v>7.0</v>
      </c>
      <c r="H53" s="9">
        <v>75.0</v>
      </c>
      <c r="J53" s="9">
        <v>50.0</v>
      </c>
      <c r="K53" s="27" t="s">
        <v>130</v>
      </c>
      <c r="L53" s="19" t="s">
        <v>22</v>
      </c>
      <c r="M53" s="20">
        <v>3.0</v>
      </c>
      <c r="N53" s="21">
        <v>25.0</v>
      </c>
      <c r="O53" s="22"/>
      <c r="P53" s="9">
        <f t="shared" si="1"/>
        <v>25</v>
      </c>
    </row>
    <row r="54" ht="15.75" customHeight="1">
      <c r="C54" s="9">
        <v>55.0</v>
      </c>
      <c r="D54" s="23" t="s">
        <v>131</v>
      </c>
      <c r="E54" s="25">
        <v>1.6002786E7</v>
      </c>
      <c r="F54" s="25" t="s">
        <v>132</v>
      </c>
      <c r="G54" s="26">
        <v>6.0</v>
      </c>
      <c r="H54" s="9">
        <v>75.0</v>
      </c>
      <c r="J54" s="9">
        <v>51.0</v>
      </c>
      <c r="K54" s="18" t="s">
        <v>133</v>
      </c>
      <c r="L54" s="20" t="s">
        <v>22</v>
      </c>
      <c r="M54" s="20">
        <v>4.0</v>
      </c>
      <c r="N54" s="21">
        <v>25.0</v>
      </c>
      <c r="O54" s="22">
        <v>50.0</v>
      </c>
      <c r="P54" s="9">
        <f t="shared" si="1"/>
        <v>75</v>
      </c>
    </row>
    <row r="55" ht="15.75" customHeight="1">
      <c r="C55" s="9">
        <v>56.0</v>
      </c>
      <c r="D55" s="15" t="s">
        <v>134</v>
      </c>
      <c r="E55" s="16">
        <v>3.2267657E7</v>
      </c>
      <c r="F55" s="16" t="s">
        <v>132</v>
      </c>
      <c r="G55" s="17">
        <v>8.0</v>
      </c>
      <c r="H55" s="9">
        <v>75.0</v>
      </c>
      <c r="J55" s="9">
        <v>52.0</v>
      </c>
      <c r="K55" s="18" t="s">
        <v>135</v>
      </c>
      <c r="L55" s="20" t="s">
        <v>22</v>
      </c>
      <c r="M55" s="20">
        <v>5.0</v>
      </c>
      <c r="N55" s="21">
        <v>25.0</v>
      </c>
      <c r="O55" s="22">
        <v>50.0</v>
      </c>
      <c r="P55" s="9">
        <f t="shared" si="1"/>
        <v>75</v>
      </c>
    </row>
    <row r="56" ht="15.75" customHeight="1">
      <c r="C56" s="9">
        <v>58.0</v>
      </c>
      <c r="D56" s="15" t="s">
        <v>136</v>
      </c>
      <c r="E56" s="16">
        <v>4.0443674E7</v>
      </c>
      <c r="F56" s="16" t="s">
        <v>132</v>
      </c>
      <c r="G56" s="17">
        <v>11.0</v>
      </c>
      <c r="H56" s="9">
        <v>75.0</v>
      </c>
      <c r="J56" s="9">
        <v>53.0</v>
      </c>
      <c r="K56" s="18" t="s">
        <v>137</v>
      </c>
      <c r="L56" s="20" t="s">
        <v>22</v>
      </c>
      <c r="M56" s="20">
        <v>6.0</v>
      </c>
      <c r="N56" s="21">
        <v>25.0</v>
      </c>
      <c r="O56" s="22">
        <v>50.0</v>
      </c>
      <c r="P56" s="9">
        <f t="shared" si="1"/>
        <v>75</v>
      </c>
    </row>
    <row r="57" ht="15.75" customHeight="1">
      <c r="C57" s="9">
        <v>59.0</v>
      </c>
      <c r="D57" s="15" t="s">
        <v>138</v>
      </c>
      <c r="E57" s="16">
        <v>3.1660306E7</v>
      </c>
      <c r="F57" s="16" t="s">
        <v>132</v>
      </c>
      <c r="G57" s="17">
        <v>13.0</v>
      </c>
      <c r="H57" s="9">
        <v>75.0</v>
      </c>
      <c r="J57" s="9">
        <v>54.0</v>
      </c>
      <c r="K57" s="18" t="s">
        <v>139</v>
      </c>
      <c r="L57" s="20" t="s">
        <v>22</v>
      </c>
      <c r="M57" s="20">
        <v>7.0</v>
      </c>
      <c r="N57" s="21">
        <v>25.0</v>
      </c>
      <c r="O57" s="22">
        <v>50.0</v>
      </c>
      <c r="P57" s="9">
        <f t="shared" si="1"/>
        <v>75</v>
      </c>
    </row>
    <row r="58" ht="15.75" customHeight="1">
      <c r="C58" s="9">
        <v>60.0</v>
      </c>
      <c r="D58" s="15" t="s">
        <v>140</v>
      </c>
      <c r="E58" s="16">
        <v>8.0152979E7</v>
      </c>
      <c r="F58" s="16" t="s">
        <v>132</v>
      </c>
      <c r="G58" s="17">
        <v>14.0</v>
      </c>
      <c r="H58" s="9">
        <v>75.0</v>
      </c>
      <c r="J58" s="9">
        <v>55.0</v>
      </c>
      <c r="K58" s="18" t="s">
        <v>141</v>
      </c>
      <c r="L58" s="20" t="s">
        <v>22</v>
      </c>
      <c r="M58" s="20">
        <v>8.0</v>
      </c>
      <c r="N58" s="21">
        <v>25.0</v>
      </c>
      <c r="O58" s="22"/>
      <c r="P58" s="9">
        <f t="shared" si="1"/>
        <v>25</v>
      </c>
    </row>
    <row r="59" ht="15.75" customHeight="1">
      <c r="C59" s="9">
        <v>61.0</v>
      </c>
      <c r="D59" s="15" t="s">
        <v>142</v>
      </c>
      <c r="E59" s="16">
        <v>4.2666087E7</v>
      </c>
      <c r="F59" s="16" t="s">
        <v>132</v>
      </c>
      <c r="G59" s="17">
        <v>15.0</v>
      </c>
      <c r="H59" s="9">
        <v>75.0</v>
      </c>
      <c r="J59" s="9">
        <v>56.0</v>
      </c>
      <c r="K59" s="18" t="s">
        <v>143</v>
      </c>
      <c r="L59" s="20" t="s">
        <v>22</v>
      </c>
      <c r="M59" s="20">
        <v>9.0</v>
      </c>
      <c r="N59" s="21">
        <v>25.0</v>
      </c>
      <c r="O59" s="22"/>
      <c r="P59" s="9">
        <f t="shared" si="1"/>
        <v>25</v>
      </c>
    </row>
    <row r="60" ht="15.75" customHeight="1">
      <c r="C60" s="9">
        <v>62.0</v>
      </c>
      <c r="D60" s="33" t="s">
        <v>144</v>
      </c>
      <c r="E60" s="16">
        <v>4.0911683E7</v>
      </c>
      <c r="F60" s="16" t="s">
        <v>132</v>
      </c>
      <c r="G60" s="16">
        <v>16.0</v>
      </c>
      <c r="H60" s="9">
        <v>75.0</v>
      </c>
      <c r="J60" s="9">
        <v>57.0</v>
      </c>
      <c r="K60" s="18" t="s">
        <v>145</v>
      </c>
      <c r="L60" s="20" t="s">
        <v>22</v>
      </c>
      <c r="M60" s="20" t="s">
        <v>146</v>
      </c>
      <c r="N60" s="21">
        <v>25.0</v>
      </c>
      <c r="O60" s="22">
        <v>50.0</v>
      </c>
      <c r="P60" s="9">
        <f t="shared" si="1"/>
        <v>75</v>
      </c>
    </row>
    <row r="61" ht="15.75" customHeight="1">
      <c r="C61" s="9">
        <v>63.0</v>
      </c>
      <c r="D61" s="15" t="s">
        <v>147</v>
      </c>
      <c r="E61" s="16">
        <v>3.2296474E7</v>
      </c>
      <c r="F61" s="16" t="s">
        <v>132</v>
      </c>
      <c r="G61" s="17">
        <v>18.0</v>
      </c>
      <c r="H61" s="9">
        <v>75.0</v>
      </c>
      <c r="J61" s="9">
        <v>58.0</v>
      </c>
      <c r="K61" s="18" t="s">
        <v>148</v>
      </c>
      <c r="L61" s="20" t="s">
        <v>22</v>
      </c>
      <c r="M61" s="20">
        <v>11.0</v>
      </c>
      <c r="N61" s="21">
        <v>25.0</v>
      </c>
      <c r="O61" s="22">
        <v>50.0</v>
      </c>
      <c r="P61" s="9">
        <f t="shared" si="1"/>
        <v>75</v>
      </c>
    </row>
    <row r="62" ht="15.75" customHeight="1">
      <c r="C62" s="9">
        <v>64.0</v>
      </c>
      <c r="D62" s="15" t="s">
        <v>149</v>
      </c>
      <c r="E62" s="16">
        <v>1.6015061E7</v>
      </c>
      <c r="F62" s="16" t="s">
        <v>150</v>
      </c>
      <c r="G62" s="17">
        <v>4.0</v>
      </c>
      <c r="H62" s="9">
        <v>75.0</v>
      </c>
      <c r="J62" s="9">
        <v>59.0</v>
      </c>
      <c r="K62" s="18" t="s">
        <v>151</v>
      </c>
      <c r="L62" s="20" t="s">
        <v>22</v>
      </c>
      <c r="M62" s="20">
        <v>12.0</v>
      </c>
      <c r="N62" s="21">
        <v>25.0</v>
      </c>
      <c r="O62" s="22">
        <v>50.0</v>
      </c>
      <c r="P62" s="9">
        <f t="shared" si="1"/>
        <v>75</v>
      </c>
    </row>
    <row r="63" ht="15.75" customHeight="1">
      <c r="C63" s="9">
        <v>65.0</v>
      </c>
      <c r="D63" s="15" t="s">
        <v>152</v>
      </c>
      <c r="E63" s="16">
        <v>4.7705653E7</v>
      </c>
      <c r="F63" s="16" t="s">
        <v>150</v>
      </c>
      <c r="G63" s="17">
        <v>11.0</v>
      </c>
      <c r="H63" s="9">
        <v>75.0</v>
      </c>
      <c r="J63" s="9">
        <v>60.0</v>
      </c>
      <c r="K63" s="18" t="s">
        <v>153</v>
      </c>
      <c r="L63" s="19" t="s">
        <v>22</v>
      </c>
      <c r="M63" s="20">
        <v>13.0</v>
      </c>
      <c r="N63" s="21">
        <v>25.0</v>
      </c>
      <c r="O63" s="22">
        <v>50.0</v>
      </c>
      <c r="P63" s="9">
        <f t="shared" si="1"/>
        <v>75</v>
      </c>
    </row>
    <row r="64" ht="15.75" customHeight="1">
      <c r="C64" s="9">
        <v>66.0</v>
      </c>
      <c r="D64" s="15" t="s">
        <v>154</v>
      </c>
      <c r="E64" s="16">
        <v>8.0091176E7</v>
      </c>
      <c r="F64" s="16" t="s">
        <v>155</v>
      </c>
      <c r="G64" s="17">
        <v>3.0</v>
      </c>
      <c r="H64" s="9">
        <v>75.0</v>
      </c>
      <c r="J64" s="9">
        <v>61.0</v>
      </c>
      <c r="K64" s="18" t="s">
        <v>156</v>
      </c>
      <c r="L64" s="19" t="s">
        <v>22</v>
      </c>
      <c r="M64" s="20">
        <v>14.0</v>
      </c>
      <c r="N64" s="21">
        <v>25.0</v>
      </c>
      <c r="O64" s="22">
        <v>50.0</v>
      </c>
      <c r="P64" s="9">
        <f t="shared" si="1"/>
        <v>75</v>
      </c>
    </row>
    <row r="65" ht="15.75" customHeight="1">
      <c r="C65" s="9">
        <v>67.0</v>
      </c>
      <c r="D65" s="34"/>
      <c r="E65" s="24"/>
      <c r="F65" s="25"/>
      <c r="G65" s="26"/>
      <c r="J65" s="9">
        <v>62.0</v>
      </c>
      <c r="K65" s="18" t="s">
        <v>157</v>
      </c>
      <c r="L65" s="19" t="s">
        <v>22</v>
      </c>
      <c r="M65" s="20">
        <v>15.0</v>
      </c>
      <c r="N65" s="21">
        <v>25.0</v>
      </c>
      <c r="O65" s="22">
        <v>50.0</v>
      </c>
      <c r="P65" s="9">
        <f t="shared" si="1"/>
        <v>75</v>
      </c>
    </row>
    <row r="66" ht="15.75" customHeight="1">
      <c r="C66" s="9">
        <v>69.0</v>
      </c>
      <c r="D66" s="15" t="s">
        <v>158</v>
      </c>
      <c r="E66" s="16">
        <v>3.1659358E7</v>
      </c>
      <c r="F66" s="16" t="s">
        <v>159</v>
      </c>
      <c r="G66" s="17">
        <v>1.0</v>
      </c>
      <c r="H66" s="9">
        <v>75.0</v>
      </c>
      <c r="J66" s="9">
        <v>63.0</v>
      </c>
      <c r="K66" s="18" t="s">
        <v>160</v>
      </c>
      <c r="L66" s="20" t="s">
        <v>22</v>
      </c>
      <c r="M66" s="20">
        <v>16.0</v>
      </c>
      <c r="N66" s="21">
        <v>25.0</v>
      </c>
      <c r="O66" s="22">
        <v>50.0</v>
      </c>
      <c r="P66" s="9">
        <f t="shared" si="1"/>
        <v>75</v>
      </c>
    </row>
    <row r="67" ht="15.75" customHeight="1">
      <c r="C67" s="9">
        <v>70.0</v>
      </c>
      <c r="D67" s="15" t="s">
        <v>161</v>
      </c>
      <c r="E67" s="16">
        <v>3.1613243E7</v>
      </c>
      <c r="F67" s="16" t="s">
        <v>159</v>
      </c>
      <c r="G67" s="17">
        <v>5.0</v>
      </c>
      <c r="H67" s="9">
        <v>75.0</v>
      </c>
      <c r="J67" s="9">
        <v>64.0</v>
      </c>
      <c r="K67" s="18" t="s">
        <v>162</v>
      </c>
      <c r="L67" s="19" t="s">
        <v>22</v>
      </c>
      <c r="M67" s="20">
        <v>18.0</v>
      </c>
      <c r="N67" s="21">
        <v>25.0</v>
      </c>
      <c r="O67" s="22">
        <v>50.0</v>
      </c>
      <c r="P67" s="9">
        <f t="shared" si="1"/>
        <v>75</v>
      </c>
    </row>
    <row r="68" ht="15.75" customHeight="1">
      <c r="C68" s="9">
        <v>71.0</v>
      </c>
      <c r="D68" s="23" t="s">
        <v>163</v>
      </c>
      <c r="E68" s="25">
        <v>1.594488E7</v>
      </c>
      <c r="F68" s="25" t="s">
        <v>159</v>
      </c>
      <c r="G68" s="26">
        <v>6.0</v>
      </c>
      <c r="H68" s="9">
        <v>75.0</v>
      </c>
      <c r="J68" s="9">
        <v>65.0</v>
      </c>
      <c r="K68" s="18" t="s">
        <v>164</v>
      </c>
      <c r="L68" s="20" t="s">
        <v>22</v>
      </c>
      <c r="M68" s="20">
        <v>19.0</v>
      </c>
      <c r="N68" s="21">
        <v>25.0</v>
      </c>
      <c r="O68" s="22">
        <v>50.0</v>
      </c>
      <c r="P68" s="9">
        <f t="shared" si="1"/>
        <v>75</v>
      </c>
    </row>
    <row r="69" ht="15.75" customHeight="1">
      <c r="C69" s="9">
        <v>72.0</v>
      </c>
      <c r="D69" s="23" t="s">
        <v>165</v>
      </c>
      <c r="E69" s="25">
        <v>3.272138E7</v>
      </c>
      <c r="F69" s="25" t="s">
        <v>159</v>
      </c>
      <c r="G69" s="26">
        <v>7.0</v>
      </c>
      <c r="H69" s="9">
        <v>75.0</v>
      </c>
      <c r="J69" s="9">
        <v>66.0</v>
      </c>
      <c r="K69" s="18" t="s">
        <v>166</v>
      </c>
      <c r="L69" s="20" t="s">
        <v>22</v>
      </c>
      <c r="M69" s="20">
        <v>20.0</v>
      </c>
      <c r="N69" s="21">
        <v>25.0</v>
      </c>
      <c r="O69" s="22">
        <v>50.0</v>
      </c>
      <c r="P69" s="9">
        <f t="shared" si="1"/>
        <v>75</v>
      </c>
    </row>
    <row r="70" ht="15.75" customHeight="1">
      <c r="C70" s="9">
        <v>73.0</v>
      </c>
      <c r="D70" s="15" t="s">
        <v>167</v>
      </c>
      <c r="E70" s="16">
        <v>1.584544E7</v>
      </c>
      <c r="F70" s="16" t="s">
        <v>159</v>
      </c>
      <c r="G70" s="17">
        <v>14.0</v>
      </c>
      <c r="H70" s="9">
        <v>75.0</v>
      </c>
      <c r="J70" s="9">
        <v>67.0</v>
      </c>
      <c r="K70" s="18" t="s">
        <v>168</v>
      </c>
      <c r="L70" s="20" t="s">
        <v>22</v>
      </c>
      <c r="M70" s="20">
        <v>22.0</v>
      </c>
      <c r="N70" s="21">
        <v>25.0</v>
      </c>
      <c r="O70" s="22">
        <v>50.0</v>
      </c>
      <c r="P70" s="9">
        <f t="shared" si="1"/>
        <v>75</v>
      </c>
    </row>
    <row r="71" ht="15.75" customHeight="1">
      <c r="C71" s="9">
        <v>75.0</v>
      </c>
      <c r="D71" s="15" t="s">
        <v>169</v>
      </c>
      <c r="E71" s="16">
        <v>1.0370959E7</v>
      </c>
      <c r="F71" s="16" t="s">
        <v>170</v>
      </c>
      <c r="G71" s="17">
        <v>9.0</v>
      </c>
      <c r="H71" s="9">
        <v>75.0</v>
      </c>
      <c r="J71" s="9">
        <v>68.0</v>
      </c>
      <c r="K71" s="18" t="s">
        <v>171</v>
      </c>
      <c r="L71" s="20" t="s">
        <v>172</v>
      </c>
      <c r="M71" s="20">
        <v>23.0</v>
      </c>
      <c r="N71" s="21">
        <v>25.0</v>
      </c>
      <c r="O71" s="22">
        <v>50.0</v>
      </c>
      <c r="P71" s="9">
        <f t="shared" si="1"/>
        <v>75</v>
      </c>
    </row>
    <row r="72" ht="15.75" customHeight="1">
      <c r="C72" s="9">
        <v>76.0</v>
      </c>
      <c r="D72" s="15" t="s">
        <v>173</v>
      </c>
      <c r="E72" s="16">
        <v>1.5946118E7</v>
      </c>
      <c r="F72" s="16" t="s">
        <v>170</v>
      </c>
      <c r="G72" s="17">
        <v>12.0</v>
      </c>
      <c r="H72" s="9">
        <v>75.0</v>
      </c>
      <c r="J72" s="9">
        <v>69.0</v>
      </c>
      <c r="K72" s="18" t="s">
        <v>174</v>
      </c>
      <c r="L72" s="20" t="s">
        <v>22</v>
      </c>
      <c r="M72" s="20">
        <v>24.0</v>
      </c>
      <c r="N72" s="21">
        <v>25.0</v>
      </c>
      <c r="O72" s="22">
        <v>50.0</v>
      </c>
      <c r="P72" s="9">
        <f t="shared" si="1"/>
        <v>75</v>
      </c>
    </row>
    <row r="73" ht="15.75" customHeight="1">
      <c r="C73" s="9">
        <v>77.0</v>
      </c>
      <c r="D73" s="15" t="s">
        <v>175</v>
      </c>
      <c r="E73" s="16">
        <v>4.056566E7</v>
      </c>
      <c r="F73" s="16" t="s">
        <v>170</v>
      </c>
      <c r="G73" s="17">
        <v>13.0</v>
      </c>
      <c r="H73" s="9">
        <v>75.0</v>
      </c>
      <c r="J73" s="9">
        <v>70.0</v>
      </c>
      <c r="K73" s="18" t="s">
        <v>176</v>
      </c>
      <c r="L73" s="20" t="s">
        <v>22</v>
      </c>
      <c r="M73" s="20">
        <v>25.0</v>
      </c>
      <c r="N73" s="21">
        <v>25.0</v>
      </c>
      <c r="O73" s="22">
        <v>50.0</v>
      </c>
      <c r="P73" s="9">
        <f t="shared" si="1"/>
        <v>75</v>
      </c>
    </row>
    <row r="74" ht="15.75" customHeight="1">
      <c r="C74" s="9">
        <v>78.0</v>
      </c>
      <c r="D74" s="15" t="s">
        <v>177</v>
      </c>
      <c r="E74" s="16">
        <v>8.0086249E7</v>
      </c>
      <c r="F74" s="16" t="s">
        <v>170</v>
      </c>
      <c r="G74" s="17">
        <v>14.0</v>
      </c>
      <c r="H74" s="9">
        <v>75.0</v>
      </c>
      <c r="J74" s="9">
        <v>71.0</v>
      </c>
      <c r="K74" s="18" t="s">
        <v>178</v>
      </c>
      <c r="L74" s="20" t="s">
        <v>22</v>
      </c>
      <c r="M74" s="20">
        <v>26.0</v>
      </c>
      <c r="N74" s="21">
        <v>25.0</v>
      </c>
      <c r="O74" s="22">
        <v>50.0</v>
      </c>
      <c r="P74" s="9">
        <f t="shared" si="1"/>
        <v>75</v>
      </c>
    </row>
    <row r="75" ht="15.75" customHeight="1">
      <c r="C75" s="9">
        <v>79.0</v>
      </c>
      <c r="D75" s="15" t="s">
        <v>179</v>
      </c>
      <c r="E75" s="16">
        <v>1.573493E7</v>
      </c>
      <c r="F75" s="16" t="s">
        <v>170</v>
      </c>
      <c r="G75" s="17">
        <v>17.0</v>
      </c>
      <c r="H75" s="9">
        <v>75.0</v>
      </c>
      <c r="J75" s="9">
        <v>72.0</v>
      </c>
      <c r="K75" s="18" t="s">
        <v>180</v>
      </c>
      <c r="L75" s="20" t="s">
        <v>22</v>
      </c>
      <c r="M75" s="20">
        <v>27.0</v>
      </c>
      <c r="N75" s="21">
        <v>25.0</v>
      </c>
      <c r="O75" s="22">
        <v>50.0</v>
      </c>
      <c r="P75" s="9">
        <f t="shared" si="1"/>
        <v>75</v>
      </c>
    </row>
    <row r="76" ht="15.75" customHeight="1">
      <c r="C76" s="9">
        <v>80.0</v>
      </c>
      <c r="D76" s="23" t="s">
        <v>181</v>
      </c>
      <c r="E76" s="25">
        <v>1.6021397E7</v>
      </c>
      <c r="F76" s="25" t="s">
        <v>182</v>
      </c>
      <c r="G76" s="26">
        <v>4.0</v>
      </c>
      <c r="H76" s="9">
        <v>75.0</v>
      </c>
      <c r="J76" s="9">
        <v>73.0</v>
      </c>
      <c r="K76" s="18" t="s">
        <v>183</v>
      </c>
      <c r="L76" s="20" t="s">
        <v>22</v>
      </c>
      <c r="M76" s="20">
        <v>28.0</v>
      </c>
      <c r="N76" s="21">
        <v>25.0</v>
      </c>
      <c r="O76" s="22">
        <v>50.0</v>
      </c>
      <c r="P76" s="9">
        <f t="shared" si="1"/>
        <v>75</v>
      </c>
    </row>
    <row r="77" ht="15.75" customHeight="1">
      <c r="C77" s="9">
        <v>82.0</v>
      </c>
      <c r="D77" s="23" t="s">
        <v>184</v>
      </c>
      <c r="E77" s="25">
        <v>1.5695177E7</v>
      </c>
      <c r="F77" s="25" t="s">
        <v>182</v>
      </c>
      <c r="G77" s="26">
        <v>8.0</v>
      </c>
      <c r="H77" s="9">
        <v>75.0</v>
      </c>
      <c r="J77" s="9">
        <v>74.0</v>
      </c>
      <c r="K77" s="18" t="s">
        <v>185</v>
      </c>
      <c r="L77" s="20" t="s">
        <v>22</v>
      </c>
      <c r="M77" s="20">
        <v>29.0</v>
      </c>
      <c r="N77" s="21"/>
      <c r="O77" s="22">
        <v>50.0</v>
      </c>
      <c r="P77" s="9">
        <f t="shared" si="1"/>
        <v>50</v>
      </c>
    </row>
    <row r="78" ht="15.75" customHeight="1">
      <c r="C78" s="9">
        <v>83.0</v>
      </c>
      <c r="D78" s="15" t="s">
        <v>186</v>
      </c>
      <c r="E78" s="16">
        <v>4947831.0</v>
      </c>
      <c r="F78" s="16" t="s">
        <v>187</v>
      </c>
      <c r="G78" s="17">
        <v>12.0</v>
      </c>
      <c r="H78" s="9">
        <v>75.0</v>
      </c>
      <c r="J78" s="9">
        <v>75.0</v>
      </c>
      <c r="K78" s="18" t="s">
        <v>188</v>
      </c>
      <c r="L78" s="20" t="s">
        <v>22</v>
      </c>
      <c r="M78" s="20">
        <v>30.0</v>
      </c>
      <c r="N78" s="21">
        <v>25.0</v>
      </c>
      <c r="O78" s="22"/>
      <c r="P78" s="9">
        <f t="shared" si="1"/>
        <v>25</v>
      </c>
    </row>
    <row r="79" ht="15.75" customHeight="1">
      <c r="C79" s="9">
        <v>84.0</v>
      </c>
      <c r="D79" s="15" t="s">
        <v>189</v>
      </c>
      <c r="E79" s="16">
        <v>4.380027E7</v>
      </c>
      <c r="F79" s="16" t="s">
        <v>187</v>
      </c>
      <c r="G79" s="17">
        <v>13.0</v>
      </c>
      <c r="H79" s="9">
        <v>75.0</v>
      </c>
      <c r="J79" s="9">
        <v>76.0</v>
      </c>
      <c r="K79" s="18" t="s">
        <v>190</v>
      </c>
      <c r="L79" s="20" t="s">
        <v>22</v>
      </c>
      <c r="M79" s="20">
        <v>31.0</v>
      </c>
      <c r="N79" s="21">
        <v>25.0</v>
      </c>
      <c r="O79" s="22">
        <v>50.0</v>
      </c>
      <c r="P79" s="9">
        <f t="shared" si="1"/>
        <v>75</v>
      </c>
    </row>
    <row r="80" ht="15.75" customHeight="1">
      <c r="C80" s="9">
        <v>85.0</v>
      </c>
      <c r="D80" s="15" t="s">
        <v>191</v>
      </c>
      <c r="E80" s="16">
        <v>1.5746279E7</v>
      </c>
      <c r="F80" s="16" t="s">
        <v>187</v>
      </c>
      <c r="G80" s="16">
        <v>18.0</v>
      </c>
      <c r="H80" s="9">
        <v>75.0</v>
      </c>
      <c r="J80" s="9">
        <v>77.0</v>
      </c>
      <c r="K80" s="18" t="s">
        <v>192</v>
      </c>
      <c r="L80" s="20" t="s">
        <v>22</v>
      </c>
      <c r="M80" s="20">
        <v>32.0</v>
      </c>
      <c r="N80" s="21">
        <v>25.0</v>
      </c>
      <c r="O80" s="22">
        <v>50.0</v>
      </c>
      <c r="P80" s="9">
        <f t="shared" si="1"/>
        <v>75</v>
      </c>
    </row>
    <row r="81" ht="15.75" customHeight="1">
      <c r="C81" s="9">
        <v>86.0</v>
      </c>
      <c r="D81" s="15" t="s">
        <v>193</v>
      </c>
      <c r="E81" s="16">
        <v>4.3692042E7</v>
      </c>
      <c r="F81" s="16" t="s">
        <v>194</v>
      </c>
      <c r="G81" s="17">
        <v>5.0</v>
      </c>
      <c r="H81" s="9">
        <v>75.0</v>
      </c>
      <c r="J81" s="9">
        <v>78.0</v>
      </c>
      <c r="K81" s="18" t="s">
        <v>195</v>
      </c>
      <c r="L81" s="19" t="s">
        <v>22</v>
      </c>
      <c r="M81" s="20">
        <v>33.0</v>
      </c>
      <c r="N81" s="21">
        <v>25.0</v>
      </c>
      <c r="O81" s="22"/>
      <c r="P81" s="9">
        <f t="shared" si="1"/>
        <v>25</v>
      </c>
    </row>
    <row r="82" ht="15.75" customHeight="1">
      <c r="C82" s="9">
        <v>87.0</v>
      </c>
      <c r="D82" s="15" t="s">
        <v>196</v>
      </c>
      <c r="E82" s="16">
        <v>1.6010159E7</v>
      </c>
      <c r="F82" s="16" t="s">
        <v>194</v>
      </c>
      <c r="G82" s="17">
        <v>7.0</v>
      </c>
      <c r="H82" s="9">
        <v>75.0</v>
      </c>
      <c r="J82" s="9">
        <v>79.0</v>
      </c>
      <c r="K82" s="18" t="s">
        <v>197</v>
      </c>
      <c r="L82" s="20" t="s">
        <v>22</v>
      </c>
      <c r="M82" s="20">
        <v>34.0</v>
      </c>
      <c r="N82" s="21">
        <v>25.0</v>
      </c>
      <c r="O82" s="22">
        <v>50.0</v>
      </c>
      <c r="P82" s="9">
        <f t="shared" si="1"/>
        <v>75</v>
      </c>
    </row>
    <row r="83" ht="15.75" customHeight="1">
      <c r="C83" s="9">
        <v>88.0</v>
      </c>
      <c r="D83" s="15" t="s">
        <v>198</v>
      </c>
      <c r="E83" s="16">
        <v>4.5724646E7</v>
      </c>
      <c r="F83" s="16" t="s">
        <v>194</v>
      </c>
      <c r="G83" s="17">
        <v>14.0</v>
      </c>
      <c r="H83" s="9">
        <v>75.0</v>
      </c>
      <c r="J83" s="9">
        <v>80.0</v>
      </c>
      <c r="K83" s="18" t="s">
        <v>199</v>
      </c>
      <c r="L83" s="20" t="s">
        <v>22</v>
      </c>
      <c r="M83" s="20">
        <v>37.0</v>
      </c>
      <c r="N83" s="21">
        <v>25.0</v>
      </c>
      <c r="O83" s="22"/>
      <c r="P83" s="9">
        <f t="shared" si="1"/>
        <v>25</v>
      </c>
    </row>
    <row r="84" ht="15.75" customHeight="1">
      <c r="C84" s="9">
        <v>89.0</v>
      </c>
      <c r="D84" s="15" t="s">
        <v>200</v>
      </c>
      <c r="E84" s="16" t="s">
        <v>201</v>
      </c>
      <c r="F84" s="16" t="s">
        <v>194</v>
      </c>
      <c r="G84" s="17">
        <v>16.0</v>
      </c>
      <c r="H84" s="9">
        <v>75.0</v>
      </c>
      <c r="J84" s="9">
        <v>81.0</v>
      </c>
      <c r="K84" s="18" t="s">
        <v>202</v>
      </c>
      <c r="L84" s="20" t="s">
        <v>22</v>
      </c>
      <c r="M84" s="20">
        <v>38.0</v>
      </c>
      <c r="N84" s="21">
        <v>25.0</v>
      </c>
      <c r="O84" s="22">
        <v>50.0</v>
      </c>
      <c r="P84" s="9">
        <f t="shared" si="1"/>
        <v>75</v>
      </c>
    </row>
    <row r="85" ht="15.75" customHeight="1">
      <c r="C85" s="9">
        <v>90.0</v>
      </c>
      <c r="D85" s="33" t="s">
        <v>203</v>
      </c>
      <c r="E85" s="16">
        <v>4.5935301E7</v>
      </c>
      <c r="F85" s="16" t="s">
        <v>204</v>
      </c>
      <c r="G85" s="16">
        <v>4.0</v>
      </c>
      <c r="H85" s="9">
        <v>75.0</v>
      </c>
      <c r="J85" s="9">
        <v>82.0</v>
      </c>
      <c r="K85" s="18" t="s">
        <v>205</v>
      </c>
      <c r="L85" s="19" t="s">
        <v>22</v>
      </c>
      <c r="M85" s="20">
        <v>39.0</v>
      </c>
      <c r="N85" s="21">
        <v>25.0</v>
      </c>
      <c r="O85" s="22"/>
      <c r="P85" s="9">
        <f t="shared" si="1"/>
        <v>25</v>
      </c>
    </row>
    <row r="86" ht="15.75" customHeight="1">
      <c r="C86" s="9">
        <v>91.0</v>
      </c>
      <c r="D86" s="15" t="s">
        <v>206</v>
      </c>
      <c r="E86" s="16">
        <v>1.6018957E7</v>
      </c>
      <c r="F86" s="16" t="s">
        <v>207</v>
      </c>
      <c r="G86" s="17">
        <v>3.0</v>
      </c>
      <c r="H86" s="9">
        <v>75.0</v>
      </c>
      <c r="J86" s="9">
        <v>83.0</v>
      </c>
      <c r="K86" s="18" t="s">
        <v>208</v>
      </c>
      <c r="L86" s="19" t="s">
        <v>22</v>
      </c>
      <c r="M86" s="20">
        <v>43.0</v>
      </c>
      <c r="N86" s="21">
        <v>25.0</v>
      </c>
      <c r="O86" s="22">
        <v>50.0</v>
      </c>
      <c r="P86" s="9">
        <f t="shared" si="1"/>
        <v>75</v>
      </c>
    </row>
    <row r="87" ht="15.75" customHeight="1">
      <c r="C87" s="9">
        <v>92.0</v>
      </c>
      <c r="D87" s="15" t="s">
        <v>209</v>
      </c>
      <c r="E87" s="16">
        <v>7.7243169E7</v>
      </c>
      <c r="F87" s="16" t="s">
        <v>207</v>
      </c>
      <c r="G87" s="17">
        <v>5.0</v>
      </c>
      <c r="H87" s="9">
        <v>75.0</v>
      </c>
      <c r="J87" s="9">
        <v>84.0</v>
      </c>
      <c r="K87" s="18" t="s">
        <v>210</v>
      </c>
      <c r="L87" s="20" t="s">
        <v>211</v>
      </c>
      <c r="M87" s="20">
        <v>1.0</v>
      </c>
      <c r="N87" s="21">
        <v>25.0</v>
      </c>
      <c r="O87" s="22"/>
      <c r="P87" s="9">
        <f t="shared" si="1"/>
        <v>25</v>
      </c>
    </row>
    <row r="88" ht="15.75" customHeight="1">
      <c r="C88" s="9">
        <v>93.0</v>
      </c>
      <c r="D88" s="15" t="s">
        <v>212</v>
      </c>
      <c r="E88" s="16">
        <v>1.6021456E7</v>
      </c>
      <c r="F88" s="16" t="s">
        <v>207</v>
      </c>
      <c r="G88" s="17">
        <v>7.0</v>
      </c>
      <c r="H88" s="9">
        <v>75.0</v>
      </c>
      <c r="J88" s="9">
        <v>85.0</v>
      </c>
      <c r="K88" s="27" t="s">
        <v>213</v>
      </c>
      <c r="L88" s="19" t="s">
        <v>211</v>
      </c>
      <c r="M88" s="20">
        <v>4.0</v>
      </c>
      <c r="N88" s="21">
        <v>25.0</v>
      </c>
      <c r="O88" s="22">
        <v>50.0</v>
      </c>
      <c r="P88" s="9">
        <f t="shared" si="1"/>
        <v>75</v>
      </c>
    </row>
    <row r="89" ht="15.75" customHeight="1">
      <c r="C89" s="9">
        <v>94.0</v>
      </c>
      <c r="D89" s="15" t="s">
        <v>214</v>
      </c>
      <c r="E89" s="16">
        <v>7.0423339E7</v>
      </c>
      <c r="F89" s="16" t="s">
        <v>207</v>
      </c>
      <c r="G89" s="16">
        <v>10.0</v>
      </c>
      <c r="H89" s="9">
        <v>75.0</v>
      </c>
      <c r="J89" s="9">
        <v>86.0</v>
      </c>
      <c r="K89" s="27" t="s">
        <v>215</v>
      </c>
      <c r="L89" s="19" t="s">
        <v>211</v>
      </c>
      <c r="M89" s="20">
        <v>5.0</v>
      </c>
      <c r="N89" s="21">
        <v>25.0</v>
      </c>
      <c r="O89" s="22">
        <v>50.0</v>
      </c>
      <c r="P89" s="9">
        <f t="shared" si="1"/>
        <v>75</v>
      </c>
    </row>
    <row r="90" ht="15.75" customHeight="1">
      <c r="C90" s="9">
        <v>95.0</v>
      </c>
      <c r="D90" s="35" t="s">
        <v>216</v>
      </c>
      <c r="E90" s="16">
        <v>4.502833E7</v>
      </c>
      <c r="F90" s="16" t="s">
        <v>207</v>
      </c>
      <c r="G90" s="17">
        <v>13.0</v>
      </c>
      <c r="H90" s="9">
        <v>75.0</v>
      </c>
      <c r="J90" s="9">
        <v>87.0</v>
      </c>
      <c r="K90" s="27" t="s">
        <v>217</v>
      </c>
      <c r="L90" s="19" t="s">
        <v>211</v>
      </c>
      <c r="M90" s="20">
        <v>8.0</v>
      </c>
      <c r="N90" s="21">
        <v>25.0</v>
      </c>
      <c r="O90" s="22"/>
      <c r="P90" s="9">
        <f t="shared" si="1"/>
        <v>25</v>
      </c>
    </row>
    <row r="91" ht="15.75" customHeight="1">
      <c r="C91" s="9">
        <v>96.0</v>
      </c>
      <c r="D91" s="35" t="s">
        <v>218</v>
      </c>
      <c r="E91" s="16"/>
      <c r="F91" s="16" t="s">
        <v>36</v>
      </c>
      <c r="G91" s="17">
        <v>11.0</v>
      </c>
      <c r="H91" s="9">
        <v>75.0</v>
      </c>
      <c r="J91" s="9">
        <v>88.0</v>
      </c>
      <c r="K91" s="18" t="s">
        <v>219</v>
      </c>
      <c r="L91" s="19" t="s">
        <v>211</v>
      </c>
      <c r="M91" s="20">
        <v>9.0</v>
      </c>
      <c r="N91" s="21">
        <v>25.0</v>
      </c>
      <c r="O91" s="22">
        <v>50.0</v>
      </c>
      <c r="P91" s="9">
        <f t="shared" si="1"/>
        <v>75</v>
      </c>
    </row>
    <row r="92" ht="15.75" customHeight="1">
      <c r="C92" s="9">
        <v>97.0</v>
      </c>
      <c r="D92" s="36" t="s">
        <v>220</v>
      </c>
      <c r="E92" s="16">
        <v>1.0684642E7</v>
      </c>
      <c r="F92" s="16" t="s">
        <v>100</v>
      </c>
      <c r="G92" s="16">
        <v>7.0</v>
      </c>
      <c r="H92" s="9">
        <v>75.0</v>
      </c>
      <c r="J92" s="9">
        <v>89.0</v>
      </c>
      <c r="K92" s="27" t="s">
        <v>221</v>
      </c>
      <c r="L92" s="19" t="s">
        <v>31</v>
      </c>
      <c r="M92" s="20">
        <v>1.0</v>
      </c>
      <c r="N92" s="21">
        <v>25.0</v>
      </c>
      <c r="O92" s="22"/>
      <c r="P92" s="9">
        <f t="shared" si="1"/>
        <v>25</v>
      </c>
    </row>
    <row r="93" ht="15.75" customHeight="1">
      <c r="C93" s="9">
        <v>98.0</v>
      </c>
      <c r="D93" s="15" t="s">
        <v>222</v>
      </c>
      <c r="E93" s="16">
        <v>4.4629419E7</v>
      </c>
      <c r="F93" s="16" t="s">
        <v>100</v>
      </c>
      <c r="G93" s="17">
        <v>8.0</v>
      </c>
      <c r="H93" s="9">
        <v>75.0</v>
      </c>
      <c r="J93" s="9">
        <v>90.0</v>
      </c>
      <c r="K93" s="18" t="s">
        <v>223</v>
      </c>
      <c r="L93" s="20" t="s">
        <v>31</v>
      </c>
      <c r="M93" s="20">
        <v>3.0</v>
      </c>
      <c r="N93" s="21">
        <v>25.0</v>
      </c>
      <c r="O93" s="22">
        <v>50.0</v>
      </c>
      <c r="P93" s="9">
        <f t="shared" si="1"/>
        <v>75</v>
      </c>
    </row>
    <row r="94" ht="15.75" customHeight="1">
      <c r="C94" s="9">
        <v>99.0</v>
      </c>
      <c r="D94" s="23" t="s">
        <v>224</v>
      </c>
      <c r="E94" s="25">
        <v>3.2296504E7</v>
      </c>
      <c r="F94" s="25" t="s">
        <v>211</v>
      </c>
      <c r="G94" s="26">
        <v>2.0</v>
      </c>
      <c r="H94" s="9">
        <v>75.0</v>
      </c>
      <c r="J94" s="9">
        <v>91.0</v>
      </c>
      <c r="K94" s="18" t="s">
        <v>225</v>
      </c>
      <c r="L94" s="20" t="s">
        <v>31</v>
      </c>
      <c r="M94" s="20">
        <v>4.0</v>
      </c>
      <c r="N94" s="21">
        <v>25.0</v>
      </c>
      <c r="O94" s="22">
        <v>50.0</v>
      </c>
      <c r="P94" s="9">
        <f t="shared" si="1"/>
        <v>75</v>
      </c>
    </row>
    <row r="95" ht="15.75" customHeight="1">
      <c r="C95" s="9">
        <v>100.0</v>
      </c>
      <c r="D95" s="23" t="s">
        <v>226</v>
      </c>
      <c r="E95" s="16">
        <v>2.1072394E7</v>
      </c>
      <c r="F95" s="16" t="s">
        <v>211</v>
      </c>
      <c r="G95" s="17">
        <v>3.0</v>
      </c>
      <c r="H95" s="9">
        <v>75.0</v>
      </c>
      <c r="J95" s="9">
        <v>92.0</v>
      </c>
      <c r="K95" s="18" t="s">
        <v>227</v>
      </c>
      <c r="L95" s="20" t="s">
        <v>31</v>
      </c>
      <c r="M95" s="20">
        <v>5.0</v>
      </c>
      <c r="N95" s="21">
        <v>25.0</v>
      </c>
      <c r="O95" s="22"/>
      <c r="P95" s="9">
        <f t="shared" si="1"/>
        <v>25</v>
      </c>
    </row>
    <row r="96" ht="15.75" customHeight="1">
      <c r="C96" s="9">
        <v>101.0</v>
      </c>
      <c r="D96" s="15" t="s">
        <v>228</v>
      </c>
      <c r="E96" s="16">
        <v>4.3834839E7</v>
      </c>
      <c r="F96" s="16" t="s">
        <v>211</v>
      </c>
      <c r="G96" s="17">
        <v>6.0</v>
      </c>
      <c r="H96" s="9">
        <v>75.0</v>
      </c>
      <c r="J96" s="9">
        <v>93.0</v>
      </c>
      <c r="K96" s="18" t="s">
        <v>229</v>
      </c>
      <c r="L96" s="20" t="s">
        <v>31</v>
      </c>
      <c r="M96" s="20">
        <v>6.0</v>
      </c>
      <c r="N96" s="21">
        <v>25.0</v>
      </c>
      <c r="O96" s="22"/>
      <c r="P96" s="9">
        <f t="shared" si="1"/>
        <v>25</v>
      </c>
    </row>
    <row r="97" ht="15.75" customHeight="1">
      <c r="C97" s="9">
        <v>102.0</v>
      </c>
      <c r="D97" s="15" t="s">
        <v>230</v>
      </c>
      <c r="E97" s="16">
        <v>4.0518689E7</v>
      </c>
      <c r="F97" s="16" t="s">
        <v>211</v>
      </c>
      <c r="G97" s="17">
        <v>7.0</v>
      </c>
      <c r="H97" s="9">
        <v>75.0</v>
      </c>
      <c r="J97" s="9">
        <v>94.0</v>
      </c>
      <c r="K97" s="18" t="s">
        <v>231</v>
      </c>
      <c r="L97" s="20" t="s">
        <v>31</v>
      </c>
      <c r="M97" s="20">
        <v>7.0</v>
      </c>
      <c r="N97" s="21">
        <v>25.0</v>
      </c>
      <c r="O97" s="22">
        <v>50.0</v>
      </c>
      <c r="P97" s="9">
        <f t="shared" si="1"/>
        <v>75</v>
      </c>
    </row>
    <row r="98" ht="15.75" customHeight="1">
      <c r="C98" s="9">
        <v>103.0</v>
      </c>
      <c r="D98" s="23" t="s">
        <v>232</v>
      </c>
      <c r="E98" s="16">
        <v>2.1072394E7</v>
      </c>
      <c r="F98" s="25" t="s">
        <v>233</v>
      </c>
      <c r="G98" s="26">
        <v>1.0</v>
      </c>
      <c r="H98" s="9">
        <v>75.0</v>
      </c>
      <c r="J98" s="9">
        <v>95.0</v>
      </c>
      <c r="K98" s="18" t="s">
        <v>234</v>
      </c>
      <c r="L98" s="19" t="s">
        <v>31</v>
      </c>
      <c r="M98" s="20">
        <v>8.0</v>
      </c>
      <c r="N98" s="21">
        <v>25.0</v>
      </c>
      <c r="O98" s="22"/>
      <c r="P98" s="9">
        <f t="shared" si="1"/>
        <v>25</v>
      </c>
    </row>
    <row r="99" ht="15.75" customHeight="1">
      <c r="C99" s="9">
        <v>104.0</v>
      </c>
      <c r="D99" s="37" t="s">
        <v>235</v>
      </c>
      <c r="E99" s="38">
        <v>4.4005398E7</v>
      </c>
      <c r="F99" s="38" t="s">
        <v>236</v>
      </c>
      <c r="G99" s="39">
        <v>3.0</v>
      </c>
      <c r="H99" s="9">
        <v>75.0</v>
      </c>
      <c r="J99" s="9">
        <v>96.0</v>
      </c>
      <c r="K99" s="18" t="s">
        <v>237</v>
      </c>
      <c r="L99" s="20" t="s">
        <v>31</v>
      </c>
      <c r="M99" s="20">
        <v>10.0</v>
      </c>
      <c r="N99" s="21">
        <v>25.0</v>
      </c>
      <c r="O99" s="22">
        <v>50.0</v>
      </c>
      <c r="P99" s="9">
        <f t="shared" si="1"/>
        <v>75</v>
      </c>
    </row>
    <row r="100" ht="15.75" customHeight="1">
      <c r="C100" s="9">
        <v>105.0</v>
      </c>
      <c r="D100" s="15" t="s">
        <v>238</v>
      </c>
      <c r="E100" s="16">
        <v>8.0614278E7</v>
      </c>
      <c r="F100" s="16" t="s">
        <v>239</v>
      </c>
      <c r="G100" s="17">
        <v>2.0</v>
      </c>
      <c r="H100" s="9">
        <v>75.0</v>
      </c>
      <c r="J100" s="9">
        <v>97.0</v>
      </c>
      <c r="K100" s="18" t="s">
        <v>218</v>
      </c>
      <c r="L100" s="20" t="s">
        <v>31</v>
      </c>
      <c r="M100" s="20">
        <v>12.0</v>
      </c>
      <c r="N100" s="21">
        <v>25.0</v>
      </c>
      <c r="O100" s="22"/>
      <c r="P100" s="9">
        <f t="shared" si="1"/>
        <v>25</v>
      </c>
    </row>
    <row r="101" ht="15.75" customHeight="1">
      <c r="C101" s="9">
        <v>106.0</v>
      </c>
      <c r="D101" s="15" t="s">
        <v>240</v>
      </c>
      <c r="E101" s="16">
        <v>1.074667E7</v>
      </c>
      <c r="F101" s="16" t="s">
        <v>241</v>
      </c>
      <c r="G101" s="40">
        <v>10.0</v>
      </c>
      <c r="H101" s="9">
        <v>75.0</v>
      </c>
      <c r="J101" s="9">
        <v>98.0</v>
      </c>
      <c r="K101" s="18" t="s">
        <v>242</v>
      </c>
      <c r="L101" s="20" t="s">
        <v>243</v>
      </c>
      <c r="M101" s="20">
        <v>13.0</v>
      </c>
      <c r="N101" s="21">
        <v>25.0</v>
      </c>
      <c r="O101" s="22">
        <v>50.0</v>
      </c>
      <c r="P101" s="9">
        <f t="shared" si="1"/>
        <v>75</v>
      </c>
    </row>
    <row r="102" ht="15.75" customHeight="1">
      <c r="C102" s="9">
        <v>107.0</v>
      </c>
      <c r="D102" s="41" t="s">
        <v>244</v>
      </c>
      <c r="E102" s="42">
        <v>1.575288E7</v>
      </c>
      <c r="F102" s="42" t="s">
        <v>245</v>
      </c>
      <c r="G102" s="42">
        <v>9.0</v>
      </c>
      <c r="H102" s="9">
        <v>75.0</v>
      </c>
      <c r="J102" s="9">
        <v>99.0</v>
      </c>
      <c r="K102" s="43" t="s">
        <v>246</v>
      </c>
      <c r="L102" s="20" t="s">
        <v>31</v>
      </c>
      <c r="M102" s="20">
        <v>14.0</v>
      </c>
      <c r="N102" s="21">
        <v>25.0</v>
      </c>
      <c r="O102" s="22">
        <v>50.0</v>
      </c>
      <c r="P102" s="9">
        <f t="shared" si="1"/>
        <v>75</v>
      </c>
    </row>
    <row r="103" ht="15.75" customHeight="1">
      <c r="C103" s="9">
        <v>108.0</v>
      </c>
      <c r="D103" s="15" t="s">
        <v>247</v>
      </c>
      <c r="E103" s="2">
        <v>7.2159064E7</v>
      </c>
      <c r="F103" s="16" t="s">
        <v>245</v>
      </c>
      <c r="G103" s="40">
        <v>10.0</v>
      </c>
      <c r="H103" s="9">
        <v>75.0</v>
      </c>
      <c r="J103" s="9">
        <v>100.0</v>
      </c>
      <c r="K103" s="18" t="s">
        <v>248</v>
      </c>
      <c r="L103" s="20" t="s">
        <v>31</v>
      </c>
      <c r="M103" s="20">
        <v>16.0</v>
      </c>
      <c r="N103" s="21">
        <v>25.0</v>
      </c>
      <c r="O103" s="22"/>
      <c r="P103" s="9">
        <f t="shared" si="1"/>
        <v>25</v>
      </c>
    </row>
    <row r="104" ht="15.75" customHeight="1">
      <c r="C104" s="9">
        <v>109.0</v>
      </c>
      <c r="D104" s="15" t="s">
        <v>249</v>
      </c>
      <c r="E104" s="16">
        <v>4.5187596E7</v>
      </c>
      <c r="F104" s="16" t="s">
        <v>245</v>
      </c>
      <c r="G104" s="40">
        <v>14.0</v>
      </c>
      <c r="H104" s="9">
        <v>75.0</v>
      </c>
      <c r="J104" s="9">
        <v>101.0</v>
      </c>
      <c r="K104" s="18" t="s">
        <v>250</v>
      </c>
      <c r="L104" s="20" t="s">
        <v>31</v>
      </c>
      <c r="M104" s="20">
        <v>17.0</v>
      </c>
      <c r="N104" s="21">
        <v>25.0</v>
      </c>
      <c r="O104" s="22">
        <v>50.0</v>
      </c>
      <c r="P104" s="9">
        <f t="shared" si="1"/>
        <v>75</v>
      </c>
    </row>
    <row r="105" ht="15.75" customHeight="1">
      <c r="J105" s="9">
        <v>102.0</v>
      </c>
      <c r="K105" s="18" t="s">
        <v>251</v>
      </c>
      <c r="L105" s="19" t="s">
        <v>31</v>
      </c>
      <c r="M105" s="20">
        <v>18.0</v>
      </c>
      <c r="N105" s="21">
        <v>25.0</v>
      </c>
      <c r="O105" s="22">
        <v>50.0</v>
      </c>
      <c r="P105" s="9">
        <f t="shared" si="1"/>
        <v>75</v>
      </c>
    </row>
    <row r="106" ht="15.75" customHeight="1">
      <c r="H106" s="9">
        <f>SUBTOTAL(109,H3:H104)</f>
        <v>7500</v>
      </c>
      <c r="J106" s="9">
        <v>103.0</v>
      </c>
      <c r="K106" s="18" t="s">
        <v>252</v>
      </c>
      <c r="L106" s="19" t="s">
        <v>31</v>
      </c>
      <c r="M106" s="20">
        <v>19.0</v>
      </c>
      <c r="N106" s="21">
        <v>25.0</v>
      </c>
      <c r="O106" s="22"/>
      <c r="P106" s="9">
        <f t="shared" si="1"/>
        <v>25</v>
      </c>
    </row>
    <row r="107" ht="15.75" customHeight="1">
      <c r="J107" s="9">
        <v>104.0</v>
      </c>
      <c r="K107" s="18" t="s">
        <v>253</v>
      </c>
      <c r="L107" s="20" t="s">
        <v>233</v>
      </c>
      <c r="M107" s="20">
        <v>2.0</v>
      </c>
      <c r="N107" s="21">
        <v>25.0</v>
      </c>
      <c r="O107" s="22">
        <v>50.0</v>
      </c>
      <c r="P107" s="9">
        <f t="shared" si="1"/>
        <v>75</v>
      </c>
    </row>
    <row r="108" ht="15.75" customHeight="1">
      <c r="J108" s="9">
        <v>105.0</v>
      </c>
      <c r="K108" s="18" t="s">
        <v>254</v>
      </c>
      <c r="L108" s="20" t="s">
        <v>233</v>
      </c>
      <c r="M108" s="20">
        <v>3.0</v>
      </c>
      <c r="N108" s="21">
        <v>20.0</v>
      </c>
      <c r="O108" s="22"/>
      <c r="P108" s="9">
        <f t="shared" si="1"/>
        <v>20</v>
      </c>
    </row>
    <row r="109" ht="15.75" customHeight="1">
      <c r="J109" s="9">
        <v>106.0</v>
      </c>
      <c r="K109" s="27" t="s">
        <v>255</v>
      </c>
      <c r="L109" s="19" t="s">
        <v>233</v>
      </c>
      <c r="M109" s="20">
        <v>4.0</v>
      </c>
      <c r="N109" s="21">
        <v>25.0</v>
      </c>
      <c r="O109" s="22">
        <v>50.0</v>
      </c>
      <c r="P109" s="9">
        <f t="shared" si="1"/>
        <v>75</v>
      </c>
    </row>
    <row r="110" ht="15.75" customHeight="1">
      <c r="J110" s="9">
        <v>107.0</v>
      </c>
      <c r="K110" s="27" t="s">
        <v>256</v>
      </c>
      <c r="L110" s="19" t="s">
        <v>257</v>
      </c>
      <c r="M110" s="20">
        <v>5.0</v>
      </c>
      <c r="N110" s="21">
        <v>25.0</v>
      </c>
      <c r="O110" s="22"/>
      <c r="P110" s="9">
        <f t="shared" si="1"/>
        <v>25</v>
      </c>
    </row>
    <row r="111" ht="15.75" customHeight="1">
      <c r="J111" s="9">
        <v>108.0</v>
      </c>
      <c r="K111" s="18" t="s">
        <v>258</v>
      </c>
      <c r="L111" s="20" t="s">
        <v>233</v>
      </c>
      <c r="M111" s="20">
        <v>6.0</v>
      </c>
      <c r="N111" s="21">
        <v>25.0</v>
      </c>
      <c r="O111" s="22"/>
      <c r="P111" s="9">
        <f t="shared" si="1"/>
        <v>25</v>
      </c>
    </row>
    <row r="112" ht="15.75" customHeight="1">
      <c r="J112" s="9">
        <v>109.0</v>
      </c>
      <c r="K112" s="27" t="s">
        <v>259</v>
      </c>
      <c r="L112" s="19" t="s">
        <v>40</v>
      </c>
      <c r="M112" s="20">
        <v>1.0</v>
      </c>
      <c r="N112" s="21">
        <v>25.0</v>
      </c>
      <c r="O112" s="22">
        <v>50.0</v>
      </c>
      <c r="P112" s="9">
        <f t="shared" si="1"/>
        <v>75</v>
      </c>
    </row>
    <row r="113" ht="15.75" customHeight="1">
      <c r="J113" s="9">
        <v>110.0</v>
      </c>
      <c r="K113" s="27" t="s">
        <v>260</v>
      </c>
      <c r="L113" s="19" t="s">
        <v>40</v>
      </c>
      <c r="M113" s="20" t="s">
        <v>261</v>
      </c>
      <c r="N113" s="21">
        <v>25.0</v>
      </c>
      <c r="O113" s="22">
        <v>50.0</v>
      </c>
      <c r="P113" s="9">
        <f t="shared" si="1"/>
        <v>75</v>
      </c>
    </row>
    <row r="114" ht="15.75" customHeight="1">
      <c r="J114" s="9">
        <v>111.0</v>
      </c>
      <c r="K114" s="27" t="s">
        <v>262</v>
      </c>
      <c r="L114" s="19" t="s">
        <v>40</v>
      </c>
      <c r="M114" s="20" t="s">
        <v>263</v>
      </c>
      <c r="N114" s="21">
        <v>25.0</v>
      </c>
      <c r="O114" s="22">
        <v>50.0</v>
      </c>
      <c r="P114" s="9">
        <f t="shared" si="1"/>
        <v>75</v>
      </c>
    </row>
    <row r="115" ht="15.75" customHeight="1">
      <c r="J115" s="9">
        <v>112.0</v>
      </c>
      <c r="K115" s="27" t="s">
        <v>264</v>
      </c>
      <c r="L115" s="19" t="s">
        <v>40</v>
      </c>
      <c r="M115" s="20">
        <v>3.0</v>
      </c>
      <c r="N115" s="21">
        <v>25.0</v>
      </c>
      <c r="O115" s="22">
        <v>50.0</v>
      </c>
      <c r="P115" s="9">
        <f t="shared" si="1"/>
        <v>75</v>
      </c>
    </row>
    <row r="116" ht="15.75" customHeight="1">
      <c r="J116" s="9">
        <v>113.0</v>
      </c>
      <c r="K116" s="18" t="s">
        <v>265</v>
      </c>
      <c r="L116" s="19" t="s">
        <v>40</v>
      </c>
      <c r="M116" s="20">
        <v>4.0</v>
      </c>
      <c r="N116" s="21">
        <v>25.0</v>
      </c>
      <c r="O116" s="22"/>
      <c r="P116" s="9">
        <f t="shared" si="1"/>
        <v>25</v>
      </c>
    </row>
    <row r="117" ht="15.75" customHeight="1">
      <c r="J117" s="9">
        <v>114.0</v>
      </c>
      <c r="K117" s="18" t="s">
        <v>266</v>
      </c>
      <c r="L117" s="20" t="s">
        <v>40</v>
      </c>
      <c r="M117" s="20">
        <v>6.0</v>
      </c>
      <c r="N117" s="21">
        <v>25.0</v>
      </c>
      <c r="O117" s="22">
        <v>50.0</v>
      </c>
      <c r="P117" s="9">
        <f t="shared" si="1"/>
        <v>75</v>
      </c>
    </row>
    <row r="118" ht="15.75" customHeight="1">
      <c r="J118" s="9">
        <v>115.0</v>
      </c>
      <c r="K118" s="18" t="s">
        <v>267</v>
      </c>
      <c r="L118" s="20" t="s">
        <v>40</v>
      </c>
      <c r="M118" s="20">
        <v>7.0</v>
      </c>
      <c r="N118" s="21">
        <v>25.0</v>
      </c>
      <c r="O118" s="22">
        <v>50.0</v>
      </c>
      <c r="P118" s="9">
        <f t="shared" si="1"/>
        <v>75</v>
      </c>
    </row>
    <row r="119" ht="15.75" customHeight="1">
      <c r="J119" s="9">
        <v>116.0</v>
      </c>
      <c r="K119" s="18" t="s">
        <v>268</v>
      </c>
      <c r="L119" s="20" t="s">
        <v>40</v>
      </c>
      <c r="M119" s="20">
        <v>8.0</v>
      </c>
      <c r="N119" s="21">
        <v>25.0</v>
      </c>
      <c r="O119" s="22">
        <v>50.0</v>
      </c>
      <c r="P119" s="9">
        <f t="shared" si="1"/>
        <v>75</v>
      </c>
    </row>
    <row r="120" ht="15.75" customHeight="1">
      <c r="J120" s="9">
        <v>117.0</v>
      </c>
      <c r="K120" s="18" t="s">
        <v>269</v>
      </c>
      <c r="L120" s="19" t="s">
        <v>40</v>
      </c>
      <c r="M120" s="20">
        <v>9.0</v>
      </c>
      <c r="N120" s="21">
        <v>25.0</v>
      </c>
      <c r="O120" s="22"/>
      <c r="P120" s="9">
        <f t="shared" si="1"/>
        <v>25</v>
      </c>
    </row>
    <row r="121" ht="15.75" customHeight="1">
      <c r="J121" s="9">
        <v>118.0</v>
      </c>
      <c r="K121" s="18" t="s">
        <v>270</v>
      </c>
      <c r="L121" s="19" t="s">
        <v>40</v>
      </c>
      <c r="M121" s="20">
        <v>12.0</v>
      </c>
      <c r="N121" s="21">
        <v>25.0</v>
      </c>
      <c r="O121" s="22"/>
      <c r="P121" s="9">
        <f t="shared" si="1"/>
        <v>25</v>
      </c>
    </row>
    <row r="122" ht="15.75" customHeight="1">
      <c r="J122" s="9">
        <v>119.0</v>
      </c>
      <c r="K122" s="18" t="s">
        <v>271</v>
      </c>
      <c r="L122" s="19" t="s">
        <v>40</v>
      </c>
      <c r="M122" s="20">
        <v>13.0</v>
      </c>
      <c r="N122" s="21">
        <v>25.0</v>
      </c>
      <c r="O122" s="22"/>
      <c r="P122" s="9">
        <f t="shared" si="1"/>
        <v>25</v>
      </c>
    </row>
    <row r="123" ht="15.75" customHeight="1">
      <c r="J123" s="9">
        <v>120.0</v>
      </c>
      <c r="K123" s="18" t="s">
        <v>272</v>
      </c>
      <c r="L123" s="19" t="s">
        <v>40</v>
      </c>
      <c r="M123" s="20">
        <v>14.0</v>
      </c>
      <c r="N123" s="21">
        <v>25.0</v>
      </c>
      <c r="O123" s="22">
        <v>50.0</v>
      </c>
      <c r="P123" s="9">
        <f t="shared" si="1"/>
        <v>75</v>
      </c>
    </row>
    <row r="124" ht="15.75" customHeight="1">
      <c r="J124" s="9">
        <v>121.0</v>
      </c>
      <c r="K124" s="18" t="s">
        <v>273</v>
      </c>
      <c r="L124" s="20" t="s">
        <v>236</v>
      </c>
      <c r="M124" s="20">
        <v>1.0</v>
      </c>
      <c r="N124" s="21">
        <v>25.0</v>
      </c>
      <c r="O124" s="22">
        <v>50.0</v>
      </c>
      <c r="P124" s="9">
        <f t="shared" si="1"/>
        <v>75</v>
      </c>
    </row>
    <row r="125" ht="15.75" customHeight="1">
      <c r="J125" s="9">
        <v>122.0</v>
      </c>
      <c r="K125" s="18" t="s">
        <v>274</v>
      </c>
      <c r="L125" s="20" t="s">
        <v>236</v>
      </c>
      <c r="M125" s="20">
        <v>2.0</v>
      </c>
      <c r="N125" s="21">
        <v>25.0</v>
      </c>
      <c r="O125" s="22"/>
      <c r="P125" s="9">
        <f t="shared" si="1"/>
        <v>25</v>
      </c>
    </row>
    <row r="126" ht="15.75" customHeight="1">
      <c r="J126" s="9">
        <v>123.0</v>
      </c>
      <c r="K126" s="18" t="s">
        <v>275</v>
      </c>
      <c r="L126" s="19" t="s">
        <v>236</v>
      </c>
      <c r="M126" s="20">
        <v>4.0</v>
      </c>
      <c r="N126" s="21">
        <v>25.0</v>
      </c>
      <c r="O126" s="22">
        <v>50.0</v>
      </c>
      <c r="P126" s="9">
        <f t="shared" si="1"/>
        <v>75</v>
      </c>
    </row>
    <row r="127" ht="15.75" customHeight="1">
      <c r="J127" s="9">
        <v>124.0</v>
      </c>
      <c r="K127" s="18" t="s">
        <v>276</v>
      </c>
      <c r="L127" s="19" t="s">
        <v>236</v>
      </c>
      <c r="M127" s="20">
        <v>5.0</v>
      </c>
      <c r="N127" s="21">
        <v>25.0</v>
      </c>
      <c r="O127" s="22">
        <v>50.0</v>
      </c>
      <c r="P127" s="9">
        <f t="shared" si="1"/>
        <v>75</v>
      </c>
    </row>
    <row r="128" ht="15.75" customHeight="1">
      <c r="J128" s="9">
        <v>125.0</v>
      </c>
      <c r="K128" s="18" t="s">
        <v>277</v>
      </c>
      <c r="L128" s="19" t="s">
        <v>236</v>
      </c>
      <c r="M128" s="20">
        <v>6.0</v>
      </c>
      <c r="N128" s="21">
        <v>25.0</v>
      </c>
      <c r="O128" s="22">
        <v>50.0</v>
      </c>
      <c r="P128" s="9">
        <f t="shared" si="1"/>
        <v>75</v>
      </c>
    </row>
    <row r="129" ht="15.75" customHeight="1">
      <c r="J129" s="9">
        <v>126.0</v>
      </c>
      <c r="K129" s="18" t="s">
        <v>278</v>
      </c>
      <c r="L129" s="19" t="s">
        <v>236</v>
      </c>
      <c r="M129" s="20">
        <v>7.0</v>
      </c>
      <c r="N129" s="21">
        <v>25.0</v>
      </c>
      <c r="O129" s="22">
        <v>50.0</v>
      </c>
      <c r="P129" s="9">
        <f t="shared" si="1"/>
        <v>75</v>
      </c>
    </row>
    <row r="130" ht="15.75" customHeight="1">
      <c r="J130" s="9">
        <v>127.0</v>
      </c>
      <c r="K130" s="18" t="s">
        <v>279</v>
      </c>
      <c r="L130" s="20" t="s">
        <v>236</v>
      </c>
      <c r="M130" s="20">
        <v>8.0</v>
      </c>
      <c r="N130" s="21">
        <v>25.0</v>
      </c>
      <c r="O130" s="22">
        <v>50.0</v>
      </c>
      <c r="P130" s="9">
        <f t="shared" si="1"/>
        <v>75</v>
      </c>
    </row>
    <row r="131" ht="15.75" customHeight="1">
      <c r="J131" s="9">
        <v>128.0</v>
      </c>
      <c r="K131" s="18" t="s">
        <v>280</v>
      </c>
      <c r="L131" s="20" t="s">
        <v>47</v>
      </c>
      <c r="M131" s="20">
        <v>3.0</v>
      </c>
      <c r="N131" s="21">
        <v>25.0</v>
      </c>
      <c r="O131" s="22"/>
      <c r="P131" s="9">
        <f t="shared" si="1"/>
        <v>25</v>
      </c>
    </row>
    <row r="132" ht="15.75" customHeight="1">
      <c r="J132" s="9">
        <v>129.0</v>
      </c>
      <c r="K132" s="18" t="s">
        <v>281</v>
      </c>
      <c r="L132" s="20" t="s">
        <v>47</v>
      </c>
      <c r="M132" s="20">
        <v>1.0</v>
      </c>
      <c r="N132" s="21">
        <v>25.0</v>
      </c>
      <c r="O132" s="22">
        <v>50.0</v>
      </c>
      <c r="P132" s="9">
        <f t="shared" si="1"/>
        <v>75</v>
      </c>
    </row>
    <row r="133" ht="15.75" customHeight="1">
      <c r="J133" s="9">
        <v>130.0</v>
      </c>
      <c r="K133" s="18" t="s">
        <v>282</v>
      </c>
      <c r="L133" s="20" t="s">
        <v>47</v>
      </c>
      <c r="M133" s="20">
        <v>5.0</v>
      </c>
      <c r="N133" s="21">
        <v>25.0</v>
      </c>
      <c r="O133" s="22">
        <v>50.0</v>
      </c>
      <c r="P133" s="9">
        <f t="shared" si="1"/>
        <v>75</v>
      </c>
    </row>
    <row r="134" ht="15.75" customHeight="1">
      <c r="J134" s="9">
        <v>131.0</v>
      </c>
      <c r="K134" s="18" t="s">
        <v>283</v>
      </c>
      <c r="L134" s="20" t="s">
        <v>47</v>
      </c>
      <c r="M134" s="20">
        <v>7.0</v>
      </c>
      <c r="N134" s="21">
        <v>25.0</v>
      </c>
      <c r="O134" s="22"/>
      <c r="P134" s="9">
        <f t="shared" si="1"/>
        <v>25</v>
      </c>
    </row>
    <row r="135" ht="15.75" customHeight="1">
      <c r="J135" s="9">
        <v>132.0</v>
      </c>
      <c r="K135" s="18" t="s">
        <v>284</v>
      </c>
      <c r="L135" s="20" t="s">
        <v>47</v>
      </c>
      <c r="M135" s="20">
        <v>8.0</v>
      </c>
      <c r="N135" s="21">
        <v>25.0</v>
      </c>
      <c r="O135" s="22">
        <v>50.0</v>
      </c>
      <c r="P135" s="9">
        <f t="shared" si="1"/>
        <v>75</v>
      </c>
    </row>
    <row r="136" ht="15.75" customHeight="1">
      <c r="J136" s="9">
        <v>133.0</v>
      </c>
      <c r="K136" s="18" t="s">
        <v>285</v>
      </c>
      <c r="L136" s="20" t="s">
        <v>47</v>
      </c>
      <c r="M136" s="20">
        <v>9.0</v>
      </c>
      <c r="N136" s="21">
        <v>25.0</v>
      </c>
      <c r="O136" s="22">
        <v>50.0</v>
      </c>
      <c r="P136" s="9">
        <f t="shared" si="1"/>
        <v>75</v>
      </c>
    </row>
    <row r="137" ht="15.75" customHeight="1">
      <c r="J137" s="9">
        <v>134.0</v>
      </c>
      <c r="K137" s="18" t="s">
        <v>286</v>
      </c>
      <c r="L137" s="20" t="s">
        <v>47</v>
      </c>
      <c r="M137" s="20">
        <v>12.0</v>
      </c>
      <c r="N137" s="21">
        <v>25.0</v>
      </c>
      <c r="O137" s="22"/>
      <c r="P137" s="9">
        <f t="shared" si="1"/>
        <v>25</v>
      </c>
    </row>
    <row r="138" ht="15.75" customHeight="1">
      <c r="J138" s="9">
        <v>135.0</v>
      </c>
      <c r="K138" s="18" t="s">
        <v>287</v>
      </c>
      <c r="L138" s="19" t="s">
        <v>47</v>
      </c>
      <c r="M138" s="20">
        <v>13.0</v>
      </c>
      <c r="N138" s="21">
        <v>25.0</v>
      </c>
      <c r="O138" s="22">
        <v>50.0</v>
      </c>
      <c r="P138" s="9">
        <f t="shared" si="1"/>
        <v>75</v>
      </c>
    </row>
    <row r="139" ht="15.75" customHeight="1">
      <c r="J139" s="9">
        <v>136.0</v>
      </c>
      <c r="K139" s="18" t="s">
        <v>288</v>
      </c>
      <c r="L139" s="20" t="s">
        <v>47</v>
      </c>
      <c r="M139" s="20" t="s">
        <v>289</v>
      </c>
      <c r="N139" s="21">
        <v>25.0</v>
      </c>
      <c r="O139" s="22"/>
      <c r="P139" s="9">
        <f t="shared" si="1"/>
        <v>25</v>
      </c>
    </row>
    <row r="140" ht="15.75" customHeight="1">
      <c r="J140" s="9">
        <v>137.0</v>
      </c>
      <c r="K140" s="18" t="s">
        <v>290</v>
      </c>
      <c r="L140" s="20" t="s">
        <v>239</v>
      </c>
      <c r="M140" s="20">
        <v>1.0</v>
      </c>
      <c r="N140" s="21">
        <v>25.0</v>
      </c>
      <c r="O140" s="22">
        <v>50.0</v>
      </c>
      <c r="P140" s="9">
        <f t="shared" si="1"/>
        <v>75</v>
      </c>
    </row>
    <row r="141" ht="15.75" customHeight="1">
      <c r="J141" s="9">
        <v>138.0</v>
      </c>
      <c r="K141" s="18" t="s">
        <v>291</v>
      </c>
      <c r="L141" s="20" t="s">
        <v>239</v>
      </c>
      <c r="M141" s="20">
        <v>3.0</v>
      </c>
      <c r="N141" s="21">
        <v>25.0</v>
      </c>
      <c r="O141" s="22">
        <v>50.0</v>
      </c>
      <c r="P141" s="9">
        <f t="shared" si="1"/>
        <v>75</v>
      </c>
    </row>
    <row r="142" ht="15.75" customHeight="1">
      <c r="J142" s="9">
        <v>139.0</v>
      </c>
      <c r="K142" s="18" t="s">
        <v>292</v>
      </c>
      <c r="L142" s="20" t="s">
        <v>239</v>
      </c>
      <c r="M142" s="20">
        <v>4.0</v>
      </c>
      <c r="N142" s="21">
        <v>25.0</v>
      </c>
      <c r="O142" s="22">
        <v>50.0</v>
      </c>
      <c r="P142" s="9">
        <f t="shared" si="1"/>
        <v>75</v>
      </c>
    </row>
    <row r="143" ht="15.75" customHeight="1">
      <c r="J143" s="9">
        <v>140.0</v>
      </c>
      <c r="K143" s="18" t="s">
        <v>293</v>
      </c>
      <c r="L143" s="20" t="s">
        <v>239</v>
      </c>
      <c r="M143" s="20">
        <v>5.0</v>
      </c>
      <c r="N143" s="21">
        <v>25.0</v>
      </c>
      <c r="O143" s="22"/>
      <c r="P143" s="9">
        <f t="shared" si="1"/>
        <v>25</v>
      </c>
    </row>
    <row r="144" ht="15.75" customHeight="1">
      <c r="J144" s="9">
        <v>141.0</v>
      </c>
      <c r="K144" s="18" t="s">
        <v>294</v>
      </c>
      <c r="L144" s="20" t="s">
        <v>239</v>
      </c>
      <c r="M144" s="20">
        <v>6.0</v>
      </c>
      <c r="N144" s="21">
        <v>25.0</v>
      </c>
      <c r="O144" s="22">
        <v>50.0</v>
      </c>
      <c r="P144" s="9">
        <f t="shared" si="1"/>
        <v>75</v>
      </c>
    </row>
    <row r="145" ht="15.75" customHeight="1">
      <c r="J145" s="9">
        <v>142.0</v>
      </c>
      <c r="K145" s="18" t="s">
        <v>295</v>
      </c>
      <c r="L145" s="19" t="s">
        <v>239</v>
      </c>
      <c r="M145" s="20">
        <v>7.0</v>
      </c>
      <c r="N145" s="21">
        <v>25.0</v>
      </c>
      <c r="O145" s="22"/>
      <c r="P145" s="9">
        <f t="shared" si="1"/>
        <v>25</v>
      </c>
    </row>
    <row r="146" ht="15.75" customHeight="1">
      <c r="J146" s="9">
        <v>143.0</v>
      </c>
      <c r="K146" s="18" t="s">
        <v>296</v>
      </c>
      <c r="L146" s="19" t="s">
        <v>239</v>
      </c>
      <c r="M146" s="20">
        <v>8.0</v>
      </c>
      <c r="N146" s="21">
        <v>25.0</v>
      </c>
      <c r="O146" s="22">
        <v>50.0</v>
      </c>
      <c r="P146" s="9">
        <f t="shared" si="1"/>
        <v>75</v>
      </c>
    </row>
    <row r="147" ht="15.75" customHeight="1">
      <c r="J147" s="9">
        <v>144.0</v>
      </c>
      <c r="K147" s="18" t="s">
        <v>297</v>
      </c>
      <c r="L147" s="19" t="s">
        <v>239</v>
      </c>
      <c r="M147" s="20">
        <v>9.0</v>
      </c>
      <c r="N147" s="21">
        <v>25.0</v>
      </c>
      <c r="O147" s="22">
        <v>50.0</v>
      </c>
      <c r="P147" s="9">
        <f t="shared" si="1"/>
        <v>75</v>
      </c>
    </row>
    <row r="148" ht="15.75" customHeight="1">
      <c r="J148" s="9">
        <v>145.0</v>
      </c>
      <c r="K148" s="18" t="s">
        <v>298</v>
      </c>
      <c r="L148" s="19" t="s">
        <v>239</v>
      </c>
      <c r="M148" s="20">
        <v>10.0</v>
      </c>
      <c r="N148" s="21">
        <v>25.0</v>
      </c>
      <c r="O148" s="22">
        <v>50.0</v>
      </c>
      <c r="P148" s="9">
        <f t="shared" si="1"/>
        <v>75</v>
      </c>
    </row>
    <row r="149" ht="15.75" customHeight="1">
      <c r="J149" s="9">
        <v>146.0</v>
      </c>
      <c r="K149" s="18" t="s">
        <v>299</v>
      </c>
      <c r="L149" s="20" t="s">
        <v>58</v>
      </c>
      <c r="M149" s="20">
        <v>1.0</v>
      </c>
      <c r="N149" s="21">
        <v>25.0</v>
      </c>
      <c r="O149" s="22">
        <v>50.0</v>
      </c>
      <c r="P149" s="9">
        <f t="shared" si="1"/>
        <v>75</v>
      </c>
    </row>
    <row r="150" ht="15.75" customHeight="1">
      <c r="J150" s="9">
        <v>147.0</v>
      </c>
      <c r="K150" s="18" t="s">
        <v>300</v>
      </c>
      <c r="L150" s="20" t="s">
        <v>58</v>
      </c>
      <c r="M150" s="20">
        <v>3.0</v>
      </c>
      <c r="N150" s="21">
        <v>25.0</v>
      </c>
      <c r="O150" s="22"/>
      <c r="P150" s="9">
        <f t="shared" si="1"/>
        <v>25</v>
      </c>
    </row>
    <row r="151" ht="15.75" customHeight="1">
      <c r="J151" s="9">
        <v>148.0</v>
      </c>
      <c r="K151" s="18" t="s">
        <v>301</v>
      </c>
      <c r="L151" s="20" t="s">
        <v>58</v>
      </c>
      <c r="M151" s="20">
        <v>4.0</v>
      </c>
      <c r="N151" s="21">
        <v>25.0</v>
      </c>
      <c r="O151" s="22"/>
      <c r="P151" s="9">
        <f t="shared" si="1"/>
        <v>25</v>
      </c>
    </row>
    <row r="152" ht="15.75" customHeight="1">
      <c r="J152" s="9">
        <v>149.0</v>
      </c>
      <c r="K152" s="18" t="s">
        <v>302</v>
      </c>
      <c r="L152" s="20" t="s">
        <v>58</v>
      </c>
      <c r="M152" s="20">
        <v>5.0</v>
      </c>
      <c r="N152" s="21">
        <v>25.0</v>
      </c>
      <c r="O152" s="22"/>
      <c r="P152" s="9">
        <f t="shared" si="1"/>
        <v>25</v>
      </c>
    </row>
    <row r="153" ht="15.75" customHeight="1">
      <c r="J153" s="9">
        <v>150.0</v>
      </c>
      <c r="K153" s="27" t="s">
        <v>303</v>
      </c>
      <c r="L153" s="19" t="s">
        <v>58</v>
      </c>
      <c r="M153" s="20">
        <v>7.0</v>
      </c>
      <c r="N153" s="21">
        <v>25.0</v>
      </c>
      <c r="O153" s="22">
        <v>50.0</v>
      </c>
      <c r="P153" s="9">
        <f t="shared" si="1"/>
        <v>75</v>
      </c>
    </row>
    <row r="154" ht="15.75" customHeight="1">
      <c r="J154" s="9">
        <v>151.0</v>
      </c>
      <c r="K154" s="18" t="s">
        <v>304</v>
      </c>
      <c r="L154" s="20" t="s">
        <v>58</v>
      </c>
      <c r="M154" s="20">
        <v>8.0</v>
      </c>
      <c r="N154" s="21">
        <v>25.0</v>
      </c>
      <c r="O154" s="22">
        <v>50.0</v>
      </c>
      <c r="P154" s="9">
        <f t="shared" si="1"/>
        <v>75</v>
      </c>
    </row>
    <row r="155" ht="15.75" customHeight="1">
      <c r="J155" s="9">
        <v>152.0</v>
      </c>
      <c r="K155" s="27" t="s">
        <v>305</v>
      </c>
      <c r="L155" s="19" t="s">
        <v>58</v>
      </c>
      <c r="M155" s="20">
        <v>9.0</v>
      </c>
      <c r="N155" s="21">
        <v>25.0</v>
      </c>
      <c r="O155" s="22">
        <v>50.0</v>
      </c>
      <c r="P155" s="9">
        <f t="shared" si="1"/>
        <v>75</v>
      </c>
    </row>
    <row r="156" ht="15.75" customHeight="1">
      <c r="J156" s="9">
        <v>153.0</v>
      </c>
      <c r="K156" s="27" t="s">
        <v>306</v>
      </c>
      <c r="L156" s="19" t="s">
        <v>58</v>
      </c>
      <c r="M156" s="20">
        <v>11.0</v>
      </c>
      <c r="N156" s="21">
        <v>25.0</v>
      </c>
      <c r="O156" s="22">
        <v>50.0</v>
      </c>
      <c r="P156" s="9">
        <f t="shared" si="1"/>
        <v>75</v>
      </c>
    </row>
    <row r="157" ht="15.75" customHeight="1">
      <c r="J157" s="9">
        <v>154.0</v>
      </c>
      <c r="K157" s="18" t="s">
        <v>307</v>
      </c>
      <c r="L157" s="20" t="s">
        <v>58</v>
      </c>
      <c r="M157" s="20">
        <v>18.0</v>
      </c>
      <c r="N157" s="21">
        <v>25.0</v>
      </c>
      <c r="O157" s="22">
        <v>50.0</v>
      </c>
      <c r="P157" s="9">
        <f t="shared" si="1"/>
        <v>75</v>
      </c>
    </row>
    <row r="158" ht="15.75" customHeight="1">
      <c r="J158" s="9">
        <v>155.0</v>
      </c>
      <c r="K158" s="27" t="s">
        <v>308</v>
      </c>
      <c r="L158" s="19" t="s">
        <v>58</v>
      </c>
      <c r="M158" s="20">
        <v>19.0</v>
      </c>
      <c r="N158" s="21">
        <v>25.0</v>
      </c>
      <c r="O158" s="22">
        <v>50.0</v>
      </c>
      <c r="P158" s="9">
        <f t="shared" si="1"/>
        <v>75</v>
      </c>
    </row>
    <row r="159" ht="15.75" customHeight="1">
      <c r="J159" s="9">
        <v>156.0</v>
      </c>
      <c r="K159" s="27" t="s">
        <v>309</v>
      </c>
      <c r="L159" s="19" t="s">
        <v>58</v>
      </c>
      <c r="M159" s="20">
        <v>20.0</v>
      </c>
      <c r="N159" s="21">
        <v>25.0</v>
      </c>
      <c r="O159" s="22">
        <v>50.0</v>
      </c>
      <c r="P159" s="9">
        <f t="shared" si="1"/>
        <v>75</v>
      </c>
    </row>
    <row r="160" ht="15.75" customHeight="1">
      <c r="J160" s="9">
        <v>157.0</v>
      </c>
      <c r="K160" s="27" t="s">
        <v>310</v>
      </c>
      <c r="L160" s="19" t="s">
        <v>58</v>
      </c>
      <c r="M160" s="20">
        <v>21.0</v>
      </c>
      <c r="N160" s="21">
        <v>25.0</v>
      </c>
      <c r="O160" s="22">
        <v>50.0</v>
      </c>
      <c r="P160" s="9">
        <f t="shared" si="1"/>
        <v>75</v>
      </c>
    </row>
    <row r="161" ht="15.75" customHeight="1">
      <c r="J161" s="9">
        <v>158.0</v>
      </c>
      <c r="K161" s="27" t="s">
        <v>311</v>
      </c>
      <c r="L161" s="19" t="s">
        <v>58</v>
      </c>
      <c r="M161" s="20">
        <v>22.0</v>
      </c>
      <c r="N161" s="21">
        <v>25.0</v>
      </c>
      <c r="O161" s="22">
        <v>50.0</v>
      </c>
      <c r="P161" s="9">
        <f t="shared" si="1"/>
        <v>75</v>
      </c>
    </row>
    <row r="162" ht="15.75" customHeight="1">
      <c r="J162" s="9">
        <v>159.0</v>
      </c>
      <c r="K162" s="27" t="s">
        <v>312</v>
      </c>
      <c r="L162" s="19" t="s">
        <v>58</v>
      </c>
      <c r="M162" s="20">
        <v>23.0</v>
      </c>
      <c r="N162" s="21">
        <v>25.0</v>
      </c>
      <c r="O162" s="22">
        <v>50.0</v>
      </c>
      <c r="P162" s="9">
        <f t="shared" si="1"/>
        <v>75</v>
      </c>
    </row>
    <row r="163" ht="15.75" customHeight="1">
      <c r="J163" s="9">
        <v>160.0</v>
      </c>
      <c r="K163" s="18" t="s">
        <v>313</v>
      </c>
      <c r="L163" s="19" t="s">
        <v>58</v>
      </c>
      <c r="M163" s="20" t="s">
        <v>314</v>
      </c>
      <c r="N163" s="21">
        <v>25.0</v>
      </c>
      <c r="O163" s="22"/>
      <c r="P163" s="9">
        <f t="shared" si="1"/>
        <v>25</v>
      </c>
    </row>
    <row r="164" ht="15.75" customHeight="1">
      <c r="J164" s="9">
        <v>161.0</v>
      </c>
      <c r="K164" s="27" t="s">
        <v>315</v>
      </c>
      <c r="L164" s="19" t="s">
        <v>58</v>
      </c>
      <c r="M164" s="20" t="s">
        <v>316</v>
      </c>
      <c r="N164" s="21">
        <v>25.0</v>
      </c>
      <c r="O164" s="22"/>
      <c r="P164" s="9">
        <f t="shared" si="1"/>
        <v>25</v>
      </c>
    </row>
    <row r="165" ht="15.75" customHeight="1">
      <c r="J165" s="9">
        <v>162.0</v>
      </c>
      <c r="K165" s="27" t="s">
        <v>317</v>
      </c>
      <c r="L165" s="19" t="s">
        <v>245</v>
      </c>
      <c r="M165" s="20">
        <v>1.0</v>
      </c>
      <c r="N165" s="21">
        <v>25.0</v>
      </c>
      <c r="O165" s="22">
        <v>50.0</v>
      </c>
      <c r="P165" s="9">
        <f t="shared" si="1"/>
        <v>75</v>
      </c>
    </row>
    <row r="166" ht="15.75" customHeight="1">
      <c r="J166" s="9">
        <v>163.0</v>
      </c>
      <c r="K166" s="27" t="s">
        <v>318</v>
      </c>
      <c r="L166" s="19" t="s">
        <v>319</v>
      </c>
      <c r="M166" s="20">
        <v>2.0</v>
      </c>
      <c r="N166" s="21">
        <v>25.0</v>
      </c>
      <c r="O166" s="22"/>
      <c r="P166" s="9">
        <f t="shared" si="1"/>
        <v>25</v>
      </c>
    </row>
    <row r="167" ht="15.75" customHeight="1">
      <c r="J167" s="9">
        <v>164.0</v>
      </c>
      <c r="K167" s="27" t="s">
        <v>320</v>
      </c>
      <c r="L167" s="19" t="s">
        <v>245</v>
      </c>
      <c r="M167" s="20">
        <v>3.0</v>
      </c>
      <c r="N167" s="21">
        <v>25.0</v>
      </c>
      <c r="O167" s="22">
        <v>50.0</v>
      </c>
      <c r="P167" s="9">
        <f t="shared" si="1"/>
        <v>75</v>
      </c>
    </row>
    <row r="168" ht="15.75" customHeight="1">
      <c r="J168" s="9">
        <v>165.0</v>
      </c>
      <c r="K168" s="27" t="s">
        <v>321</v>
      </c>
      <c r="L168" s="19" t="s">
        <v>245</v>
      </c>
      <c r="M168" s="20">
        <v>4.0</v>
      </c>
      <c r="N168" s="21">
        <v>25.0</v>
      </c>
      <c r="O168" s="22"/>
      <c r="P168" s="9">
        <f t="shared" si="1"/>
        <v>25</v>
      </c>
    </row>
    <row r="169" ht="15.75" customHeight="1">
      <c r="J169" s="9">
        <v>166.0</v>
      </c>
      <c r="K169" s="18" t="s">
        <v>322</v>
      </c>
      <c r="L169" s="19" t="s">
        <v>245</v>
      </c>
      <c r="M169" s="20">
        <v>5.0</v>
      </c>
      <c r="N169" s="21">
        <v>25.0</v>
      </c>
      <c r="O169" s="22"/>
      <c r="P169" s="9">
        <f t="shared" si="1"/>
        <v>25</v>
      </c>
    </row>
    <row r="170" ht="15.75" customHeight="1">
      <c r="J170" s="9">
        <v>167.0</v>
      </c>
      <c r="K170" s="18" t="s">
        <v>323</v>
      </c>
      <c r="L170" s="19" t="s">
        <v>245</v>
      </c>
      <c r="M170" s="20">
        <v>6.0</v>
      </c>
      <c r="N170" s="21">
        <v>25.0</v>
      </c>
      <c r="O170" s="22"/>
      <c r="P170" s="9">
        <f t="shared" si="1"/>
        <v>25</v>
      </c>
    </row>
    <row r="171" ht="15.75" customHeight="1">
      <c r="J171" s="9">
        <v>168.0</v>
      </c>
      <c r="K171" s="18" t="s">
        <v>324</v>
      </c>
      <c r="L171" s="19" t="s">
        <v>325</v>
      </c>
      <c r="M171" s="20">
        <v>7.0</v>
      </c>
      <c r="N171" s="21">
        <v>25.0</v>
      </c>
      <c r="O171" s="22"/>
      <c r="P171" s="9">
        <f t="shared" si="1"/>
        <v>25</v>
      </c>
    </row>
    <row r="172" ht="15.75" customHeight="1">
      <c r="J172" s="9">
        <v>169.0</v>
      </c>
      <c r="K172" s="18" t="s">
        <v>326</v>
      </c>
      <c r="L172" s="19" t="s">
        <v>325</v>
      </c>
      <c r="M172" s="20">
        <v>8.0</v>
      </c>
      <c r="N172" s="21">
        <v>25.0</v>
      </c>
      <c r="O172" s="22"/>
      <c r="P172" s="9">
        <f t="shared" si="1"/>
        <v>25</v>
      </c>
    </row>
    <row r="173" ht="15.75" customHeight="1">
      <c r="J173" s="9">
        <v>170.0</v>
      </c>
      <c r="K173" s="18" t="s">
        <v>327</v>
      </c>
      <c r="L173" s="19" t="s">
        <v>245</v>
      </c>
      <c r="M173" s="20">
        <v>11.0</v>
      </c>
      <c r="N173" s="21">
        <v>25.0</v>
      </c>
      <c r="O173" s="22"/>
      <c r="P173" s="9">
        <f t="shared" si="1"/>
        <v>25</v>
      </c>
    </row>
    <row r="174" ht="15.75" customHeight="1">
      <c r="J174" s="9">
        <v>171.0</v>
      </c>
      <c r="K174" s="18" t="s">
        <v>328</v>
      </c>
      <c r="L174" s="19" t="s">
        <v>245</v>
      </c>
      <c r="M174" s="20">
        <v>12.0</v>
      </c>
      <c r="N174" s="21">
        <v>25.0</v>
      </c>
      <c r="O174" s="22"/>
      <c r="P174" s="9">
        <f t="shared" si="1"/>
        <v>25</v>
      </c>
    </row>
    <row r="175" ht="15.75" customHeight="1">
      <c r="J175" s="9">
        <v>172.0</v>
      </c>
      <c r="K175" s="18" t="s">
        <v>329</v>
      </c>
      <c r="L175" s="20" t="s">
        <v>245</v>
      </c>
      <c r="M175" s="20">
        <v>15.0</v>
      </c>
      <c r="N175" s="21">
        <v>25.0</v>
      </c>
      <c r="O175" s="22">
        <v>50.0</v>
      </c>
      <c r="P175" s="9">
        <f t="shared" si="1"/>
        <v>75</v>
      </c>
    </row>
    <row r="176" ht="15.75" customHeight="1">
      <c r="J176" s="9">
        <v>173.0</v>
      </c>
      <c r="K176" s="18" t="s">
        <v>330</v>
      </c>
      <c r="L176" s="20" t="s">
        <v>78</v>
      </c>
      <c r="M176" s="20">
        <v>1.0</v>
      </c>
      <c r="N176" s="21">
        <v>25.0</v>
      </c>
      <c r="O176" s="22">
        <v>50.0</v>
      </c>
      <c r="P176" s="9">
        <f t="shared" si="1"/>
        <v>75</v>
      </c>
    </row>
    <row r="177" ht="15.75" customHeight="1">
      <c r="J177" s="9">
        <v>174.0</v>
      </c>
      <c r="K177" s="27" t="s">
        <v>331</v>
      </c>
      <c r="L177" s="19" t="s">
        <v>78</v>
      </c>
      <c r="M177" s="20">
        <v>2.0</v>
      </c>
      <c r="N177" s="21">
        <v>25.0</v>
      </c>
      <c r="O177" s="22">
        <v>50.0</v>
      </c>
      <c r="P177" s="9">
        <f t="shared" si="1"/>
        <v>75</v>
      </c>
    </row>
    <row r="178" ht="15.75" customHeight="1">
      <c r="J178" s="9">
        <v>175.0</v>
      </c>
      <c r="K178" s="27" t="s">
        <v>332</v>
      </c>
      <c r="L178" s="19" t="s">
        <v>78</v>
      </c>
      <c r="M178" s="20">
        <v>3.0</v>
      </c>
      <c r="N178" s="21">
        <v>25.0</v>
      </c>
      <c r="O178" s="22">
        <v>50.0</v>
      </c>
      <c r="P178" s="9">
        <f t="shared" si="1"/>
        <v>75</v>
      </c>
    </row>
    <row r="179" ht="15.75" customHeight="1">
      <c r="J179" s="9">
        <v>176.0</v>
      </c>
      <c r="K179" s="18" t="s">
        <v>333</v>
      </c>
      <c r="L179" s="20" t="s">
        <v>78</v>
      </c>
      <c r="M179" s="20">
        <v>4.0</v>
      </c>
      <c r="N179" s="21">
        <v>25.0</v>
      </c>
      <c r="O179" s="22">
        <v>50.0</v>
      </c>
      <c r="P179" s="9">
        <f t="shared" si="1"/>
        <v>75</v>
      </c>
    </row>
    <row r="180" ht="15.75" customHeight="1">
      <c r="J180" s="9">
        <v>177.0</v>
      </c>
      <c r="K180" s="18" t="s">
        <v>334</v>
      </c>
      <c r="L180" s="20" t="s">
        <v>78</v>
      </c>
      <c r="M180" s="20">
        <v>5.0</v>
      </c>
      <c r="N180" s="21">
        <v>25.0</v>
      </c>
      <c r="O180" s="22">
        <v>50.0</v>
      </c>
      <c r="P180" s="9">
        <f t="shared" si="1"/>
        <v>75</v>
      </c>
    </row>
    <row r="181" ht="15.75" customHeight="1">
      <c r="J181" s="9">
        <v>178.0</v>
      </c>
      <c r="K181" s="27" t="s">
        <v>335</v>
      </c>
      <c r="L181" s="19" t="s">
        <v>78</v>
      </c>
      <c r="M181" s="20">
        <v>6.0</v>
      </c>
      <c r="N181" s="21">
        <v>25.0</v>
      </c>
      <c r="O181" s="22"/>
      <c r="P181" s="9">
        <f t="shared" si="1"/>
        <v>25</v>
      </c>
    </row>
    <row r="182" ht="15.75" customHeight="1">
      <c r="J182" s="9">
        <v>179.0</v>
      </c>
      <c r="K182" s="27" t="s">
        <v>336</v>
      </c>
      <c r="L182" s="19" t="s">
        <v>78</v>
      </c>
      <c r="M182" s="20">
        <v>7.0</v>
      </c>
      <c r="N182" s="21">
        <v>25.0</v>
      </c>
      <c r="O182" s="22">
        <v>50.0</v>
      </c>
      <c r="P182" s="9">
        <f t="shared" si="1"/>
        <v>75</v>
      </c>
    </row>
    <row r="183" ht="15.75" customHeight="1">
      <c r="J183" s="9">
        <v>180.0</v>
      </c>
      <c r="K183" s="18" t="s">
        <v>337</v>
      </c>
      <c r="L183" s="20" t="s">
        <v>78</v>
      </c>
      <c r="M183" s="20">
        <v>8.0</v>
      </c>
      <c r="N183" s="21">
        <v>25.0</v>
      </c>
      <c r="O183" s="22">
        <v>50.0</v>
      </c>
      <c r="P183" s="9">
        <f t="shared" si="1"/>
        <v>75</v>
      </c>
    </row>
    <row r="184" ht="15.75" customHeight="1">
      <c r="J184" s="9">
        <v>181.0</v>
      </c>
      <c r="K184" s="27" t="s">
        <v>338</v>
      </c>
      <c r="L184" s="19" t="s">
        <v>78</v>
      </c>
      <c r="M184" s="20">
        <v>9.0</v>
      </c>
      <c r="N184" s="21">
        <v>25.0</v>
      </c>
      <c r="O184" s="22"/>
      <c r="P184" s="9">
        <f t="shared" si="1"/>
        <v>25</v>
      </c>
    </row>
    <row r="185" ht="15.75" customHeight="1">
      <c r="J185" s="9">
        <v>182.0</v>
      </c>
      <c r="K185" s="18" t="s">
        <v>339</v>
      </c>
      <c r="L185" s="20" t="s">
        <v>78</v>
      </c>
      <c r="M185" s="20">
        <v>10.0</v>
      </c>
      <c r="N185" s="21">
        <v>25.0</v>
      </c>
      <c r="O185" s="22"/>
      <c r="P185" s="9">
        <f t="shared" si="1"/>
        <v>25</v>
      </c>
    </row>
    <row r="186" ht="15.75" customHeight="1">
      <c r="J186" s="9">
        <v>183.0</v>
      </c>
      <c r="K186" s="18" t="s">
        <v>340</v>
      </c>
      <c r="L186" s="20" t="s">
        <v>78</v>
      </c>
      <c r="M186" s="20">
        <v>11.0</v>
      </c>
      <c r="N186" s="21">
        <v>25.0</v>
      </c>
      <c r="O186" s="22"/>
      <c r="P186" s="9">
        <f t="shared" si="1"/>
        <v>25</v>
      </c>
    </row>
    <row r="187" ht="15.75" customHeight="1">
      <c r="J187" s="9">
        <v>184.0</v>
      </c>
      <c r="K187" s="27" t="s">
        <v>341</v>
      </c>
      <c r="L187" s="19" t="s">
        <v>78</v>
      </c>
      <c r="M187" s="20">
        <v>12.0</v>
      </c>
      <c r="N187" s="21">
        <v>25.0</v>
      </c>
      <c r="O187" s="22"/>
      <c r="P187" s="9">
        <f t="shared" si="1"/>
        <v>25</v>
      </c>
    </row>
    <row r="188" ht="15.75" customHeight="1">
      <c r="J188" s="9">
        <v>185.0</v>
      </c>
      <c r="K188" s="18" t="s">
        <v>342</v>
      </c>
      <c r="L188" s="20" t="s">
        <v>78</v>
      </c>
      <c r="M188" s="20">
        <v>13.0</v>
      </c>
      <c r="N188" s="21">
        <v>25.0</v>
      </c>
      <c r="O188" s="22">
        <v>50.0</v>
      </c>
      <c r="P188" s="9">
        <f t="shared" si="1"/>
        <v>75</v>
      </c>
    </row>
    <row r="189" ht="15.75" customHeight="1">
      <c r="J189" s="9">
        <v>186.0</v>
      </c>
      <c r="K189" s="18" t="s">
        <v>343</v>
      </c>
      <c r="L189" s="20" t="s">
        <v>78</v>
      </c>
      <c r="M189" s="20">
        <v>14.0</v>
      </c>
      <c r="N189" s="21">
        <v>25.0</v>
      </c>
      <c r="O189" s="22">
        <v>50.0</v>
      </c>
      <c r="P189" s="9">
        <f t="shared" si="1"/>
        <v>75</v>
      </c>
    </row>
    <row r="190" ht="15.75" customHeight="1">
      <c r="J190" s="9">
        <v>187.0</v>
      </c>
      <c r="K190" s="18" t="s">
        <v>344</v>
      </c>
      <c r="L190" s="20" t="s">
        <v>78</v>
      </c>
      <c r="M190" s="20">
        <v>15.0</v>
      </c>
      <c r="N190" s="21">
        <v>25.0</v>
      </c>
      <c r="O190" s="22">
        <v>50.0</v>
      </c>
      <c r="P190" s="9">
        <f t="shared" si="1"/>
        <v>75</v>
      </c>
    </row>
    <row r="191" ht="15.75" customHeight="1">
      <c r="J191" s="9">
        <v>188.0</v>
      </c>
      <c r="K191" s="27" t="s">
        <v>345</v>
      </c>
      <c r="L191" s="19" t="s">
        <v>78</v>
      </c>
      <c r="M191" s="20">
        <v>18.0</v>
      </c>
      <c r="N191" s="21">
        <v>25.0</v>
      </c>
      <c r="O191" s="22">
        <v>50.0</v>
      </c>
      <c r="P191" s="9">
        <f t="shared" si="1"/>
        <v>75</v>
      </c>
    </row>
    <row r="192" ht="15.75" customHeight="1">
      <c r="J192" s="9">
        <v>189.0</v>
      </c>
      <c r="K192" s="27" t="s">
        <v>346</v>
      </c>
      <c r="L192" s="19" t="s">
        <v>78</v>
      </c>
      <c r="M192" s="20">
        <v>19.0</v>
      </c>
      <c r="N192" s="21">
        <v>25.0</v>
      </c>
      <c r="O192" s="22">
        <v>50.0</v>
      </c>
      <c r="P192" s="9">
        <f t="shared" si="1"/>
        <v>75</v>
      </c>
    </row>
    <row r="193" ht="15.75" customHeight="1">
      <c r="J193" s="9">
        <v>190.0</v>
      </c>
      <c r="K193" s="27" t="s">
        <v>347</v>
      </c>
      <c r="L193" s="19" t="s">
        <v>78</v>
      </c>
      <c r="M193" s="20">
        <v>20.0</v>
      </c>
      <c r="N193" s="21">
        <v>25.0</v>
      </c>
      <c r="O193" s="22"/>
      <c r="P193" s="9">
        <f t="shared" si="1"/>
        <v>25</v>
      </c>
    </row>
    <row r="194" ht="15.75" customHeight="1">
      <c r="J194" s="9">
        <v>191.0</v>
      </c>
      <c r="K194" s="27" t="s">
        <v>348</v>
      </c>
      <c r="L194" s="19" t="s">
        <v>78</v>
      </c>
      <c r="M194" s="20">
        <v>21.0</v>
      </c>
      <c r="N194" s="21">
        <v>25.0</v>
      </c>
      <c r="O194" s="22"/>
      <c r="P194" s="9">
        <f t="shared" si="1"/>
        <v>25</v>
      </c>
    </row>
    <row r="195" ht="15.75" customHeight="1">
      <c r="J195" s="9">
        <v>192.0</v>
      </c>
      <c r="K195" s="27" t="s">
        <v>349</v>
      </c>
      <c r="L195" s="19" t="s">
        <v>78</v>
      </c>
      <c r="M195" s="20">
        <v>22.0</v>
      </c>
      <c r="N195" s="21">
        <v>25.0</v>
      </c>
      <c r="O195" s="22"/>
      <c r="P195" s="9">
        <f t="shared" si="1"/>
        <v>25</v>
      </c>
    </row>
    <row r="196" ht="15.75" customHeight="1">
      <c r="J196" s="9">
        <v>193.0</v>
      </c>
      <c r="K196" s="27" t="s">
        <v>350</v>
      </c>
      <c r="L196" s="19" t="s">
        <v>241</v>
      </c>
      <c r="M196" s="20">
        <v>1.0</v>
      </c>
      <c r="N196" s="21">
        <v>25.0</v>
      </c>
      <c r="O196" s="22">
        <v>50.0</v>
      </c>
      <c r="P196" s="9">
        <f t="shared" si="1"/>
        <v>75</v>
      </c>
    </row>
    <row r="197" ht="15.75" customHeight="1">
      <c r="J197" s="9">
        <v>194.0</v>
      </c>
      <c r="K197" s="27" t="s">
        <v>351</v>
      </c>
      <c r="L197" s="19" t="s">
        <v>352</v>
      </c>
      <c r="M197" s="20">
        <v>2.0</v>
      </c>
      <c r="N197" s="21">
        <v>25.0</v>
      </c>
      <c r="O197" s="22"/>
      <c r="P197" s="9">
        <f t="shared" si="1"/>
        <v>25</v>
      </c>
    </row>
    <row r="198" ht="15.75" customHeight="1">
      <c r="J198" s="9">
        <v>195.0</v>
      </c>
      <c r="K198" s="27" t="s">
        <v>353</v>
      </c>
      <c r="L198" s="19" t="s">
        <v>241</v>
      </c>
      <c r="M198" s="20">
        <v>3.0</v>
      </c>
      <c r="N198" s="21">
        <v>25.0</v>
      </c>
      <c r="O198" s="22"/>
      <c r="P198" s="9">
        <f t="shared" si="1"/>
        <v>25</v>
      </c>
    </row>
    <row r="199" ht="15.75" customHeight="1">
      <c r="J199" s="9">
        <v>196.0</v>
      </c>
      <c r="K199" s="27" t="s">
        <v>354</v>
      </c>
      <c r="L199" s="19" t="s">
        <v>241</v>
      </c>
      <c r="M199" s="20">
        <v>4.0</v>
      </c>
      <c r="N199" s="21">
        <v>25.0</v>
      </c>
      <c r="O199" s="22">
        <v>50.0</v>
      </c>
      <c r="P199" s="9">
        <f t="shared" si="1"/>
        <v>75</v>
      </c>
    </row>
    <row r="200" ht="15.75" customHeight="1">
      <c r="J200" s="9">
        <v>197.0</v>
      </c>
      <c r="K200" s="27" t="s">
        <v>355</v>
      </c>
      <c r="L200" s="19" t="s">
        <v>241</v>
      </c>
      <c r="M200" s="20">
        <v>5.0</v>
      </c>
      <c r="N200" s="21">
        <v>25.0</v>
      </c>
      <c r="O200" s="22">
        <v>50.0</v>
      </c>
      <c r="P200" s="9">
        <f t="shared" si="1"/>
        <v>75</v>
      </c>
    </row>
    <row r="201" ht="15.75" customHeight="1">
      <c r="J201" s="9">
        <v>198.0</v>
      </c>
      <c r="K201" s="18" t="s">
        <v>356</v>
      </c>
      <c r="L201" s="20" t="s">
        <v>241</v>
      </c>
      <c r="M201" s="20">
        <v>6.0</v>
      </c>
      <c r="N201" s="21">
        <v>25.0</v>
      </c>
      <c r="O201" s="22">
        <v>50.0</v>
      </c>
      <c r="P201" s="9">
        <f t="shared" si="1"/>
        <v>75</v>
      </c>
    </row>
    <row r="202" ht="15.75" customHeight="1">
      <c r="J202" s="9">
        <v>199.0</v>
      </c>
      <c r="K202" s="18" t="s">
        <v>357</v>
      </c>
      <c r="L202" s="20" t="s">
        <v>241</v>
      </c>
      <c r="M202" s="20">
        <v>7.0</v>
      </c>
      <c r="N202" s="21">
        <v>25.0</v>
      </c>
      <c r="O202" s="22"/>
      <c r="P202" s="9">
        <f t="shared" si="1"/>
        <v>25</v>
      </c>
    </row>
    <row r="203" ht="15.75" customHeight="1">
      <c r="J203" s="9">
        <v>200.0</v>
      </c>
      <c r="K203" s="18" t="s">
        <v>358</v>
      </c>
      <c r="L203" s="19" t="s">
        <v>241</v>
      </c>
      <c r="M203" s="20">
        <v>10.0</v>
      </c>
      <c r="N203" s="21">
        <v>25.0</v>
      </c>
      <c r="O203" s="22">
        <v>45.0</v>
      </c>
      <c r="P203" s="9">
        <f t="shared" si="1"/>
        <v>70</v>
      </c>
    </row>
    <row r="204" ht="15.75" customHeight="1">
      <c r="J204" s="9">
        <v>201.0</v>
      </c>
      <c r="K204" s="18" t="s">
        <v>359</v>
      </c>
      <c r="L204" s="19" t="s">
        <v>360</v>
      </c>
      <c r="M204" s="20">
        <v>8.0</v>
      </c>
      <c r="N204" s="21">
        <v>25.0</v>
      </c>
      <c r="O204" s="22">
        <v>50.0</v>
      </c>
      <c r="P204" s="9">
        <f t="shared" si="1"/>
        <v>75</v>
      </c>
    </row>
    <row r="205" ht="15.75" customHeight="1">
      <c r="J205" s="9">
        <v>202.0</v>
      </c>
      <c r="K205" s="18" t="s">
        <v>361</v>
      </c>
      <c r="L205" s="19" t="s">
        <v>360</v>
      </c>
      <c r="M205" s="20">
        <v>9.0</v>
      </c>
      <c r="N205" s="21">
        <v>25.0</v>
      </c>
      <c r="O205" s="22">
        <v>50.0</v>
      </c>
      <c r="P205" s="9">
        <f t="shared" si="1"/>
        <v>75</v>
      </c>
    </row>
    <row r="206" ht="15.75" customHeight="1">
      <c r="J206" s="9">
        <v>203.0</v>
      </c>
      <c r="K206" s="18" t="s">
        <v>362</v>
      </c>
      <c r="L206" s="20" t="s">
        <v>363</v>
      </c>
      <c r="M206" s="20">
        <v>1.0</v>
      </c>
      <c r="N206" s="21">
        <v>25.0</v>
      </c>
      <c r="O206" s="22">
        <v>50.0</v>
      </c>
      <c r="P206" s="9">
        <f t="shared" si="1"/>
        <v>75</v>
      </c>
    </row>
    <row r="207" ht="15.75" customHeight="1">
      <c r="J207" s="9">
        <v>204.0</v>
      </c>
      <c r="K207" s="18" t="s">
        <v>364</v>
      </c>
      <c r="L207" s="20" t="s">
        <v>363</v>
      </c>
      <c r="M207" s="20">
        <v>2.0</v>
      </c>
      <c r="N207" s="21">
        <v>25.0</v>
      </c>
      <c r="O207" s="22">
        <v>50.0</v>
      </c>
      <c r="P207" s="9">
        <f t="shared" si="1"/>
        <v>75</v>
      </c>
    </row>
    <row r="208" ht="15.75" customHeight="1">
      <c r="J208" s="9">
        <v>205.0</v>
      </c>
      <c r="K208" s="18" t="s">
        <v>365</v>
      </c>
      <c r="L208" s="20" t="s">
        <v>363</v>
      </c>
      <c r="M208" s="20" t="s">
        <v>261</v>
      </c>
      <c r="N208" s="21">
        <v>25.0</v>
      </c>
      <c r="O208" s="22">
        <v>50.0</v>
      </c>
      <c r="P208" s="9">
        <f t="shared" si="1"/>
        <v>75</v>
      </c>
    </row>
    <row r="209" ht="15.75" customHeight="1">
      <c r="J209" s="9">
        <v>206.0</v>
      </c>
      <c r="K209" s="18" t="s">
        <v>366</v>
      </c>
      <c r="L209" s="20" t="s">
        <v>363</v>
      </c>
      <c r="M209" s="20">
        <v>4.0</v>
      </c>
      <c r="N209" s="21">
        <v>25.0</v>
      </c>
      <c r="O209" s="22">
        <v>50.0</v>
      </c>
      <c r="P209" s="9">
        <f t="shared" si="1"/>
        <v>75</v>
      </c>
    </row>
    <row r="210" ht="15.75" customHeight="1">
      <c r="J210" s="9">
        <v>207.0</v>
      </c>
      <c r="K210" s="18" t="s">
        <v>367</v>
      </c>
      <c r="L210" s="20" t="s">
        <v>363</v>
      </c>
      <c r="M210" s="20">
        <v>5.0</v>
      </c>
      <c r="N210" s="21">
        <v>25.0</v>
      </c>
      <c r="O210" s="22">
        <v>50.0</v>
      </c>
      <c r="P210" s="9">
        <f t="shared" si="1"/>
        <v>75</v>
      </c>
    </row>
    <row r="211" ht="15.75" customHeight="1">
      <c r="J211" s="9">
        <v>208.0</v>
      </c>
      <c r="K211" s="18" t="s">
        <v>368</v>
      </c>
      <c r="L211" s="20" t="s">
        <v>363</v>
      </c>
      <c r="M211" s="20">
        <v>6.0</v>
      </c>
      <c r="N211" s="21">
        <v>25.0</v>
      </c>
      <c r="O211" s="22"/>
      <c r="P211" s="9">
        <f t="shared" si="1"/>
        <v>25</v>
      </c>
    </row>
    <row r="212" ht="15.75" customHeight="1">
      <c r="J212" s="9">
        <v>209.0</v>
      </c>
      <c r="K212" s="18" t="s">
        <v>369</v>
      </c>
      <c r="L212" s="20" t="s">
        <v>363</v>
      </c>
      <c r="M212" s="20">
        <v>7.0</v>
      </c>
      <c r="N212" s="21">
        <v>25.0</v>
      </c>
      <c r="O212" s="22">
        <v>50.0</v>
      </c>
      <c r="P212" s="9">
        <f t="shared" si="1"/>
        <v>75</v>
      </c>
    </row>
    <row r="213" ht="15.75" customHeight="1">
      <c r="J213" s="9">
        <v>210.0</v>
      </c>
      <c r="K213" s="18" t="s">
        <v>370</v>
      </c>
      <c r="L213" s="20" t="s">
        <v>363</v>
      </c>
      <c r="M213" s="20">
        <v>8.0</v>
      </c>
      <c r="N213" s="21">
        <v>25.0</v>
      </c>
      <c r="O213" s="22">
        <v>25.0</v>
      </c>
      <c r="P213" s="9">
        <f t="shared" si="1"/>
        <v>50</v>
      </c>
    </row>
    <row r="214" ht="15.75" customHeight="1">
      <c r="J214" s="9">
        <v>211.0</v>
      </c>
      <c r="K214" s="18" t="s">
        <v>371</v>
      </c>
      <c r="L214" s="20" t="s">
        <v>363</v>
      </c>
      <c r="M214" s="20">
        <v>10.0</v>
      </c>
      <c r="N214" s="21">
        <v>25.0</v>
      </c>
      <c r="O214" s="22">
        <v>25.0</v>
      </c>
      <c r="P214" s="9">
        <f t="shared" si="1"/>
        <v>50</v>
      </c>
    </row>
    <row r="215" ht="15.75" customHeight="1">
      <c r="J215" s="9">
        <v>212.0</v>
      </c>
      <c r="K215" s="18" t="s">
        <v>372</v>
      </c>
      <c r="L215" s="20" t="s">
        <v>363</v>
      </c>
      <c r="M215" s="20">
        <v>11.0</v>
      </c>
      <c r="N215" s="21">
        <v>25.0</v>
      </c>
      <c r="O215" s="22"/>
      <c r="P215" s="9">
        <f t="shared" si="1"/>
        <v>25</v>
      </c>
    </row>
    <row r="216" ht="15.75" customHeight="1">
      <c r="J216" s="9">
        <v>213.0</v>
      </c>
      <c r="K216" s="18" t="s">
        <v>373</v>
      </c>
      <c r="L216" s="20" t="s">
        <v>363</v>
      </c>
      <c r="M216" s="20">
        <v>12.0</v>
      </c>
      <c r="N216" s="21">
        <v>25.0</v>
      </c>
      <c r="O216" s="22"/>
      <c r="P216" s="9">
        <f t="shared" si="1"/>
        <v>25</v>
      </c>
    </row>
    <row r="217" ht="15.75" customHeight="1">
      <c r="J217" s="9">
        <v>214.0</v>
      </c>
      <c r="K217" s="18" t="s">
        <v>374</v>
      </c>
      <c r="L217" s="20" t="s">
        <v>363</v>
      </c>
      <c r="M217" s="20">
        <v>13.0</v>
      </c>
      <c r="N217" s="21">
        <v>25.0</v>
      </c>
      <c r="O217" s="22">
        <v>50.0</v>
      </c>
      <c r="P217" s="9">
        <f t="shared" si="1"/>
        <v>75</v>
      </c>
    </row>
    <row r="218" ht="15.75" customHeight="1">
      <c r="J218" s="9">
        <v>215.0</v>
      </c>
      <c r="K218" s="18" t="s">
        <v>375</v>
      </c>
      <c r="L218" s="20" t="s">
        <v>363</v>
      </c>
      <c r="M218" s="20">
        <v>17.0</v>
      </c>
      <c r="N218" s="21">
        <v>25.0</v>
      </c>
      <c r="O218" s="22">
        <v>50.0</v>
      </c>
      <c r="P218" s="9">
        <f t="shared" si="1"/>
        <v>75</v>
      </c>
    </row>
    <row r="219" ht="15.75" customHeight="1">
      <c r="J219" s="9">
        <v>216.0</v>
      </c>
      <c r="K219" s="18" t="s">
        <v>376</v>
      </c>
      <c r="L219" s="20" t="s">
        <v>363</v>
      </c>
      <c r="M219" s="20">
        <v>18.0</v>
      </c>
      <c r="N219" s="21">
        <v>25.0</v>
      </c>
      <c r="O219" s="22">
        <v>50.0</v>
      </c>
      <c r="P219" s="9">
        <f t="shared" si="1"/>
        <v>75</v>
      </c>
    </row>
    <row r="220" ht="15.75" customHeight="1">
      <c r="J220" s="9">
        <v>217.0</v>
      </c>
      <c r="K220" s="27" t="s">
        <v>377</v>
      </c>
      <c r="L220" s="19" t="s">
        <v>96</v>
      </c>
      <c r="M220" s="20">
        <v>2.0</v>
      </c>
      <c r="N220" s="21">
        <v>25.0</v>
      </c>
      <c r="O220" s="22">
        <v>50.0</v>
      </c>
      <c r="P220" s="9">
        <f t="shared" si="1"/>
        <v>75</v>
      </c>
    </row>
    <row r="221" ht="15.75" customHeight="1">
      <c r="J221" s="9">
        <v>218.0</v>
      </c>
      <c r="K221" s="27" t="s">
        <v>378</v>
      </c>
      <c r="L221" s="19" t="s">
        <v>96</v>
      </c>
      <c r="M221" s="20">
        <v>3.0</v>
      </c>
      <c r="N221" s="21">
        <v>25.0</v>
      </c>
      <c r="O221" s="22">
        <v>50.0</v>
      </c>
      <c r="P221" s="9">
        <f t="shared" si="1"/>
        <v>75</v>
      </c>
    </row>
    <row r="222" ht="15.75" customHeight="1">
      <c r="J222" s="9">
        <v>219.0</v>
      </c>
      <c r="K222" s="18" t="s">
        <v>379</v>
      </c>
      <c r="L222" s="19" t="s">
        <v>96</v>
      </c>
      <c r="M222" s="20">
        <v>4.0</v>
      </c>
      <c r="N222" s="21">
        <v>25.0</v>
      </c>
      <c r="O222" s="22"/>
      <c r="P222" s="9">
        <f t="shared" si="1"/>
        <v>25</v>
      </c>
    </row>
    <row r="223" ht="15.75" customHeight="1">
      <c r="J223" s="9">
        <v>220.0</v>
      </c>
      <c r="K223" s="18" t="s">
        <v>380</v>
      </c>
      <c r="L223" s="20" t="s">
        <v>96</v>
      </c>
      <c r="M223" s="20">
        <v>5.0</v>
      </c>
      <c r="N223" s="21">
        <v>25.0</v>
      </c>
      <c r="O223" s="22">
        <v>50.0</v>
      </c>
      <c r="P223" s="9">
        <f t="shared" si="1"/>
        <v>75</v>
      </c>
    </row>
    <row r="224" ht="15.75" customHeight="1">
      <c r="J224" s="9">
        <v>221.0</v>
      </c>
      <c r="K224" s="18" t="s">
        <v>381</v>
      </c>
      <c r="L224" s="20" t="s">
        <v>96</v>
      </c>
      <c r="M224" s="20">
        <v>7.0</v>
      </c>
      <c r="N224" s="21">
        <v>25.0</v>
      </c>
      <c r="O224" s="22">
        <v>50.0</v>
      </c>
      <c r="P224" s="9">
        <f t="shared" si="1"/>
        <v>75</v>
      </c>
    </row>
    <row r="225" ht="15.75" customHeight="1">
      <c r="J225" s="9">
        <v>222.0</v>
      </c>
      <c r="K225" s="18" t="s">
        <v>382</v>
      </c>
      <c r="L225" s="20" t="s">
        <v>96</v>
      </c>
      <c r="M225" s="20">
        <v>8.0</v>
      </c>
      <c r="N225" s="21">
        <v>25.0</v>
      </c>
      <c r="O225" s="22">
        <v>50.0</v>
      </c>
      <c r="P225" s="9">
        <f t="shared" si="1"/>
        <v>75</v>
      </c>
    </row>
    <row r="226" ht="15.75" customHeight="1">
      <c r="J226" s="9">
        <v>223.0</v>
      </c>
      <c r="K226" s="27" t="s">
        <v>383</v>
      </c>
      <c r="L226" s="19" t="s">
        <v>96</v>
      </c>
      <c r="M226" s="20">
        <v>9.0</v>
      </c>
      <c r="N226" s="21">
        <v>25.0</v>
      </c>
      <c r="O226" s="22">
        <v>50.0</v>
      </c>
      <c r="P226" s="9">
        <f t="shared" si="1"/>
        <v>75</v>
      </c>
    </row>
    <row r="227" ht="15.75" customHeight="1">
      <c r="J227" s="9">
        <v>224.0</v>
      </c>
      <c r="K227" s="18" t="s">
        <v>384</v>
      </c>
      <c r="L227" s="20" t="s">
        <v>96</v>
      </c>
      <c r="M227" s="20">
        <v>10.0</v>
      </c>
      <c r="N227" s="21">
        <v>25.0</v>
      </c>
      <c r="O227" s="22">
        <v>50.0</v>
      </c>
      <c r="P227" s="9">
        <f t="shared" si="1"/>
        <v>75</v>
      </c>
    </row>
    <row r="228" ht="15.75" customHeight="1">
      <c r="J228" s="9">
        <v>225.0</v>
      </c>
      <c r="K228" s="18" t="s">
        <v>385</v>
      </c>
      <c r="L228" s="20" t="s">
        <v>96</v>
      </c>
      <c r="M228" s="20">
        <v>14.0</v>
      </c>
      <c r="N228" s="21">
        <v>25.0</v>
      </c>
      <c r="O228" s="22">
        <v>50.0</v>
      </c>
      <c r="P228" s="9">
        <f t="shared" si="1"/>
        <v>75</v>
      </c>
    </row>
    <row r="229" ht="15.75" customHeight="1">
      <c r="J229" s="9">
        <v>226.0</v>
      </c>
      <c r="K229" s="18" t="s">
        <v>386</v>
      </c>
      <c r="L229" s="20" t="s">
        <v>108</v>
      </c>
      <c r="M229" s="20">
        <v>1.0</v>
      </c>
      <c r="N229" s="21">
        <v>25.0</v>
      </c>
      <c r="O229" s="22">
        <v>50.0</v>
      </c>
      <c r="P229" s="9">
        <f t="shared" si="1"/>
        <v>75</v>
      </c>
    </row>
    <row r="230" ht="15.75" customHeight="1">
      <c r="J230" s="9">
        <v>227.0</v>
      </c>
      <c r="K230" s="18" t="s">
        <v>387</v>
      </c>
      <c r="L230" s="20" t="s">
        <v>108</v>
      </c>
      <c r="M230" s="20">
        <v>2.0</v>
      </c>
      <c r="N230" s="21">
        <v>25.0</v>
      </c>
      <c r="O230" s="22">
        <v>50.0</v>
      </c>
      <c r="P230" s="9">
        <f t="shared" si="1"/>
        <v>75</v>
      </c>
    </row>
    <row r="231" ht="15.75" customHeight="1">
      <c r="J231" s="9">
        <v>228.0</v>
      </c>
      <c r="K231" s="18" t="s">
        <v>388</v>
      </c>
      <c r="L231" s="20" t="s">
        <v>108</v>
      </c>
      <c r="M231" s="20">
        <v>3.0</v>
      </c>
      <c r="N231" s="21">
        <v>25.0</v>
      </c>
      <c r="O231" s="22">
        <v>50.0</v>
      </c>
      <c r="P231" s="9">
        <f t="shared" si="1"/>
        <v>75</v>
      </c>
    </row>
    <row r="232" ht="15.75" customHeight="1">
      <c r="J232" s="9">
        <v>229.0</v>
      </c>
      <c r="K232" s="18" t="s">
        <v>389</v>
      </c>
      <c r="L232" s="20" t="s">
        <v>108</v>
      </c>
      <c r="M232" s="20">
        <v>4.0</v>
      </c>
      <c r="N232" s="21">
        <v>25.0</v>
      </c>
      <c r="O232" s="22">
        <v>50.0</v>
      </c>
      <c r="P232" s="9">
        <f t="shared" si="1"/>
        <v>75</v>
      </c>
    </row>
    <row r="233" ht="15.75" customHeight="1">
      <c r="J233" s="9">
        <v>230.0</v>
      </c>
      <c r="K233" s="18" t="s">
        <v>390</v>
      </c>
      <c r="L233" s="20" t="s">
        <v>108</v>
      </c>
      <c r="M233" s="20">
        <v>5.0</v>
      </c>
      <c r="N233" s="21">
        <v>25.0</v>
      </c>
      <c r="O233" s="22">
        <v>50.0</v>
      </c>
      <c r="P233" s="9">
        <f t="shared" si="1"/>
        <v>75</v>
      </c>
    </row>
    <row r="234" ht="15.75" customHeight="1">
      <c r="J234" s="9">
        <v>231.0</v>
      </c>
      <c r="K234" s="18" t="s">
        <v>391</v>
      </c>
      <c r="L234" s="20" t="s">
        <v>108</v>
      </c>
      <c r="M234" s="20">
        <v>6.0</v>
      </c>
      <c r="N234" s="21">
        <v>25.0</v>
      </c>
      <c r="O234" s="22">
        <v>50.0</v>
      </c>
      <c r="P234" s="9">
        <f t="shared" si="1"/>
        <v>75</v>
      </c>
    </row>
    <row r="235" ht="15.75" customHeight="1">
      <c r="J235" s="9">
        <v>232.0</v>
      </c>
      <c r="K235" s="18" t="s">
        <v>392</v>
      </c>
      <c r="L235" s="20" t="s">
        <v>108</v>
      </c>
      <c r="M235" s="20">
        <v>7.0</v>
      </c>
      <c r="N235" s="21">
        <v>25.0</v>
      </c>
      <c r="O235" s="22">
        <v>50.0</v>
      </c>
      <c r="P235" s="9">
        <f t="shared" si="1"/>
        <v>75</v>
      </c>
    </row>
    <row r="236" ht="15.75" customHeight="1">
      <c r="J236" s="9">
        <v>233.0</v>
      </c>
      <c r="K236" s="27" t="s">
        <v>393</v>
      </c>
      <c r="L236" s="19" t="s">
        <v>108</v>
      </c>
      <c r="M236" s="20">
        <v>8.0</v>
      </c>
      <c r="N236" s="21">
        <v>25.0</v>
      </c>
      <c r="O236" s="22"/>
      <c r="P236" s="9">
        <f t="shared" si="1"/>
        <v>25</v>
      </c>
    </row>
    <row r="237" ht="15.75" customHeight="1">
      <c r="J237" s="9">
        <v>234.0</v>
      </c>
      <c r="K237" s="27" t="s">
        <v>394</v>
      </c>
      <c r="L237" s="19" t="s">
        <v>108</v>
      </c>
      <c r="M237" s="20">
        <v>9.0</v>
      </c>
      <c r="N237" s="21">
        <v>25.0</v>
      </c>
      <c r="O237" s="22">
        <v>50.0</v>
      </c>
      <c r="P237" s="9">
        <f t="shared" si="1"/>
        <v>75</v>
      </c>
    </row>
    <row r="238" ht="15.75" customHeight="1">
      <c r="J238" s="9">
        <v>235.0</v>
      </c>
      <c r="K238" s="18" t="s">
        <v>395</v>
      </c>
      <c r="L238" s="20" t="s">
        <v>108</v>
      </c>
      <c r="M238" s="20">
        <v>10.0</v>
      </c>
      <c r="N238" s="21">
        <v>25.0</v>
      </c>
      <c r="O238" s="22">
        <v>50.0</v>
      </c>
      <c r="P238" s="9">
        <f t="shared" si="1"/>
        <v>75</v>
      </c>
    </row>
    <row r="239" ht="15.75" customHeight="1">
      <c r="J239" s="9">
        <v>236.0</v>
      </c>
      <c r="K239" s="18" t="s">
        <v>396</v>
      </c>
      <c r="L239" s="20" t="s">
        <v>108</v>
      </c>
      <c r="M239" s="20">
        <v>11.0</v>
      </c>
      <c r="N239" s="21">
        <v>25.0</v>
      </c>
      <c r="O239" s="22">
        <v>50.0</v>
      </c>
      <c r="P239" s="9">
        <f t="shared" si="1"/>
        <v>75</v>
      </c>
    </row>
    <row r="240" ht="15.75" customHeight="1">
      <c r="J240" s="9">
        <v>237.0</v>
      </c>
      <c r="K240" s="18" t="s">
        <v>397</v>
      </c>
      <c r="L240" s="20" t="s">
        <v>108</v>
      </c>
      <c r="M240" s="20">
        <v>12.0</v>
      </c>
      <c r="N240" s="21">
        <v>25.0</v>
      </c>
      <c r="O240" s="22">
        <v>20.0</v>
      </c>
      <c r="P240" s="9">
        <f t="shared" si="1"/>
        <v>45</v>
      </c>
    </row>
    <row r="241" ht="15.75" customHeight="1">
      <c r="J241" s="9">
        <v>238.0</v>
      </c>
      <c r="K241" s="18" t="s">
        <v>398</v>
      </c>
      <c r="L241" s="20" t="s">
        <v>108</v>
      </c>
      <c r="M241" s="20">
        <v>13.0</v>
      </c>
      <c r="N241" s="21">
        <v>25.0</v>
      </c>
      <c r="O241" s="22"/>
      <c r="P241" s="9">
        <f t="shared" si="1"/>
        <v>25</v>
      </c>
    </row>
    <row r="242" ht="15.75" customHeight="1">
      <c r="J242" s="9">
        <v>239.0</v>
      </c>
      <c r="K242" s="18" t="s">
        <v>399</v>
      </c>
      <c r="L242" s="20" t="s">
        <v>108</v>
      </c>
      <c r="M242" s="20">
        <v>14.0</v>
      </c>
      <c r="N242" s="21">
        <v>25.0</v>
      </c>
      <c r="O242" s="22">
        <v>50.0</v>
      </c>
      <c r="P242" s="9">
        <f t="shared" si="1"/>
        <v>75</v>
      </c>
    </row>
    <row r="243" ht="15.75" customHeight="1">
      <c r="J243" s="9">
        <v>240.0</v>
      </c>
      <c r="K243" s="18" t="s">
        <v>400</v>
      </c>
      <c r="L243" s="20" t="s">
        <v>108</v>
      </c>
      <c r="M243" s="20">
        <v>16.0</v>
      </c>
      <c r="N243" s="21">
        <v>25.0</v>
      </c>
      <c r="O243" s="22">
        <v>50.0</v>
      </c>
      <c r="P243" s="9">
        <f t="shared" si="1"/>
        <v>75</v>
      </c>
    </row>
    <row r="244" ht="15.75" customHeight="1">
      <c r="J244" s="9">
        <v>241.0</v>
      </c>
      <c r="K244" s="18" t="s">
        <v>401</v>
      </c>
      <c r="L244" s="20" t="s">
        <v>108</v>
      </c>
      <c r="M244" s="20">
        <v>17.0</v>
      </c>
      <c r="N244" s="21">
        <v>25.0</v>
      </c>
      <c r="O244" s="22">
        <v>50.0</v>
      </c>
      <c r="P244" s="9">
        <f t="shared" si="1"/>
        <v>75</v>
      </c>
    </row>
    <row r="245" ht="15.75" customHeight="1">
      <c r="J245" s="9">
        <v>242.0</v>
      </c>
      <c r="K245" s="18" t="s">
        <v>402</v>
      </c>
      <c r="L245" s="20" t="s">
        <v>108</v>
      </c>
      <c r="M245" s="20">
        <v>18.0</v>
      </c>
      <c r="N245" s="21">
        <v>25.0</v>
      </c>
      <c r="O245" s="22">
        <v>50.0</v>
      </c>
      <c r="P245" s="9">
        <f t="shared" si="1"/>
        <v>75</v>
      </c>
    </row>
    <row r="246" ht="15.75" customHeight="1">
      <c r="J246" s="9">
        <v>243.0</v>
      </c>
      <c r="K246" s="18" t="s">
        <v>403</v>
      </c>
      <c r="L246" s="20" t="s">
        <v>111</v>
      </c>
      <c r="M246" s="20">
        <v>1.0</v>
      </c>
      <c r="N246" s="21">
        <v>25.0</v>
      </c>
      <c r="O246" s="22"/>
      <c r="P246" s="9">
        <f t="shared" si="1"/>
        <v>25</v>
      </c>
    </row>
    <row r="247" ht="15.75" customHeight="1">
      <c r="J247" s="9">
        <v>244.0</v>
      </c>
      <c r="K247" s="27" t="s">
        <v>404</v>
      </c>
      <c r="L247" s="19" t="s">
        <v>111</v>
      </c>
      <c r="M247" s="20">
        <v>2.0</v>
      </c>
      <c r="N247" s="21">
        <v>25.0</v>
      </c>
      <c r="O247" s="22">
        <v>50.0</v>
      </c>
      <c r="P247" s="9">
        <f t="shared" si="1"/>
        <v>75</v>
      </c>
    </row>
    <row r="248" ht="15.75" customHeight="1">
      <c r="J248" s="9">
        <v>245.0</v>
      </c>
      <c r="K248" s="27" t="s">
        <v>405</v>
      </c>
      <c r="L248" s="19" t="s">
        <v>111</v>
      </c>
      <c r="M248" s="20">
        <v>3.0</v>
      </c>
      <c r="N248" s="21">
        <v>25.0</v>
      </c>
      <c r="O248" s="22">
        <v>50.0</v>
      </c>
      <c r="P248" s="9">
        <f t="shared" si="1"/>
        <v>75</v>
      </c>
    </row>
    <row r="249" ht="15.75" customHeight="1">
      <c r="J249" s="9">
        <v>246.0</v>
      </c>
      <c r="K249" s="18" t="s">
        <v>406</v>
      </c>
      <c r="L249" s="19" t="s">
        <v>111</v>
      </c>
      <c r="M249" s="20">
        <v>5.0</v>
      </c>
      <c r="N249" s="21">
        <v>25.0</v>
      </c>
      <c r="O249" s="22"/>
      <c r="P249" s="9">
        <f t="shared" si="1"/>
        <v>25</v>
      </c>
    </row>
    <row r="250" ht="15.75" customHeight="1">
      <c r="J250" s="9">
        <v>247.0</v>
      </c>
      <c r="K250" s="18" t="s">
        <v>407</v>
      </c>
      <c r="L250" s="19" t="s">
        <v>111</v>
      </c>
      <c r="M250" s="20">
        <v>6.0</v>
      </c>
      <c r="N250" s="21">
        <v>25.0</v>
      </c>
      <c r="O250" s="22"/>
      <c r="P250" s="9">
        <f t="shared" si="1"/>
        <v>25</v>
      </c>
    </row>
    <row r="251" ht="15.75" customHeight="1">
      <c r="J251" s="9">
        <v>248.0</v>
      </c>
      <c r="K251" s="27" t="s">
        <v>408</v>
      </c>
      <c r="L251" s="19" t="s">
        <v>111</v>
      </c>
      <c r="M251" s="20">
        <v>7.0</v>
      </c>
      <c r="N251" s="21">
        <v>25.0</v>
      </c>
      <c r="O251" s="22">
        <v>50.0</v>
      </c>
      <c r="P251" s="9">
        <f t="shared" si="1"/>
        <v>75</v>
      </c>
    </row>
    <row r="252" ht="15.75" customHeight="1">
      <c r="J252" s="9">
        <v>249.0</v>
      </c>
      <c r="K252" s="18" t="s">
        <v>409</v>
      </c>
      <c r="L252" s="20" t="s">
        <v>111</v>
      </c>
      <c r="M252" s="20">
        <v>8.0</v>
      </c>
      <c r="N252" s="21">
        <v>25.0</v>
      </c>
      <c r="O252" s="22">
        <v>50.0</v>
      </c>
      <c r="P252" s="9">
        <f t="shared" si="1"/>
        <v>75</v>
      </c>
    </row>
    <row r="253" ht="15.75" customHeight="1">
      <c r="J253" s="9">
        <v>250.0</v>
      </c>
      <c r="K253" s="18" t="s">
        <v>410</v>
      </c>
      <c r="L253" s="20" t="s">
        <v>111</v>
      </c>
      <c r="M253" s="20">
        <v>9.0</v>
      </c>
      <c r="N253" s="21">
        <v>25.0</v>
      </c>
      <c r="O253" s="22"/>
      <c r="P253" s="9">
        <f t="shared" si="1"/>
        <v>25</v>
      </c>
    </row>
    <row r="254" ht="15.75" customHeight="1">
      <c r="J254" s="9">
        <v>251.0</v>
      </c>
      <c r="K254" s="27" t="s">
        <v>411</v>
      </c>
      <c r="L254" s="19" t="s">
        <v>111</v>
      </c>
      <c r="M254" s="20">
        <v>11.0</v>
      </c>
      <c r="N254" s="21">
        <v>25.0</v>
      </c>
      <c r="O254" s="22">
        <v>50.0</v>
      </c>
      <c r="P254" s="9">
        <f t="shared" si="1"/>
        <v>75</v>
      </c>
    </row>
    <row r="255" ht="15.75" customHeight="1">
      <c r="J255" s="9">
        <v>252.0</v>
      </c>
      <c r="K255" s="18" t="s">
        <v>412</v>
      </c>
      <c r="L255" s="20" t="s">
        <v>111</v>
      </c>
      <c r="M255" s="20">
        <v>12.0</v>
      </c>
      <c r="N255" s="21">
        <v>25.0</v>
      </c>
      <c r="O255" s="22">
        <v>50.0</v>
      </c>
      <c r="P255" s="9">
        <f t="shared" si="1"/>
        <v>75</v>
      </c>
    </row>
    <row r="256" ht="15.75" customHeight="1">
      <c r="J256" s="9">
        <v>253.0</v>
      </c>
      <c r="K256" s="18" t="s">
        <v>413</v>
      </c>
      <c r="L256" s="19" t="s">
        <v>111</v>
      </c>
      <c r="M256" s="20">
        <v>13.0</v>
      </c>
      <c r="N256" s="21">
        <v>25.0</v>
      </c>
      <c r="O256" s="22">
        <v>50.0</v>
      </c>
      <c r="P256" s="9">
        <f t="shared" si="1"/>
        <v>75</v>
      </c>
    </row>
    <row r="257" ht="15.75" customHeight="1">
      <c r="J257" s="9">
        <v>254.0</v>
      </c>
      <c r="K257" s="18" t="s">
        <v>414</v>
      </c>
      <c r="L257" s="20" t="s">
        <v>111</v>
      </c>
      <c r="M257" s="20">
        <v>14.0</v>
      </c>
      <c r="N257" s="21">
        <v>25.0</v>
      </c>
      <c r="O257" s="22">
        <v>50.0</v>
      </c>
      <c r="P257" s="9">
        <f t="shared" si="1"/>
        <v>75</v>
      </c>
    </row>
    <row r="258" ht="15.75" customHeight="1">
      <c r="J258" s="9">
        <v>255.0</v>
      </c>
      <c r="K258" s="18" t="s">
        <v>415</v>
      </c>
      <c r="L258" s="19" t="s">
        <v>111</v>
      </c>
      <c r="M258" s="20">
        <v>15.0</v>
      </c>
      <c r="N258" s="21">
        <v>25.0</v>
      </c>
      <c r="O258" s="22">
        <v>50.0</v>
      </c>
      <c r="P258" s="9">
        <f t="shared" si="1"/>
        <v>75</v>
      </c>
    </row>
    <row r="259" ht="15.75" customHeight="1">
      <c r="J259" s="9">
        <v>256.0</v>
      </c>
      <c r="K259" s="18" t="s">
        <v>416</v>
      </c>
      <c r="L259" s="19" t="s">
        <v>111</v>
      </c>
      <c r="M259" s="20">
        <v>16.0</v>
      </c>
      <c r="N259" s="21">
        <v>25.0</v>
      </c>
      <c r="O259" s="22"/>
      <c r="P259" s="9">
        <f t="shared" si="1"/>
        <v>25</v>
      </c>
    </row>
    <row r="260" ht="15.75" customHeight="1">
      <c r="J260" s="9">
        <v>257.0</v>
      </c>
      <c r="K260" s="18" t="s">
        <v>417</v>
      </c>
      <c r="L260" s="20" t="s">
        <v>116</v>
      </c>
      <c r="M260" s="20">
        <v>1.0</v>
      </c>
      <c r="N260" s="21">
        <v>25.0</v>
      </c>
      <c r="O260" s="22">
        <v>50.0</v>
      </c>
      <c r="P260" s="9">
        <f t="shared" si="1"/>
        <v>75</v>
      </c>
    </row>
    <row r="261" ht="15.75" customHeight="1">
      <c r="J261" s="9">
        <v>258.0</v>
      </c>
      <c r="K261" s="44" t="s">
        <v>418</v>
      </c>
      <c r="L261" s="45" t="s">
        <v>116</v>
      </c>
      <c r="M261" s="20">
        <v>2.0</v>
      </c>
      <c r="N261" s="21">
        <v>25.0</v>
      </c>
      <c r="O261" s="22">
        <v>50.0</v>
      </c>
      <c r="P261" s="9">
        <f t="shared" si="1"/>
        <v>75</v>
      </c>
    </row>
    <row r="262" ht="15.75" customHeight="1">
      <c r="J262" s="9">
        <v>259.0</v>
      </c>
      <c r="K262" s="43" t="s">
        <v>419</v>
      </c>
      <c r="L262" s="19" t="s">
        <v>116</v>
      </c>
      <c r="M262" s="20">
        <v>3.0</v>
      </c>
      <c r="N262" s="21">
        <v>25.0</v>
      </c>
      <c r="O262" s="22"/>
      <c r="P262" s="9">
        <f t="shared" si="1"/>
        <v>25</v>
      </c>
    </row>
    <row r="263" ht="15.75" customHeight="1">
      <c r="J263" s="9">
        <v>260.0</v>
      </c>
      <c r="K263" s="46" t="s">
        <v>420</v>
      </c>
      <c r="L263" s="47" t="s">
        <v>116</v>
      </c>
      <c r="M263" s="20">
        <v>4.0</v>
      </c>
      <c r="N263" s="21">
        <v>25.0</v>
      </c>
      <c r="O263" s="22">
        <v>50.0</v>
      </c>
      <c r="P263" s="9">
        <f t="shared" si="1"/>
        <v>75</v>
      </c>
    </row>
    <row r="264" ht="15.75" customHeight="1">
      <c r="J264" s="9">
        <v>261.0</v>
      </c>
      <c r="K264" s="18" t="s">
        <v>421</v>
      </c>
      <c r="L264" s="20" t="s">
        <v>116</v>
      </c>
      <c r="M264" s="20">
        <v>5.0</v>
      </c>
      <c r="N264" s="21">
        <v>25.0</v>
      </c>
      <c r="O264" s="22"/>
      <c r="P264" s="9">
        <f t="shared" si="1"/>
        <v>25</v>
      </c>
    </row>
    <row r="265" ht="15.75" customHeight="1">
      <c r="J265" s="9">
        <v>262.0</v>
      </c>
      <c r="K265" s="18" t="s">
        <v>422</v>
      </c>
      <c r="L265" s="20" t="s">
        <v>116</v>
      </c>
      <c r="M265" s="20">
        <v>6.0</v>
      </c>
      <c r="N265" s="21">
        <v>25.0</v>
      </c>
      <c r="O265" s="22">
        <v>50.0</v>
      </c>
      <c r="P265" s="9">
        <f t="shared" si="1"/>
        <v>75</v>
      </c>
    </row>
    <row r="266" ht="15.75" customHeight="1">
      <c r="J266" s="9">
        <v>263.0</v>
      </c>
      <c r="K266" s="18" t="s">
        <v>423</v>
      </c>
      <c r="L266" s="20" t="s">
        <v>116</v>
      </c>
      <c r="M266" s="20">
        <v>7.0</v>
      </c>
      <c r="N266" s="21">
        <v>25.0</v>
      </c>
      <c r="O266" s="22">
        <v>50.0</v>
      </c>
      <c r="P266" s="9">
        <f t="shared" si="1"/>
        <v>75</v>
      </c>
    </row>
    <row r="267" ht="15.75" customHeight="1">
      <c r="J267" s="9">
        <v>264.0</v>
      </c>
      <c r="K267" s="18" t="s">
        <v>424</v>
      </c>
      <c r="L267" s="20" t="s">
        <v>116</v>
      </c>
      <c r="M267" s="20">
        <v>8.0</v>
      </c>
      <c r="N267" s="21">
        <v>25.0</v>
      </c>
      <c r="O267" s="22">
        <v>50.0</v>
      </c>
      <c r="P267" s="9">
        <f t="shared" si="1"/>
        <v>75</v>
      </c>
    </row>
    <row r="268" ht="15.75" customHeight="1">
      <c r="J268" s="9">
        <v>265.0</v>
      </c>
      <c r="K268" s="18" t="s">
        <v>425</v>
      </c>
      <c r="L268" s="20" t="s">
        <v>116</v>
      </c>
      <c r="M268" s="20">
        <v>10.0</v>
      </c>
      <c r="N268" s="21">
        <v>25.0</v>
      </c>
      <c r="O268" s="22"/>
      <c r="P268" s="9">
        <f t="shared" si="1"/>
        <v>25</v>
      </c>
    </row>
    <row r="269" ht="15.75" customHeight="1">
      <c r="J269" s="9">
        <v>266.0</v>
      </c>
      <c r="K269" s="27" t="s">
        <v>426</v>
      </c>
      <c r="L269" s="19" t="s">
        <v>116</v>
      </c>
      <c r="M269" s="20">
        <v>11.0</v>
      </c>
      <c r="N269" s="21">
        <v>25.0</v>
      </c>
      <c r="O269" s="22">
        <v>50.0</v>
      </c>
      <c r="P269" s="9">
        <f t="shared" si="1"/>
        <v>75</v>
      </c>
    </row>
    <row r="270" ht="15.75" customHeight="1">
      <c r="J270" s="9">
        <v>267.0</v>
      </c>
      <c r="K270" s="27" t="s">
        <v>427</v>
      </c>
      <c r="L270" s="19" t="s">
        <v>116</v>
      </c>
      <c r="M270" s="20">
        <v>12.0</v>
      </c>
      <c r="N270" s="21">
        <v>25.0</v>
      </c>
      <c r="O270" s="22">
        <v>50.0</v>
      </c>
      <c r="P270" s="9">
        <f t="shared" si="1"/>
        <v>75</v>
      </c>
    </row>
    <row r="271" ht="15.75" customHeight="1">
      <c r="J271" s="9">
        <v>268.0</v>
      </c>
      <c r="K271" s="48" t="s">
        <v>428</v>
      </c>
      <c r="L271" s="20" t="s">
        <v>116</v>
      </c>
      <c r="M271" s="20">
        <v>14.0</v>
      </c>
      <c r="N271" s="21">
        <v>25.0</v>
      </c>
      <c r="O271" s="22">
        <v>50.0</v>
      </c>
      <c r="P271" s="9">
        <f t="shared" si="1"/>
        <v>75</v>
      </c>
    </row>
    <row r="272" ht="15.75" customHeight="1">
      <c r="J272" s="9">
        <v>269.0</v>
      </c>
      <c r="K272" s="18" t="s">
        <v>429</v>
      </c>
      <c r="L272" s="20" t="s">
        <v>116</v>
      </c>
      <c r="M272" s="20">
        <v>15.0</v>
      </c>
      <c r="N272" s="21">
        <v>25.0</v>
      </c>
      <c r="O272" s="22">
        <v>50.0</v>
      </c>
      <c r="P272" s="9">
        <f t="shared" si="1"/>
        <v>75</v>
      </c>
    </row>
    <row r="273" ht="15.75" customHeight="1">
      <c r="J273" s="9">
        <v>270.0</v>
      </c>
      <c r="K273" s="18" t="s">
        <v>430</v>
      </c>
      <c r="L273" s="47" t="s">
        <v>116</v>
      </c>
      <c r="M273" s="49">
        <v>17.0</v>
      </c>
      <c r="N273" s="21">
        <v>25.0</v>
      </c>
      <c r="O273" s="22">
        <v>50.0</v>
      </c>
      <c r="P273" s="9">
        <f t="shared" si="1"/>
        <v>75</v>
      </c>
    </row>
    <row r="274" ht="15.75" customHeight="1">
      <c r="J274" s="9">
        <v>271.0</v>
      </c>
      <c r="K274" s="18" t="s">
        <v>431</v>
      </c>
      <c r="L274" s="20" t="s">
        <v>116</v>
      </c>
      <c r="M274" s="20">
        <v>18.0</v>
      </c>
      <c r="N274" s="21">
        <v>25.0</v>
      </c>
      <c r="O274" s="22">
        <v>50.0</v>
      </c>
      <c r="P274" s="9">
        <f t="shared" si="1"/>
        <v>75</v>
      </c>
    </row>
    <row r="275" ht="15.75" customHeight="1">
      <c r="J275" s="9">
        <v>272.0</v>
      </c>
      <c r="K275" s="18" t="s">
        <v>432</v>
      </c>
      <c r="L275" s="19" t="s">
        <v>116</v>
      </c>
      <c r="M275" s="20">
        <v>20.0</v>
      </c>
      <c r="N275" s="21">
        <v>25.0</v>
      </c>
      <c r="O275" s="22">
        <v>50.0</v>
      </c>
      <c r="P275" s="9">
        <f t="shared" si="1"/>
        <v>75</v>
      </c>
    </row>
    <row r="276" ht="15.75" customHeight="1">
      <c r="J276" s="9">
        <v>273.0</v>
      </c>
      <c r="K276" s="18" t="s">
        <v>433</v>
      </c>
      <c r="L276" s="20" t="s">
        <v>116</v>
      </c>
      <c r="M276" s="20">
        <v>21.0</v>
      </c>
      <c r="N276" s="21">
        <v>25.0</v>
      </c>
      <c r="O276" s="22">
        <v>50.0</v>
      </c>
      <c r="P276" s="9">
        <f t="shared" si="1"/>
        <v>75</v>
      </c>
    </row>
    <row r="277" ht="15.75" customHeight="1">
      <c r="J277" s="9">
        <v>274.0</v>
      </c>
      <c r="K277" s="27" t="s">
        <v>434</v>
      </c>
      <c r="L277" s="19" t="s">
        <v>116</v>
      </c>
      <c r="M277" s="20">
        <v>22.0</v>
      </c>
      <c r="N277" s="21">
        <v>25.0</v>
      </c>
      <c r="O277" s="22">
        <v>50.0</v>
      </c>
      <c r="P277" s="9">
        <f t="shared" si="1"/>
        <v>75</v>
      </c>
    </row>
    <row r="278" ht="15.75" customHeight="1">
      <c r="J278" s="9">
        <v>275.0</v>
      </c>
      <c r="K278" s="18" t="s">
        <v>435</v>
      </c>
      <c r="L278" s="19" t="s">
        <v>126</v>
      </c>
      <c r="M278" s="20">
        <v>1.0</v>
      </c>
      <c r="N278" s="21">
        <v>25.0</v>
      </c>
      <c r="O278" s="22"/>
      <c r="P278" s="9">
        <f t="shared" si="1"/>
        <v>25</v>
      </c>
    </row>
    <row r="279" ht="15.75" customHeight="1">
      <c r="J279" s="9">
        <v>276.0</v>
      </c>
      <c r="K279" s="18" t="s">
        <v>436</v>
      </c>
      <c r="L279" s="20" t="s">
        <v>126</v>
      </c>
      <c r="M279" s="20">
        <v>2.0</v>
      </c>
      <c r="N279" s="21">
        <v>25.0</v>
      </c>
      <c r="O279" s="22">
        <v>50.0</v>
      </c>
      <c r="P279" s="9">
        <f t="shared" si="1"/>
        <v>75</v>
      </c>
    </row>
    <row r="280" ht="15.75" customHeight="1">
      <c r="J280" s="9">
        <v>277.0</v>
      </c>
      <c r="K280" s="18" t="s">
        <v>437</v>
      </c>
      <c r="L280" s="20" t="s">
        <v>126</v>
      </c>
      <c r="M280" s="20">
        <v>4.0</v>
      </c>
      <c r="N280" s="21">
        <v>25.0</v>
      </c>
      <c r="O280" s="22"/>
      <c r="P280" s="9">
        <f t="shared" si="1"/>
        <v>25</v>
      </c>
    </row>
    <row r="281" ht="15.75" customHeight="1">
      <c r="J281" s="9">
        <v>278.0</v>
      </c>
      <c r="K281" s="18" t="s">
        <v>385</v>
      </c>
      <c r="L281" s="20" t="s">
        <v>126</v>
      </c>
      <c r="M281" s="20">
        <v>5.0</v>
      </c>
      <c r="N281" s="21">
        <v>25.0</v>
      </c>
      <c r="O281" s="22">
        <v>50.0</v>
      </c>
      <c r="P281" s="9">
        <f t="shared" si="1"/>
        <v>75</v>
      </c>
    </row>
    <row r="282" ht="15.75" customHeight="1">
      <c r="J282" s="9">
        <v>279.0</v>
      </c>
      <c r="K282" s="18" t="s">
        <v>438</v>
      </c>
      <c r="L282" s="20" t="s">
        <v>126</v>
      </c>
      <c r="M282" s="20">
        <v>6.0</v>
      </c>
      <c r="N282" s="21">
        <v>25.0</v>
      </c>
      <c r="O282" s="22"/>
      <c r="P282" s="9">
        <f t="shared" si="1"/>
        <v>25</v>
      </c>
    </row>
    <row r="283" ht="15.75" customHeight="1">
      <c r="J283" s="9">
        <v>280.0</v>
      </c>
      <c r="K283" s="27" t="s">
        <v>439</v>
      </c>
      <c r="L283" s="19" t="s">
        <v>129</v>
      </c>
      <c r="M283" s="20">
        <v>1.0</v>
      </c>
      <c r="N283" s="21">
        <v>25.0</v>
      </c>
      <c r="O283" s="22">
        <v>40.0</v>
      </c>
      <c r="P283" s="9">
        <f t="shared" si="1"/>
        <v>65</v>
      </c>
    </row>
    <row r="284" ht="15.75" customHeight="1">
      <c r="J284" s="9">
        <v>281.0</v>
      </c>
      <c r="K284" s="18" t="s">
        <v>440</v>
      </c>
      <c r="L284" s="20" t="s">
        <v>129</v>
      </c>
      <c r="M284" s="20">
        <v>2.0</v>
      </c>
      <c r="N284" s="21">
        <v>25.0</v>
      </c>
      <c r="O284" s="22">
        <v>50.0</v>
      </c>
      <c r="P284" s="9">
        <f t="shared" si="1"/>
        <v>75</v>
      </c>
    </row>
    <row r="285" ht="15.75" customHeight="1">
      <c r="J285" s="9">
        <v>282.0</v>
      </c>
      <c r="K285" s="27" t="s">
        <v>441</v>
      </c>
      <c r="L285" s="19" t="s">
        <v>129</v>
      </c>
      <c r="M285" s="20">
        <v>3.0</v>
      </c>
      <c r="N285" s="21">
        <v>25.0</v>
      </c>
      <c r="O285" s="22">
        <v>50.0</v>
      </c>
      <c r="P285" s="9">
        <f t="shared" si="1"/>
        <v>75</v>
      </c>
    </row>
    <row r="286" ht="15.75" customHeight="1">
      <c r="J286" s="9">
        <v>283.0</v>
      </c>
      <c r="K286" s="18" t="s">
        <v>442</v>
      </c>
      <c r="L286" s="20" t="s">
        <v>129</v>
      </c>
      <c r="M286" s="20">
        <v>4.0</v>
      </c>
      <c r="N286" s="21">
        <v>25.0</v>
      </c>
      <c r="O286" s="22">
        <v>50.0</v>
      </c>
      <c r="P286" s="9">
        <f t="shared" si="1"/>
        <v>75</v>
      </c>
    </row>
    <row r="287" ht="15.75" customHeight="1">
      <c r="J287" s="9">
        <v>284.0</v>
      </c>
      <c r="K287" s="27" t="s">
        <v>443</v>
      </c>
      <c r="L287" s="19" t="s">
        <v>129</v>
      </c>
      <c r="M287" s="20">
        <v>5.0</v>
      </c>
      <c r="N287" s="21">
        <v>25.0</v>
      </c>
      <c r="O287" s="22">
        <v>50.0</v>
      </c>
      <c r="P287" s="9">
        <f t="shared" si="1"/>
        <v>75</v>
      </c>
    </row>
    <row r="288" ht="15.75" customHeight="1">
      <c r="J288" s="9">
        <v>285.0</v>
      </c>
      <c r="K288" s="18" t="s">
        <v>444</v>
      </c>
      <c r="L288" s="20" t="s">
        <v>129</v>
      </c>
      <c r="M288" s="20">
        <v>6.0</v>
      </c>
      <c r="N288" s="21">
        <v>25.0</v>
      </c>
      <c r="O288" s="22"/>
      <c r="P288" s="9">
        <f t="shared" si="1"/>
        <v>25</v>
      </c>
    </row>
    <row r="289" ht="15.75" customHeight="1">
      <c r="J289" s="9">
        <v>286.0</v>
      </c>
      <c r="K289" s="18" t="s">
        <v>445</v>
      </c>
      <c r="L289" s="19" t="s">
        <v>129</v>
      </c>
      <c r="M289" s="20">
        <v>8.0</v>
      </c>
      <c r="N289" s="21">
        <v>25.0</v>
      </c>
      <c r="O289" s="22"/>
      <c r="P289" s="9">
        <f t="shared" si="1"/>
        <v>25</v>
      </c>
    </row>
    <row r="290" ht="15.75" customHeight="1">
      <c r="J290" s="9">
        <v>287.0</v>
      </c>
      <c r="K290" s="18" t="s">
        <v>446</v>
      </c>
      <c r="L290" s="20" t="s">
        <v>129</v>
      </c>
      <c r="M290" s="20">
        <v>9.0</v>
      </c>
      <c r="N290" s="21">
        <v>25.0</v>
      </c>
      <c r="O290" s="22">
        <v>50.0</v>
      </c>
      <c r="P290" s="9">
        <f t="shared" si="1"/>
        <v>75</v>
      </c>
    </row>
    <row r="291" ht="15.75" customHeight="1">
      <c r="J291" s="9">
        <v>288.0</v>
      </c>
      <c r="K291" s="18" t="s">
        <v>447</v>
      </c>
      <c r="L291" s="20" t="s">
        <v>129</v>
      </c>
      <c r="M291" s="20">
        <v>10.0</v>
      </c>
      <c r="N291" s="21">
        <v>25.0</v>
      </c>
      <c r="O291" s="22">
        <v>50.0</v>
      </c>
      <c r="P291" s="9">
        <f t="shared" si="1"/>
        <v>75</v>
      </c>
    </row>
    <row r="292" ht="15.75" customHeight="1">
      <c r="J292" s="9">
        <v>289.0</v>
      </c>
      <c r="K292" s="27" t="s">
        <v>448</v>
      </c>
      <c r="L292" s="19" t="s">
        <v>129</v>
      </c>
      <c r="M292" s="20">
        <v>11.0</v>
      </c>
      <c r="N292" s="21">
        <v>25.0</v>
      </c>
      <c r="O292" s="22">
        <v>50.0</v>
      </c>
      <c r="P292" s="9">
        <f t="shared" si="1"/>
        <v>75</v>
      </c>
    </row>
    <row r="293" ht="15.75" customHeight="1">
      <c r="J293" s="9">
        <v>290.0</v>
      </c>
      <c r="K293" s="27" t="s">
        <v>449</v>
      </c>
      <c r="L293" s="19" t="s">
        <v>129</v>
      </c>
      <c r="M293" s="20">
        <v>12.0</v>
      </c>
      <c r="N293" s="21">
        <v>25.0</v>
      </c>
      <c r="O293" s="22"/>
      <c r="P293" s="9">
        <f t="shared" si="1"/>
        <v>25</v>
      </c>
    </row>
    <row r="294" ht="15.75" customHeight="1">
      <c r="J294" s="9">
        <v>291.0</v>
      </c>
      <c r="K294" s="27" t="s">
        <v>450</v>
      </c>
      <c r="L294" s="19" t="s">
        <v>129</v>
      </c>
      <c r="M294" s="20">
        <v>13.0</v>
      </c>
      <c r="N294" s="21">
        <v>25.0</v>
      </c>
      <c r="O294" s="22">
        <v>50.0</v>
      </c>
      <c r="P294" s="9">
        <f t="shared" si="1"/>
        <v>75</v>
      </c>
    </row>
    <row r="295" ht="15.75" customHeight="1">
      <c r="J295" s="9">
        <v>292.0</v>
      </c>
      <c r="K295" s="18" t="s">
        <v>451</v>
      </c>
      <c r="L295" s="19" t="s">
        <v>129</v>
      </c>
      <c r="M295" s="20">
        <v>14.0</v>
      </c>
      <c r="N295" s="21">
        <v>25.0</v>
      </c>
      <c r="O295" s="22">
        <v>50.0</v>
      </c>
      <c r="P295" s="9">
        <f t="shared" si="1"/>
        <v>75</v>
      </c>
    </row>
    <row r="296" ht="15.75" customHeight="1">
      <c r="J296" s="9">
        <v>293.0</v>
      </c>
      <c r="K296" s="18" t="s">
        <v>452</v>
      </c>
      <c r="L296" s="19" t="s">
        <v>129</v>
      </c>
      <c r="M296" s="20">
        <v>15.0</v>
      </c>
      <c r="N296" s="21">
        <v>25.0</v>
      </c>
      <c r="O296" s="22">
        <v>50.0</v>
      </c>
      <c r="P296" s="9">
        <f t="shared" si="1"/>
        <v>75</v>
      </c>
    </row>
    <row r="297" ht="15.75" customHeight="1">
      <c r="J297" s="9">
        <v>294.0</v>
      </c>
      <c r="K297" s="50" t="s">
        <v>453</v>
      </c>
      <c r="L297" s="45" t="s">
        <v>129</v>
      </c>
      <c r="M297" s="49">
        <v>16.0</v>
      </c>
      <c r="N297" s="21">
        <v>25.0</v>
      </c>
      <c r="O297" s="22">
        <v>50.0</v>
      </c>
      <c r="P297" s="9">
        <f t="shared" si="1"/>
        <v>75</v>
      </c>
    </row>
    <row r="298" ht="15.75" customHeight="1">
      <c r="J298" s="9">
        <v>295.0</v>
      </c>
      <c r="K298" s="18" t="s">
        <v>454</v>
      </c>
      <c r="L298" s="20" t="s">
        <v>129</v>
      </c>
      <c r="M298" s="20">
        <v>17.0</v>
      </c>
      <c r="N298" s="21">
        <v>25.0</v>
      </c>
      <c r="O298" s="22">
        <v>50.0</v>
      </c>
      <c r="P298" s="9">
        <f t="shared" si="1"/>
        <v>75</v>
      </c>
    </row>
    <row r="299" ht="15.75" customHeight="1">
      <c r="J299" s="9">
        <v>296.0</v>
      </c>
      <c r="K299" s="18" t="s">
        <v>455</v>
      </c>
      <c r="L299" s="20" t="s">
        <v>129</v>
      </c>
      <c r="M299" s="20">
        <v>18.0</v>
      </c>
      <c r="N299" s="21">
        <v>25.0</v>
      </c>
      <c r="O299" s="22">
        <v>50.0</v>
      </c>
      <c r="P299" s="9">
        <f t="shared" si="1"/>
        <v>75</v>
      </c>
    </row>
    <row r="300" ht="15.75" customHeight="1">
      <c r="J300" s="9">
        <v>297.0</v>
      </c>
      <c r="K300" s="27" t="s">
        <v>456</v>
      </c>
      <c r="L300" s="19" t="s">
        <v>129</v>
      </c>
      <c r="M300" s="20">
        <v>19.0</v>
      </c>
      <c r="N300" s="21">
        <v>25.0</v>
      </c>
      <c r="O300" s="22"/>
      <c r="P300" s="9">
        <f t="shared" si="1"/>
        <v>25</v>
      </c>
    </row>
    <row r="301" ht="15.75" customHeight="1">
      <c r="J301" s="9">
        <v>298.0</v>
      </c>
      <c r="K301" s="18" t="s">
        <v>457</v>
      </c>
      <c r="L301" s="20" t="s">
        <v>129</v>
      </c>
      <c r="M301" s="20">
        <v>20.0</v>
      </c>
      <c r="N301" s="21">
        <v>25.0</v>
      </c>
      <c r="O301" s="22">
        <v>50.0</v>
      </c>
      <c r="P301" s="9">
        <f t="shared" si="1"/>
        <v>75</v>
      </c>
    </row>
    <row r="302" ht="15.75" customHeight="1">
      <c r="J302" s="9">
        <v>299.0</v>
      </c>
      <c r="K302" s="18" t="s">
        <v>458</v>
      </c>
      <c r="L302" s="19" t="s">
        <v>129</v>
      </c>
      <c r="M302" s="20">
        <v>21.0</v>
      </c>
      <c r="N302" s="21">
        <v>25.0</v>
      </c>
      <c r="O302" s="22"/>
      <c r="P302" s="9">
        <f t="shared" si="1"/>
        <v>25</v>
      </c>
    </row>
    <row r="303" ht="15.75" customHeight="1">
      <c r="J303" s="9">
        <v>300.0</v>
      </c>
      <c r="K303" s="18" t="s">
        <v>459</v>
      </c>
      <c r="L303" s="20" t="s">
        <v>129</v>
      </c>
      <c r="M303" s="20">
        <v>22.0</v>
      </c>
      <c r="N303" s="21">
        <v>25.0</v>
      </c>
      <c r="O303" s="22">
        <v>50.0</v>
      </c>
      <c r="P303" s="9">
        <f t="shared" si="1"/>
        <v>75</v>
      </c>
    </row>
    <row r="304" ht="15.75" customHeight="1">
      <c r="J304" s="9">
        <v>301.0</v>
      </c>
      <c r="K304" s="18" t="s">
        <v>460</v>
      </c>
      <c r="L304" s="20" t="s">
        <v>129</v>
      </c>
      <c r="M304" s="20">
        <v>23.0</v>
      </c>
      <c r="N304" s="21">
        <v>25.0</v>
      </c>
      <c r="O304" s="22">
        <v>50.0</v>
      </c>
      <c r="P304" s="9">
        <f t="shared" si="1"/>
        <v>75</v>
      </c>
    </row>
    <row r="305" ht="15.75" customHeight="1">
      <c r="J305" s="9">
        <v>302.0</v>
      </c>
      <c r="K305" s="18" t="s">
        <v>461</v>
      </c>
      <c r="L305" s="20" t="s">
        <v>129</v>
      </c>
      <c r="M305" s="20">
        <v>24.0</v>
      </c>
      <c r="N305" s="21">
        <v>25.0</v>
      </c>
      <c r="O305" s="22">
        <v>50.0</v>
      </c>
      <c r="P305" s="9">
        <f t="shared" si="1"/>
        <v>75</v>
      </c>
    </row>
    <row r="306" ht="15.75" customHeight="1">
      <c r="J306" s="9">
        <v>303.0</v>
      </c>
      <c r="K306" s="18" t="s">
        <v>462</v>
      </c>
      <c r="L306" s="20" t="s">
        <v>129</v>
      </c>
      <c r="M306" s="20">
        <v>25.0</v>
      </c>
      <c r="N306" s="21">
        <v>25.0</v>
      </c>
      <c r="O306" s="22">
        <v>50.0</v>
      </c>
      <c r="P306" s="9">
        <f t="shared" si="1"/>
        <v>75</v>
      </c>
    </row>
    <row r="307" ht="15.75" customHeight="1">
      <c r="J307" s="9">
        <v>304.0</v>
      </c>
      <c r="K307" s="18" t="s">
        <v>463</v>
      </c>
      <c r="L307" s="20" t="s">
        <v>129</v>
      </c>
      <c r="M307" s="20">
        <v>26.0</v>
      </c>
      <c r="N307" s="21">
        <v>25.0</v>
      </c>
      <c r="O307" s="22">
        <v>50.0</v>
      </c>
      <c r="P307" s="9">
        <f t="shared" si="1"/>
        <v>75</v>
      </c>
    </row>
    <row r="308" ht="15.75" customHeight="1">
      <c r="J308" s="9">
        <v>305.0</v>
      </c>
      <c r="K308" s="18" t="s">
        <v>464</v>
      </c>
      <c r="L308" s="20" t="s">
        <v>129</v>
      </c>
      <c r="M308" s="20">
        <v>27.0</v>
      </c>
      <c r="N308" s="21">
        <v>25.0</v>
      </c>
      <c r="O308" s="22"/>
      <c r="P308" s="9">
        <f t="shared" si="1"/>
        <v>25</v>
      </c>
    </row>
    <row r="309" ht="15.75" customHeight="1">
      <c r="J309" s="9">
        <v>306.0</v>
      </c>
      <c r="K309" s="18" t="s">
        <v>465</v>
      </c>
      <c r="L309" s="20" t="s">
        <v>129</v>
      </c>
      <c r="M309" s="20" t="s">
        <v>466</v>
      </c>
      <c r="N309" s="21">
        <v>25.0</v>
      </c>
      <c r="O309" s="22"/>
      <c r="P309" s="9">
        <f t="shared" si="1"/>
        <v>25</v>
      </c>
    </row>
    <row r="310" ht="15.75" customHeight="1">
      <c r="J310" s="9">
        <v>307.0</v>
      </c>
      <c r="K310" s="27" t="s">
        <v>467</v>
      </c>
      <c r="L310" s="19" t="s">
        <v>129</v>
      </c>
      <c r="M310" s="20">
        <v>28.0</v>
      </c>
      <c r="N310" s="21">
        <v>25.0</v>
      </c>
      <c r="O310" s="22">
        <v>50.0</v>
      </c>
      <c r="P310" s="9">
        <f t="shared" si="1"/>
        <v>75</v>
      </c>
    </row>
    <row r="311" ht="15.75" customHeight="1">
      <c r="J311" s="9">
        <v>308.0</v>
      </c>
      <c r="K311" s="18" t="s">
        <v>468</v>
      </c>
      <c r="L311" s="20" t="s">
        <v>132</v>
      </c>
      <c r="M311" s="20">
        <v>1.0</v>
      </c>
      <c r="N311" s="21">
        <v>25.0</v>
      </c>
      <c r="O311" s="22">
        <v>50.0</v>
      </c>
      <c r="P311" s="9">
        <f t="shared" si="1"/>
        <v>75</v>
      </c>
    </row>
    <row r="312" ht="15.75" customHeight="1">
      <c r="J312" s="9">
        <v>309.0</v>
      </c>
      <c r="K312" s="18" t="s">
        <v>469</v>
      </c>
      <c r="L312" s="20" t="s">
        <v>132</v>
      </c>
      <c r="M312" s="20">
        <v>2.0</v>
      </c>
      <c r="N312" s="21">
        <v>25.0</v>
      </c>
      <c r="O312" s="22">
        <v>50.0</v>
      </c>
      <c r="P312" s="9">
        <f t="shared" si="1"/>
        <v>75</v>
      </c>
    </row>
    <row r="313" ht="15.75" customHeight="1">
      <c r="J313" s="9">
        <v>310.0</v>
      </c>
      <c r="K313" s="18" t="s">
        <v>470</v>
      </c>
      <c r="L313" s="20" t="s">
        <v>132</v>
      </c>
      <c r="M313" s="20">
        <v>3.0</v>
      </c>
      <c r="N313" s="21">
        <v>25.0</v>
      </c>
      <c r="O313" s="22">
        <v>50.0</v>
      </c>
      <c r="P313" s="9">
        <f t="shared" si="1"/>
        <v>75</v>
      </c>
    </row>
    <row r="314" ht="15.75" customHeight="1">
      <c r="J314" s="9">
        <v>311.0</v>
      </c>
      <c r="K314" s="18" t="s">
        <v>471</v>
      </c>
      <c r="L314" s="19" t="s">
        <v>132</v>
      </c>
      <c r="M314" s="20">
        <v>4.0</v>
      </c>
      <c r="N314" s="21">
        <v>25.0</v>
      </c>
      <c r="O314" s="22">
        <v>50.0</v>
      </c>
      <c r="P314" s="9">
        <f t="shared" si="1"/>
        <v>75</v>
      </c>
    </row>
    <row r="315" ht="15.75" customHeight="1">
      <c r="J315" s="9">
        <v>312.0</v>
      </c>
      <c r="K315" s="18" t="s">
        <v>472</v>
      </c>
      <c r="L315" s="20" t="s">
        <v>132</v>
      </c>
      <c r="M315" s="20">
        <v>5.0</v>
      </c>
      <c r="N315" s="21">
        <v>25.0</v>
      </c>
      <c r="O315" s="22">
        <v>50.0</v>
      </c>
      <c r="P315" s="9">
        <f t="shared" si="1"/>
        <v>75</v>
      </c>
    </row>
    <row r="316" ht="15.75" customHeight="1">
      <c r="J316" s="9">
        <v>313.0</v>
      </c>
      <c r="K316" s="18" t="s">
        <v>473</v>
      </c>
      <c r="L316" s="20" t="s">
        <v>132</v>
      </c>
      <c r="M316" s="20">
        <v>7.0</v>
      </c>
      <c r="N316" s="21">
        <v>25.0</v>
      </c>
      <c r="O316" s="22">
        <v>50.0</v>
      </c>
      <c r="P316" s="9">
        <f t="shared" si="1"/>
        <v>75</v>
      </c>
    </row>
    <row r="317" ht="15.75" customHeight="1">
      <c r="J317" s="9">
        <v>314.0</v>
      </c>
      <c r="K317" s="18" t="s">
        <v>474</v>
      </c>
      <c r="L317" s="20" t="s">
        <v>132</v>
      </c>
      <c r="M317" s="20">
        <v>10.0</v>
      </c>
      <c r="N317" s="21">
        <v>25.0</v>
      </c>
      <c r="O317" s="22">
        <v>50.0</v>
      </c>
      <c r="P317" s="9">
        <f t="shared" si="1"/>
        <v>75</v>
      </c>
    </row>
    <row r="318" ht="15.75" customHeight="1">
      <c r="J318" s="9">
        <v>315.0</v>
      </c>
      <c r="K318" s="18" t="s">
        <v>475</v>
      </c>
      <c r="L318" s="19" t="s">
        <v>132</v>
      </c>
      <c r="M318" s="20">
        <v>17.0</v>
      </c>
      <c r="N318" s="21">
        <v>25.0</v>
      </c>
      <c r="O318" s="22"/>
      <c r="P318" s="9">
        <f t="shared" si="1"/>
        <v>25</v>
      </c>
    </row>
    <row r="319" ht="15.75" customHeight="1">
      <c r="J319" s="9">
        <v>316.0</v>
      </c>
      <c r="K319" s="18" t="s">
        <v>476</v>
      </c>
      <c r="L319" s="20" t="s">
        <v>132</v>
      </c>
      <c r="M319" s="20" t="s">
        <v>477</v>
      </c>
      <c r="N319" s="21">
        <v>25.0</v>
      </c>
      <c r="O319" s="22">
        <v>50.0</v>
      </c>
      <c r="P319" s="9">
        <f t="shared" si="1"/>
        <v>75</v>
      </c>
    </row>
    <row r="320" ht="15.75" customHeight="1">
      <c r="J320" s="9">
        <v>317.0</v>
      </c>
      <c r="K320" s="18" t="s">
        <v>478</v>
      </c>
      <c r="L320" s="20" t="s">
        <v>132</v>
      </c>
      <c r="M320" s="20">
        <v>12.0</v>
      </c>
      <c r="N320" s="21">
        <v>25.0</v>
      </c>
      <c r="O320" s="22"/>
      <c r="P320" s="9">
        <f t="shared" si="1"/>
        <v>25</v>
      </c>
    </row>
    <row r="321" ht="15.75" customHeight="1">
      <c r="J321" s="9">
        <v>318.0</v>
      </c>
      <c r="K321" s="18" t="s">
        <v>479</v>
      </c>
      <c r="L321" s="20" t="s">
        <v>132</v>
      </c>
      <c r="M321" s="20">
        <v>18.0</v>
      </c>
      <c r="N321" s="21"/>
      <c r="O321" s="22">
        <v>50.0</v>
      </c>
      <c r="P321" s="9">
        <f t="shared" si="1"/>
        <v>50</v>
      </c>
    </row>
    <row r="322" ht="15.75" customHeight="1">
      <c r="J322" s="9">
        <v>319.0</v>
      </c>
      <c r="K322" s="18" t="s">
        <v>480</v>
      </c>
      <c r="L322" s="20" t="s">
        <v>132</v>
      </c>
      <c r="M322" s="20">
        <v>19.0</v>
      </c>
      <c r="N322" s="21">
        <v>25.0</v>
      </c>
      <c r="O322" s="22">
        <v>50.0</v>
      </c>
      <c r="P322" s="9">
        <f t="shared" si="1"/>
        <v>75</v>
      </c>
    </row>
    <row r="323" ht="15.75" customHeight="1">
      <c r="J323" s="9">
        <v>320.0</v>
      </c>
      <c r="K323" s="18" t="s">
        <v>481</v>
      </c>
      <c r="L323" s="20" t="s">
        <v>132</v>
      </c>
      <c r="M323" s="20">
        <v>20.0</v>
      </c>
      <c r="N323" s="21">
        <v>25.0</v>
      </c>
      <c r="O323" s="22">
        <v>50.0</v>
      </c>
      <c r="P323" s="9">
        <f t="shared" si="1"/>
        <v>75</v>
      </c>
    </row>
    <row r="324" ht="15.75" customHeight="1">
      <c r="J324" s="9">
        <v>321.0</v>
      </c>
      <c r="K324" s="18" t="s">
        <v>482</v>
      </c>
      <c r="L324" s="20" t="s">
        <v>150</v>
      </c>
      <c r="M324" s="20">
        <v>1.0</v>
      </c>
      <c r="N324" s="21">
        <v>25.0</v>
      </c>
      <c r="O324" s="22"/>
      <c r="P324" s="9">
        <f t="shared" si="1"/>
        <v>25</v>
      </c>
    </row>
    <row r="325" ht="15.75" customHeight="1">
      <c r="J325" s="9">
        <v>322.0</v>
      </c>
      <c r="K325" s="18" t="s">
        <v>483</v>
      </c>
      <c r="L325" s="20" t="s">
        <v>150</v>
      </c>
      <c r="M325" s="20">
        <v>2.0</v>
      </c>
      <c r="N325" s="21">
        <v>25.0</v>
      </c>
      <c r="O325" s="22">
        <v>50.0</v>
      </c>
      <c r="P325" s="9">
        <f t="shared" si="1"/>
        <v>75</v>
      </c>
    </row>
    <row r="326" ht="15.75" customHeight="1">
      <c r="J326" s="9">
        <v>323.0</v>
      </c>
      <c r="K326" s="18" t="s">
        <v>484</v>
      </c>
      <c r="L326" s="20" t="s">
        <v>150</v>
      </c>
      <c r="M326" s="20">
        <v>3.0</v>
      </c>
      <c r="N326" s="21">
        <v>25.0</v>
      </c>
      <c r="O326" s="22"/>
      <c r="P326" s="9">
        <f t="shared" si="1"/>
        <v>25</v>
      </c>
    </row>
    <row r="327" ht="15.75" customHeight="1">
      <c r="J327" s="9">
        <v>324.0</v>
      </c>
      <c r="K327" s="18" t="s">
        <v>149</v>
      </c>
      <c r="L327" s="20" t="s">
        <v>150</v>
      </c>
      <c r="M327" s="20">
        <v>5.0</v>
      </c>
      <c r="N327" s="21">
        <v>25.0</v>
      </c>
      <c r="O327" s="22"/>
      <c r="P327" s="9">
        <f t="shared" si="1"/>
        <v>25</v>
      </c>
    </row>
    <row r="328" ht="15.75" customHeight="1">
      <c r="J328" s="9">
        <v>325.0</v>
      </c>
      <c r="K328" s="18" t="s">
        <v>485</v>
      </c>
      <c r="L328" s="20" t="s">
        <v>150</v>
      </c>
      <c r="M328" s="20">
        <v>6.0</v>
      </c>
      <c r="N328" s="21">
        <v>25.0</v>
      </c>
      <c r="O328" s="22">
        <v>50.0</v>
      </c>
      <c r="P328" s="9">
        <f t="shared" si="1"/>
        <v>75</v>
      </c>
    </row>
    <row r="329" ht="15.75" customHeight="1">
      <c r="J329" s="9">
        <v>326.0</v>
      </c>
      <c r="K329" s="27" t="s">
        <v>486</v>
      </c>
      <c r="L329" s="19" t="s">
        <v>150</v>
      </c>
      <c r="M329" s="20">
        <v>7.0</v>
      </c>
      <c r="N329" s="21">
        <v>25.0</v>
      </c>
      <c r="O329" s="22">
        <v>50.0</v>
      </c>
      <c r="P329" s="9">
        <f t="shared" si="1"/>
        <v>75</v>
      </c>
    </row>
    <row r="330" ht="15.75" customHeight="1">
      <c r="J330" s="9">
        <v>327.0</v>
      </c>
      <c r="K330" s="27" t="s">
        <v>487</v>
      </c>
      <c r="L330" s="19" t="s">
        <v>150</v>
      </c>
      <c r="M330" s="20">
        <v>8.0</v>
      </c>
      <c r="N330" s="21">
        <v>25.0</v>
      </c>
      <c r="O330" s="22"/>
      <c r="P330" s="9">
        <f t="shared" si="1"/>
        <v>25</v>
      </c>
    </row>
    <row r="331" ht="15.75" customHeight="1">
      <c r="J331" s="9">
        <v>328.0</v>
      </c>
      <c r="K331" s="27" t="s">
        <v>488</v>
      </c>
      <c r="L331" s="19" t="s">
        <v>150</v>
      </c>
      <c r="M331" s="20">
        <v>9.0</v>
      </c>
      <c r="N331" s="21">
        <v>25.0</v>
      </c>
      <c r="O331" s="22"/>
      <c r="P331" s="9">
        <f t="shared" si="1"/>
        <v>25</v>
      </c>
    </row>
    <row r="332" ht="15.75" customHeight="1">
      <c r="J332" s="9">
        <v>329.0</v>
      </c>
      <c r="K332" s="27" t="s">
        <v>489</v>
      </c>
      <c r="L332" s="19" t="s">
        <v>150</v>
      </c>
      <c r="M332" s="20">
        <v>10.0</v>
      </c>
      <c r="N332" s="21">
        <v>25.0</v>
      </c>
      <c r="O332" s="22">
        <v>50.0</v>
      </c>
      <c r="P332" s="9">
        <f t="shared" si="1"/>
        <v>75</v>
      </c>
    </row>
    <row r="333" ht="15.75" customHeight="1">
      <c r="J333" s="9">
        <v>330.0</v>
      </c>
      <c r="K333" s="27" t="s">
        <v>490</v>
      </c>
      <c r="L333" s="19" t="s">
        <v>150</v>
      </c>
      <c r="M333" s="20">
        <v>12.0</v>
      </c>
      <c r="N333" s="21">
        <v>25.0</v>
      </c>
      <c r="O333" s="22">
        <v>50.0</v>
      </c>
      <c r="P333" s="9">
        <f t="shared" si="1"/>
        <v>75</v>
      </c>
    </row>
    <row r="334" ht="15.75" customHeight="1">
      <c r="J334" s="9">
        <v>331.0</v>
      </c>
      <c r="K334" s="27" t="s">
        <v>491</v>
      </c>
      <c r="L334" s="19" t="s">
        <v>155</v>
      </c>
      <c r="M334" s="20">
        <v>1.0</v>
      </c>
      <c r="N334" s="21">
        <v>25.0</v>
      </c>
      <c r="O334" s="22"/>
      <c r="P334" s="9">
        <f t="shared" si="1"/>
        <v>25</v>
      </c>
    </row>
    <row r="335" ht="15.75" customHeight="1">
      <c r="J335" s="9">
        <v>332.0</v>
      </c>
      <c r="K335" s="18" t="s">
        <v>492</v>
      </c>
      <c r="L335" s="19" t="s">
        <v>155</v>
      </c>
      <c r="M335" s="20">
        <v>2.0</v>
      </c>
      <c r="N335" s="21">
        <v>25.0</v>
      </c>
      <c r="O335" s="22"/>
      <c r="P335" s="9">
        <f t="shared" si="1"/>
        <v>25</v>
      </c>
    </row>
    <row r="336" ht="15.75" customHeight="1">
      <c r="J336" s="9">
        <v>333.0</v>
      </c>
      <c r="K336" s="18" t="s">
        <v>493</v>
      </c>
      <c r="L336" s="20" t="s">
        <v>155</v>
      </c>
      <c r="M336" s="20">
        <v>4.0</v>
      </c>
      <c r="N336" s="21">
        <v>25.0</v>
      </c>
      <c r="O336" s="22">
        <v>20.0</v>
      </c>
      <c r="P336" s="9">
        <f t="shared" si="1"/>
        <v>45</v>
      </c>
    </row>
    <row r="337" ht="15.75" customHeight="1">
      <c r="J337" s="9">
        <v>334.0</v>
      </c>
      <c r="K337" s="18" t="s">
        <v>494</v>
      </c>
      <c r="L337" s="19" t="s">
        <v>155</v>
      </c>
      <c r="M337" s="20">
        <v>5.0</v>
      </c>
      <c r="N337" s="21">
        <v>25.0</v>
      </c>
      <c r="O337" s="22">
        <v>50.0</v>
      </c>
      <c r="P337" s="9">
        <f t="shared" si="1"/>
        <v>75</v>
      </c>
    </row>
    <row r="338" ht="15.75" customHeight="1">
      <c r="J338" s="9">
        <v>335.0</v>
      </c>
      <c r="K338" s="18" t="s">
        <v>495</v>
      </c>
      <c r="L338" s="19" t="s">
        <v>155</v>
      </c>
      <c r="M338" s="20">
        <v>7.0</v>
      </c>
      <c r="N338" s="21">
        <v>25.0</v>
      </c>
      <c r="O338" s="22">
        <v>50.0</v>
      </c>
      <c r="P338" s="9">
        <f t="shared" si="1"/>
        <v>75</v>
      </c>
    </row>
    <row r="339" ht="15.75" customHeight="1">
      <c r="J339" s="9">
        <v>336.0</v>
      </c>
      <c r="K339" s="18" t="s">
        <v>496</v>
      </c>
      <c r="L339" s="19" t="s">
        <v>155</v>
      </c>
      <c r="M339" s="20">
        <v>8.0</v>
      </c>
      <c r="N339" s="21">
        <v>25.0</v>
      </c>
      <c r="O339" s="22"/>
      <c r="P339" s="9">
        <f t="shared" si="1"/>
        <v>25</v>
      </c>
    </row>
    <row r="340" ht="15.75" customHeight="1">
      <c r="J340" s="9">
        <v>337.0</v>
      </c>
      <c r="K340" s="43" t="s">
        <v>497</v>
      </c>
      <c r="L340" s="19" t="s">
        <v>159</v>
      </c>
      <c r="M340" s="20">
        <v>2.0</v>
      </c>
      <c r="N340" s="21">
        <v>25.0</v>
      </c>
      <c r="O340" s="22"/>
      <c r="P340" s="9">
        <f t="shared" si="1"/>
        <v>25</v>
      </c>
    </row>
    <row r="341" ht="15.75" customHeight="1">
      <c r="J341" s="9">
        <v>338.0</v>
      </c>
      <c r="K341" s="18" t="s">
        <v>498</v>
      </c>
      <c r="L341" s="19" t="s">
        <v>159</v>
      </c>
      <c r="M341" s="20">
        <v>3.0</v>
      </c>
      <c r="N341" s="21">
        <v>25.0</v>
      </c>
      <c r="O341" s="22">
        <v>50.0</v>
      </c>
      <c r="P341" s="9">
        <f t="shared" si="1"/>
        <v>75</v>
      </c>
    </row>
    <row r="342" ht="15.75" customHeight="1">
      <c r="J342" s="9">
        <v>339.0</v>
      </c>
      <c r="K342" s="18" t="s">
        <v>499</v>
      </c>
      <c r="L342" s="19" t="s">
        <v>159</v>
      </c>
      <c r="M342" s="20">
        <v>4.0</v>
      </c>
      <c r="N342" s="21">
        <v>25.0</v>
      </c>
      <c r="O342" s="22">
        <v>50.0</v>
      </c>
      <c r="P342" s="9">
        <f t="shared" si="1"/>
        <v>75</v>
      </c>
    </row>
    <row r="343" ht="15.75" customHeight="1">
      <c r="J343" s="9">
        <v>340.0</v>
      </c>
      <c r="K343" s="18" t="s">
        <v>500</v>
      </c>
      <c r="L343" s="20" t="s">
        <v>159</v>
      </c>
      <c r="M343" s="20">
        <v>8.0</v>
      </c>
      <c r="N343" s="21">
        <v>25.0</v>
      </c>
      <c r="O343" s="22">
        <v>50.0</v>
      </c>
      <c r="P343" s="9">
        <f t="shared" si="1"/>
        <v>75</v>
      </c>
    </row>
    <row r="344" ht="15.75" customHeight="1">
      <c r="J344" s="9">
        <v>341.0</v>
      </c>
      <c r="K344" s="18" t="s">
        <v>501</v>
      </c>
      <c r="L344" s="19" t="s">
        <v>159</v>
      </c>
      <c r="M344" s="20">
        <v>9.0</v>
      </c>
      <c r="N344" s="21">
        <v>25.0</v>
      </c>
      <c r="O344" s="22"/>
      <c r="P344" s="9">
        <f t="shared" si="1"/>
        <v>25</v>
      </c>
    </row>
    <row r="345" ht="15.75" customHeight="1">
      <c r="J345" s="9">
        <v>342.0</v>
      </c>
      <c r="K345" s="27" t="s">
        <v>502</v>
      </c>
      <c r="L345" s="19" t="s">
        <v>159</v>
      </c>
      <c r="M345" s="20">
        <v>10.0</v>
      </c>
      <c r="N345" s="21">
        <v>25.0</v>
      </c>
      <c r="O345" s="22">
        <v>50.0</v>
      </c>
      <c r="P345" s="9">
        <f t="shared" si="1"/>
        <v>75</v>
      </c>
    </row>
    <row r="346" ht="15.75" customHeight="1">
      <c r="J346" s="9">
        <v>343.0</v>
      </c>
      <c r="K346" s="27" t="s">
        <v>503</v>
      </c>
      <c r="L346" s="19" t="s">
        <v>159</v>
      </c>
      <c r="M346" s="20">
        <v>11.0</v>
      </c>
      <c r="N346" s="21">
        <v>25.0</v>
      </c>
      <c r="O346" s="22">
        <v>50.0</v>
      </c>
      <c r="P346" s="9">
        <f t="shared" si="1"/>
        <v>75</v>
      </c>
    </row>
    <row r="347" ht="15.75" customHeight="1">
      <c r="J347" s="9">
        <v>344.0</v>
      </c>
      <c r="K347" s="27" t="s">
        <v>504</v>
      </c>
      <c r="L347" s="19" t="s">
        <v>159</v>
      </c>
      <c r="M347" s="20">
        <v>12.0</v>
      </c>
      <c r="N347" s="21">
        <v>25.0</v>
      </c>
      <c r="O347" s="22">
        <v>50.0</v>
      </c>
      <c r="P347" s="9">
        <f t="shared" si="1"/>
        <v>75</v>
      </c>
    </row>
    <row r="348" ht="15.75" customHeight="1">
      <c r="J348" s="9">
        <v>345.0</v>
      </c>
      <c r="K348" s="27" t="s">
        <v>167</v>
      </c>
      <c r="L348" s="19" t="s">
        <v>159</v>
      </c>
      <c r="M348" s="20">
        <v>13.0</v>
      </c>
      <c r="N348" s="21">
        <v>25.0</v>
      </c>
      <c r="O348" s="22"/>
      <c r="P348" s="9">
        <f t="shared" si="1"/>
        <v>25</v>
      </c>
    </row>
    <row r="349" ht="15.75" customHeight="1">
      <c r="J349" s="9">
        <v>346.0</v>
      </c>
      <c r="K349" s="18" t="s">
        <v>505</v>
      </c>
      <c r="L349" s="20" t="s">
        <v>159</v>
      </c>
      <c r="M349" s="20">
        <v>15.0</v>
      </c>
      <c r="N349" s="21">
        <v>25.0</v>
      </c>
      <c r="O349" s="22">
        <v>50.0</v>
      </c>
      <c r="P349" s="9">
        <f t="shared" si="1"/>
        <v>75</v>
      </c>
    </row>
    <row r="350" ht="15.75" customHeight="1">
      <c r="J350" s="9">
        <v>347.0</v>
      </c>
      <c r="K350" s="18" t="s">
        <v>506</v>
      </c>
      <c r="L350" s="20" t="s">
        <v>170</v>
      </c>
      <c r="M350" s="20">
        <v>1.0</v>
      </c>
      <c r="N350" s="21">
        <v>25.0</v>
      </c>
      <c r="O350" s="22">
        <v>50.0</v>
      </c>
      <c r="P350" s="9">
        <f t="shared" si="1"/>
        <v>75</v>
      </c>
    </row>
    <row r="351" ht="15.75" customHeight="1">
      <c r="J351" s="9">
        <v>348.0</v>
      </c>
      <c r="K351" s="18" t="s">
        <v>507</v>
      </c>
      <c r="L351" s="20" t="s">
        <v>170</v>
      </c>
      <c r="M351" s="20">
        <v>2.0</v>
      </c>
      <c r="N351" s="21">
        <v>25.0</v>
      </c>
      <c r="O351" s="22">
        <v>50.0</v>
      </c>
      <c r="P351" s="9">
        <f t="shared" si="1"/>
        <v>75</v>
      </c>
    </row>
    <row r="352" ht="15.75" customHeight="1">
      <c r="J352" s="9">
        <v>349.0</v>
      </c>
      <c r="K352" s="18" t="s">
        <v>508</v>
      </c>
      <c r="L352" s="19" t="s">
        <v>170</v>
      </c>
      <c r="M352" s="20">
        <v>3.0</v>
      </c>
      <c r="N352" s="21">
        <v>25.0</v>
      </c>
      <c r="O352" s="22">
        <v>50.0</v>
      </c>
      <c r="P352" s="9">
        <f t="shared" si="1"/>
        <v>75</v>
      </c>
    </row>
    <row r="353" ht="15.75" customHeight="1">
      <c r="J353" s="9">
        <v>350.0</v>
      </c>
      <c r="K353" s="18" t="s">
        <v>509</v>
      </c>
      <c r="L353" s="19" t="s">
        <v>170</v>
      </c>
      <c r="M353" s="20">
        <v>4.0</v>
      </c>
      <c r="N353" s="21">
        <v>25.0</v>
      </c>
      <c r="O353" s="22"/>
      <c r="P353" s="9">
        <f t="shared" si="1"/>
        <v>25</v>
      </c>
    </row>
    <row r="354" ht="15.75" customHeight="1">
      <c r="J354" s="9">
        <v>351.0</v>
      </c>
      <c r="K354" s="18" t="s">
        <v>510</v>
      </c>
      <c r="L354" s="20" t="s">
        <v>170</v>
      </c>
      <c r="M354" s="20">
        <v>5.0</v>
      </c>
      <c r="N354" s="21">
        <v>25.0</v>
      </c>
      <c r="O354" s="22">
        <v>50.0</v>
      </c>
      <c r="P354" s="9">
        <f t="shared" si="1"/>
        <v>75</v>
      </c>
    </row>
    <row r="355" ht="15.75" customHeight="1">
      <c r="J355" s="9">
        <v>352.0</v>
      </c>
      <c r="K355" s="18" t="s">
        <v>511</v>
      </c>
      <c r="L355" s="20" t="s">
        <v>170</v>
      </c>
      <c r="M355" s="20">
        <v>6.0</v>
      </c>
      <c r="N355" s="21">
        <v>25.0</v>
      </c>
      <c r="O355" s="22">
        <v>50.0</v>
      </c>
      <c r="P355" s="9">
        <f t="shared" si="1"/>
        <v>75</v>
      </c>
    </row>
    <row r="356" ht="15.75" customHeight="1">
      <c r="J356" s="9">
        <v>353.0</v>
      </c>
      <c r="K356" s="18" t="s">
        <v>512</v>
      </c>
      <c r="L356" s="20" t="s">
        <v>170</v>
      </c>
      <c r="M356" s="20">
        <v>7.0</v>
      </c>
      <c r="N356" s="21">
        <v>25.0</v>
      </c>
      <c r="O356" s="22"/>
      <c r="P356" s="9">
        <f t="shared" si="1"/>
        <v>25</v>
      </c>
    </row>
    <row r="357" ht="15.75" customHeight="1">
      <c r="J357" s="9">
        <v>354.0</v>
      </c>
      <c r="K357" s="18" t="s">
        <v>513</v>
      </c>
      <c r="L357" s="20" t="s">
        <v>170</v>
      </c>
      <c r="M357" s="20">
        <v>8.0</v>
      </c>
      <c r="N357" s="21">
        <v>25.0</v>
      </c>
      <c r="O357" s="22">
        <v>50.0</v>
      </c>
      <c r="P357" s="9">
        <f t="shared" si="1"/>
        <v>75</v>
      </c>
    </row>
    <row r="358" ht="15.75" customHeight="1">
      <c r="J358" s="9">
        <v>355.0</v>
      </c>
      <c r="K358" s="18" t="s">
        <v>514</v>
      </c>
      <c r="L358" s="20" t="s">
        <v>170</v>
      </c>
      <c r="M358" s="20">
        <v>10.0</v>
      </c>
      <c r="N358" s="21">
        <v>25.0</v>
      </c>
      <c r="O358" s="22"/>
      <c r="P358" s="9">
        <f t="shared" si="1"/>
        <v>25</v>
      </c>
    </row>
    <row r="359" ht="15.75" customHeight="1">
      <c r="J359" s="9">
        <v>356.0</v>
      </c>
      <c r="K359" s="18" t="s">
        <v>515</v>
      </c>
      <c r="L359" s="20" t="s">
        <v>170</v>
      </c>
      <c r="M359" s="20">
        <v>11.0</v>
      </c>
      <c r="N359" s="21">
        <v>25.0</v>
      </c>
      <c r="O359" s="22">
        <v>50.0</v>
      </c>
      <c r="P359" s="9">
        <f t="shared" si="1"/>
        <v>75</v>
      </c>
    </row>
    <row r="360" ht="15.75" customHeight="1">
      <c r="J360" s="9">
        <v>357.0</v>
      </c>
      <c r="K360" s="18" t="s">
        <v>516</v>
      </c>
      <c r="L360" s="20" t="s">
        <v>170</v>
      </c>
      <c r="M360" s="20">
        <v>15.0</v>
      </c>
      <c r="N360" s="21">
        <v>25.0</v>
      </c>
      <c r="O360" s="22">
        <v>50.0</v>
      </c>
      <c r="P360" s="9">
        <f t="shared" si="1"/>
        <v>75</v>
      </c>
    </row>
    <row r="361" ht="15.75" customHeight="1">
      <c r="J361" s="9">
        <v>358.0</v>
      </c>
      <c r="K361" s="18" t="s">
        <v>517</v>
      </c>
      <c r="L361" s="19" t="s">
        <v>170</v>
      </c>
      <c r="M361" s="20">
        <v>16.0</v>
      </c>
      <c r="N361" s="21">
        <v>25.0</v>
      </c>
      <c r="O361" s="22">
        <v>50.0</v>
      </c>
      <c r="P361" s="9">
        <f t="shared" si="1"/>
        <v>75</v>
      </c>
    </row>
    <row r="362" ht="15.75" customHeight="1">
      <c r="J362" s="9">
        <v>359.0</v>
      </c>
      <c r="K362" s="18" t="s">
        <v>518</v>
      </c>
      <c r="L362" s="19" t="s">
        <v>170</v>
      </c>
      <c r="M362" s="20">
        <v>18.0</v>
      </c>
      <c r="N362" s="21">
        <v>25.0</v>
      </c>
      <c r="O362" s="22">
        <v>50.0</v>
      </c>
      <c r="P362" s="9">
        <f t="shared" si="1"/>
        <v>75</v>
      </c>
    </row>
    <row r="363" ht="15.75" customHeight="1">
      <c r="J363" s="9">
        <v>360.0</v>
      </c>
      <c r="K363" s="18" t="s">
        <v>519</v>
      </c>
      <c r="L363" s="20" t="s">
        <v>170</v>
      </c>
      <c r="M363" s="20">
        <v>19.0</v>
      </c>
      <c r="N363" s="21">
        <v>25.0</v>
      </c>
      <c r="O363" s="22">
        <v>50.0</v>
      </c>
      <c r="P363" s="9">
        <f t="shared" si="1"/>
        <v>75</v>
      </c>
    </row>
    <row r="364" ht="15.75" customHeight="1">
      <c r="J364" s="9">
        <v>361.0</v>
      </c>
      <c r="K364" s="27" t="s">
        <v>520</v>
      </c>
      <c r="L364" s="19" t="s">
        <v>170</v>
      </c>
      <c r="M364" s="20">
        <v>20.0</v>
      </c>
      <c r="N364" s="21">
        <v>25.0</v>
      </c>
      <c r="O364" s="22">
        <v>50.0</v>
      </c>
      <c r="P364" s="9">
        <f t="shared" si="1"/>
        <v>75</v>
      </c>
    </row>
    <row r="365" ht="15.75" customHeight="1">
      <c r="J365" s="9">
        <v>362.0</v>
      </c>
      <c r="K365" s="18" t="s">
        <v>521</v>
      </c>
      <c r="L365" s="20" t="s">
        <v>522</v>
      </c>
      <c r="M365" s="20">
        <v>1.0</v>
      </c>
      <c r="N365" s="21">
        <v>25.0</v>
      </c>
      <c r="O365" s="22">
        <v>50.0</v>
      </c>
      <c r="P365" s="9">
        <f t="shared" si="1"/>
        <v>75</v>
      </c>
    </row>
    <row r="366" ht="15.75" customHeight="1">
      <c r="J366" s="9">
        <v>363.0</v>
      </c>
      <c r="K366" s="18" t="s">
        <v>523</v>
      </c>
      <c r="L366" s="20" t="s">
        <v>522</v>
      </c>
      <c r="M366" s="20">
        <v>2.0</v>
      </c>
      <c r="N366" s="21">
        <v>25.0</v>
      </c>
      <c r="O366" s="22">
        <v>50.0</v>
      </c>
      <c r="P366" s="9">
        <f t="shared" si="1"/>
        <v>75</v>
      </c>
    </row>
    <row r="367" ht="15.75" customHeight="1">
      <c r="J367" s="9">
        <v>364.0</v>
      </c>
      <c r="K367" s="18" t="s">
        <v>524</v>
      </c>
      <c r="L367" s="20" t="s">
        <v>522</v>
      </c>
      <c r="M367" s="20">
        <v>3.0</v>
      </c>
      <c r="N367" s="21">
        <v>25.0</v>
      </c>
      <c r="O367" s="22"/>
      <c r="P367" s="9">
        <f t="shared" si="1"/>
        <v>25</v>
      </c>
    </row>
    <row r="368" ht="15.75" customHeight="1">
      <c r="J368" s="9">
        <v>365.0</v>
      </c>
      <c r="K368" s="18" t="s">
        <v>525</v>
      </c>
      <c r="L368" s="20" t="s">
        <v>522</v>
      </c>
      <c r="M368" s="20">
        <v>4.0</v>
      </c>
      <c r="N368" s="21">
        <v>25.0</v>
      </c>
      <c r="O368" s="22"/>
      <c r="P368" s="9">
        <f t="shared" si="1"/>
        <v>25</v>
      </c>
    </row>
    <row r="369" ht="15.75" customHeight="1">
      <c r="J369" s="9">
        <v>366.0</v>
      </c>
      <c r="K369" s="27" t="s">
        <v>526</v>
      </c>
      <c r="L369" s="19" t="s">
        <v>522</v>
      </c>
      <c r="M369" s="20">
        <v>5.0</v>
      </c>
      <c r="N369" s="21">
        <v>25.0</v>
      </c>
      <c r="O369" s="22"/>
      <c r="P369" s="9">
        <f t="shared" si="1"/>
        <v>25</v>
      </c>
    </row>
    <row r="370" ht="15.75" customHeight="1">
      <c r="J370" s="9">
        <v>367.0</v>
      </c>
      <c r="K370" s="27" t="s">
        <v>527</v>
      </c>
      <c r="L370" s="19" t="s">
        <v>522</v>
      </c>
      <c r="M370" s="20">
        <v>6.0</v>
      </c>
      <c r="N370" s="21">
        <v>25.0</v>
      </c>
      <c r="O370" s="22">
        <v>50.0</v>
      </c>
      <c r="P370" s="9">
        <f t="shared" si="1"/>
        <v>75</v>
      </c>
    </row>
    <row r="371" ht="15.75" customHeight="1">
      <c r="J371" s="9">
        <v>368.0</v>
      </c>
      <c r="K371" s="18" t="s">
        <v>528</v>
      </c>
      <c r="L371" s="19" t="s">
        <v>182</v>
      </c>
      <c r="M371" s="20">
        <v>1.0</v>
      </c>
      <c r="N371" s="21">
        <v>25.0</v>
      </c>
      <c r="O371" s="22">
        <v>50.0</v>
      </c>
      <c r="P371" s="9">
        <f t="shared" si="1"/>
        <v>75</v>
      </c>
    </row>
    <row r="372" ht="15.75" customHeight="1">
      <c r="J372" s="9">
        <v>369.0</v>
      </c>
      <c r="K372" s="18" t="s">
        <v>529</v>
      </c>
      <c r="L372" s="19" t="s">
        <v>182</v>
      </c>
      <c r="M372" s="20">
        <v>2.0</v>
      </c>
      <c r="N372" s="21">
        <v>25.0</v>
      </c>
      <c r="O372" s="22">
        <v>50.0</v>
      </c>
      <c r="P372" s="9">
        <f t="shared" si="1"/>
        <v>75</v>
      </c>
    </row>
    <row r="373" ht="15.75" customHeight="1">
      <c r="J373" s="9">
        <v>370.0</v>
      </c>
      <c r="K373" s="27" t="s">
        <v>530</v>
      </c>
      <c r="L373" s="19" t="s">
        <v>182</v>
      </c>
      <c r="M373" s="20">
        <v>3.0</v>
      </c>
      <c r="N373" s="21">
        <v>25.0</v>
      </c>
      <c r="O373" s="22">
        <v>50.0</v>
      </c>
      <c r="P373" s="9">
        <f t="shared" si="1"/>
        <v>75</v>
      </c>
    </row>
    <row r="374" ht="15.75" customHeight="1">
      <c r="J374" s="9">
        <v>371.0</v>
      </c>
      <c r="K374" s="27" t="s">
        <v>531</v>
      </c>
      <c r="L374" s="19" t="s">
        <v>182</v>
      </c>
      <c r="M374" s="20">
        <v>5.0</v>
      </c>
      <c r="N374" s="21">
        <v>25.0</v>
      </c>
      <c r="O374" s="22"/>
      <c r="P374" s="9">
        <f t="shared" si="1"/>
        <v>25</v>
      </c>
    </row>
    <row r="375" ht="15.75" customHeight="1">
      <c r="J375" s="9">
        <v>372.0</v>
      </c>
      <c r="K375" s="18" t="s">
        <v>532</v>
      </c>
      <c r="L375" s="20" t="s">
        <v>182</v>
      </c>
      <c r="M375" s="20">
        <v>6.0</v>
      </c>
      <c r="N375" s="21">
        <v>25.0</v>
      </c>
      <c r="O375" s="22">
        <v>50.0</v>
      </c>
      <c r="P375" s="9">
        <f t="shared" si="1"/>
        <v>75</v>
      </c>
    </row>
    <row r="376" ht="15.75" customHeight="1">
      <c r="J376" s="9">
        <v>373.0</v>
      </c>
      <c r="K376" s="18" t="s">
        <v>533</v>
      </c>
      <c r="L376" s="20" t="s">
        <v>182</v>
      </c>
      <c r="M376" s="20">
        <v>7.0</v>
      </c>
      <c r="N376" s="21">
        <v>25.0</v>
      </c>
      <c r="O376" s="22">
        <v>50.0</v>
      </c>
      <c r="P376" s="9">
        <f t="shared" si="1"/>
        <v>75</v>
      </c>
    </row>
    <row r="377" ht="15.75" customHeight="1">
      <c r="J377" s="9">
        <v>374.0</v>
      </c>
      <c r="K377" s="18" t="s">
        <v>534</v>
      </c>
      <c r="L377" s="20" t="s">
        <v>182</v>
      </c>
      <c r="M377" s="20">
        <v>9.0</v>
      </c>
      <c r="N377" s="21">
        <v>25.0</v>
      </c>
      <c r="O377" s="22">
        <v>50.0</v>
      </c>
      <c r="P377" s="9">
        <f t="shared" si="1"/>
        <v>75</v>
      </c>
    </row>
    <row r="378" ht="15.75" customHeight="1">
      <c r="J378" s="9">
        <v>375.0</v>
      </c>
      <c r="K378" s="18" t="s">
        <v>535</v>
      </c>
      <c r="L378" s="20" t="s">
        <v>182</v>
      </c>
      <c r="M378" s="20">
        <v>12.0</v>
      </c>
      <c r="N378" s="21">
        <v>25.0</v>
      </c>
      <c r="O378" s="22">
        <v>50.0</v>
      </c>
      <c r="P378" s="9">
        <f t="shared" si="1"/>
        <v>75</v>
      </c>
    </row>
    <row r="379" ht="15.75" customHeight="1">
      <c r="J379" s="9">
        <v>376.0</v>
      </c>
      <c r="K379" s="27" t="s">
        <v>536</v>
      </c>
      <c r="L379" s="19" t="s">
        <v>182</v>
      </c>
      <c r="M379" s="20">
        <v>10.0</v>
      </c>
      <c r="N379" s="21">
        <v>25.0</v>
      </c>
      <c r="O379" s="22"/>
      <c r="P379" s="9">
        <f t="shared" si="1"/>
        <v>25</v>
      </c>
    </row>
    <row r="380" ht="15.75" customHeight="1">
      <c r="J380" s="9">
        <v>377.0</v>
      </c>
      <c r="K380" s="27" t="s">
        <v>537</v>
      </c>
      <c r="L380" s="19" t="s">
        <v>182</v>
      </c>
      <c r="M380" s="20">
        <v>11.0</v>
      </c>
      <c r="N380" s="21">
        <v>25.0</v>
      </c>
      <c r="O380" s="22">
        <v>50.0</v>
      </c>
      <c r="P380" s="9">
        <f t="shared" si="1"/>
        <v>75</v>
      </c>
    </row>
    <row r="381" ht="15.75" customHeight="1">
      <c r="J381" s="9">
        <v>378.0</v>
      </c>
      <c r="K381" s="28" t="s">
        <v>538</v>
      </c>
      <c r="L381" s="19" t="s">
        <v>539</v>
      </c>
      <c r="M381" s="20">
        <v>12.0</v>
      </c>
      <c r="N381" s="21">
        <v>25.0</v>
      </c>
      <c r="O381" s="22">
        <v>50.0</v>
      </c>
      <c r="P381" s="9">
        <f t="shared" si="1"/>
        <v>75</v>
      </c>
    </row>
    <row r="382" ht="15.75" customHeight="1">
      <c r="J382" s="9">
        <v>379.0</v>
      </c>
      <c r="K382" s="18" t="s">
        <v>540</v>
      </c>
      <c r="L382" s="20" t="s">
        <v>182</v>
      </c>
      <c r="M382" s="20">
        <v>13.0</v>
      </c>
      <c r="N382" s="21">
        <v>25.0</v>
      </c>
      <c r="O382" s="22">
        <v>50.0</v>
      </c>
      <c r="P382" s="9">
        <f t="shared" si="1"/>
        <v>75</v>
      </c>
    </row>
    <row r="383" ht="15.75" customHeight="1">
      <c r="J383" s="9">
        <v>380.0</v>
      </c>
      <c r="K383" s="18" t="s">
        <v>541</v>
      </c>
      <c r="L383" s="20" t="s">
        <v>182</v>
      </c>
      <c r="M383" s="20">
        <v>14.0</v>
      </c>
      <c r="N383" s="21">
        <v>25.0</v>
      </c>
      <c r="O383" s="22">
        <v>50.0</v>
      </c>
      <c r="P383" s="9">
        <f t="shared" si="1"/>
        <v>75</v>
      </c>
    </row>
    <row r="384" ht="15.75" customHeight="1">
      <c r="J384" s="9">
        <v>381.0</v>
      </c>
      <c r="K384" s="18" t="s">
        <v>542</v>
      </c>
      <c r="L384" s="20" t="s">
        <v>182</v>
      </c>
      <c r="M384" s="20">
        <v>15.0</v>
      </c>
      <c r="N384" s="21">
        <v>25.0</v>
      </c>
      <c r="O384" s="22"/>
      <c r="P384" s="9">
        <f t="shared" si="1"/>
        <v>25</v>
      </c>
    </row>
    <row r="385" ht="15.75" customHeight="1">
      <c r="J385" s="9">
        <v>382.0</v>
      </c>
      <c r="K385" s="27" t="s">
        <v>543</v>
      </c>
      <c r="L385" s="19" t="s">
        <v>182</v>
      </c>
      <c r="M385" s="20">
        <v>16.0</v>
      </c>
      <c r="N385" s="21">
        <v>25.0</v>
      </c>
      <c r="O385" s="22">
        <v>50.0</v>
      </c>
      <c r="P385" s="9">
        <f t="shared" si="1"/>
        <v>75</v>
      </c>
    </row>
    <row r="386" ht="15.75" customHeight="1">
      <c r="J386" s="9">
        <v>383.0</v>
      </c>
      <c r="K386" s="27" t="s">
        <v>544</v>
      </c>
      <c r="L386" s="19" t="s">
        <v>187</v>
      </c>
      <c r="M386" s="20">
        <v>1.0</v>
      </c>
      <c r="N386" s="21">
        <v>25.0</v>
      </c>
      <c r="O386" s="22">
        <v>50.0</v>
      </c>
      <c r="P386" s="9">
        <f t="shared" si="1"/>
        <v>75</v>
      </c>
    </row>
    <row r="387" ht="15.75" customHeight="1">
      <c r="J387" s="9">
        <v>384.0</v>
      </c>
      <c r="K387" s="27" t="s">
        <v>545</v>
      </c>
      <c r="L387" s="19" t="s">
        <v>187</v>
      </c>
      <c r="M387" s="20">
        <v>2.0</v>
      </c>
      <c r="N387" s="21">
        <v>25.0</v>
      </c>
      <c r="O387" s="22">
        <v>50.0</v>
      </c>
      <c r="P387" s="9">
        <f t="shared" si="1"/>
        <v>75</v>
      </c>
    </row>
    <row r="388" ht="15.75" customHeight="1">
      <c r="J388" s="9">
        <v>385.0</v>
      </c>
      <c r="K388" s="18" t="s">
        <v>546</v>
      </c>
      <c r="L388" s="20" t="s">
        <v>187</v>
      </c>
      <c r="M388" s="20">
        <v>3.0</v>
      </c>
      <c r="N388" s="21">
        <v>25.0</v>
      </c>
      <c r="O388" s="22">
        <v>50.0</v>
      </c>
      <c r="P388" s="9">
        <f t="shared" si="1"/>
        <v>75</v>
      </c>
    </row>
    <row r="389" ht="15.75" customHeight="1">
      <c r="J389" s="9">
        <v>386.0</v>
      </c>
      <c r="K389" s="18" t="s">
        <v>547</v>
      </c>
      <c r="L389" s="20" t="s">
        <v>187</v>
      </c>
      <c r="M389" s="20">
        <v>4.0</v>
      </c>
      <c r="N389" s="21">
        <v>25.0</v>
      </c>
      <c r="O389" s="22">
        <v>50.0</v>
      </c>
      <c r="P389" s="9">
        <f t="shared" si="1"/>
        <v>75</v>
      </c>
    </row>
    <row r="390" ht="15.75" customHeight="1">
      <c r="J390" s="9">
        <v>387.0</v>
      </c>
      <c r="K390" s="18" t="s">
        <v>548</v>
      </c>
      <c r="L390" s="19" t="s">
        <v>187</v>
      </c>
      <c r="M390" s="20">
        <v>5.0</v>
      </c>
      <c r="N390" s="21">
        <v>25.0</v>
      </c>
      <c r="O390" s="22"/>
      <c r="P390" s="9">
        <f t="shared" si="1"/>
        <v>25</v>
      </c>
    </row>
    <row r="391" ht="15.75" customHeight="1">
      <c r="J391" s="9">
        <v>388.0</v>
      </c>
      <c r="K391" s="27" t="s">
        <v>549</v>
      </c>
      <c r="L391" s="19" t="s">
        <v>187</v>
      </c>
      <c r="M391" s="20">
        <v>6.0</v>
      </c>
      <c r="N391" s="21">
        <v>25.0</v>
      </c>
      <c r="O391" s="22">
        <v>50.0</v>
      </c>
      <c r="P391" s="9">
        <f t="shared" si="1"/>
        <v>75</v>
      </c>
    </row>
    <row r="392" ht="15.75" customHeight="1">
      <c r="J392" s="9">
        <v>389.0</v>
      </c>
      <c r="K392" s="27" t="s">
        <v>550</v>
      </c>
      <c r="L392" s="19" t="s">
        <v>187</v>
      </c>
      <c r="M392" s="20">
        <v>7.0</v>
      </c>
      <c r="N392" s="21">
        <v>25.0</v>
      </c>
      <c r="O392" s="22"/>
      <c r="P392" s="9">
        <f t="shared" si="1"/>
        <v>25</v>
      </c>
    </row>
    <row r="393" ht="15.75" customHeight="1">
      <c r="J393" s="9">
        <v>390.0</v>
      </c>
      <c r="K393" s="18" t="s">
        <v>551</v>
      </c>
      <c r="L393" s="20" t="s">
        <v>187</v>
      </c>
      <c r="M393" s="20">
        <v>14.0</v>
      </c>
      <c r="N393" s="21">
        <v>25.0</v>
      </c>
      <c r="O393" s="22"/>
      <c r="P393" s="9">
        <f t="shared" si="1"/>
        <v>25</v>
      </c>
    </row>
    <row r="394" ht="15.75" customHeight="1">
      <c r="J394" s="9">
        <v>391.0</v>
      </c>
      <c r="K394" s="18" t="s">
        <v>552</v>
      </c>
      <c r="L394" s="20" t="s">
        <v>187</v>
      </c>
      <c r="M394" s="20">
        <v>16.0</v>
      </c>
      <c r="N394" s="21">
        <v>25.0</v>
      </c>
      <c r="O394" s="22"/>
      <c r="P394" s="9">
        <f t="shared" si="1"/>
        <v>25</v>
      </c>
    </row>
    <row r="395" ht="15.75" customHeight="1">
      <c r="J395" s="9">
        <v>392.0</v>
      </c>
      <c r="K395" s="18" t="s">
        <v>553</v>
      </c>
      <c r="L395" s="20" t="s">
        <v>187</v>
      </c>
      <c r="M395" s="20">
        <v>17.0</v>
      </c>
      <c r="N395" s="21">
        <v>25.0</v>
      </c>
      <c r="O395" s="22"/>
      <c r="P395" s="9">
        <f t="shared" si="1"/>
        <v>25</v>
      </c>
    </row>
    <row r="396" ht="15.75" customHeight="1">
      <c r="J396" s="9">
        <v>393.0</v>
      </c>
      <c r="K396" s="27" t="s">
        <v>554</v>
      </c>
      <c r="L396" s="19" t="s">
        <v>187</v>
      </c>
      <c r="M396" s="20">
        <v>17.0</v>
      </c>
      <c r="N396" s="21">
        <v>25.0</v>
      </c>
      <c r="O396" s="22"/>
      <c r="P396" s="9">
        <f t="shared" si="1"/>
        <v>25</v>
      </c>
    </row>
    <row r="397" ht="15.75" customHeight="1">
      <c r="J397" s="9">
        <v>394.0</v>
      </c>
      <c r="K397" s="18" t="s">
        <v>555</v>
      </c>
      <c r="L397" s="19" t="s">
        <v>187</v>
      </c>
      <c r="M397" s="20">
        <v>19.0</v>
      </c>
      <c r="N397" s="21">
        <v>25.0</v>
      </c>
      <c r="O397" s="22"/>
      <c r="P397" s="9">
        <f t="shared" si="1"/>
        <v>25</v>
      </c>
    </row>
    <row r="398" ht="15.75" customHeight="1">
      <c r="J398" s="9">
        <v>395.0</v>
      </c>
      <c r="K398" s="18" t="s">
        <v>556</v>
      </c>
      <c r="L398" s="19" t="s">
        <v>187</v>
      </c>
      <c r="M398" s="20">
        <v>20.0</v>
      </c>
      <c r="N398" s="21">
        <v>25.0</v>
      </c>
      <c r="O398" s="22"/>
      <c r="P398" s="9">
        <f t="shared" si="1"/>
        <v>25</v>
      </c>
    </row>
    <row r="399" ht="15.75" customHeight="1">
      <c r="J399" s="9">
        <v>396.0</v>
      </c>
      <c r="K399" s="18" t="s">
        <v>557</v>
      </c>
      <c r="L399" s="20" t="s">
        <v>194</v>
      </c>
      <c r="M399" s="20">
        <v>1.0</v>
      </c>
      <c r="N399" s="21">
        <v>25.0</v>
      </c>
      <c r="O399" s="22">
        <v>50.0</v>
      </c>
      <c r="P399" s="9">
        <f t="shared" si="1"/>
        <v>75</v>
      </c>
    </row>
    <row r="400" ht="15.75" customHeight="1">
      <c r="J400" s="9">
        <v>397.0</v>
      </c>
      <c r="K400" s="18" t="s">
        <v>558</v>
      </c>
      <c r="L400" s="20" t="s">
        <v>194</v>
      </c>
      <c r="M400" s="20">
        <v>2.0</v>
      </c>
      <c r="N400" s="21">
        <v>25.0</v>
      </c>
      <c r="O400" s="22"/>
      <c r="P400" s="9">
        <f t="shared" si="1"/>
        <v>25</v>
      </c>
    </row>
    <row r="401" ht="15.75" customHeight="1">
      <c r="J401" s="9">
        <v>398.0</v>
      </c>
      <c r="K401" s="27" t="s">
        <v>559</v>
      </c>
      <c r="L401" s="19" t="s">
        <v>194</v>
      </c>
      <c r="M401" s="20">
        <v>3.0</v>
      </c>
      <c r="N401" s="21">
        <v>25.0</v>
      </c>
      <c r="O401" s="22"/>
      <c r="P401" s="9">
        <f t="shared" si="1"/>
        <v>25</v>
      </c>
    </row>
    <row r="402" ht="15.75" customHeight="1">
      <c r="J402" s="9">
        <v>399.0</v>
      </c>
      <c r="K402" s="27" t="s">
        <v>560</v>
      </c>
      <c r="L402" s="19" t="s">
        <v>194</v>
      </c>
      <c r="M402" s="20">
        <v>4.0</v>
      </c>
      <c r="N402" s="21">
        <v>25.0</v>
      </c>
      <c r="O402" s="22"/>
      <c r="P402" s="9">
        <f t="shared" si="1"/>
        <v>25</v>
      </c>
    </row>
    <row r="403" ht="15.75" customHeight="1">
      <c r="J403" s="9">
        <v>400.0</v>
      </c>
      <c r="K403" s="43" t="s">
        <v>561</v>
      </c>
      <c r="L403" s="19" t="s">
        <v>194</v>
      </c>
      <c r="M403" s="20">
        <v>6.0</v>
      </c>
      <c r="N403" s="21">
        <v>25.0</v>
      </c>
      <c r="O403" s="22"/>
      <c r="P403" s="9">
        <f t="shared" si="1"/>
        <v>25</v>
      </c>
    </row>
    <row r="404" ht="15.75" customHeight="1">
      <c r="J404" s="9">
        <v>401.0</v>
      </c>
      <c r="K404" s="43" t="s">
        <v>562</v>
      </c>
      <c r="L404" s="19" t="s">
        <v>194</v>
      </c>
      <c r="M404" s="20">
        <v>10.0</v>
      </c>
      <c r="N404" s="21">
        <v>25.0</v>
      </c>
      <c r="O404" s="22">
        <v>50.0</v>
      </c>
      <c r="P404" s="9">
        <f t="shared" si="1"/>
        <v>75</v>
      </c>
    </row>
    <row r="405" ht="15.75" customHeight="1">
      <c r="J405" s="9">
        <v>402.0</v>
      </c>
      <c r="K405" s="18" t="s">
        <v>563</v>
      </c>
      <c r="L405" s="19" t="s">
        <v>194</v>
      </c>
      <c r="M405" s="20">
        <v>11.0</v>
      </c>
      <c r="N405" s="21">
        <v>25.0</v>
      </c>
      <c r="O405" s="22">
        <v>50.0</v>
      </c>
      <c r="P405" s="9">
        <f t="shared" si="1"/>
        <v>75</v>
      </c>
    </row>
    <row r="406" ht="15.75" customHeight="1">
      <c r="J406" s="9">
        <v>403.0</v>
      </c>
      <c r="K406" s="18" t="s">
        <v>564</v>
      </c>
      <c r="L406" s="19" t="s">
        <v>194</v>
      </c>
      <c r="M406" s="20">
        <v>12.0</v>
      </c>
      <c r="N406" s="21">
        <v>25.0</v>
      </c>
      <c r="O406" s="22">
        <v>50.0</v>
      </c>
      <c r="P406" s="9">
        <f t="shared" si="1"/>
        <v>75</v>
      </c>
    </row>
    <row r="407" ht="15.75" customHeight="1">
      <c r="J407" s="9">
        <v>404.0</v>
      </c>
      <c r="K407" s="18" t="s">
        <v>565</v>
      </c>
      <c r="L407" s="20" t="s">
        <v>194</v>
      </c>
      <c r="M407" s="20">
        <v>13.0</v>
      </c>
      <c r="N407" s="21">
        <v>25.0</v>
      </c>
      <c r="O407" s="22">
        <v>50.0</v>
      </c>
      <c r="P407" s="9">
        <f t="shared" si="1"/>
        <v>75</v>
      </c>
    </row>
    <row r="408" ht="15.75" customHeight="1">
      <c r="J408" s="9">
        <v>405.0</v>
      </c>
      <c r="K408" s="18" t="s">
        <v>566</v>
      </c>
      <c r="L408" s="20" t="s">
        <v>194</v>
      </c>
      <c r="M408" s="20">
        <v>15.0</v>
      </c>
      <c r="N408" s="21">
        <v>25.0</v>
      </c>
      <c r="O408" s="22"/>
      <c r="P408" s="9">
        <f t="shared" si="1"/>
        <v>25</v>
      </c>
    </row>
    <row r="409" ht="15.75" customHeight="1">
      <c r="J409" s="9">
        <v>406.0</v>
      </c>
      <c r="K409" s="18" t="s">
        <v>567</v>
      </c>
      <c r="L409" s="20" t="s">
        <v>194</v>
      </c>
      <c r="M409" s="20">
        <v>14.0</v>
      </c>
      <c r="N409" s="21">
        <v>25.0</v>
      </c>
      <c r="O409" s="22"/>
      <c r="P409" s="9">
        <f t="shared" si="1"/>
        <v>25</v>
      </c>
    </row>
    <row r="410" ht="15.75" customHeight="1">
      <c r="J410" s="9">
        <v>407.0</v>
      </c>
      <c r="K410" s="18" t="s">
        <v>568</v>
      </c>
      <c r="L410" s="20" t="s">
        <v>194</v>
      </c>
      <c r="M410" s="20">
        <v>17.0</v>
      </c>
      <c r="N410" s="21">
        <v>25.0</v>
      </c>
      <c r="O410" s="22">
        <v>50.0</v>
      </c>
      <c r="P410" s="9">
        <f t="shared" si="1"/>
        <v>75</v>
      </c>
    </row>
    <row r="411" ht="15.75" customHeight="1">
      <c r="J411" s="9">
        <v>408.0</v>
      </c>
      <c r="K411" s="51" t="s">
        <v>569</v>
      </c>
      <c r="L411" s="52" t="s">
        <v>204</v>
      </c>
      <c r="M411" s="52">
        <v>1.0</v>
      </c>
      <c r="N411" s="53">
        <v>25.0</v>
      </c>
      <c r="O411" s="22">
        <v>50.0</v>
      </c>
      <c r="P411" s="9">
        <f t="shared" si="1"/>
        <v>75</v>
      </c>
    </row>
    <row r="412" ht="15.75" customHeight="1">
      <c r="J412" s="9">
        <v>409.0</v>
      </c>
      <c r="K412" s="54" t="s">
        <v>570</v>
      </c>
      <c r="L412" s="55" t="s">
        <v>204</v>
      </c>
      <c r="M412" s="52">
        <v>3.0</v>
      </c>
      <c r="N412" s="53">
        <v>25.0</v>
      </c>
      <c r="O412" s="22"/>
      <c r="P412" s="9">
        <f t="shared" si="1"/>
        <v>25</v>
      </c>
    </row>
    <row r="413" ht="15.75" customHeight="1">
      <c r="J413" s="9">
        <v>410.0</v>
      </c>
      <c r="K413" s="54" t="s">
        <v>571</v>
      </c>
      <c r="L413" s="55" t="s">
        <v>204</v>
      </c>
      <c r="M413" s="52">
        <v>5.0</v>
      </c>
      <c r="N413" s="53">
        <v>25.0</v>
      </c>
      <c r="O413" s="22"/>
      <c r="P413" s="9">
        <f t="shared" si="1"/>
        <v>25</v>
      </c>
    </row>
    <row r="414" ht="15.75" customHeight="1">
      <c r="J414" s="9">
        <v>411.0</v>
      </c>
      <c r="K414" s="54" t="s">
        <v>572</v>
      </c>
      <c r="L414" s="55" t="s">
        <v>204</v>
      </c>
      <c r="M414" s="52">
        <v>6.0</v>
      </c>
      <c r="N414" s="53">
        <v>25.0</v>
      </c>
      <c r="O414" s="22"/>
      <c r="P414" s="9">
        <f t="shared" si="1"/>
        <v>25</v>
      </c>
    </row>
    <row r="415" ht="15.75" customHeight="1">
      <c r="J415" s="9">
        <v>412.0</v>
      </c>
      <c r="K415" s="54" t="s">
        <v>573</v>
      </c>
      <c r="L415" s="55" t="s">
        <v>204</v>
      </c>
      <c r="M415" s="52">
        <v>8.0</v>
      </c>
      <c r="N415" s="53">
        <v>25.0</v>
      </c>
      <c r="O415" s="22"/>
      <c r="P415" s="9">
        <f t="shared" si="1"/>
        <v>25</v>
      </c>
    </row>
    <row r="416" ht="15.75" customHeight="1">
      <c r="J416" s="9">
        <v>413.0</v>
      </c>
      <c r="K416" s="54" t="s">
        <v>574</v>
      </c>
      <c r="L416" s="55" t="s">
        <v>204</v>
      </c>
      <c r="M416" s="52">
        <v>9.0</v>
      </c>
      <c r="N416" s="53">
        <v>25.0</v>
      </c>
      <c r="O416" s="22">
        <v>50.0</v>
      </c>
      <c r="P416" s="9">
        <f t="shared" si="1"/>
        <v>75</v>
      </c>
    </row>
    <row r="417" ht="15.75" customHeight="1">
      <c r="J417" s="9">
        <v>414.0</v>
      </c>
      <c r="K417" s="54" t="s">
        <v>575</v>
      </c>
      <c r="L417" s="55" t="s">
        <v>207</v>
      </c>
      <c r="M417" s="52">
        <v>1.0</v>
      </c>
      <c r="N417" s="53">
        <v>25.0</v>
      </c>
      <c r="O417" s="22">
        <v>50.0</v>
      </c>
      <c r="P417" s="9">
        <f t="shared" si="1"/>
        <v>75</v>
      </c>
    </row>
    <row r="418" ht="15.75" customHeight="1">
      <c r="J418" s="9">
        <v>415.0</v>
      </c>
      <c r="K418" s="18" t="s">
        <v>576</v>
      </c>
      <c r="L418" s="20" t="s">
        <v>207</v>
      </c>
      <c r="M418" s="20">
        <v>2.0</v>
      </c>
      <c r="N418" s="21">
        <v>25.0</v>
      </c>
      <c r="O418" s="22"/>
      <c r="P418" s="9">
        <f t="shared" si="1"/>
        <v>25</v>
      </c>
    </row>
    <row r="419" ht="15.75" customHeight="1">
      <c r="J419" s="9">
        <v>416.0</v>
      </c>
      <c r="K419" s="18" t="s">
        <v>577</v>
      </c>
      <c r="L419" s="20" t="s">
        <v>207</v>
      </c>
      <c r="M419" s="20">
        <v>4.0</v>
      </c>
      <c r="N419" s="21">
        <v>25.0</v>
      </c>
      <c r="O419" s="22"/>
      <c r="P419" s="9">
        <f t="shared" si="1"/>
        <v>25</v>
      </c>
    </row>
    <row r="420" ht="15.75" customHeight="1">
      <c r="J420" s="9">
        <v>417.0</v>
      </c>
      <c r="K420" s="18" t="s">
        <v>578</v>
      </c>
      <c r="L420" s="19" t="s">
        <v>579</v>
      </c>
      <c r="M420" s="20">
        <v>6.0</v>
      </c>
      <c r="N420" s="21">
        <v>25.0</v>
      </c>
      <c r="O420" s="22"/>
      <c r="P420" s="9">
        <f t="shared" si="1"/>
        <v>25</v>
      </c>
    </row>
    <row r="421" ht="15.75" customHeight="1">
      <c r="J421" s="9">
        <v>418.0</v>
      </c>
      <c r="K421" s="18" t="s">
        <v>580</v>
      </c>
      <c r="L421" s="20" t="s">
        <v>207</v>
      </c>
      <c r="M421" s="20">
        <v>8.0</v>
      </c>
      <c r="N421" s="21">
        <v>25.0</v>
      </c>
      <c r="O421" s="22">
        <v>50.0</v>
      </c>
      <c r="P421" s="9">
        <f t="shared" si="1"/>
        <v>75</v>
      </c>
    </row>
    <row r="422" ht="15.75" customHeight="1">
      <c r="J422" s="9">
        <v>419.0</v>
      </c>
      <c r="K422" s="18" t="s">
        <v>581</v>
      </c>
      <c r="L422" s="20" t="s">
        <v>207</v>
      </c>
      <c r="M422" s="20">
        <v>9.0</v>
      </c>
      <c r="N422" s="21">
        <v>25.0</v>
      </c>
      <c r="O422" s="22">
        <v>50.0</v>
      </c>
      <c r="P422" s="9">
        <f t="shared" si="1"/>
        <v>75</v>
      </c>
    </row>
    <row r="423" ht="15.75" customHeight="1">
      <c r="J423" s="9">
        <v>420.0</v>
      </c>
      <c r="K423" s="27" t="s">
        <v>582</v>
      </c>
      <c r="L423" s="19" t="s">
        <v>207</v>
      </c>
      <c r="M423" s="20">
        <v>11.0</v>
      </c>
      <c r="N423" s="21">
        <v>25.0</v>
      </c>
      <c r="O423" s="22">
        <v>50.0</v>
      </c>
      <c r="P423" s="9">
        <f t="shared" si="1"/>
        <v>75</v>
      </c>
    </row>
    <row r="424" ht="15.75" customHeight="1">
      <c r="J424" s="9">
        <v>421.0</v>
      </c>
      <c r="K424" s="27" t="s">
        <v>583</v>
      </c>
      <c r="L424" s="19" t="s">
        <v>207</v>
      </c>
      <c r="M424" s="20">
        <v>12.0</v>
      </c>
      <c r="N424" s="21">
        <v>25.0</v>
      </c>
      <c r="O424" s="22"/>
      <c r="P424" s="9">
        <f t="shared" si="1"/>
        <v>25</v>
      </c>
    </row>
    <row r="425" ht="15.75" customHeight="1">
      <c r="J425" s="9">
        <v>422.0</v>
      </c>
      <c r="K425" s="18" t="s">
        <v>584</v>
      </c>
      <c r="L425" s="19" t="s">
        <v>207</v>
      </c>
      <c r="M425" s="20">
        <v>14.0</v>
      </c>
      <c r="N425" s="21">
        <v>25.0</v>
      </c>
      <c r="O425" s="22"/>
      <c r="P425" s="9">
        <f t="shared" si="1"/>
        <v>25</v>
      </c>
    </row>
    <row r="426" ht="15.75" customHeight="1">
      <c r="J426" s="9">
        <v>423.0</v>
      </c>
      <c r="K426" s="18" t="s">
        <v>585</v>
      </c>
      <c r="L426" s="19" t="s">
        <v>207</v>
      </c>
      <c r="M426" s="20">
        <v>15.0</v>
      </c>
      <c r="N426" s="21">
        <v>25.0</v>
      </c>
      <c r="O426" s="22"/>
      <c r="P426" s="9">
        <f t="shared" si="1"/>
        <v>25</v>
      </c>
    </row>
    <row r="427" ht="15.75" customHeight="1">
      <c r="J427" s="9">
        <v>424.0</v>
      </c>
      <c r="K427" s="18" t="s">
        <v>586</v>
      </c>
      <c r="L427" s="19" t="s">
        <v>207</v>
      </c>
      <c r="M427" s="20">
        <v>16.0</v>
      </c>
      <c r="N427" s="21">
        <v>25.0</v>
      </c>
      <c r="O427" s="22">
        <v>50.0</v>
      </c>
      <c r="P427" s="9">
        <f t="shared" si="1"/>
        <v>75</v>
      </c>
    </row>
    <row r="428" ht="15.75" customHeight="1">
      <c r="J428" s="9">
        <v>425.0</v>
      </c>
      <c r="K428" s="18" t="s">
        <v>587</v>
      </c>
      <c r="L428" s="19" t="s">
        <v>207</v>
      </c>
      <c r="M428" s="20">
        <v>17.0</v>
      </c>
      <c r="N428" s="21">
        <v>25.0</v>
      </c>
      <c r="O428" s="22"/>
      <c r="P428" s="9">
        <f t="shared" si="1"/>
        <v>25</v>
      </c>
    </row>
    <row r="429" ht="15.75" customHeight="1">
      <c r="J429" s="9">
        <v>426.0</v>
      </c>
      <c r="K429" s="18" t="s">
        <v>588</v>
      </c>
      <c r="L429" s="19" t="s">
        <v>207</v>
      </c>
      <c r="M429" s="20">
        <v>18.0</v>
      </c>
      <c r="N429" s="21">
        <v>25.0</v>
      </c>
      <c r="O429" s="22">
        <v>50.0</v>
      </c>
      <c r="P429" s="9">
        <f t="shared" si="1"/>
        <v>75</v>
      </c>
    </row>
    <row r="430" ht="15.75" customHeight="1">
      <c r="J430" s="9">
        <v>427.0</v>
      </c>
      <c r="K430" s="18" t="s">
        <v>589</v>
      </c>
      <c r="L430" s="19" t="s">
        <v>207</v>
      </c>
      <c r="M430" s="20">
        <v>19.0</v>
      </c>
      <c r="N430" s="21">
        <v>25.0</v>
      </c>
      <c r="O430" s="22"/>
      <c r="P430" s="9">
        <f t="shared" si="1"/>
        <v>25</v>
      </c>
    </row>
    <row r="431" ht="15.75" customHeight="1">
      <c r="J431" s="9">
        <v>428.0</v>
      </c>
      <c r="K431" s="18" t="s">
        <v>590</v>
      </c>
      <c r="L431" s="20"/>
      <c r="M431" s="20"/>
      <c r="N431" s="21">
        <v>25.0</v>
      </c>
      <c r="O431" s="22"/>
      <c r="P431" s="9">
        <f t="shared" si="1"/>
        <v>25</v>
      </c>
    </row>
    <row r="432" ht="15.75" customHeight="1">
      <c r="J432" s="9">
        <v>429.0</v>
      </c>
      <c r="K432" s="18" t="s">
        <v>591</v>
      </c>
      <c r="L432" s="20"/>
      <c r="M432" s="20"/>
      <c r="N432" s="21">
        <v>10.0</v>
      </c>
      <c r="O432" s="22"/>
      <c r="P432" s="9">
        <f t="shared" si="1"/>
        <v>10</v>
      </c>
    </row>
    <row r="433" ht="15.75" customHeight="1"/>
    <row r="434" ht="15.75" customHeight="1">
      <c r="K434" s="56" t="s">
        <v>592</v>
      </c>
      <c r="P434" s="9">
        <f>SUBTOTAL(109,P3:P432)</f>
        <v>24455</v>
      </c>
      <c r="R434" s="9">
        <f>P434+H106</f>
        <v>31955</v>
      </c>
    </row>
    <row r="435" ht="15.75" customHeight="1">
      <c r="K435" s="56" t="s">
        <v>593</v>
      </c>
    </row>
    <row r="436" ht="15.75" customHeight="1">
      <c r="K436" s="56" t="s">
        <v>594</v>
      </c>
    </row>
    <row r="437" ht="15.75" customHeight="1">
      <c r="K437" s="56" t="s">
        <v>595</v>
      </c>
    </row>
    <row r="438" ht="15.75" customHeight="1">
      <c r="K438" s="56" t="s">
        <v>596</v>
      </c>
    </row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K$3:$M$432"/>
  <mergeCells count="2">
    <mergeCell ref="N2:N3"/>
    <mergeCell ref="O2:O3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5"/>
  </cols>
  <sheetData>
    <row r="1">
      <c r="A1" s="9" t="s">
        <v>597</v>
      </c>
      <c r="B1" s="9" t="s">
        <v>5</v>
      </c>
      <c r="C1" s="9" t="s">
        <v>9</v>
      </c>
      <c r="D1" s="9" t="s">
        <v>598</v>
      </c>
      <c r="E1" s="9" t="s">
        <v>599</v>
      </c>
      <c r="F1" s="9" t="s">
        <v>7</v>
      </c>
    </row>
    <row r="2">
      <c r="A2" s="9" t="s">
        <v>600</v>
      </c>
      <c r="B2" s="9" t="s">
        <v>11</v>
      </c>
      <c r="C2" s="9">
        <v>1.0</v>
      </c>
      <c r="D2" s="9">
        <v>25.0</v>
      </c>
      <c r="E2" s="9"/>
      <c r="F2" s="9">
        <v>25.0</v>
      </c>
    </row>
    <row r="3">
      <c r="A3" s="9" t="s">
        <v>15</v>
      </c>
      <c r="B3" s="9" t="s">
        <v>11</v>
      </c>
      <c r="C3" s="9">
        <v>2.0</v>
      </c>
      <c r="D3" s="9">
        <v>25.0</v>
      </c>
      <c r="E3" s="9">
        <v>50.0</v>
      </c>
      <c r="F3" s="9">
        <v>75.0</v>
      </c>
    </row>
    <row r="4">
      <c r="A4" s="9" t="s">
        <v>18</v>
      </c>
      <c r="B4" s="9" t="s">
        <v>11</v>
      </c>
      <c r="C4" s="9">
        <v>3.0</v>
      </c>
      <c r="D4" s="9">
        <v>25.0</v>
      </c>
      <c r="E4" s="9">
        <v>50.0</v>
      </c>
      <c r="F4" s="9">
        <v>75.0</v>
      </c>
    </row>
    <row r="5">
      <c r="A5" s="9" t="s">
        <v>20</v>
      </c>
      <c r="B5" s="9" t="s">
        <v>11</v>
      </c>
      <c r="C5" s="9">
        <v>5.0</v>
      </c>
      <c r="D5" s="9">
        <v>25.0</v>
      </c>
      <c r="E5" s="9">
        <v>50.0</v>
      </c>
      <c r="F5" s="9">
        <v>75.0</v>
      </c>
    </row>
    <row r="6">
      <c r="A6" s="9" t="s">
        <v>23</v>
      </c>
      <c r="B6" s="9" t="s">
        <v>11</v>
      </c>
      <c r="C6" s="9">
        <v>6.0</v>
      </c>
      <c r="D6" s="9">
        <v>25.0</v>
      </c>
      <c r="E6" s="9"/>
      <c r="F6" s="9">
        <v>25.0</v>
      </c>
    </row>
    <row r="7">
      <c r="A7" s="9" t="s">
        <v>25</v>
      </c>
      <c r="B7" s="9" t="s">
        <v>11</v>
      </c>
      <c r="C7" s="9">
        <v>7.0</v>
      </c>
      <c r="D7" s="9">
        <v>25.0</v>
      </c>
      <c r="E7" s="9">
        <v>50.0</v>
      </c>
      <c r="F7" s="9">
        <v>75.0</v>
      </c>
    </row>
    <row r="8">
      <c r="A8" s="9" t="s">
        <v>27</v>
      </c>
      <c r="B8" s="9" t="s">
        <v>11</v>
      </c>
      <c r="C8" s="9">
        <v>8.0</v>
      </c>
      <c r="D8" s="9">
        <v>25.0</v>
      </c>
      <c r="E8" s="9">
        <v>50.0</v>
      </c>
      <c r="F8" s="9">
        <v>75.0</v>
      </c>
    </row>
    <row r="9">
      <c r="A9" s="9" t="s">
        <v>29</v>
      </c>
      <c r="B9" s="9" t="s">
        <v>11</v>
      </c>
      <c r="C9" s="9">
        <v>9.0</v>
      </c>
      <c r="D9" s="9">
        <v>25.0</v>
      </c>
      <c r="E9" s="9"/>
      <c r="F9" s="9">
        <v>25.0</v>
      </c>
    </row>
    <row r="10">
      <c r="A10" s="9" t="s">
        <v>32</v>
      </c>
      <c r="B10" s="9" t="s">
        <v>11</v>
      </c>
      <c r="C10" s="9">
        <v>10.0</v>
      </c>
      <c r="D10" s="9">
        <v>25.0</v>
      </c>
      <c r="E10" s="9">
        <v>50.0</v>
      </c>
      <c r="F10" s="9">
        <v>75.0</v>
      </c>
    </row>
    <row r="11">
      <c r="A11" s="9" t="s">
        <v>601</v>
      </c>
      <c r="B11" s="9" t="s">
        <v>36</v>
      </c>
      <c r="C11" s="9">
        <v>1.0</v>
      </c>
      <c r="D11" s="9">
        <v>25.0</v>
      </c>
      <c r="E11" s="9">
        <v>50.0</v>
      </c>
      <c r="F11" s="9">
        <v>75.0</v>
      </c>
    </row>
    <row r="12">
      <c r="A12" s="9" t="s">
        <v>38</v>
      </c>
      <c r="B12" s="9" t="s">
        <v>36</v>
      </c>
      <c r="C12" s="9">
        <v>2.0</v>
      </c>
      <c r="D12" s="9">
        <v>25.0</v>
      </c>
      <c r="E12" s="9"/>
      <c r="F12" s="9">
        <v>25.0</v>
      </c>
    </row>
    <row r="13">
      <c r="A13" s="9" t="s">
        <v>41</v>
      </c>
      <c r="B13" s="9" t="s">
        <v>36</v>
      </c>
      <c r="C13" s="9">
        <v>3.0</v>
      </c>
      <c r="D13" s="9">
        <v>25.0</v>
      </c>
      <c r="E13" s="9">
        <v>50.0</v>
      </c>
      <c r="F13" s="9">
        <v>75.0</v>
      </c>
    </row>
    <row r="14">
      <c r="A14" s="9" t="s">
        <v>43</v>
      </c>
      <c r="B14" s="9" t="s">
        <v>36</v>
      </c>
      <c r="C14" s="9">
        <v>4.0</v>
      </c>
      <c r="D14" s="9">
        <v>25.0</v>
      </c>
      <c r="E14" s="9">
        <v>50.0</v>
      </c>
      <c r="F14" s="9">
        <v>75.0</v>
      </c>
    </row>
    <row r="15">
      <c r="A15" s="9" t="s">
        <v>45</v>
      </c>
      <c r="B15" s="9" t="s">
        <v>36</v>
      </c>
      <c r="C15" s="9">
        <v>5.0</v>
      </c>
      <c r="D15" s="9">
        <v>25.0</v>
      </c>
      <c r="E15" s="9">
        <v>50.0</v>
      </c>
      <c r="F15" s="9">
        <v>75.0</v>
      </c>
    </row>
    <row r="16">
      <c r="A16" s="9" t="s">
        <v>48</v>
      </c>
      <c r="B16" s="9" t="s">
        <v>36</v>
      </c>
      <c r="C16" s="9">
        <v>6.0</v>
      </c>
      <c r="D16" s="9">
        <v>25.0</v>
      </c>
      <c r="E16" s="9">
        <v>50.0</v>
      </c>
      <c r="F16" s="9">
        <v>75.0</v>
      </c>
    </row>
    <row r="17">
      <c r="A17" s="9" t="s">
        <v>50</v>
      </c>
      <c r="B17" s="9" t="s">
        <v>36</v>
      </c>
      <c r="C17" s="9">
        <v>7.0</v>
      </c>
      <c r="D17" s="9">
        <v>25.0</v>
      </c>
      <c r="E17" s="9">
        <v>50.0</v>
      </c>
      <c r="F17" s="9">
        <v>75.0</v>
      </c>
    </row>
    <row r="18">
      <c r="A18" s="9" t="s">
        <v>52</v>
      </c>
      <c r="B18" s="9" t="s">
        <v>36</v>
      </c>
      <c r="C18" s="9">
        <v>8.0</v>
      </c>
      <c r="D18" s="9">
        <v>25.0</v>
      </c>
      <c r="E18" s="9"/>
      <c r="F18" s="9">
        <v>25.0</v>
      </c>
    </row>
    <row r="19">
      <c r="A19" s="9" t="s">
        <v>54</v>
      </c>
      <c r="B19" s="9" t="s">
        <v>36</v>
      </c>
      <c r="C19" s="9">
        <v>9.0</v>
      </c>
      <c r="D19" s="9">
        <v>25.0</v>
      </c>
      <c r="E19" s="9"/>
      <c r="F19" s="9">
        <v>25.0</v>
      </c>
    </row>
    <row r="20">
      <c r="A20" s="9" t="s">
        <v>56</v>
      </c>
      <c r="B20" s="9" t="s">
        <v>36</v>
      </c>
      <c r="C20" s="9">
        <v>10.0</v>
      </c>
      <c r="D20" s="9">
        <v>25.0</v>
      </c>
      <c r="E20" s="9">
        <v>50.0</v>
      </c>
      <c r="F20" s="9">
        <v>75.0</v>
      </c>
    </row>
    <row r="21">
      <c r="A21" s="9" t="s">
        <v>59</v>
      </c>
      <c r="B21" s="9" t="s">
        <v>17</v>
      </c>
      <c r="C21" s="9">
        <v>1.0</v>
      </c>
      <c r="D21" s="9">
        <v>25.0</v>
      </c>
      <c r="E21" s="9">
        <v>50.0</v>
      </c>
      <c r="F21" s="9">
        <v>75.0</v>
      </c>
    </row>
    <row r="22">
      <c r="A22" s="9" t="s">
        <v>61</v>
      </c>
      <c r="B22" s="9" t="s">
        <v>17</v>
      </c>
      <c r="C22" s="9">
        <v>2.0</v>
      </c>
      <c r="D22" s="9">
        <v>25.0</v>
      </c>
      <c r="E22" s="9">
        <v>50.0</v>
      </c>
      <c r="F22" s="9">
        <v>75.0</v>
      </c>
    </row>
    <row r="23">
      <c r="A23" s="9" t="s">
        <v>63</v>
      </c>
      <c r="B23" s="9" t="s">
        <v>17</v>
      </c>
      <c r="C23" s="9">
        <v>3.0</v>
      </c>
      <c r="D23" s="9">
        <v>25.0</v>
      </c>
      <c r="E23" s="9">
        <v>50.0</v>
      </c>
      <c r="F23" s="9">
        <v>75.0</v>
      </c>
    </row>
    <row r="24">
      <c r="A24" s="9" t="s">
        <v>65</v>
      </c>
      <c r="B24" s="9" t="s">
        <v>17</v>
      </c>
      <c r="C24" s="9">
        <v>4.0</v>
      </c>
      <c r="D24" s="9">
        <v>25.0</v>
      </c>
      <c r="E24" s="9"/>
      <c r="F24" s="9">
        <v>25.0</v>
      </c>
    </row>
    <row r="25">
      <c r="A25" s="9" t="s">
        <v>67</v>
      </c>
      <c r="B25" s="9" t="s">
        <v>17</v>
      </c>
      <c r="C25" s="9">
        <v>5.0</v>
      </c>
      <c r="D25" s="9">
        <v>25.0</v>
      </c>
      <c r="E25" s="9"/>
      <c r="F25" s="9">
        <v>25.0</v>
      </c>
    </row>
    <row r="26">
      <c r="A26" s="9" t="s">
        <v>69</v>
      </c>
      <c r="B26" s="9" t="s">
        <v>17</v>
      </c>
      <c r="C26" s="9">
        <v>6.0</v>
      </c>
      <c r="D26" s="9">
        <v>25.0</v>
      </c>
      <c r="E26" s="9">
        <v>50.0</v>
      </c>
      <c r="F26" s="9">
        <v>75.0</v>
      </c>
    </row>
    <row r="27">
      <c r="A27" s="9" t="s">
        <v>72</v>
      </c>
      <c r="B27" s="9" t="s">
        <v>17</v>
      </c>
      <c r="C27" s="9">
        <v>7.0</v>
      </c>
      <c r="D27" s="9">
        <v>25.0</v>
      </c>
      <c r="E27" s="9"/>
      <c r="F27" s="9">
        <v>25.0</v>
      </c>
    </row>
    <row r="28">
      <c r="A28" s="9" t="s">
        <v>602</v>
      </c>
      <c r="B28" s="9" t="s">
        <v>17</v>
      </c>
      <c r="C28" s="9">
        <v>8.0</v>
      </c>
      <c r="D28" s="9">
        <v>25.0</v>
      </c>
      <c r="E28" s="9"/>
      <c r="F28" s="9">
        <v>25.0</v>
      </c>
    </row>
    <row r="29">
      <c r="A29" s="9" t="s">
        <v>76</v>
      </c>
      <c r="B29" s="9" t="s">
        <v>17</v>
      </c>
      <c r="C29" s="9">
        <v>9.0</v>
      </c>
      <c r="D29" s="9">
        <v>25.0</v>
      </c>
      <c r="E29" s="9"/>
      <c r="F29" s="9">
        <v>25.0</v>
      </c>
    </row>
    <row r="30">
      <c r="A30" s="9" t="s">
        <v>79</v>
      </c>
      <c r="B30" s="9" t="s">
        <v>17</v>
      </c>
      <c r="C30" s="9">
        <v>10.0</v>
      </c>
      <c r="D30" s="9">
        <v>25.0</v>
      </c>
      <c r="E30" s="9">
        <v>50.0</v>
      </c>
      <c r="F30" s="9">
        <v>75.0</v>
      </c>
    </row>
    <row r="31">
      <c r="A31" s="9" t="s">
        <v>81</v>
      </c>
      <c r="B31" s="9" t="s">
        <v>17</v>
      </c>
      <c r="C31" s="9">
        <v>11.0</v>
      </c>
      <c r="D31" s="9">
        <v>25.0</v>
      </c>
      <c r="E31" s="9"/>
      <c r="F31" s="9">
        <v>25.0</v>
      </c>
    </row>
    <row r="32">
      <c r="A32" s="9" t="s">
        <v>84</v>
      </c>
      <c r="B32" s="9" t="s">
        <v>17</v>
      </c>
      <c r="C32" s="9">
        <v>12.0</v>
      </c>
      <c r="D32" s="9">
        <v>25.0</v>
      </c>
      <c r="E32" s="9">
        <v>50.0</v>
      </c>
      <c r="F32" s="9">
        <v>75.0</v>
      </c>
    </row>
    <row r="33">
      <c r="A33" s="9" t="s">
        <v>603</v>
      </c>
      <c r="B33" s="9" t="s">
        <v>17</v>
      </c>
      <c r="C33" s="9">
        <v>13.0</v>
      </c>
      <c r="D33" s="9">
        <v>25.0</v>
      </c>
      <c r="E33" s="9">
        <v>20.0</v>
      </c>
      <c r="F33" s="9">
        <v>45.0</v>
      </c>
    </row>
    <row r="34">
      <c r="A34" s="9" t="s">
        <v>88</v>
      </c>
      <c r="B34" s="9" t="s">
        <v>17</v>
      </c>
      <c r="C34" s="9">
        <v>14.0</v>
      </c>
      <c r="D34" s="9">
        <v>25.0</v>
      </c>
      <c r="E34" s="9"/>
      <c r="F34" s="9">
        <v>25.0</v>
      </c>
    </row>
    <row r="35">
      <c r="A35" s="9" t="s">
        <v>90</v>
      </c>
      <c r="B35" s="9" t="s">
        <v>17</v>
      </c>
      <c r="C35" s="9">
        <v>16.0</v>
      </c>
      <c r="D35" s="9">
        <v>25.0</v>
      </c>
      <c r="E35" s="9"/>
      <c r="F35" s="9">
        <v>25.0</v>
      </c>
    </row>
    <row r="36">
      <c r="A36" s="9" t="s">
        <v>92</v>
      </c>
      <c r="B36" s="9" t="s">
        <v>17</v>
      </c>
      <c r="C36" s="9">
        <v>17.0</v>
      </c>
      <c r="D36" s="9">
        <v>25.0</v>
      </c>
      <c r="E36" s="9">
        <v>30.0</v>
      </c>
      <c r="F36" s="9">
        <v>55.0</v>
      </c>
    </row>
    <row r="37">
      <c r="A37" s="9" t="s">
        <v>94</v>
      </c>
      <c r="B37" s="9" t="s">
        <v>17</v>
      </c>
      <c r="C37" s="9">
        <v>18.0</v>
      </c>
      <c r="D37" s="9">
        <v>25.0</v>
      </c>
      <c r="E37" s="9">
        <v>50.0</v>
      </c>
      <c r="F37" s="9">
        <v>75.0</v>
      </c>
    </row>
    <row r="38">
      <c r="A38" s="9" t="s">
        <v>97</v>
      </c>
      <c r="B38" s="9" t="s">
        <v>17</v>
      </c>
      <c r="C38" s="9">
        <v>19.0</v>
      </c>
      <c r="D38" s="9">
        <v>25.0</v>
      </c>
      <c r="E38" s="9">
        <v>50.0</v>
      </c>
      <c r="F38" s="9">
        <v>75.0</v>
      </c>
    </row>
    <row r="39">
      <c r="A39" s="9" t="s">
        <v>99</v>
      </c>
      <c r="B39" s="9" t="s">
        <v>100</v>
      </c>
      <c r="C39" s="9">
        <v>1.0</v>
      </c>
      <c r="D39" s="9">
        <v>25.0</v>
      </c>
      <c r="E39" s="9"/>
      <c r="F39" s="9">
        <v>25.0</v>
      </c>
    </row>
    <row r="40">
      <c r="A40" s="9" t="s">
        <v>102</v>
      </c>
      <c r="B40" s="9" t="s">
        <v>100</v>
      </c>
      <c r="C40" s="9">
        <v>2.0</v>
      </c>
      <c r="D40" s="9">
        <v>25.0</v>
      </c>
      <c r="E40" s="9"/>
      <c r="F40" s="9">
        <v>25.0</v>
      </c>
    </row>
    <row r="41">
      <c r="A41" s="9" t="s">
        <v>104</v>
      </c>
      <c r="B41" s="9" t="s">
        <v>100</v>
      </c>
      <c r="C41" s="9">
        <v>3.0</v>
      </c>
      <c r="D41" s="9">
        <v>25.0</v>
      </c>
      <c r="E41" s="9"/>
      <c r="F41" s="9">
        <v>25.0</v>
      </c>
    </row>
    <row r="42">
      <c r="A42" s="9" t="s">
        <v>106</v>
      </c>
      <c r="B42" s="9" t="s">
        <v>100</v>
      </c>
      <c r="C42" s="9">
        <v>4.0</v>
      </c>
      <c r="D42" s="9">
        <v>25.0</v>
      </c>
      <c r="E42" s="9">
        <v>50.0</v>
      </c>
      <c r="F42" s="9">
        <v>75.0</v>
      </c>
    </row>
    <row r="43">
      <c r="A43" s="9" t="s">
        <v>109</v>
      </c>
      <c r="B43" s="9" t="s">
        <v>100</v>
      </c>
      <c r="C43" s="9">
        <v>5.0</v>
      </c>
      <c r="D43" s="9">
        <v>25.0</v>
      </c>
      <c r="E43" s="9">
        <v>50.0</v>
      </c>
      <c r="F43" s="9">
        <v>75.0</v>
      </c>
    </row>
    <row r="44">
      <c r="A44" s="9" t="s">
        <v>112</v>
      </c>
      <c r="B44" s="9" t="s">
        <v>100</v>
      </c>
      <c r="C44" s="9">
        <v>6.0</v>
      </c>
      <c r="D44" s="9">
        <v>25.0</v>
      </c>
      <c r="E44" s="9"/>
      <c r="F44" s="9">
        <v>25.0</v>
      </c>
    </row>
    <row r="45">
      <c r="A45" s="9" t="s">
        <v>114</v>
      </c>
      <c r="B45" s="9" t="s">
        <v>100</v>
      </c>
      <c r="C45" s="9">
        <v>10.0</v>
      </c>
      <c r="D45" s="9">
        <v>25.0</v>
      </c>
      <c r="E45" s="9">
        <v>25.0</v>
      </c>
      <c r="F45" s="9">
        <v>50.0</v>
      </c>
    </row>
    <row r="46">
      <c r="A46" s="9" t="s">
        <v>117</v>
      </c>
      <c r="B46" s="9" t="s">
        <v>100</v>
      </c>
      <c r="C46" s="9">
        <v>11.0</v>
      </c>
      <c r="D46" s="9">
        <v>25.0</v>
      </c>
      <c r="E46" s="9">
        <v>50.0</v>
      </c>
      <c r="F46" s="9">
        <v>75.0</v>
      </c>
    </row>
    <row r="47">
      <c r="A47" s="9" t="s">
        <v>119</v>
      </c>
      <c r="B47" s="9" t="s">
        <v>100</v>
      </c>
      <c r="C47" s="9">
        <v>12.0</v>
      </c>
      <c r="D47" s="9">
        <v>25.0</v>
      </c>
      <c r="E47" s="9"/>
      <c r="F47" s="9">
        <v>25.0</v>
      </c>
    </row>
    <row r="48">
      <c r="A48" s="9" t="s">
        <v>121</v>
      </c>
      <c r="B48" s="9" t="s">
        <v>122</v>
      </c>
      <c r="C48" s="9">
        <v>9.0</v>
      </c>
      <c r="D48" s="9">
        <v>25.0</v>
      </c>
      <c r="E48" s="9"/>
      <c r="F48" s="9">
        <v>25.0</v>
      </c>
    </row>
    <row r="49">
      <c r="A49" s="9" t="s">
        <v>124</v>
      </c>
      <c r="B49" s="9" t="s">
        <v>22</v>
      </c>
      <c r="C49" s="9">
        <v>1.0</v>
      </c>
      <c r="D49" s="9">
        <v>25.0</v>
      </c>
      <c r="E49" s="9"/>
      <c r="F49" s="9">
        <v>25.0</v>
      </c>
    </row>
    <row r="50">
      <c r="A50" s="9" t="s">
        <v>604</v>
      </c>
      <c r="B50" s="9" t="s">
        <v>22</v>
      </c>
      <c r="C50" s="9">
        <v>2.0</v>
      </c>
      <c r="D50" s="9">
        <v>25.0</v>
      </c>
      <c r="E50" s="9">
        <v>50.0</v>
      </c>
      <c r="F50" s="9">
        <v>75.0</v>
      </c>
    </row>
    <row r="51">
      <c r="A51" s="9" t="s">
        <v>605</v>
      </c>
      <c r="B51" s="9" t="s">
        <v>22</v>
      </c>
      <c r="C51" s="9">
        <v>3.0</v>
      </c>
      <c r="D51" s="9">
        <v>25.0</v>
      </c>
      <c r="E51" s="9"/>
      <c r="F51" s="9">
        <v>25.0</v>
      </c>
    </row>
    <row r="52">
      <c r="A52" s="9" t="s">
        <v>133</v>
      </c>
      <c r="B52" s="9" t="s">
        <v>22</v>
      </c>
      <c r="C52" s="9">
        <v>4.0</v>
      </c>
      <c r="D52" s="9">
        <v>25.0</v>
      </c>
      <c r="E52" s="9">
        <v>50.0</v>
      </c>
      <c r="F52" s="9">
        <v>75.0</v>
      </c>
    </row>
    <row r="53">
      <c r="A53" s="9" t="s">
        <v>135</v>
      </c>
      <c r="B53" s="9" t="s">
        <v>22</v>
      </c>
      <c r="C53" s="9">
        <v>5.0</v>
      </c>
      <c r="D53" s="9">
        <v>25.0</v>
      </c>
      <c r="E53" s="9">
        <v>50.0</v>
      </c>
      <c r="F53" s="9">
        <v>75.0</v>
      </c>
    </row>
    <row r="54">
      <c r="A54" s="9" t="s">
        <v>137</v>
      </c>
      <c r="B54" s="9" t="s">
        <v>22</v>
      </c>
      <c r="C54" s="9">
        <v>6.0</v>
      </c>
      <c r="D54" s="9">
        <v>25.0</v>
      </c>
      <c r="E54" s="9">
        <v>50.0</v>
      </c>
      <c r="F54" s="9">
        <v>75.0</v>
      </c>
    </row>
    <row r="55">
      <c r="A55" s="9" t="s">
        <v>139</v>
      </c>
      <c r="B55" s="9" t="s">
        <v>22</v>
      </c>
      <c r="C55" s="9">
        <v>7.0</v>
      </c>
      <c r="D55" s="9">
        <v>25.0</v>
      </c>
      <c r="E55" s="9">
        <v>50.0</v>
      </c>
      <c r="F55" s="9">
        <v>75.0</v>
      </c>
    </row>
    <row r="56">
      <c r="A56" s="9" t="s">
        <v>141</v>
      </c>
      <c r="B56" s="9" t="s">
        <v>22</v>
      </c>
      <c r="C56" s="9">
        <v>8.0</v>
      </c>
      <c r="D56" s="9">
        <v>25.0</v>
      </c>
      <c r="E56" s="9"/>
      <c r="F56" s="9">
        <v>25.0</v>
      </c>
    </row>
    <row r="57">
      <c r="A57" s="9" t="s">
        <v>143</v>
      </c>
      <c r="B57" s="9" t="s">
        <v>22</v>
      </c>
      <c r="C57" s="9">
        <v>9.0</v>
      </c>
      <c r="D57" s="9">
        <v>25.0</v>
      </c>
      <c r="E57" s="9"/>
      <c r="F57" s="9">
        <v>25.0</v>
      </c>
    </row>
    <row r="58">
      <c r="A58" s="9" t="s">
        <v>145</v>
      </c>
      <c r="B58" s="9" t="s">
        <v>22</v>
      </c>
      <c r="C58" s="9" t="s">
        <v>146</v>
      </c>
      <c r="D58" s="9">
        <v>25.0</v>
      </c>
      <c r="E58" s="9">
        <v>50.0</v>
      </c>
      <c r="F58" s="9">
        <v>75.0</v>
      </c>
    </row>
    <row r="59">
      <c r="A59" s="9" t="s">
        <v>148</v>
      </c>
      <c r="B59" s="9" t="s">
        <v>22</v>
      </c>
      <c r="C59" s="9">
        <v>11.0</v>
      </c>
      <c r="D59" s="9">
        <v>25.0</v>
      </c>
      <c r="E59" s="9">
        <v>50.0</v>
      </c>
      <c r="F59" s="9">
        <v>75.0</v>
      </c>
    </row>
    <row r="60">
      <c r="A60" s="9" t="s">
        <v>151</v>
      </c>
      <c r="B60" s="9" t="s">
        <v>22</v>
      </c>
      <c r="C60" s="9">
        <v>12.0</v>
      </c>
      <c r="D60" s="9">
        <v>25.0</v>
      </c>
      <c r="E60" s="9">
        <v>50.0</v>
      </c>
      <c r="F60" s="9">
        <v>75.0</v>
      </c>
    </row>
    <row r="61">
      <c r="A61" s="9" t="s">
        <v>153</v>
      </c>
      <c r="B61" s="9" t="s">
        <v>22</v>
      </c>
      <c r="C61" s="9">
        <v>13.0</v>
      </c>
      <c r="D61" s="9">
        <v>25.0</v>
      </c>
      <c r="E61" s="9">
        <v>50.0</v>
      </c>
      <c r="F61" s="9">
        <v>75.0</v>
      </c>
    </row>
    <row r="62">
      <c r="A62" s="9" t="s">
        <v>606</v>
      </c>
      <c r="B62" s="9" t="s">
        <v>22</v>
      </c>
      <c r="C62" s="9">
        <v>14.0</v>
      </c>
      <c r="D62" s="9">
        <v>25.0</v>
      </c>
      <c r="E62" s="9">
        <v>50.0</v>
      </c>
      <c r="F62" s="9">
        <v>75.0</v>
      </c>
    </row>
    <row r="63">
      <c r="A63" s="9" t="s">
        <v>157</v>
      </c>
      <c r="B63" s="9" t="s">
        <v>22</v>
      </c>
      <c r="C63" s="9">
        <v>15.0</v>
      </c>
      <c r="D63" s="9">
        <v>25.0</v>
      </c>
      <c r="E63" s="9">
        <v>50.0</v>
      </c>
      <c r="F63" s="9">
        <v>75.0</v>
      </c>
    </row>
    <row r="64">
      <c r="A64" s="9" t="s">
        <v>160</v>
      </c>
      <c r="B64" s="9" t="s">
        <v>22</v>
      </c>
      <c r="C64" s="9">
        <v>16.0</v>
      </c>
      <c r="D64" s="9">
        <v>25.0</v>
      </c>
      <c r="E64" s="9">
        <v>50.0</v>
      </c>
      <c r="F64" s="9">
        <v>75.0</v>
      </c>
    </row>
    <row r="65">
      <c r="A65" s="9" t="s">
        <v>162</v>
      </c>
      <c r="B65" s="9" t="s">
        <v>22</v>
      </c>
      <c r="C65" s="9">
        <v>18.0</v>
      </c>
      <c r="D65" s="9">
        <v>25.0</v>
      </c>
      <c r="E65" s="9">
        <v>50.0</v>
      </c>
      <c r="F65" s="9">
        <v>75.0</v>
      </c>
    </row>
    <row r="66">
      <c r="A66" s="9" t="s">
        <v>164</v>
      </c>
      <c r="B66" s="9" t="s">
        <v>22</v>
      </c>
      <c r="C66" s="9">
        <v>19.0</v>
      </c>
      <c r="D66" s="9">
        <v>25.0</v>
      </c>
      <c r="E66" s="9">
        <v>50.0</v>
      </c>
      <c r="F66" s="9">
        <v>75.0</v>
      </c>
    </row>
    <row r="67">
      <c r="A67" s="9" t="s">
        <v>166</v>
      </c>
      <c r="B67" s="9" t="s">
        <v>22</v>
      </c>
      <c r="C67" s="9">
        <v>20.0</v>
      </c>
      <c r="D67" s="9">
        <v>25.0</v>
      </c>
      <c r="E67" s="9">
        <v>50.0</v>
      </c>
      <c r="F67" s="9">
        <v>75.0</v>
      </c>
    </row>
    <row r="68">
      <c r="A68" s="9" t="s">
        <v>168</v>
      </c>
      <c r="B68" s="9" t="s">
        <v>22</v>
      </c>
      <c r="C68" s="9">
        <v>22.0</v>
      </c>
      <c r="D68" s="9">
        <v>25.0</v>
      </c>
      <c r="E68" s="9">
        <v>50.0</v>
      </c>
      <c r="F68" s="9">
        <v>75.0</v>
      </c>
    </row>
    <row r="69">
      <c r="A69" s="9" t="s">
        <v>171</v>
      </c>
      <c r="B69" s="9" t="s">
        <v>22</v>
      </c>
      <c r="C69" s="9">
        <v>23.0</v>
      </c>
      <c r="D69" s="9">
        <v>25.0</v>
      </c>
      <c r="E69" s="9">
        <v>50.0</v>
      </c>
      <c r="F69" s="9">
        <v>75.0</v>
      </c>
    </row>
    <row r="70">
      <c r="A70" s="9" t="s">
        <v>607</v>
      </c>
      <c r="B70" s="9" t="s">
        <v>22</v>
      </c>
      <c r="C70" s="9">
        <v>24.0</v>
      </c>
      <c r="D70" s="9">
        <v>25.0</v>
      </c>
      <c r="E70" s="9">
        <v>50.0</v>
      </c>
      <c r="F70" s="9">
        <v>75.0</v>
      </c>
    </row>
    <row r="71">
      <c r="A71" s="9" t="s">
        <v>176</v>
      </c>
      <c r="B71" s="9" t="s">
        <v>22</v>
      </c>
      <c r="C71" s="9">
        <v>25.0</v>
      </c>
      <c r="D71" s="9">
        <v>25.0</v>
      </c>
      <c r="E71" s="9">
        <v>50.0</v>
      </c>
      <c r="F71" s="9">
        <v>75.0</v>
      </c>
    </row>
    <row r="72">
      <c r="A72" s="9" t="s">
        <v>178</v>
      </c>
      <c r="B72" s="9" t="s">
        <v>22</v>
      </c>
      <c r="C72" s="9">
        <v>26.0</v>
      </c>
      <c r="D72" s="9">
        <v>25.0</v>
      </c>
      <c r="E72" s="9">
        <v>50.0</v>
      </c>
      <c r="F72" s="9">
        <v>75.0</v>
      </c>
    </row>
    <row r="73">
      <c r="A73" s="9" t="s">
        <v>180</v>
      </c>
      <c r="B73" s="9" t="s">
        <v>22</v>
      </c>
      <c r="C73" s="9">
        <v>27.0</v>
      </c>
      <c r="D73" s="9">
        <v>25.0</v>
      </c>
      <c r="E73" s="9">
        <v>50.0</v>
      </c>
      <c r="F73" s="9">
        <v>75.0</v>
      </c>
    </row>
    <row r="74">
      <c r="A74" s="9" t="s">
        <v>183</v>
      </c>
      <c r="B74" s="9" t="s">
        <v>22</v>
      </c>
      <c r="C74" s="9">
        <v>28.0</v>
      </c>
      <c r="D74" s="9">
        <v>25.0</v>
      </c>
      <c r="E74" s="9">
        <v>50.0</v>
      </c>
      <c r="F74" s="9">
        <v>75.0</v>
      </c>
    </row>
    <row r="75">
      <c r="A75" s="9" t="s">
        <v>185</v>
      </c>
      <c r="B75" s="9" t="s">
        <v>22</v>
      </c>
      <c r="C75" s="9">
        <v>29.0</v>
      </c>
      <c r="D75" s="9"/>
      <c r="E75" s="9">
        <v>50.0</v>
      </c>
      <c r="F75" s="9">
        <v>50.0</v>
      </c>
    </row>
    <row r="76">
      <c r="A76" s="9" t="s">
        <v>188</v>
      </c>
      <c r="B76" s="9" t="s">
        <v>22</v>
      </c>
      <c r="C76" s="9">
        <v>30.0</v>
      </c>
      <c r="D76" s="9">
        <v>25.0</v>
      </c>
      <c r="E76" s="9"/>
      <c r="F76" s="9">
        <v>25.0</v>
      </c>
    </row>
    <row r="77">
      <c r="A77" s="9" t="s">
        <v>608</v>
      </c>
      <c r="B77" s="9" t="s">
        <v>22</v>
      </c>
      <c r="C77" s="9">
        <v>31.0</v>
      </c>
      <c r="D77" s="9">
        <v>25.0</v>
      </c>
      <c r="E77" s="9">
        <v>50.0</v>
      </c>
      <c r="F77" s="9">
        <v>75.0</v>
      </c>
    </row>
    <row r="78">
      <c r="A78" s="9" t="s">
        <v>609</v>
      </c>
      <c r="B78" s="9" t="s">
        <v>22</v>
      </c>
      <c r="C78" s="9">
        <v>32.0</v>
      </c>
      <c r="D78" s="9">
        <v>25.0</v>
      </c>
      <c r="E78" s="9">
        <v>50.0</v>
      </c>
      <c r="F78" s="9">
        <v>75.0</v>
      </c>
    </row>
    <row r="79">
      <c r="A79" s="9" t="s">
        <v>195</v>
      </c>
      <c r="B79" s="9" t="s">
        <v>22</v>
      </c>
      <c r="C79" s="9">
        <v>33.0</v>
      </c>
      <c r="D79" s="9">
        <v>25.0</v>
      </c>
      <c r="E79" s="9"/>
      <c r="F79" s="9">
        <v>25.0</v>
      </c>
    </row>
    <row r="80">
      <c r="A80" s="9" t="s">
        <v>197</v>
      </c>
      <c r="B80" s="9" t="s">
        <v>22</v>
      </c>
      <c r="C80" s="9">
        <v>34.0</v>
      </c>
      <c r="D80" s="9">
        <v>25.0</v>
      </c>
      <c r="E80" s="9">
        <v>50.0</v>
      </c>
      <c r="F80" s="9">
        <v>75.0</v>
      </c>
    </row>
    <row r="81">
      <c r="A81" s="9" t="s">
        <v>199</v>
      </c>
      <c r="B81" s="9" t="s">
        <v>22</v>
      </c>
      <c r="C81" s="9">
        <v>37.0</v>
      </c>
      <c r="D81" s="9">
        <v>25.0</v>
      </c>
      <c r="E81" s="9"/>
      <c r="F81" s="9">
        <v>25.0</v>
      </c>
    </row>
    <row r="82">
      <c r="A82" s="9" t="s">
        <v>202</v>
      </c>
      <c r="B82" s="9" t="s">
        <v>22</v>
      </c>
      <c r="C82" s="9">
        <v>38.0</v>
      </c>
      <c r="D82" s="9">
        <v>25.0</v>
      </c>
      <c r="E82" s="9">
        <v>50.0</v>
      </c>
      <c r="F82" s="9">
        <v>75.0</v>
      </c>
    </row>
    <row r="83">
      <c r="A83" s="9" t="s">
        <v>205</v>
      </c>
      <c r="B83" s="9" t="s">
        <v>22</v>
      </c>
      <c r="C83" s="9">
        <v>39.0</v>
      </c>
      <c r="D83" s="9">
        <v>25.0</v>
      </c>
      <c r="E83" s="9"/>
      <c r="F83" s="9">
        <v>25.0</v>
      </c>
    </row>
    <row r="84">
      <c r="A84" s="9" t="s">
        <v>208</v>
      </c>
      <c r="B84" s="9" t="s">
        <v>22</v>
      </c>
      <c r="C84" s="9">
        <v>43.0</v>
      </c>
      <c r="D84" s="9">
        <v>25.0</v>
      </c>
      <c r="E84" s="9">
        <v>50.0</v>
      </c>
      <c r="F84" s="9">
        <v>75.0</v>
      </c>
    </row>
    <row r="85">
      <c r="A85" s="9" t="s">
        <v>210</v>
      </c>
      <c r="B85" s="9" t="s">
        <v>211</v>
      </c>
      <c r="C85" s="9">
        <v>1.0</v>
      </c>
      <c r="D85" s="9">
        <v>25.0</v>
      </c>
      <c r="E85" s="9"/>
      <c r="F85" s="9">
        <v>25.0</v>
      </c>
    </row>
    <row r="86">
      <c r="A86" s="9" t="s">
        <v>610</v>
      </c>
      <c r="B86" s="9" t="s">
        <v>211</v>
      </c>
      <c r="C86" s="9">
        <v>4.0</v>
      </c>
      <c r="D86" s="9">
        <v>25.0</v>
      </c>
      <c r="E86" s="9">
        <v>50.0</v>
      </c>
      <c r="F86" s="9">
        <v>75.0</v>
      </c>
    </row>
    <row r="87">
      <c r="A87" s="9" t="s">
        <v>215</v>
      </c>
      <c r="B87" s="9" t="s">
        <v>211</v>
      </c>
      <c r="C87" s="9">
        <v>5.0</v>
      </c>
      <c r="D87" s="9">
        <v>25.0</v>
      </c>
      <c r="E87" s="9">
        <v>50.0</v>
      </c>
      <c r="F87" s="9">
        <v>75.0</v>
      </c>
    </row>
    <row r="88">
      <c r="A88" s="9" t="s">
        <v>217</v>
      </c>
      <c r="B88" s="9" t="s">
        <v>211</v>
      </c>
      <c r="C88" s="9">
        <v>8.0</v>
      </c>
      <c r="D88" s="9">
        <v>25.0</v>
      </c>
      <c r="E88" s="9"/>
      <c r="F88" s="9">
        <v>25.0</v>
      </c>
    </row>
    <row r="89">
      <c r="A89" s="9" t="s">
        <v>611</v>
      </c>
      <c r="B89" s="9" t="s">
        <v>211</v>
      </c>
      <c r="C89" s="9">
        <v>9.0</v>
      </c>
      <c r="D89" s="9">
        <v>25.0</v>
      </c>
      <c r="E89" s="9">
        <v>50.0</v>
      </c>
      <c r="F89" s="9">
        <v>75.0</v>
      </c>
    </row>
    <row r="90">
      <c r="A90" s="9" t="s">
        <v>221</v>
      </c>
      <c r="B90" s="9" t="s">
        <v>31</v>
      </c>
      <c r="C90" s="9">
        <v>1.0</v>
      </c>
      <c r="D90" s="9">
        <v>25.0</v>
      </c>
      <c r="E90" s="9"/>
      <c r="F90" s="9">
        <v>25.0</v>
      </c>
    </row>
    <row r="91">
      <c r="A91" s="9" t="s">
        <v>223</v>
      </c>
      <c r="B91" s="9" t="s">
        <v>31</v>
      </c>
      <c r="C91" s="9">
        <v>3.0</v>
      </c>
      <c r="D91" s="9">
        <v>25.0</v>
      </c>
      <c r="E91" s="9">
        <v>50.0</v>
      </c>
      <c r="F91" s="9">
        <v>75.0</v>
      </c>
    </row>
    <row r="92">
      <c r="A92" s="9" t="s">
        <v>225</v>
      </c>
      <c r="B92" s="9" t="s">
        <v>31</v>
      </c>
      <c r="C92" s="9">
        <v>4.0</v>
      </c>
      <c r="D92" s="9">
        <v>25.0</v>
      </c>
      <c r="E92" s="9">
        <v>50.0</v>
      </c>
      <c r="F92" s="9">
        <v>75.0</v>
      </c>
    </row>
    <row r="93">
      <c r="A93" s="9" t="s">
        <v>227</v>
      </c>
      <c r="B93" s="9" t="s">
        <v>31</v>
      </c>
      <c r="C93" s="9">
        <v>5.0</v>
      </c>
      <c r="D93" s="9">
        <v>25.0</v>
      </c>
      <c r="E93" s="9"/>
      <c r="F93" s="9">
        <v>25.0</v>
      </c>
    </row>
    <row r="94">
      <c r="A94" s="9" t="s">
        <v>229</v>
      </c>
      <c r="B94" s="9" t="s">
        <v>31</v>
      </c>
      <c r="C94" s="9">
        <v>6.0</v>
      </c>
      <c r="D94" s="9">
        <v>25.0</v>
      </c>
      <c r="E94" s="9"/>
      <c r="F94" s="9">
        <v>25.0</v>
      </c>
    </row>
    <row r="95">
      <c r="A95" s="9" t="s">
        <v>231</v>
      </c>
      <c r="B95" s="9" t="s">
        <v>31</v>
      </c>
      <c r="C95" s="9">
        <v>7.0</v>
      </c>
      <c r="D95" s="9">
        <v>25.0</v>
      </c>
      <c r="E95" s="9">
        <v>50.0</v>
      </c>
      <c r="F95" s="9">
        <v>75.0</v>
      </c>
    </row>
    <row r="96">
      <c r="A96" s="9" t="s">
        <v>234</v>
      </c>
      <c r="B96" s="9" t="s">
        <v>31</v>
      </c>
      <c r="C96" s="9">
        <v>8.0</v>
      </c>
      <c r="D96" s="9">
        <v>25.0</v>
      </c>
      <c r="E96" s="9"/>
      <c r="F96" s="9">
        <v>25.0</v>
      </c>
    </row>
    <row r="97">
      <c r="A97" s="9" t="s">
        <v>237</v>
      </c>
      <c r="B97" s="9" t="s">
        <v>31</v>
      </c>
      <c r="C97" s="9">
        <v>10.0</v>
      </c>
      <c r="D97" s="9">
        <v>25.0</v>
      </c>
      <c r="E97" s="9">
        <v>50.0</v>
      </c>
      <c r="F97" s="9">
        <v>75.0</v>
      </c>
    </row>
    <row r="98">
      <c r="A98" s="9" t="s">
        <v>218</v>
      </c>
      <c r="B98" s="9" t="s">
        <v>31</v>
      </c>
      <c r="C98" s="9">
        <v>12.0</v>
      </c>
      <c r="D98" s="9">
        <v>25.0</v>
      </c>
      <c r="E98" s="9"/>
      <c r="F98" s="9">
        <v>25.0</v>
      </c>
    </row>
    <row r="99">
      <c r="A99" s="9" t="s">
        <v>242</v>
      </c>
      <c r="B99" s="9" t="s">
        <v>31</v>
      </c>
      <c r="C99" s="9">
        <v>13.0</v>
      </c>
      <c r="D99" s="9">
        <v>25.0</v>
      </c>
      <c r="E99" s="9">
        <v>50.0</v>
      </c>
      <c r="F99" s="9">
        <v>75.0</v>
      </c>
    </row>
    <row r="100">
      <c r="A100" s="9" t="s">
        <v>246</v>
      </c>
      <c r="B100" s="9" t="s">
        <v>31</v>
      </c>
      <c r="C100" s="9">
        <v>14.0</v>
      </c>
      <c r="D100" s="9">
        <v>25.0</v>
      </c>
      <c r="E100" s="9">
        <v>50.0</v>
      </c>
      <c r="F100" s="9">
        <v>75.0</v>
      </c>
    </row>
    <row r="101">
      <c r="A101" s="9" t="s">
        <v>248</v>
      </c>
      <c r="B101" s="9" t="s">
        <v>31</v>
      </c>
      <c r="C101" s="9">
        <v>16.0</v>
      </c>
      <c r="D101" s="9">
        <v>25.0</v>
      </c>
      <c r="E101" s="9"/>
      <c r="F101" s="9">
        <v>25.0</v>
      </c>
    </row>
    <row r="102">
      <c r="A102" s="9" t="s">
        <v>250</v>
      </c>
      <c r="B102" s="9" t="s">
        <v>31</v>
      </c>
      <c r="C102" s="9">
        <v>17.0</v>
      </c>
      <c r="D102" s="9">
        <v>25.0</v>
      </c>
      <c r="E102" s="9">
        <v>50.0</v>
      </c>
      <c r="F102" s="9">
        <v>75.0</v>
      </c>
    </row>
    <row r="103">
      <c r="A103" s="9" t="s">
        <v>251</v>
      </c>
      <c r="B103" s="9" t="s">
        <v>31</v>
      </c>
      <c r="C103" s="9">
        <v>18.0</v>
      </c>
      <c r="D103" s="9">
        <v>25.0</v>
      </c>
      <c r="E103" s="9">
        <v>50.0</v>
      </c>
      <c r="F103" s="9">
        <v>75.0</v>
      </c>
    </row>
    <row r="104">
      <c r="A104" s="9" t="s">
        <v>252</v>
      </c>
      <c r="B104" s="9" t="s">
        <v>31</v>
      </c>
      <c r="C104" s="9">
        <v>19.0</v>
      </c>
      <c r="D104" s="9">
        <v>25.0</v>
      </c>
      <c r="E104" s="9"/>
      <c r="F104" s="9">
        <v>25.0</v>
      </c>
    </row>
    <row r="105">
      <c r="A105" s="9" t="s">
        <v>253</v>
      </c>
      <c r="B105" s="9" t="s">
        <v>233</v>
      </c>
      <c r="C105" s="9">
        <v>2.0</v>
      </c>
      <c r="D105" s="9">
        <v>25.0</v>
      </c>
      <c r="E105" s="9">
        <v>50.0</v>
      </c>
      <c r="F105" s="9">
        <v>75.0</v>
      </c>
    </row>
    <row r="106">
      <c r="A106" s="9" t="s">
        <v>254</v>
      </c>
      <c r="B106" s="9" t="s">
        <v>233</v>
      </c>
      <c r="C106" s="9">
        <v>3.0</v>
      </c>
      <c r="D106" s="9">
        <v>20.0</v>
      </c>
      <c r="E106" s="9"/>
      <c r="F106" s="9">
        <v>20.0</v>
      </c>
    </row>
    <row r="107">
      <c r="A107" s="9" t="s">
        <v>612</v>
      </c>
      <c r="B107" s="9" t="s">
        <v>233</v>
      </c>
      <c r="C107" s="9">
        <v>4.0</v>
      </c>
      <c r="D107" s="9">
        <v>25.0</v>
      </c>
      <c r="E107" s="9">
        <v>50.0</v>
      </c>
      <c r="F107" s="9">
        <v>75.0</v>
      </c>
    </row>
    <row r="108">
      <c r="A108" s="9" t="s">
        <v>256</v>
      </c>
      <c r="B108" s="9" t="s">
        <v>233</v>
      </c>
      <c r="C108" s="9">
        <v>5.0</v>
      </c>
      <c r="D108" s="9">
        <v>25.0</v>
      </c>
      <c r="E108" s="9"/>
      <c r="F108" s="9">
        <v>25.0</v>
      </c>
    </row>
    <row r="109">
      <c r="A109" s="9" t="s">
        <v>613</v>
      </c>
      <c r="B109" s="9" t="s">
        <v>233</v>
      </c>
      <c r="C109" s="9">
        <v>6.0</v>
      </c>
      <c r="D109" s="9">
        <v>25.0</v>
      </c>
      <c r="E109" s="9"/>
      <c r="F109" s="9">
        <v>25.0</v>
      </c>
    </row>
    <row r="110">
      <c r="A110" s="9" t="s">
        <v>614</v>
      </c>
      <c r="B110" s="9" t="s">
        <v>40</v>
      </c>
      <c r="C110" s="9">
        <v>1.0</v>
      </c>
      <c r="D110" s="9">
        <v>25.0</v>
      </c>
      <c r="E110" s="9">
        <v>50.0</v>
      </c>
      <c r="F110" s="9">
        <v>75.0</v>
      </c>
    </row>
    <row r="111">
      <c r="A111" s="9" t="s">
        <v>260</v>
      </c>
      <c r="B111" s="9" t="s">
        <v>40</v>
      </c>
      <c r="C111" s="9" t="s">
        <v>261</v>
      </c>
      <c r="D111" s="9">
        <v>25.0</v>
      </c>
      <c r="E111" s="9">
        <v>50.0</v>
      </c>
      <c r="F111" s="9">
        <v>75.0</v>
      </c>
    </row>
    <row r="112">
      <c r="A112" s="9" t="s">
        <v>262</v>
      </c>
      <c r="B112" s="9" t="s">
        <v>40</v>
      </c>
      <c r="C112" s="9" t="s">
        <v>263</v>
      </c>
      <c r="D112" s="9">
        <v>25.0</v>
      </c>
      <c r="E112" s="9">
        <v>50.0</v>
      </c>
      <c r="F112" s="9">
        <v>75.0</v>
      </c>
    </row>
    <row r="113">
      <c r="A113" s="9" t="s">
        <v>264</v>
      </c>
      <c r="B113" s="9" t="s">
        <v>40</v>
      </c>
      <c r="C113" s="9">
        <v>3.0</v>
      </c>
      <c r="D113" s="9">
        <v>25.0</v>
      </c>
      <c r="E113" s="9">
        <v>50.0</v>
      </c>
      <c r="F113" s="9">
        <v>75.0</v>
      </c>
    </row>
    <row r="114">
      <c r="A114" s="9" t="s">
        <v>265</v>
      </c>
      <c r="B114" s="9" t="s">
        <v>40</v>
      </c>
      <c r="C114" s="9">
        <v>4.0</v>
      </c>
      <c r="D114" s="9">
        <v>25.0</v>
      </c>
      <c r="E114" s="9"/>
      <c r="F114" s="9">
        <v>25.0</v>
      </c>
    </row>
    <row r="115">
      <c r="A115" s="9" t="s">
        <v>266</v>
      </c>
      <c r="B115" s="9" t="s">
        <v>40</v>
      </c>
      <c r="C115" s="9">
        <v>6.0</v>
      </c>
      <c r="D115" s="9">
        <v>25.0</v>
      </c>
      <c r="E115" s="9">
        <v>50.0</v>
      </c>
      <c r="F115" s="9">
        <v>75.0</v>
      </c>
    </row>
    <row r="116">
      <c r="A116" s="9" t="s">
        <v>267</v>
      </c>
      <c r="B116" s="9" t="s">
        <v>40</v>
      </c>
      <c r="C116" s="9">
        <v>7.0</v>
      </c>
      <c r="D116" s="9">
        <v>25.0</v>
      </c>
      <c r="E116" s="9">
        <v>50.0</v>
      </c>
      <c r="F116" s="9">
        <v>75.0</v>
      </c>
    </row>
    <row r="117">
      <c r="A117" s="9" t="s">
        <v>268</v>
      </c>
      <c r="B117" s="9" t="s">
        <v>40</v>
      </c>
      <c r="C117" s="9">
        <v>8.0</v>
      </c>
      <c r="D117" s="9">
        <v>25.0</v>
      </c>
      <c r="E117" s="9">
        <v>50.0</v>
      </c>
      <c r="F117" s="9">
        <v>75.0</v>
      </c>
    </row>
    <row r="118">
      <c r="A118" s="9" t="s">
        <v>269</v>
      </c>
      <c r="B118" s="9" t="s">
        <v>40</v>
      </c>
      <c r="C118" s="9">
        <v>9.0</v>
      </c>
      <c r="D118" s="9">
        <v>25.0</v>
      </c>
      <c r="E118" s="9"/>
      <c r="F118" s="9">
        <v>25.0</v>
      </c>
    </row>
    <row r="119">
      <c r="A119" s="9" t="s">
        <v>270</v>
      </c>
      <c r="B119" s="9" t="s">
        <v>40</v>
      </c>
      <c r="C119" s="9">
        <v>12.0</v>
      </c>
      <c r="D119" s="9">
        <v>25.0</v>
      </c>
      <c r="E119" s="9"/>
      <c r="F119" s="9">
        <v>25.0</v>
      </c>
    </row>
    <row r="120">
      <c r="A120" s="9" t="s">
        <v>271</v>
      </c>
      <c r="B120" s="9" t="s">
        <v>40</v>
      </c>
      <c r="C120" s="9">
        <v>13.0</v>
      </c>
      <c r="D120" s="9">
        <v>25.0</v>
      </c>
      <c r="E120" s="9"/>
      <c r="F120" s="9">
        <v>25.0</v>
      </c>
    </row>
    <row r="121">
      <c r="A121" s="9" t="s">
        <v>272</v>
      </c>
      <c r="B121" s="9" t="s">
        <v>40</v>
      </c>
      <c r="C121" s="9">
        <v>14.0</v>
      </c>
      <c r="D121" s="9">
        <v>25.0</v>
      </c>
      <c r="E121" s="9">
        <v>50.0</v>
      </c>
      <c r="F121" s="9">
        <v>75.0</v>
      </c>
    </row>
    <row r="122">
      <c r="A122" s="9" t="s">
        <v>273</v>
      </c>
      <c r="B122" s="9" t="s">
        <v>236</v>
      </c>
      <c r="C122" s="9">
        <v>1.0</v>
      </c>
      <c r="D122" s="9">
        <v>25.0</v>
      </c>
      <c r="E122" s="9">
        <v>50.0</v>
      </c>
      <c r="F122" s="9">
        <v>75.0</v>
      </c>
    </row>
    <row r="123">
      <c r="A123" s="9" t="s">
        <v>274</v>
      </c>
      <c r="B123" s="9" t="s">
        <v>236</v>
      </c>
      <c r="C123" s="9">
        <v>2.0</v>
      </c>
      <c r="D123" s="9">
        <v>25.0</v>
      </c>
      <c r="E123" s="9"/>
      <c r="F123" s="9">
        <v>25.0</v>
      </c>
    </row>
    <row r="124">
      <c r="A124" s="9" t="s">
        <v>275</v>
      </c>
      <c r="B124" s="9" t="s">
        <v>236</v>
      </c>
      <c r="C124" s="9">
        <v>4.0</v>
      </c>
      <c r="D124" s="9">
        <v>25.0</v>
      </c>
      <c r="E124" s="9">
        <v>50.0</v>
      </c>
      <c r="F124" s="9">
        <v>75.0</v>
      </c>
    </row>
    <row r="125">
      <c r="A125" s="9" t="s">
        <v>276</v>
      </c>
      <c r="B125" s="9" t="s">
        <v>236</v>
      </c>
      <c r="C125" s="9">
        <v>5.0</v>
      </c>
      <c r="D125" s="9">
        <v>25.0</v>
      </c>
      <c r="E125" s="9">
        <v>50.0</v>
      </c>
      <c r="F125" s="9">
        <v>75.0</v>
      </c>
    </row>
    <row r="126">
      <c r="A126" s="9" t="s">
        <v>277</v>
      </c>
      <c r="B126" s="9" t="s">
        <v>236</v>
      </c>
      <c r="C126" s="9">
        <v>6.0</v>
      </c>
      <c r="D126" s="9">
        <v>25.0</v>
      </c>
      <c r="E126" s="9">
        <v>50.0</v>
      </c>
      <c r="F126" s="9">
        <v>75.0</v>
      </c>
    </row>
    <row r="127">
      <c r="A127" s="9" t="s">
        <v>278</v>
      </c>
      <c r="B127" s="9" t="s">
        <v>236</v>
      </c>
      <c r="C127" s="9">
        <v>7.0</v>
      </c>
      <c r="D127" s="9">
        <v>25.0</v>
      </c>
      <c r="E127" s="9">
        <v>50.0</v>
      </c>
      <c r="F127" s="9">
        <v>75.0</v>
      </c>
    </row>
    <row r="128">
      <c r="A128" s="9" t="s">
        <v>279</v>
      </c>
      <c r="B128" s="9" t="s">
        <v>236</v>
      </c>
      <c r="C128" s="9">
        <v>8.0</v>
      </c>
      <c r="D128" s="9">
        <v>25.0</v>
      </c>
      <c r="E128" s="9">
        <v>50.0</v>
      </c>
      <c r="F128" s="9">
        <v>75.0</v>
      </c>
    </row>
    <row r="129">
      <c r="A129" s="9" t="s">
        <v>280</v>
      </c>
      <c r="B129" s="9" t="s">
        <v>47</v>
      </c>
      <c r="C129" s="9">
        <v>3.0</v>
      </c>
      <c r="D129" s="9">
        <v>25.0</v>
      </c>
      <c r="E129" s="9"/>
      <c r="F129" s="9">
        <v>25.0</v>
      </c>
    </row>
    <row r="130">
      <c r="A130" s="9" t="s">
        <v>281</v>
      </c>
      <c r="B130" s="9" t="s">
        <v>47</v>
      </c>
      <c r="C130" s="9">
        <v>1.0</v>
      </c>
      <c r="D130" s="9">
        <v>25.0</v>
      </c>
      <c r="E130" s="9">
        <v>50.0</v>
      </c>
      <c r="F130" s="9">
        <v>75.0</v>
      </c>
    </row>
    <row r="131">
      <c r="A131" s="9" t="s">
        <v>282</v>
      </c>
      <c r="B131" s="9" t="s">
        <v>47</v>
      </c>
      <c r="C131" s="9">
        <v>5.0</v>
      </c>
      <c r="D131" s="9">
        <v>25.0</v>
      </c>
      <c r="E131" s="9">
        <v>50.0</v>
      </c>
      <c r="F131" s="9">
        <v>75.0</v>
      </c>
    </row>
    <row r="132">
      <c r="A132" s="9" t="s">
        <v>283</v>
      </c>
      <c r="B132" s="9" t="s">
        <v>47</v>
      </c>
      <c r="C132" s="9">
        <v>7.0</v>
      </c>
      <c r="D132" s="9">
        <v>25.0</v>
      </c>
      <c r="E132" s="9"/>
      <c r="F132" s="9">
        <v>25.0</v>
      </c>
    </row>
    <row r="133">
      <c r="A133" s="9" t="s">
        <v>284</v>
      </c>
      <c r="B133" s="9" t="s">
        <v>47</v>
      </c>
      <c r="C133" s="9">
        <v>8.0</v>
      </c>
      <c r="D133" s="9">
        <v>25.0</v>
      </c>
      <c r="E133" s="9">
        <v>50.0</v>
      </c>
      <c r="F133" s="9">
        <v>75.0</v>
      </c>
    </row>
    <row r="134">
      <c r="A134" s="9" t="s">
        <v>285</v>
      </c>
      <c r="B134" s="9" t="s">
        <v>47</v>
      </c>
      <c r="C134" s="9">
        <v>9.0</v>
      </c>
      <c r="D134" s="9">
        <v>25.0</v>
      </c>
      <c r="E134" s="9">
        <v>50.0</v>
      </c>
      <c r="F134" s="9">
        <v>75.0</v>
      </c>
    </row>
    <row r="135">
      <c r="A135" s="9" t="s">
        <v>286</v>
      </c>
      <c r="B135" s="9" t="s">
        <v>47</v>
      </c>
      <c r="C135" s="9">
        <v>12.0</v>
      </c>
      <c r="D135" s="9">
        <v>25.0</v>
      </c>
      <c r="E135" s="9"/>
      <c r="F135" s="9">
        <v>25.0</v>
      </c>
    </row>
    <row r="136">
      <c r="A136" s="9" t="s">
        <v>287</v>
      </c>
      <c r="B136" s="9" t="s">
        <v>47</v>
      </c>
      <c r="C136" s="9">
        <v>13.0</v>
      </c>
      <c r="D136" s="9">
        <v>25.0</v>
      </c>
      <c r="E136" s="9">
        <v>50.0</v>
      </c>
      <c r="F136" s="9">
        <v>75.0</v>
      </c>
    </row>
    <row r="137">
      <c r="A137" s="9" t="s">
        <v>288</v>
      </c>
      <c r="B137" s="9" t="s">
        <v>47</v>
      </c>
      <c r="C137" s="9" t="s">
        <v>289</v>
      </c>
      <c r="D137" s="9">
        <v>25.0</v>
      </c>
      <c r="E137" s="9"/>
      <c r="F137" s="9">
        <v>25.0</v>
      </c>
    </row>
    <row r="138">
      <c r="A138" s="9" t="s">
        <v>290</v>
      </c>
      <c r="B138" s="9" t="s">
        <v>239</v>
      </c>
      <c r="C138" s="9">
        <v>1.0</v>
      </c>
      <c r="D138" s="9">
        <v>25.0</v>
      </c>
      <c r="E138" s="9">
        <v>50.0</v>
      </c>
      <c r="F138" s="9">
        <v>75.0</v>
      </c>
    </row>
    <row r="139">
      <c r="A139" s="9" t="s">
        <v>291</v>
      </c>
      <c r="B139" s="9" t="s">
        <v>239</v>
      </c>
      <c r="C139" s="9">
        <v>3.0</v>
      </c>
      <c r="D139" s="9">
        <v>25.0</v>
      </c>
      <c r="E139" s="9">
        <v>50.0</v>
      </c>
      <c r="F139" s="9">
        <v>75.0</v>
      </c>
    </row>
    <row r="140">
      <c r="A140" s="9" t="s">
        <v>292</v>
      </c>
      <c r="B140" s="9" t="s">
        <v>239</v>
      </c>
      <c r="C140" s="9">
        <v>4.0</v>
      </c>
      <c r="D140" s="9">
        <v>25.0</v>
      </c>
      <c r="E140" s="9">
        <v>50.0</v>
      </c>
      <c r="F140" s="9">
        <v>75.0</v>
      </c>
    </row>
    <row r="141">
      <c r="A141" s="9" t="s">
        <v>293</v>
      </c>
      <c r="B141" s="9" t="s">
        <v>239</v>
      </c>
      <c r="C141" s="9">
        <v>5.0</v>
      </c>
      <c r="D141" s="9">
        <v>25.0</v>
      </c>
      <c r="E141" s="9"/>
      <c r="F141" s="9">
        <v>25.0</v>
      </c>
    </row>
    <row r="142">
      <c r="A142" s="9" t="s">
        <v>294</v>
      </c>
      <c r="B142" s="9" t="s">
        <v>239</v>
      </c>
      <c r="C142" s="9">
        <v>6.0</v>
      </c>
      <c r="D142" s="9">
        <v>25.0</v>
      </c>
      <c r="E142" s="9">
        <v>50.0</v>
      </c>
      <c r="F142" s="9">
        <v>75.0</v>
      </c>
    </row>
    <row r="143">
      <c r="A143" s="9" t="s">
        <v>295</v>
      </c>
      <c r="B143" s="9" t="s">
        <v>239</v>
      </c>
      <c r="C143" s="9">
        <v>7.0</v>
      </c>
      <c r="D143" s="9">
        <v>25.0</v>
      </c>
      <c r="E143" s="9"/>
      <c r="F143" s="9">
        <v>25.0</v>
      </c>
    </row>
    <row r="144">
      <c r="A144" s="9" t="s">
        <v>296</v>
      </c>
      <c r="B144" s="9" t="s">
        <v>239</v>
      </c>
      <c r="C144" s="9">
        <v>8.0</v>
      </c>
      <c r="D144" s="9">
        <v>25.0</v>
      </c>
      <c r="E144" s="9">
        <v>50.0</v>
      </c>
      <c r="F144" s="9">
        <v>75.0</v>
      </c>
    </row>
    <row r="145">
      <c r="A145" s="9" t="s">
        <v>297</v>
      </c>
      <c r="B145" s="9" t="s">
        <v>239</v>
      </c>
      <c r="C145" s="9">
        <v>9.0</v>
      </c>
      <c r="D145" s="9">
        <v>25.0</v>
      </c>
      <c r="E145" s="9">
        <v>50.0</v>
      </c>
      <c r="F145" s="9">
        <v>75.0</v>
      </c>
    </row>
    <row r="146">
      <c r="A146" s="9" t="s">
        <v>298</v>
      </c>
      <c r="B146" s="9" t="s">
        <v>239</v>
      </c>
      <c r="C146" s="9">
        <v>10.0</v>
      </c>
      <c r="D146" s="9">
        <v>25.0</v>
      </c>
      <c r="E146" s="9">
        <v>50.0</v>
      </c>
      <c r="F146" s="9">
        <v>75.0</v>
      </c>
    </row>
    <row r="147">
      <c r="A147" s="9" t="s">
        <v>299</v>
      </c>
      <c r="B147" s="9" t="s">
        <v>58</v>
      </c>
      <c r="C147" s="9">
        <v>1.0</v>
      </c>
      <c r="D147" s="9">
        <v>25.0</v>
      </c>
      <c r="E147" s="9">
        <v>50.0</v>
      </c>
      <c r="F147" s="9">
        <v>75.0</v>
      </c>
    </row>
    <row r="148">
      <c r="A148" s="9" t="s">
        <v>300</v>
      </c>
      <c r="B148" s="9" t="s">
        <v>58</v>
      </c>
      <c r="C148" s="9">
        <v>3.0</v>
      </c>
      <c r="D148" s="9">
        <v>25.0</v>
      </c>
      <c r="E148" s="9"/>
      <c r="F148" s="9">
        <v>25.0</v>
      </c>
    </row>
    <row r="149">
      <c r="A149" s="9" t="s">
        <v>301</v>
      </c>
      <c r="B149" s="9" t="s">
        <v>58</v>
      </c>
      <c r="C149" s="9">
        <v>4.0</v>
      </c>
      <c r="D149" s="9">
        <v>25.0</v>
      </c>
      <c r="E149" s="9"/>
      <c r="F149" s="9">
        <v>25.0</v>
      </c>
    </row>
    <row r="150">
      <c r="A150" s="9" t="s">
        <v>95</v>
      </c>
      <c r="B150" s="9" t="s">
        <v>58</v>
      </c>
      <c r="C150" s="9">
        <v>5.0</v>
      </c>
      <c r="D150" s="9">
        <v>25.0</v>
      </c>
      <c r="E150" s="9"/>
      <c r="F150" s="9">
        <v>25.0</v>
      </c>
    </row>
    <row r="151">
      <c r="A151" s="9" t="s">
        <v>615</v>
      </c>
      <c r="B151" s="9" t="s">
        <v>58</v>
      </c>
      <c r="C151" s="9">
        <v>7.0</v>
      </c>
      <c r="D151" s="9">
        <v>25.0</v>
      </c>
      <c r="E151" s="9">
        <v>50.0</v>
      </c>
      <c r="F151" s="9">
        <v>75.0</v>
      </c>
    </row>
    <row r="152">
      <c r="A152" s="9" t="s">
        <v>304</v>
      </c>
      <c r="B152" s="9" t="s">
        <v>58</v>
      </c>
      <c r="C152" s="9">
        <v>8.0</v>
      </c>
      <c r="D152" s="9">
        <v>25.0</v>
      </c>
      <c r="E152" s="9">
        <v>50.0</v>
      </c>
      <c r="F152" s="9">
        <v>75.0</v>
      </c>
    </row>
    <row r="153">
      <c r="A153" s="9" t="s">
        <v>305</v>
      </c>
      <c r="B153" s="9" t="s">
        <v>58</v>
      </c>
      <c r="C153" s="9">
        <v>9.0</v>
      </c>
      <c r="D153" s="9">
        <v>25.0</v>
      </c>
      <c r="E153" s="9">
        <v>50.0</v>
      </c>
      <c r="F153" s="9">
        <v>75.0</v>
      </c>
    </row>
    <row r="154">
      <c r="A154" s="9" t="s">
        <v>306</v>
      </c>
      <c r="B154" s="9" t="s">
        <v>58</v>
      </c>
      <c r="C154" s="9">
        <v>11.0</v>
      </c>
      <c r="D154" s="9">
        <v>25.0</v>
      </c>
      <c r="E154" s="9">
        <v>50.0</v>
      </c>
      <c r="F154" s="9">
        <v>75.0</v>
      </c>
    </row>
    <row r="155">
      <c r="A155" s="9" t="s">
        <v>616</v>
      </c>
      <c r="B155" s="9" t="s">
        <v>58</v>
      </c>
      <c r="C155" s="9">
        <v>18.0</v>
      </c>
      <c r="D155" s="9">
        <v>25.0</v>
      </c>
      <c r="E155" s="9">
        <v>50.0</v>
      </c>
      <c r="F155" s="9">
        <v>75.0</v>
      </c>
    </row>
    <row r="156">
      <c r="A156" s="9" t="s">
        <v>308</v>
      </c>
      <c r="B156" s="9" t="s">
        <v>58</v>
      </c>
      <c r="C156" s="9">
        <v>19.0</v>
      </c>
      <c r="D156" s="9">
        <v>25.0</v>
      </c>
      <c r="E156" s="9">
        <v>50.0</v>
      </c>
      <c r="F156" s="9">
        <v>75.0</v>
      </c>
    </row>
    <row r="157">
      <c r="A157" s="9" t="s">
        <v>309</v>
      </c>
      <c r="B157" s="9" t="s">
        <v>58</v>
      </c>
      <c r="C157" s="9">
        <v>20.0</v>
      </c>
      <c r="D157" s="9">
        <v>25.0</v>
      </c>
      <c r="E157" s="9">
        <v>50.0</v>
      </c>
      <c r="F157" s="9">
        <v>75.0</v>
      </c>
    </row>
    <row r="158">
      <c r="A158" s="9" t="s">
        <v>310</v>
      </c>
      <c r="B158" s="9" t="s">
        <v>58</v>
      </c>
      <c r="C158" s="9">
        <v>21.0</v>
      </c>
      <c r="D158" s="9">
        <v>25.0</v>
      </c>
      <c r="E158" s="9">
        <v>50.0</v>
      </c>
      <c r="F158" s="9">
        <v>75.0</v>
      </c>
    </row>
    <row r="159">
      <c r="A159" s="9" t="s">
        <v>617</v>
      </c>
      <c r="B159" s="9" t="s">
        <v>58</v>
      </c>
      <c r="C159" s="9">
        <v>22.0</v>
      </c>
      <c r="D159" s="9">
        <v>25.0</v>
      </c>
      <c r="E159" s="9">
        <v>50.0</v>
      </c>
      <c r="F159" s="9">
        <v>75.0</v>
      </c>
    </row>
    <row r="160">
      <c r="A160" s="9" t="s">
        <v>618</v>
      </c>
      <c r="B160" s="9" t="s">
        <v>58</v>
      </c>
      <c r="C160" s="9">
        <v>23.0</v>
      </c>
      <c r="D160" s="9">
        <v>25.0</v>
      </c>
      <c r="E160" s="9">
        <v>50.0</v>
      </c>
      <c r="F160" s="9">
        <v>75.0</v>
      </c>
    </row>
    <row r="161">
      <c r="A161" s="9" t="s">
        <v>313</v>
      </c>
      <c r="B161" s="9" t="s">
        <v>58</v>
      </c>
      <c r="C161" s="9" t="s">
        <v>314</v>
      </c>
      <c r="D161" s="9">
        <v>25.0</v>
      </c>
      <c r="E161" s="9"/>
      <c r="F161" s="9">
        <v>25.0</v>
      </c>
    </row>
    <row r="162">
      <c r="A162" s="9" t="s">
        <v>315</v>
      </c>
      <c r="B162" s="9" t="s">
        <v>58</v>
      </c>
      <c r="C162" s="9" t="s">
        <v>316</v>
      </c>
      <c r="D162" s="9">
        <v>25.0</v>
      </c>
      <c r="E162" s="9"/>
      <c r="F162" s="9">
        <v>25.0</v>
      </c>
    </row>
    <row r="163">
      <c r="A163" s="9" t="s">
        <v>317</v>
      </c>
      <c r="B163" s="9" t="s">
        <v>245</v>
      </c>
      <c r="C163" s="9">
        <v>1.0</v>
      </c>
      <c r="D163" s="9">
        <v>25.0</v>
      </c>
      <c r="E163" s="9">
        <v>50.0</v>
      </c>
      <c r="F163" s="9">
        <v>75.0</v>
      </c>
    </row>
    <row r="164">
      <c r="A164" s="9" t="s">
        <v>318</v>
      </c>
      <c r="B164" s="9" t="s">
        <v>245</v>
      </c>
      <c r="C164" s="9">
        <v>2.0</v>
      </c>
      <c r="D164" s="9">
        <v>25.0</v>
      </c>
      <c r="E164" s="9"/>
      <c r="F164" s="9">
        <v>25.0</v>
      </c>
    </row>
    <row r="165">
      <c r="A165" s="9" t="s">
        <v>320</v>
      </c>
      <c r="B165" s="9" t="s">
        <v>245</v>
      </c>
      <c r="C165" s="9">
        <v>3.0</v>
      </c>
      <c r="D165" s="9">
        <v>25.0</v>
      </c>
      <c r="E165" s="9">
        <v>50.0</v>
      </c>
      <c r="F165" s="9">
        <v>75.0</v>
      </c>
    </row>
    <row r="166">
      <c r="A166" s="9" t="s">
        <v>321</v>
      </c>
      <c r="B166" s="9" t="s">
        <v>245</v>
      </c>
      <c r="C166" s="9">
        <v>4.0</v>
      </c>
      <c r="D166" s="9">
        <v>25.0</v>
      </c>
      <c r="E166" s="9"/>
      <c r="F166" s="9">
        <v>25.0</v>
      </c>
    </row>
    <row r="167">
      <c r="A167" s="9" t="s">
        <v>322</v>
      </c>
      <c r="B167" s="9" t="s">
        <v>245</v>
      </c>
      <c r="C167" s="9">
        <v>5.0</v>
      </c>
      <c r="D167" s="9">
        <v>25.0</v>
      </c>
      <c r="E167" s="9"/>
      <c r="F167" s="9">
        <v>25.0</v>
      </c>
    </row>
    <row r="168">
      <c r="A168" s="9" t="s">
        <v>323</v>
      </c>
      <c r="B168" s="9" t="s">
        <v>245</v>
      </c>
      <c r="C168" s="9">
        <v>6.0</v>
      </c>
      <c r="D168" s="9">
        <v>25.0</v>
      </c>
      <c r="E168" s="9"/>
      <c r="F168" s="9">
        <v>25.0</v>
      </c>
    </row>
    <row r="169">
      <c r="A169" s="9" t="s">
        <v>324</v>
      </c>
      <c r="B169" s="9" t="s">
        <v>245</v>
      </c>
      <c r="C169" s="9">
        <v>7.0</v>
      </c>
      <c r="D169" s="9">
        <v>25.0</v>
      </c>
      <c r="E169" s="9"/>
      <c r="F169" s="9">
        <v>25.0</v>
      </c>
    </row>
    <row r="170">
      <c r="A170" s="9" t="s">
        <v>326</v>
      </c>
      <c r="B170" s="9" t="s">
        <v>245</v>
      </c>
      <c r="C170" s="9">
        <v>8.0</v>
      </c>
      <c r="D170" s="9">
        <v>25.0</v>
      </c>
      <c r="E170" s="9"/>
      <c r="F170" s="9">
        <v>25.0</v>
      </c>
    </row>
    <row r="171">
      <c r="A171" s="9" t="s">
        <v>327</v>
      </c>
      <c r="B171" s="9" t="s">
        <v>245</v>
      </c>
      <c r="C171" s="9">
        <v>11.0</v>
      </c>
      <c r="D171" s="9">
        <v>25.0</v>
      </c>
      <c r="E171" s="9"/>
      <c r="F171" s="9">
        <v>25.0</v>
      </c>
    </row>
    <row r="172">
      <c r="A172" s="9" t="s">
        <v>328</v>
      </c>
      <c r="B172" s="9" t="s">
        <v>245</v>
      </c>
      <c r="C172" s="9">
        <v>12.0</v>
      </c>
      <c r="D172" s="9">
        <v>25.0</v>
      </c>
      <c r="E172" s="9"/>
      <c r="F172" s="9">
        <v>25.0</v>
      </c>
    </row>
    <row r="173">
      <c r="A173" s="9" t="s">
        <v>329</v>
      </c>
      <c r="B173" s="9" t="s">
        <v>245</v>
      </c>
      <c r="C173" s="9">
        <v>15.0</v>
      </c>
      <c r="D173" s="9">
        <v>25.0</v>
      </c>
      <c r="E173" s="9">
        <v>50.0</v>
      </c>
      <c r="F173" s="9">
        <v>75.0</v>
      </c>
    </row>
    <row r="174">
      <c r="A174" s="9" t="s">
        <v>330</v>
      </c>
      <c r="B174" s="9" t="s">
        <v>78</v>
      </c>
      <c r="C174" s="9">
        <v>1.0</v>
      </c>
      <c r="D174" s="9">
        <v>25.0</v>
      </c>
      <c r="E174" s="9">
        <v>50.0</v>
      </c>
      <c r="F174" s="9">
        <v>75.0</v>
      </c>
    </row>
    <row r="175">
      <c r="A175" s="9" t="s">
        <v>619</v>
      </c>
      <c r="B175" s="9" t="s">
        <v>78</v>
      </c>
      <c r="C175" s="9">
        <v>2.0</v>
      </c>
      <c r="D175" s="9">
        <v>25.0</v>
      </c>
      <c r="E175" s="9">
        <v>50.0</v>
      </c>
      <c r="F175" s="9">
        <v>75.0</v>
      </c>
    </row>
    <row r="176">
      <c r="A176" s="9" t="s">
        <v>620</v>
      </c>
      <c r="B176" s="9" t="s">
        <v>78</v>
      </c>
      <c r="C176" s="9">
        <v>3.0</v>
      </c>
      <c r="D176" s="9">
        <v>25.0</v>
      </c>
      <c r="E176" s="9">
        <v>50.0</v>
      </c>
      <c r="F176" s="9">
        <v>75.0</v>
      </c>
    </row>
    <row r="177">
      <c r="A177" s="9" t="s">
        <v>333</v>
      </c>
      <c r="B177" s="9" t="s">
        <v>78</v>
      </c>
      <c r="C177" s="9">
        <v>4.0</v>
      </c>
      <c r="D177" s="9">
        <v>25.0</v>
      </c>
      <c r="E177" s="9">
        <v>50.0</v>
      </c>
      <c r="F177" s="9">
        <v>75.0</v>
      </c>
    </row>
    <row r="178">
      <c r="A178" s="9" t="s">
        <v>334</v>
      </c>
      <c r="B178" s="9" t="s">
        <v>78</v>
      </c>
      <c r="C178" s="9">
        <v>5.0</v>
      </c>
      <c r="D178" s="9">
        <v>25.0</v>
      </c>
      <c r="E178" s="9">
        <v>50.0</v>
      </c>
      <c r="F178" s="9">
        <v>75.0</v>
      </c>
    </row>
    <row r="179">
      <c r="A179" s="9" t="s">
        <v>335</v>
      </c>
      <c r="B179" s="9" t="s">
        <v>78</v>
      </c>
      <c r="C179" s="9">
        <v>6.0</v>
      </c>
      <c r="D179" s="9">
        <v>25.0</v>
      </c>
      <c r="E179" s="9"/>
      <c r="F179" s="9">
        <v>25.0</v>
      </c>
    </row>
    <row r="180">
      <c r="A180" s="9" t="s">
        <v>336</v>
      </c>
      <c r="B180" s="9" t="s">
        <v>78</v>
      </c>
      <c r="C180" s="9">
        <v>7.0</v>
      </c>
      <c r="D180" s="9">
        <v>25.0</v>
      </c>
      <c r="E180" s="9">
        <v>50.0</v>
      </c>
      <c r="F180" s="9">
        <v>75.0</v>
      </c>
    </row>
    <row r="181">
      <c r="A181" s="9" t="s">
        <v>337</v>
      </c>
      <c r="B181" s="9" t="s">
        <v>78</v>
      </c>
      <c r="C181" s="9">
        <v>8.0</v>
      </c>
      <c r="D181" s="9">
        <v>25.0</v>
      </c>
      <c r="E181" s="9">
        <v>50.0</v>
      </c>
      <c r="F181" s="9">
        <v>75.0</v>
      </c>
    </row>
    <row r="182">
      <c r="A182" s="9" t="s">
        <v>621</v>
      </c>
      <c r="B182" s="9" t="s">
        <v>78</v>
      </c>
      <c r="C182" s="9">
        <v>9.0</v>
      </c>
      <c r="D182" s="9">
        <v>25.0</v>
      </c>
      <c r="E182" s="9"/>
      <c r="F182" s="9">
        <v>25.0</v>
      </c>
    </row>
    <row r="183">
      <c r="A183" s="9" t="s">
        <v>339</v>
      </c>
      <c r="B183" s="9" t="s">
        <v>78</v>
      </c>
      <c r="C183" s="9">
        <v>10.0</v>
      </c>
      <c r="D183" s="9">
        <v>25.0</v>
      </c>
      <c r="E183" s="9"/>
      <c r="F183" s="9">
        <v>25.0</v>
      </c>
    </row>
    <row r="184">
      <c r="A184" s="9" t="s">
        <v>340</v>
      </c>
      <c r="B184" s="9" t="s">
        <v>78</v>
      </c>
      <c r="C184" s="9">
        <v>11.0</v>
      </c>
      <c r="D184" s="9">
        <v>25.0</v>
      </c>
      <c r="E184" s="9"/>
      <c r="F184" s="9">
        <v>25.0</v>
      </c>
    </row>
    <row r="185">
      <c r="A185" s="9" t="s">
        <v>341</v>
      </c>
      <c r="B185" s="9" t="s">
        <v>78</v>
      </c>
      <c r="C185" s="9">
        <v>12.0</v>
      </c>
      <c r="D185" s="9">
        <v>25.0</v>
      </c>
      <c r="E185" s="9"/>
      <c r="F185" s="9">
        <v>25.0</v>
      </c>
    </row>
    <row r="186">
      <c r="A186" s="9" t="s">
        <v>342</v>
      </c>
      <c r="B186" s="9" t="s">
        <v>78</v>
      </c>
      <c r="C186" s="9">
        <v>13.0</v>
      </c>
      <c r="D186" s="9">
        <v>25.0</v>
      </c>
      <c r="E186" s="9">
        <v>50.0</v>
      </c>
      <c r="F186" s="9">
        <v>75.0</v>
      </c>
    </row>
    <row r="187">
      <c r="A187" s="9" t="s">
        <v>343</v>
      </c>
      <c r="B187" s="9" t="s">
        <v>78</v>
      </c>
      <c r="C187" s="9">
        <v>14.0</v>
      </c>
      <c r="D187" s="9">
        <v>25.0</v>
      </c>
      <c r="E187" s="9">
        <v>50.0</v>
      </c>
      <c r="F187" s="9">
        <v>75.0</v>
      </c>
    </row>
    <row r="188">
      <c r="A188" s="9" t="s">
        <v>344</v>
      </c>
      <c r="B188" s="9" t="s">
        <v>78</v>
      </c>
      <c r="C188" s="9">
        <v>15.0</v>
      </c>
      <c r="D188" s="9">
        <v>25.0</v>
      </c>
      <c r="E188" s="9">
        <v>50.0</v>
      </c>
      <c r="F188" s="9">
        <v>75.0</v>
      </c>
    </row>
    <row r="189">
      <c r="A189" s="9" t="s">
        <v>345</v>
      </c>
      <c r="B189" s="9" t="s">
        <v>78</v>
      </c>
      <c r="C189" s="9">
        <v>18.0</v>
      </c>
      <c r="D189" s="9">
        <v>25.0</v>
      </c>
      <c r="E189" s="9">
        <v>50.0</v>
      </c>
      <c r="F189" s="9">
        <v>75.0</v>
      </c>
    </row>
    <row r="190">
      <c r="A190" s="9" t="s">
        <v>346</v>
      </c>
      <c r="B190" s="9" t="s">
        <v>78</v>
      </c>
      <c r="C190" s="9">
        <v>19.0</v>
      </c>
      <c r="D190" s="9">
        <v>25.0</v>
      </c>
      <c r="E190" s="9">
        <v>50.0</v>
      </c>
      <c r="F190" s="9">
        <v>75.0</v>
      </c>
    </row>
    <row r="191">
      <c r="A191" s="9" t="s">
        <v>622</v>
      </c>
      <c r="B191" s="9" t="s">
        <v>78</v>
      </c>
      <c r="C191" s="9">
        <v>20.0</v>
      </c>
      <c r="D191" s="9">
        <v>25.0</v>
      </c>
      <c r="E191" s="9"/>
      <c r="F191" s="9">
        <v>25.0</v>
      </c>
    </row>
    <row r="192">
      <c r="A192" s="9" t="s">
        <v>348</v>
      </c>
      <c r="B192" s="9" t="s">
        <v>78</v>
      </c>
      <c r="C192" s="9">
        <v>21.0</v>
      </c>
      <c r="D192" s="9">
        <v>25.0</v>
      </c>
      <c r="E192" s="9"/>
      <c r="F192" s="9">
        <v>25.0</v>
      </c>
    </row>
    <row r="193">
      <c r="A193" s="9" t="s">
        <v>349</v>
      </c>
      <c r="B193" s="9" t="s">
        <v>78</v>
      </c>
      <c r="C193" s="9">
        <v>22.0</v>
      </c>
      <c r="D193" s="9">
        <v>25.0</v>
      </c>
      <c r="E193" s="9"/>
      <c r="F193" s="9">
        <v>25.0</v>
      </c>
    </row>
    <row r="194">
      <c r="A194" s="9" t="s">
        <v>350</v>
      </c>
      <c r="B194" s="9" t="s">
        <v>241</v>
      </c>
      <c r="C194" s="9">
        <v>1.0</v>
      </c>
      <c r="D194" s="9">
        <v>25.0</v>
      </c>
      <c r="E194" s="9">
        <v>50.0</v>
      </c>
      <c r="F194" s="9">
        <v>75.0</v>
      </c>
    </row>
    <row r="195">
      <c r="A195" s="9" t="s">
        <v>351</v>
      </c>
      <c r="B195" s="9" t="s">
        <v>241</v>
      </c>
      <c r="C195" s="9">
        <v>2.0</v>
      </c>
      <c r="D195" s="9">
        <v>25.0</v>
      </c>
      <c r="E195" s="9"/>
      <c r="F195" s="9">
        <v>25.0</v>
      </c>
    </row>
    <row r="196">
      <c r="A196" s="9" t="s">
        <v>353</v>
      </c>
      <c r="B196" s="9" t="s">
        <v>241</v>
      </c>
      <c r="C196" s="9">
        <v>3.0</v>
      </c>
      <c r="D196" s="9">
        <v>25.0</v>
      </c>
      <c r="E196" s="9"/>
      <c r="F196" s="9">
        <v>25.0</v>
      </c>
    </row>
    <row r="197">
      <c r="A197" s="9" t="s">
        <v>354</v>
      </c>
      <c r="B197" s="9" t="s">
        <v>241</v>
      </c>
      <c r="C197" s="9">
        <v>4.0</v>
      </c>
      <c r="D197" s="9">
        <v>25.0</v>
      </c>
      <c r="E197" s="9">
        <v>50.0</v>
      </c>
      <c r="F197" s="9">
        <v>75.0</v>
      </c>
    </row>
    <row r="198">
      <c r="A198" s="9" t="s">
        <v>355</v>
      </c>
      <c r="B198" s="9" t="s">
        <v>241</v>
      </c>
      <c r="C198" s="9">
        <v>5.0</v>
      </c>
      <c r="D198" s="9">
        <v>25.0</v>
      </c>
      <c r="E198" s="9">
        <v>50.0</v>
      </c>
      <c r="F198" s="9">
        <v>75.0</v>
      </c>
    </row>
    <row r="199">
      <c r="A199" s="9" t="s">
        <v>356</v>
      </c>
      <c r="B199" s="9" t="s">
        <v>241</v>
      </c>
      <c r="C199" s="9">
        <v>6.0</v>
      </c>
      <c r="D199" s="9">
        <v>25.0</v>
      </c>
      <c r="E199" s="9">
        <v>50.0</v>
      </c>
      <c r="F199" s="9">
        <v>75.0</v>
      </c>
    </row>
    <row r="200">
      <c r="A200" s="9" t="s">
        <v>357</v>
      </c>
      <c r="B200" s="9" t="s">
        <v>241</v>
      </c>
      <c r="C200" s="9">
        <v>7.0</v>
      </c>
      <c r="D200" s="9">
        <v>25.0</v>
      </c>
      <c r="E200" s="9"/>
      <c r="F200" s="9">
        <v>25.0</v>
      </c>
    </row>
    <row r="201">
      <c r="A201" s="9" t="s">
        <v>359</v>
      </c>
      <c r="B201" s="9" t="s">
        <v>241</v>
      </c>
      <c r="C201" s="9">
        <v>8.0</v>
      </c>
      <c r="D201" s="9">
        <v>25.0</v>
      </c>
      <c r="E201" s="9">
        <v>50.0</v>
      </c>
      <c r="F201" s="9">
        <v>75.0</v>
      </c>
    </row>
    <row r="202">
      <c r="A202" s="9" t="s">
        <v>361</v>
      </c>
      <c r="B202" s="9" t="s">
        <v>241</v>
      </c>
      <c r="C202" s="9">
        <v>9.0</v>
      </c>
      <c r="D202" s="9">
        <v>25.0</v>
      </c>
      <c r="E202" s="9">
        <v>50.0</v>
      </c>
      <c r="F202" s="9">
        <v>75.0</v>
      </c>
    </row>
    <row r="203">
      <c r="A203" s="9" t="s">
        <v>623</v>
      </c>
      <c r="B203" s="9" t="s">
        <v>241</v>
      </c>
      <c r="C203" s="9">
        <v>10.0</v>
      </c>
      <c r="D203" s="9">
        <v>75.0</v>
      </c>
      <c r="E203" s="9">
        <v>75.0</v>
      </c>
      <c r="F203" s="9">
        <v>75.0</v>
      </c>
    </row>
    <row r="204">
      <c r="A204" s="9" t="s">
        <v>358</v>
      </c>
      <c r="B204" s="9" t="s">
        <v>241</v>
      </c>
      <c r="C204" s="9">
        <v>10.0</v>
      </c>
      <c r="D204" s="9">
        <v>25.0</v>
      </c>
      <c r="E204" s="9">
        <v>45.0</v>
      </c>
      <c r="F204" s="9">
        <v>70.0</v>
      </c>
    </row>
    <row r="205">
      <c r="A205" s="9" t="s">
        <v>362</v>
      </c>
      <c r="B205" s="9" t="s">
        <v>83</v>
      </c>
      <c r="C205" s="9">
        <v>1.0</v>
      </c>
      <c r="D205" s="9">
        <v>25.0</v>
      </c>
      <c r="E205" s="9">
        <v>50.0</v>
      </c>
      <c r="F205" s="9">
        <v>75.0</v>
      </c>
    </row>
    <row r="206">
      <c r="A206" s="9" t="s">
        <v>364</v>
      </c>
      <c r="B206" s="9" t="s">
        <v>83</v>
      </c>
      <c r="C206" s="9">
        <v>2.0</v>
      </c>
      <c r="D206" s="9">
        <v>25.0</v>
      </c>
      <c r="E206" s="9">
        <v>50.0</v>
      </c>
      <c r="F206" s="9">
        <v>75.0</v>
      </c>
    </row>
    <row r="207">
      <c r="A207" s="9" t="s">
        <v>365</v>
      </c>
      <c r="B207" s="9" t="s">
        <v>83</v>
      </c>
      <c r="C207" s="9" t="s">
        <v>261</v>
      </c>
      <c r="D207" s="9">
        <v>25.0</v>
      </c>
      <c r="E207" s="9">
        <v>50.0</v>
      </c>
      <c r="F207" s="9">
        <v>75.0</v>
      </c>
    </row>
    <row r="208">
      <c r="A208" s="9" t="s">
        <v>366</v>
      </c>
      <c r="B208" s="9" t="s">
        <v>83</v>
      </c>
      <c r="C208" s="9">
        <v>4.0</v>
      </c>
      <c r="D208" s="9">
        <v>25.0</v>
      </c>
      <c r="E208" s="9">
        <v>50.0</v>
      </c>
      <c r="F208" s="9">
        <v>75.0</v>
      </c>
    </row>
    <row r="209">
      <c r="A209" s="9" t="s">
        <v>367</v>
      </c>
      <c r="B209" s="9" t="s">
        <v>83</v>
      </c>
      <c r="C209" s="9">
        <v>5.0</v>
      </c>
      <c r="D209" s="9">
        <v>25.0</v>
      </c>
      <c r="E209" s="9">
        <v>50.0</v>
      </c>
      <c r="F209" s="9">
        <v>75.0</v>
      </c>
    </row>
    <row r="210">
      <c r="A210" s="9" t="s">
        <v>368</v>
      </c>
      <c r="B210" s="9" t="s">
        <v>83</v>
      </c>
      <c r="C210" s="9">
        <v>6.0</v>
      </c>
      <c r="D210" s="9">
        <v>25.0</v>
      </c>
      <c r="E210" s="9"/>
      <c r="F210" s="9">
        <v>25.0</v>
      </c>
    </row>
    <row r="211">
      <c r="A211" s="9" t="s">
        <v>369</v>
      </c>
      <c r="B211" s="9" t="s">
        <v>83</v>
      </c>
      <c r="C211" s="9">
        <v>7.0</v>
      </c>
      <c r="D211" s="9">
        <v>25.0</v>
      </c>
      <c r="E211" s="9">
        <v>50.0</v>
      </c>
      <c r="F211" s="9">
        <v>75.0</v>
      </c>
    </row>
    <row r="212">
      <c r="A212" s="9" t="s">
        <v>370</v>
      </c>
      <c r="B212" s="9" t="s">
        <v>83</v>
      </c>
      <c r="C212" s="9">
        <v>8.0</v>
      </c>
      <c r="D212" s="9">
        <v>25.0</v>
      </c>
      <c r="E212" s="9">
        <v>25.0</v>
      </c>
      <c r="F212" s="9">
        <v>50.0</v>
      </c>
    </row>
    <row r="213">
      <c r="A213" s="9" t="s">
        <v>371</v>
      </c>
      <c r="B213" s="9" t="s">
        <v>83</v>
      </c>
      <c r="C213" s="9">
        <v>10.0</v>
      </c>
      <c r="D213" s="9">
        <v>25.0</v>
      </c>
      <c r="E213" s="9">
        <v>25.0</v>
      </c>
      <c r="F213" s="9">
        <v>50.0</v>
      </c>
    </row>
    <row r="214">
      <c r="A214" s="9" t="s">
        <v>372</v>
      </c>
      <c r="B214" s="9" t="s">
        <v>83</v>
      </c>
      <c r="C214" s="9">
        <v>11.0</v>
      </c>
      <c r="D214" s="9">
        <v>25.0</v>
      </c>
      <c r="E214" s="9"/>
      <c r="F214" s="9">
        <v>25.0</v>
      </c>
    </row>
    <row r="215">
      <c r="A215" s="9" t="s">
        <v>373</v>
      </c>
      <c r="B215" s="9" t="s">
        <v>83</v>
      </c>
      <c r="C215" s="9">
        <v>12.0</v>
      </c>
      <c r="D215" s="9">
        <v>25.0</v>
      </c>
      <c r="E215" s="9"/>
      <c r="F215" s="9">
        <v>25.0</v>
      </c>
    </row>
    <row r="216">
      <c r="A216" s="9" t="s">
        <v>374</v>
      </c>
      <c r="B216" s="9" t="s">
        <v>83</v>
      </c>
      <c r="C216" s="9">
        <v>13.0</v>
      </c>
      <c r="D216" s="9">
        <v>25.0</v>
      </c>
      <c r="E216" s="9">
        <v>50.0</v>
      </c>
      <c r="F216" s="9">
        <v>75.0</v>
      </c>
    </row>
    <row r="217">
      <c r="A217" s="9" t="s">
        <v>375</v>
      </c>
      <c r="B217" s="9" t="s">
        <v>83</v>
      </c>
      <c r="C217" s="9">
        <v>17.0</v>
      </c>
      <c r="D217" s="9">
        <v>25.0</v>
      </c>
      <c r="E217" s="9">
        <v>50.0</v>
      </c>
      <c r="F217" s="9">
        <v>75.0</v>
      </c>
    </row>
    <row r="218">
      <c r="A218" s="9" t="s">
        <v>376</v>
      </c>
      <c r="B218" s="9" t="s">
        <v>83</v>
      </c>
      <c r="C218" s="9">
        <v>18.0</v>
      </c>
      <c r="D218" s="9">
        <v>25.0</v>
      </c>
      <c r="E218" s="9">
        <v>50.0</v>
      </c>
      <c r="F218" s="9">
        <v>75.0</v>
      </c>
    </row>
    <row r="219">
      <c r="A219" s="9" t="s">
        <v>377</v>
      </c>
      <c r="B219" s="9" t="s">
        <v>96</v>
      </c>
      <c r="C219" s="9">
        <v>2.0</v>
      </c>
      <c r="D219" s="9">
        <v>25.0</v>
      </c>
      <c r="E219" s="9">
        <v>50.0</v>
      </c>
      <c r="F219" s="9">
        <v>75.0</v>
      </c>
    </row>
    <row r="220">
      <c r="A220" s="9" t="s">
        <v>378</v>
      </c>
      <c r="B220" s="9" t="s">
        <v>96</v>
      </c>
      <c r="C220" s="9">
        <v>3.0</v>
      </c>
      <c r="D220" s="9">
        <v>25.0</v>
      </c>
      <c r="E220" s="9">
        <v>50.0</v>
      </c>
      <c r="F220" s="9">
        <v>75.0</v>
      </c>
    </row>
    <row r="221">
      <c r="A221" s="9" t="s">
        <v>379</v>
      </c>
      <c r="B221" s="9" t="s">
        <v>96</v>
      </c>
      <c r="C221" s="9">
        <v>4.0</v>
      </c>
      <c r="D221" s="9">
        <v>25.0</v>
      </c>
      <c r="E221" s="9"/>
      <c r="F221" s="9">
        <v>25.0</v>
      </c>
    </row>
    <row r="222">
      <c r="A222" s="9" t="s">
        <v>380</v>
      </c>
      <c r="B222" s="9" t="s">
        <v>96</v>
      </c>
      <c r="C222" s="9">
        <v>5.0</v>
      </c>
      <c r="D222" s="9">
        <v>25.0</v>
      </c>
      <c r="E222" s="9">
        <v>50.0</v>
      </c>
      <c r="F222" s="9">
        <v>75.0</v>
      </c>
    </row>
    <row r="223">
      <c r="A223" s="9" t="s">
        <v>381</v>
      </c>
      <c r="B223" s="9" t="s">
        <v>96</v>
      </c>
      <c r="C223" s="9">
        <v>7.0</v>
      </c>
      <c r="D223" s="9">
        <v>25.0</v>
      </c>
      <c r="E223" s="9">
        <v>50.0</v>
      </c>
      <c r="F223" s="9">
        <v>75.0</v>
      </c>
    </row>
    <row r="224">
      <c r="A224" s="9" t="s">
        <v>624</v>
      </c>
      <c r="B224" s="9" t="s">
        <v>96</v>
      </c>
      <c r="C224" s="9">
        <v>8.0</v>
      </c>
      <c r="D224" s="9">
        <v>25.0</v>
      </c>
      <c r="E224" s="9">
        <v>50.0</v>
      </c>
      <c r="F224" s="9">
        <v>75.0</v>
      </c>
    </row>
    <row r="225">
      <c r="A225" s="9" t="s">
        <v>625</v>
      </c>
      <c r="B225" s="9" t="s">
        <v>96</v>
      </c>
      <c r="C225" s="9">
        <v>9.0</v>
      </c>
      <c r="D225" s="9">
        <v>25.0</v>
      </c>
      <c r="E225" s="9">
        <v>50.0</v>
      </c>
      <c r="F225" s="9">
        <v>75.0</v>
      </c>
    </row>
    <row r="226">
      <c r="A226" s="9" t="s">
        <v>384</v>
      </c>
      <c r="B226" s="9" t="s">
        <v>96</v>
      </c>
      <c r="C226" s="9">
        <v>10.0</v>
      </c>
      <c r="D226" s="9">
        <v>25.0</v>
      </c>
      <c r="E226" s="9">
        <v>50.0</v>
      </c>
      <c r="F226" s="9">
        <v>75.0</v>
      </c>
    </row>
    <row r="227">
      <c r="A227" s="9" t="s">
        <v>385</v>
      </c>
      <c r="B227" s="9" t="s">
        <v>96</v>
      </c>
      <c r="C227" s="9">
        <v>14.0</v>
      </c>
      <c r="D227" s="9">
        <v>25.0</v>
      </c>
      <c r="E227" s="9">
        <v>50.0</v>
      </c>
      <c r="F227" s="9">
        <v>75.0</v>
      </c>
    </row>
    <row r="228">
      <c r="A228" s="9" t="s">
        <v>386</v>
      </c>
      <c r="B228" s="9" t="s">
        <v>108</v>
      </c>
      <c r="C228" s="9">
        <v>1.0</v>
      </c>
      <c r="D228" s="9">
        <v>25.0</v>
      </c>
      <c r="E228" s="9">
        <v>50.0</v>
      </c>
      <c r="F228" s="9">
        <v>75.0</v>
      </c>
    </row>
    <row r="229">
      <c r="A229" s="9" t="s">
        <v>387</v>
      </c>
      <c r="B229" s="9" t="s">
        <v>108</v>
      </c>
      <c r="C229" s="9">
        <v>2.0</v>
      </c>
      <c r="D229" s="9">
        <v>25.0</v>
      </c>
      <c r="E229" s="9">
        <v>50.0</v>
      </c>
      <c r="F229" s="9">
        <v>75.0</v>
      </c>
    </row>
    <row r="230">
      <c r="A230" s="9" t="s">
        <v>388</v>
      </c>
      <c r="B230" s="9" t="s">
        <v>108</v>
      </c>
      <c r="C230" s="9">
        <v>3.0</v>
      </c>
      <c r="D230" s="9">
        <v>25.0</v>
      </c>
      <c r="E230" s="9">
        <v>50.0</v>
      </c>
      <c r="F230" s="9">
        <v>75.0</v>
      </c>
    </row>
    <row r="231">
      <c r="A231" s="9" t="s">
        <v>389</v>
      </c>
      <c r="B231" s="9" t="s">
        <v>108</v>
      </c>
      <c r="C231" s="9">
        <v>4.0</v>
      </c>
      <c r="D231" s="9">
        <v>25.0</v>
      </c>
      <c r="E231" s="9">
        <v>50.0</v>
      </c>
      <c r="F231" s="9">
        <v>75.0</v>
      </c>
    </row>
    <row r="232">
      <c r="A232" s="9" t="s">
        <v>390</v>
      </c>
      <c r="B232" s="9" t="s">
        <v>108</v>
      </c>
      <c r="C232" s="9">
        <v>5.0</v>
      </c>
      <c r="D232" s="9">
        <v>25.0</v>
      </c>
      <c r="E232" s="9">
        <v>50.0</v>
      </c>
      <c r="F232" s="9">
        <v>75.0</v>
      </c>
    </row>
    <row r="233">
      <c r="A233" s="9" t="s">
        <v>391</v>
      </c>
      <c r="B233" s="9" t="s">
        <v>108</v>
      </c>
      <c r="C233" s="9">
        <v>6.0</v>
      </c>
      <c r="D233" s="9">
        <v>25.0</v>
      </c>
      <c r="E233" s="9">
        <v>50.0</v>
      </c>
      <c r="F233" s="9">
        <v>75.0</v>
      </c>
    </row>
    <row r="234">
      <c r="A234" s="9" t="s">
        <v>392</v>
      </c>
      <c r="B234" s="9" t="s">
        <v>108</v>
      </c>
      <c r="C234" s="9">
        <v>7.0</v>
      </c>
      <c r="D234" s="9">
        <v>25.0</v>
      </c>
      <c r="E234" s="9">
        <v>50.0</v>
      </c>
      <c r="F234" s="9">
        <v>75.0</v>
      </c>
    </row>
    <row r="235">
      <c r="A235" s="9" t="s">
        <v>393</v>
      </c>
      <c r="B235" s="9" t="s">
        <v>108</v>
      </c>
      <c r="C235" s="9">
        <v>8.0</v>
      </c>
      <c r="D235" s="9">
        <v>25.0</v>
      </c>
      <c r="E235" s="9"/>
      <c r="F235" s="9">
        <v>25.0</v>
      </c>
    </row>
    <row r="236">
      <c r="A236" s="9" t="s">
        <v>394</v>
      </c>
      <c r="B236" s="9" t="s">
        <v>108</v>
      </c>
      <c r="C236" s="9">
        <v>9.0</v>
      </c>
      <c r="D236" s="9">
        <v>25.0</v>
      </c>
      <c r="E236" s="9">
        <v>50.0</v>
      </c>
      <c r="F236" s="9">
        <v>75.0</v>
      </c>
    </row>
    <row r="237">
      <c r="A237" s="9" t="s">
        <v>395</v>
      </c>
      <c r="B237" s="9" t="s">
        <v>108</v>
      </c>
      <c r="C237" s="9">
        <v>10.0</v>
      </c>
      <c r="D237" s="9">
        <v>25.0</v>
      </c>
      <c r="E237" s="9">
        <v>50.0</v>
      </c>
      <c r="F237" s="9">
        <v>75.0</v>
      </c>
    </row>
    <row r="238">
      <c r="A238" s="9" t="s">
        <v>396</v>
      </c>
      <c r="B238" s="9" t="s">
        <v>108</v>
      </c>
      <c r="C238" s="9">
        <v>11.0</v>
      </c>
      <c r="D238" s="9">
        <v>25.0</v>
      </c>
      <c r="E238" s="9">
        <v>50.0</v>
      </c>
      <c r="F238" s="9">
        <v>75.0</v>
      </c>
    </row>
    <row r="239">
      <c r="A239" s="9" t="s">
        <v>397</v>
      </c>
      <c r="B239" s="9" t="s">
        <v>108</v>
      </c>
      <c r="C239" s="9">
        <v>12.0</v>
      </c>
      <c r="D239" s="9">
        <v>25.0</v>
      </c>
      <c r="E239" s="9">
        <v>20.0</v>
      </c>
      <c r="F239" s="9">
        <v>45.0</v>
      </c>
    </row>
    <row r="240">
      <c r="A240" s="9" t="s">
        <v>398</v>
      </c>
      <c r="B240" s="9" t="s">
        <v>108</v>
      </c>
      <c r="C240" s="9">
        <v>13.0</v>
      </c>
      <c r="D240" s="9">
        <v>25.0</v>
      </c>
      <c r="E240" s="9"/>
      <c r="F240" s="9">
        <v>25.0</v>
      </c>
    </row>
    <row r="241">
      <c r="A241" s="9" t="s">
        <v>399</v>
      </c>
      <c r="B241" s="9" t="s">
        <v>108</v>
      </c>
      <c r="C241" s="9">
        <v>14.0</v>
      </c>
      <c r="D241" s="9">
        <v>25.0</v>
      </c>
      <c r="E241" s="9">
        <v>50.0</v>
      </c>
      <c r="F241" s="9">
        <v>75.0</v>
      </c>
    </row>
    <row r="242">
      <c r="A242" s="9" t="s">
        <v>400</v>
      </c>
      <c r="B242" s="9" t="s">
        <v>108</v>
      </c>
      <c r="C242" s="9">
        <v>16.0</v>
      </c>
      <c r="D242" s="9">
        <v>25.0</v>
      </c>
      <c r="E242" s="9">
        <v>50.0</v>
      </c>
      <c r="F242" s="9">
        <v>75.0</v>
      </c>
    </row>
    <row r="243">
      <c r="A243" s="9" t="s">
        <v>401</v>
      </c>
      <c r="B243" s="9" t="s">
        <v>108</v>
      </c>
      <c r="C243" s="9">
        <v>17.0</v>
      </c>
      <c r="D243" s="9">
        <v>25.0</v>
      </c>
      <c r="E243" s="9">
        <v>50.0</v>
      </c>
      <c r="F243" s="9">
        <v>75.0</v>
      </c>
    </row>
    <row r="244">
      <c r="A244" s="9" t="s">
        <v>402</v>
      </c>
      <c r="B244" s="9" t="s">
        <v>108</v>
      </c>
      <c r="C244" s="9">
        <v>18.0</v>
      </c>
      <c r="D244" s="9">
        <v>25.0</v>
      </c>
      <c r="E244" s="9">
        <v>50.0</v>
      </c>
      <c r="F244" s="9">
        <v>75.0</v>
      </c>
    </row>
    <row r="245">
      <c r="A245" s="9" t="s">
        <v>403</v>
      </c>
      <c r="B245" s="9" t="s">
        <v>111</v>
      </c>
      <c r="C245" s="9">
        <v>1.0</v>
      </c>
      <c r="D245" s="9">
        <v>25.0</v>
      </c>
      <c r="E245" s="9"/>
      <c r="F245" s="9">
        <v>25.0</v>
      </c>
    </row>
    <row r="246">
      <c r="A246" s="9" t="s">
        <v>404</v>
      </c>
      <c r="B246" s="9" t="s">
        <v>111</v>
      </c>
      <c r="C246" s="9">
        <v>2.0</v>
      </c>
      <c r="D246" s="9">
        <v>25.0</v>
      </c>
      <c r="E246" s="9">
        <v>50.0</v>
      </c>
      <c r="F246" s="9">
        <v>75.0</v>
      </c>
    </row>
    <row r="247">
      <c r="A247" s="9" t="s">
        <v>405</v>
      </c>
      <c r="B247" s="9" t="s">
        <v>111</v>
      </c>
      <c r="C247" s="9">
        <v>3.0</v>
      </c>
      <c r="D247" s="9">
        <v>25.0</v>
      </c>
      <c r="E247" s="9">
        <v>50.0</v>
      </c>
      <c r="F247" s="9">
        <v>75.0</v>
      </c>
    </row>
    <row r="248">
      <c r="A248" s="9" t="s">
        <v>406</v>
      </c>
      <c r="B248" s="9" t="s">
        <v>111</v>
      </c>
      <c r="C248" s="9">
        <v>5.0</v>
      </c>
      <c r="D248" s="9">
        <v>25.0</v>
      </c>
      <c r="E248" s="9"/>
      <c r="F248" s="9">
        <v>25.0</v>
      </c>
    </row>
    <row r="249">
      <c r="A249" s="9" t="s">
        <v>407</v>
      </c>
      <c r="B249" s="9" t="s">
        <v>111</v>
      </c>
      <c r="C249" s="9">
        <v>6.0</v>
      </c>
      <c r="D249" s="9">
        <v>25.0</v>
      </c>
      <c r="E249" s="9"/>
      <c r="F249" s="9">
        <v>25.0</v>
      </c>
    </row>
    <row r="250">
      <c r="A250" s="9" t="s">
        <v>408</v>
      </c>
      <c r="B250" s="9" t="s">
        <v>111</v>
      </c>
      <c r="C250" s="9">
        <v>7.0</v>
      </c>
      <c r="D250" s="9">
        <v>25.0</v>
      </c>
      <c r="E250" s="9">
        <v>50.0</v>
      </c>
      <c r="F250" s="9">
        <v>75.0</v>
      </c>
    </row>
    <row r="251">
      <c r="A251" s="9" t="s">
        <v>409</v>
      </c>
      <c r="B251" s="9" t="s">
        <v>111</v>
      </c>
      <c r="C251" s="9">
        <v>8.0</v>
      </c>
      <c r="D251" s="9">
        <v>25.0</v>
      </c>
      <c r="E251" s="9">
        <v>50.0</v>
      </c>
      <c r="F251" s="9">
        <v>75.0</v>
      </c>
    </row>
    <row r="252">
      <c r="A252" s="9" t="s">
        <v>410</v>
      </c>
      <c r="B252" s="9" t="s">
        <v>111</v>
      </c>
      <c r="C252" s="9">
        <v>9.0</v>
      </c>
      <c r="D252" s="9">
        <v>25.0</v>
      </c>
      <c r="E252" s="9"/>
      <c r="F252" s="9">
        <v>25.0</v>
      </c>
    </row>
    <row r="253">
      <c r="A253" s="9" t="s">
        <v>626</v>
      </c>
      <c r="B253" s="9" t="s">
        <v>111</v>
      </c>
      <c r="C253" s="9">
        <v>11.0</v>
      </c>
      <c r="D253" s="9">
        <v>25.0</v>
      </c>
      <c r="E253" s="9">
        <v>50.0</v>
      </c>
      <c r="F253" s="9">
        <v>75.0</v>
      </c>
    </row>
    <row r="254">
      <c r="A254" s="9" t="s">
        <v>412</v>
      </c>
      <c r="B254" s="9" t="s">
        <v>111</v>
      </c>
      <c r="C254" s="9">
        <v>12.0</v>
      </c>
      <c r="D254" s="9">
        <v>25.0</v>
      </c>
      <c r="E254" s="9">
        <v>50.0</v>
      </c>
      <c r="F254" s="9">
        <v>75.0</v>
      </c>
    </row>
    <row r="255">
      <c r="A255" s="9" t="s">
        <v>627</v>
      </c>
      <c r="B255" s="9" t="s">
        <v>111</v>
      </c>
      <c r="C255" s="9">
        <v>13.0</v>
      </c>
      <c r="D255" s="9">
        <v>25.0</v>
      </c>
      <c r="E255" s="9">
        <v>50.0</v>
      </c>
      <c r="F255" s="9">
        <v>75.0</v>
      </c>
    </row>
    <row r="256">
      <c r="A256" s="9" t="s">
        <v>414</v>
      </c>
      <c r="B256" s="9" t="s">
        <v>111</v>
      </c>
      <c r="C256" s="9">
        <v>14.0</v>
      </c>
      <c r="D256" s="9">
        <v>25.0</v>
      </c>
      <c r="E256" s="9">
        <v>50.0</v>
      </c>
      <c r="F256" s="9">
        <v>75.0</v>
      </c>
    </row>
    <row r="257">
      <c r="A257" s="9" t="s">
        <v>415</v>
      </c>
      <c r="B257" s="9" t="s">
        <v>111</v>
      </c>
      <c r="C257" s="9">
        <v>15.0</v>
      </c>
      <c r="D257" s="9">
        <v>25.0</v>
      </c>
      <c r="E257" s="9">
        <v>50.0</v>
      </c>
      <c r="F257" s="9">
        <v>75.0</v>
      </c>
    </row>
    <row r="258">
      <c r="A258" s="9" t="s">
        <v>416</v>
      </c>
      <c r="B258" s="9" t="s">
        <v>111</v>
      </c>
      <c r="C258" s="9">
        <v>16.0</v>
      </c>
      <c r="D258" s="9">
        <v>25.0</v>
      </c>
      <c r="E258" s="9"/>
      <c r="F258" s="9">
        <v>25.0</v>
      </c>
    </row>
    <row r="259">
      <c r="A259" s="9" t="s">
        <v>417</v>
      </c>
      <c r="B259" s="9" t="s">
        <v>116</v>
      </c>
      <c r="C259" s="9">
        <v>1.0</v>
      </c>
      <c r="D259" s="9">
        <v>25.0</v>
      </c>
      <c r="E259" s="9">
        <v>50.0</v>
      </c>
      <c r="F259" s="9">
        <v>75.0</v>
      </c>
    </row>
    <row r="260">
      <c r="A260" s="9" t="s">
        <v>418</v>
      </c>
      <c r="B260" s="9" t="s">
        <v>116</v>
      </c>
      <c r="C260" s="9">
        <v>2.0</v>
      </c>
      <c r="D260" s="9">
        <v>25.0</v>
      </c>
      <c r="E260" s="9">
        <v>50.0</v>
      </c>
      <c r="F260" s="9">
        <v>75.0</v>
      </c>
    </row>
    <row r="261">
      <c r="A261" s="9" t="s">
        <v>628</v>
      </c>
      <c r="B261" s="9" t="s">
        <v>116</v>
      </c>
      <c r="C261" s="9">
        <v>3.0</v>
      </c>
      <c r="D261" s="9">
        <v>25.0</v>
      </c>
      <c r="E261" s="9"/>
      <c r="F261" s="9">
        <v>25.0</v>
      </c>
    </row>
    <row r="262">
      <c r="A262" s="9" t="s">
        <v>420</v>
      </c>
      <c r="B262" s="9" t="s">
        <v>116</v>
      </c>
      <c r="C262" s="9">
        <v>4.0</v>
      </c>
      <c r="D262" s="9">
        <v>25.0</v>
      </c>
      <c r="E262" s="9">
        <v>50.0</v>
      </c>
      <c r="F262" s="9">
        <v>75.0</v>
      </c>
    </row>
    <row r="263">
      <c r="A263" s="9" t="s">
        <v>629</v>
      </c>
      <c r="B263" s="9" t="s">
        <v>116</v>
      </c>
      <c r="C263" s="9">
        <v>5.0</v>
      </c>
      <c r="D263" s="9">
        <v>25.0</v>
      </c>
      <c r="E263" s="9"/>
      <c r="F263" s="9">
        <v>25.0</v>
      </c>
    </row>
    <row r="264">
      <c r="A264" s="9" t="s">
        <v>422</v>
      </c>
      <c r="B264" s="9" t="s">
        <v>116</v>
      </c>
      <c r="C264" s="9">
        <v>6.0</v>
      </c>
      <c r="D264" s="9">
        <v>25.0</v>
      </c>
      <c r="E264" s="9">
        <v>50.0</v>
      </c>
      <c r="F264" s="9">
        <v>75.0</v>
      </c>
    </row>
    <row r="265">
      <c r="A265" s="9" t="s">
        <v>423</v>
      </c>
      <c r="B265" s="9" t="s">
        <v>116</v>
      </c>
      <c r="C265" s="9">
        <v>7.0</v>
      </c>
      <c r="D265" s="9">
        <v>25.0</v>
      </c>
      <c r="E265" s="9">
        <v>50.0</v>
      </c>
      <c r="F265" s="9">
        <v>75.0</v>
      </c>
    </row>
    <row r="266">
      <c r="A266" s="9" t="s">
        <v>424</v>
      </c>
      <c r="B266" s="9" t="s">
        <v>116</v>
      </c>
      <c r="C266" s="9">
        <v>8.0</v>
      </c>
      <c r="D266" s="9">
        <v>25.0</v>
      </c>
      <c r="E266" s="9">
        <v>50.0</v>
      </c>
      <c r="F266" s="9">
        <v>75.0</v>
      </c>
    </row>
    <row r="267">
      <c r="A267" s="9" t="s">
        <v>425</v>
      </c>
      <c r="B267" s="9" t="s">
        <v>116</v>
      </c>
      <c r="C267" s="9">
        <v>10.0</v>
      </c>
      <c r="D267" s="9">
        <v>25.0</v>
      </c>
      <c r="E267" s="9"/>
      <c r="F267" s="9">
        <v>25.0</v>
      </c>
    </row>
    <row r="268">
      <c r="A268" s="9" t="s">
        <v>426</v>
      </c>
      <c r="B268" s="9" t="s">
        <v>116</v>
      </c>
      <c r="C268" s="9">
        <v>11.0</v>
      </c>
      <c r="D268" s="9">
        <v>25.0</v>
      </c>
      <c r="E268" s="9">
        <v>50.0</v>
      </c>
      <c r="F268" s="9">
        <v>75.0</v>
      </c>
    </row>
    <row r="269">
      <c r="A269" s="9" t="s">
        <v>427</v>
      </c>
      <c r="B269" s="9" t="s">
        <v>116</v>
      </c>
      <c r="C269" s="9">
        <v>12.0</v>
      </c>
      <c r="D269" s="9">
        <v>25.0</v>
      </c>
      <c r="E269" s="9">
        <v>50.0</v>
      </c>
      <c r="F269" s="9">
        <v>75.0</v>
      </c>
    </row>
    <row r="270">
      <c r="A270" s="9" t="s">
        <v>428</v>
      </c>
      <c r="B270" s="9" t="s">
        <v>116</v>
      </c>
      <c r="C270" s="9">
        <v>14.0</v>
      </c>
      <c r="D270" s="9">
        <v>25.0</v>
      </c>
      <c r="E270" s="9">
        <v>50.0</v>
      </c>
      <c r="F270" s="9">
        <v>75.0</v>
      </c>
    </row>
    <row r="271">
      <c r="A271" s="9" t="s">
        <v>429</v>
      </c>
      <c r="B271" s="9" t="s">
        <v>116</v>
      </c>
      <c r="C271" s="9">
        <v>15.0</v>
      </c>
      <c r="D271" s="9">
        <v>25.0</v>
      </c>
      <c r="E271" s="9">
        <v>50.0</v>
      </c>
      <c r="F271" s="9">
        <v>75.0</v>
      </c>
    </row>
    <row r="272">
      <c r="A272" s="9" t="s">
        <v>430</v>
      </c>
      <c r="B272" s="9" t="s">
        <v>116</v>
      </c>
      <c r="C272" s="9">
        <v>17.0</v>
      </c>
      <c r="D272" s="9">
        <v>25.0</v>
      </c>
      <c r="E272" s="9">
        <v>50.0</v>
      </c>
      <c r="F272" s="9">
        <v>75.0</v>
      </c>
    </row>
    <row r="273">
      <c r="A273" s="9" t="s">
        <v>431</v>
      </c>
      <c r="B273" s="9" t="s">
        <v>116</v>
      </c>
      <c r="C273" s="9">
        <v>18.0</v>
      </c>
      <c r="D273" s="9">
        <v>25.0</v>
      </c>
      <c r="E273" s="9">
        <v>50.0</v>
      </c>
      <c r="F273" s="9">
        <v>75.0</v>
      </c>
    </row>
    <row r="274">
      <c r="A274" s="9" t="s">
        <v>432</v>
      </c>
      <c r="B274" s="9" t="s">
        <v>116</v>
      </c>
      <c r="C274" s="9">
        <v>20.0</v>
      </c>
      <c r="D274" s="9">
        <v>25.0</v>
      </c>
      <c r="E274" s="9">
        <v>50.0</v>
      </c>
      <c r="F274" s="9">
        <v>75.0</v>
      </c>
    </row>
    <row r="275">
      <c r="A275" s="9" t="s">
        <v>433</v>
      </c>
      <c r="B275" s="9" t="s">
        <v>116</v>
      </c>
      <c r="C275" s="9">
        <v>21.0</v>
      </c>
      <c r="D275" s="9">
        <v>25.0</v>
      </c>
      <c r="E275" s="9">
        <v>50.0</v>
      </c>
      <c r="F275" s="9">
        <v>75.0</v>
      </c>
    </row>
    <row r="276">
      <c r="A276" s="9" t="s">
        <v>434</v>
      </c>
      <c r="B276" s="9" t="s">
        <v>116</v>
      </c>
      <c r="C276" s="9">
        <v>22.0</v>
      </c>
      <c r="D276" s="9">
        <v>25.0</v>
      </c>
      <c r="E276" s="9">
        <v>50.0</v>
      </c>
      <c r="F276" s="9">
        <v>75.0</v>
      </c>
    </row>
    <row r="277">
      <c r="A277" s="9" t="s">
        <v>435</v>
      </c>
      <c r="B277" s="9" t="s">
        <v>126</v>
      </c>
      <c r="C277" s="9">
        <v>1.0</v>
      </c>
      <c r="D277" s="9">
        <v>25.0</v>
      </c>
      <c r="E277" s="9"/>
      <c r="F277" s="9">
        <v>25.0</v>
      </c>
    </row>
    <row r="278">
      <c r="A278" s="9" t="s">
        <v>436</v>
      </c>
      <c r="B278" s="9" t="s">
        <v>126</v>
      </c>
      <c r="C278" s="9">
        <v>2.0</v>
      </c>
      <c r="D278" s="9">
        <v>25.0</v>
      </c>
      <c r="E278" s="9">
        <v>50.0</v>
      </c>
      <c r="F278" s="9">
        <v>75.0</v>
      </c>
    </row>
    <row r="279">
      <c r="A279" s="9" t="s">
        <v>437</v>
      </c>
      <c r="B279" s="9" t="s">
        <v>126</v>
      </c>
      <c r="C279" s="9">
        <v>4.0</v>
      </c>
      <c r="D279" s="9">
        <v>25.0</v>
      </c>
      <c r="E279" s="9"/>
      <c r="F279" s="9">
        <v>25.0</v>
      </c>
    </row>
    <row r="280">
      <c r="A280" s="9" t="s">
        <v>385</v>
      </c>
      <c r="B280" s="9" t="s">
        <v>126</v>
      </c>
      <c r="C280" s="9">
        <v>5.0</v>
      </c>
      <c r="D280" s="9">
        <v>25.0</v>
      </c>
      <c r="E280" s="9">
        <v>50.0</v>
      </c>
      <c r="F280" s="9">
        <v>75.0</v>
      </c>
    </row>
    <row r="281">
      <c r="A281" s="9" t="s">
        <v>438</v>
      </c>
      <c r="B281" s="9" t="s">
        <v>126</v>
      </c>
      <c r="C281" s="9">
        <v>6.0</v>
      </c>
      <c r="D281" s="9">
        <v>25.0</v>
      </c>
      <c r="E281" s="9"/>
      <c r="F281" s="9">
        <v>25.0</v>
      </c>
    </row>
    <row r="282">
      <c r="A282" s="9" t="s">
        <v>630</v>
      </c>
      <c r="B282" s="9" t="s">
        <v>129</v>
      </c>
      <c r="C282" s="9">
        <v>1.0</v>
      </c>
      <c r="D282" s="9">
        <v>25.0</v>
      </c>
      <c r="E282" s="9">
        <v>40.0</v>
      </c>
      <c r="F282" s="9">
        <v>65.0</v>
      </c>
    </row>
    <row r="283">
      <c r="A283" s="9" t="s">
        <v>440</v>
      </c>
      <c r="B283" s="9" t="s">
        <v>129</v>
      </c>
      <c r="C283" s="9">
        <v>2.0</v>
      </c>
      <c r="D283" s="9">
        <v>25.0</v>
      </c>
      <c r="E283" s="9">
        <v>50.0</v>
      </c>
      <c r="F283" s="9">
        <v>75.0</v>
      </c>
    </row>
    <row r="284">
      <c r="A284" s="9" t="s">
        <v>441</v>
      </c>
      <c r="B284" s="9" t="s">
        <v>129</v>
      </c>
      <c r="C284" s="9">
        <v>3.0</v>
      </c>
      <c r="D284" s="9">
        <v>25.0</v>
      </c>
      <c r="E284" s="9">
        <v>50.0</v>
      </c>
      <c r="F284" s="9">
        <v>75.0</v>
      </c>
    </row>
    <row r="285">
      <c r="A285" s="9" t="s">
        <v>442</v>
      </c>
      <c r="B285" s="9" t="s">
        <v>129</v>
      </c>
      <c r="C285" s="9">
        <v>4.0</v>
      </c>
      <c r="D285" s="9">
        <v>25.0</v>
      </c>
      <c r="E285" s="9">
        <v>50.0</v>
      </c>
      <c r="F285" s="9">
        <v>75.0</v>
      </c>
    </row>
    <row r="286">
      <c r="A286" s="9" t="s">
        <v>443</v>
      </c>
      <c r="B286" s="9" t="s">
        <v>129</v>
      </c>
      <c r="C286" s="9">
        <v>5.0</v>
      </c>
      <c r="D286" s="9">
        <v>25.0</v>
      </c>
      <c r="E286" s="9">
        <v>50.0</v>
      </c>
      <c r="F286" s="9">
        <v>75.0</v>
      </c>
    </row>
    <row r="287">
      <c r="A287" s="9" t="s">
        <v>444</v>
      </c>
      <c r="B287" s="9" t="s">
        <v>129</v>
      </c>
      <c r="C287" s="9">
        <v>6.0</v>
      </c>
      <c r="D287" s="9">
        <v>25.0</v>
      </c>
      <c r="E287" s="9"/>
      <c r="F287" s="9">
        <v>25.0</v>
      </c>
    </row>
    <row r="288">
      <c r="A288" s="9" t="s">
        <v>631</v>
      </c>
      <c r="B288" s="9" t="s">
        <v>129</v>
      </c>
      <c r="C288" s="9">
        <v>8.0</v>
      </c>
      <c r="D288" s="9">
        <v>25.0</v>
      </c>
      <c r="E288" s="9"/>
      <c r="F288" s="9">
        <v>25.0</v>
      </c>
    </row>
    <row r="289">
      <c r="A289" s="9" t="s">
        <v>446</v>
      </c>
      <c r="B289" s="9" t="s">
        <v>129</v>
      </c>
      <c r="C289" s="9">
        <v>9.0</v>
      </c>
      <c r="D289" s="9">
        <v>25.0</v>
      </c>
      <c r="E289" s="9">
        <v>50.0</v>
      </c>
      <c r="F289" s="9">
        <v>75.0</v>
      </c>
    </row>
    <row r="290">
      <c r="A290" s="9" t="s">
        <v>447</v>
      </c>
      <c r="B290" s="9" t="s">
        <v>129</v>
      </c>
      <c r="C290" s="9">
        <v>10.0</v>
      </c>
      <c r="D290" s="9">
        <v>25.0</v>
      </c>
      <c r="E290" s="9">
        <v>50.0</v>
      </c>
      <c r="F290" s="9">
        <v>75.0</v>
      </c>
    </row>
    <row r="291">
      <c r="A291" s="9" t="s">
        <v>448</v>
      </c>
      <c r="B291" s="9" t="s">
        <v>129</v>
      </c>
      <c r="C291" s="9">
        <v>11.0</v>
      </c>
      <c r="D291" s="9">
        <v>25.0</v>
      </c>
      <c r="E291" s="9">
        <v>50.0</v>
      </c>
      <c r="F291" s="9">
        <v>75.0</v>
      </c>
    </row>
    <row r="292">
      <c r="A292" s="9" t="s">
        <v>449</v>
      </c>
      <c r="B292" s="9" t="s">
        <v>129</v>
      </c>
      <c r="C292" s="9">
        <v>12.0</v>
      </c>
      <c r="D292" s="9">
        <v>25.0</v>
      </c>
      <c r="E292" s="9"/>
      <c r="F292" s="9">
        <v>25.0</v>
      </c>
    </row>
    <row r="293">
      <c r="A293" s="9" t="s">
        <v>450</v>
      </c>
      <c r="B293" s="9" t="s">
        <v>129</v>
      </c>
      <c r="C293" s="9">
        <v>13.0</v>
      </c>
      <c r="D293" s="9">
        <v>25.0</v>
      </c>
      <c r="E293" s="9">
        <v>50.0</v>
      </c>
      <c r="F293" s="9">
        <v>75.0</v>
      </c>
    </row>
    <row r="294">
      <c r="A294" s="9" t="s">
        <v>451</v>
      </c>
      <c r="B294" s="9" t="s">
        <v>129</v>
      </c>
      <c r="C294" s="9">
        <v>14.0</v>
      </c>
      <c r="D294" s="9">
        <v>25.0</v>
      </c>
      <c r="E294" s="9">
        <v>50.0</v>
      </c>
      <c r="F294" s="9">
        <v>75.0</v>
      </c>
    </row>
    <row r="295">
      <c r="A295" s="9" t="s">
        <v>452</v>
      </c>
      <c r="B295" s="9" t="s">
        <v>129</v>
      </c>
      <c r="C295" s="9">
        <v>15.0</v>
      </c>
      <c r="D295" s="9">
        <v>25.0</v>
      </c>
      <c r="E295" s="9">
        <v>50.0</v>
      </c>
      <c r="F295" s="9">
        <v>75.0</v>
      </c>
    </row>
    <row r="296">
      <c r="A296" s="9" t="s">
        <v>632</v>
      </c>
      <c r="B296" s="9" t="s">
        <v>129</v>
      </c>
      <c r="C296" s="9">
        <v>16.0</v>
      </c>
      <c r="D296" s="9">
        <v>25.0</v>
      </c>
      <c r="E296" s="9">
        <v>50.0</v>
      </c>
      <c r="F296" s="9">
        <v>75.0</v>
      </c>
    </row>
    <row r="297">
      <c r="A297" s="9" t="s">
        <v>454</v>
      </c>
      <c r="B297" s="9" t="s">
        <v>129</v>
      </c>
      <c r="C297" s="9">
        <v>17.0</v>
      </c>
      <c r="D297" s="9">
        <v>25.0</v>
      </c>
      <c r="E297" s="9">
        <v>50.0</v>
      </c>
      <c r="F297" s="9">
        <v>75.0</v>
      </c>
    </row>
    <row r="298">
      <c r="A298" s="9" t="s">
        <v>455</v>
      </c>
      <c r="B298" s="9" t="s">
        <v>129</v>
      </c>
      <c r="C298" s="9">
        <v>18.0</v>
      </c>
      <c r="D298" s="9">
        <v>25.0</v>
      </c>
      <c r="E298" s="9">
        <v>50.0</v>
      </c>
      <c r="F298" s="9">
        <v>75.0</v>
      </c>
    </row>
    <row r="299">
      <c r="A299" s="9" t="s">
        <v>456</v>
      </c>
      <c r="B299" s="9" t="s">
        <v>129</v>
      </c>
      <c r="C299" s="9">
        <v>19.0</v>
      </c>
      <c r="D299" s="9">
        <v>25.0</v>
      </c>
      <c r="E299" s="9"/>
      <c r="F299" s="9">
        <v>25.0</v>
      </c>
    </row>
    <row r="300">
      <c r="A300" s="9" t="s">
        <v>457</v>
      </c>
      <c r="B300" s="9" t="s">
        <v>129</v>
      </c>
      <c r="C300" s="9">
        <v>20.0</v>
      </c>
      <c r="D300" s="9">
        <v>25.0</v>
      </c>
      <c r="E300" s="9">
        <v>50.0</v>
      </c>
      <c r="F300" s="9">
        <v>75.0</v>
      </c>
    </row>
    <row r="301">
      <c r="A301" s="9" t="s">
        <v>458</v>
      </c>
      <c r="B301" s="9" t="s">
        <v>129</v>
      </c>
      <c r="C301" s="9">
        <v>21.0</v>
      </c>
      <c r="D301" s="9">
        <v>25.0</v>
      </c>
      <c r="E301" s="9"/>
      <c r="F301" s="9">
        <v>25.0</v>
      </c>
    </row>
    <row r="302">
      <c r="A302" s="9" t="s">
        <v>459</v>
      </c>
      <c r="B302" s="9" t="s">
        <v>129</v>
      </c>
      <c r="C302" s="9">
        <v>22.0</v>
      </c>
      <c r="D302" s="9">
        <v>25.0</v>
      </c>
      <c r="E302" s="9">
        <v>50.0</v>
      </c>
      <c r="F302" s="9">
        <v>75.0</v>
      </c>
    </row>
    <row r="303">
      <c r="A303" s="9" t="s">
        <v>460</v>
      </c>
      <c r="B303" s="9" t="s">
        <v>129</v>
      </c>
      <c r="C303" s="9">
        <v>23.0</v>
      </c>
      <c r="D303" s="9">
        <v>25.0</v>
      </c>
      <c r="E303" s="9">
        <v>50.0</v>
      </c>
      <c r="F303" s="9">
        <v>75.0</v>
      </c>
    </row>
    <row r="304">
      <c r="A304" s="9" t="s">
        <v>633</v>
      </c>
      <c r="B304" s="9" t="s">
        <v>129</v>
      </c>
      <c r="C304" s="9">
        <v>24.0</v>
      </c>
      <c r="D304" s="9">
        <v>25.0</v>
      </c>
      <c r="E304" s="9">
        <v>50.0</v>
      </c>
      <c r="F304" s="9">
        <v>75.0</v>
      </c>
    </row>
    <row r="305">
      <c r="A305" s="9" t="s">
        <v>462</v>
      </c>
      <c r="B305" s="9" t="s">
        <v>129</v>
      </c>
      <c r="C305" s="9">
        <v>25.0</v>
      </c>
      <c r="D305" s="9">
        <v>25.0</v>
      </c>
      <c r="E305" s="9">
        <v>50.0</v>
      </c>
      <c r="F305" s="9">
        <v>75.0</v>
      </c>
    </row>
    <row r="306">
      <c r="A306" s="9" t="s">
        <v>463</v>
      </c>
      <c r="B306" s="9" t="s">
        <v>129</v>
      </c>
      <c r="C306" s="9">
        <v>26.0</v>
      </c>
      <c r="D306" s="9">
        <v>25.0</v>
      </c>
      <c r="E306" s="9">
        <v>50.0</v>
      </c>
      <c r="F306" s="9">
        <v>75.0</v>
      </c>
    </row>
    <row r="307">
      <c r="A307" s="9" t="s">
        <v>464</v>
      </c>
      <c r="B307" s="9" t="s">
        <v>129</v>
      </c>
      <c r="C307" s="9">
        <v>27.0</v>
      </c>
      <c r="D307" s="9">
        <v>25.0</v>
      </c>
      <c r="E307" s="9"/>
      <c r="F307" s="9">
        <v>25.0</v>
      </c>
    </row>
    <row r="308">
      <c r="A308" s="9" t="s">
        <v>465</v>
      </c>
      <c r="B308" s="9" t="s">
        <v>129</v>
      </c>
      <c r="C308" s="9" t="s">
        <v>466</v>
      </c>
      <c r="D308" s="9">
        <v>25.0</v>
      </c>
      <c r="E308" s="9"/>
      <c r="F308" s="9">
        <v>25.0</v>
      </c>
    </row>
    <row r="309">
      <c r="A309" s="9" t="s">
        <v>634</v>
      </c>
      <c r="B309" s="9" t="s">
        <v>129</v>
      </c>
      <c r="C309" s="9">
        <v>28.0</v>
      </c>
      <c r="D309" s="9">
        <v>25.0</v>
      </c>
      <c r="E309" s="9">
        <v>50.0</v>
      </c>
      <c r="F309" s="9">
        <v>75.0</v>
      </c>
    </row>
    <row r="310">
      <c r="A310" s="9" t="s">
        <v>468</v>
      </c>
      <c r="B310" s="9" t="s">
        <v>132</v>
      </c>
      <c r="C310" s="9">
        <v>1.0</v>
      </c>
      <c r="D310" s="9">
        <v>25.0</v>
      </c>
      <c r="E310" s="9">
        <v>50.0</v>
      </c>
      <c r="F310" s="9">
        <v>75.0</v>
      </c>
    </row>
    <row r="311">
      <c r="A311" s="9" t="s">
        <v>469</v>
      </c>
      <c r="B311" s="9" t="s">
        <v>132</v>
      </c>
      <c r="C311" s="9">
        <v>2.0</v>
      </c>
      <c r="D311" s="9">
        <v>25.0</v>
      </c>
      <c r="E311" s="9">
        <v>50.0</v>
      </c>
      <c r="F311" s="9">
        <v>75.0</v>
      </c>
    </row>
    <row r="312">
      <c r="A312" s="9" t="s">
        <v>470</v>
      </c>
      <c r="B312" s="9" t="s">
        <v>132</v>
      </c>
      <c r="C312" s="9">
        <v>3.0</v>
      </c>
      <c r="D312" s="9">
        <v>25.0</v>
      </c>
      <c r="E312" s="9">
        <v>50.0</v>
      </c>
      <c r="F312" s="9">
        <v>75.0</v>
      </c>
    </row>
    <row r="313">
      <c r="A313" s="9" t="s">
        <v>471</v>
      </c>
      <c r="B313" s="9" t="s">
        <v>132</v>
      </c>
      <c r="C313" s="9">
        <v>4.0</v>
      </c>
      <c r="D313" s="9">
        <v>25.0</v>
      </c>
      <c r="E313" s="9">
        <v>50.0</v>
      </c>
      <c r="F313" s="9">
        <v>75.0</v>
      </c>
    </row>
    <row r="314">
      <c r="A314" s="9" t="s">
        <v>635</v>
      </c>
      <c r="B314" s="9" t="s">
        <v>132</v>
      </c>
      <c r="C314" s="9">
        <v>5.0</v>
      </c>
      <c r="D314" s="9">
        <v>25.0</v>
      </c>
      <c r="E314" s="9">
        <v>50.0</v>
      </c>
      <c r="F314" s="9">
        <v>75.0</v>
      </c>
    </row>
    <row r="315">
      <c r="A315" s="9" t="s">
        <v>473</v>
      </c>
      <c r="B315" s="9" t="s">
        <v>132</v>
      </c>
      <c r="C315" s="9">
        <v>7.0</v>
      </c>
      <c r="D315" s="9">
        <v>25.0</v>
      </c>
      <c r="E315" s="9">
        <v>50.0</v>
      </c>
      <c r="F315" s="9">
        <v>75.0</v>
      </c>
    </row>
    <row r="316">
      <c r="A316" s="9" t="s">
        <v>636</v>
      </c>
      <c r="B316" s="9" t="s">
        <v>132</v>
      </c>
      <c r="C316" s="9">
        <v>10.0</v>
      </c>
      <c r="D316" s="9">
        <v>25.0</v>
      </c>
      <c r="E316" s="9">
        <v>50.0</v>
      </c>
      <c r="F316" s="9">
        <v>75.0</v>
      </c>
    </row>
    <row r="317">
      <c r="A317" s="9" t="s">
        <v>478</v>
      </c>
      <c r="B317" s="9" t="s">
        <v>132</v>
      </c>
      <c r="C317" s="9">
        <v>12.0</v>
      </c>
      <c r="D317" s="9">
        <v>25.0</v>
      </c>
      <c r="E317" s="9"/>
      <c r="F317" s="9">
        <v>25.0</v>
      </c>
    </row>
    <row r="318">
      <c r="A318" s="9" t="s">
        <v>475</v>
      </c>
      <c r="B318" s="9" t="s">
        <v>132</v>
      </c>
      <c r="C318" s="9">
        <v>17.0</v>
      </c>
      <c r="D318" s="9">
        <v>25.0</v>
      </c>
      <c r="E318" s="9"/>
      <c r="F318" s="9">
        <v>25.0</v>
      </c>
    </row>
    <row r="319">
      <c r="A319" s="9" t="s">
        <v>479</v>
      </c>
      <c r="B319" s="9" t="s">
        <v>132</v>
      </c>
      <c r="C319" s="9">
        <v>18.0</v>
      </c>
      <c r="D319" s="9"/>
      <c r="E319" s="9">
        <v>50.0</v>
      </c>
      <c r="F319" s="9">
        <v>50.0</v>
      </c>
    </row>
    <row r="320">
      <c r="A320" s="9" t="s">
        <v>480</v>
      </c>
      <c r="B320" s="9" t="s">
        <v>132</v>
      </c>
      <c r="C320" s="9">
        <v>19.0</v>
      </c>
      <c r="D320" s="9">
        <v>25.0</v>
      </c>
      <c r="E320" s="9">
        <v>50.0</v>
      </c>
      <c r="F320" s="9">
        <v>75.0</v>
      </c>
    </row>
    <row r="321">
      <c r="A321" s="9" t="s">
        <v>481</v>
      </c>
      <c r="B321" s="9" t="s">
        <v>132</v>
      </c>
      <c r="C321" s="9">
        <v>20.0</v>
      </c>
      <c r="D321" s="9">
        <v>25.0</v>
      </c>
      <c r="E321" s="9">
        <v>50.0</v>
      </c>
      <c r="F321" s="9">
        <v>75.0</v>
      </c>
    </row>
    <row r="322">
      <c r="A322" s="9" t="s">
        <v>637</v>
      </c>
      <c r="B322" s="9" t="s">
        <v>132</v>
      </c>
      <c r="C322" s="9" t="s">
        <v>477</v>
      </c>
      <c r="D322" s="9">
        <v>25.0</v>
      </c>
      <c r="E322" s="9">
        <v>50.0</v>
      </c>
      <c r="F322" s="9">
        <v>75.0</v>
      </c>
    </row>
    <row r="323">
      <c r="A323" s="9" t="s">
        <v>482</v>
      </c>
      <c r="B323" s="9" t="s">
        <v>150</v>
      </c>
      <c r="C323" s="9">
        <v>1.0</v>
      </c>
      <c r="D323" s="9">
        <v>25.0</v>
      </c>
      <c r="E323" s="9"/>
      <c r="F323" s="9">
        <v>25.0</v>
      </c>
    </row>
    <row r="324">
      <c r="A324" s="9" t="s">
        <v>483</v>
      </c>
      <c r="B324" s="9" t="s">
        <v>150</v>
      </c>
      <c r="C324" s="9">
        <v>2.0</v>
      </c>
      <c r="D324" s="9">
        <v>25.0</v>
      </c>
      <c r="E324" s="9">
        <v>50.0</v>
      </c>
      <c r="F324" s="9">
        <v>75.0</v>
      </c>
    </row>
    <row r="325">
      <c r="A325" s="9" t="s">
        <v>484</v>
      </c>
      <c r="B325" s="9" t="s">
        <v>150</v>
      </c>
      <c r="C325" s="9">
        <v>3.0</v>
      </c>
      <c r="D325" s="9">
        <v>25.0</v>
      </c>
      <c r="E325" s="9"/>
      <c r="F325" s="9">
        <v>25.0</v>
      </c>
    </row>
    <row r="326">
      <c r="A326" s="9" t="s">
        <v>149</v>
      </c>
      <c r="B326" s="9" t="s">
        <v>150</v>
      </c>
      <c r="C326" s="9">
        <v>5.0</v>
      </c>
      <c r="D326" s="9">
        <v>25.0</v>
      </c>
      <c r="E326" s="9"/>
      <c r="F326" s="9">
        <v>25.0</v>
      </c>
    </row>
    <row r="327">
      <c r="A327" s="9" t="s">
        <v>485</v>
      </c>
      <c r="B327" s="9" t="s">
        <v>150</v>
      </c>
      <c r="C327" s="9">
        <v>6.0</v>
      </c>
      <c r="D327" s="9">
        <v>25.0</v>
      </c>
      <c r="E327" s="9">
        <v>50.0</v>
      </c>
      <c r="F327" s="9">
        <v>75.0</v>
      </c>
    </row>
    <row r="328">
      <c r="A328" s="9" t="s">
        <v>638</v>
      </c>
      <c r="B328" s="9" t="s">
        <v>150</v>
      </c>
      <c r="C328" s="9">
        <v>7.0</v>
      </c>
      <c r="D328" s="9">
        <v>25.0</v>
      </c>
      <c r="E328" s="9">
        <v>50.0</v>
      </c>
      <c r="F328" s="9">
        <v>75.0</v>
      </c>
    </row>
    <row r="329">
      <c r="A329" s="9" t="s">
        <v>639</v>
      </c>
      <c r="B329" s="9" t="s">
        <v>150</v>
      </c>
      <c r="C329" s="9">
        <v>8.0</v>
      </c>
      <c r="D329" s="9">
        <v>25.0</v>
      </c>
      <c r="E329" s="9"/>
      <c r="F329" s="9">
        <v>25.0</v>
      </c>
    </row>
    <row r="330">
      <c r="A330" s="9" t="s">
        <v>488</v>
      </c>
      <c r="B330" s="9" t="s">
        <v>150</v>
      </c>
      <c r="C330" s="9">
        <v>9.0</v>
      </c>
      <c r="D330" s="9">
        <v>25.0</v>
      </c>
      <c r="E330" s="9"/>
      <c r="F330" s="9">
        <v>25.0</v>
      </c>
    </row>
    <row r="331">
      <c r="A331" s="9" t="s">
        <v>489</v>
      </c>
      <c r="B331" s="9" t="s">
        <v>150</v>
      </c>
      <c r="C331" s="9">
        <v>10.0</v>
      </c>
      <c r="D331" s="9">
        <v>25.0</v>
      </c>
      <c r="E331" s="9">
        <v>50.0</v>
      </c>
      <c r="F331" s="9">
        <v>75.0</v>
      </c>
    </row>
    <row r="332">
      <c r="A332" s="9" t="s">
        <v>490</v>
      </c>
      <c r="B332" s="9" t="s">
        <v>150</v>
      </c>
      <c r="C332" s="9">
        <v>12.0</v>
      </c>
      <c r="D332" s="9">
        <v>25.0</v>
      </c>
      <c r="E332" s="9">
        <v>50.0</v>
      </c>
      <c r="F332" s="9">
        <v>75.0</v>
      </c>
    </row>
    <row r="333">
      <c r="A333" s="9" t="s">
        <v>491</v>
      </c>
      <c r="B333" s="9" t="s">
        <v>155</v>
      </c>
      <c r="C333" s="9">
        <v>1.0</v>
      </c>
      <c r="D333" s="9">
        <v>25.0</v>
      </c>
      <c r="E333" s="9"/>
      <c r="F333" s="9">
        <v>25.0</v>
      </c>
    </row>
    <row r="334">
      <c r="A334" s="9" t="s">
        <v>492</v>
      </c>
      <c r="B334" s="9" t="s">
        <v>155</v>
      </c>
      <c r="C334" s="9">
        <v>2.0</v>
      </c>
      <c r="D334" s="9">
        <v>25.0</v>
      </c>
      <c r="E334" s="9"/>
      <c r="F334" s="9">
        <v>25.0</v>
      </c>
    </row>
    <row r="335">
      <c r="A335" s="9" t="s">
        <v>493</v>
      </c>
      <c r="B335" s="9" t="s">
        <v>155</v>
      </c>
      <c r="C335" s="9">
        <v>4.0</v>
      </c>
      <c r="D335" s="9">
        <v>25.0</v>
      </c>
      <c r="E335" s="9">
        <v>20.0</v>
      </c>
      <c r="F335" s="9">
        <v>45.0</v>
      </c>
    </row>
    <row r="336">
      <c r="A336" s="9" t="s">
        <v>640</v>
      </c>
      <c r="B336" s="9" t="s">
        <v>155</v>
      </c>
      <c r="C336" s="9">
        <v>5.0</v>
      </c>
      <c r="D336" s="9">
        <v>25.0</v>
      </c>
      <c r="E336" s="9">
        <v>50.0</v>
      </c>
      <c r="F336" s="9">
        <v>75.0</v>
      </c>
    </row>
    <row r="337">
      <c r="A337" s="9" t="s">
        <v>495</v>
      </c>
      <c r="B337" s="9" t="s">
        <v>155</v>
      </c>
      <c r="C337" s="9">
        <v>7.0</v>
      </c>
      <c r="D337" s="9">
        <v>25.0</v>
      </c>
      <c r="E337" s="9">
        <v>50.0</v>
      </c>
      <c r="F337" s="9">
        <v>75.0</v>
      </c>
    </row>
    <row r="338">
      <c r="A338" s="9" t="s">
        <v>496</v>
      </c>
      <c r="B338" s="9" t="s">
        <v>155</v>
      </c>
      <c r="C338" s="9">
        <v>8.0</v>
      </c>
      <c r="D338" s="9">
        <v>25.0</v>
      </c>
      <c r="E338" s="9"/>
      <c r="F338" s="9">
        <v>25.0</v>
      </c>
    </row>
    <row r="339">
      <c r="A339" s="9" t="s">
        <v>497</v>
      </c>
      <c r="B339" s="9" t="s">
        <v>159</v>
      </c>
      <c r="C339" s="9">
        <v>2.0</v>
      </c>
      <c r="D339" s="9">
        <v>25.0</v>
      </c>
      <c r="E339" s="9"/>
      <c r="F339" s="9">
        <v>25.0</v>
      </c>
    </row>
    <row r="340">
      <c r="A340" s="9" t="s">
        <v>498</v>
      </c>
      <c r="B340" s="9" t="s">
        <v>159</v>
      </c>
      <c r="C340" s="9">
        <v>3.0</v>
      </c>
      <c r="D340" s="9">
        <v>25.0</v>
      </c>
      <c r="E340" s="9">
        <v>50.0</v>
      </c>
      <c r="F340" s="9">
        <v>75.0</v>
      </c>
    </row>
    <row r="341">
      <c r="A341" s="9" t="s">
        <v>499</v>
      </c>
      <c r="B341" s="9" t="s">
        <v>159</v>
      </c>
      <c r="C341" s="9">
        <v>4.0</v>
      </c>
      <c r="D341" s="9">
        <v>25.0</v>
      </c>
      <c r="E341" s="9">
        <v>50.0</v>
      </c>
      <c r="F341" s="9">
        <v>75.0</v>
      </c>
    </row>
    <row r="342">
      <c r="A342" s="9" t="s">
        <v>500</v>
      </c>
      <c r="B342" s="9" t="s">
        <v>159</v>
      </c>
      <c r="C342" s="9">
        <v>8.0</v>
      </c>
      <c r="D342" s="9">
        <v>25.0</v>
      </c>
      <c r="E342" s="9">
        <v>50.0</v>
      </c>
      <c r="F342" s="9">
        <v>75.0</v>
      </c>
    </row>
    <row r="343">
      <c r="A343" s="9" t="s">
        <v>501</v>
      </c>
      <c r="B343" s="9" t="s">
        <v>159</v>
      </c>
      <c r="C343" s="9">
        <v>9.0</v>
      </c>
      <c r="D343" s="9">
        <v>25.0</v>
      </c>
      <c r="E343" s="9"/>
      <c r="F343" s="9">
        <v>25.0</v>
      </c>
    </row>
    <row r="344">
      <c r="A344" s="9" t="s">
        <v>502</v>
      </c>
      <c r="B344" s="9" t="s">
        <v>159</v>
      </c>
      <c r="C344" s="9">
        <v>10.0</v>
      </c>
      <c r="D344" s="9">
        <v>25.0</v>
      </c>
      <c r="E344" s="9">
        <v>50.0</v>
      </c>
      <c r="F344" s="9">
        <v>75.0</v>
      </c>
    </row>
    <row r="345">
      <c r="A345" s="9" t="s">
        <v>503</v>
      </c>
      <c r="B345" s="9" t="s">
        <v>159</v>
      </c>
      <c r="C345" s="9">
        <v>11.0</v>
      </c>
      <c r="D345" s="9">
        <v>25.0</v>
      </c>
      <c r="E345" s="9">
        <v>50.0</v>
      </c>
      <c r="F345" s="9">
        <v>75.0</v>
      </c>
    </row>
    <row r="346">
      <c r="A346" s="9" t="s">
        <v>641</v>
      </c>
      <c r="B346" s="9" t="s">
        <v>159</v>
      </c>
      <c r="C346" s="9">
        <v>12.0</v>
      </c>
      <c r="D346" s="9">
        <v>25.0</v>
      </c>
      <c r="E346" s="9">
        <v>50.0</v>
      </c>
      <c r="F346" s="9">
        <v>75.0</v>
      </c>
    </row>
    <row r="347">
      <c r="A347" s="9" t="s">
        <v>167</v>
      </c>
      <c r="B347" s="9" t="s">
        <v>159</v>
      </c>
      <c r="C347" s="9">
        <v>13.0</v>
      </c>
      <c r="D347" s="9">
        <v>25.0</v>
      </c>
      <c r="E347" s="9"/>
      <c r="F347" s="9">
        <v>25.0</v>
      </c>
    </row>
    <row r="348">
      <c r="A348" s="9" t="s">
        <v>505</v>
      </c>
      <c r="B348" s="9" t="s">
        <v>159</v>
      </c>
      <c r="C348" s="9">
        <v>15.0</v>
      </c>
      <c r="D348" s="9">
        <v>25.0</v>
      </c>
      <c r="E348" s="9">
        <v>50.0</v>
      </c>
      <c r="F348" s="9">
        <v>75.0</v>
      </c>
    </row>
    <row r="349">
      <c r="A349" s="9" t="s">
        <v>506</v>
      </c>
      <c r="B349" s="9" t="s">
        <v>170</v>
      </c>
      <c r="C349" s="9">
        <v>1.0</v>
      </c>
      <c r="D349" s="9">
        <v>25.0</v>
      </c>
      <c r="E349" s="9">
        <v>50.0</v>
      </c>
      <c r="F349" s="9">
        <v>75.0</v>
      </c>
    </row>
    <row r="350">
      <c r="A350" s="9" t="s">
        <v>507</v>
      </c>
      <c r="B350" s="9" t="s">
        <v>170</v>
      </c>
      <c r="C350" s="9">
        <v>2.0</v>
      </c>
      <c r="D350" s="9">
        <v>25.0</v>
      </c>
      <c r="E350" s="9">
        <v>50.0</v>
      </c>
      <c r="F350" s="9">
        <v>75.0</v>
      </c>
    </row>
    <row r="351">
      <c r="A351" s="9" t="s">
        <v>642</v>
      </c>
      <c r="B351" s="9" t="s">
        <v>170</v>
      </c>
      <c r="C351" s="9">
        <v>3.0</v>
      </c>
      <c r="D351" s="9">
        <v>25.0</v>
      </c>
      <c r="E351" s="9">
        <v>50.0</v>
      </c>
      <c r="F351" s="9">
        <v>75.0</v>
      </c>
    </row>
    <row r="352">
      <c r="A352" s="9" t="s">
        <v>509</v>
      </c>
      <c r="B352" s="9" t="s">
        <v>170</v>
      </c>
      <c r="C352" s="9">
        <v>4.0</v>
      </c>
      <c r="D352" s="9">
        <v>25.0</v>
      </c>
      <c r="E352" s="9"/>
      <c r="F352" s="9">
        <v>25.0</v>
      </c>
    </row>
    <row r="353">
      <c r="A353" s="9" t="s">
        <v>510</v>
      </c>
      <c r="B353" s="9" t="s">
        <v>170</v>
      </c>
      <c r="C353" s="9">
        <v>5.0</v>
      </c>
      <c r="D353" s="9">
        <v>25.0</v>
      </c>
      <c r="E353" s="9">
        <v>50.0</v>
      </c>
      <c r="F353" s="9">
        <v>75.0</v>
      </c>
    </row>
    <row r="354">
      <c r="A354" s="9" t="s">
        <v>511</v>
      </c>
      <c r="B354" s="9" t="s">
        <v>170</v>
      </c>
      <c r="C354" s="9">
        <v>6.0</v>
      </c>
      <c r="D354" s="9">
        <v>25.0</v>
      </c>
      <c r="E354" s="9">
        <v>50.0</v>
      </c>
      <c r="F354" s="9">
        <v>75.0</v>
      </c>
    </row>
    <row r="355">
      <c r="A355" s="9" t="s">
        <v>512</v>
      </c>
      <c r="B355" s="9" t="s">
        <v>170</v>
      </c>
      <c r="C355" s="9">
        <v>7.0</v>
      </c>
      <c r="D355" s="9">
        <v>25.0</v>
      </c>
      <c r="E355" s="9"/>
      <c r="F355" s="9">
        <v>25.0</v>
      </c>
    </row>
    <row r="356">
      <c r="A356" s="9" t="s">
        <v>513</v>
      </c>
      <c r="B356" s="9" t="s">
        <v>170</v>
      </c>
      <c r="C356" s="9">
        <v>8.0</v>
      </c>
      <c r="D356" s="9">
        <v>25.0</v>
      </c>
      <c r="E356" s="9">
        <v>50.0</v>
      </c>
      <c r="F356" s="9">
        <v>75.0</v>
      </c>
    </row>
    <row r="357">
      <c r="A357" s="9" t="s">
        <v>514</v>
      </c>
      <c r="B357" s="9" t="s">
        <v>170</v>
      </c>
      <c r="C357" s="9">
        <v>10.0</v>
      </c>
      <c r="D357" s="9">
        <v>25.0</v>
      </c>
      <c r="E357" s="9"/>
      <c r="F357" s="9">
        <v>25.0</v>
      </c>
    </row>
    <row r="358">
      <c r="A358" s="9" t="s">
        <v>515</v>
      </c>
      <c r="B358" s="9" t="s">
        <v>170</v>
      </c>
      <c r="C358" s="9">
        <v>11.0</v>
      </c>
      <c r="D358" s="9">
        <v>25.0</v>
      </c>
      <c r="E358" s="9">
        <v>50.0</v>
      </c>
      <c r="F358" s="9">
        <v>75.0</v>
      </c>
    </row>
    <row r="359">
      <c r="A359" s="9" t="s">
        <v>516</v>
      </c>
      <c r="B359" s="9" t="s">
        <v>170</v>
      </c>
      <c r="C359" s="9">
        <v>15.0</v>
      </c>
      <c r="D359" s="9">
        <v>25.0</v>
      </c>
      <c r="E359" s="9">
        <v>50.0</v>
      </c>
      <c r="F359" s="9">
        <v>75.0</v>
      </c>
    </row>
    <row r="360">
      <c r="A360" s="9" t="s">
        <v>517</v>
      </c>
      <c r="B360" s="9" t="s">
        <v>170</v>
      </c>
      <c r="C360" s="9">
        <v>16.0</v>
      </c>
      <c r="D360" s="9">
        <v>25.0</v>
      </c>
      <c r="E360" s="9">
        <v>50.0</v>
      </c>
      <c r="F360" s="9">
        <v>75.0</v>
      </c>
    </row>
    <row r="361">
      <c r="A361" s="9" t="s">
        <v>518</v>
      </c>
      <c r="B361" s="9" t="s">
        <v>170</v>
      </c>
      <c r="C361" s="9">
        <v>18.0</v>
      </c>
      <c r="D361" s="9">
        <v>25.0</v>
      </c>
      <c r="E361" s="9">
        <v>50.0</v>
      </c>
      <c r="F361" s="9">
        <v>75.0</v>
      </c>
    </row>
    <row r="362">
      <c r="A362" s="9" t="s">
        <v>519</v>
      </c>
      <c r="B362" s="9" t="s">
        <v>170</v>
      </c>
      <c r="C362" s="9">
        <v>19.0</v>
      </c>
      <c r="D362" s="9">
        <v>25.0</v>
      </c>
      <c r="E362" s="9">
        <v>50.0</v>
      </c>
      <c r="F362" s="9">
        <v>75.0</v>
      </c>
    </row>
    <row r="363">
      <c r="A363" s="9" t="s">
        <v>520</v>
      </c>
      <c r="B363" s="9" t="s">
        <v>170</v>
      </c>
      <c r="C363" s="9">
        <v>20.0</v>
      </c>
      <c r="D363" s="9">
        <v>25.0</v>
      </c>
      <c r="E363" s="9">
        <v>50.0</v>
      </c>
      <c r="F363" s="9">
        <v>75.0</v>
      </c>
    </row>
    <row r="364">
      <c r="A364" s="9" t="s">
        <v>521</v>
      </c>
      <c r="B364" s="9" t="s">
        <v>522</v>
      </c>
      <c r="C364" s="9">
        <v>1.0</v>
      </c>
      <c r="D364" s="9">
        <v>25.0</v>
      </c>
      <c r="E364" s="9">
        <v>50.0</v>
      </c>
      <c r="F364" s="9">
        <v>75.0</v>
      </c>
    </row>
    <row r="365">
      <c r="A365" s="9" t="s">
        <v>523</v>
      </c>
      <c r="B365" s="9" t="s">
        <v>522</v>
      </c>
      <c r="C365" s="9">
        <v>2.0</v>
      </c>
      <c r="D365" s="9">
        <v>25.0</v>
      </c>
      <c r="E365" s="9">
        <v>50.0</v>
      </c>
      <c r="F365" s="9">
        <v>75.0</v>
      </c>
    </row>
    <row r="366">
      <c r="A366" s="9" t="s">
        <v>524</v>
      </c>
      <c r="B366" s="9" t="s">
        <v>522</v>
      </c>
      <c r="C366" s="9">
        <v>3.0</v>
      </c>
      <c r="D366" s="9">
        <v>25.0</v>
      </c>
      <c r="E366" s="9"/>
      <c r="F366" s="9">
        <v>25.0</v>
      </c>
    </row>
    <row r="367">
      <c r="A367" s="9" t="s">
        <v>525</v>
      </c>
      <c r="B367" s="9" t="s">
        <v>522</v>
      </c>
      <c r="C367" s="9">
        <v>4.0</v>
      </c>
      <c r="D367" s="9">
        <v>25.0</v>
      </c>
      <c r="E367" s="9"/>
      <c r="F367" s="9">
        <v>25.0</v>
      </c>
    </row>
    <row r="368">
      <c r="A368" s="9" t="s">
        <v>526</v>
      </c>
      <c r="B368" s="9" t="s">
        <v>522</v>
      </c>
      <c r="C368" s="9">
        <v>5.0</v>
      </c>
      <c r="D368" s="9">
        <v>25.0</v>
      </c>
      <c r="E368" s="9"/>
      <c r="F368" s="9">
        <v>25.0</v>
      </c>
    </row>
    <row r="369">
      <c r="A369" s="9" t="s">
        <v>643</v>
      </c>
      <c r="B369" s="9" t="s">
        <v>522</v>
      </c>
      <c r="C369" s="9">
        <v>6.0</v>
      </c>
      <c r="D369" s="9">
        <v>25.0</v>
      </c>
      <c r="E369" s="9">
        <v>50.0</v>
      </c>
      <c r="F369" s="9">
        <v>75.0</v>
      </c>
    </row>
    <row r="370">
      <c r="A370" s="9" t="s">
        <v>528</v>
      </c>
      <c r="B370" s="9" t="s">
        <v>182</v>
      </c>
      <c r="C370" s="9">
        <v>1.0</v>
      </c>
      <c r="D370" s="9">
        <v>25.0</v>
      </c>
      <c r="E370" s="9">
        <v>50.0</v>
      </c>
      <c r="F370" s="9">
        <v>75.0</v>
      </c>
    </row>
    <row r="371">
      <c r="A371" s="9" t="s">
        <v>529</v>
      </c>
      <c r="B371" s="9" t="s">
        <v>182</v>
      </c>
      <c r="C371" s="9">
        <v>2.0</v>
      </c>
      <c r="D371" s="9">
        <v>25.0</v>
      </c>
      <c r="E371" s="9">
        <v>50.0</v>
      </c>
      <c r="F371" s="9">
        <v>75.0</v>
      </c>
    </row>
    <row r="372">
      <c r="A372" s="9" t="s">
        <v>530</v>
      </c>
      <c r="B372" s="9" t="s">
        <v>182</v>
      </c>
      <c r="C372" s="9">
        <v>3.0</v>
      </c>
      <c r="D372" s="9">
        <v>25.0</v>
      </c>
      <c r="E372" s="9">
        <v>50.0</v>
      </c>
      <c r="F372" s="9">
        <v>75.0</v>
      </c>
    </row>
    <row r="373">
      <c r="A373" s="9" t="s">
        <v>531</v>
      </c>
      <c r="B373" s="9" t="s">
        <v>182</v>
      </c>
      <c r="C373" s="9">
        <v>5.0</v>
      </c>
      <c r="D373" s="9">
        <v>25.0</v>
      </c>
      <c r="E373" s="9"/>
      <c r="F373" s="9">
        <v>25.0</v>
      </c>
    </row>
    <row r="374">
      <c r="A374" s="9" t="s">
        <v>532</v>
      </c>
      <c r="B374" s="9" t="s">
        <v>182</v>
      </c>
      <c r="C374" s="9">
        <v>6.0</v>
      </c>
      <c r="D374" s="9">
        <v>25.0</v>
      </c>
      <c r="E374" s="9">
        <v>50.0</v>
      </c>
      <c r="F374" s="9">
        <v>75.0</v>
      </c>
    </row>
    <row r="375">
      <c r="A375" s="9" t="s">
        <v>533</v>
      </c>
      <c r="B375" s="9" t="s">
        <v>182</v>
      </c>
      <c r="C375" s="9">
        <v>7.0</v>
      </c>
      <c r="D375" s="9">
        <v>25.0</v>
      </c>
      <c r="E375" s="9">
        <v>50.0</v>
      </c>
      <c r="F375" s="9">
        <v>75.0</v>
      </c>
    </row>
    <row r="376">
      <c r="A376" s="9" t="s">
        <v>534</v>
      </c>
      <c r="B376" s="9" t="s">
        <v>182</v>
      </c>
      <c r="C376" s="9">
        <v>9.0</v>
      </c>
      <c r="D376" s="9">
        <v>25.0</v>
      </c>
      <c r="E376" s="9">
        <v>50.0</v>
      </c>
      <c r="F376" s="9">
        <v>75.0</v>
      </c>
    </row>
    <row r="377">
      <c r="A377" s="9" t="s">
        <v>536</v>
      </c>
      <c r="B377" s="9" t="s">
        <v>182</v>
      </c>
      <c r="C377" s="9">
        <v>10.0</v>
      </c>
      <c r="D377" s="9">
        <v>25.0</v>
      </c>
      <c r="E377" s="9"/>
      <c r="F377" s="9">
        <v>25.0</v>
      </c>
    </row>
    <row r="378">
      <c r="A378" s="9" t="s">
        <v>537</v>
      </c>
      <c r="B378" s="9" t="s">
        <v>182</v>
      </c>
      <c r="C378" s="9">
        <v>11.0</v>
      </c>
      <c r="D378" s="9">
        <v>25.0</v>
      </c>
      <c r="E378" s="9">
        <v>50.0</v>
      </c>
      <c r="F378" s="9">
        <v>75.0</v>
      </c>
    </row>
    <row r="379">
      <c r="A379" s="9" t="s">
        <v>535</v>
      </c>
      <c r="B379" s="9" t="s">
        <v>182</v>
      </c>
      <c r="C379" s="9">
        <v>12.0</v>
      </c>
      <c r="D379" s="9">
        <v>25.0</v>
      </c>
      <c r="E379" s="9">
        <v>50.0</v>
      </c>
      <c r="F379" s="9">
        <v>75.0</v>
      </c>
    </row>
    <row r="380">
      <c r="A380" s="9" t="s">
        <v>538</v>
      </c>
      <c r="B380" s="9" t="s">
        <v>539</v>
      </c>
      <c r="C380" s="9">
        <v>12.0</v>
      </c>
      <c r="D380" s="9">
        <v>25.0</v>
      </c>
      <c r="E380" s="9">
        <v>50.0</v>
      </c>
      <c r="F380" s="9">
        <v>0.0</v>
      </c>
    </row>
    <row r="381">
      <c r="A381" s="9" t="s">
        <v>540</v>
      </c>
      <c r="B381" s="9" t="s">
        <v>182</v>
      </c>
      <c r="C381" s="9">
        <v>13.0</v>
      </c>
      <c r="D381" s="9">
        <v>25.0</v>
      </c>
      <c r="E381" s="9">
        <v>50.0</v>
      </c>
      <c r="F381" s="9">
        <v>75.0</v>
      </c>
    </row>
    <row r="382">
      <c r="A382" s="9" t="s">
        <v>644</v>
      </c>
      <c r="B382" s="9" t="s">
        <v>182</v>
      </c>
      <c r="C382" s="9">
        <v>14.0</v>
      </c>
      <c r="D382" s="9">
        <v>25.0</v>
      </c>
      <c r="E382" s="9">
        <v>50.0</v>
      </c>
      <c r="F382" s="9">
        <v>75.0</v>
      </c>
    </row>
    <row r="383">
      <c r="A383" s="9" t="s">
        <v>542</v>
      </c>
      <c r="B383" s="9" t="s">
        <v>182</v>
      </c>
      <c r="C383" s="9">
        <v>15.0</v>
      </c>
      <c r="D383" s="9">
        <v>25.0</v>
      </c>
      <c r="E383" s="9"/>
      <c r="F383" s="9">
        <v>25.0</v>
      </c>
    </row>
    <row r="384">
      <c r="A384" s="9" t="s">
        <v>543</v>
      </c>
      <c r="B384" s="9" t="s">
        <v>182</v>
      </c>
      <c r="C384" s="9">
        <v>16.0</v>
      </c>
      <c r="D384" s="9">
        <v>25.0</v>
      </c>
      <c r="E384" s="9">
        <v>50.0</v>
      </c>
      <c r="F384" s="9">
        <v>75.0</v>
      </c>
    </row>
    <row r="385">
      <c r="A385" s="9" t="s">
        <v>544</v>
      </c>
      <c r="B385" s="9" t="s">
        <v>187</v>
      </c>
      <c r="C385" s="9">
        <v>1.0</v>
      </c>
      <c r="D385" s="9">
        <v>25.0</v>
      </c>
      <c r="E385" s="9">
        <v>50.0</v>
      </c>
      <c r="F385" s="9">
        <v>75.0</v>
      </c>
    </row>
    <row r="386">
      <c r="A386" s="9" t="s">
        <v>545</v>
      </c>
      <c r="B386" s="9" t="s">
        <v>187</v>
      </c>
      <c r="C386" s="9">
        <v>2.0</v>
      </c>
      <c r="D386" s="9">
        <v>25.0</v>
      </c>
      <c r="E386" s="9">
        <v>50.0</v>
      </c>
      <c r="F386" s="9">
        <v>75.0</v>
      </c>
    </row>
    <row r="387">
      <c r="A387" s="9" t="s">
        <v>645</v>
      </c>
      <c r="B387" s="9" t="s">
        <v>187</v>
      </c>
      <c r="C387" s="9">
        <v>3.0</v>
      </c>
      <c r="D387" s="9">
        <v>25.0</v>
      </c>
      <c r="E387" s="9">
        <v>50.0</v>
      </c>
      <c r="F387" s="9">
        <v>75.0</v>
      </c>
    </row>
    <row r="388">
      <c r="A388" s="9" t="s">
        <v>547</v>
      </c>
      <c r="B388" s="9" t="s">
        <v>187</v>
      </c>
      <c r="C388" s="9">
        <v>4.0</v>
      </c>
      <c r="D388" s="9">
        <v>25.0</v>
      </c>
      <c r="E388" s="9">
        <v>50.0</v>
      </c>
      <c r="F388" s="9">
        <v>75.0</v>
      </c>
    </row>
    <row r="389">
      <c r="A389" s="9" t="s">
        <v>548</v>
      </c>
      <c r="B389" s="9" t="s">
        <v>187</v>
      </c>
      <c r="C389" s="9">
        <v>5.0</v>
      </c>
      <c r="D389" s="9">
        <v>25.0</v>
      </c>
      <c r="E389" s="9"/>
      <c r="F389" s="9">
        <v>25.0</v>
      </c>
    </row>
    <row r="390">
      <c r="A390" s="9" t="s">
        <v>549</v>
      </c>
      <c r="B390" s="9" t="s">
        <v>187</v>
      </c>
      <c r="C390" s="9">
        <v>6.0</v>
      </c>
      <c r="D390" s="9">
        <v>25.0</v>
      </c>
      <c r="E390" s="9">
        <v>50.0</v>
      </c>
      <c r="F390" s="9">
        <v>75.0</v>
      </c>
    </row>
    <row r="391">
      <c r="A391" s="9" t="s">
        <v>550</v>
      </c>
      <c r="B391" s="9" t="s">
        <v>187</v>
      </c>
      <c r="C391" s="9">
        <v>7.0</v>
      </c>
      <c r="D391" s="9">
        <v>25.0</v>
      </c>
      <c r="E391" s="9"/>
      <c r="F391" s="9">
        <v>25.0</v>
      </c>
    </row>
    <row r="392">
      <c r="A392" s="9" t="s">
        <v>551</v>
      </c>
      <c r="B392" s="9" t="s">
        <v>187</v>
      </c>
      <c r="C392" s="9">
        <v>14.0</v>
      </c>
      <c r="D392" s="9">
        <v>25.0</v>
      </c>
      <c r="E392" s="9"/>
      <c r="F392" s="9">
        <v>25.0</v>
      </c>
    </row>
    <row r="393">
      <c r="A393" s="9" t="s">
        <v>646</v>
      </c>
      <c r="B393" s="9" t="s">
        <v>187</v>
      </c>
      <c r="C393" s="9">
        <v>16.0</v>
      </c>
      <c r="D393" s="9">
        <v>25.0</v>
      </c>
      <c r="E393" s="9"/>
      <c r="F393" s="9">
        <v>25.0</v>
      </c>
    </row>
    <row r="394">
      <c r="A394" s="9" t="s">
        <v>647</v>
      </c>
      <c r="B394" s="9" t="s">
        <v>187</v>
      </c>
      <c r="C394" s="9">
        <v>17.0</v>
      </c>
      <c r="D394" s="9">
        <v>25.0</v>
      </c>
      <c r="E394" s="9"/>
      <c r="F394" s="9">
        <v>25.0</v>
      </c>
    </row>
    <row r="395">
      <c r="A395" s="9" t="s">
        <v>554</v>
      </c>
      <c r="B395" s="9" t="s">
        <v>187</v>
      </c>
      <c r="C395" s="9">
        <v>17.0</v>
      </c>
      <c r="D395" s="9">
        <v>25.0</v>
      </c>
      <c r="E395" s="9"/>
      <c r="F395" s="9">
        <v>25.0</v>
      </c>
    </row>
    <row r="396">
      <c r="A396" s="9" t="s">
        <v>555</v>
      </c>
      <c r="B396" s="9" t="s">
        <v>187</v>
      </c>
      <c r="C396" s="9">
        <v>19.0</v>
      </c>
      <c r="D396" s="9">
        <v>25.0</v>
      </c>
      <c r="E396" s="9"/>
      <c r="F396" s="9">
        <v>25.0</v>
      </c>
    </row>
    <row r="397">
      <c r="A397" s="9" t="s">
        <v>648</v>
      </c>
      <c r="B397" s="9" t="s">
        <v>187</v>
      </c>
      <c r="C397" s="9">
        <v>20.0</v>
      </c>
      <c r="D397" s="9">
        <v>25.0</v>
      </c>
      <c r="E397" s="9"/>
      <c r="F397" s="9">
        <v>25.0</v>
      </c>
    </row>
    <row r="398">
      <c r="A398" s="9" t="s">
        <v>557</v>
      </c>
      <c r="B398" s="9" t="s">
        <v>194</v>
      </c>
      <c r="C398" s="9">
        <v>1.0</v>
      </c>
      <c r="D398" s="9">
        <v>25.0</v>
      </c>
      <c r="E398" s="9">
        <v>50.0</v>
      </c>
      <c r="F398" s="9">
        <v>75.0</v>
      </c>
    </row>
    <row r="399">
      <c r="A399" s="9" t="s">
        <v>558</v>
      </c>
      <c r="B399" s="9" t="s">
        <v>194</v>
      </c>
      <c r="C399" s="9">
        <v>2.0</v>
      </c>
      <c r="D399" s="9">
        <v>25.0</v>
      </c>
      <c r="E399" s="9"/>
      <c r="F399" s="9">
        <v>25.0</v>
      </c>
    </row>
    <row r="400">
      <c r="A400" s="9" t="s">
        <v>559</v>
      </c>
      <c r="B400" s="9" t="s">
        <v>194</v>
      </c>
      <c r="C400" s="9">
        <v>3.0</v>
      </c>
      <c r="D400" s="9">
        <v>25.0</v>
      </c>
      <c r="E400" s="9"/>
      <c r="F400" s="9">
        <v>25.0</v>
      </c>
    </row>
    <row r="401">
      <c r="A401" s="9" t="s">
        <v>560</v>
      </c>
      <c r="B401" s="9" t="s">
        <v>194</v>
      </c>
      <c r="C401" s="9">
        <v>4.0</v>
      </c>
      <c r="D401" s="9">
        <v>25.0</v>
      </c>
      <c r="E401" s="9"/>
      <c r="F401" s="9">
        <v>25.0</v>
      </c>
    </row>
    <row r="402">
      <c r="A402" s="9" t="s">
        <v>561</v>
      </c>
      <c r="B402" s="9" t="s">
        <v>194</v>
      </c>
      <c r="C402" s="9">
        <v>6.0</v>
      </c>
      <c r="D402" s="9">
        <v>25.0</v>
      </c>
      <c r="E402" s="9"/>
      <c r="F402" s="9">
        <v>25.0</v>
      </c>
    </row>
    <row r="403">
      <c r="A403" s="9" t="s">
        <v>562</v>
      </c>
      <c r="B403" s="9" t="s">
        <v>194</v>
      </c>
      <c r="C403" s="9">
        <v>10.0</v>
      </c>
      <c r="D403" s="9">
        <v>25.0</v>
      </c>
      <c r="E403" s="9">
        <v>50.0</v>
      </c>
      <c r="F403" s="9">
        <v>75.0</v>
      </c>
    </row>
    <row r="404">
      <c r="A404" s="9" t="s">
        <v>563</v>
      </c>
      <c r="B404" s="9" t="s">
        <v>194</v>
      </c>
      <c r="C404" s="9">
        <v>11.0</v>
      </c>
      <c r="D404" s="9">
        <v>25.0</v>
      </c>
      <c r="E404" s="9">
        <v>50.0</v>
      </c>
      <c r="F404" s="9">
        <v>75.0</v>
      </c>
    </row>
    <row r="405">
      <c r="A405" s="9" t="s">
        <v>564</v>
      </c>
      <c r="B405" s="9" t="s">
        <v>194</v>
      </c>
      <c r="C405" s="9">
        <v>12.0</v>
      </c>
      <c r="D405" s="9">
        <v>25.0</v>
      </c>
      <c r="E405" s="9">
        <v>50.0</v>
      </c>
      <c r="F405" s="9">
        <v>75.0</v>
      </c>
    </row>
    <row r="406">
      <c r="A406" s="9" t="s">
        <v>649</v>
      </c>
      <c r="B406" s="9" t="s">
        <v>194</v>
      </c>
      <c r="C406" s="9">
        <v>13.0</v>
      </c>
      <c r="D406" s="9">
        <v>25.0</v>
      </c>
      <c r="E406" s="9">
        <v>50.0</v>
      </c>
      <c r="F406" s="9">
        <v>75.0</v>
      </c>
    </row>
    <row r="407">
      <c r="A407" s="9" t="s">
        <v>566</v>
      </c>
      <c r="B407" s="9" t="s">
        <v>194</v>
      </c>
      <c r="C407" s="9">
        <v>15.0</v>
      </c>
      <c r="D407" s="9">
        <v>25.0</v>
      </c>
      <c r="E407" s="9"/>
      <c r="F407" s="9">
        <v>25.0</v>
      </c>
    </row>
    <row r="408">
      <c r="A408" s="9" t="s">
        <v>567</v>
      </c>
      <c r="B408" s="9" t="s">
        <v>194</v>
      </c>
      <c r="C408" s="9">
        <v>14.0</v>
      </c>
      <c r="D408" s="9">
        <v>25.0</v>
      </c>
      <c r="E408" s="9"/>
      <c r="F408" s="9">
        <v>25.0</v>
      </c>
    </row>
    <row r="409">
      <c r="A409" s="9" t="s">
        <v>650</v>
      </c>
      <c r="B409" s="9" t="s">
        <v>194</v>
      </c>
      <c r="C409" s="9">
        <v>17.0</v>
      </c>
      <c r="D409" s="9">
        <v>25.0</v>
      </c>
      <c r="E409" s="9">
        <v>50.0</v>
      </c>
      <c r="F409" s="9">
        <v>75.0</v>
      </c>
    </row>
    <row r="410">
      <c r="A410" s="9" t="s">
        <v>569</v>
      </c>
      <c r="B410" s="9" t="s">
        <v>204</v>
      </c>
      <c r="C410" s="9">
        <v>1.0</v>
      </c>
      <c r="D410" s="9">
        <v>25.0</v>
      </c>
      <c r="E410" s="9">
        <v>50.0</v>
      </c>
      <c r="F410" s="9">
        <v>75.0</v>
      </c>
    </row>
    <row r="411">
      <c r="A411" s="9" t="s">
        <v>570</v>
      </c>
      <c r="B411" s="9" t="s">
        <v>204</v>
      </c>
      <c r="C411" s="9">
        <v>3.0</v>
      </c>
      <c r="D411" s="9">
        <v>25.0</v>
      </c>
      <c r="E411" s="9"/>
      <c r="F411" s="9">
        <v>25.0</v>
      </c>
    </row>
    <row r="412">
      <c r="A412" s="9" t="s">
        <v>571</v>
      </c>
      <c r="B412" s="9" t="s">
        <v>204</v>
      </c>
      <c r="C412" s="9">
        <v>5.0</v>
      </c>
      <c r="D412" s="9">
        <v>25.0</v>
      </c>
      <c r="E412" s="9"/>
      <c r="F412" s="9">
        <v>25.0</v>
      </c>
    </row>
    <row r="413">
      <c r="A413" s="9" t="s">
        <v>572</v>
      </c>
      <c r="B413" s="9" t="s">
        <v>204</v>
      </c>
      <c r="C413" s="9">
        <v>6.0</v>
      </c>
      <c r="D413" s="9">
        <v>25.0</v>
      </c>
      <c r="E413" s="9"/>
      <c r="F413" s="9">
        <v>25.0</v>
      </c>
    </row>
    <row r="414">
      <c r="A414" s="9" t="s">
        <v>573</v>
      </c>
      <c r="B414" s="9" t="s">
        <v>204</v>
      </c>
      <c r="C414" s="9">
        <v>8.0</v>
      </c>
      <c r="D414" s="9">
        <v>25.0</v>
      </c>
      <c r="E414" s="9"/>
      <c r="F414" s="9">
        <v>25.0</v>
      </c>
    </row>
    <row r="415">
      <c r="A415" s="9" t="s">
        <v>574</v>
      </c>
      <c r="B415" s="9" t="s">
        <v>204</v>
      </c>
      <c r="C415" s="9">
        <v>9.0</v>
      </c>
      <c r="D415" s="9">
        <v>25.0</v>
      </c>
      <c r="E415" s="9">
        <v>50.0</v>
      </c>
      <c r="F415" s="9">
        <v>75.0</v>
      </c>
    </row>
    <row r="416">
      <c r="A416" s="9" t="s">
        <v>575</v>
      </c>
      <c r="B416" s="9" t="s">
        <v>207</v>
      </c>
      <c r="C416" s="9">
        <v>1.0</v>
      </c>
      <c r="D416" s="9">
        <v>25.0</v>
      </c>
      <c r="E416" s="9">
        <v>50.0</v>
      </c>
      <c r="F416" s="9">
        <v>75.0</v>
      </c>
    </row>
    <row r="417">
      <c r="A417" s="9" t="s">
        <v>576</v>
      </c>
      <c r="B417" s="9" t="s">
        <v>207</v>
      </c>
      <c r="C417" s="9">
        <v>2.0</v>
      </c>
      <c r="D417" s="9">
        <v>25.0</v>
      </c>
      <c r="E417" s="9"/>
      <c r="F417" s="9">
        <v>25.0</v>
      </c>
    </row>
    <row r="418">
      <c r="A418" s="9" t="s">
        <v>577</v>
      </c>
      <c r="B418" s="9" t="s">
        <v>207</v>
      </c>
      <c r="C418" s="9">
        <v>4.0</v>
      </c>
      <c r="D418" s="9">
        <v>25.0</v>
      </c>
      <c r="E418" s="9"/>
      <c r="F418" s="9">
        <v>25.0</v>
      </c>
    </row>
    <row r="419">
      <c r="A419" s="9" t="s">
        <v>651</v>
      </c>
      <c r="B419" s="9" t="s">
        <v>579</v>
      </c>
      <c r="C419" s="9">
        <v>6.0</v>
      </c>
      <c r="D419" s="9">
        <v>25.0</v>
      </c>
      <c r="E419" s="9"/>
      <c r="F419" s="9">
        <v>25.0</v>
      </c>
    </row>
    <row r="420">
      <c r="A420" s="9" t="s">
        <v>652</v>
      </c>
      <c r="B420" s="9" t="s">
        <v>207</v>
      </c>
      <c r="C420" s="9">
        <v>8.0</v>
      </c>
      <c r="D420" s="9">
        <v>25.0</v>
      </c>
      <c r="E420" s="9">
        <v>50.0</v>
      </c>
      <c r="F420" s="9">
        <v>75.0</v>
      </c>
    </row>
    <row r="421">
      <c r="A421" s="9" t="s">
        <v>581</v>
      </c>
      <c r="B421" s="9" t="s">
        <v>207</v>
      </c>
      <c r="C421" s="9">
        <v>9.0</v>
      </c>
      <c r="D421" s="9">
        <v>25.0</v>
      </c>
      <c r="E421" s="9">
        <v>50.0</v>
      </c>
      <c r="F421" s="9">
        <v>75.0</v>
      </c>
    </row>
    <row r="422">
      <c r="A422" s="9" t="s">
        <v>653</v>
      </c>
      <c r="B422" s="9" t="s">
        <v>207</v>
      </c>
      <c r="C422" s="9">
        <v>11.0</v>
      </c>
      <c r="D422" s="9">
        <v>25.0</v>
      </c>
      <c r="E422" s="9">
        <v>50.0</v>
      </c>
      <c r="F422" s="9">
        <v>75.0</v>
      </c>
    </row>
    <row r="423">
      <c r="A423" s="9" t="s">
        <v>583</v>
      </c>
      <c r="B423" s="9" t="s">
        <v>207</v>
      </c>
      <c r="C423" s="9">
        <v>12.0</v>
      </c>
      <c r="D423" s="9">
        <v>25.0</v>
      </c>
      <c r="E423" s="9"/>
      <c r="F423" s="9">
        <v>25.0</v>
      </c>
    </row>
    <row r="424">
      <c r="A424" s="9" t="s">
        <v>584</v>
      </c>
      <c r="B424" s="9" t="s">
        <v>207</v>
      </c>
      <c r="C424" s="9">
        <v>14.0</v>
      </c>
      <c r="D424" s="9">
        <v>25.0</v>
      </c>
      <c r="E424" s="9"/>
      <c r="F424" s="9">
        <v>25.0</v>
      </c>
    </row>
    <row r="425">
      <c r="A425" s="9" t="s">
        <v>585</v>
      </c>
      <c r="B425" s="9" t="s">
        <v>207</v>
      </c>
      <c r="C425" s="9">
        <v>15.0</v>
      </c>
      <c r="D425" s="9">
        <v>25.0</v>
      </c>
      <c r="E425" s="9"/>
      <c r="F425" s="9">
        <v>25.0</v>
      </c>
    </row>
    <row r="426">
      <c r="A426" s="9" t="s">
        <v>586</v>
      </c>
      <c r="B426" s="9" t="s">
        <v>207</v>
      </c>
      <c r="C426" s="9">
        <v>16.0</v>
      </c>
      <c r="D426" s="9">
        <v>25.0</v>
      </c>
      <c r="E426" s="9">
        <v>50.0</v>
      </c>
      <c r="F426" s="9">
        <v>75.0</v>
      </c>
    </row>
    <row r="427">
      <c r="A427" s="9" t="s">
        <v>587</v>
      </c>
      <c r="B427" s="9" t="s">
        <v>207</v>
      </c>
      <c r="C427" s="9">
        <v>17.0</v>
      </c>
      <c r="D427" s="9">
        <v>25.0</v>
      </c>
      <c r="E427" s="9"/>
      <c r="F427" s="9">
        <v>25.0</v>
      </c>
    </row>
    <row r="428">
      <c r="A428" s="9" t="s">
        <v>588</v>
      </c>
      <c r="B428" s="9" t="s">
        <v>207</v>
      </c>
      <c r="C428" s="9">
        <v>18.0</v>
      </c>
      <c r="D428" s="9">
        <v>25.0</v>
      </c>
      <c r="E428" s="9">
        <v>50.0</v>
      </c>
      <c r="F428" s="9">
        <v>75.0</v>
      </c>
    </row>
    <row r="429">
      <c r="A429" s="9" t="s">
        <v>589</v>
      </c>
      <c r="B429" s="9" t="s">
        <v>207</v>
      </c>
      <c r="C429" s="9">
        <v>19.0</v>
      </c>
      <c r="D429" s="9">
        <v>25.0</v>
      </c>
      <c r="E429" s="9"/>
      <c r="F429" s="9">
        <v>25.0</v>
      </c>
    </row>
    <row r="430">
      <c r="A430" s="9" t="s">
        <v>590</v>
      </c>
      <c r="B430" s="9" t="s">
        <v>11</v>
      </c>
      <c r="C430" s="9">
        <v>11.0</v>
      </c>
      <c r="D430" s="9">
        <v>25.0</v>
      </c>
      <c r="E430" s="9"/>
      <c r="F430" s="9">
        <v>25.0</v>
      </c>
    </row>
    <row r="431">
      <c r="A431" s="9" t="s">
        <v>591</v>
      </c>
      <c r="B431" s="9" t="s">
        <v>150</v>
      </c>
      <c r="C431" s="9">
        <v>15.0</v>
      </c>
      <c r="D431" s="9">
        <v>10.0</v>
      </c>
      <c r="F431" s="9">
        <v>10.0</v>
      </c>
    </row>
    <row r="433">
      <c r="F433" s="9">
        <f>SUBTOTAL(109,F2:F431)</f>
        <v>24455</v>
      </c>
    </row>
  </sheetData>
  <autoFilter ref="$A$1:$F$431">
    <sortState ref="A1:F431">
      <sortCondition ref="C1:C431"/>
    </sortState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2026-04-23T19:55:40Z</dcterms:created>
  <dc:creator>Usuario</dc:creator>
</cp:coreProperties>
</file>