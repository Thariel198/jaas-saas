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planilla_acumulado\"/>
    </mc:Choice>
  </mc:AlternateContent>
  <xr:revisionPtr revIDLastSave="0" documentId="13_ncr:1_{1A13D2F8-8E30-4529-A87C-FA6821692E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branza" sheetId="1" r:id="rId1"/>
    <sheet name="PLANILLA" sheetId="12" state="hidden" r:id="rId2"/>
  </sheets>
  <definedNames>
    <definedName name="_xlnm._FilterDatabase" localSheetId="0" hidden="1">Cobranza!$A$1:$AI$501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276cureRCIaRkBevtuh93QmLXstTWHLTYyLadewlvYQ="/>
    </ext>
  </extLst>
</workbook>
</file>

<file path=xl/calcChain.xml><?xml version="1.0" encoding="utf-8"?>
<calcChain xmlns="http://schemas.openxmlformats.org/spreadsheetml/2006/main">
  <c r="O501" i="1" l="1"/>
  <c r="K501" i="1"/>
  <c r="AI500" i="1"/>
  <c r="AH500" i="1"/>
  <c r="AF500" i="1"/>
  <c r="AD500" i="1"/>
  <c r="X500" i="1"/>
  <c r="W500" i="1"/>
  <c r="V500" i="1"/>
  <c r="AG500" i="1" s="1"/>
  <c r="AI499" i="1"/>
  <c r="AH499" i="1"/>
  <c r="AG499" i="1"/>
  <c r="AD499" i="1"/>
  <c r="X499" i="1"/>
  <c r="W499" i="1"/>
  <c r="V499" i="1"/>
  <c r="AF499" i="1" s="1"/>
  <c r="AI498" i="1"/>
  <c r="AH498" i="1"/>
  <c r="AF498" i="1"/>
  <c r="AD498" i="1"/>
  <c r="X498" i="1"/>
  <c r="W498" i="1"/>
  <c r="V498" i="1"/>
  <c r="AG498" i="1" s="1"/>
  <c r="AI497" i="1"/>
  <c r="AH497" i="1"/>
  <c r="AG497" i="1"/>
  <c r="AF497" i="1"/>
  <c r="AD497" i="1"/>
  <c r="X497" i="1"/>
  <c r="W497" i="1"/>
  <c r="V497" i="1"/>
  <c r="AI496" i="1"/>
  <c r="AH496" i="1"/>
  <c r="AF496" i="1"/>
  <c r="AE496" i="1"/>
  <c r="AD496" i="1"/>
  <c r="X496" i="1"/>
  <c r="W496" i="1"/>
  <c r="V496" i="1"/>
  <c r="AG496" i="1" s="1"/>
  <c r="AI495" i="1"/>
  <c r="AH495" i="1"/>
  <c r="AG495" i="1"/>
  <c r="AF495" i="1"/>
  <c r="AE495" i="1"/>
  <c r="AD495" i="1"/>
  <c r="X495" i="1"/>
  <c r="W495" i="1"/>
  <c r="V495" i="1"/>
  <c r="AI494" i="1"/>
  <c r="AH494" i="1"/>
  <c r="AF494" i="1"/>
  <c r="AE494" i="1"/>
  <c r="AD494" i="1"/>
  <c r="X494" i="1"/>
  <c r="W494" i="1"/>
  <c r="V494" i="1"/>
  <c r="AG494" i="1" s="1"/>
  <c r="AI493" i="1"/>
  <c r="AH493" i="1"/>
  <c r="AG493" i="1"/>
  <c r="AF493" i="1"/>
  <c r="AE493" i="1"/>
  <c r="AD493" i="1"/>
  <c r="X493" i="1"/>
  <c r="W493" i="1"/>
  <c r="V493" i="1"/>
  <c r="AI492" i="1"/>
  <c r="AH492" i="1"/>
  <c r="AG492" i="1"/>
  <c r="AF492" i="1"/>
  <c r="AE492" i="1"/>
  <c r="AD492" i="1"/>
  <c r="X492" i="1"/>
  <c r="W492" i="1"/>
  <c r="V492" i="1"/>
  <c r="AI491" i="1"/>
  <c r="AH491" i="1"/>
  <c r="AG491" i="1"/>
  <c r="AF491" i="1"/>
  <c r="AE491" i="1"/>
  <c r="AD491" i="1"/>
  <c r="X491" i="1"/>
  <c r="W491" i="1"/>
  <c r="V491" i="1"/>
  <c r="AI490" i="1"/>
  <c r="AH490" i="1"/>
  <c r="AF490" i="1"/>
  <c r="AE490" i="1"/>
  <c r="AD490" i="1"/>
  <c r="X490" i="1"/>
  <c r="W490" i="1"/>
  <c r="V490" i="1"/>
  <c r="AG490" i="1" s="1"/>
  <c r="AI489" i="1"/>
  <c r="AH489" i="1"/>
  <c r="AF489" i="1"/>
  <c r="AE489" i="1"/>
  <c r="AD489" i="1"/>
  <c r="X489" i="1"/>
  <c r="W489" i="1"/>
  <c r="V489" i="1"/>
  <c r="AG489" i="1" s="1"/>
  <c r="AI488" i="1"/>
  <c r="AH488" i="1"/>
  <c r="AF488" i="1"/>
  <c r="AE488" i="1"/>
  <c r="AD488" i="1"/>
  <c r="X488" i="1"/>
  <c r="W488" i="1"/>
  <c r="V488" i="1"/>
  <c r="AG488" i="1" s="1"/>
  <c r="AI487" i="1"/>
  <c r="AH487" i="1"/>
  <c r="AG487" i="1"/>
  <c r="AE487" i="1"/>
  <c r="AD487" i="1"/>
  <c r="X487" i="1"/>
  <c r="W487" i="1"/>
  <c r="V487" i="1"/>
  <c r="AF487" i="1" s="1"/>
  <c r="AI486" i="1"/>
  <c r="AH486" i="1"/>
  <c r="AF486" i="1"/>
  <c r="AE486" i="1"/>
  <c r="AD486" i="1"/>
  <c r="X486" i="1"/>
  <c r="W486" i="1"/>
  <c r="V486" i="1"/>
  <c r="AG486" i="1" s="1"/>
  <c r="AI485" i="1"/>
  <c r="AH485" i="1"/>
  <c r="AF485" i="1"/>
  <c r="AE485" i="1"/>
  <c r="AD485" i="1"/>
  <c r="X485" i="1"/>
  <c r="W485" i="1"/>
  <c r="V485" i="1"/>
  <c r="AG485" i="1" s="1"/>
  <c r="AI484" i="1"/>
  <c r="AH484" i="1"/>
  <c r="AF484" i="1"/>
  <c r="AE484" i="1"/>
  <c r="AD484" i="1"/>
  <c r="X484" i="1"/>
  <c r="W484" i="1"/>
  <c r="V484" i="1"/>
  <c r="AG484" i="1" s="1"/>
  <c r="AI483" i="1"/>
  <c r="AH483" i="1"/>
  <c r="AF483" i="1"/>
  <c r="AE483" i="1"/>
  <c r="AD483" i="1"/>
  <c r="X483" i="1"/>
  <c r="W483" i="1"/>
  <c r="V483" i="1"/>
  <c r="AG483" i="1" s="1"/>
  <c r="AI482" i="1"/>
  <c r="AH482" i="1"/>
  <c r="AG482" i="1"/>
  <c r="AF482" i="1"/>
  <c r="AE482" i="1"/>
  <c r="AD482" i="1"/>
  <c r="X482" i="1"/>
  <c r="W482" i="1"/>
  <c r="V482" i="1"/>
  <c r="AI481" i="1"/>
  <c r="AH481" i="1"/>
  <c r="AG481" i="1"/>
  <c r="AF481" i="1"/>
  <c r="AE481" i="1"/>
  <c r="AD481" i="1"/>
  <c r="X481" i="1"/>
  <c r="W481" i="1"/>
  <c r="V481" i="1"/>
  <c r="AI480" i="1"/>
  <c r="AH480" i="1"/>
  <c r="AG480" i="1"/>
  <c r="AE480" i="1"/>
  <c r="AD480" i="1"/>
  <c r="X480" i="1"/>
  <c r="W480" i="1"/>
  <c r="V480" i="1"/>
  <c r="AF480" i="1" s="1"/>
  <c r="AI479" i="1"/>
  <c r="AH479" i="1"/>
  <c r="AF479" i="1"/>
  <c r="AE479" i="1"/>
  <c r="AD479" i="1"/>
  <c r="X479" i="1"/>
  <c r="W479" i="1"/>
  <c r="V479" i="1"/>
  <c r="AG479" i="1" s="1"/>
  <c r="AI478" i="1"/>
  <c r="AH478" i="1"/>
  <c r="AG478" i="1"/>
  <c r="AE478" i="1"/>
  <c r="AD478" i="1"/>
  <c r="X478" i="1"/>
  <c r="W478" i="1"/>
  <c r="V478" i="1"/>
  <c r="AF478" i="1" s="1"/>
  <c r="AI477" i="1"/>
  <c r="AH477" i="1"/>
  <c r="AF477" i="1"/>
  <c r="AE477" i="1"/>
  <c r="AD477" i="1"/>
  <c r="X477" i="1"/>
  <c r="W477" i="1"/>
  <c r="V477" i="1"/>
  <c r="AG477" i="1" s="1"/>
  <c r="AI476" i="1"/>
  <c r="AH476" i="1"/>
  <c r="AF476" i="1"/>
  <c r="AE476" i="1"/>
  <c r="AD476" i="1"/>
  <c r="X476" i="1"/>
  <c r="W476" i="1"/>
  <c r="V476" i="1"/>
  <c r="AG476" i="1" s="1"/>
  <c r="AI475" i="1"/>
  <c r="AH475" i="1"/>
  <c r="AF475" i="1"/>
  <c r="AE475" i="1"/>
  <c r="AD475" i="1"/>
  <c r="X475" i="1"/>
  <c r="W475" i="1"/>
  <c r="V475" i="1"/>
  <c r="AG475" i="1" s="1"/>
  <c r="AI474" i="1"/>
  <c r="AH474" i="1"/>
  <c r="AF474" i="1"/>
  <c r="AE474" i="1"/>
  <c r="AD474" i="1"/>
  <c r="X474" i="1"/>
  <c r="W474" i="1"/>
  <c r="V474" i="1"/>
  <c r="AG474" i="1" s="1"/>
  <c r="AI473" i="1"/>
  <c r="AH473" i="1"/>
  <c r="AF473" i="1"/>
  <c r="AE473" i="1"/>
  <c r="AD473" i="1"/>
  <c r="X473" i="1"/>
  <c r="W473" i="1"/>
  <c r="V473" i="1"/>
  <c r="AG473" i="1" s="1"/>
  <c r="AI472" i="1"/>
  <c r="AH472" i="1"/>
  <c r="AF472" i="1"/>
  <c r="AE472" i="1"/>
  <c r="AD472" i="1"/>
  <c r="X472" i="1"/>
  <c r="W472" i="1"/>
  <c r="V472" i="1"/>
  <c r="AG472" i="1" s="1"/>
  <c r="AI471" i="1"/>
  <c r="AH471" i="1"/>
  <c r="AG471" i="1"/>
  <c r="AF471" i="1"/>
  <c r="AE471" i="1"/>
  <c r="AD471" i="1"/>
  <c r="X471" i="1"/>
  <c r="W471" i="1"/>
  <c r="V471" i="1"/>
  <c r="AI470" i="1"/>
  <c r="AH470" i="1"/>
  <c r="AF470" i="1"/>
  <c r="AE470" i="1"/>
  <c r="AD470" i="1"/>
  <c r="X470" i="1"/>
  <c r="W470" i="1"/>
  <c r="V470" i="1"/>
  <c r="AG470" i="1" s="1"/>
  <c r="AI469" i="1"/>
  <c r="AH469" i="1"/>
  <c r="AF469" i="1"/>
  <c r="AE469" i="1"/>
  <c r="AD469" i="1"/>
  <c r="X469" i="1"/>
  <c r="W469" i="1"/>
  <c r="V469" i="1"/>
  <c r="AG469" i="1" s="1"/>
  <c r="AI468" i="1"/>
  <c r="AH468" i="1"/>
  <c r="AG468" i="1"/>
  <c r="AF468" i="1"/>
  <c r="AE468" i="1"/>
  <c r="AD468" i="1"/>
  <c r="X468" i="1"/>
  <c r="W468" i="1"/>
  <c r="V468" i="1"/>
  <c r="AI467" i="1"/>
  <c r="AH467" i="1"/>
  <c r="AG467" i="1"/>
  <c r="AF467" i="1"/>
  <c r="AE467" i="1"/>
  <c r="AD467" i="1"/>
  <c r="X467" i="1"/>
  <c r="W467" i="1"/>
  <c r="V467" i="1"/>
  <c r="AI466" i="1"/>
  <c r="AH466" i="1"/>
  <c r="AF466" i="1"/>
  <c r="AE466" i="1"/>
  <c r="AD466" i="1"/>
  <c r="X466" i="1"/>
  <c r="W466" i="1"/>
  <c r="V466" i="1"/>
  <c r="AG466" i="1" s="1"/>
  <c r="AI465" i="1"/>
  <c r="AH465" i="1"/>
  <c r="AF465" i="1"/>
  <c r="AE465" i="1"/>
  <c r="AD465" i="1"/>
  <c r="X465" i="1"/>
  <c r="W465" i="1"/>
  <c r="V465" i="1"/>
  <c r="AG465" i="1" s="1"/>
  <c r="AI464" i="1"/>
  <c r="AH464" i="1"/>
  <c r="AG464" i="1"/>
  <c r="AF464" i="1"/>
  <c r="AE464" i="1"/>
  <c r="AD464" i="1"/>
  <c r="X464" i="1"/>
  <c r="W464" i="1"/>
  <c r="V464" i="1"/>
  <c r="AI463" i="1"/>
  <c r="AH463" i="1"/>
  <c r="AF463" i="1"/>
  <c r="AE463" i="1"/>
  <c r="AD463" i="1"/>
  <c r="X463" i="1"/>
  <c r="W463" i="1"/>
  <c r="V463" i="1"/>
  <c r="AG463" i="1" s="1"/>
  <c r="AI462" i="1"/>
  <c r="AH462" i="1"/>
  <c r="AG462" i="1"/>
  <c r="AE462" i="1"/>
  <c r="AD462" i="1"/>
  <c r="X462" i="1"/>
  <c r="W462" i="1"/>
  <c r="V462" i="1"/>
  <c r="AF462" i="1" s="1"/>
  <c r="AI461" i="1"/>
  <c r="AH461" i="1"/>
  <c r="AG461" i="1"/>
  <c r="AF461" i="1"/>
  <c r="AE461" i="1"/>
  <c r="AD461" i="1"/>
  <c r="X461" i="1"/>
  <c r="W461" i="1"/>
  <c r="V461" i="1"/>
  <c r="AI460" i="1"/>
  <c r="AH460" i="1"/>
  <c r="AF460" i="1"/>
  <c r="AE460" i="1"/>
  <c r="AD460" i="1"/>
  <c r="X460" i="1"/>
  <c r="W460" i="1"/>
  <c r="V460" i="1"/>
  <c r="AG460" i="1" s="1"/>
  <c r="AI459" i="1"/>
  <c r="AH459" i="1"/>
  <c r="AG459" i="1"/>
  <c r="AF459" i="1"/>
  <c r="AE459" i="1"/>
  <c r="AD459" i="1"/>
  <c r="X459" i="1"/>
  <c r="W459" i="1"/>
  <c r="V459" i="1"/>
  <c r="AI458" i="1"/>
  <c r="AH458" i="1"/>
  <c r="AF458" i="1"/>
  <c r="AE458" i="1"/>
  <c r="AD458" i="1"/>
  <c r="X458" i="1"/>
  <c r="W458" i="1"/>
  <c r="V458" i="1"/>
  <c r="AG458" i="1" s="1"/>
  <c r="AI457" i="1"/>
  <c r="AH457" i="1"/>
  <c r="AF457" i="1"/>
  <c r="AE457" i="1"/>
  <c r="AD457" i="1"/>
  <c r="X457" i="1"/>
  <c r="W457" i="1"/>
  <c r="V457" i="1"/>
  <c r="AG457" i="1" s="1"/>
  <c r="AI456" i="1"/>
  <c r="AH456" i="1"/>
  <c r="AG456" i="1"/>
  <c r="AF456" i="1"/>
  <c r="AE456" i="1"/>
  <c r="AD456" i="1"/>
  <c r="X456" i="1"/>
  <c r="W456" i="1"/>
  <c r="V456" i="1"/>
  <c r="AI455" i="1"/>
  <c r="AH455" i="1"/>
  <c r="AF455" i="1"/>
  <c r="AE455" i="1"/>
  <c r="AD455" i="1"/>
  <c r="X455" i="1"/>
  <c r="W455" i="1"/>
  <c r="V455" i="1"/>
  <c r="AG455" i="1" s="1"/>
  <c r="AI454" i="1"/>
  <c r="AH454" i="1"/>
  <c r="AF454" i="1"/>
  <c r="AE454" i="1"/>
  <c r="AD454" i="1"/>
  <c r="X454" i="1"/>
  <c r="W454" i="1"/>
  <c r="V454" i="1"/>
  <c r="AG454" i="1" s="1"/>
  <c r="AI453" i="1"/>
  <c r="AH453" i="1"/>
  <c r="AG453" i="1"/>
  <c r="AF453" i="1"/>
  <c r="AE453" i="1"/>
  <c r="AD453" i="1"/>
  <c r="X453" i="1"/>
  <c r="W453" i="1"/>
  <c r="V453" i="1"/>
  <c r="AI452" i="1"/>
  <c r="AH452" i="1"/>
  <c r="AF452" i="1"/>
  <c r="AE452" i="1"/>
  <c r="AD452" i="1"/>
  <c r="X452" i="1"/>
  <c r="W452" i="1"/>
  <c r="V452" i="1"/>
  <c r="AG452" i="1" s="1"/>
  <c r="AI451" i="1"/>
  <c r="AH451" i="1"/>
  <c r="AF451" i="1"/>
  <c r="AE451" i="1"/>
  <c r="AD451" i="1"/>
  <c r="X451" i="1"/>
  <c r="W451" i="1"/>
  <c r="V451" i="1"/>
  <c r="AG451" i="1" s="1"/>
  <c r="AI450" i="1"/>
  <c r="AH450" i="1"/>
  <c r="AG450" i="1"/>
  <c r="AF450" i="1"/>
  <c r="AE450" i="1"/>
  <c r="AD450" i="1"/>
  <c r="X450" i="1"/>
  <c r="W450" i="1"/>
  <c r="V450" i="1"/>
  <c r="AI449" i="1"/>
  <c r="AH449" i="1"/>
  <c r="AF449" i="1"/>
  <c r="AE449" i="1"/>
  <c r="AD449" i="1"/>
  <c r="X449" i="1"/>
  <c r="W449" i="1"/>
  <c r="V449" i="1"/>
  <c r="AG449" i="1" s="1"/>
  <c r="AI448" i="1"/>
  <c r="AH448" i="1"/>
  <c r="AG448" i="1"/>
  <c r="AF448" i="1"/>
  <c r="AE448" i="1"/>
  <c r="AD448" i="1"/>
  <c r="X448" i="1"/>
  <c r="W448" i="1"/>
  <c r="V448" i="1"/>
  <c r="AI447" i="1"/>
  <c r="AH447" i="1"/>
  <c r="AF447" i="1"/>
  <c r="AE447" i="1"/>
  <c r="AD447" i="1"/>
  <c r="X447" i="1"/>
  <c r="W447" i="1"/>
  <c r="V447" i="1"/>
  <c r="AG447" i="1" s="1"/>
  <c r="AI446" i="1"/>
  <c r="AH446" i="1"/>
  <c r="AF446" i="1"/>
  <c r="AE446" i="1"/>
  <c r="AD446" i="1"/>
  <c r="X446" i="1"/>
  <c r="W446" i="1"/>
  <c r="V446" i="1"/>
  <c r="AG446" i="1" s="1"/>
  <c r="AI445" i="1"/>
  <c r="AH445" i="1"/>
  <c r="AF445" i="1"/>
  <c r="AE445" i="1"/>
  <c r="AD445" i="1"/>
  <c r="X445" i="1"/>
  <c r="W445" i="1"/>
  <c r="V445" i="1"/>
  <c r="AG445" i="1" s="1"/>
  <c r="AI444" i="1"/>
  <c r="AH444" i="1"/>
  <c r="AF444" i="1"/>
  <c r="AE444" i="1"/>
  <c r="AD444" i="1"/>
  <c r="X444" i="1"/>
  <c r="W444" i="1"/>
  <c r="V444" i="1"/>
  <c r="AG444" i="1" s="1"/>
  <c r="AI443" i="1"/>
  <c r="AH443" i="1"/>
  <c r="AG443" i="1"/>
  <c r="AE443" i="1"/>
  <c r="AD443" i="1"/>
  <c r="X443" i="1"/>
  <c r="W443" i="1"/>
  <c r="V443" i="1"/>
  <c r="AF443" i="1" s="1"/>
  <c r="AI442" i="1"/>
  <c r="AH442" i="1"/>
  <c r="AF442" i="1"/>
  <c r="AE442" i="1"/>
  <c r="AD442" i="1"/>
  <c r="X442" i="1"/>
  <c r="W442" i="1"/>
  <c r="V442" i="1"/>
  <c r="AG442" i="1" s="1"/>
  <c r="AI441" i="1"/>
  <c r="AH441" i="1"/>
  <c r="AG441" i="1"/>
  <c r="AE441" i="1"/>
  <c r="AD441" i="1"/>
  <c r="X441" i="1"/>
  <c r="W441" i="1"/>
  <c r="V441" i="1"/>
  <c r="AF441" i="1" s="1"/>
  <c r="AI440" i="1"/>
  <c r="AH440" i="1"/>
  <c r="AG440" i="1"/>
  <c r="AF440" i="1"/>
  <c r="AE440" i="1"/>
  <c r="AD440" i="1"/>
  <c r="X440" i="1"/>
  <c r="W440" i="1"/>
  <c r="V440" i="1"/>
  <c r="AI439" i="1"/>
  <c r="AH439" i="1"/>
  <c r="AF439" i="1"/>
  <c r="AE439" i="1"/>
  <c r="AD439" i="1"/>
  <c r="X439" i="1"/>
  <c r="W439" i="1"/>
  <c r="V439" i="1"/>
  <c r="AG439" i="1" s="1"/>
  <c r="AI438" i="1"/>
  <c r="AH438" i="1"/>
  <c r="AG438" i="1"/>
  <c r="AF438" i="1"/>
  <c r="AE438" i="1"/>
  <c r="AD438" i="1"/>
  <c r="X438" i="1"/>
  <c r="W438" i="1"/>
  <c r="V438" i="1"/>
  <c r="AI437" i="1"/>
  <c r="AH437" i="1"/>
  <c r="AG437" i="1"/>
  <c r="AE437" i="1"/>
  <c r="AD437" i="1"/>
  <c r="X437" i="1"/>
  <c r="W437" i="1"/>
  <c r="V437" i="1"/>
  <c r="AF437" i="1" s="1"/>
  <c r="AI436" i="1"/>
  <c r="AH436" i="1"/>
  <c r="AF436" i="1"/>
  <c r="AE436" i="1"/>
  <c r="AD436" i="1"/>
  <c r="X436" i="1"/>
  <c r="W436" i="1"/>
  <c r="V436" i="1"/>
  <c r="AG436" i="1" s="1"/>
  <c r="AI435" i="1"/>
  <c r="AH435" i="1"/>
  <c r="AF435" i="1"/>
  <c r="AE435" i="1"/>
  <c r="AD435" i="1"/>
  <c r="X435" i="1"/>
  <c r="W435" i="1"/>
  <c r="V435" i="1"/>
  <c r="AG435" i="1" s="1"/>
  <c r="AI434" i="1"/>
  <c r="AH434" i="1"/>
  <c r="AG434" i="1"/>
  <c r="AE434" i="1"/>
  <c r="AD434" i="1"/>
  <c r="X434" i="1"/>
  <c r="W434" i="1"/>
  <c r="V434" i="1"/>
  <c r="AF434" i="1" s="1"/>
  <c r="AI433" i="1"/>
  <c r="AH433" i="1"/>
  <c r="AG433" i="1"/>
  <c r="AE433" i="1"/>
  <c r="AD433" i="1"/>
  <c r="X433" i="1"/>
  <c r="W433" i="1"/>
  <c r="V433" i="1"/>
  <c r="AF433" i="1" s="1"/>
  <c r="AI432" i="1"/>
  <c r="AH432" i="1"/>
  <c r="AF432" i="1"/>
  <c r="AE432" i="1"/>
  <c r="AD432" i="1"/>
  <c r="X432" i="1"/>
  <c r="W432" i="1"/>
  <c r="V432" i="1"/>
  <c r="AG432" i="1" s="1"/>
  <c r="AI431" i="1"/>
  <c r="AH431" i="1"/>
  <c r="AG431" i="1"/>
  <c r="AE431" i="1"/>
  <c r="AD431" i="1"/>
  <c r="X431" i="1"/>
  <c r="W431" i="1"/>
  <c r="V431" i="1"/>
  <c r="AF431" i="1" s="1"/>
  <c r="AI430" i="1"/>
  <c r="AH430" i="1"/>
  <c r="AF430" i="1"/>
  <c r="AE430" i="1"/>
  <c r="AD430" i="1"/>
  <c r="X430" i="1"/>
  <c r="W430" i="1"/>
  <c r="V430" i="1"/>
  <c r="AG430" i="1" s="1"/>
  <c r="AI429" i="1"/>
  <c r="AH429" i="1"/>
  <c r="AF429" i="1"/>
  <c r="AE429" i="1"/>
  <c r="AD429" i="1"/>
  <c r="X429" i="1"/>
  <c r="W429" i="1"/>
  <c r="V429" i="1"/>
  <c r="AG429" i="1" s="1"/>
  <c r="AI428" i="1"/>
  <c r="AH428" i="1"/>
  <c r="AF428" i="1"/>
  <c r="AE428" i="1"/>
  <c r="AD428" i="1"/>
  <c r="X428" i="1"/>
  <c r="W428" i="1"/>
  <c r="V428" i="1"/>
  <c r="AG428" i="1" s="1"/>
  <c r="AI427" i="1"/>
  <c r="AH427" i="1"/>
  <c r="AF427" i="1"/>
  <c r="AE427" i="1"/>
  <c r="AD427" i="1"/>
  <c r="X427" i="1"/>
  <c r="W427" i="1"/>
  <c r="V427" i="1"/>
  <c r="AG427" i="1" s="1"/>
  <c r="AI426" i="1"/>
  <c r="AH426" i="1"/>
  <c r="AG426" i="1"/>
  <c r="AE426" i="1"/>
  <c r="AD426" i="1"/>
  <c r="X426" i="1"/>
  <c r="W426" i="1"/>
  <c r="V426" i="1"/>
  <c r="AF426" i="1" s="1"/>
  <c r="AI425" i="1"/>
  <c r="AH425" i="1"/>
  <c r="AG425" i="1"/>
  <c r="AE425" i="1"/>
  <c r="AD425" i="1"/>
  <c r="X425" i="1"/>
  <c r="W425" i="1"/>
  <c r="V425" i="1"/>
  <c r="AF425" i="1" s="1"/>
  <c r="AI424" i="1"/>
  <c r="AH424" i="1"/>
  <c r="AG424" i="1"/>
  <c r="AF424" i="1"/>
  <c r="AE424" i="1"/>
  <c r="AD424" i="1"/>
  <c r="X424" i="1"/>
  <c r="W424" i="1"/>
  <c r="V424" i="1"/>
  <c r="AI423" i="1"/>
  <c r="AH423" i="1"/>
  <c r="AF423" i="1"/>
  <c r="AE423" i="1"/>
  <c r="AD423" i="1"/>
  <c r="X423" i="1"/>
  <c r="W423" i="1"/>
  <c r="V423" i="1"/>
  <c r="AG423" i="1" s="1"/>
  <c r="AI422" i="1"/>
  <c r="AH422" i="1"/>
  <c r="AF422" i="1"/>
  <c r="AE422" i="1"/>
  <c r="AD422" i="1"/>
  <c r="X422" i="1"/>
  <c r="W422" i="1"/>
  <c r="V422" i="1"/>
  <c r="AG422" i="1" s="1"/>
  <c r="AI421" i="1"/>
  <c r="AH421" i="1"/>
  <c r="AF421" i="1"/>
  <c r="AE421" i="1"/>
  <c r="AD421" i="1"/>
  <c r="X421" i="1"/>
  <c r="W421" i="1"/>
  <c r="V421" i="1"/>
  <c r="AG421" i="1" s="1"/>
  <c r="AI420" i="1"/>
  <c r="AH420" i="1"/>
  <c r="AG420" i="1"/>
  <c r="AF420" i="1"/>
  <c r="AE420" i="1"/>
  <c r="AD420" i="1"/>
  <c r="X420" i="1"/>
  <c r="W420" i="1"/>
  <c r="V420" i="1"/>
  <c r="AI419" i="1"/>
  <c r="AH419" i="1"/>
  <c r="AF419" i="1"/>
  <c r="AE419" i="1"/>
  <c r="AD419" i="1"/>
  <c r="X419" i="1"/>
  <c r="W419" i="1"/>
  <c r="V419" i="1"/>
  <c r="AG419" i="1" s="1"/>
  <c r="AI418" i="1"/>
  <c r="AH418" i="1"/>
  <c r="AF418" i="1"/>
  <c r="AE418" i="1"/>
  <c r="AD418" i="1"/>
  <c r="X418" i="1"/>
  <c r="W418" i="1"/>
  <c r="V418" i="1"/>
  <c r="AG418" i="1" s="1"/>
  <c r="AI417" i="1"/>
  <c r="AH417" i="1"/>
  <c r="AG417" i="1"/>
  <c r="AF417" i="1"/>
  <c r="AE417" i="1"/>
  <c r="AD417" i="1"/>
  <c r="X417" i="1"/>
  <c r="W417" i="1"/>
  <c r="V417" i="1"/>
  <c r="AI416" i="1"/>
  <c r="AH416" i="1"/>
  <c r="AF416" i="1"/>
  <c r="AE416" i="1"/>
  <c r="AD416" i="1"/>
  <c r="X416" i="1"/>
  <c r="W416" i="1"/>
  <c r="V416" i="1"/>
  <c r="AG416" i="1" s="1"/>
  <c r="AI415" i="1"/>
  <c r="AH415" i="1"/>
  <c r="AF415" i="1"/>
  <c r="AE415" i="1"/>
  <c r="AD415" i="1"/>
  <c r="X415" i="1"/>
  <c r="W415" i="1"/>
  <c r="V415" i="1"/>
  <c r="AG415" i="1" s="1"/>
  <c r="AI414" i="1"/>
  <c r="AH414" i="1"/>
  <c r="AG414" i="1"/>
  <c r="AF414" i="1"/>
  <c r="AE414" i="1"/>
  <c r="AD414" i="1"/>
  <c r="X414" i="1"/>
  <c r="W414" i="1"/>
  <c r="V414" i="1"/>
  <c r="AI413" i="1"/>
  <c r="AH413" i="1"/>
  <c r="AG413" i="1"/>
  <c r="AF413" i="1"/>
  <c r="AE413" i="1"/>
  <c r="AD413" i="1"/>
  <c r="X413" i="1"/>
  <c r="W413" i="1"/>
  <c r="V413" i="1"/>
  <c r="AI412" i="1"/>
  <c r="AH412" i="1"/>
  <c r="AF412" i="1"/>
  <c r="AE412" i="1"/>
  <c r="AD412" i="1"/>
  <c r="X412" i="1"/>
  <c r="W412" i="1"/>
  <c r="V412" i="1"/>
  <c r="AG412" i="1" s="1"/>
  <c r="AI411" i="1"/>
  <c r="AH411" i="1"/>
  <c r="AG411" i="1"/>
  <c r="AF411" i="1"/>
  <c r="AE411" i="1"/>
  <c r="AD411" i="1"/>
  <c r="X411" i="1"/>
  <c r="W411" i="1"/>
  <c r="V411" i="1"/>
  <c r="AI410" i="1"/>
  <c r="AH410" i="1"/>
  <c r="AG410" i="1"/>
  <c r="AF410" i="1"/>
  <c r="AE410" i="1"/>
  <c r="AD410" i="1"/>
  <c r="X410" i="1"/>
  <c r="W410" i="1"/>
  <c r="V410" i="1"/>
  <c r="AI409" i="1"/>
  <c r="AH409" i="1"/>
  <c r="AG409" i="1"/>
  <c r="AF409" i="1"/>
  <c r="AE409" i="1"/>
  <c r="AD409" i="1"/>
  <c r="X409" i="1"/>
  <c r="W409" i="1"/>
  <c r="V409" i="1"/>
  <c r="AI408" i="1"/>
  <c r="AH408" i="1"/>
  <c r="AF408" i="1"/>
  <c r="AE408" i="1"/>
  <c r="AD408" i="1"/>
  <c r="X408" i="1"/>
  <c r="W408" i="1"/>
  <c r="V408" i="1"/>
  <c r="AG408" i="1" s="1"/>
  <c r="AI407" i="1"/>
  <c r="AH407" i="1"/>
  <c r="AF407" i="1"/>
  <c r="AE407" i="1"/>
  <c r="AD407" i="1"/>
  <c r="X407" i="1"/>
  <c r="W407" i="1"/>
  <c r="V407" i="1"/>
  <c r="AG407" i="1" s="1"/>
  <c r="AI406" i="1"/>
  <c r="AH406" i="1"/>
  <c r="AG406" i="1"/>
  <c r="AF406" i="1"/>
  <c r="AE406" i="1"/>
  <c r="AD406" i="1"/>
  <c r="X406" i="1"/>
  <c r="W406" i="1"/>
  <c r="V406" i="1"/>
  <c r="AI405" i="1"/>
  <c r="AH405" i="1"/>
  <c r="AF405" i="1"/>
  <c r="AE405" i="1"/>
  <c r="AD405" i="1"/>
  <c r="X405" i="1"/>
  <c r="W405" i="1"/>
  <c r="V405" i="1"/>
  <c r="AG405" i="1" s="1"/>
  <c r="AI404" i="1"/>
  <c r="AH404" i="1"/>
  <c r="AG404" i="1"/>
  <c r="AF404" i="1"/>
  <c r="AE404" i="1"/>
  <c r="AD404" i="1"/>
  <c r="X404" i="1"/>
  <c r="W404" i="1"/>
  <c r="V404" i="1"/>
  <c r="AI403" i="1"/>
  <c r="AH403" i="1"/>
  <c r="AF403" i="1"/>
  <c r="AE403" i="1"/>
  <c r="AD403" i="1"/>
  <c r="X403" i="1"/>
  <c r="W403" i="1"/>
  <c r="V403" i="1"/>
  <c r="AG403" i="1" s="1"/>
  <c r="AI402" i="1"/>
  <c r="AH402" i="1"/>
  <c r="AG402" i="1"/>
  <c r="AF402" i="1"/>
  <c r="AE402" i="1"/>
  <c r="AD402" i="1"/>
  <c r="X402" i="1"/>
  <c r="W402" i="1"/>
  <c r="V402" i="1"/>
  <c r="AI401" i="1"/>
  <c r="AH401" i="1"/>
  <c r="AF401" i="1"/>
  <c r="AE401" i="1"/>
  <c r="AD401" i="1"/>
  <c r="X401" i="1"/>
  <c r="W401" i="1"/>
  <c r="V401" i="1"/>
  <c r="AG401" i="1" s="1"/>
  <c r="AI400" i="1"/>
  <c r="AH400" i="1"/>
  <c r="AF400" i="1"/>
  <c r="AE400" i="1"/>
  <c r="AD400" i="1"/>
  <c r="X400" i="1"/>
  <c r="W400" i="1"/>
  <c r="V400" i="1"/>
  <c r="AG400" i="1" s="1"/>
  <c r="AI399" i="1"/>
  <c r="AH399" i="1"/>
  <c r="AG399" i="1"/>
  <c r="AE399" i="1"/>
  <c r="AD399" i="1"/>
  <c r="X399" i="1"/>
  <c r="W399" i="1"/>
  <c r="V399" i="1"/>
  <c r="AF399" i="1" s="1"/>
  <c r="AI398" i="1"/>
  <c r="AH398" i="1"/>
  <c r="AF398" i="1"/>
  <c r="AE398" i="1"/>
  <c r="AD398" i="1"/>
  <c r="X398" i="1"/>
  <c r="W398" i="1"/>
  <c r="V398" i="1"/>
  <c r="AG398" i="1" s="1"/>
  <c r="AI397" i="1"/>
  <c r="AH397" i="1"/>
  <c r="AG397" i="1"/>
  <c r="AF397" i="1"/>
  <c r="AE397" i="1"/>
  <c r="AD397" i="1"/>
  <c r="X397" i="1"/>
  <c r="W397" i="1"/>
  <c r="V397" i="1"/>
  <c r="AI396" i="1"/>
  <c r="AH396" i="1"/>
  <c r="AG396" i="1"/>
  <c r="AF396" i="1"/>
  <c r="AE396" i="1"/>
  <c r="AD396" i="1"/>
  <c r="X396" i="1"/>
  <c r="W396" i="1"/>
  <c r="V396" i="1"/>
  <c r="AI395" i="1"/>
  <c r="AH395" i="1"/>
  <c r="AF395" i="1"/>
  <c r="AE395" i="1"/>
  <c r="AD395" i="1"/>
  <c r="X395" i="1"/>
  <c r="W395" i="1"/>
  <c r="V395" i="1"/>
  <c r="AG395" i="1" s="1"/>
  <c r="AI394" i="1"/>
  <c r="AH394" i="1"/>
  <c r="AF394" i="1"/>
  <c r="AD394" i="1"/>
  <c r="X394" i="1"/>
  <c r="W394" i="1"/>
  <c r="V394" i="1"/>
  <c r="AG394" i="1" s="1"/>
  <c r="AI393" i="1"/>
  <c r="AH393" i="1"/>
  <c r="AF393" i="1"/>
  <c r="AE393" i="1"/>
  <c r="AD393" i="1"/>
  <c r="X393" i="1"/>
  <c r="W393" i="1"/>
  <c r="V393" i="1"/>
  <c r="AG393" i="1" s="1"/>
  <c r="AI392" i="1"/>
  <c r="AH392" i="1"/>
  <c r="AF392" i="1"/>
  <c r="AE392" i="1"/>
  <c r="AD392" i="1"/>
  <c r="X392" i="1"/>
  <c r="W392" i="1"/>
  <c r="V392" i="1"/>
  <c r="AG392" i="1" s="1"/>
  <c r="AI391" i="1"/>
  <c r="AH391" i="1"/>
  <c r="AF391" i="1"/>
  <c r="AE391" i="1"/>
  <c r="AD391" i="1"/>
  <c r="X391" i="1"/>
  <c r="W391" i="1"/>
  <c r="V391" i="1"/>
  <c r="AG391" i="1" s="1"/>
  <c r="AI390" i="1"/>
  <c r="AH390" i="1"/>
  <c r="AF390" i="1"/>
  <c r="AE390" i="1"/>
  <c r="AD390" i="1"/>
  <c r="X390" i="1"/>
  <c r="W390" i="1"/>
  <c r="V390" i="1"/>
  <c r="AG390" i="1" s="1"/>
  <c r="AI389" i="1"/>
  <c r="AH389" i="1"/>
  <c r="AF389" i="1"/>
  <c r="AE389" i="1"/>
  <c r="AD389" i="1"/>
  <c r="X389" i="1"/>
  <c r="W389" i="1"/>
  <c r="V389" i="1"/>
  <c r="AG389" i="1" s="1"/>
  <c r="AI388" i="1"/>
  <c r="AH388" i="1"/>
  <c r="AF388" i="1"/>
  <c r="AE388" i="1"/>
  <c r="AD388" i="1"/>
  <c r="X388" i="1"/>
  <c r="W388" i="1"/>
  <c r="V388" i="1"/>
  <c r="AG388" i="1" s="1"/>
  <c r="AI387" i="1"/>
  <c r="AH387" i="1"/>
  <c r="AF387" i="1"/>
  <c r="AE387" i="1"/>
  <c r="AD387" i="1"/>
  <c r="X387" i="1"/>
  <c r="W387" i="1"/>
  <c r="V387" i="1"/>
  <c r="AG387" i="1" s="1"/>
  <c r="AI386" i="1"/>
  <c r="AH386" i="1"/>
  <c r="AF386" i="1"/>
  <c r="AE386" i="1"/>
  <c r="AD386" i="1"/>
  <c r="X386" i="1"/>
  <c r="W386" i="1"/>
  <c r="V386" i="1"/>
  <c r="AG386" i="1" s="1"/>
  <c r="AI385" i="1"/>
  <c r="AH385" i="1"/>
  <c r="AF385" i="1"/>
  <c r="AE385" i="1"/>
  <c r="AD385" i="1"/>
  <c r="X385" i="1"/>
  <c r="W385" i="1"/>
  <c r="V385" i="1"/>
  <c r="AG385" i="1" s="1"/>
  <c r="AI384" i="1"/>
  <c r="AH384" i="1"/>
  <c r="AG384" i="1"/>
  <c r="AF384" i="1"/>
  <c r="AE384" i="1"/>
  <c r="AD384" i="1"/>
  <c r="X384" i="1"/>
  <c r="W384" i="1"/>
  <c r="V384" i="1"/>
  <c r="AI383" i="1"/>
  <c r="AH383" i="1"/>
  <c r="AG383" i="1"/>
  <c r="AF383" i="1"/>
  <c r="AE383" i="1"/>
  <c r="AD383" i="1"/>
  <c r="X383" i="1"/>
  <c r="W383" i="1"/>
  <c r="V383" i="1"/>
  <c r="AI382" i="1"/>
  <c r="AH382" i="1"/>
  <c r="AG382" i="1"/>
  <c r="AF382" i="1"/>
  <c r="AE382" i="1"/>
  <c r="AD382" i="1"/>
  <c r="X382" i="1"/>
  <c r="W382" i="1"/>
  <c r="V382" i="1"/>
  <c r="AI381" i="1"/>
  <c r="AH381" i="1"/>
  <c r="AG381" i="1"/>
  <c r="AE381" i="1"/>
  <c r="AD381" i="1"/>
  <c r="X381" i="1"/>
  <c r="W381" i="1"/>
  <c r="V381" i="1"/>
  <c r="AF381" i="1" s="1"/>
  <c r="AI380" i="1"/>
  <c r="AH380" i="1"/>
  <c r="AG380" i="1"/>
  <c r="AF380" i="1"/>
  <c r="AE380" i="1"/>
  <c r="AD380" i="1"/>
  <c r="X380" i="1"/>
  <c r="W380" i="1"/>
  <c r="V380" i="1"/>
  <c r="AI379" i="1"/>
  <c r="AH379" i="1"/>
  <c r="AF379" i="1"/>
  <c r="AE379" i="1"/>
  <c r="AD379" i="1"/>
  <c r="X379" i="1"/>
  <c r="W379" i="1"/>
  <c r="V379" i="1"/>
  <c r="AG379" i="1" s="1"/>
  <c r="AI378" i="1"/>
  <c r="AH378" i="1"/>
  <c r="AG378" i="1"/>
  <c r="AE378" i="1"/>
  <c r="AD378" i="1"/>
  <c r="X378" i="1"/>
  <c r="W378" i="1"/>
  <c r="V378" i="1"/>
  <c r="AF378" i="1" s="1"/>
  <c r="AI377" i="1"/>
  <c r="AH377" i="1"/>
  <c r="AF377" i="1"/>
  <c r="AE377" i="1"/>
  <c r="AD377" i="1"/>
  <c r="X377" i="1"/>
  <c r="W377" i="1"/>
  <c r="V377" i="1"/>
  <c r="AG377" i="1" s="1"/>
  <c r="AI376" i="1"/>
  <c r="AH376" i="1"/>
  <c r="AG376" i="1"/>
  <c r="AF376" i="1"/>
  <c r="AE376" i="1"/>
  <c r="AD376" i="1"/>
  <c r="X376" i="1"/>
  <c r="W376" i="1"/>
  <c r="V376" i="1"/>
  <c r="AI375" i="1"/>
  <c r="AH375" i="1"/>
  <c r="AF375" i="1"/>
  <c r="AE375" i="1"/>
  <c r="AD375" i="1"/>
  <c r="X375" i="1"/>
  <c r="W375" i="1"/>
  <c r="V375" i="1"/>
  <c r="AG375" i="1" s="1"/>
  <c r="AI374" i="1"/>
  <c r="AH374" i="1"/>
  <c r="AG374" i="1"/>
  <c r="AE374" i="1"/>
  <c r="AD374" i="1"/>
  <c r="X374" i="1"/>
  <c r="W374" i="1"/>
  <c r="V374" i="1"/>
  <c r="AF374" i="1" s="1"/>
  <c r="AI373" i="1"/>
  <c r="AH373" i="1"/>
  <c r="AF373" i="1"/>
  <c r="AE373" i="1"/>
  <c r="AD373" i="1"/>
  <c r="X373" i="1"/>
  <c r="W373" i="1"/>
  <c r="V373" i="1"/>
  <c r="AG373" i="1" s="1"/>
  <c r="AI372" i="1"/>
  <c r="AH372" i="1"/>
  <c r="AF372" i="1"/>
  <c r="AE372" i="1"/>
  <c r="AD372" i="1"/>
  <c r="X372" i="1"/>
  <c r="W372" i="1"/>
  <c r="V372" i="1"/>
  <c r="AG372" i="1" s="1"/>
  <c r="AI371" i="1"/>
  <c r="AH371" i="1"/>
  <c r="AG371" i="1"/>
  <c r="AF371" i="1"/>
  <c r="AE371" i="1"/>
  <c r="AD371" i="1"/>
  <c r="X371" i="1"/>
  <c r="W371" i="1"/>
  <c r="V371" i="1"/>
  <c r="AI370" i="1"/>
  <c r="AH370" i="1"/>
  <c r="AF370" i="1"/>
  <c r="AE370" i="1"/>
  <c r="AD370" i="1"/>
  <c r="X370" i="1"/>
  <c r="W370" i="1"/>
  <c r="V370" i="1"/>
  <c r="AG370" i="1" s="1"/>
  <c r="AI369" i="1"/>
  <c r="AH369" i="1"/>
  <c r="AG369" i="1"/>
  <c r="AE369" i="1"/>
  <c r="AD369" i="1"/>
  <c r="X369" i="1"/>
  <c r="W369" i="1"/>
  <c r="V369" i="1"/>
  <c r="AF369" i="1" s="1"/>
  <c r="AI368" i="1"/>
  <c r="AH368" i="1"/>
  <c r="AF368" i="1"/>
  <c r="AE368" i="1"/>
  <c r="AD368" i="1"/>
  <c r="X368" i="1"/>
  <c r="W368" i="1"/>
  <c r="V368" i="1"/>
  <c r="AG368" i="1" s="1"/>
  <c r="AI367" i="1"/>
  <c r="AH367" i="1"/>
  <c r="AG367" i="1"/>
  <c r="AE367" i="1"/>
  <c r="AD367" i="1"/>
  <c r="X367" i="1"/>
  <c r="W367" i="1"/>
  <c r="V367" i="1"/>
  <c r="AF367" i="1" s="1"/>
  <c r="AI366" i="1"/>
  <c r="AH366" i="1"/>
  <c r="AF366" i="1"/>
  <c r="AE366" i="1"/>
  <c r="AD366" i="1"/>
  <c r="X366" i="1"/>
  <c r="W366" i="1"/>
  <c r="V366" i="1"/>
  <c r="AG366" i="1" s="1"/>
  <c r="AI365" i="1"/>
  <c r="AH365" i="1"/>
  <c r="AF365" i="1"/>
  <c r="AE365" i="1"/>
  <c r="AD365" i="1"/>
  <c r="X365" i="1"/>
  <c r="W365" i="1"/>
  <c r="V365" i="1"/>
  <c r="AG365" i="1" s="1"/>
  <c r="AI364" i="1"/>
  <c r="AH364" i="1"/>
  <c r="AF364" i="1"/>
  <c r="AE364" i="1"/>
  <c r="AD364" i="1"/>
  <c r="X364" i="1"/>
  <c r="W364" i="1"/>
  <c r="V364" i="1"/>
  <c r="AG364" i="1" s="1"/>
  <c r="AI363" i="1"/>
  <c r="AH363" i="1"/>
  <c r="AG363" i="1"/>
  <c r="AE363" i="1"/>
  <c r="AD363" i="1"/>
  <c r="X363" i="1"/>
  <c r="W363" i="1"/>
  <c r="V363" i="1"/>
  <c r="AF363" i="1" s="1"/>
  <c r="AI362" i="1"/>
  <c r="AH362" i="1"/>
  <c r="AF362" i="1"/>
  <c r="AE362" i="1"/>
  <c r="AD362" i="1"/>
  <c r="X362" i="1"/>
  <c r="W362" i="1"/>
  <c r="V362" i="1"/>
  <c r="AG362" i="1" s="1"/>
  <c r="AI361" i="1"/>
  <c r="AH361" i="1"/>
  <c r="AG361" i="1"/>
  <c r="AF361" i="1"/>
  <c r="AE361" i="1"/>
  <c r="AD361" i="1"/>
  <c r="X361" i="1"/>
  <c r="W361" i="1"/>
  <c r="V361" i="1"/>
  <c r="AI360" i="1"/>
  <c r="AH360" i="1"/>
  <c r="AG360" i="1"/>
  <c r="AF360" i="1"/>
  <c r="AE360" i="1"/>
  <c r="AD360" i="1"/>
  <c r="X360" i="1"/>
  <c r="W360" i="1"/>
  <c r="V360" i="1"/>
  <c r="AI359" i="1"/>
  <c r="AH359" i="1"/>
  <c r="AG359" i="1"/>
  <c r="AF359" i="1"/>
  <c r="AE359" i="1"/>
  <c r="AD359" i="1"/>
  <c r="X359" i="1"/>
  <c r="W359" i="1"/>
  <c r="V359" i="1"/>
  <c r="AI358" i="1"/>
  <c r="AH358" i="1"/>
  <c r="AF358" i="1"/>
  <c r="AE358" i="1"/>
  <c r="AD358" i="1"/>
  <c r="X358" i="1"/>
  <c r="W358" i="1"/>
  <c r="V358" i="1"/>
  <c r="AG358" i="1" s="1"/>
  <c r="AI357" i="1"/>
  <c r="AH357" i="1"/>
  <c r="AG357" i="1"/>
  <c r="AE357" i="1"/>
  <c r="AD357" i="1"/>
  <c r="X357" i="1"/>
  <c r="W357" i="1"/>
  <c r="V357" i="1"/>
  <c r="AF357" i="1" s="1"/>
  <c r="AI356" i="1"/>
  <c r="AH356" i="1"/>
  <c r="AG356" i="1"/>
  <c r="AF356" i="1"/>
  <c r="AE356" i="1"/>
  <c r="AD356" i="1"/>
  <c r="X356" i="1"/>
  <c r="W356" i="1"/>
  <c r="V356" i="1"/>
  <c r="AI355" i="1"/>
  <c r="AH355" i="1"/>
  <c r="AF355" i="1"/>
  <c r="AE355" i="1"/>
  <c r="AD355" i="1"/>
  <c r="X355" i="1"/>
  <c r="W355" i="1"/>
  <c r="V355" i="1"/>
  <c r="AG355" i="1" s="1"/>
  <c r="AI354" i="1"/>
  <c r="AH354" i="1"/>
  <c r="AF354" i="1"/>
  <c r="AE354" i="1"/>
  <c r="AD354" i="1"/>
  <c r="X354" i="1"/>
  <c r="W354" i="1"/>
  <c r="V354" i="1"/>
  <c r="AG354" i="1" s="1"/>
  <c r="AI353" i="1"/>
  <c r="AH353" i="1"/>
  <c r="AG353" i="1"/>
  <c r="AF353" i="1"/>
  <c r="AE353" i="1"/>
  <c r="AD353" i="1"/>
  <c r="X353" i="1"/>
  <c r="W353" i="1"/>
  <c r="V353" i="1"/>
  <c r="AI352" i="1"/>
  <c r="AH352" i="1"/>
  <c r="AF352" i="1"/>
  <c r="AE352" i="1"/>
  <c r="AD352" i="1"/>
  <c r="X352" i="1"/>
  <c r="W352" i="1"/>
  <c r="V352" i="1"/>
  <c r="AG352" i="1" s="1"/>
  <c r="AI351" i="1"/>
  <c r="AH351" i="1"/>
  <c r="AF351" i="1"/>
  <c r="AE351" i="1"/>
  <c r="AD351" i="1"/>
  <c r="X351" i="1"/>
  <c r="W351" i="1"/>
  <c r="V351" i="1"/>
  <c r="AG351" i="1" s="1"/>
  <c r="AI350" i="1"/>
  <c r="AH350" i="1"/>
  <c r="AF350" i="1"/>
  <c r="AE350" i="1"/>
  <c r="AD350" i="1"/>
  <c r="X350" i="1"/>
  <c r="W350" i="1"/>
  <c r="V350" i="1"/>
  <c r="AG350" i="1" s="1"/>
  <c r="AI349" i="1"/>
  <c r="AH349" i="1"/>
  <c r="AG349" i="1"/>
  <c r="AF349" i="1"/>
  <c r="AE349" i="1"/>
  <c r="AD349" i="1"/>
  <c r="X349" i="1"/>
  <c r="W349" i="1"/>
  <c r="V349" i="1"/>
  <c r="AI348" i="1"/>
  <c r="AH348" i="1"/>
  <c r="AG348" i="1"/>
  <c r="AE348" i="1"/>
  <c r="AD348" i="1"/>
  <c r="X348" i="1"/>
  <c r="W348" i="1"/>
  <c r="V348" i="1"/>
  <c r="AF348" i="1" s="1"/>
  <c r="AI347" i="1"/>
  <c r="AH347" i="1"/>
  <c r="AF347" i="1"/>
  <c r="AE347" i="1"/>
  <c r="AD347" i="1"/>
  <c r="X347" i="1"/>
  <c r="W347" i="1"/>
  <c r="V347" i="1"/>
  <c r="AG347" i="1" s="1"/>
  <c r="AI346" i="1"/>
  <c r="AH346" i="1"/>
  <c r="AF346" i="1"/>
  <c r="AE346" i="1"/>
  <c r="AD346" i="1"/>
  <c r="X346" i="1"/>
  <c r="W346" i="1"/>
  <c r="V346" i="1"/>
  <c r="AG346" i="1" s="1"/>
  <c r="AI345" i="1"/>
  <c r="AH345" i="1"/>
  <c r="AF345" i="1"/>
  <c r="AE345" i="1"/>
  <c r="AD345" i="1"/>
  <c r="X345" i="1"/>
  <c r="W345" i="1"/>
  <c r="V345" i="1"/>
  <c r="AG345" i="1" s="1"/>
  <c r="AI344" i="1"/>
  <c r="AH344" i="1"/>
  <c r="AG344" i="1"/>
  <c r="AF344" i="1"/>
  <c r="AE344" i="1"/>
  <c r="AD344" i="1"/>
  <c r="X344" i="1"/>
  <c r="W344" i="1"/>
  <c r="V344" i="1"/>
  <c r="AI343" i="1"/>
  <c r="AH343" i="1"/>
  <c r="AG343" i="1"/>
  <c r="AF343" i="1"/>
  <c r="AE343" i="1"/>
  <c r="AD343" i="1"/>
  <c r="X343" i="1"/>
  <c r="W343" i="1"/>
  <c r="V343" i="1"/>
  <c r="AI342" i="1"/>
  <c r="AH342" i="1"/>
  <c r="AF342" i="1"/>
  <c r="AE342" i="1"/>
  <c r="AD342" i="1"/>
  <c r="X342" i="1"/>
  <c r="W342" i="1"/>
  <c r="V342" i="1"/>
  <c r="AG342" i="1" s="1"/>
  <c r="AI341" i="1"/>
  <c r="AH341" i="1"/>
  <c r="AG341" i="1"/>
  <c r="AD341" i="1"/>
  <c r="X341" i="1"/>
  <c r="W341" i="1"/>
  <c r="V341" i="1"/>
  <c r="AF341" i="1" s="1"/>
  <c r="AI340" i="1"/>
  <c r="AH340" i="1"/>
  <c r="AG340" i="1"/>
  <c r="AF340" i="1"/>
  <c r="AE340" i="1"/>
  <c r="AD340" i="1"/>
  <c r="X340" i="1"/>
  <c r="W340" i="1"/>
  <c r="V340" i="1"/>
  <c r="AI339" i="1"/>
  <c r="AH339" i="1"/>
  <c r="AG339" i="1"/>
  <c r="AF339" i="1"/>
  <c r="AE339" i="1"/>
  <c r="AD339" i="1"/>
  <c r="X339" i="1"/>
  <c r="W339" i="1"/>
  <c r="V339" i="1"/>
  <c r="AI338" i="1"/>
  <c r="AH338" i="1"/>
  <c r="AG338" i="1"/>
  <c r="AF338" i="1"/>
  <c r="AE338" i="1"/>
  <c r="AD338" i="1"/>
  <c r="X338" i="1"/>
  <c r="W338" i="1"/>
  <c r="V338" i="1"/>
  <c r="AI337" i="1"/>
  <c r="AH337" i="1"/>
  <c r="AF337" i="1"/>
  <c r="AE337" i="1"/>
  <c r="AD337" i="1"/>
  <c r="X337" i="1"/>
  <c r="W337" i="1"/>
  <c r="V337" i="1"/>
  <c r="AG337" i="1" s="1"/>
  <c r="AI336" i="1"/>
  <c r="AH336" i="1"/>
  <c r="AG336" i="1"/>
  <c r="AF336" i="1"/>
  <c r="AE336" i="1"/>
  <c r="AD336" i="1"/>
  <c r="X336" i="1"/>
  <c r="W336" i="1"/>
  <c r="V336" i="1"/>
  <c r="AI335" i="1"/>
  <c r="AH335" i="1"/>
  <c r="AG335" i="1"/>
  <c r="AE335" i="1"/>
  <c r="AD335" i="1"/>
  <c r="X335" i="1"/>
  <c r="W335" i="1"/>
  <c r="V335" i="1"/>
  <c r="AF335" i="1" s="1"/>
  <c r="AI334" i="1"/>
  <c r="AH334" i="1"/>
  <c r="AG334" i="1"/>
  <c r="AF334" i="1"/>
  <c r="AD334" i="1"/>
  <c r="X334" i="1"/>
  <c r="W334" i="1"/>
  <c r="V334" i="1"/>
  <c r="AI333" i="1"/>
  <c r="AH333" i="1"/>
  <c r="AG333" i="1"/>
  <c r="AE333" i="1"/>
  <c r="AD333" i="1"/>
  <c r="X333" i="1"/>
  <c r="W333" i="1"/>
  <c r="V333" i="1"/>
  <c r="AF333" i="1" s="1"/>
  <c r="AI332" i="1"/>
  <c r="AH332" i="1"/>
  <c r="AG332" i="1"/>
  <c r="AE332" i="1"/>
  <c r="AD332" i="1"/>
  <c r="X332" i="1"/>
  <c r="W332" i="1"/>
  <c r="V332" i="1"/>
  <c r="AF332" i="1" s="1"/>
  <c r="AI331" i="1"/>
  <c r="AH331" i="1"/>
  <c r="AG331" i="1"/>
  <c r="AF331" i="1"/>
  <c r="AE331" i="1"/>
  <c r="AD331" i="1"/>
  <c r="X331" i="1"/>
  <c r="W331" i="1"/>
  <c r="V331" i="1"/>
  <c r="AI330" i="1"/>
  <c r="AH330" i="1"/>
  <c r="AF330" i="1"/>
  <c r="AE330" i="1"/>
  <c r="AD330" i="1"/>
  <c r="X330" i="1"/>
  <c r="W330" i="1"/>
  <c r="V330" i="1"/>
  <c r="AG330" i="1" s="1"/>
  <c r="AI329" i="1"/>
  <c r="AH329" i="1"/>
  <c r="AF329" i="1"/>
  <c r="AE329" i="1"/>
  <c r="AD329" i="1"/>
  <c r="X329" i="1"/>
  <c r="W329" i="1"/>
  <c r="V329" i="1"/>
  <c r="AG329" i="1" s="1"/>
  <c r="AI328" i="1"/>
  <c r="AH328" i="1"/>
  <c r="AF328" i="1"/>
  <c r="AE328" i="1"/>
  <c r="AD328" i="1"/>
  <c r="X328" i="1"/>
  <c r="W328" i="1"/>
  <c r="V328" i="1"/>
  <c r="AG328" i="1" s="1"/>
  <c r="AI327" i="1"/>
  <c r="AH327" i="1"/>
  <c r="AF327" i="1"/>
  <c r="AE327" i="1"/>
  <c r="AD327" i="1"/>
  <c r="X327" i="1"/>
  <c r="W327" i="1"/>
  <c r="V327" i="1"/>
  <c r="AG327" i="1" s="1"/>
  <c r="AI326" i="1"/>
  <c r="AH326" i="1"/>
  <c r="AG326" i="1"/>
  <c r="AE326" i="1"/>
  <c r="AD326" i="1"/>
  <c r="X326" i="1"/>
  <c r="W326" i="1"/>
  <c r="V326" i="1"/>
  <c r="AF326" i="1" s="1"/>
  <c r="AI325" i="1"/>
  <c r="AH325" i="1"/>
  <c r="AG325" i="1"/>
  <c r="AF325" i="1"/>
  <c r="AE325" i="1"/>
  <c r="AD325" i="1"/>
  <c r="X325" i="1"/>
  <c r="W325" i="1"/>
  <c r="V325" i="1"/>
  <c r="AI324" i="1"/>
  <c r="AH324" i="1"/>
  <c r="AF324" i="1"/>
  <c r="AE324" i="1"/>
  <c r="AD324" i="1"/>
  <c r="X324" i="1"/>
  <c r="W324" i="1"/>
  <c r="V324" i="1"/>
  <c r="AG324" i="1" s="1"/>
  <c r="AI323" i="1"/>
  <c r="AH323" i="1"/>
  <c r="AF323" i="1"/>
  <c r="AE323" i="1"/>
  <c r="AD323" i="1"/>
  <c r="X323" i="1"/>
  <c r="W323" i="1"/>
  <c r="V323" i="1"/>
  <c r="AG323" i="1" s="1"/>
  <c r="AI322" i="1"/>
  <c r="AH322" i="1"/>
  <c r="AF322" i="1"/>
  <c r="AE322" i="1"/>
  <c r="AD322" i="1"/>
  <c r="X322" i="1"/>
  <c r="W322" i="1"/>
  <c r="V322" i="1"/>
  <c r="AG322" i="1" s="1"/>
  <c r="AI321" i="1"/>
  <c r="AH321" i="1"/>
  <c r="AF321" i="1"/>
  <c r="AE321" i="1"/>
  <c r="AD321" i="1"/>
  <c r="X321" i="1"/>
  <c r="W321" i="1"/>
  <c r="V321" i="1"/>
  <c r="AG321" i="1" s="1"/>
  <c r="AI320" i="1"/>
  <c r="AH320" i="1"/>
  <c r="AF320" i="1"/>
  <c r="AE320" i="1"/>
  <c r="AD320" i="1"/>
  <c r="X320" i="1"/>
  <c r="W320" i="1"/>
  <c r="V320" i="1"/>
  <c r="AG320" i="1" s="1"/>
  <c r="AI319" i="1"/>
  <c r="AH319" i="1"/>
  <c r="AF319" i="1"/>
  <c r="AE319" i="1"/>
  <c r="AD319" i="1"/>
  <c r="X319" i="1"/>
  <c r="W319" i="1"/>
  <c r="V319" i="1"/>
  <c r="AG319" i="1" s="1"/>
  <c r="AI318" i="1"/>
  <c r="AH318" i="1"/>
  <c r="AF318" i="1"/>
  <c r="AE318" i="1"/>
  <c r="AD318" i="1"/>
  <c r="X318" i="1"/>
  <c r="W318" i="1"/>
  <c r="V318" i="1"/>
  <c r="AG318" i="1" s="1"/>
  <c r="AI317" i="1"/>
  <c r="AH317" i="1"/>
  <c r="AF317" i="1"/>
  <c r="AE317" i="1"/>
  <c r="AD317" i="1"/>
  <c r="X317" i="1"/>
  <c r="W317" i="1"/>
  <c r="V317" i="1"/>
  <c r="AG317" i="1" s="1"/>
  <c r="AI316" i="1"/>
  <c r="AH316" i="1"/>
  <c r="AF316" i="1"/>
  <c r="AE316" i="1"/>
  <c r="AD316" i="1"/>
  <c r="X316" i="1"/>
  <c r="W316" i="1"/>
  <c r="V316" i="1"/>
  <c r="AG316" i="1" s="1"/>
  <c r="AI315" i="1"/>
  <c r="AH315" i="1"/>
  <c r="AG315" i="1"/>
  <c r="AF315" i="1"/>
  <c r="AE315" i="1"/>
  <c r="AD315" i="1"/>
  <c r="X315" i="1"/>
  <c r="W315" i="1"/>
  <c r="V315" i="1"/>
  <c r="AI314" i="1"/>
  <c r="AH314" i="1"/>
  <c r="AF314" i="1"/>
  <c r="AE314" i="1"/>
  <c r="AD314" i="1"/>
  <c r="X314" i="1"/>
  <c r="W314" i="1"/>
  <c r="V314" i="1"/>
  <c r="AG314" i="1" s="1"/>
  <c r="AI313" i="1"/>
  <c r="AH313" i="1"/>
  <c r="AG313" i="1"/>
  <c r="AF313" i="1"/>
  <c r="AE313" i="1"/>
  <c r="AD313" i="1"/>
  <c r="X313" i="1"/>
  <c r="W313" i="1"/>
  <c r="V313" i="1"/>
  <c r="AI312" i="1"/>
  <c r="AH312" i="1"/>
  <c r="AF312" i="1"/>
  <c r="AE312" i="1"/>
  <c r="AD312" i="1"/>
  <c r="X312" i="1"/>
  <c r="W312" i="1"/>
  <c r="V312" i="1"/>
  <c r="AG312" i="1" s="1"/>
  <c r="AI311" i="1"/>
  <c r="AH311" i="1"/>
  <c r="AG311" i="1"/>
  <c r="AE311" i="1"/>
  <c r="AD311" i="1"/>
  <c r="X311" i="1"/>
  <c r="W311" i="1"/>
  <c r="V311" i="1"/>
  <c r="AF311" i="1" s="1"/>
  <c r="AI310" i="1"/>
  <c r="AH310" i="1"/>
  <c r="AF310" i="1"/>
  <c r="AE310" i="1"/>
  <c r="AD310" i="1"/>
  <c r="X310" i="1"/>
  <c r="W310" i="1"/>
  <c r="V310" i="1"/>
  <c r="AG310" i="1" s="1"/>
  <c r="AI309" i="1"/>
  <c r="AH309" i="1"/>
  <c r="AF309" i="1"/>
  <c r="AE309" i="1"/>
  <c r="AD309" i="1"/>
  <c r="X309" i="1"/>
  <c r="W309" i="1"/>
  <c r="V309" i="1"/>
  <c r="AG309" i="1" s="1"/>
  <c r="AI308" i="1"/>
  <c r="AH308" i="1"/>
  <c r="AG308" i="1"/>
  <c r="AF308" i="1"/>
  <c r="AE308" i="1"/>
  <c r="AD308" i="1"/>
  <c r="X308" i="1"/>
  <c r="W308" i="1"/>
  <c r="V308" i="1"/>
  <c r="AI307" i="1"/>
  <c r="AH307" i="1"/>
  <c r="AG307" i="1"/>
  <c r="AF307" i="1"/>
  <c r="AE307" i="1"/>
  <c r="AD307" i="1"/>
  <c r="X307" i="1"/>
  <c r="W307" i="1"/>
  <c r="V307" i="1"/>
  <c r="AI306" i="1"/>
  <c r="AH306" i="1"/>
  <c r="AG306" i="1"/>
  <c r="AE306" i="1"/>
  <c r="AD306" i="1"/>
  <c r="X306" i="1"/>
  <c r="W306" i="1"/>
  <c r="V306" i="1"/>
  <c r="AF306" i="1" s="1"/>
  <c r="AI305" i="1"/>
  <c r="AH305" i="1"/>
  <c r="AG305" i="1"/>
  <c r="AF305" i="1"/>
  <c r="AE305" i="1"/>
  <c r="AD305" i="1"/>
  <c r="X305" i="1"/>
  <c r="W305" i="1"/>
  <c r="V305" i="1"/>
  <c r="AI304" i="1"/>
  <c r="AH304" i="1"/>
  <c r="AG304" i="1"/>
  <c r="AF304" i="1"/>
  <c r="AE304" i="1"/>
  <c r="AD304" i="1"/>
  <c r="X304" i="1"/>
  <c r="W304" i="1"/>
  <c r="V304" i="1"/>
  <c r="AI303" i="1"/>
  <c r="AH303" i="1"/>
  <c r="AG303" i="1"/>
  <c r="AF303" i="1"/>
  <c r="AE303" i="1"/>
  <c r="AD303" i="1"/>
  <c r="X303" i="1"/>
  <c r="W303" i="1"/>
  <c r="V303" i="1"/>
  <c r="AI302" i="1"/>
  <c r="AH302" i="1"/>
  <c r="AF302" i="1"/>
  <c r="AE302" i="1"/>
  <c r="AD302" i="1"/>
  <c r="X302" i="1"/>
  <c r="W302" i="1"/>
  <c r="V302" i="1"/>
  <c r="AG302" i="1" s="1"/>
  <c r="AI301" i="1"/>
  <c r="AH301" i="1"/>
  <c r="AF301" i="1"/>
  <c r="AE301" i="1"/>
  <c r="AD301" i="1"/>
  <c r="X301" i="1"/>
  <c r="W301" i="1"/>
  <c r="V301" i="1"/>
  <c r="AG301" i="1" s="1"/>
  <c r="AI300" i="1"/>
  <c r="AH300" i="1"/>
  <c r="AG300" i="1"/>
  <c r="AF300" i="1"/>
  <c r="AE300" i="1"/>
  <c r="AD300" i="1"/>
  <c r="X300" i="1"/>
  <c r="W300" i="1"/>
  <c r="V300" i="1"/>
  <c r="AI299" i="1"/>
  <c r="AH299" i="1"/>
  <c r="AF299" i="1"/>
  <c r="AE299" i="1"/>
  <c r="AD299" i="1"/>
  <c r="X299" i="1"/>
  <c r="W299" i="1"/>
  <c r="V299" i="1"/>
  <c r="AG299" i="1" s="1"/>
  <c r="AI298" i="1"/>
  <c r="AH298" i="1"/>
  <c r="AF298" i="1"/>
  <c r="AE298" i="1"/>
  <c r="AD298" i="1"/>
  <c r="X298" i="1"/>
  <c r="W298" i="1"/>
  <c r="V298" i="1"/>
  <c r="AG298" i="1" s="1"/>
  <c r="AI297" i="1"/>
  <c r="AH297" i="1"/>
  <c r="AF297" i="1"/>
  <c r="AE297" i="1"/>
  <c r="AD297" i="1"/>
  <c r="X297" i="1"/>
  <c r="W297" i="1"/>
  <c r="V297" i="1"/>
  <c r="AG297" i="1" s="1"/>
  <c r="AI296" i="1"/>
  <c r="AH296" i="1"/>
  <c r="AG296" i="1"/>
  <c r="AE296" i="1"/>
  <c r="AD296" i="1"/>
  <c r="X296" i="1"/>
  <c r="W296" i="1"/>
  <c r="V296" i="1"/>
  <c r="AF296" i="1" s="1"/>
  <c r="AI295" i="1"/>
  <c r="AH295" i="1"/>
  <c r="AF295" i="1"/>
  <c r="AE295" i="1"/>
  <c r="AD295" i="1"/>
  <c r="X295" i="1"/>
  <c r="W295" i="1"/>
  <c r="V295" i="1"/>
  <c r="AG295" i="1" s="1"/>
  <c r="AI294" i="1"/>
  <c r="AH294" i="1"/>
  <c r="AG294" i="1"/>
  <c r="AE294" i="1"/>
  <c r="AD294" i="1"/>
  <c r="X294" i="1"/>
  <c r="W294" i="1"/>
  <c r="V294" i="1"/>
  <c r="AF294" i="1" s="1"/>
  <c r="AI293" i="1"/>
  <c r="AH293" i="1"/>
  <c r="AG293" i="1"/>
  <c r="AE293" i="1"/>
  <c r="AD293" i="1"/>
  <c r="X293" i="1"/>
  <c r="W293" i="1"/>
  <c r="V293" i="1"/>
  <c r="AF293" i="1" s="1"/>
  <c r="AI292" i="1"/>
  <c r="AH292" i="1"/>
  <c r="AF292" i="1"/>
  <c r="AE292" i="1"/>
  <c r="AD292" i="1"/>
  <c r="X292" i="1"/>
  <c r="W292" i="1"/>
  <c r="V292" i="1"/>
  <c r="AG292" i="1" s="1"/>
  <c r="AI291" i="1"/>
  <c r="AH291" i="1"/>
  <c r="AG291" i="1"/>
  <c r="AE291" i="1"/>
  <c r="AD291" i="1"/>
  <c r="X291" i="1"/>
  <c r="W291" i="1"/>
  <c r="V291" i="1"/>
  <c r="AF291" i="1" s="1"/>
  <c r="AI290" i="1"/>
  <c r="AH290" i="1"/>
  <c r="AG290" i="1"/>
  <c r="AE290" i="1"/>
  <c r="AD290" i="1"/>
  <c r="X290" i="1"/>
  <c r="W290" i="1"/>
  <c r="V290" i="1"/>
  <c r="AF290" i="1" s="1"/>
  <c r="AI289" i="1"/>
  <c r="AH289" i="1"/>
  <c r="AF289" i="1"/>
  <c r="AE289" i="1"/>
  <c r="AD289" i="1"/>
  <c r="X289" i="1"/>
  <c r="W289" i="1"/>
  <c r="V289" i="1"/>
  <c r="AG289" i="1" s="1"/>
  <c r="AI288" i="1"/>
  <c r="AH288" i="1"/>
  <c r="AF288" i="1"/>
  <c r="AE288" i="1"/>
  <c r="AD288" i="1"/>
  <c r="X288" i="1"/>
  <c r="W288" i="1"/>
  <c r="V288" i="1"/>
  <c r="AG288" i="1" s="1"/>
  <c r="AI287" i="1"/>
  <c r="AH287" i="1"/>
  <c r="AG287" i="1"/>
  <c r="AF287" i="1"/>
  <c r="AE287" i="1"/>
  <c r="AD287" i="1"/>
  <c r="X287" i="1"/>
  <c r="W287" i="1"/>
  <c r="V287" i="1"/>
  <c r="AI286" i="1"/>
  <c r="AH286" i="1"/>
  <c r="AG286" i="1"/>
  <c r="AF286" i="1"/>
  <c r="AE286" i="1"/>
  <c r="AD286" i="1"/>
  <c r="X286" i="1"/>
  <c r="W286" i="1"/>
  <c r="V286" i="1"/>
  <c r="AI285" i="1"/>
  <c r="AH285" i="1"/>
  <c r="AG285" i="1"/>
  <c r="AF285" i="1"/>
  <c r="AE285" i="1"/>
  <c r="AD285" i="1"/>
  <c r="X285" i="1"/>
  <c r="W285" i="1"/>
  <c r="V285" i="1"/>
  <c r="AI284" i="1"/>
  <c r="AH284" i="1"/>
  <c r="AF284" i="1"/>
  <c r="AE284" i="1"/>
  <c r="AD284" i="1"/>
  <c r="X284" i="1"/>
  <c r="W284" i="1"/>
  <c r="V284" i="1"/>
  <c r="AG284" i="1" s="1"/>
  <c r="AI283" i="1"/>
  <c r="AH283" i="1"/>
  <c r="AF283" i="1"/>
  <c r="AE283" i="1"/>
  <c r="AD283" i="1"/>
  <c r="X283" i="1"/>
  <c r="W283" i="1"/>
  <c r="V283" i="1"/>
  <c r="AG283" i="1" s="1"/>
  <c r="AI282" i="1"/>
  <c r="AH282" i="1"/>
  <c r="AF282" i="1"/>
  <c r="AE282" i="1"/>
  <c r="AD282" i="1"/>
  <c r="X282" i="1"/>
  <c r="W282" i="1"/>
  <c r="V282" i="1"/>
  <c r="AG282" i="1" s="1"/>
  <c r="AI281" i="1"/>
  <c r="AH281" i="1"/>
  <c r="AG281" i="1"/>
  <c r="AE281" i="1"/>
  <c r="AD281" i="1"/>
  <c r="X281" i="1"/>
  <c r="W281" i="1"/>
  <c r="V281" i="1"/>
  <c r="AF281" i="1" s="1"/>
  <c r="AI280" i="1"/>
  <c r="AH280" i="1"/>
  <c r="AG280" i="1"/>
  <c r="AE280" i="1"/>
  <c r="AD280" i="1"/>
  <c r="X280" i="1"/>
  <c r="W280" i="1"/>
  <c r="V280" i="1"/>
  <c r="AF280" i="1" s="1"/>
  <c r="AI279" i="1"/>
  <c r="AH279" i="1"/>
  <c r="AG279" i="1"/>
  <c r="AE279" i="1"/>
  <c r="AD279" i="1"/>
  <c r="X279" i="1"/>
  <c r="W279" i="1"/>
  <c r="V279" i="1"/>
  <c r="AF279" i="1" s="1"/>
  <c r="AI278" i="1"/>
  <c r="AH278" i="1"/>
  <c r="AG278" i="1"/>
  <c r="AE278" i="1"/>
  <c r="AD278" i="1"/>
  <c r="X278" i="1"/>
  <c r="W278" i="1"/>
  <c r="V278" i="1"/>
  <c r="AF278" i="1" s="1"/>
  <c r="AI277" i="1"/>
  <c r="AH277" i="1"/>
  <c r="AG277" i="1"/>
  <c r="AF277" i="1"/>
  <c r="AE277" i="1"/>
  <c r="AD277" i="1"/>
  <c r="X277" i="1"/>
  <c r="W277" i="1"/>
  <c r="V277" i="1"/>
  <c r="AI276" i="1"/>
  <c r="AH276" i="1"/>
  <c r="AF276" i="1"/>
  <c r="AE276" i="1"/>
  <c r="AD276" i="1"/>
  <c r="X276" i="1"/>
  <c r="W276" i="1"/>
  <c r="V276" i="1"/>
  <c r="AG276" i="1" s="1"/>
  <c r="AI275" i="1"/>
  <c r="AH275" i="1"/>
  <c r="AG275" i="1"/>
  <c r="AE275" i="1"/>
  <c r="AD275" i="1"/>
  <c r="X275" i="1"/>
  <c r="W275" i="1"/>
  <c r="V275" i="1"/>
  <c r="AF275" i="1" s="1"/>
  <c r="AI274" i="1"/>
  <c r="AH274" i="1"/>
  <c r="AF274" i="1"/>
  <c r="AE274" i="1"/>
  <c r="AD274" i="1"/>
  <c r="X274" i="1"/>
  <c r="W274" i="1"/>
  <c r="V274" i="1"/>
  <c r="AG274" i="1" s="1"/>
  <c r="AI273" i="1"/>
  <c r="AH273" i="1"/>
  <c r="AG273" i="1"/>
  <c r="AF273" i="1"/>
  <c r="AE273" i="1"/>
  <c r="AD273" i="1"/>
  <c r="X273" i="1"/>
  <c r="W273" i="1"/>
  <c r="V273" i="1"/>
  <c r="AI272" i="1"/>
  <c r="AH272" i="1"/>
  <c r="AF272" i="1"/>
  <c r="AE272" i="1"/>
  <c r="AD272" i="1"/>
  <c r="X272" i="1"/>
  <c r="W272" i="1"/>
  <c r="V272" i="1"/>
  <c r="AG272" i="1" s="1"/>
  <c r="AI271" i="1"/>
  <c r="AH271" i="1"/>
  <c r="AF271" i="1"/>
  <c r="AE271" i="1"/>
  <c r="AD271" i="1"/>
  <c r="X271" i="1"/>
  <c r="W271" i="1"/>
  <c r="V271" i="1"/>
  <c r="AG271" i="1" s="1"/>
  <c r="AI270" i="1"/>
  <c r="AH270" i="1"/>
  <c r="AF270" i="1"/>
  <c r="AE270" i="1"/>
  <c r="AD270" i="1"/>
  <c r="X270" i="1"/>
  <c r="W270" i="1"/>
  <c r="V270" i="1"/>
  <c r="AG270" i="1" s="1"/>
  <c r="AI269" i="1"/>
  <c r="AH269" i="1"/>
  <c r="AF269" i="1"/>
  <c r="AE269" i="1"/>
  <c r="AD269" i="1"/>
  <c r="X269" i="1"/>
  <c r="W269" i="1"/>
  <c r="V269" i="1"/>
  <c r="AG269" i="1" s="1"/>
  <c r="AI268" i="1"/>
  <c r="AH268" i="1"/>
  <c r="AG268" i="1"/>
  <c r="AE268" i="1"/>
  <c r="AD268" i="1"/>
  <c r="X268" i="1"/>
  <c r="W268" i="1"/>
  <c r="V268" i="1"/>
  <c r="AF268" i="1" s="1"/>
  <c r="AI267" i="1"/>
  <c r="AH267" i="1"/>
  <c r="AG267" i="1"/>
  <c r="AE267" i="1"/>
  <c r="AD267" i="1"/>
  <c r="X267" i="1"/>
  <c r="W267" i="1"/>
  <c r="V267" i="1"/>
  <c r="AF267" i="1" s="1"/>
  <c r="AI266" i="1"/>
  <c r="AH266" i="1"/>
  <c r="AG266" i="1"/>
  <c r="AE266" i="1"/>
  <c r="AD266" i="1"/>
  <c r="X266" i="1"/>
  <c r="W266" i="1"/>
  <c r="V266" i="1"/>
  <c r="AF266" i="1" s="1"/>
  <c r="AI265" i="1"/>
  <c r="AH265" i="1"/>
  <c r="AG265" i="1"/>
  <c r="AF265" i="1"/>
  <c r="AE265" i="1"/>
  <c r="AD265" i="1"/>
  <c r="X265" i="1"/>
  <c r="W265" i="1"/>
  <c r="V265" i="1"/>
  <c r="AI264" i="1"/>
  <c r="AH264" i="1"/>
  <c r="AF264" i="1"/>
  <c r="AE264" i="1"/>
  <c r="AD264" i="1"/>
  <c r="X264" i="1"/>
  <c r="W264" i="1"/>
  <c r="V264" i="1"/>
  <c r="AG264" i="1" s="1"/>
  <c r="AI263" i="1"/>
  <c r="AH263" i="1"/>
  <c r="AF263" i="1"/>
  <c r="AE263" i="1"/>
  <c r="AD263" i="1"/>
  <c r="X263" i="1"/>
  <c r="W263" i="1"/>
  <c r="V263" i="1"/>
  <c r="AG263" i="1" s="1"/>
  <c r="AI262" i="1"/>
  <c r="AH262" i="1"/>
  <c r="AG262" i="1"/>
  <c r="AE262" i="1"/>
  <c r="AD262" i="1"/>
  <c r="X262" i="1"/>
  <c r="W262" i="1"/>
  <c r="V262" i="1"/>
  <c r="AF262" i="1" s="1"/>
  <c r="AI261" i="1"/>
  <c r="AH261" i="1"/>
  <c r="AG261" i="1"/>
  <c r="AE261" i="1"/>
  <c r="AD261" i="1"/>
  <c r="X261" i="1"/>
  <c r="W261" i="1"/>
  <c r="V261" i="1"/>
  <c r="AF261" i="1" s="1"/>
  <c r="AI260" i="1"/>
  <c r="AH260" i="1"/>
  <c r="AF260" i="1"/>
  <c r="AE260" i="1"/>
  <c r="AD260" i="1"/>
  <c r="X260" i="1"/>
  <c r="W260" i="1"/>
  <c r="V260" i="1"/>
  <c r="AG260" i="1" s="1"/>
  <c r="AI259" i="1"/>
  <c r="AH259" i="1"/>
  <c r="AF259" i="1"/>
  <c r="AE259" i="1"/>
  <c r="AD259" i="1"/>
  <c r="X259" i="1"/>
  <c r="W259" i="1"/>
  <c r="V259" i="1"/>
  <c r="AG259" i="1" s="1"/>
  <c r="AI258" i="1"/>
  <c r="AH258" i="1"/>
  <c r="AG258" i="1"/>
  <c r="AF258" i="1"/>
  <c r="AE258" i="1"/>
  <c r="AD258" i="1"/>
  <c r="X258" i="1"/>
  <c r="W258" i="1"/>
  <c r="V258" i="1"/>
  <c r="AI257" i="1"/>
  <c r="AH257" i="1"/>
  <c r="AG257" i="1"/>
  <c r="AF257" i="1"/>
  <c r="AE257" i="1"/>
  <c r="AD257" i="1"/>
  <c r="X257" i="1"/>
  <c r="W257" i="1"/>
  <c r="V257" i="1"/>
  <c r="AI256" i="1"/>
  <c r="AH256" i="1"/>
  <c r="AF256" i="1"/>
  <c r="AE256" i="1"/>
  <c r="AD256" i="1"/>
  <c r="X256" i="1"/>
  <c r="W256" i="1"/>
  <c r="V256" i="1"/>
  <c r="AG256" i="1" s="1"/>
  <c r="AI255" i="1"/>
  <c r="AH255" i="1"/>
  <c r="AF255" i="1"/>
  <c r="AE255" i="1"/>
  <c r="AD255" i="1"/>
  <c r="X255" i="1"/>
  <c r="W255" i="1"/>
  <c r="V255" i="1"/>
  <c r="AG255" i="1" s="1"/>
  <c r="AI254" i="1"/>
  <c r="AH254" i="1"/>
  <c r="AG254" i="1"/>
  <c r="AE254" i="1"/>
  <c r="AD254" i="1"/>
  <c r="X254" i="1"/>
  <c r="W254" i="1"/>
  <c r="V254" i="1"/>
  <c r="AF254" i="1" s="1"/>
  <c r="AI253" i="1"/>
  <c r="AH253" i="1"/>
  <c r="AG253" i="1"/>
  <c r="AE253" i="1"/>
  <c r="AD253" i="1"/>
  <c r="X253" i="1"/>
  <c r="W253" i="1"/>
  <c r="V253" i="1"/>
  <c r="AF253" i="1" s="1"/>
  <c r="AI252" i="1"/>
  <c r="AH252" i="1"/>
  <c r="AF252" i="1"/>
  <c r="AE252" i="1"/>
  <c r="AD252" i="1"/>
  <c r="X252" i="1"/>
  <c r="W252" i="1"/>
  <c r="V252" i="1"/>
  <c r="AG252" i="1" s="1"/>
  <c r="AI251" i="1"/>
  <c r="AH251" i="1"/>
  <c r="AG251" i="1"/>
  <c r="AE251" i="1"/>
  <c r="AD251" i="1"/>
  <c r="X251" i="1"/>
  <c r="W251" i="1"/>
  <c r="V251" i="1"/>
  <c r="AF251" i="1" s="1"/>
  <c r="AI250" i="1"/>
  <c r="AH250" i="1"/>
  <c r="AF250" i="1"/>
  <c r="AE250" i="1"/>
  <c r="AD250" i="1"/>
  <c r="X250" i="1"/>
  <c r="W250" i="1"/>
  <c r="V250" i="1"/>
  <c r="AG250" i="1" s="1"/>
  <c r="AI249" i="1"/>
  <c r="AH249" i="1"/>
  <c r="AF249" i="1"/>
  <c r="AE249" i="1"/>
  <c r="AD249" i="1"/>
  <c r="X249" i="1"/>
  <c r="W249" i="1"/>
  <c r="V249" i="1"/>
  <c r="AG249" i="1" s="1"/>
  <c r="AI248" i="1"/>
  <c r="AH248" i="1"/>
  <c r="AG248" i="1"/>
  <c r="AE248" i="1"/>
  <c r="AD248" i="1"/>
  <c r="X248" i="1"/>
  <c r="W248" i="1"/>
  <c r="V248" i="1"/>
  <c r="AF248" i="1" s="1"/>
  <c r="AI247" i="1"/>
  <c r="AH247" i="1"/>
  <c r="AG247" i="1"/>
  <c r="AE247" i="1"/>
  <c r="AD247" i="1"/>
  <c r="X247" i="1"/>
  <c r="W247" i="1"/>
  <c r="V247" i="1"/>
  <c r="AF247" i="1" s="1"/>
  <c r="AI246" i="1"/>
  <c r="AH246" i="1"/>
  <c r="AG246" i="1"/>
  <c r="AF246" i="1"/>
  <c r="AE246" i="1"/>
  <c r="AD246" i="1"/>
  <c r="X246" i="1"/>
  <c r="W246" i="1"/>
  <c r="V246" i="1"/>
  <c r="AI245" i="1"/>
  <c r="AH245" i="1"/>
  <c r="AG245" i="1"/>
  <c r="AF245" i="1"/>
  <c r="AE245" i="1"/>
  <c r="AD245" i="1"/>
  <c r="X245" i="1"/>
  <c r="W245" i="1"/>
  <c r="V245" i="1"/>
  <c r="AI244" i="1"/>
  <c r="AH244" i="1"/>
  <c r="AF244" i="1"/>
  <c r="AE244" i="1"/>
  <c r="AD244" i="1"/>
  <c r="X244" i="1"/>
  <c r="W244" i="1"/>
  <c r="V244" i="1"/>
  <c r="AG244" i="1" s="1"/>
  <c r="AI243" i="1"/>
  <c r="AH243" i="1"/>
  <c r="AG243" i="1"/>
  <c r="AF243" i="1"/>
  <c r="AE243" i="1"/>
  <c r="AD243" i="1"/>
  <c r="X243" i="1"/>
  <c r="W243" i="1"/>
  <c r="V243" i="1"/>
  <c r="AI242" i="1"/>
  <c r="AH242" i="1"/>
  <c r="AG242" i="1"/>
  <c r="AE242" i="1"/>
  <c r="AD242" i="1"/>
  <c r="X242" i="1"/>
  <c r="W242" i="1"/>
  <c r="V242" i="1"/>
  <c r="AF242" i="1" s="1"/>
  <c r="AI241" i="1"/>
  <c r="AH241" i="1"/>
  <c r="AF241" i="1"/>
  <c r="AE241" i="1"/>
  <c r="AD241" i="1"/>
  <c r="X241" i="1"/>
  <c r="W241" i="1"/>
  <c r="V241" i="1"/>
  <c r="AG241" i="1" s="1"/>
  <c r="AI240" i="1"/>
  <c r="AH240" i="1"/>
  <c r="AF240" i="1"/>
  <c r="AE240" i="1"/>
  <c r="AD240" i="1"/>
  <c r="X240" i="1"/>
  <c r="W240" i="1"/>
  <c r="V240" i="1"/>
  <c r="AG240" i="1" s="1"/>
  <c r="AI239" i="1"/>
  <c r="AH239" i="1"/>
  <c r="AF239" i="1"/>
  <c r="AE239" i="1"/>
  <c r="AD239" i="1"/>
  <c r="X239" i="1"/>
  <c r="W239" i="1"/>
  <c r="V239" i="1"/>
  <c r="AG239" i="1" s="1"/>
  <c r="AI238" i="1"/>
  <c r="AH238" i="1"/>
  <c r="AF238" i="1"/>
  <c r="AE238" i="1"/>
  <c r="AD238" i="1"/>
  <c r="X238" i="1"/>
  <c r="W238" i="1"/>
  <c r="V238" i="1"/>
  <c r="AG238" i="1" s="1"/>
  <c r="AI237" i="1"/>
  <c r="AH237" i="1"/>
  <c r="AG237" i="1"/>
  <c r="AE237" i="1"/>
  <c r="AD237" i="1"/>
  <c r="X237" i="1"/>
  <c r="W237" i="1"/>
  <c r="V237" i="1"/>
  <c r="AF237" i="1" s="1"/>
  <c r="AI236" i="1"/>
  <c r="AH236" i="1"/>
  <c r="AF236" i="1"/>
  <c r="AE236" i="1"/>
  <c r="AD236" i="1"/>
  <c r="X236" i="1"/>
  <c r="W236" i="1"/>
  <c r="V236" i="1"/>
  <c r="AG236" i="1" s="1"/>
  <c r="AI235" i="1"/>
  <c r="AH235" i="1"/>
  <c r="AG235" i="1"/>
  <c r="AF235" i="1"/>
  <c r="AE235" i="1"/>
  <c r="AD235" i="1"/>
  <c r="X235" i="1"/>
  <c r="W235" i="1"/>
  <c r="V235" i="1"/>
  <c r="AI234" i="1"/>
  <c r="AH234" i="1"/>
  <c r="AG234" i="1"/>
  <c r="AE234" i="1"/>
  <c r="AD234" i="1"/>
  <c r="X234" i="1"/>
  <c r="W234" i="1"/>
  <c r="V234" i="1"/>
  <c r="AF234" i="1" s="1"/>
  <c r="AI233" i="1"/>
  <c r="AH233" i="1"/>
  <c r="AG233" i="1"/>
  <c r="AE233" i="1"/>
  <c r="AD233" i="1"/>
  <c r="X233" i="1"/>
  <c r="W233" i="1"/>
  <c r="V233" i="1"/>
  <c r="AF233" i="1" s="1"/>
  <c r="AI232" i="1"/>
  <c r="AH232" i="1"/>
  <c r="AF232" i="1"/>
  <c r="AE232" i="1"/>
  <c r="AD232" i="1"/>
  <c r="X232" i="1"/>
  <c r="W232" i="1"/>
  <c r="V232" i="1"/>
  <c r="AG232" i="1" s="1"/>
  <c r="AI231" i="1"/>
  <c r="AH231" i="1"/>
  <c r="AG231" i="1"/>
  <c r="AE231" i="1"/>
  <c r="AD231" i="1"/>
  <c r="X231" i="1"/>
  <c r="W231" i="1"/>
  <c r="V231" i="1"/>
  <c r="AF231" i="1" s="1"/>
  <c r="AI230" i="1"/>
  <c r="AH230" i="1"/>
  <c r="AF230" i="1"/>
  <c r="AE230" i="1"/>
  <c r="AD230" i="1"/>
  <c r="X230" i="1"/>
  <c r="W230" i="1"/>
  <c r="V230" i="1"/>
  <c r="AG230" i="1" s="1"/>
  <c r="AI229" i="1"/>
  <c r="AH229" i="1"/>
  <c r="AF229" i="1"/>
  <c r="AE229" i="1"/>
  <c r="AD229" i="1"/>
  <c r="X229" i="1"/>
  <c r="W229" i="1"/>
  <c r="V229" i="1"/>
  <c r="AG229" i="1" s="1"/>
  <c r="AI228" i="1"/>
  <c r="AH228" i="1"/>
  <c r="AF228" i="1"/>
  <c r="AE228" i="1"/>
  <c r="AD228" i="1"/>
  <c r="X228" i="1"/>
  <c r="W228" i="1"/>
  <c r="V228" i="1"/>
  <c r="AG228" i="1" s="1"/>
  <c r="AI227" i="1"/>
  <c r="AH227" i="1"/>
  <c r="AF227" i="1"/>
  <c r="AE227" i="1"/>
  <c r="AD227" i="1"/>
  <c r="X227" i="1"/>
  <c r="W227" i="1"/>
  <c r="V227" i="1"/>
  <c r="AG227" i="1" s="1"/>
  <c r="AI226" i="1"/>
  <c r="AH226" i="1"/>
  <c r="AG226" i="1"/>
  <c r="AF226" i="1"/>
  <c r="AE226" i="1"/>
  <c r="AD226" i="1"/>
  <c r="X226" i="1"/>
  <c r="W226" i="1"/>
  <c r="V226" i="1"/>
  <c r="AI225" i="1"/>
  <c r="AH225" i="1"/>
  <c r="AG225" i="1"/>
  <c r="AE225" i="1"/>
  <c r="AD225" i="1"/>
  <c r="X225" i="1"/>
  <c r="W225" i="1"/>
  <c r="V225" i="1"/>
  <c r="AF225" i="1" s="1"/>
  <c r="AI224" i="1"/>
  <c r="AH224" i="1"/>
  <c r="AG224" i="1"/>
  <c r="AE224" i="1"/>
  <c r="AD224" i="1"/>
  <c r="X224" i="1"/>
  <c r="W224" i="1"/>
  <c r="V224" i="1"/>
  <c r="AF224" i="1" s="1"/>
  <c r="AI223" i="1"/>
  <c r="AH223" i="1"/>
  <c r="AF223" i="1"/>
  <c r="AE223" i="1"/>
  <c r="AD223" i="1"/>
  <c r="X223" i="1"/>
  <c r="W223" i="1"/>
  <c r="V223" i="1"/>
  <c r="AG223" i="1" s="1"/>
  <c r="AI222" i="1"/>
  <c r="AH222" i="1"/>
  <c r="AF222" i="1"/>
  <c r="AE222" i="1"/>
  <c r="AD222" i="1"/>
  <c r="X222" i="1"/>
  <c r="W222" i="1"/>
  <c r="V222" i="1"/>
  <c r="AG222" i="1" s="1"/>
  <c r="AI221" i="1"/>
  <c r="AH221" i="1"/>
  <c r="AG221" i="1"/>
  <c r="AF221" i="1"/>
  <c r="AE221" i="1"/>
  <c r="AD221" i="1"/>
  <c r="X221" i="1"/>
  <c r="W221" i="1"/>
  <c r="V221" i="1"/>
  <c r="AI220" i="1"/>
  <c r="AH220" i="1"/>
  <c r="AG220" i="1"/>
  <c r="AF220" i="1"/>
  <c r="AE220" i="1"/>
  <c r="AD220" i="1"/>
  <c r="X220" i="1"/>
  <c r="W220" i="1"/>
  <c r="V220" i="1"/>
  <c r="AI219" i="1"/>
  <c r="AH219" i="1"/>
  <c r="AG219" i="1"/>
  <c r="AE219" i="1"/>
  <c r="AD219" i="1"/>
  <c r="X219" i="1"/>
  <c r="W219" i="1"/>
  <c r="V219" i="1"/>
  <c r="AF219" i="1" s="1"/>
  <c r="AI218" i="1"/>
  <c r="AH218" i="1"/>
  <c r="AF218" i="1"/>
  <c r="AE218" i="1"/>
  <c r="AD218" i="1"/>
  <c r="X218" i="1"/>
  <c r="W218" i="1"/>
  <c r="V218" i="1"/>
  <c r="AG218" i="1" s="1"/>
  <c r="AI217" i="1"/>
  <c r="AH217" i="1"/>
  <c r="AG217" i="1"/>
  <c r="AF217" i="1"/>
  <c r="AE217" i="1"/>
  <c r="AD217" i="1"/>
  <c r="X217" i="1"/>
  <c r="W217" i="1"/>
  <c r="V217" i="1"/>
  <c r="AI216" i="1"/>
  <c r="AH216" i="1"/>
  <c r="AG216" i="1"/>
  <c r="AE216" i="1"/>
  <c r="AD216" i="1"/>
  <c r="X216" i="1"/>
  <c r="W216" i="1"/>
  <c r="V216" i="1"/>
  <c r="AF216" i="1" s="1"/>
  <c r="AI215" i="1"/>
  <c r="AH215" i="1"/>
  <c r="AG215" i="1"/>
  <c r="AE215" i="1"/>
  <c r="AD215" i="1"/>
  <c r="X215" i="1"/>
  <c r="W215" i="1"/>
  <c r="V215" i="1"/>
  <c r="AF215" i="1" s="1"/>
  <c r="AI214" i="1"/>
  <c r="AH214" i="1"/>
  <c r="AF214" i="1"/>
  <c r="AE214" i="1"/>
  <c r="AD214" i="1"/>
  <c r="X214" i="1"/>
  <c r="W214" i="1"/>
  <c r="V214" i="1"/>
  <c r="AG214" i="1" s="1"/>
  <c r="AI213" i="1"/>
  <c r="AH213" i="1"/>
  <c r="AF213" i="1"/>
  <c r="AE213" i="1"/>
  <c r="AD213" i="1"/>
  <c r="X213" i="1"/>
  <c r="W213" i="1"/>
  <c r="V213" i="1"/>
  <c r="AG213" i="1" s="1"/>
  <c r="AI212" i="1"/>
  <c r="AH212" i="1"/>
  <c r="AF212" i="1"/>
  <c r="AE212" i="1"/>
  <c r="AD212" i="1"/>
  <c r="X212" i="1"/>
  <c r="W212" i="1"/>
  <c r="V212" i="1"/>
  <c r="AG212" i="1" s="1"/>
  <c r="AI211" i="1"/>
  <c r="AH211" i="1"/>
  <c r="AF211" i="1"/>
  <c r="AE211" i="1"/>
  <c r="AD211" i="1"/>
  <c r="X211" i="1"/>
  <c r="W211" i="1"/>
  <c r="V211" i="1"/>
  <c r="AG211" i="1" s="1"/>
  <c r="AI210" i="1"/>
  <c r="AH210" i="1"/>
  <c r="AF210" i="1"/>
  <c r="AE210" i="1"/>
  <c r="AD210" i="1"/>
  <c r="X210" i="1"/>
  <c r="W210" i="1"/>
  <c r="V210" i="1"/>
  <c r="AG210" i="1" s="1"/>
  <c r="AI209" i="1"/>
  <c r="AH209" i="1"/>
  <c r="AG209" i="1"/>
  <c r="AF209" i="1"/>
  <c r="AE209" i="1"/>
  <c r="AD209" i="1"/>
  <c r="X209" i="1"/>
  <c r="W209" i="1"/>
  <c r="V209" i="1"/>
  <c r="AI208" i="1"/>
  <c r="AH208" i="1"/>
  <c r="AG208" i="1"/>
  <c r="AE208" i="1"/>
  <c r="AD208" i="1"/>
  <c r="X208" i="1"/>
  <c r="W208" i="1"/>
  <c r="V208" i="1"/>
  <c r="AF208" i="1" s="1"/>
  <c r="AI207" i="1"/>
  <c r="AH207" i="1"/>
  <c r="AG207" i="1"/>
  <c r="AF207" i="1"/>
  <c r="AE207" i="1"/>
  <c r="AD207" i="1"/>
  <c r="X207" i="1"/>
  <c r="W207" i="1"/>
  <c r="V207" i="1"/>
  <c r="AI206" i="1"/>
  <c r="AH206" i="1"/>
  <c r="AF206" i="1"/>
  <c r="AE206" i="1"/>
  <c r="AD206" i="1"/>
  <c r="X206" i="1"/>
  <c r="W206" i="1"/>
  <c r="V206" i="1"/>
  <c r="AG206" i="1" s="1"/>
  <c r="AI205" i="1"/>
  <c r="AH205" i="1"/>
  <c r="AF205" i="1"/>
  <c r="AE205" i="1"/>
  <c r="AD205" i="1"/>
  <c r="X205" i="1"/>
  <c r="W205" i="1"/>
  <c r="V205" i="1"/>
  <c r="AG205" i="1" s="1"/>
  <c r="AI204" i="1"/>
  <c r="AH204" i="1"/>
  <c r="AG204" i="1"/>
  <c r="AF204" i="1"/>
  <c r="AE204" i="1"/>
  <c r="AD204" i="1"/>
  <c r="X204" i="1"/>
  <c r="W204" i="1"/>
  <c r="V204" i="1"/>
  <c r="AI203" i="1"/>
  <c r="AH203" i="1"/>
  <c r="AF203" i="1"/>
  <c r="AE203" i="1"/>
  <c r="AD203" i="1"/>
  <c r="X203" i="1"/>
  <c r="W203" i="1"/>
  <c r="V203" i="1"/>
  <c r="AG203" i="1" s="1"/>
  <c r="AI202" i="1"/>
  <c r="AH202" i="1"/>
  <c r="AG202" i="1"/>
  <c r="AF202" i="1"/>
  <c r="AE202" i="1"/>
  <c r="AD202" i="1"/>
  <c r="X202" i="1"/>
  <c r="W202" i="1"/>
  <c r="V202" i="1"/>
  <c r="AI201" i="1"/>
  <c r="AH201" i="1"/>
  <c r="AG201" i="1"/>
  <c r="AE201" i="1"/>
  <c r="AD201" i="1"/>
  <c r="X201" i="1"/>
  <c r="W201" i="1"/>
  <c r="V201" i="1"/>
  <c r="AF201" i="1" s="1"/>
  <c r="AI200" i="1"/>
  <c r="AH200" i="1"/>
  <c r="AF200" i="1"/>
  <c r="AE200" i="1"/>
  <c r="AD200" i="1"/>
  <c r="X200" i="1"/>
  <c r="W200" i="1"/>
  <c r="V200" i="1"/>
  <c r="AG200" i="1" s="1"/>
  <c r="AI199" i="1"/>
  <c r="AH199" i="1"/>
  <c r="AF199" i="1"/>
  <c r="AE199" i="1"/>
  <c r="AD199" i="1"/>
  <c r="X199" i="1"/>
  <c r="W199" i="1"/>
  <c r="V199" i="1"/>
  <c r="AG199" i="1" s="1"/>
  <c r="AI198" i="1"/>
  <c r="AH198" i="1"/>
  <c r="AF198" i="1"/>
  <c r="AE198" i="1"/>
  <c r="AD198" i="1"/>
  <c r="X198" i="1"/>
  <c r="W198" i="1"/>
  <c r="V198" i="1"/>
  <c r="AG198" i="1" s="1"/>
  <c r="AI197" i="1"/>
  <c r="AH197" i="1"/>
  <c r="AG197" i="1"/>
  <c r="AF197" i="1"/>
  <c r="AE197" i="1"/>
  <c r="AD197" i="1"/>
  <c r="X197" i="1"/>
  <c r="W197" i="1"/>
  <c r="V197" i="1"/>
  <c r="AI196" i="1"/>
  <c r="AH196" i="1"/>
  <c r="AF196" i="1"/>
  <c r="AE196" i="1"/>
  <c r="AD196" i="1"/>
  <c r="X196" i="1"/>
  <c r="W196" i="1"/>
  <c r="V196" i="1"/>
  <c r="AG196" i="1" s="1"/>
  <c r="AI195" i="1"/>
  <c r="AH195" i="1"/>
  <c r="AG195" i="1"/>
  <c r="AE195" i="1"/>
  <c r="AD195" i="1"/>
  <c r="X195" i="1"/>
  <c r="W195" i="1"/>
  <c r="V195" i="1"/>
  <c r="AF195" i="1" s="1"/>
  <c r="AI194" i="1"/>
  <c r="AH194" i="1"/>
  <c r="AG194" i="1"/>
  <c r="AF194" i="1"/>
  <c r="AE194" i="1"/>
  <c r="AD194" i="1"/>
  <c r="X194" i="1"/>
  <c r="W194" i="1"/>
  <c r="V194" i="1"/>
  <c r="AI193" i="1"/>
  <c r="AH193" i="1"/>
  <c r="AG193" i="1"/>
  <c r="AE193" i="1"/>
  <c r="AD193" i="1"/>
  <c r="X193" i="1"/>
  <c r="W193" i="1"/>
  <c r="V193" i="1"/>
  <c r="AF193" i="1" s="1"/>
  <c r="AI192" i="1"/>
  <c r="AH192" i="1"/>
  <c r="AG192" i="1"/>
  <c r="AE192" i="1"/>
  <c r="AD192" i="1"/>
  <c r="X192" i="1"/>
  <c r="W192" i="1"/>
  <c r="V192" i="1"/>
  <c r="AF192" i="1" s="1"/>
  <c r="AI191" i="1"/>
  <c r="AH191" i="1"/>
  <c r="AG191" i="1"/>
  <c r="AE191" i="1"/>
  <c r="AD191" i="1"/>
  <c r="X191" i="1"/>
  <c r="W191" i="1"/>
  <c r="V191" i="1"/>
  <c r="AF191" i="1" s="1"/>
  <c r="AI190" i="1"/>
  <c r="AH190" i="1"/>
  <c r="AG190" i="1"/>
  <c r="AF190" i="1"/>
  <c r="AE190" i="1"/>
  <c r="AD190" i="1"/>
  <c r="X190" i="1"/>
  <c r="W190" i="1"/>
  <c r="V190" i="1"/>
  <c r="AI189" i="1"/>
  <c r="AH189" i="1"/>
  <c r="AG189" i="1"/>
  <c r="AF189" i="1"/>
  <c r="AE189" i="1"/>
  <c r="AD189" i="1"/>
  <c r="X189" i="1"/>
  <c r="W189" i="1"/>
  <c r="V189" i="1"/>
  <c r="AI188" i="1"/>
  <c r="AH188" i="1"/>
  <c r="AF188" i="1"/>
  <c r="AE188" i="1"/>
  <c r="AD188" i="1"/>
  <c r="X188" i="1"/>
  <c r="W188" i="1"/>
  <c r="V188" i="1"/>
  <c r="AG188" i="1" s="1"/>
  <c r="AI187" i="1"/>
  <c r="AH187" i="1"/>
  <c r="AG187" i="1"/>
  <c r="AF187" i="1"/>
  <c r="AE187" i="1"/>
  <c r="AD187" i="1"/>
  <c r="X187" i="1"/>
  <c r="W187" i="1"/>
  <c r="V187" i="1"/>
  <c r="AI186" i="1"/>
  <c r="AH186" i="1"/>
  <c r="AF186" i="1"/>
  <c r="AE186" i="1"/>
  <c r="AD186" i="1"/>
  <c r="X186" i="1"/>
  <c r="W186" i="1"/>
  <c r="V186" i="1"/>
  <c r="AG186" i="1" s="1"/>
  <c r="AI185" i="1"/>
  <c r="AH185" i="1"/>
  <c r="AG185" i="1"/>
  <c r="AE185" i="1"/>
  <c r="AD185" i="1"/>
  <c r="X185" i="1"/>
  <c r="W185" i="1"/>
  <c r="V185" i="1"/>
  <c r="AF185" i="1" s="1"/>
  <c r="AI184" i="1"/>
  <c r="AH184" i="1"/>
  <c r="AG184" i="1"/>
  <c r="AF184" i="1"/>
  <c r="AE184" i="1"/>
  <c r="AD184" i="1"/>
  <c r="X184" i="1"/>
  <c r="W184" i="1"/>
  <c r="V184" i="1"/>
  <c r="AI183" i="1"/>
  <c r="AH183" i="1"/>
  <c r="AG183" i="1"/>
  <c r="AF183" i="1"/>
  <c r="AE183" i="1"/>
  <c r="AD183" i="1"/>
  <c r="X183" i="1"/>
  <c r="W183" i="1"/>
  <c r="V183" i="1"/>
  <c r="AI182" i="1"/>
  <c r="AH182" i="1"/>
  <c r="AF182" i="1"/>
  <c r="AE182" i="1"/>
  <c r="AD182" i="1"/>
  <c r="X182" i="1"/>
  <c r="W182" i="1"/>
  <c r="V182" i="1"/>
  <c r="AG182" i="1" s="1"/>
  <c r="AI181" i="1"/>
  <c r="AH181" i="1"/>
  <c r="AG181" i="1"/>
  <c r="AE181" i="1"/>
  <c r="AD181" i="1"/>
  <c r="X181" i="1"/>
  <c r="W181" i="1"/>
  <c r="V181" i="1"/>
  <c r="AF181" i="1" s="1"/>
  <c r="AI180" i="1"/>
  <c r="AH180" i="1"/>
  <c r="AF180" i="1"/>
  <c r="AE180" i="1"/>
  <c r="AD180" i="1"/>
  <c r="X180" i="1"/>
  <c r="W180" i="1"/>
  <c r="V180" i="1"/>
  <c r="AG180" i="1" s="1"/>
  <c r="AI179" i="1"/>
  <c r="AH179" i="1"/>
  <c r="AG179" i="1"/>
  <c r="AF179" i="1"/>
  <c r="AE179" i="1"/>
  <c r="AD179" i="1"/>
  <c r="X179" i="1"/>
  <c r="W179" i="1"/>
  <c r="V179" i="1"/>
  <c r="AI178" i="1"/>
  <c r="AH178" i="1"/>
  <c r="AF178" i="1"/>
  <c r="AE178" i="1"/>
  <c r="AD178" i="1"/>
  <c r="X178" i="1"/>
  <c r="W178" i="1"/>
  <c r="V178" i="1"/>
  <c r="AG178" i="1" s="1"/>
  <c r="AI177" i="1"/>
  <c r="AH177" i="1"/>
  <c r="AF177" i="1"/>
  <c r="AE177" i="1"/>
  <c r="AD177" i="1"/>
  <c r="X177" i="1"/>
  <c r="W177" i="1"/>
  <c r="V177" i="1"/>
  <c r="AG177" i="1" s="1"/>
  <c r="AI176" i="1"/>
  <c r="AH176" i="1"/>
  <c r="AF176" i="1"/>
  <c r="AE176" i="1"/>
  <c r="AD176" i="1"/>
  <c r="X176" i="1"/>
  <c r="W176" i="1"/>
  <c r="V176" i="1"/>
  <c r="AG176" i="1" s="1"/>
  <c r="AI175" i="1"/>
  <c r="AH175" i="1"/>
  <c r="AG175" i="1"/>
  <c r="AE175" i="1"/>
  <c r="AD175" i="1"/>
  <c r="X175" i="1"/>
  <c r="W175" i="1"/>
  <c r="V175" i="1"/>
  <c r="AF175" i="1" s="1"/>
  <c r="AI174" i="1"/>
  <c r="AH174" i="1"/>
  <c r="AF174" i="1"/>
  <c r="AE174" i="1"/>
  <c r="AD174" i="1"/>
  <c r="X174" i="1"/>
  <c r="W174" i="1"/>
  <c r="V174" i="1"/>
  <c r="AG174" i="1" s="1"/>
  <c r="AI173" i="1"/>
  <c r="AH173" i="1"/>
  <c r="AF173" i="1"/>
  <c r="AE173" i="1"/>
  <c r="AD173" i="1"/>
  <c r="X173" i="1"/>
  <c r="W173" i="1"/>
  <c r="V173" i="1"/>
  <c r="AG173" i="1" s="1"/>
  <c r="AI172" i="1"/>
  <c r="AH172" i="1"/>
  <c r="AG172" i="1"/>
  <c r="AE172" i="1"/>
  <c r="AD172" i="1"/>
  <c r="X172" i="1"/>
  <c r="W172" i="1"/>
  <c r="V172" i="1"/>
  <c r="AF172" i="1" s="1"/>
  <c r="AI171" i="1"/>
  <c r="AH171" i="1"/>
  <c r="AG171" i="1"/>
  <c r="AF171" i="1"/>
  <c r="AE171" i="1"/>
  <c r="AD171" i="1"/>
  <c r="X171" i="1"/>
  <c r="W171" i="1"/>
  <c r="V171" i="1"/>
  <c r="AI170" i="1"/>
  <c r="AH170" i="1"/>
  <c r="AF170" i="1"/>
  <c r="AE170" i="1"/>
  <c r="AD170" i="1"/>
  <c r="X170" i="1"/>
  <c r="W170" i="1"/>
  <c r="V170" i="1"/>
  <c r="AG170" i="1" s="1"/>
  <c r="AI169" i="1"/>
  <c r="AH169" i="1"/>
  <c r="AG169" i="1"/>
  <c r="AF169" i="1"/>
  <c r="AE169" i="1"/>
  <c r="AD169" i="1"/>
  <c r="X169" i="1"/>
  <c r="W169" i="1"/>
  <c r="V169" i="1"/>
  <c r="AI168" i="1"/>
  <c r="AH168" i="1"/>
  <c r="AG168" i="1"/>
  <c r="AE168" i="1"/>
  <c r="AD168" i="1"/>
  <c r="X168" i="1"/>
  <c r="W168" i="1"/>
  <c r="V168" i="1"/>
  <c r="AF168" i="1" s="1"/>
  <c r="AI167" i="1"/>
  <c r="AH167" i="1"/>
  <c r="AG167" i="1"/>
  <c r="AF167" i="1"/>
  <c r="AE167" i="1"/>
  <c r="AD167" i="1"/>
  <c r="X167" i="1"/>
  <c r="W167" i="1"/>
  <c r="V167" i="1"/>
  <c r="AI166" i="1"/>
  <c r="AH166" i="1"/>
  <c r="AG166" i="1"/>
  <c r="AF166" i="1"/>
  <c r="AE166" i="1"/>
  <c r="AD166" i="1"/>
  <c r="X166" i="1"/>
  <c r="W166" i="1"/>
  <c r="V166" i="1"/>
  <c r="AI165" i="1"/>
  <c r="AH165" i="1"/>
  <c r="AF165" i="1"/>
  <c r="AE165" i="1"/>
  <c r="AD165" i="1"/>
  <c r="X165" i="1"/>
  <c r="W165" i="1"/>
  <c r="V165" i="1"/>
  <c r="AG165" i="1" s="1"/>
  <c r="AI164" i="1"/>
  <c r="AH164" i="1"/>
  <c r="AF164" i="1"/>
  <c r="AE164" i="1"/>
  <c r="AD164" i="1"/>
  <c r="X164" i="1"/>
  <c r="W164" i="1"/>
  <c r="V164" i="1"/>
  <c r="AG164" i="1" s="1"/>
  <c r="AI163" i="1"/>
  <c r="AH163" i="1"/>
  <c r="AG163" i="1"/>
  <c r="AE163" i="1"/>
  <c r="AD163" i="1"/>
  <c r="X163" i="1"/>
  <c r="W163" i="1"/>
  <c r="V163" i="1"/>
  <c r="AF163" i="1" s="1"/>
  <c r="AI162" i="1"/>
  <c r="AH162" i="1"/>
  <c r="AG162" i="1"/>
  <c r="AE162" i="1"/>
  <c r="AD162" i="1"/>
  <c r="X162" i="1"/>
  <c r="W162" i="1"/>
  <c r="V162" i="1"/>
  <c r="AF162" i="1" s="1"/>
  <c r="AI161" i="1"/>
  <c r="AH161" i="1"/>
  <c r="AG161" i="1"/>
  <c r="AF161" i="1"/>
  <c r="AE161" i="1"/>
  <c r="AD161" i="1"/>
  <c r="X161" i="1"/>
  <c r="W161" i="1"/>
  <c r="V161" i="1"/>
  <c r="AI160" i="1"/>
  <c r="AH160" i="1"/>
  <c r="AG160" i="1"/>
  <c r="AF160" i="1"/>
  <c r="AE160" i="1"/>
  <c r="AD160" i="1"/>
  <c r="X160" i="1"/>
  <c r="W160" i="1"/>
  <c r="V160" i="1"/>
  <c r="AI159" i="1"/>
  <c r="AH159" i="1"/>
  <c r="AG159" i="1"/>
  <c r="AE159" i="1"/>
  <c r="AD159" i="1"/>
  <c r="X159" i="1"/>
  <c r="W159" i="1"/>
  <c r="V159" i="1"/>
  <c r="AF159" i="1" s="1"/>
  <c r="AI158" i="1"/>
  <c r="AH158" i="1"/>
  <c r="AG158" i="1"/>
  <c r="AE158" i="1"/>
  <c r="AD158" i="1"/>
  <c r="X158" i="1"/>
  <c r="W158" i="1"/>
  <c r="V158" i="1"/>
  <c r="AF158" i="1" s="1"/>
  <c r="AI157" i="1"/>
  <c r="AH157" i="1"/>
  <c r="AG157" i="1"/>
  <c r="AF157" i="1"/>
  <c r="AE157" i="1"/>
  <c r="AD157" i="1"/>
  <c r="X157" i="1"/>
  <c r="W157" i="1"/>
  <c r="V157" i="1"/>
  <c r="AI156" i="1"/>
  <c r="AH156" i="1"/>
  <c r="AG156" i="1"/>
  <c r="AE156" i="1"/>
  <c r="AD156" i="1"/>
  <c r="X156" i="1"/>
  <c r="W156" i="1"/>
  <c r="V156" i="1"/>
  <c r="AF156" i="1" s="1"/>
  <c r="AI155" i="1"/>
  <c r="AH155" i="1"/>
  <c r="AF155" i="1"/>
  <c r="AE155" i="1"/>
  <c r="AD155" i="1"/>
  <c r="X155" i="1"/>
  <c r="W155" i="1"/>
  <c r="V155" i="1"/>
  <c r="AG155" i="1" s="1"/>
  <c r="AI154" i="1"/>
  <c r="AH154" i="1"/>
  <c r="AG154" i="1"/>
  <c r="AF154" i="1"/>
  <c r="AE154" i="1"/>
  <c r="AD154" i="1"/>
  <c r="X154" i="1"/>
  <c r="W154" i="1"/>
  <c r="V154" i="1"/>
  <c r="AI153" i="1"/>
  <c r="AH153" i="1"/>
  <c r="AF153" i="1"/>
  <c r="AE153" i="1"/>
  <c r="AD153" i="1"/>
  <c r="X153" i="1"/>
  <c r="W153" i="1"/>
  <c r="V153" i="1"/>
  <c r="AG153" i="1" s="1"/>
  <c r="AI152" i="1"/>
  <c r="AH152" i="1"/>
  <c r="AF152" i="1"/>
  <c r="AE152" i="1"/>
  <c r="AD152" i="1"/>
  <c r="X152" i="1"/>
  <c r="W152" i="1"/>
  <c r="V152" i="1"/>
  <c r="AG152" i="1" s="1"/>
  <c r="AI151" i="1"/>
  <c r="AH151" i="1"/>
  <c r="AG151" i="1"/>
  <c r="AE151" i="1"/>
  <c r="AD151" i="1"/>
  <c r="X151" i="1"/>
  <c r="W151" i="1"/>
  <c r="V151" i="1"/>
  <c r="AF151" i="1" s="1"/>
  <c r="AI150" i="1"/>
  <c r="AH150" i="1"/>
  <c r="AG150" i="1"/>
  <c r="AF150" i="1"/>
  <c r="AE150" i="1"/>
  <c r="AD150" i="1"/>
  <c r="X150" i="1"/>
  <c r="W150" i="1"/>
  <c r="V150" i="1"/>
  <c r="AI149" i="1"/>
  <c r="AH149" i="1"/>
  <c r="AF149" i="1"/>
  <c r="AE149" i="1"/>
  <c r="AD149" i="1"/>
  <c r="X149" i="1"/>
  <c r="W149" i="1"/>
  <c r="V149" i="1"/>
  <c r="AG149" i="1" s="1"/>
  <c r="AI148" i="1"/>
  <c r="AH148" i="1"/>
  <c r="AF148" i="1"/>
  <c r="AE148" i="1"/>
  <c r="AD148" i="1"/>
  <c r="X148" i="1"/>
  <c r="W148" i="1"/>
  <c r="V148" i="1"/>
  <c r="AG148" i="1" s="1"/>
  <c r="AI147" i="1"/>
  <c r="AH147" i="1"/>
  <c r="AG147" i="1"/>
  <c r="AF147" i="1"/>
  <c r="AE147" i="1"/>
  <c r="AD147" i="1"/>
  <c r="X147" i="1"/>
  <c r="W147" i="1"/>
  <c r="V147" i="1"/>
  <c r="AI146" i="1"/>
  <c r="AH146" i="1"/>
  <c r="AG146" i="1"/>
  <c r="AF146" i="1"/>
  <c r="AE146" i="1"/>
  <c r="AD146" i="1"/>
  <c r="X146" i="1"/>
  <c r="W146" i="1"/>
  <c r="V146" i="1"/>
  <c r="AI145" i="1"/>
  <c r="AH145" i="1"/>
  <c r="AG145" i="1"/>
  <c r="AF145" i="1"/>
  <c r="AE145" i="1"/>
  <c r="AD145" i="1"/>
  <c r="X145" i="1"/>
  <c r="W145" i="1"/>
  <c r="V145" i="1"/>
  <c r="AI144" i="1"/>
  <c r="AH144" i="1"/>
  <c r="AG144" i="1"/>
  <c r="AE144" i="1"/>
  <c r="AD144" i="1"/>
  <c r="X144" i="1"/>
  <c r="W144" i="1"/>
  <c r="V144" i="1"/>
  <c r="AF144" i="1" s="1"/>
  <c r="AI143" i="1"/>
  <c r="AH143" i="1"/>
  <c r="AG143" i="1"/>
  <c r="AE143" i="1"/>
  <c r="AD143" i="1"/>
  <c r="X143" i="1"/>
  <c r="W143" i="1"/>
  <c r="V143" i="1"/>
  <c r="AF143" i="1" s="1"/>
  <c r="AI142" i="1"/>
  <c r="AH142" i="1"/>
  <c r="AG142" i="1"/>
  <c r="AE142" i="1"/>
  <c r="AD142" i="1"/>
  <c r="X142" i="1"/>
  <c r="W142" i="1"/>
  <c r="V142" i="1"/>
  <c r="AF142" i="1" s="1"/>
  <c r="AI141" i="1"/>
  <c r="AH141" i="1"/>
  <c r="AF141" i="1"/>
  <c r="AE141" i="1"/>
  <c r="AD141" i="1"/>
  <c r="X141" i="1"/>
  <c r="W141" i="1"/>
  <c r="V141" i="1"/>
  <c r="AG141" i="1" s="1"/>
  <c r="AI140" i="1"/>
  <c r="AH140" i="1"/>
  <c r="AF140" i="1"/>
  <c r="AE140" i="1"/>
  <c r="AD140" i="1"/>
  <c r="X140" i="1"/>
  <c r="W140" i="1"/>
  <c r="V140" i="1"/>
  <c r="AG140" i="1" s="1"/>
  <c r="AI139" i="1"/>
  <c r="AH139" i="1"/>
  <c r="AF139" i="1"/>
  <c r="AE139" i="1"/>
  <c r="AD139" i="1"/>
  <c r="X139" i="1"/>
  <c r="W139" i="1"/>
  <c r="V139" i="1"/>
  <c r="AG139" i="1" s="1"/>
  <c r="AI138" i="1"/>
  <c r="AH138" i="1"/>
  <c r="AF138" i="1"/>
  <c r="AE138" i="1"/>
  <c r="AD138" i="1"/>
  <c r="X138" i="1"/>
  <c r="W138" i="1"/>
  <c r="V138" i="1"/>
  <c r="AG138" i="1" s="1"/>
  <c r="AI137" i="1"/>
  <c r="AH137" i="1"/>
  <c r="AF137" i="1"/>
  <c r="AE137" i="1"/>
  <c r="AD137" i="1"/>
  <c r="X137" i="1"/>
  <c r="W137" i="1"/>
  <c r="V137" i="1"/>
  <c r="AG137" i="1" s="1"/>
  <c r="AI136" i="1"/>
  <c r="AH136" i="1"/>
  <c r="AG136" i="1"/>
  <c r="AE136" i="1"/>
  <c r="AD136" i="1"/>
  <c r="X136" i="1"/>
  <c r="W136" i="1"/>
  <c r="V136" i="1"/>
  <c r="AF136" i="1" s="1"/>
  <c r="AI135" i="1"/>
  <c r="AH135" i="1"/>
  <c r="AG135" i="1"/>
  <c r="AE135" i="1"/>
  <c r="AD135" i="1"/>
  <c r="X135" i="1"/>
  <c r="W135" i="1"/>
  <c r="V135" i="1"/>
  <c r="AF135" i="1" s="1"/>
  <c r="AI134" i="1"/>
  <c r="AH134" i="1"/>
  <c r="AG134" i="1"/>
  <c r="AE134" i="1"/>
  <c r="AD134" i="1"/>
  <c r="X134" i="1"/>
  <c r="W134" i="1"/>
  <c r="V134" i="1"/>
  <c r="AF134" i="1" s="1"/>
  <c r="AI133" i="1"/>
  <c r="AH133" i="1"/>
  <c r="AF133" i="1"/>
  <c r="AE133" i="1"/>
  <c r="AD133" i="1"/>
  <c r="X133" i="1"/>
  <c r="W133" i="1"/>
  <c r="V133" i="1"/>
  <c r="AG133" i="1" s="1"/>
  <c r="AI132" i="1"/>
  <c r="AH132" i="1"/>
  <c r="AF132" i="1"/>
  <c r="AE132" i="1"/>
  <c r="AD132" i="1"/>
  <c r="X132" i="1"/>
  <c r="W132" i="1"/>
  <c r="V132" i="1"/>
  <c r="AG132" i="1" s="1"/>
  <c r="AI131" i="1"/>
  <c r="AH131" i="1"/>
  <c r="AG131" i="1"/>
  <c r="AE131" i="1"/>
  <c r="AD131" i="1"/>
  <c r="X131" i="1"/>
  <c r="W131" i="1"/>
  <c r="V131" i="1"/>
  <c r="AF131" i="1" s="1"/>
  <c r="AI130" i="1"/>
  <c r="AH130" i="1"/>
  <c r="AF130" i="1"/>
  <c r="AE130" i="1"/>
  <c r="AD130" i="1"/>
  <c r="X130" i="1"/>
  <c r="W130" i="1"/>
  <c r="V130" i="1"/>
  <c r="AG130" i="1" s="1"/>
  <c r="AI129" i="1"/>
  <c r="AH129" i="1"/>
  <c r="AF129" i="1"/>
  <c r="AE129" i="1"/>
  <c r="AD129" i="1"/>
  <c r="X129" i="1"/>
  <c r="W129" i="1"/>
  <c r="V129" i="1"/>
  <c r="AG129" i="1" s="1"/>
  <c r="AI128" i="1"/>
  <c r="AH128" i="1"/>
  <c r="AG128" i="1"/>
  <c r="AF128" i="1"/>
  <c r="AE128" i="1"/>
  <c r="AD128" i="1"/>
  <c r="X128" i="1"/>
  <c r="W128" i="1"/>
  <c r="V128" i="1"/>
  <c r="AI127" i="1"/>
  <c r="AH127" i="1"/>
  <c r="AG127" i="1"/>
  <c r="AE127" i="1"/>
  <c r="AD127" i="1"/>
  <c r="X127" i="1"/>
  <c r="W127" i="1"/>
  <c r="V127" i="1"/>
  <c r="AF127" i="1" s="1"/>
  <c r="AI126" i="1"/>
  <c r="AH126" i="1"/>
  <c r="AG126" i="1"/>
  <c r="AE126" i="1"/>
  <c r="AD126" i="1"/>
  <c r="X126" i="1"/>
  <c r="W126" i="1"/>
  <c r="V126" i="1"/>
  <c r="AF126" i="1" s="1"/>
  <c r="AI125" i="1"/>
  <c r="AH125" i="1"/>
  <c r="AF125" i="1"/>
  <c r="AE125" i="1"/>
  <c r="AD125" i="1"/>
  <c r="X125" i="1"/>
  <c r="W125" i="1"/>
  <c r="V125" i="1"/>
  <c r="AG125" i="1" s="1"/>
  <c r="AI124" i="1"/>
  <c r="AH124" i="1"/>
  <c r="AG124" i="1"/>
  <c r="AE124" i="1"/>
  <c r="AD124" i="1"/>
  <c r="X124" i="1"/>
  <c r="W124" i="1"/>
  <c r="V124" i="1"/>
  <c r="AF124" i="1" s="1"/>
  <c r="AI123" i="1"/>
  <c r="AH123" i="1"/>
  <c r="AF123" i="1"/>
  <c r="AE123" i="1"/>
  <c r="AD123" i="1"/>
  <c r="X123" i="1"/>
  <c r="W123" i="1"/>
  <c r="V123" i="1"/>
  <c r="AG123" i="1" s="1"/>
  <c r="AI122" i="1"/>
  <c r="AH122" i="1"/>
  <c r="AG122" i="1"/>
  <c r="AF122" i="1"/>
  <c r="AE122" i="1"/>
  <c r="AD122" i="1"/>
  <c r="X122" i="1"/>
  <c r="W122" i="1"/>
  <c r="V122" i="1"/>
  <c r="AI121" i="1"/>
  <c r="AH121" i="1"/>
  <c r="AG121" i="1"/>
  <c r="AE121" i="1"/>
  <c r="AD121" i="1"/>
  <c r="X121" i="1"/>
  <c r="W121" i="1"/>
  <c r="V121" i="1"/>
  <c r="AF121" i="1" s="1"/>
  <c r="AI120" i="1"/>
  <c r="AH120" i="1"/>
  <c r="AF120" i="1"/>
  <c r="AE120" i="1"/>
  <c r="AD120" i="1"/>
  <c r="X120" i="1"/>
  <c r="W120" i="1"/>
  <c r="V120" i="1"/>
  <c r="AG120" i="1" s="1"/>
  <c r="AI119" i="1"/>
  <c r="AH119" i="1"/>
  <c r="AF119" i="1"/>
  <c r="AE119" i="1"/>
  <c r="AD119" i="1"/>
  <c r="X119" i="1"/>
  <c r="W119" i="1"/>
  <c r="V119" i="1"/>
  <c r="AG119" i="1" s="1"/>
  <c r="AI118" i="1"/>
  <c r="AH118" i="1"/>
  <c r="AF118" i="1"/>
  <c r="AE118" i="1"/>
  <c r="AD118" i="1"/>
  <c r="X118" i="1"/>
  <c r="W118" i="1"/>
  <c r="V118" i="1"/>
  <c r="AG118" i="1" s="1"/>
  <c r="AI117" i="1"/>
  <c r="AH117" i="1"/>
  <c r="AG117" i="1"/>
  <c r="AE117" i="1"/>
  <c r="AD117" i="1"/>
  <c r="X117" i="1"/>
  <c r="W117" i="1"/>
  <c r="V117" i="1"/>
  <c r="AF117" i="1" s="1"/>
  <c r="AI116" i="1"/>
  <c r="AH116" i="1"/>
  <c r="AF116" i="1"/>
  <c r="AE116" i="1"/>
  <c r="AD116" i="1"/>
  <c r="X116" i="1"/>
  <c r="W116" i="1"/>
  <c r="V116" i="1"/>
  <c r="AG116" i="1" s="1"/>
  <c r="AI115" i="1"/>
  <c r="AH115" i="1"/>
  <c r="AG115" i="1"/>
  <c r="AE115" i="1"/>
  <c r="AD115" i="1"/>
  <c r="X115" i="1"/>
  <c r="W115" i="1"/>
  <c r="V115" i="1"/>
  <c r="AF115" i="1" s="1"/>
  <c r="AI114" i="1"/>
  <c r="AH114" i="1"/>
  <c r="AF114" i="1"/>
  <c r="AE114" i="1"/>
  <c r="AD114" i="1"/>
  <c r="X114" i="1"/>
  <c r="W114" i="1"/>
  <c r="V114" i="1"/>
  <c r="AG114" i="1" s="1"/>
  <c r="AI113" i="1"/>
  <c r="AH113" i="1"/>
  <c r="AF113" i="1"/>
  <c r="AE113" i="1"/>
  <c r="AD113" i="1"/>
  <c r="X113" i="1"/>
  <c r="W113" i="1"/>
  <c r="V113" i="1"/>
  <c r="AG113" i="1" s="1"/>
  <c r="AI112" i="1"/>
  <c r="AH112" i="1"/>
  <c r="AF112" i="1"/>
  <c r="AE112" i="1"/>
  <c r="AD112" i="1"/>
  <c r="X112" i="1"/>
  <c r="W112" i="1"/>
  <c r="V112" i="1"/>
  <c r="AG112" i="1" s="1"/>
  <c r="AI111" i="1"/>
  <c r="AH111" i="1"/>
  <c r="AF111" i="1"/>
  <c r="AE111" i="1"/>
  <c r="AD111" i="1"/>
  <c r="X111" i="1"/>
  <c r="W111" i="1"/>
  <c r="V111" i="1"/>
  <c r="AG111" i="1" s="1"/>
  <c r="AI110" i="1"/>
  <c r="AH110" i="1"/>
  <c r="AG110" i="1"/>
  <c r="AF110" i="1"/>
  <c r="AE110" i="1"/>
  <c r="AD110" i="1"/>
  <c r="X110" i="1"/>
  <c r="W110" i="1"/>
  <c r="V110" i="1"/>
  <c r="AI109" i="1"/>
  <c r="AH109" i="1"/>
  <c r="AF109" i="1"/>
  <c r="AE109" i="1"/>
  <c r="AD109" i="1"/>
  <c r="X109" i="1"/>
  <c r="W109" i="1"/>
  <c r="V109" i="1"/>
  <c r="AG109" i="1" s="1"/>
  <c r="AI108" i="1"/>
  <c r="AH108" i="1"/>
  <c r="AG108" i="1"/>
  <c r="AF108" i="1"/>
  <c r="AE108" i="1"/>
  <c r="AD108" i="1"/>
  <c r="X108" i="1"/>
  <c r="W108" i="1"/>
  <c r="V108" i="1"/>
  <c r="AI107" i="1"/>
  <c r="AH107" i="1"/>
  <c r="AF107" i="1"/>
  <c r="AE107" i="1"/>
  <c r="AD107" i="1"/>
  <c r="X107" i="1"/>
  <c r="W107" i="1"/>
  <c r="V107" i="1"/>
  <c r="AG107" i="1" s="1"/>
  <c r="AI106" i="1"/>
  <c r="AH106" i="1"/>
  <c r="AG106" i="1"/>
  <c r="AF106" i="1"/>
  <c r="AE106" i="1"/>
  <c r="AD106" i="1"/>
  <c r="X106" i="1"/>
  <c r="W106" i="1"/>
  <c r="V106" i="1"/>
  <c r="AI105" i="1"/>
  <c r="AH105" i="1"/>
  <c r="AF105" i="1"/>
  <c r="AE105" i="1"/>
  <c r="AD105" i="1"/>
  <c r="X105" i="1"/>
  <c r="W105" i="1"/>
  <c r="V105" i="1"/>
  <c r="AG105" i="1" s="1"/>
  <c r="AI104" i="1"/>
  <c r="AH104" i="1"/>
  <c r="AF104" i="1"/>
  <c r="AE104" i="1"/>
  <c r="AD104" i="1"/>
  <c r="X104" i="1"/>
  <c r="W104" i="1"/>
  <c r="V104" i="1"/>
  <c r="AG104" i="1" s="1"/>
  <c r="AI103" i="1"/>
  <c r="AH103" i="1"/>
  <c r="AF103" i="1"/>
  <c r="AE103" i="1"/>
  <c r="AD103" i="1"/>
  <c r="X103" i="1"/>
  <c r="W103" i="1"/>
  <c r="V103" i="1"/>
  <c r="AG103" i="1" s="1"/>
  <c r="AI102" i="1"/>
  <c r="AH102" i="1"/>
  <c r="AF102" i="1"/>
  <c r="AE102" i="1"/>
  <c r="AD102" i="1"/>
  <c r="X102" i="1"/>
  <c r="W102" i="1"/>
  <c r="V102" i="1"/>
  <c r="AG102" i="1" s="1"/>
  <c r="AI101" i="1"/>
  <c r="AH101" i="1"/>
  <c r="AG101" i="1"/>
  <c r="AF101" i="1"/>
  <c r="AE101" i="1"/>
  <c r="AD101" i="1"/>
  <c r="X101" i="1"/>
  <c r="W101" i="1"/>
  <c r="V101" i="1"/>
  <c r="AI100" i="1"/>
  <c r="AH100" i="1"/>
  <c r="AG100" i="1"/>
  <c r="AF100" i="1"/>
  <c r="AE100" i="1"/>
  <c r="AD100" i="1"/>
  <c r="X100" i="1"/>
  <c r="W100" i="1"/>
  <c r="V100" i="1"/>
  <c r="AI99" i="1"/>
  <c r="AH99" i="1"/>
  <c r="AF99" i="1"/>
  <c r="AE99" i="1"/>
  <c r="AD99" i="1"/>
  <c r="X99" i="1"/>
  <c r="W99" i="1"/>
  <c r="V99" i="1"/>
  <c r="AG99" i="1" s="1"/>
  <c r="AI98" i="1"/>
  <c r="AH98" i="1"/>
  <c r="AF98" i="1"/>
  <c r="AE98" i="1"/>
  <c r="AD98" i="1"/>
  <c r="X98" i="1"/>
  <c r="W98" i="1"/>
  <c r="V98" i="1"/>
  <c r="AG98" i="1" s="1"/>
  <c r="AI97" i="1"/>
  <c r="AH97" i="1"/>
  <c r="AG97" i="1"/>
  <c r="AE97" i="1"/>
  <c r="AD97" i="1"/>
  <c r="X97" i="1"/>
  <c r="W97" i="1"/>
  <c r="V97" i="1"/>
  <c r="AF97" i="1" s="1"/>
  <c r="AI96" i="1"/>
  <c r="AH96" i="1"/>
  <c r="AG96" i="1"/>
  <c r="AF96" i="1"/>
  <c r="AE96" i="1"/>
  <c r="AD96" i="1"/>
  <c r="X96" i="1"/>
  <c r="W96" i="1"/>
  <c r="V96" i="1"/>
  <c r="AI95" i="1"/>
  <c r="AH95" i="1"/>
  <c r="AG95" i="1"/>
  <c r="AE95" i="1"/>
  <c r="AD95" i="1"/>
  <c r="X95" i="1"/>
  <c r="W95" i="1"/>
  <c r="V95" i="1"/>
  <c r="AF95" i="1" s="1"/>
  <c r="AI94" i="1"/>
  <c r="AH94" i="1"/>
  <c r="AG94" i="1"/>
  <c r="AE94" i="1"/>
  <c r="AD94" i="1"/>
  <c r="X94" i="1"/>
  <c r="W94" i="1"/>
  <c r="V94" i="1"/>
  <c r="AF94" i="1" s="1"/>
  <c r="AI93" i="1"/>
  <c r="AH93" i="1"/>
  <c r="AG93" i="1"/>
  <c r="AF93" i="1"/>
  <c r="AE93" i="1"/>
  <c r="AD93" i="1"/>
  <c r="X93" i="1"/>
  <c r="W93" i="1"/>
  <c r="V93" i="1"/>
  <c r="AI92" i="1"/>
  <c r="AH92" i="1"/>
  <c r="AF92" i="1"/>
  <c r="AE92" i="1"/>
  <c r="AD92" i="1"/>
  <c r="X92" i="1"/>
  <c r="W92" i="1"/>
  <c r="V92" i="1"/>
  <c r="AG92" i="1" s="1"/>
  <c r="AI91" i="1"/>
  <c r="AH91" i="1"/>
  <c r="AG91" i="1"/>
  <c r="AF91" i="1"/>
  <c r="AE91" i="1"/>
  <c r="AD91" i="1"/>
  <c r="X91" i="1"/>
  <c r="W91" i="1"/>
  <c r="V91" i="1"/>
  <c r="AI90" i="1"/>
  <c r="AH90" i="1"/>
  <c r="AF90" i="1"/>
  <c r="AE90" i="1"/>
  <c r="AD90" i="1"/>
  <c r="X90" i="1"/>
  <c r="W90" i="1"/>
  <c r="V90" i="1"/>
  <c r="AG90" i="1" s="1"/>
  <c r="AI89" i="1"/>
  <c r="AH89" i="1"/>
  <c r="AF89" i="1"/>
  <c r="AE89" i="1"/>
  <c r="AD89" i="1"/>
  <c r="X89" i="1"/>
  <c r="W89" i="1"/>
  <c r="V89" i="1"/>
  <c r="AG89" i="1" s="1"/>
  <c r="AI88" i="1"/>
  <c r="AH88" i="1"/>
  <c r="AG88" i="1"/>
  <c r="AE88" i="1"/>
  <c r="AD88" i="1"/>
  <c r="X88" i="1"/>
  <c r="W88" i="1"/>
  <c r="V88" i="1"/>
  <c r="AF88" i="1" s="1"/>
  <c r="AI87" i="1"/>
  <c r="AH87" i="1"/>
  <c r="AF87" i="1"/>
  <c r="AE87" i="1"/>
  <c r="AD87" i="1"/>
  <c r="X87" i="1"/>
  <c r="W87" i="1"/>
  <c r="V87" i="1"/>
  <c r="AG87" i="1" s="1"/>
  <c r="AI86" i="1"/>
  <c r="AH86" i="1"/>
  <c r="AF86" i="1"/>
  <c r="AE86" i="1"/>
  <c r="AD86" i="1"/>
  <c r="X86" i="1"/>
  <c r="W86" i="1"/>
  <c r="V86" i="1"/>
  <c r="AG86" i="1" s="1"/>
  <c r="AI85" i="1"/>
  <c r="AH85" i="1"/>
  <c r="AG85" i="1"/>
  <c r="AF85" i="1"/>
  <c r="AE85" i="1"/>
  <c r="AD85" i="1"/>
  <c r="X85" i="1"/>
  <c r="W85" i="1"/>
  <c r="V85" i="1"/>
  <c r="AI84" i="1"/>
  <c r="AH84" i="1"/>
  <c r="AG84" i="1"/>
  <c r="AF84" i="1"/>
  <c r="AE84" i="1"/>
  <c r="AD84" i="1"/>
  <c r="X84" i="1"/>
  <c r="W84" i="1"/>
  <c r="V84" i="1"/>
  <c r="AI83" i="1"/>
  <c r="AH83" i="1"/>
  <c r="AF83" i="1"/>
  <c r="AE83" i="1"/>
  <c r="AD83" i="1"/>
  <c r="X83" i="1"/>
  <c r="W83" i="1"/>
  <c r="V83" i="1"/>
  <c r="AG83" i="1" s="1"/>
  <c r="AI82" i="1"/>
  <c r="AH82" i="1"/>
  <c r="AG82" i="1"/>
  <c r="AF82" i="1"/>
  <c r="AE82" i="1"/>
  <c r="AD82" i="1"/>
  <c r="X82" i="1"/>
  <c r="W82" i="1"/>
  <c r="V82" i="1"/>
  <c r="AI81" i="1"/>
  <c r="AH81" i="1"/>
  <c r="AG81" i="1"/>
  <c r="AF81" i="1"/>
  <c r="AE81" i="1"/>
  <c r="AD81" i="1"/>
  <c r="X81" i="1"/>
  <c r="W81" i="1"/>
  <c r="V81" i="1"/>
  <c r="AI80" i="1"/>
  <c r="AH80" i="1"/>
  <c r="AG80" i="1"/>
  <c r="AF80" i="1"/>
  <c r="AE80" i="1"/>
  <c r="AD80" i="1"/>
  <c r="X80" i="1"/>
  <c r="W80" i="1"/>
  <c r="V80" i="1"/>
  <c r="AI79" i="1"/>
  <c r="AH79" i="1"/>
  <c r="AF79" i="1"/>
  <c r="AE79" i="1"/>
  <c r="AD79" i="1"/>
  <c r="X79" i="1"/>
  <c r="W79" i="1"/>
  <c r="V79" i="1"/>
  <c r="AG79" i="1" s="1"/>
  <c r="AI78" i="1"/>
  <c r="AH78" i="1"/>
  <c r="AF78" i="1"/>
  <c r="AE78" i="1"/>
  <c r="AD78" i="1"/>
  <c r="X78" i="1"/>
  <c r="W78" i="1"/>
  <c r="V78" i="1"/>
  <c r="AG78" i="1" s="1"/>
  <c r="AI77" i="1"/>
  <c r="AH77" i="1"/>
  <c r="AG77" i="1"/>
  <c r="AF77" i="1"/>
  <c r="AE77" i="1"/>
  <c r="AD77" i="1"/>
  <c r="X77" i="1"/>
  <c r="W77" i="1"/>
  <c r="V77" i="1"/>
  <c r="AI76" i="1"/>
  <c r="AH76" i="1"/>
  <c r="AF76" i="1"/>
  <c r="AE76" i="1"/>
  <c r="AD76" i="1"/>
  <c r="X76" i="1"/>
  <c r="W76" i="1"/>
  <c r="V76" i="1"/>
  <c r="AG76" i="1" s="1"/>
  <c r="AI75" i="1"/>
  <c r="AH75" i="1"/>
  <c r="AG75" i="1"/>
  <c r="AF75" i="1"/>
  <c r="AE75" i="1"/>
  <c r="AD75" i="1"/>
  <c r="X75" i="1"/>
  <c r="W75" i="1"/>
  <c r="V75" i="1"/>
  <c r="AI74" i="1"/>
  <c r="AH74" i="1"/>
  <c r="AF74" i="1"/>
  <c r="AE74" i="1"/>
  <c r="AD74" i="1"/>
  <c r="X74" i="1"/>
  <c r="W74" i="1"/>
  <c r="V74" i="1"/>
  <c r="AG74" i="1" s="1"/>
  <c r="AI73" i="1"/>
  <c r="AH73" i="1"/>
  <c r="AF73" i="1"/>
  <c r="AE73" i="1"/>
  <c r="AD73" i="1"/>
  <c r="X73" i="1"/>
  <c r="W73" i="1"/>
  <c r="V73" i="1"/>
  <c r="AG73" i="1" s="1"/>
  <c r="AI72" i="1"/>
  <c r="AH72" i="1"/>
  <c r="AF72" i="1"/>
  <c r="AE72" i="1"/>
  <c r="AD72" i="1"/>
  <c r="X72" i="1"/>
  <c r="W72" i="1"/>
  <c r="V72" i="1"/>
  <c r="AG72" i="1" s="1"/>
  <c r="AI71" i="1"/>
  <c r="AH71" i="1"/>
  <c r="AF71" i="1"/>
  <c r="AE71" i="1"/>
  <c r="AD71" i="1"/>
  <c r="X71" i="1"/>
  <c r="W71" i="1"/>
  <c r="V71" i="1"/>
  <c r="AG71" i="1" s="1"/>
  <c r="AI70" i="1"/>
  <c r="AH70" i="1"/>
  <c r="AG70" i="1"/>
  <c r="AF70" i="1"/>
  <c r="AE70" i="1"/>
  <c r="AD70" i="1"/>
  <c r="X70" i="1"/>
  <c r="W70" i="1"/>
  <c r="V70" i="1"/>
  <c r="AI69" i="1"/>
  <c r="AH69" i="1"/>
  <c r="AG69" i="1"/>
  <c r="AF69" i="1"/>
  <c r="AE69" i="1"/>
  <c r="AD69" i="1"/>
  <c r="X69" i="1"/>
  <c r="W69" i="1"/>
  <c r="V69" i="1"/>
  <c r="AI68" i="1"/>
  <c r="AH68" i="1"/>
  <c r="AG68" i="1"/>
  <c r="AE68" i="1"/>
  <c r="AD68" i="1"/>
  <c r="X68" i="1"/>
  <c r="W68" i="1"/>
  <c r="V68" i="1"/>
  <c r="AF68" i="1" s="1"/>
  <c r="AI67" i="1"/>
  <c r="AH67" i="1"/>
  <c r="AF67" i="1"/>
  <c r="AE67" i="1"/>
  <c r="AD67" i="1"/>
  <c r="X67" i="1"/>
  <c r="W67" i="1"/>
  <c r="V67" i="1"/>
  <c r="AG67" i="1" s="1"/>
  <c r="AI66" i="1"/>
  <c r="AH66" i="1"/>
  <c r="AF66" i="1"/>
  <c r="AE66" i="1"/>
  <c r="AD66" i="1"/>
  <c r="X66" i="1"/>
  <c r="W66" i="1"/>
  <c r="V66" i="1"/>
  <c r="AG66" i="1" s="1"/>
  <c r="AI65" i="1"/>
  <c r="AH65" i="1"/>
  <c r="AF65" i="1"/>
  <c r="AE65" i="1"/>
  <c r="AD65" i="1"/>
  <c r="X65" i="1"/>
  <c r="W65" i="1"/>
  <c r="V65" i="1"/>
  <c r="AG65" i="1" s="1"/>
  <c r="AI64" i="1"/>
  <c r="AH64" i="1"/>
  <c r="AG64" i="1"/>
  <c r="AE64" i="1"/>
  <c r="AD64" i="1"/>
  <c r="X64" i="1"/>
  <c r="W64" i="1"/>
  <c r="V64" i="1"/>
  <c r="AF64" i="1" s="1"/>
  <c r="AI63" i="1"/>
  <c r="AH63" i="1"/>
  <c r="AG63" i="1"/>
  <c r="AE63" i="1"/>
  <c r="AD63" i="1"/>
  <c r="X63" i="1"/>
  <c r="W63" i="1"/>
  <c r="V63" i="1"/>
  <c r="AF63" i="1" s="1"/>
  <c r="AI62" i="1"/>
  <c r="AH62" i="1"/>
  <c r="AG62" i="1"/>
  <c r="AF62" i="1"/>
  <c r="AE62" i="1"/>
  <c r="AD62" i="1"/>
  <c r="X62" i="1"/>
  <c r="W62" i="1"/>
  <c r="V62" i="1"/>
  <c r="AI61" i="1"/>
  <c r="AH61" i="1"/>
  <c r="AG61" i="1"/>
  <c r="AF61" i="1"/>
  <c r="AE61" i="1"/>
  <c r="AD61" i="1"/>
  <c r="X61" i="1"/>
  <c r="W61" i="1"/>
  <c r="V61" i="1"/>
  <c r="AI60" i="1"/>
  <c r="AH60" i="1"/>
  <c r="AF60" i="1"/>
  <c r="AE60" i="1"/>
  <c r="AD60" i="1"/>
  <c r="X60" i="1"/>
  <c r="W60" i="1"/>
  <c r="V60" i="1"/>
  <c r="AG60" i="1" s="1"/>
  <c r="AI59" i="1"/>
  <c r="AH59" i="1"/>
  <c r="AG59" i="1"/>
  <c r="AE59" i="1"/>
  <c r="AD59" i="1"/>
  <c r="X59" i="1"/>
  <c r="W59" i="1"/>
  <c r="V59" i="1"/>
  <c r="AF59" i="1" s="1"/>
  <c r="AI58" i="1"/>
  <c r="AH58" i="1"/>
  <c r="AG58" i="1"/>
  <c r="AF58" i="1"/>
  <c r="AE58" i="1"/>
  <c r="AD58" i="1"/>
  <c r="X58" i="1"/>
  <c r="W58" i="1"/>
  <c r="V58" i="1"/>
  <c r="AI57" i="1"/>
  <c r="AH57" i="1"/>
  <c r="AG57" i="1"/>
  <c r="AE57" i="1"/>
  <c r="AD57" i="1"/>
  <c r="X57" i="1"/>
  <c r="W57" i="1"/>
  <c r="V57" i="1"/>
  <c r="AF57" i="1" s="1"/>
  <c r="AI56" i="1"/>
  <c r="AH56" i="1"/>
  <c r="AG56" i="1"/>
  <c r="AE56" i="1"/>
  <c r="AD56" i="1"/>
  <c r="X56" i="1"/>
  <c r="W56" i="1"/>
  <c r="V56" i="1"/>
  <c r="AF56" i="1" s="1"/>
  <c r="AI55" i="1"/>
  <c r="AH55" i="1"/>
  <c r="AG55" i="1"/>
  <c r="AE55" i="1"/>
  <c r="AD55" i="1"/>
  <c r="X55" i="1"/>
  <c r="W55" i="1"/>
  <c r="V55" i="1"/>
  <c r="AF55" i="1" s="1"/>
  <c r="AI54" i="1"/>
  <c r="AH54" i="1"/>
  <c r="AG54" i="1"/>
  <c r="AF54" i="1"/>
  <c r="AE54" i="1"/>
  <c r="AD54" i="1"/>
  <c r="X54" i="1"/>
  <c r="W54" i="1"/>
  <c r="V54" i="1"/>
  <c r="AI53" i="1"/>
  <c r="AH53" i="1"/>
  <c r="AG53" i="1"/>
  <c r="AF53" i="1"/>
  <c r="AE53" i="1"/>
  <c r="AD53" i="1"/>
  <c r="X53" i="1"/>
  <c r="W53" i="1"/>
  <c r="V53" i="1"/>
  <c r="AI52" i="1"/>
  <c r="AH52" i="1"/>
  <c r="AF52" i="1"/>
  <c r="AE52" i="1"/>
  <c r="AD52" i="1"/>
  <c r="X52" i="1"/>
  <c r="W52" i="1"/>
  <c r="V52" i="1"/>
  <c r="AG52" i="1" s="1"/>
  <c r="AI51" i="1"/>
  <c r="AH51" i="1"/>
  <c r="AG51" i="1"/>
  <c r="AE51" i="1"/>
  <c r="AD51" i="1"/>
  <c r="X51" i="1"/>
  <c r="W51" i="1"/>
  <c r="V51" i="1"/>
  <c r="AF51" i="1" s="1"/>
  <c r="AI50" i="1"/>
  <c r="AH50" i="1"/>
  <c r="AG50" i="1"/>
  <c r="AE50" i="1"/>
  <c r="AD50" i="1"/>
  <c r="X50" i="1"/>
  <c r="W50" i="1"/>
  <c r="V50" i="1"/>
  <c r="AF50" i="1" s="1"/>
  <c r="AI49" i="1"/>
  <c r="AH49" i="1"/>
  <c r="AG49" i="1"/>
  <c r="AE49" i="1"/>
  <c r="AD49" i="1"/>
  <c r="X49" i="1"/>
  <c r="W49" i="1"/>
  <c r="V49" i="1"/>
  <c r="AF49" i="1" s="1"/>
  <c r="AI48" i="1"/>
  <c r="AH48" i="1"/>
  <c r="AF48" i="1"/>
  <c r="AE48" i="1"/>
  <c r="AD48" i="1"/>
  <c r="X48" i="1"/>
  <c r="W48" i="1"/>
  <c r="V48" i="1"/>
  <c r="AG48" i="1" s="1"/>
  <c r="AI47" i="1"/>
  <c r="AH47" i="1"/>
  <c r="AG47" i="1"/>
  <c r="AF47" i="1"/>
  <c r="AE47" i="1"/>
  <c r="AD47" i="1"/>
  <c r="X47" i="1"/>
  <c r="W47" i="1"/>
  <c r="V47" i="1"/>
  <c r="AI46" i="1"/>
  <c r="AH46" i="1"/>
  <c r="AF46" i="1"/>
  <c r="AE46" i="1"/>
  <c r="AD46" i="1"/>
  <c r="X46" i="1"/>
  <c r="W46" i="1"/>
  <c r="V46" i="1"/>
  <c r="AG46" i="1" s="1"/>
  <c r="AI45" i="1"/>
  <c r="AH45" i="1"/>
  <c r="AG45" i="1"/>
  <c r="AE45" i="1"/>
  <c r="AD45" i="1"/>
  <c r="X45" i="1"/>
  <c r="W45" i="1"/>
  <c r="V45" i="1"/>
  <c r="AF45" i="1" s="1"/>
  <c r="AI44" i="1"/>
  <c r="AH44" i="1"/>
  <c r="AG44" i="1"/>
  <c r="AF44" i="1"/>
  <c r="AE44" i="1"/>
  <c r="AD44" i="1"/>
  <c r="X44" i="1"/>
  <c r="W44" i="1"/>
  <c r="V44" i="1"/>
  <c r="AI43" i="1"/>
  <c r="AH43" i="1"/>
  <c r="AG43" i="1"/>
  <c r="AF43" i="1"/>
  <c r="AE43" i="1"/>
  <c r="AD43" i="1"/>
  <c r="X43" i="1"/>
  <c r="W43" i="1"/>
  <c r="V43" i="1"/>
  <c r="AI42" i="1"/>
  <c r="AH42" i="1"/>
  <c r="AF42" i="1"/>
  <c r="AE42" i="1"/>
  <c r="AD42" i="1"/>
  <c r="X42" i="1"/>
  <c r="W42" i="1"/>
  <c r="V42" i="1"/>
  <c r="AG42" i="1" s="1"/>
  <c r="AI41" i="1"/>
  <c r="AH41" i="1"/>
  <c r="AF41" i="1"/>
  <c r="AE41" i="1"/>
  <c r="AD41" i="1"/>
  <c r="X41" i="1"/>
  <c r="W41" i="1"/>
  <c r="V41" i="1"/>
  <c r="AG41" i="1" s="1"/>
  <c r="AI40" i="1"/>
  <c r="AH40" i="1"/>
  <c r="AF40" i="1"/>
  <c r="AE40" i="1"/>
  <c r="AD40" i="1"/>
  <c r="X40" i="1"/>
  <c r="W40" i="1"/>
  <c r="V40" i="1"/>
  <c r="AG40" i="1" s="1"/>
  <c r="AI39" i="1"/>
  <c r="AH39" i="1"/>
  <c r="AF39" i="1"/>
  <c r="AE39" i="1"/>
  <c r="AD39" i="1"/>
  <c r="X39" i="1"/>
  <c r="W39" i="1"/>
  <c r="V39" i="1"/>
  <c r="AG39" i="1" s="1"/>
  <c r="AI38" i="1"/>
  <c r="AH38" i="1"/>
  <c r="AF38" i="1"/>
  <c r="AE38" i="1"/>
  <c r="AD38" i="1"/>
  <c r="X38" i="1"/>
  <c r="W38" i="1"/>
  <c r="V38" i="1"/>
  <c r="AG38" i="1" s="1"/>
  <c r="AI37" i="1"/>
  <c r="AH37" i="1"/>
  <c r="AF37" i="1"/>
  <c r="AE37" i="1"/>
  <c r="AD37" i="1"/>
  <c r="X37" i="1"/>
  <c r="W37" i="1"/>
  <c r="V37" i="1"/>
  <c r="AG37" i="1" s="1"/>
  <c r="AI36" i="1"/>
  <c r="AH36" i="1"/>
  <c r="AG36" i="1"/>
  <c r="AE36" i="1"/>
  <c r="AD36" i="1"/>
  <c r="X36" i="1"/>
  <c r="W36" i="1"/>
  <c r="V36" i="1"/>
  <c r="AF36" i="1" s="1"/>
  <c r="AI35" i="1"/>
  <c r="AH35" i="1"/>
  <c r="AG35" i="1"/>
  <c r="AE35" i="1"/>
  <c r="AD35" i="1"/>
  <c r="X35" i="1"/>
  <c r="W35" i="1"/>
  <c r="V35" i="1"/>
  <c r="AF35" i="1" s="1"/>
  <c r="AI34" i="1"/>
  <c r="AH34" i="1"/>
  <c r="AG34" i="1"/>
  <c r="AF34" i="1"/>
  <c r="AE34" i="1"/>
  <c r="AD34" i="1"/>
  <c r="X34" i="1"/>
  <c r="W34" i="1"/>
  <c r="V34" i="1"/>
  <c r="AI33" i="1"/>
  <c r="AH33" i="1"/>
  <c r="AF33" i="1"/>
  <c r="AE33" i="1"/>
  <c r="AD33" i="1"/>
  <c r="X33" i="1"/>
  <c r="W33" i="1"/>
  <c r="V33" i="1"/>
  <c r="AG33" i="1" s="1"/>
  <c r="AI32" i="1"/>
  <c r="AH32" i="1"/>
  <c r="AG32" i="1"/>
  <c r="AF32" i="1"/>
  <c r="AE32" i="1"/>
  <c r="AD32" i="1"/>
  <c r="X32" i="1"/>
  <c r="W32" i="1"/>
  <c r="V32" i="1"/>
  <c r="AI31" i="1"/>
  <c r="AH31" i="1"/>
  <c r="AG31" i="1"/>
  <c r="AF31" i="1"/>
  <c r="AE31" i="1"/>
  <c r="AD31" i="1"/>
  <c r="X31" i="1"/>
  <c r="W31" i="1"/>
  <c r="V31" i="1"/>
  <c r="AI30" i="1"/>
  <c r="AH30" i="1"/>
  <c r="AG30" i="1"/>
  <c r="AF30" i="1"/>
  <c r="AE30" i="1"/>
  <c r="AD30" i="1"/>
  <c r="X30" i="1"/>
  <c r="W30" i="1"/>
  <c r="V30" i="1"/>
  <c r="AI29" i="1"/>
  <c r="AH29" i="1"/>
  <c r="AG29" i="1"/>
  <c r="AF29" i="1"/>
  <c r="AE29" i="1"/>
  <c r="AD29" i="1"/>
  <c r="X29" i="1"/>
  <c r="W29" i="1"/>
  <c r="V29" i="1"/>
  <c r="AI28" i="1"/>
  <c r="AH28" i="1"/>
  <c r="AF28" i="1"/>
  <c r="AE28" i="1"/>
  <c r="AD28" i="1"/>
  <c r="X28" i="1"/>
  <c r="W28" i="1"/>
  <c r="V28" i="1"/>
  <c r="AG28" i="1" s="1"/>
  <c r="AI27" i="1"/>
  <c r="AH27" i="1"/>
  <c r="AF27" i="1"/>
  <c r="AE27" i="1"/>
  <c r="AD27" i="1"/>
  <c r="X27" i="1"/>
  <c r="W27" i="1"/>
  <c r="V27" i="1"/>
  <c r="AG27" i="1" s="1"/>
  <c r="AI26" i="1"/>
  <c r="AH26" i="1"/>
  <c r="AG26" i="1"/>
  <c r="AF26" i="1"/>
  <c r="AE26" i="1"/>
  <c r="AD26" i="1"/>
  <c r="X26" i="1"/>
  <c r="W26" i="1"/>
  <c r="V26" i="1"/>
  <c r="AI25" i="1"/>
  <c r="AH25" i="1"/>
  <c r="AG25" i="1"/>
  <c r="AE25" i="1"/>
  <c r="AD25" i="1"/>
  <c r="X25" i="1"/>
  <c r="W25" i="1"/>
  <c r="V25" i="1"/>
  <c r="AF25" i="1" s="1"/>
  <c r="AI24" i="1"/>
  <c r="AH24" i="1"/>
  <c r="AF24" i="1"/>
  <c r="AE24" i="1"/>
  <c r="AD24" i="1"/>
  <c r="X24" i="1"/>
  <c r="W24" i="1"/>
  <c r="V24" i="1"/>
  <c r="AG24" i="1" s="1"/>
  <c r="AI23" i="1"/>
  <c r="AH23" i="1"/>
  <c r="AG23" i="1"/>
  <c r="AF23" i="1"/>
  <c r="AE23" i="1"/>
  <c r="AD23" i="1"/>
  <c r="X23" i="1"/>
  <c r="W23" i="1"/>
  <c r="V23" i="1"/>
  <c r="AI22" i="1"/>
  <c r="AH22" i="1"/>
  <c r="AG22" i="1"/>
  <c r="AF22" i="1"/>
  <c r="AE22" i="1"/>
  <c r="AD22" i="1"/>
  <c r="X22" i="1"/>
  <c r="W22" i="1"/>
  <c r="V22" i="1"/>
  <c r="AI21" i="1"/>
  <c r="AH21" i="1"/>
  <c r="AF21" i="1"/>
  <c r="AE21" i="1"/>
  <c r="AD21" i="1"/>
  <c r="X21" i="1"/>
  <c r="W21" i="1"/>
  <c r="V21" i="1"/>
  <c r="AG21" i="1" s="1"/>
  <c r="AI20" i="1"/>
  <c r="AH20" i="1"/>
  <c r="AG20" i="1"/>
  <c r="AF20" i="1"/>
  <c r="AE20" i="1"/>
  <c r="AD20" i="1"/>
  <c r="X20" i="1"/>
  <c r="W20" i="1"/>
  <c r="V20" i="1"/>
  <c r="AI19" i="1"/>
  <c r="AH19" i="1"/>
  <c r="AF19" i="1"/>
  <c r="AE19" i="1"/>
  <c r="AD19" i="1"/>
  <c r="X19" i="1"/>
  <c r="W19" i="1"/>
  <c r="V19" i="1"/>
  <c r="AG19" i="1" s="1"/>
  <c r="AI18" i="1"/>
  <c r="AH18" i="1"/>
  <c r="AG18" i="1"/>
  <c r="AF18" i="1"/>
  <c r="AE18" i="1"/>
  <c r="AD18" i="1"/>
  <c r="X18" i="1"/>
  <c r="W18" i="1"/>
  <c r="V18" i="1"/>
  <c r="AI17" i="1"/>
  <c r="AH17" i="1"/>
  <c r="AG17" i="1"/>
  <c r="AF17" i="1"/>
  <c r="AE17" i="1"/>
  <c r="AD17" i="1"/>
  <c r="X17" i="1"/>
  <c r="W17" i="1"/>
  <c r="V17" i="1"/>
  <c r="AI16" i="1"/>
  <c r="AH16" i="1"/>
  <c r="AG16" i="1"/>
  <c r="AE16" i="1"/>
  <c r="AD16" i="1"/>
  <c r="X16" i="1"/>
  <c r="W16" i="1"/>
  <c r="V16" i="1"/>
  <c r="AF16" i="1" s="1"/>
  <c r="AI15" i="1"/>
  <c r="AH15" i="1"/>
  <c r="AG15" i="1"/>
  <c r="AE15" i="1"/>
  <c r="AD15" i="1"/>
  <c r="X15" i="1"/>
  <c r="W15" i="1"/>
  <c r="V15" i="1"/>
  <c r="AF15" i="1" s="1"/>
  <c r="AI14" i="1"/>
  <c r="AH14" i="1"/>
  <c r="AG14" i="1"/>
  <c r="AE14" i="1"/>
  <c r="AD14" i="1"/>
  <c r="X14" i="1"/>
  <c r="W14" i="1"/>
  <c r="V14" i="1"/>
  <c r="AF14" i="1" s="1"/>
  <c r="AI13" i="1"/>
  <c r="AH13" i="1"/>
  <c r="AG13" i="1"/>
  <c r="AF13" i="1"/>
  <c r="AE13" i="1"/>
  <c r="AD13" i="1"/>
  <c r="X13" i="1"/>
  <c r="W13" i="1"/>
  <c r="V13" i="1"/>
  <c r="AI12" i="1"/>
  <c r="AH12" i="1"/>
  <c r="AG12" i="1"/>
  <c r="AF12" i="1"/>
  <c r="AE12" i="1"/>
  <c r="AD12" i="1"/>
  <c r="X12" i="1"/>
  <c r="W12" i="1"/>
  <c r="V12" i="1"/>
  <c r="AI11" i="1"/>
  <c r="AH11" i="1"/>
  <c r="AF11" i="1"/>
  <c r="AE11" i="1"/>
  <c r="AD11" i="1"/>
  <c r="X11" i="1"/>
  <c r="W11" i="1"/>
  <c r="V11" i="1"/>
  <c r="AG11" i="1" s="1"/>
  <c r="AI10" i="1"/>
  <c r="AH10" i="1"/>
  <c r="AG10" i="1"/>
  <c r="AF10" i="1"/>
  <c r="AE10" i="1"/>
  <c r="AD10" i="1"/>
  <c r="X10" i="1"/>
  <c r="W10" i="1"/>
  <c r="V10" i="1"/>
  <c r="AI9" i="1"/>
  <c r="AH9" i="1"/>
  <c r="AF9" i="1"/>
  <c r="AE9" i="1"/>
  <c r="AD9" i="1"/>
  <c r="X9" i="1"/>
  <c r="W9" i="1"/>
  <c r="V9" i="1"/>
  <c r="AG9" i="1" s="1"/>
  <c r="AI8" i="1"/>
  <c r="AH8" i="1"/>
  <c r="AF8" i="1"/>
  <c r="AE8" i="1"/>
  <c r="AD8" i="1"/>
  <c r="X8" i="1"/>
  <c r="W8" i="1"/>
  <c r="V8" i="1"/>
  <c r="AG8" i="1" s="1"/>
  <c r="AI7" i="1"/>
  <c r="AH7" i="1"/>
  <c r="AF7" i="1"/>
  <c r="AE7" i="1"/>
  <c r="AD7" i="1"/>
  <c r="X7" i="1"/>
  <c r="W7" i="1"/>
  <c r="V7" i="1"/>
  <c r="AG7" i="1" s="1"/>
  <c r="AI6" i="1"/>
  <c r="AH6" i="1"/>
  <c r="AG6" i="1"/>
  <c r="AE6" i="1"/>
  <c r="AD6" i="1"/>
  <c r="X6" i="1"/>
  <c r="W6" i="1"/>
  <c r="V6" i="1"/>
  <c r="AF6" i="1" s="1"/>
  <c r="AI5" i="1"/>
  <c r="AH5" i="1"/>
  <c r="AG5" i="1"/>
  <c r="AF5" i="1"/>
  <c r="AE5" i="1"/>
  <c r="AD5" i="1"/>
  <c r="X5" i="1"/>
  <c r="W5" i="1"/>
  <c r="V5" i="1"/>
  <c r="AI4" i="1"/>
  <c r="AH4" i="1"/>
  <c r="AF4" i="1"/>
  <c r="AE4" i="1"/>
  <c r="AD4" i="1"/>
  <c r="X4" i="1"/>
  <c r="W4" i="1"/>
  <c r="V4" i="1"/>
  <c r="AG4" i="1" s="1"/>
  <c r="AI3" i="1"/>
  <c r="AH3" i="1"/>
  <c r="AF3" i="1"/>
  <c r="AE3" i="1"/>
  <c r="AD3" i="1"/>
  <c r="X3" i="1"/>
  <c r="W3" i="1"/>
  <c r="V3" i="1"/>
  <c r="AG3" i="1" s="1"/>
  <c r="AI2" i="1"/>
  <c r="AH2" i="1"/>
  <c r="AF2" i="1"/>
  <c r="AE2" i="1"/>
  <c r="AD2" i="1"/>
  <c r="X2" i="1"/>
  <c r="W2" i="1"/>
  <c r="V2" i="1"/>
  <c r="AG2" i="1" s="1"/>
  <c r="AG501" i="1" l="1"/>
  <c r="AF501" i="1"/>
  <c r="X501" i="1"/>
  <c r="W501" i="1"/>
</calcChain>
</file>

<file path=xl/sharedStrings.xml><?xml version="1.0" encoding="utf-8"?>
<sst xmlns="http://schemas.openxmlformats.org/spreadsheetml/2006/main" count="2794" uniqueCount="664">
  <si>
    <t>n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</si>
  <si>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</si>
  <si>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</si>
  <si>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</si>
  <si>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</si>
  <si>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</si>
  <si>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</si>
  <si>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</si>
  <si>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</si>
  <si>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Marcación actual</t>
  </si>
  <si>
    <t>m3</t>
  </si>
  <si>
    <t>Total mes actual</t>
  </si>
  <si>
    <t>MES ANTERIOR</t>
  </si>
  <si>
    <t>Corte y reconexión</t>
  </si>
  <si>
    <t>Convenio</t>
  </si>
  <si>
    <t>Mant.</t>
  </si>
  <si>
    <t>Devolucion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</si>
  <si>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</si>
  <si>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</si>
  <si>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</si>
  <si>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</si>
  <si>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</si>
  <si>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</si>
  <si>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</si>
  <si>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</si>
  <si>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</si>
  <si>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</si>
  <si>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</si>
  <si>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</si>
  <si>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</si>
  <si>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</si>
  <si>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</si>
  <si>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</si>
  <si>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</si>
  <si>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</si>
  <si>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</si>
  <si>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ROSA AURORA ROCA VIDAL</t>
  </si>
  <si>
    <t>LINDA PAJUELO COCHACHIN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</si>
  <si>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</si>
  <si>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</si>
  <si>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</si>
  <si>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</si>
  <si>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</si>
  <si>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</si>
  <si>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</si>
  <si>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</si>
  <si>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</si>
  <si>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</si>
  <si>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</si>
  <si>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</si>
  <si>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</si>
  <si>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</si>
  <si>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</si>
  <si>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</si>
  <si>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</si>
  <si>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</si>
  <si>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</si>
  <si>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</si>
  <si>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</si>
  <si>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</si>
  <si>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</si>
  <si>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</si>
  <si>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</si>
  <si>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</si>
  <si>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</si>
  <si>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</si>
  <si>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</si>
  <si>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</si>
  <si>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</si>
  <si>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Pago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</si>
  <si>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</si>
  <si>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</si>
  <si>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</si>
  <si>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</si>
  <si>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</si>
  <si>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</si>
  <si>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</si>
  <si>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</si>
  <si>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</si>
  <si>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</si>
  <si>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</si>
  <si>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</si>
  <si>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</si>
  <si>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</si>
  <si>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</si>
  <si>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</si>
  <si>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</si>
  <si>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</si>
  <si>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</si>
  <si>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</si>
  <si>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</si>
  <si>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Debe 25 medidor. 21 consumo</t>
  </si>
  <si>
    <t>MARCELINO VALLADARES TRUJILLO</t>
  </si>
  <si>
    <t>ANTONIO VALLADARES DOMINGUEZ</t>
  </si>
  <si>
    <t>EUSEBIO REYES VILLAFANA</t>
  </si>
  <si>
    <t>25 es del efectivo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</si>
  <si>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</si>
  <si>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</si>
  <si>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</si>
  <si>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</si>
  <si>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</si>
  <si>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</si>
  <si>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</si>
  <si>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</si>
  <si>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</si>
  <si>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</si>
  <si>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</si>
  <si>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</si>
  <si>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</si>
  <si>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</si>
  <si>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</si>
  <si>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Debe 10 faena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</si>
  <si>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</si>
  <si>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</si>
  <si>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</si>
  <si>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</si>
  <si>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</si>
  <si>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</si>
  <si>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</si>
  <si>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</si>
  <si>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</si>
  <si>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</si>
  <si>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</si>
  <si>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</si>
  <si>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</si>
  <si>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 faena</t>
  </si>
  <si>
    <t>RUFINA CABELLO TICLIO</t>
  </si>
  <si>
    <t>Debe 21 mes anterior. Exonerado faena por edad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</si>
  <si>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</si>
  <si>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</si>
  <si>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</si>
  <si>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</si>
  <si>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</si>
  <si>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</si>
  <si>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</si>
  <si>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</si>
  <si>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</si>
  <si>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</si>
  <si>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</si>
  <si>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</si>
  <si>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</si>
  <si>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</si>
  <si>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</si>
  <si>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</si>
  <si>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</si>
  <si>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</si>
  <si>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</si>
  <si>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</si>
  <si>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</si>
  <si>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</si>
  <si>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</si>
  <si>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</si>
  <si>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</si>
  <si>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</si>
  <si>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</si>
  <si>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</si>
  <si>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</si>
  <si>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</si>
  <si>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</si>
  <si>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</si>
  <si>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</si>
  <si>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</si>
  <si>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</si>
  <si>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</si>
  <si>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</si>
  <si>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</si>
  <si>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</si>
  <si>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</si>
  <si>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</si>
  <si>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</si>
  <si>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</si>
  <si>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</si>
  <si>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</si>
  <si>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</si>
  <si>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Debe faena 30. medidor 25</t>
  </si>
  <si>
    <t>CENTRO DE MADRES</t>
  </si>
  <si>
    <t>VICTOR MANUEL JARA ESPINOZA</t>
  </si>
  <si>
    <t>ANTONIA MELGAREJO CORCINO</t>
  </si>
  <si>
    <t>Debe 3 mantenimiento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</si>
  <si>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</si>
  <si>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</si>
  <si>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</si>
  <si>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</si>
  <si>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</si>
  <si>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</si>
  <si>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</si>
  <si>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</si>
  <si>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Debe medidor 25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</si>
  <si>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</si>
  <si>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</si>
  <si>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</si>
  <si>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</si>
  <si>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</si>
  <si>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</si>
  <si>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</si>
  <si>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</si>
  <si>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</si>
  <si>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</si>
  <si>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</si>
  <si>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</si>
  <si>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</si>
  <si>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</si>
  <si>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</si>
  <si>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</si>
  <si>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</si>
  <si>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</si>
  <si>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</si>
  <si>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</si>
  <si>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</si>
  <si>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</si>
  <si>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</si>
  <si>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</si>
  <si>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</si>
  <si>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Debe 2</t>
  </si>
  <si>
    <t>JUSTINA ALEGRIA VDA. DE VILLANUEVA</t>
  </si>
  <si>
    <t>Posible error de pago.</t>
  </si>
  <si>
    <t>CIRIACO MORALES LOPEZ</t>
  </si>
  <si>
    <t>GREGORIO TOLENTINO SANCHEZ</t>
  </si>
  <si>
    <t>Debe 3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</si>
  <si>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</si>
  <si>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</si>
  <si>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</si>
  <si>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</si>
  <si>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</si>
  <si>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</si>
  <si>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</si>
  <si>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</si>
  <si>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</si>
  <si>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</si>
  <si>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</si>
  <si>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</si>
  <si>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</si>
  <si>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</si>
  <si>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</si>
  <si>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</si>
  <si>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</si>
  <si>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</si>
  <si>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</si>
  <si>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</si>
  <si>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</si>
  <si>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</si>
  <si>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</si>
  <si>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</si>
  <si>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</si>
  <si>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</si>
  <si>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</si>
  <si>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</si>
  <si>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</si>
  <si>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</si>
  <si>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Debe 25 medidor.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</si>
  <si>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</si>
  <si>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</si>
  <si>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</si>
  <si>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</si>
  <si>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</si>
  <si>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</si>
  <si>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</si>
  <si>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</si>
  <si>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</si>
  <si>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</si>
  <si>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</si>
  <si>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Verificar. Se le debe 5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</si>
  <si>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</si>
  <si>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</si>
  <si>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</si>
  <si>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</si>
  <si>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</si>
  <si>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</si>
  <si>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</si>
  <si>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</si>
  <si>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</si>
  <si>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Reclamo que mes anterior pago. Consumo(9) + medido. Victor florez</t>
  </si>
  <si>
    <t>FORTUNATO VARGAS CABELLO</t>
  </si>
  <si>
    <t>Debe 25 medidor. Pago 14 consumo Jaime mes anterior. LUZ</t>
  </si>
  <si>
    <t>MARINO FEDERICO JAIMES VIDAL</t>
  </si>
  <si>
    <t>MARTINA MORALES RIOS</t>
  </si>
  <si>
    <t>ALEJANDRO LUIS JULCA</t>
  </si>
  <si>
    <t>RUBEN LUIS GARCILAZO</t>
  </si>
  <si>
    <t>SAMUEL LLAMA LUNA</t>
  </si>
  <si>
    <t>El 20 es devolucion</t>
  </si>
  <si>
    <t>FABIAN MONTALVO JULCA</t>
  </si>
  <si>
    <t>Debe 34 mes anteririor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</si>
  <si>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</si>
  <si>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</si>
  <si>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</si>
  <si>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</si>
  <si>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</si>
  <si>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</si>
  <si>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</si>
  <si>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</si>
  <si>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</si>
  <si>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</si>
  <si>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</si>
  <si>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</si>
  <si>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</si>
  <si>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Se le debe 8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</si>
  <si>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</si>
  <si>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</si>
  <si>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</si>
  <si>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</si>
  <si>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</si>
  <si>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</si>
  <si>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</si>
  <si>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</si>
  <si>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</si>
  <si>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</si>
  <si>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</si>
  <si>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</si>
  <si>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</si>
  <si>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</si>
  <si>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</si>
  <si>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</si>
  <si>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</si>
  <si>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</si>
  <si>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</si>
  <si>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</si>
  <si>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</si>
  <si>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</si>
  <si>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</si>
  <si>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</si>
  <si>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</si>
  <si>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</si>
  <si>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</si>
  <si>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</si>
  <si>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</si>
  <si>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</si>
  <si>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</si>
  <si>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</si>
  <si>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</si>
  <si>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</si>
  <si>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</si>
  <si>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</si>
  <si>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</si>
  <si>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</si>
  <si>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</si>
  <si>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</si>
  <si>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</si>
  <si>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</si>
  <si>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Reclamo. Que mes anterior pago. Consumo(8) + medidor. Victor Florez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</si>
  <si>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</si>
  <si>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</si>
  <si>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</si>
  <si>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</si>
  <si>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</si>
  <si>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</si>
  <si>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</si>
  <si>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</si>
  <si>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</si>
  <si>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</si>
  <si>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</si>
  <si>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</si>
  <si>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</si>
  <si>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</si>
  <si>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</si>
  <si>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</si>
  <si>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</si>
  <si>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</si>
  <si>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</si>
  <si>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</si>
  <si>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</si>
  <si>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</si>
  <si>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</si>
  <si>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</si>
  <si>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</si>
  <si>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</si>
  <si>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</si>
  <si>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</si>
  <si>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</si>
  <si>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</si>
  <si>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</si>
  <si>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</si>
  <si>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</si>
  <si>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</si>
  <si>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</si>
  <si>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Janet dice que pago corte en efectivo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</si>
  <si>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</si>
  <si>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</si>
  <si>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</si>
  <si>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</si>
  <si>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</si>
  <si>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</si>
  <si>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</si>
  <si>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</si>
  <si>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</si>
  <si>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50 es del efectivo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</si>
  <si>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</si>
  <si>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</si>
  <si>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</si>
  <si>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</si>
  <si>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</si>
  <si>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</si>
  <si>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</si>
  <si>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</si>
  <si>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</si>
  <si>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</si>
  <si>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</si>
  <si>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</si>
  <si>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</si>
  <si>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</si>
  <si>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</si>
  <si>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</si>
  <si>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</si>
  <si>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</si>
  <si>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</si>
  <si>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</si>
  <si>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</si>
  <si>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</si>
  <si>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</si>
  <si>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</si>
  <si>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</si>
  <si>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</si>
  <si>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</si>
  <si>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</si>
  <si>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</si>
  <si>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</si>
  <si>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</si>
  <si>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</si>
  <si>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</si>
  <si>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</si>
  <si>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</si>
  <si>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</si>
  <si>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</si>
  <si>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</si>
  <si>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</si>
  <si>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</si>
  <si>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</si>
  <si>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</si>
  <si>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</si>
  <si>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</si>
  <si>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</si>
  <si>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</si>
  <si>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</si>
  <si>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</si>
  <si>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</si>
  <si>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</si>
  <si>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</si>
  <si>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</si>
  <si>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</si>
  <si>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</si>
  <si>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</si>
  <si>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</si>
  <si>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</si>
  <si>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Debe 8 mes anterior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</si>
  <si>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</si>
  <si>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</si>
  <si>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</si>
  <si>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</si>
  <si>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</si>
  <si>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</si>
  <si>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</si>
  <si>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</si>
  <si>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</si>
  <si>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</si>
  <si>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</si>
  <si>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</si>
  <si>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</si>
  <si>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</si>
  <si>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</si>
  <si>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</si>
  <si>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</si>
  <si>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</si>
  <si>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</si>
  <si>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</si>
  <si>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75 Es del efectivo</t>
  </si>
  <si>
    <t>LUZ MERCEDES VARGAS CAURINO</t>
  </si>
  <si>
    <t>Debe 25 medidor. Pago 8 efectivo Jaime mes anterior. Luz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</si>
  <si>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</si>
  <si>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</si>
  <si>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</si>
  <si>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</si>
  <si>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</si>
  <si>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</si>
  <si>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</si>
  <si>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</si>
  <si>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</si>
  <si>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</si>
  <si>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</si>
  <si>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</si>
  <si>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</si>
  <si>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</si>
  <si>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</si>
  <si>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</si>
  <si>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</si>
  <si>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El usuario no vive aqui y pagaba minimo. Pero el operario le registro consumo 6. Se le corrigio a minimo.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</si>
  <si>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</si>
  <si>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</si>
  <si>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</si>
  <si>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</si>
  <si>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</si>
  <si>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</si>
  <si>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</si>
  <si>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</si>
  <si>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</si>
  <si>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</si>
  <si>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</si>
  <si>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</si>
  <si>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Debe 30 faena. Debe convenio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</si>
  <si>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</si>
  <si>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</si>
  <si>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</si>
  <si>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</si>
  <si>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</si>
  <si>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</si>
  <si>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</si>
  <si>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</si>
  <si>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</si>
  <si>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</si>
  <si>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</si>
  <si>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No pago su consumo el mes pasado se confundio con Z16.</t>
  </si>
  <si>
    <t>DIEGO MAYO SAMARITANO</t>
  </si>
  <si>
    <t>SARA TARAZONA MIGUEL</t>
  </si>
  <si>
    <t>ELENA JUANA CASTILLEJO CAPCHA</t>
  </si>
  <si>
    <t>MARLENY JENNY POLO CIRILO</t>
  </si>
  <si>
    <t>ALEJANDRO GRADOS APELO</t>
  </si>
  <si>
    <t>Debe 30 faena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</si>
  <si>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</si>
  <si>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</si>
  <si>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</si>
  <si>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</si>
  <si>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</si>
  <si>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</si>
  <si>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</si>
  <si>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</si>
  <si>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</si>
  <si>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</si>
  <si>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</si>
  <si>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</si>
  <si>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</si>
  <si>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</si>
  <si>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</si>
  <si>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</si>
  <si>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</si>
  <si>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</si>
  <si>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</si>
  <si>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</si>
  <si>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</si>
  <si>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</si>
  <si>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</si>
  <si>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</si>
  <si>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</si>
  <si>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</si>
  <si>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</si>
  <si>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</si>
  <si>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</si>
  <si>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</si>
  <si>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</si>
  <si>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</si>
  <si>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</si>
  <si>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</si>
  <si>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</si>
  <si>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</si>
  <si>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</si>
  <si>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</si>
  <si>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Debe 20 mes anterior</t>
  </si>
  <si>
    <t>SANTA ROSALINA HUERTA NEPONOCENO</t>
  </si>
  <si>
    <t>ANDREZ NIETO CASTAÑEDA</t>
  </si>
  <si>
    <t>MARI CELIDONIO CHAVEZ</t>
  </si>
  <si>
    <t>EVER CERVANTES CHAVES</t>
  </si>
  <si>
    <t>MARIA COSME JULCA</t>
  </si>
  <si>
    <t>Debe 2 mantenimiento</t>
  </si>
  <si>
    <t>ROBERTO MARCALAPU FLORES</t>
  </si>
  <si>
    <t>Se le debe 0,5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</si>
  <si>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</si>
  <si>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</si>
  <si>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</si>
  <si>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</si>
  <si>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</si>
  <si>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</si>
  <si>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</si>
  <si>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</si>
  <si>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</si>
  <si>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</si>
  <si>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</si>
  <si>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</si>
  <si>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</si>
  <si>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</si>
  <si>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</si>
  <si>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</si>
  <si>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</si>
  <si>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</si>
  <si>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</si>
  <si>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</si>
  <si>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</si>
  <si>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</si>
  <si>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</si>
  <si>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</si>
  <si>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</si>
  <si>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</si>
  <si>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</si>
  <si>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</si>
  <si>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</si>
  <si>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</si>
  <si>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</si>
  <si>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</si>
  <si>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</si>
  <si>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</si>
  <si>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</si>
  <si>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</si>
  <si>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</si>
  <si>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</si>
  <si>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</si>
  <si>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</si>
  <si>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Se actualizo no debe corte. Pago su corte mes pasado.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</si>
  <si>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</si>
  <si>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</si>
  <si>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</si>
  <si>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</si>
  <si>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</si>
  <si>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</si>
  <si>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</si>
  <si>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</si>
  <si>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</si>
  <si>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475</t>
  </si>
  <si>
    <t>484</t>
  </si>
  <si>
    <t>9</t>
  </si>
  <si>
    <t>0</t>
  </si>
  <si>
    <t>3</t>
  </si>
  <si>
    <t>ITEM</t>
  </si>
  <si>
    <t>NOMBRES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</si>
  <si>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</si>
  <si>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</si>
  <si>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</si>
  <si>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</si>
  <si>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</si>
  <si>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</si>
  <si>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</si>
  <si>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</si>
  <si>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</si>
  <si>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</si>
  <si>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</si>
  <si>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</si>
  <si>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</si>
  <si>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</si>
  <si>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</si>
  <si>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</si>
  <si>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</si>
  <si>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</si>
  <si>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</si>
  <si>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</si>
  <si>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</si>
  <si>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</si>
  <si>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</si>
  <si>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</si>
  <si>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</si>
  <si>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</si>
  <si>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</si>
  <si>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</si>
  <si>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</si>
  <si>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</si>
  <si>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</si>
  <si>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</si>
  <si>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</si>
  <si>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</si>
  <si>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</si>
  <si>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</si>
  <si>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</si>
  <si>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</si>
  <si>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</si>
  <si>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</si>
  <si>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</si>
  <si>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</si>
  <si>
    <t>techado</t>
  </si>
  <si>
    <t>Reunion/Faena</t>
  </si>
  <si>
    <t>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</si>
</sst>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DD9D4"/>
      </left>
      <right style="thin">
        <color rgb="FFCDD9D4"/>
      </right>
      <top/>
      <bottom style="thin">
        <color rgb="FF284E3F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4" borderId="0" xfId="0" applyFont="1" applyFill="1" applyAlignment="1">
      <alignment horizontal="right"/>
    </xf>
    <xf numFmtId="0" fontId="2" fillId="4" borderId="0" xfId="0" applyFont="1" applyFill="1" applyAlignment="1"/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/>
    <xf numFmtId="0" fontId="2" fillId="5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5" borderId="3" xfId="0" applyFont="1" applyFill="1" applyBorder="1" applyAlignment="1">
      <alignment horizontal="right"/>
    </xf>
    <xf numFmtId="0" fontId="2" fillId="6" borderId="0" xfId="0" applyFont="1" applyFill="1"/>
    <xf numFmtId="0" fontId="3" fillId="0" borderId="0" xfId="0" applyFont="1"/>
    <xf numFmtId="0" fontId="4" fillId="0" borderId="0" xfId="0" applyFont="1"/>
    <xf numFmtId="0" fontId="4" fillId="6" borderId="0" xfId="0" applyFont="1" applyFill="1"/>
    <xf numFmtId="0" fontId="2" fillId="0" borderId="0" xfId="0" applyFont="1"/>
    <xf numFmtId="0" fontId="5" fillId="7" borderId="1" xfId="0" applyFont="1" applyFill="1" applyBorder="1"/>
  </cellXfs>
  <cellStyles count="1">
    <cellStyle name="Normal" xfId="0" builtinId="0"/>
  </cellStyles>
  <dxfs count="11"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Techado-style" pivot="0" count="2" xr9:uid="{00000000-0011-0000-FFFF-FFFF00000000}">
      <tableStyleElement type="firstRowStripe" dxfId="10"/>
      <tableStyleElement type="secondRowStripe" dxfId="9"/>
    </tableStyle>
    <tableStyle name="Deuda faena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orte-style" pivot="0" count="3" xr9:uid="{00000000-0011-0000-FFFF-FFFF02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18"/>
  <sheetViews>
    <sheetView tabSelected="1" workbookViewId="0">
      <pane xSplit="4" ySplit="1" topLeftCell="E30" activePane="bottomRight" state="frozen"/>
      <selection pane="topRight" activeCell="E1" sqref="E1"/>
      <selection pane="bottomLeft" activeCell="A2" sqref="A2"/>
      <selection pane="bottomRight" activeCell="E40" sqref="E40"/>
    </sheetView>
  </sheetViews>
  <sheetFormatPr baseColWidth="10" defaultColWidth="14.453125" defaultRowHeight="15" customHeight="1" x14ac:dyDescent="0.35"/>
  <cols>
    <col min="1" max="1" width="10.7265625" customWidth="1"/>
    <col min="2" max="2" width="43.81640625" customWidth="1"/>
    <col min="3" max="3" width="10.26953125" customWidth="1"/>
    <col min="4" max="4" width="8" customWidth="1"/>
    <col min="5" max="5" width="16.08984375" customWidth="1"/>
    <col min="6" max="6" width="15.453125" customWidth="1"/>
    <col min="7" max="8" width="15.81640625" customWidth="1"/>
    <col min="9" max="9" width="14.54296875" customWidth="1"/>
    <col min="10" max="10" width="15" customWidth="1"/>
    <col min="11" max="11" width="9.08984375" customWidth="1"/>
    <col min="12" max="12" width="20.453125" customWidth="1"/>
    <col min="13" max="13" width="17.81640625" customWidth="1"/>
    <col min="14" max="14" width="22.54296875" customWidth="1"/>
    <col min="16" max="16" width="11.453125" customWidth="1"/>
    <col min="17" max="18" width="11.7265625" customWidth="1"/>
    <col min="19" max="22" width="10.54296875" customWidth="1"/>
    <col min="23" max="23" width="13.453125" customWidth="1"/>
    <col min="24" max="24" width="15.26953125" customWidth="1"/>
    <col min="25" max="25" width="12.08984375" customWidth="1"/>
    <col min="26" max="26" width="13.453125" customWidth="1"/>
    <col min="27" max="27" width="12" customWidth="1"/>
    <col min="28" max="28" width="60.453125" customWidth="1"/>
    <col min="29" max="29" width="22.453125" customWidth="1"/>
    <col min="30" max="30" width="22.81640625" customWidth="1"/>
    <col min="31" max="31" width="19.81640625" customWidth="1"/>
    <col min="32" max="32" width="13.08984375" customWidth="1"/>
    <col min="33" max="33" width="10.453125" customWidth="1"/>
    <col min="34" max="35" width="16.08984375" customWidth="1"/>
  </cols>
  <sheetData>
    <row r="1" spans="1:35" ht="33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662</v>
      </c>
      <c r="R1" s="4" t="s">
        <v>661</v>
      </c>
      <c r="S1" s="5" t="s">
        <v>16</v>
      </c>
      <c r="T1" s="6" t="s">
        <v>663</v>
      </c>
      <c r="U1" s="6" t="s">
        <v>17</v>
      </c>
      <c r="V1" s="7" t="s">
        <v>18</v>
      </c>
      <c r="W1" s="7" t="s">
        <v>19</v>
      </c>
      <c r="X1" s="6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</row>
    <row r="2" spans="1:35" ht="22.5" customHeight="1" x14ac:dyDescent="0.35">
      <c r="A2" s="8">
        <v>1</v>
      </c>
      <c r="B2" s="9" t="s">
        <v>32</v>
      </c>
      <c r="C2" s="9" t="s">
        <v>33</v>
      </c>
      <c r="D2" s="8">
        <v>1</v>
      </c>
      <c r="E2" s="10"/>
      <c r="F2" s="10"/>
      <c r="G2" s="10"/>
      <c r="H2" s="11">
        <v>1</v>
      </c>
      <c r="I2" s="11">
        <v>2</v>
      </c>
      <c r="J2" s="11">
        <v>11</v>
      </c>
      <c r="K2" s="11">
        <v>9</v>
      </c>
      <c r="L2" s="11">
        <v>9</v>
      </c>
      <c r="M2" s="11"/>
      <c r="N2" s="11">
        <v>0</v>
      </c>
      <c r="O2" s="11">
        <v>100</v>
      </c>
      <c r="P2" s="11">
        <v>3</v>
      </c>
      <c r="Q2" s="11"/>
      <c r="R2" s="19"/>
      <c r="S2" s="10"/>
      <c r="T2" s="21"/>
      <c r="U2" s="12"/>
      <c r="V2" s="12">
        <f>SUM(L2:U2)</f>
        <v>112</v>
      </c>
      <c r="W2" s="10">
        <f ca="1">IFERROR(__xludf.DUMMYFUNCTION("IFERROR(
  SUM(
    FILTER(
      Reporte!$E:$E, 
      REGEXMATCH(Reporte!$A:$A, ""(?i)(TE PAGÓ|PAGASTE)""), 
      Reporte!$H:$H &amp; """" = AH2 &amp; """"
    )
  ), 
  0
)"),112)</f>
        <v>112</v>
      </c>
      <c r="X2" s="10">
        <f ca="1">IFERROR(__xludf.DUMMYFUNCTION("IFERROR(
  SUM(
    FILTER(
      Efectivo!$C:$C, 
      Efectivo!$D:$D &amp; """" = AH2 &amp; """"
    )
  ), 
  0
)"),0)</f>
        <v>0</v>
      </c>
      <c r="Y2" s="10" t="s">
        <v>34</v>
      </c>
      <c r="Z2" s="10"/>
      <c r="AA2" s="10" t="s">
        <v>35</v>
      </c>
      <c r="AB2" s="10"/>
      <c r="AC2" s="10"/>
      <c r="AD2" s="10" t="str">
        <f t="shared" ref="AD2:AD65" si="0">IF(AND(L2&gt;0, M2&gt;=8, NOT(OR(Y2="C", Y2="c"))), "CORTE", "")</f>
        <v/>
      </c>
      <c r="AE2" s="10" t="e">
        <f>IF(
   OR(
     AND(#REF!&gt;0, OR(Y2="C", Y2="c"), U2&lt;0),
     AND(#REF!&gt;0, Y2="")
   ),
   "CORTE",
   ""
)</f>
        <v>#REF!</v>
      </c>
      <c r="AF2" s="10">
        <f t="shared" ref="AF2:AF500" si="1">IF(AND(LEN(Y2)&gt;0,LEN(AA2)=0),V2,0)</f>
        <v>0</v>
      </c>
      <c r="AG2" s="10">
        <f t="shared" ref="AG2:AG500" si="2">IF(AND(LEN(Y2)&gt;0,TRIM(AA2)="Y"),V2,0)</f>
        <v>112</v>
      </c>
      <c r="AH2" s="10" t="str">
        <f t="shared" ref="AH2:AH65" si="3">TRIM(UPPER(C2))</f>
        <v>A</v>
      </c>
      <c r="AI2" s="10" t="str">
        <f t="shared" ref="AI2:AI65" si="4">TRIM(UPPER(C2)) &amp; "-" &amp; TRIM(UPPER(D2))</f>
        <v>A-1</v>
      </c>
    </row>
    <row r="3" spans="1:35" ht="22.5" customHeight="1" x14ac:dyDescent="0.35">
      <c r="A3" s="13">
        <v>2</v>
      </c>
      <c r="B3" s="14" t="s">
        <v>36</v>
      </c>
      <c r="C3" s="14" t="s">
        <v>33</v>
      </c>
      <c r="D3" s="13">
        <v>2</v>
      </c>
      <c r="E3" s="15"/>
      <c r="F3" s="15"/>
      <c r="G3" s="15"/>
      <c r="H3" s="16">
        <v>1</v>
      </c>
      <c r="I3" s="16">
        <v>2678</v>
      </c>
      <c r="J3" s="16">
        <v>2703</v>
      </c>
      <c r="K3" s="16">
        <v>25</v>
      </c>
      <c r="L3" s="16">
        <v>25</v>
      </c>
      <c r="M3" s="16">
        <v>33</v>
      </c>
      <c r="N3" s="16">
        <v>0</v>
      </c>
      <c r="O3" s="16">
        <v>0</v>
      </c>
      <c r="P3" s="16">
        <v>3</v>
      </c>
      <c r="Q3" s="16"/>
      <c r="R3" s="18"/>
      <c r="S3" s="15"/>
      <c r="T3" s="20"/>
      <c r="U3" s="17"/>
      <c r="V3" s="17">
        <f>SUM(L3:Q3)</f>
        <v>61</v>
      </c>
      <c r="W3" s="15">
        <f ca="1">IFERROR(__xludf.DUMMYFUNCTION("IFERROR(
  SUM(
    FILTER(
      Reporte!$E:$E, 
      REGEXMATCH(Reporte!$A:$A, ""(?i)(TE PAGÓ|PAGASTE)""), 
      Reporte!$H:$H &amp; """" = AH3 &amp; """"
    )
  ), 
  0
)"),61)</f>
        <v>61</v>
      </c>
      <c r="X3" s="15">
        <f ca="1">IFERROR(__xludf.DUMMYFUNCTION("IFERROR(
  SUM(
    FILTER(
      Efectivo!$C:$C, 
      Efectivo!$D:$D &amp; """" = AH3 &amp; """"
    )
  ), 
  0
)"),0)</f>
        <v>0</v>
      </c>
      <c r="Y3" s="15" t="s">
        <v>34</v>
      </c>
      <c r="Z3" s="15"/>
      <c r="AA3" s="15" t="s">
        <v>35</v>
      </c>
      <c r="AB3" s="15"/>
      <c r="AC3" s="15"/>
      <c r="AD3" s="15" t="str">
        <f t="shared" si="0"/>
        <v/>
      </c>
      <c r="AE3" s="15" t="e">
        <f>IF(
   OR(
     AND(#REF!&gt;0, OR(Y3="C", Y3="c"), U3&lt;0),
     AND(#REF!&gt;0, Y3="")
   ),
   "CORTE",
   ""
)</f>
        <v>#REF!</v>
      </c>
      <c r="AF3" s="15">
        <f t="shared" si="1"/>
        <v>0</v>
      </c>
      <c r="AG3" s="15">
        <f t="shared" si="2"/>
        <v>61</v>
      </c>
      <c r="AH3" s="15" t="str">
        <f t="shared" si="3"/>
        <v>A</v>
      </c>
      <c r="AI3" s="15" t="str">
        <f t="shared" si="4"/>
        <v>A-2</v>
      </c>
    </row>
    <row r="4" spans="1:35" ht="22.5" customHeight="1" x14ac:dyDescent="0.35">
      <c r="A4" s="8">
        <v>3</v>
      </c>
      <c r="B4" s="9" t="s">
        <v>37</v>
      </c>
      <c r="C4" s="9" t="s">
        <v>33</v>
      </c>
      <c r="D4" s="8">
        <v>3</v>
      </c>
      <c r="E4" s="10"/>
      <c r="F4" s="10"/>
      <c r="G4" s="10"/>
      <c r="H4" s="11">
        <v>1</v>
      </c>
      <c r="I4" s="11">
        <v>22</v>
      </c>
      <c r="J4" s="11">
        <v>22</v>
      </c>
      <c r="K4" s="11">
        <v>5</v>
      </c>
      <c r="L4" s="11">
        <v>5</v>
      </c>
      <c r="M4" s="11"/>
      <c r="N4" s="11">
        <v>0</v>
      </c>
      <c r="O4" s="11"/>
      <c r="P4" s="11">
        <v>3</v>
      </c>
      <c r="Q4" s="11"/>
      <c r="R4" s="19"/>
      <c r="S4" s="10"/>
      <c r="T4" s="21"/>
      <c r="U4" s="12"/>
      <c r="V4" s="12">
        <f>SUM(L4:Q4)</f>
        <v>8</v>
      </c>
      <c r="W4" s="10">
        <f ca="1">IFERROR(__xludf.DUMMYFUNCTION("IFERROR(
  SUM(
    FILTER(
      Reporte!$E:$E, 
      REGEXMATCH(Reporte!$A:$A, ""(?i)(TE PAGÓ|PAGASTE)""), 
      Reporte!$H:$H &amp; """" = AH4 &amp; """"
    )
  ), 
  0
)"),8)</f>
        <v>8</v>
      </c>
      <c r="X4" s="10">
        <f ca="1">IFERROR(__xludf.DUMMYFUNCTION("IFERROR(
  SUM(
    FILTER(
      Efectivo!$C:$C, 
      Efectivo!$D:$D &amp; """" = AH4 &amp; """"
    )
  ), 
  0
)"),0)</f>
        <v>0</v>
      </c>
      <c r="Y4" s="10" t="s">
        <v>34</v>
      </c>
      <c r="Z4" s="10"/>
      <c r="AA4" s="10" t="s">
        <v>35</v>
      </c>
      <c r="AB4" s="10"/>
      <c r="AC4" s="10"/>
      <c r="AD4" s="10" t="str">
        <f t="shared" si="0"/>
        <v/>
      </c>
      <c r="AE4" s="10" t="e">
        <f>IF(
   OR(
     AND(#REF!&gt;0, OR(Y4="C", Y4="c"), U4&lt;0),
     AND(#REF!&gt;0, Y4="")
   ),
   "CORTE",
   ""
)</f>
        <v>#REF!</v>
      </c>
      <c r="AF4" s="10">
        <f t="shared" si="1"/>
        <v>0</v>
      </c>
      <c r="AG4" s="10">
        <f t="shared" si="2"/>
        <v>8</v>
      </c>
      <c r="AH4" s="10" t="str">
        <f t="shared" si="3"/>
        <v>A</v>
      </c>
      <c r="AI4" s="10" t="str">
        <f t="shared" si="4"/>
        <v>A-3</v>
      </c>
    </row>
    <row r="5" spans="1:35" ht="22.5" customHeight="1" x14ac:dyDescent="0.35">
      <c r="A5" s="13">
        <v>4</v>
      </c>
      <c r="B5" s="14" t="s">
        <v>38</v>
      </c>
      <c r="C5" s="14" t="s">
        <v>33</v>
      </c>
      <c r="D5" s="13">
        <v>4</v>
      </c>
      <c r="E5" s="15"/>
      <c r="F5" s="15"/>
      <c r="G5" s="15"/>
      <c r="H5" s="16">
        <v>1</v>
      </c>
      <c r="I5" s="16">
        <v>0</v>
      </c>
      <c r="J5" s="16">
        <v>2</v>
      </c>
      <c r="K5" s="16">
        <v>2</v>
      </c>
      <c r="L5" s="16">
        <v>5</v>
      </c>
      <c r="M5" s="16"/>
      <c r="N5" s="16">
        <v>0</v>
      </c>
      <c r="O5" s="18">
        <v>0</v>
      </c>
      <c r="P5" s="16">
        <v>3</v>
      </c>
      <c r="Q5" s="16"/>
      <c r="R5" s="18"/>
      <c r="S5" s="15"/>
      <c r="T5" s="20"/>
      <c r="U5" s="17"/>
      <c r="V5" s="17">
        <f>SUM(L5:Q5)</f>
        <v>8</v>
      </c>
      <c r="W5" s="15">
        <f ca="1">IFERROR(__xludf.DUMMYFUNCTION("IFERROR(
  SUM(
    FILTER(
      Reporte!$E:$E, 
      REGEXMATCH(Reporte!$A:$A, ""(?i)(TE PAGÓ|PAGASTE)""), 
      Reporte!$H:$H &amp; """" = AH5 &amp; """"
    )
  ), 
  0
)"),0)</f>
        <v>0</v>
      </c>
      <c r="X5" s="15">
        <f ca="1">IFERROR(__xludf.DUMMYFUNCTION("IFERROR(
  SUM(
    FILTER(
      Efectivo!$C:$C, 
      Efectivo!$D:$D &amp; """" = AH5 &amp; """"
    )
  ), 
  0
)"),0)</f>
        <v>0</v>
      </c>
      <c r="Y5" s="15"/>
      <c r="Z5" s="15"/>
      <c r="AA5" s="15"/>
      <c r="AB5" s="15"/>
      <c r="AC5" s="15"/>
      <c r="AD5" s="15" t="str">
        <f t="shared" si="0"/>
        <v/>
      </c>
      <c r="AE5" s="15" t="e">
        <f>IF(
   OR(
     AND(#REF!&gt;0, OR(Y5="C", Y5="c"), U5&lt;0),
     AND(#REF!&gt;0, Y5="")
   ),
   "CORTE",
   ""
)</f>
        <v>#REF!</v>
      </c>
      <c r="AF5" s="15">
        <f t="shared" si="1"/>
        <v>0</v>
      </c>
      <c r="AG5" s="15">
        <f t="shared" si="2"/>
        <v>0</v>
      </c>
      <c r="AH5" s="15" t="str">
        <f t="shared" si="3"/>
        <v>A</v>
      </c>
      <c r="AI5" s="15" t="str">
        <f t="shared" si="4"/>
        <v>A-4</v>
      </c>
    </row>
    <row r="6" spans="1:35" ht="22.5" customHeight="1" x14ac:dyDescent="0.35">
      <c r="A6" s="8">
        <v>5</v>
      </c>
      <c r="B6" s="9" t="s">
        <v>39</v>
      </c>
      <c r="C6" s="9" t="s">
        <v>33</v>
      </c>
      <c r="D6" s="8">
        <v>5</v>
      </c>
      <c r="E6" s="10"/>
      <c r="F6" s="10"/>
      <c r="G6" s="10"/>
      <c r="H6" s="11">
        <v>1</v>
      </c>
      <c r="I6" s="11">
        <v>3441</v>
      </c>
      <c r="J6" s="11">
        <v>16</v>
      </c>
      <c r="K6" s="11">
        <v>16</v>
      </c>
      <c r="L6" s="11">
        <v>16</v>
      </c>
      <c r="M6" s="11"/>
      <c r="N6" s="11">
        <v>0</v>
      </c>
      <c r="O6" s="11">
        <v>25</v>
      </c>
      <c r="P6" s="11">
        <v>3</v>
      </c>
      <c r="Q6" s="11"/>
      <c r="R6" s="19"/>
      <c r="S6" s="10"/>
      <c r="T6" s="21"/>
      <c r="U6" s="12"/>
      <c r="V6" s="12">
        <f>SUM(L6:Q6)</f>
        <v>44</v>
      </c>
      <c r="W6" s="10">
        <f ca="1">IFERROR(__xludf.DUMMYFUNCTION("IFERROR(
  SUM(
    FILTER(
      Reporte!$E:$E, 
      REGEXMATCH(Reporte!$A:$A, ""(?i)(TE PAGÓ|PAGASTE)""), 
      Reporte!$H:$H &amp; """" = AH6 &amp; """"
    )
  ), 
  0
)"),0)</f>
        <v>0</v>
      </c>
      <c r="X6" s="10">
        <f ca="1">IFERROR(__xludf.DUMMYFUNCTION("IFERROR(
  SUM(
    FILTER(
      Efectivo!$C:$C, 
      Efectivo!$D:$D &amp; """" = AH6 &amp; """"
    )
  ), 
  0
)"),44)</f>
        <v>44</v>
      </c>
      <c r="Y6" s="10" t="s">
        <v>34</v>
      </c>
      <c r="Z6" s="10"/>
      <c r="AA6" s="10"/>
      <c r="AB6" s="10"/>
      <c r="AC6" s="10"/>
      <c r="AD6" s="10" t="str">
        <f t="shared" si="0"/>
        <v/>
      </c>
      <c r="AE6" s="10" t="e">
        <f>IF(
   OR(
     AND(#REF!&gt;0, OR(Y6="C", Y6="c"), U6&lt;0),
     AND(#REF!&gt;0, Y6="")
   ),
   "CORTE",
   ""
)</f>
        <v>#REF!</v>
      </c>
      <c r="AF6" s="10">
        <f t="shared" si="1"/>
        <v>44</v>
      </c>
      <c r="AG6" s="10">
        <f t="shared" si="2"/>
        <v>0</v>
      </c>
      <c r="AH6" s="10" t="str">
        <f t="shared" si="3"/>
        <v>A</v>
      </c>
      <c r="AI6" s="10" t="str">
        <f t="shared" si="4"/>
        <v>A-5</v>
      </c>
    </row>
    <row r="7" spans="1:35" ht="22.5" customHeight="1" x14ac:dyDescent="0.35">
      <c r="A7" s="13">
        <v>6</v>
      </c>
      <c r="B7" s="14" t="s">
        <v>40</v>
      </c>
      <c r="C7" s="14" t="s">
        <v>33</v>
      </c>
      <c r="D7" s="13">
        <v>6</v>
      </c>
      <c r="E7" s="15"/>
      <c r="F7" s="15"/>
      <c r="G7" s="15"/>
      <c r="H7" s="16">
        <v>1</v>
      </c>
      <c r="I7" s="16">
        <v>2</v>
      </c>
      <c r="J7" s="16">
        <v>26</v>
      </c>
      <c r="K7" s="16">
        <v>24</v>
      </c>
      <c r="L7" s="16">
        <v>24</v>
      </c>
      <c r="M7" s="16"/>
      <c r="N7" s="16">
        <v>0</v>
      </c>
      <c r="O7" s="16">
        <v>25</v>
      </c>
      <c r="P7" s="16">
        <v>3</v>
      </c>
      <c r="Q7" s="16"/>
      <c r="R7" s="18"/>
      <c r="S7" s="15"/>
      <c r="T7" s="20"/>
      <c r="U7" s="17"/>
      <c r="V7" s="17">
        <f>SUM(L7:Q7)</f>
        <v>52</v>
      </c>
      <c r="W7" s="15">
        <f ca="1">IFERROR(__xludf.DUMMYFUNCTION("IFERROR(
  SUM(
    FILTER(
      Reporte!$E:$E, 
      REGEXMATCH(Reporte!$A:$A, ""(?i)(TE PAGÓ|PAGASTE)""), 
      Reporte!$H:$H &amp; """" = AH7 &amp; """"
    )
  ), 
  0
)"),52)</f>
        <v>52</v>
      </c>
      <c r="X7" s="15">
        <f ca="1">IFERROR(__xludf.DUMMYFUNCTION("IFERROR(
  SUM(
    FILTER(
      Efectivo!$C:$C, 
      Efectivo!$D:$D &amp; """" = AH7 &amp; """"
    )
  ), 
  0
)"),0)</f>
        <v>0</v>
      </c>
      <c r="Y7" s="15" t="s">
        <v>34</v>
      </c>
      <c r="Z7" s="15"/>
      <c r="AA7" s="15" t="s">
        <v>35</v>
      </c>
      <c r="AB7" s="15"/>
      <c r="AC7" s="15"/>
      <c r="AD7" s="15" t="str">
        <f t="shared" si="0"/>
        <v/>
      </c>
      <c r="AE7" s="15" t="e">
        <f>IF(
   OR(
     AND(#REF!&gt;0, OR(Y7="C", Y7="c"), U7&lt;0),
     AND(#REF!&gt;0, Y7="")
   ),
   "CORTE",
   ""
)</f>
        <v>#REF!</v>
      </c>
      <c r="AF7" s="15">
        <f t="shared" si="1"/>
        <v>0</v>
      </c>
      <c r="AG7" s="15">
        <f t="shared" si="2"/>
        <v>52</v>
      </c>
      <c r="AH7" s="15" t="str">
        <f t="shared" si="3"/>
        <v>A</v>
      </c>
      <c r="AI7" s="15" t="str">
        <f t="shared" si="4"/>
        <v>A-6</v>
      </c>
    </row>
    <row r="8" spans="1:35" ht="22.5" customHeight="1" x14ac:dyDescent="0.35">
      <c r="A8" s="8">
        <v>7</v>
      </c>
      <c r="B8" s="9" t="s">
        <v>41</v>
      </c>
      <c r="C8" s="9" t="s">
        <v>33</v>
      </c>
      <c r="D8" s="8">
        <v>7</v>
      </c>
      <c r="E8" s="10"/>
      <c r="F8" s="10"/>
      <c r="G8" s="10"/>
      <c r="H8" s="11">
        <v>1</v>
      </c>
      <c r="I8" s="11">
        <v>1752</v>
      </c>
      <c r="J8" s="11">
        <v>1766</v>
      </c>
      <c r="K8" s="11">
        <v>14</v>
      </c>
      <c r="L8" s="11">
        <v>14</v>
      </c>
      <c r="M8" s="11"/>
      <c r="N8" s="11">
        <v>0</v>
      </c>
      <c r="O8" s="11"/>
      <c r="P8" s="11">
        <v>3</v>
      </c>
      <c r="Q8" s="11"/>
      <c r="R8" s="19"/>
      <c r="S8" s="10"/>
      <c r="T8" s="21"/>
      <c r="U8" s="12"/>
      <c r="V8" s="12">
        <f>SUM(L8:U8)</f>
        <v>17</v>
      </c>
      <c r="W8" s="10">
        <f ca="1">IFERROR(__xludf.DUMMYFUNCTION("IFERROR(
  SUM(
    FILTER(
      Reporte!$E:$E, 
      REGEXMATCH(Reporte!$A:$A, ""(?i)(TE PAGÓ|PAGASTE)""), 
      Reporte!$H:$H &amp; """" = AH8 &amp; """"
    )
  ), 
  0
)"),17)</f>
        <v>17</v>
      </c>
      <c r="X8" s="10">
        <f ca="1">IFERROR(__xludf.DUMMYFUNCTION("IFERROR(
  SUM(
    FILTER(
      Efectivo!$C:$C, 
      Efectivo!$D:$D &amp; """" = AH8 &amp; """"
    )
  ), 
  0
)"),0)</f>
        <v>0</v>
      </c>
      <c r="Y8" s="10" t="s">
        <v>34</v>
      </c>
      <c r="Z8" s="10"/>
      <c r="AA8" s="10" t="s">
        <v>35</v>
      </c>
      <c r="AB8" s="10"/>
      <c r="AC8" s="10"/>
      <c r="AD8" s="10" t="str">
        <f t="shared" si="0"/>
        <v/>
      </c>
      <c r="AE8" s="10" t="e">
        <f>IF(
   OR(
     AND(#REF!&gt;0, OR(Y8="C", Y8="c"), U8&lt;0),
     AND(#REF!&gt;0, Y8="")
   ),
   "CORTE",
   ""
)</f>
        <v>#REF!</v>
      </c>
      <c r="AF8" s="10">
        <f t="shared" si="1"/>
        <v>0</v>
      </c>
      <c r="AG8" s="10">
        <f t="shared" si="2"/>
        <v>17</v>
      </c>
      <c r="AH8" s="10" t="str">
        <f t="shared" si="3"/>
        <v>A</v>
      </c>
      <c r="AI8" s="10" t="str">
        <f t="shared" si="4"/>
        <v>A-7</v>
      </c>
    </row>
    <row r="9" spans="1:35" ht="22.5" customHeight="1" x14ac:dyDescent="0.35">
      <c r="A9" s="13">
        <v>8</v>
      </c>
      <c r="B9" s="14" t="s">
        <v>42</v>
      </c>
      <c r="C9" s="14" t="s">
        <v>33</v>
      </c>
      <c r="D9" s="13">
        <v>8</v>
      </c>
      <c r="E9" s="15"/>
      <c r="F9" s="15"/>
      <c r="G9" s="15"/>
      <c r="H9" s="16">
        <v>1</v>
      </c>
      <c r="I9" s="16">
        <v>6395</v>
      </c>
      <c r="J9" s="16">
        <v>26</v>
      </c>
      <c r="K9" s="16">
        <v>26</v>
      </c>
      <c r="L9" s="16">
        <v>26</v>
      </c>
      <c r="M9" s="16">
        <v>27</v>
      </c>
      <c r="N9" s="16">
        <v>20</v>
      </c>
      <c r="O9" s="16">
        <v>25</v>
      </c>
      <c r="P9" s="16">
        <v>3</v>
      </c>
      <c r="Q9" s="16"/>
      <c r="R9" s="18"/>
      <c r="S9" s="15"/>
      <c r="T9" s="20"/>
      <c r="U9" s="17"/>
      <c r="V9" s="17">
        <f>SUM(L9:U9)</f>
        <v>101</v>
      </c>
      <c r="W9" s="15">
        <f ca="1">IFERROR(__xludf.DUMMYFUNCTION("IFERROR(
  SUM(
    FILTER(
      Reporte!$E:$E, 
      REGEXMATCH(Reporte!$A:$A, ""(?i)(TE PAGÓ|PAGASTE)""), 
      Reporte!$H:$H &amp; """" = AH9 &amp; """"
    )
  ), 
  0
)"),101)</f>
        <v>101</v>
      </c>
      <c r="X9" s="15">
        <f ca="1">IFERROR(__xludf.DUMMYFUNCTION("IFERROR(
  SUM(
    FILTER(
      Efectivo!$C:$C, 
      Efectivo!$D:$D &amp; """" = AH9 &amp; """"
    )
  ), 
  0
)"),0)</f>
        <v>0</v>
      </c>
      <c r="Y9" s="15" t="s">
        <v>34</v>
      </c>
      <c r="Z9" s="15"/>
      <c r="AA9" s="15" t="s">
        <v>35</v>
      </c>
      <c r="AB9" s="15"/>
      <c r="AC9" s="15"/>
      <c r="AD9" s="15" t="str">
        <f t="shared" si="0"/>
        <v/>
      </c>
      <c r="AE9" s="15" t="e">
        <f>IF(
   OR(
     AND(#REF!&gt;0, OR(Y9="C", Y9="c"), U9&lt;0),
     AND(#REF!&gt;0, Y9="")
   ),
   "CORTE",
   ""
)</f>
        <v>#REF!</v>
      </c>
      <c r="AF9" s="15">
        <f t="shared" si="1"/>
        <v>0</v>
      </c>
      <c r="AG9" s="15">
        <f t="shared" si="2"/>
        <v>101</v>
      </c>
      <c r="AH9" s="15" t="str">
        <f t="shared" si="3"/>
        <v>A</v>
      </c>
      <c r="AI9" s="15" t="str">
        <f t="shared" si="4"/>
        <v>A-8</v>
      </c>
    </row>
    <row r="10" spans="1:35" ht="13.5" customHeight="1" x14ac:dyDescent="0.35">
      <c r="A10" s="8">
        <v>9</v>
      </c>
      <c r="B10" s="9" t="s">
        <v>43</v>
      </c>
      <c r="C10" s="9" t="s">
        <v>33</v>
      </c>
      <c r="D10" s="9" t="s">
        <v>44</v>
      </c>
      <c r="E10" s="10"/>
      <c r="F10" s="10"/>
      <c r="G10" s="10"/>
      <c r="H10" s="11">
        <v>1</v>
      </c>
      <c r="I10" s="11">
        <v>182</v>
      </c>
      <c r="J10" s="11">
        <v>186</v>
      </c>
      <c r="K10" s="11">
        <v>4</v>
      </c>
      <c r="L10" s="11">
        <v>5</v>
      </c>
      <c r="M10" s="11"/>
      <c r="N10" s="11">
        <v>0</v>
      </c>
      <c r="O10" s="11"/>
      <c r="P10" s="11">
        <v>3</v>
      </c>
      <c r="Q10" s="11"/>
      <c r="R10" s="19"/>
      <c r="S10" s="10"/>
      <c r="T10" s="21"/>
      <c r="U10" s="12"/>
      <c r="V10" s="12">
        <f>SUM(L10:Q10)</f>
        <v>8</v>
      </c>
      <c r="W10" s="10">
        <f ca="1">IFERROR(__xludf.DUMMYFUNCTION("IFERROR(
  SUM(
    FILTER(
      Reporte!$E:$E, 
      REGEXMATCH(Reporte!$A:$A, ""(?i)(TE PAGÓ|PAGASTE)""), 
      Reporte!$H:$H &amp; """" = AH10 &amp; """"
    )
  ), 
  0
)"),8)</f>
        <v>8</v>
      </c>
      <c r="X10" s="10">
        <f ca="1">IFERROR(__xludf.DUMMYFUNCTION("IFERROR(
  SUM(
    FILTER(
      Efectivo!$C:$C, 
      Efectivo!$D:$D &amp; """" = AH10 &amp; """"
    )
  ), 
  0
)"),0)</f>
        <v>0</v>
      </c>
      <c r="Y10" s="10" t="s">
        <v>34</v>
      </c>
      <c r="Z10" s="10"/>
      <c r="AA10" s="10" t="s">
        <v>35</v>
      </c>
      <c r="AB10" s="10"/>
      <c r="AC10" s="10"/>
      <c r="AD10" s="10" t="str">
        <f t="shared" si="0"/>
        <v/>
      </c>
      <c r="AE10" s="10" t="e">
        <f>IF(
   OR(
     AND(#REF!&gt;0, OR(Y10="C", Y10="c"), U10&lt;0),
     AND(#REF!&gt;0, Y10="")
   ),
   "CORTE",
   ""
)</f>
        <v>#REF!</v>
      </c>
      <c r="AF10" s="10">
        <f t="shared" si="1"/>
        <v>0</v>
      </c>
      <c r="AG10" s="10">
        <f t="shared" si="2"/>
        <v>8</v>
      </c>
      <c r="AH10" s="10" t="str">
        <f t="shared" si="3"/>
        <v>A</v>
      </c>
      <c r="AI10" s="10" t="str">
        <f t="shared" si="4"/>
        <v>A-8A</v>
      </c>
    </row>
    <row r="11" spans="1:35" ht="22.5" customHeight="1" x14ac:dyDescent="0.35">
      <c r="A11" s="13">
        <v>10</v>
      </c>
      <c r="B11" s="14" t="s">
        <v>45</v>
      </c>
      <c r="C11" s="14" t="s">
        <v>33</v>
      </c>
      <c r="D11" s="13">
        <v>9</v>
      </c>
      <c r="E11" s="15"/>
      <c r="F11" s="15"/>
      <c r="G11" s="15"/>
      <c r="H11" s="16">
        <v>1</v>
      </c>
      <c r="I11" s="16">
        <v>2198</v>
      </c>
      <c r="J11" s="16">
        <v>2240</v>
      </c>
      <c r="K11" s="16">
        <v>42</v>
      </c>
      <c r="L11" s="16">
        <v>42</v>
      </c>
      <c r="M11" s="16"/>
      <c r="N11" s="16">
        <v>0</v>
      </c>
      <c r="O11" s="16"/>
      <c r="P11" s="16">
        <v>3</v>
      </c>
      <c r="Q11" s="16"/>
      <c r="R11" s="18"/>
      <c r="S11" s="15"/>
      <c r="T11" s="20"/>
      <c r="U11" s="17"/>
      <c r="V11" s="17">
        <f>SUM(L11:Q11)</f>
        <v>45</v>
      </c>
      <c r="W11" s="15">
        <f ca="1">IFERROR(__xludf.DUMMYFUNCTION("IFERROR(
  SUM(
    FILTER(
      Reporte!$E:$E, 
      REGEXMATCH(Reporte!$A:$A, ""(?i)(TE PAGÓ|PAGASTE)""), 
      Reporte!$H:$H &amp; """" = AH11 &amp; """"
    )
  ), 
  0
)"),45)</f>
        <v>45</v>
      </c>
      <c r="X11" s="15">
        <f ca="1">IFERROR(__xludf.DUMMYFUNCTION("IFERROR(
  SUM(
    FILTER(
      Efectivo!$C:$C, 
      Efectivo!$D:$D &amp; """" = AH11 &amp; """"
    )
  ), 
  0
)"),0)</f>
        <v>0</v>
      </c>
      <c r="Y11" s="15" t="s">
        <v>34</v>
      </c>
      <c r="Z11" s="15"/>
      <c r="AA11" s="15" t="s">
        <v>35</v>
      </c>
      <c r="AB11" s="15"/>
      <c r="AC11" s="15"/>
      <c r="AD11" s="15" t="str">
        <f t="shared" si="0"/>
        <v/>
      </c>
      <c r="AE11" s="15" t="e">
        <f>IF(
   OR(
     AND(#REF!&gt;0, OR(Y11="C", Y11="c"), U11&lt;0),
     AND(#REF!&gt;0, Y11="")
   ),
   "CORTE",
   ""
)</f>
        <v>#REF!</v>
      </c>
      <c r="AF11" s="15">
        <f t="shared" si="1"/>
        <v>0</v>
      </c>
      <c r="AG11" s="15">
        <f t="shared" si="2"/>
        <v>45</v>
      </c>
      <c r="AH11" s="15" t="str">
        <f t="shared" si="3"/>
        <v>A</v>
      </c>
      <c r="AI11" s="15" t="str">
        <f t="shared" si="4"/>
        <v>A-9</v>
      </c>
    </row>
    <row r="12" spans="1:35" ht="22.5" customHeight="1" x14ac:dyDescent="0.35">
      <c r="A12" s="8">
        <v>11</v>
      </c>
      <c r="B12" s="9" t="s">
        <v>46</v>
      </c>
      <c r="C12" s="9" t="s">
        <v>33</v>
      </c>
      <c r="D12" s="8">
        <v>10</v>
      </c>
      <c r="E12" s="10"/>
      <c r="F12" s="10"/>
      <c r="G12" s="10"/>
      <c r="H12" s="11">
        <v>1</v>
      </c>
      <c r="I12" s="11">
        <v>672</v>
      </c>
      <c r="J12" s="11">
        <v>679</v>
      </c>
      <c r="K12" s="11">
        <v>7</v>
      </c>
      <c r="L12" s="11">
        <v>7</v>
      </c>
      <c r="M12" s="11"/>
      <c r="N12" s="11">
        <v>0</v>
      </c>
      <c r="O12" s="11"/>
      <c r="P12" s="11">
        <v>3</v>
      </c>
      <c r="Q12" s="11"/>
      <c r="R12" s="19"/>
      <c r="S12" s="10"/>
      <c r="T12" s="21"/>
      <c r="U12" s="12"/>
      <c r="V12" s="12">
        <f>SUM(L12:Q12)</f>
        <v>10</v>
      </c>
      <c r="W12" s="10">
        <f ca="1">IFERROR(__xludf.DUMMYFUNCTION("IFERROR(
  SUM(
    FILTER(
      Reporte!$E:$E, 
      REGEXMATCH(Reporte!$A:$A, ""(?i)(TE PAGÓ|PAGASTE)""), 
      Reporte!$H:$H &amp; """" = AH12 &amp; """"
    )
  ), 
  0
)"),0)</f>
        <v>0</v>
      </c>
      <c r="X12" s="10">
        <f ca="1">IFERROR(__xludf.DUMMYFUNCTION("IFERROR(
  SUM(
    FILTER(
      Efectivo!$C:$C, 
      Efectivo!$D:$D &amp; """" = AH12 &amp; """"
    )
  ), 
  0
)"),0)</f>
        <v>0</v>
      </c>
      <c r="Y12" s="10"/>
      <c r="Z12" s="10"/>
      <c r="AA12" s="10"/>
      <c r="AB12" s="10"/>
      <c r="AC12" s="10"/>
      <c r="AD12" s="10" t="str">
        <f t="shared" si="0"/>
        <v/>
      </c>
      <c r="AE12" s="10" t="e">
        <f>IF(
   OR(
     AND(#REF!&gt;0, OR(Y12="C", Y12="c"), U12&lt;0),
     AND(#REF!&gt;0, Y12="")
   ),
   "CORTE",
   ""
)</f>
        <v>#REF!</v>
      </c>
      <c r="AF12" s="10">
        <f t="shared" si="1"/>
        <v>0</v>
      </c>
      <c r="AG12" s="10">
        <f t="shared" si="2"/>
        <v>0</v>
      </c>
      <c r="AH12" s="10" t="str">
        <f t="shared" si="3"/>
        <v>A</v>
      </c>
      <c r="AI12" s="10" t="str">
        <f t="shared" si="4"/>
        <v>A-10</v>
      </c>
    </row>
    <row r="13" spans="1:35" ht="22.5" customHeight="1" x14ac:dyDescent="0.35">
      <c r="A13" s="13">
        <v>12</v>
      </c>
      <c r="B13" s="14" t="s">
        <v>47</v>
      </c>
      <c r="C13" s="14" t="s">
        <v>33</v>
      </c>
      <c r="D13" s="13">
        <v>11</v>
      </c>
      <c r="E13" s="15"/>
      <c r="F13" s="15"/>
      <c r="G13" s="15"/>
      <c r="H13" s="16">
        <v>1</v>
      </c>
      <c r="I13" s="16">
        <v>361</v>
      </c>
      <c r="J13" s="16">
        <v>363</v>
      </c>
      <c r="K13" s="16">
        <v>2</v>
      </c>
      <c r="L13" s="16">
        <v>5</v>
      </c>
      <c r="M13" s="16">
        <v>8</v>
      </c>
      <c r="N13" s="16">
        <v>0</v>
      </c>
      <c r="O13" s="16"/>
      <c r="P13" s="16">
        <v>3</v>
      </c>
      <c r="Q13" s="16"/>
      <c r="R13" s="18"/>
      <c r="S13" s="15"/>
      <c r="T13" s="20"/>
      <c r="U13" s="17"/>
      <c r="V13" s="17">
        <f>SUM(L13:U13)</f>
        <v>16</v>
      </c>
      <c r="W13" s="15">
        <f ca="1">IFERROR(__xludf.DUMMYFUNCTION("IFERROR(
  SUM(
    FILTER(
      Reporte!$E:$E, 
      REGEXMATCH(Reporte!$A:$A, ""(?i)(TE PAGÓ|PAGASTE)""), 
      Reporte!$H:$H &amp; """" = AH13 &amp; """"
    )
  ), 
  0
)"),0)</f>
        <v>0</v>
      </c>
      <c r="X13" s="15">
        <f ca="1">IFERROR(__xludf.DUMMYFUNCTION("IFERROR(
  SUM(
    FILTER(
      Efectivo!$C:$C, 
      Efectivo!$D:$D &amp; """" = AH13 &amp; """"
    )
  ), 
  0
)"),0)</f>
        <v>0</v>
      </c>
      <c r="Y13" s="15"/>
      <c r="Z13" s="15"/>
      <c r="AA13" s="15"/>
      <c r="AB13" s="15"/>
      <c r="AC13" s="15"/>
      <c r="AD13" s="15" t="str">
        <f t="shared" si="0"/>
        <v>CORTE</v>
      </c>
      <c r="AE13" s="15" t="e">
        <f>IF(
   OR(
     AND(#REF!&gt;0, OR(Y13="C", Y13="c"), U13&lt;0),
     AND(#REF!&gt;0, Y13="")
   ),
   "CORTE",
   ""
)</f>
        <v>#REF!</v>
      </c>
      <c r="AF13" s="15">
        <f t="shared" si="1"/>
        <v>0</v>
      </c>
      <c r="AG13" s="15">
        <f t="shared" si="2"/>
        <v>0</v>
      </c>
      <c r="AH13" s="15" t="str">
        <f t="shared" si="3"/>
        <v>A</v>
      </c>
      <c r="AI13" s="15" t="str">
        <f t="shared" si="4"/>
        <v>A-11</v>
      </c>
    </row>
    <row r="14" spans="1:35" ht="22.5" customHeight="1" x14ac:dyDescent="0.35">
      <c r="A14" s="8">
        <v>13</v>
      </c>
      <c r="B14" s="9" t="s">
        <v>48</v>
      </c>
      <c r="C14" s="9" t="s">
        <v>49</v>
      </c>
      <c r="D14" s="8">
        <v>1</v>
      </c>
      <c r="E14" s="10"/>
      <c r="F14" s="10"/>
      <c r="G14" s="10"/>
      <c r="H14" s="11">
        <v>1</v>
      </c>
      <c r="I14" s="11">
        <v>1</v>
      </c>
      <c r="J14" s="11">
        <v>13</v>
      </c>
      <c r="K14" s="11">
        <v>12</v>
      </c>
      <c r="L14" s="11">
        <v>12</v>
      </c>
      <c r="M14" s="11"/>
      <c r="N14" s="11">
        <v>0</v>
      </c>
      <c r="O14" s="11"/>
      <c r="P14" s="11">
        <v>3</v>
      </c>
      <c r="Q14" s="11"/>
      <c r="R14" s="19"/>
      <c r="S14" s="10"/>
      <c r="T14" s="21"/>
      <c r="U14" s="12"/>
      <c r="V14" s="12">
        <f>SUM(L14:Q14)</f>
        <v>15</v>
      </c>
      <c r="W14" s="10">
        <f ca="1">IFERROR(__xludf.DUMMYFUNCTION("IFERROR(
  SUM(
    FILTER(
      Reporte!$E:$E, 
      REGEXMATCH(Reporte!$A:$A, ""(?i)(TE PAGÓ|PAGASTE)""), 
      Reporte!$H:$H &amp; """" = AH14 &amp; """"
    )
  ), 
  0
)"),0)</f>
        <v>0</v>
      </c>
      <c r="X14" s="10">
        <f ca="1">IFERROR(__xludf.DUMMYFUNCTION("IFERROR(
  SUM(
    FILTER(
      Efectivo!$C:$C, 
      Efectivo!$D:$D &amp; """" = AH14 &amp; """"
    )
  ), 
  0
)"),15)</f>
        <v>15</v>
      </c>
      <c r="Y14" s="10" t="s">
        <v>34</v>
      </c>
      <c r="Z14" s="10"/>
      <c r="AA14" s="10"/>
      <c r="AB14" s="10"/>
      <c r="AC14" s="10"/>
      <c r="AD14" s="10" t="str">
        <f t="shared" si="0"/>
        <v/>
      </c>
      <c r="AE14" s="10" t="e">
        <f>IF(
   OR(
     AND(#REF!&gt;0, OR(Y14="C", Y14="c"), U14&lt;0),
     AND(#REF!&gt;0, Y14="")
   ),
   "CORTE",
   ""
)</f>
        <v>#REF!</v>
      </c>
      <c r="AF14" s="10">
        <f t="shared" si="1"/>
        <v>15</v>
      </c>
      <c r="AG14" s="10">
        <f t="shared" si="2"/>
        <v>0</v>
      </c>
      <c r="AH14" s="10" t="str">
        <f t="shared" si="3"/>
        <v>B</v>
      </c>
      <c r="AI14" s="10" t="str">
        <f t="shared" si="4"/>
        <v>B-1</v>
      </c>
    </row>
    <row r="15" spans="1:35" ht="22.5" customHeight="1" x14ac:dyDescent="0.35">
      <c r="A15" s="13">
        <v>14</v>
      </c>
      <c r="B15" s="14" t="s">
        <v>50</v>
      </c>
      <c r="C15" s="14" t="s">
        <v>49</v>
      </c>
      <c r="D15" s="13">
        <v>2</v>
      </c>
      <c r="E15" s="15"/>
      <c r="F15" s="15"/>
      <c r="G15" s="15"/>
      <c r="H15" s="16">
        <v>1</v>
      </c>
      <c r="I15" s="16">
        <v>2294</v>
      </c>
      <c r="J15" s="16">
        <v>16</v>
      </c>
      <c r="K15" s="16">
        <v>16</v>
      </c>
      <c r="L15" s="16">
        <v>16</v>
      </c>
      <c r="M15" s="16"/>
      <c r="N15" s="16">
        <v>0</v>
      </c>
      <c r="O15" s="16">
        <v>25</v>
      </c>
      <c r="P15" s="16">
        <v>3</v>
      </c>
      <c r="Q15" s="16"/>
      <c r="R15" s="18"/>
      <c r="S15" s="15"/>
      <c r="T15" s="20"/>
      <c r="U15" s="17"/>
      <c r="V15" s="17">
        <f>SUM(L15:Q15)</f>
        <v>44</v>
      </c>
      <c r="W15" s="15">
        <f ca="1">IFERROR(__xludf.DUMMYFUNCTION("IFERROR(
  SUM(
    FILTER(
      Reporte!$E:$E, 
      REGEXMATCH(Reporte!$A:$A, ""(?i)(TE PAGÓ|PAGASTE)""), 
      Reporte!$H:$H &amp; """" = AH15 &amp; """"
    )
  ), 
  0
)"),0)</f>
        <v>0</v>
      </c>
      <c r="X15" s="15">
        <f ca="1">IFERROR(__xludf.DUMMYFUNCTION("IFERROR(
  SUM(
    FILTER(
      Efectivo!$C:$C, 
      Efectivo!$D:$D &amp; """" = AH15 &amp; """"
    )
  ), 
  0
)"),44)</f>
        <v>44</v>
      </c>
      <c r="Y15" s="15" t="s">
        <v>34</v>
      </c>
      <c r="Z15" s="15"/>
      <c r="AA15" s="15"/>
      <c r="AB15" s="15"/>
      <c r="AC15" s="15"/>
      <c r="AD15" s="15" t="str">
        <f t="shared" si="0"/>
        <v/>
      </c>
      <c r="AE15" s="15" t="e">
        <f>IF(
   OR(
     AND(#REF!&gt;0, OR(Y15="C", Y15="c"), U15&lt;0),
     AND(#REF!&gt;0, Y15="")
   ),
   "CORTE",
   ""
)</f>
        <v>#REF!</v>
      </c>
      <c r="AF15" s="15">
        <f t="shared" si="1"/>
        <v>44</v>
      </c>
      <c r="AG15" s="15">
        <f t="shared" si="2"/>
        <v>0</v>
      </c>
      <c r="AH15" s="15" t="str">
        <f t="shared" si="3"/>
        <v>B</v>
      </c>
      <c r="AI15" s="15" t="str">
        <f t="shared" si="4"/>
        <v>B-2</v>
      </c>
    </row>
    <row r="16" spans="1:35" ht="22.5" customHeight="1" x14ac:dyDescent="0.35">
      <c r="A16" s="8">
        <v>15</v>
      </c>
      <c r="B16" s="9" t="s">
        <v>51</v>
      </c>
      <c r="C16" s="9" t="s">
        <v>49</v>
      </c>
      <c r="D16" s="8">
        <v>3</v>
      </c>
      <c r="E16" s="10"/>
      <c r="F16" s="10"/>
      <c r="G16" s="10"/>
      <c r="H16" s="11">
        <v>1</v>
      </c>
      <c r="I16" s="11">
        <v>822</v>
      </c>
      <c r="J16" s="11">
        <v>837</v>
      </c>
      <c r="K16" s="11">
        <v>15</v>
      </c>
      <c r="L16" s="11">
        <v>15</v>
      </c>
      <c r="M16" s="11"/>
      <c r="N16" s="11">
        <v>0</v>
      </c>
      <c r="O16" s="11"/>
      <c r="P16" s="11">
        <v>3</v>
      </c>
      <c r="Q16" s="11"/>
      <c r="R16" s="19"/>
      <c r="S16" s="10"/>
      <c r="T16" s="21"/>
      <c r="U16" s="12"/>
      <c r="V16" s="12">
        <f>SUM(L16:Q16)</f>
        <v>18</v>
      </c>
      <c r="W16" s="10">
        <f ca="1">IFERROR(__xludf.DUMMYFUNCTION("IFERROR(
  SUM(
    FILTER(
      Reporte!$E:$E, 
      REGEXMATCH(Reporte!$A:$A, ""(?i)(TE PAGÓ|PAGASTE)""), 
      Reporte!$H:$H &amp; """" = AH16 &amp; """"
    )
  ), 
  0
)"),0)</f>
        <v>0</v>
      </c>
      <c r="X16" s="10">
        <f ca="1">IFERROR(__xludf.DUMMYFUNCTION("IFERROR(
  SUM(
    FILTER(
      Efectivo!$C:$C, 
      Efectivo!$D:$D &amp; """" = AH16 &amp; """"
    )
  ), 
  0
)"),18)</f>
        <v>18</v>
      </c>
      <c r="Y16" s="10" t="s">
        <v>34</v>
      </c>
      <c r="Z16" s="10"/>
      <c r="AA16" s="10"/>
      <c r="AB16" s="10"/>
      <c r="AC16" s="10"/>
      <c r="AD16" s="10" t="str">
        <f t="shared" si="0"/>
        <v/>
      </c>
      <c r="AE16" s="10" t="e">
        <f>IF(
   OR(
     AND(#REF!&gt;0, OR(Y16="C", Y16="c"), U16&lt;0),
     AND(#REF!&gt;0, Y16="")
   ),
   "CORTE",
   ""
)</f>
        <v>#REF!</v>
      </c>
      <c r="AF16" s="10">
        <f t="shared" si="1"/>
        <v>18</v>
      </c>
      <c r="AG16" s="10">
        <f t="shared" si="2"/>
        <v>0</v>
      </c>
      <c r="AH16" s="10" t="str">
        <f t="shared" si="3"/>
        <v>B</v>
      </c>
      <c r="AI16" s="10" t="str">
        <f t="shared" si="4"/>
        <v>B-3</v>
      </c>
    </row>
    <row r="17" spans="1:35" ht="22.5" customHeight="1" x14ac:dyDescent="0.35">
      <c r="A17" s="13">
        <v>16</v>
      </c>
      <c r="B17" s="14" t="s">
        <v>52</v>
      </c>
      <c r="C17" s="14" t="s">
        <v>49</v>
      </c>
      <c r="D17" s="13">
        <v>4</v>
      </c>
      <c r="E17" s="15"/>
      <c r="F17" s="15"/>
      <c r="G17" s="15"/>
      <c r="H17" s="16">
        <v>1</v>
      </c>
      <c r="I17" s="16">
        <v>626</v>
      </c>
      <c r="J17" s="16">
        <v>641</v>
      </c>
      <c r="K17" s="16">
        <v>15</v>
      </c>
      <c r="L17" s="16">
        <v>15</v>
      </c>
      <c r="M17" s="16"/>
      <c r="N17" s="16">
        <v>0</v>
      </c>
      <c r="O17" s="16"/>
      <c r="P17" s="16">
        <v>3</v>
      </c>
      <c r="Q17" s="16"/>
      <c r="R17" s="18"/>
      <c r="S17" s="15"/>
      <c r="T17" s="20"/>
      <c r="U17" s="17"/>
      <c r="V17" s="17">
        <f>SUM(L17:Q17)</f>
        <v>18</v>
      </c>
      <c r="W17" s="15">
        <f ca="1">IFERROR(__xludf.DUMMYFUNCTION("IFERROR(
  SUM(
    FILTER(
      Reporte!$E:$E, 
      REGEXMATCH(Reporte!$A:$A, ""(?i)(TE PAGÓ|PAGASTE)""), 
      Reporte!$H:$H &amp; """" = AH17 &amp; """"
    )
  ), 
  0
)"),0)</f>
        <v>0</v>
      </c>
      <c r="X17" s="15">
        <f ca="1">IFERROR(__xludf.DUMMYFUNCTION("IFERROR(
  SUM(
    FILTER(
      Efectivo!$C:$C, 
      Efectivo!$D:$D &amp; """" = AH17 &amp; """"
    )
  ), 
  0
)"),0)</f>
        <v>0</v>
      </c>
      <c r="Y17" s="15"/>
      <c r="Z17" s="15"/>
      <c r="AA17" s="15"/>
      <c r="AB17" s="15"/>
      <c r="AC17" s="15"/>
      <c r="AD17" s="15" t="str">
        <f t="shared" si="0"/>
        <v/>
      </c>
      <c r="AE17" s="15" t="e">
        <f>IF(
   OR(
     AND(#REF!&gt;0, OR(Y17="C", Y17="c"), U17&lt;0),
     AND(#REF!&gt;0, Y17="")
   ),
   "CORTE",
   ""
)</f>
        <v>#REF!</v>
      </c>
      <c r="AF17" s="15">
        <f t="shared" si="1"/>
        <v>0</v>
      </c>
      <c r="AG17" s="15">
        <f t="shared" si="2"/>
        <v>0</v>
      </c>
      <c r="AH17" s="15" t="str">
        <f t="shared" si="3"/>
        <v>B</v>
      </c>
      <c r="AI17" s="15" t="str">
        <f t="shared" si="4"/>
        <v>B-4</v>
      </c>
    </row>
    <row r="18" spans="1:35" ht="22.5" customHeight="1" x14ac:dyDescent="0.35">
      <c r="A18" s="8">
        <v>17</v>
      </c>
      <c r="B18" s="9" t="s">
        <v>53</v>
      </c>
      <c r="C18" s="9" t="s">
        <v>49</v>
      </c>
      <c r="D18" s="8">
        <v>5</v>
      </c>
      <c r="E18" s="10"/>
      <c r="F18" s="10"/>
      <c r="G18" s="10"/>
      <c r="H18" s="11">
        <v>1</v>
      </c>
      <c r="I18" s="11">
        <v>23</v>
      </c>
      <c r="J18" s="11">
        <v>59</v>
      </c>
      <c r="K18" s="11">
        <v>36</v>
      </c>
      <c r="L18" s="11">
        <v>36</v>
      </c>
      <c r="M18" s="11"/>
      <c r="N18" s="11">
        <v>0</v>
      </c>
      <c r="O18" s="11">
        <v>25</v>
      </c>
      <c r="P18" s="11">
        <v>3</v>
      </c>
      <c r="Q18" s="11"/>
      <c r="R18" s="19"/>
      <c r="S18" s="10"/>
      <c r="T18" s="21"/>
      <c r="U18" s="12"/>
      <c r="V18" s="12">
        <f>SUM(L18:Q18)</f>
        <v>64</v>
      </c>
      <c r="W18" s="10">
        <f ca="1">IFERROR(__xludf.DUMMYFUNCTION("IFERROR(
  SUM(
    FILTER(
      Reporte!$E:$E, 
      REGEXMATCH(Reporte!$A:$A, ""(?i)(TE PAGÓ|PAGASTE)""), 
      Reporte!$H:$H &amp; """" = AH18 &amp; """"
    )
  ), 
  0
)"),0)</f>
        <v>0</v>
      </c>
      <c r="X18" s="10">
        <f ca="1">IFERROR(__xludf.DUMMYFUNCTION("IFERROR(
  SUM(
    FILTER(
      Efectivo!$C:$C, 
      Efectivo!$D:$D &amp; """" = AH18 &amp; """"
    )
  ), 
  0
)"),0)</f>
        <v>0</v>
      </c>
      <c r="Y18" s="10"/>
      <c r="Z18" s="10"/>
      <c r="AA18" s="10"/>
      <c r="AB18" s="10"/>
      <c r="AC18" s="10"/>
      <c r="AD18" s="10" t="str">
        <f t="shared" si="0"/>
        <v/>
      </c>
      <c r="AE18" s="10" t="e">
        <f>IF(
   OR(
     AND(#REF!&gt;0, OR(Y18="C", Y18="c"), U18&lt;0),
     AND(#REF!&gt;0, Y18="")
   ),
   "CORTE",
   ""
)</f>
        <v>#REF!</v>
      </c>
      <c r="AF18" s="10">
        <f t="shared" si="1"/>
        <v>0</v>
      </c>
      <c r="AG18" s="10">
        <f t="shared" si="2"/>
        <v>0</v>
      </c>
      <c r="AH18" s="10" t="str">
        <f t="shared" si="3"/>
        <v>B</v>
      </c>
      <c r="AI18" s="10" t="str">
        <f t="shared" si="4"/>
        <v>B-5</v>
      </c>
    </row>
    <row r="19" spans="1:35" ht="22.5" customHeight="1" x14ac:dyDescent="0.35">
      <c r="A19" s="13">
        <v>18</v>
      </c>
      <c r="B19" s="14" t="s">
        <v>54</v>
      </c>
      <c r="C19" s="14" t="s">
        <v>49</v>
      </c>
      <c r="D19" s="13">
        <v>6</v>
      </c>
      <c r="E19" s="15"/>
      <c r="F19" s="15"/>
      <c r="G19" s="15"/>
      <c r="H19" s="16">
        <v>1</v>
      </c>
      <c r="I19" s="16">
        <v>11</v>
      </c>
      <c r="J19" s="16">
        <v>32</v>
      </c>
      <c r="K19" s="16">
        <v>21</v>
      </c>
      <c r="L19" s="16">
        <v>21</v>
      </c>
      <c r="M19" s="16"/>
      <c r="N19" s="16">
        <v>0</v>
      </c>
      <c r="O19" s="16">
        <v>25</v>
      </c>
      <c r="P19" s="16">
        <v>3</v>
      </c>
      <c r="Q19" s="16"/>
      <c r="R19" s="18"/>
      <c r="S19" s="15"/>
      <c r="T19" s="20"/>
      <c r="U19" s="17"/>
      <c r="V19" s="17">
        <f>SUM(L19:U19)</f>
        <v>49</v>
      </c>
      <c r="W19" s="15">
        <f ca="1">IFERROR(__xludf.DUMMYFUNCTION("IFERROR(
  SUM(
    FILTER(
      Reporte!$E:$E, 
      REGEXMATCH(Reporte!$A:$A, ""(?i)(TE PAGÓ|PAGASTE)""), 
      Reporte!$H:$H &amp; """" = AH19 &amp; """"
    )
  ), 
  0
)"),49)</f>
        <v>49</v>
      </c>
      <c r="X19" s="15">
        <f ca="1">IFERROR(__xludf.DUMMYFUNCTION("IFERROR(
  SUM(
    FILTER(
      Efectivo!$C:$C, 
      Efectivo!$D:$D &amp; """" = AH19 &amp; """"
    )
  ), 
  0
)"),0)</f>
        <v>0</v>
      </c>
      <c r="Y19" s="15" t="s">
        <v>34</v>
      </c>
      <c r="Z19" s="15"/>
      <c r="AA19" s="15" t="s">
        <v>35</v>
      </c>
      <c r="AB19" s="15"/>
      <c r="AC19" s="15"/>
      <c r="AD19" s="15" t="str">
        <f t="shared" si="0"/>
        <v/>
      </c>
      <c r="AE19" s="15" t="e">
        <f>IF(
   OR(
     AND(#REF!&gt;0, OR(Y19="C", Y19="c"), U19&lt;0),
     AND(#REF!&gt;0, Y19="")
   ),
   "CORTE",
   ""
)</f>
        <v>#REF!</v>
      </c>
      <c r="AF19" s="15">
        <f t="shared" si="1"/>
        <v>0</v>
      </c>
      <c r="AG19" s="15">
        <f t="shared" si="2"/>
        <v>49</v>
      </c>
      <c r="AH19" s="15" t="str">
        <f t="shared" si="3"/>
        <v>B</v>
      </c>
      <c r="AI19" s="15" t="str">
        <f t="shared" si="4"/>
        <v>B-6</v>
      </c>
    </row>
    <row r="20" spans="1:35" ht="22.5" customHeight="1" x14ac:dyDescent="0.35">
      <c r="A20" s="8">
        <v>19</v>
      </c>
      <c r="B20" s="9" t="s">
        <v>55</v>
      </c>
      <c r="C20" s="9" t="s">
        <v>49</v>
      </c>
      <c r="D20" s="8">
        <v>7</v>
      </c>
      <c r="E20" s="10"/>
      <c r="F20" s="10"/>
      <c r="G20" s="10"/>
      <c r="H20" s="11">
        <v>1</v>
      </c>
      <c r="I20" s="11">
        <v>2713</v>
      </c>
      <c r="J20" s="11">
        <v>99978</v>
      </c>
      <c r="K20" s="11">
        <v>14</v>
      </c>
      <c r="L20" s="11">
        <v>14</v>
      </c>
      <c r="M20" s="11"/>
      <c r="N20" s="11">
        <v>0</v>
      </c>
      <c r="O20" s="11">
        <v>25</v>
      </c>
      <c r="P20" s="11">
        <v>3</v>
      </c>
      <c r="Q20" s="11">
        <v>30</v>
      </c>
      <c r="R20" s="19"/>
      <c r="S20" s="10"/>
      <c r="T20" s="21"/>
      <c r="U20" s="12"/>
      <c r="V20" s="12">
        <f>SUM(L20:Q20)</f>
        <v>72</v>
      </c>
      <c r="W20" s="10">
        <f ca="1">IFERROR(__xludf.DUMMYFUNCTION("IFERROR(
  SUM(
    FILTER(
      Reporte!$E:$E, 
      REGEXMATCH(Reporte!$A:$A, ""(?i)(TE PAGÓ|PAGASTE)""), 
      Reporte!$H:$H &amp; """" = AH20 &amp; """"
    )
  ), 
  0
)"),0)</f>
        <v>0</v>
      </c>
      <c r="X20" s="10">
        <f ca="1">IFERROR(__xludf.DUMMYFUNCTION("IFERROR(
  SUM(
    FILTER(
      Efectivo!$C:$C, 
      Efectivo!$D:$D &amp; """" = AH20 &amp; """"
    )
  ), 
  0
)"),0)</f>
        <v>0</v>
      </c>
      <c r="Y20" s="10"/>
      <c r="Z20" s="10"/>
      <c r="AA20" s="10"/>
      <c r="AB20" s="10"/>
      <c r="AC20" s="10"/>
      <c r="AD20" s="10" t="str">
        <f t="shared" si="0"/>
        <v/>
      </c>
      <c r="AE20" s="10" t="e">
        <f>IF(
   OR(
     AND(#REF!&gt;0, OR(Y20="C", Y20="c"), U20&lt;0),
     AND(#REF!&gt;0, Y20="")
   ),
   "CORTE",
   ""
)</f>
        <v>#REF!</v>
      </c>
      <c r="AF20" s="10">
        <f t="shared" si="1"/>
        <v>0</v>
      </c>
      <c r="AG20" s="10">
        <f t="shared" si="2"/>
        <v>0</v>
      </c>
      <c r="AH20" s="10" t="str">
        <f t="shared" si="3"/>
        <v>B</v>
      </c>
      <c r="AI20" s="10" t="str">
        <f t="shared" si="4"/>
        <v>B-7</v>
      </c>
    </row>
    <row r="21" spans="1:35" ht="15.75" customHeight="1" x14ac:dyDescent="0.35">
      <c r="A21" s="13">
        <v>20</v>
      </c>
      <c r="B21" s="14" t="s">
        <v>56</v>
      </c>
      <c r="C21" s="14" t="s">
        <v>49</v>
      </c>
      <c r="D21" s="13">
        <v>8</v>
      </c>
      <c r="E21" s="15"/>
      <c r="F21" s="15"/>
      <c r="G21" s="15"/>
      <c r="H21" s="16">
        <v>1</v>
      </c>
      <c r="I21" s="16">
        <v>7</v>
      </c>
      <c r="J21" s="16">
        <v>21</v>
      </c>
      <c r="K21" s="16">
        <v>14</v>
      </c>
      <c r="L21" s="16">
        <v>14</v>
      </c>
      <c r="M21" s="16">
        <v>15</v>
      </c>
      <c r="N21" s="16">
        <v>0</v>
      </c>
      <c r="O21" s="16">
        <v>25</v>
      </c>
      <c r="P21" s="16">
        <v>3</v>
      </c>
      <c r="Q21" s="16"/>
      <c r="R21" s="18"/>
      <c r="S21" s="15"/>
      <c r="T21" s="20"/>
      <c r="U21" s="17"/>
      <c r="V21" s="17">
        <f>SUM(L21:Q21)</f>
        <v>57</v>
      </c>
      <c r="W21" s="15">
        <f ca="1">IFERROR(__xludf.DUMMYFUNCTION("IFERROR(
  SUM(
    FILTER(
      Reporte!$E:$E, 
      REGEXMATCH(Reporte!$A:$A, ""(?i)(TE PAGÓ|PAGASTE)""), 
      Reporte!$H:$H &amp; """" = AH21 &amp; """"
    )
  ), 
  0
)"),57)</f>
        <v>57</v>
      </c>
      <c r="X21" s="15">
        <f ca="1">IFERROR(__xludf.DUMMYFUNCTION("IFERROR(
  SUM(
    FILTER(
      Efectivo!$C:$C, 
      Efectivo!$D:$D &amp; """" = AH21 &amp; """"
    )
  ), 
  0
)"),0)</f>
        <v>0</v>
      </c>
      <c r="Y21" s="15" t="s">
        <v>34</v>
      </c>
      <c r="Z21" s="15"/>
      <c r="AA21" s="15" t="s">
        <v>35</v>
      </c>
      <c r="AB21" s="15"/>
      <c r="AC21" s="15"/>
      <c r="AD21" s="15" t="str">
        <f t="shared" si="0"/>
        <v/>
      </c>
      <c r="AE21" s="15" t="e">
        <f>IF(
   OR(
     AND(#REF!&gt;0, OR(Y21="C", Y21="c"), U21&lt;0),
     AND(#REF!&gt;0, Y21="")
   ),
   "CORTE",
   ""
)</f>
        <v>#REF!</v>
      </c>
      <c r="AF21" s="15">
        <f t="shared" si="1"/>
        <v>0</v>
      </c>
      <c r="AG21" s="15">
        <f t="shared" si="2"/>
        <v>57</v>
      </c>
      <c r="AH21" s="15" t="str">
        <f t="shared" si="3"/>
        <v>B</v>
      </c>
      <c r="AI21" s="15" t="str">
        <f t="shared" si="4"/>
        <v>B-8</v>
      </c>
    </row>
    <row r="22" spans="1:35" ht="15.75" customHeight="1" x14ac:dyDescent="0.35">
      <c r="A22" s="8">
        <v>21</v>
      </c>
      <c r="B22" s="9" t="s">
        <v>57</v>
      </c>
      <c r="C22" s="9" t="s">
        <v>49</v>
      </c>
      <c r="D22" s="8">
        <v>9</v>
      </c>
      <c r="E22" s="10"/>
      <c r="F22" s="11">
        <v>1</v>
      </c>
      <c r="G22" s="10"/>
      <c r="H22" s="11">
        <v>1</v>
      </c>
      <c r="I22" s="11">
        <v>65</v>
      </c>
      <c r="J22" s="11">
        <v>72</v>
      </c>
      <c r="K22" s="11">
        <v>7</v>
      </c>
      <c r="L22" s="11">
        <v>7</v>
      </c>
      <c r="M22" s="11"/>
      <c r="N22" s="11">
        <v>0</v>
      </c>
      <c r="O22" s="11"/>
      <c r="P22" s="11">
        <v>3</v>
      </c>
      <c r="Q22" s="11"/>
      <c r="R22" s="19"/>
      <c r="S22" s="10"/>
      <c r="T22" s="21"/>
      <c r="U22" s="12"/>
      <c r="V22" s="12">
        <f>SUM(L22:Q22)</f>
        <v>10</v>
      </c>
      <c r="W22" s="10">
        <f ca="1">IFERROR(__xludf.DUMMYFUNCTION("IFERROR(
  SUM(
    FILTER(
      Reporte!$E:$E, 
      REGEXMATCH(Reporte!$A:$A, ""(?i)(TE PAGÓ|PAGASTE)""), 
      Reporte!$H:$H &amp; """" = AH22 &amp; """"
    )
  ), 
  0
)"),0)</f>
        <v>0</v>
      </c>
      <c r="X22" s="10">
        <f ca="1">IFERROR(__xludf.DUMMYFUNCTION("IFERROR(
  SUM(
    FILTER(
      Efectivo!$C:$C, 
      Efectivo!$D:$D &amp; """" = AH22 &amp; """"
    )
  ), 
  0
)"),0)</f>
        <v>0</v>
      </c>
      <c r="Y22" s="10"/>
      <c r="Z22" s="10"/>
      <c r="AA22" s="10"/>
      <c r="AB22" s="10"/>
      <c r="AC22" s="10"/>
      <c r="AD22" s="10" t="str">
        <f t="shared" si="0"/>
        <v/>
      </c>
      <c r="AE22" s="10" t="e">
        <f>IF(
   OR(
     AND(#REF!&gt;0, OR(Y22="C", Y22="c"), U22&lt;0),
     AND(#REF!&gt;0, Y22="")
   ),
   "CORTE",
   ""
)</f>
        <v>#REF!</v>
      </c>
      <c r="AF22" s="10">
        <f t="shared" si="1"/>
        <v>0</v>
      </c>
      <c r="AG22" s="10">
        <f t="shared" si="2"/>
        <v>0</v>
      </c>
      <c r="AH22" s="10" t="str">
        <f t="shared" si="3"/>
        <v>B</v>
      </c>
      <c r="AI22" s="10" t="str">
        <f t="shared" si="4"/>
        <v>B-9</v>
      </c>
    </row>
    <row r="23" spans="1:35" ht="15.75" customHeight="1" x14ac:dyDescent="0.35">
      <c r="A23" s="13">
        <v>22</v>
      </c>
      <c r="B23" s="14" t="s">
        <v>58</v>
      </c>
      <c r="C23" s="14" t="s">
        <v>49</v>
      </c>
      <c r="D23" s="13">
        <v>11</v>
      </c>
      <c r="E23" s="15"/>
      <c r="F23" s="15"/>
      <c r="G23" s="15"/>
      <c r="H23" s="16">
        <v>1</v>
      </c>
      <c r="I23" s="16">
        <v>10</v>
      </c>
      <c r="J23" s="16">
        <v>26</v>
      </c>
      <c r="K23" s="16">
        <v>16</v>
      </c>
      <c r="L23" s="16">
        <v>16</v>
      </c>
      <c r="M23" s="16"/>
      <c r="N23" s="16">
        <v>0</v>
      </c>
      <c r="O23" s="16">
        <v>25</v>
      </c>
      <c r="P23" s="16">
        <v>3</v>
      </c>
      <c r="Q23" s="16"/>
      <c r="R23" s="18"/>
      <c r="S23" s="15"/>
      <c r="T23" s="20"/>
      <c r="U23" s="17"/>
      <c r="V23" s="17">
        <f>SUM(L23:Q23)</f>
        <v>44</v>
      </c>
      <c r="W23" s="15">
        <f ca="1">IFERROR(__xludf.DUMMYFUNCTION("IFERROR(
  SUM(
    FILTER(
      Reporte!$E:$E, 
      REGEXMATCH(Reporte!$A:$A, ""(?i)(TE PAGÓ|PAGASTE)""), 
      Reporte!$H:$H &amp; """" = AH23 &amp; """"
    )
  ), 
  0
)"),0)</f>
        <v>0</v>
      </c>
      <c r="X23" s="15">
        <f ca="1">IFERROR(__xludf.DUMMYFUNCTION("IFERROR(
  SUM(
    FILTER(
      Efectivo!$C:$C, 
      Efectivo!$D:$D &amp; """" = AH23 &amp; """"
    )
  ), 
  0
)"),0)</f>
        <v>0</v>
      </c>
      <c r="Y23" s="15"/>
      <c r="Z23" s="15"/>
      <c r="AA23" s="15"/>
      <c r="AB23" s="15"/>
      <c r="AC23" s="15"/>
      <c r="AD23" s="15" t="str">
        <f t="shared" si="0"/>
        <v/>
      </c>
      <c r="AE23" s="15" t="e">
        <f>IF(
   OR(
     AND(#REF!&gt;0, OR(Y23="C", Y23="c"), U23&lt;0),
     AND(#REF!&gt;0, Y23="")
   ),
   "CORTE",
   ""
)</f>
        <v>#REF!</v>
      </c>
      <c r="AF23" s="15">
        <f t="shared" si="1"/>
        <v>0</v>
      </c>
      <c r="AG23" s="15">
        <f t="shared" si="2"/>
        <v>0</v>
      </c>
      <c r="AH23" s="15" t="str">
        <f t="shared" si="3"/>
        <v>B</v>
      </c>
      <c r="AI23" s="15" t="str">
        <f t="shared" si="4"/>
        <v>B-11</v>
      </c>
    </row>
    <row r="24" spans="1:35" ht="15.75" customHeight="1" x14ac:dyDescent="0.35">
      <c r="A24" s="8">
        <v>23</v>
      </c>
      <c r="B24" s="9" t="s">
        <v>59</v>
      </c>
      <c r="C24" s="9" t="s">
        <v>49</v>
      </c>
      <c r="D24" s="8">
        <v>10</v>
      </c>
      <c r="E24" s="10"/>
      <c r="F24" s="10"/>
      <c r="G24" s="10"/>
      <c r="H24" s="11">
        <v>1</v>
      </c>
      <c r="I24" s="11">
        <v>391</v>
      </c>
      <c r="J24" s="11">
        <v>399</v>
      </c>
      <c r="K24" s="11">
        <v>8</v>
      </c>
      <c r="L24" s="11">
        <v>8</v>
      </c>
      <c r="M24" s="11"/>
      <c r="N24" s="11">
        <v>0</v>
      </c>
      <c r="O24" s="11"/>
      <c r="P24" s="11">
        <v>3</v>
      </c>
      <c r="Q24" s="11"/>
      <c r="R24" s="19"/>
      <c r="S24" s="10"/>
      <c r="T24" s="21"/>
      <c r="U24" s="12"/>
      <c r="V24" s="12">
        <f>SUM(L24:Q24)</f>
        <v>11</v>
      </c>
      <c r="W24" s="10">
        <f ca="1">IFERROR(__xludf.DUMMYFUNCTION("IFERROR(
  SUM(
    FILTER(
      Reporte!$E:$E, 
      REGEXMATCH(Reporte!$A:$A, ""(?i)(TE PAGÓ|PAGASTE)""), 
      Reporte!$H:$H &amp; """" = AH24 &amp; """"
    )
  ), 
  0
)"),11)</f>
        <v>11</v>
      </c>
      <c r="X24" s="10">
        <f ca="1">IFERROR(__xludf.DUMMYFUNCTION("IFERROR(
  SUM(
    FILTER(
      Efectivo!$C:$C, 
      Efectivo!$D:$D &amp; """" = AH24 &amp; """"
    )
  ), 
  0
)"),0)</f>
        <v>0</v>
      </c>
      <c r="Y24" s="10" t="s">
        <v>34</v>
      </c>
      <c r="Z24" s="10"/>
      <c r="AA24" s="10" t="s">
        <v>35</v>
      </c>
      <c r="AB24" s="10"/>
      <c r="AC24" s="10"/>
      <c r="AD24" s="10" t="str">
        <f t="shared" si="0"/>
        <v/>
      </c>
      <c r="AE24" s="10" t="e">
        <f>IF(
   OR(
     AND(#REF!&gt;0, OR(Y24="C", Y24="c"), U24&lt;0),
     AND(#REF!&gt;0, Y24="")
   ),
   "CORTE",
   ""
)</f>
        <v>#REF!</v>
      </c>
      <c r="AF24" s="10">
        <f t="shared" si="1"/>
        <v>0</v>
      </c>
      <c r="AG24" s="10">
        <f t="shared" si="2"/>
        <v>11</v>
      </c>
      <c r="AH24" s="10" t="str">
        <f t="shared" si="3"/>
        <v>B</v>
      </c>
      <c r="AI24" s="10" t="str">
        <f t="shared" si="4"/>
        <v>B-10</v>
      </c>
    </row>
    <row r="25" spans="1:35" ht="15.75" customHeight="1" x14ac:dyDescent="0.35">
      <c r="A25" s="13">
        <v>24</v>
      </c>
      <c r="B25" s="14" t="s">
        <v>60</v>
      </c>
      <c r="C25" s="14" t="s">
        <v>49</v>
      </c>
      <c r="D25" s="13">
        <v>12</v>
      </c>
      <c r="E25" s="15"/>
      <c r="F25" s="15"/>
      <c r="G25" s="15"/>
      <c r="H25" s="16">
        <v>1</v>
      </c>
      <c r="I25" s="16">
        <v>2</v>
      </c>
      <c r="J25" s="16">
        <v>9</v>
      </c>
      <c r="K25" s="16">
        <v>7</v>
      </c>
      <c r="L25" s="16">
        <v>7</v>
      </c>
      <c r="M25" s="16">
        <v>11</v>
      </c>
      <c r="N25" s="16">
        <v>0</v>
      </c>
      <c r="O25" s="16"/>
      <c r="P25" s="16">
        <v>3</v>
      </c>
      <c r="Q25" s="16"/>
      <c r="R25" s="18"/>
      <c r="S25" s="15"/>
      <c r="T25" s="20"/>
      <c r="U25" s="17"/>
      <c r="V25" s="17">
        <f>SUM(L25:U25)</f>
        <v>21</v>
      </c>
      <c r="W25" s="15">
        <f ca="1">IFERROR(__xludf.DUMMYFUNCTION("IFERROR(
  SUM(
    FILTER(
      Reporte!$E:$E, 
      REGEXMATCH(Reporte!$A:$A, ""(?i)(TE PAGÓ|PAGASTE)""), 
      Reporte!$H:$H &amp; """" = AH25 &amp; """"
    )
  ), 
  0
)"),0)</f>
        <v>0</v>
      </c>
      <c r="X25" s="15">
        <f ca="1">IFERROR(__xludf.DUMMYFUNCTION("IFERROR(
  SUM(
    FILTER(
      Efectivo!$C:$C, 
      Efectivo!$D:$D &amp; """" = AH25 &amp; """"
    )
  ), 
  0
)"),21)</f>
        <v>21</v>
      </c>
      <c r="Y25" s="15" t="s">
        <v>34</v>
      </c>
      <c r="Z25" s="15"/>
      <c r="AA25" s="15"/>
      <c r="AB25" s="15"/>
      <c r="AC25" s="15"/>
      <c r="AD25" s="15" t="str">
        <f t="shared" si="0"/>
        <v/>
      </c>
      <c r="AE25" s="15" t="e">
        <f>IF(
   OR(
     AND(#REF!&gt;0, OR(Y25="C", Y25="c"), U25&lt;0),
     AND(#REF!&gt;0, Y25="")
   ),
   "CORTE",
   ""
)</f>
        <v>#REF!</v>
      </c>
      <c r="AF25" s="15">
        <f t="shared" si="1"/>
        <v>21</v>
      </c>
      <c r="AG25" s="15">
        <f t="shared" si="2"/>
        <v>0</v>
      </c>
      <c r="AH25" s="15" t="str">
        <f t="shared" si="3"/>
        <v>B</v>
      </c>
      <c r="AI25" s="15" t="str">
        <f t="shared" si="4"/>
        <v>B-12</v>
      </c>
    </row>
    <row r="26" spans="1:35" ht="15.75" customHeight="1" x14ac:dyDescent="0.35">
      <c r="A26" s="8">
        <v>25</v>
      </c>
      <c r="B26" s="9" t="s">
        <v>61</v>
      </c>
      <c r="C26" s="9" t="s">
        <v>49</v>
      </c>
      <c r="D26" s="9" t="s">
        <v>62</v>
      </c>
      <c r="E26" s="10"/>
      <c r="F26" s="10"/>
      <c r="G26" s="10"/>
      <c r="H26" s="11">
        <v>1</v>
      </c>
      <c r="I26" s="11">
        <v>359</v>
      </c>
      <c r="J26" s="11">
        <v>365</v>
      </c>
      <c r="K26" s="11">
        <v>6</v>
      </c>
      <c r="L26" s="11">
        <v>6</v>
      </c>
      <c r="M26" s="11"/>
      <c r="N26" s="11">
        <v>0</v>
      </c>
      <c r="O26" s="11"/>
      <c r="P26" s="11">
        <v>3</v>
      </c>
      <c r="Q26" s="11"/>
      <c r="R26" s="19"/>
      <c r="S26" s="10"/>
      <c r="T26" s="21"/>
      <c r="U26" s="12"/>
      <c r="V26" s="12">
        <f t="shared" ref="V26:V48" si="5">SUM(L26:Q26)</f>
        <v>9</v>
      </c>
      <c r="W26" s="10">
        <f ca="1">IFERROR(__xludf.DUMMYFUNCTION("IFERROR(
  SUM(
    FILTER(
      Reporte!$E:$E, 
      REGEXMATCH(Reporte!$A:$A, ""(?i)(TE PAGÓ|PAGASTE)""), 
      Reporte!$H:$H &amp; """" = AH26 &amp; """"
    )
  ), 
  0
)"),0)</f>
        <v>0</v>
      </c>
      <c r="X26" s="10">
        <f ca="1">IFERROR(__xludf.DUMMYFUNCTION("IFERROR(
  SUM(
    FILTER(
      Efectivo!$C:$C, 
      Efectivo!$D:$D &amp; """" = AH26 &amp; """"
    )
  ), 
  0
)"),0)</f>
        <v>0</v>
      </c>
      <c r="Y26" s="10"/>
      <c r="Z26" s="10"/>
      <c r="AA26" s="10"/>
      <c r="AB26" s="10"/>
      <c r="AC26" s="10"/>
      <c r="AD26" s="10" t="str">
        <f t="shared" si="0"/>
        <v/>
      </c>
      <c r="AE26" s="10" t="e">
        <f>IF(
   OR(
     AND(#REF!&gt;0, OR(Y26="C", Y26="c"), U26&lt;0),
     AND(#REF!&gt;0, Y26="")
   ),
   "CORTE",
   ""
)</f>
        <v>#REF!</v>
      </c>
      <c r="AF26" s="10">
        <f t="shared" si="1"/>
        <v>0</v>
      </c>
      <c r="AG26" s="10">
        <f t="shared" si="2"/>
        <v>0</v>
      </c>
      <c r="AH26" s="10" t="str">
        <f t="shared" si="3"/>
        <v>B</v>
      </c>
      <c r="AI26" s="10" t="str">
        <f t="shared" si="4"/>
        <v>B-12A</v>
      </c>
    </row>
    <row r="27" spans="1:35" ht="15.75" customHeight="1" x14ac:dyDescent="0.35">
      <c r="A27" s="13">
        <v>26</v>
      </c>
      <c r="B27" s="14" t="s">
        <v>63</v>
      </c>
      <c r="C27" s="14" t="s">
        <v>49</v>
      </c>
      <c r="D27" s="13">
        <v>13</v>
      </c>
      <c r="E27" s="15"/>
      <c r="F27" s="15"/>
      <c r="G27" s="15"/>
      <c r="H27" s="16">
        <v>1</v>
      </c>
      <c r="I27" s="16">
        <v>293</v>
      </c>
      <c r="J27" s="16">
        <v>300</v>
      </c>
      <c r="K27" s="16">
        <v>7</v>
      </c>
      <c r="L27" s="16">
        <v>7</v>
      </c>
      <c r="M27" s="16"/>
      <c r="N27" s="16">
        <v>0</v>
      </c>
      <c r="O27" s="16"/>
      <c r="P27" s="16">
        <v>3</v>
      </c>
      <c r="Q27" s="16"/>
      <c r="R27" s="18"/>
      <c r="S27" s="15"/>
      <c r="T27" s="20"/>
      <c r="U27" s="17"/>
      <c r="V27" s="17">
        <f t="shared" si="5"/>
        <v>10</v>
      </c>
      <c r="W27" s="15">
        <f ca="1">IFERROR(__xludf.DUMMYFUNCTION("IFERROR(
  SUM(
    FILTER(
      Reporte!$E:$E, 
      REGEXMATCH(Reporte!$A:$A, ""(?i)(TE PAGÓ|PAGASTE)""), 
      Reporte!$H:$H &amp; """" = AH27 &amp; """"
    )
  ), 
  0
)"),10)</f>
        <v>10</v>
      </c>
      <c r="X27" s="15">
        <f ca="1">IFERROR(__xludf.DUMMYFUNCTION("IFERROR(
  SUM(
    FILTER(
      Efectivo!$C:$C, 
      Efectivo!$D:$D &amp; """" = AH27 &amp; """"
    )
  ), 
  0
)"),0)</f>
        <v>0</v>
      </c>
      <c r="Y27" s="15" t="s">
        <v>34</v>
      </c>
      <c r="Z27" s="15"/>
      <c r="AA27" s="15" t="s">
        <v>35</v>
      </c>
      <c r="AB27" s="15"/>
      <c r="AC27" s="15"/>
      <c r="AD27" s="15" t="str">
        <f t="shared" si="0"/>
        <v/>
      </c>
      <c r="AE27" s="15" t="e">
        <f>IF(
   OR(
     AND(#REF!&gt;0, OR(Y27="C", Y27="c"), U27&lt;0),
     AND(#REF!&gt;0, Y27="")
   ),
   "CORTE",
   ""
)</f>
        <v>#REF!</v>
      </c>
      <c r="AF27" s="15">
        <f t="shared" si="1"/>
        <v>0</v>
      </c>
      <c r="AG27" s="15">
        <f t="shared" si="2"/>
        <v>10</v>
      </c>
      <c r="AH27" s="15" t="str">
        <f t="shared" si="3"/>
        <v>B</v>
      </c>
      <c r="AI27" s="15" t="str">
        <f t="shared" si="4"/>
        <v>B-13</v>
      </c>
    </row>
    <row r="28" spans="1:35" ht="15.75" customHeight="1" x14ac:dyDescent="0.35">
      <c r="A28" s="8">
        <v>27</v>
      </c>
      <c r="B28" s="9" t="s">
        <v>64</v>
      </c>
      <c r="C28" s="9" t="s">
        <v>49</v>
      </c>
      <c r="D28" s="8">
        <v>15</v>
      </c>
      <c r="E28" s="10"/>
      <c r="F28" s="10"/>
      <c r="G28" s="10"/>
      <c r="H28" s="11">
        <v>1</v>
      </c>
      <c r="I28" s="11">
        <v>1285</v>
      </c>
      <c r="J28" s="11">
        <v>1295</v>
      </c>
      <c r="K28" s="11">
        <v>10</v>
      </c>
      <c r="L28" s="11">
        <v>10</v>
      </c>
      <c r="M28" s="11"/>
      <c r="N28" s="11">
        <v>0</v>
      </c>
      <c r="O28" s="11"/>
      <c r="P28" s="11">
        <v>3</v>
      </c>
      <c r="Q28" s="11"/>
      <c r="R28" s="19"/>
      <c r="S28" s="10"/>
      <c r="T28" s="21"/>
      <c r="U28" s="12"/>
      <c r="V28" s="12">
        <f t="shared" si="5"/>
        <v>13</v>
      </c>
      <c r="W28" s="10">
        <f ca="1">IFERROR(__xludf.DUMMYFUNCTION("IFERROR(
  SUM(
    FILTER(
      Reporte!$E:$E, 
      REGEXMATCH(Reporte!$A:$A, ""(?i)(TE PAGÓ|PAGASTE)""), 
      Reporte!$H:$H &amp; """" = AH28 &amp; """"
    )
  ), 
  0
)"),13)</f>
        <v>13</v>
      </c>
      <c r="X28" s="10">
        <f ca="1">IFERROR(__xludf.DUMMYFUNCTION("IFERROR(
  SUM(
    FILTER(
      Efectivo!$C:$C, 
      Efectivo!$D:$D &amp; """" = AH28 &amp; """"
    )
  ), 
  0
)"),0)</f>
        <v>0</v>
      </c>
      <c r="Y28" s="10" t="s">
        <v>34</v>
      </c>
      <c r="Z28" s="10"/>
      <c r="AA28" s="10" t="s">
        <v>35</v>
      </c>
      <c r="AB28" s="10"/>
      <c r="AC28" s="10"/>
      <c r="AD28" s="10" t="str">
        <f t="shared" si="0"/>
        <v/>
      </c>
      <c r="AE28" s="10" t="e">
        <f>IF(
   OR(
     AND(#REF!&gt;0, OR(Y28="C", Y28="c"), U28&lt;0),
     AND(#REF!&gt;0, Y28="")
   ),
   "CORTE",
   ""
)</f>
        <v>#REF!</v>
      </c>
      <c r="AF28" s="10">
        <f t="shared" si="1"/>
        <v>0</v>
      </c>
      <c r="AG28" s="10">
        <f t="shared" si="2"/>
        <v>13</v>
      </c>
      <c r="AH28" s="10" t="str">
        <f t="shared" si="3"/>
        <v>B</v>
      </c>
      <c r="AI28" s="10" t="str">
        <f t="shared" si="4"/>
        <v>B-15</v>
      </c>
    </row>
    <row r="29" spans="1:35" ht="15.75" customHeight="1" x14ac:dyDescent="0.35">
      <c r="A29" s="13">
        <v>28</v>
      </c>
      <c r="B29" s="14" t="s">
        <v>65</v>
      </c>
      <c r="C29" s="14" t="s">
        <v>49</v>
      </c>
      <c r="D29" s="13">
        <v>16</v>
      </c>
      <c r="E29" s="15"/>
      <c r="F29" s="15"/>
      <c r="G29" s="15"/>
      <c r="H29" s="16">
        <v>1</v>
      </c>
      <c r="I29" s="16">
        <v>34</v>
      </c>
      <c r="J29" s="16">
        <v>34</v>
      </c>
      <c r="K29" s="16">
        <v>5</v>
      </c>
      <c r="L29" s="16">
        <v>5</v>
      </c>
      <c r="M29" s="16"/>
      <c r="N29" s="16">
        <v>0</v>
      </c>
      <c r="O29" s="16"/>
      <c r="P29" s="16">
        <v>3</v>
      </c>
      <c r="Q29" s="16"/>
      <c r="R29" s="18"/>
      <c r="S29" s="15"/>
      <c r="T29" s="20"/>
      <c r="U29" s="17"/>
      <c r="V29" s="17">
        <f t="shared" si="5"/>
        <v>8</v>
      </c>
      <c r="W29" s="15">
        <f ca="1">IFERROR(__xludf.DUMMYFUNCTION("IFERROR(
  SUM(
    FILTER(
      Reporte!$E:$E, 
      REGEXMATCH(Reporte!$A:$A, ""(?i)(TE PAGÓ|PAGASTE)""), 
      Reporte!$H:$H &amp; """" = AH29 &amp; """"
    )
  ), 
  0
)"),0)</f>
        <v>0</v>
      </c>
      <c r="X29" s="15">
        <f ca="1">IFERROR(__xludf.DUMMYFUNCTION("IFERROR(
  SUM(
    FILTER(
      Efectivo!$C:$C, 
      Efectivo!$D:$D &amp; """" = AH29 &amp; """"
    )
  ), 
  0
)"),0)</f>
        <v>0</v>
      </c>
      <c r="Y29" s="15"/>
      <c r="Z29" s="15"/>
      <c r="AA29" s="15"/>
      <c r="AB29" s="15"/>
      <c r="AC29" s="15"/>
      <c r="AD29" s="15" t="str">
        <f t="shared" si="0"/>
        <v/>
      </c>
      <c r="AE29" s="15" t="e">
        <f>IF(
   OR(
     AND(#REF!&gt;0, OR(Y29="C", Y29="c"), U29&lt;0),
     AND(#REF!&gt;0, Y29="")
   ),
   "CORTE",
   ""
)</f>
        <v>#REF!</v>
      </c>
      <c r="AF29" s="15">
        <f t="shared" si="1"/>
        <v>0</v>
      </c>
      <c r="AG29" s="15">
        <f t="shared" si="2"/>
        <v>0</v>
      </c>
      <c r="AH29" s="15" t="str">
        <f t="shared" si="3"/>
        <v>B</v>
      </c>
      <c r="AI29" s="15" t="str">
        <f t="shared" si="4"/>
        <v>B-16</v>
      </c>
    </row>
    <row r="30" spans="1:35" ht="15.75" customHeight="1" x14ac:dyDescent="0.35">
      <c r="A30" s="8">
        <v>29</v>
      </c>
      <c r="B30" s="9" t="s">
        <v>66</v>
      </c>
      <c r="C30" s="9" t="s">
        <v>49</v>
      </c>
      <c r="D30" s="8">
        <v>17</v>
      </c>
      <c r="E30" s="10"/>
      <c r="F30" s="10"/>
      <c r="G30" s="10"/>
      <c r="H30" s="11">
        <v>1</v>
      </c>
      <c r="I30" s="11">
        <v>1065</v>
      </c>
      <c r="J30" s="11">
        <v>1093</v>
      </c>
      <c r="K30" s="11">
        <v>28</v>
      </c>
      <c r="L30" s="11">
        <v>28</v>
      </c>
      <c r="M30" s="11"/>
      <c r="N30" s="11">
        <v>0</v>
      </c>
      <c r="O30" s="11"/>
      <c r="P30" s="11">
        <v>3</v>
      </c>
      <c r="Q30" s="11"/>
      <c r="R30" s="19"/>
      <c r="S30" s="10"/>
      <c r="T30" s="21"/>
      <c r="U30" s="12"/>
      <c r="V30" s="12">
        <f t="shared" si="5"/>
        <v>31</v>
      </c>
      <c r="W30" s="10">
        <f ca="1">IFERROR(__xludf.DUMMYFUNCTION("IFERROR(
  SUM(
    FILTER(
      Reporte!$E:$E, 
      REGEXMATCH(Reporte!$A:$A, ""(?i)(TE PAGÓ|PAGASTE)""), 
      Reporte!$H:$H &amp; """" = AH30 &amp; """"
    )
  ), 
  0
)"),0)</f>
        <v>0</v>
      </c>
      <c r="X30" s="10">
        <f ca="1">IFERROR(__xludf.DUMMYFUNCTION("IFERROR(
  SUM(
    FILTER(
      Efectivo!$C:$C, 
      Efectivo!$D:$D &amp; """" = AH30 &amp; """"
    )
  ), 
  0
)"),0)</f>
        <v>0</v>
      </c>
      <c r="Y30" s="10"/>
      <c r="Z30" s="10"/>
      <c r="AA30" s="10"/>
      <c r="AB30" s="10"/>
      <c r="AC30" s="10"/>
      <c r="AD30" s="10" t="str">
        <f t="shared" si="0"/>
        <v/>
      </c>
      <c r="AE30" s="10" t="e">
        <f>IF(
   OR(
     AND(#REF!&gt;0, OR(Y30="C", Y30="c"), U30&lt;0),
     AND(#REF!&gt;0, Y30="")
   ),
   "CORTE",
   ""
)</f>
        <v>#REF!</v>
      </c>
      <c r="AF30" s="10">
        <f t="shared" si="1"/>
        <v>0</v>
      </c>
      <c r="AG30" s="10">
        <f t="shared" si="2"/>
        <v>0</v>
      </c>
      <c r="AH30" s="10" t="str">
        <f t="shared" si="3"/>
        <v>B</v>
      </c>
      <c r="AI30" s="10" t="str">
        <f t="shared" si="4"/>
        <v>B-17</v>
      </c>
    </row>
    <row r="31" spans="1:35" ht="15.75" customHeight="1" x14ac:dyDescent="0.35">
      <c r="A31" s="13">
        <v>30</v>
      </c>
      <c r="B31" s="14" t="s">
        <v>67</v>
      </c>
      <c r="C31" s="14" t="s">
        <v>49</v>
      </c>
      <c r="D31" s="13">
        <v>18</v>
      </c>
      <c r="E31" s="15"/>
      <c r="F31" s="15"/>
      <c r="G31" s="15"/>
      <c r="H31" s="16">
        <v>1</v>
      </c>
      <c r="I31" s="16">
        <v>573</v>
      </c>
      <c r="J31" s="16">
        <v>577</v>
      </c>
      <c r="K31" s="16">
        <v>4</v>
      </c>
      <c r="L31" s="16">
        <v>5</v>
      </c>
      <c r="M31" s="16"/>
      <c r="N31" s="16">
        <v>0</v>
      </c>
      <c r="O31" s="16"/>
      <c r="P31" s="16">
        <v>3</v>
      </c>
      <c r="Q31" s="16"/>
      <c r="R31" s="18"/>
      <c r="S31" s="15"/>
      <c r="T31" s="20"/>
      <c r="U31" s="17"/>
      <c r="V31" s="17">
        <f t="shared" si="5"/>
        <v>8</v>
      </c>
      <c r="W31" s="15">
        <f ca="1">IFERROR(__xludf.DUMMYFUNCTION("IFERROR(
  SUM(
    FILTER(
      Reporte!$E:$E, 
      REGEXMATCH(Reporte!$A:$A, ""(?i)(TE PAGÓ|PAGASTE)""), 
      Reporte!$H:$H &amp; """" = AH31 &amp; """"
    )
  ), 
  0
)"),0)</f>
        <v>0</v>
      </c>
      <c r="X31" s="15">
        <f ca="1">IFERROR(__xludf.DUMMYFUNCTION("IFERROR(
  SUM(
    FILTER(
      Efectivo!$C:$C, 
      Efectivo!$D:$D &amp; """" = AH31 &amp; """"
    )
  ), 
  0
)"),0)</f>
        <v>0</v>
      </c>
      <c r="Y31" s="15"/>
      <c r="Z31" s="15"/>
      <c r="AA31" s="15"/>
      <c r="AB31" s="15"/>
      <c r="AC31" s="15"/>
      <c r="AD31" s="15" t="str">
        <f t="shared" si="0"/>
        <v/>
      </c>
      <c r="AE31" s="15" t="e">
        <f>IF(
   OR(
     AND(#REF!&gt;0, OR(Y31="C", Y31="c"), U31&lt;0),
     AND(#REF!&gt;0, Y31="")
   ),
   "CORTE",
   ""
)</f>
        <v>#REF!</v>
      </c>
      <c r="AF31" s="15">
        <f t="shared" si="1"/>
        <v>0</v>
      </c>
      <c r="AG31" s="15">
        <f t="shared" si="2"/>
        <v>0</v>
      </c>
      <c r="AH31" s="15" t="str">
        <f t="shared" si="3"/>
        <v>B</v>
      </c>
      <c r="AI31" s="15" t="str">
        <f t="shared" si="4"/>
        <v>B-18</v>
      </c>
    </row>
    <row r="32" spans="1:35" ht="15.75" customHeight="1" x14ac:dyDescent="0.35">
      <c r="A32" s="8">
        <v>31</v>
      </c>
      <c r="B32" s="9" t="s">
        <v>68</v>
      </c>
      <c r="C32" s="9" t="s">
        <v>49</v>
      </c>
      <c r="D32" s="8">
        <v>21</v>
      </c>
      <c r="E32" s="10"/>
      <c r="F32" s="10"/>
      <c r="G32" s="10"/>
      <c r="H32" s="11">
        <v>1</v>
      </c>
      <c r="I32" s="11">
        <v>187</v>
      </c>
      <c r="J32" s="11">
        <v>199</v>
      </c>
      <c r="K32" s="11">
        <v>12</v>
      </c>
      <c r="L32" s="11">
        <v>12</v>
      </c>
      <c r="M32" s="11"/>
      <c r="N32" s="11"/>
      <c r="O32" s="11"/>
      <c r="P32" s="11">
        <v>3</v>
      </c>
      <c r="Q32" s="19">
        <v>0</v>
      </c>
      <c r="R32" s="19"/>
      <c r="S32" s="10"/>
      <c r="T32" s="21"/>
      <c r="U32" s="12"/>
      <c r="V32" s="12">
        <f t="shared" si="5"/>
        <v>15</v>
      </c>
      <c r="W32" s="10">
        <f ca="1">IFERROR(__xludf.DUMMYFUNCTION("IFERROR(
  SUM(
    FILTER(
      Reporte!$E:$E, 
      REGEXMATCH(Reporte!$A:$A, ""(?i)(TE PAGÓ|PAGASTE)""), 
      Reporte!$H:$H &amp; """" = AH32 &amp; """"
    )
  ), 
  0
)"),0)</f>
        <v>0</v>
      </c>
      <c r="X32" s="10">
        <f ca="1">IFERROR(__xludf.DUMMYFUNCTION("IFERROR(
  SUM(
    FILTER(
      Efectivo!$C:$C, 
      Efectivo!$D:$D &amp; """" = AH32 &amp; """"
    )
  ), 
  0
)"),0)</f>
        <v>0</v>
      </c>
      <c r="Y32" s="10"/>
      <c r="Z32" s="10"/>
      <c r="AA32" s="10"/>
      <c r="AB32" s="10" t="s">
        <v>69</v>
      </c>
      <c r="AC32" s="10"/>
      <c r="AD32" s="10" t="str">
        <f t="shared" si="0"/>
        <v/>
      </c>
      <c r="AE32" s="10" t="e">
        <f>IF(
   OR(
     AND(#REF!&gt;0, OR(Y32="C", Y32="c"), U32&lt;0),
     AND(#REF!&gt;0, Y32="")
   ),
   "CORTE",
   ""
)</f>
        <v>#REF!</v>
      </c>
      <c r="AF32" s="10">
        <f t="shared" si="1"/>
        <v>0</v>
      </c>
      <c r="AG32" s="10">
        <f t="shared" si="2"/>
        <v>0</v>
      </c>
      <c r="AH32" s="10" t="str">
        <f t="shared" si="3"/>
        <v>B</v>
      </c>
      <c r="AI32" s="10" t="str">
        <f t="shared" si="4"/>
        <v>B-21</v>
      </c>
    </row>
    <row r="33" spans="1:35" ht="15.75" customHeight="1" x14ac:dyDescent="0.35">
      <c r="A33" s="13">
        <v>32</v>
      </c>
      <c r="B33" s="14" t="s">
        <v>70</v>
      </c>
      <c r="C33" s="14" t="s">
        <v>49</v>
      </c>
      <c r="D33" s="13">
        <v>29</v>
      </c>
      <c r="E33" s="15" t="s">
        <v>71</v>
      </c>
      <c r="F33" s="15"/>
      <c r="G33" s="15"/>
      <c r="H33" s="16">
        <v>1</v>
      </c>
      <c r="I33" s="16">
        <v>183</v>
      </c>
      <c r="J33" s="16">
        <v>187</v>
      </c>
      <c r="K33" s="16">
        <v>4</v>
      </c>
      <c r="L33" s="16">
        <v>5</v>
      </c>
      <c r="M33" s="16">
        <v>8</v>
      </c>
      <c r="N33" s="16">
        <v>0</v>
      </c>
      <c r="O33" s="16">
        <v>40</v>
      </c>
      <c r="P33" s="16">
        <v>3</v>
      </c>
      <c r="Q33" s="16"/>
      <c r="R33" s="18"/>
      <c r="S33" s="15"/>
      <c r="T33" s="20"/>
      <c r="U33" s="17"/>
      <c r="V33" s="17">
        <f t="shared" si="5"/>
        <v>56</v>
      </c>
      <c r="W33" s="15">
        <f ca="1">IFERROR(__xludf.DUMMYFUNCTION("IFERROR(
  SUM(
    FILTER(
      Reporte!$E:$E, 
      REGEXMATCH(Reporte!$A:$A, ""(?i)(TE PAGÓ|PAGASTE)""), 
      Reporte!$H:$H &amp; """" = AH33 &amp; """"
    )
  ), 
  0
)"),56)</f>
        <v>56</v>
      </c>
      <c r="X33" s="15">
        <f ca="1">IFERROR(__xludf.DUMMYFUNCTION("IFERROR(
  SUM(
    FILTER(
      Efectivo!$C:$C, 
      Efectivo!$D:$D &amp; """" = AH33 &amp; """"
    )
  ), 
  0
)"),0)</f>
        <v>0</v>
      </c>
      <c r="Y33" s="15" t="s">
        <v>34</v>
      </c>
      <c r="Z33" s="15"/>
      <c r="AA33" s="15" t="s">
        <v>35</v>
      </c>
      <c r="AB33" s="15"/>
      <c r="AC33" s="15"/>
      <c r="AD33" s="15" t="str">
        <f t="shared" si="0"/>
        <v/>
      </c>
      <c r="AE33" s="15" t="e">
        <f>IF(
   OR(
     AND(#REF!&gt;0, OR(Y33="C", Y33="c"), U33&lt;0),
     AND(#REF!&gt;0, Y33="")
   ),
   "CORTE",
   ""
)</f>
        <v>#REF!</v>
      </c>
      <c r="AF33" s="15">
        <f t="shared" si="1"/>
        <v>0</v>
      </c>
      <c r="AG33" s="15">
        <f t="shared" si="2"/>
        <v>56</v>
      </c>
      <c r="AH33" s="15" t="str">
        <f t="shared" si="3"/>
        <v>B</v>
      </c>
      <c r="AI33" s="15" t="str">
        <f t="shared" si="4"/>
        <v>B-29</v>
      </c>
    </row>
    <row r="34" spans="1:35" ht="15.75" customHeight="1" x14ac:dyDescent="0.35">
      <c r="A34" s="8">
        <v>33</v>
      </c>
      <c r="B34" s="9" t="s">
        <v>72</v>
      </c>
      <c r="C34" s="9" t="s">
        <v>73</v>
      </c>
      <c r="D34" s="8">
        <v>1</v>
      </c>
      <c r="E34" s="10"/>
      <c r="F34" s="10"/>
      <c r="G34" s="10"/>
      <c r="H34" s="11">
        <v>1</v>
      </c>
      <c r="I34" s="11">
        <v>6</v>
      </c>
      <c r="J34" s="11">
        <v>21</v>
      </c>
      <c r="K34" s="11">
        <v>15</v>
      </c>
      <c r="L34" s="11">
        <v>15</v>
      </c>
      <c r="M34" s="11"/>
      <c r="N34" s="11">
        <v>0</v>
      </c>
      <c r="O34" s="11">
        <v>25</v>
      </c>
      <c r="P34" s="11">
        <v>3</v>
      </c>
      <c r="Q34" s="11"/>
      <c r="R34" s="19"/>
      <c r="S34" s="10"/>
      <c r="T34" s="21"/>
      <c r="U34" s="12"/>
      <c r="V34" s="12">
        <f t="shared" si="5"/>
        <v>43</v>
      </c>
      <c r="W34" s="10">
        <f ca="1">IFERROR(__xludf.DUMMYFUNCTION("IFERROR(
  SUM(
    FILTER(
      Reporte!$E:$E, 
      REGEXMATCH(Reporte!$A:$A, ""(?i)(TE PAGÓ|PAGASTE)""), 
      Reporte!$H:$H &amp; """" = AH34 &amp; """"
    )
  ), 
  0
)"),0)</f>
        <v>0</v>
      </c>
      <c r="X34" s="10">
        <f ca="1">IFERROR(__xludf.DUMMYFUNCTION("IFERROR(
  SUM(
    FILTER(
      Efectivo!$C:$C, 
      Efectivo!$D:$D &amp; """" = AH34 &amp; """"
    )
  ), 
  0
)"),0)</f>
        <v>0</v>
      </c>
      <c r="Y34" s="10"/>
      <c r="Z34" s="10"/>
      <c r="AA34" s="10"/>
      <c r="AB34" s="10"/>
      <c r="AC34" s="10"/>
      <c r="AD34" s="10" t="str">
        <f t="shared" si="0"/>
        <v/>
      </c>
      <c r="AE34" s="10" t="e">
        <f>IF(
   OR(
     AND(#REF!&gt;0, OR(Y34="C", Y34="c"), U34&lt;0),
     AND(#REF!&gt;0, Y34="")
   ),
   "CORTE",
   ""
)</f>
        <v>#REF!</v>
      </c>
      <c r="AF34" s="10">
        <f t="shared" si="1"/>
        <v>0</v>
      </c>
      <c r="AG34" s="10">
        <f t="shared" si="2"/>
        <v>0</v>
      </c>
      <c r="AH34" s="10" t="str">
        <f t="shared" si="3"/>
        <v>C</v>
      </c>
      <c r="AI34" s="10" t="str">
        <f t="shared" si="4"/>
        <v>C-1</v>
      </c>
    </row>
    <row r="35" spans="1:35" ht="15.75" customHeight="1" x14ac:dyDescent="0.35">
      <c r="A35" s="13">
        <v>34</v>
      </c>
      <c r="B35" s="14" t="s">
        <v>74</v>
      </c>
      <c r="C35" s="14" t="s">
        <v>73</v>
      </c>
      <c r="D35" s="13">
        <v>2</v>
      </c>
      <c r="E35" s="15"/>
      <c r="F35" s="15"/>
      <c r="G35" s="15"/>
      <c r="H35" s="16">
        <v>1</v>
      </c>
      <c r="I35" s="16">
        <v>0</v>
      </c>
      <c r="J35" s="16">
        <v>6</v>
      </c>
      <c r="K35" s="16">
        <v>6</v>
      </c>
      <c r="L35" s="16">
        <v>6</v>
      </c>
      <c r="M35" s="16"/>
      <c r="N35" s="16">
        <v>0</v>
      </c>
      <c r="O35" s="16">
        <v>25</v>
      </c>
      <c r="P35" s="16">
        <v>3</v>
      </c>
      <c r="Q35" s="16"/>
      <c r="R35" s="18"/>
      <c r="S35" s="15"/>
      <c r="T35" s="20"/>
      <c r="U35" s="17"/>
      <c r="V35" s="17">
        <f t="shared" si="5"/>
        <v>34</v>
      </c>
      <c r="W35" s="15">
        <f ca="1">IFERROR(__xludf.DUMMYFUNCTION("IFERROR(
  SUM(
    FILTER(
      Reporte!$E:$E, 
      REGEXMATCH(Reporte!$A:$A, ""(?i)(TE PAGÓ|PAGASTE)""), 
      Reporte!$H:$H &amp; """" = AH35 &amp; """"
    )
  ), 
  0
)"),0)</f>
        <v>0</v>
      </c>
      <c r="X35" s="15">
        <f ca="1">IFERROR(__xludf.DUMMYFUNCTION("IFERROR(
  SUM(
    FILTER(
      Efectivo!$C:$C, 
      Efectivo!$D:$D &amp; """" = AH35 &amp; """"
    )
  ), 
  0
)"),34)</f>
        <v>34</v>
      </c>
      <c r="Y35" s="15" t="s">
        <v>34</v>
      </c>
      <c r="Z35" s="15"/>
      <c r="AA35" s="15"/>
      <c r="AB35" s="15"/>
      <c r="AC35" s="15"/>
      <c r="AD35" s="15" t="str">
        <f t="shared" si="0"/>
        <v/>
      </c>
      <c r="AE35" s="15" t="e">
        <f>IF(
   OR(
     AND(#REF!&gt;0, OR(Y35="C", Y35="c"), U35&lt;0),
     AND(#REF!&gt;0, Y35="")
   ),
   "CORTE",
   ""
)</f>
        <v>#REF!</v>
      </c>
      <c r="AF35" s="15">
        <f t="shared" si="1"/>
        <v>34</v>
      </c>
      <c r="AG35" s="15">
        <f t="shared" si="2"/>
        <v>0</v>
      </c>
      <c r="AH35" s="15" t="str">
        <f t="shared" si="3"/>
        <v>C</v>
      </c>
      <c r="AI35" s="15" t="str">
        <f t="shared" si="4"/>
        <v>C-2</v>
      </c>
    </row>
    <row r="36" spans="1:35" ht="15.75" customHeight="1" x14ac:dyDescent="0.35">
      <c r="A36" s="8">
        <v>35</v>
      </c>
      <c r="B36" s="9" t="s">
        <v>75</v>
      </c>
      <c r="C36" s="9" t="s">
        <v>73</v>
      </c>
      <c r="D36" s="8">
        <v>4</v>
      </c>
      <c r="E36" s="10"/>
      <c r="F36" s="10"/>
      <c r="G36" s="10"/>
      <c r="H36" s="11">
        <v>1</v>
      </c>
      <c r="I36" s="11">
        <v>4</v>
      </c>
      <c r="J36" s="11">
        <v>21</v>
      </c>
      <c r="K36" s="11">
        <v>17</v>
      </c>
      <c r="L36" s="11">
        <v>17</v>
      </c>
      <c r="M36" s="11"/>
      <c r="N36" s="11">
        <v>0</v>
      </c>
      <c r="O36" s="11">
        <v>25</v>
      </c>
      <c r="P36" s="11">
        <v>3</v>
      </c>
      <c r="Q36" s="11"/>
      <c r="R36" s="19"/>
      <c r="S36" s="10"/>
      <c r="T36" s="21"/>
      <c r="U36" s="12"/>
      <c r="V36" s="12">
        <f t="shared" si="5"/>
        <v>45</v>
      </c>
      <c r="W36" s="10">
        <f ca="1">IFERROR(__xludf.DUMMYFUNCTION("IFERROR(
  SUM(
    FILTER(
      Reporte!$E:$E, 
      REGEXMATCH(Reporte!$A:$A, ""(?i)(TE PAGÓ|PAGASTE)""), 
      Reporte!$H:$H &amp; """" = AH36 &amp; """"
    )
  ), 
  0
)"),0)</f>
        <v>0</v>
      </c>
      <c r="X36" s="10">
        <f ca="1">IFERROR(__xludf.DUMMYFUNCTION("IFERROR(
  SUM(
    FILTER(
      Efectivo!$C:$C, 
      Efectivo!$D:$D &amp; """" = AH36 &amp; """"
    )
  ), 
  0
)"),45)</f>
        <v>45</v>
      </c>
      <c r="Y36" s="10" t="s">
        <v>34</v>
      </c>
      <c r="Z36" s="10"/>
      <c r="AA36" s="10"/>
      <c r="AB36" s="10"/>
      <c r="AC36" s="10"/>
      <c r="AD36" s="10" t="str">
        <f t="shared" si="0"/>
        <v/>
      </c>
      <c r="AE36" s="10" t="e">
        <f>IF(
   OR(
     AND(#REF!&gt;0, OR(Y36="C", Y36="c"), U36&lt;0),
     AND(#REF!&gt;0, Y36="")
   ),
   "CORTE",
   ""
)</f>
        <v>#REF!</v>
      </c>
      <c r="AF36" s="10">
        <f t="shared" si="1"/>
        <v>45</v>
      </c>
      <c r="AG36" s="10">
        <f t="shared" si="2"/>
        <v>0</v>
      </c>
      <c r="AH36" s="10" t="str">
        <f t="shared" si="3"/>
        <v>C</v>
      </c>
      <c r="AI36" s="10" t="str">
        <f t="shared" si="4"/>
        <v>C-4</v>
      </c>
    </row>
    <row r="37" spans="1:35" ht="15.75" customHeight="1" x14ac:dyDescent="0.35">
      <c r="A37" s="13">
        <v>36</v>
      </c>
      <c r="B37" s="14" t="s">
        <v>76</v>
      </c>
      <c r="C37" s="14" t="s">
        <v>73</v>
      </c>
      <c r="D37" s="13">
        <v>5</v>
      </c>
      <c r="E37" s="15"/>
      <c r="F37" s="15"/>
      <c r="G37" s="15"/>
      <c r="H37" s="16">
        <v>1</v>
      </c>
      <c r="I37" s="16">
        <v>8</v>
      </c>
      <c r="J37" s="16">
        <v>26</v>
      </c>
      <c r="K37" s="16">
        <v>18</v>
      </c>
      <c r="L37" s="16">
        <v>18</v>
      </c>
      <c r="M37" s="16"/>
      <c r="N37" s="16">
        <v>0</v>
      </c>
      <c r="O37" s="16">
        <v>25</v>
      </c>
      <c r="P37" s="16">
        <v>3</v>
      </c>
      <c r="Q37" s="16"/>
      <c r="R37" s="18"/>
      <c r="S37" s="15"/>
      <c r="T37" s="20"/>
      <c r="U37" s="17"/>
      <c r="V37" s="17">
        <f t="shared" si="5"/>
        <v>46</v>
      </c>
      <c r="W37" s="15">
        <f ca="1">IFERROR(__xludf.DUMMYFUNCTION("IFERROR(
  SUM(
    FILTER(
      Reporte!$E:$E, 
      REGEXMATCH(Reporte!$A:$A, ""(?i)(TE PAGÓ|PAGASTE)""), 
      Reporte!$H:$H &amp; """" = AH37 &amp; """"
    )
  ), 
  0
)"),46)</f>
        <v>46</v>
      </c>
      <c r="X37" s="15">
        <f ca="1">IFERROR(__xludf.DUMMYFUNCTION("IFERROR(
  SUM(
    FILTER(
      Efectivo!$C:$C, 
      Efectivo!$D:$D &amp; """" = AH37 &amp; """"
    )
  ), 
  0
)"),0)</f>
        <v>0</v>
      </c>
      <c r="Y37" s="15" t="s">
        <v>34</v>
      </c>
      <c r="Z37" s="15"/>
      <c r="AA37" s="15" t="s">
        <v>35</v>
      </c>
      <c r="AB37" s="15"/>
      <c r="AC37" s="15"/>
      <c r="AD37" s="15" t="str">
        <f t="shared" si="0"/>
        <v/>
      </c>
      <c r="AE37" s="15" t="e">
        <f>IF(
   OR(
     AND(#REF!&gt;0, OR(Y37="C", Y37="c"), U37&lt;0),
     AND(#REF!&gt;0, Y37="")
   ),
   "CORTE",
   ""
)</f>
        <v>#REF!</v>
      </c>
      <c r="AF37" s="15">
        <f t="shared" si="1"/>
        <v>0</v>
      </c>
      <c r="AG37" s="15">
        <f t="shared" si="2"/>
        <v>46</v>
      </c>
      <c r="AH37" s="15" t="str">
        <f t="shared" si="3"/>
        <v>C</v>
      </c>
      <c r="AI37" s="15" t="str">
        <f t="shared" si="4"/>
        <v>C-5</v>
      </c>
    </row>
    <row r="38" spans="1:35" ht="15.75" customHeight="1" x14ac:dyDescent="0.35">
      <c r="A38" s="8">
        <v>37</v>
      </c>
      <c r="B38" s="9" t="s">
        <v>77</v>
      </c>
      <c r="C38" s="9" t="s">
        <v>73</v>
      </c>
      <c r="D38" s="8">
        <v>6</v>
      </c>
      <c r="E38" s="10"/>
      <c r="F38" s="10"/>
      <c r="G38" s="10"/>
      <c r="H38" s="11">
        <v>1</v>
      </c>
      <c r="I38" s="11">
        <v>592</v>
      </c>
      <c r="J38" s="11">
        <v>598</v>
      </c>
      <c r="K38" s="11">
        <v>6</v>
      </c>
      <c r="L38" s="11">
        <v>6</v>
      </c>
      <c r="M38" s="11">
        <v>16</v>
      </c>
      <c r="N38" s="11">
        <v>0</v>
      </c>
      <c r="O38" s="11"/>
      <c r="P38" s="11">
        <v>3</v>
      </c>
      <c r="Q38" s="11"/>
      <c r="R38" s="19"/>
      <c r="S38" s="10"/>
      <c r="T38" s="21"/>
      <c r="U38" s="12"/>
      <c r="V38" s="12">
        <f t="shared" si="5"/>
        <v>25</v>
      </c>
      <c r="W38" s="10">
        <f ca="1">IFERROR(__xludf.DUMMYFUNCTION("IFERROR(
  SUM(
    FILTER(
      Reporte!$E:$E, 
      REGEXMATCH(Reporte!$A:$A, ""(?i)(TE PAGÓ|PAGASTE)""), 
      Reporte!$H:$H &amp; """" = AH38 &amp; """"
    )
  ), 
  0
)"),25)</f>
        <v>25</v>
      </c>
      <c r="X38" s="10">
        <f ca="1">IFERROR(__xludf.DUMMYFUNCTION("IFERROR(
  SUM(
    FILTER(
      Efectivo!$C:$C, 
      Efectivo!$D:$D &amp; """" = AH38 &amp; """"
    )
  ), 
  0
)"),0)</f>
        <v>0</v>
      </c>
      <c r="Y38" s="10" t="s">
        <v>34</v>
      </c>
      <c r="Z38" s="10"/>
      <c r="AA38" s="10" t="s">
        <v>35</v>
      </c>
      <c r="AB38" s="10"/>
      <c r="AC38" s="10"/>
      <c r="AD38" s="10" t="str">
        <f t="shared" si="0"/>
        <v/>
      </c>
      <c r="AE38" s="10" t="e">
        <f>IF(
   OR(
     AND(#REF!&gt;0, OR(Y38="C", Y38="c"), U38&lt;0),
     AND(#REF!&gt;0, Y38="")
   ),
   "CORTE",
   ""
)</f>
        <v>#REF!</v>
      </c>
      <c r="AF38" s="10">
        <f t="shared" si="1"/>
        <v>0</v>
      </c>
      <c r="AG38" s="10">
        <f t="shared" si="2"/>
        <v>25</v>
      </c>
      <c r="AH38" s="10" t="str">
        <f t="shared" si="3"/>
        <v>C</v>
      </c>
      <c r="AI38" s="10" t="str">
        <f t="shared" si="4"/>
        <v>C-6</v>
      </c>
    </row>
    <row r="39" spans="1:35" ht="15.75" customHeight="1" x14ac:dyDescent="0.35">
      <c r="A39" s="13">
        <v>38</v>
      </c>
      <c r="B39" s="14" t="s">
        <v>78</v>
      </c>
      <c r="C39" s="14" t="s">
        <v>73</v>
      </c>
      <c r="D39" s="13">
        <v>7</v>
      </c>
      <c r="E39" s="15"/>
      <c r="F39" s="15"/>
      <c r="G39" s="15"/>
      <c r="H39" s="16">
        <v>1</v>
      </c>
      <c r="I39" s="16">
        <v>15</v>
      </c>
      <c r="J39" s="16">
        <v>53</v>
      </c>
      <c r="K39" s="16">
        <v>38</v>
      </c>
      <c r="L39" s="16">
        <v>38</v>
      </c>
      <c r="M39" s="16"/>
      <c r="N39" s="16">
        <v>0</v>
      </c>
      <c r="O39" s="16">
        <v>25</v>
      </c>
      <c r="P39" s="16">
        <v>3</v>
      </c>
      <c r="Q39" s="16"/>
      <c r="R39" s="18"/>
      <c r="S39" s="15"/>
      <c r="T39" s="20"/>
      <c r="U39" s="17"/>
      <c r="V39" s="17">
        <f t="shared" si="5"/>
        <v>66</v>
      </c>
      <c r="W39" s="15">
        <f ca="1">IFERROR(__xludf.DUMMYFUNCTION("IFERROR(
  SUM(
    FILTER(
      Reporte!$E:$E, 
      REGEXMATCH(Reporte!$A:$A, ""(?i)(TE PAGÓ|PAGASTE)""), 
      Reporte!$H:$H &amp; """" = AH39 &amp; """"
    )
  ), 
  0
)"),66)</f>
        <v>66</v>
      </c>
      <c r="X39" s="15">
        <f ca="1">IFERROR(__xludf.DUMMYFUNCTION("IFERROR(
  SUM(
    FILTER(
      Efectivo!$C:$C, 
      Efectivo!$D:$D &amp; """" = AH39 &amp; """"
    )
  ), 
  0
)"),0)</f>
        <v>0</v>
      </c>
      <c r="Y39" s="15" t="s">
        <v>34</v>
      </c>
      <c r="Z39" s="15"/>
      <c r="AA39" s="15" t="s">
        <v>35</v>
      </c>
      <c r="AB39" s="15"/>
      <c r="AC39" s="15"/>
      <c r="AD39" s="15" t="str">
        <f t="shared" si="0"/>
        <v/>
      </c>
      <c r="AE39" s="15" t="e">
        <f>IF(
   OR(
     AND(#REF!&gt;0, OR(Y39="C", Y39="c"), U39&lt;0),
     AND(#REF!&gt;0, Y39="")
   ),
   "CORTE",
   ""
)</f>
        <v>#REF!</v>
      </c>
      <c r="AF39" s="15">
        <f t="shared" si="1"/>
        <v>0</v>
      </c>
      <c r="AG39" s="15">
        <f t="shared" si="2"/>
        <v>66</v>
      </c>
      <c r="AH39" s="15" t="str">
        <f t="shared" si="3"/>
        <v>C</v>
      </c>
      <c r="AI39" s="15" t="str">
        <f t="shared" si="4"/>
        <v>C-7</v>
      </c>
    </row>
    <row r="40" spans="1:35" ht="15.75" customHeight="1" x14ac:dyDescent="0.35">
      <c r="A40" s="8">
        <v>39</v>
      </c>
      <c r="B40" s="9" t="s">
        <v>79</v>
      </c>
      <c r="C40" s="9" t="s">
        <v>73</v>
      </c>
      <c r="D40" s="8">
        <v>8</v>
      </c>
      <c r="E40" s="10"/>
      <c r="F40" s="10"/>
      <c r="G40" s="10"/>
      <c r="H40" s="11">
        <v>1</v>
      </c>
      <c r="I40" s="11">
        <v>279</v>
      </c>
      <c r="J40" s="11">
        <v>287</v>
      </c>
      <c r="K40" s="11">
        <v>8</v>
      </c>
      <c r="L40" s="11">
        <v>8</v>
      </c>
      <c r="M40" s="11">
        <v>11</v>
      </c>
      <c r="N40" s="11">
        <v>0</v>
      </c>
      <c r="O40" s="11"/>
      <c r="P40" s="11">
        <v>3</v>
      </c>
      <c r="Q40" s="11"/>
      <c r="R40" s="19"/>
      <c r="S40" s="10"/>
      <c r="T40" s="21"/>
      <c r="U40" s="12"/>
      <c r="V40" s="12">
        <f t="shared" si="5"/>
        <v>22</v>
      </c>
      <c r="W40" s="10">
        <f ca="1">IFERROR(__xludf.DUMMYFUNCTION("IFERROR(
  SUM(
    FILTER(
      Reporte!$E:$E, 
      REGEXMATCH(Reporte!$A:$A, ""(?i)(TE PAGÓ|PAGASTE)""), 
      Reporte!$H:$H &amp; """" = AH40 &amp; """"
    )
  ), 
  0
)"),22)</f>
        <v>22</v>
      </c>
      <c r="X40" s="10">
        <f ca="1">IFERROR(__xludf.DUMMYFUNCTION("IFERROR(
  SUM(
    FILTER(
      Efectivo!$C:$C, 
      Efectivo!$D:$D &amp; """" = AH40 &amp; """"
    )
  ), 
  0
)"),0)</f>
        <v>0</v>
      </c>
      <c r="Y40" s="10" t="s">
        <v>34</v>
      </c>
      <c r="Z40" s="10"/>
      <c r="AA40" s="10" t="s">
        <v>35</v>
      </c>
      <c r="AB40" s="10"/>
      <c r="AC40" s="10"/>
      <c r="AD40" s="10" t="str">
        <f t="shared" si="0"/>
        <v/>
      </c>
      <c r="AE40" s="10" t="e">
        <f>IF(
   OR(
     AND(#REF!&gt;0, OR(Y40="C", Y40="c"), U40&lt;0),
     AND(#REF!&gt;0, Y40="")
   ),
   "CORTE",
   ""
)</f>
        <v>#REF!</v>
      </c>
      <c r="AF40" s="10">
        <f t="shared" si="1"/>
        <v>0</v>
      </c>
      <c r="AG40" s="10">
        <f t="shared" si="2"/>
        <v>22</v>
      </c>
      <c r="AH40" s="10" t="str">
        <f t="shared" si="3"/>
        <v>C</v>
      </c>
      <c r="AI40" s="10" t="str">
        <f t="shared" si="4"/>
        <v>C-8</v>
      </c>
    </row>
    <row r="41" spans="1:35" ht="15.75" customHeight="1" x14ac:dyDescent="0.35">
      <c r="A41" s="13">
        <v>40</v>
      </c>
      <c r="B41" s="14" t="s">
        <v>80</v>
      </c>
      <c r="C41" s="14" t="s">
        <v>73</v>
      </c>
      <c r="D41" s="14" t="s">
        <v>81</v>
      </c>
      <c r="E41" s="15"/>
      <c r="F41" s="15"/>
      <c r="G41" s="15"/>
      <c r="H41" s="16">
        <v>1</v>
      </c>
      <c r="I41" s="16">
        <v>996</v>
      </c>
      <c r="J41" s="16">
        <v>1017</v>
      </c>
      <c r="K41" s="16">
        <v>21</v>
      </c>
      <c r="L41" s="16">
        <v>21</v>
      </c>
      <c r="M41" s="16"/>
      <c r="N41" s="16">
        <v>0</v>
      </c>
      <c r="O41" s="16"/>
      <c r="P41" s="16">
        <v>3</v>
      </c>
      <c r="Q41" s="16"/>
      <c r="R41" s="18"/>
      <c r="S41" s="15"/>
      <c r="T41" s="20"/>
      <c r="U41" s="17"/>
      <c r="V41" s="17">
        <f t="shared" si="5"/>
        <v>24</v>
      </c>
      <c r="W41" s="15">
        <f ca="1">IFERROR(__xludf.DUMMYFUNCTION("IFERROR(
  SUM(
    FILTER(
      Reporte!$E:$E, 
      REGEXMATCH(Reporte!$A:$A, ""(?i)(TE PAGÓ|PAGASTE)""), 
      Reporte!$H:$H &amp; """" = AH41 &amp; """"
    )
  ), 
  0
)"),24)</f>
        <v>24</v>
      </c>
      <c r="X41" s="15">
        <f ca="1">IFERROR(__xludf.DUMMYFUNCTION("IFERROR(
  SUM(
    FILTER(
      Efectivo!$C:$C, 
      Efectivo!$D:$D &amp; """" = AH41 &amp; """"
    )
  ), 
  0
)"),0)</f>
        <v>0</v>
      </c>
      <c r="Y41" s="15" t="s">
        <v>34</v>
      </c>
      <c r="Z41" s="15"/>
      <c r="AA41" s="15" t="s">
        <v>35</v>
      </c>
      <c r="AB41" s="15"/>
      <c r="AC41" s="15"/>
      <c r="AD41" s="15" t="str">
        <f t="shared" si="0"/>
        <v/>
      </c>
      <c r="AE41" s="15" t="e">
        <f>IF(
   OR(
     AND(#REF!&gt;0, OR(Y41="C", Y41="c"), U41&lt;0),
     AND(#REF!&gt;0, Y41="")
   ),
   "CORTE",
   ""
)</f>
        <v>#REF!</v>
      </c>
      <c r="AF41" s="15">
        <f t="shared" si="1"/>
        <v>0</v>
      </c>
      <c r="AG41" s="15">
        <f t="shared" si="2"/>
        <v>24</v>
      </c>
      <c r="AH41" s="15" t="str">
        <f t="shared" si="3"/>
        <v>C</v>
      </c>
      <c r="AI41" s="15" t="str">
        <f t="shared" si="4"/>
        <v>C-8B</v>
      </c>
    </row>
    <row r="42" spans="1:35" ht="15.75" customHeight="1" x14ac:dyDescent="0.35">
      <c r="A42" s="8">
        <v>41</v>
      </c>
      <c r="B42" s="9" t="s">
        <v>82</v>
      </c>
      <c r="C42" s="9" t="s">
        <v>73</v>
      </c>
      <c r="D42" s="8">
        <v>9</v>
      </c>
      <c r="E42" s="10"/>
      <c r="F42" s="10"/>
      <c r="G42" s="10"/>
      <c r="H42" s="11">
        <v>1</v>
      </c>
      <c r="I42" s="11">
        <v>2142</v>
      </c>
      <c r="J42" s="11">
        <v>2142</v>
      </c>
      <c r="K42" s="11">
        <v>5</v>
      </c>
      <c r="L42" s="11">
        <v>5</v>
      </c>
      <c r="M42" s="11"/>
      <c r="N42" s="11">
        <v>0</v>
      </c>
      <c r="O42" s="11"/>
      <c r="P42" s="11">
        <v>3</v>
      </c>
      <c r="Q42" s="11"/>
      <c r="R42" s="19"/>
      <c r="S42" s="10"/>
      <c r="T42" s="21"/>
      <c r="U42" s="12"/>
      <c r="V42" s="12">
        <f t="shared" si="5"/>
        <v>8</v>
      </c>
      <c r="W42" s="10">
        <f ca="1">IFERROR(__xludf.DUMMYFUNCTION("IFERROR(
  SUM(
    FILTER(
      Reporte!$E:$E, 
      REGEXMATCH(Reporte!$A:$A, ""(?i)(TE PAGÓ|PAGASTE)""), 
      Reporte!$H:$H &amp; """" = AH42 &amp; """"
    )
  ), 
  0
)"),8)</f>
        <v>8</v>
      </c>
      <c r="X42" s="10">
        <f ca="1">IFERROR(__xludf.DUMMYFUNCTION("IFERROR(
  SUM(
    FILTER(
      Efectivo!$C:$C, 
      Efectivo!$D:$D &amp; """" = AH42 &amp; """"
    )
  ), 
  0
)"),0)</f>
        <v>0</v>
      </c>
      <c r="Y42" s="10" t="s">
        <v>34</v>
      </c>
      <c r="Z42" s="10"/>
      <c r="AA42" s="10" t="s">
        <v>35</v>
      </c>
      <c r="AB42" s="10"/>
      <c r="AC42" s="10"/>
      <c r="AD42" s="10" t="str">
        <f t="shared" si="0"/>
        <v/>
      </c>
      <c r="AE42" s="10" t="e">
        <f>IF(
   OR(
     AND(#REF!&gt;0, OR(Y42="C", Y42="c"), U42&lt;0),
     AND(#REF!&gt;0, Y42="")
   ),
   "CORTE",
   ""
)</f>
        <v>#REF!</v>
      </c>
      <c r="AF42" s="10">
        <f t="shared" si="1"/>
        <v>0</v>
      </c>
      <c r="AG42" s="10">
        <f t="shared" si="2"/>
        <v>8</v>
      </c>
      <c r="AH42" s="10" t="str">
        <f t="shared" si="3"/>
        <v>C</v>
      </c>
      <c r="AI42" s="10" t="str">
        <f t="shared" si="4"/>
        <v>C-9</v>
      </c>
    </row>
    <row r="43" spans="1:35" ht="15.75" customHeight="1" x14ac:dyDescent="0.35">
      <c r="A43" s="13">
        <v>42</v>
      </c>
      <c r="B43" s="14" t="s">
        <v>83</v>
      </c>
      <c r="C43" s="14" t="s">
        <v>73</v>
      </c>
      <c r="D43" s="14" t="s">
        <v>84</v>
      </c>
      <c r="E43" s="15"/>
      <c r="F43" s="15"/>
      <c r="G43" s="15"/>
      <c r="H43" s="16">
        <v>1</v>
      </c>
      <c r="I43" s="16">
        <v>515</v>
      </c>
      <c r="J43" s="16">
        <v>522</v>
      </c>
      <c r="K43" s="16">
        <v>7</v>
      </c>
      <c r="L43" s="16">
        <v>7</v>
      </c>
      <c r="M43" s="16"/>
      <c r="N43" s="16">
        <v>0</v>
      </c>
      <c r="O43" s="16"/>
      <c r="P43" s="16">
        <v>3</v>
      </c>
      <c r="Q43" s="16"/>
      <c r="R43" s="18"/>
      <c r="S43" s="15"/>
      <c r="T43" s="20"/>
      <c r="U43" s="17"/>
      <c r="V43" s="17">
        <f t="shared" si="5"/>
        <v>10</v>
      </c>
      <c r="W43" s="15">
        <f ca="1">IFERROR(__xludf.DUMMYFUNCTION("IFERROR(
  SUM(
    FILTER(
      Reporte!$E:$E, 
      REGEXMATCH(Reporte!$A:$A, ""(?i)(TE PAGÓ|PAGASTE)""), 
      Reporte!$H:$H &amp; """" = AH43 &amp; """"
    )
  ), 
  0
)"),10)</f>
        <v>10</v>
      </c>
      <c r="X43" s="15">
        <f ca="1">IFERROR(__xludf.DUMMYFUNCTION("IFERROR(
  SUM(
    FILTER(
      Efectivo!$C:$C, 
      Efectivo!$D:$D &amp; """" = AH43 &amp; """"
    )
  ), 
  0
)"),0)</f>
        <v>0</v>
      </c>
      <c r="Y43" s="15" t="s">
        <v>34</v>
      </c>
      <c r="Z43" s="15"/>
      <c r="AA43" s="15" t="s">
        <v>35</v>
      </c>
      <c r="AB43" s="15"/>
      <c r="AC43" s="15"/>
      <c r="AD43" s="15" t="str">
        <f t="shared" si="0"/>
        <v/>
      </c>
      <c r="AE43" s="15" t="e">
        <f>IF(
   OR(
     AND(#REF!&gt;0, OR(Y43="C", Y43="c"), U43&lt;0),
     AND(#REF!&gt;0, Y43="")
   ),
   "CORTE",
   ""
)</f>
        <v>#REF!</v>
      </c>
      <c r="AF43" s="15">
        <f t="shared" si="1"/>
        <v>0</v>
      </c>
      <c r="AG43" s="15">
        <f t="shared" si="2"/>
        <v>10</v>
      </c>
      <c r="AH43" s="15" t="str">
        <f t="shared" si="3"/>
        <v>C</v>
      </c>
      <c r="AI43" s="15" t="str">
        <f t="shared" si="4"/>
        <v>C-9C</v>
      </c>
    </row>
    <row r="44" spans="1:35" ht="15.75" customHeight="1" x14ac:dyDescent="0.35">
      <c r="A44" s="8">
        <v>43</v>
      </c>
      <c r="B44" s="9" t="s">
        <v>85</v>
      </c>
      <c r="C44" s="9" t="s">
        <v>73</v>
      </c>
      <c r="D44" s="8">
        <v>11</v>
      </c>
      <c r="E44" s="10"/>
      <c r="F44" s="10"/>
      <c r="G44" s="10"/>
      <c r="H44" s="11">
        <v>1</v>
      </c>
      <c r="I44" s="11">
        <v>835</v>
      </c>
      <c r="J44" s="11">
        <v>851</v>
      </c>
      <c r="K44" s="11">
        <v>16</v>
      </c>
      <c r="L44" s="11">
        <v>16</v>
      </c>
      <c r="M44" s="11"/>
      <c r="N44" s="11">
        <v>0</v>
      </c>
      <c r="O44" s="11"/>
      <c r="P44" s="11">
        <v>3</v>
      </c>
      <c r="Q44" s="11"/>
      <c r="R44" s="19"/>
      <c r="S44" s="10"/>
      <c r="T44" s="21"/>
      <c r="U44" s="12"/>
      <c r="V44" s="12">
        <f t="shared" si="5"/>
        <v>19</v>
      </c>
      <c r="W44" s="10">
        <f ca="1">IFERROR(__xludf.DUMMYFUNCTION("IFERROR(
  SUM(
    FILTER(
      Reporte!$E:$E, 
      REGEXMATCH(Reporte!$A:$A, ""(?i)(TE PAGÓ|PAGASTE)""), 
      Reporte!$H:$H &amp; """" = AH44 &amp; """"
    )
  ), 
  0
)"),0)</f>
        <v>0</v>
      </c>
      <c r="X44" s="10">
        <f ca="1">IFERROR(__xludf.DUMMYFUNCTION("IFERROR(
  SUM(
    FILTER(
      Efectivo!$C:$C, 
      Efectivo!$D:$D &amp; """" = AH44 &amp; """"
    )
  ), 
  0
)"),19)</f>
        <v>19</v>
      </c>
      <c r="Y44" s="10" t="s">
        <v>34</v>
      </c>
      <c r="Z44" s="10"/>
      <c r="AA44" s="10"/>
      <c r="AB44" s="10"/>
      <c r="AC44" s="10"/>
      <c r="AD44" s="10" t="str">
        <f t="shared" si="0"/>
        <v/>
      </c>
      <c r="AE44" s="10" t="e">
        <f>IF(
   OR(
     AND(#REF!&gt;0, OR(Y44="C", Y44="c"), U44&lt;0),
     AND(#REF!&gt;0, Y44="")
   ),
   "CORTE",
   ""
)</f>
        <v>#REF!</v>
      </c>
      <c r="AF44" s="10">
        <f t="shared" si="1"/>
        <v>19</v>
      </c>
      <c r="AG44" s="10">
        <f t="shared" si="2"/>
        <v>0</v>
      </c>
      <c r="AH44" s="10" t="str">
        <f t="shared" si="3"/>
        <v>C</v>
      </c>
      <c r="AI44" s="10" t="str">
        <f t="shared" si="4"/>
        <v>C-11</v>
      </c>
    </row>
    <row r="45" spans="1:35" ht="15.75" customHeight="1" x14ac:dyDescent="0.35">
      <c r="A45" s="13">
        <v>44</v>
      </c>
      <c r="B45" s="14" t="s">
        <v>86</v>
      </c>
      <c r="C45" s="14" t="s">
        <v>73</v>
      </c>
      <c r="D45" s="13">
        <v>12</v>
      </c>
      <c r="E45" s="15"/>
      <c r="F45" s="15"/>
      <c r="G45" s="15"/>
      <c r="H45" s="16">
        <v>1</v>
      </c>
      <c r="I45" s="16">
        <v>1672</v>
      </c>
      <c r="J45" s="16">
        <v>1684</v>
      </c>
      <c r="K45" s="16">
        <v>12</v>
      </c>
      <c r="L45" s="16">
        <v>12</v>
      </c>
      <c r="M45" s="16"/>
      <c r="N45" s="16">
        <v>0</v>
      </c>
      <c r="O45" s="16"/>
      <c r="P45" s="16">
        <v>3</v>
      </c>
      <c r="Q45" s="16"/>
      <c r="R45" s="18"/>
      <c r="S45" s="15"/>
      <c r="T45" s="20"/>
      <c r="U45" s="17"/>
      <c r="V45" s="17">
        <f t="shared" si="5"/>
        <v>15</v>
      </c>
      <c r="W45" s="15">
        <f ca="1">IFERROR(__xludf.DUMMYFUNCTION("IFERROR(
  SUM(
    FILTER(
      Reporte!$E:$E, 
      REGEXMATCH(Reporte!$A:$A, ""(?i)(TE PAGÓ|PAGASTE)""), 
      Reporte!$H:$H &amp; """" = AH45 &amp; """"
    )
  ), 
  0
)"),0)</f>
        <v>0</v>
      </c>
      <c r="X45" s="15">
        <f ca="1">IFERROR(__xludf.DUMMYFUNCTION("IFERROR(
  SUM(
    FILTER(
      Efectivo!$C:$C, 
      Efectivo!$D:$D &amp; """" = AH45 &amp; """"
    )
  ), 
  0
)"),15)</f>
        <v>15</v>
      </c>
      <c r="Y45" s="15" t="s">
        <v>34</v>
      </c>
      <c r="Z45" s="15"/>
      <c r="AA45" s="15"/>
      <c r="AB45" s="15"/>
      <c r="AC45" s="15"/>
      <c r="AD45" s="15" t="str">
        <f t="shared" si="0"/>
        <v/>
      </c>
      <c r="AE45" s="15" t="e">
        <f>IF(
   OR(
     AND(#REF!&gt;0, OR(Y45="C", Y45="c"), U45&lt;0),
     AND(#REF!&gt;0, Y45="")
   ),
   "CORTE",
   ""
)</f>
        <v>#REF!</v>
      </c>
      <c r="AF45" s="15">
        <f t="shared" si="1"/>
        <v>15</v>
      </c>
      <c r="AG45" s="15">
        <f t="shared" si="2"/>
        <v>0</v>
      </c>
      <c r="AH45" s="15" t="str">
        <f t="shared" si="3"/>
        <v>C</v>
      </c>
      <c r="AI45" s="15" t="str">
        <f t="shared" si="4"/>
        <v>C-12</v>
      </c>
    </row>
    <row r="46" spans="1:35" ht="15.75" customHeight="1" x14ac:dyDescent="0.35">
      <c r="A46" s="8">
        <v>45</v>
      </c>
      <c r="B46" s="9" t="s">
        <v>87</v>
      </c>
      <c r="C46" s="9" t="s">
        <v>73</v>
      </c>
      <c r="D46" s="8">
        <v>13</v>
      </c>
      <c r="E46" s="10"/>
      <c r="F46" s="10"/>
      <c r="G46" s="10"/>
      <c r="H46" s="11">
        <v>1</v>
      </c>
      <c r="I46" s="11">
        <v>2</v>
      </c>
      <c r="J46" s="11">
        <v>12</v>
      </c>
      <c r="K46" s="11">
        <v>10</v>
      </c>
      <c r="L46" s="11">
        <v>10</v>
      </c>
      <c r="M46" s="11"/>
      <c r="N46" s="11">
        <v>0</v>
      </c>
      <c r="O46" s="11">
        <v>25</v>
      </c>
      <c r="P46" s="11">
        <v>3</v>
      </c>
      <c r="Q46" s="11"/>
      <c r="R46" s="19"/>
      <c r="S46" s="10"/>
      <c r="T46" s="21"/>
      <c r="U46" s="12"/>
      <c r="V46" s="12">
        <f t="shared" si="5"/>
        <v>38</v>
      </c>
      <c r="W46" s="10">
        <f ca="1">IFERROR(__xludf.DUMMYFUNCTION("IFERROR(
  SUM(
    FILTER(
      Reporte!$E:$E, 
      REGEXMATCH(Reporte!$A:$A, ""(?i)(TE PAGÓ|PAGASTE)""), 
      Reporte!$H:$H &amp; """" = AH46 &amp; """"
    )
  ), 
  0
)"),38)</f>
        <v>38</v>
      </c>
      <c r="X46" s="10">
        <f ca="1">IFERROR(__xludf.DUMMYFUNCTION("IFERROR(
  SUM(
    FILTER(
      Efectivo!$C:$C, 
      Efectivo!$D:$D &amp; """" = AH46 &amp; """"
    )
  ), 
  0
)"),0)</f>
        <v>0</v>
      </c>
      <c r="Y46" s="10" t="s">
        <v>34</v>
      </c>
      <c r="Z46" s="10"/>
      <c r="AA46" s="10" t="s">
        <v>35</v>
      </c>
      <c r="AB46" s="10"/>
      <c r="AC46" s="10"/>
      <c r="AD46" s="10" t="str">
        <f t="shared" si="0"/>
        <v/>
      </c>
      <c r="AE46" s="10" t="e">
        <f>IF(
   OR(
     AND(#REF!&gt;0, OR(Y46="C", Y46="c"), U46&lt;0),
     AND(#REF!&gt;0, Y46="")
   ),
   "CORTE",
   ""
)</f>
        <v>#REF!</v>
      </c>
      <c r="AF46" s="10">
        <f t="shared" si="1"/>
        <v>0</v>
      </c>
      <c r="AG46" s="10">
        <f t="shared" si="2"/>
        <v>38</v>
      </c>
      <c r="AH46" s="10" t="str">
        <f t="shared" si="3"/>
        <v>C</v>
      </c>
      <c r="AI46" s="10" t="str">
        <f t="shared" si="4"/>
        <v>C-13</v>
      </c>
    </row>
    <row r="47" spans="1:35" ht="15.75" customHeight="1" x14ac:dyDescent="0.35">
      <c r="A47" s="13">
        <v>46</v>
      </c>
      <c r="B47" s="14" t="s">
        <v>88</v>
      </c>
      <c r="C47" s="14" t="s">
        <v>73</v>
      </c>
      <c r="D47" s="13">
        <v>14</v>
      </c>
      <c r="E47" s="15"/>
      <c r="F47" s="15"/>
      <c r="G47" s="15"/>
      <c r="H47" s="16">
        <v>1</v>
      </c>
      <c r="I47" s="16">
        <v>4</v>
      </c>
      <c r="J47" s="16">
        <v>9</v>
      </c>
      <c r="K47" s="16">
        <v>5</v>
      </c>
      <c r="L47" s="16">
        <v>5</v>
      </c>
      <c r="M47" s="16"/>
      <c r="N47" s="16">
        <v>0</v>
      </c>
      <c r="O47" s="16"/>
      <c r="P47" s="16">
        <v>3</v>
      </c>
      <c r="Q47" s="16"/>
      <c r="R47" s="18"/>
      <c r="S47" s="15"/>
      <c r="T47" s="20"/>
      <c r="U47" s="17"/>
      <c r="V47" s="17">
        <f t="shared" si="5"/>
        <v>8</v>
      </c>
      <c r="W47" s="15">
        <f ca="1">IFERROR(__xludf.DUMMYFUNCTION("IFERROR(
  SUM(
    FILTER(
      Reporte!$E:$E, 
      REGEXMATCH(Reporte!$A:$A, ""(?i)(TE PAGÓ|PAGASTE)""), 
      Reporte!$H:$H &amp; """" = AH47 &amp; """"
    )
  ), 
  0
)"),0)</f>
        <v>0</v>
      </c>
      <c r="X47" s="15">
        <f ca="1">IFERROR(__xludf.DUMMYFUNCTION("IFERROR(
  SUM(
    FILTER(
      Efectivo!$C:$C, 
      Efectivo!$D:$D &amp; """" = AH47 &amp; """"
    )
  ), 
  0
)"),0)</f>
        <v>0</v>
      </c>
      <c r="Y47" s="15"/>
      <c r="Z47" s="15"/>
      <c r="AA47" s="15"/>
      <c r="AB47" s="15"/>
      <c r="AC47" s="15"/>
      <c r="AD47" s="15" t="str">
        <f t="shared" si="0"/>
        <v/>
      </c>
      <c r="AE47" s="15" t="e">
        <f>IF(
   OR(
     AND(#REF!&gt;0, OR(Y47="C", Y47="c"), U47&lt;0),
     AND(#REF!&gt;0, Y47="")
   ),
   "CORTE",
   ""
)</f>
        <v>#REF!</v>
      </c>
      <c r="AF47" s="15">
        <f t="shared" si="1"/>
        <v>0</v>
      </c>
      <c r="AG47" s="15">
        <f t="shared" si="2"/>
        <v>0</v>
      </c>
      <c r="AH47" s="15" t="str">
        <f t="shared" si="3"/>
        <v>C</v>
      </c>
      <c r="AI47" s="15" t="str">
        <f t="shared" si="4"/>
        <v>C-14</v>
      </c>
    </row>
    <row r="48" spans="1:35" ht="15.75" customHeight="1" x14ac:dyDescent="0.35">
      <c r="A48" s="8">
        <v>47</v>
      </c>
      <c r="B48" s="9" t="s">
        <v>89</v>
      </c>
      <c r="C48" s="9" t="s">
        <v>73</v>
      </c>
      <c r="D48" s="8">
        <v>15</v>
      </c>
      <c r="E48" s="10"/>
      <c r="F48" s="10"/>
      <c r="G48" s="10"/>
      <c r="H48" s="11">
        <v>1</v>
      </c>
      <c r="I48" s="11">
        <v>125</v>
      </c>
      <c r="J48" s="11">
        <v>136</v>
      </c>
      <c r="K48" s="11">
        <v>11</v>
      </c>
      <c r="L48" s="11">
        <v>11</v>
      </c>
      <c r="M48" s="11"/>
      <c r="N48" s="11">
        <v>0</v>
      </c>
      <c r="O48" s="11"/>
      <c r="P48" s="11">
        <v>3</v>
      </c>
      <c r="Q48" s="11"/>
      <c r="R48" s="19"/>
      <c r="S48" s="10"/>
      <c r="T48" s="21"/>
      <c r="U48" s="12"/>
      <c r="V48" s="12">
        <f t="shared" si="5"/>
        <v>14</v>
      </c>
      <c r="W48" s="10">
        <f ca="1">IFERROR(__xludf.DUMMYFUNCTION("IFERROR(
  SUM(
    FILTER(
      Reporte!$E:$E, 
      REGEXMATCH(Reporte!$A:$A, ""(?i)(TE PAGÓ|PAGASTE)""), 
      Reporte!$H:$H &amp; """" = AH48 &amp; """"
    )
  ), 
  0
)"),14)</f>
        <v>14</v>
      </c>
      <c r="X48" s="10">
        <f ca="1">IFERROR(__xludf.DUMMYFUNCTION("IFERROR(
  SUM(
    FILTER(
      Efectivo!$C:$C, 
      Efectivo!$D:$D &amp; """" = AH48 &amp; """"
    )
  ), 
  0
)"),0)</f>
        <v>0</v>
      </c>
      <c r="Y48" s="10" t="s">
        <v>34</v>
      </c>
      <c r="Z48" s="10"/>
      <c r="AA48" s="10" t="s">
        <v>35</v>
      </c>
      <c r="AB48" s="10"/>
      <c r="AC48" s="10"/>
      <c r="AD48" s="10" t="str">
        <f t="shared" si="0"/>
        <v/>
      </c>
      <c r="AE48" s="10" t="e">
        <f>IF(
   OR(
     AND(#REF!&gt;0, OR(Y48="C", Y48="c"), U48&lt;0),
     AND(#REF!&gt;0, Y48="")
   ),
   "CORTE",
   ""
)</f>
        <v>#REF!</v>
      </c>
      <c r="AF48" s="10">
        <f t="shared" si="1"/>
        <v>0</v>
      </c>
      <c r="AG48" s="10">
        <f t="shared" si="2"/>
        <v>14</v>
      </c>
      <c r="AH48" s="10" t="str">
        <f t="shared" si="3"/>
        <v>C</v>
      </c>
      <c r="AI48" s="10" t="str">
        <f t="shared" si="4"/>
        <v>C-15</v>
      </c>
    </row>
    <row r="49" spans="1:35" ht="15.75" customHeight="1" x14ac:dyDescent="0.35">
      <c r="A49" s="13">
        <v>48</v>
      </c>
      <c r="B49" s="14" t="s">
        <v>90</v>
      </c>
      <c r="C49" s="14" t="s">
        <v>73</v>
      </c>
      <c r="D49" s="13">
        <v>16</v>
      </c>
      <c r="E49" s="15"/>
      <c r="F49" s="15"/>
      <c r="G49" s="15"/>
      <c r="H49" s="16">
        <v>1</v>
      </c>
      <c r="I49" s="16">
        <v>1542</v>
      </c>
      <c r="J49" s="16">
        <v>26</v>
      </c>
      <c r="K49" s="16">
        <v>26</v>
      </c>
      <c r="L49" s="16">
        <v>5</v>
      </c>
      <c r="M49" s="16"/>
      <c r="N49" s="16">
        <v>0</v>
      </c>
      <c r="O49" s="16"/>
      <c r="P49" s="16">
        <v>3</v>
      </c>
      <c r="Q49" s="16"/>
      <c r="R49" s="18"/>
      <c r="S49" s="15"/>
      <c r="T49" s="20"/>
      <c r="U49" s="17"/>
      <c r="V49" s="17">
        <f>SUM(L49:U49)</f>
        <v>8</v>
      </c>
      <c r="W49" s="15">
        <f ca="1">IFERROR(__xludf.DUMMYFUNCTION("IFERROR(
  SUM(
    FILTER(
      Reporte!$E:$E, 
      REGEXMATCH(Reporte!$A:$A, ""(?i)(TE PAGÓ|PAGASTE)""), 
      Reporte!$H:$H &amp; """" = AH49 &amp; """"
    )
  ), 
  0
)"),0)</f>
        <v>0</v>
      </c>
      <c r="X49" s="15">
        <f ca="1">IFERROR(__xludf.DUMMYFUNCTION("IFERROR(
  SUM(
    FILTER(
      Efectivo!$C:$C, 
      Efectivo!$D:$D &amp; """" = AH49 &amp; """"
    )
  ), 
  0
)"),8)</f>
        <v>8</v>
      </c>
      <c r="Y49" s="15" t="s">
        <v>34</v>
      </c>
      <c r="Z49" s="15"/>
      <c r="AA49" s="15"/>
      <c r="AB49" s="15" t="s">
        <v>91</v>
      </c>
      <c r="AC49" s="15"/>
      <c r="AD49" s="15" t="str">
        <f t="shared" si="0"/>
        <v/>
      </c>
      <c r="AE49" s="15" t="e">
        <f>IF(
   OR(
     AND(#REF!&gt;0, OR(Y49="C", Y49="c"), U49&lt;0),
     AND(#REF!&gt;0, Y49="")
   ),
   "CORTE",
   ""
)</f>
        <v>#REF!</v>
      </c>
      <c r="AF49" s="15">
        <f t="shared" si="1"/>
        <v>8</v>
      </c>
      <c r="AG49" s="15">
        <f t="shared" si="2"/>
        <v>0</v>
      </c>
      <c r="AH49" s="15" t="str">
        <f t="shared" si="3"/>
        <v>C</v>
      </c>
      <c r="AI49" s="15" t="str">
        <f t="shared" si="4"/>
        <v>C-16</v>
      </c>
    </row>
    <row r="50" spans="1:35" ht="15.75" customHeight="1" x14ac:dyDescent="0.35">
      <c r="A50" s="8">
        <v>49</v>
      </c>
      <c r="B50" s="9" t="s">
        <v>92</v>
      </c>
      <c r="C50" s="9" t="s">
        <v>73</v>
      </c>
      <c r="D50" s="8">
        <v>18</v>
      </c>
      <c r="E50" s="10"/>
      <c r="F50" s="10"/>
      <c r="G50" s="10"/>
      <c r="H50" s="11">
        <v>1</v>
      </c>
      <c r="I50" s="11">
        <v>2</v>
      </c>
      <c r="J50" s="11">
        <v>12</v>
      </c>
      <c r="K50" s="11">
        <v>10</v>
      </c>
      <c r="L50" s="11">
        <v>10</v>
      </c>
      <c r="M50" s="11"/>
      <c r="N50" s="11">
        <v>0</v>
      </c>
      <c r="O50" s="11">
        <v>25</v>
      </c>
      <c r="P50" s="11">
        <v>3</v>
      </c>
      <c r="Q50" s="11"/>
      <c r="R50" s="19"/>
      <c r="S50" s="10"/>
      <c r="T50" s="21"/>
      <c r="U50" s="12"/>
      <c r="V50" s="12">
        <f>SUM(L50:Q50)</f>
        <v>38</v>
      </c>
      <c r="W50" s="10">
        <f ca="1">IFERROR(__xludf.DUMMYFUNCTION("IFERROR(
  SUM(
    FILTER(
      Reporte!$E:$E, 
      REGEXMATCH(Reporte!$A:$A, ""(?i)(TE PAGÓ|PAGASTE)""), 
      Reporte!$H:$H &amp; """" = AH50 &amp; """"
    )
  ), 
  0
)"),0)</f>
        <v>0</v>
      </c>
      <c r="X50" s="10">
        <f ca="1">IFERROR(__xludf.DUMMYFUNCTION("IFERROR(
  SUM(
    FILTER(
      Efectivo!$C:$C, 
      Efectivo!$D:$D &amp; """" = AH50 &amp; """"
    )
  ), 
  0
)"),38)</f>
        <v>38</v>
      </c>
      <c r="Y50" s="10" t="s">
        <v>34</v>
      </c>
      <c r="Z50" s="10"/>
      <c r="AA50" s="10"/>
      <c r="AB50" s="10"/>
      <c r="AC50" s="10"/>
      <c r="AD50" s="10" t="str">
        <f t="shared" si="0"/>
        <v/>
      </c>
      <c r="AE50" s="10" t="e">
        <f>IF(
   OR(
     AND(#REF!&gt;0, OR(Y50="C", Y50="c"), U50&lt;0),
     AND(#REF!&gt;0, Y50="")
   ),
   "CORTE",
   ""
)</f>
        <v>#REF!</v>
      </c>
      <c r="AF50" s="10">
        <f t="shared" si="1"/>
        <v>38</v>
      </c>
      <c r="AG50" s="10">
        <f t="shared" si="2"/>
        <v>0</v>
      </c>
      <c r="AH50" s="10" t="str">
        <f t="shared" si="3"/>
        <v>C</v>
      </c>
      <c r="AI50" s="10" t="str">
        <f t="shared" si="4"/>
        <v>C-18</v>
      </c>
    </row>
    <row r="51" spans="1:35" ht="15.75" customHeight="1" x14ac:dyDescent="0.35">
      <c r="A51" s="13">
        <v>50</v>
      </c>
      <c r="B51" s="14" t="s">
        <v>93</v>
      </c>
      <c r="C51" s="14" t="s">
        <v>73</v>
      </c>
      <c r="D51" s="13">
        <v>19</v>
      </c>
      <c r="E51" s="15"/>
      <c r="F51" s="15"/>
      <c r="G51" s="15"/>
      <c r="H51" s="16">
        <v>1</v>
      </c>
      <c r="I51" s="16">
        <v>11</v>
      </c>
      <c r="J51" s="16">
        <v>37</v>
      </c>
      <c r="K51" s="16">
        <v>26</v>
      </c>
      <c r="L51" s="16">
        <v>26</v>
      </c>
      <c r="M51" s="16"/>
      <c r="N51" s="16">
        <v>0</v>
      </c>
      <c r="O51" s="16">
        <v>47</v>
      </c>
      <c r="P51" s="16">
        <v>3</v>
      </c>
      <c r="Q51" s="16"/>
      <c r="R51" s="18"/>
      <c r="S51" s="15"/>
      <c r="T51" s="20"/>
      <c r="U51" s="17"/>
      <c r="V51" s="17">
        <f>SUM(L51:U51)</f>
        <v>76</v>
      </c>
      <c r="W51" s="15">
        <f ca="1">IFERROR(__xludf.DUMMYFUNCTION("IFERROR(
  SUM(
    FILTER(
      Reporte!$E:$E, 
      REGEXMATCH(Reporte!$A:$A, ""(?i)(TE PAGÓ|PAGASTE)""), 
      Reporte!$H:$H &amp; """" = AH51 &amp; """"
    )
  ), 
  0
)"),0)</f>
        <v>0</v>
      </c>
      <c r="X51" s="15">
        <f ca="1">IFERROR(__xludf.DUMMYFUNCTION("IFERROR(
  SUM(
    FILTER(
      Efectivo!$C:$C, 
      Efectivo!$D:$D &amp; """" = AH51 &amp; """"
    )
  ), 
  0
)"),76)</f>
        <v>76</v>
      </c>
      <c r="Y51" s="15" t="s">
        <v>34</v>
      </c>
      <c r="Z51" s="15"/>
      <c r="AA51" s="15"/>
      <c r="AB51" s="15"/>
      <c r="AC51" s="15"/>
      <c r="AD51" s="15" t="str">
        <f t="shared" si="0"/>
        <v/>
      </c>
      <c r="AE51" s="15" t="e">
        <f>IF(
   OR(
     AND(#REF!&gt;0, OR(Y51="C", Y51="c"), U51&lt;0),
     AND(#REF!&gt;0, Y51="")
   ),
   "CORTE",
   ""
)</f>
        <v>#REF!</v>
      </c>
      <c r="AF51" s="15">
        <f t="shared" si="1"/>
        <v>76</v>
      </c>
      <c r="AG51" s="15">
        <f t="shared" si="2"/>
        <v>0</v>
      </c>
      <c r="AH51" s="15" t="str">
        <f t="shared" si="3"/>
        <v>C</v>
      </c>
      <c r="AI51" s="15" t="str">
        <f t="shared" si="4"/>
        <v>C-19</v>
      </c>
    </row>
    <row r="52" spans="1:35" ht="15.75" customHeight="1" x14ac:dyDescent="0.35">
      <c r="A52" s="8">
        <v>51</v>
      </c>
      <c r="B52" s="9" t="s">
        <v>94</v>
      </c>
      <c r="C52" s="9" t="s">
        <v>73</v>
      </c>
      <c r="D52" s="8">
        <v>20</v>
      </c>
      <c r="E52" s="10"/>
      <c r="F52" s="10"/>
      <c r="G52" s="10"/>
      <c r="H52" s="11">
        <v>1</v>
      </c>
      <c r="I52" s="11">
        <v>9</v>
      </c>
      <c r="J52" s="11">
        <v>25</v>
      </c>
      <c r="K52" s="11">
        <v>16</v>
      </c>
      <c r="L52" s="11">
        <v>16</v>
      </c>
      <c r="M52" s="11"/>
      <c r="N52" s="11">
        <v>0</v>
      </c>
      <c r="O52" s="11">
        <v>25</v>
      </c>
      <c r="P52" s="11">
        <v>3</v>
      </c>
      <c r="Q52" s="11"/>
      <c r="R52" s="19"/>
      <c r="S52" s="10"/>
      <c r="T52" s="21"/>
      <c r="U52" s="12"/>
      <c r="V52" s="12">
        <f>SUM(L52:U52)</f>
        <v>44</v>
      </c>
      <c r="W52" s="10">
        <f ca="1">IFERROR(__xludf.DUMMYFUNCTION("IFERROR(
  SUM(
    FILTER(
      Reporte!$E:$E, 
      REGEXMATCH(Reporte!$A:$A, ""(?i)(TE PAGÓ|PAGASTE)""), 
      Reporte!$H:$H &amp; """" = AH52 &amp; """"
    )
  ), 
  0
)"),19)</f>
        <v>19</v>
      </c>
      <c r="X52" s="10">
        <f ca="1">IFERROR(__xludf.DUMMYFUNCTION("IFERROR(
  SUM(
    FILTER(
      Efectivo!$C:$C, 
      Efectivo!$D:$D &amp; """" = AH52 &amp; """"
    )
  ), 
  0
)"),25)</f>
        <v>25</v>
      </c>
      <c r="Y52" s="10" t="s">
        <v>34</v>
      </c>
      <c r="Z52" s="10"/>
      <c r="AA52" s="10" t="s">
        <v>35</v>
      </c>
      <c r="AB52" s="10" t="s">
        <v>95</v>
      </c>
      <c r="AC52" s="10"/>
      <c r="AD52" s="10" t="str">
        <f t="shared" si="0"/>
        <v/>
      </c>
      <c r="AE52" s="10" t="e">
        <f>IF(
   OR(
     AND(#REF!&gt;0, OR(Y52="C", Y52="c"), U52&lt;0),
     AND(#REF!&gt;0, Y52="")
   ),
   "CORTE",
   ""
)</f>
        <v>#REF!</v>
      </c>
      <c r="AF52" s="10">
        <f t="shared" si="1"/>
        <v>0</v>
      </c>
      <c r="AG52" s="10">
        <f t="shared" si="2"/>
        <v>44</v>
      </c>
      <c r="AH52" s="10" t="str">
        <f t="shared" si="3"/>
        <v>C</v>
      </c>
      <c r="AI52" s="10" t="str">
        <f t="shared" si="4"/>
        <v>C-20</v>
      </c>
    </row>
    <row r="53" spans="1:35" ht="15.75" customHeight="1" x14ac:dyDescent="0.35">
      <c r="A53" s="13">
        <v>52</v>
      </c>
      <c r="B53" s="14" t="s">
        <v>96</v>
      </c>
      <c r="C53" s="14" t="s">
        <v>73</v>
      </c>
      <c r="D53" s="13">
        <v>21</v>
      </c>
      <c r="E53" s="15"/>
      <c r="F53" s="15"/>
      <c r="G53" s="15"/>
      <c r="H53" s="16">
        <v>1</v>
      </c>
      <c r="I53" s="16"/>
      <c r="J53" s="16">
        <v>1700</v>
      </c>
      <c r="K53" s="16">
        <v>24</v>
      </c>
      <c r="L53" s="16">
        <v>24</v>
      </c>
      <c r="M53" s="16"/>
      <c r="N53" s="16">
        <v>0</v>
      </c>
      <c r="O53" s="16"/>
      <c r="P53" s="16">
        <v>3</v>
      </c>
      <c r="Q53" s="16"/>
      <c r="R53" s="18"/>
      <c r="S53" s="15"/>
      <c r="T53" s="20"/>
      <c r="U53" s="17"/>
      <c r="V53" s="17">
        <f>SUM(L53:Q53)</f>
        <v>27</v>
      </c>
      <c r="W53" s="15">
        <f ca="1">IFERROR(__xludf.DUMMYFUNCTION("IFERROR(
  SUM(
    FILTER(
      Reporte!$E:$E, 
      REGEXMATCH(Reporte!$A:$A, ""(?i)(TE PAGÓ|PAGASTE)""), 
      Reporte!$H:$H &amp; """" = AH53 &amp; """"
    )
  ), 
  0
)"),0)</f>
        <v>0</v>
      </c>
      <c r="X53" s="15">
        <f ca="1">IFERROR(__xludf.DUMMYFUNCTION("IFERROR(
  SUM(
    FILTER(
      Efectivo!$C:$C, 
      Efectivo!$D:$D &amp; """" = AH53 &amp; """"
    )
  ), 
  0
)"),0)</f>
        <v>0</v>
      </c>
      <c r="Y53" s="15"/>
      <c r="Z53" s="15"/>
      <c r="AA53" s="15"/>
      <c r="AB53" s="15"/>
      <c r="AC53" s="15" t="s">
        <v>97</v>
      </c>
      <c r="AD53" s="15" t="str">
        <f t="shared" si="0"/>
        <v/>
      </c>
      <c r="AE53" s="15" t="e">
        <f>IF(
   OR(
     AND(#REF!&gt;0, OR(Y53="C", Y53="c"), U53&lt;0),
     AND(#REF!&gt;0, Y53="")
   ),
   "CORTE",
   ""
)</f>
        <v>#REF!</v>
      </c>
      <c r="AF53" s="15">
        <f t="shared" si="1"/>
        <v>0</v>
      </c>
      <c r="AG53" s="15">
        <f t="shared" si="2"/>
        <v>0</v>
      </c>
      <c r="AH53" s="15" t="str">
        <f t="shared" si="3"/>
        <v>C</v>
      </c>
      <c r="AI53" s="15" t="str">
        <f t="shared" si="4"/>
        <v>C-21</v>
      </c>
    </row>
    <row r="54" spans="1:35" ht="15.75" customHeight="1" x14ac:dyDescent="0.35">
      <c r="A54" s="8">
        <v>53</v>
      </c>
      <c r="B54" s="9" t="s">
        <v>98</v>
      </c>
      <c r="C54" s="9" t="s">
        <v>73</v>
      </c>
      <c r="D54" s="8">
        <v>22</v>
      </c>
      <c r="E54" s="10"/>
      <c r="F54" s="10"/>
      <c r="G54" s="10"/>
      <c r="H54" s="11">
        <v>1</v>
      </c>
      <c r="I54" s="11">
        <v>126</v>
      </c>
      <c r="J54" s="11">
        <v>134</v>
      </c>
      <c r="K54" s="11">
        <v>8</v>
      </c>
      <c r="L54" s="11">
        <v>8</v>
      </c>
      <c r="M54" s="11"/>
      <c r="N54" s="11">
        <v>0</v>
      </c>
      <c r="O54" s="11"/>
      <c r="P54" s="11">
        <v>3</v>
      </c>
      <c r="Q54" s="11"/>
      <c r="R54" s="19"/>
      <c r="S54" s="10"/>
      <c r="T54" s="21"/>
      <c r="U54" s="12"/>
      <c r="V54" s="12">
        <f>SUM(L54:Q54)</f>
        <v>11</v>
      </c>
      <c r="W54" s="10">
        <f ca="1">IFERROR(__xludf.DUMMYFUNCTION("IFERROR(
  SUM(
    FILTER(
      Reporte!$E:$E, 
      REGEXMATCH(Reporte!$A:$A, ""(?i)(TE PAGÓ|PAGASTE)""), 
      Reporte!$H:$H &amp; """" = AH54 &amp; """"
    )
  ), 
  0
)"),11)</f>
        <v>11</v>
      </c>
      <c r="X54" s="10">
        <f ca="1">IFERROR(__xludf.DUMMYFUNCTION("IFERROR(
  SUM(
    FILTER(
      Efectivo!$C:$C, 
      Efectivo!$D:$D &amp; """" = AH54 &amp; """"
    )
  ), 
  0
)"),0)</f>
        <v>0</v>
      </c>
      <c r="Y54" s="10" t="s">
        <v>34</v>
      </c>
      <c r="Z54" s="10"/>
      <c r="AA54" s="10" t="s">
        <v>35</v>
      </c>
      <c r="AB54" s="10"/>
      <c r="AC54" s="10"/>
      <c r="AD54" s="10" t="str">
        <f t="shared" si="0"/>
        <v/>
      </c>
      <c r="AE54" s="10" t="e">
        <f>IF(
   OR(
     AND(#REF!&gt;0, OR(Y54="C", Y54="c"), U54&lt;0),
     AND(#REF!&gt;0, Y54="")
   ),
   "CORTE",
   ""
)</f>
        <v>#REF!</v>
      </c>
      <c r="AF54" s="10">
        <f t="shared" si="1"/>
        <v>0</v>
      </c>
      <c r="AG54" s="10">
        <f t="shared" si="2"/>
        <v>11</v>
      </c>
      <c r="AH54" s="10" t="str">
        <f t="shared" si="3"/>
        <v>C</v>
      </c>
      <c r="AI54" s="10" t="str">
        <f t="shared" si="4"/>
        <v>C-22</v>
      </c>
    </row>
    <row r="55" spans="1:35" ht="15.75" customHeight="1" x14ac:dyDescent="0.35">
      <c r="A55" s="13">
        <v>54</v>
      </c>
      <c r="B55" s="14" t="s">
        <v>99</v>
      </c>
      <c r="C55" s="14" t="s">
        <v>73</v>
      </c>
      <c r="D55" s="13">
        <v>23</v>
      </c>
      <c r="E55" s="15"/>
      <c r="F55" s="15"/>
      <c r="G55" s="15"/>
      <c r="H55" s="16">
        <v>1</v>
      </c>
      <c r="I55" s="16">
        <v>257</v>
      </c>
      <c r="J55" s="16">
        <v>280</v>
      </c>
      <c r="K55" s="16">
        <v>23</v>
      </c>
      <c r="L55" s="16">
        <v>23</v>
      </c>
      <c r="M55" s="16"/>
      <c r="N55" s="16">
        <v>0</v>
      </c>
      <c r="O55" s="16"/>
      <c r="P55" s="16">
        <v>3</v>
      </c>
      <c r="Q55" s="16"/>
      <c r="R55" s="18"/>
      <c r="S55" s="15"/>
      <c r="T55" s="20"/>
      <c r="U55" s="17"/>
      <c r="V55" s="17">
        <f>SUM(L55:U55)</f>
        <v>26</v>
      </c>
      <c r="W55" s="15">
        <f ca="1">IFERROR(__xludf.DUMMYFUNCTION("IFERROR(
  SUM(
    FILTER(
      Reporte!$E:$E, 
      REGEXMATCH(Reporte!$A:$A, ""(?i)(TE PAGÓ|PAGASTE)""), 
      Reporte!$H:$H &amp; """" = AH55 &amp; """"
    )
  ), 
  0
)"),0)</f>
        <v>0</v>
      </c>
      <c r="X55" s="15">
        <f ca="1">IFERROR(__xludf.DUMMYFUNCTION("IFERROR(
  SUM(
    FILTER(
      Efectivo!$C:$C, 
      Efectivo!$D:$D &amp; """" = AH55 &amp; """"
    )
  ), 
  0
)"),26)</f>
        <v>26</v>
      </c>
      <c r="Y55" s="15" t="s">
        <v>34</v>
      </c>
      <c r="Z55" s="15"/>
      <c r="AA55" s="15"/>
      <c r="AB55" s="15"/>
      <c r="AC55" s="15"/>
      <c r="AD55" s="15" t="str">
        <f t="shared" si="0"/>
        <v/>
      </c>
      <c r="AE55" s="15" t="e">
        <f>IF(
   OR(
     AND(#REF!&gt;0, OR(Y55="C", Y55="c"), U55&lt;0),
     AND(#REF!&gt;0, Y55="")
   ),
   "CORTE",
   ""
)</f>
        <v>#REF!</v>
      </c>
      <c r="AF55" s="15">
        <f t="shared" si="1"/>
        <v>26</v>
      </c>
      <c r="AG55" s="15">
        <f t="shared" si="2"/>
        <v>0</v>
      </c>
      <c r="AH55" s="15" t="str">
        <f t="shared" si="3"/>
        <v>C</v>
      </c>
      <c r="AI55" s="15" t="str">
        <f t="shared" si="4"/>
        <v>C-23</v>
      </c>
    </row>
    <row r="56" spans="1:35" ht="15.75" customHeight="1" x14ac:dyDescent="0.35">
      <c r="A56" s="8">
        <v>55</v>
      </c>
      <c r="B56" s="9" t="s">
        <v>100</v>
      </c>
      <c r="C56" s="9" t="s">
        <v>73</v>
      </c>
      <c r="D56" s="8">
        <v>24</v>
      </c>
      <c r="E56" s="10"/>
      <c r="F56" s="10"/>
      <c r="G56" s="10"/>
      <c r="H56" s="11">
        <v>1</v>
      </c>
      <c r="I56" s="11">
        <v>543</v>
      </c>
      <c r="J56" s="11">
        <v>546</v>
      </c>
      <c r="K56" s="11">
        <v>3</v>
      </c>
      <c r="L56" s="11">
        <v>5</v>
      </c>
      <c r="M56" s="11"/>
      <c r="N56" s="11">
        <v>0</v>
      </c>
      <c r="O56" s="11"/>
      <c r="P56" s="11">
        <v>3</v>
      </c>
      <c r="Q56" s="11"/>
      <c r="R56" s="19"/>
      <c r="S56" s="10"/>
      <c r="T56" s="21"/>
      <c r="U56" s="12"/>
      <c r="V56" s="12">
        <f>SUM(L56:Q56)</f>
        <v>8</v>
      </c>
      <c r="W56" s="10">
        <f ca="1">IFERROR(__xludf.DUMMYFUNCTION("IFERROR(
  SUM(
    FILTER(
      Reporte!$E:$E, 
      REGEXMATCH(Reporte!$A:$A, ""(?i)(TE PAGÓ|PAGASTE)""), 
      Reporte!$H:$H &amp; """" = AH56 &amp; """"
    )
  ), 
  0
)"),0)</f>
        <v>0</v>
      </c>
      <c r="X56" s="10">
        <f ca="1">IFERROR(__xludf.DUMMYFUNCTION("IFERROR(
  SUM(
    FILTER(
      Efectivo!$C:$C, 
      Efectivo!$D:$D &amp; """" = AH56 &amp; """"
    )
  ), 
  0
)"),8)</f>
        <v>8</v>
      </c>
      <c r="Y56" s="10" t="s">
        <v>34</v>
      </c>
      <c r="Z56" s="10"/>
      <c r="AA56" s="10"/>
      <c r="AB56" s="10"/>
      <c r="AC56" s="10"/>
      <c r="AD56" s="10" t="str">
        <f t="shared" si="0"/>
        <v/>
      </c>
      <c r="AE56" s="10" t="e">
        <f>IF(
   OR(
     AND(#REF!&gt;0, OR(Y56="C", Y56="c"), U56&lt;0),
     AND(#REF!&gt;0, Y56="")
   ),
   "CORTE",
   ""
)</f>
        <v>#REF!</v>
      </c>
      <c r="AF56" s="10">
        <f t="shared" si="1"/>
        <v>8</v>
      </c>
      <c r="AG56" s="10">
        <f t="shared" si="2"/>
        <v>0</v>
      </c>
      <c r="AH56" s="10" t="str">
        <f t="shared" si="3"/>
        <v>C</v>
      </c>
      <c r="AI56" s="10" t="str">
        <f t="shared" si="4"/>
        <v>C-24</v>
      </c>
    </row>
    <row r="57" spans="1:35" ht="15.75" customHeight="1" x14ac:dyDescent="0.35">
      <c r="A57" s="13">
        <v>56</v>
      </c>
      <c r="B57" s="14" t="s">
        <v>101</v>
      </c>
      <c r="C57" s="14" t="s">
        <v>73</v>
      </c>
      <c r="D57" s="13">
        <v>25</v>
      </c>
      <c r="E57" s="15"/>
      <c r="F57" s="15"/>
      <c r="G57" s="15"/>
      <c r="H57" s="16">
        <v>1</v>
      </c>
      <c r="I57" s="16">
        <v>6</v>
      </c>
      <c r="J57" s="16">
        <v>22</v>
      </c>
      <c r="K57" s="16">
        <v>16</v>
      </c>
      <c r="L57" s="16">
        <v>16</v>
      </c>
      <c r="M57" s="16"/>
      <c r="N57" s="16">
        <v>0</v>
      </c>
      <c r="O57" s="16">
        <v>15</v>
      </c>
      <c r="P57" s="16">
        <v>3</v>
      </c>
      <c r="Q57" s="16"/>
      <c r="R57" s="18"/>
      <c r="S57" s="15"/>
      <c r="T57" s="20"/>
      <c r="U57" s="17"/>
      <c r="V57" s="17">
        <f>SUM(L57:U57)</f>
        <v>34</v>
      </c>
      <c r="W57" s="15">
        <f ca="1">IFERROR(__xludf.DUMMYFUNCTION("IFERROR(
  SUM(
    FILTER(
      Reporte!$E:$E, 
      REGEXMATCH(Reporte!$A:$A, ""(?i)(TE PAGÓ|PAGASTE)""), 
      Reporte!$H:$H &amp; """" = AH57 &amp; """"
    )
  ), 
  0
)"),0)</f>
        <v>0</v>
      </c>
      <c r="X57" s="15">
        <f ca="1">IFERROR(__xludf.DUMMYFUNCTION("IFERROR(
  SUM(
    FILTER(
      Efectivo!$C:$C, 
      Efectivo!$D:$D &amp; """" = AH57 &amp; """"
    )
  ), 
  0
)"),34)</f>
        <v>34</v>
      </c>
      <c r="Y57" s="15" t="s">
        <v>34</v>
      </c>
      <c r="Z57" s="15"/>
      <c r="AA57" s="15"/>
      <c r="AB57" s="15"/>
      <c r="AC57" s="15"/>
      <c r="AD57" s="15" t="str">
        <f t="shared" si="0"/>
        <v/>
      </c>
      <c r="AE57" s="15" t="e">
        <f>IF(
   OR(
     AND(#REF!&gt;0, OR(Y57="C", Y57="c"), U57&lt;0),
     AND(#REF!&gt;0, Y57="")
   ),
   "CORTE",
   ""
)</f>
        <v>#REF!</v>
      </c>
      <c r="AF57" s="15">
        <f t="shared" si="1"/>
        <v>34</v>
      </c>
      <c r="AG57" s="15">
        <f t="shared" si="2"/>
        <v>0</v>
      </c>
      <c r="AH57" s="15" t="str">
        <f t="shared" si="3"/>
        <v>C</v>
      </c>
      <c r="AI57" s="15" t="str">
        <f t="shared" si="4"/>
        <v>C-25</v>
      </c>
    </row>
    <row r="58" spans="1:35" ht="15.75" customHeight="1" x14ac:dyDescent="0.35">
      <c r="A58" s="8">
        <v>57</v>
      </c>
      <c r="B58" s="9" t="s">
        <v>102</v>
      </c>
      <c r="C58" s="9" t="s">
        <v>73</v>
      </c>
      <c r="D58" s="8">
        <v>26</v>
      </c>
      <c r="E58" s="10"/>
      <c r="F58" s="10"/>
      <c r="G58" s="10"/>
      <c r="H58" s="11">
        <v>1</v>
      </c>
      <c r="I58" s="11">
        <v>1509</v>
      </c>
      <c r="J58" s="11">
        <v>1510</v>
      </c>
      <c r="K58" s="11">
        <v>1</v>
      </c>
      <c r="L58" s="11">
        <v>5</v>
      </c>
      <c r="M58" s="11"/>
      <c r="N58" s="11">
        <v>0</v>
      </c>
      <c r="O58" s="11"/>
      <c r="P58" s="11">
        <v>3</v>
      </c>
      <c r="Q58" s="11"/>
      <c r="R58" s="19"/>
      <c r="S58" s="10"/>
      <c r="T58" s="21"/>
      <c r="U58" s="12"/>
      <c r="V58" s="12">
        <f>SUM(L58:Q58)</f>
        <v>8</v>
      </c>
      <c r="W58" s="10">
        <f ca="1">IFERROR(__xludf.DUMMYFUNCTION("IFERROR(
  SUM(
    FILTER(
      Reporte!$E:$E, 
      REGEXMATCH(Reporte!$A:$A, ""(?i)(TE PAGÓ|PAGASTE)""), 
      Reporte!$H:$H &amp; """" = AH58 &amp; """"
    )
  ), 
  0
)"),0)</f>
        <v>0</v>
      </c>
      <c r="X58" s="10">
        <f ca="1">IFERROR(__xludf.DUMMYFUNCTION("IFERROR(
  SUM(
    FILTER(
      Efectivo!$C:$C, 
      Efectivo!$D:$D &amp; """" = AH58 &amp; """"
    )
  ), 
  0
)"),0)</f>
        <v>0</v>
      </c>
      <c r="Y58" s="10"/>
      <c r="Z58" s="10"/>
      <c r="AA58" s="10"/>
      <c r="AB58" s="10"/>
      <c r="AC58" s="10"/>
      <c r="AD58" s="10" t="str">
        <f t="shared" si="0"/>
        <v/>
      </c>
      <c r="AE58" s="10" t="e">
        <f>IF(
   OR(
     AND(#REF!&gt;0, OR(Y58="C", Y58="c"), U58&lt;0),
     AND(#REF!&gt;0, Y58="")
   ),
   "CORTE",
   ""
)</f>
        <v>#REF!</v>
      </c>
      <c r="AF58" s="10">
        <f t="shared" si="1"/>
        <v>0</v>
      </c>
      <c r="AG58" s="10">
        <f t="shared" si="2"/>
        <v>0</v>
      </c>
      <c r="AH58" s="10" t="str">
        <f t="shared" si="3"/>
        <v>C</v>
      </c>
      <c r="AI58" s="10" t="str">
        <f t="shared" si="4"/>
        <v>C-26</v>
      </c>
    </row>
    <row r="59" spans="1:35" ht="15.75" customHeight="1" x14ac:dyDescent="0.35">
      <c r="A59" s="13">
        <v>58</v>
      </c>
      <c r="B59" s="14" t="s">
        <v>103</v>
      </c>
      <c r="C59" s="14" t="s">
        <v>73</v>
      </c>
      <c r="D59" s="13">
        <v>27</v>
      </c>
      <c r="E59" s="15"/>
      <c r="F59" s="15"/>
      <c r="G59" s="15"/>
      <c r="H59" s="16">
        <v>1</v>
      </c>
      <c r="I59" s="16">
        <v>240</v>
      </c>
      <c r="J59" s="16">
        <v>256</v>
      </c>
      <c r="K59" s="16">
        <v>16</v>
      </c>
      <c r="L59" s="16">
        <v>16</v>
      </c>
      <c r="M59" s="16"/>
      <c r="N59" s="16">
        <v>0</v>
      </c>
      <c r="O59" s="16"/>
      <c r="P59" s="16">
        <v>3</v>
      </c>
      <c r="Q59" s="16"/>
      <c r="R59" s="18"/>
      <c r="S59" s="15"/>
      <c r="T59" s="20"/>
      <c r="U59" s="17"/>
      <c r="V59" s="17">
        <f>SUM(L59:U59)</f>
        <v>19</v>
      </c>
      <c r="W59" s="15">
        <f ca="1">IFERROR(__xludf.DUMMYFUNCTION("IFERROR(
  SUM(
    FILTER(
      Reporte!$E:$E, 
      REGEXMATCH(Reporte!$A:$A, ""(?i)(TE PAGÓ|PAGASTE)""), 
      Reporte!$H:$H &amp; """" = AH59 &amp; """"
    )
  ), 
  0
)"),0)</f>
        <v>0</v>
      </c>
      <c r="X59" s="15">
        <f ca="1">IFERROR(__xludf.DUMMYFUNCTION("IFERROR(
  SUM(
    FILTER(
      Efectivo!$C:$C, 
      Efectivo!$D:$D &amp; """" = AH59 &amp; """"
    )
  ), 
  0
)"),19)</f>
        <v>19</v>
      </c>
      <c r="Y59" s="15" t="s">
        <v>34</v>
      </c>
      <c r="Z59" s="15"/>
      <c r="AA59" s="15"/>
      <c r="AB59" s="15"/>
      <c r="AC59" s="15"/>
      <c r="AD59" s="15" t="str">
        <f t="shared" si="0"/>
        <v/>
      </c>
      <c r="AE59" s="15" t="e">
        <f>IF(
   OR(
     AND(#REF!&gt;0, OR(Y59="C", Y59="c"), U59&lt;0),
     AND(#REF!&gt;0, Y59="")
   ),
   "CORTE",
   ""
)</f>
        <v>#REF!</v>
      </c>
      <c r="AF59" s="15">
        <f t="shared" si="1"/>
        <v>19</v>
      </c>
      <c r="AG59" s="15">
        <f t="shared" si="2"/>
        <v>0</v>
      </c>
      <c r="AH59" s="15" t="str">
        <f t="shared" si="3"/>
        <v>C</v>
      </c>
      <c r="AI59" s="15" t="str">
        <f t="shared" si="4"/>
        <v>C-27</v>
      </c>
    </row>
    <row r="60" spans="1:35" ht="15.75" customHeight="1" x14ac:dyDescent="0.35">
      <c r="A60" s="8">
        <v>59</v>
      </c>
      <c r="B60" s="9" t="s">
        <v>104</v>
      </c>
      <c r="C60" s="9" t="s">
        <v>73</v>
      </c>
      <c r="D60" s="8">
        <v>28</v>
      </c>
      <c r="E60" s="10"/>
      <c r="F60" s="10"/>
      <c r="G60" s="10"/>
      <c r="H60" s="11">
        <v>1</v>
      </c>
      <c r="I60" s="11">
        <v>2</v>
      </c>
      <c r="J60" s="11">
        <v>10</v>
      </c>
      <c r="K60" s="11">
        <v>8</v>
      </c>
      <c r="L60" s="11">
        <v>8</v>
      </c>
      <c r="M60" s="11"/>
      <c r="N60" s="11">
        <v>0</v>
      </c>
      <c r="O60" s="11"/>
      <c r="P60" s="11">
        <v>3</v>
      </c>
      <c r="Q60" s="11"/>
      <c r="R60" s="19"/>
      <c r="S60" s="10"/>
      <c r="T60" s="21"/>
      <c r="U60" s="12"/>
      <c r="V60" s="12">
        <f t="shared" ref="V60:V65" si="6">SUM(L60:Q60)</f>
        <v>11</v>
      </c>
      <c r="W60" s="10">
        <f ca="1">IFERROR(__xludf.DUMMYFUNCTION("IFERROR(
  SUM(
    FILTER(
      Reporte!$E:$E, 
      REGEXMATCH(Reporte!$A:$A, ""(?i)(TE PAGÓ|PAGASTE)""), 
      Reporte!$H:$H &amp; """" = AH60 &amp; """"
    )
  ), 
  0
)"),11)</f>
        <v>11</v>
      </c>
      <c r="X60" s="10">
        <f ca="1">IFERROR(__xludf.DUMMYFUNCTION("IFERROR(
  SUM(
    FILTER(
      Efectivo!$C:$C, 
      Efectivo!$D:$D &amp; """" = AH60 &amp; """"
    )
  ), 
  0
)"),0)</f>
        <v>0</v>
      </c>
      <c r="Y60" s="10" t="s">
        <v>34</v>
      </c>
      <c r="Z60" s="10"/>
      <c r="AA60" s="10" t="s">
        <v>35</v>
      </c>
      <c r="AB60" s="10"/>
      <c r="AC60" s="10"/>
      <c r="AD60" s="10" t="str">
        <f t="shared" si="0"/>
        <v/>
      </c>
      <c r="AE60" s="10" t="e">
        <f>IF(
   OR(
     AND(#REF!&gt;0, OR(Y60="C", Y60="c"), U60&lt;0),
     AND(#REF!&gt;0, Y60="")
   ),
   "CORTE",
   ""
)</f>
        <v>#REF!</v>
      </c>
      <c r="AF60" s="10">
        <f t="shared" si="1"/>
        <v>0</v>
      </c>
      <c r="AG60" s="10">
        <f t="shared" si="2"/>
        <v>11</v>
      </c>
      <c r="AH60" s="10" t="str">
        <f t="shared" si="3"/>
        <v>C</v>
      </c>
      <c r="AI60" s="10" t="str">
        <f t="shared" si="4"/>
        <v>C-28</v>
      </c>
    </row>
    <row r="61" spans="1:35" ht="15.75" customHeight="1" x14ac:dyDescent="0.35">
      <c r="A61" s="13">
        <v>60</v>
      </c>
      <c r="B61" s="14" t="s">
        <v>105</v>
      </c>
      <c r="C61" s="14" t="s">
        <v>73</v>
      </c>
      <c r="D61" s="13">
        <v>30</v>
      </c>
      <c r="E61" s="15"/>
      <c r="F61" s="15"/>
      <c r="G61" s="15"/>
      <c r="H61" s="16">
        <v>1</v>
      </c>
      <c r="I61" s="16">
        <v>3572</v>
      </c>
      <c r="J61" s="16">
        <v>3591</v>
      </c>
      <c r="K61" s="16">
        <v>19</v>
      </c>
      <c r="L61" s="16">
        <v>19</v>
      </c>
      <c r="M61" s="16"/>
      <c r="N61" s="16">
        <v>0</v>
      </c>
      <c r="O61" s="16"/>
      <c r="P61" s="16">
        <v>3</v>
      </c>
      <c r="Q61" s="16"/>
      <c r="R61" s="18"/>
      <c r="S61" s="15"/>
      <c r="T61" s="20"/>
      <c r="U61" s="17"/>
      <c r="V61" s="17">
        <f t="shared" si="6"/>
        <v>22</v>
      </c>
      <c r="W61" s="15">
        <f ca="1">IFERROR(__xludf.DUMMYFUNCTION("IFERROR(
  SUM(
    FILTER(
      Reporte!$E:$E, 
      REGEXMATCH(Reporte!$A:$A, ""(?i)(TE PAGÓ|PAGASTE)""), 
      Reporte!$H:$H &amp; """" = AH61 &amp; """"
    )
  ), 
  0
)"),0)</f>
        <v>0</v>
      </c>
      <c r="X61" s="15">
        <f ca="1">IFERROR(__xludf.DUMMYFUNCTION("IFERROR(
  SUM(
    FILTER(
      Efectivo!$C:$C, 
      Efectivo!$D:$D &amp; """" = AH61 &amp; """"
    )
  ), 
  0
)"),0)</f>
        <v>0</v>
      </c>
      <c r="Y61" s="15"/>
      <c r="Z61" s="15"/>
      <c r="AA61" s="15"/>
      <c r="AB61" s="15"/>
      <c r="AC61" s="15"/>
      <c r="AD61" s="15" t="str">
        <f t="shared" si="0"/>
        <v/>
      </c>
      <c r="AE61" s="15" t="e">
        <f>IF(
   OR(
     AND(#REF!&gt;0, OR(Y61="C", Y61="c"), U61&lt;0),
     AND(#REF!&gt;0, Y61="")
   ),
   "CORTE",
   ""
)</f>
        <v>#REF!</v>
      </c>
      <c r="AF61" s="15">
        <f t="shared" si="1"/>
        <v>0</v>
      </c>
      <c r="AG61" s="15">
        <f t="shared" si="2"/>
        <v>0</v>
      </c>
      <c r="AH61" s="15" t="str">
        <f t="shared" si="3"/>
        <v>C</v>
      </c>
      <c r="AI61" s="15" t="str">
        <f t="shared" si="4"/>
        <v>C-30</v>
      </c>
    </row>
    <row r="62" spans="1:35" ht="15.75" customHeight="1" x14ac:dyDescent="0.35">
      <c r="A62" s="8">
        <v>61</v>
      </c>
      <c r="B62" s="9" t="s">
        <v>106</v>
      </c>
      <c r="C62" s="9" t="s">
        <v>73</v>
      </c>
      <c r="D62" s="8">
        <v>31</v>
      </c>
      <c r="E62" s="10"/>
      <c r="F62" s="10"/>
      <c r="G62" s="10"/>
      <c r="H62" s="11">
        <v>1</v>
      </c>
      <c r="I62" s="11">
        <v>692</v>
      </c>
      <c r="J62" s="11">
        <v>701</v>
      </c>
      <c r="K62" s="11">
        <v>9</v>
      </c>
      <c r="L62" s="11">
        <v>9</v>
      </c>
      <c r="M62" s="11"/>
      <c r="N62" s="11">
        <v>0</v>
      </c>
      <c r="O62" s="11"/>
      <c r="P62" s="11">
        <v>3</v>
      </c>
      <c r="Q62" s="11"/>
      <c r="R62" s="19"/>
      <c r="S62" s="10"/>
      <c r="T62" s="21"/>
      <c r="U62" s="12"/>
      <c r="V62" s="12">
        <f t="shared" si="6"/>
        <v>12</v>
      </c>
      <c r="W62" s="10">
        <f ca="1">IFERROR(__xludf.DUMMYFUNCTION("IFERROR(
  SUM(
    FILTER(
      Reporte!$E:$E, 
      REGEXMATCH(Reporte!$A:$A, ""(?i)(TE PAGÓ|PAGASTE)""), 
      Reporte!$H:$H &amp; """" = AH62 &amp; """"
    )
  ), 
  0
)"),0)</f>
        <v>0</v>
      </c>
      <c r="X62" s="10">
        <f ca="1">IFERROR(__xludf.DUMMYFUNCTION("IFERROR(
  SUM(
    FILTER(
      Efectivo!$C:$C, 
      Efectivo!$D:$D &amp; """" = AH62 &amp; """"
    )
  ), 
  0
)"),0)</f>
        <v>0</v>
      </c>
      <c r="Y62" s="10"/>
      <c r="Z62" s="10"/>
      <c r="AA62" s="10"/>
      <c r="AB62" s="10"/>
      <c r="AC62" s="10"/>
      <c r="AD62" s="10" t="str">
        <f t="shared" si="0"/>
        <v/>
      </c>
      <c r="AE62" s="10" t="e">
        <f>IF(
   OR(
     AND(#REF!&gt;0, OR(Y62="C", Y62="c"), U62&lt;0),
     AND(#REF!&gt;0, Y62="")
   ),
   "CORTE",
   ""
)</f>
        <v>#REF!</v>
      </c>
      <c r="AF62" s="10">
        <f t="shared" si="1"/>
        <v>0</v>
      </c>
      <c r="AG62" s="10">
        <f t="shared" si="2"/>
        <v>0</v>
      </c>
      <c r="AH62" s="10" t="str">
        <f t="shared" si="3"/>
        <v>C</v>
      </c>
      <c r="AI62" s="10" t="str">
        <f t="shared" si="4"/>
        <v>C-31</v>
      </c>
    </row>
    <row r="63" spans="1:35" ht="15.75" customHeight="1" x14ac:dyDescent="0.35">
      <c r="A63" s="13">
        <v>62</v>
      </c>
      <c r="B63" s="14" t="s">
        <v>107</v>
      </c>
      <c r="C63" s="14" t="s">
        <v>73</v>
      </c>
      <c r="D63" s="13">
        <v>32</v>
      </c>
      <c r="E63" s="15"/>
      <c r="F63" s="15"/>
      <c r="G63" s="15"/>
      <c r="H63" s="16">
        <v>1</v>
      </c>
      <c r="I63" s="16">
        <v>1</v>
      </c>
      <c r="J63" s="16">
        <v>5</v>
      </c>
      <c r="K63" s="16">
        <v>4</v>
      </c>
      <c r="L63" s="16">
        <v>5</v>
      </c>
      <c r="M63" s="16"/>
      <c r="N63" s="16">
        <v>0</v>
      </c>
      <c r="O63" s="16">
        <v>25</v>
      </c>
      <c r="P63" s="16">
        <v>3</v>
      </c>
      <c r="Q63" s="16"/>
      <c r="R63" s="18"/>
      <c r="S63" s="15"/>
      <c r="T63" s="20"/>
      <c r="U63" s="17"/>
      <c r="V63" s="17">
        <f t="shared" si="6"/>
        <v>33</v>
      </c>
      <c r="W63" s="15">
        <f ca="1">IFERROR(__xludf.DUMMYFUNCTION("IFERROR(
  SUM(
    FILTER(
      Reporte!$E:$E, 
      REGEXMATCH(Reporte!$A:$A, ""(?i)(TE PAGÓ|PAGASTE)""), 
      Reporte!$H:$H &amp; """" = AH63 &amp; """"
    )
  ), 
  0
)"),0)</f>
        <v>0</v>
      </c>
      <c r="X63" s="15">
        <f ca="1">IFERROR(__xludf.DUMMYFUNCTION("IFERROR(
  SUM(
    FILTER(
      Efectivo!$C:$C, 
      Efectivo!$D:$D &amp; """" = AH63 &amp; """"
    )
  ), 
  0
)"),33)</f>
        <v>33</v>
      </c>
      <c r="Y63" s="15" t="s">
        <v>34</v>
      </c>
      <c r="Z63" s="15"/>
      <c r="AA63" s="15"/>
      <c r="AB63" s="15"/>
      <c r="AC63" s="15"/>
      <c r="AD63" s="15" t="str">
        <f t="shared" si="0"/>
        <v/>
      </c>
      <c r="AE63" s="15" t="e">
        <f>IF(
   OR(
     AND(#REF!&gt;0, OR(Y63="C", Y63="c"), U63&lt;0),
     AND(#REF!&gt;0, Y63="")
   ),
   "CORTE",
   ""
)</f>
        <v>#REF!</v>
      </c>
      <c r="AF63" s="15">
        <f t="shared" si="1"/>
        <v>33</v>
      </c>
      <c r="AG63" s="15">
        <f t="shared" si="2"/>
        <v>0</v>
      </c>
      <c r="AH63" s="15" t="str">
        <f t="shared" si="3"/>
        <v>C</v>
      </c>
      <c r="AI63" s="15" t="str">
        <f t="shared" si="4"/>
        <v>C-32</v>
      </c>
    </row>
    <row r="64" spans="1:35" ht="15.75" customHeight="1" x14ac:dyDescent="0.35">
      <c r="A64" s="8">
        <v>63</v>
      </c>
      <c r="B64" s="9" t="s">
        <v>108</v>
      </c>
      <c r="C64" s="9" t="s">
        <v>73</v>
      </c>
      <c r="D64" s="8">
        <v>33</v>
      </c>
      <c r="E64" s="10"/>
      <c r="F64" s="10"/>
      <c r="G64" s="10"/>
      <c r="H64" s="11">
        <v>1</v>
      </c>
      <c r="I64" s="11">
        <v>334</v>
      </c>
      <c r="J64" s="11">
        <v>348</v>
      </c>
      <c r="K64" s="11">
        <v>14</v>
      </c>
      <c r="L64" s="11">
        <v>14</v>
      </c>
      <c r="M64" s="11"/>
      <c r="N64" s="11">
        <v>0</v>
      </c>
      <c r="O64" s="11"/>
      <c r="P64" s="11">
        <v>3</v>
      </c>
      <c r="Q64" s="11"/>
      <c r="R64" s="19"/>
      <c r="S64" s="10"/>
      <c r="T64" s="21"/>
      <c r="U64" s="12"/>
      <c r="V64" s="12">
        <f t="shared" si="6"/>
        <v>17</v>
      </c>
      <c r="W64" s="10">
        <f ca="1">IFERROR(__xludf.DUMMYFUNCTION("IFERROR(
  SUM(
    FILTER(
      Reporte!$E:$E, 
      REGEXMATCH(Reporte!$A:$A, ""(?i)(TE PAGÓ|PAGASTE)""), 
      Reporte!$H:$H &amp; """" = AH64 &amp; """"
    )
  ), 
  0
)"),0)</f>
        <v>0</v>
      </c>
      <c r="X64" s="10">
        <f ca="1">IFERROR(__xludf.DUMMYFUNCTION("IFERROR(
  SUM(
    FILTER(
      Efectivo!$C:$C, 
      Efectivo!$D:$D &amp; """" = AH64 &amp; """"
    )
  ), 
  0
)"),17)</f>
        <v>17</v>
      </c>
      <c r="Y64" s="10" t="s">
        <v>34</v>
      </c>
      <c r="Z64" s="10"/>
      <c r="AA64" s="10"/>
      <c r="AB64" s="10"/>
      <c r="AC64" s="10"/>
      <c r="AD64" s="10" t="str">
        <f t="shared" si="0"/>
        <v/>
      </c>
      <c r="AE64" s="10" t="e">
        <f>IF(
   OR(
     AND(#REF!&gt;0, OR(Y64="C", Y64="c"), U64&lt;0),
     AND(#REF!&gt;0, Y64="")
   ),
   "CORTE",
   ""
)</f>
        <v>#REF!</v>
      </c>
      <c r="AF64" s="10">
        <f t="shared" si="1"/>
        <v>17</v>
      </c>
      <c r="AG64" s="10">
        <f t="shared" si="2"/>
        <v>0</v>
      </c>
      <c r="AH64" s="10" t="str">
        <f t="shared" si="3"/>
        <v>C</v>
      </c>
      <c r="AI64" s="10" t="str">
        <f t="shared" si="4"/>
        <v>C-33</v>
      </c>
    </row>
    <row r="65" spans="1:35" ht="15.75" customHeight="1" x14ac:dyDescent="0.35">
      <c r="A65" s="13">
        <v>64</v>
      </c>
      <c r="B65" s="14" t="s">
        <v>109</v>
      </c>
      <c r="C65" s="14" t="s">
        <v>73</v>
      </c>
      <c r="D65" s="13">
        <v>34</v>
      </c>
      <c r="E65" s="15" t="s">
        <v>73</v>
      </c>
      <c r="F65" s="15"/>
      <c r="G65" s="15"/>
      <c r="H65" s="16">
        <v>1</v>
      </c>
      <c r="I65" s="16">
        <v>18</v>
      </c>
      <c r="J65" s="16">
        <v>23</v>
      </c>
      <c r="K65" s="16">
        <v>5</v>
      </c>
      <c r="L65" s="16">
        <v>5</v>
      </c>
      <c r="M65" s="16"/>
      <c r="N65" s="16">
        <v>0</v>
      </c>
      <c r="O65" s="16"/>
      <c r="P65" s="16">
        <v>3</v>
      </c>
      <c r="Q65" s="16"/>
      <c r="R65" s="18"/>
      <c r="S65" s="15"/>
      <c r="T65" s="20"/>
      <c r="U65" s="17"/>
      <c r="V65" s="17">
        <f t="shared" si="6"/>
        <v>8</v>
      </c>
      <c r="W65" s="15">
        <f ca="1">IFERROR(__xludf.DUMMYFUNCTION("IFERROR(
  SUM(
    FILTER(
      Reporte!$E:$E, 
      REGEXMATCH(Reporte!$A:$A, ""(?i)(TE PAGÓ|PAGASTE)""), 
      Reporte!$H:$H &amp; """" = AH65 &amp; """"
    )
  ), 
  0
)"),8)</f>
        <v>8</v>
      </c>
      <c r="X65" s="15">
        <f ca="1">IFERROR(__xludf.DUMMYFUNCTION("IFERROR(
  SUM(
    FILTER(
      Efectivo!$C:$C, 
      Efectivo!$D:$D &amp; """" = AH65 &amp; """"
    )
  ), 
  0
)"),0)</f>
        <v>0</v>
      </c>
      <c r="Y65" s="15" t="s">
        <v>34</v>
      </c>
      <c r="Z65" s="15"/>
      <c r="AA65" s="15" t="s">
        <v>35</v>
      </c>
      <c r="AB65" s="15"/>
      <c r="AC65" s="15"/>
      <c r="AD65" s="15" t="str">
        <f t="shared" si="0"/>
        <v/>
      </c>
      <c r="AE65" s="15" t="e">
        <f>IF(
   OR(
     AND(#REF!&gt;0, OR(Y65="C", Y65="c"), U65&lt;0),
     AND(#REF!&gt;0, Y65="")
   ),
   "CORTE",
   ""
)</f>
        <v>#REF!</v>
      </c>
      <c r="AF65" s="15">
        <f t="shared" si="1"/>
        <v>0</v>
      </c>
      <c r="AG65" s="15">
        <f t="shared" si="2"/>
        <v>8</v>
      </c>
      <c r="AH65" s="15" t="str">
        <f t="shared" si="3"/>
        <v>C</v>
      </c>
      <c r="AI65" s="15" t="str">
        <f t="shared" si="4"/>
        <v>C-34</v>
      </c>
    </row>
    <row r="66" spans="1:35" ht="15.75" customHeight="1" x14ac:dyDescent="0.35">
      <c r="A66" s="8">
        <v>65</v>
      </c>
      <c r="B66" s="9" t="s">
        <v>110</v>
      </c>
      <c r="C66" s="9" t="s">
        <v>73</v>
      </c>
      <c r="D66" s="8">
        <v>35</v>
      </c>
      <c r="E66" s="10"/>
      <c r="F66" s="10"/>
      <c r="G66" s="10"/>
      <c r="H66" s="11">
        <v>1</v>
      </c>
      <c r="I66" s="11">
        <v>616</v>
      </c>
      <c r="J66" s="11">
        <v>634</v>
      </c>
      <c r="K66" s="11">
        <v>18</v>
      </c>
      <c r="L66" s="11">
        <v>18</v>
      </c>
      <c r="M66" s="11">
        <v>18</v>
      </c>
      <c r="N66" s="11">
        <v>20</v>
      </c>
      <c r="O66" s="11"/>
      <c r="P66" s="11">
        <v>3</v>
      </c>
      <c r="Q66" s="11">
        <v>20</v>
      </c>
      <c r="R66" s="19"/>
      <c r="S66" s="10"/>
      <c r="T66" s="21"/>
      <c r="U66" s="12"/>
      <c r="V66" s="12">
        <f>SUM(L66:U66)</f>
        <v>79</v>
      </c>
      <c r="W66" s="10">
        <f ca="1">IFERROR(__xludf.DUMMYFUNCTION("IFERROR(
  SUM(
    FILTER(
      Reporte!$E:$E, 
      REGEXMATCH(Reporte!$A:$A, ""(?i)(TE PAGÓ|PAGASTE)""), 
      Reporte!$H:$H &amp; """" = AH66 &amp; """"
    )
  ), 
  0
)"),79)</f>
        <v>79</v>
      </c>
      <c r="X66" s="10">
        <f ca="1">IFERROR(__xludf.DUMMYFUNCTION("IFERROR(
  SUM(
    FILTER(
      Efectivo!$C:$C, 
      Efectivo!$D:$D &amp; """" = AH66 &amp; """"
    )
  ), 
  0
)"),0)</f>
        <v>0</v>
      </c>
      <c r="Y66" s="10" t="s">
        <v>34</v>
      </c>
      <c r="Z66" s="10"/>
      <c r="AA66" s="10" t="s">
        <v>35</v>
      </c>
      <c r="AB66" s="10" t="s">
        <v>111</v>
      </c>
      <c r="AC66" s="10"/>
      <c r="AD66" s="10" t="str">
        <f t="shared" ref="AD66:AD129" si="7">IF(AND(L66&gt;0, M66&gt;=8, NOT(OR(Y66="C", Y66="c"))), "CORTE", "")</f>
        <v/>
      </c>
      <c r="AE66" s="10" t="e">
        <f>IF(
   OR(
     AND(#REF!&gt;0, OR(Y66="C", Y66="c"), U66&lt;0),
     AND(#REF!&gt;0, Y66="")
   ),
   "CORTE",
   ""
)</f>
        <v>#REF!</v>
      </c>
      <c r="AF66" s="10">
        <f t="shared" si="1"/>
        <v>0</v>
      </c>
      <c r="AG66" s="10">
        <f t="shared" si="2"/>
        <v>79</v>
      </c>
      <c r="AH66" s="10" t="str">
        <f t="shared" ref="AH66:AH129" si="8">TRIM(UPPER(C66))</f>
        <v>C</v>
      </c>
      <c r="AI66" s="10" t="str">
        <f t="shared" ref="AI66:AI129" si="9">TRIM(UPPER(C66)) &amp; "-" &amp; TRIM(UPPER(D66))</f>
        <v>C-35</v>
      </c>
    </row>
    <row r="67" spans="1:35" ht="15.75" customHeight="1" x14ac:dyDescent="0.35">
      <c r="A67" s="13">
        <v>66</v>
      </c>
      <c r="B67" s="14" t="s">
        <v>112</v>
      </c>
      <c r="C67" s="14" t="s">
        <v>73</v>
      </c>
      <c r="D67" s="13">
        <v>36</v>
      </c>
      <c r="E67" s="15"/>
      <c r="F67" s="15"/>
      <c r="G67" s="15"/>
      <c r="H67" s="16">
        <v>1</v>
      </c>
      <c r="I67" s="16">
        <v>265</v>
      </c>
      <c r="J67" s="16">
        <v>271</v>
      </c>
      <c r="K67" s="16">
        <v>6</v>
      </c>
      <c r="L67" s="16">
        <v>6</v>
      </c>
      <c r="M67" s="16"/>
      <c r="N67" s="16">
        <v>0</v>
      </c>
      <c r="O67" s="16"/>
      <c r="P67" s="16">
        <v>3</v>
      </c>
      <c r="Q67" s="16"/>
      <c r="R67" s="18"/>
      <c r="S67" s="15"/>
      <c r="T67" s="20"/>
      <c r="U67" s="17"/>
      <c r="V67" s="17">
        <f>SUM(L67:Q67)</f>
        <v>9</v>
      </c>
      <c r="W67" s="15">
        <f ca="1">IFERROR(__xludf.DUMMYFUNCTION("IFERROR(
  SUM(
    FILTER(
      Reporte!$E:$E, 
      REGEXMATCH(Reporte!$A:$A, ""(?i)(TE PAGÓ|PAGASTE)""), 
      Reporte!$H:$H &amp; """" = AH67 &amp; """"
    )
  ), 
  0
)"),9)</f>
        <v>9</v>
      </c>
      <c r="X67" s="15">
        <f ca="1">IFERROR(__xludf.DUMMYFUNCTION("IFERROR(
  SUM(
    FILTER(
      Efectivo!$C:$C, 
      Efectivo!$D:$D &amp; """" = AH67 &amp; """"
    )
  ), 
  0
)"),0)</f>
        <v>0</v>
      </c>
      <c r="Y67" s="15" t="s">
        <v>34</v>
      </c>
      <c r="Z67" s="15"/>
      <c r="AA67" s="15" t="s">
        <v>35</v>
      </c>
      <c r="AB67" s="15"/>
      <c r="AC67" s="15"/>
      <c r="AD67" s="15" t="str">
        <f t="shared" si="7"/>
        <v/>
      </c>
      <c r="AE67" s="15" t="e">
        <f>IF(
   OR(
     AND(#REF!&gt;0, OR(Y67="C", Y67="c"), U67&lt;0),
     AND(#REF!&gt;0, Y67="")
   ),
   "CORTE",
   ""
)</f>
        <v>#REF!</v>
      </c>
      <c r="AF67" s="15">
        <f t="shared" si="1"/>
        <v>0</v>
      </c>
      <c r="AG67" s="15">
        <f t="shared" si="2"/>
        <v>9</v>
      </c>
      <c r="AH67" s="15" t="str">
        <f t="shared" si="8"/>
        <v>C</v>
      </c>
      <c r="AI67" s="15" t="str">
        <f t="shared" si="9"/>
        <v>C-36</v>
      </c>
    </row>
    <row r="68" spans="1:35" ht="15.75" customHeight="1" x14ac:dyDescent="0.35">
      <c r="A68" s="8">
        <v>67</v>
      </c>
      <c r="B68" s="9" t="s">
        <v>113</v>
      </c>
      <c r="C68" s="9" t="s">
        <v>73</v>
      </c>
      <c r="D68" s="8">
        <v>37</v>
      </c>
      <c r="E68" s="10"/>
      <c r="F68" s="10"/>
      <c r="G68" s="10"/>
      <c r="H68" s="11">
        <v>1</v>
      </c>
      <c r="I68" s="11">
        <v>286</v>
      </c>
      <c r="J68" s="11">
        <v>296</v>
      </c>
      <c r="K68" s="11">
        <v>10</v>
      </c>
      <c r="L68" s="11">
        <v>10</v>
      </c>
      <c r="M68" s="11"/>
      <c r="N68" s="11">
        <v>0</v>
      </c>
      <c r="O68" s="11"/>
      <c r="P68" s="11">
        <v>3</v>
      </c>
      <c r="Q68" s="11"/>
      <c r="R68" s="19"/>
      <c r="S68" s="10"/>
      <c r="T68" s="21"/>
      <c r="U68" s="12"/>
      <c r="V68" s="12">
        <f>SUM(L68:Q68)</f>
        <v>13</v>
      </c>
      <c r="W68" s="10">
        <f ca="1">IFERROR(__xludf.DUMMYFUNCTION("IFERROR(
  SUM(
    FILTER(
      Reporte!$E:$E, 
      REGEXMATCH(Reporte!$A:$A, ""(?i)(TE PAGÓ|PAGASTE)""), 
      Reporte!$H:$H &amp; """" = AH68 &amp; """"
    )
  ), 
  0
)"),0)</f>
        <v>0</v>
      </c>
      <c r="X68" s="10">
        <f ca="1">IFERROR(__xludf.DUMMYFUNCTION("IFERROR(
  SUM(
    FILTER(
      Efectivo!$C:$C, 
      Efectivo!$D:$D &amp; """" = AH68 &amp; """"
    )
  ), 
  0
)"),13)</f>
        <v>13</v>
      </c>
      <c r="Y68" s="10" t="s">
        <v>34</v>
      </c>
      <c r="Z68" s="10"/>
      <c r="AA68" s="10"/>
      <c r="AB68" s="10"/>
      <c r="AC68" s="10"/>
      <c r="AD68" s="10" t="str">
        <f t="shared" si="7"/>
        <v/>
      </c>
      <c r="AE68" s="10" t="e">
        <f>IF(
   OR(
     AND(#REF!&gt;0, OR(Y68="C", Y68="c"), U68&lt;0),
     AND(#REF!&gt;0, Y68="")
   ),
   "CORTE",
   ""
)</f>
        <v>#REF!</v>
      </c>
      <c r="AF68" s="10">
        <f t="shared" si="1"/>
        <v>13</v>
      </c>
      <c r="AG68" s="10">
        <f t="shared" si="2"/>
        <v>0</v>
      </c>
      <c r="AH68" s="10" t="str">
        <f t="shared" si="8"/>
        <v>C</v>
      </c>
      <c r="AI68" s="10" t="str">
        <f t="shared" si="9"/>
        <v>C-37</v>
      </c>
    </row>
    <row r="69" spans="1:35" ht="15.75" customHeight="1" x14ac:dyDescent="0.35">
      <c r="A69" s="13">
        <v>68</v>
      </c>
      <c r="B69" s="14" t="s">
        <v>114</v>
      </c>
      <c r="C69" s="14" t="s">
        <v>73</v>
      </c>
      <c r="D69" s="13">
        <v>42</v>
      </c>
      <c r="E69" s="15" t="s">
        <v>71</v>
      </c>
      <c r="F69" s="15"/>
      <c r="G69" s="15"/>
      <c r="H69" s="16">
        <v>1</v>
      </c>
      <c r="I69" s="16">
        <v>312</v>
      </c>
      <c r="J69" s="16">
        <v>327</v>
      </c>
      <c r="K69" s="16">
        <v>15</v>
      </c>
      <c r="L69" s="16">
        <v>15</v>
      </c>
      <c r="M69" s="16"/>
      <c r="N69" s="16">
        <v>0</v>
      </c>
      <c r="O69" s="16"/>
      <c r="P69" s="16">
        <v>3</v>
      </c>
      <c r="Q69" s="16"/>
      <c r="R69" s="18"/>
      <c r="S69" s="15"/>
      <c r="T69" s="20"/>
      <c r="U69" s="17"/>
      <c r="V69" s="17">
        <f>SUM(L69:Q69)</f>
        <v>18</v>
      </c>
      <c r="W69" s="15">
        <f ca="1">IFERROR(__xludf.DUMMYFUNCTION("IFERROR(
  SUM(
    FILTER(
      Reporte!$E:$E, 
      REGEXMATCH(Reporte!$A:$A, ""(?i)(TE PAGÓ|PAGASTE)""), 
      Reporte!$H:$H &amp; """" = AH69 &amp; """"
    )
  ), 
  0
)"),0)</f>
        <v>0</v>
      </c>
      <c r="X69" s="15">
        <f ca="1">IFERROR(__xludf.DUMMYFUNCTION("IFERROR(
  SUM(
    FILTER(
      Efectivo!$C:$C, 
      Efectivo!$D:$D &amp; """" = AH69 &amp; """"
    )
  ), 
  0
)"),0)</f>
        <v>0</v>
      </c>
      <c r="Y69" s="15"/>
      <c r="Z69" s="15"/>
      <c r="AA69" s="15"/>
      <c r="AB69" s="15"/>
      <c r="AC69" s="15"/>
      <c r="AD69" s="15" t="str">
        <f t="shared" si="7"/>
        <v/>
      </c>
      <c r="AE69" s="15" t="e">
        <f>IF(
   OR(
     AND(#REF!&gt;0, OR(Y69="C", Y69="c"), U69&lt;0),
     AND(#REF!&gt;0, Y69="")
   ),
   "CORTE",
   ""
)</f>
        <v>#REF!</v>
      </c>
      <c r="AF69" s="15">
        <f t="shared" si="1"/>
        <v>0</v>
      </c>
      <c r="AG69" s="15">
        <f t="shared" si="2"/>
        <v>0</v>
      </c>
      <c r="AH69" s="15" t="str">
        <f t="shared" si="8"/>
        <v>C</v>
      </c>
      <c r="AI69" s="15" t="str">
        <f t="shared" si="9"/>
        <v>C-42</v>
      </c>
    </row>
    <row r="70" spans="1:35" ht="15.75" customHeight="1" x14ac:dyDescent="0.35">
      <c r="A70" s="8">
        <v>69</v>
      </c>
      <c r="B70" s="9" t="s">
        <v>115</v>
      </c>
      <c r="C70" s="9" t="s">
        <v>73</v>
      </c>
      <c r="D70" s="8">
        <v>45</v>
      </c>
      <c r="E70" s="10"/>
      <c r="F70" s="10"/>
      <c r="G70" s="10"/>
      <c r="H70" s="11">
        <v>1</v>
      </c>
      <c r="I70" s="11">
        <v>0</v>
      </c>
      <c r="J70" s="11">
        <v>0</v>
      </c>
      <c r="K70" s="11">
        <v>5</v>
      </c>
      <c r="L70" s="11">
        <v>5</v>
      </c>
      <c r="M70" s="11"/>
      <c r="N70" s="11">
        <v>0</v>
      </c>
      <c r="O70" s="11">
        <v>50</v>
      </c>
      <c r="P70" s="11">
        <v>3</v>
      </c>
      <c r="Q70" s="11"/>
      <c r="R70" s="19"/>
      <c r="S70" s="10"/>
      <c r="T70" s="21"/>
      <c r="U70" s="12"/>
      <c r="V70" s="12">
        <f>SUM(L70:U70)</f>
        <v>58</v>
      </c>
      <c r="W70" s="10">
        <f ca="1">IFERROR(__xludf.DUMMYFUNCTION("IFERROR(
  SUM(
    FILTER(
      Reporte!$E:$E, 
      REGEXMATCH(Reporte!$A:$A, ""(?i)(TE PAGÓ|PAGASTE)""), 
      Reporte!$H:$H &amp; """" = AH70 &amp; """"
    )
  ), 
  0
)"),58)</f>
        <v>58</v>
      </c>
      <c r="X70" s="10">
        <f ca="1">IFERROR(__xludf.DUMMYFUNCTION("IFERROR(
  SUM(
    FILTER(
      Efectivo!$C:$C, 
      Efectivo!$D:$D &amp; """" = AH70 &amp; """"
    )
  ), 
  0
)"),0)</f>
        <v>0</v>
      </c>
      <c r="Y70" s="10" t="s">
        <v>34</v>
      </c>
      <c r="Z70" s="10"/>
      <c r="AA70" s="10" t="s">
        <v>35</v>
      </c>
      <c r="AB70" s="10"/>
      <c r="AC70" s="10"/>
      <c r="AD70" s="10" t="str">
        <f t="shared" si="7"/>
        <v/>
      </c>
      <c r="AE70" s="10" t="e">
        <f>IF(
   OR(
     AND(#REF!&gt;0, OR(Y70="C", Y70="c"), U70&lt;0),
     AND(#REF!&gt;0, Y70="")
   ),
   "CORTE",
   ""
)</f>
        <v>#REF!</v>
      </c>
      <c r="AF70" s="10">
        <f t="shared" si="1"/>
        <v>0</v>
      </c>
      <c r="AG70" s="10">
        <f t="shared" si="2"/>
        <v>58</v>
      </c>
      <c r="AH70" s="10" t="str">
        <f t="shared" si="8"/>
        <v>C</v>
      </c>
      <c r="AI70" s="10" t="str">
        <f t="shared" si="9"/>
        <v>C-45</v>
      </c>
    </row>
    <row r="71" spans="1:35" ht="15.75" customHeight="1" x14ac:dyDescent="0.35">
      <c r="A71" s="13">
        <v>70</v>
      </c>
      <c r="B71" s="14" t="s">
        <v>116</v>
      </c>
      <c r="C71" s="14" t="s">
        <v>117</v>
      </c>
      <c r="D71" s="13">
        <v>1</v>
      </c>
      <c r="E71" s="15"/>
      <c r="F71" s="15"/>
      <c r="G71" s="15"/>
      <c r="H71" s="16">
        <v>1</v>
      </c>
      <c r="I71" s="16">
        <v>1787</v>
      </c>
      <c r="J71" s="16">
        <v>13</v>
      </c>
      <c r="K71" s="16">
        <v>13</v>
      </c>
      <c r="L71" s="16">
        <v>13</v>
      </c>
      <c r="M71" s="16">
        <v>14</v>
      </c>
      <c r="N71" s="16">
        <v>0</v>
      </c>
      <c r="O71" s="16">
        <v>25</v>
      </c>
      <c r="P71" s="16">
        <v>3</v>
      </c>
      <c r="Q71" s="16"/>
      <c r="R71" s="18"/>
      <c r="S71" s="15"/>
      <c r="T71" s="20"/>
      <c r="U71" s="17"/>
      <c r="V71" s="17">
        <f t="shared" ref="V71:V77" si="10">SUM(L71:Q71)</f>
        <v>55</v>
      </c>
      <c r="W71" s="15">
        <f ca="1">IFERROR(__xludf.DUMMYFUNCTION("IFERROR(
  SUM(
    FILTER(
      Reporte!$E:$E, 
      REGEXMATCH(Reporte!$A:$A, ""(?i)(TE PAGÓ|PAGASTE)""), 
      Reporte!$H:$H &amp; """" = AH71 &amp; """"
    )
  ), 
  0
)"),55)</f>
        <v>55</v>
      </c>
      <c r="X71" s="15">
        <f ca="1">IFERROR(__xludf.DUMMYFUNCTION("IFERROR(
  SUM(
    FILTER(
      Efectivo!$C:$C, 
      Efectivo!$D:$D &amp; """" = AH71 &amp; """"
    )
  ), 
  0
)"),0)</f>
        <v>0</v>
      </c>
      <c r="Y71" s="15" t="s">
        <v>34</v>
      </c>
      <c r="Z71" s="15"/>
      <c r="AA71" s="15" t="s">
        <v>35</v>
      </c>
      <c r="AB71" s="15"/>
      <c r="AC71" s="15"/>
      <c r="AD71" s="15" t="str">
        <f t="shared" si="7"/>
        <v/>
      </c>
      <c r="AE71" s="15" t="e">
        <f>IF(
   OR(
     AND(#REF!&gt;0, OR(Y71="C", Y71="c"), U71&lt;0),
     AND(#REF!&gt;0, Y71="")
   ),
   "CORTE",
   ""
)</f>
        <v>#REF!</v>
      </c>
      <c r="AF71" s="15">
        <f t="shared" si="1"/>
        <v>0</v>
      </c>
      <c r="AG71" s="15">
        <f t="shared" si="2"/>
        <v>55</v>
      </c>
      <c r="AH71" s="15" t="str">
        <f t="shared" si="8"/>
        <v>D</v>
      </c>
      <c r="AI71" s="15" t="str">
        <f t="shared" si="9"/>
        <v>D-1</v>
      </c>
    </row>
    <row r="72" spans="1:35" ht="15.75" customHeight="1" x14ac:dyDescent="0.35">
      <c r="A72" s="8">
        <v>71</v>
      </c>
      <c r="B72" s="9" t="s">
        <v>118</v>
      </c>
      <c r="C72" s="9" t="s">
        <v>117</v>
      </c>
      <c r="D72" s="8">
        <v>2</v>
      </c>
      <c r="E72" s="10"/>
      <c r="F72" s="10"/>
      <c r="G72" s="10"/>
      <c r="H72" s="11">
        <v>1</v>
      </c>
      <c r="I72" s="11">
        <v>2276</v>
      </c>
      <c r="J72" s="11">
        <v>2303</v>
      </c>
      <c r="K72" s="11">
        <v>27</v>
      </c>
      <c r="L72" s="11">
        <v>27</v>
      </c>
      <c r="M72" s="11">
        <v>17</v>
      </c>
      <c r="N72" s="11">
        <v>0</v>
      </c>
      <c r="O72" s="11"/>
      <c r="P72" s="11">
        <v>3</v>
      </c>
      <c r="Q72" s="11"/>
      <c r="R72" s="19"/>
      <c r="S72" s="10"/>
      <c r="T72" s="21"/>
      <c r="U72" s="12"/>
      <c r="V72" s="12">
        <f t="shared" si="10"/>
        <v>47</v>
      </c>
      <c r="W72" s="10">
        <f ca="1">IFERROR(__xludf.DUMMYFUNCTION("IFERROR(
  SUM(
    FILTER(
      Reporte!$E:$E, 
      REGEXMATCH(Reporte!$A:$A, ""(?i)(TE PAGÓ|PAGASTE)""), 
      Reporte!$H:$H &amp; """" = AH72 &amp; """"
    )
  ), 
  0
)"),47)</f>
        <v>47</v>
      </c>
      <c r="X72" s="10">
        <f ca="1">IFERROR(__xludf.DUMMYFUNCTION("IFERROR(
  SUM(
    FILTER(
      Efectivo!$C:$C, 
      Efectivo!$D:$D &amp; """" = AH72 &amp; """"
    )
  ), 
  0
)"),0)</f>
        <v>0</v>
      </c>
      <c r="Y72" s="10" t="s">
        <v>34</v>
      </c>
      <c r="Z72" s="10"/>
      <c r="AA72" s="10" t="s">
        <v>35</v>
      </c>
      <c r="AB72" s="10"/>
      <c r="AC72" s="10"/>
      <c r="AD72" s="10" t="str">
        <f t="shared" si="7"/>
        <v/>
      </c>
      <c r="AE72" s="10" t="e">
        <f>IF(
   OR(
     AND(#REF!&gt;0, OR(Y72="C", Y72="c"), U72&lt;0),
     AND(#REF!&gt;0, Y72="")
   ),
   "CORTE",
   ""
)</f>
        <v>#REF!</v>
      </c>
      <c r="AF72" s="10">
        <f t="shared" si="1"/>
        <v>0</v>
      </c>
      <c r="AG72" s="10">
        <f t="shared" si="2"/>
        <v>47</v>
      </c>
      <c r="AH72" s="10" t="str">
        <f t="shared" si="8"/>
        <v>D</v>
      </c>
      <c r="AI72" s="10" t="str">
        <f t="shared" si="9"/>
        <v>D-2</v>
      </c>
    </row>
    <row r="73" spans="1:35" ht="15.75" customHeight="1" x14ac:dyDescent="0.35">
      <c r="A73" s="13">
        <v>72</v>
      </c>
      <c r="B73" s="14" t="s">
        <v>119</v>
      </c>
      <c r="C73" s="14" t="s">
        <v>117</v>
      </c>
      <c r="D73" s="13">
        <v>3</v>
      </c>
      <c r="E73" s="15"/>
      <c r="F73" s="15"/>
      <c r="G73" s="15"/>
      <c r="H73" s="16">
        <v>1</v>
      </c>
      <c r="I73" s="16">
        <v>4</v>
      </c>
      <c r="J73" s="16">
        <v>16</v>
      </c>
      <c r="K73" s="16">
        <v>12</v>
      </c>
      <c r="L73" s="16">
        <v>12</v>
      </c>
      <c r="M73" s="16"/>
      <c r="N73" s="16">
        <v>0</v>
      </c>
      <c r="O73" s="16">
        <v>25</v>
      </c>
      <c r="P73" s="16">
        <v>3</v>
      </c>
      <c r="Q73" s="16"/>
      <c r="R73" s="18"/>
      <c r="S73" s="15"/>
      <c r="T73" s="20"/>
      <c r="U73" s="17"/>
      <c r="V73" s="17">
        <f t="shared" si="10"/>
        <v>40</v>
      </c>
      <c r="W73" s="15">
        <f ca="1">IFERROR(__xludf.DUMMYFUNCTION("IFERROR(
  SUM(
    FILTER(
      Reporte!$E:$E, 
      REGEXMATCH(Reporte!$A:$A, ""(?i)(TE PAGÓ|PAGASTE)""), 
      Reporte!$H:$H &amp; """" = AH73 &amp; """"
    )
  ), 
  0
)"),40)</f>
        <v>40</v>
      </c>
      <c r="X73" s="15">
        <f ca="1">IFERROR(__xludf.DUMMYFUNCTION("IFERROR(
  SUM(
    FILTER(
      Efectivo!$C:$C, 
      Efectivo!$D:$D &amp; """" = AH73 &amp; """"
    )
  ), 
  0
)"),0)</f>
        <v>0</v>
      </c>
      <c r="Y73" s="15" t="s">
        <v>34</v>
      </c>
      <c r="Z73" s="15"/>
      <c r="AA73" s="15" t="s">
        <v>35</v>
      </c>
      <c r="AB73" s="15"/>
      <c r="AC73" s="15"/>
      <c r="AD73" s="15" t="str">
        <f t="shared" si="7"/>
        <v/>
      </c>
      <c r="AE73" s="15" t="e">
        <f>IF(
   OR(
     AND(#REF!&gt;0, OR(Y73="C", Y73="c"), U73&lt;0),
     AND(#REF!&gt;0, Y73="")
   ),
   "CORTE",
   ""
)</f>
        <v>#REF!</v>
      </c>
      <c r="AF73" s="15">
        <f t="shared" si="1"/>
        <v>0</v>
      </c>
      <c r="AG73" s="15">
        <f t="shared" si="2"/>
        <v>40</v>
      </c>
      <c r="AH73" s="15" t="str">
        <f t="shared" si="8"/>
        <v>D</v>
      </c>
      <c r="AI73" s="15" t="str">
        <f t="shared" si="9"/>
        <v>D-3</v>
      </c>
    </row>
    <row r="74" spans="1:35" ht="15.75" customHeight="1" x14ac:dyDescent="0.35">
      <c r="A74" s="8">
        <v>73</v>
      </c>
      <c r="B74" s="9" t="s">
        <v>120</v>
      </c>
      <c r="C74" s="9" t="s">
        <v>117</v>
      </c>
      <c r="D74" s="8">
        <v>4</v>
      </c>
      <c r="E74" s="10"/>
      <c r="F74" s="10"/>
      <c r="G74" s="10"/>
      <c r="H74" s="11">
        <v>1</v>
      </c>
      <c r="I74" s="11">
        <v>346</v>
      </c>
      <c r="J74" s="11">
        <v>368</v>
      </c>
      <c r="K74" s="11">
        <v>22</v>
      </c>
      <c r="L74" s="11">
        <v>22</v>
      </c>
      <c r="M74" s="11"/>
      <c r="N74" s="11">
        <v>0</v>
      </c>
      <c r="O74" s="11"/>
      <c r="P74" s="11">
        <v>3</v>
      </c>
      <c r="Q74" s="11"/>
      <c r="R74" s="19"/>
      <c r="S74" s="10"/>
      <c r="T74" s="21"/>
      <c r="U74" s="12"/>
      <c r="V74" s="12">
        <f t="shared" si="10"/>
        <v>25</v>
      </c>
      <c r="W74" s="10">
        <f ca="1">IFERROR(__xludf.DUMMYFUNCTION("IFERROR(
  SUM(
    FILTER(
      Reporte!$E:$E, 
      REGEXMATCH(Reporte!$A:$A, ""(?i)(TE PAGÓ|PAGASTE)""), 
      Reporte!$H:$H &amp; """" = AH74 &amp; """"
    )
  ), 
  0
)"),25)</f>
        <v>25</v>
      </c>
      <c r="X74" s="10">
        <f ca="1">IFERROR(__xludf.DUMMYFUNCTION("IFERROR(
  SUM(
    FILTER(
      Efectivo!$C:$C, 
      Efectivo!$D:$D &amp; """" = AH74 &amp; """"
    )
  ), 
  0
)"),0)</f>
        <v>0</v>
      </c>
      <c r="Y74" s="10" t="s">
        <v>34</v>
      </c>
      <c r="Z74" s="10"/>
      <c r="AA74" s="10" t="s">
        <v>35</v>
      </c>
      <c r="AB74" s="10"/>
      <c r="AC74" s="10"/>
      <c r="AD74" s="10" t="str">
        <f t="shared" si="7"/>
        <v/>
      </c>
      <c r="AE74" s="10" t="e">
        <f>IF(
   OR(
     AND(#REF!&gt;0, OR(Y74="C", Y74="c"), U74&lt;0),
     AND(#REF!&gt;0, Y74="")
   ),
   "CORTE",
   ""
)</f>
        <v>#REF!</v>
      </c>
      <c r="AF74" s="10">
        <f t="shared" si="1"/>
        <v>0</v>
      </c>
      <c r="AG74" s="10">
        <f t="shared" si="2"/>
        <v>25</v>
      </c>
      <c r="AH74" s="10" t="str">
        <f t="shared" si="8"/>
        <v>D</v>
      </c>
      <c r="AI74" s="10" t="str">
        <f t="shared" si="9"/>
        <v>D-4</v>
      </c>
    </row>
    <row r="75" spans="1:35" ht="15.75" customHeight="1" x14ac:dyDescent="0.35">
      <c r="A75" s="13">
        <v>74</v>
      </c>
      <c r="B75" s="14" t="s">
        <v>121</v>
      </c>
      <c r="C75" s="14" t="s">
        <v>117</v>
      </c>
      <c r="D75" s="13">
        <v>5</v>
      </c>
      <c r="E75" s="15"/>
      <c r="F75" s="15"/>
      <c r="G75" s="15"/>
      <c r="H75" s="16">
        <v>1</v>
      </c>
      <c r="I75" s="16">
        <v>573</v>
      </c>
      <c r="J75" s="16">
        <v>609</v>
      </c>
      <c r="K75" s="16">
        <v>36</v>
      </c>
      <c r="L75" s="16">
        <v>36</v>
      </c>
      <c r="M75" s="16"/>
      <c r="N75" s="16">
        <v>0</v>
      </c>
      <c r="O75" s="16"/>
      <c r="P75" s="16">
        <v>3</v>
      </c>
      <c r="Q75" s="16"/>
      <c r="R75" s="18"/>
      <c r="S75" s="15"/>
      <c r="T75" s="20"/>
      <c r="U75" s="17"/>
      <c r="V75" s="17">
        <f t="shared" si="10"/>
        <v>39</v>
      </c>
      <c r="W75" s="15">
        <f ca="1">IFERROR(__xludf.DUMMYFUNCTION("IFERROR(
  SUM(
    FILTER(
      Reporte!$E:$E, 
      REGEXMATCH(Reporte!$A:$A, ""(?i)(TE PAGÓ|PAGASTE)""), 
      Reporte!$H:$H &amp; """" = AH75 &amp; """"
    )
  ), 
  0
)"),0)</f>
        <v>0</v>
      </c>
      <c r="X75" s="15">
        <f ca="1">IFERROR(__xludf.DUMMYFUNCTION("IFERROR(
  SUM(
    FILTER(
      Efectivo!$C:$C, 
      Efectivo!$D:$D &amp; """" = AH75 &amp; """"
    )
  ), 
  0
)"),39)</f>
        <v>39</v>
      </c>
      <c r="Y75" s="15" t="s">
        <v>34</v>
      </c>
      <c r="Z75" s="15"/>
      <c r="AA75" s="15"/>
      <c r="AB75" s="15"/>
      <c r="AC75" s="15"/>
      <c r="AD75" s="15" t="str">
        <f t="shared" si="7"/>
        <v/>
      </c>
      <c r="AE75" s="15" t="e">
        <f>IF(
   OR(
     AND(#REF!&gt;0, OR(Y75="C", Y75="c"), U75&lt;0),
     AND(#REF!&gt;0, Y75="")
   ),
   "CORTE",
   ""
)</f>
        <v>#REF!</v>
      </c>
      <c r="AF75" s="15">
        <f t="shared" si="1"/>
        <v>39</v>
      </c>
      <c r="AG75" s="15">
        <f t="shared" si="2"/>
        <v>0</v>
      </c>
      <c r="AH75" s="15" t="str">
        <f t="shared" si="8"/>
        <v>D</v>
      </c>
      <c r="AI75" s="15" t="str">
        <f t="shared" si="9"/>
        <v>D-5</v>
      </c>
    </row>
    <row r="76" spans="1:35" ht="15.75" customHeight="1" x14ac:dyDescent="0.35">
      <c r="A76" s="8">
        <v>75</v>
      </c>
      <c r="B76" s="9" t="s">
        <v>122</v>
      </c>
      <c r="C76" s="9" t="s">
        <v>117</v>
      </c>
      <c r="D76" s="8">
        <v>6</v>
      </c>
      <c r="E76" s="10"/>
      <c r="F76" s="11">
        <v>1</v>
      </c>
      <c r="G76" s="10"/>
      <c r="H76" s="11">
        <v>1</v>
      </c>
      <c r="I76" s="11">
        <v>32</v>
      </c>
      <c r="J76" s="11">
        <v>99</v>
      </c>
      <c r="K76" s="11">
        <v>67</v>
      </c>
      <c r="L76" s="11">
        <v>67</v>
      </c>
      <c r="M76" s="11"/>
      <c r="N76" s="11">
        <v>0</v>
      </c>
      <c r="O76" s="11">
        <v>25</v>
      </c>
      <c r="P76" s="11">
        <v>3</v>
      </c>
      <c r="Q76" s="11"/>
      <c r="R76" s="19"/>
      <c r="S76" s="10"/>
      <c r="T76" s="21"/>
      <c r="U76" s="12"/>
      <c r="V76" s="12">
        <f t="shared" si="10"/>
        <v>95</v>
      </c>
      <c r="W76" s="10">
        <f ca="1">IFERROR(__xludf.DUMMYFUNCTION("IFERROR(
  SUM(
    FILTER(
      Reporte!$E:$E, 
      REGEXMATCH(Reporte!$A:$A, ""(?i)(TE PAGÓ|PAGASTE)""), 
      Reporte!$H:$H &amp; """" = AH76 &amp; """"
    )
  ), 
  0
)"),95)</f>
        <v>95</v>
      </c>
      <c r="X76" s="10">
        <f ca="1">IFERROR(__xludf.DUMMYFUNCTION("IFERROR(
  SUM(
    FILTER(
      Efectivo!$C:$C, 
      Efectivo!$D:$D &amp; """" = AH76 &amp; """"
    )
  ), 
  0
)"),0)</f>
        <v>0</v>
      </c>
      <c r="Y76" s="10" t="s">
        <v>34</v>
      </c>
      <c r="Z76" s="10"/>
      <c r="AA76" s="10" t="s">
        <v>35</v>
      </c>
      <c r="AB76" s="10"/>
      <c r="AC76" s="10"/>
      <c r="AD76" s="10" t="str">
        <f t="shared" si="7"/>
        <v/>
      </c>
      <c r="AE76" s="10" t="e">
        <f>IF(
   OR(
     AND(#REF!&gt;0, OR(Y76="C", Y76="c"), U76&lt;0),
     AND(#REF!&gt;0, Y76="")
   ),
   "CORTE",
   ""
)</f>
        <v>#REF!</v>
      </c>
      <c r="AF76" s="10">
        <f t="shared" si="1"/>
        <v>0</v>
      </c>
      <c r="AG76" s="10">
        <f t="shared" si="2"/>
        <v>95</v>
      </c>
      <c r="AH76" s="10" t="str">
        <f t="shared" si="8"/>
        <v>D</v>
      </c>
      <c r="AI76" s="10" t="str">
        <f t="shared" si="9"/>
        <v>D-6</v>
      </c>
    </row>
    <row r="77" spans="1:35" ht="15.75" customHeight="1" x14ac:dyDescent="0.35">
      <c r="A77" s="13">
        <v>76</v>
      </c>
      <c r="B77" s="14" t="s">
        <v>123</v>
      </c>
      <c r="C77" s="14" t="s">
        <v>117</v>
      </c>
      <c r="D77" s="13">
        <v>7</v>
      </c>
      <c r="E77" s="15"/>
      <c r="F77" s="15"/>
      <c r="G77" s="15"/>
      <c r="H77" s="16">
        <v>1</v>
      </c>
      <c r="I77" s="16">
        <v>5641</v>
      </c>
      <c r="J77" s="16">
        <v>5733</v>
      </c>
      <c r="K77" s="16">
        <v>92</v>
      </c>
      <c r="L77" s="16">
        <v>92</v>
      </c>
      <c r="M77" s="16"/>
      <c r="N77" s="16">
        <v>0</v>
      </c>
      <c r="O77" s="16"/>
      <c r="P77" s="16">
        <v>3</v>
      </c>
      <c r="Q77" s="16"/>
      <c r="R77" s="18"/>
      <c r="S77" s="15"/>
      <c r="T77" s="20"/>
      <c r="U77" s="17"/>
      <c r="V77" s="17">
        <f t="shared" si="10"/>
        <v>95</v>
      </c>
      <c r="W77" s="15">
        <f ca="1">IFERROR(__xludf.DUMMYFUNCTION("IFERROR(
  SUM(
    FILTER(
      Reporte!$E:$E, 
      REGEXMATCH(Reporte!$A:$A, ""(?i)(TE PAGÓ|PAGASTE)""), 
      Reporte!$H:$H &amp; """" = AH77 &amp; """"
    )
  ), 
  0
)"),0)</f>
        <v>0</v>
      </c>
      <c r="X77" s="15">
        <f ca="1">IFERROR(__xludf.DUMMYFUNCTION("IFERROR(
  SUM(
    FILTER(
      Efectivo!$C:$C, 
      Efectivo!$D:$D &amp; """" = AH77 &amp; """"
    )
  ), 
  0
)"),0)</f>
        <v>0</v>
      </c>
      <c r="Y77" s="15"/>
      <c r="Z77" s="15"/>
      <c r="AA77" s="15"/>
      <c r="AB77" s="15"/>
      <c r="AC77" s="15"/>
      <c r="AD77" s="15" t="str">
        <f t="shared" si="7"/>
        <v/>
      </c>
      <c r="AE77" s="15" t="e">
        <f>IF(
   OR(
     AND(#REF!&gt;0, OR(Y77="C", Y77="c"), U77&lt;0),
     AND(#REF!&gt;0, Y77="")
   ),
   "CORTE",
   ""
)</f>
        <v>#REF!</v>
      </c>
      <c r="AF77" s="15">
        <f t="shared" si="1"/>
        <v>0</v>
      </c>
      <c r="AG77" s="15">
        <f t="shared" si="2"/>
        <v>0</v>
      </c>
      <c r="AH77" s="15" t="str">
        <f t="shared" si="8"/>
        <v>D</v>
      </c>
      <c r="AI77" s="15" t="str">
        <f t="shared" si="9"/>
        <v>D-7</v>
      </c>
    </row>
    <row r="78" spans="1:35" ht="15.75" customHeight="1" x14ac:dyDescent="0.35">
      <c r="A78" s="8">
        <v>77</v>
      </c>
      <c r="B78" s="9" t="s">
        <v>124</v>
      </c>
      <c r="C78" s="9" t="s">
        <v>117</v>
      </c>
      <c r="D78" s="8">
        <v>8</v>
      </c>
      <c r="E78" s="10"/>
      <c r="F78" s="11">
        <v>1</v>
      </c>
      <c r="G78" s="10"/>
      <c r="H78" s="11">
        <v>1</v>
      </c>
      <c r="I78" s="11">
        <v>4</v>
      </c>
      <c r="J78" s="11">
        <v>17</v>
      </c>
      <c r="K78" s="11">
        <v>13</v>
      </c>
      <c r="L78" s="11">
        <v>13</v>
      </c>
      <c r="M78" s="11">
        <v>8</v>
      </c>
      <c r="N78" s="11">
        <v>0</v>
      </c>
      <c r="O78" s="11">
        <v>25</v>
      </c>
      <c r="P78" s="11">
        <v>3</v>
      </c>
      <c r="Q78" s="11"/>
      <c r="R78" s="19"/>
      <c r="S78" s="10"/>
      <c r="T78" s="21"/>
      <c r="U78" s="12"/>
      <c r="V78" s="12">
        <f>SUM(L78:U78)</f>
        <v>49</v>
      </c>
      <c r="W78" s="10">
        <f ca="1">IFERROR(__xludf.DUMMYFUNCTION("IFERROR(
  SUM(
    FILTER(
      Reporte!$E:$E, 
      REGEXMATCH(Reporte!$A:$A, ""(?i)(TE PAGÓ|PAGASTE)""), 
      Reporte!$H:$H &amp; """" = AH78 &amp; """"
    )
  ), 
  0
)"),49)</f>
        <v>49</v>
      </c>
      <c r="X78" s="10">
        <f ca="1">IFERROR(__xludf.DUMMYFUNCTION("IFERROR(
  SUM(
    FILTER(
      Efectivo!$C:$C, 
      Efectivo!$D:$D &amp; """" = AH78 &amp; """"
    )
  ), 
  0
)"),0)</f>
        <v>0</v>
      </c>
      <c r="Y78" s="10" t="s">
        <v>34</v>
      </c>
      <c r="Z78" s="10"/>
      <c r="AA78" s="10" t="s">
        <v>35</v>
      </c>
      <c r="AB78" s="10" t="s">
        <v>125</v>
      </c>
      <c r="AC78" s="10"/>
      <c r="AD78" s="10" t="str">
        <f t="shared" si="7"/>
        <v/>
      </c>
      <c r="AE78" s="10" t="e">
        <f>IF(
   OR(
     AND(#REF!&gt;0, OR(Y78="C", Y78="c"), U78&lt;0),
     AND(#REF!&gt;0, Y78="")
   ),
   "CORTE",
   ""
)</f>
        <v>#REF!</v>
      </c>
      <c r="AF78" s="10">
        <f t="shared" si="1"/>
        <v>0</v>
      </c>
      <c r="AG78" s="10">
        <f t="shared" si="2"/>
        <v>49</v>
      </c>
      <c r="AH78" s="10" t="str">
        <f t="shared" si="8"/>
        <v>D</v>
      </c>
      <c r="AI78" s="10" t="str">
        <f t="shared" si="9"/>
        <v>D-8</v>
      </c>
    </row>
    <row r="79" spans="1:35" ht="15.75" customHeight="1" x14ac:dyDescent="0.35">
      <c r="A79" s="13">
        <v>78</v>
      </c>
      <c r="B79" s="14" t="s">
        <v>126</v>
      </c>
      <c r="C79" s="14" t="s">
        <v>117</v>
      </c>
      <c r="D79" s="13">
        <v>9</v>
      </c>
      <c r="E79" s="15"/>
      <c r="F79" s="15"/>
      <c r="G79" s="15"/>
      <c r="H79" s="16">
        <v>1</v>
      </c>
      <c r="I79" s="16">
        <v>4108</v>
      </c>
      <c r="J79" s="16">
        <v>4120</v>
      </c>
      <c r="K79" s="16">
        <v>12</v>
      </c>
      <c r="L79" s="16">
        <v>6</v>
      </c>
      <c r="M79" s="16"/>
      <c r="N79" s="16">
        <v>0</v>
      </c>
      <c r="O79" s="16"/>
      <c r="P79" s="16">
        <v>3</v>
      </c>
      <c r="Q79" s="16"/>
      <c r="R79" s="18"/>
      <c r="S79" s="15"/>
      <c r="T79" s="20"/>
      <c r="U79" s="17"/>
      <c r="V79" s="17">
        <f>SUM(L79:U79)</f>
        <v>9</v>
      </c>
      <c r="W79" s="15">
        <f ca="1">IFERROR(__xludf.DUMMYFUNCTION("IFERROR(
  SUM(
    FILTER(
      Reporte!$E:$E, 
      REGEXMATCH(Reporte!$A:$A, ""(?i)(TE PAGÓ|PAGASTE)""), 
      Reporte!$H:$H &amp; """" = AH79 &amp; """"
    )
  ), 
  0
)"),9)</f>
        <v>9</v>
      </c>
      <c r="X79" s="15">
        <f ca="1">IFERROR(__xludf.DUMMYFUNCTION("IFERROR(
  SUM(
    FILTER(
      Efectivo!$C:$C, 
      Efectivo!$D:$D &amp; """" = AH79 &amp; """"
    )
  ), 
  0
)"),0)</f>
        <v>0</v>
      </c>
      <c r="Y79" s="15" t="s">
        <v>34</v>
      </c>
      <c r="Z79" s="15"/>
      <c r="AA79" s="15" t="s">
        <v>35</v>
      </c>
      <c r="AB79" s="15" t="s">
        <v>127</v>
      </c>
      <c r="AC79" s="15"/>
      <c r="AD79" s="15" t="str">
        <f t="shared" si="7"/>
        <v/>
      </c>
      <c r="AE79" s="15" t="e">
        <f>IF(
   OR(
     AND(#REF!&gt;0, OR(Y79="C", Y79="c"), U79&lt;0),
     AND(#REF!&gt;0, Y79="")
   ),
   "CORTE",
   ""
)</f>
        <v>#REF!</v>
      </c>
      <c r="AF79" s="15">
        <f t="shared" si="1"/>
        <v>0</v>
      </c>
      <c r="AG79" s="15">
        <f t="shared" si="2"/>
        <v>9</v>
      </c>
      <c r="AH79" s="15" t="str">
        <f t="shared" si="8"/>
        <v>D</v>
      </c>
      <c r="AI79" s="15" t="str">
        <f t="shared" si="9"/>
        <v>D-9</v>
      </c>
    </row>
    <row r="80" spans="1:35" ht="15.75" customHeight="1" x14ac:dyDescent="0.35">
      <c r="A80" s="8">
        <v>79</v>
      </c>
      <c r="B80" s="9" t="s">
        <v>128</v>
      </c>
      <c r="C80" s="9" t="s">
        <v>117</v>
      </c>
      <c r="D80" s="8">
        <v>10</v>
      </c>
      <c r="E80" s="10"/>
      <c r="F80" s="10"/>
      <c r="G80" s="10"/>
      <c r="H80" s="11">
        <v>1</v>
      </c>
      <c r="I80" s="11">
        <v>2882</v>
      </c>
      <c r="J80" s="11">
        <v>2895</v>
      </c>
      <c r="K80" s="11">
        <v>13</v>
      </c>
      <c r="L80" s="11">
        <v>13</v>
      </c>
      <c r="M80" s="11"/>
      <c r="N80" s="11">
        <v>0</v>
      </c>
      <c r="O80" s="11"/>
      <c r="P80" s="11">
        <v>3</v>
      </c>
      <c r="Q80" s="11"/>
      <c r="R80" s="19"/>
      <c r="S80" s="10"/>
      <c r="T80" s="21"/>
      <c r="U80" s="12"/>
      <c r="V80" s="12">
        <f t="shared" ref="V80:V85" si="11">SUM(L80:Q80)</f>
        <v>16</v>
      </c>
      <c r="W80" s="10">
        <f ca="1">IFERROR(__xludf.DUMMYFUNCTION("IFERROR(
  SUM(
    FILTER(
      Reporte!$E:$E, 
      REGEXMATCH(Reporte!$A:$A, ""(?i)(TE PAGÓ|PAGASTE)""), 
      Reporte!$H:$H &amp; """" = AH80 &amp; """"
    )
  ), 
  0
)"),0)</f>
        <v>0</v>
      </c>
      <c r="X80" s="10">
        <f ca="1">IFERROR(__xludf.DUMMYFUNCTION("IFERROR(
  SUM(
    FILTER(
      Efectivo!$C:$C, 
      Efectivo!$D:$D &amp; """" = AH80 &amp; """"
    )
  ), 
  0
)"),0)</f>
        <v>0</v>
      </c>
      <c r="Y80" s="10"/>
      <c r="Z80" s="10"/>
      <c r="AA80" s="10"/>
      <c r="AB80" s="10"/>
      <c r="AC80" s="10"/>
      <c r="AD80" s="10" t="str">
        <f t="shared" si="7"/>
        <v/>
      </c>
      <c r="AE80" s="10" t="e">
        <f>IF(
   OR(
     AND(#REF!&gt;0, OR(Y80="C", Y80="c"), U80&lt;0),
     AND(#REF!&gt;0, Y80="")
   ),
   "CORTE",
   ""
)</f>
        <v>#REF!</v>
      </c>
      <c r="AF80" s="10">
        <f t="shared" si="1"/>
        <v>0</v>
      </c>
      <c r="AG80" s="10">
        <f t="shared" si="2"/>
        <v>0</v>
      </c>
      <c r="AH80" s="10" t="str">
        <f t="shared" si="8"/>
        <v>D</v>
      </c>
      <c r="AI80" s="10" t="str">
        <f t="shared" si="9"/>
        <v>D-10</v>
      </c>
    </row>
    <row r="81" spans="1:35" ht="15.75" customHeight="1" x14ac:dyDescent="0.35">
      <c r="A81" s="13">
        <v>80</v>
      </c>
      <c r="B81" s="14" t="s">
        <v>129</v>
      </c>
      <c r="C81" s="14" t="s">
        <v>117</v>
      </c>
      <c r="D81" s="13">
        <v>11</v>
      </c>
      <c r="E81" s="15"/>
      <c r="F81" s="15"/>
      <c r="G81" s="15"/>
      <c r="H81" s="16">
        <v>1</v>
      </c>
      <c r="I81" s="16">
        <v>1087</v>
      </c>
      <c r="J81" s="16">
        <v>1103</v>
      </c>
      <c r="K81" s="16">
        <v>16</v>
      </c>
      <c r="L81" s="16">
        <v>16</v>
      </c>
      <c r="M81" s="16"/>
      <c r="N81" s="16">
        <v>0</v>
      </c>
      <c r="O81" s="16"/>
      <c r="P81" s="16">
        <v>3</v>
      </c>
      <c r="Q81" s="16"/>
      <c r="R81" s="18"/>
      <c r="S81" s="15"/>
      <c r="T81" s="20"/>
      <c r="U81" s="17"/>
      <c r="V81" s="17">
        <f t="shared" si="11"/>
        <v>19</v>
      </c>
      <c r="W81" s="15">
        <f ca="1">IFERROR(__xludf.DUMMYFUNCTION("IFERROR(
  SUM(
    FILTER(
      Reporte!$E:$E, 
      REGEXMATCH(Reporte!$A:$A, ""(?i)(TE PAGÓ|PAGASTE)""), 
      Reporte!$H:$H &amp; """" = AH81 &amp; """"
    )
  ), 
  0
)"),0)</f>
        <v>0</v>
      </c>
      <c r="X81" s="15">
        <f ca="1">IFERROR(__xludf.DUMMYFUNCTION("IFERROR(
  SUM(
    FILTER(
      Efectivo!$C:$C, 
      Efectivo!$D:$D &amp; """" = AH81 &amp; """"
    )
  ), 
  0
)"),0)</f>
        <v>0</v>
      </c>
      <c r="Y81" s="15"/>
      <c r="Z81" s="15"/>
      <c r="AA81" s="15"/>
      <c r="AB81" s="15"/>
      <c r="AC81" s="15"/>
      <c r="AD81" s="15" t="str">
        <f t="shared" si="7"/>
        <v/>
      </c>
      <c r="AE81" s="15" t="e">
        <f>IF(
   OR(
     AND(#REF!&gt;0, OR(Y81="C", Y81="c"), U81&lt;0),
     AND(#REF!&gt;0, Y81="")
   ),
   "CORTE",
   ""
)</f>
        <v>#REF!</v>
      </c>
      <c r="AF81" s="15">
        <f t="shared" si="1"/>
        <v>0</v>
      </c>
      <c r="AG81" s="15">
        <f t="shared" si="2"/>
        <v>0</v>
      </c>
      <c r="AH81" s="15" t="str">
        <f t="shared" si="8"/>
        <v>D</v>
      </c>
      <c r="AI81" s="15" t="str">
        <f t="shared" si="9"/>
        <v>D-11</v>
      </c>
    </row>
    <row r="82" spans="1:35" ht="15.75" customHeight="1" x14ac:dyDescent="0.35">
      <c r="A82" s="8">
        <v>81</v>
      </c>
      <c r="B82" s="9" t="s">
        <v>130</v>
      </c>
      <c r="C82" s="9" t="s">
        <v>117</v>
      </c>
      <c r="D82" s="8">
        <v>12</v>
      </c>
      <c r="E82" s="10"/>
      <c r="F82" s="10"/>
      <c r="G82" s="10"/>
      <c r="H82" s="11">
        <v>1</v>
      </c>
      <c r="I82" s="11">
        <v>268</v>
      </c>
      <c r="J82" s="11">
        <v>274</v>
      </c>
      <c r="K82" s="11">
        <v>6</v>
      </c>
      <c r="L82" s="11">
        <v>6</v>
      </c>
      <c r="M82" s="11"/>
      <c r="N82" s="11">
        <v>0</v>
      </c>
      <c r="O82" s="11"/>
      <c r="P82" s="11">
        <v>3</v>
      </c>
      <c r="Q82" s="11"/>
      <c r="R82" s="19"/>
      <c r="S82" s="10"/>
      <c r="T82" s="21"/>
      <c r="U82" s="12"/>
      <c r="V82" s="12">
        <f t="shared" si="11"/>
        <v>9</v>
      </c>
      <c r="W82" s="10">
        <f ca="1">IFERROR(__xludf.DUMMYFUNCTION("IFERROR(
  SUM(
    FILTER(
      Reporte!$E:$E, 
      REGEXMATCH(Reporte!$A:$A, ""(?i)(TE PAGÓ|PAGASTE)""), 
      Reporte!$H:$H &amp; """" = AH82 &amp; """"
    )
  ), 
  0
)"),0)</f>
        <v>0</v>
      </c>
      <c r="X82" s="10">
        <f ca="1">IFERROR(__xludf.DUMMYFUNCTION("IFERROR(
  SUM(
    FILTER(
      Efectivo!$C:$C, 
      Efectivo!$D:$D &amp; """" = AH82 &amp; """"
    )
  ), 
  0
)"),0)</f>
        <v>0</v>
      </c>
      <c r="Y82" s="10"/>
      <c r="Z82" s="10"/>
      <c r="AA82" s="10"/>
      <c r="AB82" s="10"/>
      <c r="AC82" s="10"/>
      <c r="AD82" s="10" t="str">
        <f t="shared" si="7"/>
        <v/>
      </c>
      <c r="AE82" s="10" t="e">
        <f>IF(
   OR(
     AND(#REF!&gt;0, OR(Y82="C", Y82="c"), U82&lt;0),
     AND(#REF!&gt;0, Y82="")
   ),
   "CORTE",
   ""
)</f>
        <v>#REF!</v>
      </c>
      <c r="AF82" s="10">
        <f t="shared" si="1"/>
        <v>0</v>
      </c>
      <c r="AG82" s="10">
        <f t="shared" si="2"/>
        <v>0</v>
      </c>
      <c r="AH82" s="10" t="str">
        <f t="shared" si="8"/>
        <v>D</v>
      </c>
      <c r="AI82" s="10" t="str">
        <f t="shared" si="9"/>
        <v>D-12</v>
      </c>
    </row>
    <row r="83" spans="1:35" ht="15.75" customHeight="1" x14ac:dyDescent="0.35">
      <c r="A83" s="13">
        <v>82</v>
      </c>
      <c r="B83" s="14" t="s">
        <v>131</v>
      </c>
      <c r="C83" s="14" t="s">
        <v>117</v>
      </c>
      <c r="D83" s="13">
        <v>13</v>
      </c>
      <c r="E83" s="15"/>
      <c r="F83" s="15"/>
      <c r="G83" s="15"/>
      <c r="H83" s="16">
        <v>1</v>
      </c>
      <c r="I83" s="16">
        <v>512</v>
      </c>
      <c r="J83" s="16">
        <v>534</v>
      </c>
      <c r="K83" s="16">
        <v>22</v>
      </c>
      <c r="L83" s="16">
        <v>22</v>
      </c>
      <c r="M83" s="16"/>
      <c r="N83" s="16">
        <v>0</v>
      </c>
      <c r="O83" s="16"/>
      <c r="P83" s="16">
        <v>3</v>
      </c>
      <c r="Q83" s="16"/>
      <c r="R83" s="18"/>
      <c r="S83" s="15"/>
      <c r="T83" s="20"/>
      <c r="U83" s="17"/>
      <c r="V83" s="17">
        <f t="shared" si="11"/>
        <v>25</v>
      </c>
      <c r="W83" s="15">
        <f ca="1">IFERROR(__xludf.DUMMYFUNCTION("IFERROR(
  SUM(
    FILTER(
      Reporte!$E:$E, 
      REGEXMATCH(Reporte!$A:$A, ""(?i)(TE PAGÓ|PAGASTE)""), 
      Reporte!$H:$H &amp; """" = AH83 &amp; """"
    )
  ), 
  0
)"),25)</f>
        <v>25</v>
      </c>
      <c r="X83" s="15">
        <f ca="1">IFERROR(__xludf.DUMMYFUNCTION("IFERROR(
  SUM(
    FILTER(
      Efectivo!$C:$C, 
      Efectivo!$D:$D &amp; """" = AH83 &amp; """"
    )
  ), 
  0
)"),0)</f>
        <v>0</v>
      </c>
      <c r="Y83" s="15" t="s">
        <v>34</v>
      </c>
      <c r="Z83" s="15"/>
      <c r="AA83" s="15" t="s">
        <v>35</v>
      </c>
      <c r="AB83" s="15"/>
      <c r="AC83" s="15"/>
      <c r="AD83" s="15" t="str">
        <f t="shared" si="7"/>
        <v/>
      </c>
      <c r="AE83" s="15" t="e">
        <f>IF(
   OR(
     AND(#REF!&gt;0, OR(Y83="C", Y83="c"), U83&lt;0),
     AND(#REF!&gt;0, Y83="")
   ),
   "CORTE",
   ""
)</f>
        <v>#REF!</v>
      </c>
      <c r="AF83" s="15">
        <f t="shared" si="1"/>
        <v>0</v>
      </c>
      <c r="AG83" s="15">
        <f t="shared" si="2"/>
        <v>25</v>
      </c>
      <c r="AH83" s="15" t="str">
        <f t="shared" si="8"/>
        <v>D</v>
      </c>
      <c r="AI83" s="15" t="str">
        <f t="shared" si="9"/>
        <v>D-13</v>
      </c>
    </row>
    <row r="84" spans="1:35" ht="15.75" customHeight="1" x14ac:dyDescent="0.35">
      <c r="A84" s="8">
        <v>83</v>
      </c>
      <c r="B84" s="9" t="s">
        <v>132</v>
      </c>
      <c r="C84" s="9" t="s">
        <v>117</v>
      </c>
      <c r="D84" s="8">
        <v>16</v>
      </c>
      <c r="E84" s="10"/>
      <c r="F84" s="10"/>
      <c r="G84" s="10"/>
      <c r="H84" s="11">
        <v>1</v>
      </c>
      <c r="I84" s="11">
        <v>1652</v>
      </c>
      <c r="J84" s="11">
        <v>10</v>
      </c>
      <c r="K84" s="11">
        <v>10</v>
      </c>
      <c r="L84" s="11">
        <v>10</v>
      </c>
      <c r="M84" s="11"/>
      <c r="N84" s="11">
        <v>0</v>
      </c>
      <c r="O84" s="11">
        <v>25</v>
      </c>
      <c r="P84" s="11">
        <v>3</v>
      </c>
      <c r="Q84" s="11"/>
      <c r="R84" s="19"/>
      <c r="S84" s="10"/>
      <c r="T84" s="21"/>
      <c r="U84" s="12"/>
      <c r="V84" s="12">
        <f t="shared" si="11"/>
        <v>38</v>
      </c>
      <c r="W84" s="10">
        <f ca="1">IFERROR(__xludf.DUMMYFUNCTION("IFERROR(
  SUM(
    FILTER(
      Reporte!$E:$E, 
      REGEXMATCH(Reporte!$A:$A, ""(?i)(TE PAGÓ|PAGASTE)""), 
      Reporte!$H:$H &amp; """" = AH84 &amp; """"
    )
  ), 
  0
)"),0)</f>
        <v>0</v>
      </c>
      <c r="X84" s="10">
        <f ca="1">IFERROR(__xludf.DUMMYFUNCTION("IFERROR(
  SUM(
    FILTER(
      Efectivo!$C:$C, 
      Efectivo!$D:$D &amp; """" = AH84 &amp; """"
    )
  ), 
  0
)"),0)</f>
        <v>0</v>
      </c>
      <c r="Y84" s="10"/>
      <c r="Z84" s="10"/>
      <c r="AA84" s="10"/>
      <c r="AB84" s="10"/>
      <c r="AC84" s="10"/>
      <c r="AD84" s="10" t="str">
        <f t="shared" si="7"/>
        <v/>
      </c>
      <c r="AE84" s="10" t="e">
        <f>IF(
   OR(
     AND(#REF!&gt;0, OR(Y84="C", Y84="c"), U84&lt;0),
     AND(#REF!&gt;0, Y84="")
   ),
   "CORTE",
   ""
)</f>
        <v>#REF!</v>
      </c>
      <c r="AF84" s="10">
        <f t="shared" si="1"/>
        <v>0</v>
      </c>
      <c r="AG84" s="10">
        <f t="shared" si="2"/>
        <v>0</v>
      </c>
      <c r="AH84" s="10" t="str">
        <f t="shared" si="8"/>
        <v>D</v>
      </c>
      <c r="AI84" s="10" t="str">
        <f t="shared" si="9"/>
        <v>D-16</v>
      </c>
    </row>
    <row r="85" spans="1:35" ht="15.75" customHeight="1" x14ac:dyDescent="0.35">
      <c r="A85" s="13">
        <v>84</v>
      </c>
      <c r="B85" s="14" t="s">
        <v>133</v>
      </c>
      <c r="C85" s="14" t="s">
        <v>117</v>
      </c>
      <c r="D85" s="13">
        <v>17</v>
      </c>
      <c r="E85" s="15"/>
      <c r="F85" s="15"/>
      <c r="G85" s="15"/>
      <c r="H85" s="16">
        <v>1</v>
      </c>
      <c r="I85" s="16">
        <v>3125</v>
      </c>
      <c r="J85" s="16">
        <v>3153</v>
      </c>
      <c r="K85" s="16">
        <v>28</v>
      </c>
      <c r="L85" s="16">
        <v>28</v>
      </c>
      <c r="M85" s="16"/>
      <c r="N85" s="16">
        <v>0</v>
      </c>
      <c r="O85" s="16"/>
      <c r="P85" s="16">
        <v>3</v>
      </c>
      <c r="Q85" s="16"/>
      <c r="R85" s="18"/>
      <c r="S85" s="15"/>
      <c r="T85" s="20"/>
      <c r="U85" s="17"/>
      <c r="V85" s="17">
        <f t="shared" si="11"/>
        <v>31</v>
      </c>
      <c r="W85" s="15">
        <f ca="1">IFERROR(__xludf.DUMMYFUNCTION("IFERROR(
  SUM(
    FILTER(
      Reporte!$E:$E, 
      REGEXMATCH(Reporte!$A:$A, ""(?i)(TE PAGÓ|PAGASTE)""), 
      Reporte!$H:$H &amp; """" = AH85 &amp; """"
    )
  ), 
  0
)"),0)</f>
        <v>0</v>
      </c>
      <c r="X85" s="15">
        <f ca="1">IFERROR(__xludf.DUMMYFUNCTION("IFERROR(
  SUM(
    FILTER(
      Efectivo!$C:$C, 
      Efectivo!$D:$D &amp; """" = AH85 &amp; """"
    )
  ), 
  0
)"),0)</f>
        <v>0</v>
      </c>
      <c r="Y85" s="15"/>
      <c r="Z85" s="15"/>
      <c r="AA85" s="15"/>
      <c r="AB85" s="15"/>
      <c r="AC85" s="15"/>
      <c r="AD85" s="15" t="str">
        <f t="shared" si="7"/>
        <v/>
      </c>
      <c r="AE85" s="15" t="e">
        <f>IF(
   OR(
     AND(#REF!&gt;0, OR(Y85="C", Y85="c"), U85&lt;0),
     AND(#REF!&gt;0, Y85="")
   ),
   "CORTE",
   ""
)</f>
        <v>#REF!</v>
      </c>
      <c r="AF85" s="15">
        <f t="shared" si="1"/>
        <v>0</v>
      </c>
      <c r="AG85" s="15">
        <f t="shared" si="2"/>
        <v>0</v>
      </c>
      <c r="AH85" s="15" t="str">
        <f t="shared" si="8"/>
        <v>D</v>
      </c>
      <c r="AI85" s="15" t="str">
        <f t="shared" si="9"/>
        <v>D-17</v>
      </c>
    </row>
    <row r="86" spans="1:35" ht="15.75" customHeight="1" x14ac:dyDescent="0.35">
      <c r="A86" s="8">
        <v>85</v>
      </c>
      <c r="B86" s="9" t="s">
        <v>134</v>
      </c>
      <c r="C86" s="9" t="s">
        <v>117</v>
      </c>
      <c r="D86" s="8">
        <v>18</v>
      </c>
      <c r="E86" s="10"/>
      <c r="F86" s="10"/>
      <c r="G86" s="10"/>
      <c r="H86" s="11">
        <v>1</v>
      </c>
      <c r="I86" s="11">
        <v>981</v>
      </c>
      <c r="J86" s="11">
        <v>1013</v>
      </c>
      <c r="K86" s="11">
        <v>32</v>
      </c>
      <c r="L86" s="11">
        <v>32</v>
      </c>
      <c r="M86" s="11"/>
      <c r="N86" s="11">
        <v>0</v>
      </c>
      <c r="O86" s="11"/>
      <c r="P86" s="11">
        <v>3</v>
      </c>
      <c r="Q86" s="11"/>
      <c r="R86" s="19"/>
      <c r="S86" s="10"/>
      <c r="T86" s="21"/>
      <c r="U86" s="12"/>
      <c r="V86" s="12">
        <f>SUM(L86:U86)</f>
        <v>35</v>
      </c>
      <c r="W86" s="10">
        <f ca="1">IFERROR(__xludf.DUMMYFUNCTION("IFERROR(
  SUM(
    FILTER(
      Reporte!$E:$E, 
      REGEXMATCH(Reporte!$A:$A, ""(?i)(TE PAGÓ|PAGASTE)""), 
      Reporte!$H:$H &amp; """" = AH86 &amp; """"
    )
  ), 
  0
)"),35)</f>
        <v>35</v>
      </c>
      <c r="X86" s="10">
        <f ca="1">IFERROR(__xludf.DUMMYFUNCTION("IFERROR(
  SUM(
    FILTER(
      Efectivo!$C:$C, 
      Efectivo!$D:$D &amp; """" = AH86 &amp; """"
    )
  ), 
  0
)"),0)</f>
        <v>0</v>
      </c>
      <c r="Y86" s="10" t="s">
        <v>34</v>
      </c>
      <c r="Z86" s="10"/>
      <c r="AA86" s="10" t="s">
        <v>35</v>
      </c>
      <c r="AB86" s="10"/>
      <c r="AC86" s="10"/>
      <c r="AD86" s="10" t="str">
        <f t="shared" si="7"/>
        <v/>
      </c>
      <c r="AE86" s="10" t="e">
        <f>IF(
   OR(
     AND(#REF!&gt;0, OR(Y86="C", Y86="c"), U86&lt;0),
     AND(#REF!&gt;0, Y86="")
   ),
   "CORTE",
   ""
)</f>
        <v>#REF!</v>
      </c>
      <c r="AF86" s="10">
        <f t="shared" si="1"/>
        <v>0</v>
      </c>
      <c r="AG86" s="10">
        <f t="shared" si="2"/>
        <v>35</v>
      </c>
      <c r="AH86" s="10" t="str">
        <f t="shared" si="8"/>
        <v>D</v>
      </c>
      <c r="AI86" s="10" t="str">
        <f t="shared" si="9"/>
        <v>D-18</v>
      </c>
    </row>
    <row r="87" spans="1:35" ht="15.75" customHeight="1" x14ac:dyDescent="0.35">
      <c r="A87" s="13">
        <v>86</v>
      </c>
      <c r="B87" s="14" t="s">
        <v>135</v>
      </c>
      <c r="C87" s="14" t="s">
        <v>117</v>
      </c>
      <c r="D87" s="13">
        <v>19</v>
      </c>
      <c r="E87" s="15"/>
      <c r="F87" s="15"/>
      <c r="G87" s="15"/>
      <c r="H87" s="16">
        <v>1</v>
      </c>
      <c r="I87" s="16">
        <v>8</v>
      </c>
      <c r="J87" s="16">
        <v>28</v>
      </c>
      <c r="K87" s="16">
        <v>20</v>
      </c>
      <c r="L87" s="16">
        <v>20</v>
      </c>
      <c r="M87" s="16"/>
      <c r="N87" s="16">
        <v>0</v>
      </c>
      <c r="O87" s="16">
        <v>25</v>
      </c>
      <c r="P87" s="16">
        <v>3</v>
      </c>
      <c r="Q87" s="16"/>
      <c r="R87" s="18"/>
      <c r="S87" s="15"/>
      <c r="T87" s="20"/>
      <c r="U87" s="17"/>
      <c r="V87" s="17">
        <f>SUM(L87:Q87)</f>
        <v>48</v>
      </c>
      <c r="W87" s="15">
        <f ca="1">IFERROR(__xludf.DUMMYFUNCTION("IFERROR(
  SUM(
    FILTER(
      Reporte!$E:$E, 
      REGEXMATCH(Reporte!$A:$A, ""(?i)(TE PAGÓ|PAGASTE)""), 
      Reporte!$H:$H &amp; """" = AH87 &amp; """"
    )
  ), 
  0
)"),48)</f>
        <v>48</v>
      </c>
      <c r="X87" s="15">
        <f ca="1">IFERROR(__xludf.DUMMYFUNCTION("IFERROR(
  SUM(
    FILTER(
      Efectivo!$C:$C, 
      Efectivo!$D:$D &amp; """" = AH87 &amp; """"
    )
  ), 
  0
)"),0)</f>
        <v>0</v>
      </c>
      <c r="Y87" s="15" t="s">
        <v>34</v>
      </c>
      <c r="Z87" s="15"/>
      <c r="AA87" s="15" t="s">
        <v>35</v>
      </c>
      <c r="AB87" s="15"/>
      <c r="AC87" s="15"/>
      <c r="AD87" s="15" t="str">
        <f t="shared" si="7"/>
        <v/>
      </c>
      <c r="AE87" s="15" t="e">
        <f>IF(
   OR(
     AND(#REF!&gt;0, OR(Y87="C", Y87="c"), U87&lt;0),
     AND(#REF!&gt;0, Y87="")
   ),
   "CORTE",
   ""
)</f>
        <v>#REF!</v>
      </c>
      <c r="AF87" s="15">
        <f t="shared" si="1"/>
        <v>0</v>
      </c>
      <c r="AG87" s="15">
        <f t="shared" si="2"/>
        <v>48</v>
      </c>
      <c r="AH87" s="15" t="str">
        <f t="shared" si="8"/>
        <v>D</v>
      </c>
      <c r="AI87" s="15" t="str">
        <f t="shared" si="9"/>
        <v>D-19</v>
      </c>
    </row>
    <row r="88" spans="1:35" ht="15.75" customHeight="1" x14ac:dyDescent="0.35">
      <c r="A88" s="8">
        <v>87</v>
      </c>
      <c r="B88" s="9" t="s">
        <v>136</v>
      </c>
      <c r="C88" s="9" t="s">
        <v>137</v>
      </c>
      <c r="D88" s="8">
        <v>1</v>
      </c>
      <c r="E88" s="10"/>
      <c r="F88" s="10"/>
      <c r="G88" s="10"/>
      <c r="H88" s="11">
        <v>1</v>
      </c>
      <c r="I88" s="11">
        <v>298</v>
      </c>
      <c r="J88" s="11">
        <v>303</v>
      </c>
      <c r="K88" s="11">
        <v>5</v>
      </c>
      <c r="L88" s="11">
        <v>5</v>
      </c>
      <c r="M88" s="11"/>
      <c r="N88" s="11">
        <v>0</v>
      </c>
      <c r="O88" s="11"/>
      <c r="P88" s="11">
        <v>3</v>
      </c>
      <c r="Q88" s="11"/>
      <c r="R88" s="19"/>
      <c r="S88" s="10"/>
      <c r="T88" s="21"/>
      <c r="U88" s="12"/>
      <c r="V88" s="12">
        <f>SUM(L88:Q88)</f>
        <v>8</v>
      </c>
      <c r="W88" s="10">
        <f ca="1">IFERROR(__xludf.DUMMYFUNCTION("IFERROR(
  SUM(
    FILTER(
      Reporte!$E:$E, 
      REGEXMATCH(Reporte!$A:$A, ""(?i)(TE PAGÓ|PAGASTE)""), 
      Reporte!$H:$H &amp; """" = AH88 &amp; """"
    )
  ), 
  0
)"),0)</f>
        <v>0</v>
      </c>
      <c r="X88" s="10">
        <f ca="1">IFERROR(__xludf.DUMMYFUNCTION("IFERROR(
  SUM(
    FILTER(
      Efectivo!$C:$C, 
      Efectivo!$D:$D &amp; """" = AH88 &amp; """"
    )
  ), 
  0
)"),8)</f>
        <v>8</v>
      </c>
      <c r="Y88" s="10" t="s">
        <v>34</v>
      </c>
      <c r="Z88" s="10"/>
      <c r="AA88" s="10"/>
      <c r="AB88" s="10"/>
      <c r="AC88" s="10"/>
      <c r="AD88" s="10" t="str">
        <f t="shared" si="7"/>
        <v/>
      </c>
      <c r="AE88" s="10" t="e">
        <f>IF(
   OR(
     AND(#REF!&gt;0, OR(Y88="C", Y88="c"), U88&lt;0),
     AND(#REF!&gt;0, Y88="")
   ),
   "CORTE",
   ""
)</f>
        <v>#REF!</v>
      </c>
      <c r="AF88" s="10">
        <f t="shared" si="1"/>
        <v>8</v>
      </c>
      <c r="AG88" s="10">
        <f t="shared" si="2"/>
        <v>0</v>
      </c>
      <c r="AH88" s="10" t="str">
        <f t="shared" si="8"/>
        <v>E</v>
      </c>
      <c r="AI88" s="10" t="str">
        <f t="shared" si="9"/>
        <v>E-1</v>
      </c>
    </row>
    <row r="89" spans="1:35" ht="15.75" customHeight="1" x14ac:dyDescent="0.35">
      <c r="A89" s="13">
        <v>88</v>
      </c>
      <c r="B89" s="14" t="s">
        <v>138</v>
      </c>
      <c r="C89" s="14" t="s">
        <v>137</v>
      </c>
      <c r="D89" s="13">
        <v>2</v>
      </c>
      <c r="E89" s="15"/>
      <c r="F89" s="15"/>
      <c r="G89" s="15"/>
      <c r="H89" s="16">
        <v>1</v>
      </c>
      <c r="I89" s="16">
        <v>3282</v>
      </c>
      <c r="J89" s="16">
        <v>29</v>
      </c>
      <c r="K89" s="16">
        <v>29</v>
      </c>
      <c r="L89" s="16">
        <v>29</v>
      </c>
      <c r="M89" s="16"/>
      <c r="N89" s="16">
        <v>0</v>
      </c>
      <c r="O89" s="16">
        <v>25</v>
      </c>
      <c r="P89" s="16">
        <v>3</v>
      </c>
      <c r="Q89" s="16"/>
      <c r="R89" s="18"/>
      <c r="S89" s="15"/>
      <c r="T89" s="20"/>
      <c r="U89" s="17"/>
      <c r="V89" s="17">
        <f>SUM(L89:U89)</f>
        <v>57</v>
      </c>
      <c r="W89" s="15">
        <f ca="1">IFERROR(__xludf.DUMMYFUNCTION("IFERROR(
  SUM(
    FILTER(
      Reporte!$E:$E, 
      REGEXMATCH(Reporte!$A:$A, ""(?i)(TE PAGÓ|PAGASTE)""), 
      Reporte!$H:$H &amp; """" = AH89 &amp; """"
    )
  ), 
  0
)"),57)</f>
        <v>57</v>
      </c>
      <c r="X89" s="15">
        <f ca="1">IFERROR(__xludf.DUMMYFUNCTION("IFERROR(
  SUM(
    FILTER(
      Efectivo!$C:$C, 
      Efectivo!$D:$D &amp; """" = AH89 &amp; """"
    )
  ), 
  0
)"),0)</f>
        <v>0</v>
      </c>
      <c r="Y89" s="15" t="s">
        <v>34</v>
      </c>
      <c r="Z89" s="15"/>
      <c r="AA89" s="15" t="s">
        <v>35</v>
      </c>
      <c r="AB89" s="15"/>
      <c r="AC89" s="15"/>
      <c r="AD89" s="15" t="str">
        <f t="shared" si="7"/>
        <v/>
      </c>
      <c r="AE89" s="15" t="e">
        <f>IF(
   OR(
     AND(#REF!&gt;0, OR(Y89="C", Y89="c"), U89&lt;0),
     AND(#REF!&gt;0, Y89="")
   ),
   "CORTE",
   ""
)</f>
        <v>#REF!</v>
      </c>
      <c r="AF89" s="15">
        <f t="shared" si="1"/>
        <v>0</v>
      </c>
      <c r="AG89" s="15">
        <f t="shared" si="2"/>
        <v>57</v>
      </c>
      <c r="AH89" s="15" t="str">
        <f t="shared" si="8"/>
        <v>E</v>
      </c>
      <c r="AI89" s="15" t="str">
        <f t="shared" si="9"/>
        <v>E-2</v>
      </c>
    </row>
    <row r="90" spans="1:35" ht="15.75" customHeight="1" x14ac:dyDescent="0.35">
      <c r="A90" s="8">
        <v>89</v>
      </c>
      <c r="B90" s="9" t="s">
        <v>139</v>
      </c>
      <c r="C90" s="9" t="s">
        <v>137</v>
      </c>
      <c r="D90" s="8">
        <v>3</v>
      </c>
      <c r="E90" s="10"/>
      <c r="F90" s="10"/>
      <c r="G90" s="10"/>
      <c r="H90" s="11">
        <v>1</v>
      </c>
      <c r="I90" s="11">
        <v>2932</v>
      </c>
      <c r="J90" s="11">
        <v>2973</v>
      </c>
      <c r="K90" s="11">
        <v>41</v>
      </c>
      <c r="L90" s="11">
        <v>41</v>
      </c>
      <c r="M90" s="11">
        <v>3</v>
      </c>
      <c r="N90" s="11">
        <v>0</v>
      </c>
      <c r="O90" s="11"/>
      <c r="P90" s="11">
        <v>3</v>
      </c>
      <c r="Q90" s="11"/>
      <c r="R90" s="19"/>
      <c r="S90" s="10"/>
      <c r="T90" s="21"/>
      <c r="U90" s="12"/>
      <c r="V90" s="12">
        <f>SUM(L90:Q90)</f>
        <v>47</v>
      </c>
      <c r="W90" s="10">
        <f ca="1">IFERROR(__xludf.DUMMYFUNCTION("IFERROR(
  SUM(
    FILTER(
      Reporte!$E:$E, 
      REGEXMATCH(Reporte!$A:$A, ""(?i)(TE PAGÓ|PAGASTE)""), 
      Reporte!$H:$H &amp; """" = AH90 &amp; """"
    )
  ), 
  0
)"),47)</f>
        <v>47</v>
      </c>
      <c r="X90" s="10">
        <f ca="1">IFERROR(__xludf.DUMMYFUNCTION("IFERROR(
  SUM(
    FILTER(
      Efectivo!$C:$C, 
      Efectivo!$D:$D &amp; """" = AH90 &amp; """"
    )
  ), 
  0
)"),0)</f>
        <v>0</v>
      </c>
      <c r="Y90" s="10" t="s">
        <v>34</v>
      </c>
      <c r="Z90" s="10"/>
      <c r="AA90" s="10" t="s">
        <v>35</v>
      </c>
      <c r="AB90" s="10"/>
      <c r="AC90" s="10"/>
      <c r="AD90" s="10" t="str">
        <f t="shared" si="7"/>
        <v/>
      </c>
      <c r="AE90" s="10" t="e">
        <f>IF(
   OR(
     AND(#REF!&gt;0, OR(Y90="C", Y90="c"), U90&lt;0),
     AND(#REF!&gt;0, Y90="")
   ),
   "CORTE",
   ""
)</f>
        <v>#REF!</v>
      </c>
      <c r="AF90" s="10">
        <f t="shared" si="1"/>
        <v>0</v>
      </c>
      <c r="AG90" s="10">
        <f t="shared" si="2"/>
        <v>47</v>
      </c>
      <c r="AH90" s="10" t="str">
        <f t="shared" si="8"/>
        <v>E</v>
      </c>
      <c r="AI90" s="10" t="str">
        <f t="shared" si="9"/>
        <v>E-3</v>
      </c>
    </row>
    <row r="91" spans="1:35" ht="15.75" customHeight="1" x14ac:dyDescent="0.35">
      <c r="A91" s="13">
        <v>90</v>
      </c>
      <c r="B91" s="14" t="s">
        <v>140</v>
      </c>
      <c r="C91" s="14" t="s">
        <v>137</v>
      </c>
      <c r="D91" s="13">
        <v>4</v>
      </c>
      <c r="E91" s="15"/>
      <c r="F91" s="15"/>
      <c r="G91" s="15"/>
      <c r="H91" s="16">
        <v>1</v>
      </c>
      <c r="I91" s="16">
        <v>185</v>
      </c>
      <c r="J91" s="16">
        <v>201</v>
      </c>
      <c r="K91" s="16">
        <v>16</v>
      </c>
      <c r="L91" s="16">
        <v>16</v>
      </c>
      <c r="M91" s="16"/>
      <c r="N91" s="16">
        <v>0</v>
      </c>
      <c r="O91" s="16"/>
      <c r="P91" s="16">
        <v>3</v>
      </c>
      <c r="Q91" s="16"/>
      <c r="R91" s="18"/>
      <c r="S91" s="15"/>
      <c r="T91" s="20"/>
      <c r="U91" s="17"/>
      <c r="V91" s="17">
        <f>SUM(L91:U91)</f>
        <v>19</v>
      </c>
      <c r="W91" s="15">
        <f ca="1">IFERROR(__xludf.DUMMYFUNCTION("IFERROR(
  SUM(
    FILTER(
      Reporte!$E:$E, 
      REGEXMATCH(Reporte!$A:$A, ""(?i)(TE PAGÓ|PAGASTE)""), 
      Reporte!$H:$H &amp; """" = AH91 &amp; """"
    )
  ), 
  0
)"),0)</f>
        <v>0</v>
      </c>
      <c r="X91" s="15">
        <f ca="1">IFERROR(__xludf.DUMMYFUNCTION("IFERROR(
  SUM(
    FILTER(
      Efectivo!$C:$C, 
      Efectivo!$D:$D &amp; """" = AH91 &amp; """"
    )
  ), 
  0
)"),0)</f>
        <v>0</v>
      </c>
      <c r="Y91" s="15"/>
      <c r="Z91" s="15"/>
      <c r="AA91" s="15"/>
      <c r="AB91" s="15"/>
      <c r="AC91" s="15"/>
      <c r="AD91" s="15" t="str">
        <f t="shared" si="7"/>
        <v/>
      </c>
      <c r="AE91" s="15" t="e">
        <f>IF(
   OR(
     AND(#REF!&gt;0, OR(Y91="C", Y91="c"), U91&lt;0),
     AND(#REF!&gt;0, Y91="")
   ),
   "CORTE",
   ""
)</f>
        <v>#REF!</v>
      </c>
      <c r="AF91" s="15">
        <f t="shared" si="1"/>
        <v>0</v>
      </c>
      <c r="AG91" s="15">
        <f t="shared" si="2"/>
        <v>0</v>
      </c>
      <c r="AH91" s="15" t="str">
        <f t="shared" si="8"/>
        <v>E</v>
      </c>
      <c r="AI91" s="15" t="str">
        <f t="shared" si="9"/>
        <v>E-4</v>
      </c>
    </row>
    <row r="92" spans="1:35" ht="15.75" customHeight="1" x14ac:dyDescent="0.35">
      <c r="A92" s="8">
        <v>91</v>
      </c>
      <c r="B92" s="9" t="s">
        <v>141</v>
      </c>
      <c r="C92" s="9" t="s">
        <v>137</v>
      </c>
      <c r="D92" s="8">
        <v>6</v>
      </c>
      <c r="E92" s="10"/>
      <c r="F92" s="10"/>
      <c r="G92" s="10"/>
      <c r="H92" s="11">
        <v>1</v>
      </c>
      <c r="I92" s="11">
        <v>941</v>
      </c>
      <c r="J92" s="11">
        <v>953</v>
      </c>
      <c r="K92" s="11">
        <v>12</v>
      </c>
      <c r="L92" s="11">
        <v>12</v>
      </c>
      <c r="M92" s="11">
        <v>3</v>
      </c>
      <c r="N92" s="11">
        <v>0</v>
      </c>
      <c r="O92" s="11"/>
      <c r="P92" s="11">
        <v>3</v>
      </c>
      <c r="Q92" s="11"/>
      <c r="R92" s="19"/>
      <c r="S92" s="10"/>
      <c r="T92" s="21"/>
      <c r="U92" s="12"/>
      <c r="V92" s="12">
        <f>SUM(L92:U92)</f>
        <v>18</v>
      </c>
      <c r="W92" s="10">
        <f ca="1">IFERROR(__xludf.DUMMYFUNCTION("IFERROR(
  SUM(
    FILTER(
      Reporte!$E:$E, 
      REGEXMATCH(Reporte!$A:$A, ""(?i)(TE PAGÓ|PAGASTE)""), 
      Reporte!$H:$H &amp; """" = AH92 &amp; """"
    )
  ), 
  0
)"),18)</f>
        <v>18</v>
      </c>
      <c r="X92" s="10">
        <f ca="1">IFERROR(__xludf.DUMMYFUNCTION("IFERROR(
  SUM(
    FILTER(
      Efectivo!$C:$C, 
      Efectivo!$D:$D &amp; """" = AH92 &amp; """"
    )
  ), 
  0
)"),0)</f>
        <v>0</v>
      </c>
      <c r="Y92" s="10" t="s">
        <v>34</v>
      </c>
      <c r="Z92" s="10"/>
      <c r="AA92" s="10" t="s">
        <v>35</v>
      </c>
      <c r="AB92" s="10"/>
      <c r="AC92" s="10"/>
      <c r="AD92" s="10" t="str">
        <f t="shared" si="7"/>
        <v/>
      </c>
      <c r="AE92" s="10" t="e">
        <f>IF(
   OR(
     AND(#REF!&gt;0, OR(Y92="C", Y92="c"), U92&lt;0),
     AND(#REF!&gt;0, Y92="")
   ),
   "CORTE",
   ""
)</f>
        <v>#REF!</v>
      </c>
      <c r="AF92" s="10">
        <f t="shared" si="1"/>
        <v>0</v>
      </c>
      <c r="AG92" s="10">
        <f t="shared" si="2"/>
        <v>18</v>
      </c>
      <c r="AH92" s="10" t="str">
        <f t="shared" si="8"/>
        <v>E</v>
      </c>
      <c r="AI92" s="10" t="str">
        <f t="shared" si="9"/>
        <v>E-6</v>
      </c>
    </row>
    <row r="93" spans="1:35" ht="15.75" customHeight="1" x14ac:dyDescent="0.35">
      <c r="A93" s="13">
        <v>92</v>
      </c>
      <c r="B93" s="14" t="s">
        <v>142</v>
      </c>
      <c r="C93" s="14" t="s">
        <v>137</v>
      </c>
      <c r="D93" s="13">
        <v>7</v>
      </c>
      <c r="E93" s="15"/>
      <c r="F93" s="16">
        <v>1</v>
      </c>
      <c r="G93" s="15"/>
      <c r="H93" s="16">
        <v>1</v>
      </c>
      <c r="I93" s="16">
        <v>1</v>
      </c>
      <c r="J93" s="16">
        <v>5</v>
      </c>
      <c r="K93" s="16">
        <v>4</v>
      </c>
      <c r="L93" s="16">
        <v>5</v>
      </c>
      <c r="M93" s="16"/>
      <c r="N93" s="16">
        <v>0</v>
      </c>
      <c r="O93" s="16"/>
      <c r="P93" s="16">
        <v>3</v>
      </c>
      <c r="Q93" s="16"/>
      <c r="R93" s="18"/>
      <c r="S93" s="15"/>
      <c r="T93" s="20"/>
      <c r="U93" s="17"/>
      <c r="V93" s="17">
        <f>SUM(L93:Q93)</f>
        <v>8</v>
      </c>
      <c r="W93" s="15">
        <f ca="1">IFERROR(__xludf.DUMMYFUNCTION("IFERROR(
  SUM(
    FILTER(
      Reporte!$E:$E, 
      REGEXMATCH(Reporte!$A:$A, ""(?i)(TE PAGÓ|PAGASTE)""), 
      Reporte!$H:$H &amp; """" = AH93 &amp; """"
    )
  ), 
  0
)"),8)</f>
        <v>8</v>
      </c>
      <c r="X93" s="15">
        <f ca="1">IFERROR(__xludf.DUMMYFUNCTION("IFERROR(
  SUM(
    FILTER(
      Efectivo!$C:$C, 
      Efectivo!$D:$D &amp; """" = AH93 &amp; """"
    )
  ), 
  0
)"),0)</f>
        <v>0</v>
      </c>
      <c r="Y93" s="15" t="s">
        <v>34</v>
      </c>
      <c r="Z93" s="15"/>
      <c r="AA93" s="15" t="s">
        <v>35</v>
      </c>
      <c r="AB93" s="15"/>
      <c r="AC93" s="15"/>
      <c r="AD93" s="15" t="str">
        <f t="shared" si="7"/>
        <v/>
      </c>
      <c r="AE93" s="15" t="e">
        <f>IF(
   OR(
     AND(#REF!&gt;0, OR(Y93="C", Y93="c"), U93&lt;0),
     AND(#REF!&gt;0, Y93="")
   ),
   "CORTE",
   ""
)</f>
        <v>#REF!</v>
      </c>
      <c r="AF93" s="15">
        <f t="shared" si="1"/>
        <v>0</v>
      </c>
      <c r="AG93" s="15">
        <f t="shared" si="2"/>
        <v>8</v>
      </c>
      <c r="AH93" s="15" t="str">
        <f t="shared" si="8"/>
        <v>E</v>
      </c>
      <c r="AI93" s="15" t="str">
        <f t="shared" si="9"/>
        <v>E-7</v>
      </c>
    </row>
    <row r="94" spans="1:35" ht="15.75" customHeight="1" x14ac:dyDescent="0.35">
      <c r="A94" s="8">
        <v>93</v>
      </c>
      <c r="B94" s="9" t="s">
        <v>143</v>
      </c>
      <c r="C94" s="9" t="s">
        <v>137</v>
      </c>
      <c r="D94" s="8">
        <v>8</v>
      </c>
      <c r="E94" s="10"/>
      <c r="F94" s="10"/>
      <c r="G94" s="10"/>
      <c r="H94" s="11">
        <v>1</v>
      </c>
      <c r="I94" s="11">
        <v>995</v>
      </c>
      <c r="J94" s="11">
        <v>1003</v>
      </c>
      <c r="K94" s="11">
        <v>8</v>
      </c>
      <c r="L94" s="11">
        <v>8</v>
      </c>
      <c r="M94" s="11"/>
      <c r="N94" s="11">
        <v>0</v>
      </c>
      <c r="O94" s="11"/>
      <c r="P94" s="11">
        <v>3</v>
      </c>
      <c r="Q94" s="11"/>
      <c r="R94" s="19"/>
      <c r="S94" s="10"/>
      <c r="T94" s="21"/>
      <c r="U94" s="12"/>
      <c r="V94" s="12">
        <f>SUM(L94:U94)</f>
        <v>11</v>
      </c>
      <c r="W94" s="10">
        <f ca="1">IFERROR(__xludf.DUMMYFUNCTION("IFERROR(
  SUM(
    FILTER(
      Reporte!$E:$E, 
      REGEXMATCH(Reporte!$A:$A, ""(?i)(TE PAGÓ|PAGASTE)""), 
      Reporte!$H:$H &amp; """" = AH94 &amp; """"
    )
  ), 
  0
)"),0)</f>
        <v>0</v>
      </c>
      <c r="X94" s="10">
        <f ca="1">IFERROR(__xludf.DUMMYFUNCTION("IFERROR(
  SUM(
    FILTER(
      Efectivo!$C:$C, 
      Efectivo!$D:$D &amp; """" = AH94 &amp; """"
    )
  ), 
  0
)"),11)</f>
        <v>11</v>
      </c>
      <c r="Y94" s="10" t="s">
        <v>34</v>
      </c>
      <c r="Z94" s="10"/>
      <c r="AA94" s="10"/>
      <c r="AB94" s="10"/>
      <c r="AC94" s="10"/>
      <c r="AD94" s="10" t="str">
        <f t="shared" si="7"/>
        <v/>
      </c>
      <c r="AE94" s="10" t="e">
        <f>IF(
   OR(
     AND(#REF!&gt;0, OR(Y94="C", Y94="c"), U94&lt;0),
     AND(#REF!&gt;0, Y94="")
   ),
   "CORTE",
   ""
)</f>
        <v>#REF!</v>
      </c>
      <c r="AF94" s="10">
        <f t="shared" si="1"/>
        <v>11</v>
      </c>
      <c r="AG94" s="10">
        <f t="shared" si="2"/>
        <v>0</v>
      </c>
      <c r="AH94" s="10" t="str">
        <f t="shared" si="8"/>
        <v>E</v>
      </c>
      <c r="AI94" s="10" t="str">
        <f t="shared" si="9"/>
        <v>E-8</v>
      </c>
    </row>
    <row r="95" spans="1:35" ht="15.75" customHeight="1" x14ac:dyDescent="0.35">
      <c r="A95" s="13">
        <v>94</v>
      </c>
      <c r="B95" s="14" t="s">
        <v>144</v>
      </c>
      <c r="C95" s="14" t="s">
        <v>137</v>
      </c>
      <c r="D95" s="13">
        <v>9</v>
      </c>
      <c r="E95" s="15"/>
      <c r="F95" s="15"/>
      <c r="G95" s="15"/>
      <c r="H95" s="16">
        <v>1</v>
      </c>
      <c r="I95" s="16">
        <v>99995</v>
      </c>
      <c r="J95" s="16">
        <v>99993</v>
      </c>
      <c r="K95" s="16">
        <v>2</v>
      </c>
      <c r="L95" s="16">
        <v>5</v>
      </c>
      <c r="M95" s="16"/>
      <c r="N95" s="16">
        <v>0</v>
      </c>
      <c r="O95" s="16">
        <v>100</v>
      </c>
      <c r="P95" s="16">
        <v>3</v>
      </c>
      <c r="Q95" s="16"/>
      <c r="R95" s="18"/>
      <c r="S95" s="15"/>
      <c r="T95" s="20"/>
      <c r="U95" s="17"/>
      <c r="V95" s="17">
        <f>SUM(L95:Q95)</f>
        <v>108</v>
      </c>
      <c r="W95" s="15">
        <f ca="1">IFERROR(__xludf.DUMMYFUNCTION("IFERROR(
  SUM(
    FILTER(
      Reporte!$E:$E, 
      REGEXMATCH(Reporte!$A:$A, ""(?i)(TE PAGÓ|PAGASTE)""), 
      Reporte!$H:$H &amp; """" = AH95 &amp; """"
    )
  ), 
  0
)"),0)</f>
        <v>0</v>
      </c>
      <c r="X95" s="15">
        <f ca="1">IFERROR(__xludf.DUMMYFUNCTION("IFERROR(
  SUM(
    FILTER(
      Efectivo!$C:$C, 
      Efectivo!$D:$D &amp; """" = AH95 &amp; """"
    )
  ), 
  0
)"),108)</f>
        <v>108</v>
      </c>
      <c r="Y95" s="15" t="s">
        <v>34</v>
      </c>
      <c r="Z95" s="15"/>
      <c r="AA95" s="15"/>
      <c r="AB95" s="15"/>
      <c r="AC95" s="15"/>
      <c r="AD95" s="15" t="str">
        <f t="shared" si="7"/>
        <v/>
      </c>
      <c r="AE95" s="15" t="e">
        <f>IF(
   OR(
     AND(#REF!&gt;0, OR(Y95="C", Y95="c"), U95&lt;0),
     AND(#REF!&gt;0, Y95="")
   ),
   "CORTE",
   ""
)</f>
        <v>#REF!</v>
      </c>
      <c r="AF95" s="15">
        <f t="shared" si="1"/>
        <v>108</v>
      </c>
      <c r="AG95" s="15">
        <f t="shared" si="2"/>
        <v>0</v>
      </c>
      <c r="AH95" s="15" t="str">
        <f t="shared" si="8"/>
        <v>E</v>
      </c>
      <c r="AI95" s="15" t="str">
        <f t="shared" si="9"/>
        <v>E-9</v>
      </c>
    </row>
    <row r="96" spans="1:35" ht="13.5" customHeight="1" x14ac:dyDescent="0.35">
      <c r="A96" s="8">
        <v>95</v>
      </c>
      <c r="B96" s="9" t="s">
        <v>145</v>
      </c>
      <c r="C96" s="9" t="s">
        <v>137</v>
      </c>
      <c r="D96" s="8">
        <v>10</v>
      </c>
      <c r="E96" s="10"/>
      <c r="F96" s="10"/>
      <c r="G96" s="10"/>
      <c r="H96" s="11">
        <v>1</v>
      </c>
      <c r="I96" s="11">
        <v>986</v>
      </c>
      <c r="J96" s="11">
        <v>1025</v>
      </c>
      <c r="K96" s="11">
        <v>39</v>
      </c>
      <c r="L96" s="11">
        <v>39</v>
      </c>
      <c r="M96" s="11"/>
      <c r="N96" s="11">
        <v>0</v>
      </c>
      <c r="O96" s="11"/>
      <c r="P96" s="11">
        <v>3</v>
      </c>
      <c r="Q96" s="11"/>
      <c r="R96" s="19"/>
      <c r="S96" s="10"/>
      <c r="T96" s="21"/>
      <c r="U96" s="12"/>
      <c r="V96" s="12">
        <f>SUM(L96:Q96)</f>
        <v>42</v>
      </c>
      <c r="W96" s="10">
        <f ca="1">IFERROR(__xludf.DUMMYFUNCTION("IFERROR(
  SUM(
    FILTER(
      Reporte!$E:$E, 
      REGEXMATCH(Reporte!$A:$A, ""(?i)(TE PAGÓ|PAGASTE)""), 
      Reporte!$H:$H &amp; """" = AH96 &amp; """"
    )
  ), 
  0
)"),0)</f>
        <v>0</v>
      </c>
      <c r="X96" s="10">
        <f ca="1">IFERROR(__xludf.DUMMYFUNCTION("IFERROR(
  SUM(
    FILTER(
      Efectivo!$C:$C, 
      Efectivo!$D:$D &amp; """" = AH96 &amp; """"
    )
  ), 
  0
)"),0)</f>
        <v>0</v>
      </c>
      <c r="Y96" s="10"/>
      <c r="Z96" s="10"/>
      <c r="AA96" s="10"/>
      <c r="AB96" s="10"/>
      <c r="AC96" s="10"/>
      <c r="AD96" s="10" t="str">
        <f t="shared" si="7"/>
        <v/>
      </c>
      <c r="AE96" s="10" t="e">
        <f>IF(
   OR(
     AND(#REF!&gt;0, OR(Y96="C", Y96="c"), U96&lt;0),
     AND(#REF!&gt;0, Y96="")
   ),
   "CORTE",
   ""
)</f>
        <v>#REF!</v>
      </c>
      <c r="AF96" s="10">
        <f t="shared" si="1"/>
        <v>0</v>
      </c>
      <c r="AG96" s="10">
        <f t="shared" si="2"/>
        <v>0</v>
      </c>
      <c r="AH96" s="10" t="str">
        <f t="shared" si="8"/>
        <v>E</v>
      </c>
      <c r="AI96" s="10" t="str">
        <f t="shared" si="9"/>
        <v>E-10</v>
      </c>
    </row>
    <row r="97" spans="1:35" ht="15.75" customHeight="1" x14ac:dyDescent="0.35">
      <c r="A97" s="13">
        <v>96</v>
      </c>
      <c r="B97" s="14" t="s">
        <v>146</v>
      </c>
      <c r="C97" s="14" t="s">
        <v>137</v>
      </c>
      <c r="D97" s="13">
        <v>11</v>
      </c>
      <c r="E97" s="15"/>
      <c r="F97" s="15"/>
      <c r="G97" s="15"/>
      <c r="H97" s="16">
        <v>1</v>
      </c>
      <c r="I97" s="16">
        <v>4171</v>
      </c>
      <c r="J97" s="16">
        <v>4213</v>
      </c>
      <c r="K97" s="16">
        <v>42</v>
      </c>
      <c r="L97" s="16">
        <v>42</v>
      </c>
      <c r="M97" s="16"/>
      <c r="N97" s="16">
        <v>0</v>
      </c>
      <c r="O97" s="16"/>
      <c r="P97" s="16">
        <v>3</v>
      </c>
      <c r="Q97" s="16"/>
      <c r="R97" s="18"/>
      <c r="S97" s="15"/>
      <c r="T97" s="20"/>
      <c r="U97" s="17"/>
      <c r="V97" s="17">
        <f>SUM(L97:U97)</f>
        <v>45</v>
      </c>
      <c r="W97" s="15">
        <f ca="1">IFERROR(__xludf.DUMMYFUNCTION("IFERROR(
  SUM(
    FILTER(
      Reporte!$E:$E, 
      REGEXMATCH(Reporte!$A:$A, ""(?i)(TE PAGÓ|PAGASTE)""), 
      Reporte!$H:$H &amp; """" = AH97 &amp; """"
    )
  ), 
  0
)"),0)</f>
        <v>0</v>
      </c>
      <c r="X97" s="15">
        <f ca="1">IFERROR(__xludf.DUMMYFUNCTION("IFERROR(
  SUM(
    FILTER(
      Efectivo!$C:$C, 
      Efectivo!$D:$D &amp; """" = AH97 &amp; """"
    )
  ), 
  0
)"),45)</f>
        <v>45</v>
      </c>
      <c r="Y97" s="15" t="s">
        <v>34</v>
      </c>
      <c r="Z97" s="15"/>
      <c r="AA97" s="15"/>
      <c r="AB97" s="15"/>
      <c r="AC97" s="15"/>
      <c r="AD97" s="15" t="str">
        <f t="shared" si="7"/>
        <v/>
      </c>
      <c r="AE97" s="15" t="e">
        <f>IF(
   OR(
     AND(#REF!&gt;0, OR(Y97="C", Y97="c"), U97&lt;0),
     AND(#REF!&gt;0, Y97="")
   ),
   "CORTE",
   ""
)</f>
        <v>#REF!</v>
      </c>
      <c r="AF97" s="15">
        <f t="shared" si="1"/>
        <v>45</v>
      </c>
      <c r="AG97" s="15">
        <f t="shared" si="2"/>
        <v>0</v>
      </c>
      <c r="AH97" s="15" t="str">
        <f t="shared" si="8"/>
        <v>E</v>
      </c>
      <c r="AI97" s="15" t="str">
        <f t="shared" si="9"/>
        <v>E-11</v>
      </c>
    </row>
    <row r="98" spans="1:35" ht="15.75" customHeight="1" x14ac:dyDescent="0.35">
      <c r="A98" s="8">
        <v>97</v>
      </c>
      <c r="B98" s="9" t="s">
        <v>147</v>
      </c>
      <c r="C98" s="9" t="s">
        <v>137</v>
      </c>
      <c r="D98" s="8">
        <v>12</v>
      </c>
      <c r="E98" s="10"/>
      <c r="F98" s="10"/>
      <c r="G98" s="10"/>
      <c r="H98" s="11">
        <v>1</v>
      </c>
      <c r="I98" s="11">
        <v>6</v>
      </c>
      <c r="J98" s="11">
        <v>19</v>
      </c>
      <c r="K98" s="11">
        <v>13</v>
      </c>
      <c r="L98" s="11">
        <v>13</v>
      </c>
      <c r="M98" s="11">
        <v>1</v>
      </c>
      <c r="N98" s="11">
        <v>0</v>
      </c>
      <c r="O98" s="11">
        <v>25</v>
      </c>
      <c r="P98" s="11">
        <v>3</v>
      </c>
      <c r="Q98" s="11"/>
      <c r="R98" s="19"/>
      <c r="S98" s="10"/>
      <c r="T98" s="21"/>
      <c r="U98" s="12"/>
      <c r="V98" s="12">
        <f>SUM(L98:Q98)</f>
        <v>42</v>
      </c>
      <c r="W98" s="10">
        <f ca="1">IFERROR(__xludf.DUMMYFUNCTION("IFERROR(
  SUM(
    FILTER(
      Reporte!$E:$E, 
      REGEXMATCH(Reporte!$A:$A, ""(?i)(TE PAGÓ|PAGASTE)""), 
      Reporte!$H:$H &amp; """" = AH98 &amp; """"
    )
  ), 
  0
)"),42)</f>
        <v>42</v>
      </c>
      <c r="X98" s="10">
        <f ca="1">IFERROR(__xludf.DUMMYFUNCTION("IFERROR(
  SUM(
    FILTER(
      Efectivo!$C:$C, 
      Efectivo!$D:$D &amp; """" = AH98 &amp; """"
    )
  ), 
  0
)"),0)</f>
        <v>0</v>
      </c>
      <c r="Y98" s="10" t="s">
        <v>34</v>
      </c>
      <c r="Z98" s="10"/>
      <c r="AA98" s="10" t="s">
        <v>35</v>
      </c>
      <c r="AB98" s="10"/>
      <c r="AC98" s="10"/>
      <c r="AD98" s="10" t="str">
        <f t="shared" si="7"/>
        <v/>
      </c>
      <c r="AE98" s="10" t="e">
        <f>IF(
   OR(
     AND(#REF!&gt;0, OR(Y98="C", Y98="c"), U98&lt;0),
     AND(#REF!&gt;0, Y98="")
   ),
   "CORTE",
   ""
)</f>
        <v>#REF!</v>
      </c>
      <c r="AF98" s="10">
        <f t="shared" si="1"/>
        <v>0</v>
      </c>
      <c r="AG98" s="10">
        <f t="shared" si="2"/>
        <v>42</v>
      </c>
      <c r="AH98" s="10" t="str">
        <f t="shared" si="8"/>
        <v>E</v>
      </c>
      <c r="AI98" s="10" t="str">
        <f t="shared" si="9"/>
        <v>E-12</v>
      </c>
    </row>
    <row r="99" spans="1:35" ht="15.75" customHeight="1" x14ac:dyDescent="0.35">
      <c r="A99" s="13">
        <v>98</v>
      </c>
      <c r="B99" s="14" t="s">
        <v>148</v>
      </c>
      <c r="C99" s="14" t="s">
        <v>137</v>
      </c>
      <c r="D99" s="13">
        <v>13</v>
      </c>
      <c r="E99" s="15"/>
      <c r="F99" s="15"/>
      <c r="G99" s="15"/>
      <c r="H99" s="16">
        <v>1</v>
      </c>
      <c r="I99" s="16">
        <v>3089</v>
      </c>
      <c r="J99" s="16">
        <v>3107</v>
      </c>
      <c r="K99" s="16">
        <v>18</v>
      </c>
      <c r="L99" s="16">
        <v>18</v>
      </c>
      <c r="M99" s="16"/>
      <c r="N99" s="16">
        <v>0</v>
      </c>
      <c r="O99" s="16"/>
      <c r="P99" s="16">
        <v>3</v>
      </c>
      <c r="Q99" s="16"/>
      <c r="R99" s="18"/>
      <c r="S99" s="15"/>
      <c r="T99" s="20"/>
      <c r="U99" s="17"/>
      <c r="V99" s="17">
        <f>SUM(L99:Q99)</f>
        <v>21</v>
      </c>
      <c r="W99" s="15">
        <f ca="1">IFERROR(__xludf.DUMMYFUNCTION("IFERROR(
  SUM(
    FILTER(
      Reporte!$E:$E, 
      REGEXMATCH(Reporte!$A:$A, ""(?i)(TE PAGÓ|PAGASTE)""), 
      Reporte!$H:$H &amp; """" = AH99 &amp; """"
    )
  ), 
  0
)"),21)</f>
        <v>21</v>
      </c>
      <c r="X99" s="15">
        <f ca="1">IFERROR(__xludf.DUMMYFUNCTION("IFERROR(
  SUM(
    FILTER(
      Efectivo!$C:$C, 
      Efectivo!$D:$D &amp; """" = AH99 &amp; """"
    )
  ), 
  0
)"),0)</f>
        <v>0</v>
      </c>
      <c r="Y99" s="15" t="s">
        <v>34</v>
      </c>
      <c r="Z99" s="15"/>
      <c r="AA99" s="15" t="s">
        <v>35</v>
      </c>
      <c r="AB99" s="15"/>
      <c r="AC99" s="15"/>
      <c r="AD99" s="15" t="str">
        <f t="shared" si="7"/>
        <v/>
      </c>
      <c r="AE99" s="15" t="e">
        <f>IF(
   OR(
     AND(#REF!&gt;0, OR(Y99="C", Y99="c"), U99&lt;0),
     AND(#REF!&gt;0, Y99="")
   ),
   "CORTE",
   ""
)</f>
        <v>#REF!</v>
      </c>
      <c r="AF99" s="15">
        <f t="shared" si="1"/>
        <v>0</v>
      </c>
      <c r="AG99" s="15">
        <f t="shared" si="2"/>
        <v>21</v>
      </c>
      <c r="AH99" s="15" t="str">
        <f t="shared" si="8"/>
        <v>E</v>
      </c>
      <c r="AI99" s="15" t="str">
        <f t="shared" si="9"/>
        <v>E-13</v>
      </c>
    </row>
    <row r="100" spans="1:35" ht="15.75" customHeight="1" x14ac:dyDescent="0.35">
      <c r="A100" s="8">
        <v>99</v>
      </c>
      <c r="B100" s="9" t="s">
        <v>149</v>
      </c>
      <c r="C100" s="9" t="s">
        <v>137</v>
      </c>
      <c r="D100" s="8">
        <v>14</v>
      </c>
      <c r="E100" s="10"/>
      <c r="F100" s="10"/>
      <c r="G100" s="10"/>
      <c r="H100" s="11">
        <v>1</v>
      </c>
      <c r="I100" s="11">
        <v>59</v>
      </c>
      <c r="J100" s="11">
        <v>77</v>
      </c>
      <c r="K100" s="11">
        <v>18</v>
      </c>
      <c r="L100" s="11">
        <v>18</v>
      </c>
      <c r="M100" s="11"/>
      <c r="N100" s="11">
        <v>0</v>
      </c>
      <c r="O100" s="11"/>
      <c r="P100" s="11">
        <v>3</v>
      </c>
      <c r="Q100" s="11"/>
      <c r="R100" s="19"/>
      <c r="S100" s="10"/>
      <c r="T100" s="21"/>
      <c r="U100" s="12"/>
      <c r="V100" s="12">
        <f>SUM(L100:Q100)</f>
        <v>21</v>
      </c>
      <c r="W100" s="10">
        <f ca="1">IFERROR(__xludf.DUMMYFUNCTION("IFERROR(
  SUM(
    FILTER(
      Reporte!$E:$E, 
      REGEXMATCH(Reporte!$A:$A, ""(?i)(TE PAGÓ|PAGASTE)""), 
      Reporte!$H:$H &amp; """" = AH100 &amp; """"
    )
  ), 
  0
)"),0)</f>
        <v>0</v>
      </c>
      <c r="X100" s="10">
        <f ca="1">IFERROR(__xludf.DUMMYFUNCTION("IFERROR(
  SUM(
    FILTER(
      Efectivo!$C:$C, 
      Efectivo!$D:$D &amp; """" = AH100 &amp; """"
    )
  ), 
  0
)"),0)</f>
        <v>0</v>
      </c>
      <c r="Y100" s="10"/>
      <c r="Z100" s="10"/>
      <c r="AA100" s="10"/>
      <c r="AB100" s="10"/>
      <c r="AC100" s="10"/>
      <c r="AD100" s="10" t="str">
        <f t="shared" si="7"/>
        <v/>
      </c>
      <c r="AE100" s="10" t="e">
        <f>IF(
   OR(
     AND(#REF!&gt;0, OR(Y100="C", Y100="c"), U100&lt;0),
     AND(#REF!&gt;0, Y100="")
   ),
   "CORTE",
   ""
)</f>
        <v>#REF!</v>
      </c>
      <c r="AF100" s="10">
        <f t="shared" si="1"/>
        <v>0</v>
      </c>
      <c r="AG100" s="10">
        <f t="shared" si="2"/>
        <v>0</v>
      </c>
      <c r="AH100" s="10" t="str">
        <f t="shared" si="8"/>
        <v>E</v>
      </c>
      <c r="AI100" s="10" t="str">
        <f t="shared" si="9"/>
        <v>E-14</v>
      </c>
    </row>
    <row r="101" spans="1:35" ht="15.75" customHeight="1" x14ac:dyDescent="0.35">
      <c r="A101" s="13">
        <v>100</v>
      </c>
      <c r="B101" s="14" t="s">
        <v>150</v>
      </c>
      <c r="C101" s="14" t="s">
        <v>137</v>
      </c>
      <c r="D101" s="14" t="s">
        <v>151</v>
      </c>
      <c r="E101" s="15"/>
      <c r="F101" s="15"/>
      <c r="G101" s="15"/>
      <c r="H101" s="16">
        <v>1</v>
      </c>
      <c r="I101" s="16">
        <v>330</v>
      </c>
      <c r="J101" s="16">
        <v>336</v>
      </c>
      <c r="K101" s="16">
        <v>6</v>
      </c>
      <c r="L101" s="16">
        <v>6</v>
      </c>
      <c r="M101" s="16"/>
      <c r="N101" s="16">
        <v>0</v>
      </c>
      <c r="O101" s="16"/>
      <c r="P101" s="16">
        <v>3</v>
      </c>
      <c r="Q101" s="16"/>
      <c r="R101" s="18"/>
      <c r="S101" s="15"/>
      <c r="T101" s="20"/>
      <c r="U101" s="17"/>
      <c r="V101" s="17">
        <f>SUM(L101:Q101)</f>
        <v>9</v>
      </c>
      <c r="W101" s="15">
        <f ca="1">IFERROR(__xludf.DUMMYFUNCTION("IFERROR(
  SUM(
    FILTER(
      Reporte!$E:$E, 
      REGEXMATCH(Reporte!$A:$A, ""(?i)(TE PAGÓ|PAGASTE)""), 
      Reporte!$H:$H &amp; """" = AH101 &amp; """"
    )
  ), 
  0
)"),0)</f>
        <v>0</v>
      </c>
      <c r="X101" s="15">
        <f ca="1">IFERROR(__xludf.DUMMYFUNCTION("IFERROR(
  SUM(
    FILTER(
      Efectivo!$C:$C, 
      Efectivo!$D:$D &amp; """" = AH101 &amp; """"
    )
  ), 
  0
)"),0)</f>
        <v>0</v>
      </c>
      <c r="Y101" s="15"/>
      <c r="Z101" s="15"/>
      <c r="AA101" s="15"/>
      <c r="AB101" s="15"/>
      <c r="AC101" s="15"/>
      <c r="AD101" s="15" t="str">
        <f t="shared" si="7"/>
        <v/>
      </c>
      <c r="AE101" s="15" t="e">
        <f>IF(
   OR(
     AND(#REF!&gt;0, OR(Y101="C", Y101="c"), U101&lt;0),
     AND(#REF!&gt;0, Y101="")
   ),
   "CORTE",
   ""
)</f>
        <v>#REF!</v>
      </c>
      <c r="AF101" s="15">
        <f t="shared" si="1"/>
        <v>0</v>
      </c>
      <c r="AG101" s="15">
        <f t="shared" si="2"/>
        <v>0</v>
      </c>
      <c r="AH101" s="15" t="str">
        <f t="shared" si="8"/>
        <v>E</v>
      </c>
      <c r="AI101" s="15" t="str">
        <f t="shared" si="9"/>
        <v>E-14B</v>
      </c>
    </row>
    <row r="102" spans="1:35" ht="15.75" customHeight="1" x14ac:dyDescent="0.35">
      <c r="A102" s="8">
        <v>101</v>
      </c>
      <c r="B102" s="9" t="s">
        <v>152</v>
      </c>
      <c r="C102" s="9" t="s">
        <v>137</v>
      </c>
      <c r="D102" s="8">
        <v>19</v>
      </c>
      <c r="E102" s="10"/>
      <c r="F102" s="10"/>
      <c r="G102" s="10"/>
      <c r="H102" s="11">
        <v>1</v>
      </c>
      <c r="I102" s="11">
        <v>19</v>
      </c>
      <c r="J102" s="11">
        <v>21</v>
      </c>
      <c r="K102" s="11">
        <v>2</v>
      </c>
      <c r="L102" s="11">
        <v>5</v>
      </c>
      <c r="M102" s="11"/>
      <c r="N102" s="11">
        <v>0</v>
      </c>
      <c r="O102" s="11"/>
      <c r="P102" s="11">
        <v>3</v>
      </c>
      <c r="Q102" s="11"/>
      <c r="R102" s="19"/>
      <c r="S102" s="10"/>
      <c r="T102" s="21"/>
      <c r="U102" s="12"/>
      <c r="V102" s="12">
        <f>SUM(L102:Q102)</f>
        <v>8</v>
      </c>
      <c r="W102" s="10">
        <f ca="1">IFERROR(__xludf.DUMMYFUNCTION("IFERROR(
  SUM(
    FILTER(
      Reporte!$E:$E, 
      REGEXMATCH(Reporte!$A:$A, ""(?i)(TE PAGÓ|PAGASTE)""), 
      Reporte!$H:$H &amp; """" = AH102 &amp; """"
    )
  ), 
  0
)"),8)</f>
        <v>8</v>
      </c>
      <c r="X102" s="10">
        <f ca="1">IFERROR(__xludf.DUMMYFUNCTION("IFERROR(
  SUM(
    FILTER(
      Efectivo!$C:$C, 
      Efectivo!$D:$D &amp; """" = AH102 &amp; """"
    )
  ), 
  0
)"),0)</f>
        <v>0</v>
      </c>
      <c r="Y102" s="10" t="s">
        <v>34</v>
      </c>
      <c r="Z102" s="10"/>
      <c r="AA102" s="10" t="s">
        <v>35</v>
      </c>
      <c r="AB102" s="10"/>
      <c r="AC102" s="10"/>
      <c r="AD102" s="10" t="str">
        <f t="shared" si="7"/>
        <v/>
      </c>
      <c r="AE102" s="10" t="e">
        <f>IF(
   OR(
     AND(#REF!&gt;0, OR(Y102="C", Y102="c"), U102&lt;0),
     AND(#REF!&gt;0, Y102="")
   ),
   "CORTE",
   ""
)</f>
        <v>#REF!</v>
      </c>
      <c r="AF102" s="10">
        <f t="shared" si="1"/>
        <v>0</v>
      </c>
      <c r="AG102" s="10">
        <f t="shared" si="2"/>
        <v>8</v>
      </c>
      <c r="AH102" s="10" t="str">
        <f t="shared" si="8"/>
        <v>E</v>
      </c>
      <c r="AI102" s="10" t="str">
        <f t="shared" si="9"/>
        <v>E-19</v>
      </c>
    </row>
    <row r="103" spans="1:35" ht="15.75" customHeight="1" x14ac:dyDescent="0.35">
      <c r="A103" s="13">
        <v>102</v>
      </c>
      <c r="B103" s="14" t="s">
        <v>153</v>
      </c>
      <c r="C103" s="14" t="s">
        <v>154</v>
      </c>
      <c r="D103" s="13">
        <v>1</v>
      </c>
      <c r="E103" s="15"/>
      <c r="F103" s="15"/>
      <c r="G103" s="15"/>
      <c r="H103" s="16">
        <v>1</v>
      </c>
      <c r="I103" s="16">
        <v>811</v>
      </c>
      <c r="J103" s="16">
        <v>828</v>
      </c>
      <c r="K103" s="16">
        <v>17</v>
      </c>
      <c r="L103" s="16">
        <v>17</v>
      </c>
      <c r="M103" s="16">
        <v>20</v>
      </c>
      <c r="N103" s="16">
        <v>0</v>
      </c>
      <c r="O103" s="16"/>
      <c r="P103" s="16">
        <v>3</v>
      </c>
      <c r="Q103" s="16"/>
      <c r="R103" s="18"/>
      <c r="S103" s="15"/>
      <c r="T103" s="20"/>
      <c r="U103" s="17"/>
      <c r="V103" s="17">
        <f>SUM(L103:U103)</f>
        <v>40</v>
      </c>
      <c r="W103" s="15">
        <f ca="1">IFERROR(__xludf.DUMMYFUNCTION("IFERROR(
  SUM(
    FILTER(
      Reporte!$E:$E, 
      REGEXMATCH(Reporte!$A:$A, ""(?i)(TE PAGÓ|PAGASTE)""), 
      Reporte!$H:$H &amp; """" = AH103 &amp; """"
    )
  ), 
  0
)"),40)</f>
        <v>40</v>
      </c>
      <c r="X103" s="15">
        <f ca="1">IFERROR(__xludf.DUMMYFUNCTION("IFERROR(
  SUM(
    FILTER(
      Efectivo!$C:$C, 
      Efectivo!$D:$D &amp; """" = AH103 &amp; """"
    )
  ), 
  0
)"),0)</f>
        <v>0</v>
      </c>
      <c r="Y103" s="15" t="s">
        <v>34</v>
      </c>
      <c r="Z103" s="15"/>
      <c r="AA103" s="15" t="s">
        <v>35</v>
      </c>
      <c r="AB103" s="15"/>
      <c r="AC103" s="15"/>
      <c r="AD103" s="15" t="str">
        <f t="shared" si="7"/>
        <v/>
      </c>
      <c r="AE103" s="15" t="e">
        <f>IF(
   OR(
     AND(#REF!&gt;0, OR(Y103="C", Y103="c"), U103&lt;0),
     AND(#REF!&gt;0, Y103="")
   ),
   "CORTE",
   ""
)</f>
        <v>#REF!</v>
      </c>
      <c r="AF103" s="15">
        <f t="shared" si="1"/>
        <v>0</v>
      </c>
      <c r="AG103" s="15">
        <f t="shared" si="2"/>
        <v>40</v>
      </c>
      <c r="AH103" s="15" t="str">
        <f t="shared" si="8"/>
        <v>F</v>
      </c>
      <c r="AI103" s="15" t="str">
        <f t="shared" si="9"/>
        <v>F-1</v>
      </c>
    </row>
    <row r="104" spans="1:35" ht="15.75" customHeight="1" x14ac:dyDescent="0.35">
      <c r="A104" s="8">
        <v>103</v>
      </c>
      <c r="B104" s="9" t="s">
        <v>155</v>
      </c>
      <c r="C104" s="9" t="s">
        <v>154</v>
      </c>
      <c r="D104" s="8">
        <v>3</v>
      </c>
      <c r="E104" s="10"/>
      <c r="F104" s="10"/>
      <c r="G104" s="10"/>
      <c r="H104" s="11">
        <v>1</v>
      </c>
      <c r="I104" s="11">
        <v>4</v>
      </c>
      <c r="J104" s="11">
        <v>4</v>
      </c>
      <c r="K104" s="11">
        <v>5</v>
      </c>
      <c r="L104" s="11">
        <v>5</v>
      </c>
      <c r="M104" s="11">
        <v>1</v>
      </c>
      <c r="N104" s="11">
        <v>0</v>
      </c>
      <c r="O104" s="11"/>
      <c r="P104" s="11">
        <v>3</v>
      </c>
      <c r="Q104" s="11"/>
      <c r="R104" s="19"/>
      <c r="S104" s="10"/>
      <c r="T104" s="21"/>
      <c r="U104" s="12"/>
      <c r="V104" s="12">
        <f t="shared" ref="V104:V119" si="12">SUM(L104:Q104)</f>
        <v>9</v>
      </c>
      <c r="W104" s="10">
        <f ca="1">IFERROR(__xludf.DUMMYFUNCTION("IFERROR(
  SUM(
    FILTER(
      Reporte!$E:$E, 
      REGEXMATCH(Reporte!$A:$A, ""(?i)(TE PAGÓ|PAGASTE)""), 
      Reporte!$H:$H &amp; """" = AH104 &amp; """"
    )
  ), 
  0
)"),9)</f>
        <v>9</v>
      </c>
      <c r="X104" s="10">
        <f ca="1">IFERROR(__xludf.DUMMYFUNCTION("IFERROR(
  SUM(
    FILTER(
      Efectivo!$C:$C, 
      Efectivo!$D:$D &amp; """" = AH104 &amp; """"
    )
  ), 
  0
)"),0)</f>
        <v>0</v>
      </c>
      <c r="Y104" s="10" t="s">
        <v>34</v>
      </c>
      <c r="Z104" s="10"/>
      <c r="AA104" s="10" t="s">
        <v>35</v>
      </c>
      <c r="AB104" s="10"/>
      <c r="AC104" s="10"/>
      <c r="AD104" s="10" t="str">
        <f t="shared" si="7"/>
        <v/>
      </c>
      <c r="AE104" s="10" t="e">
        <f>IF(
   OR(
     AND(#REF!&gt;0, OR(Y104="C", Y104="c"), U104&lt;0),
     AND(#REF!&gt;0, Y104="")
   ),
   "CORTE",
   ""
)</f>
        <v>#REF!</v>
      </c>
      <c r="AF104" s="10">
        <f t="shared" si="1"/>
        <v>0</v>
      </c>
      <c r="AG104" s="10">
        <f t="shared" si="2"/>
        <v>9</v>
      </c>
      <c r="AH104" s="10" t="str">
        <f t="shared" si="8"/>
        <v>F</v>
      </c>
      <c r="AI104" s="10" t="str">
        <f t="shared" si="9"/>
        <v>F-3</v>
      </c>
    </row>
    <row r="105" spans="1:35" ht="15.75" customHeight="1" x14ac:dyDescent="0.35">
      <c r="A105" s="13">
        <v>104</v>
      </c>
      <c r="B105" s="14" t="s">
        <v>156</v>
      </c>
      <c r="C105" s="14" t="s">
        <v>154</v>
      </c>
      <c r="D105" s="14" t="s">
        <v>157</v>
      </c>
      <c r="E105" s="15"/>
      <c r="F105" s="15"/>
      <c r="G105" s="15"/>
      <c r="H105" s="16">
        <v>1</v>
      </c>
      <c r="I105" s="16">
        <v>0</v>
      </c>
      <c r="J105" s="16">
        <v>0</v>
      </c>
      <c r="K105" s="16">
        <v>5</v>
      </c>
      <c r="L105" s="16">
        <v>5</v>
      </c>
      <c r="M105" s="16"/>
      <c r="N105" s="16">
        <v>0</v>
      </c>
      <c r="O105" s="16">
        <v>25</v>
      </c>
      <c r="P105" s="16">
        <v>3</v>
      </c>
      <c r="Q105" s="16"/>
      <c r="R105" s="18"/>
      <c r="S105" s="15"/>
      <c r="T105" s="20"/>
      <c r="U105" s="17"/>
      <c r="V105" s="17">
        <f t="shared" si="12"/>
        <v>33</v>
      </c>
      <c r="W105" s="15">
        <f ca="1">IFERROR(__xludf.DUMMYFUNCTION("IFERROR(
  SUM(
    FILTER(
      Reporte!$E:$E, 
      REGEXMATCH(Reporte!$A:$A, ""(?i)(TE PAGÓ|PAGASTE)""), 
      Reporte!$H:$H &amp; """" = AH105 &amp; """"
    )
  ), 
  0
)"),33)</f>
        <v>33</v>
      </c>
      <c r="X105" s="15">
        <f ca="1">IFERROR(__xludf.DUMMYFUNCTION("IFERROR(
  SUM(
    FILTER(
      Efectivo!$C:$C, 
      Efectivo!$D:$D &amp; """" = AH105 &amp; """"
    )
  ), 
  0
)"),0)</f>
        <v>0</v>
      </c>
      <c r="Y105" s="15" t="s">
        <v>34</v>
      </c>
      <c r="Z105" s="15"/>
      <c r="AA105" s="15" t="s">
        <v>35</v>
      </c>
      <c r="AB105" s="15"/>
      <c r="AC105" s="15"/>
      <c r="AD105" s="15" t="str">
        <f t="shared" si="7"/>
        <v/>
      </c>
      <c r="AE105" s="15" t="e">
        <f>IF(
   OR(
     AND(#REF!&gt;0, OR(Y105="C", Y105="c"), U105&lt;0),
     AND(#REF!&gt;0, Y105="")
   ),
   "CORTE",
   ""
)</f>
        <v>#REF!</v>
      </c>
      <c r="AF105" s="15">
        <f t="shared" si="1"/>
        <v>0</v>
      </c>
      <c r="AG105" s="15">
        <f t="shared" si="2"/>
        <v>33</v>
      </c>
      <c r="AH105" s="15" t="str">
        <f t="shared" si="8"/>
        <v>F</v>
      </c>
      <c r="AI105" s="15" t="str">
        <f t="shared" si="9"/>
        <v>F-3B</v>
      </c>
    </row>
    <row r="106" spans="1:35" ht="15.75" customHeight="1" x14ac:dyDescent="0.35">
      <c r="A106" s="8">
        <v>105</v>
      </c>
      <c r="B106" s="9" t="s">
        <v>158</v>
      </c>
      <c r="C106" s="9" t="s">
        <v>154</v>
      </c>
      <c r="D106" s="8">
        <v>4</v>
      </c>
      <c r="E106" s="10"/>
      <c r="F106" s="10"/>
      <c r="G106" s="10"/>
      <c r="H106" s="11">
        <v>1</v>
      </c>
      <c r="I106" s="11">
        <v>692</v>
      </c>
      <c r="J106" s="11">
        <v>719</v>
      </c>
      <c r="K106" s="11">
        <v>27</v>
      </c>
      <c r="L106" s="11">
        <v>27</v>
      </c>
      <c r="M106" s="11"/>
      <c r="N106" s="11">
        <v>0</v>
      </c>
      <c r="O106" s="11"/>
      <c r="P106" s="11">
        <v>3</v>
      </c>
      <c r="Q106" s="11"/>
      <c r="R106" s="19"/>
      <c r="S106" s="10"/>
      <c r="T106" s="21"/>
      <c r="U106" s="12"/>
      <c r="V106" s="12">
        <f t="shared" si="12"/>
        <v>30</v>
      </c>
      <c r="W106" s="10">
        <f ca="1">IFERROR(__xludf.DUMMYFUNCTION("IFERROR(
  SUM(
    FILTER(
      Reporte!$E:$E, 
      REGEXMATCH(Reporte!$A:$A, ""(?i)(TE PAGÓ|PAGASTE)""), 
      Reporte!$H:$H &amp; """" = AH106 &amp; """"
    )
  ), 
  0
)"),0)</f>
        <v>0</v>
      </c>
      <c r="X106" s="10">
        <f ca="1">IFERROR(__xludf.DUMMYFUNCTION("IFERROR(
  SUM(
    FILTER(
      Efectivo!$C:$C, 
      Efectivo!$D:$D &amp; """" = AH106 &amp; """"
    )
  ), 
  0
)"),0)</f>
        <v>0</v>
      </c>
      <c r="Y106" s="10"/>
      <c r="Z106" s="10"/>
      <c r="AA106" s="10"/>
      <c r="AB106" s="10"/>
      <c r="AC106" s="10"/>
      <c r="AD106" s="10" t="str">
        <f t="shared" si="7"/>
        <v/>
      </c>
      <c r="AE106" s="10" t="e">
        <f>IF(
   OR(
     AND(#REF!&gt;0, OR(Y106="C", Y106="c"), U106&lt;0),
     AND(#REF!&gt;0, Y106="")
   ),
   "CORTE",
   ""
)</f>
        <v>#REF!</v>
      </c>
      <c r="AF106" s="10">
        <f t="shared" si="1"/>
        <v>0</v>
      </c>
      <c r="AG106" s="10">
        <f t="shared" si="2"/>
        <v>0</v>
      </c>
      <c r="AH106" s="10" t="str">
        <f t="shared" si="8"/>
        <v>F</v>
      </c>
      <c r="AI106" s="10" t="str">
        <f t="shared" si="9"/>
        <v>F-4</v>
      </c>
    </row>
    <row r="107" spans="1:35" ht="15.75" customHeight="1" x14ac:dyDescent="0.35">
      <c r="A107" s="13">
        <v>106</v>
      </c>
      <c r="B107" s="14" t="s">
        <v>159</v>
      </c>
      <c r="C107" s="14" t="s">
        <v>154</v>
      </c>
      <c r="D107" s="13">
        <v>5</v>
      </c>
      <c r="E107" s="15"/>
      <c r="F107" s="15"/>
      <c r="G107" s="15"/>
      <c r="H107" s="16">
        <v>1</v>
      </c>
      <c r="I107" s="16">
        <v>2190</v>
      </c>
      <c r="J107" s="16">
        <v>2228</v>
      </c>
      <c r="K107" s="16">
        <v>38</v>
      </c>
      <c r="L107" s="16">
        <v>38</v>
      </c>
      <c r="M107" s="16"/>
      <c r="N107" s="16">
        <v>0</v>
      </c>
      <c r="O107" s="16"/>
      <c r="P107" s="16">
        <v>3</v>
      </c>
      <c r="Q107" s="16"/>
      <c r="R107" s="18"/>
      <c r="S107" s="15"/>
      <c r="T107" s="20"/>
      <c r="U107" s="17"/>
      <c r="V107" s="17">
        <f t="shared" si="12"/>
        <v>41</v>
      </c>
      <c r="W107" s="15">
        <f ca="1">IFERROR(__xludf.DUMMYFUNCTION("IFERROR(
  SUM(
    FILTER(
      Reporte!$E:$E, 
      REGEXMATCH(Reporte!$A:$A, ""(?i)(TE PAGÓ|PAGASTE)""), 
      Reporte!$H:$H &amp; """" = AH107 &amp; """"
    )
  ), 
  0
)"),41)</f>
        <v>41</v>
      </c>
      <c r="X107" s="15">
        <f ca="1">IFERROR(__xludf.DUMMYFUNCTION("IFERROR(
  SUM(
    FILTER(
      Efectivo!$C:$C, 
      Efectivo!$D:$D &amp; """" = AH107 &amp; """"
    )
  ), 
  0
)"),0)</f>
        <v>0</v>
      </c>
      <c r="Y107" s="15" t="s">
        <v>34</v>
      </c>
      <c r="Z107" s="15"/>
      <c r="AA107" s="15" t="s">
        <v>35</v>
      </c>
      <c r="AB107" s="15"/>
      <c r="AC107" s="15"/>
      <c r="AD107" s="15" t="str">
        <f t="shared" si="7"/>
        <v/>
      </c>
      <c r="AE107" s="15" t="e">
        <f>IF(
   OR(
     AND(#REF!&gt;0, OR(Y107="C", Y107="c"), U107&lt;0),
     AND(#REF!&gt;0, Y107="")
   ),
   "CORTE",
   ""
)</f>
        <v>#REF!</v>
      </c>
      <c r="AF107" s="15">
        <f t="shared" si="1"/>
        <v>0</v>
      </c>
      <c r="AG107" s="15">
        <f t="shared" si="2"/>
        <v>41</v>
      </c>
      <c r="AH107" s="15" t="str">
        <f t="shared" si="8"/>
        <v>F</v>
      </c>
      <c r="AI107" s="15" t="str">
        <f t="shared" si="9"/>
        <v>F-5</v>
      </c>
    </row>
    <row r="108" spans="1:35" ht="15.75" customHeight="1" x14ac:dyDescent="0.35">
      <c r="A108" s="8">
        <v>107</v>
      </c>
      <c r="B108" s="9" t="s">
        <v>160</v>
      </c>
      <c r="C108" s="9" t="s">
        <v>154</v>
      </c>
      <c r="D108" s="8">
        <v>6</v>
      </c>
      <c r="E108" s="10"/>
      <c r="F108" s="10"/>
      <c r="G108" s="10"/>
      <c r="H108" s="11">
        <v>1</v>
      </c>
      <c r="I108" s="11">
        <v>0</v>
      </c>
      <c r="J108" s="11">
        <v>21</v>
      </c>
      <c r="K108" s="11">
        <v>21</v>
      </c>
      <c r="L108" s="11">
        <v>21</v>
      </c>
      <c r="M108" s="11"/>
      <c r="N108" s="11">
        <v>0</v>
      </c>
      <c r="O108" s="11">
        <v>25</v>
      </c>
      <c r="P108" s="11">
        <v>3</v>
      </c>
      <c r="Q108" s="11"/>
      <c r="R108" s="19"/>
      <c r="S108" s="10"/>
      <c r="T108" s="21"/>
      <c r="U108" s="12"/>
      <c r="V108" s="12">
        <f t="shared" si="12"/>
        <v>49</v>
      </c>
      <c r="W108" s="10">
        <f ca="1">IFERROR(__xludf.DUMMYFUNCTION("IFERROR(
  SUM(
    FILTER(
      Reporte!$E:$E, 
      REGEXMATCH(Reporte!$A:$A, ""(?i)(TE PAGÓ|PAGASTE)""), 
      Reporte!$H:$H &amp; """" = AH108 &amp; """"
    )
  ), 
  0
)"),0)</f>
        <v>0</v>
      </c>
      <c r="X108" s="10">
        <f ca="1">IFERROR(__xludf.DUMMYFUNCTION("IFERROR(
  SUM(
    FILTER(
      Efectivo!$C:$C, 
      Efectivo!$D:$D &amp; """" = AH108 &amp; """"
    )
  ), 
  0
)"),0)</f>
        <v>0</v>
      </c>
      <c r="Y108" s="10"/>
      <c r="Z108" s="10"/>
      <c r="AA108" s="10"/>
      <c r="AB108" s="10"/>
      <c r="AC108" s="10"/>
      <c r="AD108" s="10" t="str">
        <f t="shared" si="7"/>
        <v/>
      </c>
      <c r="AE108" s="10" t="e">
        <f>IF(
   OR(
     AND(#REF!&gt;0, OR(Y108="C", Y108="c"), U108&lt;0),
     AND(#REF!&gt;0, Y108="")
   ),
   "CORTE",
   ""
)</f>
        <v>#REF!</v>
      </c>
      <c r="AF108" s="10">
        <f t="shared" si="1"/>
        <v>0</v>
      </c>
      <c r="AG108" s="10">
        <f t="shared" si="2"/>
        <v>0</v>
      </c>
      <c r="AH108" s="10" t="str">
        <f t="shared" si="8"/>
        <v>F</v>
      </c>
      <c r="AI108" s="10" t="str">
        <f t="shared" si="9"/>
        <v>F-6</v>
      </c>
    </row>
    <row r="109" spans="1:35" ht="15.75" customHeight="1" x14ac:dyDescent="0.35">
      <c r="A109" s="13">
        <v>108</v>
      </c>
      <c r="B109" s="14" t="s">
        <v>161</v>
      </c>
      <c r="C109" s="14" t="s">
        <v>154</v>
      </c>
      <c r="D109" s="13">
        <v>7</v>
      </c>
      <c r="E109" s="15"/>
      <c r="F109" s="15"/>
      <c r="G109" s="15"/>
      <c r="H109" s="16">
        <v>1</v>
      </c>
      <c r="I109" s="16">
        <v>26</v>
      </c>
      <c r="J109" s="16">
        <v>97</v>
      </c>
      <c r="K109" s="16">
        <v>71</v>
      </c>
      <c r="L109" s="16">
        <v>71</v>
      </c>
      <c r="M109" s="16"/>
      <c r="N109" s="16">
        <v>0</v>
      </c>
      <c r="O109" s="16">
        <v>25</v>
      </c>
      <c r="P109" s="16">
        <v>3</v>
      </c>
      <c r="Q109" s="16"/>
      <c r="R109" s="18"/>
      <c r="S109" s="15"/>
      <c r="T109" s="20"/>
      <c r="U109" s="17"/>
      <c r="V109" s="17">
        <f t="shared" si="12"/>
        <v>99</v>
      </c>
      <c r="W109" s="15">
        <f ca="1">IFERROR(__xludf.DUMMYFUNCTION("IFERROR(
  SUM(
    FILTER(
      Reporte!$E:$E, 
      REGEXMATCH(Reporte!$A:$A, ""(?i)(TE PAGÓ|PAGASTE)""), 
      Reporte!$H:$H &amp; """" = AH109 &amp; """"
    )
  ), 
  0
)"),99)</f>
        <v>99</v>
      </c>
      <c r="X109" s="15">
        <f ca="1">IFERROR(__xludf.DUMMYFUNCTION("IFERROR(
  SUM(
    FILTER(
      Efectivo!$C:$C, 
      Efectivo!$D:$D &amp; """" = AH109 &amp; """"
    )
  ), 
  0
)"),0)</f>
        <v>0</v>
      </c>
      <c r="Y109" s="15" t="s">
        <v>34</v>
      </c>
      <c r="Z109" s="15"/>
      <c r="AA109" s="15" t="s">
        <v>35</v>
      </c>
      <c r="AB109" s="15"/>
      <c r="AC109" s="15"/>
      <c r="AD109" s="15" t="str">
        <f t="shared" si="7"/>
        <v/>
      </c>
      <c r="AE109" s="15" t="e">
        <f>IF(
   OR(
     AND(#REF!&gt;0, OR(Y109="C", Y109="c"), U109&lt;0),
     AND(#REF!&gt;0, Y109="")
   ),
   "CORTE",
   ""
)</f>
        <v>#REF!</v>
      </c>
      <c r="AF109" s="15">
        <f t="shared" si="1"/>
        <v>0</v>
      </c>
      <c r="AG109" s="15">
        <f t="shared" si="2"/>
        <v>99</v>
      </c>
      <c r="AH109" s="15" t="str">
        <f t="shared" si="8"/>
        <v>F</v>
      </c>
      <c r="AI109" s="15" t="str">
        <f t="shared" si="9"/>
        <v>F-7</v>
      </c>
    </row>
    <row r="110" spans="1:35" ht="15.75" customHeight="1" x14ac:dyDescent="0.35">
      <c r="A110" s="8">
        <v>109</v>
      </c>
      <c r="B110" s="9" t="s">
        <v>162</v>
      </c>
      <c r="C110" s="9" t="s">
        <v>154</v>
      </c>
      <c r="D110" s="8">
        <v>8</v>
      </c>
      <c r="E110" s="10"/>
      <c r="F110" s="11">
        <v>1</v>
      </c>
      <c r="G110" s="10"/>
      <c r="H110" s="11">
        <v>1</v>
      </c>
      <c r="I110" s="11">
        <v>6</v>
      </c>
      <c r="J110" s="11">
        <v>15</v>
      </c>
      <c r="K110" s="11">
        <v>9</v>
      </c>
      <c r="L110" s="11">
        <v>9</v>
      </c>
      <c r="M110" s="11"/>
      <c r="N110" s="11">
        <v>0</v>
      </c>
      <c r="O110" s="11">
        <v>25</v>
      </c>
      <c r="P110" s="11">
        <v>3</v>
      </c>
      <c r="Q110" s="11"/>
      <c r="R110" s="19"/>
      <c r="S110" s="10"/>
      <c r="T110" s="21"/>
      <c r="U110" s="12"/>
      <c r="V110" s="12">
        <f t="shared" si="12"/>
        <v>37</v>
      </c>
      <c r="W110" s="10">
        <f ca="1">IFERROR(__xludf.DUMMYFUNCTION("IFERROR(
  SUM(
    FILTER(
      Reporte!$E:$E, 
      REGEXMATCH(Reporte!$A:$A, ""(?i)(TE PAGÓ|PAGASTE)""), 
      Reporte!$H:$H &amp; """" = AH110 &amp; """"
    )
  ), 
  0
)"),0)</f>
        <v>0</v>
      </c>
      <c r="X110" s="10">
        <f ca="1">IFERROR(__xludf.DUMMYFUNCTION("IFERROR(
  SUM(
    FILTER(
      Efectivo!$C:$C, 
      Efectivo!$D:$D &amp; """" = AH110 &amp; """"
    )
  ), 
  0
)"),37)</f>
        <v>37</v>
      </c>
      <c r="Y110" s="10" t="s">
        <v>34</v>
      </c>
      <c r="Z110" s="10"/>
      <c r="AA110" s="10"/>
      <c r="AB110" s="10"/>
      <c r="AC110" s="10"/>
      <c r="AD110" s="10" t="str">
        <f t="shared" si="7"/>
        <v/>
      </c>
      <c r="AE110" s="10" t="e">
        <f>IF(
   OR(
     AND(#REF!&gt;0, OR(Y110="C", Y110="c"), U110&lt;0),
     AND(#REF!&gt;0, Y110="")
   ),
   "CORTE",
   ""
)</f>
        <v>#REF!</v>
      </c>
      <c r="AF110" s="10">
        <f t="shared" si="1"/>
        <v>37</v>
      </c>
      <c r="AG110" s="10">
        <f t="shared" si="2"/>
        <v>0</v>
      </c>
      <c r="AH110" s="10" t="str">
        <f t="shared" si="8"/>
        <v>F</v>
      </c>
      <c r="AI110" s="10" t="str">
        <f t="shared" si="9"/>
        <v>F-8</v>
      </c>
    </row>
    <row r="111" spans="1:35" ht="15.75" customHeight="1" x14ac:dyDescent="0.35">
      <c r="A111" s="13">
        <v>110</v>
      </c>
      <c r="B111" s="14" t="s">
        <v>163</v>
      </c>
      <c r="C111" s="14" t="s">
        <v>154</v>
      </c>
      <c r="D111" s="13">
        <v>9</v>
      </c>
      <c r="E111" s="15"/>
      <c r="F111" s="16">
        <v>1</v>
      </c>
      <c r="G111" s="15"/>
      <c r="H111" s="16">
        <v>1</v>
      </c>
      <c r="I111" s="16">
        <v>13</v>
      </c>
      <c r="J111" s="16">
        <v>41</v>
      </c>
      <c r="K111" s="16">
        <v>28</v>
      </c>
      <c r="L111" s="16">
        <v>28</v>
      </c>
      <c r="M111" s="16">
        <v>24</v>
      </c>
      <c r="N111" s="16">
        <v>0</v>
      </c>
      <c r="O111" s="16">
        <v>25</v>
      </c>
      <c r="P111" s="16">
        <v>3</v>
      </c>
      <c r="Q111" s="16"/>
      <c r="R111" s="18"/>
      <c r="S111" s="15"/>
      <c r="T111" s="20"/>
      <c r="U111" s="17"/>
      <c r="V111" s="17">
        <f t="shared" si="12"/>
        <v>80</v>
      </c>
      <c r="W111" s="15">
        <f ca="1">IFERROR(__xludf.DUMMYFUNCTION("IFERROR(
  SUM(
    FILTER(
      Reporte!$E:$E, 
      REGEXMATCH(Reporte!$A:$A, ""(?i)(TE PAGÓ|PAGASTE)""), 
      Reporte!$H:$H &amp; """" = AH111 &amp; """"
    )
  ), 
  0
)"),80)</f>
        <v>80</v>
      </c>
      <c r="X111" s="15">
        <f ca="1">IFERROR(__xludf.DUMMYFUNCTION("IFERROR(
  SUM(
    FILTER(
      Efectivo!$C:$C, 
      Efectivo!$D:$D &amp; """" = AH111 &amp; """"
    )
  ), 
  0
)"),0)</f>
        <v>0</v>
      </c>
      <c r="Y111" s="15" t="s">
        <v>34</v>
      </c>
      <c r="Z111" s="15"/>
      <c r="AA111" s="15" t="s">
        <v>35</v>
      </c>
      <c r="AB111" s="15"/>
      <c r="AC111" s="15"/>
      <c r="AD111" s="15" t="str">
        <f t="shared" si="7"/>
        <v/>
      </c>
      <c r="AE111" s="15" t="e">
        <f>IF(
   OR(
     AND(#REF!&gt;0, OR(Y111="C", Y111="c"), U111&lt;0),
     AND(#REF!&gt;0, Y111="")
   ),
   "CORTE",
   ""
)</f>
        <v>#REF!</v>
      </c>
      <c r="AF111" s="15">
        <f t="shared" si="1"/>
        <v>0</v>
      </c>
      <c r="AG111" s="15">
        <f t="shared" si="2"/>
        <v>80</v>
      </c>
      <c r="AH111" s="15" t="str">
        <f t="shared" si="8"/>
        <v>F</v>
      </c>
      <c r="AI111" s="15" t="str">
        <f t="shared" si="9"/>
        <v>F-9</v>
      </c>
    </row>
    <row r="112" spans="1:35" ht="15.75" customHeight="1" x14ac:dyDescent="0.35">
      <c r="A112" s="8">
        <v>111</v>
      </c>
      <c r="B112" s="9" t="s">
        <v>164</v>
      </c>
      <c r="C112" s="9" t="s">
        <v>154</v>
      </c>
      <c r="D112" s="8">
        <v>10</v>
      </c>
      <c r="E112" s="10"/>
      <c r="F112" s="10"/>
      <c r="G112" s="10"/>
      <c r="H112" s="11">
        <v>1</v>
      </c>
      <c r="I112" s="11">
        <v>273</v>
      </c>
      <c r="J112" s="11">
        <v>285</v>
      </c>
      <c r="K112" s="11">
        <v>12</v>
      </c>
      <c r="L112" s="11">
        <v>12</v>
      </c>
      <c r="M112" s="11"/>
      <c r="N112" s="11">
        <v>0</v>
      </c>
      <c r="O112" s="11"/>
      <c r="P112" s="11">
        <v>3</v>
      </c>
      <c r="Q112" s="11"/>
      <c r="R112" s="19"/>
      <c r="S112" s="10"/>
      <c r="T112" s="21"/>
      <c r="U112" s="12"/>
      <c r="V112" s="12">
        <f t="shared" si="12"/>
        <v>15</v>
      </c>
      <c r="W112" s="10">
        <f ca="1">IFERROR(__xludf.DUMMYFUNCTION("IFERROR(
  SUM(
    FILTER(
      Reporte!$E:$E, 
      REGEXMATCH(Reporte!$A:$A, ""(?i)(TE PAGÓ|PAGASTE)""), 
      Reporte!$H:$H &amp; """" = AH112 &amp; """"
    )
  ), 
  0
)"),15)</f>
        <v>15</v>
      </c>
      <c r="X112" s="10">
        <f ca="1">IFERROR(__xludf.DUMMYFUNCTION("IFERROR(
  SUM(
    FILTER(
      Efectivo!$C:$C, 
      Efectivo!$D:$D &amp; """" = AH112 &amp; """"
    )
  ), 
  0
)"),0)</f>
        <v>0</v>
      </c>
      <c r="Y112" s="10" t="s">
        <v>34</v>
      </c>
      <c r="Z112" s="10"/>
      <c r="AA112" s="10" t="s">
        <v>35</v>
      </c>
      <c r="AB112" s="10"/>
      <c r="AC112" s="10"/>
      <c r="AD112" s="10" t="str">
        <f t="shared" si="7"/>
        <v/>
      </c>
      <c r="AE112" s="10" t="e">
        <f>IF(
   OR(
     AND(#REF!&gt;0, OR(Y112="C", Y112="c"), U112&lt;0),
     AND(#REF!&gt;0, Y112="")
   ),
   "CORTE",
   ""
)</f>
        <v>#REF!</v>
      </c>
      <c r="AF112" s="10">
        <f t="shared" si="1"/>
        <v>0</v>
      </c>
      <c r="AG112" s="10">
        <f t="shared" si="2"/>
        <v>15</v>
      </c>
      <c r="AH112" s="10" t="str">
        <f t="shared" si="8"/>
        <v>F</v>
      </c>
      <c r="AI112" s="10" t="str">
        <f t="shared" si="9"/>
        <v>F-10</v>
      </c>
    </row>
    <row r="113" spans="1:35" ht="15.75" customHeight="1" x14ac:dyDescent="0.35">
      <c r="A113" s="13">
        <v>112</v>
      </c>
      <c r="B113" s="14" t="s">
        <v>165</v>
      </c>
      <c r="C113" s="14" t="s">
        <v>154</v>
      </c>
      <c r="D113" s="13">
        <v>11</v>
      </c>
      <c r="E113" s="15"/>
      <c r="F113" s="16">
        <v>1</v>
      </c>
      <c r="G113" s="15"/>
      <c r="H113" s="16">
        <v>1</v>
      </c>
      <c r="I113" s="16">
        <v>190</v>
      </c>
      <c r="J113" s="16">
        <v>206</v>
      </c>
      <c r="K113" s="16">
        <v>16</v>
      </c>
      <c r="L113" s="16">
        <v>16</v>
      </c>
      <c r="M113" s="16"/>
      <c r="N113" s="16">
        <v>0</v>
      </c>
      <c r="O113" s="16"/>
      <c r="P113" s="16">
        <v>3</v>
      </c>
      <c r="Q113" s="16"/>
      <c r="R113" s="18"/>
      <c r="S113" s="15"/>
      <c r="T113" s="20"/>
      <c r="U113" s="17"/>
      <c r="V113" s="17">
        <f t="shared" si="12"/>
        <v>19</v>
      </c>
      <c r="W113" s="15">
        <f ca="1">IFERROR(__xludf.DUMMYFUNCTION("IFERROR(
  SUM(
    FILTER(
      Reporte!$E:$E, 
      REGEXMATCH(Reporte!$A:$A, ""(?i)(TE PAGÓ|PAGASTE)""), 
      Reporte!$H:$H &amp; """" = AH113 &amp; """"
    )
  ), 
  0
)"),19)</f>
        <v>19</v>
      </c>
      <c r="X113" s="15">
        <f ca="1">IFERROR(__xludf.DUMMYFUNCTION("IFERROR(
  SUM(
    FILTER(
      Efectivo!$C:$C, 
      Efectivo!$D:$D &amp; """" = AH113 &amp; """"
    )
  ), 
  0
)"),0)</f>
        <v>0</v>
      </c>
      <c r="Y113" s="15" t="s">
        <v>34</v>
      </c>
      <c r="Z113" s="15"/>
      <c r="AA113" s="15" t="s">
        <v>35</v>
      </c>
      <c r="AB113" s="15"/>
      <c r="AC113" s="15"/>
      <c r="AD113" s="15" t="str">
        <f t="shared" si="7"/>
        <v/>
      </c>
      <c r="AE113" s="15" t="e">
        <f>IF(
   OR(
     AND(#REF!&gt;0, OR(Y113="C", Y113="c"), U113&lt;0),
     AND(#REF!&gt;0, Y113="")
   ),
   "CORTE",
   ""
)</f>
        <v>#REF!</v>
      </c>
      <c r="AF113" s="15">
        <f t="shared" si="1"/>
        <v>0</v>
      </c>
      <c r="AG113" s="15">
        <f t="shared" si="2"/>
        <v>19</v>
      </c>
      <c r="AH113" s="15" t="str">
        <f t="shared" si="8"/>
        <v>F</v>
      </c>
      <c r="AI113" s="15" t="str">
        <f t="shared" si="9"/>
        <v>F-11</v>
      </c>
    </row>
    <row r="114" spans="1:35" ht="15.75" customHeight="1" x14ac:dyDescent="0.35">
      <c r="A114" s="8">
        <v>113</v>
      </c>
      <c r="B114" s="9" t="s">
        <v>166</v>
      </c>
      <c r="C114" s="9" t="s">
        <v>154</v>
      </c>
      <c r="D114" s="8">
        <v>12</v>
      </c>
      <c r="E114" s="10"/>
      <c r="F114" s="10"/>
      <c r="G114" s="10"/>
      <c r="H114" s="11">
        <v>2</v>
      </c>
      <c r="I114" s="11">
        <v>99998</v>
      </c>
      <c r="J114" s="11">
        <v>99997</v>
      </c>
      <c r="K114" s="11">
        <v>1</v>
      </c>
      <c r="L114" s="11">
        <v>5</v>
      </c>
      <c r="M114" s="11"/>
      <c r="N114" s="11">
        <v>0</v>
      </c>
      <c r="O114" s="11">
        <v>25</v>
      </c>
      <c r="P114" s="11">
        <v>3</v>
      </c>
      <c r="Q114" s="11"/>
      <c r="R114" s="19"/>
      <c r="S114" s="10"/>
      <c r="T114" s="21"/>
      <c r="U114" s="12"/>
      <c r="V114" s="12">
        <f t="shared" si="12"/>
        <v>33</v>
      </c>
      <c r="W114" s="10">
        <f ca="1">IFERROR(__xludf.DUMMYFUNCTION("IFERROR(
  SUM(
    FILTER(
      Reporte!$E:$E, 
      REGEXMATCH(Reporte!$A:$A, ""(?i)(TE PAGÓ|PAGASTE)""), 
      Reporte!$H:$H &amp; """" = AH114 &amp; """"
    )
  ), 
  0
)"),33)</f>
        <v>33</v>
      </c>
      <c r="X114" s="10">
        <f ca="1">IFERROR(__xludf.DUMMYFUNCTION("IFERROR(
  SUM(
    FILTER(
      Efectivo!$C:$C, 
      Efectivo!$D:$D &amp; """" = AH114 &amp; """"
    )
  ), 
  0
)"),0)</f>
        <v>0</v>
      </c>
      <c r="Y114" s="10" t="s">
        <v>34</v>
      </c>
      <c r="Z114" s="10"/>
      <c r="AA114" s="10" t="s">
        <v>35</v>
      </c>
      <c r="AB114" s="10"/>
      <c r="AC114" s="10"/>
      <c r="AD114" s="10" t="str">
        <f t="shared" si="7"/>
        <v/>
      </c>
      <c r="AE114" s="10" t="e">
        <f>IF(
   OR(
     AND(#REF!&gt;0, OR(Y114="C", Y114="c"), U114&lt;0),
     AND(#REF!&gt;0, Y114="")
   ),
   "CORTE",
   ""
)</f>
        <v>#REF!</v>
      </c>
      <c r="AF114" s="10">
        <f t="shared" si="1"/>
        <v>0</v>
      </c>
      <c r="AG114" s="10">
        <f t="shared" si="2"/>
        <v>33</v>
      </c>
      <c r="AH114" s="10" t="str">
        <f t="shared" si="8"/>
        <v>F</v>
      </c>
      <c r="AI114" s="10" t="str">
        <f t="shared" si="9"/>
        <v>F-12</v>
      </c>
    </row>
    <row r="115" spans="1:35" ht="15.75" customHeight="1" x14ac:dyDescent="0.35">
      <c r="A115" s="13">
        <v>114</v>
      </c>
      <c r="B115" s="14" t="s">
        <v>167</v>
      </c>
      <c r="C115" s="14" t="s">
        <v>154</v>
      </c>
      <c r="D115" s="13">
        <v>14</v>
      </c>
      <c r="E115" s="15"/>
      <c r="F115" s="15"/>
      <c r="G115" s="15"/>
      <c r="H115" s="16">
        <v>1</v>
      </c>
      <c r="I115" s="16">
        <v>5</v>
      </c>
      <c r="J115" s="16">
        <v>26</v>
      </c>
      <c r="K115" s="16">
        <v>21</v>
      </c>
      <c r="L115" s="16">
        <v>21</v>
      </c>
      <c r="M115" s="16">
        <v>87</v>
      </c>
      <c r="N115" s="16">
        <v>0</v>
      </c>
      <c r="O115" s="16">
        <v>50</v>
      </c>
      <c r="P115" s="16">
        <v>3</v>
      </c>
      <c r="Q115" s="16"/>
      <c r="R115" s="18"/>
      <c r="S115" s="15"/>
      <c r="T115" s="20"/>
      <c r="U115" s="17"/>
      <c r="V115" s="17">
        <f t="shared" si="12"/>
        <v>161</v>
      </c>
      <c r="W115" s="15">
        <f ca="1">IFERROR(__xludf.DUMMYFUNCTION("IFERROR(
  SUM(
    FILTER(
      Reporte!$E:$E, 
      REGEXMATCH(Reporte!$A:$A, ""(?i)(TE PAGÓ|PAGASTE)""), 
      Reporte!$H:$H &amp; """" = AH115 &amp; """"
    )
  ), 
  0
)"),0)</f>
        <v>0</v>
      </c>
      <c r="X115" s="15">
        <f ca="1">IFERROR(__xludf.DUMMYFUNCTION("IFERROR(
  SUM(
    FILTER(
      Efectivo!$C:$C, 
      Efectivo!$D:$D &amp; """" = AH115 &amp; """"
    )
  ), 
  0
)"),161)</f>
        <v>161</v>
      </c>
      <c r="Y115" s="15" t="s">
        <v>34</v>
      </c>
      <c r="Z115" s="15"/>
      <c r="AA115" s="15"/>
      <c r="AB115" s="15"/>
      <c r="AC115" s="15"/>
      <c r="AD115" s="15" t="str">
        <f t="shared" si="7"/>
        <v/>
      </c>
      <c r="AE115" s="15" t="e">
        <f>IF(
   OR(
     AND(#REF!&gt;0, OR(Y115="C", Y115="c"), U115&lt;0),
     AND(#REF!&gt;0, Y115="")
   ),
   "CORTE",
   ""
)</f>
        <v>#REF!</v>
      </c>
      <c r="AF115" s="15">
        <f t="shared" si="1"/>
        <v>161</v>
      </c>
      <c r="AG115" s="15">
        <f t="shared" si="2"/>
        <v>0</v>
      </c>
      <c r="AH115" s="15" t="str">
        <f t="shared" si="8"/>
        <v>F</v>
      </c>
      <c r="AI115" s="15" t="str">
        <f t="shared" si="9"/>
        <v>F-14</v>
      </c>
    </row>
    <row r="116" spans="1:35" ht="15.75" customHeight="1" x14ac:dyDescent="0.35">
      <c r="A116" s="8">
        <v>115</v>
      </c>
      <c r="B116" s="9" t="s">
        <v>168</v>
      </c>
      <c r="C116" s="9" t="s">
        <v>154</v>
      </c>
      <c r="D116" s="8">
        <v>13</v>
      </c>
      <c r="E116" s="10"/>
      <c r="F116" s="10"/>
      <c r="G116" s="10"/>
      <c r="H116" s="11">
        <v>1</v>
      </c>
      <c r="I116" s="11">
        <v>724</v>
      </c>
      <c r="J116" s="11">
        <v>732</v>
      </c>
      <c r="K116" s="11">
        <v>8</v>
      </c>
      <c r="L116" s="11">
        <v>8</v>
      </c>
      <c r="M116" s="11"/>
      <c r="N116" s="11">
        <v>0</v>
      </c>
      <c r="O116" s="11"/>
      <c r="P116" s="11">
        <v>3</v>
      </c>
      <c r="Q116" s="11"/>
      <c r="R116" s="19"/>
      <c r="S116" s="10"/>
      <c r="T116" s="21"/>
      <c r="U116" s="12"/>
      <c r="V116" s="12">
        <f t="shared" si="12"/>
        <v>11</v>
      </c>
      <c r="W116" s="10">
        <f ca="1">IFERROR(__xludf.DUMMYFUNCTION("IFERROR(
  SUM(
    FILTER(
      Reporte!$E:$E, 
      REGEXMATCH(Reporte!$A:$A, ""(?i)(TE PAGÓ|PAGASTE)""), 
      Reporte!$H:$H &amp; """" = AH116 &amp; """"
    )
  ), 
  0
)"),11)</f>
        <v>11</v>
      </c>
      <c r="X116" s="10">
        <f ca="1">IFERROR(__xludf.DUMMYFUNCTION("IFERROR(
  SUM(
    FILTER(
      Efectivo!$C:$C, 
      Efectivo!$D:$D &amp; """" = AH116 &amp; """"
    )
  ), 
  0
)"),0)</f>
        <v>0</v>
      </c>
      <c r="Y116" s="10" t="s">
        <v>34</v>
      </c>
      <c r="Z116" s="10"/>
      <c r="AA116" s="10" t="s">
        <v>35</v>
      </c>
      <c r="AB116" s="10"/>
      <c r="AC116" s="10"/>
      <c r="AD116" s="10" t="str">
        <f t="shared" si="7"/>
        <v/>
      </c>
      <c r="AE116" s="10" t="e">
        <f>IF(
   OR(
     AND(#REF!&gt;0, OR(Y116="C", Y116="c"), U116&lt;0),
     AND(#REF!&gt;0, Y116="")
   ),
   "CORTE",
   ""
)</f>
        <v>#REF!</v>
      </c>
      <c r="AF116" s="10">
        <f t="shared" si="1"/>
        <v>0</v>
      </c>
      <c r="AG116" s="10">
        <f t="shared" si="2"/>
        <v>11</v>
      </c>
      <c r="AH116" s="10" t="str">
        <f t="shared" si="8"/>
        <v>F</v>
      </c>
      <c r="AI116" s="10" t="str">
        <f t="shared" si="9"/>
        <v>F-13</v>
      </c>
    </row>
    <row r="117" spans="1:35" ht="15.75" customHeight="1" x14ac:dyDescent="0.35">
      <c r="A117" s="13">
        <v>116</v>
      </c>
      <c r="B117" s="14" t="s">
        <v>169</v>
      </c>
      <c r="C117" s="14" t="s">
        <v>170</v>
      </c>
      <c r="D117" s="13">
        <v>1</v>
      </c>
      <c r="E117" s="15"/>
      <c r="F117" s="15"/>
      <c r="G117" s="15"/>
      <c r="H117" s="16">
        <v>1</v>
      </c>
      <c r="I117" s="16">
        <v>814</v>
      </c>
      <c r="J117" s="16">
        <v>836</v>
      </c>
      <c r="K117" s="16">
        <v>22</v>
      </c>
      <c r="L117" s="16">
        <v>22</v>
      </c>
      <c r="M117" s="16"/>
      <c r="N117" s="16">
        <v>0</v>
      </c>
      <c r="O117" s="16"/>
      <c r="P117" s="16">
        <v>3</v>
      </c>
      <c r="Q117" s="16"/>
      <c r="R117" s="18"/>
      <c r="S117" s="15"/>
      <c r="T117" s="20"/>
      <c r="U117" s="17"/>
      <c r="V117" s="17">
        <f t="shared" si="12"/>
        <v>25</v>
      </c>
      <c r="W117" s="15">
        <f ca="1">IFERROR(__xludf.DUMMYFUNCTION("IFERROR(
  SUM(
    FILTER(
      Reporte!$E:$E, 
      REGEXMATCH(Reporte!$A:$A, ""(?i)(TE PAGÓ|PAGASTE)""), 
      Reporte!$H:$H &amp; """" = AH117 &amp; """"
    )
  ), 
  0
)"),0)</f>
        <v>0</v>
      </c>
      <c r="X117" s="15">
        <f ca="1">IFERROR(__xludf.DUMMYFUNCTION("IFERROR(
  SUM(
    FILTER(
      Efectivo!$C:$C, 
      Efectivo!$D:$D &amp; """" = AH117 &amp; """"
    )
  ), 
  0
)"),25)</f>
        <v>25</v>
      </c>
      <c r="Y117" s="15" t="s">
        <v>34</v>
      </c>
      <c r="Z117" s="15"/>
      <c r="AA117" s="15"/>
      <c r="AB117" s="15"/>
      <c r="AC117" s="15"/>
      <c r="AD117" s="15" t="str">
        <f t="shared" si="7"/>
        <v/>
      </c>
      <c r="AE117" s="15" t="e">
        <f>IF(
   OR(
     AND(#REF!&gt;0, OR(Y117="C", Y117="c"), U117&lt;0),
     AND(#REF!&gt;0, Y117="")
   ),
   "CORTE",
   ""
)</f>
        <v>#REF!</v>
      </c>
      <c r="AF117" s="15">
        <f t="shared" si="1"/>
        <v>25</v>
      </c>
      <c r="AG117" s="15">
        <f t="shared" si="2"/>
        <v>0</v>
      </c>
      <c r="AH117" s="15" t="str">
        <f t="shared" si="8"/>
        <v>G</v>
      </c>
      <c r="AI117" s="15" t="str">
        <f t="shared" si="9"/>
        <v>G-1</v>
      </c>
    </row>
    <row r="118" spans="1:35" ht="15.75" customHeight="1" x14ac:dyDescent="0.35">
      <c r="A118" s="8">
        <v>117</v>
      </c>
      <c r="B118" s="9" t="s">
        <v>171</v>
      </c>
      <c r="C118" s="9" t="s">
        <v>170</v>
      </c>
      <c r="D118" s="8">
        <v>2</v>
      </c>
      <c r="E118" s="10"/>
      <c r="F118" s="10"/>
      <c r="G118" s="10"/>
      <c r="H118" s="11">
        <v>1</v>
      </c>
      <c r="I118" s="11">
        <v>9</v>
      </c>
      <c r="J118" s="11">
        <v>33</v>
      </c>
      <c r="K118" s="11">
        <v>24</v>
      </c>
      <c r="L118" s="11">
        <v>24</v>
      </c>
      <c r="M118" s="11"/>
      <c r="N118" s="11">
        <v>0</v>
      </c>
      <c r="O118" s="11">
        <v>25</v>
      </c>
      <c r="P118" s="11">
        <v>3</v>
      </c>
      <c r="Q118" s="11"/>
      <c r="R118" s="19"/>
      <c r="S118" s="10"/>
      <c r="T118" s="21"/>
      <c r="U118" s="12"/>
      <c r="V118" s="12">
        <f t="shared" si="12"/>
        <v>52</v>
      </c>
      <c r="W118" s="10">
        <f ca="1">IFERROR(__xludf.DUMMYFUNCTION("IFERROR(
  SUM(
    FILTER(
      Reporte!$E:$E, 
      REGEXMATCH(Reporte!$A:$A, ""(?i)(TE PAGÓ|PAGASTE)""), 
      Reporte!$H:$H &amp; """" = AH118 &amp; """"
    )
  ), 
  0
)"),52)</f>
        <v>52</v>
      </c>
      <c r="X118" s="10">
        <f ca="1">IFERROR(__xludf.DUMMYFUNCTION("IFERROR(
  SUM(
    FILTER(
      Efectivo!$C:$C, 
      Efectivo!$D:$D &amp; """" = AH118 &amp; """"
    )
  ), 
  0
)"),0)</f>
        <v>0</v>
      </c>
      <c r="Y118" s="10" t="s">
        <v>34</v>
      </c>
      <c r="Z118" s="10"/>
      <c r="AA118" s="10" t="s">
        <v>35</v>
      </c>
      <c r="AB118" s="10"/>
      <c r="AC118" s="10"/>
      <c r="AD118" s="10" t="str">
        <f t="shared" si="7"/>
        <v/>
      </c>
      <c r="AE118" s="10" t="e">
        <f>IF(
   OR(
     AND(#REF!&gt;0, OR(Y118="C", Y118="c"), U118&lt;0),
     AND(#REF!&gt;0, Y118="")
   ),
   "CORTE",
   ""
)</f>
        <v>#REF!</v>
      </c>
      <c r="AF118" s="10">
        <f t="shared" si="1"/>
        <v>0</v>
      </c>
      <c r="AG118" s="10">
        <f t="shared" si="2"/>
        <v>52</v>
      </c>
      <c r="AH118" s="10" t="str">
        <f t="shared" si="8"/>
        <v>G</v>
      </c>
      <c r="AI118" s="10" t="str">
        <f t="shared" si="9"/>
        <v>G-2</v>
      </c>
    </row>
    <row r="119" spans="1:35" ht="15.75" customHeight="1" x14ac:dyDescent="0.35">
      <c r="A119" s="13">
        <v>118</v>
      </c>
      <c r="B119" s="14" t="s">
        <v>172</v>
      </c>
      <c r="C119" s="14" t="s">
        <v>170</v>
      </c>
      <c r="D119" s="13">
        <v>3</v>
      </c>
      <c r="E119" s="15"/>
      <c r="F119" s="15"/>
      <c r="G119" s="15"/>
      <c r="H119" s="16">
        <v>1</v>
      </c>
      <c r="I119" s="16">
        <v>2</v>
      </c>
      <c r="J119" s="16">
        <v>10</v>
      </c>
      <c r="K119" s="16">
        <v>8</v>
      </c>
      <c r="L119" s="16">
        <v>8</v>
      </c>
      <c r="M119" s="16"/>
      <c r="N119" s="16">
        <v>0</v>
      </c>
      <c r="O119" s="16">
        <v>25</v>
      </c>
      <c r="P119" s="16">
        <v>3</v>
      </c>
      <c r="Q119" s="16"/>
      <c r="R119" s="18"/>
      <c r="S119" s="15"/>
      <c r="T119" s="20"/>
      <c r="U119" s="17"/>
      <c r="V119" s="17">
        <f t="shared" si="12"/>
        <v>36</v>
      </c>
      <c r="W119" s="15">
        <f ca="1">IFERROR(__xludf.DUMMYFUNCTION("IFERROR(
  SUM(
    FILTER(
      Reporte!$E:$E, 
      REGEXMATCH(Reporte!$A:$A, ""(?i)(TE PAGÓ|PAGASTE)""), 
      Reporte!$H:$H &amp; """" = AH119 &amp; """"
    )
  ), 
  0
)"),36)</f>
        <v>36</v>
      </c>
      <c r="X119" s="15">
        <f ca="1">IFERROR(__xludf.DUMMYFUNCTION("IFERROR(
  SUM(
    FILTER(
      Efectivo!$C:$C, 
      Efectivo!$D:$D &amp; """" = AH119 &amp; """"
    )
  ), 
  0
)"),0)</f>
        <v>0</v>
      </c>
      <c r="Y119" s="15" t="s">
        <v>34</v>
      </c>
      <c r="Z119" s="15"/>
      <c r="AA119" s="15" t="s">
        <v>35</v>
      </c>
      <c r="AB119" s="15"/>
      <c r="AC119" s="15"/>
      <c r="AD119" s="15" t="str">
        <f t="shared" si="7"/>
        <v/>
      </c>
      <c r="AE119" s="15" t="e">
        <f>IF(
   OR(
     AND(#REF!&gt;0, OR(Y119="C", Y119="c"), U119&lt;0),
     AND(#REF!&gt;0, Y119="")
   ),
   "CORTE",
   ""
)</f>
        <v>#REF!</v>
      </c>
      <c r="AF119" s="15">
        <f t="shared" si="1"/>
        <v>0</v>
      </c>
      <c r="AG119" s="15">
        <f t="shared" si="2"/>
        <v>36</v>
      </c>
      <c r="AH119" s="15" t="str">
        <f t="shared" si="8"/>
        <v>G</v>
      </c>
      <c r="AI119" s="15" t="str">
        <f t="shared" si="9"/>
        <v>G-3</v>
      </c>
    </row>
    <row r="120" spans="1:35" ht="15.75" customHeight="1" x14ac:dyDescent="0.35">
      <c r="A120" s="8">
        <v>119</v>
      </c>
      <c r="B120" s="9" t="s">
        <v>173</v>
      </c>
      <c r="C120" s="9" t="s">
        <v>170</v>
      </c>
      <c r="D120" s="8">
        <v>4</v>
      </c>
      <c r="E120" s="10"/>
      <c r="F120" s="10"/>
      <c r="G120" s="10"/>
      <c r="H120" s="11">
        <v>1</v>
      </c>
      <c r="I120" s="11">
        <v>9</v>
      </c>
      <c r="J120" s="11">
        <v>16</v>
      </c>
      <c r="K120" s="11">
        <v>7</v>
      </c>
      <c r="L120" s="11">
        <v>7</v>
      </c>
      <c r="M120" s="11">
        <v>13</v>
      </c>
      <c r="N120" s="11">
        <v>0</v>
      </c>
      <c r="O120" s="11"/>
      <c r="P120" s="11">
        <v>3</v>
      </c>
      <c r="Q120" s="11"/>
      <c r="R120" s="19"/>
      <c r="S120" s="10"/>
      <c r="T120" s="21"/>
      <c r="U120" s="12"/>
      <c r="V120" s="12">
        <f>SUM(L120:U120)</f>
        <v>23</v>
      </c>
      <c r="W120" s="10">
        <f ca="1">IFERROR(__xludf.DUMMYFUNCTION("IFERROR(
  SUM(
    FILTER(
      Reporte!$E:$E, 
      REGEXMATCH(Reporte!$A:$A, ""(?i)(TE PAGÓ|PAGASTE)""), 
      Reporte!$H:$H &amp; """" = AH120 &amp; """"
    )
  ), 
  0
)"),23)</f>
        <v>23</v>
      </c>
      <c r="X120" s="10">
        <f ca="1">IFERROR(__xludf.DUMMYFUNCTION("IFERROR(
  SUM(
    FILTER(
      Efectivo!$C:$C, 
      Efectivo!$D:$D &amp; """" = AH120 &amp; """"
    )
  ), 
  0
)"),0)</f>
        <v>0</v>
      </c>
      <c r="Y120" s="10" t="s">
        <v>34</v>
      </c>
      <c r="Z120" s="10"/>
      <c r="AA120" s="10" t="s">
        <v>35</v>
      </c>
      <c r="AB120" s="10" t="s">
        <v>174</v>
      </c>
      <c r="AC120" s="10"/>
      <c r="AD120" s="10" t="str">
        <f t="shared" si="7"/>
        <v/>
      </c>
      <c r="AE120" s="10" t="e">
        <f>IF(
   OR(
     AND(#REF!&gt;0, OR(Y120="C", Y120="c"), U120&lt;0),
     AND(#REF!&gt;0, Y120="")
   ),
   "CORTE",
   ""
)</f>
        <v>#REF!</v>
      </c>
      <c r="AF120" s="10">
        <f t="shared" si="1"/>
        <v>0</v>
      </c>
      <c r="AG120" s="10">
        <f t="shared" si="2"/>
        <v>23</v>
      </c>
      <c r="AH120" s="10" t="str">
        <f t="shared" si="8"/>
        <v>G</v>
      </c>
      <c r="AI120" s="10" t="str">
        <f t="shared" si="9"/>
        <v>G-4</v>
      </c>
    </row>
    <row r="121" spans="1:35" ht="15.75" customHeight="1" x14ac:dyDescent="0.35">
      <c r="A121" s="13">
        <v>120</v>
      </c>
      <c r="B121" s="14" t="s">
        <v>175</v>
      </c>
      <c r="C121" s="14" t="s">
        <v>170</v>
      </c>
      <c r="D121" s="13">
        <v>5</v>
      </c>
      <c r="E121" s="15"/>
      <c r="F121" s="15"/>
      <c r="G121" s="15"/>
      <c r="H121" s="16">
        <v>1</v>
      </c>
      <c r="I121" s="16">
        <v>468</v>
      </c>
      <c r="J121" s="16">
        <v>488</v>
      </c>
      <c r="K121" s="16">
        <v>20</v>
      </c>
      <c r="L121" s="16">
        <v>20</v>
      </c>
      <c r="M121" s="16"/>
      <c r="N121" s="16">
        <v>0</v>
      </c>
      <c r="O121" s="16"/>
      <c r="P121" s="16">
        <v>3</v>
      </c>
      <c r="Q121" s="16"/>
      <c r="R121" s="18"/>
      <c r="S121" s="15"/>
      <c r="T121" s="20"/>
      <c r="U121" s="17"/>
      <c r="V121" s="17">
        <f>SUM(L121:Q121)</f>
        <v>23</v>
      </c>
      <c r="W121" s="15">
        <f ca="1">IFERROR(__xludf.DUMMYFUNCTION("IFERROR(
  SUM(
    FILTER(
      Reporte!$E:$E, 
      REGEXMATCH(Reporte!$A:$A, ""(?i)(TE PAGÓ|PAGASTE)""), 
      Reporte!$H:$H &amp; """" = AH121 &amp; """"
    )
  ), 
  0
)"),0)</f>
        <v>0</v>
      </c>
      <c r="X121" s="15">
        <f ca="1">IFERROR(__xludf.DUMMYFUNCTION("IFERROR(
  SUM(
    FILTER(
      Efectivo!$C:$C, 
      Efectivo!$D:$D &amp; """" = AH121 &amp; """"
    )
  ), 
  0
)"),23)</f>
        <v>23</v>
      </c>
      <c r="Y121" s="15" t="s">
        <v>34</v>
      </c>
      <c r="Z121" s="15"/>
      <c r="AA121" s="15"/>
      <c r="AB121" s="15"/>
      <c r="AC121" s="15"/>
      <c r="AD121" s="15" t="str">
        <f t="shared" si="7"/>
        <v/>
      </c>
      <c r="AE121" s="15" t="e">
        <f>IF(
   OR(
     AND(#REF!&gt;0, OR(Y121="C", Y121="c"), U121&lt;0),
     AND(#REF!&gt;0, Y121="")
   ),
   "CORTE",
   ""
)</f>
        <v>#REF!</v>
      </c>
      <c r="AF121" s="15">
        <f t="shared" si="1"/>
        <v>23</v>
      </c>
      <c r="AG121" s="15">
        <f t="shared" si="2"/>
        <v>0</v>
      </c>
      <c r="AH121" s="15" t="str">
        <f t="shared" si="8"/>
        <v>G</v>
      </c>
      <c r="AI121" s="15" t="str">
        <f t="shared" si="9"/>
        <v>G-5</v>
      </c>
    </row>
    <row r="122" spans="1:35" ht="15.75" customHeight="1" x14ac:dyDescent="0.35">
      <c r="A122" s="8">
        <v>121</v>
      </c>
      <c r="B122" s="9" t="s">
        <v>176</v>
      </c>
      <c r="C122" s="9" t="s">
        <v>170</v>
      </c>
      <c r="D122" s="8">
        <v>6</v>
      </c>
      <c r="E122" s="10"/>
      <c r="F122" s="10"/>
      <c r="G122" s="10"/>
      <c r="H122" s="11">
        <v>1</v>
      </c>
      <c r="I122" s="11">
        <v>7</v>
      </c>
      <c r="J122" s="11">
        <v>34</v>
      </c>
      <c r="K122" s="11">
        <v>27</v>
      </c>
      <c r="L122" s="11">
        <v>27</v>
      </c>
      <c r="M122" s="11"/>
      <c r="N122" s="11">
        <v>0</v>
      </c>
      <c r="O122" s="11">
        <v>25</v>
      </c>
      <c r="P122" s="11">
        <v>3</v>
      </c>
      <c r="Q122" s="11"/>
      <c r="R122" s="19"/>
      <c r="S122" s="10"/>
      <c r="T122" s="21"/>
      <c r="U122" s="12"/>
      <c r="V122" s="12">
        <f>SUM(L122:U122)</f>
        <v>55</v>
      </c>
      <c r="W122" s="10">
        <f ca="1">IFERROR(__xludf.DUMMYFUNCTION("IFERROR(
  SUM(
    FILTER(
      Reporte!$E:$E, 
      REGEXMATCH(Reporte!$A:$A, ""(?i)(TE PAGÓ|PAGASTE)""), 
      Reporte!$H:$H &amp; """" = AH122 &amp; """"
    )
  ), 
  0
)"),0)</f>
        <v>0</v>
      </c>
      <c r="X122" s="10">
        <f ca="1">IFERROR(__xludf.DUMMYFUNCTION("IFERROR(
  SUM(
    FILTER(
      Efectivo!$C:$C, 
      Efectivo!$D:$D &amp; """" = AH122 &amp; """"
    )
  ), 
  0
)"),0)</f>
        <v>0</v>
      </c>
      <c r="Y122" s="10"/>
      <c r="Z122" s="10"/>
      <c r="AA122" s="10"/>
      <c r="AB122" s="10"/>
      <c r="AC122" s="10"/>
      <c r="AD122" s="10" t="str">
        <f t="shared" si="7"/>
        <v/>
      </c>
      <c r="AE122" s="10" t="e">
        <f>IF(
   OR(
     AND(#REF!&gt;0, OR(Y122="C", Y122="c"), U122&lt;0),
     AND(#REF!&gt;0, Y122="")
   ),
   "CORTE",
   ""
)</f>
        <v>#REF!</v>
      </c>
      <c r="AF122" s="10">
        <f t="shared" si="1"/>
        <v>0</v>
      </c>
      <c r="AG122" s="10">
        <f t="shared" si="2"/>
        <v>0</v>
      </c>
      <c r="AH122" s="10" t="str">
        <f t="shared" si="8"/>
        <v>G</v>
      </c>
      <c r="AI122" s="10" t="str">
        <f t="shared" si="9"/>
        <v>G-6</v>
      </c>
    </row>
    <row r="123" spans="1:35" ht="15.75" customHeight="1" x14ac:dyDescent="0.35">
      <c r="A123" s="13">
        <v>122</v>
      </c>
      <c r="B123" s="14" t="s">
        <v>177</v>
      </c>
      <c r="C123" s="14" t="s">
        <v>170</v>
      </c>
      <c r="D123" s="13">
        <v>7</v>
      </c>
      <c r="E123" s="15"/>
      <c r="F123" s="15"/>
      <c r="G123" s="15"/>
      <c r="H123" s="16">
        <v>1</v>
      </c>
      <c r="I123" s="16">
        <v>1729</v>
      </c>
      <c r="J123" s="16">
        <v>1755</v>
      </c>
      <c r="K123" s="16">
        <v>26</v>
      </c>
      <c r="L123" s="16">
        <v>23</v>
      </c>
      <c r="M123" s="16"/>
      <c r="N123" s="16">
        <v>0</v>
      </c>
      <c r="O123" s="16"/>
      <c r="P123" s="16">
        <v>3</v>
      </c>
      <c r="Q123" s="16"/>
      <c r="R123" s="18"/>
      <c r="S123" s="15"/>
      <c r="T123" s="20"/>
      <c r="U123" s="17"/>
      <c r="V123" s="17">
        <f>SUM(L123:U123)</f>
        <v>26</v>
      </c>
      <c r="W123" s="15">
        <f ca="1">IFERROR(__xludf.DUMMYFUNCTION("IFERROR(
  SUM(
    FILTER(
      Reporte!$E:$E, 
      REGEXMATCH(Reporte!$A:$A, ""(?i)(TE PAGÓ|PAGASTE)""), 
      Reporte!$H:$H &amp; """" = AH123 &amp; """"
    )
  ), 
  0
)"),26)</f>
        <v>26</v>
      </c>
      <c r="X123" s="15">
        <f ca="1">IFERROR(__xludf.DUMMYFUNCTION("IFERROR(
  SUM(
    FILTER(
      Efectivo!$C:$C, 
      Efectivo!$D:$D &amp; """" = AH123 &amp; """"
    )
  ), 
  0
)"),0)</f>
        <v>0</v>
      </c>
      <c r="Y123" s="15" t="s">
        <v>34</v>
      </c>
      <c r="Z123" s="15"/>
      <c r="AA123" s="15" t="s">
        <v>35</v>
      </c>
      <c r="AB123" s="15" t="s">
        <v>178</v>
      </c>
      <c r="AC123" s="15"/>
      <c r="AD123" s="15" t="str">
        <f t="shared" si="7"/>
        <v/>
      </c>
      <c r="AE123" s="15" t="e">
        <f>IF(
   OR(
     AND(#REF!&gt;0, OR(Y123="C", Y123="c"), U123&lt;0),
     AND(#REF!&gt;0, Y123="")
   ),
   "CORTE",
   ""
)</f>
        <v>#REF!</v>
      </c>
      <c r="AF123" s="15">
        <f t="shared" si="1"/>
        <v>0</v>
      </c>
      <c r="AG123" s="15">
        <f t="shared" si="2"/>
        <v>26</v>
      </c>
      <c r="AH123" s="15" t="str">
        <f t="shared" si="8"/>
        <v>G</v>
      </c>
      <c r="AI123" s="15" t="str">
        <f t="shared" si="9"/>
        <v>G-7</v>
      </c>
    </row>
    <row r="124" spans="1:35" ht="15.75" customHeight="1" x14ac:dyDescent="0.35">
      <c r="A124" s="8">
        <v>123</v>
      </c>
      <c r="B124" s="9" t="s">
        <v>179</v>
      </c>
      <c r="C124" s="9" t="s">
        <v>170</v>
      </c>
      <c r="D124" s="8">
        <v>8</v>
      </c>
      <c r="E124" s="10"/>
      <c r="F124" s="10"/>
      <c r="G124" s="10"/>
      <c r="H124" s="11">
        <v>1</v>
      </c>
      <c r="I124" s="11">
        <v>5237</v>
      </c>
      <c r="J124" s="11">
        <v>5258</v>
      </c>
      <c r="K124" s="11">
        <v>21</v>
      </c>
      <c r="L124" s="11">
        <v>21</v>
      </c>
      <c r="M124" s="11"/>
      <c r="N124" s="11">
        <v>0</v>
      </c>
      <c r="O124" s="11"/>
      <c r="P124" s="11">
        <v>3</v>
      </c>
      <c r="Q124" s="11"/>
      <c r="R124" s="19"/>
      <c r="S124" s="10"/>
      <c r="T124" s="21"/>
      <c r="U124" s="12"/>
      <c r="V124" s="12">
        <f>SUM(L124:Q124)</f>
        <v>24</v>
      </c>
      <c r="W124" s="10">
        <f ca="1">IFERROR(__xludf.DUMMYFUNCTION("IFERROR(
  SUM(
    FILTER(
      Reporte!$E:$E, 
      REGEXMATCH(Reporte!$A:$A, ""(?i)(TE PAGÓ|PAGASTE)""), 
      Reporte!$H:$H &amp; """" = AH124 &amp; """"
    )
  ), 
  0
)"),0)</f>
        <v>0</v>
      </c>
      <c r="X124" s="10">
        <f ca="1">IFERROR(__xludf.DUMMYFUNCTION("IFERROR(
  SUM(
    FILTER(
      Efectivo!$C:$C, 
      Efectivo!$D:$D &amp; """" = AH124 &amp; """"
    )
  ), 
  0
)"),24)</f>
        <v>24</v>
      </c>
      <c r="Y124" s="10" t="s">
        <v>34</v>
      </c>
      <c r="Z124" s="10"/>
      <c r="AA124" s="10"/>
      <c r="AB124" s="10"/>
      <c r="AC124" s="10"/>
      <c r="AD124" s="10" t="str">
        <f t="shared" si="7"/>
        <v/>
      </c>
      <c r="AE124" s="10" t="e">
        <f>IF(
   OR(
     AND(#REF!&gt;0, OR(Y124="C", Y124="c"), U124&lt;0),
     AND(#REF!&gt;0, Y124="")
   ),
   "CORTE",
   ""
)</f>
        <v>#REF!</v>
      </c>
      <c r="AF124" s="10">
        <f t="shared" si="1"/>
        <v>24</v>
      </c>
      <c r="AG124" s="10">
        <f t="shared" si="2"/>
        <v>0</v>
      </c>
      <c r="AH124" s="10" t="str">
        <f t="shared" si="8"/>
        <v>G</v>
      </c>
      <c r="AI124" s="10" t="str">
        <f t="shared" si="9"/>
        <v>G-8</v>
      </c>
    </row>
    <row r="125" spans="1:35" ht="15.75" customHeight="1" x14ac:dyDescent="0.35">
      <c r="A125" s="13">
        <v>124</v>
      </c>
      <c r="B125" s="14" t="s">
        <v>180</v>
      </c>
      <c r="C125" s="14" t="s">
        <v>170</v>
      </c>
      <c r="D125" s="13">
        <v>9</v>
      </c>
      <c r="E125" s="15"/>
      <c r="F125" s="15"/>
      <c r="G125" s="15"/>
      <c r="H125" s="16">
        <v>1</v>
      </c>
      <c r="I125" s="16">
        <v>1052</v>
      </c>
      <c r="J125" s="16">
        <v>1067</v>
      </c>
      <c r="K125" s="16">
        <v>15</v>
      </c>
      <c r="L125" s="16">
        <v>15</v>
      </c>
      <c r="M125" s="16">
        <v>19</v>
      </c>
      <c r="N125" s="16">
        <v>0</v>
      </c>
      <c r="O125" s="16"/>
      <c r="P125" s="16">
        <v>3</v>
      </c>
      <c r="Q125" s="16"/>
      <c r="R125" s="18"/>
      <c r="S125" s="15"/>
      <c r="T125" s="20"/>
      <c r="U125" s="17"/>
      <c r="V125" s="17">
        <f>SUM(L125:Q125)</f>
        <v>37</v>
      </c>
      <c r="W125" s="15">
        <f ca="1">IFERROR(__xludf.DUMMYFUNCTION("IFERROR(
  SUM(
    FILTER(
      Reporte!$E:$E, 
      REGEXMATCH(Reporte!$A:$A, ""(?i)(TE PAGÓ|PAGASTE)""), 
      Reporte!$H:$H &amp; """" = AH125 &amp; """"
    )
  ), 
  0
)"),37)</f>
        <v>37</v>
      </c>
      <c r="X125" s="15">
        <f ca="1">IFERROR(__xludf.DUMMYFUNCTION("IFERROR(
  SUM(
    FILTER(
      Efectivo!$C:$C, 
      Efectivo!$D:$D &amp; """" = AH125 &amp; """"
    )
  ), 
  0
)"),0)</f>
        <v>0</v>
      </c>
      <c r="Y125" s="15" t="s">
        <v>34</v>
      </c>
      <c r="Z125" s="15"/>
      <c r="AA125" s="15" t="s">
        <v>35</v>
      </c>
      <c r="AB125" s="15"/>
      <c r="AC125" s="15"/>
      <c r="AD125" s="15" t="str">
        <f t="shared" si="7"/>
        <v/>
      </c>
      <c r="AE125" s="15" t="e">
        <f>IF(
   OR(
     AND(#REF!&gt;0, OR(Y125="C", Y125="c"), U125&lt;0),
     AND(#REF!&gt;0, Y125="")
   ),
   "CORTE",
   ""
)</f>
        <v>#REF!</v>
      </c>
      <c r="AF125" s="15">
        <f t="shared" si="1"/>
        <v>0</v>
      </c>
      <c r="AG125" s="15">
        <f t="shared" si="2"/>
        <v>37</v>
      </c>
      <c r="AH125" s="15" t="str">
        <f t="shared" si="8"/>
        <v>G</v>
      </c>
      <c r="AI125" s="15" t="str">
        <f t="shared" si="9"/>
        <v>G-9</v>
      </c>
    </row>
    <row r="126" spans="1:35" ht="15.75" customHeight="1" x14ac:dyDescent="0.35">
      <c r="A126" s="8">
        <v>125</v>
      </c>
      <c r="B126" s="9" t="s">
        <v>181</v>
      </c>
      <c r="C126" s="9" t="s">
        <v>170</v>
      </c>
      <c r="D126" s="8">
        <v>11</v>
      </c>
      <c r="E126" s="10"/>
      <c r="F126" s="11">
        <v>1</v>
      </c>
      <c r="G126" s="10"/>
      <c r="H126" s="11">
        <v>1</v>
      </c>
      <c r="I126" s="11">
        <v>8</v>
      </c>
      <c r="J126" s="11">
        <v>24</v>
      </c>
      <c r="K126" s="11">
        <v>16</v>
      </c>
      <c r="L126" s="11">
        <v>16</v>
      </c>
      <c r="M126" s="11"/>
      <c r="N126" s="11">
        <v>0</v>
      </c>
      <c r="O126" s="11">
        <v>25</v>
      </c>
      <c r="P126" s="11">
        <v>3</v>
      </c>
      <c r="Q126" s="11"/>
      <c r="R126" s="19"/>
      <c r="S126" s="10"/>
      <c r="T126" s="21"/>
      <c r="U126" s="12"/>
      <c r="V126" s="12">
        <f>SUM(L126:Q126)</f>
        <v>44</v>
      </c>
      <c r="W126" s="10">
        <f ca="1">IFERROR(__xludf.DUMMYFUNCTION("IFERROR(
  SUM(
    FILTER(
      Reporte!$E:$E, 
      REGEXMATCH(Reporte!$A:$A, ""(?i)(TE PAGÓ|PAGASTE)""), 
      Reporte!$H:$H &amp; """" = AH126 &amp; """"
    )
  ), 
  0
)"),0)</f>
        <v>0</v>
      </c>
      <c r="X126" s="10">
        <f ca="1">IFERROR(__xludf.DUMMYFUNCTION("IFERROR(
  SUM(
    FILTER(
      Efectivo!$C:$C, 
      Efectivo!$D:$D &amp; """" = AH126 &amp; """"
    )
  ), 
  0
)"),44)</f>
        <v>44</v>
      </c>
      <c r="Y126" s="10" t="s">
        <v>34</v>
      </c>
      <c r="Z126" s="10"/>
      <c r="AA126" s="10"/>
      <c r="AB126" s="10"/>
      <c r="AC126" s="10"/>
      <c r="AD126" s="10" t="str">
        <f t="shared" si="7"/>
        <v/>
      </c>
      <c r="AE126" s="10" t="e">
        <f>IF(
   OR(
     AND(#REF!&gt;0, OR(Y126="C", Y126="c"), U126&lt;0),
     AND(#REF!&gt;0, Y126="")
   ),
   "CORTE",
   ""
)</f>
        <v>#REF!</v>
      </c>
      <c r="AF126" s="10">
        <f t="shared" si="1"/>
        <v>44</v>
      </c>
      <c r="AG126" s="10">
        <f t="shared" si="2"/>
        <v>0</v>
      </c>
      <c r="AH126" s="10" t="str">
        <f t="shared" si="8"/>
        <v>G</v>
      </c>
      <c r="AI126" s="10" t="str">
        <f t="shared" si="9"/>
        <v>G-11</v>
      </c>
    </row>
    <row r="127" spans="1:35" ht="15.75" customHeight="1" x14ac:dyDescent="0.35">
      <c r="A127" s="13">
        <v>126</v>
      </c>
      <c r="B127" s="14" t="s">
        <v>182</v>
      </c>
      <c r="C127" s="14" t="s">
        <v>170</v>
      </c>
      <c r="D127" s="13">
        <v>12</v>
      </c>
      <c r="E127" s="15"/>
      <c r="F127" s="15"/>
      <c r="G127" s="15"/>
      <c r="H127" s="16">
        <v>1</v>
      </c>
      <c r="I127" s="16">
        <v>16</v>
      </c>
      <c r="J127" s="16">
        <v>23</v>
      </c>
      <c r="K127" s="16">
        <v>7</v>
      </c>
      <c r="L127" s="16">
        <v>7</v>
      </c>
      <c r="M127" s="16"/>
      <c r="N127" s="16">
        <v>0</v>
      </c>
      <c r="O127" s="16">
        <v>25</v>
      </c>
      <c r="P127" s="16">
        <v>3</v>
      </c>
      <c r="Q127" s="16"/>
      <c r="R127" s="18"/>
      <c r="S127" s="15"/>
      <c r="T127" s="20"/>
      <c r="U127" s="17"/>
      <c r="V127" s="17">
        <f>SUM(L127:Q127)</f>
        <v>35</v>
      </c>
      <c r="W127" s="15">
        <f ca="1">IFERROR(__xludf.DUMMYFUNCTION("IFERROR(
  SUM(
    FILTER(
      Reporte!$E:$E, 
      REGEXMATCH(Reporte!$A:$A, ""(?i)(TE PAGÓ|PAGASTE)""), 
      Reporte!$H:$H &amp; """" = AH127 &amp; """"
    )
  ), 
  0
)"),0)</f>
        <v>0</v>
      </c>
      <c r="X127" s="15">
        <f ca="1">IFERROR(__xludf.DUMMYFUNCTION("IFERROR(
  SUM(
    FILTER(
      Efectivo!$C:$C, 
      Efectivo!$D:$D &amp; """" = AH127 &amp; """"
    )
  ), 
  0
)"),35)</f>
        <v>35</v>
      </c>
      <c r="Y127" s="15" t="s">
        <v>34</v>
      </c>
      <c r="Z127" s="15"/>
      <c r="AA127" s="15"/>
      <c r="AB127" s="15"/>
      <c r="AC127" s="15"/>
      <c r="AD127" s="15" t="str">
        <f t="shared" si="7"/>
        <v/>
      </c>
      <c r="AE127" s="15" t="e">
        <f>IF(
   OR(
     AND(#REF!&gt;0, OR(Y127="C", Y127="c"), U127&lt;0),
     AND(#REF!&gt;0, Y127="")
   ),
   "CORTE",
   ""
)</f>
        <v>#REF!</v>
      </c>
      <c r="AF127" s="15">
        <f t="shared" si="1"/>
        <v>35</v>
      </c>
      <c r="AG127" s="15">
        <f t="shared" si="2"/>
        <v>0</v>
      </c>
      <c r="AH127" s="15" t="str">
        <f t="shared" si="8"/>
        <v>G</v>
      </c>
      <c r="AI127" s="15" t="str">
        <f t="shared" si="9"/>
        <v>G-12</v>
      </c>
    </row>
    <row r="128" spans="1:35" ht="15.75" customHeight="1" x14ac:dyDescent="0.35">
      <c r="A128" s="8">
        <v>127</v>
      </c>
      <c r="B128" s="9" t="s">
        <v>183</v>
      </c>
      <c r="C128" s="9" t="s">
        <v>170</v>
      </c>
      <c r="D128" s="8">
        <v>13</v>
      </c>
      <c r="E128" s="10"/>
      <c r="F128" s="10"/>
      <c r="G128" s="10"/>
      <c r="H128" s="11">
        <v>1</v>
      </c>
      <c r="I128" s="11">
        <v>23</v>
      </c>
      <c r="J128" s="11">
        <v>45</v>
      </c>
      <c r="K128" s="11">
        <v>22</v>
      </c>
      <c r="L128" s="11">
        <v>22</v>
      </c>
      <c r="M128" s="11"/>
      <c r="N128" s="11">
        <v>0</v>
      </c>
      <c r="O128" s="11">
        <v>25</v>
      </c>
      <c r="P128" s="11">
        <v>3</v>
      </c>
      <c r="Q128" s="11"/>
      <c r="R128" s="19"/>
      <c r="S128" s="10"/>
      <c r="T128" s="21"/>
      <c r="U128" s="12"/>
      <c r="V128" s="12">
        <f>SUM(L128:U128)</f>
        <v>50</v>
      </c>
      <c r="W128" s="10">
        <f ca="1">IFERROR(__xludf.DUMMYFUNCTION("IFERROR(
  SUM(
    FILTER(
      Reporte!$E:$E, 
      REGEXMATCH(Reporte!$A:$A, ""(?i)(TE PAGÓ|PAGASTE)""), 
      Reporte!$H:$H &amp; """" = AH128 &amp; """"
    )
  ), 
  0
)"),0)</f>
        <v>0</v>
      </c>
      <c r="X128" s="10">
        <f ca="1">IFERROR(__xludf.DUMMYFUNCTION("IFERROR(
  SUM(
    FILTER(
      Efectivo!$C:$C, 
      Efectivo!$D:$D &amp; """" = AH128 &amp; """"
    )
  ), 
  0
)"),0)</f>
        <v>0</v>
      </c>
      <c r="Y128" s="10"/>
      <c r="Z128" s="10"/>
      <c r="AA128" s="10"/>
      <c r="AB128" s="10"/>
      <c r="AC128" s="10"/>
      <c r="AD128" s="10" t="str">
        <f t="shared" si="7"/>
        <v/>
      </c>
      <c r="AE128" s="10" t="e">
        <f>IF(
   OR(
     AND(#REF!&gt;0, OR(Y128="C", Y128="c"), U128&lt;0),
     AND(#REF!&gt;0, Y128="")
   ),
   "CORTE",
   ""
)</f>
        <v>#REF!</v>
      </c>
      <c r="AF128" s="10">
        <f t="shared" si="1"/>
        <v>0</v>
      </c>
      <c r="AG128" s="10">
        <f t="shared" si="2"/>
        <v>0</v>
      </c>
      <c r="AH128" s="10" t="str">
        <f t="shared" si="8"/>
        <v>G</v>
      </c>
      <c r="AI128" s="10" t="str">
        <f t="shared" si="9"/>
        <v>G-13</v>
      </c>
    </row>
    <row r="129" spans="1:35" ht="15.75" customHeight="1" x14ac:dyDescent="0.35">
      <c r="A129" s="13">
        <v>128</v>
      </c>
      <c r="B129" s="14" t="s">
        <v>184</v>
      </c>
      <c r="C129" s="14" t="s">
        <v>170</v>
      </c>
      <c r="D129" s="13">
        <v>14</v>
      </c>
      <c r="E129" s="15"/>
      <c r="F129" s="15"/>
      <c r="G129" s="15"/>
      <c r="H129" s="16">
        <v>1</v>
      </c>
      <c r="I129" s="16">
        <v>7</v>
      </c>
      <c r="J129" s="16">
        <v>28</v>
      </c>
      <c r="K129" s="16">
        <v>21</v>
      </c>
      <c r="L129" s="16">
        <v>21</v>
      </c>
      <c r="M129" s="16"/>
      <c r="N129" s="16">
        <v>0</v>
      </c>
      <c r="O129" s="16">
        <v>26</v>
      </c>
      <c r="P129" s="16">
        <v>3</v>
      </c>
      <c r="Q129" s="16"/>
      <c r="R129" s="18"/>
      <c r="S129" s="15"/>
      <c r="T129" s="20"/>
      <c r="U129" s="17"/>
      <c r="V129" s="17">
        <f>SUM(L129:U129)</f>
        <v>50</v>
      </c>
      <c r="W129" s="15">
        <f ca="1">IFERROR(__xludf.DUMMYFUNCTION("IFERROR(
  SUM(
    FILTER(
      Reporte!$E:$E, 
      REGEXMATCH(Reporte!$A:$A, ""(?i)(TE PAGÓ|PAGASTE)""), 
      Reporte!$H:$H &amp; """" = AH129 &amp; """"
    )
  ), 
  0
)"),50)</f>
        <v>50</v>
      </c>
      <c r="X129" s="15">
        <f ca="1">IFERROR(__xludf.DUMMYFUNCTION("IFERROR(
  SUM(
    FILTER(
      Efectivo!$C:$C, 
      Efectivo!$D:$D &amp; """" = AH129 &amp; """"
    )
  ), 
  0
)"),0)</f>
        <v>0</v>
      </c>
      <c r="Y129" s="15" t="s">
        <v>34</v>
      </c>
      <c r="Z129" s="15"/>
      <c r="AA129" s="15" t="s">
        <v>35</v>
      </c>
      <c r="AB129" s="15"/>
      <c r="AC129" s="15"/>
      <c r="AD129" s="15" t="str">
        <f t="shared" si="7"/>
        <v/>
      </c>
      <c r="AE129" s="15" t="e">
        <f>IF(
   OR(
     AND(#REF!&gt;0, OR(Y129="C", Y129="c"), U129&lt;0),
     AND(#REF!&gt;0, Y129="")
   ),
   "CORTE",
   ""
)</f>
        <v>#REF!</v>
      </c>
      <c r="AF129" s="15">
        <f t="shared" si="1"/>
        <v>0</v>
      </c>
      <c r="AG129" s="15">
        <f t="shared" si="2"/>
        <v>50</v>
      </c>
      <c r="AH129" s="15" t="str">
        <f t="shared" si="8"/>
        <v>G</v>
      </c>
      <c r="AI129" s="15" t="str">
        <f t="shared" si="9"/>
        <v>G-14</v>
      </c>
    </row>
    <row r="130" spans="1:35" ht="15.75" customHeight="1" x14ac:dyDescent="0.35">
      <c r="A130" s="8">
        <v>129</v>
      </c>
      <c r="B130" s="9" t="s">
        <v>185</v>
      </c>
      <c r="C130" s="9" t="s">
        <v>170</v>
      </c>
      <c r="D130" s="8">
        <v>15</v>
      </c>
      <c r="E130" s="10"/>
      <c r="F130" s="11">
        <v>1</v>
      </c>
      <c r="G130" s="10"/>
      <c r="H130" s="11">
        <v>1</v>
      </c>
      <c r="I130" s="11">
        <v>2182</v>
      </c>
      <c r="J130" s="11">
        <v>2202</v>
      </c>
      <c r="K130" s="11">
        <v>20</v>
      </c>
      <c r="L130" s="11">
        <v>20</v>
      </c>
      <c r="M130" s="11">
        <v>24</v>
      </c>
      <c r="N130" s="11">
        <v>0</v>
      </c>
      <c r="O130" s="11"/>
      <c r="P130" s="11">
        <v>3</v>
      </c>
      <c r="Q130" s="11"/>
      <c r="R130" s="19"/>
      <c r="S130" s="10"/>
      <c r="T130" s="21"/>
      <c r="U130" s="12"/>
      <c r="V130" s="12">
        <f>SUM(L130:Q130)</f>
        <v>47</v>
      </c>
      <c r="W130" s="10">
        <f ca="1">IFERROR(__xludf.DUMMYFUNCTION("IFERROR(
  SUM(
    FILTER(
      Reporte!$E:$E, 
      REGEXMATCH(Reporte!$A:$A, ""(?i)(TE PAGÓ|PAGASTE)""), 
      Reporte!$H:$H &amp; """" = AH130 &amp; """"
    )
  ), 
  0
)"),47)</f>
        <v>47</v>
      </c>
      <c r="X130" s="10">
        <f ca="1">IFERROR(__xludf.DUMMYFUNCTION("IFERROR(
  SUM(
    FILTER(
      Efectivo!$C:$C, 
      Efectivo!$D:$D &amp; """" = AH130 &amp; """"
    )
  ), 
  0
)"),0)</f>
        <v>0</v>
      </c>
      <c r="Y130" s="10" t="s">
        <v>34</v>
      </c>
      <c r="Z130" s="10"/>
      <c r="AA130" s="10" t="s">
        <v>35</v>
      </c>
      <c r="AB130" s="10"/>
      <c r="AC130" s="10"/>
      <c r="AD130" s="10" t="str">
        <f t="shared" ref="AD130:AD193" si="13">IF(AND(L130&gt;0, M130&gt;=8, NOT(OR(Y130="C", Y130="c"))), "CORTE", "")</f>
        <v/>
      </c>
      <c r="AE130" s="10" t="e">
        <f>IF(
   OR(
     AND(#REF!&gt;0, OR(Y130="C", Y130="c"), U130&lt;0),
     AND(#REF!&gt;0, Y130="")
   ),
   "CORTE",
   ""
)</f>
        <v>#REF!</v>
      </c>
      <c r="AF130" s="10">
        <f t="shared" si="1"/>
        <v>0</v>
      </c>
      <c r="AG130" s="10">
        <f t="shared" si="2"/>
        <v>47</v>
      </c>
      <c r="AH130" s="10" t="str">
        <f t="shared" ref="AH130:AH193" si="14">TRIM(UPPER(C130))</f>
        <v>G</v>
      </c>
      <c r="AI130" s="10" t="str">
        <f t="shared" ref="AI130:AI193" si="15">TRIM(UPPER(C130)) &amp; "-" &amp; TRIM(UPPER(D130))</f>
        <v>G-15</v>
      </c>
    </row>
    <row r="131" spans="1:35" ht="15.75" customHeight="1" x14ac:dyDescent="0.35">
      <c r="A131" s="13">
        <v>130</v>
      </c>
      <c r="B131" s="14" t="s">
        <v>186</v>
      </c>
      <c r="C131" s="14" t="s">
        <v>170</v>
      </c>
      <c r="D131" s="13">
        <v>16</v>
      </c>
      <c r="E131" s="15"/>
      <c r="F131" s="15"/>
      <c r="G131" s="15"/>
      <c r="H131" s="16">
        <v>1</v>
      </c>
      <c r="I131" s="16">
        <v>2</v>
      </c>
      <c r="J131" s="16">
        <v>9</v>
      </c>
      <c r="K131" s="16">
        <v>7</v>
      </c>
      <c r="L131" s="16">
        <v>7</v>
      </c>
      <c r="M131" s="16"/>
      <c r="N131" s="16">
        <v>0</v>
      </c>
      <c r="O131" s="16"/>
      <c r="P131" s="16">
        <v>3</v>
      </c>
      <c r="Q131" s="16"/>
      <c r="R131" s="18"/>
      <c r="S131" s="15"/>
      <c r="T131" s="20"/>
      <c r="U131" s="17"/>
      <c r="V131" s="17">
        <f>SUM(L131:U131)</f>
        <v>10</v>
      </c>
      <c r="W131" s="15">
        <f ca="1">IFERROR(__xludf.DUMMYFUNCTION("IFERROR(
  SUM(
    FILTER(
      Reporte!$E:$E, 
      REGEXMATCH(Reporte!$A:$A, ""(?i)(TE PAGÓ|PAGASTE)""), 
      Reporte!$H:$H &amp; """" = AH131 &amp; """"
    )
  ), 
  0
)"),0)</f>
        <v>0</v>
      </c>
      <c r="X131" s="15">
        <f ca="1">IFERROR(__xludf.DUMMYFUNCTION("IFERROR(
  SUM(
    FILTER(
      Efectivo!$C:$C, 
      Efectivo!$D:$D &amp; """" = AH131 &amp; """"
    )
  ), 
  0
)"),10)</f>
        <v>10</v>
      </c>
      <c r="Y131" s="15" t="s">
        <v>34</v>
      </c>
      <c r="Z131" s="15"/>
      <c r="AA131" s="15"/>
      <c r="AB131" s="15" t="s">
        <v>187</v>
      </c>
      <c r="AC131" s="15"/>
      <c r="AD131" s="15" t="str">
        <f t="shared" si="13"/>
        <v/>
      </c>
      <c r="AE131" s="15" t="e">
        <f>IF(
   OR(
     AND(#REF!&gt;0, OR(Y131="C", Y131="c"), U131&lt;0),
     AND(#REF!&gt;0, Y131="")
   ),
   "CORTE",
   ""
)</f>
        <v>#REF!</v>
      </c>
      <c r="AF131" s="15">
        <f t="shared" si="1"/>
        <v>10</v>
      </c>
      <c r="AG131" s="15">
        <f t="shared" si="2"/>
        <v>0</v>
      </c>
      <c r="AH131" s="15" t="str">
        <f t="shared" si="14"/>
        <v>G</v>
      </c>
      <c r="AI131" s="15" t="str">
        <f t="shared" si="15"/>
        <v>G-16</v>
      </c>
    </row>
    <row r="132" spans="1:35" ht="15.75" customHeight="1" x14ac:dyDescent="0.35">
      <c r="A132" s="8">
        <v>131</v>
      </c>
      <c r="B132" s="9" t="s">
        <v>188</v>
      </c>
      <c r="C132" s="9" t="s">
        <v>170</v>
      </c>
      <c r="D132" s="9" t="s">
        <v>189</v>
      </c>
      <c r="E132" s="10"/>
      <c r="F132" s="10"/>
      <c r="G132" s="10"/>
      <c r="H132" s="11">
        <v>1</v>
      </c>
      <c r="I132" s="11">
        <v>460</v>
      </c>
      <c r="J132" s="11">
        <v>472</v>
      </c>
      <c r="K132" s="11">
        <v>12</v>
      </c>
      <c r="L132" s="11">
        <v>12</v>
      </c>
      <c r="M132" s="11">
        <v>11</v>
      </c>
      <c r="N132" s="11">
        <v>0</v>
      </c>
      <c r="O132" s="11"/>
      <c r="P132" s="11">
        <v>3</v>
      </c>
      <c r="Q132" s="11"/>
      <c r="R132" s="19"/>
      <c r="S132" s="10"/>
      <c r="T132" s="21"/>
      <c r="U132" s="12"/>
      <c r="V132" s="12">
        <f>SUM(L132:Q132)</f>
        <v>26</v>
      </c>
      <c r="W132" s="10">
        <f ca="1">IFERROR(__xludf.DUMMYFUNCTION("IFERROR(
  SUM(
    FILTER(
      Reporte!$E:$E, 
      REGEXMATCH(Reporte!$A:$A, ""(?i)(TE PAGÓ|PAGASTE)""), 
      Reporte!$H:$H &amp; """" = AH132 &amp; """"
    )
  ), 
  0
)"),26)</f>
        <v>26</v>
      </c>
      <c r="X132" s="10">
        <f ca="1">IFERROR(__xludf.DUMMYFUNCTION("IFERROR(
  SUM(
    FILTER(
      Efectivo!$C:$C, 
      Efectivo!$D:$D &amp; """" = AH132 &amp; """"
    )
  ), 
  0
)"),0)</f>
        <v>0</v>
      </c>
      <c r="Y132" s="10" t="s">
        <v>34</v>
      </c>
      <c r="Z132" s="10"/>
      <c r="AA132" s="10" t="s">
        <v>35</v>
      </c>
      <c r="AB132" s="10"/>
      <c r="AC132" s="10"/>
      <c r="AD132" s="10" t="str">
        <f t="shared" si="13"/>
        <v/>
      </c>
      <c r="AE132" s="10" t="e">
        <f>IF(
   OR(
     AND(#REF!&gt;0, OR(Y132="C", Y132="c"), U132&lt;0),
     AND(#REF!&gt;0, Y132="")
   ),
   "CORTE",
   ""
)</f>
        <v>#REF!</v>
      </c>
      <c r="AF132" s="10">
        <f t="shared" si="1"/>
        <v>0</v>
      </c>
      <c r="AG132" s="10">
        <f t="shared" si="2"/>
        <v>26</v>
      </c>
      <c r="AH132" s="10" t="str">
        <f t="shared" si="14"/>
        <v>G</v>
      </c>
      <c r="AI132" s="10" t="str">
        <f t="shared" si="15"/>
        <v>G-16A</v>
      </c>
    </row>
    <row r="133" spans="1:35" ht="15.75" customHeight="1" x14ac:dyDescent="0.35">
      <c r="A133" s="13">
        <v>132</v>
      </c>
      <c r="B133" s="14" t="s">
        <v>190</v>
      </c>
      <c r="C133" s="14" t="s">
        <v>170</v>
      </c>
      <c r="D133" s="13">
        <v>17</v>
      </c>
      <c r="E133" s="15"/>
      <c r="F133" s="15"/>
      <c r="G133" s="15"/>
      <c r="H133" s="16">
        <v>1</v>
      </c>
      <c r="I133" s="16">
        <v>11</v>
      </c>
      <c r="J133" s="16">
        <v>37</v>
      </c>
      <c r="K133" s="16">
        <v>26</v>
      </c>
      <c r="L133" s="16">
        <v>26</v>
      </c>
      <c r="M133" s="16"/>
      <c r="N133" s="16">
        <v>0</v>
      </c>
      <c r="O133" s="16">
        <v>25</v>
      </c>
      <c r="P133" s="16">
        <v>3</v>
      </c>
      <c r="Q133" s="16"/>
      <c r="R133" s="18"/>
      <c r="S133" s="15"/>
      <c r="T133" s="20"/>
      <c r="U133" s="17"/>
      <c r="V133" s="17">
        <f>SUM(L133:U133)</f>
        <v>54</v>
      </c>
      <c r="W133" s="15">
        <f ca="1">IFERROR(__xludf.DUMMYFUNCTION("IFERROR(
  SUM(
    FILTER(
      Reporte!$E:$E, 
      REGEXMATCH(Reporte!$A:$A, ""(?i)(TE PAGÓ|PAGASTE)""), 
      Reporte!$H:$H &amp; """" = AH133 &amp; """"
    )
  ), 
  0
)"),54)</f>
        <v>54</v>
      </c>
      <c r="X133" s="15">
        <f ca="1">IFERROR(__xludf.DUMMYFUNCTION("IFERROR(
  SUM(
    FILTER(
      Efectivo!$C:$C, 
      Efectivo!$D:$D &amp; """" = AH133 &amp; """"
    )
  ), 
  0
)"),0)</f>
        <v>0</v>
      </c>
      <c r="Y133" s="15" t="s">
        <v>34</v>
      </c>
      <c r="Z133" s="15"/>
      <c r="AA133" s="15" t="s">
        <v>35</v>
      </c>
      <c r="AB133" s="15"/>
      <c r="AC133" s="15"/>
      <c r="AD133" s="15" t="str">
        <f t="shared" si="13"/>
        <v/>
      </c>
      <c r="AE133" s="15" t="e">
        <f>IF(
   OR(
     AND(#REF!&gt;0, OR(Y133="C", Y133="c"), U133&lt;0),
     AND(#REF!&gt;0, Y133="")
   ),
   "CORTE",
   ""
)</f>
        <v>#REF!</v>
      </c>
      <c r="AF133" s="15">
        <f t="shared" si="1"/>
        <v>0</v>
      </c>
      <c r="AG133" s="15">
        <f t="shared" si="2"/>
        <v>54</v>
      </c>
      <c r="AH133" s="15" t="str">
        <f t="shared" si="14"/>
        <v>G</v>
      </c>
      <c r="AI133" s="15" t="str">
        <f t="shared" si="15"/>
        <v>G-17</v>
      </c>
    </row>
    <row r="134" spans="1:35" ht="15.75" customHeight="1" x14ac:dyDescent="0.35">
      <c r="A134" s="8">
        <v>133</v>
      </c>
      <c r="B134" s="9" t="s">
        <v>191</v>
      </c>
      <c r="C134" s="9" t="s">
        <v>170</v>
      </c>
      <c r="D134" s="8">
        <v>18</v>
      </c>
      <c r="E134" s="10"/>
      <c r="F134" s="10"/>
      <c r="G134" s="10"/>
      <c r="H134" s="11">
        <v>1</v>
      </c>
      <c r="I134" s="11">
        <v>1084</v>
      </c>
      <c r="J134" s="11">
        <v>10</v>
      </c>
      <c r="K134" s="11">
        <v>10</v>
      </c>
      <c r="L134" s="11">
        <v>10</v>
      </c>
      <c r="M134" s="11"/>
      <c r="N134" s="11">
        <v>0</v>
      </c>
      <c r="O134" s="11"/>
      <c r="P134" s="11">
        <v>3</v>
      </c>
      <c r="Q134" s="11"/>
      <c r="R134" s="19"/>
      <c r="S134" s="10"/>
      <c r="T134" s="21"/>
      <c r="U134" s="12"/>
      <c r="V134" s="12">
        <f>SUM(L134:Q134)</f>
        <v>13</v>
      </c>
      <c r="W134" s="10">
        <f ca="1">IFERROR(__xludf.DUMMYFUNCTION("IFERROR(
  SUM(
    FILTER(
      Reporte!$E:$E, 
      REGEXMATCH(Reporte!$A:$A, ""(?i)(TE PAGÓ|PAGASTE)""), 
      Reporte!$H:$H &amp; """" = AH134 &amp; """"
    )
  ), 
  0
)"),0)</f>
        <v>0</v>
      </c>
      <c r="X134" s="10">
        <f ca="1">IFERROR(__xludf.DUMMYFUNCTION("IFERROR(
  SUM(
    FILTER(
      Efectivo!$C:$C, 
      Efectivo!$D:$D &amp; """" = AH134 &amp; """"
    )
  ), 
  0
)"),13)</f>
        <v>13</v>
      </c>
      <c r="Y134" s="10" t="s">
        <v>34</v>
      </c>
      <c r="Z134" s="10"/>
      <c r="AA134" s="10"/>
      <c r="AB134" s="10"/>
      <c r="AC134" s="10"/>
      <c r="AD134" s="10" t="str">
        <f t="shared" si="13"/>
        <v/>
      </c>
      <c r="AE134" s="10" t="e">
        <f>IF(
   OR(
     AND(#REF!&gt;0, OR(Y134="C", Y134="c"), U134&lt;0),
     AND(#REF!&gt;0, Y134="")
   ),
   "CORTE",
   ""
)</f>
        <v>#REF!</v>
      </c>
      <c r="AF134" s="10">
        <f t="shared" si="1"/>
        <v>13</v>
      </c>
      <c r="AG134" s="10">
        <f t="shared" si="2"/>
        <v>0</v>
      </c>
      <c r="AH134" s="10" t="str">
        <f t="shared" si="14"/>
        <v>G</v>
      </c>
      <c r="AI134" s="10" t="str">
        <f t="shared" si="15"/>
        <v>G-18</v>
      </c>
    </row>
    <row r="135" spans="1:35" ht="15.75" customHeight="1" x14ac:dyDescent="0.35">
      <c r="A135" s="13">
        <v>134</v>
      </c>
      <c r="B135" s="14" t="s">
        <v>192</v>
      </c>
      <c r="C135" s="14" t="s">
        <v>170</v>
      </c>
      <c r="D135" s="13">
        <v>19</v>
      </c>
      <c r="E135" s="15"/>
      <c r="F135" s="15"/>
      <c r="G135" s="15"/>
      <c r="H135" s="16">
        <v>1</v>
      </c>
      <c r="I135" s="16">
        <v>7</v>
      </c>
      <c r="J135" s="16">
        <v>27</v>
      </c>
      <c r="K135" s="16">
        <v>20</v>
      </c>
      <c r="L135" s="16">
        <v>20</v>
      </c>
      <c r="M135" s="16"/>
      <c r="N135" s="16">
        <v>0</v>
      </c>
      <c r="O135" s="16">
        <v>75</v>
      </c>
      <c r="P135" s="16">
        <v>3</v>
      </c>
      <c r="Q135" s="16"/>
      <c r="R135" s="18"/>
      <c r="S135" s="15"/>
      <c r="T135" s="20"/>
      <c r="U135" s="17"/>
      <c r="V135" s="17">
        <f>SUM(L135:U135)</f>
        <v>98</v>
      </c>
      <c r="W135" s="15">
        <f ca="1">IFERROR(__xludf.DUMMYFUNCTION("IFERROR(
  SUM(
    FILTER(
      Reporte!$E:$E, 
      REGEXMATCH(Reporte!$A:$A, ""(?i)(TE PAGÓ|PAGASTE)""), 
      Reporte!$H:$H &amp; """" = AH135 &amp; """"
    )
  ), 
  0
)"),0)</f>
        <v>0</v>
      </c>
      <c r="X135" s="15">
        <f ca="1">IFERROR(__xludf.DUMMYFUNCTION("IFERROR(
  SUM(
    FILTER(
      Efectivo!$C:$C, 
      Efectivo!$D:$D &amp; """" = AH135 &amp; """"
    )
  ), 
  0
)"),98)</f>
        <v>98</v>
      </c>
      <c r="Y135" s="15" t="s">
        <v>34</v>
      </c>
      <c r="Z135" s="15"/>
      <c r="AA135" s="15"/>
      <c r="AB135" s="15"/>
      <c r="AC135" s="15"/>
      <c r="AD135" s="15" t="str">
        <f t="shared" si="13"/>
        <v/>
      </c>
      <c r="AE135" s="15" t="e">
        <f>IF(
   OR(
     AND(#REF!&gt;0, OR(Y135="C", Y135="c"), U135&lt;0),
     AND(#REF!&gt;0, Y135="")
   ),
   "CORTE",
   ""
)</f>
        <v>#REF!</v>
      </c>
      <c r="AF135" s="15">
        <f t="shared" si="1"/>
        <v>98</v>
      </c>
      <c r="AG135" s="15">
        <f t="shared" si="2"/>
        <v>0</v>
      </c>
      <c r="AH135" s="15" t="str">
        <f t="shared" si="14"/>
        <v>G</v>
      </c>
      <c r="AI135" s="15" t="str">
        <f t="shared" si="15"/>
        <v>G-19</v>
      </c>
    </row>
    <row r="136" spans="1:35" ht="15.75" customHeight="1" x14ac:dyDescent="0.35">
      <c r="A136" s="8">
        <v>135</v>
      </c>
      <c r="B136" s="9" t="s">
        <v>193</v>
      </c>
      <c r="C136" s="9" t="s">
        <v>170</v>
      </c>
      <c r="D136" s="8">
        <v>20</v>
      </c>
      <c r="E136" s="10"/>
      <c r="F136" s="10"/>
      <c r="G136" s="10"/>
      <c r="H136" s="11">
        <v>1</v>
      </c>
      <c r="I136" s="11">
        <v>6</v>
      </c>
      <c r="J136" s="11">
        <v>26</v>
      </c>
      <c r="K136" s="11">
        <v>20</v>
      </c>
      <c r="L136" s="11">
        <v>20</v>
      </c>
      <c r="M136" s="11"/>
      <c r="N136" s="11">
        <v>0</v>
      </c>
      <c r="O136" s="11">
        <v>25</v>
      </c>
      <c r="P136" s="11">
        <v>3</v>
      </c>
      <c r="Q136" s="11"/>
      <c r="R136" s="19"/>
      <c r="S136" s="10"/>
      <c r="T136" s="21"/>
      <c r="U136" s="12"/>
      <c r="V136" s="12">
        <f>SUM(L136:Q136)</f>
        <v>48</v>
      </c>
      <c r="W136" s="10">
        <f ca="1">IFERROR(__xludf.DUMMYFUNCTION("IFERROR(
  SUM(
    FILTER(
      Reporte!$E:$E, 
      REGEXMATCH(Reporte!$A:$A, ""(?i)(TE PAGÓ|PAGASTE)""), 
      Reporte!$H:$H &amp; """" = AH136 &amp; """"
    )
  ), 
  0
)"),0)</f>
        <v>0</v>
      </c>
      <c r="X136" s="10">
        <f ca="1">IFERROR(__xludf.DUMMYFUNCTION("IFERROR(
  SUM(
    FILTER(
      Efectivo!$C:$C, 
      Efectivo!$D:$D &amp; """" = AH136 &amp; """"
    )
  ), 
  0
)"),48)</f>
        <v>48</v>
      </c>
      <c r="Y136" s="10" t="s">
        <v>34</v>
      </c>
      <c r="Z136" s="10"/>
      <c r="AA136" s="10"/>
      <c r="AB136" s="10"/>
      <c r="AC136" s="10"/>
      <c r="AD136" s="10" t="str">
        <f t="shared" si="13"/>
        <v/>
      </c>
      <c r="AE136" s="10" t="e">
        <f>IF(
   OR(
     AND(#REF!&gt;0, OR(Y136="C", Y136="c"), U136&lt;0),
     AND(#REF!&gt;0, Y136="")
   ),
   "CORTE",
   ""
)</f>
        <v>#REF!</v>
      </c>
      <c r="AF136" s="10">
        <f t="shared" si="1"/>
        <v>48</v>
      </c>
      <c r="AG136" s="10">
        <f t="shared" si="2"/>
        <v>0</v>
      </c>
      <c r="AH136" s="10" t="str">
        <f t="shared" si="14"/>
        <v>G</v>
      </c>
      <c r="AI136" s="10" t="str">
        <f t="shared" si="15"/>
        <v>G-20</v>
      </c>
    </row>
    <row r="137" spans="1:35" ht="15.75" customHeight="1" x14ac:dyDescent="0.35">
      <c r="A137" s="13">
        <v>136</v>
      </c>
      <c r="B137" s="14" t="s">
        <v>194</v>
      </c>
      <c r="C137" s="14" t="s">
        <v>170</v>
      </c>
      <c r="D137" s="13">
        <v>21</v>
      </c>
      <c r="E137" s="15"/>
      <c r="F137" s="15"/>
      <c r="G137" s="15"/>
      <c r="H137" s="16">
        <v>1</v>
      </c>
      <c r="I137" s="16">
        <v>1687</v>
      </c>
      <c r="J137" s="16">
        <v>1709</v>
      </c>
      <c r="K137" s="16">
        <v>22</v>
      </c>
      <c r="L137" s="16">
        <v>22</v>
      </c>
      <c r="M137" s="16"/>
      <c r="N137" s="16">
        <v>0</v>
      </c>
      <c r="O137" s="16"/>
      <c r="P137" s="16">
        <v>3</v>
      </c>
      <c r="Q137" s="16"/>
      <c r="R137" s="18"/>
      <c r="S137" s="15"/>
      <c r="T137" s="20"/>
      <c r="U137" s="17"/>
      <c r="V137" s="17">
        <f>SUM(L137:U137)</f>
        <v>25</v>
      </c>
      <c r="W137" s="15">
        <f ca="1">IFERROR(__xludf.DUMMYFUNCTION("IFERROR(
  SUM(
    FILTER(
      Reporte!$E:$E, 
      REGEXMATCH(Reporte!$A:$A, ""(?i)(TE PAGÓ|PAGASTE)""), 
      Reporte!$H:$H &amp; """" = AH137 &amp; """"
    )
  ), 
  0
)"),0)</f>
        <v>0</v>
      </c>
      <c r="X137" s="15">
        <f ca="1">IFERROR(__xludf.DUMMYFUNCTION("IFERROR(
  SUM(
    FILTER(
      Efectivo!$C:$C, 
      Efectivo!$D:$D &amp; """" = AH137 &amp; """"
    )
  ), 
  0
)"),25)</f>
        <v>25</v>
      </c>
      <c r="Y137" s="15" t="s">
        <v>34</v>
      </c>
      <c r="Z137" s="15"/>
      <c r="AA137" s="15" t="s">
        <v>35</v>
      </c>
      <c r="AB137" s="20"/>
      <c r="AC137" s="15"/>
      <c r="AD137" s="15" t="str">
        <f t="shared" si="13"/>
        <v/>
      </c>
      <c r="AE137" s="15" t="e">
        <f>IF(
   OR(
     AND(#REF!&gt;0, OR(Y137="C", Y137="c"), U137&lt;0),
     AND(#REF!&gt;0, Y137="")
   ),
   "CORTE",
   ""
)</f>
        <v>#REF!</v>
      </c>
      <c r="AF137" s="15">
        <f t="shared" si="1"/>
        <v>0</v>
      </c>
      <c r="AG137" s="15">
        <f t="shared" si="2"/>
        <v>25</v>
      </c>
      <c r="AH137" s="15" t="str">
        <f t="shared" si="14"/>
        <v>G</v>
      </c>
      <c r="AI137" s="15" t="str">
        <f t="shared" si="15"/>
        <v>G-21</v>
      </c>
    </row>
    <row r="138" spans="1:35" ht="15.75" customHeight="1" x14ac:dyDescent="0.35">
      <c r="A138" s="8">
        <v>137</v>
      </c>
      <c r="B138" s="9" t="s">
        <v>195</v>
      </c>
      <c r="C138" s="9" t="s">
        <v>170</v>
      </c>
      <c r="D138" s="9" t="s">
        <v>196</v>
      </c>
      <c r="E138" s="10"/>
      <c r="F138" s="10"/>
      <c r="G138" s="10"/>
      <c r="H138" s="11">
        <v>1</v>
      </c>
      <c r="I138" s="11">
        <v>755</v>
      </c>
      <c r="J138" s="11">
        <v>770</v>
      </c>
      <c r="K138" s="11">
        <v>15</v>
      </c>
      <c r="L138" s="11">
        <v>15</v>
      </c>
      <c r="M138" s="11"/>
      <c r="N138" s="11">
        <v>0</v>
      </c>
      <c r="O138" s="11"/>
      <c r="P138" s="11">
        <v>3</v>
      </c>
      <c r="Q138" s="11"/>
      <c r="R138" s="19"/>
      <c r="S138" s="10"/>
      <c r="T138" s="21"/>
      <c r="U138" s="12"/>
      <c r="V138" s="12">
        <f t="shared" ref="V138:V152" si="16">SUM(L138:Q138)</f>
        <v>18</v>
      </c>
      <c r="W138" s="10">
        <f ca="1">IFERROR(__xludf.DUMMYFUNCTION("IFERROR(
  SUM(
    FILTER(
      Reporte!$E:$E, 
      REGEXMATCH(Reporte!$A:$A, ""(?i)(TE PAGÓ|PAGASTE)""), 
      Reporte!$H:$H &amp; """" = AH138 &amp; """"
    )
  ), 
  0
)"),18)</f>
        <v>18</v>
      </c>
      <c r="X138" s="10">
        <f ca="1">IFERROR(__xludf.DUMMYFUNCTION("IFERROR(
  SUM(
    FILTER(
      Efectivo!$C:$C, 
      Efectivo!$D:$D &amp; """" = AH138 &amp; """"
    )
  ), 
  0
)"),0)</f>
        <v>0</v>
      </c>
      <c r="Y138" s="21" t="s">
        <v>34</v>
      </c>
      <c r="Z138" s="10"/>
      <c r="AA138" s="21" t="s">
        <v>35</v>
      </c>
      <c r="AB138" s="10"/>
      <c r="AC138" s="10"/>
      <c r="AD138" s="10" t="str">
        <f t="shared" si="13"/>
        <v/>
      </c>
      <c r="AE138" s="10" t="e">
        <f>IF(
   OR(
     AND(#REF!&gt;0, OR(Y138="C", Y138="c"), U138&lt;0),
     AND(#REF!&gt;0, Y138="")
   ),
   "CORTE",
   ""
)</f>
        <v>#REF!</v>
      </c>
      <c r="AF138" s="10">
        <f t="shared" si="1"/>
        <v>0</v>
      </c>
      <c r="AG138" s="10">
        <f t="shared" si="2"/>
        <v>18</v>
      </c>
      <c r="AH138" s="10" t="str">
        <f t="shared" si="14"/>
        <v>G</v>
      </c>
      <c r="AI138" s="10" t="str">
        <f t="shared" si="15"/>
        <v>G-21A</v>
      </c>
    </row>
    <row r="139" spans="1:35" ht="15.75" customHeight="1" x14ac:dyDescent="0.35">
      <c r="A139" s="13">
        <v>138</v>
      </c>
      <c r="B139" s="14" t="s">
        <v>197</v>
      </c>
      <c r="C139" s="14" t="s">
        <v>170</v>
      </c>
      <c r="D139" s="13">
        <v>22</v>
      </c>
      <c r="E139" s="15"/>
      <c r="F139" s="15"/>
      <c r="G139" s="15"/>
      <c r="H139" s="16">
        <v>1</v>
      </c>
      <c r="I139" s="16">
        <v>241</v>
      </c>
      <c r="J139" s="16">
        <v>263</v>
      </c>
      <c r="K139" s="16">
        <v>22</v>
      </c>
      <c r="L139" s="16">
        <v>22</v>
      </c>
      <c r="M139" s="16">
        <v>43</v>
      </c>
      <c r="N139" s="16">
        <v>0</v>
      </c>
      <c r="O139" s="16"/>
      <c r="P139" s="16">
        <v>3</v>
      </c>
      <c r="Q139" s="16"/>
      <c r="R139" s="18"/>
      <c r="S139" s="15"/>
      <c r="T139" s="20"/>
      <c r="U139" s="17"/>
      <c r="V139" s="17">
        <f t="shared" si="16"/>
        <v>68</v>
      </c>
      <c r="W139" s="15">
        <f ca="1">IFERROR(__xludf.DUMMYFUNCTION("IFERROR(
  SUM(
    FILTER(
      Reporte!$E:$E, 
      REGEXMATCH(Reporte!$A:$A, ""(?i)(TE PAGÓ|PAGASTE)""), 
      Reporte!$H:$H &amp; """" = AH139 &amp; """"
    )
  ), 
  0
)"),68)</f>
        <v>68</v>
      </c>
      <c r="X139" s="15">
        <f ca="1">IFERROR(__xludf.DUMMYFUNCTION("IFERROR(
  SUM(
    FILTER(
      Efectivo!$C:$C, 
      Efectivo!$D:$D &amp; """" = AH139 &amp; """"
    )
  ), 
  0
)"),0)</f>
        <v>0</v>
      </c>
      <c r="Y139" s="15" t="s">
        <v>34</v>
      </c>
      <c r="Z139" s="15"/>
      <c r="AA139" s="15" t="s">
        <v>35</v>
      </c>
      <c r="AB139" s="15"/>
      <c r="AC139" s="15"/>
      <c r="AD139" s="15" t="str">
        <f t="shared" si="13"/>
        <v/>
      </c>
      <c r="AE139" s="15" t="e">
        <f>IF(
   OR(
     AND(#REF!&gt;0, OR(Y139="C", Y139="c"), U139&lt;0),
     AND(#REF!&gt;0, Y139="")
   ),
   "CORTE",
   ""
)</f>
        <v>#REF!</v>
      </c>
      <c r="AF139" s="15">
        <f t="shared" si="1"/>
        <v>0</v>
      </c>
      <c r="AG139" s="15">
        <f t="shared" si="2"/>
        <v>68</v>
      </c>
      <c r="AH139" s="15" t="str">
        <f t="shared" si="14"/>
        <v>G</v>
      </c>
      <c r="AI139" s="15" t="str">
        <f t="shared" si="15"/>
        <v>G-22</v>
      </c>
    </row>
    <row r="140" spans="1:35" ht="15.75" customHeight="1" x14ac:dyDescent="0.35">
      <c r="A140" s="8">
        <v>139</v>
      </c>
      <c r="B140" s="9" t="s">
        <v>198</v>
      </c>
      <c r="C140" s="9" t="s">
        <v>170</v>
      </c>
      <c r="D140" s="8">
        <v>23</v>
      </c>
      <c r="E140" s="10"/>
      <c r="F140" s="10"/>
      <c r="G140" s="10"/>
      <c r="H140" s="11">
        <v>1</v>
      </c>
      <c r="I140" s="11">
        <v>321</v>
      </c>
      <c r="J140" s="11">
        <v>329</v>
      </c>
      <c r="K140" s="11">
        <v>8</v>
      </c>
      <c r="L140" s="11">
        <v>8</v>
      </c>
      <c r="M140" s="11"/>
      <c r="N140" s="11">
        <v>0</v>
      </c>
      <c r="O140" s="11"/>
      <c r="P140" s="11">
        <v>3</v>
      </c>
      <c r="Q140" s="11"/>
      <c r="R140" s="19"/>
      <c r="S140" s="10"/>
      <c r="T140" s="21"/>
      <c r="U140" s="12"/>
      <c r="V140" s="12">
        <f t="shared" si="16"/>
        <v>11</v>
      </c>
      <c r="W140" s="10">
        <f ca="1">IFERROR(__xludf.DUMMYFUNCTION("IFERROR(
  SUM(
    FILTER(
      Reporte!$E:$E, 
      REGEXMATCH(Reporte!$A:$A, ""(?i)(TE PAGÓ|PAGASTE)""), 
      Reporte!$H:$H &amp; """" = AH140 &amp; """"
    )
  ), 
  0
)"),11)</f>
        <v>11</v>
      </c>
      <c r="X140" s="10">
        <f ca="1">IFERROR(__xludf.DUMMYFUNCTION("IFERROR(
  SUM(
    FILTER(
      Efectivo!$C:$C, 
      Efectivo!$D:$D &amp; """" = AH140 &amp; """"
    )
  ), 
  0
)"),0)</f>
        <v>0</v>
      </c>
      <c r="Y140" s="10" t="s">
        <v>34</v>
      </c>
      <c r="Z140" s="10"/>
      <c r="AA140" s="10" t="s">
        <v>35</v>
      </c>
      <c r="AB140" s="10"/>
      <c r="AC140" s="10"/>
      <c r="AD140" s="10" t="str">
        <f t="shared" si="13"/>
        <v/>
      </c>
      <c r="AE140" s="10" t="e">
        <f>IF(
   OR(
     AND(#REF!&gt;0, OR(Y140="C", Y140="c"), U140&lt;0),
     AND(#REF!&gt;0, Y140="")
   ),
   "CORTE",
   ""
)</f>
        <v>#REF!</v>
      </c>
      <c r="AF140" s="10">
        <f t="shared" si="1"/>
        <v>0</v>
      </c>
      <c r="AG140" s="10">
        <f t="shared" si="2"/>
        <v>11</v>
      </c>
      <c r="AH140" s="10" t="str">
        <f t="shared" si="14"/>
        <v>G</v>
      </c>
      <c r="AI140" s="10" t="str">
        <f t="shared" si="15"/>
        <v>G-23</v>
      </c>
    </row>
    <row r="141" spans="1:35" ht="15.75" customHeight="1" x14ac:dyDescent="0.35">
      <c r="A141" s="13">
        <v>140</v>
      </c>
      <c r="B141" s="14" t="s">
        <v>199</v>
      </c>
      <c r="C141" s="14" t="s">
        <v>170</v>
      </c>
      <c r="D141" s="13">
        <v>24</v>
      </c>
      <c r="E141" s="15"/>
      <c r="F141" s="15"/>
      <c r="G141" s="15"/>
      <c r="H141" s="16">
        <v>1</v>
      </c>
      <c r="I141" s="16">
        <v>434</v>
      </c>
      <c r="J141" s="16">
        <v>464</v>
      </c>
      <c r="K141" s="16">
        <v>30</v>
      </c>
      <c r="L141" s="16">
        <v>30</v>
      </c>
      <c r="M141" s="16"/>
      <c r="N141" s="16">
        <v>0</v>
      </c>
      <c r="O141" s="16"/>
      <c r="P141" s="16">
        <v>3</v>
      </c>
      <c r="Q141" s="16"/>
      <c r="R141" s="18"/>
      <c r="S141" s="15"/>
      <c r="T141" s="20"/>
      <c r="U141" s="17"/>
      <c r="V141" s="17">
        <f t="shared" si="16"/>
        <v>33</v>
      </c>
      <c r="W141" s="15">
        <f ca="1">IFERROR(__xludf.DUMMYFUNCTION("IFERROR(
  SUM(
    FILTER(
      Reporte!$E:$E, 
      REGEXMATCH(Reporte!$A:$A, ""(?i)(TE PAGÓ|PAGASTE)""), 
      Reporte!$H:$H &amp; """" = AH141 &amp; """"
    )
  ), 
  0
)"),33)</f>
        <v>33</v>
      </c>
      <c r="X141" s="15">
        <f ca="1">IFERROR(__xludf.DUMMYFUNCTION("IFERROR(
  SUM(
    FILTER(
      Efectivo!$C:$C, 
      Efectivo!$D:$D &amp; """" = AH141 &amp; """"
    )
  ), 
  0
)"),0)</f>
        <v>0</v>
      </c>
      <c r="Y141" s="15" t="s">
        <v>34</v>
      </c>
      <c r="Z141" s="15"/>
      <c r="AA141" s="15" t="s">
        <v>35</v>
      </c>
      <c r="AB141" s="15"/>
      <c r="AC141" s="15"/>
      <c r="AD141" s="15" t="str">
        <f t="shared" si="13"/>
        <v/>
      </c>
      <c r="AE141" s="15" t="e">
        <f>IF(
   OR(
     AND(#REF!&gt;0, OR(Y141="C", Y141="c"), U141&lt;0),
     AND(#REF!&gt;0, Y141="")
   ),
   "CORTE",
   ""
)</f>
        <v>#REF!</v>
      </c>
      <c r="AF141" s="15">
        <f t="shared" si="1"/>
        <v>0</v>
      </c>
      <c r="AG141" s="15">
        <f t="shared" si="2"/>
        <v>33</v>
      </c>
      <c r="AH141" s="15" t="str">
        <f t="shared" si="14"/>
        <v>G</v>
      </c>
      <c r="AI141" s="15" t="str">
        <f t="shared" si="15"/>
        <v>G-24</v>
      </c>
    </row>
    <row r="142" spans="1:35" ht="15.75" customHeight="1" x14ac:dyDescent="0.35">
      <c r="A142" s="8">
        <v>141</v>
      </c>
      <c r="B142" s="9" t="s">
        <v>200</v>
      </c>
      <c r="C142" s="9" t="s">
        <v>201</v>
      </c>
      <c r="D142" s="8">
        <v>1</v>
      </c>
      <c r="E142" s="10"/>
      <c r="F142" s="10"/>
      <c r="G142" s="10"/>
      <c r="H142" s="11">
        <v>1</v>
      </c>
      <c r="I142" s="11">
        <v>0</v>
      </c>
      <c r="J142" s="11">
        <v>19</v>
      </c>
      <c r="K142" s="11">
        <v>19</v>
      </c>
      <c r="L142" s="11">
        <v>19</v>
      </c>
      <c r="M142" s="11">
        <v>16</v>
      </c>
      <c r="N142" s="11">
        <v>0</v>
      </c>
      <c r="O142" s="11">
        <v>25</v>
      </c>
      <c r="P142" s="11">
        <v>3</v>
      </c>
      <c r="Q142" s="11"/>
      <c r="R142" s="19"/>
      <c r="S142" s="10"/>
      <c r="T142" s="21"/>
      <c r="U142" s="12"/>
      <c r="V142" s="12">
        <f t="shared" si="16"/>
        <v>63</v>
      </c>
      <c r="W142" s="10">
        <f ca="1">IFERROR(__xludf.DUMMYFUNCTION("IFERROR(
  SUM(
    FILTER(
      Reporte!$E:$E, 
      REGEXMATCH(Reporte!$A:$A, ""(?i)(TE PAGÓ|PAGASTE)""), 
      Reporte!$H:$H &amp; """" = AH142 &amp; """"
    )
  ), 
  0
)"),0)</f>
        <v>0</v>
      </c>
      <c r="X142" s="10">
        <f ca="1">IFERROR(__xludf.DUMMYFUNCTION("IFERROR(
  SUM(
    FILTER(
      Efectivo!$C:$C, 
      Efectivo!$D:$D &amp; """" = AH142 &amp; """"
    )
  ), 
  0
)"),63)</f>
        <v>63</v>
      </c>
      <c r="Y142" s="10" t="s">
        <v>34</v>
      </c>
      <c r="Z142" s="10"/>
      <c r="AA142" s="10"/>
      <c r="AB142" s="10"/>
      <c r="AC142" s="10"/>
      <c r="AD142" s="10" t="str">
        <f t="shared" si="13"/>
        <v/>
      </c>
      <c r="AE142" s="10" t="e">
        <f>IF(
   OR(
     AND(#REF!&gt;0, OR(Y142="C", Y142="c"), U142&lt;0),
     AND(#REF!&gt;0, Y142="")
   ),
   "CORTE",
   ""
)</f>
        <v>#REF!</v>
      </c>
      <c r="AF142" s="10">
        <f t="shared" si="1"/>
        <v>63</v>
      </c>
      <c r="AG142" s="10">
        <f t="shared" si="2"/>
        <v>0</v>
      </c>
      <c r="AH142" s="10" t="str">
        <f t="shared" si="14"/>
        <v>H</v>
      </c>
      <c r="AI142" s="10" t="str">
        <f t="shared" si="15"/>
        <v>H-1</v>
      </c>
    </row>
    <row r="143" spans="1:35" ht="15.75" customHeight="1" x14ac:dyDescent="0.35">
      <c r="A143" s="13">
        <v>142</v>
      </c>
      <c r="B143" s="14" t="s">
        <v>202</v>
      </c>
      <c r="C143" s="14" t="s">
        <v>201</v>
      </c>
      <c r="D143" s="13">
        <v>2</v>
      </c>
      <c r="E143" s="15"/>
      <c r="F143" s="15"/>
      <c r="G143" s="15"/>
      <c r="H143" s="16">
        <v>1</v>
      </c>
      <c r="I143" s="16">
        <v>2208</v>
      </c>
      <c r="J143" s="16">
        <v>2224</v>
      </c>
      <c r="K143" s="16">
        <v>16</v>
      </c>
      <c r="L143" s="16">
        <v>16</v>
      </c>
      <c r="M143" s="16"/>
      <c r="N143" s="16">
        <v>0</v>
      </c>
      <c r="O143" s="16"/>
      <c r="P143" s="16">
        <v>3</v>
      </c>
      <c r="Q143" s="16"/>
      <c r="R143" s="18"/>
      <c r="S143" s="15"/>
      <c r="T143" s="20"/>
      <c r="U143" s="17"/>
      <c r="V143" s="17">
        <f t="shared" si="16"/>
        <v>19</v>
      </c>
      <c r="W143" s="15">
        <f ca="1">IFERROR(__xludf.DUMMYFUNCTION("IFERROR(
  SUM(
    FILTER(
      Reporte!$E:$E, 
      REGEXMATCH(Reporte!$A:$A, ""(?i)(TE PAGÓ|PAGASTE)""), 
      Reporte!$H:$H &amp; """" = AH143 &amp; """"
    )
  ), 
  0
)"),0)</f>
        <v>0</v>
      </c>
      <c r="X143" s="15">
        <f ca="1">IFERROR(__xludf.DUMMYFUNCTION("IFERROR(
  SUM(
    FILTER(
      Efectivo!$C:$C, 
      Efectivo!$D:$D &amp; """" = AH143 &amp; """"
    )
  ), 
  0
)"),19)</f>
        <v>19</v>
      </c>
      <c r="Y143" s="15" t="s">
        <v>34</v>
      </c>
      <c r="Z143" s="15"/>
      <c r="AA143" s="15"/>
      <c r="AB143" s="15"/>
      <c r="AC143" s="15"/>
      <c r="AD143" s="15" t="str">
        <f t="shared" si="13"/>
        <v/>
      </c>
      <c r="AE143" s="15" t="e">
        <f>IF(
   OR(
     AND(#REF!&gt;0, OR(Y143="C", Y143="c"), U143&lt;0),
     AND(#REF!&gt;0, Y143="")
   ),
   "CORTE",
   ""
)</f>
        <v>#REF!</v>
      </c>
      <c r="AF143" s="15">
        <f t="shared" si="1"/>
        <v>19</v>
      </c>
      <c r="AG143" s="15">
        <f t="shared" si="2"/>
        <v>0</v>
      </c>
      <c r="AH143" s="15" t="str">
        <f t="shared" si="14"/>
        <v>H</v>
      </c>
      <c r="AI143" s="15" t="str">
        <f t="shared" si="15"/>
        <v>H-2</v>
      </c>
    </row>
    <row r="144" spans="1:35" ht="15.75" customHeight="1" x14ac:dyDescent="0.35">
      <c r="A144" s="8">
        <v>143</v>
      </c>
      <c r="B144" s="9" t="s">
        <v>203</v>
      </c>
      <c r="C144" s="9" t="s">
        <v>201</v>
      </c>
      <c r="D144" s="8">
        <v>3</v>
      </c>
      <c r="E144" s="10"/>
      <c r="F144" s="10"/>
      <c r="G144" s="10"/>
      <c r="H144" s="11">
        <v>1</v>
      </c>
      <c r="I144" s="11">
        <v>3294</v>
      </c>
      <c r="J144" s="11">
        <v>3318</v>
      </c>
      <c r="K144" s="11">
        <v>24</v>
      </c>
      <c r="L144" s="11">
        <v>24</v>
      </c>
      <c r="M144" s="11"/>
      <c r="N144" s="11">
        <v>0</v>
      </c>
      <c r="O144" s="11"/>
      <c r="P144" s="11">
        <v>3</v>
      </c>
      <c r="Q144" s="11"/>
      <c r="R144" s="19"/>
      <c r="S144" s="10"/>
      <c r="T144" s="21"/>
      <c r="U144" s="12"/>
      <c r="V144" s="12">
        <f t="shared" si="16"/>
        <v>27</v>
      </c>
      <c r="W144" s="10">
        <f ca="1">IFERROR(__xludf.DUMMYFUNCTION("IFERROR(
  SUM(
    FILTER(
      Reporte!$E:$E, 
      REGEXMATCH(Reporte!$A:$A, ""(?i)(TE PAGÓ|PAGASTE)""), 
      Reporte!$H:$H &amp; """" = AH144 &amp; """"
    )
  ), 
  0
)"),0)</f>
        <v>0</v>
      </c>
      <c r="X144" s="10">
        <f ca="1">IFERROR(__xludf.DUMMYFUNCTION("IFERROR(
  SUM(
    FILTER(
      Efectivo!$C:$C, 
      Efectivo!$D:$D &amp; """" = AH144 &amp; """"
    )
  ), 
  0
)"),27)</f>
        <v>27</v>
      </c>
      <c r="Y144" s="10" t="s">
        <v>34</v>
      </c>
      <c r="Z144" s="10"/>
      <c r="AA144" s="10"/>
      <c r="AB144" s="10"/>
      <c r="AC144" s="10"/>
      <c r="AD144" s="10" t="str">
        <f t="shared" si="13"/>
        <v/>
      </c>
      <c r="AE144" s="10" t="e">
        <f>IF(
   OR(
     AND(#REF!&gt;0, OR(Y144="C", Y144="c"), U144&lt;0),
     AND(#REF!&gt;0, Y144="")
   ),
   "CORTE",
   ""
)</f>
        <v>#REF!</v>
      </c>
      <c r="AF144" s="10">
        <f t="shared" si="1"/>
        <v>27</v>
      </c>
      <c r="AG144" s="10">
        <f t="shared" si="2"/>
        <v>0</v>
      </c>
      <c r="AH144" s="10" t="str">
        <f t="shared" si="14"/>
        <v>H</v>
      </c>
      <c r="AI144" s="10" t="str">
        <f t="shared" si="15"/>
        <v>H-3</v>
      </c>
    </row>
    <row r="145" spans="1:35" ht="15.75" customHeight="1" x14ac:dyDescent="0.35">
      <c r="A145" s="13">
        <v>144</v>
      </c>
      <c r="B145" s="14" t="s">
        <v>204</v>
      </c>
      <c r="C145" s="14" t="s">
        <v>201</v>
      </c>
      <c r="D145" s="13">
        <v>4</v>
      </c>
      <c r="E145" s="15"/>
      <c r="F145" s="15"/>
      <c r="G145" s="15"/>
      <c r="H145" s="16">
        <v>1</v>
      </c>
      <c r="I145" s="16">
        <v>2438</v>
      </c>
      <c r="J145" s="16">
        <v>2450</v>
      </c>
      <c r="K145" s="16">
        <v>12</v>
      </c>
      <c r="L145" s="16">
        <v>12</v>
      </c>
      <c r="M145" s="16"/>
      <c r="N145" s="16">
        <v>0</v>
      </c>
      <c r="O145" s="16"/>
      <c r="P145" s="16">
        <v>3</v>
      </c>
      <c r="Q145" s="16"/>
      <c r="R145" s="18"/>
      <c r="S145" s="15"/>
      <c r="T145" s="20"/>
      <c r="U145" s="17"/>
      <c r="V145" s="17">
        <f t="shared" si="16"/>
        <v>15</v>
      </c>
      <c r="W145" s="15">
        <f ca="1">IFERROR(__xludf.DUMMYFUNCTION("IFERROR(
  SUM(
    FILTER(
      Reporte!$E:$E, 
      REGEXMATCH(Reporte!$A:$A, ""(?i)(TE PAGÓ|PAGASTE)""), 
      Reporte!$H:$H &amp; """" = AH145 &amp; """"
    )
  ), 
  0
)"),0)</f>
        <v>0</v>
      </c>
      <c r="X145" s="15">
        <f ca="1">IFERROR(__xludf.DUMMYFUNCTION("IFERROR(
  SUM(
    FILTER(
      Efectivo!$C:$C, 
      Efectivo!$D:$D &amp; """" = AH145 &amp; """"
    )
  ), 
  0
)"),15)</f>
        <v>15</v>
      </c>
      <c r="Y145" s="15" t="s">
        <v>34</v>
      </c>
      <c r="Z145" s="15"/>
      <c r="AA145" s="15"/>
      <c r="AB145" s="15"/>
      <c r="AC145" s="15"/>
      <c r="AD145" s="15" t="str">
        <f t="shared" si="13"/>
        <v/>
      </c>
      <c r="AE145" s="15" t="e">
        <f>IF(
   OR(
     AND(#REF!&gt;0, OR(Y145="C", Y145="c"), U145&lt;0),
     AND(#REF!&gt;0, Y145="")
   ),
   "CORTE",
   ""
)</f>
        <v>#REF!</v>
      </c>
      <c r="AF145" s="15">
        <f t="shared" si="1"/>
        <v>15</v>
      </c>
      <c r="AG145" s="15">
        <f t="shared" si="2"/>
        <v>0</v>
      </c>
      <c r="AH145" s="15" t="str">
        <f t="shared" si="14"/>
        <v>H</v>
      </c>
      <c r="AI145" s="15" t="str">
        <f t="shared" si="15"/>
        <v>H-4</v>
      </c>
    </row>
    <row r="146" spans="1:35" ht="15.75" customHeight="1" x14ac:dyDescent="0.35">
      <c r="A146" s="8">
        <v>145</v>
      </c>
      <c r="B146" s="9" t="s">
        <v>205</v>
      </c>
      <c r="C146" s="9" t="s">
        <v>201</v>
      </c>
      <c r="D146" s="8">
        <v>5</v>
      </c>
      <c r="E146" s="10"/>
      <c r="F146" s="10"/>
      <c r="G146" s="10"/>
      <c r="H146" s="11">
        <v>1</v>
      </c>
      <c r="I146" s="11">
        <v>99993</v>
      </c>
      <c r="J146" s="11">
        <v>99991</v>
      </c>
      <c r="K146" s="11">
        <v>2</v>
      </c>
      <c r="L146" s="11">
        <v>5</v>
      </c>
      <c r="M146" s="11"/>
      <c r="N146" s="11">
        <v>0</v>
      </c>
      <c r="O146" s="11">
        <v>25</v>
      </c>
      <c r="P146" s="11">
        <v>3</v>
      </c>
      <c r="Q146" s="11"/>
      <c r="R146" s="19"/>
      <c r="S146" s="10"/>
      <c r="T146" s="21"/>
      <c r="U146" s="12"/>
      <c r="V146" s="12">
        <f t="shared" si="16"/>
        <v>33</v>
      </c>
      <c r="W146" s="10">
        <f ca="1">IFERROR(__xludf.DUMMYFUNCTION("IFERROR(
  SUM(
    FILTER(
      Reporte!$E:$E, 
      REGEXMATCH(Reporte!$A:$A, ""(?i)(TE PAGÓ|PAGASTE)""), 
      Reporte!$H:$H &amp; """" = AH146 &amp; """"
    )
  ), 
  0
)"),33)</f>
        <v>33</v>
      </c>
      <c r="X146" s="10">
        <f ca="1">IFERROR(__xludf.DUMMYFUNCTION("IFERROR(
  SUM(
    FILTER(
      Efectivo!$C:$C, 
      Efectivo!$D:$D &amp; """" = AH146 &amp; """"
    )
  ), 
  0
)"),0)</f>
        <v>0</v>
      </c>
      <c r="Y146" s="10" t="s">
        <v>34</v>
      </c>
      <c r="Z146" s="10"/>
      <c r="AA146" s="10" t="s">
        <v>35</v>
      </c>
      <c r="AB146" s="10"/>
      <c r="AC146" s="10"/>
      <c r="AD146" s="10" t="str">
        <f t="shared" si="13"/>
        <v/>
      </c>
      <c r="AE146" s="10" t="e">
        <f>IF(
   OR(
     AND(#REF!&gt;0, OR(Y146="C", Y146="c"), U146&lt;0),
     AND(#REF!&gt;0, Y146="")
   ),
   "CORTE",
   ""
)</f>
        <v>#REF!</v>
      </c>
      <c r="AF146" s="10">
        <f t="shared" si="1"/>
        <v>0</v>
      </c>
      <c r="AG146" s="10">
        <f t="shared" si="2"/>
        <v>33</v>
      </c>
      <c r="AH146" s="10" t="str">
        <f t="shared" si="14"/>
        <v>H</v>
      </c>
      <c r="AI146" s="10" t="str">
        <f t="shared" si="15"/>
        <v>H-5</v>
      </c>
    </row>
    <row r="147" spans="1:35" ht="15.75" customHeight="1" x14ac:dyDescent="0.35">
      <c r="A147" s="13">
        <v>146</v>
      </c>
      <c r="B147" s="14" t="s">
        <v>206</v>
      </c>
      <c r="C147" s="14" t="s">
        <v>201</v>
      </c>
      <c r="D147" s="13">
        <v>7</v>
      </c>
      <c r="E147" s="15"/>
      <c r="F147" s="15"/>
      <c r="G147" s="15"/>
      <c r="H147" s="16">
        <v>1</v>
      </c>
      <c r="I147" s="16">
        <v>21</v>
      </c>
      <c r="J147" s="16">
        <v>58</v>
      </c>
      <c r="K147" s="16">
        <v>37</v>
      </c>
      <c r="L147" s="16">
        <v>37</v>
      </c>
      <c r="M147" s="16"/>
      <c r="N147" s="16">
        <v>0</v>
      </c>
      <c r="O147" s="16">
        <v>25</v>
      </c>
      <c r="P147" s="16">
        <v>3</v>
      </c>
      <c r="Q147" s="16"/>
      <c r="R147" s="18"/>
      <c r="S147" s="15"/>
      <c r="T147" s="20"/>
      <c r="U147" s="17"/>
      <c r="V147" s="17">
        <f t="shared" si="16"/>
        <v>65</v>
      </c>
      <c r="W147" s="15">
        <f ca="1">IFERROR(__xludf.DUMMYFUNCTION("IFERROR(
  SUM(
    FILTER(
      Reporte!$E:$E, 
      REGEXMATCH(Reporte!$A:$A, ""(?i)(TE PAGÓ|PAGASTE)""), 
      Reporte!$H:$H &amp; """" = AH147 &amp; """"
    )
  ), 
  0
)"),0)</f>
        <v>0</v>
      </c>
      <c r="X147" s="15">
        <f ca="1">IFERROR(__xludf.DUMMYFUNCTION("IFERROR(
  SUM(
    FILTER(
      Efectivo!$C:$C, 
      Efectivo!$D:$D &amp; """" = AH147 &amp; """"
    )
  ), 
  0
)"),0)</f>
        <v>0</v>
      </c>
      <c r="Y147" s="15"/>
      <c r="Z147" s="15"/>
      <c r="AA147" s="15"/>
      <c r="AB147" s="15"/>
      <c r="AC147" s="15"/>
      <c r="AD147" s="15" t="str">
        <f t="shared" si="13"/>
        <v/>
      </c>
      <c r="AE147" s="15" t="e">
        <f>IF(
   OR(
     AND(#REF!&gt;0, OR(Y147="C", Y147="c"), U147&lt;0),
     AND(#REF!&gt;0, Y147="")
   ),
   "CORTE",
   ""
)</f>
        <v>#REF!</v>
      </c>
      <c r="AF147" s="15">
        <f t="shared" si="1"/>
        <v>0</v>
      </c>
      <c r="AG147" s="15">
        <f t="shared" si="2"/>
        <v>0</v>
      </c>
      <c r="AH147" s="15" t="str">
        <f t="shared" si="14"/>
        <v>H</v>
      </c>
      <c r="AI147" s="15" t="str">
        <f t="shared" si="15"/>
        <v>H-7</v>
      </c>
    </row>
    <row r="148" spans="1:35" ht="15.75" customHeight="1" x14ac:dyDescent="0.35">
      <c r="A148" s="8">
        <v>147</v>
      </c>
      <c r="B148" s="9" t="s">
        <v>207</v>
      </c>
      <c r="C148" s="9" t="s">
        <v>201</v>
      </c>
      <c r="D148" s="8">
        <v>8</v>
      </c>
      <c r="E148" s="10"/>
      <c r="F148" s="10"/>
      <c r="G148" s="10"/>
      <c r="H148" s="11">
        <v>1</v>
      </c>
      <c r="I148" s="11">
        <v>11</v>
      </c>
      <c r="J148" s="11">
        <v>27</v>
      </c>
      <c r="K148" s="11">
        <v>16</v>
      </c>
      <c r="L148" s="11">
        <v>16</v>
      </c>
      <c r="M148" s="11"/>
      <c r="N148" s="11">
        <v>0</v>
      </c>
      <c r="O148" s="11">
        <v>25</v>
      </c>
      <c r="P148" s="11">
        <v>3</v>
      </c>
      <c r="Q148" s="11"/>
      <c r="R148" s="19"/>
      <c r="S148" s="10"/>
      <c r="T148" s="21"/>
      <c r="U148" s="12"/>
      <c r="V148" s="12">
        <f t="shared" si="16"/>
        <v>44</v>
      </c>
      <c r="W148" s="10">
        <f ca="1">IFERROR(__xludf.DUMMYFUNCTION("IFERROR(
  SUM(
    FILTER(
      Reporte!$E:$E, 
      REGEXMATCH(Reporte!$A:$A, ""(?i)(TE PAGÓ|PAGASTE)""), 
      Reporte!$H:$H &amp; """" = AH148 &amp; """"
    )
  ), 
  0
)"),44)</f>
        <v>44</v>
      </c>
      <c r="X148" s="10">
        <f ca="1">IFERROR(__xludf.DUMMYFUNCTION("IFERROR(
  SUM(
    FILTER(
      Efectivo!$C:$C, 
      Efectivo!$D:$D &amp; """" = AH148 &amp; """"
    )
  ), 
  0
)"),0)</f>
        <v>0</v>
      </c>
      <c r="Y148" s="10" t="s">
        <v>34</v>
      </c>
      <c r="Z148" s="10"/>
      <c r="AA148" s="10" t="s">
        <v>35</v>
      </c>
      <c r="AB148" s="10"/>
      <c r="AC148" s="10"/>
      <c r="AD148" s="10" t="str">
        <f t="shared" si="13"/>
        <v/>
      </c>
      <c r="AE148" s="10" t="e">
        <f>IF(
   OR(
     AND(#REF!&gt;0, OR(Y148="C", Y148="c"), U148&lt;0),
     AND(#REF!&gt;0, Y148="")
   ),
   "CORTE",
   ""
)</f>
        <v>#REF!</v>
      </c>
      <c r="AF148" s="10">
        <f t="shared" si="1"/>
        <v>0</v>
      </c>
      <c r="AG148" s="10">
        <f t="shared" si="2"/>
        <v>44</v>
      </c>
      <c r="AH148" s="10" t="str">
        <f t="shared" si="14"/>
        <v>H</v>
      </c>
      <c r="AI148" s="10" t="str">
        <f t="shared" si="15"/>
        <v>H-8</v>
      </c>
    </row>
    <row r="149" spans="1:35" ht="15.75" customHeight="1" x14ac:dyDescent="0.35">
      <c r="A149" s="13">
        <v>148</v>
      </c>
      <c r="B149" s="14" t="s">
        <v>208</v>
      </c>
      <c r="C149" s="14" t="s">
        <v>201</v>
      </c>
      <c r="D149" s="13">
        <v>9</v>
      </c>
      <c r="E149" s="15"/>
      <c r="F149" s="15"/>
      <c r="G149" s="15"/>
      <c r="H149" s="16">
        <v>1</v>
      </c>
      <c r="I149" s="16">
        <v>11</v>
      </c>
      <c r="J149" s="16">
        <v>25</v>
      </c>
      <c r="K149" s="16">
        <v>14</v>
      </c>
      <c r="L149" s="16">
        <v>14</v>
      </c>
      <c r="M149" s="16"/>
      <c r="N149" s="16">
        <v>0</v>
      </c>
      <c r="O149" s="16">
        <v>25</v>
      </c>
      <c r="P149" s="16">
        <v>3</v>
      </c>
      <c r="Q149" s="16"/>
      <c r="R149" s="18"/>
      <c r="S149" s="15"/>
      <c r="T149" s="20"/>
      <c r="U149" s="17"/>
      <c r="V149" s="17">
        <f t="shared" si="16"/>
        <v>42</v>
      </c>
      <c r="W149" s="15">
        <f ca="1">IFERROR(__xludf.DUMMYFUNCTION("IFERROR(
  SUM(
    FILTER(
      Reporte!$E:$E, 
      REGEXMATCH(Reporte!$A:$A, ""(?i)(TE PAGÓ|PAGASTE)""), 
      Reporte!$H:$H &amp; """" = AH149 &amp; """"
    )
  ), 
  0
)"),42)</f>
        <v>42</v>
      </c>
      <c r="X149" s="15">
        <f ca="1">IFERROR(__xludf.DUMMYFUNCTION("IFERROR(
  SUM(
    FILTER(
      Efectivo!$C:$C, 
      Efectivo!$D:$D &amp; """" = AH149 &amp; """"
    )
  ), 
  0
)"),0)</f>
        <v>0</v>
      </c>
      <c r="Y149" s="15" t="s">
        <v>34</v>
      </c>
      <c r="Z149" s="15"/>
      <c r="AA149" s="15" t="s">
        <v>35</v>
      </c>
      <c r="AB149" s="15"/>
      <c r="AC149" s="15"/>
      <c r="AD149" s="15" t="str">
        <f t="shared" si="13"/>
        <v/>
      </c>
      <c r="AE149" s="15" t="e">
        <f>IF(
   OR(
     AND(#REF!&gt;0, OR(Y149="C", Y149="c"), U149&lt;0),
     AND(#REF!&gt;0, Y149="")
   ),
   "CORTE",
   ""
)</f>
        <v>#REF!</v>
      </c>
      <c r="AF149" s="15">
        <f t="shared" si="1"/>
        <v>0</v>
      </c>
      <c r="AG149" s="15">
        <f t="shared" si="2"/>
        <v>42</v>
      </c>
      <c r="AH149" s="15" t="str">
        <f t="shared" si="14"/>
        <v>H</v>
      </c>
      <c r="AI149" s="15" t="str">
        <f t="shared" si="15"/>
        <v>H-9</v>
      </c>
    </row>
    <row r="150" spans="1:35" ht="15.75" customHeight="1" x14ac:dyDescent="0.35">
      <c r="A150" s="8">
        <v>149</v>
      </c>
      <c r="B150" s="9" t="s">
        <v>209</v>
      </c>
      <c r="C150" s="9" t="s">
        <v>201</v>
      </c>
      <c r="D150" s="8">
        <v>10</v>
      </c>
      <c r="E150" s="10"/>
      <c r="F150" s="10"/>
      <c r="G150" s="10"/>
      <c r="H150" s="11">
        <v>1</v>
      </c>
      <c r="I150" s="11">
        <v>3</v>
      </c>
      <c r="J150" s="11">
        <v>7</v>
      </c>
      <c r="K150" s="11">
        <v>4</v>
      </c>
      <c r="L150" s="11">
        <v>5</v>
      </c>
      <c r="M150" s="11"/>
      <c r="N150" s="11">
        <v>0</v>
      </c>
      <c r="O150" s="11"/>
      <c r="P150" s="11">
        <v>3</v>
      </c>
      <c r="Q150" s="11"/>
      <c r="R150" s="19"/>
      <c r="S150" s="10"/>
      <c r="T150" s="21"/>
      <c r="U150" s="12"/>
      <c r="V150" s="12">
        <f t="shared" si="16"/>
        <v>8</v>
      </c>
      <c r="W150" s="10">
        <f ca="1">IFERROR(__xludf.DUMMYFUNCTION("IFERROR(
  SUM(
    FILTER(
      Reporte!$E:$E, 
      REGEXMATCH(Reporte!$A:$A, ""(?i)(TE PAGÓ|PAGASTE)""), 
      Reporte!$H:$H &amp; """" = AH150 &amp; """"
    )
  ), 
  0
)"),8)</f>
        <v>8</v>
      </c>
      <c r="X150" s="10">
        <f ca="1">IFERROR(__xludf.DUMMYFUNCTION("IFERROR(
  SUM(
    FILTER(
      Efectivo!$C:$C, 
      Efectivo!$D:$D &amp; """" = AH150 &amp; """"
    )
  ), 
  0
)"),0)</f>
        <v>0</v>
      </c>
      <c r="Y150" s="10" t="s">
        <v>34</v>
      </c>
      <c r="Z150" s="10"/>
      <c r="AA150" s="10" t="s">
        <v>35</v>
      </c>
      <c r="AB150" s="10"/>
      <c r="AC150" s="10"/>
      <c r="AD150" s="10" t="str">
        <f t="shared" si="13"/>
        <v/>
      </c>
      <c r="AE150" s="10" t="e">
        <f>IF(
   OR(
     AND(#REF!&gt;0, OR(Y150="C", Y150="c"), U150&lt;0),
     AND(#REF!&gt;0, Y150="")
   ),
   "CORTE",
   ""
)</f>
        <v>#REF!</v>
      </c>
      <c r="AF150" s="10">
        <f t="shared" si="1"/>
        <v>0</v>
      </c>
      <c r="AG150" s="10">
        <f t="shared" si="2"/>
        <v>8</v>
      </c>
      <c r="AH150" s="10" t="str">
        <f t="shared" si="14"/>
        <v>H</v>
      </c>
      <c r="AI150" s="10" t="str">
        <f t="shared" si="15"/>
        <v>H-10</v>
      </c>
    </row>
    <row r="151" spans="1:35" ht="15.75" customHeight="1" x14ac:dyDescent="0.35">
      <c r="A151" s="13">
        <v>150</v>
      </c>
      <c r="B151" s="14" t="s">
        <v>210</v>
      </c>
      <c r="C151" s="14" t="s">
        <v>201</v>
      </c>
      <c r="D151" s="13">
        <v>11</v>
      </c>
      <c r="E151" s="15"/>
      <c r="F151" s="15"/>
      <c r="G151" s="15"/>
      <c r="H151" s="16">
        <v>1</v>
      </c>
      <c r="I151" s="16">
        <v>2</v>
      </c>
      <c r="J151" s="16">
        <v>9</v>
      </c>
      <c r="K151" s="16">
        <v>7</v>
      </c>
      <c r="L151" s="16">
        <v>7</v>
      </c>
      <c r="M151" s="16"/>
      <c r="N151" s="16">
        <v>0</v>
      </c>
      <c r="O151" s="16">
        <v>25</v>
      </c>
      <c r="P151" s="16">
        <v>3</v>
      </c>
      <c r="Q151" s="16"/>
      <c r="R151" s="18"/>
      <c r="S151" s="15"/>
      <c r="T151" s="20"/>
      <c r="U151" s="17"/>
      <c r="V151" s="17">
        <f t="shared" si="16"/>
        <v>35</v>
      </c>
      <c r="W151" s="15">
        <f ca="1">IFERROR(__xludf.DUMMYFUNCTION("IFERROR(
  SUM(
    FILTER(
      Reporte!$E:$E, 
      REGEXMATCH(Reporte!$A:$A, ""(?i)(TE PAGÓ|PAGASTE)""), 
      Reporte!$H:$H &amp; """" = AH151 &amp; """"
    )
  ), 
  0
)"),0)</f>
        <v>0</v>
      </c>
      <c r="X151" s="15">
        <f ca="1">IFERROR(__xludf.DUMMYFUNCTION("IFERROR(
  SUM(
    FILTER(
      Efectivo!$C:$C, 
      Efectivo!$D:$D &amp; """" = AH151 &amp; """"
    )
  ), 
  0
)"),35)</f>
        <v>35</v>
      </c>
      <c r="Y151" s="15" t="s">
        <v>34</v>
      </c>
      <c r="Z151" s="15"/>
      <c r="AA151" s="15"/>
      <c r="AB151" s="15"/>
      <c r="AC151" s="15"/>
      <c r="AD151" s="15" t="str">
        <f t="shared" si="13"/>
        <v/>
      </c>
      <c r="AE151" s="15" t="e">
        <f>IF(
   OR(
     AND(#REF!&gt;0, OR(Y151="C", Y151="c"), U151&lt;0),
     AND(#REF!&gt;0, Y151="")
   ),
   "CORTE",
   ""
)</f>
        <v>#REF!</v>
      </c>
      <c r="AF151" s="15">
        <f t="shared" si="1"/>
        <v>35</v>
      </c>
      <c r="AG151" s="15">
        <f t="shared" si="2"/>
        <v>0</v>
      </c>
      <c r="AH151" s="15" t="str">
        <f t="shared" si="14"/>
        <v>H</v>
      </c>
      <c r="AI151" s="15" t="str">
        <f t="shared" si="15"/>
        <v>H-11</v>
      </c>
    </row>
    <row r="152" spans="1:35" ht="15.75" customHeight="1" x14ac:dyDescent="0.35">
      <c r="A152" s="8">
        <v>151</v>
      </c>
      <c r="B152" s="9" t="s">
        <v>211</v>
      </c>
      <c r="C152" s="9" t="s">
        <v>201</v>
      </c>
      <c r="D152" s="8">
        <v>12</v>
      </c>
      <c r="E152" s="10"/>
      <c r="F152" s="10"/>
      <c r="G152" s="10"/>
      <c r="H152" s="11">
        <v>1</v>
      </c>
      <c r="I152" s="11">
        <v>7</v>
      </c>
      <c r="J152" s="11">
        <v>19</v>
      </c>
      <c r="K152" s="11">
        <v>12</v>
      </c>
      <c r="L152" s="11">
        <v>12</v>
      </c>
      <c r="M152" s="11"/>
      <c r="N152" s="11">
        <v>0</v>
      </c>
      <c r="O152" s="11">
        <v>25</v>
      </c>
      <c r="P152" s="11">
        <v>3</v>
      </c>
      <c r="Q152" s="11"/>
      <c r="R152" s="19"/>
      <c r="S152" s="10"/>
      <c r="T152" s="21"/>
      <c r="U152" s="12"/>
      <c r="V152" s="12">
        <f t="shared" si="16"/>
        <v>40</v>
      </c>
      <c r="W152" s="10">
        <f ca="1">IFERROR(__xludf.DUMMYFUNCTION("IFERROR(
  SUM(
    FILTER(
      Reporte!$E:$E, 
      REGEXMATCH(Reporte!$A:$A, ""(?i)(TE PAGÓ|PAGASTE)""), 
      Reporte!$H:$H &amp; """" = AH152 &amp; """"
    )
  ), 
  0
)"),40)</f>
        <v>40</v>
      </c>
      <c r="X152" s="10">
        <f ca="1">IFERROR(__xludf.DUMMYFUNCTION("IFERROR(
  SUM(
    FILTER(
      Efectivo!$C:$C, 
      Efectivo!$D:$D &amp; """" = AH152 &amp; """"
    )
  ), 
  0
)"),0)</f>
        <v>0</v>
      </c>
      <c r="Y152" s="10" t="s">
        <v>34</v>
      </c>
      <c r="Z152" s="10"/>
      <c r="AA152" s="10" t="s">
        <v>35</v>
      </c>
      <c r="AB152" s="10"/>
      <c r="AC152" s="10"/>
      <c r="AD152" s="10" t="str">
        <f t="shared" si="13"/>
        <v/>
      </c>
      <c r="AE152" s="10" t="e">
        <f>IF(
   OR(
     AND(#REF!&gt;0, OR(Y152="C", Y152="c"), U152&lt;0),
     AND(#REF!&gt;0, Y152="")
   ),
   "CORTE",
   ""
)</f>
        <v>#REF!</v>
      </c>
      <c r="AF152" s="10">
        <f t="shared" si="1"/>
        <v>0</v>
      </c>
      <c r="AG152" s="10">
        <f t="shared" si="2"/>
        <v>40</v>
      </c>
      <c r="AH152" s="10" t="str">
        <f t="shared" si="14"/>
        <v>H</v>
      </c>
      <c r="AI152" s="10" t="str">
        <f t="shared" si="15"/>
        <v>H-12</v>
      </c>
    </row>
    <row r="153" spans="1:35" ht="15.75" customHeight="1" x14ac:dyDescent="0.35">
      <c r="A153" s="13">
        <v>152</v>
      </c>
      <c r="B153" s="14" t="s">
        <v>212</v>
      </c>
      <c r="C153" s="14" t="s">
        <v>201</v>
      </c>
      <c r="D153" s="13">
        <v>13</v>
      </c>
      <c r="E153" s="15"/>
      <c r="F153" s="15"/>
      <c r="G153" s="15"/>
      <c r="H153" s="16">
        <v>1</v>
      </c>
      <c r="I153" s="16">
        <v>258</v>
      </c>
      <c r="J153" s="16">
        <v>282</v>
      </c>
      <c r="K153" s="16">
        <v>24</v>
      </c>
      <c r="L153" s="16">
        <v>24</v>
      </c>
      <c r="M153" s="16">
        <v>27</v>
      </c>
      <c r="N153" s="16">
        <v>40</v>
      </c>
      <c r="O153" s="16"/>
      <c r="P153" s="16">
        <v>3</v>
      </c>
      <c r="Q153" s="16"/>
      <c r="R153" s="18"/>
      <c r="S153" s="15"/>
      <c r="T153" s="20"/>
      <c r="U153" s="17"/>
      <c r="V153" s="17">
        <f>SUM(L153:U153)</f>
        <v>94</v>
      </c>
      <c r="W153" s="15">
        <f ca="1">IFERROR(__xludf.DUMMYFUNCTION("IFERROR(
  SUM(
    FILTER(
      Reporte!$E:$E, 
      REGEXMATCH(Reporte!$A:$A, ""(?i)(TE PAGÓ|PAGASTE)""), 
      Reporte!$H:$H &amp; """" = AH153 &amp; """"
    )
  ), 
  0
)"),94)</f>
        <v>94</v>
      </c>
      <c r="X153" s="15">
        <f ca="1">IFERROR(__xludf.DUMMYFUNCTION("IFERROR(
  SUM(
    FILTER(
      Efectivo!$C:$C, 
      Efectivo!$D:$D &amp; """" = AH153 &amp; """"
    )
  ), 
  0
)"),0)</f>
        <v>0</v>
      </c>
      <c r="Y153" s="15" t="s">
        <v>34</v>
      </c>
      <c r="Z153" s="15"/>
      <c r="AA153" s="15" t="s">
        <v>35</v>
      </c>
      <c r="AB153" s="15" t="s">
        <v>213</v>
      </c>
      <c r="AC153" s="15"/>
      <c r="AD153" s="15" t="str">
        <f t="shared" si="13"/>
        <v/>
      </c>
      <c r="AE153" s="15" t="e">
        <f>IF(
   OR(
     AND(#REF!&gt;0, OR(Y153="C", Y153="c"), U153&lt;0),
     AND(#REF!&gt;0, Y153="")
   ),
   "CORTE",
   ""
)</f>
        <v>#REF!</v>
      </c>
      <c r="AF153" s="15">
        <f t="shared" si="1"/>
        <v>0</v>
      </c>
      <c r="AG153" s="15">
        <f t="shared" si="2"/>
        <v>94</v>
      </c>
      <c r="AH153" s="15" t="str">
        <f t="shared" si="14"/>
        <v>H</v>
      </c>
      <c r="AI153" s="15" t="str">
        <f t="shared" si="15"/>
        <v>H-13</v>
      </c>
    </row>
    <row r="154" spans="1:35" ht="15.75" customHeight="1" x14ac:dyDescent="0.35">
      <c r="A154" s="8">
        <v>153</v>
      </c>
      <c r="B154" s="9" t="s">
        <v>214</v>
      </c>
      <c r="C154" s="9" t="s">
        <v>201</v>
      </c>
      <c r="D154" s="8">
        <v>14</v>
      </c>
      <c r="E154" s="10"/>
      <c r="F154" s="10"/>
      <c r="G154" s="10"/>
      <c r="H154" s="11">
        <v>1</v>
      </c>
      <c r="I154" s="11">
        <v>22</v>
      </c>
      <c r="J154" s="11">
        <v>30</v>
      </c>
      <c r="K154" s="11">
        <v>8</v>
      </c>
      <c r="L154" s="11">
        <v>8</v>
      </c>
      <c r="M154" s="11"/>
      <c r="N154" s="11">
        <v>0</v>
      </c>
      <c r="O154" s="11"/>
      <c r="P154" s="11">
        <v>3</v>
      </c>
      <c r="Q154" s="11"/>
      <c r="R154" s="19"/>
      <c r="S154" s="10"/>
      <c r="T154" s="21"/>
      <c r="U154" s="12">
        <v>6</v>
      </c>
      <c r="V154" s="12">
        <f>SUM(L154:U154)</f>
        <v>17</v>
      </c>
      <c r="W154" s="10">
        <f ca="1">IFERROR(__xludf.DUMMYFUNCTION("IFERROR(
  SUM(
    FILTER(
      Reporte!$E:$E, 
      REGEXMATCH(Reporte!$A:$A, ""(?i)(TE PAGÓ|PAGASTE)""), 
      Reporte!$H:$H &amp; """" = AH154 &amp; """"
    )
  ), 
  0
)"),0)</f>
        <v>0</v>
      </c>
      <c r="X154" s="10">
        <f ca="1">IFERROR(__xludf.DUMMYFUNCTION("IFERROR(
  SUM(
    FILTER(
      Efectivo!$C:$C, 
      Efectivo!$D:$D &amp; """" = AH154 &amp; """"
    )
  ), 
  0
)"),17)</f>
        <v>17</v>
      </c>
      <c r="Y154" s="10" t="s">
        <v>34</v>
      </c>
      <c r="Z154" s="10"/>
      <c r="AA154" s="10"/>
      <c r="AB154" s="21" t="s">
        <v>215</v>
      </c>
      <c r="AC154" s="10"/>
      <c r="AD154" s="10" t="str">
        <f t="shared" si="13"/>
        <v/>
      </c>
      <c r="AE154" s="10" t="e">
        <f>IF(
   OR(
     AND(#REF!&gt;0, OR(Y154="C", Y154="c"), U154&lt;0),
     AND(#REF!&gt;0, Y154="")
   ),
   "CORTE",
   ""
)</f>
        <v>#REF!</v>
      </c>
      <c r="AF154" s="10">
        <f t="shared" si="1"/>
        <v>17</v>
      </c>
      <c r="AG154" s="10">
        <f t="shared" si="2"/>
        <v>0</v>
      </c>
      <c r="AH154" s="10" t="str">
        <f t="shared" si="14"/>
        <v>H</v>
      </c>
      <c r="AI154" s="10" t="str">
        <f t="shared" si="15"/>
        <v>H-14</v>
      </c>
    </row>
    <row r="155" spans="1:35" ht="15.75" customHeight="1" x14ac:dyDescent="0.35">
      <c r="A155" s="13">
        <v>154</v>
      </c>
      <c r="B155" s="14" t="s">
        <v>216</v>
      </c>
      <c r="C155" s="14" t="s">
        <v>201</v>
      </c>
      <c r="D155" s="13">
        <v>15</v>
      </c>
      <c r="E155" s="15"/>
      <c r="F155" s="15"/>
      <c r="G155" s="15"/>
      <c r="H155" s="16">
        <v>1</v>
      </c>
      <c r="I155" s="16">
        <v>1166</v>
      </c>
      <c r="J155" s="16">
        <v>1180</v>
      </c>
      <c r="K155" s="16">
        <v>14</v>
      </c>
      <c r="L155" s="16">
        <v>14</v>
      </c>
      <c r="M155" s="16"/>
      <c r="N155" s="16">
        <v>0</v>
      </c>
      <c r="O155" s="16"/>
      <c r="P155" s="16">
        <v>3</v>
      </c>
      <c r="Q155" s="16"/>
      <c r="R155" s="18"/>
      <c r="S155" s="15"/>
      <c r="T155" s="20"/>
      <c r="U155" s="17"/>
      <c r="V155" s="17">
        <f>SUM(L155:Q155)</f>
        <v>17</v>
      </c>
      <c r="W155" s="15">
        <f ca="1">IFERROR(__xludf.DUMMYFUNCTION("IFERROR(
  SUM(
    FILTER(
      Reporte!$E:$E, 
      REGEXMATCH(Reporte!$A:$A, ""(?i)(TE PAGÓ|PAGASTE)""), 
      Reporte!$H:$H &amp; """" = AH155 &amp; """"
    )
  ), 
  0
)"),17)</f>
        <v>17</v>
      </c>
      <c r="X155" s="15">
        <f ca="1">IFERROR(__xludf.DUMMYFUNCTION("IFERROR(
  SUM(
    FILTER(
      Efectivo!$C:$C, 
      Efectivo!$D:$D &amp; """" = AH155 &amp; """"
    )
  ), 
  0
)"),0)</f>
        <v>0</v>
      </c>
      <c r="Y155" s="15" t="s">
        <v>34</v>
      </c>
      <c r="Z155" s="15"/>
      <c r="AA155" s="15" t="s">
        <v>35</v>
      </c>
      <c r="AB155" s="15"/>
      <c r="AC155" s="15"/>
      <c r="AD155" s="15" t="str">
        <f t="shared" si="13"/>
        <v/>
      </c>
      <c r="AE155" s="15" t="e">
        <f>IF(
   OR(
     AND(#REF!&gt;0, OR(Y155="C", Y155="c"), U155&lt;0),
     AND(#REF!&gt;0, Y155="")
   ),
   "CORTE",
   ""
)</f>
        <v>#REF!</v>
      </c>
      <c r="AF155" s="15">
        <f t="shared" si="1"/>
        <v>0</v>
      </c>
      <c r="AG155" s="15">
        <f t="shared" si="2"/>
        <v>17</v>
      </c>
      <c r="AH155" s="15" t="str">
        <f t="shared" si="14"/>
        <v>H</v>
      </c>
      <c r="AI155" s="15" t="str">
        <f t="shared" si="15"/>
        <v>H-15</v>
      </c>
    </row>
    <row r="156" spans="1:35" ht="15.75" customHeight="1" x14ac:dyDescent="0.35">
      <c r="A156" s="8">
        <v>155</v>
      </c>
      <c r="B156" s="9" t="s">
        <v>217</v>
      </c>
      <c r="C156" s="9" t="s">
        <v>201</v>
      </c>
      <c r="D156" s="8">
        <v>16</v>
      </c>
      <c r="E156" s="10"/>
      <c r="F156" s="10"/>
      <c r="G156" s="10"/>
      <c r="H156" s="11">
        <v>1</v>
      </c>
      <c r="I156" s="11">
        <v>9</v>
      </c>
      <c r="J156" s="11">
        <v>17</v>
      </c>
      <c r="K156" s="11">
        <v>8</v>
      </c>
      <c r="L156" s="11">
        <v>8</v>
      </c>
      <c r="M156" s="11">
        <v>12</v>
      </c>
      <c r="N156" s="11">
        <v>0</v>
      </c>
      <c r="O156" s="11"/>
      <c r="P156" s="11"/>
      <c r="Q156" s="11"/>
      <c r="R156" s="19"/>
      <c r="S156" s="10"/>
      <c r="T156" s="21"/>
      <c r="U156" s="12"/>
      <c r="V156" s="12">
        <f>SUM(L156:U156)</f>
        <v>20</v>
      </c>
      <c r="W156" s="10">
        <f ca="1">IFERROR(__xludf.DUMMYFUNCTION("IFERROR(
  SUM(
    FILTER(
      Reporte!$E:$E, 
      REGEXMATCH(Reporte!$A:$A, ""(?i)(TE PAGÓ|PAGASTE)""), 
      Reporte!$H:$H &amp; """" = AH156 &amp; """"
    )
  ), 
  0
)"),0)</f>
        <v>0</v>
      </c>
      <c r="X156" s="10">
        <f ca="1">IFERROR(__xludf.DUMMYFUNCTION("IFERROR(
  SUM(
    FILTER(
      Efectivo!$C:$C, 
      Efectivo!$D:$D &amp; """" = AH156 &amp; """"
    )
  ), 
  0
)"),20)</f>
        <v>20</v>
      </c>
      <c r="Y156" s="10" t="s">
        <v>34</v>
      </c>
      <c r="Z156" s="10"/>
      <c r="AA156" s="10"/>
      <c r="AB156" s="10" t="s">
        <v>218</v>
      </c>
      <c r="AC156" s="10"/>
      <c r="AD156" s="10" t="str">
        <f t="shared" si="13"/>
        <v/>
      </c>
      <c r="AE156" s="10" t="e">
        <f>IF(
   OR(
     AND(#REF!&gt;0, OR(Y156="C", Y156="c"), U156&lt;0),
     AND(#REF!&gt;0, Y156="")
   ),
   "CORTE",
   ""
)</f>
        <v>#REF!</v>
      </c>
      <c r="AF156" s="10">
        <f t="shared" si="1"/>
        <v>20</v>
      </c>
      <c r="AG156" s="10">
        <f t="shared" si="2"/>
        <v>0</v>
      </c>
      <c r="AH156" s="10" t="str">
        <f t="shared" si="14"/>
        <v>H</v>
      </c>
      <c r="AI156" s="10" t="str">
        <f t="shared" si="15"/>
        <v>H-16</v>
      </c>
    </row>
    <row r="157" spans="1:35" ht="15.75" customHeight="1" x14ac:dyDescent="0.35">
      <c r="A157" s="13">
        <v>156</v>
      </c>
      <c r="B157" s="14" t="s">
        <v>219</v>
      </c>
      <c r="C157" s="14" t="s">
        <v>201</v>
      </c>
      <c r="D157" s="13">
        <v>17</v>
      </c>
      <c r="E157" s="15"/>
      <c r="F157" s="15"/>
      <c r="G157" s="15"/>
      <c r="H157" s="16">
        <v>1</v>
      </c>
      <c r="I157" s="16">
        <v>7</v>
      </c>
      <c r="J157" s="16">
        <v>27</v>
      </c>
      <c r="K157" s="16">
        <v>20</v>
      </c>
      <c r="L157" s="16">
        <v>20</v>
      </c>
      <c r="M157" s="16"/>
      <c r="N157" s="16">
        <v>40</v>
      </c>
      <c r="O157" s="16">
        <v>25</v>
      </c>
      <c r="P157" s="16">
        <v>3</v>
      </c>
      <c r="Q157" s="16"/>
      <c r="R157" s="18"/>
      <c r="S157" s="15"/>
      <c r="T157" s="20"/>
      <c r="U157" s="17"/>
      <c r="V157" s="17">
        <f>SUM(L157:Q157)</f>
        <v>88</v>
      </c>
      <c r="W157" s="15">
        <f ca="1">IFERROR(__xludf.DUMMYFUNCTION("IFERROR(
  SUM(
    FILTER(
      Reporte!$E:$E, 
      REGEXMATCH(Reporte!$A:$A, ""(?i)(TE PAGÓ|PAGASTE)""), 
      Reporte!$H:$H &amp; """" = AH157 &amp; """"
    )
  ), 
  0
)"),0)</f>
        <v>0</v>
      </c>
      <c r="X157" s="15">
        <f ca="1">IFERROR(__xludf.DUMMYFUNCTION("IFERROR(
  SUM(
    FILTER(
      Efectivo!$C:$C, 
      Efectivo!$D:$D &amp; """" = AH157 &amp; """"
    )
  ), 
  0
)"),0)</f>
        <v>0</v>
      </c>
      <c r="Y157" s="15"/>
      <c r="Z157" s="15"/>
      <c r="AA157" s="15"/>
      <c r="AB157" s="15"/>
      <c r="AC157" s="15"/>
      <c r="AD157" s="15" t="str">
        <f t="shared" si="13"/>
        <v/>
      </c>
      <c r="AE157" s="15" t="e">
        <f>IF(
   OR(
     AND(#REF!&gt;0, OR(Y157="C", Y157="c"), U157&lt;0),
     AND(#REF!&gt;0, Y157="")
   ),
   "CORTE",
   ""
)</f>
        <v>#REF!</v>
      </c>
      <c r="AF157" s="15">
        <f t="shared" si="1"/>
        <v>0</v>
      </c>
      <c r="AG157" s="15">
        <f t="shared" si="2"/>
        <v>0</v>
      </c>
      <c r="AH157" s="15" t="str">
        <f t="shared" si="14"/>
        <v>H</v>
      </c>
      <c r="AI157" s="15" t="str">
        <f t="shared" si="15"/>
        <v>H-17</v>
      </c>
    </row>
    <row r="158" spans="1:35" ht="15.75" customHeight="1" x14ac:dyDescent="0.35">
      <c r="A158" s="8">
        <v>157</v>
      </c>
      <c r="B158" s="9" t="s">
        <v>220</v>
      </c>
      <c r="C158" s="9" t="s">
        <v>201</v>
      </c>
      <c r="D158" s="8">
        <v>18</v>
      </c>
      <c r="E158" s="10"/>
      <c r="F158" s="10"/>
      <c r="G158" s="10"/>
      <c r="H158" s="11">
        <v>1</v>
      </c>
      <c r="I158" s="11">
        <v>4</v>
      </c>
      <c r="J158" s="11">
        <v>14</v>
      </c>
      <c r="K158" s="11">
        <v>10</v>
      </c>
      <c r="L158" s="11">
        <v>10</v>
      </c>
      <c r="M158" s="11"/>
      <c r="N158" s="11">
        <v>0</v>
      </c>
      <c r="O158" s="11">
        <v>25</v>
      </c>
      <c r="P158" s="11">
        <v>3</v>
      </c>
      <c r="Q158" s="11"/>
      <c r="R158" s="19"/>
      <c r="S158" s="10"/>
      <c r="T158" s="21"/>
      <c r="U158" s="12"/>
      <c r="V158" s="12">
        <f>SUM(L158:Q158)</f>
        <v>38</v>
      </c>
      <c r="W158" s="10">
        <f ca="1">IFERROR(__xludf.DUMMYFUNCTION("IFERROR(
  SUM(
    FILTER(
      Reporte!$E:$E, 
      REGEXMATCH(Reporte!$A:$A, ""(?i)(TE PAGÓ|PAGASTE)""), 
      Reporte!$H:$H &amp; """" = AH158 &amp; """"
    )
  ), 
  0
)"),0)</f>
        <v>0</v>
      </c>
      <c r="X158" s="10">
        <f ca="1">IFERROR(__xludf.DUMMYFUNCTION("IFERROR(
  SUM(
    FILTER(
      Efectivo!$C:$C, 
      Efectivo!$D:$D &amp; """" = AH158 &amp; """"
    )
  ), 
  0
)"),38)</f>
        <v>38</v>
      </c>
      <c r="Y158" s="10" t="s">
        <v>34</v>
      </c>
      <c r="Z158" s="10"/>
      <c r="AA158" s="10"/>
      <c r="AB158" s="10"/>
      <c r="AC158" s="10"/>
      <c r="AD158" s="10" t="str">
        <f t="shared" si="13"/>
        <v/>
      </c>
      <c r="AE158" s="10" t="e">
        <f>IF(
   OR(
     AND(#REF!&gt;0, OR(Y158="C", Y158="c"), U158&lt;0),
     AND(#REF!&gt;0, Y158="")
   ),
   "CORTE",
   ""
)</f>
        <v>#REF!</v>
      </c>
      <c r="AF158" s="10">
        <f t="shared" si="1"/>
        <v>38</v>
      </c>
      <c r="AG158" s="10">
        <f t="shared" si="2"/>
        <v>0</v>
      </c>
      <c r="AH158" s="10" t="str">
        <f t="shared" si="14"/>
        <v>H</v>
      </c>
      <c r="AI158" s="10" t="str">
        <f t="shared" si="15"/>
        <v>H-18</v>
      </c>
    </row>
    <row r="159" spans="1:35" ht="15.75" customHeight="1" x14ac:dyDescent="0.35">
      <c r="A159" s="13">
        <v>158</v>
      </c>
      <c r="B159" s="14" t="s">
        <v>221</v>
      </c>
      <c r="C159" s="14" t="s">
        <v>201</v>
      </c>
      <c r="D159" s="13">
        <v>19</v>
      </c>
      <c r="E159" s="15"/>
      <c r="F159" s="15"/>
      <c r="G159" s="15"/>
      <c r="H159" s="16">
        <v>1</v>
      </c>
      <c r="I159" s="16">
        <v>2</v>
      </c>
      <c r="J159" s="16">
        <v>7</v>
      </c>
      <c r="K159" s="16">
        <v>5</v>
      </c>
      <c r="L159" s="16">
        <v>5</v>
      </c>
      <c r="M159" s="16"/>
      <c r="N159" s="16">
        <v>0</v>
      </c>
      <c r="O159" s="16">
        <v>25</v>
      </c>
      <c r="P159" s="16">
        <v>3</v>
      </c>
      <c r="Q159" s="16"/>
      <c r="R159" s="18"/>
      <c r="S159" s="15"/>
      <c r="T159" s="20"/>
      <c r="U159" s="17"/>
      <c r="V159" s="17">
        <f>SUM(L159:U159)</f>
        <v>33</v>
      </c>
      <c r="W159" s="15">
        <f ca="1">IFERROR(__xludf.DUMMYFUNCTION("IFERROR(
  SUM(
    FILTER(
      Reporte!$E:$E, 
      REGEXMATCH(Reporte!$A:$A, ""(?i)(TE PAGÓ|PAGASTE)""), 
      Reporte!$H:$H &amp; """" = AH159 &amp; """"
    )
  ), 
  0
)"),0)</f>
        <v>0</v>
      </c>
      <c r="X159" s="15">
        <f ca="1">IFERROR(__xludf.DUMMYFUNCTION("IFERROR(
  SUM(
    FILTER(
      Efectivo!$C:$C, 
      Efectivo!$D:$D &amp; """" = AH159 &amp; """"
    )
  ), 
  0
)"),33)</f>
        <v>33</v>
      </c>
      <c r="Y159" s="15" t="s">
        <v>34</v>
      </c>
      <c r="Z159" s="15"/>
      <c r="AA159" s="15"/>
      <c r="AB159" s="15"/>
      <c r="AC159" s="15"/>
      <c r="AD159" s="15" t="str">
        <f t="shared" si="13"/>
        <v/>
      </c>
      <c r="AE159" s="15" t="e">
        <f>IF(
   OR(
     AND(#REF!&gt;0, OR(Y159="C", Y159="c"), U159&lt;0),
     AND(#REF!&gt;0, Y159="")
   ),
   "CORTE",
   ""
)</f>
        <v>#REF!</v>
      </c>
      <c r="AF159" s="15">
        <f t="shared" si="1"/>
        <v>33</v>
      </c>
      <c r="AG159" s="15">
        <f t="shared" si="2"/>
        <v>0</v>
      </c>
      <c r="AH159" s="15" t="str">
        <f t="shared" si="14"/>
        <v>H</v>
      </c>
      <c r="AI159" s="15" t="str">
        <f t="shared" si="15"/>
        <v>H-19</v>
      </c>
    </row>
    <row r="160" spans="1:35" ht="15.75" customHeight="1" x14ac:dyDescent="0.35">
      <c r="A160" s="8">
        <v>159</v>
      </c>
      <c r="B160" s="9" t="s">
        <v>222</v>
      </c>
      <c r="C160" s="9" t="s">
        <v>201</v>
      </c>
      <c r="D160" s="8">
        <v>20</v>
      </c>
      <c r="E160" s="10"/>
      <c r="F160" s="10"/>
      <c r="G160" s="10"/>
      <c r="H160" s="11">
        <v>1</v>
      </c>
      <c r="I160" s="11">
        <v>0</v>
      </c>
      <c r="J160" s="11">
        <v>0</v>
      </c>
      <c r="K160" s="11">
        <v>5</v>
      </c>
      <c r="L160" s="11">
        <v>5</v>
      </c>
      <c r="M160" s="11">
        <v>70</v>
      </c>
      <c r="N160" s="11">
        <v>0</v>
      </c>
      <c r="O160" s="11"/>
      <c r="P160" s="11">
        <v>3</v>
      </c>
      <c r="Q160" s="11"/>
      <c r="R160" s="19"/>
      <c r="S160" s="10"/>
      <c r="T160" s="21"/>
      <c r="U160" s="12"/>
      <c r="V160" s="12">
        <f t="shared" ref="V160:V167" si="17">SUM(L160:Q160)</f>
        <v>78</v>
      </c>
      <c r="W160" s="10">
        <f ca="1">IFERROR(__xludf.DUMMYFUNCTION("IFERROR(
  SUM(
    FILTER(
      Reporte!$E:$E, 
      REGEXMATCH(Reporte!$A:$A, ""(?i)(TE PAGÓ|PAGASTE)""), 
      Reporte!$H:$H &amp; """" = AH160 &amp; """"
    )
  ), 
  0
)"),0)</f>
        <v>0</v>
      </c>
      <c r="X160" s="10">
        <f ca="1">IFERROR(__xludf.DUMMYFUNCTION("IFERROR(
  SUM(
    FILTER(
      Efectivo!$C:$C, 
      Efectivo!$D:$D &amp; """" = AH160 &amp; """"
    )
  ), 
  0
)"),0)</f>
        <v>0</v>
      </c>
      <c r="Y160" s="10"/>
      <c r="Z160" s="10"/>
      <c r="AA160" s="10"/>
      <c r="AB160" s="10"/>
      <c r="AC160" s="10" t="s">
        <v>223</v>
      </c>
      <c r="AD160" s="10" t="str">
        <f t="shared" si="13"/>
        <v>CORTE</v>
      </c>
      <c r="AE160" s="10" t="e">
        <f>IF(
   OR(
     AND(#REF!&gt;0, OR(Y160="C", Y160="c"), U160&lt;0),
     AND(#REF!&gt;0, Y160="")
   ),
   "CORTE",
   ""
)</f>
        <v>#REF!</v>
      </c>
      <c r="AF160" s="10">
        <f t="shared" si="1"/>
        <v>0</v>
      </c>
      <c r="AG160" s="10">
        <f t="shared" si="2"/>
        <v>0</v>
      </c>
      <c r="AH160" s="10" t="str">
        <f t="shared" si="14"/>
        <v>H</v>
      </c>
      <c r="AI160" s="10" t="str">
        <f t="shared" si="15"/>
        <v>H-20</v>
      </c>
    </row>
    <row r="161" spans="1:35" ht="15.75" customHeight="1" x14ac:dyDescent="0.35">
      <c r="A161" s="13">
        <v>160</v>
      </c>
      <c r="B161" s="14" t="s">
        <v>224</v>
      </c>
      <c r="C161" s="14" t="s">
        <v>201</v>
      </c>
      <c r="D161" s="13">
        <v>21</v>
      </c>
      <c r="E161" s="15"/>
      <c r="F161" s="15"/>
      <c r="G161" s="15"/>
      <c r="H161" s="16">
        <v>1</v>
      </c>
      <c r="I161" s="16">
        <v>6</v>
      </c>
      <c r="J161" s="16">
        <v>22</v>
      </c>
      <c r="K161" s="16">
        <v>16</v>
      </c>
      <c r="L161" s="16">
        <v>16</v>
      </c>
      <c r="M161" s="16"/>
      <c r="N161" s="16">
        <v>0</v>
      </c>
      <c r="O161" s="16">
        <v>25</v>
      </c>
      <c r="P161" s="16">
        <v>3</v>
      </c>
      <c r="Q161" s="16"/>
      <c r="R161" s="18"/>
      <c r="S161" s="15"/>
      <c r="T161" s="20"/>
      <c r="U161" s="17"/>
      <c r="V161" s="17">
        <f t="shared" si="17"/>
        <v>44</v>
      </c>
      <c r="W161" s="15">
        <f ca="1">IFERROR(__xludf.DUMMYFUNCTION("IFERROR(
  SUM(
    FILTER(
      Reporte!$E:$E, 
      REGEXMATCH(Reporte!$A:$A, ""(?i)(TE PAGÓ|PAGASTE)""), 
      Reporte!$H:$H &amp; """" = AH161 &amp; """"
    )
  ), 
  0
)"),0)</f>
        <v>0</v>
      </c>
      <c r="X161" s="15">
        <f ca="1">IFERROR(__xludf.DUMMYFUNCTION("IFERROR(
  SUM(
    FILTER(
      Efectivo!$C:$C, 
      Efectivo!$D:$D &amp; """" = AH161 &amp; """"
    )
  ), 
  0
)"),0)</f>
        <v>0</v>
      </c>
      <c r="Y161" s="15"/>
      <c r="Z161" s="15"/>
      <c r="AA161" s="15"/>
      <c r="AB161" s="15"/>
      <c r="AC161" s="15"/>
      <c r="AD161" s="15" t="str">
        <f t="shared" si="13"/>
        <v/>
      </c>
      <c r="AE161" s="15" t="e">
        <f>IF(
   OR(
     AND(#REF!&gt;0, OR(Y161="C", Y161="c"), U161&lt;0),
     AND(#REF!&gt;0, Y161="")
   ),
   "CORTE",
   ""
)</f>
        <v>#REF!</v>
      </c>
      <c r="AF161" s="15">
        <f t="shared" si="1"/>
        <v>0</v>
      </c>
      <c r="AG161" s="15">
        <f t="shared" si="2"/>
        <v>0</v>
      </c>
      <c r="AH161" s="15" t="str">
        <f t="shared" si="14"/>
        <v>H</v>
      </c>
      <c r="AI161" s="15" t="str">
        <f t="shared" si="15"/>
        <v>H-21</v>
      </c>
    </row>
    <row r="162" spans="1:35" ht="15.75" customHeight="1" x14ac:dyDescent="0.35">
      <c r="A162" s="8">
        <v>161</v>
      </c>
      <c r="B162" s="9" t="s">
        <v>225</v>
      </c>
      <c r="C162" s="9" t="s">
        <v>201</v>
      </c>
      <c r="D162" s="8">
        <v>22</v>
      </c>
      <c r="E162" s="10"/>
      <c r="F162" s="10"/>
      <c r="G162" s="10"/>
      <c r="H162" s="11">
        <v>1</v>
      </c>
      <c r="I162" s="11">
        <v>2543</v>
      </c>
      <c r="J162" s="11">
        <v>2555</v>
      </c>
      <c r="K162" s="11">
        <v>12</v>
      </c>
      <c r="L162" s="11">
        <v>12</v>
      </c>
      <c r="M162" s="11"/>
      <c r="N162" s="11">
        <v>0</v>
      </c>
      <c r="O162" s="11"/>
      <c r="P162" s="11">
        <v>3</v>
      </c>
      <c r="Q162" s="11"/>
      <c r="R162" s="19"/>
      <c r="S162" s="10"/>
      <c r="T162" s="21"/>
      <c r="U162" s="12"/>
      <c r="V162" s="12">
        <f t="shared" si="17"/>
        <v>15</v>
      </c>
      <c r="W162" s="10">
        <f ca="1">IFERROR(__xludf.DUMMYFUNCTION("IFERROR(
  SUM(
    FILTER(
      Reporte!$E:$E, 
      REGEXMATCH(Reporte!$A:$A, ""(?i)(TE PAGÓ|PAGASTE)""), 
      Reporte!$H:$H &amp; """" = AH162 &amp; """"
    )
  ), 
  0
)"),0)</f>
        <v>0</v>
      </c>
      <c r="X162" s="10">
        <f ca="1">IFERROR(__xludf.DUMMYFUNCTION("IFERROR(
  SUM(
    FILTER(
      Efectivo!$C:$C, 
      Efectivo!$D:$D &amp; """" = AH162 &amp; """"
    )
  ), 
  0
)"),15)</f>
        <v>15</v>
      </c>
      <c r="Y162" s="10" t="s">
        <v>34</v>
      </c>
      <c r="Z162" s="10"/>
      <c r="AA162" s="10"/>
      <c r="AB162" s="10"/>
      <c r="AC162" s="10"/>
      <c r="AD162" s="10" t="str">
        <f t="shared" si="13"/>
        <v/>
      </c>
      <c r="AE162" s="10" t="e">
        <f>IF(
   OR(
     AND(#REF!&gt;0, OR(Y162="C", Y162="c"), U162&lt;0),
     AND(#REF!&gt;0, Y162="")
   ),
   "CORTE",
   ""
)</f>
        <v>#REF!</v>
      </c>
      <c r="AF162" s="10">
        <f t="shared" si="1"/>
        <v>15</v>
      </c>
      <c r="AG162" s="10">
        <f t="shared" si="2"/>
        <v>0</v>
      </c>
      <c r="AH162" s="10" t="str">
        <f t="shared" si="14"/>
        <v>H</v>
      </c>
      <c r="AI162" s="10" t="str">
        <f t="shared" si="15"/>
        <v>H-22</v>
      </c>
    </row>
    <row r="163" spans="1:35" ht="15.75" customHeight="1" x14ac:dyDescent="0.35">
      <c r="A163" s="13">
        <v>162</v>
      </c>
      <c r="B163" s="14" t="s">
        <v>226</v>
      </c>
      <c r="C163" s="14" t="s">
        <v>227</v>
      </c>
      <c r="D163" s="13">
        <v>1</v>
      </c>
      <c r="E163" s="15"/>
      <c r="F163" s="15"/>
      <c r="G163" s="15"/>
      <c r="H163" s="16">
        <v>1</v>
      </c>
      <c r="I163" s="16">
        <v>7</v>
      </c>
      <c r="J163" s="16">
        <v>20</v>
      </c>
      <c r="K163" s="16">
        <v>13</v>
      </c>
      <c r="L163" s="16">
        <v>13</v>
      </c>
      <c r="M163" s="16"/>
      <c r="N163" s="16">
        <v>0</v>
      </c>
      <c r="O163" s="16">
        <v>25</v>
      </c>
      <c r="P163" s="16">
        <v>3</v>
      </c>
      <c r="Q163" s="16"/>
      <c r="R163" s="18"/>
      <c r="S163" s="15"/>
      <c r="T163" s="20"/>
      <c r="U163" s="17"/>
      <c r="V163" s="17">
        <f t="shared" si="17"/>
        <v>41</v>
      </c>
      <c r="W163" s="15">
        <f ca="1">IFERROR(__xludf.DUMMYFUNCTION("IFERROR(
  SUM(
    FILTER(
      Reporte!$E:$E, 
      REGEXMATCH(Reporte!$A:$A, ""(?i)(TE PAGÓ|PAGASTE)""), 
      Reporte!$H:$H &amp; """" = AH163 &amp; """"
    )
  ), 
  0
)"),0)</f>
        <v>0</v>
      </c>
      <c r="X163" s="15">
        <f ca="1">IFERROR(__xludf.DUMMYFUNCTION("IFERROR(
  SUM(
    FILTER(
      Efectivo!$C:$C, 
      Efectivo!$D:$D &amp; """" = AH163 &amp; """"
    )
  ), 
  0
)"),41)</f>
        <v>41</v>
      </c>
      <c r="Y163" s="15" t="s">
        <v>34</v>
      </c>
      <c r="Z163" s="15"/>
      <c r="AA163" s="15"/>
      <c r="AB163" s="15"/>
      <c r="AC163" s="15"/>
      <c r="AD163" s="15" t="str">
        <f t="shared" si="13"/>
        <v/>
      </c>
      <c r="AE163" s="15" t="e">
        <f>IF(
   OR(
     AND(#REF!&gt;0, OR(Y163="C", Y163="c"), U163&lt;0),
     AND(#REF!&gt;0, Y163="")
   ),
   "CORTE",
   ""
)</f>
        <v>#REF!</v>
      </c>
      <c r="AF163" s="15">
        <f t="shared" si="1"/>
        <v>41</v>
      </c>
      <c r="AG163" s="15">
        <f t="shared" si="2"/>
        <v>0</v>
      </c>
      <c r="AH163" s="15" t="str">
        <f t="shared" si="14"/>
        <v>I</v>
      </c>
      <c r="AI163" s="15" t="str">
        <f t="shared" si="15"/>
        <v>I-1</v>
      </c>
    </row>
    <row r="164" spans="1:35" ht="15.75" customHeight="1" x14ac:dyDescent="0.35">
      <c r="A164" s="8">
        <v>163</v>
      </c>
      <c r="B164" s="9" t="s">
        <v>228</v>
      </c>
      <c r="C164" s="9" t="s">
        <v>227</v>
      </c>
      <c r="D164" s="8">
        <v>2</v>
      </c>
      <c r="E164" s="10"/>
      <c r="F164" s="10"/>
      <c r="G164" s="10"/>
      <c r="H164" s="11">
        <v>1</v>
      </c>
      <c r="I164" s="11">
        <v>552</v>
      </c>
      <c r="J164" s="11">
        <v>561</v>
      </c>
      <c r="K164" s="11">
        <v>9</v>
      </c>
      <c r="L164" s="11">
        <v>9</v>
      </c>
      <c r="M164" s="11"/>
      <c r="N164" s="11">
        <v>0</v>
      </c>
      <c r="O164" s="11"/>
      <c r="P164" s="11">
        <v>3</v>
      </c>
      <c r="Q164" s="11"/>
      <c r="R164" s="19"/>
      <c r="S164" s="10"/>
      <c r="T164" s="21"/>
      <c r="U164" s="12"/>
      <c r="V164" s="12">
        <f t="shared" si="17"/>
        <v>12</v>
      </c>
      <c r="W164" s="10">
        <f ca="1">IFERROR(__xludf.DUMMYFUNCTION("IFERROR(
  SUM(
    FILTER(
      Reporte!$E:$E, 
      REGEXMATCH(Reporte!$A:$A, ""(?i)(TE PAGÓ|PAGASTE)""), 
      Reporte!$H:$H &amp; """" = AH164 &amp; """"
    )
  ), 
  0
)"),12)</f>
        <v>12</v>
      </c>
      <c r="X164" s="10">
        <f ca="1">IFERROR(__xludf.DUMMYFUNCTION("IFERROR(
  SUM(
    FILTER(
      Efectivo!$C:$C, 
      Efectivo!$D:$D &amp; """" = AH164 &amp; """"
    )
  ), 
  0
)"),0)</f>
        <v>0</v>
      </c>
      <c r="Y164" s="10" t="s">
        <v>34</v>
      </c>
      <c r="Z164" s="10"/>
      <c r="AA164" s="10" t="s">
        <v>35</v>
      </c>
      <c r="AB164" s="10"/>
      <c r="AC164" s="10"/>
      <c r="AD164" s="10" t="str">
        <f t="shared" si="13"/>
        <v/>
      </c>
      <c r="AE164" s="10" t="e">
        <f>IF(
   OR(
     AND(#REF!&gt;0, OR(Y164="C", Y164="c"), U164&lt;0),
     AND(#REF!&gt;0, Y164="")
   ),
   "CORTE",
   ""
)</f>
        <v>#REF!</v>
      </c>
      <c r="AF164" s="10">
        <f t="shared" si="1"/>
        <v>0</v>
      </c>
      <c r="AG164" s="10">
        <f t="shared" si="2"/>
        <v>12</v>
      </c>
      <c r="AH164" s="10" t="str">
        <f t="shared" si="14"/>
        <v>I</v>
      </c>
      <c r="AI164" s="10" t="str">
        <f t="shared" si="15"/>
        <v>I-2</v>
      </c>
    </row>
    <row r="165" spans="1:35" ht="15.75" customHeight="1" x14ac:dyDescent="0.35">
      <c r="A165" s="13">
        <v>164</v>
      </c>
      <c r="B165" s="14" t="s">
        <v>229</v>
      </c>
      <c r="C165" s="14" t="s">
        <v>227</v>
      </c>
      <c r="D165" s="14" t="s">
        <v>230</v>
      </c>
      <c r="E165" s="15"/>
      <c r="F165" s="15"/>
      <c r="G165" s="15"/>
      <c r="H165" s="16">
        <v>1</v>
      </c>
      <c r="I165" s="16">
        <v>108</v>
      </c>
      <c r="J165" s="16">
        <v>111</v>
      </c>
      <c r="K165" s="16">
        <v>3</v>
      </c>
      <c r="L165" s="16">
        <v>5</v>
      </c>
      <c r="M165" s="16"/>
      <c r="N165" s="16">
        <v>0</v>
      </c>
      <c r="O165" s="16"/>
      <c r="P165" s="16">
        <v>3</v>
      </c>
      <c r="Q165" s="16"/>
      <c r="R165" s="18"/>
      <c r="S165" s="15"/>
      <c r="T165" s="20"/>
      <c r="U165" s="17"/>
      <c r="V165" s="17">
        <f t="shared" si="17"/>
        <v>8</v>
      </c>
      <c r="W165" s="15">
        <f ca="1">IFERROR(__xludf.DUMMYFUNCTION("IFERROR(
  SUM(
    FILTER(
      Reporte!$E:$E, 
      REGEXMATCH(Reporte!$A:$A, ""(?i)(TE PAGÓ|PAGASTE)""), 
      Reporte!$H:$H &amp; """" = AH165 &amp; """"
    )
  ), 
  0
)"),8)</f>
        <v>8</v>
      </c>
      <c r="X165" s="15">
        <f ca="1">IFERROR(__xludf.DUMMYFUNCTION("IFERROR(
  SUM(
    FILTER(
      Efectivo!$C:$C, 
      Efectivo!$D:$D &amp; """" = AH165 &amp; """"
    )
  ), 
  0
)"),0)</f>
        <v>0</v>
      </c>
      <c r="Y165" s="15" t="s">
        <v>34</v>
      </c>
      <c r="Z165" s="15"/>
      <c r="AA165" s="15" t="s">
        <v>35</v>
      </c>
      <c r="AB165" s="15"/>
      <c r="AC165" s="15"/>
      <c r="AD165" s="15" t="str">
        <f t="shared" si="13"/>
        <v/>
      </c>
      <c r="AE165" s="15" t="e">
        <f>IF(
   OR(
     AND(#REF!&gt;0, OR(Y165="C", Y165="c"), U165&lt;0),
     AND(#REF!&gt;0, Y165="")
   ),
   "CORTE",
   ""
)</f>
        <v>#REF!</v>
      </c>
      <c r="AF165" s="15">
        <f t="shared" si="1"/>
        <v>0</v>
      </c>
      <c r="AG165" s="15">
        <f t="shared" si="2"/>
        <v>8</v>
      </c>
      <c r="AH165" s="15" t="str">
        <f t="shared" si="14"/>
        <v>I</v>
      </c>
      <c r="AI165" s="15" t="str">
        <f t="shared" si="15"/>
        <v>I-2B</v>
      </c>
    </row>
    <row r="166" spans="1:35" ht="15.75" customHeight="1" x14ac:dyDescent="0.35">
      <c r="A166" s="8">
        <v>165</v>
      </c>
      <c r="B166" s="9" t="s">
        <v>231</v>
      </c>
      <c r="C166" s="9" t="s">
        <v>227</v>
      </c>
      <c r="D166" s="8">
        <v>3</v>
      </c>
      <c r="E166" s="10"/>
      <c r="F166" s="10"/>
      <c r="G166" s="10"/>
      <c r="H166" s="11">
        <v>1</v>
      </c>
      <c r="I166" s="11">
        <v>1985</v>
      </c>
      <c r="J166" s="11">
        <v>2005</v>
      </c>
      <c r="K166" s="11">
        <v>20</v>
      </c>
      <c r="L166" s="11">
        <v>20</v>
      </c>
      <c r="M166" s="11"/>
      <c r="N166" s="11">
        <v>0</v>
      </c>
      <c r="O166" s="11"/>
      <c r="P166" s="11">
        <v>3</v>
      </c>
      <c r="Q166" s="11"/>
      <c r="R166" s="19"/>
      <c r="S166" s="10"/>
      <c r="T166" s="21"/>
      <c r="U166" s="12"/>
      <c r="V166" s="12">
        <f t="shared" si="17"/>
        <v>23</v>
      </c>
      <c r="W166" s="10">
        <f ca="1">IFERROR(__xludf.DUMMYFUNCTION("IFERROR(
  SUM(
    FILTER(
      Reporte!$E:$E, 
      REGEXMATCH(Reporte!$A:$A, ""(?i)(TE PAGÓ|PAGASTE)""), 
      Reporte!$H:$H &amp; """" = AH166 &amp; """"
    )
  ), 
  0
)"),0)</f>
        <v>0</v>
      </c>
      <c r="X166" s="10">
        <f ca="1">IFERROR(__xludf.DUMMYFUNCTION("IFERROR(
  SUM(
    FILTER(
      Efectivo!$C:$C, 
      Efectivo!$D:$D &amp; """" = AH166 &amp; """"
    )
  ), 
  0
)"),0)</f>
        <v>0</v>
      </c>
      <c r="Y166" s="10"/>
      <c r="Z166" s="10"/>
      <c r="AA166" s="10"/>
      <c r="AB166" s="10"/>
      <c r="AC166" s="10"/>
      <c r="AD166" s="10" t="str">
        <f t="shared" si="13"/>
        <v/>
      </c>
      <c r="AE166" s="10" t="e">
        <f>IF(
   OR(
     AND(#REF!&gt;0, OR(Y166="C", Y166="c"), U166&lt;0),
     AND(#REF!&gt;0, Y166="")
   ),
   "CORTE",
   ""
)</f>
        <v>#REF!</v>
      </c>
      <c r="AF166" s="10">
        <f t="shared" si="1"/>
        <v>0</v>
      </c>
      <c r="AG166" s="10">
        <f t="shared" si="2"/>
        <v>0</v>
      </c>
      <c r="AH166" s="10" t="str">
        <f t="shared" si="14"/>
        <v>I</v>
      </c>
      <c r="AI166" s="10" t="str">
        <f t="shared" si="15"/>
        <v>I-3</v>
      </c>
    </row>
    <row r="167" spans="1:35" ht="15.75" customHeight="1" x14ac:dyDescent="0.35">
      <c r="A167" s="13">
        <v>166</v>
      </c>
      <c r="B167" s="14" t="s">
        <v>232</v>
      </c>
      <c r="C167" s="14" t="s">
        <v>227</v>
      </c>
      <c r="D167" s="13">
        <v>4</v>
      </c>
      <c r="E167" s="15"/>
      <c r="F167" s="15"/>
      <c r="G167" s="15"/>
      <c r="H167" s="16">
        <v>1</v>
      </c>
      <c r="I167" s="16">
        <v>680</v>
      </c>
      <c r="J167" s="16">
        <v>684</v>
      </c>
      <c r="K167" s="16">
        <v>4</v>
      </c>
      <c r="L167" s="16">
        <v>5</v>
      </c>
      <c r="M167" s="16"/>
      <c r="N167" s="16">
        <v>0</v>
      </c>
      <c r="O167" s="16"/>
      <c r="P167" s="16">
        <v>3</v>
      </c>
      <c r="Q167" s="16"/>
      <c r="R167" s="18"/>
      <c r="S167" s="15"/>
      <c r="T167" s="20"/>
      <c r="U167" s="17"/>
      <c r="V167" s="17">
        <f t="shared" si="17"/>
        <v>8</v>
      </c>
      <c r="W167" s="15">
        <f ca="1">IFERROR(__xludf.DUMMYFUNCTION("IFERROR(
  SUM(
    FILTER(
      Reporte!$E:$E, 
      REGEXMATCH(Reporte!$A:$A, ""(?i)(TE PAGÓ|PAGASTE)""), 
      Reporte!$H:$H &amp; """" = AH167 &amp; """"
    )
  ), 
  0
)"),0)</f>
        <v>0</v>
      </c>
      <c r="X167" s="15">
        <f ca="1">IFERROR(__xludf.DUMMYFUNCTION("IFERROR(
  SUM(
    FILTER(
      Efectivo!$C:$C, 
      Efectivo!$D:$D &amp; """" = AH167 &amp; """"
    )
  ), 
  0
)"),0)</f>
        <v>0</v>
      </c>
      <c r="Y167" s="15"/>
      <c r="Z167" s="15"/>
      <c r="AA167" s="15"/>
      <c r="AB167" s="15"/>
      <c r="AC167" s="15"/>
      <c r="AD167" s="15" t="str">
        <f t="shared" si="13"/>
        <v/>
      </c>
      <c r="AE167" s="15" t="e">
        <f>IF(
   OR(
     AND(#REF!&gt;0, OR(Y167="C", Y167="c"), U167&lt;0),
     AND(#REF!&gt;0, Y167="")
   ),
   "CORTE",
   ""
)</f>
        <v>#REF!</v>
      </c>
      <c r="AF167" s="15">
        <f t="shared" si="1"/>
        <v>0</v>
      </c>
      <c r="AG167" s="15">
        <f t="shared" si="2"/>
        <v>0</v>
      </c>
      <c r="AH167" s="15" t="str">
        <f t="shared" si="14"/>
        <v>I</v>
      </c>
      <c r="AI167" s="15" t="str">
        <f t="shared" si="15"/>
        <v>I-4</v>
      </c>
    </row>
    <row r="168" spans="1:35" ht="15.75" customHeight="1" x14ac:dyDescent="0.35">
      <c r="A168" s="8">
        <v>167</v>
      </c>
      <c r="B168" s="9" t="s">
        <v>233</v>
      </c>
      <c r="C168" s="9" t="s">
        <v>227</v>
      </c>
      <c r="D168" s="8">
        <v>5</v>
      </c>
      <c r="E168" s="10"/>
      <c r="F168" s="11">
        <v>1</v>
      </c>
      <c r="G168" s="10"/>
      <c r="H168" s="11">
        <v>1</v>
      </c>
      <c r="I168" s="11">
        <v>3337</v>
      </c>
      <c r="J168" s="11">
        <v>3368</v>
      </c>
      <c r="K168" s="11">
        <v>31</v>
      </c>
      <c r="L168" s="11">
        <v>31</v>
      </c>
      <c r="M168" s="11"/>
      <c r="N168" s="11">
        <v>0</v>
      </c>
      <c r="O168" s="11"/>
      <c r="P168" s="11">
        <v>3</v>
      </c>
      <c r="Q168" s="11"/>
      <c r="R168" s="19"/>
      <c r="S168" s="10"/>
      <c r="T168" s="21"/>
      <c r="U168" s="12"/>
      <c r="V168" s="12">
        <f>SUM(L168:U168)</f>
        <v>34</v>
      </c>
      <c r="W168" s="10">
        <f ca="1">IFERROR(__xludf.DUMMYFUNCTION("IFERROR(
  SUM(
    FILTER(
      Reporte!$E:$E, 
      REGEXMATCH(Reporte!$A:$A, ""(?i)(TE PAGÓ|PAGASTE)""), 
      Reporte!$H:$H &amp; """" = AH168 &amp; """"
    )
  ), 
  0
)"),0)</f>
        <v>0</v>
      </c>
      <c r="X168" s="10">
        <f ca="1">IFERROR(__xludf.DUMMYFUNCTION("IFERROR(
  SUM(
    FILTER(
      Efectivo!$C:$C, 
      Efectivo!$D:$D &amp; """" = AH168 &amp; """"
    )
  ), 
  0
)"),34)</f>
        <v>34</v>
      </c>
      <c r="Y168" s="10" t="s">
        <v>34</v>
      </c>
      <c r="Z168" s="10"/>
      <c r="AA168" s="10"/>
      <c r="AB168" s="10"/>
      <c r="AC168" s="10"/>
      <c r="AD168" s="10" t="str">
        <f t="shared" si="13"/>
        <v/>
      </c>
      <c r="AE168" s="10" t="e">
        <f>IF(
   OR(
     AND(#REF!&gt;0, OR(Y168="C", Y168="c"), U168&lt;0),
     AND(#REF!&gt;0, Y168="")
   ),
   "CORTE",
   ""
)</f>
        <v>#REF!</v>
      </c>
      <c r="AF168" s="10">
        <f t="shared" si="1"/>
        <v>34</v>
      </c>
      <c r="AG168" s="10">
        <f t="shared" si="2"/>
        <v>0</v>
      </c>
      <c r="AH168" s="10" t="str">
        <f t="shared" si="14"/>
        <v>I</v>
      </c>
      <c r="AI168" s="10" t="str">
        <f t="shared" si="15"/>
        <v>I-5</v>
      </c>
    </row>
    <row r="169" spans="1:35" ht="15.75" customHeight="1" x14ac:dyDescent="0.35">
      <c r="A169" s="13">
        <v>168</v>
      </c>
      <c r="B169" s="14" t="s">
        <v>234</v>
      </c>
      <c r="C169" s="14" t="s">
        <v>227</v>
      </c>
      <c r="D169" s="13">
        <v>6</v>
      </c>
      <c r="E169" s="15"/>
      <c r="F169" s="15"/>
      <c r="G169" s="15"/>
      <c r="H169" s="16">
        <v>1</v>
      </c>
      <c r="I169" s="16">
        <v>449</v>
      </c>
      <c r="J169" s="16">
        <v>466</v>
      </c>
      <c r="K169" s="16">
        <v>17</v>
      </c>
      <c r="L169" s="16">
        <v>17</v>
      </c>
      <c r="M169" s="16"/>
      <c r="N169" s="16">
        <v>0</v>
      </c>
      <c r="O169" s="16"/>
      <c r="P169" s="16">
        <v>3</v>
      </c>
      <c r="Q169" s="16"/>
      <c r="R169" s="18"/>
      <c r="S169" s="15"/>
      <c r="T169" s="20"/>
      <c r="U169" s="17"/>
      <c r="V169" s="17">
        <f>SUM(L169:Q169)</f>
        <v>20</v>
      </c>
      <c r="W169" s="15">
        <f ca="1">IFERROR(__xludf.DUMMYFUNCTION("IFERROR(
  SUM(
    FILTER(
      Reporte!$E:$E, 
      REGEXMATCH(Reporte!$A:$A, ""(?i)(TE PAGÓ|PAGASTE)""), 
      Reporte!$H:$H &amp; """" = AH169 &amp; """"
    )
  ), 
  0
)"),0)</f>
        <v>0</v>
      </c>
      <c r="X169" s="15">
        <f ca="1">IFERROR(__xludf.DUMMYFUNCTION("IFERROR(
  SUM(
    FILTER(
      Efectivo!$C:$C, 
      Efectivo!$D:$D &amp; """" = AH169 &amp; """"
    )
  ), 
  0
)"),0)</f>
        <v>0</v>
      </c>
      <c r="Y169" s="15"/>
      <c r="Z169" s="15"/>
      <c r="AA169" s="15"/>
      <c r="AB169" s="15"/>
      <c r="AC169" s="15"/>
      <c r="AD169" s="15" t="str">
        <f t="shared" si="13"/>
        <v/>
      </c>
      <c r="AE169" s="15" t="e">
        <f>IF(
   OR(
     AND(#REF!&gt;0, OR(Y169="C", Y169="c"), U169&lt;0),
     AND(#REF!&gt;0, Y169="")
   ),
   "CORTE",
   ""
)</f>
        <v>#REF!</v>
      </c>
      <c r="AF169" s="15">
        <f t="shared" si="1"/>
        <v>0</v>
      </c>
      <c r="AG169" s="15">
        <f t="shared" si="2"/>
        <v>0</v>
      </c>
      <c r="AH169" s="15" t="str">
        <f t="shared" si="14"/>
        <v>I</v>
      </c>
      <c r="AI169" s="15" t="str">
        <f t="shared" si="15"/>
        <v>I-6</v>
      </c>
    </row>
    <row r="170" spans="1:35" ht="15.75" customHeight="1" x14ac:dyDescent="0.35">
      <c r="A170" s="8">
        <v>169</v>
      </c>
      <c r="B170" s="9" t="s">
        <v>235</v>
      </c>
      <c r="C170" s="9" t="s">
        <v>227</v>
      </c>
      <c r="D170" s="8">
        <v>7</v>
      </c>
      <c r="E170" s="10"/>
      <c r="F170" s="10"/>
      <c r="G170" s="10"/>
      <c r="H170" s="11">
        <v>1</v>
      </c>
      <c r="I170" s="11">
        <v>563</v>
      </c>
      <c r="J170" s="11">
        <v>576</v>
      </c>
      <c r="K170" s="11">
        <v>13</v>
      </c>
      <c r="L170" s="11">
        <v>13</v>
      </c>
      <c r="M170" s="11"/>
      <c r="N170" s="11">
        <v>0</v>
      </c>
      <c r="O170" s="11"/>
      <c r="P170" s="11">
        <v>3</v>
      </c>
      <c r="Q170" s="11"/>
      <c r="R170" s="19"/>
      <c r="S170" s="10"/>
      <c r="T170" s="21"/>
      <c r="U170" s="12"/>
      <c r="V170" s="12">
        <f>SUM(L170:Q170)</f>
        <v>16</v>
      </c>
      <c r="W170" s="10">
        <f ca="1">IFERROR(__xludf.DUMMYFUNCTION("IFERROR(
  SUM(
    FILTER(
      Reporte!$E:$E, 
      REGEXMATCH(Reporte!$A:$A, ""(?i)(TE PAGÓ|PAGASTE)""), 
      Reporte!$H:$H &amp; """" = AH170 &amp; """"
    )
  ), 
  0
)"),16)</f>
        <v>16</v>
      </c>
      <c r="X170" s="10">
        <f ca="1">IFERROR(__xludf.DUMMYFUNCTION("IFERROR(
  SUM(
    FILTER(
      Efectivo!$C:$C, 
      Efectivo!$D:$D &amp; """" = AH170 &amp; """"
    )
  ), 
  0
)"),0)</f>
        <v>0</v>
      </c>
      <c r="Y170" s="21" t="s">
        <v>34</v>
      </c>
      <c r="Z170" s="10"/>
      <c r="AA170" s="21" t="s">
        <v>35</v>
      </c>
      <c r="AB170" s="10"/>
      <c r="AC170" s="10"/>
      <c r="AD170" s="10" t="str">
        <f t="shared" si="13"/>
        <v/>
      </c>
      <c r="AE170" s="10" t="e">
        <f>IF(
   OR(
     AND(#REF!&gt;0, OR(Y170="C", Y170="c"), U170&lt;0),
     AND(#REF!&gt;0, Y170="")
   ),
   "CORTE",
   ""
)</f>
        <v>#REF!</v>
      </c>
      <c r="AF170" s="10">
        <f t="shared" si="1"/>
        <v>0</v>
      </c>
      <c r="AG170" s="10">
        <f t="shared" si="2"/>
        <v>16</v>
      </c>
      <c r="AH170" s="10" t="str">
        <f t="shared" si="14"/>
        <v>I</v>
      </c>
      <c r="AI170" s="10" t="str">
        <f t="shared" si="15"/>
        <v>I-7</v>
      </c>
    </row>
    <row r="171" spans="1:35" ht="15.75" customHeight="1" x14ac:dyDescent="0.35">
      <c r="A171" s="13">
        <v>170</v>
      </c>
      <c r="B171" s="14" t="s">
        <v>236</v>
      </c>
      <c r="C171" s="14" t="s">
        <v>227</v>
      </c>
      <c r="D171" s="13">
        <v>8</v>
      </c>
      <c r="E171" s="15"/>
      <c r="F171" s="16">
        <v>1</v>
      </c>
      <c r="G171" s="15"/>
      <c r="H171" s="16">
        <v>1</v>
      </c>
      <c r="I171" s="16">
        <v>0</v>
      </c>
      <c r="J171" s="16">
        <v>1</v>
      </c>
      <c r="K171" s="16">
        <v>1</v>
      </c>
      <c r="L171" s="16">
        <v>5</v>
      </c>
      <c r="M171" s="16"/>
      <c r="N171" s="16">
        <v>0</v>
      </c>
      <c r="O171" s="16"/>
      <c r="P171" s="16">
        <v>3</v>
      </c>
      <c r="Q171" s="16"/>
      <c r="R171" s="18"/>
      <c r="S171" s="15"/>
      <c r="T171" s="20"/>
      <c r="U171" s="17"/>
      <c r="V171" s="17">
        <f>SUM(L171:Q171)</f>
        <v>8</v>
      </c>
      <c r="W171" s="15">
        <f ca="1">IFERROR(__xludf.DUMMYFUNCTION("IFERROR(
  SUM(
    FILTER(
      Reporte!$E:$E, 
      REGEXMATCH(Reporte!$A:$A, ""(?i)(TE PAGÓ|PAGASTE)""), 
      Reporte!$H:$H &amp; """" = AH171 &amp; """"
    )
  ), 
  0
)"),0)</f>
        <v>0</v>
      </c>
      <c r="X171" s="15">
        <f ca="1">IFERROR(__xludf.DUMMYFUNCTION("IFERROR(
  SUM(
    FILTER(
      Efectivo!$C:$C, 
      Efectivo!$D:$D &amp; """" = AH171 &amp; """"
    )
  ), 
  0
)"),0)</f>
        <v>0</v>
      </c>
      <c r="Y171" s="15"/>
      <c r="Z171" s="15"/>
      <c r="AA171" s="15"/>
      <c r="AB171" s="15"/>
      <c r="AC171" s="15"/>
      <c r="AD171" s="15" t="str">
        <f t="shared" si="13"/>
        <v/>
      </c>
      <c r="AE171" s="15" t="e">
        <f>IF(
   OR(
     AND(#REF!&gt;0, OR(Y171="C", Y171="c"), U171&lt;0),
     AND(#REF!&gt;0, Y171="")
   ),
   "CORTE",
   ""
)</f>
        <v>#REF!</v>
      </c>
      <c r="AF171" s="15">
        <f t="shared" si="1"/>
        <v>0</v>
      </c>
      <c r="AG171" s="15">
        <f t="shared" si="2"/>
        <v>0</v>
      </c>
      <c r="AH171" s="15" t="str">
        <f t="shared" si="14"/>
        <v>I</v>
      </c>
      <c r="AI171" s="15" t="str">
        <f t="shared" si="15"/>
        <v>I-8</v>
      </c>
    </row>
    <row r="172" spans="1:35" ht="15.75" customHeight="1" x14ac:dyDescent="0.35">
      <c r="A172" s="8">
        <v>171</v>
      </c>
      <c r="B172" s="9" t="s">
        <v>237</v>
      </c>
      <c r="C172" s="9" t="s">
        <v>227</v>
      </c>
      <c r="D172" s="8">
        <v>9</v>
      </c>
      <c r="E172" s="10"/>
      <c r="F172" s="10"/>
      <c r="G172" s="10"/>
      <c r="H172" s="11">
        <v>1</v>
      </c>
      <c r="I172" s="11">
        <v>488</v>
      </c>
      <c r="J172" s="11">
        <v>494</v>
      </c>
      <c r="K172" s="11">
        <v>6</v>
      </c>
      <c r="L172" s="11">
        <v>6</v>
      </c>
      <c r="M172" s="11"/>
      <c r="N172" s="11">
        <v>0</v>
      </c>
      <c r="O172" s="11"/>
      <c r="P172" s="11">
        <v>3</v>
      </c>
      <c r="Q172" s="11"/>
      <c r="R172" s="19"/>
      <c r="S172" s="10"/>
      <c r="T172" s="21"/>
      <c r="U172" s="12"/>
      <c r="V172" s="12">
        <f>SUM(L172:Q172)</f>
        <v>9</v>
      </c>
      <c r="W172" s="10">
        <f ca="1">IFERROR(__xludf.DUMMYFUNCTION("IFERROR(
  SUM(
    FILTER(
      Reporte!$E:$E, 
      REGEXMATCH(Reporte!$A:$A, ""(?i)(TE PAGÓ|PAGASTE)""), 
      Reporte!$H:$H &amp; """" = AH172 &amp; """"
    )
  ), 
  0
)"),0)</f>
        <v>0</v>
      </c>
      <c r="X172" s="10">
        <f ca="1">IFERROR(__xludf.DUMMYFUNCTION("IFERROR(
  SUM(
    FILTER(
      Efectivo!$C:$C, 
      Efectivo!$D:$D &amp; """" = AH172 &amp; """"
    )
  ), 
  0
)"),9)</f>
        <v>9</v>
      </c>
      <c r="Y172" s="10" t="s">
        <v>34</v>
      </c>
      <c r="Z172" s="10"/>
      <c r="AA172" s="10"/>
      <c r="AB172" s="10"/>
      <c r="AC172" s="10"/>
      <c r="AD172" s="10" t="str">
        <f t="shared" si="13"/>
        <v/>
      </c>
      <c r="AE172" s="10" t="e">
        <f>IF(
   OR(
     AND(#REF!&gt;0, OR(Y172="C", Y172="c"), U172&lt;0),
     AND(#REF!&gt;0, Y172="")
   ),
   "CORTE",
   ""
)</f>
        <v>#REF!</v>
      </c>
      <c r="AF172" s="10">
        <f t="shared" si="1"/>
        <v>9</v>
      </c>
      <c r="AG172" s="10">
        <f t="shared" si="2"/>
        <v>0</v>
      </c>
      <c r="AH172" s="10" t="str">
        <f t="shared" si="14"/>
        <v>I</v>
      </c>
      <c r="AI172" s="10" t="str">
        <f t="shared" si="15"/>
        <v>I-9</v>
      </c>
    </row>
    <row r="173" spans="1:35" ht="15.75" customHeight="1" x14ac:dyDescent="0.35">
      <c r="A173" s="13">
        <v>172</v>
      </c>
      <c r="B173" s="14" t="s">
        <v>238</v>
      </c>
      <c r="C173" s="14" t="s">
        <v>227</v>
      </c>
      <c r="D173" s="13">
        <v>10</v>
      </c>
      <c r="E173" s="15"/>
      <c r="F173" s="15"/>
      <c r="G173" s="15"/>
      <c r="H173" s="16">
        <v>1</v>
      </c>
      <c r="I173" s="16">
        <v>63</v>
      </c>
      <c r="J173" s="16">
        <v>69</v>
      </c>
      <c r="K173" s="16">
        <v>6</v>
      </c>
      <c r="L173" s="16">
        <v>6</v>
      </c>
      <c r="M173" s="16">
        <v>20</v>
      </c>
      <c r="N173" s="16">
        <v>20</v>
      </c>
      <c r="O173" s="16"/>
      <c r="P173" s="16">
        <v>3</v>
      </c>
      <c r="Q173" s="16"/>
      <c r="R173" s="18"/>
      <c r="S173" s="15"/>
      <c r="T173" s="20"/>
      <c r="U173" s="17">
        <v>-20</v>
      </c>
      <c r="V173" s="17">
        <f>SUM(L173:U173)</f>
        <v>29</v>
      </c>
      <c r="W173" s="15">
        <f ca="1">IFERROR(__xludf.DUMMYFUNCTION("IFERROR(
  SUM(
    FILTER(
      Reporte!$E:$E, 
      REGEXMATCH(Reporte!$A:$A, ""(?i)(TE PAGÓ|PAGASTE)""), 
      Reporte!$H:$H &amp; """" = AH173 &amp; """"
    )
  ), 
  0
)"),29)</f>
        <v>29</v>
      </c>
      <c r="X173" s="15">
        <f ca="1">IFERROR(__xludf.DUMMYFUNCTION("IFERROR(
  SUM(
    FILTER(
      Efectivo!$C:$C, 
      Efectivo!$D:$D &amp; """" = AH173 &amp; """"
    )
  ), 
  0
)"),0)</f>
        <v>0</v>
      </c>
      <c r="Y173" s="15" t="s">
        <v>34</v>
      </c>
      <c r="Z173" s="15"/>
      <c r="AA173" s="15" t="s">
        <v>35</v>
      </c>
      <c r="AB173" s="15"/>
      <c r="AC173" s="15"/>
      <c r="AD173" s="15" t="str">
        <f t="shared" si="13"/>
        <v/>
      </c>
      <c r="AE173" s="15" t="e">
        <f>IF(
   OR(
     AND(#REF!&gt;0, OR(Y173="C", Y173="c"), U173&lt;0),
     AND(#REF!&gt;0, Y173="")
   ),
   "CORTE",
   ""
)</f>
        <v>#REF!</v>
      </c>
      <c r="AF173" s="15">
        <f t="shared" si="1"/>
        <v>0</v>
      </c>
      <c r="AG173" s="15">
        <f t="shared" si="2"/>
        <v>29</v>
      </c>
      <c r="AH173" s="15" t="str">
        <f t="shared" si="14"/>
        <v>I</v>
      </c>
      <c r="AI173" s="15" t="str">
        <f t="shared" si="15"/>
        <v>I-10</v>
      </c>
    </row>
    <row r="174" spans="1:35" ht="15.75" customHeight="1" x14ac:dyDescent="0.35">
      <c r="A174" s="8">
        <v>173</v>
      </c>
      <c r="B174" s="9" t="s">
        <v>239</v>
      </c>
      <c r="C174" s="9" t="s">
        <v>227</v>
      </c>
      <c r="D174" s="8">
        <v>11</v>
      </c>
      <c r="E174" s="10"/>
      <c r="F174" s="10"/>
      <c r="G174" s="10"/>
      <c r="H174" s="11">
        <v>1</v>
      </c>
      <c r="I174" s="11">
        <v>2</v>
      </c>
      <c r="J174" s="11">
        <v>21</v>
      </c>
      <c r="K174" s="11">
        <v>19</v>
      </c>
      <c r="L174" s="11">
        <v>19</v>
      </c>
      <c r="M174" s="11">
        <v>18</v>
      </c>
      <c r="N174" s="11">
        <v>0</v>
      </c>
      <c r="O174" s="11">
        <v>25</v>
      </c>
      <c r="P174" s="11">
        <v>3</v>
      </c>
      <c r="Q174" s="11"/>
      <c r="R174" s="19"/>
      <c r="S174" s="10"/>
      <c r="T174" s="21"/>
      <c r="U174" s="12"/>
      <c r="V174" s="12">
        <f>SUM(L174:Q174)</f>
        <v>65</v>
      </c>
      <c r="W174" s="10">
        <f ca="1">IFERROR(__xludf.DUMMYFUNCTION("IFERROR(
  SUM(
    FILTER(
      Reporte!$E:$E, 
      REGEXMATCH(Reporte!$A:$A, ""(?i)(TE PAGÓ|PAGASTE)""), 
      Reporte!$H:$H &amp; """" = AH174 &amp; """"
    )
  ), 
  0
)"),65)</f>
        <v>65</v>
      </c>
      <c r="X174" s="10">
        <f ca="1">IFERROR(__xludf.DUMMYFUNCTION("IFERROR(
  SUM(
    FILTER(
      Efectivo!$C:$C, 
      Efectivo!$D:$D &amp; """" = AH174 &amp; """"
    )
  ), 
  0
)"),0)</f>
        <v>0</v>
      </c>
      <c r="Y174" s="10" t="s">
        <v>34</v>
      </c>
      <c r="Z174" s="10"/>
      <c r="AA174" s="10" t="s">
        <v>35</v>
      </c>
      <c r="AB174" s="10"/>
      <c r="AC174" s="10"/>
      <c r="AD174" s="10" t="str">
        <f t="shared" si="13"/>
        <v/>
      </c>
      <c r="AE174" s="10" t="e">
        <f>IF(
   OR(
     AND(#REF!&gt;0, OR(Y174="C", Y174="c"), U174&lt;0),
     AND(#REF!&gt;0, Y174="")
   ),
   "CORTE",
   ""
)</f>
        <v>#REF!</v>
      </c>
      <c r="AF174" s="10">
        <f t="shared" si="1"/>
        <v>0</v>
      </c>
      <c r="AG174" s="10">
        <f t="shared" si="2"/>
        <v>65</v>
      </c>
      <c r="AH174" s="10" t="str">
        <f t="shared" si="14"/>
        <v>I</v>
      </c>
      <c r="AI174" s="10" t="str">
        <f t="shared" si="15"/>
        <v>I-11</v>
      </c>
    </row>
    <row r="175" spans="1:35" ht="15.75" customHeight="1" x14ac:dyDescent="0.35">
      <c r="A175" s="13">
        <v>174</v>
      </c>
      <c r="B175" s="14" t="s">
        <v>240</v>
      </c>
      <c r="C175" s="14" t="s">
        <v>227</v>
      </c>
      <c r="D175" s="13">
        <v>12</v>
      </c>
      <c r="E175" s="15"/>
      <c r="F175" s="15"/>
      <c r="G175" s="15"/>
      <c r="H175" s="16">
        <v>1</v>
      </c>
      <c r="I175" s="16">
        <v>1</v>
      </c>
      <c r="J175" s="16">
        <v>11</v>
      </c>
      <c r="K175" s="16">
        <v>10</v>
      </c>
      <c r="L175" s="16">
        <v>10</v>
      </c>
      <c r="M175" s="16"/>
      <c r="N175" s="16">
        <v>0</v>
      </c>
      <c r="O175" s="16">
        <v>25</v>
      </c>
      <c r="P175" s="16">
        <v>3</v>
      </c>
      <c r="Q175" s="16"/>
      <c r="R175" s="18"/>
      <c r="S175" s="15"/>
      <c r="T175" s="20"/>
      <c r="U175" s="17"/>
      <c r="V175" s="17">
        <f>SUM(L175:U175)</f>
        <v>38</v>
      </c>
      <c r="W175" s="15">
        <f ca="1">IFERROR(__xludf.DUMMYFUNCTION("IFERROR(
  SUM(
    FILTER(
      Reporte!$E:$E, 
      REGEXMATCH(Reporte!$A:$A, ""(?i)(TE PAGÓ|PAGASTE)""), 
      Reporte!$H:$H &amp; """" = AH175 &amp; """"
    )
  ), 
  0
)"),0)</f>
        <v>0</v>
      </c>
      <c r="X175" s="15">
        <f ca="1">IFERROR(__xludf.DUMMYFUNCTION("IFERROR(
  SUM(
    FILTER(
      Efectivo!$C:$C, 
      Efectivo!$D:$D &amp; """" = AH175 &amp; """"
    )
  ), 
  0
)"),38)</f>
        <v>38</v>
      </c>
      <c r="Y175" s="15" t="s">
        <v>34</v>
      </c>
      <c r="Z175" s="15"/>
      <c r="AA175" s="15"/>
      <c r="AB175" s="15"/>
      <c r="AC175" s="15"/>
      <c r="AD175" s="15" t="str">
        <f t="shared" si="13"/>
        <v/>
      </c>
      <c r="AE175" s="15" t="e">
        <f>IF(
   OR(
     AND(#REF!&gt;0, OR(Y175="C", Y175="c"), U175&lt;0),
     AND(#REF!&gt;0, Y175="")
   ),
   "CORTE",
   ""
)</f>
        <v>#REF!</v>
      </c>
      <c r="AF175" s="15">
        <f t="shared" si="1"/>
        <v>38</v>
      </c>
      <c r="AG175" s="15">
        <f t="shared" si="2"/>
        <v>0</v>
      </c>
      <c r="AH175" s="15" t="str">
        <f t="shared" si="14"/>
        <v>I</v>
      </c>
      <c r="AI175" s="15" t="str">
        <f t="shared" si="15"/>
        <v>I-12</v>
      </c>
    </row>
    <row r="176" spans="1:35" ht="15.75" customHeight="1" x14ac:dyDescent="0.35">
      <c r="A176" s="8">
        <v>175</v>
      </c>
      <c r="B176" s="9" t="s">
        <v>241</v>
      </c>
      <c r="C176" s="9" t="s">
        <v>227</v>
      </c>
      <c r="D176" s="8">
        <v>13</v>
      </c>
      <c r="E176" s="10"/>
      <c r="F176" s="10"/>
      <c r="G176" s="10"/>
      <c r="H176" s="11">
        <v>1</v>
      </c>
      <c r="I176" s="11">
        <v>1878</v>
      </c>
      <c r="J176" s="11">
        <v>16</v>
      </c>
      <c r="K176" s="11">
        <v>16</v>
      </c>
      <c r="L176" s="11">
        <v>16</v>
      </c>
      <c r="M176" s="11"/>
      <c r="N176" s="11">
        <v>0</v>
      </c>
      <c r="O176" s="11">
        <v>50</v>
      </c>
      <c r="P176" s="11">
        <v>3</v>
      </c>
      <c r="Q176" s="11"/>
      <c r="R176" s="19"/>
      <c r="S176" s="10"/>
      <c r="T176" s="21"/>
      <c r="U176" s="12"/>
      <c r="V176" s="12">
        <f>SUM(L176:U176)</f>
        <v>69</v>
      </c>
      <c r="W176" s="10">
        <f ca="1">IFERROR(__xludf.DUMMYFUNCTION("IFERROR(
  SUM(
    FILTER(
      Reporte!$E:$E, 
      REGEXMATCH(Reporte!$A:$A, ""(?i)(TE PAGÓ|PAGASTE)""), 
      Reporte!$H:$H &amp; """" = AH176 &amp; """"
    )
  ), 
  0
)"),69)</f>
        <v>69</v>
      </c>
      <c r="X176" s="10">
        <f ca="1">IFERROR(__xludf.DUMMYFUNCTION("IFERROR(
  SUM(
    FILTER(
      Efectivo!$C:$C, 
      Efectivo!$D:$D &amp; """" = AH176 &amp; """"
    )
  ), 
  0
)"),0)</f>
        <v>0</v>
      </c>
      <c r="Y176" s="10" t="s">
        <v>34</v>
      </c>
      <c r="Z176" s="10"/>
      <c r="AA176" s="10" t="s">
        <v>35</v>
      </c>
      <c r="AB176" s="10"/>
      <c r="AC176" s="10"/>
      <c r="AD176" s="10" t="str">
        <f t="shared" si="13"/>
        <v/>
      </c>
      <c r="AE176" s="10" t="e">
        <f>IF(
   OR(
     AND(#REF!&gt;0, OR(Y176="C", Y176="c"), U176&lt;0),
     AND(#REF!&gt;0, Y176="")
   ),
   "CORTE",
   ""
)</f>
        <v>#REF!</v>
      </c>
      <c r="AF176" s="10">
        <f t="shared" si="1"/>
        <v>0</v>
      </c>
      <c r="AG176" s="10">
        <f t="shared" si="2"/>
        <v>69</v>
      </c>
      <c r="AH176" s="10" t="str">
        <f t="shared" si="14"/>
        <v>I</v>
      </c>
      <c r="AI176" s="10" t="str">
        <f t="shared" si="15"/>
        <v>I-13</v>
      </c>
    </row>
    <row r="177" spans="1:35" ht="15.75" customHeight="1" x14ac:dyDescent="0.35">
      <c r="A177" s="13">
        <v>176</v>
      </c>
      <c r="B177" s="14" t="s">
        <v>242</v>
      </c>
      <c r="C177" s="14" t="s">
        <v>227</v>
      </c>
      <c r="D177" s="13">
        <v>14</v>
      </c>
      <c r="E177" s="15"/>
      <c r="F177" s="15"/>
      <c r="G177" s="15"/>
      <c r="H177" s="16">
        <v>1</v>
      </c>
      <c r="I177" s="16">
        <v>0</v>
      </c>
      <c r="J177" s="16">
        <v>5</v>
      </c>
      <c r="K177" s="16">
        <v>5</v>
      </c>
      <c r="L177" s="16">
        <v>5</v>
      </c>
      <c r="M177" s="16"/>
      <c r="N177" s="16">
        <v>0</v>
      </c>
      <c r="O177" s="16">
        <v>25</v>
      </c>
      <c r="P177" s="16">
        <v>3</v>
      </c>
      <c r="Q177" s="16"/>
      <c r="R177" s="18"/>
      <c r="S177" s="15"/>
      <c r="T177" s="20"/>
      <c r="U177" s="17"/>
      <c r="V177" s="17">
        <f>SUM(L177:Q177)</f>
        <v>33</v>
      </c>
      <c r="W177" s="15">
        <f ca="1">IFERROR(__xludf.DUMMYFUNCTION("IFERROR(
  SUM(
    FILTER(
      Reporte!$E:$E, 
      REGEXMATCH(Reporte!$A:$A, ""(?i)(TE PAGÓ|PAGASTE)""), 
      Reporte!$H:$H &amp; """" = AH177 &amp; """"
    )
  ), 
  0
)"),33)</f>
        <v>33</v>
      </c>
      <c r="X177" s="15">
        <f ca="1">IFERROR(__xludf.DUMMYFUNCTION("IFERROR(
  SUM(
    FILTER(
      Efectivo!$C:$C, 
      Efectivo!$D:$D &amp; """" = AH177 &amp; """"
    )
  ), 
  0
)"),0)</f>
        <v>0</v>
      </c>
      <c r="Y177" s="15" t="s">
        <v>34</v>
      </c>
      <c r="Z177" s="15"/>
      <c r="AA177" s="15" t="s">
        <v>35</v>
      </c>
      <c r="AB177" s="15"/>
      <c r="AC177" s="15"/>
      <c r="AD177" s="15" t="str">
        <f t="shared" si="13"/>
        <v/>
      </c>
      <c r="AE177" s="15" t="e">
        <f>IF(
   OR(
     AND(#REF!&gt;0, OR(Y177="C", Y177="c"), U177&lt;0),
     AND(#REF!&gt;0, Y177="")
   ),
   "CORTE",
   ""
)</f>
        <v>#REF!</v>
      </c>
      <c r="AF177" s="15">
        <f t="shared" si="1"/>
        <v>0</v>
      </c>
      <c r="AG177" s="15">
        <f t="shared" si="2"/>
        <v>33</v>
      </c>
      <c r="AH177" s="15" t="str">
        <f t="shared" si="14"/>
        <v>I</v>
      </c>
      <c r="AI177" s="15" t="str">
        <f t="shared" si="15"/>
        <v>I-14</v>
      </c>
    </row>
    <row r="178" spans="1:35" ht="15.75" customHeight="1" x14ac:dyDescent="0.35">
      <c r="A178" s="8">
        <v>177</v>
      </c>
      <c r="B178" s="9" t="s">
        <v>243</v>
      </c>
      <c r="C178" s="9" t="s">
        <v>227</v>
      </c>
      <c r="D178" s="8">
        <v>15</v>
      </c>
      <c r="E178" s="10"/>
      <c r="F178" s="10"/>
      <c r="G178" s="10"/>
      <c r="H178" s="11">
        <v>1</v>
      </c>
      <c r="I178" s="11">
        <v>2520</v>
      </c>
      <c r="J178" s="11">
        <v>24</v>
      </c>
      <c r="K178" s="11">
        <v>24</v>
      </c>
      <c r="L178" s="11">
        <v>24</v>
      </c>
      <c r="M178" s="11"/>
      <c r="N178" s="11">
        <v>0</v>
      </c>
      <c r="O178" s="11">
        <v>25</v>
      </c>
      <c r="P178" s="11">
        <v>3</v>
      </c>
      <c r="Q178" s="11"/>
      <c r="R178" s="19"/>
      <c r="S178" s="10"/>
      <c r="T178" s="21"/>
      <c r="U178" s="12"/>
      <c r="V178" s="12">
        <f>SUM(L178:U178)</f>
        <v>52</v>
      </c>
      <c r="W178" s="10">
        <f ca="1">IFERROR(__xludf.DUMMYFUNCTION("IFERROR(
  SUM(
    FILTER(
      Reporte!$E:$E, 
      REGEXMATCH(Reporte!$A:$A, ""(?i)(TE PAGÓ|PAGASTE)""), 
      Reporte!$H:$H &amp; """" = AH178 &amp; """"
    )
  ), 
  0
)"),52)</f>
        <v>52</v>
      </c>
      <c r="X178" s="10">
        <f ca="1">IFERROR(__xludf.DUMMYFUNCTION("IFERROR(
  SUM(
    FILTER(
      Efectivo!$C:$C, 
      Efectivo!$D:$D &amp; """" = AH178 &amp; """"
    )
  ), 
  0
)"),0)</f>
        <v>0</v>
      </c>
      <c r="Y178" s="10" t="s">
        <v>34</v>
      </c>
      <c r="Z178" s="10"/>
      <c r="AA178" s="10" t="s">
        <v>35</v>
      </c>
      <c r="AB178" s="10"/>
      <c r="AC178" s="10"/>
      <c r="AD178" s="10" t="str">
        <f t="shared" si="13"/>
        <v/>
      </c>
      <c r="AE178" s="10" t="e">
        <f>IF(
   OR(
     AND(#REF!&gt;0, OR(Y178="C", Y178="c"), U178&lt;0),
     AND(#REF!&gt;0, Y178="")
   ),
   "CORTE",
   ""
)</f>
        <v>#REF!</v>
      </c>
      <c r="AF178" s="10">
        <f t="shared" si="1"/>
        <v>0</v>
      </c>
      <c r="AG178" s="10">
        <f t="shared" si="2"/>
        <v>52</v>
      </c>
      <c r="AH178" s="10" t="str">
        <f t="shared" si="14"/>
        <v>I</v>
      </c>
      <c r="AI178" s="10" t="str">
        <f t="shared" si="15"/>
        <v>I-15</v>
      </c>
    </row>
    <row r="179" spans="1:35" ht="15.75" customHeight="1" x14ac:dyDescent="0.35">
      <c r="A179" s="13">
        <v>178</v>
      </c>
      <c r="B179" s="14" t="s">
        <v>244</v>
      </c>
      <c r="C179" s="14" t="s">
        <v>227</v>
      </c>
      <c r="D179" s="13">
        <v>16</v>
      </c>
      <c r="E179" s="15"/>
      <c r="F179" s="15"/>
      <c r="G179" s="15"/>
      <c r="H179" s="16">
        <v>1</v>
      </c>
      <c r="I179" s="16">
        <v>0</v>
      </c>
      <c r="J179" s="16">
        <v>3</v>
      </c>
      <c r="K179" s="16">
        <v>3</v>
      </c>
      <c r="L179" s="16">
        <v>5</v>
      </c>
      <c r="M179" s="16">
        <v>3</v>
      </c>
      <c r="N179" s="16">
        <v>0</v>
      </c>
      <c r="O179" s="16"/>
      <c r="P179" s="16">
        <v>3</v>
      </c>
      <c r="Q179" s="16"/>
      <c r="R179" s="18"/>
      <c r="S179" s="15"/>
      <c r="T179" s="20"/>
      <c r="U179" s="17"/>
      <c r="V179" s="17">
        <f>SUM(L179:Q179)</f>
        <v>11</v>
      </c>
      <c r="W179" s="15">
        <f ca="1">IFERROR(__xludf.DUMMYFUNCTION("IFERROR(
  SUM(
    FILTER(
      Reporte!$E:$E, 
      REGEXMATCH(Reporte!$A:$A, ""(?i)(TE PAGÓ|PAGASTE)""), 
      Reporte!$H:$H &amp; """" = AH179 &amp; """"
    )
  ), 
  0
)"),0)</f>
        <v>0</v>
      </c>
      <c r="X179" s="15">
        <f ca="1">IFERROR(__xludf.DUMMYFUNCTION("IFERROR(
  SUM(
    FILTER(
      Efectivo!$C:$C, 
      Efectivo!$D:$D &amp; """" = AH179 &amp; """"
    )
  ), 
  0
)"),0)</f>
        <v>0</v>
      </c>
      <c r="Y179" s="15"/>
      <c r="Z179" s="15"/>
      <c r="AA179" s="15"/>
      <c r="AB179" s="15"/>
      <c r="AC179" s="15"/>
      <c r="AD179" s="15" t="str">
        <f t="shared" si="13"/>
        <v/>
      </c>
      <c r="AE179" s="15" t="e">
        <f>IF(
   OR(
     AND(#REF!&gt;0, OR(Y179="C", Y179="c"), U179&lt;0),
     AND(#REF!&gt;0, Y179="")
   ),
   "CORTE",
   ""
)</f>
        <v>#REF!</v>
      </c>
      <c r="AF179" s="15">
        <f t="shared" si="1"/>
        <v>0</v>
      </c>
      <c r="AG179" s="15">
        <f t="shared" si="2"/>
        <v>0</v>
      </c>
      <c r="AH179" s="15" t="str">
        <f t="shared" si="14"/>
        <v>I</v>
      </c>
      <c r="AI179" s="15" t="str">
        <f t="shared" si="15"/>
        <v>I-16</v>
      </c>
    </row>
    <row r="180" spans="1:35" ht="15.75" customHeight="1" x14ac:dyDescent="0.35">
      <c r="A180" s="8">
        <v>179</v>
      </c>
      <c r="B180" s="9" t="s">
        <v>245</v>
      </c>
      <c r="C180" s="9" t="s">
        <v>227</v>
      </c>
      <c r="D180" s="8">
        <v>17</v>
      </c>
      <c r="E180" s="10"/>
      <c r="F180" s="10"/>
      <c r="G180" s="10"/>
      <c r="H180" s="11">
        <v>1</v>
      </c>
      <c r="I180" s="11">
        <v>1</v>
      </c>
      <c r="J180" s="11">
        <v>10</v>
      </c>
      <c r="K180" s="11">
        <v>9</v>
      </c>
      <c r="L180" s="11">
        <v>9</v>
      </c>
      <c r="M180" s="11"/>
      <c r="N180" s="11">
        <v>0</v>
      </c>
      <c r="O180" s="11">
        <v>25</v>
      </c>
      <c r="P180" s="11">
        <v>3</v>
      </c>
      <c r="Q180" s="11"/>
      <c r="R180" s="19"/>
      <c r="S180" s="10"/>
      <c r="T180" s="21"/>
      <c r="U180" s="12"/>
      <c r="V180" s="12">
        <f>SUM(L180:Q180)</f>
        <v>37</v>
      </c>
      <c r="W180" s="10">
        <f ca="1">IFERROR(__xludf.DUMMYFUNCTION("IFERROR(
  SUM(
    FILTER(
      Reporte!$E:$E, 
      REGEXMATCH(Reporte!$A:$A, ""(?i)(TE PAGÓ|PAGASTE)""), 
      Reporte!$H:$H &amp; """" = AH180 &amp; """"
    )
  ), 
  0
)"),37)</f>
        <v>37</v>
      </c>
      <c r="X180" s="10">
        <f ca="1">IFERROR(__xludf.DUMMYFUNCTION("IFERROR(
  SUM(
    FILTER(
      Efectivo!$C:$C, 
      Efectivo!$D:$D &amp; """" = AH180 &amp; """"
    )
  ), 
  0
)"),0)</f>
        <v>0</v>
      </c>
      <c r="Y180" s="10" t="s">
        <v>34</v>
      </c>
      <c r="Z180" s="10"/>
      <c r="AA180" s="10" t="s">
        <v>35</v>
      </c>
      <c r="AB180" s="10"/>
      <c r="AC180" s="10"/>
      <c r="AD180" s="10" t="str">
        <f t="shared" si="13"/>
        <v/>
      </c>
      <c r="AE180" s="10" t="e">
        <f>IF(
   OR(
     AND(#REF!&gt;0, OR(Y180="C", Y180="c"), U180&lt;0),
     AND(#REF!&gt;0, Y180="")
   ),
   "CORTE",
   ""
)</f>
        <v>#REF!</v>
      </c>
      <c r="AF180" s="10">
        <f t="shared" si="1"/>
        <v>0</v>
      </c>
      <c r="AG180" s="10">
        <f t="shared" si="2"/>
        <v>37</v>
      </c>
      <c r="AH180" s="10" t="str">
        <f t="shared" si="14"/>
        <v>I</v>
      </c>
      <c r="AI180" s="10" t="str">
        <f t="shared" si="15"/>
        <v>I-17</v>
      </c>
    </row>
    <row r="181" spans="1:35" ht="15.75" customHeight="1" x14ac:dyDescent="0.35">
      <c r="A181" s="13">
        <v>180</v>
      </c>
      <c r="B181" s="14" t="s">
        <v>246</v>
      </c>
      <c r="C181" s="14" t="s">
        <v>227</v>
      </c>
      <c r="D181" s="13">
        <v>18</v>
      </c>
      <c r="E181" s="15"/>
      <c r="F181" s="15"/>
      <c r="G181" s="15"/>
      <c r="H181" s="16">
        <v>1</v>
      </c>
      <c r="I181" s="16">
        <v>549</v>
      </c>
      <c r="J181" s="16">
        <v>562</v>
      </c>
      <c r="K181" s="16">
        <v>13</v>
      </c>
      <c r="L181" s="16">
        <v>13</v>
      </c>
      <c r="M181" s="16"/>
      <c r="N181" s="16">
        <v>0</v>
      </c>
      <c r="O181" s="16"/>
      <c r="P181" s="16">
        <v>3</v>
      </c>
      <c r="Q181" s="16"/>
      <c r="R181" s="18"/>
      <c r="S181" s="15"/>
      <c r="T181" s="20"/>
      <c r="U181" s="17"/>
      <c r="V181" s="17">
        <f>SUM(L181:U181)</f>
        <v>16</v>
      </c>
      <c r="W181" s="15">
        <f ca="1">IFERROR(__xludf.DUMMYFUNCTION("IFERROR(
  SUM(
    FILTER(
      Reporte!$E:$E, 
      REGEXMATCH(Reporte!$A:$A, ""(?i)(TE PAGÓ|PAGASTE)""), 
      Reporte!$H:$H &amp; """" = AH181 &amp; """"
    )
  ), 
  0
)"),0)</f>
        <v>0</v>
      </c>
      <c r="X181" s="15">
        <f ca="1">IFERROR(__xludf.DUMMYFUNCTION("IFERROR(
  SUM(
    FILTER(
      Efectivo!$C:$C, 
      Efectivo!$D:$D &amp; """" = AH181 &amp; """"
    )
  ), 
  0
)"),16)</f>
        <v>16</v>
      </c>
      <c r="Y181" s="15" t="s">
        <v>34</v>
      </c>
      <c r="Z181" s="15"/>
      <c r="AA181" s="15"/>
      <c r="AB181" s="15"/>
      <c r="AC181" s="15"/>
      <c r="AD181" s="15" t="str">
        <f t="shared" si="13"/>
        <v/>
      </c>
      <c r="AE181" s="15" t="e">
        <f>IF(
   OR(
     AND(#REF!&gt;0, OR(Y181="C", Y181="c"), U181&lt;0),
     AND(#REF!&gt;0, Y181="")
   ),
   "CORTE",
   ""
)</f>
        <v>#REF!</v>
      </c>
      <c r="AF181" s="15">
        <f t="shared" si="1"/>
        <v>16</v>
      </c>
      <c r="AG181" s="15">
        <f t="shared" si="2"/>
        <v>0</v>
      </c>
      <c r="AH181" s="15" t="str">
        <f t="shared" si="14"/>
        <v>I</v>
      </c>
      <c r="AI181" s="15" t="str">
        <f t="shared" si="15"/>
        <v>I-18</v>
      </c>
    </row>
    <row r="182" spans="1:35" ht="15.75" customHeight="1" x14ac:dyDescent="0.35">
      <c r="A182" s="8">
        <v>181</v>
      </c>
      <c r="B182" s="9" t="s">
        <v>247</v>
      </c>
      <c r="C182" s="9" t="s">
        <v>248</v>
      </c>
      <c r="D182" s="8">
        <v>1</v>
      </c>
      <c r="E182" s="10"/>
      <c r="F182" s="10"/>
      <c r="G182" s="10"/>
      <c r="H182" s="11">
        <v>1</v>
      </c>
      <c r="I182" s="11">
        <v>18</v>
      </c>
      <c r="J182" s="11">
        <v>48</v>
      </c>
      <c r="K182" s="11">
        <v>30</v>
      </c>
      <c r="L182" s="11">
        <v>12</v>
      </c>
      <c r="M182" s="11"/>
      <c r="N182" s="11">
        <v>0</v>
      </c>
      <c r="O182" s="11"/>
      <c r="P182" s="11">
        <v>3</v>
      </c>
      <c r="Q182" s="11"/>
      <c r="R182" s="19"/>
      <c r="S182" s="10"/>
      <c r="T182" s="21"/>
      <c r="U182" s="12"/>
      <c r="V182" s="12">
        <f>SUM(L182:U182)</f>
        <v>15</v>
      </c>
      <c r="W182" s="10">
        <f ca="1">IFERROR(__xludf.DUMMYFUNCTION("IFERROR(
  SUM(
    FILTER(
      Reporte!$E:$E, 
      REGEXMATCH(Reporte!$A:$A, ""(?i)(TE PAGÓ|PAGASTE)""), 
      Reporte!$H:$H &amp; """" = AH182 &amp; """"
    )
  ), 
  0
)"),15)</f>
        <v>15</v>
      </c>
      <c r="X182" s="10">
        <f ca="1">IFERROR(__xludf.DUMMYFUNCTION("IFERROR(
  SUM(
    FILTER(
      Efectivo!$C:$C, 
      Efectivo!$D:$D &amp; """" = AH182 &amp; """"
    )
  ), 
  0
)"),0)</f>
        <v>0</v>
      </c>
      <c r="Y182" s="10" t="s">
        <v>34</v>
      </c>
      <c r="Z182" s="10"/>
      <c r="AA182" s="10" t="s">
        <v>35</v>
      </c>
      <c r="AB182" s="10" t="s">
        <v>249</v>
      </c>
      <c r="AC182" s="10"/>
      <c r="AD182" s="10" t="str">
        <f t="shared" si="13"/>
        <v/>
      </c>
      <c r="AE182" s="10" t="e">
        <f>IF(
   OR(
     AND(#REF!&gt;0, OR(Y182="C", Y182="c"), U182&lt;0),
     AND(#REF!&gt;0, Y182="")
   ),
   "CORTE",
   ""
)</f>
        <v>#REF!</v>
      </c>
      <c r="AF182" s="10">
        <f t="shared" si="1"/>
        <v>0</v>
      </c>
      <c r="AG182" s="10">
        <f t="shared" si="2"/>
        <v>15</v>
      </c>
      <c r="AH182" s="10" t="str">
        <f t="shared" si="14"/>
        <v>J</v>
      </c>
      <c r="AI182" s="10" t="str">
        <f t="shared" si="15"/>
        <v>J-1</v>
      </c>
    </row>
    <row r="183" spans="1:35" ht="15.75" customHeight="1" x14ac:dyDescent="0.35">
      <c r="A183" s="13">
        <v>182</v>
      </c>
      <c r="B183" s="14" t="s">
        <v>250</v>
      </c>
      <c r="C183" s="14" t="s">
        <v>248</v>
      </c>
      <c r="D183" s="13">
        <v>2</v>
      </c>
      <c r="E183" s="15"/>
      <c r="F183" s="15"/>
      <c r="G183" s="15"/>
      <c r="H183" s="16">
        <v>1</v>
      </c>
      <c r="I183" s="16">
        <v>499</v>
      </c>
      <c r="J183" s="16">
        <v>510</v>
      </c>
      <c r="K183" s="16">
        <v>11</v>
      </c>
      <c r="L183" s="16">
        <v>11</v>
      </c>
      <c r="M183" s="16"/>
      <c r="N183" s="16">
        <v>0</v>
      </c>
      <c r="O183" s="16"/>
      <c r="P183" s="16">
        <v>3</v>
      </c>
      <c r="Q183" s="16"/>
      <c r="R183" s="18"/>
      <c r="S183" s="15"/>
      <c r="T183" s="20"/>
      <c r="U183" s="17"/>
      <c r="V183" s="17">
        <f t="shared" ref="V183:V191" si="18">SUM(L183:Q183)</f>
        <v>14</v>
      </c>
      <c r="W183" s="15">
        <f ca="1">IFERROR(__xludf.DUMMYFUNCTION("IFERROR(
  SUM(
    FILTER(
      Reporte!$E:$E, 
      REGEXMATCH(Reporte!$A:$A, ""(?i)(TE PAGÓ|PAGASTE)""), 
      Reporte!$H:$H &amp; """" = AH183 &amp; """"
    )
  ), 
  0
)"),0)</f>
        <v>0</v>
      </c>
      <c r="X183" s="15">
        <f ca="1">IFERROR(__xludf.DUMMYFUNCTION("IFERROR(
  SUM(
    FILTER(
      Efectivo!$C:$C, 
      Efectivo!$D:$D &amp; """" = AH183 &amp; """"
    )
  ), 
  0
)"),0)</f>
        <v>0</v>
      </c>
      <c r="Y183" s="15"/>
      <c r="Z183" s="15"/>
      <c r="AA183" s="15"/>
      <c r="AB183" s="15"/>
      <c r="AC183" s="15"/>
      <c r="AD183" s="15" t="str">
        <f t="shared" si="13"/>
        <v/>
      </c>
      <c r="AE183" s="15" t="e">
        <f>IF(
   OR(
     AND(#REF!&gt;0, OR(Y183="C", Y183="c"), U183&lt;0),
     AND(#REF!&gt;0, Y183="")
   ),
   "CORTE",
   ""
)</f>
        <v>#REF!</v>
      </c>
      <c r="AF183" s="15">
        <f t="shared" si="1"/>
        <v>0</v>
      </c>
      <c r="AG183" s="15">
        <f t="shared" si="2"/>
        <v>0</v>
      </c>
      <c r="AH183" s="15" t="str">
        <f t="shared" si="14"/>
        <v>J</v>
      </c>
      <c r="AI183" s="15" t="str">
        <f t="shared" si="15"/>
        <v>J-2</v>
      </c>
    </row>
    <row r="184" spans="1:35" ht="15.75" customHeight="1" x14ac:dyDescent="0.35">
      <c r="A184" s="8">
        <v>183</v>
      </c>
      <c r="B184" s="9" t="s">
        <v>251</v>
      </c>
      <c r="C184" s="9" t="s">
        <v>248</v>
      </c>
      <c r="D184" s="8">
        <v>3</v>
      </c>
      <c r="E184" s="10"/>
      <c r="F184" s="10"/>
      <c r="G184" s="10"/>
      <c r="H184" s="11">
        <v>1</v>
      </c>
      <c r="I184" s="11">
        <v>707</v>
      </c>
      <c r="J184" s="11">
        <v>0</v>
      </c>
      <c r="K184" s="11">
        <v>5</v>
      </c>
      <c r="L184" s="11">
        <v>5</v>
      </c>
      <c r="M184" s="11"/>
      <c r="N184" s="11">
        <v>0</v>
      </c>
      <c r="O184" s="11"/>
      <c r="P184" s="11">
        <v>3</v>
      </c>
      <c r="Q184" s="11"/>
      <c r="R184" s="19"/>
      <c r="S184" s="10"/>
      <c r="T184" s="21"/>
      <c r="U184" s="12"/>
      <c r="V184" s="12">
        <f t="shared" si="18"/>
        <v>8</v>
      </c>
      <c r="W184" s="10">
        <f ca="1">IFERROR(__xludf.DUMMYFUNCTION("IFERROR(
  SUM(
    FILTER(
      Reporte!$E:$E, 
      REGEXMATCH(Reporte!$A:$A, ""(?i)(TE PAGÓ|PAGASTE)""), 
      Reporte!$H:$H &amp; """" = AH184 &amp; """"
    )
  ), 
  0
)"),0)</f>
        <v>0</v>
      </c>
      <c r="X184" s="10">
        <f ca="1">IFERROR(__xludf.DUMMYFUNCTION("IFERROR(
  SUM(
    FILTER(
      Efectivo!$C:$C, 
      Efectivo!$D:$D &amp; """" = AH184 &amp; """"
    )
  ), 
  0
)"),0)</f>
        <v>0</v>
      </c>
      <c r="Y184" s="10"/>
      <c r="Z184" s="10"/>
      <c r="AA184" s="10"/>
      <c r="AB184" s="10"/>
      <c r="AC184" s="10"/>
      <c r="AD184" s="10" t="str">
        <f t="shared" si="13"/>
        <v/>
      </c>
      <c r="AE184" s="10" t="e">
        <f>IF(
   OR(
     AND(#REF!&gt;0, OR(Y184="C", Y184="c"), U184&lt;0),
     AND(#REF!&gt;0, Y184="")
   ),
   "CORTE",
   ""
)</f>
        <v>#REF!</v>
      </c>
      <c r="AF184" s="10">
        <f t="shared" si="1"/>
        <v>0</v>
      </c>
      <c r="AG184" s="10">
        <f t="shared" si="2"/>
        <v>0</v>
      </c>
      <c r="AH184" s="10" t="str">
        <f t="shared" si="14"/>
        <v>J</v>
      </c>
      <c r="AI184" s="10" t="str">
        <f t="shared" si="15"/>
        <v>J-3</v>
      </c>
    </row>
    <row r="185" spans="1:35" ht="15.75" customHeight="1" x14ac:dyDescent="0.35">
      <c r="A185" s="13">
        <v>184</v>
      </c>
      <c r="B185" s="14" t="s">
        <v>252</v>
      </c>
      <c r="C185" s="14" t="s">
        <v>248</v>
      </c>
      <c r="D185" s="13">
        <v>4</v>
      </c>
      <c r="E185" s="15"/>
      <c r="F185" s="15"/>
      <c r="G185" s="15"/>
      <c r="H185" s="16">
        <v>1</v>
      </c>
      <c r="I185" s="16">
        <v>5</v>
      </c>
      <c r="J185" s="16">
        <v>14</v>
      </c>
      <c r="K185" s="16">
        <v>9</v>
      </c>
      <c r="L185" s="16">
        <v>9</v>
      </c>
      <c r="M185" s="16"/>
      <c r="N185" s="16">
        <v>0</v>
      </c>
      <c r="O185" s="16">
        <v>25</v>
      </c>
      <c r="P185" s="16">
        <v>3</v>
      </c>
      <c r="Q185" s="16"/>
      <c r="R185" s="18"/>
      <c r="S185" s="15"/>
      <c r="T185" s="20"/>
      <c r="U185" s="17"/>
      <c r="V185" s="17">
        <f t="shared" si="18"/>
        <v>37</v>
      </c>
      <c r="W185" s="15">
        <f ca="1">IFERROR(__xludf.DUMMYFUNCTION("IFERROR(
  SUM(
    FILTER(
      Reporte!$E:$E, 
      REGEXMATCH(Reporte!$A:$A, ""(?i)(TE PAGÓ|PAGASTE)""), 
      Reporte!$H:$H &amp; """" = AH185 &amp; """"
    )
  ), 
  0
)"),0)</f>
        <v>0</v>
      </c>
      <c r="X185" s="15">
        <f ca="1">IFERROR(__xludf.DUMMYFUNCTION("IFERROR(
  SUM(
    FILTER(
      Efectivo!$C:$C, 
      Efectivo!$D:$D &amp; """" = AH185 &amp; """"
    )
  ), 
  0
)"),37)</f>
        <v>37</v>
      </c>
      <c r="Y185" s="15" t="s">
        <v>34</v>
      </c>
      <c r="Z185" s="15"/>
      <c r="AA185" s="15"/>
      <c r="AB185" s="15"/>
      <c r="AC185" s="15"/>
      <c r="AD185" s="15" t="str">
        <f t="shared" si="13"/>
        <v/>
      </c>
      <c r="AE185" s="15" t="e">
        <f>IF(
   OR(
     AND(#REF!&gt;0, OR(Y185="C", Y185="c"), U185&lt;0),
     AND(#REF!&gt;0, Y185="")
   ),
   "CORTE",
   ""
)</f>
        <v>#REF!</v>
      </c>
      <c r="AF185" s="15">
        <f t="shared" si="1"/>
        <v>37</v>
      </c>
      <c r="AG185" s="15">
        <f t="shared" si="2"/>
        <v>0</v>
      </c>
      <c r="AH185" s="15" t="str">
        <f t="shared" si="14"/>
        <v>J</v>
      </c>
      <c r="AI185" s="15" t="str">
        <f t="shared" si="15"/>
        <v>J-4</v>
      </c>
    </row>
    <row r="186" spans="1:35" ht="15.75" customHeight="1" x14ac:dyDescent="0.35">
      <c r="A186" s="8">
        <v>185</v>
      </c>
      <c r="B186" s="9" t="s">
        <v>253</v>
      </c>
      <c r="C186" s="9" t="s">
        <v>248</v>
      </c>
      <c r="D186" s="8">
        <v>5</v>
      </c>
      <c r="E186" s="10"/>
      <c r="F186" s="10"/>
      <c r="G186" s="10"/>
      <c r="H186" s="10"/>
      <c r="I186" s="11">
        <v>9</v>
      </c>
      <c r="J186" s="11">
        <v>25</v>
      </c>
      <c r="K186" s="11">
        <v>16</v>
      </c>
      <c r="L186" s="11">
        <v>16</v>
      </c>
      <c r="M186" s="11"/>
      <c r="N186" s="11">
        <v>0</v>
      </c>
      <c r="O186" s="11">
        <v>25</v>
      </c>
      <c r="P186" s="11">
        <v>3</v>
      </c>
      <c r="Q186" s="11"/>
      <c r="R186" s="19"/>
      <c r="S186" s="10"/>
      <c r="T186" s="21"/>
      <c r="U186" s="12"/>
      <c r="V186" s="12">
        <f t="shared" si="18"/>
        <v>44</v>
      </c>
      <c r="W186" s="10">
        <f ca="1">IFERROR(__xludf.DUMMYFUNCTION("IFERROR(
  SUM(
    FILTER(
      Reporte!$E:$E, 
      REGEXMATCH(Reporte!$A:$A, ""(?i)(TE PAGÓ|PAGASTE)""), 
      Reporte!$H:$H &amp; """" = AH186 &amp; """"
    )
  ), 
  0
)"),44)</f>
        <v>44</v>
      </c>
      <c r="X186" s="10">
        <f ca="1">IFERROR(__xludf.DUMMYFUNCTION("IFERROR(
  SUM(
    FILTER(
      Efectivo!$C:$C, 
      Efectivo!$D:$D &amp; """" = AH186 &amp; """"
    )
  ), 
  0
)"),0)</f>
        <v>0</v>
      </c>
      <c r="Y186" s="10" t="s">
        <v>34</v>
      </c>
      <c r="Z186" s="10"/>
      <c r="AA186" s="10" t="s">
        <v>35</v>
      </c>
      <c r="AB186" s="10"/>
      <c r="AC186" s="10"/>
      <c r="AD186" s="10" t="str">
        <f t="shared" si="13"/>
        <v/>
      </c>
      <c r="AE186" s="10" t="e">
        <f>IF(
   OR(
     AND(#REF!&gt;0, OR(Y186="C", Y186="c"), U186&lt;0),
     AND(#REF!&gt;0, Y186="")
   ),
   "CORTE",
   ""
)</f>
        <v>#REF!</v>
      </c>
      <c r="AF186" s="10">
        <f t="shared" si="1"/>
        <v>0</v>
      </c>
      <c r="AG186" s="10">
        <f t="shared" si="2"/>
        <v>44</v>
      </c>
      <c r="AH186" s="10" t="str">
        <f t="shared" si="14"/>
        <v>J</v>
      </c>
      <c r="AI186" s="10" t="str">
        <f t="shared" si="15"/>
        <v>J-5</v>
      </c>
    </row>
    <row r="187" spans="1:35" ht="15.75" customHeight="1" x14ac:dyDescent="0.35">
      <c r="A187" s="13">
        <v>186</v>
      </c>
      <c r="B187" s="14" t="s">
        <v>254</v>
      </c>
      <c r="C187" s="14" t="s">
        <v>248</v>
      </c>
      <c r="D187" s="13">
        <v>6</v>
      </c>
      <c r="E187" s="15"/>
      <c r="F187" s="15"/>
      <c r="G187" s="15"/>
      <c r="H187" s="16">
        <v>1</v>
      </c>
      <c r="I187" s="16">
        <v>0</v>
      </c>
      <c r="J187" s="16"/>
      <c r="K187" s="16">
        <v>0</v>
      </c>
      <c r="L187" s="16">
        <v>5</v>
      </c>
      <c r="M187" s="16">
        <v>8</v>
      </c>
      <c r="N187" s="16">
        <v>0</v>
      </c>
      <c r="O187" s="16">
        <v>25</v>
      </c>
      <c r="P187" s="16">
        <v>3</v>
      </c>
      <c r="Q187" s="16"/>
      <c r="R187" s="18"/>
      <c r="S187" s="15"/>
      <c r="T187" s="20"/>
      <c r="U187" s="17"/>
      <c r="V187" s="17">
        <f t="shared" si="18"/>
        <v>41</v>
      </c>
      <c r="W187" s="15">
        <f ca="1">IFERROR(__xludf.DUMMYFUNCTION("IFERROR(
  SUM(
    FILTER(
      Reporte!$E:$E, 
      REGEXMATCH(Reporte!$A:$A, ""(?i)(TE PAGÓ|PAGASTE)""), 
      Reporte!$H:$H &amp; """" = AH187 &amp; """"
    )
  ), 
  0
)"),0)</f>
        <v>0</v>
      </c>
      <c r="X187" s="15">
        <f ca="1">IFERROR(__xludf.DUMMYFUNCTION("IFERROR(
  SUM(
    FILTER(
      Efectivo!$C:$C, 
      Efectivo!$D:$D &amp; """" = AH187 &amp; """"
    )
  ), 
  0
)"),0)</f>
        <v>0</v>
      </c>
      <c r="Y187" s="15"/>
      <c r="Z187" s="15"/>
      <c r="AA187" s="15"/>
      <c r="AB187" s="15"/>
      <c r="AC187" s="15"/>
      <c r="AD187" s="15" t="str">
        <f t="shared" si="13"/>
        <v>CORTE</v>
      </c>
      <c r="AE187" s="15" t="e">
        <f>IF(
   OR(
     AND(#REF!&gt;0, OR(Y187="C", Y187="c"), U187&lt;0),
     AND(#REF!&gt;0, Y187="")
   ),
   "CORTE",
   ""
)</f>
        <v>#REF!</v>
      </c>
      <c r="AF187" s="15">
        <f t="shared" si="1"/>
        <v>0</v>
      </c>
      <c r="AG187" s="15">
        <f t="shared" si="2"/>
        <v>0</v>
      </c>
      <c r="AH187" s="15" t="str">
        <f t="shared" si="14"/>
        <v>J</v>
      </c>
      <c r="AI187" s="15" t="str">
        <f t="shared" si="15"/>
        <v>J-6</v>
      </c>
    </row>
    <row r="188" spans="1:35" ht="15.75" customHeight="1" x14ac:dyDescent="0.35">
      <c r="A188" s="8">
        <v>187</v>
      </c>
      <c r="B188" s="9" t="s">
        <v>255</v>
      </c>
      <c r="C188" s="9" t="s">
        <v>248</v>
      </c>
      <c r="D188" s="8">
        <v>7</v>
      </c>
      <c r="E188" s="10"/>
      <c r="F188" s="10"/>
      <c r="G188" s="10"/>
      <c r="H188" s="11">
        <v>1</v>
      </c>
      <c r="I188" s="11">
        <v>9</v>
      </c>
      <c r="J188" s="11">
        <v>37</v>
      </c>
      <c r="K188" s="11">
        <v>28</v>
      </c>
      <c r="L188" s="11">
        <v>28</v>
      </c>
      <c r="M188" s="11"/>
      <c r="N188" s="11">
        <v>0</v>
      </c>
      <c r="O188" s="11">
        <v>25</v>
      </c>
      <c r="P188" s="11">
        <v>3</v>
      </c>
      <c r="Q188" s="11"/>
      <c r="R188" s="19"/>
      <c r="S188" s="10"/>
      <c r="T188" s="21"/>
      <c r="U188" s="12"/>
      <c r="V188" s="12">
        <f t="shared" si="18"/>
        <v>56</v>
      </c>
      <c r="W188" s="10">
        <f ca="1">IFERROR(__xludf.DUMMYFUNCTION("IFERROR(
  SUM(
    FILTER(
      Reporte!$E:$E, 
      REGEXMATCH(Reporte!$A:$A, ""(?i)(TE PAGÓ|PAGASTE)""), 
      Reporte!$H:$H &amp; """" = AH188 &amp; """"
    )
  ), 
  0
)"),56)</f>
        <v>56</v>
      </c>
      <c r="X188" s="10">
        <f ca="1">IFERROR(__xludf.DUMMYFUNCTION("IFERROR(
  SUM(
    FILTER(
      Efectivo!$C:$C, 
      Efectivo!$D:$D &amp; """" = AH188 &amp; """"
    )
  ), 
  0
)"),0)</f>
        <v>0</v>
      </c>
      <c r="Y188" s="10" t="s">
        <v>34</v>
      </c>
      <c r="Z188" s="10"/>
      <c r="AA188" s="10" t="s">
        <v>35</v>
      </c>
      <c r="AB188" s="10"/>
      <c r="AC188" s="10"/>
      <c r="AD188" s="10" t="str">
        <f t="shared" si="13"/>
        <v/>
      </c>
      <c r="AE188" s="10" t="e">
        <f>IF(
   OR(
     AND(#REF!&gt;0, OR(Y188="C", Y188="c"), U188&lt;0),
     AND(#REF!&gt;0, Y188="")
   ),
   "CORTE",
   ""
)</f>
        <v>#REF!</v>
      </c>
      <c r="AF188" s="10">
        <f t="shared" si="1"/>
        <v>0</v>
      </c>
      <c r="AG188" s="10">
        <f t="shared" si="2"/>
        <v>56</v>
      </c>
      <c r="AH188" s="10" t="str">
        <f t="shared" si="14"/>
        <v>J</v>
      </c>
      <c r="AI188" s="10" t="str">
        <f t="shared" si="15"/>
        <v>J-7</v>
      </c>
    </row>
    <row r="189" spans="1:35" ht="15.75" customHeight="1" x14ac:dyDescent="0.35">
      <c r="A189" s="13">
        <v>188</v>
      </c>
      <c r="B189" s="14" t="s">
        <v>256</v>
      </c>
      <c r="C189" s="14" t="s">
        <v>248</v>
      </c>
      <c r="D189" s="13">
        <v>8</v>
      </c>
      <c r="E189" s="15"/>
      <c r="F189" s="15"/>
      <c r="G189" s="15"/>
      <c r="H189" s="16">
        <v>1</v>
      </c>
      <c r="I189" s="16">
        <v>7</v>
      </c>
      <c r="J189" s="16">
        <v>23</v>
      </c>
      <c r="K189" s="16">
        <v>16</v>
      </c>
      <c r="L189" s="16">
        <v>16</v>
      </c>
      <c r="M189" s="16"/>
      <c r="N189" s="16">
        <v>0</v>
      </c>
      <c r="O189" s="16">
        <v>25</v>
      </c>
      <c r="P189" s="16">
        <v>3</v>
      </c>
      <c r="Q189" s="16"/>
      <c r="R189" s="18"/>
      <c r="S189" s="15"/>
      <c r="T189" s="20"/>
      <c r="U189" s="17"/>
      <c r="V189" s="17">
        <f t="shared" si="18"/>
        <v>44</v>
      </c>
      <c r="W189" s="15">
        <f ca="1">IFERROR(__xludf.DUMMYFUNCTION("IFERROR(
  SUM(
    FILTER(
      Reporte!$E:$E, 
      REGEXMATCH(Reporte!$A:$A, ""(?i)(TE PAGÓ|PAGASTE)""), 
      Reporte!$H:$H &amp; """" = AH189 &amp; """"
    )
  ), 
  0
)"),0)</f>
        <v>0</v>
      </c>
      <c r="X189" s="15">
        <f ca="1">IFERROR(__xludf.DUMMYFUNCTION("IFERROR(
  SUM(
    FILTER(
      Efectivo!$C:$C, 
      Efectivo!$D:$D &amp; """" = AH189 &amp; """"
    )
  ), 
  0
)"),44)</f>
        <v>44</v>
      </c>
      <c r="Y189" s="15" t="s">
        <v>34</v>
      </c>
      <c r="Z189" s="15"/>
      <c r="AA189" s="15"/>
      <c r="AB189" s="15"/>
      <c r="AC189" s="15"/>
      <c r="AD189" s="15" t="str">
        <f t="shared" si="13"/>
        <v/>
      </c>
      <c r="AE189" s="15" t="e">
        <f>IF(
   OR(
     AND(#REF!&gt;0, OR(Y189="C", Y189="c"), U189&lt;0),
     AND(#REF!&gt;0, Y189="")
   ),
   "CORTE",
   ""
)</f>
        <v>#REF!</v>
      </c>
      <c r="AF189" s="15">
        <f t="shared" si="1"/>
        <v>44</v>
      </c>
      <c r="AG189" s="15">
        <f t="shared" si="2"/>
        <v>0</v>
      </c>
      <c r="AH189" s="15" t="str">
        <f t="shared" si="14"/>
        <v>J</v>
      </c>
      <c r="AI189" s="15" t="str">
        <f t="shared" si="15"/>
        <v>J-8</v>
      </c>
    </row>
    <row r="190" spans="1:35" ht="15.75" customHeight="1" x14ac:dyDescent="0.35">
      <c r="A190" s="8">
        <v>189</v>
      </c>
      <c r="B190" s="9" t="s">
        <v>257</v>
      </c>
      <c r="C190" s="9" t="s">
        <v>248</v>
      </c>
      <c r="D190" s="8">
        <v>9</v>
      </c>
      <c r="E190" s="10"/>
      <c r="F190" s="10"/>
      <c r="G190" s="10"/>
      <c r="H190" s="11">
        <v>1</v>
      </c>
      <c r="I190" s="11">
        <v>7</v>
      </c>
      <c r="J190" s="11">
        <v>22</v>
      </c>
      <c r="K190" s="11">
        <v>15</v>
      </c>
      <c r="L190" s="11">
        <v>15</v>
      </c>
      <c r="M190" s="11"/>
      <c r="N190" s="11">
        <v>0</v>
      </c>
      <c r="O190" s="11">
        <v>25</v>
      </c>
      <c r="P190" s="11">
        <v>3</v>
      </c>
      <c r="Q190" s="11"/>
      <c r="R190" s="19"/>
      <c r="S190" s="10"/>
      <c r="T190" s="21"/>
      <c r="U190" s="12"/>
      <c r="V190" s="12">
        <f t="shared" si="18"/>
        <v>43</v>
      </c>
      <c r="W190" s="10">
        <f ca="1">IFERROR(__xludf.DUMMYFUNCTION("IFERROR(
  SUM(
    FILTER(
      Reporte!$E:$E, 
      REGEXMATCH(Reporte!$A:$A, ""(?i)(TE PAGÓ|PAGASTE)""), 
      Reporte!$H:$H &amp; """" = AH190 &amp; """"
    )
  ), 
  0
)"),0)</f>
        <v>0</v>
      </c>
      <c r="X190" s="10">
        <f ca="1">IFERROR(__xludf.DUMMYFUNCTION("IFERROR(
  SUM(
    FILTER(
      Efectivo!$C:$C, 
      Efectivo!$D:$D &amp; """" = AH190 &amp; """"
    )
  ), 
  0
)"),43)</f>
        <v>43</v>
      </c>
      <c r="Y190" s="10" t="s">
        <v>34</v>
      </c>
      <c r="Z190" s="10"/>
      <c r="AA190" s="10"/>
      <c r="AB190" s="10"/>
      <c r="AC190" s="10"/>
      <c r="AD190" s="10" t="str">
        <f t="shared" si="13"/>
        <v/>
      </c>
      <c r="AE190" s="10" t="e">
        <f>IF(
   OR(
     AND(#REF!&gt;0, OR(Y190="C", Y190="c"), U190&lt;0),
     AND(#REF!&gt;0, Y190="")
   ),
   "CORTE",
   ""
)</f>
        <v>#REF!</v>
      </c>
      <c r="AF190" s="10">
        <f t="shared" si="1"/>
        <v>43</v>
      </c>
      <c r="AG190" s="10">
        <f t="shared" si="2"/>
        <v>0</v>
      </c>
      <c r="AH190" s="10" t="str">
        <f t="shared" si="14"/>
        <v>J</v>
      </c>
      <c r="AI190" s="10" t="str">
        <f t="shared" si="15"/>
        <v>J-9</v>
      </c>
    </row>
    <row r="191" spans="1:35" ht="15.75" customHeight="1" x14ac:dyDescent="0.35">
      <c r="A191" s="13">
        <v>190</v>
      </c>
      <c r="B191" s="14" t="s">
        <v>258</v>
      </c>
      <c r="C191" s="14" t="s">
        <v>248</v>
      </c>
      <c r="D191" s="13">
        <v>10</v>
      </c>
      <c r="E191" s="15"/>
      <c r="F191" s="15"/>
      <c r="G191" s="15"/>
      <c r="H191" s="16">
        <v>1</v>
      </c>
      <c r="I191" s="16">
        <v>152</v>
      </c>
      <c r="J191" s="16">
        <v>159</v>
      </c>
      <c r="K191" s="16">
        <v>7</v>
      </c>
      <c r="L191" s="16">
        <v>7</v>
      </c>
      <c r="M191" s="16"/>
      <c r="N191" s="16">
        <v>0</v>
      </c>
      <c r="O191" s="16"/>
      <c r="P191" s="16">
        <v>3</v>
      </c>
      <c r="Q191" s="16"/>
      <c r="R191" s="18"/>
      <c r="S191" s="15"/>
      <c r="T191" s="20"/>
      <c r="U191" s="17"/>
      <c r="V191" s="17">
        <f t="shared" si="18"/>
        <v>10</v>
      </c>
      <c r="W191" s="15">
        <f ca="1">IFERROR(__xludf.DUMMYFUNCTION("IFERROR(
  SUM(
    FILTER(
      Reporte!$E:$E, 
      REGEXMATCH(Reporte!$A:$A, ""(?i)(TE PAGÓ|PAGASTE)""), 
      Reporte!$H:$H &amp; """" = AH191 &amp; """"
    )
  ), 
  0
)"),0)</f>
        <v>0</v>
      </c>
      <c r="X191" s="15">
        <f ca="1">IFERROR(__xludf.DUMMYFUNCTION("IFERROR(
  SUM(
    FILTER(
      Efectivo!$C:$C, 
      Efectivo!$D:$D &amp; """" = AH191 &amp; """"
    )
  ), 
  0
)"),10)</f>
        <v>10</v>
      </c>
      <c r="Y191" s="15" t="s">
        <v>34</v>
      </c>
      <c r="Z191" s="15"/>
      <c r="AA191" s="15"/>
      <c r="AB191" s="15"/>
      <c r="AC191" s="15"/>
      <c r="AD191" s="15" t="str">
        <f t="shared" si="13"/>
        <v/>
      </c>
      <c r="AE191" s="15" t="e">
        <f>IF(
   OR(
     AND(#REF!&gt;0, OR(Y191="C", Y191="c"), U191&lt;0),
     AND(#REF!&gt;0, Y191="")
   ),
   "CORTE",
   ""
)</f>
        <v>#REF!</v>
      </c>
      <c r="AF191" s="15">
        <f t="shared" si="1"/>
        <v>10</v>
      </c>
      <c r="AG191" s="15">
        <f t="shared" si="2"/>
        <v>0</v>
      </c>
      <c r="AH191" s="15" t="str">
        <f t="shared" si="14"/>
        <v>J</v>
      </c>
      <c r="AI191" s="15" t="str">
        <f t="shared" si="15"/>
        <v>J-10</v>
      </c>
    </row>
    <row r="192" spans="1:35" ht="15.75" customHeight="1" x14ac:dyDescent="0.35">
      <c r="A192" s="8">
        <v>191</v>
      </c>
      <c r="B192" s="9" t="s">
        <v>259</v>
      </c>
      <c r="C192" s="9" t="s">
        <v>248</v>
      </c>
      <c r="D192" s="8">
        <v>11</v>
      </c>
      <c r="E192" s="10"/>
      <c r="F192" s="10"/>
      <c r="G192" s="10"/>
      <c r="H192" s="11">
        <v>1</v>
      </c>
      <c r="I192" s="11">
        <v>1452</v>
      </c>
      <c r="J192" s="11">
        <v>1463</v>
      </c>
      <c r="K192" s="11">
        <v>11</v>
      </c>
      <c r="L192" s="11">
        <v>11</v>
      </c>
      <c r="M192" s="11"/>
      <c r="N192" s="11">
        <v>0</v>
      </c>
      <c r="O192" s="11"/>
      <c r="P192" s="11">
        <v>3</v>
      </c>
      <c r="Q192" s="11"/>
      <c r="R192" s="19"/>
      <c r="S192" s="10"/>
      <c r="T192" s="21"/>
      <c r="U192" s="12"/>
      <c r="V192" s="12">
        <f>SUM(L192:U192)</f>
        <v>14</v>
      </c>
      <c r="W192" s="10">
        <f ca="1">IFERROR(__xludf.DUMMYFUNCTION("IFERROR(
  SUM(
    FILTER(
      Reporte!$E:$E, 
      REGEXMATCH(Reporte!$A:$A, ""(?i)(TE PAGÓ|PAGASTE)""), 
      Reporte!$H:$H &amp; """" = AH192 &amp; """"
    )
  ), 
  0
)"),0)</f>
        <v>0</v>
      </c>
      <c r="X192" s="10">
        <f ca="1">IFERROR(__xludf.DUMMYFUNCTION("IFERROR(
  SUM(
    FILTER(
      Efectivo!$C:$C, 
      Efectivo!$D:$D &amp; """" = AH192 &amp; """"
    )
  ), 
  0
)"),14)</f>
        <v>14</v>
      </c>
      <c r="Y192" s="10" t="s">
        <v>34</v>
      </c>
      <c r="Z192" s="10"/>
      <c r="AA192" s="10"/>
      <c r="AB192" s="10"/>
      <c r="AC192" s="10"/>
      <c r="AD192" s="10" t="str">
        <f t="shared" si="13"/>
        <v/>
      </c>
      <c r="AE192" s="10" t="e">
        <f>IF(
   OR(
     AND(#REF!&gt;0, OR(Y192="C", Y192="c"), U192&lt;0),
     AND(#REF!&gt;0, Y192="")
   ),
   "CORTE",
   ""
)</f>
        <v>#REF!</v>
      </c>
      <c r="AF192" s="10">
        <f t="shared" si="1"/>
        <v>14</v>
      </c>
      <c r="AG192" s="10">
        <f t="shared" si="2"/>
        <v>0</v>
      </c>
      <c r="AH192" s="10" t="str">
        <f t="shared" si="14"/>
        <v>J</v>
      </c>
      <c r="AI192" s="10" t="str">
        <f t="shared" si="15"/>
        <v>J-11</v>
      </c>
    </row>
    <row r="193" spans="1:35" ht="15.75" customHeight="1" x14ac:dyDescent="0.35">
      <c r="A193" s="13">
        <v>192</v>
      </c>
      <c r="B193" s="14" t="s">
        <v>260</v>
      </c>
      <c r="C193" s="14" t="s">
        <v>248</v>
      </c>
      <c r="D193" s="13">
        <v>12</v>
      </c>
      <c r="E193" s="15"/>
      <c r="F193" s="15"/>
      <c r="G193" s="15"/>
      <c r="H193" s="16">
        <v>1</v>
      </c>
      <c r="I193" s="16">
        <v>661</v>
      </c>
      <c r="J193" s="16">
        <v>669</v>
      </c>
      <c r="K193" s="16">
        <v>8</v>
      </c>
      <c r="L193" s="16">
        <v>8</v>
      </c>
      <c r="M193" s="16">
        <v>-8</v>
      </c>
      <c r="N193" s="16">
        <v>0</v>
      </c>
      <c r="O193" s="16"/>
      <c r="P193" s="16">
        <v>3</v>
      </c>
      <c r="Q193" s="16"/>
      <c r="R193" s="18"/>
      <c r="S193" s="15"/>
      <c r="T193" s="20"/>
      <c r="U193" s="17">
        <v>5</v>
      </c>
      <c r="V193" s="17">
        <f>SUM(L193:U193)</f>
        <v>8</v>
      </c>
      <c r="W193" s="15">
        <f ca="1">IFERROR(__xludf.DUMMYFUNCTION("IFERROR(
  SUM(
    FILTER(
      Reporte!$E:$E, 
      REGEXMATCH(Reporte!$A:$A, ""(?i)(TE PAGÓ|PAGASTE)""), 
      Reporte!$H:$H &amp; """" = AH193 &amp; """"
    )
  ), 
  0
)"),0)</f>
        <v>0</v>
      </c>
      <c r="X193" s="15">
        <f ca="1">IFERROR(__xludf.DUMMYFUNCTION("IFERROR(
  SUM(
    FILTER(
      Efectivo!$C:$C, 
      Efectivo!$D:$D &amp; """" = AH193 &amp; """"
    )
  ), 
  0
)"),8)</f>
        <v>8</v>
      </c>
      <c r="Y193" s="15" t="s">
        <v>34</v>
      </c>
      <c r="Z193" s="15"/>
      <c r="AA193" s="15"/>
      <c r="AB193" s="15" t="s">
        <v>261</v>
      </c>
      <c r="AC193" s="15"/>
      <c r="AD193" s="15" t="str">
        <f t="shared" si="13"/>
        <v/>
      </c>
      <c r="AE193" s="15" t="e">
        <f>IF(
   OR(
     AND(#REF!&gt;0, OR(Y193="C", Y193="c"), U193&lt;0),
     AND(#REF!&gt;0, Y193="")
   ),
   "CORTE",
   ""
)</f>
        <v>#REF!</v>
      </c>
      <c r="AF193" s="15">
        <f t="shared" si="1"/>
        <v>8</v>
      </c>
      <c r="AG193" s="15">
        <f t="shared" si="2"/>
        <v>0</v>
      </c>
      <c r="AH193" s="15" t="str">
        <f t="shared" si="14"/>
        <v>J</v>
      </c>
      <c r="AI193" s="15" t="str">
        <f t="shared" si="15"/>
        <v>J-12</v>
      </c>
    </row>
    <row r="194" spans="1:35" ht="15.75" customHeight="1" x14ac:dyDescent="0.35">
      <c r="A194" s="8">
        <v>193</v>
      </c>
      <c r="B194" s="9" t="s">
        <v>262</v>
      </c>
      <c r="C194" s="9" t="s">
        <v>248</v>
      </c>
      <c r="D194" s="8">
        <v>14</v>
      </c>
      <c r="E194" s="10"/>
      <c r="F194" s="10"/>
      <c r="G194" s="10"/>
      <c r="H194" s="11">
        <v>1</v>
      </c>
      <c r="I194" s="11"/>
      <c r="J194" s="11">
        <v>13665</v>
      </c>
      <c r="K194" s="11">
        <v>422</v>
      </c>
      <c r="L194" s="11">
        <v>422</v>
      </c>
      <c r="M194" s="11"/>
      <c r="N194" s="11">
        <v>0</v>
      </c>
      <c r="O194" s="11"/>
      <c r="P194" s="11">
        <v>3</v>
      </c>
      <c r="Q194" s="11"/>
      <c r="R194" s="19"/>
      <c r="S194" s="10"/>
      <c r="T194" s="21"/>
      <c r="U194" s="12"/>
      <c r="V194" s="12">
        <f>SUM(L194:Q194)</f>
        <v>425</v>
      </c>
      <c r="W194" s="10">
        <f ca="1">IFERROR(__xludf.DUMMYFUNCTION("IFERROR(
  SUM(
    FILTER(
      Reporte!$E:$E, 
      REGEXMATCH(Reporte!$A:$A, ""(?i)(TE PAGÓ|PAGASTE)""), 
      Reporte!$H:$H &amp; """" = AH194 &amp; """"
    )
  ), 
  0
)"),0)</f>
        <v>0</v>
      </c>
      <c r="X194" s="10">
        <f ca="1">IFERROR(__xludf.DUMMYFUNCTION("IFERROR(
  SUM(
    FILTER(
      Efectivo!$C:$C, 
      Efectivo!$D:$D &amp; """" = AH194 &amp; """"
    )
  ), 
  0
)"),0)</f>
        <v>0</v>
      </c>
      <c r="Y194" s="10"/>
      <c r="Z194" s="10"/>
      <c r="AA194" s="10"/>
      <c r="AB194" s="10"/>
      <c r="AC194" s="10"/>
      <c r="AD194" s="10" t="str">
        <f t="shared" ref="AD194:AD257" si="19">IF(AND(L194&gt;0, M194&gt;=8, NOT(OR(Y194="C", Y194="c"))), "CORTE", "")</f>
        <v/>
      </c>
      <c r="AE194" s="10" t="e">
        <f>IF(
   OR(
     AND(#REF!&gt;0, OR(Y194="C", Y194="c"), U194&lt;0),
     AND(#REF!&gt;0, Y194="")
   ),
   "CORTE",
   ""
)</f>
        <v>#REF!</v>
      </c>
      <c r="AF194" s="10">
        <f t="shared" si="1"/>
        <v>0</v>
      </c>
      <c r="AG194" s="10">
        <f t="shared" si="2"/>
        <v>0</v>
      </c>
      <c r="AH194" s="10" t="str">
        <f t="shared" ref="AH194:AH257" si="20">TRIM(UPPER(C194))</f>
        <v>J</v>
      </c>
      <c r="AI194" s="10" t="str">
        <f t="shared" ref="AI194:AI257" si="21">TRIM(UPPER(C194)) &amp; "-" &amp; TRIM(UPPER(D194))</f>
        <v>J-14</v>
      </c>
    </row>
    <row r="195" spans="1:35" ht="15.75" customHeight="1" x14ac:dyDescent="0.35">
      <c r="A195" s="13">
        <v>194</v>
      </c>
      <c r="B195" s="14" t="s">
        <v>263</v>
      </c>
      <c r="C195" s="14" t="s">
        <v>264</v>
      </c>
      <c r="D195" s="13">
        <v>1</v>
      </c>
      <c r="E195" s="15"/>
      <c r="F195" s="15"/>
      <c r="G195" s="15"/>
      <c r="H195" s="16">
        <v>1</v>
      </c>
      <c r="I195" s="16">
        <v>4</v>
      </c>
      <c r="J195" s="16">
        <v>14</v>
      </c>
      <c r="K195" s="16">
        <v>10</v>
      </c>
      <c r="L195" s="16">
        <v>10</v>
      </c>
      <c r="M195" s="16"/>
      <c r="N195" s="16">
        <v>0</v>
      </c>
      <c r="O195" s="16">
        <v>25</v>
      </c>
      <c r="P195" s="16">
        <v>3</v>
      </c>
      <c r="Q195" s="16"/>
      <c r="R195" s="18"/>
      <c r="S195" s="15"/>
      <c r="T195" s="20"/>
      <c r="U195" s="17"/>
      <c r="V195" s="17">
        <f>SUM(L195:Q195)</f>
        <v>38</v>
      </c>
      <c r="W195" s="15">
        <f ca="1">IFERROR(__xludf.DUMMYFUNCTION("IFERROR(
  SUM(
    FILTER(
      Reporte!$E:$E, 
      REGEXMATCH(Reporte!$A:$A, ""(?i)(TE PAGÓ|PAGASTE)""), 
      Reporte!$H:$H &amp; """" = AH195 &amp; """"
    )
  ), 
  0
)"),0)</f>
        <v>0</v>
      </c>
      <c r="X195" s="15">
        <f ca="1">IFERROR(__xludf.DUMMYFUNCTION("IFERROR(
  SUM(
    FILTER(
      Efectivo!$C:$C, 
      Efectivo!$D:$D &amp; """" = AH195 &amp; """"
    )
  ), 
  0
)"),38)</f>
        <v>38</v>
      </c>
      <c r="Y195" s="15" t="s">
        <v>34</v>
      </c>
      <c r="Z195" s="15"/>
      <c r="AA195" s="15"/>
      <c r="AB195" s="15"/>
      <c r="AC195" s="15"/>
      <c r="AD195" s="15" t="str">
        <f t="shared" si="19"/>
        <v/>
      </c>
      <c r="AE195" s="15" t="e">
        <f>IF(
   OR(
     AND(#REF!&gt;0, OR(Y195="C", Y195="c"), U195&lt;0),
     AND(#REF!&gt;0, Y195="")
   ),
   "CORTE",
   ""
)</f>
        <v>#REF!</v>
      </c>
      <c r="AF195" s="15">
        <f t="shared" si="1"/>
        <v>38</v>
      </c>
      <c r="AG195" s="15">
        <f t="shared" si="2"/>
        <v>0</v>
      </c>
      <c r="AH195" s="15" t="str">
        <f t="shared" si="20"/>
        <v>K</v>
      </c>
      <c r="AI195" s="15" t="str">
        <f t="shared" si="21"/>
        <v>K-1</v>
      </c>
    </row>
    <row r="196" spans="1:35" ht="15.75" customHeight="1" x14ac:dyDescent="0.35">
      <c r="A196" s="8">
        <v>195</v>
      </c>
      <c r="B196" s="9" t="s">
        <v>265</v>
      </c>
      <c r="C196" s="9" t="s">
        <v>264</v>
      </c>
      <c r="D196" s="8">
        <v>2</v>
      </c>
      <c r="E196" s="10"/>
      <c r="F196" s="10"/>
      <c r="G196" s="10"/>
      <c r="H196" s="11">
        <v>1</v>
      </c>
      <c r="I196" s="11">
        <v>1</v>
      </c>
      <c r="J196" s="11">
        <v>7</v>
      </c>
      <c r="K196" s="11">
        <v>6</v>
      </c>
      <c r="L196" s="11">
        <v>6</v>
      </c>
      <c r="M196" s="11"/>
      <c r="N196" s="11">
        <v>0</v>
      </c>
      <c r="O196" s="11">
        <v>25</v>
      </c>
      <c r="P196" s="11">
        <v>3</v>
      </c>
      <c r="Q196" s="11"/>
      <c r="R196" s="19"/>
      <c r="S196" s="10"/>
      <c r="T196" s="21"/>
      <c r="U196" s="12"/>
      <c r="V196" s="12">
        <f>SUM(L196:Q196)</f>
        <v>34</v>
      </c>
      <c r="W196" s="10">
        <f ca="1">IFERROR(__xludf.DUMMYFUNCTION("IFERROR(
  SUM(
    FILTER(
      Reporte!$E:$E, 
      REGEXMATCH(Reporte!$A:$A, ""(?i)(TE PAGÓ|PAGASTE)""), 
      Reporte!$H:$H &amp; """" = AH196 &amp; """"
    )
  ), 
  0
)"),34)</f>
        <v>34</v>
      </c>
      <c r="X196" s="10">
        <f ca="1">IFERROR(__xludf.DUMMYFUNCTION("IFERROR(
  SUM(
    FILTER(
      Efectivo!$C:$C, 
      Efectivo!$D:$D &amp; """" = AH196 &amp; """"
    )
  ), 
  0
)"),0)</f>
        <v>0</v>
      </c>
      <c r="Y196" s="10" t="s">
        <v>34</v>
      </c>
      <c r="Z196" s="10"/>
      <c r="AA196" s="10" t="s">
        <v>35</v>
      </c>
      <c r="AB196" s="10"/>
      <c r="AC196" s="10"/>
      <c r="AD196" s="10" t="str">
        <f t="shared" si="19"/>
        <v/>
      </c>
      <c r="AE196" s="10" t="e">
        <f>IF(
   OR(
     AND(#REF!&gt;0, OR(Y196="C", Y196="c"), U196&lt;0),
     AND(#REF!&gt;0, Y196="")
   ),
   "CORTE",
   ""
)</f>
        <v>#REF!</v>
      </c>
      <c r="AF196" s="10">
        <f t="shared" si="1"/>
        <v>0</v>
      </c>
      <c r="AG196" s="10">
        <f t="shared" si="2"/>
        <v>34</v>
      </c>
      <c r="AH196" s="10" t="str">
        <f t="shared" si="20"/>
        <v>K</v>
      </c>
      <c r="AI196" s="10" t="str">
        <f t="shared" si="21"/>
        <v>K-2</v>
      </c>
    </row>
    <row r="197" spans="1:35" ht="15.75" customHeight="1" x14ac:dyDescent="0.35">
      <c r="A197" s="13">
        <v>196</v>
      </c>
      <c r="B197" s="14" t="s">
        <v>266</v>
      </c>
      <c r="C197" s="14" t="s">
        <v>264</v>
      </c>
      <c r="D197" s="13">
        <v>3</v>
      </c>
      <c r="E197" s="15"/>
      <c r="F197" s="15"/>
      <c r="G197" s="15"/>
      <c r="H197" s="16">
        <v>1</v>
      </c>
      <c r="I197" s="16">
        <v>119</v>
      </c>
      <c r="J197" s="16">
        <v>122</v>
      </c>
      <c r="K197" s="16">
        <v>3</v>
      </c>
      <c r="L197" s="16">
        <v>5</v>
      </c>
      <c r="M197" s="16">
        <v>8</v>
      </c>
      <c r="N197" s="16">
        <v>0</v>
      </c>
      <c r="O197" s="16"/>
      <c r="P197" s="16">
        <v>3</v>
      </c>
      <c r="Q197" s="16"/>
      <c r="R197" s="18"/>
      <c r="S197" s="15"/>
      <c r="T197" s="20"/>
      <c r="U197" s="17"/>
      <c r="V197" s="17">
        <f>SUM(L197:Q197)</f>
        <v>16</v>
      </c>
      <c r="W197" s="15">
        <f ca="1">IFERROR(__xludf.DUMMYFUNCTION("IFERROR(
  SUM(
    FILTER(
      Reporte!$E:$E, 
      REGEXMATCH(Reporte!$A:$A, ""(?i)(TE PAGÓ|PAGASTE)""), 
      Reporte!$H:$H &amp; """" = AH197 &amp; """"
    )
  ), 
  0
)"),16)</f>
        <v>16</v>
      </c>
      <c r="X197" s="15">
        <f ca="1">IFERROR(__xludf.DUMMYFUNCTION("IFERROR(
  SUM(
    FILTER(
      Efectivo!$C:$C, 
      Efectivo!$D:$D &amp; """" = AH197 &amp; """"
    )
  ), 
  0
)"),0)</f>
        <v>0</v>
      </c>
      <c r="Y197" s="15" t="s">
        <v>34</v>
      </c>
      <c r="Z197" s="15"/>
      <c r="AA197" s="15" t="s">
        <v>35</v>
      </c>
      <c r="AB197" s="15"/>
      <c r="AC197" s="15"/>
      <c r="AD197" s="15" t="str">
        <f t="shared" si="19"/>
        <v/>
      </c>
      <c r="AE197" s="15" t="e">
        <f>IF(
   OR(
     AND(#REF!&gt;0, OR(Y197="C", Y197="c"), U197&lt;0),
     AND(#REF!&gt;0, Y197="")
   ),
   "CORTE",
   ""
)</f>
        <v>#REF!</v>
      </c>
      <c r="AF197" s="15">
        <f t="shared" si="1"/>
        <v>0</v>
      </c>
      <c r="AG197" s="15">
        <f t="shared" si="2"/>
        <v>16</v>
      </c>
      <c r="AH197" s="15" t="str">
        <f t="shared" si="20"/>
        <v>K</v>
      </c>
      <c r="AI197" s="15" t="str">
        <f t="shared" si="21"/>
        <v>K-3</v>
      </c>
    </row>
    <row r="198" spans="1:35" ht="15.75" customHeight="1" x14ac:dyDescent="0.35">
      <c r="A198" s="8">
        <v>197</v>
      </c>
      <c r="B198" s="9" t="s">
        <v>267</v>
      </c>
      <c r="C198" s="9" t="s">
        <v>264</v>
      </c>
      <c r="D198" s="8">
        <v>4</v>
      </c>
      <c r="E198" s="10"/>
      <c r="F198" s="10"/>
      <c r="G198" s="10"/>
      <c r="H198" s="11">
        <v>1</v>
      </c>
      <c r="I198" s="11">
        <v>5</v>
      </c>
      <c r="J198" s="11">
        <v>32</v>
      </c>
      <c r="K198" s="11">
        <v>27</v>
      </c>
      <c r="L198" s="11">
        <v>27</v>
      </c>
      <c r="M198" s="11">
        <v>35</v>
      </c>
      <c r="N198" s="11">
        <v>0</v>
      </c>
      <c r="O198" s="19">
        <v>25</v>
      </c>
      <c r="P198" s="11">
        <v>3</v>
      </c>
      <c r="Q198" s="11"/>
      <c r="R198" s="19"/>
      <c r="S198" s="10"/>
      <c r="T198" s="21"/>
      <c r="U198" s="22"/>
      <c r="V198" s="12">
        <f>SUM(L198:U198)</f>
        <v>90</v>
      </c>
      <c r="W198" s="10">
        <f ca="1">IFERROR(__xludf.DUMMYFUNCTION("IFERROR(
  SUM(
    FILTER(
      Reporte!$E:$E, 
      REGEXMATCH(Reporte!$A:$A, ""(?i)(TE PAGÓ|PAGASTE)""), 
      Reporte!$H:$H &amp; """" = AH198 &amp; """"
    )
  ), 
  0
)"),90)</f>
        <v>90</v>
      </c>
      <c r="X198" s="10">
        <f ca="1">IFERROR(__xludf.DUMMYFUNCTION("IFERROR(
  SUM(
    FILTER(
      Efectivo!$C:$C, 
      Efectivo!$D:$D &amp; """" = AH198 &amp; """"
    )
  ), 
  0
)"),0)</f>
        <v>0</v>
      </c>
      <c r="Y198" s="10" t="s">
        <v>34</v>
      </c>
      <c r="Z198" s="10"/>
      <c r="AA198" s="10" t="s">
        <v>35</v>
      </c>
      <c r="AB198" s="10"/>
      <c r="AC198" s="10"/>
      <c r="AD198" s="10" t="str">
        <f t="shared" si="19"/>
        <v/>
      </c>
      <c r="AE198" s="10" t="e">
        <f>IF(
   OR(
     AND(#REF!&gt;0, OR(Y198="C", Y198="c"), U198&lt;0),
     AND(#REF!&gt;0, Y198="")
   ),
   "CORTE",
   ""
)</f>
        <v>#REF!</v>
      </c>
      <c r="AF198" s="10">
        <f t="shared" si="1"/>
        <v>0</v>
      </c>
      <c r="AG198" s="10">
        <f t="shared" si="2"/>
        <v>90</v>
      </c>
      <c r="AH198" s="10" t="str">
        <f t="shared" si="20"/>
        <v>K</v>
      </c>
      <c r="AI198" s="10" t="str">
        <f t="shared" si="21"/>
        <v>K-4</v>
      </c>
    </row>
    <row r="199" spans="1:35" ht="15.75" customHeight="1" x14ac:dyDescent="0.35">
      <c r="A199" s="13">
        <v>198</v>
      </c>
      <c r="B199" s="14" t="s">
        <v>268</v>
      </c>
      <c r="C199" s="14" t="s">
        <v>264</v>
      </c>
      <c r="D199" s="13">
        <v>6</v>
      </c>
      <c r="E199" s="15"/>
      <c r="F199" s="15"/>
      <c r="G199" s="15"/>
      <c r="H199" s="16">
        <v>1</v>
      </c>
      <c r="I199" s="16">
        <v>8</v>
      </c>
      <c r="J199" s="16">
        <v>56</v>
      </c>
      <c r="K199" s="16">
        <v>48</v>
      </c>
      <c r="L199" s="16">
        <v>48</v>
      </c>
      <c r="M199" s="16"/>
      <c r="N199" s="16">
        <v>0</v>
      </c>
      <c r="O199" s="16">
        <v>25</v>
      </c>
      <c r="P199" s="16">
        <v>3</v>
      </c>
      <c r="Q199" s="16"/>
      <c r="R199" s="18"/>
      <c r="S199" s="15"/>
      <c r="T199" s="20"/>
      <c r="U199" s="17"/>
      <c r="V199" s="17">
        <f t="shared" ref="V199:V204" si="22">SUM(L199:Q199)</f>
        <v>76</v>
      </c>
      <c r="W199" s="15">
        <f ca="1">IFERROR(__xludf.DUMMYFUNCTION("IFERROR(
  SUM(
    FILTER(
      Reporte!$E:$E, 
      REGEXMATCH(Reporte!$A:$A, ""(?i)(TE PAGÓ|PAGASTE)""), 
      Reporte!$H:$H &amp; """" = AH199 &amp; """"
    )
  ), 
  0
)"),76)</f>
        <v>76</v>
      </c>
      <c r="X199" s="15">
        <f ca="1">IFERROR(__xludf.DUMMYFUNCTION("IFERROR(
  SUM(
    FILTER(
      Efectivo!$C:$C, 
      Efectivo!$D:$D &amp; """" = AH199 &amp; """"
    )
  ), 
  0
)"),0)</f>
        <v>0</v>
      </c>
      <c r="Y199" s="15" t="s">
        <v>34</v>
      </c>
      <c r="Z199" s="15"/>
      <c r="AA199" s="15" t="s">
        <v>35</v>
      </c>
      <c r="AB199" s="15"/>
      <c r="AC199" s="15"/>
      <c r="AD199" s="15" t="str">
        <f t="shared" si="19"/>
        <v/>
      </c>
      <c r="AE199" s="15" t="e">
        <f>IF(
   OR(
     AND(#REF!&gt;0, OR(Y199="C", Y199="c"), U199&lt;0),
     AND(#REF!&gt;0, Y199="")
   ),
   "CORTE",
   ""
)</f>
        <v>#REF!</v>
      </c>
      <c r="AF199" s="15">
        <f t="shared" si="1"/>
        <v>0</v>
      </c>
      <c r="AG199" s="15">
        <f t="shared" si="2"/>
        <v>76</v>
      </c>
      <c r="AH199" s="15" t="str">
        <f t="shared" si="20"/>
        <v>K</v>
      </c>
      <c r="AI199" s="15" t="str">
        <f t="shared" si="21"/>
        <v>K-6</v>
      </c>
    </row>
    <row r="200" spans="1:35" ht="15.75" customHeight="1" x14ac:dyDescent="0.35">
      <c r="A200" s="8">
        <v>199</v>
      </c>
      <c r="B200" s="9" t="s">
        <v>269</v>
      </c>
      <c r="C200" s="9" t="s">
        <v>264</v>
      </c>
      <c r="D200" s="8">
        <v>7</v>
      </c>
      <c r="E200" s="10"/>
      <c r="F200" s="10"/>
      <c r="G200" s="10"/>
      <c r="H200" s="11">
        <v>1</v>
      </c>
      <c r="I200" s="11">
        <v>208</v>
      </c>
      <c r="J200" s="11">
        <v>226</v>
      </c>
      <c r="K200" s="11">
        <v>18</v>
      </c>
      <c r="L200" s="11">
        <v>18</v>
      </c>
      <c r="M200" s="11">
        <v>19</v>
      </c>
      <c r="N200" s="11">
        <v>0</v>
      </c>
      <c r="O200" s="11"/>
      <c r="P200" s="11">
        <v>3</v>
      </c>
      <c r="Q200" s="11"/>
      <c r="R200" s="19"/>
      <c r="S200" s="10"/>
      <c r="T200" s="21"/>
      <c r="U200" s="12"/>
      <c r="V200" s="12">
        <f t="shared" si="22"/>
        <v>40</v>
      </c>
      <c r="W200" s="10">
        <f ca="1">IFERROR(__xludf.DUMMYFUNCTION("IFERROR(
  SUM(
    FILTER(
      Reporte!$E:$E, 
      REGEXMATCH(Reporte!$A:$A, ""(?i)(TE PAGÓ|PAGASTE)""), 
      Reporte!$H:$H &amp; """" = AH200 &amp; """"
    )
  ), 
  0
)"),40)</f>
        <v>40</v>
      </c>
      <c r="X200" s="10">
        <f ca="1">IFERROR(__xludf.DUMMYFUNCTION("IFERROR(
  SUM(
    FILTER(
      Efectivo!$C:$C, 
      Efectivo!$D:$D &amp; """" = AH200 &amp; """"
    )
  ), 
  0
)"),0)</f>
        <v>0</v>
      </c>
      <c r="Y200" s="10" t="s">
        <v>34</v>
      </c>
      <c r="Z200" s="10"/>
      <c r="AA200" s="10" t="s">
        <v>35</v>
      </c>
      <c r="AB200" s="10"/>
      <c r="AC200" s="10"/>
      <c r="AD200" s="10" t="str">
        <f t="shared" si="19"/>
        <v/>
      </c>
      <c r="AE200" s="10" t="e">
        <f>IF(
   OR(
     AND(#REF!&gt;0, OR(Y200="C", Y200="c"), U200&lt;0),
     AND(#REF!&gt;0, Y200="")
   ),
   "CORTE",
   ""
)</f>
        <v>#REF!</v>
      </c>
      <c r="AF200" s="10">
        <f t="shared" si="1"/>
        <v>0</v>
      </c>
      <c r="AG200" s="10">
        <f t="shared" si="2"/>
        <v>40</v>
      </c>
      <c r="AH200" s="10" t="str">
        <f t="shared" si="20"/>
        <v>K</v>
      </c>
      <c r="AI200" s="10" t="str">
        <f t="shared" si="21"/>
        <v>K-7</v>
      </c>
    </row>
    <row r="201" spans="1:35" ht="15.75" customHeight="1" x14ac:dyDescent="0.35">
      <c r="A201" s="13">
        <v>200</v>
      </c>
      <c r="B201" s="14" t="s">
        <v>270</v>
      </c>
      <c r="C201" s="14" t="s">
        <v>264</v>
      </c>
      <c r="D201" s="13">
        <v>8</v>
      </c>
      <c r="E201" s="15"/>
      <c r="F201" s="15"/>
      <c r="G201" s="15"/>
      <c r="H201" s="16">
        <v>1</v>
      </c>
      <c r="I201" s="16">
        <v>6</v>
      </c>
      <c r="J201" s="16">
        <v>11</v>
      </c>
      <c r="K201" s="16">
        <v>5</v>
      </c>
      <c r="L201" s="16">
        <v>5</v>
      </c>
      <c r="M201" s="16">
        <v>9</v>
      </c>
      <c r="N201" s="16">
        <v>0</v>
      </c>
      <c r="O201" s="16">
        <v>100</v>
      </c>
      <c r="P201" s="16">
        <v>3</v>
      </c>
      <c r="Q201" s="16"/>
      <c r="R201" s="18"/>
      <c r="S201" s="15"/>
      <c r="T201" s="20"/>
      <c r="U201" s="17"/>
      <c r="V201" s="17">
        <f t="shared" si="22"/>
        <v>117</v>
      </c>
      <c r="W201" s="15">
        <f ca="1">IFERROR(__xludf.DUMMYFUNCTION("IFERROR(
  SUM(
    FILTER(
      Reporte!$E:$E, 
      REGEXMATCH(Reporte!$A:$A, ""(?i)(TE PAGÓ|PAGASTE)""), 
      Reporte!$H:$H &amp; """" = AH201 &amp; """"
    )
  ), 
  0
)"),0)</f>
        <v>0</v>
      </c>
      <c r="X201" s="15">
        <f ca="1">IFERROR(__xludf.DUMMYFUNCTION("IFERROR(
  SUM(
    FILTER(
      Efectivo!$C:$C, 
      Efectivo!$D:$D &amp; """" = AH201 &amp; """"
    )
  ), 
  0
)"),8)</f>
        <v>8</v>
      </c>
      <c r="Y201" s="15" t="s">
        <v>34</v>
      </c>
      <c r="Z201" s="15"/>
      <c r="AA201" s="15"/>
      <c r="AB201" s="15" t="s">
        <v>271</v>
      </c>
      <c r="AC201" s="15"/>
      <c r="AD201" s="15" t="str">
        <f t="shared" si="19"/>
        <v/>
      </c>
      <c r="AE201" s="15" t="e">
        <f>IF(
   OR(
     AND(#REF!&gt;0, OR(Y201="C", Y201="c"), U201&lt;0),
     AND(#REF!&gt;0, Y201="")
   ),
   "CORTE",
   ""
)</f>
        <v>#REF!</v>
      </c>
      <c r="AF201" s="15">
        <f t="shared" si="1"/>
        <v>117</v>
      </c>
      <c r="AG201" s="15">
        <f t="shared" si="2"/>
        <v>0</v>
      </c>
      <c r="AH201" s="15" t="str">
        <f t="shared" si="20"/>
        <v>K</v>
      </c>
      <c r="AI201" s="15" t="str">
        <f t="shared" si="21"/>
        <v>K-8</v>
      </c>
    </row>
    <row r="202" spans="1:35" ht="15.75" customHeight="1" x14ac:dyDescent="0.35">
      <c r="A202" s="8">
        <v>201</v>
      </c>
      <c r="B202" s="9" t="s">
        <v>272</v>
      </c>
      <c r="C202" s="9" t="s">
        <v>264</v>
      </c>
      <c r="D202" s="8">
        <v>9</v>
      </c>
      <c r="E202" s="10"/>
      <c r="F202" s="10"/>
      <c r="G202" s="10"/>
      <c r="H202" s="11">
        <v>1</v>
      </c>
      <c r="I202" s="11">
        <v>99996</v>
      </c>
      <c r="J202" s="11">
        <v>99994</v>
      </c>
      <c r="K202" s="11">
        <v>2</v>
      </c>
      <c r="L202" s="11">
        <v>5</v>
      </c>
      <c r="M202" s="11">
        <v>14</v>
      </c>
      <c r="N202" s="11">
        <v>0</v>
      </c>
      <c r="O202" s="11"/>
      <c r="P202" s="11">
        <v>3</v>
      </c>
      <c r="Q202" s="11"/>
      <c r="R202" s="19"/>
      <c r="S202" s="10"/>
      <c r="T202" s="21"/>
      <c r="U202" s="12"/>
      <c r="V202" s="12">
        <f t="shared" si="22"/>
        <v>22</v>
      </c>
      <c r="W202" s="10">
        <f ca="1">IFERROR(__xludf.DUMMYFUNCTION("IFERROR(
  SUM(
    FILTER(
      Reporte!$E:$E, 
      REGEXMATCH(Reporte!$A:$A, ""(?i)(TE PAGÓ|PAGASTE)""), 
      Reporte!$H:$H &amp; """" = AH202 &amp; """"
    )
  ), 
  0
)"),0)</f>
        <v>0</v>
      </c>
      <c r="X202" s="10">
        <f ca="1">IFERROR(__xludf.DUMMYFUNCTION("IFERROR(
  SUM(
    FILTER(
      Efectivo!$C:$C, 
      Efectivo!$D:$D &amp; """" = AH202 &amp; """"
    )
  ), 
  0
)"),8)</f>
        <v>8</v>
      </c>
      <c r="Y202" s="10" t="s">
        <v>34</v>
      </c>
      <c r="Z202" s="10"/>
      <c r="AA202" s="10"/>
      <c r="AB202" s="10" t="s">
        <v>273</v>
      </c>
      <c r="AC202" s="10"/>
      <c r="AD202" s="10" t="str">
        <f t="shared" si="19"/>
        <v/>
      </c>
      <c r="AE202" s="10" t="e">
        <f>IF(
   OR(
     AND(#REF!&gt;0, OR(Y202="C", Y202="c"), U202&lt;0),
     AND(#REF!&gt;0, Y202="")
   ),
   "CORTE",
   ""
)</f>
        <v>#REF!</v>
      </c>
      <c r="AF202" s="10">
        <f t="shared" si="1"/>
        <v>22</v>
      </c>
      <c r="AG202" s="10">
        <f t="shared" si="2"/>
        <v>0</v>
      </c>
      <c r="AH202" s="10" t="str">
        <f t="shared" si="20"/>
        <v>K</v>
      </c>
      <c r="AI202" s="10" t="str">
        <f t="shared" si="21"/>
        <v>K-9</v>
      </c>
    </row>
    <row r="203" spans="1:35" ht="15.75" customHeight="1" x14ac:dyDescent="0.35">
      <c r="A203" s="13">
        <v>202</v>
      </c>
      <c r="B203" s="14" t="s">
        <v>274</v>
      </c>
      <c r="C203" s="14" t="s">
        <v>264</v>
      </c>
      <c r="D203" s="13">
        <v>10</v>
      </c>
      <c r="E203" s="15"/>
      <c r="F203" s="15"/>
      <c r="G203" s="15"/>
      <c r="H203" s="16">
        <v>1</v>
      </c>
      <c r="I203" s="16">
        <v>74</v>
      </c>
      <c r="J203" s="16">
        <v>82</v>
      </c>
      <c r="K203" s="16">
        <v>8</v>
      </c>
      <c r="L203" s="16">
        <v>8</v>
      </c>
      <c r="M203" s="16"/>
      <c r="N203" s="16">
        <v>0</v>
      </c>
      <c r="O203" s="16"/>
      <c r="P203" s="16">
        <v>3</v>
      </c>
      <c r="Q203" s="16"/>
      <c r="R203" s="18"/>
      <c r="S203" s="15"/>
      <c r="T203" s="20"/>
      <c r="U203" s="17"/>
      <c r="V203" s="17">
        <f t="shared" si="22"/>
        <v>11</v>
      </c>
      <c r="W203" s="15">
        <f ca="1">IFERROR(__xludf.DUMMYFUNCTION("IFERROR(
  SUM(
    FILTER(
      Reporte!$E:$E, 
      REGEXMATCH(Reporte!$A:$A, ""(?i)(TE PAGÓ|PAGASTE)""), 
      Reporte!$H:$H &amp; """" = AH203 &amp; """"
    )
  ), 
  0
)"),11)</f>
        <v>11</v>
      </c>
      <c r="X203" s="15">
        <f ca="1">IFERROR(__xludf.DUMMYFUNCTION("IFERROR(
  SUM(
    FILTER(
      Efectivo!$C:$C, 
      Efectivo!$D:$D &amp; """" = AH203 &amp; """"
    )
  ), 
  0
)"),0)</f>
        <v>0</v>
      </c>
      <c r="Y203" s="15" t="s">
        <v>34</v>
      </c>
      <c r="Z203" s="15"/>
      <c r="AA203" s="15" t="s">
        <v>35</v>
      </c>
      <c r="AB203" s="15"/>
      <c r="AC203" s="15"/>
      <c r="AD203" s="15" t="str">
        <f t="shared" si="19"/>
        <v/>
      </c>
      <c r="AE203" s="15" t="e">
        <f>IF(
   OR(
     AND(#REF!&gt;0, OR(Y203="C", Y203="c"), U203&lt;0),
     AND(#REF!&gt;0, Y203="")
   ),
   "CORTE",
   ""
)</f>
        <v>#REF!</v>
      </c>
      <c r="AF203" s="15">
        <f t="shared" si="1"/>
        <v>0</v>
      </c>
      <c r="AG203" s="15">
        <f t="shared" si="2"/>
        <v>11</v>
      </c>
      <c r="AH203" s="15" t="str">
        <f t="shared" si="20"/>
        <v>K</v>
      </c>
      <c r="AI203" s="15" t="str">
        <f t="shared" si="21"/>
        <v>K-10</v>
      </c>
    </row>
    <row r="204" spans="1:35" ht="15.75" customHeight="1" x14ac:dyDescent="0.35">
      <c r="A204" s="8">
        <v>203</v>
      </c>
      <c r="B204" s="9" t="s">
        <v>275</v>
      </c>
      <c r="C204" s="9" t="s">
        <v>264</v>
      </c>
      <c r="D204" s="8">
        <v>11</v>
      </c>
      <c r="E204" s="10"/>
      <c r="F204" s="10"/>
      <c r="G204" s="10"/>
      <c r="H204" s="11">
        <v>1</v>
      </c>
      <c r="I204" s="11">
        <v>1041</v>
      </c>
      <c r="J204" s="11">
        <v>1055</v>
      </c>
      <c r="K204" s="11">
        <v>14</v>
      </c>
      <c r="L204" s="11">
        <v>14</v>
      </c>
      <c r="M204" s="11"/>
      <c r="N204" s="11">
        <v>0</v>
      </c>
      <c r="O204" s="11"/>
      <c r="P204" s="11">
        <v>3</v>
      </c>
      <c r="Q204" s="11"/>
      <c r="R204" s="19"/>
      <c r="S204" s="10"/>
      <c r="T204" s="21"/>
      <c r="U204" s="12"/>
      <c r="V204" s="12">
        <f t="shared" si="22"/>
        <v>17</v>
      </c>
      <c r="W204" s="10">
        <f ca="1">IFERROR(__xludf.DUMMYFUNCTION("IFERROR(
  SUM(
    FILTER(
      Reporte!$E:$E, 
      REGEXMATCH(Reporte!$A:$A, ""(?i)(TE PAGÓ|PAGASTE)""), 
      Reporte!$H:$H &amp; """" = AH204 &amp; """"
    )
  ), 
  0
)"),0)</f>
        <v>0</v>
      </c>
      <c r="X204" s="10">
        <f ca="1">IFERROR(__xludf.DUMMYFUNCTION("IFERROR(
  SUM(
    FILTER(
      Efectivo!$C:$C, 
      Efectivo!$D:$D &amp; """" = AH204 &amp; """"
    )
  ), 
  0
)"),0)</f>
        <v>0</v>
      </c>
      <c r="Y204" s="10"/>
      <c r="Z204" s="10"/>
      <c r="AA204" s="10"/>
      <c r="AB204" s="10"/>
      <c r="AC204" s="10"/>
      <c r="AD204" s="10" t="str">
        <f t="shared" si="19"/>
        <v/>
      </c>
      <c r="AE204" s="10" t="e">
        <f>IF(
   OR(
     AND(#REF!&gt;0, OR(Y204="C", Y204="c"), U204&lt;0),
     AND(#REF!&gt;0, Y204="")
   ),
   "CORTE",
   ""
)</f>
        <v>#REF!</v>
      </c>
      <c r="AF204" s="10">
        <f t="shared" si="1"/>
        <v>0</v>
      </c>
      <c r="AG204" s="10">
        <f t="shared" si="2"/>
        <v>0</v>
      </c>
      <c r="AH204" s="10" t="str">
        <f t="shared" si="20"/>
        <v>K</v>
      </c>
      <c r="AI204" s="10" t="str">
        <f t="shared" si="21"/>
        <v>K-11</v>
      </c>
    </row>
    <row r="205" spans="1:35" ht="15.75" customHeight="1" x14ac:dyDescent="0.35">
      <c r="A205" s="13">
        <v>204</v>
      </c>
      <c r="B205" s="14" t="s">
        <v>276</v>
      </c>
      <c r="C205" s="14" t="s">
        <v>264</v>
      </c>
      <c r="D205" s="13">
        <v>12</v>
      </c>
      <c r="E205" s="15"/>
      <c r="F205" s="15"/>
      <c r="G205" s="15"/>
      <c r="H205" s="16">
        <v>1</v>
      </c>
      <c r="I205" s="16">
        <v>778</v>
      </c>
      <c r="J205" s="16">
        <v>834</v>
      </c>
      <c r="K205" s="16">
        <v>56</v>
      </c>
      <c r="L205" s="16">
        <v>56</v>
      </c>
      <c r="M205" s="16">
        <v>44</v>
      </c>
      <c r="N205" s="16">
        <v>20</v>
      </c>
      <c r="O205" s="16"/>
      <c r="P205" s="16">
        <v>3</v>
      </c>
      <c r="Q205" s="16"/>
      <c r="R205" s="18"/>
      <c r="S205" s="15"/>
      <c r="T205" s="20"/>
      <c r="U205" s="17"/>
      <c r="V205" s="17">
        <f>SUM(L205:U205)</f>
        <v>123</v>
      </c>
      <c r="W205" s="15">
        <f ca="1">IFERROR(__xludf.DUMMYFUNCTION("IFERROR(
  SUM(
    FILTER(
      Reporte!$E:$E, 
      REGEXMATCH(Reporte!$A:$A, ""(?i)(TE PAGÓ|PAGASTE)""), 
      Reporte!$H:$H &amp; """" = AH205 &amp; """"
    )
  ), 
  0
)"),123)</f>
        <v>123</v>
      </c>
      <c r="X205" s="15">
        <f ca="1">IFERROR(__xludf.DUMMYFUNCTION("IFERROR(
  SUM(
    FILTER(
      Efectivo!$C:$C, 
      Efectivo!$D:$D &amp; """" = AH205 &amp; """"
    )
  ), 
  0
)"),0)</f>
        <v>0</v>
      </c>
      <c r="Y205" s="15" t="s">
        <v>34</v>
      </c>
      <c r="Z205" s="15"/>
      <c r="AA205" s="15" t="s">
        <v>35</v>
      </c>
      <c r="AB205" s="15"/>
      <c r="AC205" s="15"/>
      <c r="AD205" s="15" t="str">
        <f t="shared" si="19"/>
        <v/>
      </c>
      <c r="AE205" s="15" t="e">
        <f>IF(
   OR(
     AND(#REF!&gt;0, OR(Y205="C", Y205="c"), U205&lt;0),
     AND(#REF!&gt;0, Y205="")
   ),
   "CORTE",
   ""
)</f>
        <v>#REF!</v>
      </c>
      <c r="AF205" s="15">
        <f t="shared" si="1"/>
        <v>0</v>
      </c>
      <c r="AG205" s="15">
        <f t="shared" si="2"/>
        <v>123</v>
      </c>
      <c r="AH205" s="15" t="str">
        <f t="shared" si="20"/>
        <v>K</v>
      </c>
      <c r="AI205" s="15" t="str">
        <f t="shared" si="21"/>
        <v>K-12</v>
      </c>
    </row>
    <row r="206" spans="1:35" ht="15.75" customHeight="1" x14ac:dyDescent="0.35">
      <c r="A206" s="8">
        <v>205</v>
      </c>
      <c r="B206" s="9" t="s">
        <v>277</v>
      </c>
      <c r="C206" s="9" t="s">
        <v>264</v>
      </c>
      <c r="D206" s="8">
        <v>13</v>
      </c>
      <c r="E206" s="10"/>
      <c r="F206" s="10"/>
      <c r="G206" s="10"/>
      <c r="H206" s="11">
        <v>1</v>
      </c>
      <c r="I206" s="11">
        <v>1303</v>
      </c>
      <c r="J206" s="11">
        <v>1312</v>
      </c>
      <c r="K206" s="11">
        <v>9</v>
      </c>
      <c r="L206" s="11">
        <v>9</v>
      </c>
      <c r="M206" s="11"/>
      <c r="N206" s="11">
        <v>0</v>
      </c>
      <c r="O206" s="11"/>
      <c r="P206" s="11">
        <v>3</v>
      </c>
      <c r="Q206" s="11"/>
      <c r="R206" s="19"/>
      <c r="S206" s="10"/>
      <c r="T206" s="21"/>
      <c r="U206" s="12"/>
      <c r="V206" s="12">
        <f>SUM(L206:Q206)</f>
        <v>12</v>
      </c>
      <c r="W206" s="10">
        <f ca="1">IFERROR(__xludf.DUMMYFUNCTION("IFERROR(
  SUM(
    FILTER(
      Reporte!$E:$E, 
      REGEXMATCH(Reporte!$A:$A, ""(?i)(TE PAGÓ|PAGASTE)""), 
      Reporte!$H:$H &amp; """" = AH206 &amp; """"
    )
  ), 
  0
)"),12)</f>
        <v>12</v>
      </c>
      <c r="X206" s="10">
        <f ca="1">IFERROR(__xludf.DUMMYFUNCTION("IFERROR(
  SUM(
    FILTER(
      Efectivo!$C:$C, 
      Efectivo!$D:$D &amp; """" = AH206 &amp; """"
    )
  ), 
  0
)"),0)</f>
        <v>0</v>
      </c>
      <c r="Y206" s="10" t="s">
        <v>34</v>
      </c>
      <c r="Z206" s="10"/>
      <c r="AA206" s="10" t="s">
        <v>35</v>
      </c>
      <c r="AB206" s="10"/>
      <c r="AC206" s="10"/>
      <c r="AD206" s="10" t="str">
        <f t="shared" si="19"/>
        <v/>
      </c>
      <c r="AE206" s="10" t="e">
        <f>IF(
   OR(
     AND(#REF!&gt;0, OR(Y206="C", Y206="c"), U206&lt;0),
     AND(#REF!&gt;0, Y206="")
   ),
   "CORTE",
   ""
)</f>
        <v>#REF!</v>
      </c>
      <c r="AF206" s="10">
        <f t="shared" si="1"/>
        <v>0</v>
      </c>
      <c r="AG206" s="10">
        <f t="shared" si="2"/>
        <v>12</v>
      </c>
      <c r="AH206" s="10" t="str">
        <f t="shared" si="20"/>
        <v>K</v>
      </c>
      <c r="AI206" s="10" t="str">
        <f t="shared" si="21"/>
        <v>K-13</v>
      </c>
    </row>
    <row r="207" spans="1:35" ht="15.75" customHeight="1" x14ac:dyDescent="0.35">
      <c r="A207" s="13">
        <v>206</v>
      </c>
      <c r="B207" s="14" t="s">
        <v>278</v>
      </c>
      <c r="C207" s="14" t="s">
        <v>264</v>
      </c>
      <c r="D207" s="13">
        <v>14</v>
      </c>
      <c r="E207" s="15"/>
      <c r="F207" s="15"/>
      <c r="G207" s="15"/>
      <c r="H207" s="16">
        <v>1</v>
      </c>
      <c r="I207" s="16">
        <v>286</v>
      </c>
      <c r="J207" s="16">
        <v>299</v>
      </c>
      <c r="K207" s="16">
        <v>13</v>
      </c>
      <c r="L207" s="16">
        <v>13</v>
      </c>
      <c r="M207" s="16"/>
      <c r="N207" s="16">
        <v>0</v>
      </c>
      <c r="O207" s="16"/>
      <c r="P207" s="16">
        <v>3</v>
      </c>
      <c r="Q207" s="16"/>
      <c r="R207" s="18"/>
      <c r="S207" s="20">
        <v>-20</v>
      </c>
      <c r="T207" s="20"/>
      <c r="U207" s="23"/>
      <c r="V207" s="17">
        <f>SUM(L207:U207)</f>
        <v>-4</v>
      </c>
      <c r="W207" s="15">
        <f ca="1">IFERROR(__xludf.DUMMYFUNCTION("IFERROR(
  SUM(
    FILTER(
      Reporte!$E:$E, 
      REGEXMATCH(Reporte!$A:$A, ""(?i)(TE PAGÓ|PAGASTE)""), 
      Reporte!$H:$H &amp; """" = AH207 &amp; """"
    )
  ), 
  0
)"),-4)</f>
        <v>-4</v>
      </c>
      <c r="X207" s="15">
        <f ca="1">IFERROR(__xludf.DUMMYFUNCTION("IFERROR(
  SUM(
    FILTER(
      Efectivo!$C:$C, 
      Efectivo!$D:$D &amp; """" = AH207 &amp; """"
    )
  ), 
  0
)"),0)</f>
        <v>0</v>
      </c>
      <c r="Y207" s="15"/>
      <c r="Z207" s="15"/>
      <c r="AA207" s="15"/>
      <c r="AB207" s="20" t="s">
        <v>279</v>
      </c>
      <c r="AC207" s="15"/>
      <c r="AD207" s="15" t="str">
        <f t="shared" si="19"/>
        <v/>
      </c>
      <c r="AE207" s="15" t="e">
        <f>IF(
   OR(
     AND(#REF!&gt;0, OR(Y207="C", Y207="c"), U207&lt;0),
     AND(#REF!&gt;0, Y207="")
   ),
   "CORTE",
   ""
)</f>
        <v>#REF!</v>
      </c>
      <c r="AF207" s="15">
        <f t="shared" si="1"/>
        <v>0</v>
      </c>
      <c r="AG207" s="15">
        <f t="shared" si="2"/>
        <v>0</v>
      </c>
      <c r="AH207" s="15" t="str">
        <f t="shared" si="20"/>
        <v>K</v>
      </c>
      <c r="AI207" s="15" t="str">
        <f t="shared" si="21"/>
        <v>K-14</v>
      </c>
    </row>
    <row r="208" spans="1:35" ht="15.75" customHeight="1" x14ac:dyDescent="0.35">
      <c r="A208" s="8">
        <v>207</v>
      </c>
      <c r="B208" s="9" t="s">
        <v>280</v>
      </c>
      <c r="C208" s="9" t="s">
        <v>264</v>
      </c>
      <c r="D208" s="8">
        <v>15</v>
      </c>
      <c r="E208" s="10"/>
      <c r="F208" s="10"/>
      <c r="G208" s="10"/>
      <c r="H208" s="11">
        <v>1</v>
      </c>
      <c r="I208" s="11">
        <v>424</v>
      </c>
      <c r="J208" s="11">
        <v>467</v>
      </c>
      <c r="K208" s="11">
        <v>43</v>
      </c>
      <c r="L208" s="11">
        <v>43</v>
      </c>
      <c r="M208" s="11">
        <v>4</v>
      </c>
      <c r="N208" s="11">
        <v>0</v>
      </c>
      <c r="O208" s="11"/>
      <c r="P208" s="11">
        <v>3</v>
      </c>
      <c r="Q208" s="11"/>
      <c r="R208" s="19"/>
      <c r="S208" s="10"/>
      <c r="T208" s="21"/>
      <c r="U208" s="12"/>
      <c r="V208" s="12">
        <f t="shared" ref="V208:V217" si="23">SUM(L208:Q208)</f>
        <v>50</v>
      </c>
      <c r="W208" s="10">
        <f ca="1">IFERROR(__xludf.DUMMYFUNCTION("IFERROR(
  SUM(
    FILTER(
      Reporte!$E:$E, 
      REGEXMATCH(Reporte!$A:$A, ""(?i)(TE PAGÓ|PAGASTE)""), 
      Reporte!$H:$H &amp; """" = AH208 &amp; """"
    )
  ), 
  0
)"),0)</f>
        <v>0</v>
      </c>
      <c r="X208" s="10">
        <f ca="1">IFERROR(__xludf.DUMMYFUNCTION("IFERROR(
  SUM(
    FILTER(
      Efectivo!$C:$C, 
      Efectivo!$D:$D &amp; """" = AH208 &amp; """"
    )
  ), 
  0
)"),50)</f>
        <v>50</v>
      </c>
      <c r="Y208" s="10" t="s">
        <v>34</v>
      </c>
      <c r="Z208" s="10"/>
      <c r="AA208" s="10"/>
      <c r="AB208" s="10" t="s">
        <v>281</v>
      </c>
      <c r="AC208" s="10"/>
      <c r="AD208" s="10" t="str">
        <f t="shared" si="19"/>
        <v/>
      </c>
      <c r="AE208" s="10" t="e">
        <f>IF(
   OR(
     AND(#REF!&gt;0, OR(Y208="C", Y208="c"), U208&lt;0),
     AND(#REF!&gt;0, Y208="")
   ),
   "CORTE",
   ""
)</f>
        <v>#REF!</v>
      </c>
      <c r="AF208" s="10">
        <f t="shared" si="1"/>
        <v>50</v>
      </c>
      <c r="AG208" s="10">
        <f t="shared" si="2"/>
        <v>0</v>
      </c>
      <c r="AH208" s="10" t="str">
        <f t="shared" si="20"/>
        <v>K</v>
      </c>
      <c r="AI208" s="10" t="str">
        <f t="shared" si="21"/>
        <v>K-15</v>
      </c>
    </row>
    <row r="209" spans="1:35" ht="15.75" customHeight="1" x14ac:dyDescent="0.35">
      <c r="A209" s="13">
        <v>208</v>
      </c>
      <c r="B209" s="14" t="s">
        <v>282</v>
      </c>
      <c r="C209" s="14" t="s">
        <v>264</v>
      </c>
      <c r="D209" s="13">
        <v>17</v>
      </c>
      <c r="E209" s="15"/>
      <c r="F209" s="15"/>
      <c r="G209" s="15"/>
      <c r="H209" s="16">
        <v>1</v>
      </c>
      <c r="I209" s="16">
        <v>10</v>
      </c>
      <c r="J209" s="16">
        <v>26</v>
      </c>
      <c r="K209" s="16">
        <v>16</v>
      </c>
      <c r="L209" s="16">
        <v>16</v>
      </c>
      <c r="M209" s="16">
        <v>20</v>
      </c>
      <c r="N209" s="16">
        <v>0</v>
      </c>
      <c r="O209" s="16">
        <v>25</v>
      </c>
      <c r="P209" s="16">
        <v>3</v>
      </c>
      <c r="Q209" s="16"/>
      <c r="R209" s="18"/>
      <c r="S209" s="15"/>
      <c r="T209" s="20"/>
      <c r="U209" s="17"/>
      <c r="V209" s="17">
        <f t="shared" si="23"/>
        <v>64</v>
      </c>
      <c r="W209" s="15">
        <f ca="1">IFERROR(__xludf.DUMMYFUNCTION("IFERROR(
  SUM(
    FILTER(
      Reporte!$E:$E, 
      REGEXMATCH(Reporte!$A:$A, ""(?i)(TE PAGÓ|PAGASTE)""), 
      Reporte!$H:$H &amp; """" = AH209 &amp; """"
    )
  ), 
  0
)"),64)</f>
        <v>64</v>
      </c>
      <c r="X209" s="15">
        <f ca="1">IFERROR(__xludf.DUMMYFUNCTION("IFERROR(
  SUM(
    FILTER(
      Efectivo!$C:$C, 
      Efectivo!$D:$D &amp; """" = AH209 &amp; """"
    )
  ), 
  0
)"),0)</f>
        <v>0</v>
      </c>
      <c r="Y209" s="15" t="s">
        <v>34</v>
      </c>
      <c r="Z209" s="15"/>
      <c r="AA209" s="15" t="s">
        <v>35</v>
      </c>
      <c r="AB209" s="15"/>
      <c r="AC209" s="15"/>
      <c r="AD209" s="15" t="str">
        <f t="shared" si="19"/>
        <v/>
      </c>
      <c r="AE209" s="15" t="e">
        <f>IF(
   OR(
     AND(#REF!&gt;0, OR(Y209="C", Y209="c"), U209&lt;0),
     AND(#REF!&gt;0, Y209="")
   ),
   "CORTE",
   ""
)</f>
        <v>#REF!</v>
      </c>
      <c r="AF209" s="15">
        <f t="shared" si="1"/>
        <v>0</v>
      </c>
      <c r="AG209" s="15">
        <f t="shared" si="2"/>
        <v>64</v>
      </c>
      <c r="AH209" s="15" t="str">
        <f t="shared" si="20"/>
        <v>K</v>
      </c>
      <c r="AI209" s="15" t="str">
        <f t="shared" si="21"/>
        <v>K-17</v>
      </c>
    </row>
    <row r="210" spans="1:35" ht="15.75" customHeight="1" x14ac:dyDescent="0.35">
      <c r="A210" s="8">
        <v>209</v>
      </c>
      <c r="B210" s="9" t="s">
        <v>283</v>
      </c>
      <c r="C210" s="9" t="s">
        <v>284</v>
      </c>
      <c r="D210" s="8">
        <v>1</v>
      </c>
      <c r="E210" s="10"/>
      <c r="F210" s="10"/>
      <c r="G210" s="10"/>
      <c r="H210" s="11">
        <v>1</v>
      </c>
      <c r="I210" s="11">
        <v>7</v>
      </c>
      <c r="J210" s="11">
        <v>15</v>
      </c>
      <c r="K210" s="11">
        <v>8</v>
      </c>
      <c r="L210" s="11">
        <v>8</v>
      </c>
      <c r="M210" s="11"/>
      <c r="N210" s="11">
        <v>0</v>
      </c>
      <c r="O210" s="11">
        <v>25</v>
      </c>
      <c r="P210" s="11">
        <v>3</v>
      </c>
      <c r="Q210" s="11"/>
      <c r="R210" s="19"/>
      <c r="S210" s="10"/>
      <c r="T210" s="21"/>
      <c r="U210" s="12"/>
      <c r="V210" s="12">
        <f t="shared" si="23"/>
        <v>36</v>
      </c>
      <c r="W210" s="10">
        <f ca="1">IFERROR(__xludf.DUMMYFUNCTION("IFERROR(
  SUM(
    FILTER(
      Reporte!$E:$E, 
      REGEXMATCH(Reporte!$A:$A, ""(?i)(TE PAGÓ|PAGASTE)""), 
      Reporte!$H:$H &amp; """" = AH210 &amp; """"
    )
  ), 
  0
)"),36)</f>
        <v>36</v>
      </c>
      <c r="X210" s="10">
        <f ca="1">IFERROR(__xludf.DUMMYFUNCTION("IFERROR(
  SUM(
    FILTER(
      Efectivo!$C:$C, 
      Efectivo!$D:$D &amp; """" = AH210 &amp; """"
    )
  ), 
  0
)"),0)</f>
        <v>0</v>
      </c>
      <c r="Y210" s="10" t="s">
        <v>34</v>
      </c>
      <c r="Z210" s="10"/>
      <c r="AA210" s="10" t="s">
        <v>35</v>
      </c>
      <c r="AB210" s="10"/>
      <c r="AC210" s="10"/>
      <c r="AD210" s="10" t="str">
        <f t="shared" si="19"/>
        <v/>
      </c>
      <c r="AE210" s="10" t="e">
        <f>IF(
   OR(
     AND(#REF!&gt;0, OR(Y210="C", Y210="c"), U210&lt;0),
     AND(#REF!&gt;0, Y210="")
   ),
   "CORTE",
   ""
)</f>
        <v>#REF!</v>
      </c>
      <c r="AF210" s="10">
        <f t="shared" si="1"/>
        <v>0</v>
      </c>
      <c r="AG210" s="10">
        <f t="shared" si="2"/>
        <v>36</v>
      </c>
      <c r="AH210" s="10" t="str">
        <f t="shared" si="20"/>
        <v>L</v>
      </c>
      <c r="AI210" s="10" t="str">
        <f t="shared" si="21"/>
        <v>L-1</v>
      </c>
    </row>
    <row r="211" spans="1:35" ht="15.75" customHeight="1" x14ac:dyDescent="0.35">
      <c r="A211" s="13">
        <v>210</v>
      </c>
      <c r="B211" s="14" t="s">
        <v>285</v>
      </c>
      <c r="C211" s="14" t="s">
        <v>284</v>
      </c>
      <c r="D211" s="13">
        <v>2</v>
      </c>
      <c r="E211" s="15"/>
      <c r="F211" s="15"/>
      <c r="G211" s="15"/>
      <c r="H211" s="16">
        <v>1</v>
      </c>
      <c r="I211" s="16">
        <v>3</v>
      </c>
      <c r="J211" s="16">
        <v>27</v>
      </c>
      <c r="K211" s="16">
        <v>24</v>
      </c>
      <c r="L211" s="16">
        <v>24</v>
      </c>
      <c r="M211" s="16"/>
      <c r="N211" s="16">
        <v>0</v>
      </c>
      <c r="O211" s="16">
        <v>25</v>
      </c>
      <c r="P211" s="16">
        <v>3</v>
      </c>
      <c r="Q211" s="16"/>
      <c r="R211" s="18"/>
      <c r="S211" s="15"/>
      <c r="T211" s="20"/>
      <c r="U211" s="17"/>
      <c r="V211" s="17">
        <f t="shared" si="23"/>
        <v>52</v>
      </c>
      <c r="W211" s="15">
        <f ca="1">IFERROR(__xludf.DUMMYFUNCTION("IFERROR(
  SUM(
    FILTER(
      Reporte!$E:$E, 
      REGEXMATCH(Reporte!$A:$A, ""(?i)(TE PAGÓ|PAGASTE)""), 
      Reporte!$H:$H &amp; """" = AH211 &amp; """"
    )
  ), 
  0
)"),52)</f>
        <v>52</v>
      </c>
      <c r="X211" s="15">
        <f ca="1">IFERROR(__xludf.DUMMYFUNCTION("IFERROR(
  SUM(
    FILTER(
      Efectivo!$C:$C, 
      Efectivo!$D:$D &amp; """" = AH211 &amp; """"
    )
  ), 
  0
)"),0)</f>
        <v>0</v>
      </c>
      <c r="Y211" s="15" t="s">
        <v>34</v>
      </c>
      <c r="Z211" s="15"/>
      <c r="AA211" s="15" t="s">
        <v>35</v>
      </c>
      <c r="AB211" s="15"/>
      <c r="AC211" s="15"/>
      <c r="AD211" s="15" t="str">
        <f t="shared" si="19"/>
        <v/>
      </c>
      <c r="AE211" s="15" t="e">
        <f>IF(
   OR(
     AND(#REF!&gt;0, OR(Y211="C", Y211="c"), U211&lt;0),
     AND(#REF!&gt;0, Y211="")
   ),
   "CORTE",
   ""
)</f>
        <v>#REF!</v>
      </c>
      <c r="AF211" s="15">
        <f t="shared" si="1"/>
        <v>0</v>
      </c>
      <c r="AG211" s="15">
        <f t="shared" si="2"/>
        <v>52</v>
      </c>
      <c r="AH211" s="15" t="str">
        <f t="shared" si="20"/>
        <v>L</v>
      </c>
      <c r="AI211" s="15" t="str">
        <f t="shared" si="21"/>
        <v>L-2</v>
      </c>
    </row>
    <row r="212" spans="1:35" ht="15.75" customHeight="1" x14ac:dyDescent="0.35">
      <c r="A212" s="8">
        <v>211</v>
      </c>
      <c r="B212" s="9" t="s">
        <v>286</v>
      </c>
      <c r="C212" s="9" t="s">
        <v>284</v>
      </c>
      <c r="D212" s="8">
        <v>3</v>
      </c>
      <c r="E212" s="10"/>
      <c r="F212" s="10"/>
      <c r="G212" s="10"/>
      <c r="H212" s="11">
        <v>1</v>
      </c>
      <c r="I212" s="11">
        <v>7</v>
      </c>
      <c r="J212" s="11">
        <v>50</v>
      </c>
      <c r="K212" s="11">
        <v>43</v>
      </c>
      <c r="L212" s="11">
        <v>43</v>
      </c>
      <c r="M212" s="11">
        <v>34</v>
      </c>
      <c r="N212" s="11">
        <v>0</v>
      </c>
      <c r="O212" s="11">
        <v>25</v>
      </c>
      <c r="P212" s="11">
        <v>3</v>
      </c>
      <c r="Q212" s="11"/>
      <c r="R212" s="19"/>
      <c r="S212" s="10"/>
      <c r="T212" s="21"/>
      <c r="U212" s="12"/>
      <c r="V212" s="12">
        <f t="shared" si="23"/>
        <v>105</v>
      </c>
      <c r="W212" s="10">
        <f ca="1">IFERROR(__xludf.DUMMYFUNCTION("IFERROR(
  SUM(
    FILTER(
      Reporte!$E:$E, 
      REGEXMATCH(Reporte!$A:$A, ""(?i)(TE PAGÓ|PAGASTE)""), 
      Reporte!$H:$H &amp; """" = AH212 &amp; """"
    )
  ), 
  0
)"),105)</f>
        <v>105</v>
      </c>
      <c r="X212" s="10">
        <f ca="1">IFERROR(__xludf.DUMMYFUNCTION("IFERROR(
  SUM(
    FILTER(
      Efectivo!$C:$C, 
      Efectivo!$D:$D &amp; """" = AH212 &amp; """"
    )
  ), 
  0
)"),0)</f>
        <v>0</v>
      </c>
      <c r="Y212" s="10" t="s">
        <v>34</v>
      </c>
      <c r="Z212" s="10"/>
      <c r="AA212" s="10" t="s">
        <v>35</v>
      </c>
      <c r="AB212" s="10"/>
      <c r="AC212" s="10"/>
      <c r="AD212" s="10" t="str">
        <f t="shared" si="19"/>
        <v/>
      </c>
      <c r="AE212" s="10" t="e">
        <f>IF(
   OR(
     AND(#REF!&gt;0, OR(Y212="C", Y212="c"), U212&lt;0),
     AND(#REF!&gt;0, Y212="")
   ),
   "CORTE",
   ""
)</f>
        <v>#REF!</v>
      </c>
      <c r="AF212" s="10">
        <f t="shared" si="1"/>
        <v>0</v>
      </c>
      <c r="AG212" s="10">
        <f t="shared" si="2"/>
        <v>105</v>
      </c>
      <c r="AH212" s="10" t="str">
        <f t="shared" si="20"/>
        <v>L</v>
      </c>
      <c r="AI212" s="10" t="str">
        <f t="shared" si="21"/>
        <v>L-3</v>
      </c>
    </row>
    <row r="213" spans="1:35" ht="15.75" customHeight="1" x14ac:dyDescent="0.35">
      <c r="A213" s="13">
        <v>212</v>
      </c>
      <c r="B213" s="14" t="s">
        <v>287</v>
      </c>
      <c r="C213" s="14" t="s">
        <v>284</v>
      </c>
      <c r="D213" s="13">
        <v>4</v>
      </c>
      <c r="E213" s="15"/>
      <c r="F213" s="15"/>
      <c r="G213" s="15"/>
      <c r="H213" s="16">
        <v>1</v>
      </c>
      <c r="I213" s="16">
        <v>2539</v>
      </c>
      <c r="J213" s="16">
        <v>15</v>
      </c>
      <c r="K213" s="16">
        <v>15</v>
      </c>
      <c r="L213" s="16">
        <v>15</v>
      </c>
      <c r="M213" s="16"/>
      <c r="N213" s="16">
        <v>0</v>
      </c>
      <c r="O213" s="16">
        <v>25</v>
      </c>
      <c r="P213" s="16">
        <v>3</v>
      </c>
      <c r="Q213" s="16"/>
      <c r="R213" s="18"/>
      <c r="S213" s="15"/>
      <c r="T213" s="20"/>
      <c r="U213" s="17"/>
      <c r="V213" s="17">
        <f t="shared" si="23"/>
        <v>43</v>
      </c>
      <c r="W213" s="15">
        <f ca="1">IFERROR(__xludf.DUMMYFUNCTION("IFERROR(
  SUM(
    FILTER(
      Reporte!$E:$E, 
      REGEXMATCH(Reporte!$A:$A, ""(?i)(TE PAGÓ|PAGASTE)""), 
      Reporte!$H:$H &amp; """" = AH213 &amp; """"
    )
  ), 
  0
)"),43)</f>
        <v>43</v>
      </c>
      <c r="X213" s="15">
        <f ca="1">IFERROR(__xludf.DUMMYFUNCTION("IFERROR(
  SUM(
    FILTER(
      Efectivo!$C:$C, 
      Efectivo!$D:$D &amp; """" = AH213 &amp; """"
    )
  ), 
  0
)"),0)</f>
        <v>0</v>
      </c>
      <c r="Y213" s="15" t="s">
        <v>34</v>
      </c>
      <c r="Z213" s="15"/>
      <c r="AA213" s="15" t="s">
        <v>35</v>
      </c>
      <c r="AB213" s="15"/>
      <c r="AC213" s="15"/>
      <c r="AD213" s="15" t="str">
        <f t="shared" si="19"/>
        <v/>
      </c>
      <c r="AE213" s="15" t="e">
        <f>IF(
   OR(
     AND(#REF!&gt;0, OR(Y213="C", Y213="c"), U213&lt;0),
     AND(#REF!&gt;0, Y213="")
   ),
   "CORTE",
   ""
)</f>
        <v>#REF!</v>
      </c>
      <c r="AF213" s="15">
        <f t="shared" si="1"/>
        <v>0</v>
      </c>
      <c r="AG213" s="15">
        <f t="shared" si="2"/>
        <v>43</v>
      </c>
      <c r="AH213" s="15" t="str">
        <f t="shared" si="20"/>
        <v>L</v>
      </c>
      <c r="AI213" s="15" t="str">
        <f t="shared" si="21"/>
        <v>L-4</v>
      </c>
    </row>
    <row r="214" spans="1:35" ht="15.75" customHeight="1" x14ac:dyDescent="0.35">
      <c r="A214" s="8">
        <v>213</v>
      </c>
      <c r="B214" s="9" t="s">
        <v>288</v>
      </c>
      <c r="C214" s="9" t="s">
        <v>284</v>
      </c>
      <c r="D214" s="8">
        <v>5</v>
      </c>
      <c r="E214" s="10"/>
      <c r="F214" s="10"/>
      <c r="G214" s="10"/>
      <c r="H214" s="11">
        <v>1</v>
      </c>
      <c r="I214" s="11">
        <v>8</v>
      </c>
      <c r="J214" s="11">
        <v>10</v>
      </c>
      <c r="K214" s="11">
        <v>2</v>
      </c>
      <c r="L214" s="11">
        <v>5</v>
      </c>
      <c r="M214" s="11">
        <v>8</v>
      </c>
      <c r="N214" s="11">
        <v>0</v>
      </c>
      <c r="O214" s="11"/>
      <c r="P214" s="11">
        <v>3</v>
      </c>
      <c r="Q214" s="11"/>
      <c r="R214" s="19"/>
      <c r="S214" s="10"/>
      <c r="T214" s="21"/>
      <c r="U214" s="12"/>
      <c r="V214" s="12">
        <f t="shared" si="23"/>
        <v>16</v>
      </c>
      <c r="W214" s="10">
        <f ca="1">IFERROR(__xludf.DUMMYFUNCTION("IFERROR(
  SUM(
    FILTER(
      Reporte!$E:$E, 
      REGEXMATCH(Reporte!$A:$A, ""(?i)(TE PAGÓ|PAGASTE)""), 
      Reporte!$H:$H &amp; """" = AH214 &amp; """"
    )
  ), 
  0
)"),16)</f>
        <v>16</v>
      </c>
      <c r="X214" s="10">
        <f ca="1">IFERROR(__xludf.DUMMYFUNCTION("IFERROR(
  SUM(
    FILTER(
      Efectivo!$C:$C, 
      Efectivo!$D:$D &amp; """" = AH214 &amp; """"
    )
  ), 
  0
)"),0)</f>
        <v>0</v>
      </c>
      <c r="Y214" s="10" t="s">
        <v>34</v>
      </c>
      <c r="Z214" s="10"/>
      <c r="AA214" s="10" t="s">
        <v>35</v>
      </c>
      <c r="AB214" s="10"/>
      <c r="AC214" s="10"/>
      <c r="AD214" s="10" t="str">
        <f t="shared" si="19"/>
        <v/>
      </c>
      <c r="AE214" s="10" t="e">
        <f>IF(
   OR(
     AND(#REF!&gt;0, OR(Y214="C", Y214="c"), U214&lt;0),
     AND(#REF!&gt;0, Y214="")
   ),
   "CORTE",
   ""
)</f>
        <v>#REF!</v>
      </c>
      <c r="AF214" s="10">
        <f t="shared" si="1"/>
        <v>0</v>
      </c>
      <c r="AG214" s="10">
        <f t="shared" si="2"/>
        <v>16</v>
      </c>
      <c r="AH214" s="10" t="str">
        <f t="shared" si="20"/>
        <v>L</v>
      </c>
      <c r="AI214" s="10" t="str">
        <f t="shared" si="21"/>
        <v>L-5</v>
      </c>
    </row>
    <row r="215" spans="1:35" ht="15.75" customHeight="1" x14ac:dyDescent="0.35">
      <c r="A215" s="13">
        <v>214</v>
      </c>
      <c r="B215" s="14" t="s">
        <v>289</v>
      </c>
      <c r="C215" s="14" t="s">
        <v>284</v>
      </c>
      <c r="D215" s="13">
        <v>6</v>
      </c>
      <c r="E215" s="15"/>
      <c r="F215" s="15"/>
      <c r="G215" s="15"/>
      <c r="H215" s="16">
        <v>1</v>
      </c>
      <c r="I215" s="16">
        <v>1</v>
      </c>
      <c r="J215" s="16">
        <v>14</v>
      </c>
      <c r="K215" s="16">
        <v>13</v>
      </c>
      <c r="L215" s="16">
        <v>13</v>
      </c>
      <c r="M215" s="16"/>
      <c r="N215" s="16">
        <v>0</v>
      </c>
      <c r="O215" s="16">
        <v>25</v>
      </c>
      <c r="P215" s="16">
        <v>3</v>
      </c>
      <c r="Q215" s="16"/>
      <c r="R215" s="18"/>
      <c r="S215" s="15"/>
      <c r="T215" s="20"/>
      <c r="U215" s="17"/>
      <c r="V215" s="17">
        <f t="shared" si="23"/>
        <v>41</v>
      </c>
      <c r="W215" s="15">
        <f ca="1">IFERROR(__xludf.DUMMYFUNCTION("IFERROR(
  SUM(
    FILTER(
      Reporte!$E:$E, 
      REGEXMATCH(Reporte!$A:$A, ""(?i)(TE PAGÓ|PAGASTE)""), 
      Reporte!$H:$H &amp; """" = AH215 &amp; """"
    )
  ), 
  0
)"),0)</f>
        <v>0</v>
      </c>
      <c r="X215" s="15">
        <f ca="1">IFERROR(__xludf.DUMMYFUNCTION("IFERROR(
  SUM(
    FILTER(
      Efectivo!$C:$C, 
      Efectivo!$D:$D &amp; """" = AH215 &amp; """"
    )
  ), 
  0
)"),41)</f>
        <v>41</v>
      </c>
      <c r="Y215" s="15" t="s">
        <v>34</v>
      </c>
      <c r="Z215" s="15"/>
      <c r="AA215" s="15"/>
      <c r="AB215" s="15"/>
      <c r="AC215" s="15"/>
      <c r="AD215" s="15" t="str">
        <f t="shared" si="19"/>
        <v/>
      </c>
      <c r="AE215" s="15" t="e">
        <f>IF(
   OR(
     AND(#REF!&gt;0, OR(Y215="C", Y215="c"), U215&lt;0),
     AND(#REF!&gt;0, Y215="")
   ),
   "CORTE",
   ""
)</f>
        <v>#REF!</v>
      </c>
      <c r="AF215" s="15">
        <f t="shared" si="1"/>
        <v>41</v>
      </c>
      <c r="AG215" s="15">
        <f t="shared" si="2"/>
        <v>0</v>
      </c>
      <c r="AH215" s="15" t="str">
        <f t="shared" si="20"/>
        <v>L</v>
      </c>
      <c r="AI215" s="15" t="str">
        <f t="shared" si="21"/>
        <v>L-6</v>
      </c>
    </row>
    <row r="216" spans="1:35" ht="15.75" customHeight="1" x14ac:dyDescent="0.35">
      <c r="A216" s="8">
        <v>215</v>
      </c>
      <c r="B216" s="9" t="s">
        <v>290</v>
      </c>
      <c r="C216" s="9" t="s">
        <v>284</v>
      </c>
      <c r="D216" s="8">
        <v>7</v>
      </c>
      <c r="E216" s="10"/>
      <c r="F216" s="10"/>
      <c r="G216" s="10"/>
      <c r="H216" s="11">
        <v>1</v>
      </c>
      <c r="I216" s="11">
        <v>2374</v>
      </c>
      <c r="J216" s="11">
        <v>26</v>
      </c>
      <c r="K216" s="11">
        <v>26</v>
      </c>
      <c r="L216" s="11">
        <v>26</v>
      </c>
      <c r="M216" s="11"/>
      <c r="N216" s="11">
        <v>0</v>
      </c>
      <c r="O216" s="11">
        <v>25</v>
      </c>
      <c r="P216" s="11">
        <v>3</v>
      </c>
      <c r="Q216" s="11"/>
      <c r="R216" s="19"/>
      <c r="S216" s="10"/>
      <c r="T216" s="21"/>
      <c r="U216" s="12"/>
      <c r="V216" s="12">
        <f t="shared" si="23"/>
        <v>54</v>
      </c>
      <c r="W216" s="10">
        <f ca="1">IFERROR(__xludf.DUMMYFUNCTION("IFERROR(
  SUM(
    FILTER(
      Reporte!$E:$E, 
      REGEXMATCH(Reporte!$A:$A, ""(?i)(TE PAGÓ|PAGASTE)""), 
      Reporte!$H:$H &amp; """" = AH216 &amp; """"
    )
  ), 
  0
)"),0)</f>
        <v>0</v>
      </c>
      <c r="X216" s="10">
        <f ca="1">IFERROR(__xludf.DUMMYFUNCTION("IFERROR(
  SUM(
    FILTER(
      Efectivo!$C:$C, 
      Efectivo!$D:$D &amp; """" = AH216 &amp; """"
    )
  ), 
  0
)"),54)</f>
        <v>54</v>
      </c>
      <c r="Y216" s="10" t="s">
        <v>34</v>
      </c>
      <c r="Z216" s="10"/>
      <c r="AA216" s="10"/>
      <c r="AB216" s="10"/>
      <c r="AC216" s="10"/>
      <c r="AD216" s="10" t="str">
        <f t="shared" si="19"/>
        <v/>
      </c>
      <c r="AE216" s="10" t="e">
        <f>IF(
   OR(
     AND(#REF!&gt;0, OR(Y216="C", Y216="c"), U216&lt;0),
     AND(#REF!&gt;0, Y216="")
   ),
   "CORTE",
   ""
)</f>
        <v>#REF!</v>
      </c>
      <c r="AF216" s="10">
        <f t="shared" si="1"/>
        <v>54</v>
      </c>
      <c r="AG216" s="10">
        <f t="shared" si="2"/>
        <v>0</v>
      </c>
      <c r="AH216" s="10" t="str">
        <f t="shared" si="20"/>
        <v>L</v>
      </c>
      <c r="AI216" s="10" t="str">
        <f t="shared" si="21"/>
        <v>L-7</v>
      </c>
    </row>
    <row r="217" spans="1:35" ht="15.75" customHeight="1" x14ac:dyDescent="0.35">
      <c r="A217" s="13">
        <v>216</v>
      </c>
      <c r="B217" s="14" t="s">
        <v>291</v>
      </c>
      <c r="C217" s="14" t="s">
        <v>284</v>
      </c>
      <c r="D217" s="13">
        <v>8</v>
      </c>
      <c r="E217" s="15"/>
      <c r="F217" s="15"/>
      <c r="G217" s="15"/>
      <c r="H217" s="16">
        <v>1</v>
      </c>
      <c r="I217" s="16">
        <v>2351</v>
      </c>
      <c r="J217" s="16">
        <v>26</v>
      </c>
      <c r="K217" s="16">
        <v>26</v>
      </c>
      <c r="L217" s="16">
        <v>26</v>
      </c>
      <c r="M217" s="16"/>
      <c r="N217" s="16">
        <v>0</v>
      </c>
      <c r="O217" s="16">
        <v>25</v>
      </c>
      <c r="P217" s="16">
        <v>3</v>
      </c>
      <c r="Q217" s="16"/>
      <c r="R217" s="18"/>
      <c r="S217" s="15"/>
      <c r="T217" s="20"/>
      <c r="U217" s="17"/>
      <c r="V217" s="17">
        <f t="shared" si="23"/>
        <v>54</v>
      </c>
      <c r="W217" s="15">
        <f ca="1">IFERROR(__xludf.DUMMYFUNCTION("IFERROR(
  SUM(
    FILTER(
      Reporte!$E:$E, 
      REGEXMATCH(Reporte!$A:$A, ""(?i)(TE PAGÓ|PAGASTE)""), 
      Reporte!$H:$H &amp; """" = AH217 &amp; """"
    )
  ), 
  0
)"),54)</f>
        <v>54</v>
      </c>
      <c r="X217" s="15">
        <f ca="1">IFERROR(__xludf.DUMMYFUNCTION("IFERROR(
  SUM(
    FILTER(
      Efectivo!$C:$C, 
      Efectivo!$D:$D &amp; """" = AH217 &amp; """"
    )
  ), 
  0
)"),0)</f>
        <v>0</v>
      </c>
      <c r="Y217" s="15" t="s">
        <v>34</v>
      </c>
      <c r="Z217" s="15"/>
      <c r="AA217" s="15" t="s">
        <v>35</v>
      </c>
      <c r="AB217" s="15"/>
      <c r="AC217" s="15"/>
      <c r="AD217" s="15" t="str">
        <f t="shared" si="19"/>
        <v/>
      </c>
      <c r="AE217" s="15" t="e">
        <f>IF(
   OR(
     AND(#REF!&gt;0, OR(Y217="C", Y217="c"), U217&lt;0),
     AND(#REF!&gt;0, Y217="")
   ),
   "CORTE",
   ""
)</f>
        <v>#REF!</v>
      </c>
      <c r="AF217" s="15">
        <f t="shared" si="1"/>
        <v>0</v>
      </c>
      <c r="AG217" s="15">
        <f t="shared" si="2"/>
        <v>54</v>
      </c>
      <c r="AH217" s="15" t="str">
        <f t="shared" si="20"/>
        <v>L</v>
      </c>
      <c r="AI217" s="15" t="str">
        <f t="shared" si="21"/>
        <v>L-8</v>
      </c>
    </row>
    <row r="218" spans="1:35" ht="15.75" customHeight="1" x14ac:dyDescent="0.35">
      <c r="A218" s="8">
        <v>217</v>
      </c>
      <c r="B218" s="9" t="s">
        <v>292</v>
      </c>
      <c r="C218" s="9" t="s">
        <v>284</v>
      </c>
      <c r="D218" s="8">
        <v>10</v>
      </c>
      <c r="E218" s="10"/>
      <c r="F218" s="10"/>
      <c r="G218" s="10"/>
      <c r="H218" s="11">
        <v>1</v>
      </c>
      <c r="I218" s="11">
        <v>3</v>
      </c>
      <c r="J218" s="11">
        <v>23</v>
      </c>
      <c r="K218" s="11">
        <v>20</v>
      </c>
      <c r="L218" s="11">
        <v>20</v>
      </c>
      <c r="M218" s="11"/>
      <c r="N218" s="11">
        <v>0</v>
      </c>
      <c r="O218" s="11">
        <v>25</v>
      </c>
      <c r="P218" s="11">
        <v>3</v>
      </c>
      <c r="Q218" s="11"/>
      <c r="R218" s="19"/>
      <c r="S218" s="10"/>
      <c r="T218" s="21"/>
      <c r="U218" s="12"/>
      <c r="V218" s="12">
        <f>SUM(L218:U218)</f>
        <v>48</v>
      </c>
      <c r="W218" s="10">
        <f ca="1">IFERROR(__xludf.DUMMYFUNCTION("IFERROR(
  SUM(
    FILTER(
      Reporte!$E:$E, 
      REGEXMATCH(Reporte!$A:$A, ""(?i)(TE PAGÓ|PAGASTE)""), 
      Reporte!$H:$H &amp; """" = AH218 &amp; """"
    )
  ), 
  0
)"),48)</f>
        <v>48</v>
      </c>
      <c r="X218" s="10">
        <f ca="1">IFERROR(__xludf.DUMMYFUNCTION("IFERROR(
  SUM(
    FILTER(
      Efectivo!$C:$C, 
      Efectivo!$D:$D &amp; """" = AH218 &amp; """"
    )
  ), 
  0
)"),0)</f>
        <v>0</v>
      </c>
      <c r="Y218" s="10" t="s">
        <v>34</v>
      </c>
      <c r="Z218" s="10"/>
      <c r="AA218" s="10" t="s">
        <v>35</v>
      </c>
      <c r="AB218" s="10"/>
      <c r="AC218" s="10"/>
      <c r="AD218" s="10" t="str">
        <f t="shared" si="19"/>
        <v/>
      </c>
      <c r="AE218" s="10" t="e">
        <f>IF(
   OR(
     AND(#REF!&gt;0, OR(Y218="C", Y218="c"), U218&lt;0),
     AND(#REF!&gt;0, Y218="")
   ),
   "CORTE",
   ""
)</f>
        <v>#REF!</v>
      </c>
      <c r="AF218" s="10">
        <f t="shared" si="1"/>
        <v>0</v>
      </c>
      <c r="AG218" s="10">
        <f t="shared" si="2"/>
        <v>48</v>
      </c>
      <c r="AH218" s="10" t="str">
        <f t="shared" si="20"/>
        <v>L</v>
      </c>
      <c r="AI218" s="10" t="str">
        <f t="shared" si="21"/>
        <v>L-10</v>
      </c>
    </row>
    <row r="219" spans="1:35" ht="15.75" customHeight="1" x14ac:dyDescent="0.35">
      <c r="A219" s="13">
        <v>218</v>
      </c>
      <c r="B219" s="14" t="s">
        <v>293</v>
      </c>
      <c r="C219" s="14" t="s">
        <v>284</v>
      </c>
      <c r="D219" s="13">
        <v>11</v>
      </c>
      <c r="E219" s="15"/>
      <c r="F219" s="15"/>
      <c r="G219" s="15"/>
      <c r="H219" s="16">
        <v>1</v>
      </c>
      <c r="I219" s="16">
        <v>1</v>
      </c>
      <c r="J219" s="16">
        <v>7</v>
      </c>
      <c r="K219" s="16">
        <v>6</v>
      </c>
      <c r="L219" s="16">
        <v>6</v>
      </c>
      <c r="M219" s="16"/>
      <c r="N219" s="16">
        <v>0</v>
      </c>
      <c r="O219" s="16">
        <v>25</v>
      </c>
      <c r="P219" s="16">
        <v>3</v>
      </c>
      <c r="Q219" s="16"/>
      <c r="R219" s="18"/>
      <c r="S219" s="15"/>
      <c r="T219" s="20"/>
      <c r="U219" s="17"/>
      <c r="V219" s="17">
        <f>SUM(L219:Q219)</f>
        <v>34</v>
      </c>
      <c r="W219" s="15">
        <f ca="1">IFERROR(__xludf.DUMMYFUNCTION("IFERROR(
  SUM(
    FILTER(
      Reporte!$E:$E, 
      REGEXMATCH(Reporte!$A:$A, ""(?i)(TE PAGÓ|PAGASTE)""), 
      Reporte!$H:$H &amp; """" = AH219 &amp; """"
    )
  ), 
  0
)"),0)</f>
        <v>0</v>
      </c>
      <c r="X219" s="15">
        <f ca="1">IFERROR(__xludf.DUMMYFUNCTION("IFERROR(
  SUM(
    FILTER(
      Efectivo!$C:$C, 
      Efectivo!$D:$D &amp; """" = AH219 &amp; """"
    )
  ), 
  0
)"),34)</f>
        <v>34</v>
      </c>
      <c r="Y219" s="15" t="s">
        <v>34</v>
      </c>
      <c r="Z219" s="15"/>
      <c r="AA219" s="15"/>
      <c r="AB219" s="15"/>
      <c r="AC219" s="15"/>
      <c r="AD219" s="15" t="str">
        <f t="shared" si="19"/>
        <v/>
      </c>
      <c r="AE219" s="15" t="e">
        <f>IF(
   OR(
     AND(#REF!&gt;0, OR(Y219="C", Y219="c"), U219&lt;0),
     AND(#REF!&gt;0, Y219="")
   ),
   "CORTE",
   ""
)</f>
        <v>#REF!</v>
      </c>
      <c r="AF219" s="15">
        <f t="shared" si="1"/>
        <v>34</v>
      </c>
      <c r="AG219" s="15">
        <f t="shared" si="2"/>
        <v>0</v>
      </c>
      <c r="AH219" s="15" t="str">
        <f t="shared" si="20"/>
        <v>L</v>
      </c>
      <c r="AI219" s="15" t="str">
        <f t="shared" si="21"/>
        <v>L-11</v>
      </c>
    </row>
    <row r="220" spans="1:35" ht="15.75" customHeight="1" x14ac:dyDescent="0.35">
      <c r="A220" s="8">
        <v>219</v>
      </c>
      <c r="B220" s="9" t="s">
        <v>294</v>
      </c>
      <c r="C220" s="9" t="s">
        <v>284</v>
      </c>
      <c r="D220" s="8">
        <v>12</v>
      </c>
      <c r="E220" s="10"/>
      <c r="F220" s="10"/>
      <c r="G220" s="10"/>
      <c r="H220" s="11">
        <v>1</v>
      </c>
      <c r="I220" s="11">
        <v>4655</v>
      </c>
      <c r="J220" s="11">
        <v>15</v>
      </c>
      <c r="K220" s="11">
        <v>15</v>
      </c>
      <c r="L220" s="11">
        <v>15</v>
      </c>
      <c r="M220" s="11"/>
      <c r="N220" s="11">
        <v>0</v>
      </c>
      <c r="O220" s="11">
        <v>25</v>
      </c>
      <c r="P220" s="11">
        <v>3</v>
      </c>
      <c r="Q220" s="11"/>
      <c r="R220" s="19"/>
      <c r="S220" s="10"/>
      <c r="T220" s="21"/>
      <c r="U220" s="12">
        <v>8</v>
      </c>
      <c r="V220" s="12">
        <f>SUM(L220:U220)</f>
        <v>51</v>
      </c>
      <c r="W220" s="10">
        <f ca="1">IFERROR(__xludf.DUMMYFUNCTION("IFERROR(
  SUM(
    FILTER(
      Reporte!$E:$E, 
      REGEXMATCH(Reporte!$A:$A, ""(?i)(TE PAGÓ|PAGASTE)""), 
      Reporte!$H:$H &amp; """" = AH220 &amp; """"
    )
  ), 
  0
)"),0)</f>
        <v>0</v>
      </c>
      <c r="X220" s="10">
        <f ca="1">IFERROR(__xludf.DUMMYFUNCTION("IFERROR(
  SUM(
    FILTER(
      Efectivo!$C:$C, 
      Efectivo!$D:$D &amp; """" = AH220 &amp; """"
    )
  ), 
  0
)"),51)</f>
        <v>51</v>
      </c>
      <c r="Y220" s="10" t="s">
        <v>34</v>
      </c>
      <c r="Z220" s="10"/>
      <c r="AA220" s="10"/>
      <c r="AB220" s="10" t="s">
        <v>295</v>
      </c>
      <c r="AC220" s="10"/>
      <c r="AD220" s="10" t="str">
        <f t="shared" si="19"/>
        <v/>
      </c>
      <c r="AE220" s="10" t="e">
        <f>IF(
   OR(
     AND(#REF!&gt;0, OR(Y220="C", Y220="c"), U220&lt;0),
     AND(#REF!&gt;0, Y220="")
   ),
   "CORTE",
   ""
)</f>
        <v>#REF!</v>
      </c>
      <c r="AF220" s="10">
        <f t="shared" si="1"/>
        <v>51</v>
      </c>
      <c r="AG220" s="10">
        <f t="shared" si="2"/>
        <v>0</v>
      </c>
      <c r="AH220" s="10" t="str">
        <f t="shared" si="20"/>
        <v>L</v>
      </c>
      <c r="AI220" s="10" t="str">
        <f t="shared" si="21"/>
        <v>L-12</v>
      </c>
    </row>
    <row r="221" spans="1:35" ht="15.75" customHeight="1" x14ac:dyDescent="0.35">
      <c r="A221" s="13">
        <v>220</v>
      </c>
      <c r="B221" s="14" t="s">
        <v>296</v>
      </c>
      <c r="C221" s="14" t="s">
        <v>284</v>
      </c>
      <c r="D221" s="13">
        <v>13</v>
      </c>
      <c r="E221" s="15"/>
      <c r="F221" s="15"/>
      <c r="G221" s="15"/>
      <c r="H221" s="16">
        <v>1</v>
      </c>
      <c r="I221" s="16">
        <v>1428</v>
      </c>
      <c r="J221" s="16">
        <v>1436</v>
      </c>
      <c r="K221" s="16">
        <v>8</v>
      </c>
      <c r="L221" s="16">
        <v>8</v>
      </c>
      <c r="M221" s="16"/>
      <c r="N221" s="16">
        <v>0</v>
      </c>
      <c r="O221" s="16"/>
      <c r="P221" s="16">
        <v>3</v>
      </c>
      <c r="Q221" s="16"/>
      <c r="R221" s="18"/>
      <c r="S221" s="15"/>
      <c r="T221" s="20"/>
      <c r="U221" s="17"/>
      <c r="V221" s="17">
        <f t="shared" ref="V221:V228" si="24">SUM(L221:Q221)</f>
        <v>11</v>
      </c>
      <c r="W221" s="15">
        <f ca="1">IFERROR(__xludf.DUMMYFUNCTION("IFERROR(
  SUM(
    FILTER(
      Reporte!$E:$E, 
      REGEXMATCH(Reporte!$A:$A, ""(?i)(TE PAGÓ|PAGASTE)""), 
      Reporte!$H:$H &amp; """" = AH221 &amp; """"
    )
  ), 
  0
)"),11)</f>
        <v>11</v>
      </c>
      <c r="X221" s="15">
        <f ca="1">IFERROR(__xludf.DUMMYFUNCTION("IFERROR(
  SUM(
    FILTER(
      Efectivo!$C:$C, 
      Efectivo!$D:$D &amp; """" = AH221 &amp; """"
    )
  ), 
  0
)"),0)</f>
        <v>0</v>
      </c>
      <c r="Y221" s="15" t="s">
        <v>34</v>
      </c>
      <c r="Z221" s="15"/>
      <c r="AA221" s="15" t="s">
        <v>35</v>
      </c>
      <c r="AB221" s="15"/>
      <c r="AC221" s="15"/>
      <c r="AD221" s="15" t="str">
        <f t="shared" si="19"/>
        <v/>
      </c>
      <c r="AE221" s="15" t="e">
        <f>IF(
   OR(
     AND(#REF!&gt;0, OR(Y221="C", Y221="c"), U221&lt;0),
     AND(#REF!&gt;0, Y221="")
   ),
   "CORTE",
   ""
)</f>
        <v>#REF!</v>
      </c>
      <c r="AF221" s="15">
        <f t="shared" si="1"/>
        <v>0</v>
      </c>
      <c r="AG221" s="15">
        <f t="shared" si="2"/>
        <v>11</v>
      </c>
      <c r="AH221" s="15" t="str">
        <f t="shared" si="20"/>
        <v>L</v>
      </c>
      <c r="AI221" s="15" t="str">
        <f t="shared" si="21"/>
        <v>L-13</v>
      </c>
    </row>
    <row r="222" spans="1:35" ht="15.75" customHeight="1" x14ac:dyDescent="0.35">
      <c r="A222" s="8">
        <v>221</v>
      </c>
      <c r="B222" s="9" t="s">
        <v>297</v>
      </c>
      <c r="C222" s="9" t="s">
        <v>284</v>
      </c>
      <c r="D222" s="8">
        <v>14</v>
      </c>
      <c r="E222" s="10"/>
      <c r="F222" s="10"/>
      <c r="G222" s="10"/>
      <c r="H222" s="11">
        <v>1</v>
      </c>
      <c r="I222" s="11">
        <v>5</v>
      </c>
      <c r="J222" s="11">
        <v>25</v>
      </c>
      <c r="K222" s="11">
        <v>20</v>
      </c>
      <c r="L222" s="11">
        <v>20</v>
      </c>
      <c r="M222" s="11"/>
      <c r="N222" s="11">
        <v>0</v>
      </c>
      <c r="O222" s="11">
        <v>25</v>
      </c>
      <c r="P222" s="11">
        <v>3</v>
      </c>
      <c r="Q222" s="11"/>
      <c r="R222" s="19"/>
      <c r="S222" s="10"/>
      <c r="T222" s="21"/>
      <c r="U222" s="12"/>
      <c r="V222" s="12">
        <f t="shared" si="24"/>
        <v>48</v>
      </c>
      <c r="W222" s="10">
        <f ca="1">IFERROR(__xludf.DUMMYFUNCTION("IFERROR(
  SUM(
    FILTER(
      Reporte!$E:$E, 
      REGEXMATCH(Reporte!$A:$A, ""(?i)(TE PAGÓ|PAGASTE)""), 
      Reporte!$H:$H &amp; """" = AH222 &amp; """"
    )
  ), 
  0
)"),48)</f>
        <v>48</v>
      </c>
      <c r="X222" s="10">
        <f ca="1">IFERROR(__xludf.DUMMYFUNCTION("IFERROR(
  SUM(
    FILTER(
      Efectivo!$C:$C, 
      Efectivo!$D:$D &amp; """" = AH222 &amp; """"
    )
  ), 
  0
)"),0)</f>
        <v>0</v>
      </c>
      <c r="Y222" s="10" t="s">
        <v>34</v>
      </c>
      <c r="Z222" s="10"/>
      <c r="AA222" s="10" t="s">
        <v>35</v>
      </c>
      <c r="AB222" s="10"/>
      <c r="AC222" s="10"/>
      <c r="AD222" s="10" t="str">
        <f t="shared" si="19"/>
        <v/>
      </c>
      <c r="AE222" s="10" t="e">
        <f>IF(
   OR(
     AND(#REF!&gt;0, OR(Y222="C", Y222="c"), U222&lt;0),
     AND(#REF!&gt;0, Y222="")
   ),
   "CORTE",
   ""
)</f>
        <v>#REF!</v>
      </c>
      <c r="AF222" s="10">
        <f t="shared" si="1"/>
        <v>0</v>
      </c>
      <c r="AG222" s="10">
        <f t="shared" si="2"/>
        <v>48</v>
      </c>
      <c r="AH222" s="10" t="str">
        <f t="shared" si="20"/>
        <v>L</v>
      </c>
      <c r="AI222" s="10" t="str">
        <f t="shared" si="21"/>
        <v>L-14</v>
      </c>
    </row>
    <row r="223" spans="1:35" ht="15.75" customHeight="1" x14ac:dyDescent="0.35">
      <c r="A223" s="13">
        <v>222</v>
      </c>
      <c r="B223" s="14" t="s">
        <v>298</v>
      </c>
      <c r="C223" s="14" t="s">
        <v>284</v>
      </c>
      <c r="D223" s="13">
        <v>15</v>
      </c>
      <c r="E223" s="15"/>
      <c r="F223" s="15"/>
      <c r="G223" s="15"/>
      <c r="H223" s="16">
        <v>1</v>
      </c>
      <c r="I223" s="16">
        <v>2417</v>
      </c>
      <c r="J223" s="16">
        <v>2430</v>
      </c>
      <c r="K223" s="16">
        <v>13</v>
      </c>
      <c r="L223" s="16">
        <v>13</v>
      </c>
      <c r="M223" s="16"/>
      <c r="N223" s="16">
        <v>0</v>
      </c>
      <c r="O223" s="16"/>
      <c r="P223" s="16">
        <v>3</v>
      </c>
      <c r="Q223" s="16"/>
      <c r="R223" s="18"/>
      <c r="S223" s="15"/>
      <c r="T223" s="20"/>
      <c r="U223" s="17"/>
      <c r="V223" s="17">
        <f t="shared" si="24"/>
        <v>16</v>
      </c>
      <c r="W223" s="15">
        <f ca="1">IFERROR(__xludf.DUMMYFUNCTION("IFERROR(
  SUM(
    FILTER(
      Reporte!$E:$E, 
      REGEXMATCH(Reporte!$A:$A, ""(?i)(TE PAGÓ|PAGASTE)""), 
      Reporte!$H:$H &amp; """" = AH223 &amp; """"
    )
  ), 
  0
)"),16)</f>
        <v>16</v>
      </c>
      <c r="X223" s="15">
        <f ca="1">IFERROR(__xludf.DUMMYFUNCTION("IFERROR(
  SUM(
    FILTER(
      Efectivo!$C:$C, 
      Efectivo!$D:$D &amp; """" = AH223 &amp; """"
    )
  ), 
  0
)"),0)</f>
        <v>0</v>
      </c>
      <c r="Y223" s="15" t="s">
        <v>34</v>
      </c>
      <c r="Z223" s="15"/>
      <c r="AA223" s="15" t="s">
        <v>35</v>
      </c>
      <c r="AB223" s="15"/>
      <c r="AC223" s="15"/>
      <c r="AD223" s="15" t="str">
        <f t="shared" si="19"/>
        <v/>
      </c>
      <c r="AE223" s="15" t="e">
        <f>IF(
   OR(
     AND(#REF!&gt;0, OR(Y223="C", Y223="c"), U223&lt;0),
     AND(#REF!&gt;0, Y223="")
   ),
   "CORTE",
   ""
)</f>
        <v>#REF!</v>
      </c>
      <c r="AF223" s="15">
        <f t="shared" si="1"/>
        <v>0</v>
      </c>
      <c r="AG223" s="15">
        <f t="shared" si="2"/>
        <v>16</v>
      </c>
      <c r="AH223" s="15" t="str">
        <f t="shared" si="20"/>
        <v>L</v>
      </c>
      <c r="AI223" s="15" t="str">
        <f t="shared" si="21"/>
        <v>L-15</v>
      </c>
    </row>
    <row r="224" spans="1:35" ht="15.75" customHeight="1" x14ac:dyDescent="0.35">
      <c r="A224" s="8">
        <v>223</v>
      </c>
      <c r="B224" s="9" t="s">
        <v>299</v>
      </c>
      <c r="C224" s="9" t="s">
        <v>300</v>
      </c>
      <c r="D224" s="8">
        <v>1</v>
      </c>
      <c r="E224" s="10"/>
      <c r="F224" s="10"/>
      <c r="G224" s="10"/>
      <c r="H224" s="11">
        <v>1</v>
      </c>
      <c r="I224" s="11">
        <v>3177</v>
      </c>
      <c r="J224" s="11">
        <v>3201</v>
      </c>
      <c r="K224" s="11">
        <v>24</v>
      </c>
      <c r="L224" s="11">
        <v>24</v>
      </c>
      <c r="M224" s="11"/>
      <c r="N224" s="11">
        <v>0</v>
      </c>
      <c r="O224" s="11"/>
      <c r="P224" s="11">
        <v>3</v>
      </c>
      <c r="Q224" s="11"/>
      <c r="R224" s="19"/>
      <c r="S224" s="10"/>
      <c r="T224" s="21"/>
      <c r="U224" s="12"/>
      <c r="V224" s="12">
        <f t="shared" si="24"/>
        <v>27</v>
      </c>
      <c r="W224" s="10">
        <f ca="1">IFERROR(__xludf.DUMMYFUNCTION("IFERROR(
  SUM(
    FILTER(
      Reporte!$E:$E, 
      REGEXMATCH(Reporte!$A:$A, ""(?i)(TE PAGÓ|PAGASTE)""), 
      Reporte!$H:$H &amp; """" = AH224 &amp; """"
    )
  ), 
  0
)"),0)</f>
        <v>0</v>
      </c>
      <c r="X224" s="10">
        <f ca="1">IFERROR(__xludf.DUMMYFUNCTION("IFERROR(
  SUM(
    FILTER(
      Efectivo!$C:$C, 
      Efectivo!$D:$D &amp; """" = AH224 &amp; """"
    )
  ), 
  0
)"),27)</f>
        <v>27</v>
      </c>
      <c r="Y224" s="10" t="s">
        <v>34</v>
      </c>
      <c r="Z224" s="10"/>
      <c r="AA224" s="10"/>
      <c r="AB224" s="10"/>
      <c r="AC224" s="10"/>
      <c r="AD224" s="10" t="str">
        <f t="shared" si="19"/>
        <v/>
      </c>
      <c r="AE224" s="10" t="e">
        <f>IF(
   OR(
     AND(#REF!&gt;0, OR(Y224="C", Y224="c"), U224&lt;0),
     AND(#REF!&gt;0, Y224="")
   ),
   "CORTE",
   ""
)</f>
        <v>#REF!</v>
      </c>
      <c r="AF224" s="10">
        <f t="shared" si="1"/>
        <v>27</v>
      </c>
      <c r="AG224" s="10">
        <f t="shared" si="2"/>
        <v>0</v>
      </c>
      <c r="AH224" s="10" t="str">
        <f t="shared" si="20"/>
        <v>M</v>
      </c>
      <c r="AI224" s="10" t="str">
        <f t="shared" si="21"/>
        <v>M-1</v>
      </c>
    </row>
    <row r="225" spans="1:35" ht="15.75" customHeight="1" x14ac:dyDescent="0.35">
      <c r="A225" s="13">
        <v>224</v>
      </c>
      <c r="B225" s="14" t="s">
        <v>301</v>
      </c>
      <c r="C225" s="14" t="s">
        <v>300</v>
      </c>
      <c r="D225" s="13">
        <v>2</v>
      </c>
      <c r="E225" s="15"/>
      <c r="F225" s="15"/>
      <c r="G225" s="15"/>
      <c r="H225" s="16">
        <v>1</v>
      </c>
      <c r="I225" s="16">
        <v>3114</v>
      </c>
      <c r="J225" s="16">
        <v>3126</v>
      </c>
      <c r="K225" s="16">
        <v>12</v>
      </c>
      <c r="L225" s="16">
        <v>12</v>
      </c>
      <c r="M225" s="16"/>
      <c r="N225" s="16">
        <v>0</v>
      </c>
      <c r="O225" s="16"/>
      <c r="P225" s="16">
        <v>3</v>
      </c>
      <c r="Q225" s="16"/>
      <c r="R225" s="18"/>
      <c r="S225" s="15"/>
      <c r="T225" s="20"/>
      <c r="U225" s="17"/>
      <c r="V225" s="17">
        <f t="shared" si="24"/>
        <v>15</v>
      </c>
      <c r="W225" s="15">
        <f ca="1">IFERROR(__xludf.DUMMYFUNCTION("IFERROR(
  SUM(
    FILTER(
      Reporte!$E:$E, 
      REGEXMATCH(Reporte!$A:$A, ""(?i)(TE PAGÓ|PAGASTE)""), 
      Reporte!$H:$H &amp; """" = AH225 &amp; """"
    )
  ), 
  0
)"),0)</f>
        <v>0</v>
      </c>
      <c r="X225" s="15">
        <f ca="1">IFERROR(__xludf.DUMMYFUNCTION("IFERROR(
  SUM(
    FILTER(
      Efectivo!$C:$C, 
      Efectivo!$D:$D &amp; """" = AH225 &amp; """"
    )
  ), 
  0
)"),15)</f>
        <v>15</v>
      </c>
      <c r="Y225" s="15" t="s">
        <v>34</v>
      </c>
      <c r="Z225" s="15"/>
      <c r="AA225" s="15"/>
      <c r="AB225" s="15"/>
      <c r="AC225" s="15"/>
      <c r="AD225" s="15" t="str">
        <f t="shared" si="19"/>
        <v/>
      </c>
      <c r="AE225" s="15" t="e">
        <f>IF(
   OR(
     AND(#REF!&gt;0, OR(Y225="C", Y225="c"), U225&lt;0),
     AND(#REF!&gt;0, Y225="")
   ),
   "CORTE",
   ""
)</f>
        <v>#REF!</v>
      </c>
      <c r="AF225" s="15">
        <f t="shared" si="1"/>
        <v>15</v>
      </c>
      <c r="AG225" s="15">
        <f t="shared" si="2"/>
        <v>0</v>
      </c>
      <c r="AH225" s="15" t="str">
        <f t="shared" si="20"/>
        <v>M</v>
      </c>
      <c r="AI225" s="15" t="str">
        <f t="shared" si="21"/>
        <v>M-2</v>
      </c>
    </row>
    <row r="226" spans="1:35" ht="15.75" customHeight="1" x14ac:dyDescent="0.35">
      <c r="A226" s="8">
        <v>225</v>
      </c>
      <c r="B226" s="9" t="s">
        <v>302</v>
      </c>
      <c r="C226" s="9" t="s">
        <v>300</v>
      </c>
      <c r="D226" s="8">
        <v>3</v>
      </c>
      <c r="E226" s="10"/>
      <c r="F226" s="10"/>
      <c r="G226" s="10"/>
      <c r="H226" s="11">
        <v>1</v>
      </c>
      <c r="I226" s="11">
        <v>1177</v>
      </c>
      <c r="J226" s="11">
        <v>1179</v>
      </c>
      <c r="K226" s="11">
        <v>2</v>
      </c>
      <c r="L226" s="11">
        <v>5</v>
      </c>
      <c r="M226" s="11"/>
      <c r="N226" s="11">
        <v>0</v>
      </c>
      <c r="O226" s="11"/>
      <c r="P226" s="11">
        <v>3</v>
      </c>
      <c r="Q226" s="11"/>
      <c r="R226" s="19"/>
      <c r="S226" s="10"/>
      <c r="T226" s="21"/>
      <c r="U226" s="12"/>
      <c r="V226" s="12">
        <f t="shared" si="24"/>
        <v>8</v>
      </c>
      <c r="W226" s="10">
        <f ca="1">IFERROR(__xludf.DUMMYFUNCTION("IFERROR(
  SUM(
    FILTER(
      Reporte!$E:$E, 
      REGEXMATCH(Reporte!$A:$A, ""(?i)(TE PAGÓ|PAGASTE)""), 
      Reporte!$H:$H &amp; """" = AH226 &amp; """"
    )
  ), 
  0
)"),0)</f>
        <v>0</v>
      </c>
      <c r="X226" s="10">
        <f ca="1">IFERROR(__xludf.DUMMYFUNCTION("IFERROR(
  SUM(
    FILTER(
      Efectivo!$C:$C, 
      Efectivo!$D:$D &amp; """" = AH226 &amp; """"
    )
  ), 
  0
)"),0)</f>
        <v>0</v>
      </c>
      <c r="Y226" s="10"/>
      <c r="Z226" s="10"/>
      <c r="AA226" s="10"/>
      <c r="AB226" s="10"/>
      <c r="AC226" s="10"/>
      <c r="AD226" s="10" t="str">
        <f t="shared" si="19"/>
        <v/>
      </c>
      <c r="AE226" s="10" t="e">
        <f>IF(
   OR(
     AND(#REF!&gt;0, OR(Y226="C", Y226="c"), U226&lt;0),
     AND(#REF!&gt;0, Y226="")
   ),
   "CORTE",
   ""
)</f>
        <v>#REF!</v>
      </c>
      <c r="AF226" s="10">
        <f t="shared" si="1"/>
        <v>0</v>
      </c>
      <c r="AG226" s="10">
        <f t="shared" si="2"/>
        <v>0</v>
      </c>
      <c r="AH226" s="10" t="str">
        <f t="shared" si="20"/>
        <v>M</v>
      </c>
      <c r="AI226" s="10" t="str">
        <f t="shared" si="21"/>
        <v>M-3</v>
      </c>
    </row>
    <row r="227" spans="1:35" ht="15.75" customHeight="1" x14ac:dyDescent="0.35">
      <c r="A227" s="13">
        <v>226</v>
      </c>
      <c r="B227" s="14" t="s">
        <v>303</v>
      </c>
      <c r="C227" s="14" t="s">
        <v>300</v>
      </c>
      <c r="D227" s="13">
        <v>4</v>
      </c>
      <c r="E227" s="15"/>
      <c r="F227" s="15"/>
      <c r="G227" s="15"/>
      <c r="H227" s="16">
        <v>1</v>
      </c>
      <c r="I227" s="16">
        <v>5</v>
      </c>
      <c r="J227" s="16">
        <v>12</v>
      </c>
      <c r="K227" s="16">
        <v>7</v>
      </c>
      <c r="L227" s="16">
        <v>7</v>
      </c>
      <c r="M227" s="16"/>
      <c r="N227" s="16">
        <v>0</v>
      </c>
      <c r="O227" s="16"/>
      <c r="P227" s="16">
        <v>3</v>
      </c>
      <c r="Q227" s="16"/>
      <c r="R227" s="18"/>
      <c r="S227" s="15"/>
      <c r="T227" s="20"/>
      <c r="U227" s="17"/>
      <c r="V227" s="17">
        <f t="shared" si="24"/>
        <v>10</v>
      </c>
      <c r="W227" s="15">
        <f ca="1">IFERROR(__xludf.DUMMYFUNCTION("IFERROR(
  SUM(
    FILTER(
      Reporte!$E:$E, 
      REGEXMATCH(Reporte!$A:$A, ""(?i)(TE PAGÓ|PAGASTE)""), 
      Reporte!$H:$H &amp; """" = AH227 &amp; """"
    )
  ), 
  0
)"),10)</f>
        <v>10</v>
      </c>
      <c r="X227" s="15">
        <f ca="1">IFERROR(__xludf.DUMMYFUNCTION("IFERROR(
  SUM(
    FILTER(
      Efectivo!$C:$C, 
      Efectivo!$D:$D &amp; """" = AH227 &amp; """"
    )
  ), 
  0
)"),0)</f>
        <v>0</v>
      </c>
      <c r="Y227" s="15" t="s">
        <v>34</v>
      </c>
      <c r="Z227" s="15"/>
      <c r="AA227" s="15" t="s">
        <v>35</v>
      </c>
      <c r="AB227" s="15"/>
      <c r="AC227" s="15"/>
      <c r="AD227" s="15" t="str">
        <f t="shared" si="19"/>
        <v/>
      </c>
      <c r="AE227" s="15" t="e">
        <f>IF(
   OR(
     AND(#REF!&gt;0, OR(Y227="C", Y227="c"), U227&lt;0),
     AND(#REF!&gt;0, Y227="")
   ),
   "CORTE",
   ""
)</f>
        <v>#REF!</v>
      </c>
      <c r="AF227" s="15">
        <f t="shared" si="1"/>
        <v>0</v>
      </c>
      <c r="AG227" s="15">
        <f t="shared" si="2"/>
        <v>10</v>
      </c>
      <c r="AH227" s="15" t="str">
        <f t="shared" si="20"/>
        <v>M</v>
      </c>
      <c r="AI227" s="15" t="str">
        <f t="shared" si="21"/>
        <v>M-4</v>
      </c>
    </row>
    <row r="228" spans="1:35" ht="15.75" customHeight="1" x14ac:dyDescent="0.35">
      <c r="A228" s="8">
        <v>227</v>
      </c>
      <c r="B228" s="9" t="s">
        <v>304</v>
      </c>
      <c r="C228" s="9" t="s">
        <v>300</v>
      </c>
      <c r="D228" s="8">
        <v>5</v>
      </c>
      <c r="E228" s="10"/>
      <c r="F228" s="10"/>
      <c r="G228" s="10"/>
      <c r="H228" s="11">
        <v>1</v>
      </c>
      <c r="I228" s="11">
        <v>257</v>
      </c>
      <c r="J228" s="11">
        <v>265</v>
      </c>
      <c r="K228" s="11">
        <v>8</v>
      </c>
      <c r="L228" s="11">
        <v>8</v>
      </c>
      <c r="M228" s="11"/>
      <c r="N228" s="11">
        <v>0</v>
      </c>
      <c r="O228" s="11"/>
      <c r="P228" s="11">
        <v>3</v>
      </c>
      <c r="Q228" s="11"/>
      <c r="R228" s="19"/>
      <c r="S228" s="10"/>
      <c r="T228" s="21"/>
      <c r="U228" s="12"/>
      <c r="V228" s="12">
        <f t="shared" si="24"/>
        <v>11</v>
      </c>
      <c r="W228" s="10">
        <f ca="1">IFERROR(__xludf.DUMMYFUNCTION("IFERROR(
  SUM(
    FILTER(
      Reporte!$E:$E, 
      REGEXMATCH(Reporte!$A:$A, ""(?i)(TE PAGÓ|PAGASTE)""), 
      Reporte!$H:$H &amp; """" = AH228 &amp; """"
    )
  ), 
  0
)"),11)</f>
        <v>11</v>
      </c>
      <c r="X228" s="10">
        <f ca="1">IFERROR(__xludf.DUMMYFUNCTION("IFERROR(
  SUM(
    FILTER(
      Efectivo!$C:$C, 
      Efectivo!$D:$D &amp; """" = AH228 &amp; """"
    )
  ), 
  0
)"),0)</f>
        <v>0</v>
      </c>
      <c r="Y228" s="10" t="s">
        <v>34</v>
      </c>
      <c r="Z228" s="10"/>
      <c r="AA228" s="10" t="s">
        <v>35</v>
      </c>
      <c r="AB228" s="10"/>
      <c r="AC228" s="10"/>
      <c r="AD228" s="10" t="str">
        <f t="shared" si="19"/>
        <v/>
      </c>
      <c r="AE228" s="10" t="e">
        <f>IF(
   OR(
     AND(#REF!&gt;0, OR(Y228="C", Y228="c"), U228&lt;0),
     AND(#REF!&gt;0, Y228="")
   ),
   "CORTE",
   ""
)</f>
        <v>#REF!</v>
      </c>
      <c r="AF228" s="10">
        <f t="shared" si="1"/>
        <v>0</v>
      </c>
      <c r="AG228" s="10">
        <f t="shared" si="2"/>
        <v>11</v>
      </c>
      <c r="AH228" s="10" t="str">
        <f t="shared" si="20"/>
        <v>M</v>
      </c>
      <c r="AI228" s="10" t="str">
        <f t="shared" si="21"/>
        <v>M-5</v>
      </c>
    </row>
    <row r="229" spans="1:35" ht="15.75" customHeight="1" x14ac:dyDescent="0.35">
      <c r="A229" s="13">
        <v>228</v>
      </c>
      <c r="B229" s="14" t="s">
        <v>305</v>
      </c>
      <c r="C229" s="14" t="s">
        <v>300</v>
      </c>
      <c r="D229" s="13">
        <v>6</v>
      </c>
      <c r="E229" s="15"/>
      <c r="F229" s="15"/>
      <c r="G229" s="15"/>
      <c r="H229" s="16">
        <v>1</v>
      </c>
      <c r="I229" s="16">
        <v>3938</v>
      </c>
      <c r="J229" s="16">
        <v>3952</v>
      </c>
      <c r="K229" s="16">
        <v>14</v>
      </c>
      <c r="L229" s="16">
        <v>14</v>
      </c>
      <c r="M229" s="16"/>
      <c r="N229" s="16">
        <v>0</v>
      </c>
      <c r="O229" s="16"/>
      <c r="P229" s="16">
        <v>3</v>
      </c>
      <c r="Q229" s="16"/>
      <c r="R229" s="18"/>
      <c r="S229" s="15"/>
      <c r="T229" s="20"/>
      <c r="U229" s="17"/>
      <c r="V229" s="17">
        <f>SUM(L229:U229)</f>
        <v>17</v>
      </c>
      <c r="W229" s="15">
        <f ca="1">IFERROR(__xludf.DUMMYFUNCTION("IFERROR(
  SUM(
    FILTER(
      Reporte!$E:$E, 
      REGEXMATCH(Reporte!$A:$A, ""(?i)(TE PAGÓ|PAGASTE)""), 
      Reporte!$H:$H &amp; """" = AH229 &amp; """"
    )
  ), 
  0
)"),17)</f>
        <v>17</v>
      </c>
      <c r="X229" s="15">
        <f ca="1">IFERROR(__xludf.DUMMYFUNCTION("IFERROR(
  SUM(
    FILTER(
      Efectivo!$C:$C, 
      Efectivo!$D:$D &amp; """" = AH229 &amp; """"
    )
  ), 
  0
)"),0)</f>
        <v>0</v>
      </c>
      <c r="Y229" s="15" t="s">
        <v>34</v>
      </c>
      <c r="Z229" s="15"/>
      <c r="AA229" s="15" t="s">
        <v>35</v>
      </c>
      <c r="AB229" s="15"/>
      <c r="AC229" s="15"/>
      <c r="AD229" s="15" t="str">
        <f t="shared" si="19"/>
        <v/>
      </c>
      <c r="AE229" s="15" t="e">
        <f>IF(
   OR(
     AND(#REF!&gt;0, OR(Y229="C", Y229="c"), U229&lt;0),
     AND(#REF!&gt;0, Y229="")
   ),
   "CORTE",
   ""
)</f>
        <v>#REF!</v>
      </c>
      <c r="AF229" s="15">
        <f t="shared" si="1"/>
        <v>0</v>
      </c>
      <c r="AG229" s="15">
        <f t="shared" si="2"/>
        <v>17</v>
      </c>
      <c r="AH229" s="15" t="str">
        <f t="shared" si="20"/>
        <v>M</v>
      </c>
      <c r="AI229" s="15" t="str">
        <f t="shared" si="21"/>
        <v>M-6</v>
      </c>
    </row>
    <row r="230" spans="1:35" ht="15.75" customHeight="1" x14ac:dyDescent="0.35">
      <c r="A230" s="8">
        <v>229</v>
      </c>
      <c r="B230" s="9" t="s">
        <v>306</v>
      </c>
      <c r="C230" s="9" t="s">
        <v>300</v>
      </c>
      <c r="D230" s="8">
        <v>7</v>
      </c>
      <c r="E230" s="10"/>
      <c r="F230" s="10"/>
      <c r="G230" s="10"/>
      <c r="H230" s="11">
        <v>1</v>
      </c>
      <c r="I230" s="11">
        <v>689</v>
      </c>
      <c r="J230" s="11">
        <v>704</v>
      </c>
      <c r="K230" s="11">
        <v>15</v>
      </c>
      <c r="L230" s="11">
        <v>15</v>
      </c>
      <c r="M230" s="11"/>
      <c r="N230" s="11">
        <v>0</v>
      </c>
      <c r="O230" s="11"/>
      <c r="P230" s="11">
        <v>3</v>
      </c>
      <c r="Q230" s="11"/>
      <c r="R230" s="19"/>
      <c r="S230" s="10"/>
      <c r="T230" s="21"/>
      <c r="U230" s="12"/>
      <c r="V230" s="12">
        <f t="shared" ref="V230:V244" si="25">SUM(L230:Q230)</f>
        <v>18</v>
      </c>
      <c r="W230" s="10">
        <f ca="1">IFERROR(__xludf.DUMMYFUNCTION("IFERROR(
  SUM(
    FILTER(
      Reporte!$E:$E, 
      REGEXMATCH(Reporte!$A:$A, ""(?i)(TE PAGÓ|PAGASTE)""), 
      Reporte!$H:$H &amp; """" = AH230 &amp; """"
    )
  ), 
  0
)"),18)</f>
        <v>18</v>
      </c>
      <c r="X230" s="10">
        <f ca="1">IFERROR(__xludf.DUMMYFUNCTION("IFERROR(
  SUM(
    FILTER(
      Efectivo!$C:$C, 
      Efectivo!$D:$D &amp; """" = AH230 &amp; """"
    )
  ), 
  0
)"),0)</f>
        <v>0</v>
      </c>
      <c r="Y230" s="10" t="s">
        <v>34</v>
      </c>
      <c r="Z230" s="10"/>
      <c r="AA230" s="10" t="s">
        <v>35</v>
      </c>
      <c r="AB230" s="10"/>
      <c r="AC230" s="10"/>
      <c r="AD230" s="10" t="str">
        <f t="shared" si="19"/>
        <v/>
      </c>
      <c r="AE230" s="10" t="e">
        <f>IF(
   OR(
     AND(#REF!&gt;0, OR(Y230="C", Y230="c"), U230&lt;0),
     AND(#REF!&gt;0, Y230="")
   ),
   "CORTE",
   ""
)</f>
        <v>#REF!</v>
      </c>
      <c r="AF230" s="10">
        <f t="shared" si="1"/>
        <v>0</v>
      </c>
      <c r="AG230" s="10">
        <f t="shared" si="2"/>
        <v>18</v>
      </c>
      <c r="AH230" s="10" t="str">
        <f t="shared" si="20"/>
        <v>M</v>
      </c>
      <c r="AI230" s="10" t="str">
        <f t="shared" si="21"/>
        <v>M-7</v>
      </c>
    </row>
    <row r="231" spans="1:35" ht="15.75" customHeight="1" x14ac:dyDescent="0.35">
      <c r="A231" s="13">
        <v>230</v>
      </c>
      <c r="B231" s="14" t="s">
        <v>307</v>
      </c>
      <c r="C231" s="14" t="s">
        <v>300</v>
      </c>
      <c r="D231" s="13">
        <v>8</v>
      </c>
      <c r="E231" s="15"/>
      <c r="F231" s="15"/>
      <c r="G231" s="15"/>
      <c r="H231" s="16">
        <v>1</v>
      </c>
      <c r="I231" s="16">
        <v>123</v>
      </c>
      <c r="J231" s="16">
        <v>135</v>
      </c>
      <c r="K231" s="16">
        <v>12</v>
      </c>
      <c r="L231" s="16">
        <v>12</v>
      </c>
      <c r="M231" s="16"/>
      <c r="N231" s="16">
        <v>0</v>
      </c>
      <c r="O231" s="16"/>
      <c r="P231" s="16">
        <v>3</v>
      </c>
      <c r="Q231" s="16"/>
      <c r="R231" s="18"/>
      <c r="S231" s="15"/>
      <c r="T231" s="20"/>
      <c r="U231" s="17"/>
      <c r="V231" s="17">
        <f t="shared" si="25"/>
        <v>15</v>
      </c>
      <c r="W231" s="15">
        <f ca="1">IFERROR(__xludf.DUMMYFUNCTION("IFERROR(
  SUM(
    FILTER(
      Reporte!$E:$E, 
      REGEXMATCH(Reporte!$A:$A, ""(?i)(TE PAGÓ|PAGASTE)""), 
      Reporte!$H:$H &amp; """" = AH231 &amp; """"
    )
  ), 
  0
)"),0)</f>
        <v>0</v>
      </c>
      <c r="X231" s="15">
        <f ca="1">IFERROR(__xludf.DUMMYFUNCTION("IFERROR(
  SUM(
    FILTER(
      Efectivo!$C:$C, 
      Efectivo!$D:$D &amp; """" = AH231 &amp; """"
    )
  ), 
  0
)"),15)</f>
        <v>15</v>
      </c>
      <c r="Y231" s="15" t="s">
        <v>34</v>
      </c>
      <c r="Z231" s="15"/>
      <c r="AA231" s="15"/>
      <c r="AB231" s="15"/>
      <c r="AC231" s="15"/>
      <c r="AD231" s="15" t="str">
        <f t="shared" si="19"/>
        <v/>
      </c>
      <c r="AE231" s="15" t="e">
        <f>IF(
   OR(
     AND(#REF!&gt;0, OR(Y231="C", Y231="c"), U231&lt;0),
     AND(#REF!&gt;0, Y231="")
   ),
   "CORTE",
   ""
)</f>
        <v>#REF!</v>
      </c>
      <c r="AF231" s="15">
        <f t="shared" si="1"/>
        <v>15</v>
      </c>
      <c r="AG231" s="15">
        <f t="shared" si="2"/>
        <v>0</v>
      </c>
      <c r="AH231" s="15" t="str">
        <f t="shared" si="20"/>
        <v>M</v>
      </c>
      <c r="AI231" s="15" t="str">
        <f t="shared" si="21"/>
        <v>M-8</v>
      </c>
    </row>
    <row r="232" spans="1:35" ht="15.75" customHeight="1" x14ac:dyDescent="0.35">
      <c r="A232" s="8">
        <v>231</v>
      </c>
      <c r="B232" s="9" t="s">
        <v>308</v>
      </c>
      <c r="C232" s="9" t="s">
        <v>300</v>
      </c>
      <c r="D232" s="8">
        <v>9</v>
      </c>
      <c r="E232" s="10"/>
      <c r="F232" s="10"/>
      <c r="G232" s="10"/>
      <c r="H232" s="11">
        <v>1</v>
      </c>
      <c r="I232" s="11">
        <v>0</v>
      </c>
      <c r="J232" s="11">
        <v>0</v>
      </c>
      <c r="K232" s="11">
        <v>5</v>
      </c>
      <c r="L232" s="11">
        <v>5</v>
      </c>
      <c r="M232" s="11"/>
      <c r="N232" s="11">
        <v>40</v>
      </c>
      <c r="O232" s="11">
        <v>25</v>
      </c>
      <c r="P232" s="11">
        <v>3</v>
      </c>
      <c r="Q232" s="11"/>
      <c r="R232" s="19"/>
      <c r="S232" s="10"/>
      <c r="T232" s="21"/>
      <c r="U232" s="12"/>
      <c r="V232" s="12">
        <f t="shared" si="25"/>
        <v>73</v>
      </c>
      <c r="W232" s="10">
        <f ca="1">IFERROR(__xludf.DUMMYFUNCTION("IFERROR(
  SUM(
    FILTER(
      Reporte!$E:$E, 
      REGEXMATCH(Reporte!$A:$A, ""(?i)(TE PAGÓ|PAGASTE)""), 
      Reporte!$H:$H &amp; """" = AH232 &amp; """"
    )
  ), 
  0
)"),73)</f>
        <v>73</v>
      </c>
      <c r="X232" s="10">
        <f ca="1">IFERROR(__xludf.DUMMYFUNCTION("IFERROR(
  SUM(
    FILTER(
      Efectivo!$C:$C, 
      Efectivo!$D:$D &amp; """" = AH232 &amp; """"
    )
  ), 
  0
)"),0)</f>
        <v>0</v>
      </c>
      <c r="Y232" s="10" t="s">
        <v>34</v>
      </c>
      <c r="Z232" s="10"/>
      <c r="AA232" s="10" t="s">
        <v>35</v>
      </c>
      <c r="AB232" s="10"/>
      <c r="AC232" s="10"/>
      <c r="AD232" s="10" t="str">
        <f t="shared" si="19"/>
        <v/>
      </c>
      <c r="AE232" s="10" t="e">
        <f>IF(
   OR(
     AND(#REF!&gt;0, OR(Y232="C", Y232="c"), U232&lt;0),
     AND(#REF!&gt;0, Y232="")
   ),
   "CORTE",
   ""
)</f>
        <v>#REF!</v>
      </c>
      <c r="AF232" s="10">
        <f t="shared" si="1"/>
        <v>0</v>
      </c>
      <c r="AG232" s="10">
        <f t="shared" si="2"/>
        <v>73</v>
      </c>
      <c r="AH232" s="10" t="str">
        <f t="shared" si="20"/>
        <v>M</v>
      </c>
      <c r="AI232" s="10" t="str">
        <f t="shared" si="21"/>
        <v>M-9</v>
      </c>
    </row>
    <row r="233" spans="1:35" ht="15.75" customHeight="1" x14ac:dyDescent="0.35">
      <c r="A233" s="13">
        <v>232</v>
      </c>
      <c r="B233" s="14" t="s">
        <v>309</v>
      </c>
      <c r="C233" s="14" t="s">
        <v>300</v>
      </c>
      <c r="D233" s="13">
        <v>10</v>
      </c>
      <c r="E233" s="15"/>
      <c r="F233" s="15"/>
      <c r="G233" s="15"/>
      <c r="H233" s="16">
        <v>1</v>
      </c>
      <c r="I233" s="16">
        <v>1113</v>
      </c>
      <c r="J233" s="16">
        <v>1126</v>
      </c>
      <c r="K233" s="16">
        <v>13</v>
      </c>
      <c r="L233" s="16">
        <v>13</v>
      </c>
      <c r="M233" s="16">
        <v>17</v>
      </c>
      <c r="N233" s="16">
        <v>0</v>
      </c>
      <c r="O233" s="16"/>
      <c r="P233" s="16">
        <v>3</v>
      </c>
      <c r="Q233" s="16"/>
      <c r="R233" s="18"/>
      <c r="S233" s="15"/>
      <c r="T233" s="20"/>
      <c r="U233" s="17"/>
      <c r="V233" s="17">
        <f t="shared" si="25"/>
        <v>33</v>
      </c>
      <c r="W233" s="15">
        <f ca="1">IFERROR(__xludf.DUMMYFUNCTION("IFERROR(
  SUM(
    FILTER(
      Reporte!$E:$E, 
      REGEXMATCH(Reporte!$A:$A, ""(?i)(TE PAGÓ|PAGASTE)""), 
      Reporte!$H:$H &amp; """" = AH233 &amp; """"
    )
  ), 
  0
)"),0)</f>
        <v>0</v>
      </c>
      <c r="X233" s="15">
        <f ca="1">IFERROR(__xludf.DUMMYFUNCTION("IFERROR(
  SUM(
    FILTER(
      Efectivo!$C:$C, 
      Efectivo!$D:$D &amp; """" = AH233 &amp; """"
    )
  ), 
  0
)"),33)</f>
        <v>33</v>
      </c>
      <c r="Y233" s="15" t="s">
        <v>34</v>
      </c>
      <c r="Z233" s="15"/>
      <c r="AA233" s="15"/>
      <c r="AB233" s="15"/>
      <c r="AC233" s="15"/>
      <c r="AD233" s="15" t="str">
        <f t="shared" si="19"/>
        <v/>
      </c>
      <c r="AE233" s="15" t="e">
        <f>IF(
   OR(
     AND(#REF!&gt;0, OR(Y233="C", Y233="c"), U233&lt;0),
     AND(#REF!&gt;0, Y233="")
   ),
   "CORTE",
   ""
)</f>
        <v>#REF!</v>
      </c>
      <c r="AF233" s="15">
        <f t="shared" si="1"/>
        <v>33</v>
      </c>
      <c r="AG233" s="15">
        <f t="shared" si="2"/>
        <v>0</v>
      </c>
      <c r="AH233" s="15" t="str">
        <f t="shared" si="20"/>
        <v>M</v>
      </c>
      <c r="AI233" s="15" t="str">
        <f t="shared" si="21"/>
        <v>M-10</v>
      </c>
    </row>
    <row r="234" spans="1:35" ht="15.75" customHeight="1" x14ac:dyDescent="0.35">
      <c r="A234" s="8">
        <v>233</v>
      </c>
      <c r="B234" s="9" t="s">
        <v>310</v>
      </c>
      <c r="C234" s="9" t="s">
        <v>300</v>
      </c>
      <c r="D234" s="8">
        <v>11</v>
      </c>
      <c r="E234" s="10"/>
      <c r="F234" s="10"/>
      <c r="G234" s="10"/>
      <c r="H234" s="11">
        <v>1</v>
      </c>
      <c r="I234" s="11">
        <v>0</v>
      </c>
      <c r="J234" s="11">
        <v>2</v>
      </c>
      <c r="K234" s="11">
        <v>2</v>
      </c>
      <c r="L234" s="11">
        <v>5</v>
      </c>
      <c r="M234" s="11"/>
      <c r="N234" s="11">
        <v>0</v>
      </c>
      <c r="O234" s="11"/>
      <c r="P234" s="11">
        <v>3</v>
      </c>
      <c r="Q234" s="11"/>
      <c r="R234" s="19"/>
      <c r="S234" s="10"/>
      <c r="T234" s="21"/>
      <c r="U234" s="12"/>
      <c r="V234" s="12">
        <f t="shared" si="25"/>
        <v>8</v>
      </c>
      <c r="W234" s="10">
        <f ca="1">IFERROR(__xludf.DUMMYFUNCTION("IFERROR(
  SUM(
    FILTER(
      Reporte!$E:$E, 
      REGEXMATCH(Reporte!$A:$A, ""(?i)(TE PAGÓ|PAGASTE)""), 
      Reporte!$H:$H &amp; """" = AH234 &amp; """"
    )
  ), 
  0
)"),0)</f>
        <v>0</v>
      </c>
      <c r="X234" s="10">
        <f ca="1">IFERROR(__xludf.DUMMYFUNCTION("IFERROR(
  SUM(
    FILTER(
      Efectivo!$C:$C, 
      Efectivo!$D:$D &amp; """" = AH234 &amp; """"
    )
  ), 
  0
)"),8)</f>
        <v>8</v>
      </c>
      <c r="Y234" s="10" t="s">
        <v>34</v>
      </c>
      <c r="Z234" s="10"/>
      <c r="AA234" s="10"/>
      <c r="AB234" s="10"/>
      <c r="AC234" s="10"/>
      <c r="AD234" s="10" t="str">
        <f t="shared" si="19"/>
        <v/>
      </c>
      <c r="AE234" s="10" t="e">
        <f>IF(
   OR(
     AND(#REF!&gt;0, OR(Y234="C", Y234="c"), U234&lt;0),
     AND(#REF!&gt;0, Y234="")
   ),
   "CORTE",
   ""
)</f>
        <v>#REF!</v>
      </c>
      <c r="AF234" s="10">
        <f t="shared" si="1"/>
        <v>8</v>
      </c>
      <c r="AG234" s="10">
        <f t="shared" si="2"/>
        <v>0</v>
      </c>
      <c r="AH234" s="10" t="str">
        <f t="shared" si="20"/>
        <v>M</v>
      </c>
      <c r="AI234" s="10" t="str">
        <f t="shared" si="21"/>
        <v>M-11</v>
      </c>
    </row>
    <row r="235" spans="1:35" ht="15.75" customHeight="1" x14ac:dyDescent="0.35">
      <c r="A235" s="13">
        <v>234</v>
      </c>
      <c r="B235" s="14" t="s">
        <v>311</v>
      </c>
      <c r="C235" s="14" t="s">
        <v>300</v>
      </c>
      <c r="D235" s="13">
        <v>13</v>
      </c>
      <c r="E235" s="15"/>
      <c r="F235" s="15"/>
      <c r="G235" s="15"/>
      <c r="H235" s="16">
        <v>1</v>
      </c>
      <c r="I235" s="16">
        <v>99984</v>
      </c>
      <c r="J235" s="16">
        <v>99987</v>
      </c>
      <c r="K235" s="16">
        <v>3</v>
      </c>
      <c r="L235" s="16">
        <v>5</v>
      </c>
      <c r="M235" s="16"/>
      <c r="N235" s="16">
        <v>0</v>
      </c>
      <c r="O235" s="16"/>
      <c r="P235" s="16">
        <v>3</v>
      </c>
      <c r="Q235" s="16"/>
      <c r="R235" s="18"/>
      <c r="S235" s="15"/>
      <c r="T235" s="20"/>
      <c r="U235" s="17"/>
      <c r="V235" s="17">
        <f t="shared" si="25"/>
        <v>8</v>
      </c>
      <c r="W235" s="15">
        <f ca="1">IFERROR(__xludf.DUMMYFUNCTION("IFERROR(
  SUM(
    FILTER(
      Reporte!$E:$E, 
      REGEXMATCH(Reporte!$A:$A, ""(?i)(TE PAGÓ|PAGASTE)""), 
      Reporte!$H:$H &amp; """" = AH235 &amp; """"
    )
  ), 
  0
)"),0)</f>
        <v>0</v>
      </c>
      <c r="X235" s="15">
        <f ca="1">IFERROR(__xludf.DUMMYFUNCTION("IFERROR(
  SUM(
    FILTER(
      Efectivo!$C:$C, 
      Efectivo!$D:$D &amp; """" = AH235 &amp; """"
    )
  ), 
  0
)"),0)</f>
        <v>0</v>
      </c>
      <c r="Y235" s="15"/>
      <c r="Z235" s="15"/>
      <c r="AA235" s="15"/>
      <c r="AB235" s="15"/>
      <c r="AC235" s="15"/>
      <c r="AD235" s="15" t="str">
        <f t="shared" si="19"/>
        <v/>
      </c>
      <c r="AE235" s="15" t="e">
        <f>IF(
   OR(
     AND(#REF!&gt;0, OR(Y235="C", Y235="c"), U235&lt;0),
     AND(#REF!&gt;0, Y235="")
   ),
   "CORTE",
   ""
)</f>
        <v>#REF!</v>
      </c>
      <c r="AF235" s="15">
        <f t="shared" si="1"/>
        <v>0</v>
      </c>
      <c r="AG235" s="15">
        <f t="shared" si="2"/>
        <v>0</v>
      </c>
      <c r="AH235" s="15" t="str">
        <f t="shared" si="20"/>
        <v>M</v>
      </c>
      <c r="AI235" s="15" t="str">
        <f t="shared" si="21"/>
        <v>M-13</v>
      </c>
    </row>
    <row r="236" spans="1:35" ht="15.75" customHeight="1" x14ac:dyDescent="0.35">
      <c r="A236" s="8">
        <v>235</v>
      </c>
      <c r="B236" s="9" t="s">
        <v>312</v>
      </c>
      <c r="C236" s="9" t="s">
        <v>300</v>
      </c>
      <c r="D236" s="8">
        <v>14</v>
      </c>
      <c r="E236" s="10"/>
      <c r="F236" s="10"/>
      <c r="G236" s="10"/>
      <c r="H236" s="11">
        <v>1</v>
      </c>
      <c r="I236" s="11">
        <v>3</v>
      </c>
      <c r="J236" s="11">
        <v>10</v>
      </c>
      <c r="K236" s="11">
        <v>7</v>
      </c>
      <c r="L236" s="11">
        <v>7</v>
      </c>
      <c r="M236" s="11">
        <v>16</v>
      </c>
      <c r="N236" s="11">
        <v>0</v>
      </c>
      <c r="O236" s="11">
        <v>25</v>
      </c>
      <c r="P236" s="11">
        <v>3</v>
      </c>
      <c r="Q236" s="11"/>
      <c r="R236" s="19"/>
      <c r="S236" s="10"/>
      <c r="T236" s="21"/>
      <c r="U236" s="12"/>
      <c r="V236" s="12">
        <f t="shared" si="25"/>
        <v>51</v>
      </c>
      <c r="W236" s="10">
        <f ca="1">IFERROR(__xludf.DUMMYFUNCTION("IFERROR(
  SUM(
    FILTER(
      Reporte!$E:$E, 
      REGEXMATCH(Reporte!$A:$A, ""(?i)(TE PAGÓ|PAGASTE)""), 
      Reporte!$H:$H &amp; """" = AH236 &amp; """"
    )
  ), 
  0
)"),51)</f>
        <v>51</v>
      </c>
      <c r="X236" s="10">
        <f ca="1">IFERROR(__xludf.DUMMYFUNCTION("IFERROR(
  SUM(
    FILTER(
      Efectivo!$C:$C, 
      Efectivo!$D:$D &amp; """" = AH236 &amp; """"
    )
  ), 
  0
)"),0)</f>
        <v>0</v>
      </c>
      <c r="Y236" s="10" t="s">
        <v>34</v>
      </c>
      <c r="Z236" s="10"/>
      <c r="AA236" s="10" t="s">
        <v>35</v>
      </c>
      <c r="AB236" s="10"/>
      <c r="AC236" s="10"/>
      <c r="AD236" s="10" t="str">
        <f t="shared" si="19"/>
        <v/>
      </c>
      <c r="AE236" s="10" t="e">
        <f>IF(
   OR(
     AND(#REF!&gt;0, OR(Y236="C", Y236="c"), U236&lt;0),
     AND(#REF!&gt;0, Y236="")
   ),
   "CORTE",
   ""
)</f>
        <v>#REF!</v>
      </c>
      <c r="AF236" s="10">
        <f t="shared" si="1"/>
        <v>0</v>
      </c>
      <c r="AG236" s="10">
        <f t="shared" si="2"/>
        <v>51</v>
      </c>
      <c r="AH236" s="10" t="str">
        <f t="shared" si="20"/>
        <v>M</v>
      </c>
      <c r="AI236" s="10" t="str">
        <f t="shared" si="21"/>
        <v>M-14</v>
      </c>
    </row>
    <row r="237" spans="1:35" ht="15.75" customHeight="1" x14ac:dyDescent="0.35">
      <c r="A237" s="13">
        <v>236</v>
      </c>
      <c r="B237" s="24" t="s">
        <v>313</v>
      </c>
      <c r="C237" s="14" t="s">
        <v>300</v>
      </c>
      <c r="D237" s="13">
        <v>15</v>
      </c>
      <c r="E237" s="15"/>
      <c r="F237" s="15"/>
      <c r="G237" s="15"/>
      <c r="H237" s="16">
        <v>1</v>
      </c>
      <c r="I237" s="16">
        <v>89</v>
      </c>
      <c r="J237" s="16">
        <v>93</v>
      </c>
      <c r="K237" s="16">
        <v>4</v>
      </c>
      <c r="L237" s="16">
        <v>5</v>
      </c>
      <c r="M237" s="16"/>
      <c r="N237" s="16">
        <v>0</v>
      </c>
      <c r="O237" s="16"/>
      <c r="P237" s="16">
        <v>3</v>
      </c>
      <c r="Q237" s="16"/>
      <c r="R237" s="18"/>
      <c r="S237" s="15"/>
      <c r="T237" s="20"/>
      <c r="U237" s="17"/>
      <c r="V237" s="17">
        <f t="shared" si="25"/>
        <v>8</v>
      </c>
      <c r="W237" s="15">
        <f ca="1">IFERROR(__xludf.DUMMYFUNCTION("IFERROR(
  SUM(
    FILTER(
      Reporte!$E:$E, 
      REGEXMATCH(Reporte!$A:$A, ""(?i)(TE PAGÓ|PAGASTE)""), 
      Reporte!$H:$H &amp; """" = AH237 &amp; """"
    )
  ), 
  0
)"),0)</f>
        <v>0</v>
      </c>
      <c r="X237" s="15">
        <f ca="1">IFERROR(__xludf.DUMMYFUNCTION("IFERROR(
  SUM(
    FILTER(
      Efectivo!$C:$C, 
      Efectivo!$D:$D &amp; """" = AH237 &amp; """"
    )
  ), 
  0
)"),8)</f>
        <v>8</v>
      </c>
      <c r="Y237" s="15" t="s">
        <v>34</v>
      </c>
      <c r="Z237" s="15"/>
      <c r="AA237" s="15"/>
      <c r="AB237" s="15"/>
      <c r="AC237" s="15"/>
      <c r="AD237" s="15" t="str">
        <f t="shared" si="19"/>
        <v/>
      </c>
      <c r="AE237" s="15" t="e">
        <f>IF(
   OR(
     AND(#REF!&gt;0, OR(Y237="C", Y237="c"), U237&lt;0),
     AND(#REF!&gt;0, Y237="")
   ),
   "CORTE",
   ""
)</f>
        <v>#REF!</v>
      </c>
      <c r="AF237" s="15">
        <f t="shared" si="1"/>
        <v>8</v>
      </c>
      <c r="AG237" s="15">
        <f t="shared" si="2"/>
        <v>0</v>
      </c>
      <c r="AH237" s="15" t="str">
        <f t="shared" si="20"/>
        <v>M</v>
      </c>
      <c r="AI237" s="15" t="str">
        <f t="shared" si="21"/>
        <v>M-15</v>
      </c>
    </row>
    <row r="238" spans="1:35" ht="15.75" customHeight="1" x14ac:dyDescent="0.35">
      <c r="A238" s="8">
        <v>237</v>
      </c>
      <c r="B238" s="25" t="s">
        <v>314</v>
      </c>
      <c r="C238" s="9" t="s">
        <v>300</v>
      </c>
      <c r="D238" s="8">
        <v>16</v>
      </c>
      <c r="E238" s="10"/>
      <c r="F238" s="10"/>
      <c r="G238" s="10"/>
      <c r="H238" s="11">
        <v>1</v>
      </c>
      <c r="I238" s="11">
        <v>68</v>
      </c>
      <c r="J238" s="11">
        <v>85</v>
      </c>
      <c r="K238" s="11">
        <v>17</v>
      </c>
      <c r="L238" s="11">
        <v>17</v>
      </c>
      <c r="M238" s="11"/>
      <c r="N238" s="11">
        <v>0</v>
      </c>
      <c r="O238" s="11"/>
      <c r="P238" s="11">
        <v>3</v>
      </c>
      <c r="Q238" s="11"/>
      <c r="R238" s="19"/>
      <c r="S238" s="10"/>
      <c r="T238" s="21"/>
      <c r="U238" s="12"/>
      <c r="V238" s="12">
        <f t="shared" si="25"/>
        <v>20</v>
      </c>
      <c r="W238" s="10">
        <f ca="1">IFERROR(__xludf.DUMMYFUNCTION("IFERROR(
  SUM(
    FILTER(
      Reporte!$E:$E, 
      REGEXMATCH(Reporte!$A:$A, ""(?i)(TE PAGÓ|PAGASTE)""), 
      Reporte!$H:$H &amp; """" = AH238 &amp; """"
    )
  ), 
  0
)"),20)</f>
        <v>20</v>
      </c>
      <c r="X238" s="10">
        <f ca="1">IFERROR(__xludf.DUMMYFUNCTION("IFERROR(
  SUM(
    FILTER(
      Efectivo!$C:$C, 
      Efectivo!$D:$D &amp; """" = AH238 &amp; """"
    )
  ), 
  0
)"),0)</f>
        <v>0</v>
      </c>
      <c r="Y238" s="10" t="s">
        <v>34</v>
      </c>
      <c r="Z238" s="10"/>
      <c r="AA238" s="10" t="s">
        <v>35</v>
      </c>
      <c r="AB238" s="10"/>
      <c r="AC238" s="10"/>
      <c r="AD238" s="10" t="str">
        <f t="shared" si="19"/>
        <v/>
      </c>
      <c r="AE238" s="10" t="e">
        <f>IF(
   OR(
     AND(#REF!&gt;0, OR(Y238="C", Y238="c"), U238&lt;0),
     AND(#REF!&gt;0, Y238="")
   ),
   "CORTE",
   ""
)</f>
        <v>#REF!</v>
      </c>
      <c r="AF238" s="10">
        <f t="shared" si="1"/>
        <v>0</v>
      </c>
      <c r="AG238" s="10">
        <f t="shared" si="2"/>
        <v>20</v>
      </c>
      <c r="AH238" s="10" t="str">
        <f t="shared" si="20"/>
        <v>M</v>
      </c>
      <c r="AI238" s="10" t="str">
        <f t="shared" si="21"/>
        <v>M-16</v>
      </c>
    </row>
    <row r="239" spans="1:35" ht="15.75" customHeight="1" x14ac:dyDescent="0.35">
      <c r="A239" s="13">
        <v>238</v>
      </c>
      <c r="B239" s="14" t="s">
        <v>315</v>
      </c>
      <c r="C239" s="14" t="s">
        <v>300</v>
      </c>
      <c r="D239" s="13">
        <v>17</v>
      </c>
      <c r="E239" s="15"/>
      <c r="F239" s="15"/>
      <c r="G239" s="15"/>
      <c r="H239" s="16">
        <v>1</v>
      </c>
      <c r="I239" s="16">
        <v>17</v>
      </c>
      <c r="J239" s="16">
        <v>17</v>
      </c>
      <c r="K239" s="16">
        <v>5</v>
      </c>
      <c r="L239" s="16">
        <v>5</v>
      </c>
      <c r="M239" s="16"/>
      <c r="N239" s="16">
        <v>0</v>
      </c>
      <c r="O239" s="16"/>
      <c r="P239" s="16">
        <v>3</v>
      </c>
      <c r="Q239" s="16"/>
      <c r="R239" s="18"/>
      <c r="S239" s="15"/>
      <c r="T239" s="20"/>
      <c r="U239" s="17"/>
      <c r="V239" s="17">
        <f t="shared" si="25"/>
        <v>8</v>
      </c>
      <c r="W239" s="15">
        <f ca="1">IFERROR(__xludf.DUMMYFUNCTION("IFERROR(
  SUM(
    FILTER(
      Reporte!$E:$E, 
      REGEXMATCH(Reporte!$A:$A, ""(?i)(TE PAGÓ|PAGASTE)""), 
      Reporte!$H:$H &amp; """" = AH239 &amp; """"
    )
  ), 
  0
)"),8)</f>
        <v>8</v>
      </c>
      <c r="X239" s="15">
        <f ca="1">IFERROR(__xludf.DUMMYFUNCTION("IFERROR(
  SUM(
    FILTER(
      Efectivo!$C:$C, 
      Efectivo!$D:$D &amp; """" = AH239 &amp; """"
    )
  ), 
  0
)"),0)</f>
        <v>0</v>
      </c>
      <c r="Y239" s="15" t="s">
        <v>34</v>
      </c>
      <c r="Z239" s="15"/>
      <c r="AA239" s="15" t="s">
        <v>35</v>
      </c>
      <c r="AB239" s="15"/>
      <c r="AC239" s="15"/>
      <c r="AD239" s="15" t="str">
        <f t="shared" si="19"/>
        <v/>
      </c>
      <c r="AE239" s="15" t="e">
        <f>IF(
   OR(
     AND(#REF!&gt;0, OR(Y239="C", Y239="c"), U239&lt;0),
     AND(#REF!&gt;0, Y239="")
   ),
   "CORTE",
   ""
)</f>
        <v>#REF!</v>
      </c>
      <c r="AF239" s="15">
        <f t="shared" si="1"/>
        <v>0</v>
      </c>
      <c r="AG239" s="15">
        <f t="shared" si="2"/>
        <v>8</v>
      </c>
      <c r="AH239" s="15" t="str">
        <f t="shared" si="20"/>
        <v>M</v>
      </c>
      <c r="AI239" s="15" t="str">
        <f t="shared" si="21"/>
        <v>M-17</v>
      </c>
    </row>
    <row r="240" spans="1:35" ht="15.75" customHeight="1" x14ac:dyDescent="0.35">
      <c r="A240" s="8">
        <v>239</v>
      </c>
      <c r="B240" s="9" t="s">
        <v>316</v>
      </c>
      <c r="C240" s="9" t="s">
        <v>300</v>
      </c>
      <c r="D240" s="8">
        <v>18</v>
      </c>
      <c r="E240" s="10"/>
      <c r="F240" s="10"/>
      <c r="G240" s="10"/>
      <c r="H240" s="11">
        <v>1</v>
      </c>
      <c r="I240" s="11">
        <v>9</v>
      </c>
      <c r="J240" s="11">
        <v>17</v>
      </c>
      <c r="K240" s="11">
        <v>8</v>
      </c>
      <c r="L240" s="11">
        <v>8</v>
      </c>
      <c r="M240" s="11"/>
      <c r="N240" s="11">
        <v>0</v>
      </c>
      <c r="O240" s="11"/>
      <c r="P240" s="11">
        <v>3</v>
      </c>
      <c r="Q240" s="11"/>
      <c r="R240" s="19"/>
      <c r="S240" s="10"/>
      <c r="T240" s="21"/>
      <c r="U240" s="12"/>
      <c r="V240" s="12">
        <f t="shared" si="25"/>
        <v>11</v>
      </c>
      <c r="W240" s="10">
        <f ca="1">IFERROR(__xludf.DUMMYFUNCTION("IFERROR(
  SUM(
    FILTER(
      Reporte!$E:$E, 
      REGEXMATCH(Reporte!$A:$A, ""(?i)(TE PAGÓ|PAGASTE)""), 
      Reporte!$H:$H &amp; """" = AH240 &amp; """"
    )
  ), 
  0
)"),11)</f>
        <v>11</v>
      </c>
      <c r="X240" s="10">
        <f ca="1">IFERROR(__xludf.DUMMYFUNCTION("IFERROR(
  SUM(
    FILTER(
      Efectivo!$C:$C, 
      Efectivo!$D:$D &amp; """" = AH240 &amp; """"
    )
  ), 
  0
)"),0)</f>
        <v>0</v>
      </c>
      <c r="Y240" s="10" t="s">
        <v>34</v>
      </c>
      <c r="Z240" s="10"/>
      <c r="AA240" s="10" t="s">
        <v>35</v>
      </c>
      <c r="AB240" s="10"/>
      <c r="AC240" s="10"/>
      <c r="AD240" s="10" t="str">
        <f t="shared" si="19"/>
        <v/>
      </c>
      <c r="AE240" s="10" t="e">
        <f>IF(
   OR(
     AND(#REF!&gt;0, OR(Y240="C", Y240="c"), U240&lt;0),
     AND(#REF!&gt;0, Y240="")
   ),
   "CORTE",
   ""
)</f>
        <v>#REF!</v>
      </c>
      <c r="AF240" s="10">
        <f t="shared" si="1"/>
        <v>0</v>
      </c>
      <c r="AG240" s="10">
        <f t="shared" si="2"/>
        <v>11</v>
      </c>
      <c r="AH240" s="10" t="str">
        <f t="shared" si="20"/>
        <v>M</v>
      </c>
      <c r="AI240" s="10" t="str">
        <f t="shared" si="21"/>
        <v>M-18</v>
      </c>
    </row>
    <row r="241" spans="1:35" ht="15.75" customHeight="1" x14ac:dyDescent="0.35">
      <c r="A241" s="13">
        <v>240</v>
      </c>
      <c r="B241" s="14" t="s">
        <v>317</v>
      </c>
      <c r="C241" s="14" t="s">
        <v>300</v>
      </c>
      <c r="D241" s="13">
        <v>19</v>
      </c>
      <c r="E241" s="15"/>
      <c r="F241" s="15"/>
      <c r="G241" s="15"/>
      <c r="H241" s="16">
        <v>1</v>
      </c>
      <c r="I241" s="16">
        <v>13</v>
      </c>
      <c r="J241" s="16">
        <v>34</v>
      </c>
      <c r="K241" s="16">
        <v>21</v>
      </c>
      <c r="L241" s="16">
        <v>21</v>
      </c>
      <c r="M241" s="16"/>
      <c r="N241" s="16">
        <v>0</v>
      </c>
      <c r="O241" s="16">
        <v>25</v>
      </c>
      <c r="P241" s="16">
        <v>3</v>
      </c>
      <c r="Q241" s="16"/>
      <c r="R241" s="18"/>
      <c r="S241" s="15"/>
      <c r="T241" s="20"/>
      <c r="U241" s="17"/>
      <c r="V241" s="17">
        <f t="shared" si="25"/>
        <v>49</v>
      </c>
      <c r="W241" s="15">
        <f ca="1">IFERROR(__xludf.DUMMYFUNCTION("IFERROR(
  SUM(
    FILTER(
      Reporte!$E:$E, 
      REGEXMATCH(Reporte!$A:$A, ""(?i)(TE PAGÓ|PAGASTE)""), 
      Reporte!$H:$H &amp; """" = AH241 &amp; """"
    )
  ), 
  0
)"),49)</f>
        <v>49</v>
      </c>
      <c r="X241" s="15">
        <f ca="1">IFERROR(__xludf.DUMMYFUNCTION("IFERROR(
  SUM(
    FILTER(
      Efectivo!$C:$C, 
      Efectivo!$D:$D &amp; """" = AH241 &amp; """"
    )
  ), 
  0
)"),0)</f>
        <v>0</v>
      </c>
      <c r="Y241" s="15" t="s">
        <v>34</v>
      </c>
      <c r="Z241" s="15"/>
      <c r="AA241" s="15" t="s">
        <v>35</v>
      </c>
      <c r="AB241" s="15"/>
      <c r="AC241" s="15"/>
      <c r="AD241" s="15" t="str">
        <f t="shared" si="19"/>
        <v/>
      </c>
      <c r="AE241" s="15" t="e">
        <f>IF(
   OR(
     AND(#REF!&gt;0, OR(Y241="C", Y241="c"), U241&lt;0),
     AND(#REF!&gt;0, Y241="")
   ),
   "CORTE",
   ""
)</f>
        <v>#REF!</v>
      </c>
      <c r="AF241" s="15">
        <f t="shared" si="1"/>
        <v>0</v>
      </c>
      <c r="AG241" s="15">
        <f t="shared" si="2"/>
        <v>49</v>
      </c>
      <c r="AH241" s="15" t="str">
        <f t="shared" si="20"/>
        <v>M</v>
      </c>
      <c r="AI241" s="15" t="str">
        <f t="shared" si="21"/>
        <v>M-19</v>
      </c>
    </row>
    <row r="242" spans="1:35" ht="15.75" customHeight="1" x14ac:dyDescent="0.35">
      <c r="A242" s="8">
        <v>241</v>
      </c>
      <c r="B242" s="9" t="s">
        <v>318</v>
      </c>
      <c r="C242" s="9" t="s">
        <v>300</v>
      </c>
      <c r="D242" s="8">
        <v>20</v>
      </c>
      <c r="E242" s="10"/>
      <c r="F242" s="10"/>
      <c r="G242" s="10"/>
      <c r="H242" s="11">
        <v>1</v>
      </c>
      <c r="I242" s="11">
        <v>11</v>
      </c>
      <c r="J242" s="11">
        <v>31</v>
      </c>
      <c r="K242" s="11">
        <v>20</v>
      </c>
      <c r="L242" s="11">
        <v>20</v>
      </c>
      <c r="M242" s="11"/>
      <c r="N242" s="11">
        <v>0</v>
      </c>
      <c r="O242" s="11"/>
      <c r="P242" s="11">
        <v>3</v>
      </c>
      <c r="Q242" s="11"/>
      <c r="R242" s="19"/>
      <c r="S242" s="10"/>
      <c r="T242" s="21"/>
      <c r="U242" s="12"/>
      <c r="V242" s="12">
        <f t="shared" si="25"/>
        <v>23</v>
      </c>
      <c r="W242" s="10">
        <f ca="1">IFERROR(__xludf.DUMMYFUNCTION("IFERROR(
  SUM(
    FILTER(
      Reporte!$E:$E, 
      REGEXMATCH(Reporte!$A:$A, ""(?i)(TE PAGÓ|PAGASTE)""), 
      Reporte!$H:$H &amp; """" = AH242 &amp; """"
    )
  ), 
  0
)"),0)</f>
        <v>0</v>
      </c>
      <c r="X242" s="10">
        <f ca="1">IFERROR(__xludf.DUMMYFUNCTION("IFERROR(
  SUM(
    FILTER(
      Efectivo!$C:$C, 
      Efectivo!$D:$D &amp; """" = AH242 &amp; """"
    )
  ), 
  0
)"),23)</f>
        <v>23</v>
      </c>
      <c r="Y242" s="10" t="s">
        <v>34</v>
      </c>
      <c r="Z242" s="10"/>
      <c r="AA242" s="10"/>
      <c r="AB242" s="10"/>
      <c r="AC242" s="10"/>
      <c r="AD242" s="10" t="str">
        <f t="shared" si="19"/>
        <v/>
      </c>
      <c r="AE242" s="10" t="e">
        <f>IF(
   OR(
     AND(#REF!&gt;0, OR(Y242="C", Y242="c"), U242&lt;0),
     AND(#REF!&gt;0, Y242="")
   ),
   "CORTE",
   ""
)</f>
        <v>#REF!</v>
      </c>
      <c r="AF242" s="10">
        <f t="shared" si="1"/>
        <v>23</v>
      </c>
      <c r="AG242" s="10">
        <f t="shared" si="2"/>
        <v>0</v>
      </c>
      <c r="AH242" s="10" t="str">
        <f t="shared" si="20"/>
        <v>M</v>
      </c>
      <c r="AI242" s="10" t="str">
        <f t="shared" si="21"/>
        <v>M-20</v>
      </c>
    </row>
    <row r="243" spans="1:35" ht="15.75" customHeight="1" x14ac:dyDescent="0.35">
      <c r="A243" s="13">
        <v>242</v>
      </c>
      <c r="B243" s="14" t="s">
        <v>319</v>
      </c>
      <c r="C243" s="14" t="s">
        <v>300</v>
      </c>
      <c r="D243" s="13">
        <v>21</v>
      </c>
      <c r="E243" s="15"/>
      <c r="F243" s="15"/>
      <c r="G243" s="15"/>
      <c r="H243" s="16">
        <v>1</v>
      </c>
      <c r="I243" s="16">
        <v>11</v>
      </c>
      <c r="J243" s="16">
        <v>39</v>
      </c>
      <c r="K243" s="16">
        <v>28</v>
      </c>
      <c r="L243" s="16">
        <v>28</v>
      </c>
      <c r="M243" s="16"/>
      <c r="N243" s="16">
        <v>0</v>
      </c>
      <c r="O243" s="16">
        <v>25</v>
      </c>
      <c r="P243" s="16">
        <v>3</v>
      </c>
      <c r="Q243" s="16"/>
      <c r="R243" s="18"/>
      <c r="S243" s="15"/>
      <c r="T243" s="20"/>
      <c r="U243" s="17"/>
      <c r="V243" s="17">
        <f t="shared" si="25"/>
        <v>56</v>
      </c>
      <c r="W243" s="15">
        <f ca="1">IFERROR(__xludf.DUMMYFUNCTION("IFERROR(
  SUM(
    FILTER(
      Reporte!$E:$E, 
      REGEXMATCH(Reporte!$A:$A, ""(?i)(TE PAGÓ|PAGASTE)""), 
      Reporte!$H:$H &amp; """" = AH243 &amp; """"
    )
  ), 
  0
)"),0)</f>
        <v>0</v>
      </c>
      <c r="X243" s="15">
        <f ca="1">IFERROR(__xludf.DUMMYFUNCTION("IFERROR(
  SUM(
    FILTER(
      Efectivo!$C:$C, 
      Efectivo!$D:$D &amp; """" = AH243 &amp; """"
    )
  ), 
  0
)"),0)</f>
        <v>0</v>
      </c>
      <c r="Y243" s="15"/>
      <c r="Z243" s="15"/>
      <c r="AA243" s="15"/>
      <c r="AB243" s="15"/>
      <c r="AC243" s="15"/>
      <c r="AD243" s="15" t="str">
        <f t="shared" si="19"/>
        <v/>
      </c>
      <c r="AE243" s="15" t="e">
        <f>IF(
   OR(
     AND(#REF!&gt;0, OR(Y243="C", Y243="c"), U243&lt;0),
     AND(#REF!&gt;0, Y243="")
   ),
   "CORTE",
   ""
)</f>
        <v>#REF!</v>
      </c>
      <c r="AF243" s="15">
        <f t="shared" si="1"/>
        <v>0</v>
      </c>
      <c r="AG243" s="15">
        <f t="shared" si="2"/>
        <v>0</v>
      </c>
      <c r="AH243" s="15" t="str">
        <f t="shared" si="20"/>
        <v>M</v>
      </c>
      <c r="AI243" s="15" t="str">
        <f t="shared" si="21"/>
        <v>M-21</v>
      </c>
    </row>
    <row r="244" spans="1:35" ht="15.75" customHeight="1" x14ac:dyDescent="0.35">
      <c r="A244" s="8">
        <v>243</v>
      </c>
      <c r="B244" s="9" t="s">
        <v>320</v>
      </c>
      <c r="C244" s="9" t="s">
        <v>300</v>
      </c>
      <c r="D244" s="8">
        <v>22</v>
      </c>
      <c r="E244" s="10"/>
      <c r="F244" s="10"/>
      <c r="G244" s="10"/>
      <c r="H244" s="11">
        <v>1</v>
      </c>
      <c r="I244" s="11">
        <v>4</v>
      </c>
      <c r="J244" s="11">
        <v>45</v>
      </c>
      <c r="K244" s="11">
        <v>41</v>
      </c>
      <c r="L244" s="11">
        <v>41</v>
      </c>
      <c r="M244" s="11"/>
      <c r="N244" s="11">
        <v>0</v>
      </c>
      <c r="O244" s="11">
        <v>25</v>
      </c>
      <c r="P244" s="11">
        <v>3</v>
      </c>
      <c r="Q244" s="11"/>
      <c r="R244" s="19"/>
      <c r="S244" s="10"/>
      <c r="T244" s="21"/>
      <c r="U244" s="12"/>
      <c r="V244" s="12">
        <f t="shared" si="25"/>
        <v>69</v>
      </c>
      <c r="W244" s="10">
        <f ca="1">IFERROR(__xludf.DUMMYFUNCTION("IFERROR(
  SUM(
    FILTER(
      Reporte!$E:$E, 
      REGEXMATCH(Reporte!$A:$A, ""(?i)(TE PAGÓ|PAGASTE)""), 
      Reporte!$H:$H &amp; """" = AH244 &amp; """"
    )
  ), 
  0
)"),69)</f>
        <v>69</v>
      </c>
      <c r="X244" s="10">
        <f ca="1">IFERROR(__xludf.DUMMYFUNCTION("IFERROR(
  SUM(
    FILTER(
      Efectivo!$C:$C, 
      Efectivo!$D:$D &amp; """" = AH244 &amp; """"
    )
  ), 
  0
)"),0)</f>
        <v>0</v>
      </c>
      <c r="Y244" s="10" t="s">
        <v>34</v>
      </c>
      <c r="Z244" s="10"/>
      <c r="AA244" s="10" t="s">
        <v>35</v>
      </c>
      <c r="AB244" s="10"/>
      <c r="AC244" s="10"/>
      <c r="AD244" s="10" t="str">
        <f t="shared" si="19"/>
        <v/>
      </c>
      <c r="AE244" s="10" t="e">
        <f>IF(
   OR(
     AND(#REF!&gt;0, OR(Y244="C", Y244="c"), U244&lt;0),
     AND(#REF!&gt;0, Y244="")
   ),
   "CORTE",
   ""
)</f>
        <v>#REF!</v>
      </c>
      <c r="AF244" s="10">
        <f t="shared" si="1"/>
        <v>0</v>
      </c>
      <c r="AG244" s="10">
        <f t="shared" si="2"/>
        <v>69</v>
      </c>
      <c r="AH244" s="10" t="str">
        <f t="shared" si="20"/>
        <v>M</v>
      </c>
      <c r="AI244" s="10" t="str">
        <f t="shared" si="21"/>
        <v>M-22</v>
      </c>
    </row>
    <row r="245" spans="1:35" ht="15.75" customHeight="1" x14ac:dyDescent="0.35">
      <c r="A245" s="13">
        <v>244</v>
      </c>
      <c r="B245" s="14" t="s">
        <v>321</v>
      </c>
      <c r="C245" s="14" t="s">
        <v>71</v>
      </c>
      <c r="D245" s="13">
        <v>1</v>
      </c>
      <c r="E245" s="15"/>
      <c r="F245" s="15"/>
      <c r="G245" s="15"/>
      <c r="H245" s="16">
        <v>1</v>
      </c>
      <c r="I245" s="16">
        <v>2257</v>
      </c>
      <c r="J245" s="16">
        <v>27</v>
      </c>
      <c r="K245" s="16">
        <v>27</v>
      </c>
      <c r="L245" s="16">
        <v>27</v>
      </c>
      <c r="M245" s="16"/>
      <c r="N245" s="16">
        <v>0</v>
      </c>
      <c r="O245" s="16">
        <v>25</v>
      </c>
      <c r="P245" s="16">
        <v>3</v>
      </c>
      <c r="Q245" s="16"/>
      <c r="R245" s="18"/>
      <c r="S245" s="15"/>
      <c r="T245" s="20"/>
      <c r="U245" s="17"/>
      <c r="V245" s="17">
        <f>SUM(L245:U245)</f>
        <v>55</v>
      </c>
      <c r="W245" s="15">
        <f ca="1">IFERROR(__xludf.DUMMYFUNCTION("IFERROR(
  SUM(
    FILTER(
      Reporte!$E:$E, 
      REGEXMATCH(Reporte!$A:$A, ""(?i)(TE PAGÓ|PAGASTE)""), 
      Reporte!$H:$H &amp; """" = AH245 &amp; """"
    )
  ), 
  0
)"),55)</f>
        <v>55</v>
      </c>
      <c r="X245" s="15">
        <f ca="1">IFERROR(__xludf.DUMMYFUNCTION("IFERROR(
  SUM(
    FILTER(
      Efectivo!$C:$C, 
      Efectivo!$D:$D &amp; """" = AH245 &amp; """"
    )
  ), 
  0
)"),0)</f>
        <v>0</v>
      </c>
      <c r="Y245" s="15" t="s">
        <v>34</v>
      </c>
      <c r="Z245" s="15"/>
      <c r="AA245" s="15" t="s">
        <v>35</v>
      </c>
      <c r="AB245" s="15"/>
      <c r="AC245" s="15"/>
      <c r="AD245" s="15" t="str">
        <f t="shared" si="19"/>
        <v/>
      </c>
      <c r="AE245" s="15" t="e">
        <f>IF(
   OR(
     AND(#REF!&gt;0, OR(Y245="C", Y245="c"), U245&lt;0),
     AND(#REF!&gt;0, Y245="")
   ),
   "CORTE",
   ""
)</f>
        <v>#REF!</v>
      </c>
      <c r="AF245" s="15">
        <f t="shared" si="1"/>
        <v>0</v>
      </c>
      <c r="AG245" s="15">
        <f t="shared" si="2"/>
        <v>55</v>
      </c>
      <c r="AH245" s="15" t="str">
        <f t="shared" si="20"/>
        <v>N</v>
      </c>
      <c r="AI245" s="15" t="str">
        <f t="shared" si="21"/>
        <v>N-1</v>
      </c>
    </row>
    <row r="246" spans="1:35" ht="15.75" customHeight="1" x14ac:dyDescent="0.35">
      <c r="A246" s="8">
        <v>245</v>
      </c>
      <c r="B246" s="9" t="s">
        <v>322</v>
      </c>
      <c r="C246" s="9" t="s">
        <v>71</v>
      </c>
      <c r="D246" s="8">
        <v>2</v>
      </c>
      <c r="E246" s="10"/>
      <c r="F246" s="10"/>
      <c r="G246" s="10"/>
      <c r="H246" s="11">
        <v>1</v>
      </c>
      <c r="I246" s="11">
        <v>4235</v>
      </c>
      <c r="J246" s="11">
        <v>30</v>
      </c>
      <c r="K246" s="11">
        <v>30</v>
      </c>
      <c r="L246" s="11">
        <v>30</v>
      </c>
      <c r="M246" s="11"/>
      <c r="N246" s="11">
        <v>0</v>
      </c>
      <c r="O246" s="11">
        <v>25</v>
      </c>
      <c r="P246" s="11">
        <v>3</v>
      </c>
      <c r="Q246" s="11"/>
      <c r="R246" s="19"/>
      <c r="S246" s="10"/>
      <c r="T246" s="21"/>
      <c r="U246" s="12"/>
      <c r="V246" s="12">
        <f t="shared" ref="V246:V260" si="26">SUM(L246:Q246)</f>
        <v>58</v>
      </c>
      <c r="W246" s="10">
        <f ca="1">IFERROR(__xludf.DUMMYFUNCTION("IFERROR(
  SUM(
    FILTER(
      Reporte!$E:$E, 
      REGEXMATCH(Reporte!$A:$A, ""(?i)(TE PAGÓ|PAGASTE)""), 
      Reporte!$H:$H &amp; """" = AH246 &amp; """"
    )
  ), 
  0
)"),0)</f>
        <v>0</v>
      </c>
      <c r="X246" s="10">
        <f ca="1">IFERROR(__xludf.DUMMYFUNCTION("IFERROR(
  SUM(
    FILTER(
      Efectivo!$C:$C, 
      Efectivo!$D:$D &amp; """" = AH246 &amp; """"
    )
  ), 
  0
)"),58)</f>
        <v>58</v>
      </c>
      <c r="Y246" s="10" t="s">
        <v>34</v>
      </c>
      <c r="Z246" s="10"/>
      <c r="AA246" s="10"/>
      <c r="AB246" s="10"/>
      <c r="AC246" s="10"/>
      <c r="AD246" s="10" t="str">
        <f t="shared" si="19"/>
        <v/>
      </c>
      <c r="AE246" s="10" t="e">
        <f>IF(
   OR(
     AND(#REF!&gt;0, OR(Y246="C", Y246="c"), U246&lt;0),
     AND(#REF!&gt;0, Y246="")
   ),
   "CORTE",
   ""
)</f>
        <v>#REF!</v>
      </c>
      <c r="AF246" s="10">
        <f t="shared" si="1"/>
        <v>58</v>
      </c>
      <c r="AG246" s="10">
        <f t="shared" si="2"/>
        <v>0</v>
      </c>
      <c r="AH246" s="10" t="str">
        <f t="shared" si="20"/>
        <v>N</v>
      </c>
      <c r="AI246" s="10" t="str">
        <f t="shared" si="21"/>
        <v>N-2</v>
      </c>
    </row>
    <row r="247" spans="1:35" ht="15.75" customHeight="1" x14ac:dyDescent="0.35">
      <c r="A247" s="13">
        <v>246</v>
      </c>
      <c r="B247" s="14" t="s">
        <v>323</v>
      </c>
      <c r="C247" s="14" t="s">
        <v>71</v>
      </c>
      <c r="D247" s="13">
        <v>3</v>
      </c>
      <c r="E247" s="15"/>
      <c r="F247" s="15"/>
      <c r="G247" s="15"/>
      <c r="H247" s="16">
        <v>1</v>
      </c>
      <c r="I247" s="16">
        <v>1422</v>
      </c>
      <c r="J247" s="16">
        <v>6</v>
      </c>
      <c r="K247" s="16">
        <v>6</v>
      </c>
      <c r="L247" s="16">
        <v>6</v>
      </c>
      <c r="M247" s="16">
        <v>5</v>
      </c>
      <c r="N247" s="16">
        <v>0</v>
      </c>
      <c r="O247" s="16">
        <v>25</v>
      </c>
      <c r="P247" s="16">
        <v>3</v>
      </c>
      <c r="Q247" s="16"/>
      <c r="R247" s="18"/>
      <c r="S247" s="15"/>
      <c r="T247" s="20"/>
      <c r="U247" s="17"/>
      <c r="V247" s="17">
        <f t="shared" si="26"/>
        <v>39</v>
      </c>
      <c r="W247" s="15">
        <f ca="1">IFERROR(__xludf.DUMMYFUNCTION("IFERROR(
  SUM(
    FILTER(
      Reporte!$E:$E, 
      REGEXMATCH(Reporte!$A:$A, ""(?i)(TE PAGÓ|PAGASTE)""), 
      Reporte!$H:$H &amp; """" = AH247 &amp; """"
    )
  ), 
  0
)"),0)</f>
        <v>0</v>
      </c>
      <c r="X247" s="15">
        <f ca="1">IFERROR(__xludf.DUMMYFUNCTION("IFERROR(
  SUM(
    FILTER(
      Efectivo!$C:$C, 
      Efectivo!$D:$D &amp; """" = AH247 &amp; """"
    )
  ), 
  0
)"),39)</f>
        <v>39</v>
      </c>
      <c r="Y247" s="15" t="s">
        <v>34</v>
      </c>
      <c r="Z247" s="15"/>
      <c r="AA247" s="15"/>
      <c r="AB247" s="15"/>
      <c r="AC247" s="15"/>
      <c r="AD247" s="15" t="str">
        <f t="shared" si="19"/>
        <v/>
      </c>
      <c r="AE247" s="15" t="e">
        <f>IF(
   OR(
     AND(#REF!&gt;0, OR(Y247="C", Y247="c"), U247&lt;0),
     AND(#REF!&gt;0, Y247="")
   ),
   "CORTE",
   ""
)</f>
        <v>#REF!</v>
      </c>
      <c r="AF247" s="15">
        <f t="shared" si="1"/>
        <v>39</v>
      </c>
      <c r="AG247" s="15">
        <f t="shared" si="2"/>
        <v>0</v>
      </c>
      <c r="AH247" s="15" t="str">
        <f t="shared" si="20"/>
        <v>N</v>
      </c>
      <c r="AI247" s="15" t="str">
        <f t="shared" si="21"/>
        <v>N-3</v>
      </c>
    </row>
    <row r="248" spans="1:35" ht="15.75" customHeight="1" x14ac:dyDescent="0.35">
      <c r="A248" s="8">
        <v>247</v>
      </c>
      <c r="B248" s="9" t="s">
        <v>324</v>
      </c>
      <c r="C248" s="9" t="s">
        <v>71</v>
      </c>
      <c r="D248" s="8">
        <v>4</v>
      </c>
      <c r="E248" s="10"/>
      <c r="F248" s="10"/>
      <c r="G248" s="10"/>
      <c r="H248" s="11">
        <v>1</v>
      </c>
      <c r="I248" s="11">
        <v>156</v>
      </c>
      <c r="J248" s="11">
        <v>164</v>
      </c>
      <c r="K248" s="11">
        <v>8</v>
      </c>
      <c r="L248" s="11">
        <v>8</v>
      </c>
      <c r="M248" s="11"/>
      <c r="N248" s="11">
        <v>0</v>
      </c>
      <c r="O248" s="11"/>
      <c r="P248" s="11">
        <v>3</v>
      </c>
      <c r="Q248" s="11"/>
      <c r="R248" s="19"/>
      <c r="S248" s="10"/>
      <c r="T248" s="21"/>
      <c r="U248" s="12"/>
      <c r="V248" s="12">
        <f t="shared" si="26"/>
        <v>11</v>
      </c>
      <c r="W248" s="10">
        <f ca="1">IFERROR(__xludf.DUMMYFUNCTION("IFERROR(
  SUM(
    FILTER(
      Reporte!$E:$E, 
      REGEXMATCH(Reporte!$A:$A, ""(?i)(TE PAGÓ|PAGASTE)""), 
      Reporte!$H:$H &amp; """" = AH248 &amp; """"
    )
  ), 
  0
)"),0)</f>
        <v>0</v>
      </c>
      <c r="X248" s="10">
        <f ca="1">IFERROR(__xludf.DUMMYFUNCTION("IFERROR(
  SUM(
    FILTER(
      Efectivo!$C:$C, 
      Efectivo!$D:$D &amp; """" = AH248 &amp; """"
    )
  ), 
  0
)"),11)</f>
        <v>11</v>
      </c>
      <c r="Y248" s="10" t="s">
        <v>34</v>
      </c>
      <c r="Z248" s="10"/>
      <c r="AA248" s="10"/>
      <c r="AB248" s="10"/>
      <c r="AC248" s="10"/>
      <c r="AD248" s="10" t="str">
        <f t="shared" si="19"/>
        <v/>
      </c>
      <c r="AE248" s="10" t="e">
        <f>IF(
   OR(
     AND(#REF!&gt;0, OR(Y248="C", Y248="c"), U248&lt;0),
     AND(#REF!&gt;0, Y248="")
   ),
   "CORTE",
   ""
)</f>
        <v>#REF!</v>
      </c>
      <c r="AF248" s="10">
        <f t="shared" si="1"/>
        <v>11</v>
      </c>
      <c r="AG248" s="10">
        <f t="shared" si="2"/>
        <v>0</v>
      </c>
      <c r="AH248" s="10" t="str">
        <f t="shared" si="20"/>
        <v>N</v>
      </c>
      <c r="AI248" s="10" t="str">
        <f t="shared" si="21"/>
        <v>N-4</v>
      </c>
    </row>
    <row r="249" spans="1:35" ht="15.75" customHeight="1" x14ac:dyDescent="0.35">
      <c r="A249" s="13">
        <v>248</v>
      </c>
      <c r="B249" s="14" t="s">
        <v>325</v>
      </c>
      <c r="C249" s="14" t="s">
        <v>71</v>
      </c>
      <c r="D249" s="13">
        <v>5</v>
      </c>
      <c r="E249" s="15"/>
      <c r="F249" s="15"/>
      <c r="G249" s="15"/>
      <c r="H249" s="16">
        <v>1</v>
      </c>
      <c r="I249" s="16">
        <v>733</v>
      </c>
      <c r="J249" s="16">
        <v>769</v>
      </c>
      <c r="K249" s="16">
        <v>36</v>
      </c>
      <c r="L249" s="16">
        <v>36</v>
      </c>
      <c r="M249" s="16"/>
      <c r="N249" s="16">
        <v>0</v>
      </c>
      <c r="O249" s="16"/>
      <c r="P249" s="16">
        <v>3</v>
      </c>
      <c r="Q249" s="16"/>
      <c r="R249" s="18"/>
      <c r="S249" s="15"/>
      <c r="T249" s="20"/>
      <c r="U249" s="17"/>
      <c r="V249" s="17">
        <f t="shared" si="26"/>
        <v>39</v>
      </c>
      <c r="W249" s="15">
        <f ca="1">IFERROR(__xludf.DUMMYFUNCTION("IFERROR(
  SUM(
    FILTER(
      Reporte!$E:$E, 
      REGEXMATCH(Reporte!$A:$A, ""(?i)(TE PAGÓ|PAGASTE)""), 
      Reporte!$H:$H &amp; """" = AH249 &amp; """"
    )
  ), 
  0
)"),39)</f>
        <v>39</v>
      </c>
      <c r="X249" s="15">
        <f ca="1">IFERROR(__xludf.DUMMYFUNCTION("IFERROR(
  SUM(
    FILTER(
      Efectivo!$C:$C, 
      Efectivo!$D:$D &amp; """" = AH249 &amp; """"
    )
  ), 
  0
)"),0)</f>
        <v>0</v>
      </c>
      <c r="Y249" s="15" t="s">
        <v>34</v>
      </c>
      <c r="Z249" s="15"/>
      <c r="AA249" s="15" t="s">
        <v>35</v>
      </c>
      <c r="AB249" s="15"/>
      <c r="AC249" s="15"/>
      <c r="AD249" s="15" t="str">
        <f t="shared" si="19"/>
        <v/>
      </c>
      <c r="AE249" s="15" t="e">
        <f>IF(
   OR(
     AND(#REF!&gt;0, OR(Y249="C", Y249="c"), U249&lt;0),
     AND(#REF!&gt;0, Y249="")
   ),
   "CORTE",
   ""
)</f>
        <v>#REF!</v>
      </c>
      <c r="AF249" s="15">
        <f t="shared" si="1"/>
        <v>0</v>
      </c>
      <c r="AG249" s="15">
        <f t="shared" si="2"/>
        <v>39</v>
      </c>
      <c r="AH249" s="15" t="str">
        <f t="shared" si="20"/>
        <v>N</v>
      </c>
      <c r="AI249" s="15" t="str">
        <f t="shared" si="21"/>
        <v>N-5</v>
      </c>
    </row>
    <row r="250" spans="1:35" ht="15.75" customHeight="1" x14ac:dyDescent="0.35">
      <c r="A250" s="8">
        <v>249</v>
      </c>
      <c r="B250" s="9" t="s">
        <v>326</v>
      </c>
      <c r="C250" s="9" t="s">
        <v>327</v>
      </c>
      <c r="D250" s="8">
        <v>1</v>
      </c>
      <c r="E250" s="10"/>
      <c r="F250" s="10"/>
      <c r="G250" s="10"/>
      <c r="H250" s="11">
        <v>1</v>
      </c>
      <c r="I250" s="11">
        <v>1</v>
      </c>
      <c r="J250" s="11">
        <v>11</v>
      </c>
      <c r="K250" s="11">
        <v>10</v>
      </c>
      <c r="L250" s="11">
        <v>10</v>
      </c>
      <c r="M250" s="11"/>
      <c r="N250" s="11">
        <v>0</v>
      </c>
      <c r="O250" s="11">
        <v>25</v>
      </c>
      <c r="P250" s="11">
        <v>3</v>
      </c>
      <c r="Q250" s="11"/>
      <c r="R250" s="19"/>
      <c r="S250" s="10"/>
      <c r="T250" s="21"/>
      <c r="U250" s="12"/>
      <c r="V250" s="12">
        <f t="shared" si="26"/>
        <v>38</v>
      </c>
      <c r="W250" s="10">
        <f ca="1">IFERROR(__xludf.DUMMYFUNCTION("IFERROR(
  SUM(
    FILTER(
      Reporte!$E:$E, 
      REGEXMATCH(Reporte!$A:$A, ""(?i)(TE PAGÓ|PAGASTE)""), 
      Reporte!$H:$H &amp; """" = AH250 &amp; """"
    )
  ), 
  0
)"),38)</f>
        <v>38</v>
      </c>
      <c r="X250" s="10">
        <f ca="1">IFERROR(__xludf.DUMMYFUNCTION("IFERROR(
  SUM(
    FILTER(
      Efectivo!$C:$C, 
      Efectivo!$D:$D &amp; """" = AH250 &amp; """"
    )
  ), 
  0
)"),0)</f>
        <v>0</v>
      </c>
      <c r="Y250" s="10" t="s">
        <v>34</v>
      </c>
      <c r="Z250" s="10"/>
      <c r="AA250" s="10" t="s">
        <v>35</v>
      </c>
      <c r="AB250" s="10"/>
      <c r="AC250" s="10"/>
      <c r="AD250" s="10" t="str">
        <f t="shared" si="19"/>
        <v/>
      </c>
      <c r="AE250" s="10" t="e">
        <f>IF(
   OR(
     AND(#REF!&gt;0, OR(Y250="C", Y250="c"), U250&lt;0),
     AND(#REF!&gt;0, Y250="")
   ),
   "CORTE",
   ""
)</f>
        <v>#REF!</v>
      </c>
      <c r="AF250" s="10">
        <f t="shared" si="1"/>
        <v>0</v>
      </c>
      <c r="AG250" s="10">
        <f t="shared" si="2"/>
        <v>38</v>
      </c>
      <c r="AH250" s="10" t="str">
        <f t="shared" si="20"/>
        <v>O</v>
      </c>
      <c r="AI250" s="10" t="str">
        <f t="shared" si="21"/>
        <v>O-1</v>
      </c>
    </row>
    <row r="251" spans="1:35" ht="15.75" customHeight="1" x14ac:dyDescent="0.35">
      <c r="A251" s="13">
        <v>250</v>
      </c>
      <c r="B251" s="14" t="s">
        <v>328</v>
      </c>
      <c r="C251" s="14" t="s">
        <v>327</v>
      </c>
      <c r="D251" s="13">
        <v>2</v>
      </c>
      <c r="E251" s="15"/>
      <c r="F251" s="15"/>
      <c r="G251" s="15"/>
      <c r="H251" s="16">
        <v>1</v>
      </c>
      <c r="I251" s="16">
        <v>20</v>
      </c>
      <c r="J251" s="16">
        <v>32</v>
      </c>
      <c r="K251" s="16">
        <v>12</v>
      </c>
      <c r="L251" s="16">
        <v>12</v>
      </c>
      <c r="M251" s="16"/>
      <c r="N251" s="16">
        <v>0</v>
      </c>
      <c r="O251" s="16"/>
      <c r="P251" s="16">
        <v>3</v>
      </c>
      <c r="Q251" s="16"/>
      <c r="R251" s="18"/>
      <c r="S251" s="15"/>
      <c r="T251" s="20"/>
      <c r="U251" s="17"/>
      <c r="V251" s="17">
        <f t="shared" si="26"/>
        <v>15</v>
      </c>
      <c r="W251" s="15">
        <f ca="1">IFERROR(__xludf.DUMMYFUNCTION("IFERROR(
  SUM(
    FILTER(
      Reporte!$E:$E, 
      REGEXMATCH(Reporte!$A:$A, ""(?i)(TE PAGÓ|PAGASTE)""), 
      Reporte!$H:$H &amp; """" = AH251 &amp; """"
    )
  ), 
  0
)"),0)</f>
        <v>0</v>
      </c>
      <c r="X251" s="15">
        <f ca="1">IFERROR(__xludf.DUMMYFUNCTION("IFERROR(
  SUM(
    FILTER(
      Efectivo!$C:$C, 
      Efectivo!$D:$D &amp; """" = AH251 &amp; """"
    )
  ), 
  0
)"),15)</f>
        <v>15</v>
      </c>
      <c r="Y251" s="15" t="s">
        <v>34</v>
      </c>
      <c r="Z251" s="15"/>
      <c r="AA251" s="15"/>
      <c r="AB251" s="15"/>
      <c r="AC251" s="15"/>
      <c r="AD251" s="15" t="str">
        <f t="shared" si="19"/>
        <v/>
      </c>
      <c r="AE251" s="15" t="e">
        <f>IF(
   OR(
     AND(#REF!&gt;0, OR(Y251="C", Y251="c"), U251&lt;0),
     AND(#REF!&gt;0, Y251="")
   ),
   "CORTE",
   ""
)</f>
        <v>#REF!</v>
      </c>
      <c r="AF251" s="15">
        <f t="shared" si="1"/>
        <v>15</v>
      </c>
      <c r="AG251" s="15">
        <f t="shared" si="2"/>
        <v>0</v>
      </c>
      <c r="AH251" s="15" t="str">
        <f t="shared" si="20"/>
        <v>O</v>
      </c>
      <c r="AI251" s="15" t="str">
        <f t="shared" si="21"/>
        <v>O-2</v>
      </c>
    </row>
    <row r="252" spans="1:35" ht="15.75" customHeight="1" x14ac:dyDescent="0.35">
      <c r="A252" s="8">
        <v>251</v>
      </c>
      <c r="B252" s="9" t="s">
        <v>329</v>
      </c>
      <c r="C252" s="9" t="s">
        <v>327</v>
      </c>
      <c r="D252" s="8">
        <v>3</v>
      </c>
      <c r="E252" s="10"/>
      <c r="F252" s="10"/>
      <c r="G252" s="10"/>
      <c r="H252" s="11">
        <v>1</v>
      </c>
      <c r="I252" s="11">
        <v>1</v>
      </c>
      <c r="J252" s="11">
        <v>10</v>
      </c>
      <c r="K252" s="11">
        <v>9</v>
      </c>
      <c r="L252" s="11">
        <v>9</v>
      </c>
      <c r="M252" s="11"/>
      <c r="N252" s="11">
        <v>0</v>
      </c>
      <c r="O252" s="11"/>
      <c r="P252" s="11">
        <v>3</v>
      </c>
      <c r="Q252" s="11"/>
      <c r="R252" s="19"/>
      <c r="S252" s="10"/>
      <c r="T252" s="21"/>
      <c r="U252" s="12"/>
      <c r="V252" s="12">
        <f t="shared" si="26"/>
        <v>12</v>
      </c>
      <c r="W252" s="10">
        <f ca="1">IFERROR(__xludf.DUMMYFUNCTION("IFERROR(
  SUM(
    FILTER(
      Reporte!$E:$E, 
      REGEXMATCH(Reporte!$A:$A, ""(?i)(TE PAGÓ|PAGASTE)""), 
      Reporte!$H:$H &amp; """" = AH252 &amp; """"
    )
  ), 
  0
)"),12)</f>
        <v>12</v>
      </c>
      <c r="X252" s="10">
        <f ca="1">IFERROR(__xludf.DUMMYFUNCTION("IFERROR(
  SUM(
    FILTER(
      Efectivo!$C:$C, 
      Efectivo!$D:$D &amp; """" = AH252 &amp; """"
    )
  ), 
  0
)"),0)</f>
        <v>0</v>
      </c>
      <c r="Y252" s="10" t="s">
        <v>34</v>
      </c>
      <c r="Z252" s="10"/>
      <c r="AA252" s="10" t="s">
        <v>35</v>
      </c>
      <c r="AB252" s="10"/>
      <c r="AC252" s="10"/>
      <c r="AD252" s="10" t="str">
        <f t="shared" si="19"/>
        <v/>
      </c>
      <c r="AE252" s="10" t="e">
        <f>IF(
   OR(
     AND(#REF!&gt;0, OR(Y252="C", Y252="c"), U252&lt;0),
     AND(#REF!&gt;0, Y252="")
   ),
   "CORTE",
   ""
)</f>
        <v>#REF!</v>
      </c>
      <c r="AF252" s="10">
        <f t="shared" si="1"/>
        <v>0</v>
      </c>
      <c r="AG252" s="10">
        <f t="shared" si="2"/>
        <v>12</v>
      </c>
      <c r="AH252" s="10" t="str">
        <f t="shared" si="20"/>
        <v>O</v>
      </c>
      <c r="AI252" s="10" t="str">
        <f t="shared" si="21"/>
        <v>O-3</v>
      </c>
    </row>
    <row r="253" spans="1:35" ht="15.75" customHeight="1" x14ac:dyDescent="0.35">
      <c r="A253" s="13">
        <v>252</v>
      </c>
      <c r="B253" s="14" t="s">
        <v>330</v>
      </c>
      <c r="C253" s="14" t="s">
        <v>327</v>
      </c>
      <c r="D253" s="13">
        <v>4</v>
      </c>
      <c r="E253" s="15"/>
      <c r="F253" s="15"/>
      <c r="G253" s="15"/>
      <c r="H253" s="16">
        <v>1</v>
      </c>
      <c r="I253" s="16">
        <v>0</v>
      </c>
      <c r="J253" s="16">
        <v>4</v>
      </c>
      <c r="K253" s="16">
        <v>4</v>
      </c>
      <c r="L253" s="16">
        <v>5</v>
      </c>
      <c r="M253" s="16"/>
      <c r="N253" s="16">
        <v>0</v>
      </c>
      <c r="O253" s="16">
        <v>25</v>
      </c>
      <c r="P253" s="16">
        <v>3</v>
      </c>
      <c r="Q253" s="16"/>
      <c r="R253" s="18"/>
      <c r="S253" s="15"/>
      <c r="T253" s="20"/>
      <c r="U253" s="17"/>
      <c r="V253" s="17">
        <f t="shared" si="26"/>
        <v>33</v>
      </c>
      <c r="W253" s="15">
        <f ca="1">IFERROR(__xludf.DUMMYFUNCTION("IFERROR(
  SUM(
    FILTER(
      Reporte!$E:$E, 
      REGEXMATCH(Reporte!$A:$A, ""(?i)(TE PAGÓ|PAGASTE)""), 
      Reporte!$H:$H &amp; """" = AH253 &amp; """"
    )
  ), 
  0
)"),0)</f>
        <v>0</v>
      </c>
      <c r="X253" s="15">
        <f ca="1">IFERROR(__xludf.DUMMYFUNCTION("IFERROR(
  SUM(
    FILTER(
      Efectivo!$C:$C, 
      Efectivo!$D:$D &amp; """" = AH253 &amp; """"
    )
  ), 
  0
)"),33)</f>
        <v>33</v>
      </c>
      <c r="Y253" s="15" t="s">
        <v>34</v>
      </c>
      <c r="Z253" s="15"/>
      <c r="AA253" s="15"/>
      <c r="AB253" s="15"/>
      <c r="AC253" s="15"/>
      <c r="AD253" s="15" t="str">
        <f t="shared" si="19"/>
        <v/>
      </c>
      <c r="AE253" s="15" t="e">
        <f>IF(
   OR(
     AND(#REF!&gt;0, OR(Y253="C", Y253="c"), U253&lt;0),
     AND(#REF!&gt;0, Y253="")
   ),
   "CORTE",
   ""
)</f>
        <v>#REF!</v>
      </c>
      <c r="AF253" s="15">
        <f t="shared" si="1"/>
        <v>33</v>
      </c>
      <c r="AG253" s="15">
        <f t="shared" si="2"/>
        <v>0</v>
      </c>
      <c r="AH253" s="15" t="str">
        <f t="shared" si="20"/>
        <v>O</v>
      </c>
      <c r="AI253" s="15" t="str">
        <f t="shared" si="21"/>
        <v>O-4</v>
      </c>
    </row>
    <row r="254" spans="1:35" ht="15.75" customHeight="1" x14ac:dyDescent="0.35">
      <c r="A254" s="8">
        <v>253</v>
      </c>
      <c r="B254" s="9" t="s">
        <v>331</v>
      </c>
      <c r="C254" s="9" t="s">
        <v>327</v>
      </c>
      <c r="D254" s="8">
        <v>5</v>
      </c>
      <c r="E254" s="10"/>
      <c r="F254" s="11">
        <v>1</v>
      </c>
      <c r="G254" s="10"/>
      <c r="H254" s="11">
        <v>1</v>
      </c>
      <c r="I254" s="11">
        <v>658</v>
      </c>
      <c r="J254" s="11">
        <v>661</v>
      </c>
      <c r="K254" s="11">
        <v>3</v>
      </c>
      <c r="L254" s="11">
        <v>5</v>
      </c>
      <c r="M254" s="11"/>
      <c r="N254" s="11">
        <v>0</v>
      </c>
      <c r="O254" s="11"/>
      <c r="P254" s="11">
        <v>3</v>
      </c>
      <c r="Q254" s="11"/>
      <c r="R254" s="19"/>
      <c r="S254" s="10"/>
      <c r="T254" s="21"/>
      <c r="U254" s="12"/>
      <c r="V254" s="12">
        <f t="shared" si="26"/>
        <v>8</v>
      </c>
      <c r="W254" s="10">
        <f ca="1">IFERROR(__xludf.DUMMYFUNCTION("IFERROR(
  SUM(
    FILTER(
      Reporte!$E:$E, 
      REGEXMATCH(Reporte!$A:$A, ""(?i)(TE PAGÓ|PAGASTE)""), 
      Reporte!$H:$H &amp; """" = AH254 &amp; """"
    )
  ), 
  0
)"),0)</f>
        <v>0</v>
      </c>
      <c r="X254" s="10">
        <f ca="1">IFERROR(__xludf.DUMMYFUNCTION("IFERROR(
  SUM(
    FILTER(
      Efectivo!$C:$C, 
      Efectivo!$D:$D &amp; """" = AH254 &amp; """"
    )
  ), 
  0
)"),8)</f>
        <v>8</v>
      </c>
      <c r="Y254" s="10" t="s">
        <v>34</v>
      </c>
      <c r="Z254" s="10"/>
      <c r="AA254" s="10"/>
      <c r="AB254" s="10"/>
      <c r="AC254" s="10"/>
      <c r="AD254" s="10" t="str">
        <f t="shared" si="19"/>
        <v/>
      </c>
      <c r="AE254" s="10" t="e">
        <f>IF(
   OR(
     AND(#REF!&gt;0, OR(Y254="C", Y254="c"), U254&lt;0),
     AND(#REF!&gt;0, Y254="")
   ),
   "CORTE",
   ""
)</f>
        <v>#REF!</v>
      </c>
      <c r="AF254" s="10">
        <f t="shared" si="1"/>
        <v>8</v>
      </c>
      <c r="AG254" s="10">
        <f t="shared" si="2"/>
        <v>0</v>
      </c>
      <c r="AH254" s="10" t="str">
        <f t="shared" si="20"/>
        <v>O</v>
      </c>
      <c r="AI254" s="10" t="str">
        <f t="shared" si="21"/>
        <v>O-5</v>
      </c>
    </row>
    <row r="255" spans="1:35" ht="15.75" customHeight="1" x14ac:dyDescent="0.35">
      <c r="A255" s="13">
        <v>254</v>
      </c>
      <c r="B255" s="14" t="s">
        <v>332</v>
      </c>
      <c r="C255" s="14" t="s">
        <v>327</v>
      </c>
      <c r="D255" s="13">
        <v>6</v>
      </c>
      <c r="E255" s="15"/>
      <c r="F255" s="15"/>
      <c r="G255" s="15"/>
      <c r="H255" s="16">
        <v>1</v>
      </c>
      <c r="I255" s="16">
        <v>1</v>
      </c>
      <c r="J255" s="16">
        <v>8</v>
      </c>
      <c r="K255" s="16">
        <v>7</v>
      </c>
      <c r="L255" s="16">
        <v>7</v>
      </c>
      <c r="M255" s="16">
        <v>9</v>
      </c>
      <c r="N255" s="16">
        <v>0</v>
      </c>
      <c r="O255" s="16">
        <v>25</v>
      </c>
      <c r="P255" s="16">
        <v>3</v>
      </c>
      <c r="Q255" s="16"/>
      <c r="R255" s="18"/>
      <c r="S255" s="15"/>
      <c r="T255" s="20"/>
      <c r="U255" s="17"/>
      <c r="V255" s="17">
        <f t="shared" si="26"/>
        <v>44</v>
      </c>
      <c r="W255" s="15">
        <f ca="1">IFERROR(__xludf.DUMMYFUNCTION("IFERROR(
  SUM(
    FILTER(
      Reporte!$E:$E, 
      REGEXMATCH(Reporte!$A:$A, ""(?i)(TE PAGÓ|PAGASTE)""), 
      Reporte!$H:$H &amp; """" = AH255 &amp; """"
    )
  ), 
  0
)"),44)</f>
        <v>44</v>
      </c>
      <c r="X255" s="15">
        <f ca="1">IFERROR(__xludf.DUMMYFUNCTION("IFERROR(
  SUM(
    FILTER(
      Efectivo!$C:$C, 
      Efectivo!$D:$D &amp; """" = AH255 &amp; """"
    )
  ), 
  0
)"),0)</f>
        <v>0</v>
      </c>
      <c r="Y255" s="15" t="s">
        <v>34</v>
      </c>
      <c r="Z255" s="15"/>
      <c r="AA255" s="15" t="s">
        <v>35</v>
      </c>
      <c r="AB255" s="15"/>
      <c r="AC255" s="15"/>
      <c r="AD255" s="15" t="str">
        <f t="shared" si="19"/>
        <v/>
      </c>
      <c r="AE255" s="15" t="e">
        <f>IF(
   OR(
     AND(#REF!&gt;0, OR(Y255="C", Y255="c"), U255&lt;0),
     AND(#REF!&gt;0, Y255="")
   ),
   "CORTE",
   ""
)</f>
        <v>#REF!</v>
      </c>
      <c r="AF255" s="15">
        <f t="shared" si="1"/>
        <v>0</v>
      </c>
      <c r="AG255" s="15">
        <f t="shared" si="2"/>
        <v>44</v>
      </c>
      <c r="AH255" s="15" t="str">
        <f t="shared" si="20"/>
        <v>O</v>
      </c>
      <c r="AI255" s="15" t="str">
        <f t="shared" si="21"/>
        <v>O-6</v>
      </c>
    </row>
    <row r="256" spans="1:35" ht="15.75" customHeight="1" x14ac:dyDescent="0.35">
      <c r="A256" s="8">
        <v>255</v>
      </c>
      <c r="B256" s="9" t="s">
        <v>333</v>
      </c>
      <c r="C256" s="9" t="s">
        <v>327</v>
      </c>
      <c r="D256" s="8">
        <v>7</v>
      </c>
      <c r="E256" s="10"/>
      <c r="F256" s="10"/>
      <c r="G256" s="10"/>
      <c r="H256" s="11">
        <v>1</v>
      </c>
      <c r="I256" s="11">
        <v>220</v>
      </c>
      <c r="J256" s="11">
        <v>229</v>
      </c>
      <c r="K256" s="11">
        <v>9</v>
      </c>
      <c r="L256" s="11">
        <v>9</v>
      </c>
      <c r="M256" s="11">
        <v>12</v>
      </c>
      <c r="N256" s="11">
        <v>0</v>
      </c>
      <c r="O256" s="11"/>
      <c r="P256" s="11">
        <v>3</v>
      </c>
      <c r="Q256" s="11"/>
      <c r="R256" s="19"/>
      <c r="S256" s="10"/>
      <c r="T256" s="21"/>
      <c r="U256" s="12"/>
      <c r="V256" s="12">
        <f t="shared" si="26"/>
        <v>24</v>
      </c>
      <c r="W256" s="10">
        <f ca="1">IFERROR(__xludf.DUMMYFUNCTION("IFERROR(
  SUM(
    FILTER(
      Reporte!$E:$E, 
      REGEXMATCH(Reporte!$A:$A, ""(?i)(TE PAGÓ|PAGASTE)""), 
      Reporte!$H:$H &amp; """" = AH256 &amp; """"
    )
  ), 
  0
)"),24)</f>
        <v>24</v>
      </c>
      <c r="X256" s="10">
        <f ca="1">IFERROR(__xludf.DUMMYFUNCTION("IFERROR(
  SUM(
    FILTER(
      Efectivo!$C:$C, 
      Efectivo!$D:$D &amp; """" = AH256 &amp; """"
    )
  ), 
  0
)"),0)</f>
        <v>0</v>
      </c>
      <c r="Y256" s="10" t="s">
        <v>34</v>
      </c>
      <c r="Z256" s="10"/>
      <c r="AA256" s="10" t="s">
        <v>35</v>
      </c>
      <c r="AB256" s="10"/>
      <c r="AC256" s="10"/>
      <c r="AD256" s="10" t="str">
        <f t="shared" si="19"/>
        <v/>
      </c>
      <c r="AE256" s="10" t="e">
        <f>IF(
   OR(
     AND(#REF!&gt;0, OR(Y256="C", Y256="c"), U256&lt;0),
     AND(#REF!&gt;0, Y256="")
   ),
   "CORTE",
   ""
)</f>
        <v>#REF!</v>
      </c>
      <c r="AF256" s="10">
        <f t="shared" si="1"/>
        <v>0</v>
      </c>
      <c r="AG256" s="10">
        <f t="shared" si="2"/>
        <v>24</v>
      </c>
      <c r="AH256" s="10" t="str">
        <f t="shared" si="20"/>
        <v>O</v>
      </c>
      <c r="AI256" s="10" t="str">
        <f t="shared" si="21"/>
        <v>O-7</v>
      </c>
    </row>
    <row r="257" spans="1:35" ht="15.75" customHeight="1" x14ac:dyDescent="0.35">
      <c r="A257" s="13">
        <v>256</v>
      </c>
      <c r="B257" s="14" t="s">
        <v>334</v>
      </c>
      <c r="C257" s="14" t="s">
        <v>327</v>
      </c>
      <c r="D257" s="13">
        <v>8</v>
      </c>
      <c r="E257" s="15"/>
      <c r="F257" s="15"/>
      <c r="G257" s="15"/>
      <c r="H257" s="16">
        <v>1</v>
      </c>
      <c r="I257" s="16">
        <v>4</v>
      </c>
      <c r="J257" s="16">
        <v>14</v>
      </c>
      <c r="K257" s="16">
        <v>10</v>
      </c>
      <c r="L257" s="16">
        <v>10</v>
      </c>
      <c r="M257" s="16"/>
      <c r="N257" s="16">
        <v>0</v>
      </c>
      <c r="O257" s="16">
        <v>25</v>
      </c>
      <c r="P257" s="16">
        <v>3</v>
      </c>
      <c r="Q257" s="16"/>
      <c r="R257" s="18"/>
      <c r="S257" s="15"/>
      <c r="T257" s="20"/>
      <c r="U257" s="17"/>
      <c r="V257" s="17">
        <f t="shared" si="26"/>
        <v>38</v>
      </c>
      <c r="W257" s="15">
        <f ca="1">IFERROR(__xludf.DUMMYFUNCTION("IFERROR(
  SUM(
    FILTER(
      Reporte!$E:$E, 
      REGEXMATCH(Reporte!$A:$A, ""(?i)(TE PAGÓ|PAGASTE)""), 
      Reporte!$H:$H &amp; """" = AH257 &amp; """"
    )
  ), 
  0
)"),0)</f>
        <v>0</v>
      </c>
      <c r="X257" s="15">
        <f ca="1">IFERROR(__xludf.DUMMYFUNCTION("IFERROR(
  SUM(
    FILTER(
      Efectivo!$C:$C, 
      Efectivo!$D:$D &amp; """" = AH257 &amp; """"
    )
  ), 
  0
)"),38)</f>
        <v>38</v>
      </c>
      <c r="Y257" s="15" t="s">
        <v>34</v>
      </c>
      <c r="Z257" s="15"/>
      <c r="AA257" s="15"/>
      <c r="AB257" s="15"/>
      <c r="AC257" s="15"/>
      <c r="AD257" s="15" t="str">
        <f t="shared" si="19"/>
        <v/>
      </c>
      <c r="AE257" s="15" t="e">
        <f>IF(
   OR(
     AND(#REF!&gt;0, OR(Y257="C", Y257="c"), U257&lt;0),
     AND(#REF!&gt;0, Y257="")
   ),
   "CORTE",
   ""
)</f>
        <v>#REF!</v>
      </c>
      <c r="AF257" s="15">
        <f t="shared" si="1"/>
        <v>38</v>
      </c>
      <c r="AG257" s="15">
        <f t="shared" si="2"/>
        <v>0</v>
      </c>
      <c r="AH257" s="15" t="str">
        <f t="shared" si="20"/>
        <v>O</v>
      </c>
      <c r="AI257" s="15" t="str">
        <f t="shared" si="21"/>
        <v>O-8</v>
      </c>
    </row>
    <row r="258" spans="1:35" ht="15.75" customHeight="1" x14ac:dyDescent="0.35">
      <c r="A258" s="8">
        <v>257</v>
      </c>
      <c r="B258" s="9" t="s">
        <v>315</v>
      </c>
      <c r="C258" s="9" t="s">
        <v>327</v>
      </c>
      <c r="D258" s="8">
        <v>9</v>
      </c>
      <c r="E258" s="10"/>
      <c r="F258" s="10"/>
      <c r="G258" s="10"/>
      <c r="H258" s="11">
        <v>1</v>
      </c>
      <c r="I258" s="11">
        <v>2809</v>
      </c>
      <c r="J258" s="11">
        <v>20</v>
      </c>
      <c r="K258" s="11">
        <v>20</v>
      </c>
      <c r="L258" s="11">
        <v>20</v>
      </c>
      <c r="M258" s="11"/>
      <c r="N258" s="11">
        <v>0</v>
      </c>
      <c r="O258" s="11">
        <v>25</v>
      </c>
      <c r="P258" s="11">
        <v>3</v>
      </c>
      <c r="Q258" s="11"/>
      <c r="R258" s="19"/>
      <c r="S258" s="10"/>
      <c r="T258" s="21"/>
      <c r="U258" s="12"/>
      <c r="V258" s="12">
        <f t="shared" si="26"/>
        <v>48</v>
      </c>
      <c r="W258" s="10">
        <f ca="1">IFERROR(__xludf.DUMMYFUNCTION("IFERROR(
  SUM(
    FILTER(
      Reporte!$E:$E, 
      REGEXMATCH(Reporte!$A:$A, ""(?i)(TE PAGÓ|PAGASTE)""), 
      Reporte!$H:$H &amp; """" = AH258 &amp; """"
    )
  ), 
  0
)"),48)</f>
        <v>48</v>
      </c>
      <c r="X258" s="10">
        <f ca="1">IFERROR(__xludf.DUMMYFUNCTION("IFERROR(
  SUM(
    FILTER(
      Efectivo!$C:$C, 
      Efectivo!$D:$D &amp; """" = AH258 &amp; """"
    )
  ), 
  0
)"),0)</f>
        <v>0</v>
      </c>
      <c r="Y258" s="10" t="s">
        <v>34</v>
      </c>
      <c r="Z258" s="10"/>
      <c r="AA258" s="10" t="s">
        <v>35</v>
      </c>
      <c r="AB258" s="10"/>
      <c r="AC258" s="10"/>
      <c r="AD258" s="10" t="str">
        <f t="shared" ref="AD258:AD321" si="27">IF(AND(L258&gt;0, M258&gt;=8, NOT(OR(Y258="C", Y258="c"))), "CORTE", "")</f>
        <v/>
      </c>
      <c r="AE258" s="10" t="e">
        <f>IF(
   OR(
     AND(#REF!&gt;0, OR(Y258="C", Y258="c"), U258&lt;0),
     AND(#REF!&gt;0, Y258="")
   ),
   "CORTE",
   ""
)</f>
        <v>#REF!</v>
      </c>
      <c r="AF258" s="10">
        <f t="shared" si="1"/>
        <v>0</v>
      </c>
      <c r="AG258" s="10">
        <f t="shared" si="2"/>
        <v>48</v>
      </c>
      <c r="AH258" s="10" t="str">
        <f t="shared" ref="AH258:AH321" si="28">TRIM(UPPER(C258))</f>
        <v>O</v>
      </c>
      <c r="AI258" s="10" t="str">
        <f t="shared" ref="AI258:AI321" si="29">TRIM(UPPER(C258)) &amp; "-" &amp; TRIM(UPPER(D258))</f>
        <v>O-9</v>
      </c>
    </row>
    <row r="259" spans="1:35" ht="15.75" customHeight="1" x14ac:dyDescent="0.35">
      <c r="A259" s="13">
        <v>258</v>
      </c>
      <c r="B259" s="14" t="s">
        <v>335</v>
      </c>
      <c r="C259" s="14" t="s">
        <v>327</v>
      </c>
      <c r="D259" s="13">
        <v>10</v>
      </c>
      <c r="E259" s="15"/>
      <c r="F259" s="15"/>
      <c r="G259" s="15"/>
      <c r="H259" s="16">
        <v>1</v>
      </c>
      <c r="I259" s="16">
        <v>1294</v>
      </c>
      <c r="J259" s="16">
        <v>1295</v>
      </c>
      <c r="K259" s="16">
        <v>1</v>
      </c>
      <c r="L259" s="16">
        <v>5</v>
      </c>
      <c r="M259" s="16"/>
      <c r="N259" s="16">
        <v>0</v>
      </c>
      <c r="O259" s="16"/>
      <c r="P259" s="16">
        <v>3</v>
      </c>
      <c r="Q259" s="16"/>
      <c r="R259" s="18"/>
      <c r="S259" s="15"/>
      <c r="T259" s="20"/>
      <c r="U259" s="17"/>
      <c r="V259" s="17">
        <f t="shared" si="26"/>
        <v>8</v>
      </c>
      <c r="W259" s="15">
        <f ca="1">IFERROR(__xludf.DUMMYFUNCTION("IFERROR(
  SUM(
    FILTER(
      Reporte!$E:$E, 
      REGEXMATCH(Reporte!$A:$A, ""(?i)(TE PAGÓ|PAGASTE)""), 
      Reporte!$H:$H &amp; """" = AH259 &amp; """"
    )
  ), 
  0
)"),8)</f>
        <v>8</v>
      </c>
      <c r="X259" s="15">
        <f ca="1">IFERROR(__xludf.DUMMYFUNCTION("IFERROR(
  SUM(
    FILTER(
      Efectivo!$C:$C, 
      Efectivo!$D:$D &amp; """" = AH259 &amp; """"
    )
  ), 
  0
)"),0)</f>
        <v>0</v>
      </c>
      <c r="Y259" s="15" t="s">
        <v>34</v>
      </c>
      <c r="Z259" s="15"/>
      <c r="AA259" s="15" t="s">
        <v>35</v>
      </c>
      <c r="AB259" s="15"/>
      <c r="AC259" s="15"/>
      <c r="AD259" s="15" t="str">
        <f t="shared" si="27"/>
        <v/>
      </c>
      <c r="AE259" s="15" t="e">
        <f>IF(
   OR(
     AND(#REF!&gt;0, OR(Y259="C", Y259="c"), U259&lt;0),
     AND(#REF!&gt;0, Y259="")
   ),
   "CORTE",
   ""
)</f>
        <v>#REF!</v>
      </c>
      <c r="AF259" s="15">
        <f t="shared" si="1"/>
        <v>0</v>
      </c>
      <c r="AG259" s="15">
        <f t="shared" si="2"/>
        <v>8</v>
      </c>
      <c r="AH259" s="15" t="str">
        <f t="shared" si="28"/>
        <v>O</v>
      </c>
      <c r="AI259" s="15" t="str">
        <f t="shared" si="29"/>
        <v>O-10</v>
      </c>
    </row>
    <row r="260" spans="1:35" ht="15.75" customHeight="1" x14ac:dyDescent="0.35">
      <c r="A260" s="8">
        <v>259</v>
      </c>
      <c r="B260" s="9" t="s">
        <v>336</v>
      </c>
      <c r="C260" s="9" t="s">
        <v>327</v>
      </c>
      <c r="D260" s="8">
        <v>11</v>
      </c>
      <c r="E260" s="10"/>
      <c r="F260" s="10"/>
      <c r="G260" s="10"/>
      <c r="H260" s="11">
        <v>1</v>
      </c>
      <c r="I260" s="11">
        <v>239</v>
      </c>
      <c r="J260" s="11">
        <v>241</v>
      </c>
      <c r="K260" s="11">
        <v>2</v>
      </c>
      <c r="L260" s="11">
        <v>5</v>
      </c>
      <c r="M260" s="11"/>
      <c r="N260" s="11">
        <v>0</v>
      </c>
      <c r="O260" s="11"/>
      <c r="P260" s="11">
        <v>3</v>
      </c>
      <c r="Q260" s="11"/>
      <c r="R260" s="19"/>
      <c r="S260" s="10"/>
      <c r="T260" s="21"/>
      <c r="U260" s="12"/>
      <c r="V260" s="12">
        <f t="shared" si="26"/>
        <v>8</v>
      </c>
      <c r="W260" s="10">
        <f ca="1">IFERROR(__xludf.DUMMYFUNCTION("IFERROR(
  SUM(
    FILTER(
      Reporte!$E:$E, 
      REGEXMATCH(Reporte!$A:$A, ""(?i)(TE PAGÓ|PAGASTE)""), 
      Reporte!$H:$H &amp; """" = AH260 &amp; """"
    )
  ), 
  0
)"),8)</f>
        <v>8</v>
      </c>
      <c r="X260" s="10">
        <f ca="1">IFERROR(__xludf.DUMMYFUNCTION("IFERROR(
  SUM(
    FILTER(
      Efectivo!$C:$C, 
      Efectivo!$D:$D &amp; """" = AH260 &amp; """"
    )
  ), 
  0
)"),0)</f>
        <v>0</v>
      </c>
      <c r="Y260" s="10" t="s">
        <v>34</v>
      </c>
      <c r="Z260" s="10"/>
      <c r="AA260" s="10" t="s">
        <v>35</v>
      </c>
      <c r="AB260" s="10"/>
      <c r="AC260" s="10"/>
      <c r="AD260" s="10" t="str">
        <f t="shared" si="27"/>
        <v/>
      </c>
      <c r="AE260" s="10" t="e">
        <f>IF(
   OR(
     AND(#REF!&gt;0, OR(Y260="C", Y260="c"), U260&lt;0),
     AND(#REF!&gt;0, Y260="")
   ),
   "CORTE",
   ""
)</f>
        <v>#REF!</v>
      </c>
      <c r="AF260" s="10">
        <f t="shared" si="1"/>
        <v>0</v>
      </c>
      <c r="AG260" s="10">
        <f t="shared" si="2"/>
        <v>8</v>
      </c>
      <c r="AH260" s="10" t="str">
        <f t="shared" si="28"/>
        <v>O</v>
      </c>
      <c r="AI260" s="10" t="str">
        <f t="shared" si="29"/>
        <v>O-11</v>
      </c>
    </row>
    <row r="261" spans="1:35" ht="15.75" customHeight="1" x14ac:dyDescent="0.35">
      <c r="A261" s="13">
        <v>260</v>
      </c>
      <c r="B261" s="14" t="s">
        <v>337</v>
      </c>
      <c r="C261" s="14" t="s">
        <v>327</v>
      </c>
      <c r="D261" s="13">
        <v>12</v>
      </c>
      <c r="E261" s="15"/>
      <c r="F261" s="15"/>
      <c r="G261" s="15"/>
      <c r="H261" s="16">
        <v>1</v>
      </c>
      <c r="I261" s="16">
        <v>1</v>
      </c>
      <c r="J261" s="16">
        <v>4</v>
      </c>
      <c r="K261" s="16">
        <v>3</v>
      </c>
      <c r="L261" s="16">
        <v>5</v>
      </c>
      <c r="M261" s="16">
        <v>8</v>
      </c>
      <c r="N261" s="16">
        <v>0</v>
      </c>
      <c r="O261" s="16">
        <v>100</v>
      </c>
      <c r="P261" s="16">
        <v>3</v>
      </c>
      <c r="Q261" s="16"/>
      <c r="R261" s="18"/>
      <c r="S261" s="15"/>
      <c r="T261" s="20"/>
      <c r="U261" s="17"/>
      <c r="V261" s="17">
        <f>SUM(L261:U261)</f>
        <v>116</v>
      </c>
      <c r="W261" s="15">
        <f ca="1">IFERROR(__xludf.DUMMYFUNCTION("IFERROR(
  SUM(
    FILTER(
      Reporte!$E:$E, 
      REGEXMATCH(Reporte!$A:$A, ""(?i)(TE PAGÓ|PAGASTE)""), 
      Reporte!$H:$H &amp; """" = AH261 &amp; """"
    )
  ), 
  0
)"),0)</f>
        <v>0</v>
      </c>
      <c r="X261" s="15">
        <f ca="1">IFERROR(__xludf.DUMMYFUNCTION("IFERROR(
  SUM(
    FILTER(
      Efectivo!$C:$C, 
      Efectivo!$D:$D &amp; """" = AH261 &amp; """"
    )
  ), 
  0
)"),8)</f>
        <v>8</v>
      </c>
      <c r="Y261" s="15" t="s">
        <v>34</v>
      </c>
      <c r="Z261" s="15"/>
      <c r="AA261" s="15"/>
      <c r="AB261" s="15" t="s">
        <v>338</v>
      </c>
      <c r="AC261" s="15"/>
      <c r="AD261" s="15" t="str">
        <f t="shared" si="27"/>
        <v/>
      </c>
      <c r="AE261" s="15" t="e">
        <f>IF(
   OR(
     AND(#REF!&gt;0, OR(Y261="C", Y261="c"), U261&lt;0),
     AND(#REF!&gt;0, Y261="")
   ),
   "CORTE",
   ""
)</f>
        <v>#REF!</v>
      </c>
      <c r="AF261" s="15">
        <f t="shared" si="1"/>
        <v>116</v>
      </c>
      <c r="AG261" s="15">
        <f t="shared" si="2"/>
        <v>0</v>
      </c>
      <c r="AH261" s="15" t="str">
        <f t="shared" si="28"/>
        <v>O</v>
      </c>
      <c r="AI261" s="15" t="str">
        <f t="shared" si="29"/>
        <v>O-12</v>
      </c>
    </row>
    <row r="262" spans="1:35" ht="15.75" customHeight="1" x14ac:dyDescent="0.35">
      <c r="A262" s="8">
        <v>261</v>
      </c>
      <c r="B262" s="9" t="s">
        <v>339</v>
      </c>
      <c r="C262" s="9" t="s">
        <v>327</v>
      </c>
      <c r="D262" s="8">
        <v>13</v>
      </c>
      <c r="E262" s="10"/>
      <c r="F262" s="10"/>
      <c r="G262" s="10"/>
      <c r="H262" s="11">
        <v>1</v>
      </c>
      <c r="I262" s="11">
        <v>4</v>
      </c>
      <c r="J262" s="11">
        <v>17</v>
      </c>
      <c r="K262" s="11">
        <v>13</v>
      </c>
      <c r="L262" s="11">
        <v>13</v>
      </c>
      <c r="M262" s="11"/>
      <c r="N262" s="11">
        <v>0</v>
      </c>
      <c r="O262" s="11"/>
      <c r="P262" s="11">
        <v>3</v>
      </c>
      <c r="Q262" s="11"/>
      <c r="R262" s="19"/>
      <c r="S262" s="10"/>
      <c r="T262" s="21"/>
      <c r="U262" s="12"/>
      <c r="V262" s="12">
        <f>SUM(L262:Q262)</f>
        <v>16</v>
      </c>
      <c r="W262" s="10">
        <f ca="1">IFERROR(__xludf.DUMMYFUNCTION("IFERROR(
  SUM(
    FILTER(
      Reporte!$E:$E, 
      REGEXMATCH(Reporte!$A:$A, ""(?i)(TE PAGÓ|PAGASTE)""), 
      Reporte!$H:$H &amp; """" = AH262 &amp; """"
    )
  ), 
  0
)"),0)</f>
        <v>0</v>
      </c>
      <c r="X262" s="10">
        <f ca="1">IFERROR(__xludf.DUMMYFUNCTION("IFERROR(
  SUM(
    FILTER(
      Efectivo!$C:$C, 
      Efectivo!$D:$D &amp; """" = AH262 &amp; """"
    )
  ), 
  0
)"),16)</f>
        <v>16</v>
      </c>
      <c r="Y262" s="10" t="s">
        <v>34</v>
      </c>
      <c r="Z262" s="10"/>
      <c r="AA262" s="10"/>
      <c r="AB262" s="10"/>
      <c r="AC262" s="10"/>
      <c r="AD262" s="10" t="str">
        <f t="shared" si="27"/>
        <v/>
      </c>
      <c r="AE262" s="10" t="e">
        <f>IF(
   OR(
     AND(#REF!&gt;0, OR(Y262="C", Y262="c"), U262&lt;0),
     AND(#REF!&gt;0, Y262="")
   ),
   "CORTE",
   ""
)</f>
        <v>#REF!</v>
      </c>
      <c r="AF262" s="10">
        <f t="shared" si="1"/>
        <v>16</v>
      </c>
      <c r="AG262" s="10">
        <f t="shared" si="2"/>
        <v>0</v>
      </c>
      <c r="AH262" s="10" t="str">
        <f t="shared" si="28"/>
        <v>O</v>
      </c>
      <c r="AI262" s="10" t="str">
        <f t="shared" si="29"/>
        <v>O-13</v>
      </c>
    </row>
    <row r="263" spans="1:35" ht="15.75" customHeight="1" x14ac:dyDescent="0.35">
      <c r="A263" s="13">
        <v>262</v>
      </c>
      <c r="B263" s="14" t="s">
        <v>340</v>
      </c>
      <c r="C263" s="14" t="s">
        <v>327</v>
      </c>
      <c r="D263" s="13">
        <v>14</v>
      </c>
      <c r="E263" s="15"/>
      <c r="F263" s="15"/>
      <c r="G263" s="15"/>
      <c r="H263" s="16">
        <v>1</v>
      </c>
      <c r="I263" s="16">
        <v>628</v>
      </c>
      <c r="J263" s="16">
        <v>638</v>
      </c>
      <c r="K263" s="16">
        <v>10</v>
      </c>
      <c r="L263" s="16">
        <v>10</v>
      </c>
      <c r="M263" s="16"/>
      <c r="N263" s="16">
        <v>0</v>
      </c>
      <c r="O263" s="16"/>
      <c r="P263" s="16">
        <v>3</v>
      </c>
      <c r="Q263" s="16"/>
      <c r="R263" s="18"/>
      <c r="S263" s="15"/>
      <c r="T263" s="20"/>
      <c r="U263" s="17"/>
      <c r="V263" s="17">
        <f>SUM(L263:U263)</f>
        <v>13</v>
      </c>
      <c r="W263" s="15">
        <f ca="1">IFERROR(__xludf.DUMMYFUNCTION("IFERROR(
  SUM(
    FILTER(
      Reporte!$E:$E, 
      REGEXMATCH(Reporte!$A:$A, ""(?i)(TE PAGÓ|PAGASTE)""), 
      Reporte!$H:$H &amp; """" = AH263 &amp; """"
    )
  ), 
  0
)"),13)</f>
        <v>13</v>
      </c>
      <c r="X263" s="15">
        <f ca="1">IFERROR(__xludf.DUMMYFUNCTION("IFERROR(
  SUM(
    FILTER(
      Efectivo!$C:$C, 
      Efectivo!$D:$D &amp; """" = AH263 &amp; """"
    )
  ), 
  0
)"),0)</f>
        <v>0</v>
      </c>
      <c r="Y263" s="15" t="s">
        <v>34</v>
      </c>
      <c r="Z263" s="15"/>
      <c r="AA263" s="15" t="s">
        <v>35</v>
      </c>
      <c r="AB263" s="15"/>
      <c r="AC263" s="15"/>
      <c r="AD263" s="15" t="str">
        <f t="shared" si="27"/>
        <v/>
      </c>
      <c r="AE263" s="15" t="e">
        <f>IF(
   OR(
     AND(#REF!&gt;0, OR(Y263="C", Y263="c"), U263&lt;0),
     AND(#REF!&gt;0, Y263="")
   ),
   "CORTE",
   ""
)</f>
        <v>#REF!</v>
      </c>
      <c r="AF263" s="15">
        <f t="shared" si="1"/>
        <v>0</v>
      </c>
      <c r="AG263" s="15">
        <f t="shared" si="2"/>
        <v>13</v>
      </c>
      <c r="AH263" s="15" t="str">
        <f t="shared" si="28"/>
        <v>O</v>
      </c>
      <c r="AI263" s="15" t="str">
        <f t="shared" si="29"/>
        <v>O-14</v>
      </c>
    </row>
    <row r="264" spans="1:35" ht="15.75" customHeight="1" x14ac:dyDescent="0.35">
      <c r="A264" s="8">
        <v>263</v>
      </c>
      <c r="B264" s="9" t="s">
        <v>341</v>
      </c>
      <c r="C264" s="9" t="s">
        <v>327</v>
      </c>
      <c r="D264" s="8">
        <v>15</v>
      </c>
      <c r="E264" s="10"/>
      <c r="F264" s="10"/>
      <c r="G264" s="10"/>
      <c r="H264" s="11">
        <v>1</v>
      </c>
      <c r="I264" s="11">
        <v>994</v>
      </c>
      <c r="J264" s="11">
        <v>1011</v>
      </c>
      <c r="K264" s="11">
        <v>17</v>
      </c>
      <c r="L264" s="11">
        <v>17</v>
      </c>
      <c r="M264" s="11"/>
      <c r="N264" s="11">
        <v>0</v>
      </c>
      <c r="O264" s="11"/>
      <c r="P264" s="11">
        <v>3</v>
      </c>
      <c r="Q264" s="11"/>
      <c r="R264" s="19"/>
      <c r="S264" s="10"/>
      <c r="T264" s="21"/>
      <c r="U264" s="12"/>
      <c r="V264" s="12">
        <f t="shared" ref="V264:V270" si="30">SUM(L264:Q264)</f>
        <v>20</v>
      </c>
      <c r="W264" s="10">
        <f ca="1">IFERROR(__xludf.DUMMYFUNCTION("IFERROR(
  SUM(
    FILTER(
      Reporte!$E:$E, 
      REGEXMATCH(Reporte!$A:$A, ""(?i)(TE PAGÓ|PAGASTE)""), 
      Reporte!$H:$H &amp; """" = AH264 &amp; """"
    )
  ), 
  0
)"),20)</f>
        <v>20</v>
      </c>
      <c r="X264" s="10">
        <f ca="1">IFERROR(__xludf.DUMMYFUNCTION("IFERROR(
  SUM(
    FILTER(
      Efectivo!$C:$C, 
      Efectivo!$D:$D &amp; """" = AH264 &amp; """"
    )
  ), 
  0
)"),0)</f>
        <v>0</v>
      </c>
      <c r="Y264" s="10" t="s">
        <v>34</v>
      </c>
      <c r="Z264" s="10"/>
      <c r="AA264" s="10" t="s">
        <v>35</v>
      </c>
      <c r="AB264" s="10"/>
      <c r="AC264" s="10"/>
      <c r="AD264" s="10" t="str">
        <f t="shared" si="27"/>
        <v/>
      </c>
      <c r="AE264" s="10" t="e">
        <f>IF(
   OR(
     AND(#REF!&gt;0, OR(Y264="C", Y264="c"), U264&lt;0),
     AND(#REF!&gt;0, Y264="")
   ),
   "CORTE",
   ""
)</f>
        <v>#REF!</v>
      </c>
      <c r="AF264" s="10">
        <f t="shared" si="1"/>
        <v>0</v>
      </c>
      <c r="AG264" s="10">
        <f t="shared" si="2"/>
        <v>20</v>
      </c>
      <c r="AH264" s="10" t="str">
        <f t="shared" si="28"/>
        <v>O</v>
      </c>
      <c r="AI264" s="10" t="str">
        <f t="shared" si="29"/>
        <v>O-15</v>
      </c>
    </row>
    <row r="265" spans="1:35" ht="15.75" customHeight="1" x14ac:dyDescent="0.35">
      <c r="A265" s="13">
        <v>264</v>
      </c>
      <c r="B265" s="14" t="s">
        <v>342</v>
      </c>
      <c r="C265" s="14" t="s">
        <v>327</v>
      </c>
      <c r="D265" s="13">
        <v>16</v>
      </c>
      <c r="E265" s="15"/>
      <c r="F265" s="15"/>
      <c r="G265" s="15"/>
      <c r="H265" s="16">
        <v>1</v>
      </c>
      <c r="I265" s="16">
        <v>14</v>
      </c>
      <c r="J265" s="16">
        <v>18</v>
      </c>
      <c r="K265" s="16">
        <v>4</v>
      </c>
      <c r="L265" s="16">
        <v>5</v>
      </c>
      <c r="M265" s="16">
        <v>1</v>
      </c>
      <c r="N265" s="16">
        <v>0</v>
      </c>
      <c r="O265" s="16"/>
      <c r="P265" s="16">
        <v>3</v>
      </c>
      <c r="Q265" s="16"/>
      <c r="R265" s="18"/>
      <c r="S265" s="15"/>
      <c r="T265" s="20"/>
      <c r="U265" s="17"/>
      <c r="V265" s="17">
        <f t="shared" si="30"/>
        <v>9</v>
      </c>
      <c r="W265" s="15">
        <f ca="1">IFERROR(__xludf.DUMMYFUNCTION("IFERROR(
  SUM(
    FILTER(
      Reporte!$E:$E, 
      REGEXMATCH(Reporte!$A:$A, ""(?i)(TE PAGÓ|PAGASTE)""), 
      Reporte!$H:$H &amp; """" = AH265 &amp; """"
    )
  ), 
  0
)"),0)</f>
        <v>0</v>
      </c>
      <c r="X265" s="15">
        <f ca="1">IFERROR(__xludf.DUMMYFUNCTION("IFERROR(
  SUM(
    FILTER(
      Efectivo!$C:$C, 
      Efectivo!$D:$D &amp; """" = AH265 &amp; """"
    )
  ), 
  0
)"),0)</f>
        <v>0</v>
      </c>
      <c r="Y265" s="15"/>
      <c r="Z265" s="15"/>
      <c r="AA265" s="15"/>
      <c r="AB265" s="15"/>
      <c r="AC265" s="15"/>
      <c r="AD265" s="15" t="str">
        <f t="shared" si="27"/>
        <v/>
      </c>
      <c r="AE265" s="15" t="e">
        <f>IF(
   OR(
     AND(#REF!&gt;0, OR(Y265="C", Y265="c"), U265&lt;0),
     AND(#REF!&gt;0, Y265="")
   ),
   "CORTE",
   ""
)</f>
        <v>#REF!</v>
      </c>
      <c r="AF265" s="15">
        <f t="shared" si="1"/>
        <v>0</v>
      </c>
      <c r="AG265" s="15">
        <f t="shared" si="2"/>
        <v>0</v>
      </c>
      <c r="AH265" s="15" t="str">
        <f t="shared" si="28"/>
        <v>O</v>
      </c>
      <c r="AI265" s="15" t="str">
        <f t="shared" si="29"/>
        <v>O-16</v>
      </c>
    </row>
    <row r="266" spans="1:35" ht="15.75" customHeight="1" x14ac:dyDescent="0.35">
      <c r="A266" s="8">
        <v>265</v>
      </c>
      <c r="B266" s="9" t="s">
        <v>294</v>
      </c>
      <c r="C266" s="9" t="s">
        <v>327</v>
      </c>
      <c r="D266" s="8">
        <v>17</v>
      </c>
      <c r="E266" s="10"/>
      <c r="F266" s="10"/>
      <c r="G266" s="10"/>
      <c r="H266" s="11">
        <v>1</v>
      </c>
      <c r="I266" s="11">
        <v>1370</v>
      </c>
      <c r="J266" s="11">
        <v>3</v>
      </c>
      <c r="K266" s="11">
        <v>5</v>
      </c>
      <c r="L266" s="11">
        <v>5</v>
      </c>
      <c r="M266" s="11"/>
      <c r="N266" s="11">
        <v>0</v>
      </c>
      <c r="O266" s="11">
        <v>25</v>
      </c>
      <c r="P266" s="11">
        <v>3</v>
      </c>
      <c r="Q266" s="11"/>
      <c r="R266" s="19"/>
      <c r="S266" s="10"/>
      <c r="T266" s="21"/>
      <c r="U266" s="12"/>
      <c r="V266" s="12">
        <f t="shared" si="30"/>
        <v>33</v>
      </c>
      <c r="W266" s="10">
        <f ca="1">IFERROR(__xludf.DUMMYFUNCTION("IFERROR(
  SUM(
    FILTER(
      Reporte!$E:$E, 
      REGEXMATCH(Reporte!$A:$A, ""(?i)(TE PAGÓ|PAGASTE)""), 
      Reporte!$H:$H &amp; """" = AH266 &amp; """"
    )
  ), 
  0
)"),0)</f>
        <v>0</v>
      </c>
      <c r="X266" s="10">
        <f ca="1">IFERROR(__xludf.DUMMYFUNCTION("IFERROR(
  SUM(
    FILTER(
      Efectivo!$C:$C, 
      Efectivo!$D:$D &amp; """" = AH266 &amp; """"
    )
  ), 
  0
)"),33)</f>
        <v>33</v>
      </c>
      <c r="Y266" s="10" t="s">
        <v>34</v>
      </c>
      <c r="Z266" s="10"/>
      <c r="AA266" s="10"/>
      <c r="AB266" s="10"/>
      <c r="AC266" s="10"/>
      <c r="AD266" s="10" t="str">
        <f t="shared" si="27"/>
        <v/>
      </c>
      <c r="AE266" s="10" t="e">
        <f>IF(
   OR(
     AND(#REF!&gt;0, OR(Y266="C", Y266="c"), U266&lt;0),
     AND(#REF!&gt;0, Y266="")
   ),
   "CORTE",
   ""
)</f>
        <v>#REF!</v>
      </c>
      <c r="AF266" s="10">
        <f t="shared" si="1"/>
        <v>33</v>
      </c>
      <c r="AG266" s="10">
        <f t="shared" si="2"/>
        <v>0</v>
      </c>
      <c r="AH266" s="10" t="str">
        <f t="shared" si="28"/>
        <v>O</v>
      </c>
      <c r="AI266" s="10" t="str">
        <f t="shared" si="29"/>
        <v>O-17</v>
      </c>
    </row>
    <row r="267" spans="1:35" ht="15.75" customHeight="1" x14ac:dyDescent="0.35">
      <c r="A267" s="13">
        <v>266</v>
      </c>
      <c r="B267" s="14" t="s">
        <v>343</v>
      </c>
      <c r="C267" s="14" t="s">
        <v>327</v>
      </c>
      <c r="D267" s="13">
        <v>18</v>
      </c>
      <c r="E267" s="15"/>
      <c r="F267" s="15"/>
      <c r="G267" s="15"/>
      <c r="H267" s="16">
        <v>1</v>
      </c>
      <c r="I267" s="16">
        <v>335</v>
      </c>
      <c r="J267" s="16">
        <v>350</v>
      </c>
      <c r="K267" s="16">
        <v>15</v>
      </c>
      <c r="L267" s="16">
        <v>15</v>
      </c>
      <c r="M267" s="16"/>
      <c r="N267" s="16">
        <v>0</v>
      </c>
      <c r="O267" s="16"/>
      <c r="P267" s="16">
        <v>3</v>
      </c>
      <c r="Q267" s="16"/>
      <c r="R267" s="18"/>
      <c r="S267" s="15"/>
      <c r="T267" s="20"/>
      <c r="U267" s="17"/>
      <c r="V267" s="17">
        <f t="shared" si="30"/>
        <v>18</v>
      </c>
      <c r="W267" s="15">
        <f ca="1">IFERROR(__xludf.DUMMYFUNCTION("IFERROR(
  SUM(
    FILTER(
      Reporte!$E:$E, 
      REGEXMATCH(Reporte!$A:$A, ""(?i)(TE PAGÓ|PAGASTE)""), 
      Reporte!$H:$H &amp; """" = AH267 &amp; """"
    )
  ), 
  0
)"),0)</f>
        <v>0</v>
      </c>
      <c r="X267" s="15">
        <f ca="1">IFERROR(__xludf.DUMMYFUNCTION("IFERROR(
  SUM(
    FILTER(
      Efectivo!$C:$C, 
      Efectivo!$D:$D &amp; """" = AH267 &amp; """"
    )
  ), 
  0
)"),18)</f>
        <v>18</v>
      </c>
      <c r="Y267" s="15" t="s">
        <v>34</v>
      </c>
      <c r="Z267" s="15"/>
      <c r="AA267" s="15"/>
      <c r="AB267" s="15"/>
      <c r="AC267" s="15"/>
      <c r="AD267" s="15" t="str">
        <f t="shared" si="27"/>
        <v/>
      </c>
      <c r="AE267" s="15" t="e">
        <f>IF(
   OR(
     AND(#REF!&gt;0, OR(Y267="C", Y267="c"), U267&lt;0),
     AND(#REF!&gt;0, Y267="")
   ),
   "CORTE",
   ""
)</f>
        <v>#REF!</v>
      </c>
      <c r="AF267" s="15">
        <f t="shared" si="1"/>
        <v>18</v>
      </c>
      <c r="AG267" s="15">
        <f t="shared" si="2"/>
        <v>0</v>
      </c>
      <c r="AH267" s="15" t="str">
        <f t="shared" si="28"/>
        <v>O</v>
      </c>
      <c r="AI267" s="15" t="str">
        <f t="shared" si="29"/>
        <v>O-18</v>
      </c>
    </row>
    <row r="268" spans="1:35" ht="15.75" customHeight="1" x14ac:dyDescent="0.35">
      <c r="A268" s="8">
        <v>267</v>
      </c>
      <c r="B268" s="9" t="s">
        <v>344</v>
      </c>
      <c r="C268" s="9" t="s">
        <v>327</v>
      </c>
      <c r="D268" s="8">
        <v>19</v>
      </c>
      <c r="E268" s="10"/>
      <c r="F268" s="10"/>
      <c r="G268" s="10"/>
      <c r="H268" s="11">
        <v>1</v>
      </c>
      <c r="I268" s="11">
        <v>1</v>
      </c>
      <c r="J268" s="11">
        <v>8</v>
      </c>
      <c r="K268" s="11">
        <v>7</v>
      </c>
      <c r="L268" s="11">
        <v>7</v>
      </c>
      <c r="M268" s="11"/>
      <c r="N268" s="11">
        <v>0</v>
      </c>
      <c r="O268" s="11">
        <v>25</v>
      </c>
      <c r="P268" s="11">
        <v>3</v>
      </c>
      <c r="Q268" s="11"/>
      <c r="R268" s="19"/>
      <c r="S268" s="10"/>
      <c r="T268" s="21"/>
      <c r="U268" s="12"/>
      <c r="V268" s="12">
        <f t="shared" si="30"/>
        <v>35</v>
      </c>
      <c r="W268" s="10">
        <f ca="1">IFERROR(__xludf.DUMMYFUNCTION("IFERROR(
  SUM(
    FILTER(
      Reporte!$E:$E, 
      REGEXMATCH(Reporte!$A:$A, ""(?i)(TE PAGÓ|PAGASTE)""), 
      Reporte!$H:$H &amp; """" = AH268 &amp; """"
    )
  ), 
  0
)"),0)</f>
        <v>0</v>
      </c>
      <c r="X268" s="10">
        <f ca="1">IFERROR(__xludf.DUMMYFUNCTION("IFERROR(
  SUM(
    FILTER(
      Efectivo!$C:$C, 
      Efectivo!$D:$D &amp; """" = AH268 &amp; """"
    )
  ), 
  0
)"),35)</f>
        <v>35</v>
      </c>
      <c r="Y268" s="10" t="s">
        <v>34</v>
      </c>
      <c r="Z268" s="10"/>
      <c r="AA268" s="10"/>
      <c r="AB268" s="10"/>
      <c r="AC268" s="10"/>
      <c r="AD268" s="10" t="str">
        <f t="shared" si="27"/>
        <v/>
      </c>
      <c r="AE268" s="10" t="e">
        <f>IF(
   OR(
     AND(#REF!&gt;0, OR(Y268="C", Y268="c"), U268&lt;0),
     AND(#REF!&gt;0, Y268="")
   ),
   "CORTE",
   ""
)</f>
        <v>#REF!</v>
      </c>
      <c r="AF268" s="10">
        <f t="shared" si="1"/>
        <v>35</v>
      </c>
      <c r="AG268" s="10">
        <f t="shared" si="2"/>
        <v>0</v>
      </c>
      <c r="AH268" s="10" t="str">
        <f t="shared" si="28"/>
        <v>O</v>
      </c>
      <c r="AI268" s="10" t="str">
        <f t="shared" si="29"/>
        <v>O-19</v>
      </c>
    </row>
    <row r="269" spans="1:35" ht="15.75" customHeight="1" x14ac:dyDescent="0.35">
      <c r="A269" s="13">
        <v>268</v>
      </c>
      <c r="B269" s="14" t="s">
        <v>345</v>
      </c>
      <c r="C269" s="14" t="s">
        <v>327</v>
      </c>
      <c r="D269" s="13">
        <v>20</v>
      </c>
      <c r="E269" s="15"/>
      <c r="F269" s="15"/>
      <c r="G269" s="15"/>
      <c r="H269" s="16">
        <v>1</v>
      </c>
      <c r="I269" s="16">
        <v>187</v>
      </c>
      <c r="J269" s="16">
        <v>198</v>
      </c>
      <c r="K269" s="16">
        <v>11</v>
      </c>
      <c r="L269" s="16">
        <v>11</v>
      </c>
      <c r="M269" s="16">
        <v>29</v>
      </c>
      <c r="N269" s="16">
        <v>0</v>
      </c>
      <c r="O269" s="16"/>
      <c r="P269" s="16">
        <v>3</v>
      </c>
      <c r="Q269" s="16"/>
      <c r="R269" s="18"/>
      <c r="S269" s="15"/>
      <c r="T269" s="20"/>
      <c r="U269" s="17"/>
      <c r="V269" s="17">
        <f t="shared" si="30"/>
        <v>43</v>
      </c>
      <c r="W269" s="15">
        <f ca="1">IFERROR(__xludf.DUMMYFUNCTION("IFERROR(
  SUM(
    FILTER(
      Reporte!$E:$E, 
      REGEXMATCH(Reporte!$A:$A, ""(?i)(TE PAGÓ|PAGASTE)""), 
      Reporte!$H:$H &amp; """" = AH269 &amp; """"
    )
  ), 
  0
)"),43)</f>
        <v>43</v>
      </c>
      <c r="X269" s="15">
        <f ca="1">IFERROR(__xludf.DUMMYFUNCTION("IFERROR(
  SUM(
    FILTER(
      Efectivo!$C:$C, 
      Efectivo!$D:$D &amp; """" = AH269 &amp; """"
    )
  ), 
  0
)"),0)</f>
        <v>0</v>
      </c>
      <c r="Y269" s="15" t="s">
        <v>34</v>
      </c>
      <c r="Z269" s="15"/>
      <c r="AA269" s="15" t="s">
        <v>35</v>
      </c>
      <c r="AB269" s="15"/>
      <c r="AC269" s="15"/>
      <c r="AD269" s="15" t="str">
        <f t="shared" si="27"/>
        <v/>
      </c>
      <c r="AE269" s="15" t="e">
        <f>IF(
   OR(
     AND(#REF!&gt;0, OR(Y269="C", Y269="c"), U269&lt;0),
     AND(#REF!&gt;0, Y269="")
   ),
   "CORTE",
   ""
)</f>
        <v>#REF!</v>
      </c>
      <c r="AF269" s="15">
        <f t="shared" si="1"/>
        <v>0</v>
      </c>
      <c r="AG269" s="15">
        <f t="shared" si="2"/>
        <v>43</v>
      </c>
      <c r="AH269" s="15" t="str">
        <f t="shared" si="28"/>
        <v>O</v>
      </c>
      <c r="AI269" s="15" t="str">
        <f t="shared" si="29"/>
        <v>O-20</v>
      </c>
    </row>
    <row r="270" spans="1:35" ht="15.75" customHeight="1" x14ac:dyDescent="0.35">
      <c r="A270" s="8">
        <v>269</v>
      </c>
      <c r="B270" s="9" t="s">
        <v>346</v>
      </c>
      <c r="C270" s="9" t="s">
        <v>327</v>
      </c>
      <c r="D270" s="8">
        <v>21</v>
      </c>
      <c r="E270" s="10"/>
      <c r="F270" s="10"/>
      <c r="G270" s="10"/>
      <c r="H270" s="11">
        <v>1</v>
      </c>
      <c r="I270" s="11">
        <v>1157</v>
      </c>
      <c r="J270" s="11">
        <v>1171</v>
      </c>
      <c r="K270" s="11">
        <v>14</v>
      </c>
      <c r="L270" s="11">
        <v>14</v>
      </c>
      <c r="M270" s="11">
        <v>23</v>
      </c>
      <c r="N270" s="11">
        <v>0</v>
      </c>
      <c r="O270" s="11"/>
      <c r="P270" s="11">
        <v>3</v>
      </c>
      <c r="Q270" s="11"/>
      <c r="R270" s="19"/>
      <c r="S270" s="10"/>
      <c r="T270" s="21"/>
      <c r="U270" s="12"/>
      <c r="V270" s="12">
        <f t="shared" si="30"/>
        <v>40</v>
      </c>
      <c r="W270" s="10">
        <f ca="1">IFERROR(__xludf.DUMMYFUNCTION("IFERROR(
  SUM(
    FILTER(
      Reporte!$E:$E, 
      REGEXMATCH(Reporte!$A:$A, ""(?i)(TE PAGÓ|PAGASTE)""), 
      Reporte!$H:$H &amp; """" = AH270 &amp; """"
    )
  ), 
  0
)"),40)</f>
        <v>40</v>
      </c>
      <c r="X270" s="10">
        <f ca="1">IFERROR(__xludf.DUMMYFUNCTION("IFERROR(
  SUM(
    FILTER(
      Efectivo!$C:$C, 
      Efectivo!$D:$D &amp; """" = AH270 &amp; """"
    )
  ), 
  0
)"),0)</f>
        <v>0</v>
      </c>
      <c r="Y270" s="10" t="s">
        <v>34</v>
      </c>
      <c r="Z270" s="10"/>
      <c r="AA270" s="10" t="s">
        <v>35</v>
      </c>
      <c r="AB270" s="10"/>
      <c r="AC270" s="10"/>
      <c r="AD270" s="10" t="str">
        <f t="shared" si="27"/>
        <v/>
      </c>
      <c r="AE270" s="10" t="e">
        <f>IF(
   OR(
     AND(#REF!&gt;0, OR(Y270="C", Y270="c"), U270&lt;0),
     AND(#REF!&gt;0, Y270="")
   ),
   "CORTE",
   ""
)</f>
        <v>#REF!</v>
      </c>
      <c r="AF270" s="10">
        <f t="shared" si="1"/>
        <v>0</v>
      </c>
      <c r="AG270" s="10">
        <f t="shared" si="2"/>
        <v>40</v>
      </c>
      <c r="AH270" s="10" t="str">
        <f t="shared" si="28"/>
        <v>O</v>
      </c>
      <c r="AI270" s="10" t="str">
        <f t="shared" si="29"/>
        <v>O-21</v>
      </c>
    </row>
    <row r="271" spans="1:35" ht="15.75" customHeight="1" x14ac:dyDescent="0.35">
      <c r="A271" s="13">
        <v>270</v>
      </c>
      <c r="B271" s="14" t="s">
        <v>347</v>
      </c>
      <c r="C271" s="14" t="s">
        <v>327</v>
      </c>
      <c r="D271" s="13">
        <v>22</v>
      </c>
      <c r="E271" s="15"/>
      <c r="F271" s="15"/>
      <c r="G271" s="15"/>
      <c r="H271" s="16">
        <v>1</v>
      </c>
      <c r="I271" s="16">
        <v>5</v>
      </c>
      <c r="J271" s="16">
        <v>17</v>
      </c>
      <c r="K271" s="16">
        <v>12</v>
      </c>
      <c r="L271" s="16">
        <v>12</v>
      </c>
      <c r="M271" s="16">
        <v>26</v>
      </c>
      <c r="N271" s="16">
        <v>0</v>
      </c>
      <c r="O271" s="16">
        <v>25</v>
      </c>
      <c r="P271" s="16">
        <v>3</v>
      </c>
      <c r="Q271" s="16"/>
      <c r="R271" s="18"/>
      <c r="S271" s="15"/>
      <c r="T271" s="20"/>
      <c r="U271" s="17"/>
      <c r="V271" s="17">
        <f>SUM(L271:U271)</f>
        <v>66</v>
      </c>
      <c r="W271" s="15">
        <f ca="1">IFERROR(__xludf.DUMMYFUNCTION("IFERROR(
  SUM(
    FILTER(
      Reporte!$E:$E, 
      REGEXMATCH(Reporte!$A:$A, ""(?i)(TE PAGÓ|PAGASTE)""), 
      Reporte!$H:$H &amp; """" = AH271 &amp; """"
    )
  ), 
  0
)"),66)</f>
        <v>66</v>
      </c>
      <c r="X271" s="15">
        <f ca="1">IFERROR(__xludf.DUMMYFUNCTION("IFERROR(
  SUM(
    FILTER(
      Efectivo!$C:$C, 
      Efectivo!$D:$D &amp; """" = AH271 &amp; """"
    )
  ), 
  0
)"),0)</f>
        <v>0</v>
      </c>
      <c r="Y271" s="15" t="s">
        <v>34</v>
      </c>
      <c r="Z271" s="15"/>
      <c r="AA271" s="15" t="s">
        <v>35</v>
      </c>
      <c r="AB271" s="15"/>
      <c r="AC271" s="15"/>
      <c r="AD271" s="15" t="str">
        <f t="shared" si="27"/>
        <v/>
      </c>
      <c r="AE271" s="15" t="e">
        <f>IF(
   OR(
     AND(#REF!&gt;0, OR(Y271="C", Y271="c"), U271&lt;0),
     AND(#REF!&gt;0, Y271="")
   ),
   "CORTE",
   ""
)</f>
        <v>#REF!</v>
      </c>
      <c r="AF271" s="15">
        <f t="shared" si="1"/>
        <v>0</v>
      </c>
      <c r="AG271" s="15">
        <f t="shared" si="2"/>
        <v>66</v>
      </c>
      <c r="AH271" s="15" t="str">
        <f t="shared" si="28"/>
        <v>O</v>
      </c>
      <c r="AI271" s="15" t="str">
        <f t="shared" si="29"/>
        <v>O-22</v>
      </c>
    </row>
    <row r="272" spans="1:35" ht="15.75" customHeight="1" x14ac:dyDescent="0.35">
      <c r="A272" s="8">
        <v>271</v>
      </c>
      <c r="B272" s="9" t="s">
        <v>348</v>
      </c>
      <c r="C272" s="9" t="s">
        <v>327</v>
      </c>
      <c r="D272" s="8">
        <v>23</v>
      </c>
      <c r="E272" s="10"/>
      <c r="F272" s="10"/>
      <c r="G272" s="10"/>
      <c r="H272" s="11">
        <v>1</v>
      </c>
      <c r="I272" s="11">
        <v>90</v>
      </c>
      <c r="J272" s="11">
        <v>92</v>
      </c>
      <c r="K272" s="11">
        <v>2</v>
      </c>
      <c r="L272" s="11">
        <v>5</v>
      </c>
      <c r="M272" s="11">
        <v>9</v>
      </c>
      <c r="N272" s="11">
        <v>0</v>
      </c>
      <c r="O272" s="11"/>
      <c r="P272" s="11">
        <v>3</v>
      </c>
      <c r="Q272" s="11"/>
      <c r="R272" s="19"/>
      <c r="S272" s="10"/>
      <c r="T272" s="21"/>
      <c r="U272" s="12"/>
      <c r="V272" s="12">
        <f>SUM(L272:Q272)</f>
        <v>17</v>
      </c>
      <c r="W272" s="10">
        <f ca="1">IFERROR(__xludf.DUMMYFUNCTION("IFERROR(
  SUM(
    FILTER(
      Reporte!$E:$E, 
      REGEXMATCH(Reporte!$A:$A, ""(?i)(TE PAGÓ|PAGASTE)""), 
      Reporte!$H:$H &amp; """" = AH272 &amp; """"
    )
  ), 
  0
)"),17)</f>
        <v>17</v>
      </c>
      <c r="X272" s="10">
        <f ca="1">IFERROR(__xludf.DUMMYFUNCTION("IFERROR(
  SUM(
    FILTER(
      Efectivo!$C:$C, 
      Efectivo!$D:$D &amp; """" = AH272 &amp; """"
    )
  ), 
  0
)"),0)</f>
        <v>0</v>
      </c>
      <c r="Y272" s="10" t="s">
        <v>34</v>
      </c>
      <c r="Z272" s="10"/>
      <c r="AA272" s="10" t="s">
        <v>35</v>
      </c>
      <c r="AB272" s="10"/>
      <c r="AC272" s="10"/>
      <c r="AD272" s="10" t="str">
        <f t="shared" si="27"/>
        <v/>
      </c>
      <c r="AE272" s="10" t="e">
        <f>IF(
   OR(
     AND(#REF!&gt;0, OR(Y272="C", Y272="c"), U272&lt;0),
     AND(#REF!&gt;0, Y272="")
   ),
   "CORTE",
   ""
)</f>
        <v>#REF!</v>
      </c>
      <c r="AF272" s="10">
        <f t="shared" si="1"/>
        <v>0</v>
      </c>
      <c r="AG272" s="10">
        <f t="shared" si="2"/>
        <v>17</v>
      </c>
      <c r="AH272" s="10" t="str">
        <f t="shared" si="28"/>
        <v>O</v>
      </c>
      <c r="AI272" s="10" t="str">
        <f t="shared" si="29"/>
        <v>O-23</v>
      </c>
    </row>
    <row r="273" spans="1:35" ht="15.75" customHeight="1" x14ac:dyDescent="0.35">
      <c r="A273" s="13">
        <v>272</v>
      </c>
      <c r="B273" s="14" t="s">
        <v>349</v>
      </c>
      <c r="C273" s="14" t="s">
        <v>327</v>
      </c>
      <c r="D273" s="13">
        <v>24</v>
      </c>
      <c r="E273" s="15"/>
      <c r="F273" s="15"/>
      <c r="G273" s="15"/>
      <c r="H273" s="16">
        <v>1</v>
      </c>
      <c r="I273" s="16">
        <v>0</v>
      </c>
      <c r="J273" s="16">
        <v>1</v>
      </c>
      <c r="K273" s="16">
        <v>1</v>
      </c>
      <c r="L273" s="16">
        <v>5</v>
      </c>
      <c r="M273" s="16">
        <v>-8</v>
      </c>
      <c r="N273" s="16">
        <v>0</v>
      </c>
      <c r="O273" s="16"/>
      <c r="P273" s="16">
        <v>3</v>
      </c>
      <c r="Q273" s="16"/>
      <c r="R273" s="18"/>
      <c r="S273" s="15"/>
      <c r="T273" s="20"/>
      <c r="U273" s="17"/>
      <c r="V273" s="17">
        <f>SUM(L273:Q273)</f>
        <v>0</v>
      </c>
      <c r="W273" s="15">
        <f ca="1">IFERROR(__xludf.DUMMYFUNCTION("IFERROR(
  SUM(
    FILTER(
      Reporte!$E:$E, 
      REGEXMATCH(Reporte!$A:$A, ""(?i)(TE PAGÓ|PAGASTE)""), 
      Reporte!$H:$H &amp; """" = AH273 &amp; """"
    )
  ), 
  0
)"),0)</f>
        <v>0</v>
      </c>
      <c r="X273" s="15">
        <f ca="1">IFERROR(__xludf.DUMMYFUNCTION("IFERROR(
  SUM(
    FILTER(
      Efectivo!$C:$C, 
      Efectivo!$D:$D &amp; """" = AH273 &amp; """"
    )
  ), 
  0
)"),0)</f>
        <v>0</v>
      </c>
      <c r="Y273" s="15"/>
      <c r="Z273" s="15"/>
      <c r="AA273" s="15"/>
      <c r="AB273" s="15"/>
      <c r="AC273" s="15"/>
      <c r="AD273" s="15" t="str">
        <f t="shared" si="27"/>
        <v/>
      </c>
      <c r="AE273" s="15" t="e">
        <f>IF(
   OR(
     AND(#REF!&gt;0, OR(Y273="C", Y273="c"), U273&lt;0),
     AND(#REF!&gt;0, Y273="")
   ),
   "CORTE",
   ""
)</f>
        <v>#REF!</v>
      </c>
      <c r="AF273" s="15">
        <f t="shared" si="1"/>
        <v>0</v>
      </c>
      <c r="AG273" s="15">
        <f t="shared" si="2"/>
        <v>0</v>
      </c>
      <c r="AH273" s="15" t="str">
        <f t="shared" si="28"/>
        <v>O</v>
      </c>
      <c r="AI273" s="15" t="str">
        <f t="shared" si="29"/>
        <v>O-24</v>
      </c>
    </row>
    <row r="274" spans="1:35" ht="15.75" customHeight="1" x14ac:dyDescent="0.35">
      <c r="A274" s="8">
        <v>273</v>
      </c>
      <c r="B274" s="9" t="s">
        <v>350</v>
      </c>
      <c r="C274" s="9" t="s">
        <v>327</v>
      </c>
      <c r="D274" s="8">
        <v>25</v>
      </c>
      <c r="E274" s="10"/>
      <c r="F274" s="10"/>
      <c r="G274" s="10"/>
      <c r="H274" s="11">
        <v>1</v>
      </c>
      <c r="I274" s="11">
        <v>2</v>
      </c>
      <c r="J274" s="11">
        <v>7</v>
      </c>
      <c r="K274" s="11">
        <v>5</v>
      </c>
      <c r="L274" s="11">
        <v>5</v>
      </c>
      <c r="M274" s="11"/>
      <c r="N274" s="11">
        <v>0</v>
      </c>
      <c r="O274" s="11">
        <v>25</v>
      </c>
      <c r="P274" s="11">
        <v>3</v>
      </c>
      <c r="Q274" s="11"/>
      <c r="R274" s="19"/>
      <c r="S274" s="10"/>
      <c r="T274" s="21"/>
      <c r="U274" s="12"/>
      <c r="V274" s="12">
        <f>SUM(L274:Q274)</f>
        <v>33</v>
      </c>
      <c r="W274" s="10">
        <f ca="1">IFERROR(__xludf.DUMMYFUNCTION("IFERROR(
  SUM(
    FILTER(
      Reporte!$E:$E, 
      REGEXMATCH(Reporte!$A:$A, ""(?i)(TE PAGÓ|PAGASTE)""), 
      Reporte!$H:$H &amp; """" = AH274 &amp; """"
    )
  ), 
  0
)"),33)</f>
        <v>33</v>
      </c>
      <c r="X274" s="10">
        <f ca="1">IFERROR(__xludf.DUMMYFUNCTION("IFERROR(
  SUM(
    FILTER(
      Efectivo!$C:$C, 
      Efectivo!$D:$D &amp; """" = AH274 &amp; """"
    )
  ), 
  0
)"),0)</f>
        <v>0</v>
      </c>
      <c r="Y274" s="10" t="s">
        <v>34</v>
      </c>
      <c r="Z274" s="10"/>
      <c r="AA274" s="10" t="s">
        <v>35</v>
      </c>
      <c r="AB274" s="10"/>
      <c r="AC274" s="10"/>
      <c r="AD274" s="10" t="str">
        <f t="shared" si="27"/>
        <v/>
      </c>
      <c r="AE274" s="10" t="e">
        <f>IF(
   OR(
     AND(#REF!&gt;0, OR(Y274="C", Y274="c"), U274&lt;0),
     AND(#REF!&gt;0, Y274="")
   ),
   "CORTE",
   ""
)</f>
        <v>#REF!</v>
      </c>
      <c r="AF274" s="10">
        <f t="shared" si="1"/>
        <v>0</v>
      </c>
      <c r="AG274" s="10">
        <f t="shared" si="2"/>
        <v>33</v>
      </c>
      <c r="AH274" s="10" t="str">
        <f t="shared" si="28"/>
        <v>O</v>
      </c>
      <c r="AI274" s="10" t="str">
        <f t="shared" si="29"/>
        <v>O-25</v>
      </c>
    </row>
    <row r="275" spans="1:35" ht="15.75" customHeight="1" x14ac:dyDescent="0.35">
      <c r="A275" s="13">
        <v>274</v>
      </c>
      <c r="B275" s="14" t="s">
        <v>351</v>
      </c>
      <c r="C275" s="14" t="s">
        <v>327</v>
      </c>
      <c r="D275" s="13">
        <v>26</v>
      </c>
      <c r="E275" s="15"/>
      <c r="F275" s="15"/>
      <c r="G275" s="15"/>
      <c r="H275" s="16">
        <v>1</v>
      </c>
      <c r="I275" s="16">
        <v>0</v>
      </c>
      <c r="J275" s="16">
        <v>0</v>
      </c>
      <c r="K275" s="16">
        <v>5</v>
      </c>
      <c r="L275" s="16">
        <v>5</v>
      </c>
      <c r="M275" s="16"/>
      <c r="N275" s="16">
        <v>0</v>
      </c>
      <c r="O275" s="16">
        <v>25</v>
      </c>
      <c r="P275" s="16">
        <v>3</v>
      </c>
      <c r="Q275" s="16"/>
      <c r="R275" s="18"/>
      <c r="S275" s="15"/>
      <c r="T275" s="20"/>
      <c r="U275" s="17"/>
      <c r="V275" s="17">
        <f>SUM(L275:Q275)</f>
        <v>33</v>
      </c>
      <c r="W275" s="15">
        <f ca="1">IFERROR(__xludf.DUMMYFUNCTION("IFERROR(
  SUM(
    FILTER(
      Reporte!$E:$E, 
      REGEXMATCH(Reporte!$A:$A, ""(?i)(TE PAGÓ|PAGASTE)""), 
      Reporte!$H:$H &amp; """" = AH275 &amp; """"
    )
  ), 
  0
)"),0)</f>
        <v>0</v>
      </c>
      <c r="X275" s="15">
        <f ca="1">IFERROR(__xludf.DUMMYFUNCTION("IFERROR(
  SUM(
    FILTER(
      Efectivo!$C:$C, 
      Efectivo!$D:$D &amp; """" = AH275 &amp; """"
    )
  ), 
  0
)"),33)</f>
        <v>33</v>
      </c>
      <c r="Y275" s="15" t="s">
        <v>34</v>
      </c>
      <c r="Z275" s="15"/>
      <c r="AA275" s="15"/>
      <c r="AB275" s="15"/>
      <c r="AC275" s="15"/>
      <c r="AD275" s="15" t="str">
        <f t="shared" si="27"/>
        <v/>
      </c>
      <c r="AE275" s="15" t="e">
        <f>IF(
   OR(
     AND(#REF!&gt;0, OR(Y275="C", Y275="c"), U275&lt;0),
     AND(#REF!&gt;0, Y275="")
   ),
   "CORTE",
   ""
)</f>
        <v>#REF!</v>
      </c>
      <c r="AF275" s="15">
        <f t="shared" si="1"/>
        <v>33</v>
      </c>
      <c r="AG275" s="15">
        <f t="shared" si="2"/>
        <v>0</v>
      </c>
      <c r="AH275" s="15" t="str">
        <f t="shared" si="28"/>
        <v>O</v>
      </c>
      <c r="AI275" s="15" t="str">
        <f t="shared" si="29"/>
        <v>O-26</v>
      </c>
    </row>
    <row r="276" spans="1:35" ht="15.75" customHeight="1" x14ac:dyDescent="0.35">
      <c r="A276" s="8">
        <v>275</v>
      </c>
      <c r="B276" s="9" t="s">
        <v>352</v>
      </c>
      <c r="C276" s="9" t="s">
        <v>327</v>
      </c>
      <c r="D276" s="8">
        <v>27</v>
      </c>
      <c r="E276" s="10"/>
      <c r="F276" s="10"/>
      <c r="G276" s="10"/>
      <c r="H276" s="11">
        <v>1</v>
      </c>
      <c r="I276" s="11">
        <v>1156</v>
      </c>
      <c r="J276" s="11">
        <v>1170</v>
      </c>
      <c r="K276" s="11">
        <v>14</v>
      </c>
      <c r="L276" s="11">
        <v>14</v>
      </c>
      <c r="M276" s="11">
        <v>16</v>
      </c>
      <c r="N276" s="11">
        <v>0</v>
      </c>
      <c r="O276" s="11"/>
      <c r="P276" s="11">
        <v>3</v>
      </c>
      <c r="Q276" s="11"/>
      <c r="R276" s="19"/>
      <c r="S276" s="10"/>
      <c r="T276" s="21"/>
      <c r="U276" s="12"/>
      <c r="V276" s="12">
        <f>SUM(L276:U276)</f>
        <v>33</v>
      </c>
      <c r="W276" s="10">
        <f ca="1">IFERROR(__xludf.DUMMYFUNCTION("IFERROR(
  SUM(
    FILTER(
      Reporte!$E:$E, 
      REGEXMATCH(Reporte!$A:$A, ""(?i)(TE PAGÓ|PAGASTE)""), 
      Reporte!$H:$H &amp; """" = AH276 &amp; """"
    )
  ), 
  0
)"),33)</f>
        <v>33</v>
      </c>
      <c r="X276" s="10">
        <f ca="1">IFERROR(__xludf.DUMMYFUNCTION("IFERROR(
  SUM(
    FILTER(
      Efectivo!$C:$C, 
      Efectivo!$D:$D &amp; """" = AH276 &amp; """"
    )
  ), 
  0
)"),0)</f>
        <v>0</v>
      </c>
      <c r="Y276" s="10" t="s">
        <v>34</v>
      </c>
      <c r="Z276" s="10"/>
      <c r="AA276" s="10" t="s">
        <v>35</v>
      </c>
      <c r="AB276" s="10"/>
      <c r="AC276" s="10"/>
      <c r="AD276" s="10" t="str">
        <f t="shared" si="27"/>
        <v/>
      </c>
      <c r="AE276" s="10" t="e">
        <f>IF(
   OR(
     AND(#REF!&gt;0, OR(Y276="C", Y276="c"), U276&lt;0),
     AND(#REF!&gt;0, Y276="")
   ),
   "CORTE",
   ""
)</f>
        <v>#REF!</v>
      </c>
      <c r="AF276" s="10">
        <f t="shared" si="1"/>
        <v>0</v>
      </c>
      <c r="AG276" s="10">
        <f t="shared" si="2"/>
        <v>33</v>
      </c>
      <c r="AH276" s="10" t="str">
        <f t="shared" si="28"/>
        <v>O</v>
      </c>
      <c r="AI276" s="10" t="str">
        <f t="shared" si="29"/>
        <v>O-27</v>
      </c>
    </row>
    <row r="277" spans="1:35" ht="15.75" customHeight="1" x14ac:dyDescent="0.35">
      <c r="A277" s="13">
        <v>276</v>
      </c>
      <c r="B277" s="14" t="s">
        <v>353</v>
      </c>
      <c r="C277" s="14" t="s">
        <v>327</v>
      </c>
      <c r="D277" s="14" t="s">
        <v>354</v>
      </c>
      <c r="E277" s="15"/>
      <c r="F277" s="15"/>
      <c r="G277" s="15"/>
      <c r="H277" s="16">
        <v>1</v>
      </c>
      <c r="I277" s="16">
        <v>177</v>
      </c>
      <c r="J277" s="16">
        <v>182</v>
      </c>
      <c r="K277" s="16">
        <v>5</v>
      </c>
      <c r="L277" s="16">
        <v>5</v>
      </c>
      <c r="M277" s="16"/>
      <c r="N277" s="16">
        <v>0</v>
      </c>
      <c r="O277" s="16"/>
      <c r="P277" s="16">
        <v>3</v>
      </c>
      <c r="Q277" s="16"/>
      <c r="R277" s="18"/>
      <c r="S277" s="15"/>
      <c r="T277" s="20"/>
      <c r="U277" s="17"/>
      <c r="V277" s="17">
        <f>SUM(L277:Q277)</f>
        <v>8</v>
      </c>
      <c r="W277" s="15">
        <f ca="1">IFERROR(__xludf.DUMMYFUNCTION("IFERROR(
  SUM(
    FILTER(
      Reporte!$E:$E, 
      REGEXMATCH(Reporte!$A:$A, ""(?i)(TE PAGÓ|PAGASTE)""), 
      Reporte!$H:$H &amp; """" = AH277 &amp; """"
    )
  ), 
  0
)"),0)</f>
        <v>0</v>
      </c>
      <c r="X277" s="15">
        <f ca="1">IFERROR(__xludf.DUMMYFUNCTION("IFERROR(
  SUM(
    FILTER(
      Efectivo!$C:$C, 
      Efectivo!$D:$D &amp; """" = AH277 &amp; """"
    )
  ), 
  0
)"),8)</f>
        <v>8</v>
      </c>
      <c r="Y277" s="15" t="s">
        <v>34</v>
      </c>
      <c r="Z277" s="15"/>
      <c r="AA277" s="15"/>
      <c r="AB277" s="15"/>
      <c r="AC277" s="15"/>
      <c r="AD277" s="15" t="str">
        <f t="shared" si="27"/>
        <v/>
      </c>
      <c r="AE277" s="15" t="e">
        <f>IF(
   OR(
     AND(#REF!&gt;0, OR(Y277="C", Y277="c"), U277&lt;0),
     AND(#REF!&gt;0, Y277="")
   ),
   "CORTE",
   ""
)</f>
        <v>#REF!</v>
      </c>
      <c r="AF277" s="15">
        <f t="shared" si="1"/>
        <v>8</v>
      </c>
      <c r="AG277" s="15">
        <f t="shared" si="2"/>
        <v>0</v>
      </c>
      <c r="AH277" s="15" t="str">
        <f t="shared" si="28"/>
        <v>O</v>
      </c>
      <c r="AI277" s="15" t="str">
        <f t="shared" si="29"/>
        <v>O-27B</v>
      </c>
    </row>
    <row r="278" spans="1:35" ht="15.75" customHeight="1" x14ac:dyDescent="0.35">
      <c r="A278" s="8">
        <v>277</v>
      </c>
      <c r="B278" s="9" t="s">
        <v>355</v>
      </c>
      <c r="C278" s="9" t="s">
        <v>327</v>
      </c>
      <c r="D278" s="8">
        <v>28</v>
      </c>
      <c r="E278" s="10"/>
      <c r="F278" s="10"/>
      <c r="G278" s="10"/>
      <c r="H278" s="11">
        <v>1</v>
      </c>
      <c r="I278" s="11">
        <v>0</v>
      </c>
      <c r="J278" s="11">
        <v>3</v>
      </c>
      <c r="K278" s="11">
        <v>3</v>
      </c>
      <c r="L278" s="11">
        <v>5</v>
      </c>
      <c r="M278" s="11"/>
      <c r="N278" s="11">
        <v>0</v>
      </c>
      <c r="O278" s="11">
        <v>75</v>
      </c>
      <c r="P278" s="11">
        <v>3</v>
      </c>
      <c r="Q278" s="11"/>
      <c r="R278" s="19"/>
      <c r="S278" s="10"/>
      <c r="T278" s="21"/>
      <c r="U278" s="12"/>
      <c r="V278" s="12">
        <f>SUM(L278:U278)</f>
        <v>83</v>
      </c>
      <c r="W278" s="10">
        <f ca="1">IFERROR(__xludf.DUMMYFUNCTION("IFERROR(
  SUM(
    FILTER(
      Reporte!$E:$E, 
      REGEXMATCH(Reporte!$A:$A, ""(?i)(TE PAGÓ|PAGASTE)""), 
      Reporte!$H:$H &amp; """" = AH278 &amp; """"
    )
  ), 
  0
)"),0)</f>
        <v>0</v>
      </c>
      <c r="X278" s="10">
        <f ca="1">IFERROR(__xludf.DUMMYFUNCTION("IFERROR(
  SUM(
    FILTER(
      Efectivo!$C:$C, 
      Efectivo!$D:$D &amp; """" = AH278 &amp; """"
    )
  ), 
  0
)"),83)</f>
        <v>83</v>
      </c>
      <c r="Y278" s="10" t="s">
        <v>34</v>
      </c>
      <c r="Z278" s="10"/>
      <c r="AA278" s="10"/>
      <c r="AB278" s="10"/>
      <c r="AC278" s="10"/>
      <c r="AD278" s="10" t="str">
        <f t="shared" si="27"/>
        <v/>
      </c>
      <c r="AE278" s="10" t="e">
        <f>IF(
   OR(
     AND(#REF!&gt;0, OR(Y278="C", Y278="c"), U278&lt;0),
     AND(#REF!&gt;0, Y278="")
   ),
   "CORTE",
   ""
)</f>
        <v>#REF!</v>
      </c>
      <c r="AF278" s="10">
        <f t="shared" si="1"/>
        <v>83</v>
      </c>
      <c r="AG278" s="10">
        <f t="shared" si="2"/>
        <v>0</v>
      </c>
      <c r="AH278" s="10" t="str">
        <f t="shared" si="28"/>
        <v>O</v>
      </c>
      <c r="AI278" s="10" t="str">
        <f t="shared" si="29"/>
        <v>O-28</v>
      </c>
    </row>
    <row r="279" spans="1:35" ht="15.75" customHeight="1" x14ac:dyDescent="0.35">
      <c r="A279" s="13">
        <v>278</v>
      </c>
      <c r="B279" s="14" t="s">
        <v>356</v>
      </c>
      <c r="C279" s="14" t="s">
        <v>357</v>
      </c>
      <c r="D279" s="13">
        <v>1</v>
      </c>
      <c r="E279" s="15"/>
      <c r="F279" s="15"/>
      <c r="G279" s="15"/>
      <c r="H279" s="16">
        <v>1</v>
      </c>
      <c r="I279" s="16">
        <v>73</v>
      </c>
      <c r="J279" s="16">
        <v>84</v>
      </c>
      <c r="K279" s="16">
        <v>11</v>
      </c>
      <c r="L279" s="16">
        <v>11</v>
      </c>
      <c r="M279" s="16"/>
      <c r="N279" s="16">
        <v>0</v>
      </c>
      <c r="O279" s="16"/>
      <c r="P279" s="16">
        <v>3</v>
      </c>
      <c r="Q279" s="16"/>
      <c r="R279" s="18"/>
      <c r="S279" s="15"/>
      <c r="T279" s="20"/>
      <c r="U279" s="17"/>
      <c r="V279" s="17">
        <f>SUM(L279:Q279)</f>
        <v>14</v>
      </c>
      <c r="W279" s="15">
        <f ca="1">IFERROR(__xludf.DUMMYFUNCTION("IFERROR(
  SUM(
    FILTER(
      Reporte!$E:$E, 
      REGEXMATCH(Reporte!$A:$A, ""(?i)(TE PAGÓ|PAGASTE)""), 
      Reporte!$H:$H &amp; """" = AH279 &amp; """"
    )
  ), 
  0
)"),0)</f>
        <v>0</v>
      </c>
      <c r="X279" s="15">
        <f ca="1">IFERROR(__xludf.DUMMYFUNCTION("IFERROR(
  SUM(
    FILTER(
      Efectivo!$C:$C, 
      Efectivo!$D:$D &amp; """" = AH279 &amp; """"
    )
  ), 
  0
)"),14)</f>
        <v>14</v>
      </c>
      <c r="Y279" s="15" t="s">
        <v>34</v>
      </c>
      <c r="Z279" s="15"/>
      <c r="AA279" s="15"/>
      <c r="AB279" s="15"/>
      <c r="AC279" s="15"/>
      <c r="AD279" s="15" t="str">
        <f t="shared" si="27"/>
        <v/>
      </c>
      <c r="AE279" s="15" t="e">
        <f>IF(
   OR(
     AND(#REF!&gt;0, OR(Y279="C", Y279="c"), U279&lt;0),
     AND(#REF!&gt;0, Y279="")
   ),
   "CORTE",
   ""
)</f>
        <v>#REF!</v>
      </c>
      <c r="AF279" s="15">
        <f t="shared" si="1"/>
        <v>14</v>
      </c>
      <c r="AG279" s="15">
        <f t="shared" si="2"/>
        <v>0</v>
      </c>
      <c r="AH279" s="15" t="str">
        <f t="shared" si="28"/>
        <v>P</v>
      </c>
      <c r="AI279" s="15" t="str">
        <f t="shared" si="29"/>
        <v>P-1</v>
      </c>
    </row>
    <row r="280" spans="1:35" ht="15.75" customHeight="1" x14ac:dyDescent="0.35">
      <c r="A280" s="8">
        <v>279</v>
      </c>
      <c r="B280" s="9" t="s">
        <v>358</v>
      </c>
      <c r="C280" s="9" t="s">
        <v>357</v>
      </c>
      <c r="D280" s="8">
        <v>2</v>
      </c>
      <c r="E280" s="10"/>
      <c r="F280" s="10"/>
      <c r="G280" s="10"/>
      <c r="H280" s="11">
        <v>1</v>
      </c>
      <c r="I280" s="11">
        <v>588</v>
      </c>
      <c r="J280" s="11">
        <v>601</v>
      </c>
      <c r="K280" s="11">
        <v>13</v>
      </c>
      <c r="L280" s="11">
        <v>13</v>
      </c>
      <c r="M280" s="11"/>
      <c r="N280" s="11">
        <v>0</v>
      </c>
      <c r="O280" s="11"/>
      <c r="P280" s="11">
        <v>3</v>
      </c>
      <c r="Q280" s="11"/>
      <c r="R280" s="19"/>
      <c r="S280" s="10"/>
      <c r="T280" s="21"/>
      <c r="U280" s="12"/>
      <c r="V280" s="12">
        <f>SUM(L280:Q280)</f>
        <v>16</v>
      </c>
      <c r="W280" s="10">
        <f ca="1">IFERROR(__xludf.DUMMYFUNCTION("IFERROR(
  SUM(
    FILTER(
      Reporte!$E:$E, 
      REGEXMATCH(Reporte!$A:$A, ""(?i)(TE PAGÓ|PAGASTE)""), 
      Reporte!$H:$H &amp; """" = AH280 &amp; """"
    )
  ), 
  0
)"),0)</f>
        <v>0</v>
      </c>
      <c r="X280" s="10">
        <f ca="1">IFERROR(__xludf.DUMMYFUNCTION("IFERROR(
  SUM(
    FILTER(
      Efectivo!$C:$C, 
      Efectivo!$D:$D &amp; """" = AH280 &amp; """"
    )
  ), 
  0
)"),16)</f>
        <v>16</v>
      </c>
      <c r="Y280" s="10" t="s">
        <v>34</v>
      </c>
      <c r="Z280" s="10"/>
      <c r="AA280" s="10"/>
      <c r="AB280" s="10"/>
      <c r="AC280" s="10"/>
      <c r="AD280" s="10" t="str">
        <f t="shared" si="27"/>
        <v/>
      </c>
      <c r="AE280" s="10" t="e">
        <f>IF(
   OR(
     AND(#REF!&gt;0, OR(Y280="C", Y280="c"), U280&lt;0),
     AND(#REF!&gt;0, Y280="")
   ),
   "CORTE",
   ""
)</f>
        <v>#REF!</v>
      </c>
      <c r="AF280" s="10">
        <f t="shared" si="1"/>
        <v>16</v>
      </c>
      <c r="AG280" s="10">
        <f t="shared" si="2"/>
        <v>0</v>
      </c>
      <c r="AH280" s="10" t="str">
        <f t="shared" si="28"/>
        <v>P</v>
      </c>
      <c r="AI280" s="10" t="str">
        <f t="shared" si="29"/>
        <v>P-2</v>
      </c>
    </row>
    <row r="281" spans="1:35" ht="15.75" customHeight="1" x14ac:dyDescent="0.35">
      <c r="A281" s="13">
        <v>280</v>
      </c>
      <c r="B281" s="14" t="s">
        <v>359</v>
      </c>
      <c r="C281" s="14" t="s">
        <v>357</v>
      </c>
      <c r="D281" s="13">
        <v>3</v>
      </c>
      <c r="E281" s="15"/>
      <c r="F281" s="15"/>
      <c r="G281" s="15"/>
      <c r="H281" s="16">
        <v>1</v>
      </c>
      <c r="I281" s="16">
        <v>3</v>
      </c>
      <c r="J281" s="16">
        <v>19</v>
      </c>
      <c r="K281" s="16">
        <v>16</v>
      </c>
      <c r="L281" s="16">
        <v>16</v>
      </c>
      <c r="M281" s="16"/>
      <c r="N281" s="16">
        <v>0</v>
      </c>
      <c r="O281" s="16">
        <v>25</v>
      </c>
      <c r="P281" s="16">
        <v>3</v>
      </c>
      <c r="Q281" s="16"/>
      <c r="R281" s="18"/>
      <c r="S281" s="15"/>
      <c r="T281" s="20"/>
      <c r="U281" s="17"/>
      <c r="V281" s="17">
        <f>SUM(L281:Q281)</f>
        <v>44</v>
      </c>
      <c r="W281" s="15">
        <f ca="1">IFERROR(__xludf.DUMMYFUNCTION("IFERROR(
  SUM(
    FILTER(
      Reporte!$E:$E, 
      REGEXMATCH(Reporte!$A:$A, ""(?i)(TE PAGÓ|PAGASTE)""), 
      Reporte!$H:$H &amp; """" = AH281 &amp; """"
    )
  ), 
  0
)"),0)</f>
        <v>0</v>
      </c>
      <c r="X281" s="15">
        <f ca="1">IFERROR(__xludf.DUMMYFUNCTION("IFERROR(
  SUM(
    FILTER(
      Efectivo!$C:$C, 
      Efectivo!$D:$D &amp; """" = AH281 &amp; """"
    )
  ), 
  0
)"),44)</f>
        <v>44</v>
      </c>
      <c r="Y281" s="15" t="s">
        <v>34</v>
      </c>
      <c r="Z281" s="15"/>
      <c r="AA281" s="15"/>
      <c r="AB281" s="15"/>
      <c r="AC281" s="15"/>
      <c r="AD281" s="15" t="str">
        <f t="shared" si="27"/>
        <v/>
      </c>
      <c r="AE281" s="15" t="e">
        <f>IF(
   OR(
     AND(#REF!&gt;0, OR(Y281="C", Y281="c"), U281&lt;0),
     AND(#REF!&gt;0, Y281="")
   ),
   "CORTE",
   ""
)</f>
        <v>#REF!</v>
      </c>
      <c r="AF281" s="15">
        <f t="shared" si="1"/>
        <v>44</v>
      </c>
      <c r="AG281" s="15">
        <f t="shared" si="2"/>
        <v>0</v>
      </c>
      <c r="AH281" s="15" t="str">
        <f t="shared" si="28"/>
        <v>P</v>
      </c>
      <c r="AI281" s="15" t="str">
        <f t="shared" si="29"/>
        <v>P-3</v>
      </c>
    </row>
    <row r="282" spans="1:35" ht="15.75" customHeight="1" x14ac:dyDescent="0.35">
      <c r="A282" s="8">
        <v>281</v>
      </c>
      <c r="B282" s="9" t="s">
        <v>360</v>
      </c>
      <c r="C282" s="9" t="s">
        <v>357</v>
      </c>
      <c r="D282" s="8">
        <v>4</v>
      </c>
      <c r="E282" s="10"/>
      <c r="F282" s="10"/>
      <c r="G282" s="10"/>
      <c r="H282" s="11">
        <v>1</v>
      </c>
      <c r="I282" s="11">
        <v>305</v>
      </c>
      <c r="J282" s="11">
        <v>346</v>
      </c>
      <c r="K282" s="11">
        <v>41</v>
      </c>
      <c r="L282" s="11">
        <v>41</v>
      </c>
      <c r="M282" s="11"/>
      <c r="N282" s="11">
        <v>0</v>
      </c>
      <c r="O282" s="11"/>
      <c r="P282" s="11">
        <v>3</v>
      </c>
      <c r="Q282" s="11"/>
      <c r="R282" s="19"/>
      <c r="S282" s="10"/>
      <c r="T282" s="21"/>
      <c r="U282" s="12"/>
      <c r="V282" s="12">
        <f>SUM(L282:U282)</f>
        <v>44</v>
      </c>
      <c r="W282" s="10">
        <f ca="1">IFERROR(__xludf.DUMMYFUNCTION("IFERROR(
  SUM(
    FILTER(
      Reporte!$E:$E, 
      REGEXMATCH(Reporte!$A:$A, ""(?i)(TE PAGÓ|PAGASTE)""), 
      Reporte!$H:$H &amp; """" = AH282 &amp; """"
    )
  ), 
  0
)"),44)</f>
        <v>44</v>
      </c>
      <c r="X282" s="10">
        <f ca="1">IFERROR(__xludf.DUMMYFUNCTION("IFERROR(
  SUM(
    FILTER(
      Efectivo!$C:$C, 
      Efectivo!$D:$D &amp; """" = AH282 &amp; """"
    )
  ), 
  0
)"),0)</f>
        <v>0</v>
      </c>
      <c r="Y282" s="10" t="s">
        <v>34</v>
      </c>
      <c r="Z282" s="10"/>
      <c r="AA282" s="10" t="s">
        <v>35</v>
      </c>
      <c r="AB282" s="10"/>
      <c r="AC282" s="10"/>
      <c r="AD282" s="10" t="str">
        <f t="shared" si="27"/>
        <v/>
      </c>
      <c r="AE282" s="10" t="e">
        <f>IF(
   OR(
     AND(#REF!&gt;0, OR(Y282="C", Y282="c"), U282&lt;0),
     AND(#REF!&gt;0, Y282="")
   ),
   "CORTE",
   ""
)</f>
        <v>#REF!</v>
      </c>
      <c r="AF282" s="10">
        <f t="shared" si="1"/>
        <v>0</v>
      </c>
      <c r="AG282" s="10">
        <f t="shared" si="2"/>
        <v>44</v>
      </c>
      <c r="AH282" s="10" t="str">
        <f t="shared" si="28"/>
        <v>P</v>
      </c>
      <c r="AI282" s="10" t="str">
        <f t="shared" si="29"/>
        <v>P-4</v>
      </c>
    </row>
    <row r="283" spans="1:35" ht="15.75" customHeight="1" x14ac:dyDescent="0.35">
      <c r="A283" s="13">
        <v>282</v>
      </c>
      <c r="B283" s="14" t="s">
        <v>361</v>
      </c>
      <c r="C283" s="14" t="s">
        <v>357</v>
      </c>
      <c r="D283" s="13">
        <v>5</v>
      </c>
      <c r="E283" s="15"/>
      <c r="F283" s="15"/>
      <c r="G283" s="15"/>
      <c r="H283" s="16">
        <v>1</v>
      </c>
      <c r="I283" s="16">
        <v>159</v>
      </c>
      <c r="J283" s="16">
        <v>167</v>
      </c>
      <c r="K283" s="16">
        <v>8</v>
      </c>
      <c r="L283" s="16">
        <v>8</v>
      </c>
      <c r="M283" s="16"/>
      <c r="N283" s="16">
        <v>0</v>
      </c>
      <c r="O283" s="16"/>
      <c r="P283" s="16">
        <v>3</v>
      </c>
      <c r="Q283" s="16"/>
      <c r="R283" s="18"/>
      <c r="S283" s="15"/>
      <c r="T283" s="20"/>
      <c r="U283" s="17"/>
      <c r="V283" s="17">
        <f>SUM(L283:U283)</f>
        <v>11</v>
      </c>
      <c r="W283" s="15">
        <f ca="1">IFERROR(__xludf.DUMMYFUNCTION("IFERROR(
  SUM(
    FILTER(
      Reporte!$E:$E, 
      REGEXMATCH(Reporte!$A:$A, ""(?i)(TE PAGÓ|PAGASTE)""), 
      Reporte!$H:$H &amp; """" = AH283 &amp; """"
    )
  ), 
  0
)"),11)</f>
        <v>11</v>
      </c>
      <c r="X283" s="15">
        <f ca="1">IFERROR(__xludf.DUMMYFUNCTION("IFERROR(
  SUM(
    FILTER(
      Efectivo!$C:$C, 
      Efectivo!$D:$D &amp; """" = AH283 &amp; """"
    )
  ), 
  0
)"),0)</f>
        <v>0</v>
      </c>
      <c r="Y283" s="15" t="s">
        <v>34</v>
      </c>
      <c r="Z283" s="15"/>
      <c r="AA283" s="15" t="s">
        <v>35</v>
      </c>
      <c r="AB283" s="15"/>
      <c r="AC283" s="15"/>
      <c r="AD283" s="15" t="str">
        <f t="shared" si="27"/>
        <v/>
      </c>
      <c r="AE283" s="15" t="e">
        <f>IF(
   OR(
     AND(#REF!&gt;0, OR(Y283="C", Y283="c"), U283&lt;0),
     AND(#REF!&gt;0, Y283="")
   ),
   "CORTE",
   ""
)</f>
        <v>#REF!</v>
      </c>
      <c r="AF283" s="15">
        <f t="shared" si="1"/>
        <v>0</v>
      </c>
      <c r="AG283" s="15">
        <f t="shared" si="2"/>
        <v>11</v>
      </c>
      <c r="AH283" s="15" t="str">
        <f t="shared" si="28"/>
        <v>P</v>
      </c>
      <c r="AI283" s="15" t="str">
        <f t="shared" si="29"/>
        <v>P-5</v>
      </c>
    </row>
    <row r="284" spans="1:35" ht="15.75" customHeight="1" x14ac:dyDescent="0.35">
      <c r="A284" s="8">
        <v>283</v>
      </c>
      <c r="B284" s="9" t="s">
        <v>362</v>
      </c>
      <c r="C284" s="9" t="s">
        <v>357</v>
      </c>
      <c r="D284" s="8">
        <v>7</v>
      </c>
      <c r="E284" s="10"/>
      <c r="F284" s="10"/>
      <c r="G284" s="10"/>
      <c r="H284" s="11">
        <v>1</v>
      </c>
      <c r="I284" s="11">
        <v>1305</v>
      </c>
      <c r="J284" s="11">
        <v>1325</v>
      </c>
      <c r="K284" s="11">
        <v>20</v>
      </c>
      <c r="L284" s="11">
        <v>20</v>
      </c>
      <c r="M284" s="11"/>
      <c r="N284" s="11">
        <v>0</v>
      </c>
      <c r="O284" s="11"/>
      <c r="P284" s="11">
        <v>3</v>
      </c>
      <c r="Q284" s="11"/>
      <c r="R284" s="19"/>
      <c r="S284" s="10"/>
      <c r="T284" s="21"/>
      <c r="U284" s="12"/>
      <c r="V284" s="12">
        <f t="shared" ref="V284:V300" si="31">SUM(L284:Q284)</f>
        <v>23</v>
      </c>
      <c r="W284" s="10">
        <f ca="1">IFERROR(__xludf.DUMMYFUNCTION("IFERROR(
  SUM(
    FILTER(
      Reporte!$E:$E, 
      REGEXMATCH(Reporte!$A:$A, ""(?i)(TE PAGÓ|PAGASTE)""), 
      Reporte!$H:$H &amp; """" = AH284 &amp; """"
    )
  ), 
  0
)"),23)</f>
        <v>23</v>
      </c>
      <c r="X284" s="10">
        <f ca="1">IFERROR(__xludf.DUMMYFUNCTION("IFERROR(
  SUM(
    FILTER(
      Efectivo!$C:$C, 
      Efectivo!$D:$D &amp; """" = AH284 &amp; """"
    )
  ), 
  0
)"),0)</f>
        <v>0</v>
      </c>
      <c r="Y284" s="10" t="s">
        <v>34</v>
      </c>
      <c r="Z284" s="10"/>
      <c r="AA284" s="10" t="s">
        <v>35</v>
      </c>
      <c r="AB284" s="10"/>
      <c r="AC284" s="10"/>
      <c r="AD284" s="10" t="str">
        <f t="shared" si="27"/>
        <v/>
      </c>
      <c r="AE284" s="10" t="e">
        <f>IF(
   OR(
     AND(#REF!&gt;0, OR(Y284="C", Y284="c"), U284&lt;0),
     AND(#REF!&gt;0, Y284="")
   ),
   "CORTE",
   ""
)</f>
        <v>#REF!</v>
      </c>
      <c r="AF284" s="10">
        <f t="shared" si="1"/>
        <v>0</v>
      </c>
      <c r="AG284" s="10">
        <f t="shared" si="2"/>
        <v>23</v>
      </c>
      <c r="AH284" s="10" t="str">
        <f t="shared" si="28"/>
        <v>P</v>
      </c>
      <c r="AI284" s="10" t="str">
        <f t="shared" si="29"/>
        <v>P-7</v>
      </c>
    </row>
    <row r="285" spans="1:35" ht="15.75" customHeight="1" x14ac:dyDescent="0.35">
      <c r="A285" s="13">
        <v>284</v>
      </c>
      <c r="B285" s="14" t="s">
        <v>363</v>
      </c>
      <c r="C285" s="14" t="s">
        <v>357</v>
      </c>
      <c r="D285" s="13">
        <v>8</v>
      </c>
      <c r="E285" s="15"/>
      <c r="F285" s="15"/>
      <c r="G285" s="15"/>
      <c r="H285" s="16">
        <v>1</v>
      </c>
      <c r="I285" s="16">
        <v>4</v>
      </c>
      <c r="J285" s="16">
        <v>17</v>
      </c>
      <c r="K285" s="16">
        <v>13</v>
      </c>
      <c r="L285" s="16">
        <v>13</v>
      </c>
      <c r="M285" s="16"/>
      <c r="N285" s="16">
        <v>0</v>
      </c>
      <c r="O285" s="16">
        <v>25</v>
      </c>
      <c r="P285" s="16">
        <v>3</v>
      </c>
      <c r="Q285" s="16"/>
      <c r="R285" s="18"/>
      <c r="S285" s="15"/>
      <c r="T285" s="20"/>
      <c r="U285" s="17"/>
      <c r="V285" s="17">
        <f t="shared" si="31"/>
        <v>41</v>
      </c>
      <c r="W285" s="15">
        <f ca="1">IFERROR(__xludf.DUMMYFUNCTION("IFERROR(
  SUM(
    FILTER(
      Reporte!$E:$E, 
      REGEXMATCH(Reporte!$A:$A, ""(?i)(TE PAGÓ|PAGASTE)""), 
      Reporte!$H:$H &amp; """" = AH285 &amp; """"
    )
  ), 
  0
)"),0)</f>
        <v>0</v>
      </c>
      <c r="X285" s="15">
        <f ca="1">IFERROR(__xludf.DUMMYFUNCTION("IFERROR(
  SUM(
    FILTER(
      Efectivo!$C:$C, 
      Efectivo!$D:$D &amp; """" = AH285 &amp; """"
    )
  ), 
  0
)"),0)</f>
        <v>0</v>
      </c>
      <c r="Y285" s="15"/>
      <c r="Z285" s="15"/>
      <c r="AA285" s="15"/>
      <c r="AB285" s="15"/>
      <c r="AC285" s="15"/>
      <c r="AD285" s="15" t="str">
        <f t="shared" si="27"/>
        <v/>
      </c>
      <c r="AE285" s="15" t="e">
        <f>IF(
   OR(
     AND(#REF!&gt;0, OR(Y285="C", Y285="c"), U285&lt;0),
     AND(#REF!&gt;0, Y285="")
   ),
   "CORTE",
   ""
)</f>
        <v>#REF!</v>
      </c>
      <c r="AF285" s="15">
        <f t="shared" si="1"/>
        <v>0</v>
      </c>
      <c r="AG285" s="15">
        <f t="shared" si="2"/>
        <v>0</v>
      </c>
      <c r="AH285" s="15" t="str">
        <f t="shared" si="28"/>
        <v>P</v>
      </c>
      <c r="AI285" s="15" t="str">
        <f t="shared" si="29"/>
        <v>P-8</v>
      </c>
    </row>
    <row r="286" spans="1:35" ht="15.75" customHeight="1" x14ac:dyDescent="0.35">
      <c r="A286" s="8">
        <v>285</v>
      </c>
      <c r="B286" s="9" t="s">
        <v>364</v>
      </c>
      <c r="C286" s="9" t="s">
        <v>357</v>
      </c>
      <c r="D286" s="8">
        <v>10</v>
      </c>
      <c r="E286" s="10"/>
      <c r="F286" s="10"/>
      <c r="G286" s="10"/>
      <c r="H286" s="11">
        <v>1</v>
      </c>
      <c r="I286" s="11">
        <v>726</v>
      </c>
      <c r="J286" s="11">
        <v>732</v>
      </c>
      <c r="K286" s="11">
        <v>6</v>
      </c>
      <c r="L286" s="11">
        <v>6</v>
      </c>
      <c r="M286" s="11"/>
      <c r="N286" s="11">
        <v>0</v>
      </c>
      <c r="O286" s="11"/>
      <c r="P286" s="11">
        <v>3</v>
      </c>
      <c r="Q286" s="11"/>
      <c r="R286" s="19"/>
      <c r="S286" s="10"/>
      <c r="T286" s="21"/>
      <c r="U286" s="12"/>
      <c r="V286" s="12">
        <f t="shared" si="31"/>
        <v>9</v>
      </c>
      <c r="W286" s="10">
        <f ca="1">IFERROR(__xludf.DUMMYFUNCTION("IFERROR(
  SUM(
    FILTER(
      Reporte!$E:$E, 
      REGEXMATCH(Reporte!$A:$A, ""(?i)(TE PAGÓ|PAGASTE)""), 
      Reporte!$H:$H &amp; """" = AH286 &amp; """"
    )
  ), 
  0
)"),9)</f>
        <v>9</v>
      </c>
      <c r="X286" s="10">
        <f ca="1">IFERROR(__xludf.DUMMYFUNCTION("IFERROR(
  SUM(
    FILTER(
      Efectivo!$C:$C, 
      Efectivo!$D:$D &amp; """" = AH286 &amp; """"
    )
  ), 
  0
)"),0)</f>
        <v>0</v>
      </c>
      <c r="Y286" s="10" t="s">
        <v>34</v>
      </c>
      <c r="Z286" s="10"/>
      <c r="AA286" s="10" t="s">
        <v>35</v>
      </c>
      <c r="AB286" s="10"/>
      <c r="AC286" s="10"/>
      <c r="AD286" s="10" t="str">
        <f t="shared" si="27"/>
        <v/>
      </c>
      <c r="AE286" s="10" t="e">
        <f>IF(
   OR(
     AND(#REF!&gt;0, OR(Y286="C", Y286="c"), U286&lt;0),
     AND(#REF!&gt;0, Y286="")
   ),
   "CORTE",
   ""
)</f>
        <v>#REF!</v>
      </c>
      <c r="AF286" s="10">
        <f t="shared" si="1"/>
        <v>0</v>
      </c>
      <c r="AG286" s="10">
        <f t="shared" si="2"/>
        <v>9</v>
      </c>
      <c r="AH286" s="10" t="str">
        <f t="shared" si="28"/>
        <v>P</v>
      </c>
      <c r="AI286" s="10" t="str">
        <f t="shared" si="29"/>
        <v>P-10</v>
      </c>
    </row>
    <row r="287" spans="1:35" ht="15.75" customHeight="1" x14ac:dyDescent="0.35">
      <c r="A287" s="13">
        <v>286</v>
      </c>
      <c r="B287" s="14" t="s">
        <v>365</v>
      </c>
      <c r="C287" s="14" t="s">
        <v>357</v>
      </c>
      <c r="D287" s="13">
        <v>11</v>
      </c>
      <c r="E287" s="15"/>
      <c r="F287" s="15"/>
      <c r="G287" s="15"/>
      <c r="H287" s="16">
        <v>1</v>
      </c>
      <c r="I287" s="16">
        <v>2</v>
      </c>
      <c r="J287" s="16">
        <v>8</v>
      </c>
      <c r="K287" s="16">
        <v>6</v>
      </c>
      <c r="L287" s="16">
        <v>6</v>
      </c>
      <c r="M287" s="18"/>
      <c r="N287" s="16">
        <v>0</v>
      </c>
      <c r="O287" s="16"/>
      <c r="P287" s="16">
        <v>3</v>
      </c>
      <c r="Q287" s="16"/>
      <c r="R287" s="18"/>
      <c r="S287" s="15"/>
      <c r="T287" s="20"/>
      <c r="U287" s="17"/>
      <c r="V287" s="17">
        <f t="shared" si="31"/>
        <v>9</v>
      </c>
      <c r="W287" s="15">
        <f ca="1">IFERROR(__xludf.DUMMYFUNCTION("IFERROR(
  SUM(
    FILTER(
      Reporte!$E:$E, 
      REGEXMATCH(Reporte!$A:$A, ""(?i)(TE PAGÓ|PAGASTE)""), 
      Reporte!$H:$H &amp; """" = AH287 &amp; """"
    )
  ), 
  0
)"),0)</f>
        <v>0</v>
      </c>
      <c r="X287" s="15">
        <f ca="1">IFERROR(__xludf.DUMMYFUNCTION("IFERROR(
  SUM(
    FILTER(
      Efectivo!$C:$C, 
      Efectivo!$D:$D &amp; """" = AH287 &amp; """"
    )
  ), 
  0
)"),0)</f>
        <v>0</v>
      </c>
      <c r="Y287" s="15"/>
      <c r="Z287" s="15"/>
      <c r="AA287" s="15"/>
      <c r="AB287" s="15"/>
      <c r="AC287" s="15"/>
      <c r="AD287" s="15" t="str">
        <f t="shared" si="27"/>
        <v/>
      </c>
      <c r="AE287" s="15" t="e">
        <f>IF(
   OR(
     AND(#REF!&gt;0, OR(Y287="C", Y287="c"), U287&lt;0),
     AND(#REF!&gt;0, Y287="")
   ),
   "CORTE",
   ""
)</f>
        <v>#REF!</v>
      </c>
      <c r="AF287" s="15">
        <f t="shared" si="1"/>
        <v>0</v>
      </c>
      <c r="AG287" s="15">
        <f t="shared" si="2"/>
        <v>0</v>
      </c>
      <c r="AH287" s="15" t="str">
        <f t="shared" si="28"/>
        <v>P</v>
      </c>
      <c r="AI287" s="15" t="str">
        <f t="shared" si="29"/>
        <v>P-11</v>
      </c>
    </row>
    <row r="288" spans="1:35" ht="15.75" customHeight="1" x14ac:dyDescent="0.35">
      <c r="A288" s="8">
        <v>287</v>
      </c>
      <c r="B288" s="9" t="s">
        <v>366</v>
      </c>
      <c r="C288" s="9" t="s">
        <v>357</v>
      </c>
      <c r="D288" s="9" t="s">
        <v>367</v>
      </c>
      <c r="E288" s="10"/>
      <c r="F288" s="10"/>
      <c r="G288" s="10"/>
      <c r="H288" s="11">
        <v>1</v>
      </c>
      <c r="I288" s="11">
        <v>257</v>
      </c>
      <c r="J288" s="11">
        <v>264</v>
      </c>
      <c r="K288" s="11">
        <v>7</v>
      </c>
      <c r="L288" s="11">
        <v>7</v>
      </c>
      <c r="M288" s="11"/>
      <c r="N288" s="11">
        <v>0</v>
      </c>
      <c r="O288" s="11"/>
      <c r="P288" s="11">
        <v>3</v>
      </c>
      <c r="Q288" s="11"/>
      <c r="R288" s="19"/>
      <c r="S288" s="10"/>
      <c r="T288" s="21"/>
      <c r="U288" s="12"/>
      <c r="V288" s="12">
        <f t="shared" si="31"/>
        <v>10</v>
      </c>
      <c r="W288" s="10">
        <f ca="1">IFERROR(__xludf.DUMMYFUNCTION("IFERROR(
  SUM(
    FILTER(
      Reporte!$E:$E, 
      REGEXMATCH(Reporte!$A:$A, ""(?i)(TE PAGÓ|PAGASTE)""), 
      Reporte!$H:$H &amp; """" = AH288 &amp; """"
    )
  ), 
  0
)"),10)</f>
        <v>10</v>
      </c>
      <c r="X288" s="10">
        <f ca="1">IFERROR(__xludf.DUMMYFUNCTION("IFERROR(
  SUM(
    FILTER(
      Efectivo!$C:$C, 
      Efectivo!$D:$D &amp; """" = AH288 &amp; """"
    )
  ), 
  0
)"),0)</f>
        <v>0</v>
      </c>
      <c r="Y288" s="10" t="s">
        <v>34</v>
      </c>
      <c r="Z288" s="10"/>
      <c r="AA288" s="10" t="s">
        <v>35</v>
      </c>
      <c r="AB288" s="10"/>
      <c r="AC288" s="10"/>
      <c r="AD288" s="10" t="str">
        <f t="shared" si="27"/>
        <v/>
      </c>
      <c r="AE288" s="10" t="e">
        <f>IF(
   OR(
     AND(#REF!&gt;0, OR(Y288="C", Y288="c"), U288&lt;0),
     AND(#REF!&gt;0, Y288="")
   ),
   "CORTE",
   ""
)</f>
        <v>#REF!</v>
      </c>
      <c r="AF288" s="10">
        <f t="shared" si="1"/>
        <v>0</v>
      </c>
      <c r="AG288" s="10">
        <f t="shared" si="2"/>
        <v>10</v>
      </c>
      <c r="AH288" s="10" t="str">
        <f t="shared" si="28"/>
        <v>P</v>
      </c>
      <c r="AI288" s="10" t="str">
        <f t="shared" si="29"/>
        <v>P-11A</v>
      </c>
    </row>
    <row r="289" spans="1:35" ht="15.75" customHeight="1" x14ac:dyDescent="0.35">
      <c r="A289" s="13">
        <v>288</v>
      </c>
      <c r="B289" s="14" t="s">
        <v>368</v>
      </c>
      <c r="C289" s="14" t="s">
        <v>357</v>
      </c>
      <c r="D289" s="13">
        <v>12</v>
      </c>
      <c r="E289" s="15"/>
      <c r="F289" s="15"/>
      <c r="G289" s="15"/>
      <c r="H289" s="16">
        <v>1</v>
      </c>
      <c r="I289" s="16">
        <v>3</v>
      </c>
      <c r="J289" s="16">
        <v>24</v>
      </c>
      <c r="K289" s="16">
        <v>21</v>
      </c>
      <c r="L289" s="16">
        <v>21</v>
      </c>
      <c r="M289" s="16">
        <v>8</v>
      </c>
      <c r="N289" s="16">
        <v>20</v>
      </c>
      <c r="O289" s="16">
        <v>25</v>
      </c>
      <c r="P289" s="16">
        <v>3</v>
      </c>
      <c r="Q289" s="16"/>
      <c r="R289" s="18"/>
      <c r="S289" s="15"/>
      <c r="T289" s="20"/>
      <c r="U289" s="17"/>
      <c r="V289" s="17">
        <f t="shared" si="31"/>
        <v>77</v>
      </c>
      <c r="W289" s="15">
        <f ca="1">IFERROR(__xludf.DUMMYFUNCTION("IFERROR(
  SUM(
    FILTER(
      Reporte!$E:$E, 
      REGEXMATCH(Reporte!$A:$A, ""(?i)(TE PAGÓ|PAGASTE)""), 
      Reporte!$H:$H &amp; """" = AH289 &amp; """"
    )
  ), 
  0
)"),77)</f>
        <v>77</v>
      </c>
      <c r="X289" s="15">
        <f ca="1">IFERROR(__xludf.DUMMYFUNCTION("IFERROR(
  SUM(
    FILTER(
      Efectivo!$C:$C, 
      Efectivo!$D:$D &amp; """" = AH289 &amp; """"
    )
  ), 
  0
)"),0)</f>
        <v>0</v>
      </c>
      <c r="Y289" s="15" t="s">
        <v>34</v>
      </c>
      <c r="Z289" s="15"/>
      <c r="AA289" s="15" t="s">
        <v>35</v>
      </c>
      <c r="AB289" s="15"/>
      <c r="AC289" s="15"/>
      <c r="AD289" s="15" t="str">
        <f t="shared" si="27"/>
        <v/>
      </c>
      <c r="AE289" s="15" t="e">
        <f>IF(
   OR(
     AND(#REF!&gt;0, OR(Y289="C", Y289="c"), U289&lt;0),
     AND(#REF!&gt;0, Y289="")
   ),
   "CORTE",
   ""
)</f>
        <v>#REF!</v>
      </c>
      <c r="AF289" s="15">
        <f t="shared" si="1"/>
        <v>0</v>
      </c>
      <c r="AG289" s="15">
        <f t="shared" si="2"/>
        <v>77</v>
      </c>
      <c r="AH289" s="15" t="str">
        <f t="shared" si="28"/>
        <v>P</v>
      </c>
      <c r="AI289" s="15" t="str">
        <f t="shared" si="29"/>
        <v>P-12</v>
      </c>
    </row>
    <row r="290" spans="1:35" ht="15.75" customHeight="1" x14ac:dyDescent="0.35">
      <c r="A290" s="8">
        <v>289</v>
      </c>
      <c r="B290" s="9" t="s">
        <v>369</v>
      </c>
      <c r="C290" s="9" t="s">
        <v>357</v>
      </c>
      <c r="D290" s="8">
        <v>13</v>
      </c>
      <c r="E290" s="10"/>
      <c r="F290" s="10"/>
      <c r="G290" s="10"/>
      <c r="H290" s="11">
        <v>1</v>
      </c>
      <c r="I290" s="11">
        <v>1</v>
      </c>
      <c r="J290" s="11">
        <v>10</v>
      </c>
      <c r="K290" s="11">
        <v>9</v>
      </c>
      <c r="L290" s="11">
        <v>9</v>
      </c>
      <c r="M290" s="11"/>
      <c r="N290" s="11">
        <v>0</v>
      </c>
      <c r="O290" s="11">
        <v>25</v>
      </c>
      <c r="P290" s="11">
        <v>3</v>
      </c>
      <c r="Q290" s="11"/>
      <c r="R290" s="19"/>
      <c r="S290" s="10"/>
      <c r="T290" s="21"/>
      <c r="U290" s="12"/>
      <c r="V290" s="12">
        <f t="shared" si="31"/>
        <v>37</v>
      </c>
      <c r="W290" s="10">
        <f ca="1">IFERROR(__xludf.DUMMYFUNCTION("IFERROR(
  SUM(
    FILTER(
      Reporte!$E:$E, 
      REGEXMATCH(Reporte!$A:$A, ""(?i)(TE PAGÓ|PAGASTE)""), 
      Reporte!$H:$H &amp; """" = AH290 &amp; """"
    )
  ), 
  0
)"),0)</f>
        <v>0</v>
      </c>
      <c r="X290" s="10">
        <f ca="1">IFERROR(__xludf.DUMMYFUNCTION("IFERROR(
  SUM(
    FILTER(
      Efectivo!$C:$C, 
      Efectivo!$D:$D &amp; """" = AH290 &amp; """"
    )
  ), 
  0
)"),37)</f>
        <v>37</v>
      </c>
      <c r="Y290" s="10" t="s">
        <v>34</v>
      </c>
      <c r="Z290" s="10"/>
      <c r="AA290" s="10"/>
      <c r="AB290" s="10"/>
      <c r="AC290" s="10"/>
      <c r="AD290" s="10" t="str">
        <f t="shared" si="27"/>
        <v/>
      </c>
      <c r="AE290" s="10" t="e">
        <f>IF(
   OR(
     AND(#REF!&gt;0, OR(Y290="C", Y290="c"), U290&lt;0),
     AND(#REF!&gt;0, Y290="")
   ),
   "CORTE",
   ""
)</f>
        <v>#REF!</v>
      </c>
      <c r="AF290" s="10">
        <f t="shared" si="1"/>
        <v>37</v>
      </c>
      <c r="AG290" s="10">
        <f t="shared" si="2"/>
        <v>0</v>
      </c>
      <c r="AH290" s="10" t="str">
        <f t="shared" si="28"/>
        <v>P</v>
      </c>
      <c r="AI290" s="10" t="str">
        <f t="shared" si="29"/>
        <v>P-13</v>
      </c>
    </row>
    <row r="291" spans="1:35" ht="15.75" customHeight="1" x14ac:dyDescent="0.35">
      <c r="A291" s="13">
        <v>290</v>
      </c>
      <c r="B291" s="14" t="s">
        <v>370</v>
      </c>
      <c r="C291" s="14" t="s">
        <v>357</v>
      </c>
      <c r="D291" s="13">
        <v>14</v>
      </c>
      <c r="E291" s="15"/>
      <c r="F291" s="15"/>
      <c r="G291" s="15"/>
      <c r="H291" s="16">
        <v>1</v>
      </c>
      <c r="I291" s="16">
        <v>148</v>
      </c>
      <c r="J291" s="16">
        <v>154</v>
      </c>
      <c r="K291" s="16">
        <v>6</v>
      </c>
      <c r="L291" s="16">
        <v>6</v>
      </c>
      <c r="M291" s="16"/>
      <c r="N291" s="16">
        <v>0</v>
      </c>
      <c r="O291" s="16"/>
      <c r="P291" s="16">
        <v>3</v>
      </c>
      <c r="Q291" s="16"/>
      <c r="R291" s="18"/>
      <c r="S291" s="15"/>
      <c r="T291" s="20"/>
      <c r="U291" s="17"/>
      <c r="V291" s="17">
        <f t="shared" si="31"/>
        <v>9</v>
      </c>
      <c r="W291" s="15">
        <f ca="1">IFERROR(__xludf.DUMMYFUNCTION("IFERROR(
  SUM(
    FILTER(
      Reporte!$E:$E, 
      REGEXMATCH(Reporte!$A:$A, ""(?i)(TE PAGÓ|PAGASTE)""), 
      Reporte!$H:$H &amp; """" = AH291 &amp; """"
    )
  ), 
  0
)"),0)</f>
        <v>0</v>
      </c>
      <c r="X291" s="15">
        <f ca="1">IFERROR(__xludf.DUMMYFUNCTION("IFERROR(
  SUM(
    FILTER(
      Efectivo!$C:$C, 
      Efectivo!$D:$D &amp; """" = AH291 &amp; """"
    )
  ), 
  0
)"),9)</f>
        <v>9</v>
      </c>
      <c r="Y291" s="15" t="s">
        <v>34</v>
      </c>
      <c r="Z291" s="15"/>
      <c r="AA291" s="15"/>
      <c r="AB291" s="15"/>
      <c r="AC291" s="15"/>
      <c r="AD291" s="15" t="str">
        <f t="shared" si="27"/>
        <v/>
      </c>
      <c r="AE291" s="15" t="e">
        <f>IF(
   OR(
     AND(#REF!&gt;0, OR(Y291="C", Y291="c"), U291&lt;0),
     AND(#REF!&gt;0, Y291="")
   ),
   "CORTE",
   ""
)</f>
        <v>#REF!</v>
      </c>
      <c r="AF291" s="15">
        <f t="shared" si="1"/>
        <v>9</v>
      </c>
      <c r="AG291" s="15">
        <f t="shared" si="2"/>
        <v>0</v>
      </c>
      <c r="AH291" s="15" t="str">
        <f t="shared" si="28"/>
        <v>P</v>
      </c>
      <c r="AI291" s="15" t="str">
        <f t="shared" si="29"/>
        <v>P-14</v>
      </c>
    </row>
    <row r="292" spans="1:35" ht="15.75" customHeight="1" x14ac:dyDescent="0.35">
      <c r="A292" s="8">
        <v>291</v>
      </c>
      <c r="B292" s="9" t="s">
        <v>371</v>
      </c>
      <c r="C292" s="9" t="s">
        <v>357</v>
      </c>
      <c r="D292" s="8">
        <v>15</v>
      </c>
      <c r="E292" s="10"/>
      <c r="F292" s="10"/>
      <c r="G292" s="10"/>
      <c r="H292" s="11">
        <v>1</v>
      </c>
      <c r="I292" s="11">
        <v>1317</v>
      </c>
      <c r="J292" s="11">
        <v>1327</v>
      </c>
      <c r="K292" s="11">
        <v>10</v>
      </c>
      <c r="L292" s="11">
        <v>10</v>
      </c>
      <c r="M292" s="11"/>
      <c r="N292" s="11">
        <v>0</v>
      </c>
      <c r="O292" s="11"/>
      <c r="P292" s="11">
        <v>3</v>
      </c>
      <c r="Q292" s="11"/>
      <c r="R292" s="19"/>
      <c r="S292" s="10"/>
      <c r="T292" s="21"/>
      <c r="U292" s="12"/>
      <c r="V292" s="12">
        <f t="shared" si="31"/>
        <v>13</v>
      </c>
      <c r="W292" s="10">
        <f ca="1">IFERROR(__xludf.DUMMYFUNCTION("IFERROR(
  SUM(
    FILTER(
      Reporte!$E:$E, 
      REGEXMATCH(Reporte!$A:$A, ""(?i)(TE PAGÓ|PAGASTE)""), 
      Reporte!$H:$H &amp; """" = AH292 &amp; """"
    )
  ), 
  0
)"),13)</f>
        <v>13</v>
      </c>
      <c r="X292" s="10">
        <f ca="1">IFERROR(__xludf.DUMMYFUNCTION("IFERROR(
  SUM(
    FILTER(
      Efectivo!$C:$C, 
      Efectivo!$D:$D &amp; """" = AH292 &amp; """"
    )
  ), 
  0
)"),0)</f>
        <v>0</v>
      </c>
      <c r="Y292" s="10" t="s">
        <v>34</v>
      </c>
      <c r="Z292" s="10"/>
      <c r="AA292" s="10" t="s">
        <v>35</v>
      </c>
      <c r="AB292" s="10"/>
      <c r="AC292" s="10"/>
      <c r="AD292" s="10" t="str">
        <f t="shared" si="27"/>
        <v/>
      </c>
      <c r="AE292" s="10" t="e">
        <f>IF(
   OR(
     AND(#REF!&gt;0, OR(Y292="C", Y292="c"), U292&lt;0),
     AND(#REF!&gt;0, Y292="")
   ),
   "CORTE",
   ""
)</f>
        <v>#REF!</v>
      </c>
      <c r="AF292" s="10">
        <f t="shared" si="1"/>
        <v>0</v>
      </c>
      <c r="AG292" s="10">
        <f t="shared" si="2"/>
        <v>13</v>
      </c>
      <c r="AH292" s="10" t="str">
        <f t="shared" si="28"/>
        <v>P</v>
      </c>
      <c r="AI292" s="10" t="str">
        <f t="shared" si="29"/>
        <v>P-15</v>
      </c>
    </row>
    <row r="293" spans="1:35" ht="15.75" customHeight="1" x14ac:dyDescent="0.35">
      <c r="A293" s="13">
        <v>292</v>
      </c>
      <c r="B293" s="14" t="s">
        <v>372</v>
      </c>
      <c r="C293" s="14" t="s">
        <v>357</v>
      </c>
      <c r="D293" s="13">
        <v>17</v>
      </c>
      <c r="E293" s="15"/>
      <c r="F293" s="15"/>
      <c r="G293" s="15"/>
      <c r="H293" s="16">
        <v>1</v>
      </c>
      <c r="I293" s="16">
        <v>100</v>
      </c>
      <c r="J293" s="16">
        <v>108</v>
      </c>
      <c r="K293" s="16">
        <v>8</v>
      </c>
      <c r="L293" s="16">
        <v>8</v>
      </c>
      <c r="M293" s="16"/>
      <c r="N293" s="16">
        <v>0</v>
      </c>
      <c r="O293" s="16"/>
      <c r="P293" s="16">
        <v>3</v>
      </c>
      <c r="Q293" s="16"/>
      <c r="R293" s="18"/>
      <c r="S293" s="15"/>
      <c r="T293" s="20"/>
      <c r="U293" s="17"/>
      <c r="V293" s="17">
        <f t="shared" si="31"/>
        <v>11</v>
      </c>
      <c r="W293" s="15">
        <f ca="1">IFERROR(__xludf.DUMMYFUNCTION("IFERROR(
  SUM(
    FILTER(
      Reporte!$E:$E, 
      REGEXMATCH(Reporte!$A:$A, ""(?i)(TE PAGÓ|PAGASTE)""), 
      Reporte!$H:$H &amp; """" = AH293 &amp; """"
    )
  ), 
  0
)"),0)</f>
        <v>0</v>
      </c>
      <c r="X293" s="15">
        <f ca="1">IFERROR(__xludf.DUMMYFUNCTION("IFERROR(
  SUM(
    FILTER(
      Efectivo!$C:$C, 
      Efectivo!$D:$D &amp; """" = AH293 &amp; """"
    )
  ), 
  0
)"),11)</f>
        <v>11</v>
      </c>
      <c r="Y293" s="15" t="s">
        <v>34</v>
      </c>
      <c r="Z293" s="15"/>
      <c r="AA293" s="15"/>
      <c r="AB293" s="15"/>
      <c r="AC293" s="15"/>
      <c r="AD293" s="15" t="str">
        <f t="shared" si="27"/>
        <v/>
      </c>
      <c r="AE293" s="15" t="e">
        <f>IF(
   OR(
     AND(#REF!&gt;0, OR(Y293="C", Y293="c"), U293&lt;0),
     AND(#REF!&gt;0, Y293="")
   ),
   "CORTE",
   ""
)</f>
        <v>#REF!</v>
      </c>
      <c r="AF293" s="15">
        <f t="shared" si="1"/>
        <v>11</v>
      </c>
      <c r="AG293" s="15">
        <f t="shared" si="2"/>
        <v>0</v>
      </c>
      <c r="AH293" s="15" t="str">
        <f t="shared" si="28"/>
        <v>P</v>
      </c>
      <c r="AI293" s="15" t="str">
        <f t="shared" si="29"/>
        <v>P-17</v>
      </c>
    </row>
    <row r="294" spans="1:35" ht="15.75" customHeight="1" x14ac:dyDescent="0.35">
      <c r="A294" s="8">
        <v>293</v>
      </c>
      <c r="B294" s="9" t="s">
        <v>373</v>
      </c>
      <c r="C294" s="9" t="s">
        <v>357</v>
      </c>
      <c r="D294" s="8">
        <v>18</v>
      </c>
      <c r="E294" s="10"/>
      <c r="F294" s="10"/>
      <c r="G294" s="10"/>
      <c r="H294" s="11">
        <v>1</v>
      </c>
      <c r="I294" s="11">
        <v>82</v>
      </c>
      <c r="J294" s="11">
        <v>90</v>
      </c>
      <c r="K294" s="11">
        <v>8</v>
      </c>
      <c r="L294" s="11">
        <v>8</v>
      </c>
      <c r="M294" s="11"/>
      <c r="N294" s="11"/>
      <c r="O294" s="11"/>
      <c r="P294" s="11">
        <v>3</v>
      </c>
      <c r="Q294" s="11"/>
      <c r="R294" s="19"/>
      <c r="S294" s="10"/>
      <c r="T294" s="21"/>
      <c r="U294" s="12"/>
      <c r="V294" s="12">
        <f t="shared" si="31"/>
        <v>11</v>
      </c>
      <c r="W294" s="10">
        <f ca="1">IFERROR(__xludf.DUMMYFUNCTION("IFERROR(
  SUM(
    FILTER(
      Reporte!$E:$E, 
      REGEXMATCH(Reporte!$A:$A, ""(?i)(TE PAGÓ|PAGASTE)""), 
      Reporte!$H:$H &amp; """" = AH294 &amp; """"
    )
  ), 
  0
)"),0)</f>
        <v>0</v>
      </c>
      <c r="X294" s="10">
        <f ca="1">IFERROR(__xludf.DUMMYFUNCTION("IFERROR(
  SUM(
    FILTER(
      Efectivo!$C:$C, 
      Efectivo!$D:$D &amp; """" = AH294 &amp; """"
    )
  ), 
  0
)"),11)</f>
        <v>11</v>
      </c>
      <c r="Y294" s="10" t="s">
        <v>34</v>
      </c>
      <c r="Z294" s="10"/>
      <c r="AA294" s="10"/>
      <c r="AB294" s="10" t="s">
        <v>374</v>
      </c>
      <c r="AC294" s="10"/>
      <c r="AD294" s="10" t="str">
        <f t="shared" si="27"/>
        <v/>
      </c>
      <c r="AE294" s="10" t="e">
        <f>IF(
   OR(
     AND(#REF!&gt;0, OR(Y294="C", Y294="c"), U294&lt;0),
     AND(#REF!&gt;0, Y294="")
   ),
   "CORTE",
   ""
)</f>
        <v>#REF!</v>
      </c>
      <c r="AF294" s="10">
        <f t="shared" si="1"/>
        <v>11</v>
      </c>
      <c r="AG294" s="10">
        <f t="shared" si="2"/>
        <v>0</v>
      </c>
      <c r="AH294" s="10" t="str">
        <f t="shared" si="28"/>
        <v>P</v>
      </c>
      <c r="AI294" s="10" t="str">
        <f t="shared" si="29"/>
        <v>P-18</v>
      </c>
    </row>
    <row r="295" spans="1:35" ht="15.75" customHeight="1" x14ac:dyDescent="0.35">
      <c r="A295" s="13">
        <v>294</v>
      </c>
      <c r="B295" s="14" t="s">
        <v>375</v>
      </c>
      <c r="C295" s="14" t="s">
        <v>357</v>
      </c>
      <c r="D295" s="13">
        <v>19</v>
      </c>
      <c r="E295" s="15"/>
      <c r="F295" s="15"/>
      <c r="G295" s="15"/>
      <c r="H295" s="16">
        <v>1</v>
      </c>
      <c r="I295" s="16">
        <v>2</v>
      </c>
      <c r="J295" s="16">
        <v>10</v>
      </c>
      <c r="K295" s="16">
        <v>8</v>
      </c>
      <c r="L295" s="16">
        <v>8</v>
      </c>
      <c r="M295" s="16"/>
      <c r="N295" s="16">
        <v>0</v>
      </c>
      <c r="O295" s="16"/>
      <c r="P295" s="16">
        <v>3</v>
      </c>
      <c r="Q295" s="16"/>
      <c r="R295" s="18"/>
      <c r="S295" s="15"/>
      <c r="T295" s="20"/>
      <c r="U295" s="17"/>
      <c r="V295" s="17">
        <f t="shared" si="31"/>
        <v>11</v>
      </c>
      <c r="W295" s="15">
        <f ca="1">IFERROR(__xludf.DUMMYFUNCTION("IFERROR(
  SUM(
    FILTER(
      Reporte!$E:$E, 
      REGEXMATCH(Reporte!$A:$A, ""(?i)(TE PAGÓ|PAGASTE)""), 
      Reporte!$H:$H &amp; """" = AH295 &amp; """"
    )
  ), 
  0
)"),11)</f>
        <v>11</v>
      </c>
      <c r="X295" s="15">
        <f ca="1">IFERROR(__xludf.DUMMYFUNCTION("IFERROR(
  SUM(
    FILTER(
      Efectivo!$C:$C, 
      Efectivo!$D:$D &amp; """" = AH295 &amp; """"
    )
  ), 
  0
)"),0)</f>
        <v>0</v>
      </c>
      <c r="Y295" s="15" t="s">
        <v>34</v>
      </c>
      <c r="Z295" s="15"/>
      <c r="AA295" s="15" t="s">
        <v>35</v>
      </c>
      <c r="AB295" s="15"/>
      <c r="AC295" s="15"/>
      <c r="AD295" s="15" t="str">
        <f t="shared" si="27"/>
        <v/>
      </c>
      <c r="AE295" s="15" t="e">
        <f>IF(
   OR(
     AND(#REF!&gt;0, OR(Y295="C", Y295="c"), U295&lt;0),
     AND(#REF!&gt;0, Y295="")
   ),
   "CORTE",
   ""
)</f>
        <v>#REF!</v>
      </c>
      <c r="AF295" s="15">
        <f t="shared" si="1"/>
        <v>0</v>
      </c>
      <c r="AG295" s="15">
        <f t="shared" si="2"/>
        <v>11</v>
      </c>
      <c r="AH295" s="15" t="str">
        <f t="shared" si="28"/>
        <v>P</v>
      </c>
      <c r="AI295" s="15" t="str">
        <f t="shared" si="29"/>
        <v>P-19</v>
      </c>
    </row>
    <row r="296" spans="1:35" ht="15.75" customHeight="1" x14ac:dyDescent="0.35">
      <c r="A296" s="8">
        <v>295</v>
      </c>
      <c r="B296" s="9" t="s">
        <v>376</v>
      </c>
      <c r="C296" s="9" t="s">
        <v>377</v>
      </c>
      <c r="D296" s="8">
        <v>1</v>
      </c>
      <c r="E296" s="10"/>
      <c r="F296" s="10"/>
      <c r="G296" s="10"/>
      <c r="H296" s="11">
        <v>1</v>
      </c>
      <c r="I296" s="11">
        <v>336</v>
      </c>
      <c r="J296" s="11">
        <v>341</v>
      </c>
      <c r="K296" s="11">
        <v>5</v>
      </c>
      <c r="L296" s="11">
        <v>5</v>
      </c>
      <c r="M296" s="11"/>
      <c r="N296" s="11">
        <v>0</v>
      </c>
      <c r="O296" s="11"/>
      <c r="P296" s="11">
        <v>3</v>
      </c>
      <c r="Q296" s="11"/>
      <c r="R296" s="19"/>
      <c r="S296" s="10"/>
      <c r="T296" s="21"/>
      <c r="U296" s="12"/>
      <c r="V296" s="12">
        <f t="shared" si="31"/>
        <v>8</v>
      </c>
      <c r="W296" s="10">
        <f ca="1">IFERROR(__xludf.DUMMYFUNCTION("IFERROR(
  SUM(
    FILTER(
      Reporte!$E:$E, 
      REGEXMATCH(Reporte!$A:$A, ""(?i)(TE PAGÓ|PAGASTE)""), 
      Reporte!$H:$H &amp; """" = AH296 &amp; """"
    )
  ), 
  0
)"),0)</f>
        <v>0</v>
      </c>
      <c r="X296" s="10">
        <f ca="1">IFERROR(__xludf.DUMMYFUNCTION("IFERROR(
  SUM(
    FILTER(
      Efectivo!$C:$C, 
      Efectivo!$D:$D &amp; """" = AH296 &amp; """"
    )
  ), 
  0
)"),8)</f>
        <v>8</v>
      </c>
      <c r="Y296" s="10" t="s">
        <v>34</v>
      </c>
      <c r="Z296" s="10"/>
      <c r="AA296" s="10"/>
      <c r="AB296" s="10"/>
      <c r="AC296" s="10"/>
      <c r="AD296" s="10" t="str">
        <f t="shared" si="27"/>
        <v/>
      </c>
      <c r="AE296" s="10" t="e">
        <f>IF(
   OR(
     AND(#REF!&gt;0, OR(Y296="C", Y296="c"), U296&lt;0),
     AND(#REF!&gt;0, Y296="")
   ),
   "CORTE",
   ""
)</f>
        <v>#REF!</v>
      </c>
      <c r="AF296" s="10">
        <f t="shared" si="1"/>
        <v>8</v>
      </c>
      <c r="AG296" s="10">
        <f t="shared" si="2"/>
        <v>0</v>
      </c>
      <c r="AH296" s="10" t="str">
        <f t="shared" si="28"/>
        <v>Q</v>
      </c>
      <c r="AI296" s="10" t="str">
        <f t="shared" si="29"/>
        <v>Q-1</v>
      </c>
    </row>
    <row r="297" spans="1:35" ht="15.75" customHeight="1" x14ac:dyDescent="0.35">
      <c r="A297" s="13">
        <v>296</v>
      </c>
      <c r="B297" s="14" t="s">
        <v>378</v>
      </c>
      <c r="C297" s="14" t="s">
        <v>377</v>
      </c>
      <c r="D297" s="13">
        <v>2</v>
      </c>
      <c r="E297" s="15"/>
      <c r="F297" s="15"/>
      <c r="G297" s="15"/>
      <c r="H297" s="16">
        <v>1</v>
      </c>
      <c r="I297" s="16">
        <v>823</v>
      </c>
      <c r="J297" s="16">
        <v>834</v>
      </c>
      <c r="K297" s="16">
        <v>11</v>
      </c>
      <c r="L297" s="16">
        <v>11</v>
      </c>
      <c r="M297" s="16"/>
      <c r="N297" s="16">
        <v>0</v>
      </c>
      <c r="O297" s="16"/>
      <c r="P297" s="16">
        <v>3</v>
      </c>
      <c r="Q297" s="16"/>
      <c r="R297" s="18"/>
      <c r="S297" s="15"/>
      <c r="T297" s="20"/>
      <c r="U297" s="17"/>
      <c r="V297" s="17">
        <f t="shared" si="31"/>
        <v>14</v>
      </c>
      <c r="W297" s="15">
        <f ca="1">IFERROR(__xludf.DUMMYFUNCTION("IFERROR(
  SUM(
    FILTER(
      Reporte!$E:$E, 
      REGEXMATCH(Reporte!$A:$A, ""(?i)(TE PAGÓ|PAGASTE)""), 
      Reporte!$H:$H &amp; """" = AH297 &amp; """"
    )
  ), 
  0
)"),14)</f>
        <v>14</v>
      </c>
      <c r="X297" s="15">
        <f ca="1">IFERROR(__xludf.DUMMYFUNCTION("IFERROR(
  SUM(
    FILTER(
      Efectivo!$C:$C, 
      Efectivo!$D:$D &amp; """" = AH297 &amp; """"
    )
  ), 
  0
)"),0)</f>
        <v>0</v>
      </c>
      <c r="Y297" s="15" t="s">
        <v>34</v>
      </c>
      <c r="Z297" s="15"/>
      <c r="AA297" s="15" t="s">
        <v>35</v>
      </c>
      <c r="AB297" s="15"/>
      <c r="AC297" s="15"/>
      <c r="AD297" s="15" t="str">
        <f t="shared" si="27"/>
        <v/>
      </c>
      <c r="AE297" s="15" t="e">
        <f>IF(
   OR(
     AND(#REF!&gt;0, OR(Y297="C", Y297="c"), U297&lt;0),
     AND(#REF!&gt;0, Y297="")
   ),
   "CORTE",
   ""
)</f>
        <v>#REF!</v>
      </c>
      <c r="AF297" s="15">
        <f t="shared" si="1"/>
        <v>0</v>
      </c>
      <c r="AG297" s="15">
        <f t="shared" si="2"/>
        <v>14</v>
      </c>
      <c r="AH297" s="15" t="str">
        <f t="shared" si="28"/>
        <v>Q</v>
      </c>
      <c r="AI297" s="15" t="str">
        <f t="shared" si="29"/>
        <v>Q-2</v>
      </c>
    </row>
    <row r="298" spans="1:35" ht="15.75" customHeight="1" x14ac:dyDescent="0.35">
      <c r="A298" s="8">
        <v>297</v>
      </c>
      <c r="B298" s="9" t="s">
        <v>379</v>
      </c>
      <c r="C298" s="9" t="s">
        <v>377</v>
      </c>
      <c r="D298" s="8">
        <v>3</v>
      </c>
      <c r="E298" s="10"/>
      <c r="F298" s="10"/>
      <c r="G298" s="10"/>
      <c r="H298" s="11">
        <v>1</v>
      </c>
      <c r="I298" s="11">
        <v>2416</v>
      </c>
      <c r="J298" s="11">
        <v>2430</v>
      </c>
      <c r="K298" s="11">
        <v>14</v>
      </c>
      <c r="L298" s="11">
        <v>14</v>
      </c>
      <c r="M298" s="11"/>
      <c r="N298" s="11">
        <v>0</v>
      </c>
      <c r="O298" s="11"/>
      <c r="P298" s="11">
        <v>3</v>
      </c>
      <c r="Q298" s="11"/>
      <c r="R298" s="19"/>
      <c r="S298" s="10"/>
      <c r="T298" s="21"/>
      <c r="U298" s="12"/>
      <c r="V298" s="12">
        <f t="shared" si="31"/>
        <v>17</v>
      </c>
      <c r="W298" s="10">
        <f ca="1">IFERROR(__xludf.DUMMYFUNCTION("IFERROR(
  SUM(
    FILTER(
      Reporte!$E:$E, 
      REGEXMATCH(Reporte!$A:$A, ""(?i)(TE PAGÓ|PAGASTE)""), 
      Reporte!$H:$H &amp; """" = AH298 &amp; """"
    )
  ), 
  0
)"),17)</f>
        <v>17</v>
      </c>
      <c r="X298" s="10">
        <f ca="1">IFERROR(__xludf.DUMMYFUNCTION("IFERROR(
  SUM(
    FILTER(
      Efectivo!$C:$C, 
      Efectivo!$D:$D &amp; """" = AH298 &amp; """"
    )
  ), 
  0
)"),0)</f>
        <v>0</v>
      </c>
      <c r="Y298" s="10" t="s">
        <v>34</v>
      </c>
      <c r="Z298" s="10"/>
      <c r="AA298" s="10" t="s">
        <v>35</v>
      </c>
      <c r="AB298" s="10"/>
      <c r="AC298" s="10"/>
      <c r="AD298" s="10" t="str">
        <f t="shared" si="27"/>
        <v/>
      </c>
      <c r="AE298" s="10" t="e">
        <f>IF(
   OR(
     AND(#REF!&gt;0, OR(Y298="C", Y298="c"), U298&lt;0),
     AND(#REF!&gt;0, Y298="")
   ),
   "CORTE",
   ""
)</f>
        <v>#REF!</v>
      </c>
      <c r="AF298" s="10">
        <f t="shared" si="1"/>
        <v>0</v>
      </c>
      <c r="AG298" s="10">
        <f t="shared" si="2"/>
        <v>17</v>
      </c>
      <c r="AH298" s="10" t="str">
        <f t="shared" si="28"/>
        <v>Q</v>
      </c>
      <c r="AI298" s="10" t="str">
        <f t="shared" si="29"/>
        <v>Q-3</v>
      </c>
    </row>
    <row r="299" spans="1:35" ht="15.75" customHeight="1" x14ac:dyDescent="0.35">
      <c r="A299" s="13">
        <v>298</v>
      </c>
      <c r="B299" s="14" t="s">
        <v>380</v>
      </c>
      <c r="C299" s="14" t="s">
        <v>377</v>
      </c>
      <c r="D299" s="13">
        <v>5</v>
      </c>
      <c r="E299" s="15"/>
      <c r="F299" s="15"/>
      <c r="G299" s="15"/>
      <c r="H299" s="16">
        <v>1</v>
      </c>
      <c r="I299" s="16">
        <v>6</v>
      </c>
      <c r="J299" s="16">
        <v>21</v>
      </c>
      <c r="K299" s="16">
        <v>15</v>
      </c>
      <c r="L299" s="16">
        <v>15</v>
      </c>
      <c r="M299" s="16"/>
      <c r="N299" s="16">
        <v>0</v>
      </c>
      <c r="O299" s="16">
        <v>25</v>
      </c>
      <c r="P299" s="16">
        <v>3</v>
      </c>
      <c r="Q299" s="16"/>
      <c r="R299" s="18"/>
      <c r="S299" s="15"/>
      <c r="T299" s="20"/>
      <c r="U299" s="17"/>
      <c r="V299" s="17">
        <f t="shared" si="31"/>
        <v>43</v>
      </c>
      <c r="W299" s="15">
        <f ca="1">IFERROR(__xludf.DUMMYFUNCTION("IFERROR(
  SUM(
    FILTER(
      Reporte!$E:$E, 
      REGEXMATCH(Reporte!$A:$A, ""(?i)(TE PAGÓ|PAGASTE)""), 
      Reporte!$H:$H &amp; """" = AH299 &amp; """"
    )
  ), 
  0
)"),43)</f>
        <v>43</v>
      </c>
      <c r="X299" s="15">
        <f ca="1">IFERROR(__xludf.DUMMYFUNCTION("IFERROR(
  SUM(
    FILTER(
      Efectivo!$C:$C, 
      Efectivo!$D:$D &amp; """" = AH299 &amp; """"
    )
  ), 
  0
)"),0)</f>
        <v>0</v>
      </c>
      <c r="Y299" s="15" t="s">
        <v>34</v>
      </c>
      <c r="Z299" s="15"/>
      <c r="AA299" s="15" t="s">
        <v>35</v>
      </c>
      <c r="AB299" s="15"/>
      <c r="AC299" s="15"/>
      <c r="AD299" s="15" t="str">
        <f t="shared" si="27"/>
        <v/>
      </c>
      <c r="AE299" s="15" t="e">
        <f>IF(
   OR(
     AND(#REF!&gt;0, OR(Y299="C", Y299="c"), U299&lt;0),
     AND(#REF!&gt;0, Y299="")
   ),
   "CORTE",
   ""
)</f>
        <v>#REF!</v>
      </c>
      <c r="AF299" s="15">
        <f t="shared" si="1"/>
        <v>0</v>
      </c>
      <c r="AG299" s="15">
        <f t="shared" si="2"/>
        <v>43</v>
      </c>
      <c r="AH299" s="15" t="str">
        <f t="shared" si="28"/>
        <v>Q</v>
      </c>
      <c r="AI299" s="15" t="str">
        <f t="shared" si="29"/>
        <v>Q-5</v>
      </c>
    </row>
    <row r="300" spans="1:35" ht="15.75" customHeight="1" x14ac:dyDescent="0.35">
      <c r="A300" s="8">
        <v>299</v>
      </c>
      <c r="B300" s="9" t="s">
        <v>381</v>
      </c>
      <c r="C300" s="9" t="s">
        <v>377</v>
      </c>
      <c r="D300" s="8">
        <v>6</v>
      </c>
      <c r="E300" s="10"/>
      <c r="F300" s="10"/>
      <c r="G300" s="10"/>
      <c r="H300" s="11">
        <v>1</v>
      </c>
      <c r="I300" s="11">
        <v>2006</v>
      </c>
      <c r="J300" s="11">
        <v>2028</v>
      </c>
      <c r="K300" s="11">
        <v>22</v>
      </c>
      <c r="L300" s="11">
        <v>22</v>
      </c>
      <c r="M300" s="11"/>
      <c r="N300" s="11">
        <v>0</v>
      </c>
      <c r="O300" s="11"/>
      <c r="P300" s="11">
        <v>3</v>
      </c>
      <c r="Q300" s="11"/>
      <c r="R300" s="19"/>
      <c r="S300" s="10"/>
      <c r="T300" s="21"/>
      <c r="U300" s="12"/>
      <c r="V300" s="12">
        <f t="shared" si="31"/>
        <v>25</v>
      </c>
      <c r="W300" s="10">
        <f ca="1">IFERROR(__xludf.DUMMYFUNCTION("IFERROR(
  SUM(
    FILTER(
      Reporte!$E:$E, 
      REGEXMATCH(Reporte!$A:$A, ""(?i)(TE PAGÓ|PAGASTE)""), 
      Reporte!$H:$H &amp; """" = AH300 &amp; """"
    )
  ), 
  0
)"),0)</f>
        <v>0</v>
      </c>
      <c r="X300" s="10">
        <f ca="1">IFERROR(__xludf.DUMMYFUNCTION("IFERROR(
  SUM(
    FILTER(
      Efectivo!$C:$C, 
      Efectivo!$D:$D &amp; """" = AH300 &amp; """"
    )
  ), 
  0
)"),0)</f>
        <v>0</v>
      </c>
      <c r="Y300" s="10"/>
      <c r="Z300" s="10"/>
      <c r="AA300" s="10"/>
      <c r="AB300" s="10"/>
      <c r="AC300" s="10"/>
      <c r="AD300" s="10" t="str">
        <f t="shared" si="27"/>
        <v/>
      </c>
      <c r="AE300" s="10" t="e">
        <f>IF(
   OR(
     AND(#REF!&gt;0, OR(Y300="C", Y300="c"), U300&lt;0),
     AND(#REF!&gt;0, Y300="")
   ),
   "CORTE",
   ""
)</f>
        <v>#REF!</v>
      </c>
      <c r="AF300" s="10">
        <f t="shared" si="1"/>
        <v>0</v>
      </c>
      <c r="AG300" s="10">
        <f t="shared" si="2"/>
        <v>0</v>
      </c>
      <c r="AH300" s="10" t="str">
        <f t="shared" si="28"/>
        <v>Q</v>
      </c>
      <c r="AI300" s="10" t="str">
        <f t="shared" si="29"/>
        <v>Q-6</v>
      </c>
    </row>
    <row r="301" spans="1:35" ht="15.75" customHeight="1" x14ac:dyDescent="0.35">
      <c r="A301" s="13">
        <v>300</v>
      </c>
      <c r="B301" s="14" t="s">
        <v>382</v>
      </c>
      <c r="C301" s="14" t="s">
        <v>377</v>
      </c>
      <c r="D301" s="13">
        <v>7</v>
      </c>
      <c r="E301" s="15"/>
      <c r="F301" s="15"/>
      <c r="G301" s="15"/>
      <c r="H301" s="16">
        <v>1</v>
      </c>
      <c r="I301" s="16">
        <v>1615</v>
      </c>
      <c r="J301" s="16">
        <v>1640</v>
      </c>
      <c r="K301" s="16">
        <v>25</v>
      </c>
      <c r="L301" s="16">
        <v>25</v>
      </c>
      <c r="M301" s="16">
        <v>20</v>
      </c>
      <c r="N301" s="16">
        <v>40</v>
      </c>
      <c r="O301" s="16"/>
      <c r="P301" s="16">
        <v>3</v>
      </c>
      <c r="Q301" s="16"/>
      <c r="R301" s="18"/>
      <c r="S301" s="15"/>
      <c r="T301" s="20"/>
      <c r="U301" s="17">
        <v>8</v>
      </c>
      <c r="V301" s="17">
        <f>SUM(L301:U301)</f>
        <v>96</v>
      </c>
      <c r="W301" s="15">
        <f ca="1">IFERROR(__xludf.DUMMYFUNCTION("IFERROR(
  SUM(
    FILTER(
      Reporte!$E:$E, 
      REGEXMATCH(Reporte!$A:$A, ""(?i)(TE PAGÓ|PAGASTE)""), 
      Reporte!$H:$H &amp; """" = AH301 &amp; """"
    )
  ), 
  0
)"),96)</f>
        <v>96</v>
      </c>
      <c r="X301" s="15">
        <f ca="1">IFERROR(__xludf.DUMMYFUNCTION("IFERROR(
  SUM(
    FILTER(
      Efectivo!$C:$C, 
      Efectivo!$D:$D &amp; """" = AH301 &amp; """"
    )
  ), 
  0
)"),0)</f>
        <v>0</v>
      </c>
      <c r="Y301" s="15" t="s">
        <v>34</v>
      </c>
      <c r="Z301" s="15"/>
      <c r="AA301" s="15" t="s">
        <v>35</v>
      </c>
      <c r="AB301" s="15"/>
      <c r="AC301" s="15"/>
      <c r="AD301" s="15" t="str">
        <f t="shared" si="27"/>
        <v/>
      </c>
      <c r="AE301" s="15" t="e">
        <f>IF(
   OR(
     AND(#REF!&gt;0, OR(Y301="C", Y301="c"), U301&lt;0),
     AND(#REF!&gt;0, Y301="")
   ),
   "CORTE",
   ""
)</f>
        <v>#REF!</v>
      </c>
      <c r="AF301" s="15">
        <f t="shared" si="1"/>
        <v>0</v>
      </c>
      <c r="AG301" s="15">
        <f t="shared" si="2"/>
        <v>96</v>
      </c>
      <c r="AH301" s="15" t="str">
        <f t="shared" si="28"/>
        <v>Q</v>
      </c>
      <c r="AI301" s="15" t="str">
        <f t="shared" si="29"/>
        <v>Q-7</v>
      </c>
    </row>
    <row r="302" spans="1:35" ht="15.75" customHeight="1" x14ac:dyDescent="0.35">
      <c r="A302" s="8">
        <v>301</v>
      </c>
      <c r="B302" s="9" t="s">
        <v>383</v>
      </c>
      <c r="C302" s="9" t="s">
        <v>377</v>
      </c>
      <c r="D302" s="8">
        <v>8</v>
      </c>
      <c r="E302" s="10"/>
      <c r="F302" s="10"/>
      <c r="G302" s="10"/>
      <c r="H302" s="11">
        <v>1</v>
      </c>
      <c r="I302" s="11">
        <v>2602</v>
      </c>
      <c r="J302" s="11">
        <v>17</v>
      </c>
      <c r="K302" s="11">
        <v>17</v>
      </c>
      <c r="L302" s="11">
        <v>17</v>
      </c>
      <c r="M302" s="11">
        <v>20</v>
      </c>
      <c r="N302" s="11">
        <v>0</v>
      </c>
      <c r="O302" s="11">
        <v>30</v>
      </c>
      <c r="P302" s="11">
        <v>3</v>
      </c>
      <c r="Q302" s="11"/>
      <c r="R302" s="19"/>
      <c r="S302" s="10"/>
      <c r="T302" s="21"/>
      <c r="U302" s="12"/>
      <c r="V302" s="12">
        <f>SUM(L302:U302)</f>
        <v>70</v>
      </c>
      <c r="W302" s="10">
        <f ca="1">IFERROR(__xludf.DUMMYFUNCTION("IFERROR(
  SUM(
    FILTER(
      Reporte!$E:$E, 
      REGEXMATCH(Reporte!$A:$A, ""(?i)(TE PAGÓ|PAGASTE)""), 
      Reporte!$H:$H &amp; """" = AH302 &amp; """"
    )
  ), 
  0
)"),20)</f>
        <v>20</v>
      </c>
      <c r="X302" s="10">
        <f ca="1">IFERROR(__xludf.DUMMYFUNCTION("IFERROR(
  SUM(
    FILTER(
      Efectivo!$C:$C, 
      Efectivo!$D:$D &amp; """" = AH302 &amp; """"
    )
  ), 
  0
)"),50)</f>
        <v>50</v>
      </c>
      <c r="Y302" s="10" t="s">
        <v>34</v>
      </c>
      <c r="Z302" s="10"/>
      <c r="AA302" s="10" t="s">
        <v>35</v>
      </c>
      <c r="AB302" s="10" t="s">
        <v>384</v>
      </c>
      <c r="AC302" s="10"/>
      <c r="AD302" s="10" t="str">
        <f t="shared" si="27"/>
        <v/>
      </c>
      <c r="AE302" s="10" t="e">
        <f>IF(
   OR(
     AND(#REF!&gt;0, OR(Y302="C", Y302="c"), U302&lt;0),
     AND(#REF!&gt;0, Y302="")
   ),
   "CORTE",
   ""
)</f>
        <v>#REF!</v>
      </c>
      <c r="AF302" s="10">
        <f t="shared" si="1"/>
        <v>0</v>
      </c>
      <c r="AG302" s="10">
        <f t="shared" si="2"/>
        <v>70</v>
      </c>
      <c r="AH302" s="10" t="str">
        <f t="shared" si="28"/>
        <v>Q</v>
      </c>
      <c r="AI302" s="10" t="str">
        <f t="shared" si="29"/>
        <v>Q-8</v>
      </c>
    </row>
    <row r="303" spans="1:35" ht="15.75" customHeight="1" x14ac:dyDescent="0.35">
      <c r="A303" s="13">
        <v>302</v>
      </c>
      <c r="B303" s="14" t="s">
        <v>385</v>
      </c>
      <c r="C303" s="14" t="s">
        <v>377</v>
      </c>
      <c r="D303" s="13">
        <v>9</v>
      </c>
      <c r="E303" s="15"/>
      <c r="F303" s="15"/>
      <c r="G303" s="15"/>
      <c r="H303" s="16">
        <v>1</v>
      </c>
      <c r="I303" s="16">
        <v>227</v>
      </c>
      <c r="J303" s="16">
        <v>240</v>
      </c>
      <c r="K303" s="16">
        <v>13</v>
      </c>
      <c r="L303" s="16">
        <v>13</v>
      </c>
      <c r="M303" s="16"/>
      <c r="N303" s="16">
        <v>0</v>
      </c>
      <c r="O303" s="16"/>
      <c r="P303" s="16">
        <v>3</v>
      </c>
      <c r="Q303" s="16"/>
      <c r="R303" s="18"/>
      <c r="S303" s="15"/>
      <c r="T303" s="20"/>
      <c r="U303" s="17"/>
      <c r="V303" s="17">
        <f t="shared" ref="V303:V319" si="32">SUM(L303:Q303)</f>
        <v>16</v>
      </c>
      <c r="W303" s="15">
        <f ca="1">IFERROR(__xludf.DUMMYFUNCTION("IFERROR(
  SUM(
    FILTER(
      Reporte!$E:$E, 
      REGEXMATCH(Reporte!$A:$A, ""(?i)(TE PAGÓ|PAGASTE)""), 
      Reporte!$H:$H &amp; """" = AH303 &amp; """"
    )
  ), 
  0
)"),0)</f>
        <v>0</v>
      </c>
      <c r="X303" s="15">
        <f ca="1">IFERROR(__xludf.DUMMYFUNCTION("IFERROR(
  SUM(
    FILTER(
      Efectivo!$C:$C, 
      Efectivo!$D:$D &amp; """" = AH303 &amp; """"
    )
  ), 
  0
)"),0)</f>
        <v>0</v>
      </c>
      <c r="Y303" s="15"/>
      <c r="Z303" s="15"/>
      <c r="AA303" s="15"/>
      <c r="AB303" s="15"/>
      <c r="AC303" s="15"/>
      <c r="AD303" s="15" t="str">
        <f t="shared" si="27"/>
        <v/>
      </c>
      <c r="AE303" s="15" t="e">
        <f>IF(
   OR(
     AND(#REF!&gt;0, OR(Y303="C", Y303="c"), U303&lt;0),
     AND(#REF!&gt;0, Y303="")
   ),
   "CORTE",
   ""
)</f>
        <v>#REF!</v>
      </c>
      <c r="AF303" s="15">
        <f t="shared" si="1"/>
        <v>0</v>
      </c>
      <c r="AG303" s="15">
        <f t="shared" si="2"/>
        <v>0</v>
      </c>
      <c r="AH303" s="15" t="str">
        <f t="shared" si="28"/>
        <v>Q</v>
      </c>
      <c r="AI303" s="15" t="str">
        <f t="shared" si="29"/>
        <v>Q-9</v>
      </c>
    </row>
    <row r="304" spans="1:35" ht="15.75" customHeight="1" x14ac:dyDescent="0.35">
      <c r="A304" s="8">
        <v>303</v>
      </c>
      <c r="B304" s="9" t="s">
        <v>386</v>
      </c>
      <c r="C304" s="9" t="s">
        <v>377</v>
      </c>
      <c r="D304" s="8">
        <v>12</v>
      </c>
      <c r="E304" s="10"/>
      <c r="F304" s="10"/>
      <c r="G304" s="10"/>
      <c r="H304" s="11">
        <v>1</v>
      </c>
      <c r="I304" s="11">
        <v>1020</v>
      </c>
      <c r="J304" s="11">
        <v>1039</v>
      </c>
      <c r="K304" s="11">
        <v>19</v>
      </c>
      <c r="L304" s="11">
        <v>19</v>
      </c>
      <c r="M304" s="11"/>
      <c r="N304" s="11">
        <v>0</v>
      </c>
      <c r="O304" s="11"/>
      <c r="P304" s="11">
        <v>3</v>
      </c>
      <c r="Q304" s="11"/>
      <c r="R304" s="19"/>
      <c r="S304" s="10"/>
      <c r="T304" s="21"/>
      <c r="U304" s="12"/>
      <c r="V304" s="12">
        <f t="shared" si="32"/>
        <v>22</v>
      </c>
      <c r="W304" s="10">
        <f ca="1">IFERROR(__xludf.DUMMYFUNCTION("IFERROR(
  SUM(
    FILTER(
      Reporte!$E:$E, 
      REGEXMATCH(Reporte!$A:$A, ""(?i)(TE PAGÓ|PAGASTE)""), 
      Reporte!$H:$H &amp; """" = AH304 &amp; """"
    )
  ), 
  0
)"),0)</f>
        <v>0</v>
      </c>
      <c r="X304" s="10">
        <f ca="1">IFERROR(__xludf.DUMMYFUNCTION("IFERROR(
  SUM(
    FILTER(
      Efectivo!$C:$C, 
      Efectivo!$D:$D &amp; """" = AH304 &amp; """"
    )
  ), 
  0
)"),0)</f>
        <v>0</v>
      </c>
      <c r="Y304" s="10"/>
      <c r="Z304" s="10"/>
      <c r="AA304" s="10"/>
      <c r="AB304" s="10"/>
      <c r="AC304" s="10"/>
      <c r="AD304" s="10" t="str">
        <f t="shared" si="27"/>
        <v/>
      </c>
      <c r="AE304" s="10" t="e">
        <f>IF(
   OR(
     AND(#REF!&gt;0, OR(Y304="C", Y304="c"), U304&lt;0),
     AND(#REF!&gt;0, Y304="")
   ),
   "CORTE",
   ""
)</f>
        <v>#REF!</v>
      </c>
      <c r="AF304" s="10">
        <f t="shared" si="1"/>
        <v>0</v>
      </c>
      <c r="AG304" s="10">
        <f t="shared" si="2"/>
        <v>0</v>
      </c>
      <c r="AH304" s="10" t="str">
        <f t="shared" si="28"/>
        <v>Q</v>
      </c>
      <c r="AI304" s="10" t="str">
        <f t="shared" si="29"/>
        <v>Q-12</v>
      </c>
    </row>
    <row r="305" spans="1:35" ht="15.75" customHeight="1" x14ac:dyDescent="0.35">
      <c r="A305" s="13">
        <v>304</v>
      </c>
      <c r="B305" s="14" t="s">
        <v>387</v>
      </c>
      <c r="C305" s="14" t="s">
        <v>377</v>
      </c>
      <c r="D305" s="13">
        <v>13</v>
      </c>
      <c r="E305" s="15"/>
      <c r="F305" s="15"/>
      <c r="G305" s="15"/>
      <c r="H305" s="16">
        <v>1</v>
      </c>
      <c r="I305" s="16">
        <v>818</v>
      </c>
      <c r="J305" s="16">
        <v>831</v>
      </c>
      <c r="K305" s="16">
        <v>13</v>
      </c>
      <c r="L305" s="16">
        <v>13</v>
      </c>
      <c r="M305" s="16"/>
      <c r="N305" s="16">
        <v>0</v>
      </c>
      <c r="O305" s="16"/>
      <c r="P305" s="16">
        <v>3</v>
      </c>
      <c r="Q305" s="16"/>
      <c r="R305" s="18"/>
      <c r="S305" s="15"/>
      <c r="T305" s="20"/>
      <c r="U305" s="17"/>
      <c r="V305" s="17">
        <f t="shared" si="32"/>
        <v>16</v>
      </c>
      <c r="W305" s="15">
        <f ca="1">IFERROR(__xludf.DUMMYFUNCTION("IFERROR(
  SUM(
    FILTER(
      Reporte!$E:$E, 
      REGEXMATCH(Reporte!$A:$A, ""(?i)(TE PAGÓ|PAGASTE)""), 
      Reporte!$H:$H &amp; """" = AH305 &amp; """"
    )
  ), 
  0
)"),0)</f>
        <v>0</v>
      </c>
      <c r="X305" s="15">
        <f ca="1">IFERROR(__xludf.DUMMYFUNCTION("IFERROR(
  SUM(
    FILTER(
      Efectivo!$C:$C, 
      Efectivo!$D:$D &amp; """" = AH305 &amp; """"
    )
  ), 
  0
)"),0)</f>
        <v>0</v>
      </c>
      <c r="Y305" s="15"/>
      <c r="Z305" s="15"/>
      <c r="AA305" s="15"/>
      <c r="AB305" s="15"/>
      <c r="AC305" s="15"/>
      <c r="AD305" s="15" t="str">
        <f t="shared" si="27"/>
        <v/>
      </c>
      <c r="AE305" s="15" t="e">
        <f>IF(
   OR(
     AND(#REF!&gt;0, OR(Y305="C", Y305="c"), U305&lt;0),
     AND(#REF!&gt;0, Y305="")
   ),
   "CORTE",
   ""
)</f>
        <v>#REF!</v>
      </c>
      <c r="AF305" s="15">
        <f t="shared" si="1"/>
        <v>0</v>
      </c>
      <c r="AG305" s="15">
        <f t="shared" si="2"/>
        <v>0</v>
      </c>
      <c r="AH305" s="15" t="str">
        <f t="shared" si="28"/>
        <v>Q</v>
      </c>
      <c r="AI305" s="15" t="str">
        <f t="shared" si="29"/>
        <v>Q-13</v>
      </c>
    </row>
    <row r="306" spans="1:35" ht="15.75" customHeight="1" x14ac:dyDescent="0.35">
      <c r="A306" s="8">
        <v>305</v>
      </c>
      <c r="B306" s="9" t="s">
        <v>388</v>
      </c>
      <c r="C306" s="9" t="s">
        <v>377</v>
      </c>
      <c r="D306" s="8">
        <v>14</v>
      </c>
      <c r="E306" s="10"/>
      <c r="F306" s="10"/>
      <c r="G306" s="10"/>
      <c r="H306" s="11">
        <v>1</v>
      </c>
      <c r="I306" s="11">
        <v>1090</v>
      </c>
      <c r="J306" s="11">
        <v>1096</v>
      </c>
      <c r="K306" s="11">
        <v>6</v>
      </c>
      <c r="L306" s="11">
        <v>6</v>
      </c>
      <c r="M306" s="11"/>
      <c r="N306" s="11">
        <v>0</v>
      </c>
      <c r="O306" s="11"/>
      <c r="P306" s="11">
        <v>3</v>
      </c>
      <c r="Q306" s="11"/>
      <c r="R306" s="19"/>
      <c r="S306" s="10"/>
      <c r="T306" s="21"/>
      <c r="U306" s="12"/>
      <c r="V306" s="12">
        <f t="shared" si="32"/>
        <v>9</v>
      </c>
      <c r="W306" s="10">
        <f ca="1">IFERROR(__xludf.DUMMYFUNCTION("IFERROR(
  SUM(
    FILTER(
      Reporte!$E:$E, 
      REGEXMATCH(Reporte!$A:$A, ""(?i)(TE PAGÓ|PAGASTE)""), 
      Reporte!$H:$H &amp; """" = AH306 &amp; """"
    )
  ), 
  0
)"),0)</f>
        <v>0</v>
      </c>
      <c r="X306" s="10">
        <f ca="1">IFERROR(__xludf.DUMMYFUNCTION("IFERROR(
  SUM(
    FILTER(
      Efectivo!$C:$C, 
      Efectivo!$D:$D &amp; """" = AH306 &amp; """"
    )
  ), 
  0
)"),9)</f>
        <v>9</v>
      </c>
      <c r="Y306" s="10" t="s">
        <v>34</v>
      </c>
      <c r="Z306" s="10"/>
      <c r="AA306" s="10"/>
      <c r="AB306" s="10"/>
      <c r="AC306" s="10"/>
      <c r="AD306" s="10" t="str">
        <f t="shared" si="27"/>
        <v/>
      </c>
      <c r="AE306" s="10" t="e">
        <f>IF(
   OR(
     AND(#REF!&gt;0, OR(Y306="C", Y306="c"), U306&lt;0),
     AND(#REF!&gt;0, Y306="")
   ),
   "CORTE",
   ""
)</f>
        <v>#REF!</v>
      </c>
      <c r="AF306" s="10">
        <f t="shared" si="1"/>
        <v>9</v>
      </c>
      <c r="AG306" s="10">
        <f t="shared" si="2"/>
        <v>0</v>
      </c>
      <c r="AH306" s="10" t="str">
        <f t="shared" si="28"/>
        <v>Q</v>
      </c>
      <c r="AI306" s="10" t="str">
        <f t="shared" si="29"/>
        <v>Q-14</v>
      </c>
    </row>
    <row r="307" spans="1:35" ht="15.75" customHeight="1" x14ac:dyDescent="0.35">
      <c r="A307" s="13">
        <v>306</v>
      </c>
      <c r="B307" s="14" t="s">
        <v>389</v>
      </c>
      <c r="C307" s="14" t="s">
        <v>377</v>
      </c>
      <c r="D307" s="13">
        <v>15</v>
      </c>
      <c r="E307" s="15"/>
      <c r="F307" s="15"/>
      <c r="G307" s="15"/>
      <c r="H307" s="16">
        <v>1</v>
      </c>
      <c r="I307" s="16">
        <v>328</v>
      </c>
      <c r="J307" s="16">
        <v>331</v>
      </c>
      <c r="K307" s="16">
        <v>3</v>
      </c>
      <c r="L307" s="16">
        <v>5</v>
      </c>
      <c r="M307" s="16"/>
      <c r="N307" s="16">
        <v>0</v>
      </c>
      <c r="O307" s="16"/>
      <c r="P307" s="16">
        <v>3</v>
      </c>
      <c r="Q307" s="16"/>
      <c r="R307" s="18"/>
      <c r="S307" s="15"/>
      <c r="T307" s="20"/>
      <c r="U307" s="17"/>
      <c r="V307" s="17">
        <f t="shared" si="32"/>
        <v>8</v>
      </c>
      <c r="W307" s="15">
        <f ca="1">IFERROR(__xludf.DUMMYFUNCTION("IFERROR(
  SUM(
    FILTER(
      Reporte!$E:$E, 
      REGEXMATCH(Reporte!$A:$A, ""(?i)(TE PAGÓ|PAGASTE)""), 
      Reporte!$H:$H &amp; """" = AH307 &amp; """"
    )
  ), 
  0
)"),0)</f>
        <v>0</v>
      </c>
      <c r="X307" s="15">
        <f ca="1">IFERROR(__xludf.DUMMYFUNCTION("IFERROR(
  SUM(
    FILTER(
      Efectivo!$C:$C, 
      Efectivo!$D:$D &amp; """" = AH307 &amp; """"
    )
  ), 
  0
)"),0)</f>
        <v>0</v>
      </c>
      <c r="Y307" s="15"/>
      <c r="Z307" s="15"/>
      <c r="AA307" s="15"/>
      <c r="AB307" s="15"/>
      <c r="AC307" s="15"/>
      <c r="AD307" s="15" t="str">
        <f t="shared" si="27"/>
        <v/>
      </c>
      <c r="AE307" s="15" t="e">
        <f>IF(
   OR(
     AND(#REF!&gt;0, OR(Y307="C", Y307="c"), U307&lt;0),
     AND(#REF!&gt;0, Y307="")
   ),
   "CORTE",
   ""
)</f>
        <v>#REF!</v>
      </c>
      <c r="AF307" s="15">
        <f t="shared" si="1"/>
        <v>0</v>
      </c>
      <c r="AG307" s="15">
        <f t="shared" si="2"/>
        <v>0</v>
      </c>
      <c r="AH307" s="15" t="str">
        <f t="shared" si="28"/>
        <v>Q</v>
      </c>
      <c r="AI307" s="15" t="str">
        <f t="shared" si="29"/>
        <v>Q-15</v>
      </c>
    </row>
    <row r="308" spans="1:35" ht="15.75" customHeight="1" x14ac:dyDescent="0.35">
      <c r="A308" s="8">
        <v>307</v>
      </c>
      <c r="B308" s="9" t="s">
        <v>390</v>
      </c>
      <c r="C308" s="9" t="s">
        <v>377</v>
      </c>
      <c r="D308" s="8">
        <v>16</v>
      </c>
      <c r="E308" s="10"/>
      <c r="F308" s="10"/>
      <c r="G308" s="10"/>
      <c r="H308" s="11">
        <v>1</v>
      </c>
      <c r="I308" s="11">
        <v>148</v>
      </c>
      <c r="J308" s="11">
        <v>158</v>
      </c>
      <c r="K308" s="11">
        <v>10</v>
      </c>
      <c r="L308" s="11">
        <v>10</v>
      </c>
      <c r="M308" s="11"/>
      <c r="N308" s="11">
        <v>0</v>
      </c>
      <c r="O308" s="11"/>
      <c r="P308" s="11">
        <v>3</v>
      </c>
      <c r="Q308" s="11"/>
      <c r="R308" s="19"/>
      <c r="S308" s="10"/>
      <c r="T308" s="21"/>
      <c r="U308" s="12"/>
      <c r="V308" s="12">
        <f t="shared" si="32"/>
        <v>13</v>
      </c>
      <c r="W308" s="10">
        <f ca="1">IFERROR(__xludf.DUMMYFUNCTION("IFERROR(
  SUM(
    FILTER(
      Reporte!$E:$E, 
      REGEXMATCH(Reporte!$A:$A, ""(?i)(TE PAGÓ|PAGASTE)""), 
      Reporte!$H:$H &amp; """" = AH308 &amp; """"
    )
  ), 
  0
)"),0)</f>
        <v>0</v>
      </c>
      <c r="X308" s="10">
        <f ca="1">IFERROR(__xludf.DUMMYFUNCTION("IFERROR(
  SUM(
    FILTER(
      Efectivo!$C:$C, 
      Efectivo!$D:$D &amp; """" = AH308 &amp; """"
    )
  ), 
  0
)"),0)</f>
        <v>0</v>
      </c>
      <c r="Y308" s="10"/>
      <c r="Z308" s="10"/>
      <c r="AA308" s="10"/>
      <c r="AB308" s="10"/>
      <c r="AC308" s="10"/>
      <c r="AD308" s="10" t="str">
        <f t="shared" si="27"/>
        <v/>
      </c>
      <c r="AE308" s="10" t="e">
        <f>IF(
   OR(
     AND(#REF!&gt;0, OR(Y308="C", Y308="c"), U308&lt;0),
     AND(#REF!&gt;0, Y308="")
   ),
   "CORTE",
   ""
)</f>
        <v>#REF!</v>
      </c>
      <c r="AF308" s="10">
        <f t="shared" si="1"/>
        <v>0</v>
      </c>
      <c r="AG308" s="10">
        <f t="shared" si="2"/>
        <v>0</v>
      </c>
      <c r="AH308" s="10" t="str">
        <f t="shared" si="28"/>
        <v>Q</v>
      </c>
      <c r="AI308" s="10" t="str">
        <f t="shared" si="29"/>
        <v>Q-16</v>
      </c>
    </row>
    <row r="309" spans="1:35" ht="15.75" customHeight="1" x14ac:dyDescent="0.35">
      <c r="A309" s="13">
        <v>308</v>
      </c>
      <c r="B309" s="14" t="s">
        <v>391</v>
      </c>
      <c r="C309" s="14" t="s">
        <v>392</v>
      </c>
      <c r="D309" s="13">
        <v>1</v>
      </c>
      <c r="E309" s="15"/>
      <c r="F309" s="15"/>
      <c r="G309" s="15"/>
      <c r="H309" s="16">
        <v>1</v>
      </c>
      <c r="I309" s="16">
        <v>220</v>
      </c>
      <c r="J309" s="16">
        <v>228</v>
      </c>
      <c r="K309" s="16">
        <v>8</v>
      </c>
      <c r="L309" s="16">
        <v>8</v>
      </c>
      <c r="M309" s="16">
        <v>12</v>
      </c>
      <c r="N309" s="16">
        <v>0</v>
      </c>
      <c r="O309" s="16"/>
      <c r="P309" s="16">
        <v>3</v>
      </c>
      <c r="Q309" s="16"/>
      <c r="R309" s="18"/>
      <c r="S309" s="15"/>
      <c r="T309" s="20"/>
      <c r="U309" s="17"/>
      <c r="V309" s="17">
        <f t="shared" si="32"/>
        <v>23</v>
      </c>
      <c r="W309" s="15">
        <f ca="1">IFERROR(__xludf.DUMMYFUNCTION("IFERROR(
  SUM(
    FILTER(
      Reporte!$E:$E, 
      REGEXMATCH(Reporte!$A:$A, ""(?i)(TE PAGÓ|PAGASTE)""), 
      Reporte!$H:$H &amp; """" = AH309 &amp; """"
    )
  ), 
  0
)"),23)</f>
        <v>23</v>
      </c>
      <c r="X309" s="15">
        <f ca="1">IFERROR(__xludf.DUMMYFUNCTION("IFERROR(
  SUM(
    FILTER(
      Efectivo!$C:$C, 
      Efectivo!$D:$D &amp; """" = AH309 &amp; """"
    )
  ), 
  0
)"),0)</f>
        <v>0</v>
      </c>
      <c r="Y309" s="15" t="s">
        <v>34</v>
      </c>
      <c r="Z309" s="15"/>
      <c r="AA309" s="15" t="s">
        <v>35</v>
      </c>
      <c r="AB309" s="15"/>
      <c r="AC309" s="15"/>
      <c r="AD309" s="15" t="str">
        <f t="shared" si="27"/>
        <v/>
      </c>
      <c r="AE309" s="15" t="e">
        <f>IF(
   OR(
     AND(#REF!&gt;0, OR(Y309="C", Y309="c"), U309&lt;0),
     AND(#REF!&gt;0, Y309="")
   ),
   "CORTE",
   ""
)</f>
        <v>#REF!</v>
      </c>
      <c r="AF309" s="15">
        <f t="shared" si="1"/>
        <v>0</v>
      </c>
      <c r="AG309" s="15">
        <f t="shared" si="2"/>
        <v>23</v>
      </c>
      <c r="AH309" s="15" t="str">
        <f t="shared" si="28"/>
        <v>R</v>
      </c>
      <c r="AI309" s="15" t="str">
        <f t="shared" si="29"/>
        <v>R-1</v>
      </c>
    </row>
    <row r="310" spans="1:35" ht="15.75" customHeight="1" x14ac:dyDescent="0.35">
      <c r="A310" s="8">
        <v>309</v>
      </c>
      <c r="B310" s="9" t="s">
        <v>393</v>
      </c>
      <c r="C310" s="9" t="s">
        <v>392</v>
      </c>
      <c r="D310" s="8">
        <v>2</v>
      </c>
      <c r="E310" s="10"/>
      <c r="F310" s="10"/>
      <c r="G310" s="10"/>
      <c r="H310" s="11">
        <v>1</v>
      </c>
      <c r="I310" s="11">
        <v>2</v>
      </c>
      <c r="J310" s="11">
        <v>11</v>
      </c>
      <c r="K310" s="11">
        <v>9</v>
      </c>
      <c r="L310" s="11">
        <v>9</v>
      </c>
      <c r="M310" s="11"/>
      <c r="N310" s="11">
        <v>0</v>
      </c>
      <c r="O310" s="11">
        <v>25</v>
      </c>
      <c r="P310" s="11">
        <v>3</v>
      </c>
      <c r="Q310" s="11"/>
      <c r="R310" s="19"/>
      <c r="S310" s="10"/>
      <c r="T310" s="21"/>
      <c r="U310" s="12"/>
      <c r="V310" s="12">
        <f t="shared" si="32"/>
        <v>37</v>
      </c>
      <c r="W310" s="10">
        <f ca="1">IFERROR(__xludf.DUMMYFUNCTION("IFERROR(
  SUM(
    FILTER(
      Reporte!$E:$E, 
      REGEXMATCH(Reporte!$A:$A, ""(?i)(TE PAGÓ|PAGASTE)""), 
      Reporte!$H:$H &amp; """" = AH310 &amp; """"
    )
  ), 
  0
)"),37)</f>
        <v>37</v>
      </c>
      <c r="X310" s="10">
        <f ca="1">IFERROR(__xludf.DUMMYFUNCTION("IFERROR(
  SUM(
    FILTER(
      Efectivo!$C:$C, 
      Efectivo!$D:$D &amp; """" = AH310 &amp; """"
    )
  ), 
  0
)"),0)</f>
        <v>0</v>
      </c>
      <c r="Y310" s="10" t="s">
        <v>34</v>
      </c>
      <c r="Z310" s="10"/>
      <c r="AA310" s="10" t="s">
        <v>35</v>
      </c>
      <c r="AB310" s="10"/>
      <c r="AC310" s="10"/>
      <c r="AD310" s="10" t="str">
        <f t="shared" si="27"/>
        <v/>
      </c>
      <c r="AE310" s="10" t="e">
        <f>IF(
   OR(
     AND(#REF!&gt;0, OR(Y310="C", Y310="c"), U310&lt;0),
     AND(#REF!&gt;0, Y310="")
   ),
   "CORTE",
   ""
)</f>
        <v>#REF!</v>
      </c>
      <c r="AF310" s="10">
        <f t="shared" si="1"/>
        <v>0</v>
      </c>
      <c r="AG310" s="10">
        <f t="shared" si="2"/>
        <v>37</v>
      </c>
      <c r="AH310" s="10" t="str">
        <f t="shared" si="28"/>
        <v>R</v>
      </c>
      <c r="AI310" s="10" t="str">
        <f t="shared" si="29"/>
        <v>R-2</v>
      </c>
    </row>
    <row r="311" spans="1:35" ht="15.75" customHeight="1" x14ac:dyDescent="0.35">
      <c r="A311" s="13">
        <v>310</v>
      </c>
      <c r="B311" s="14" t="s">
        <v>394</v>
      </c>
      <c r="C311" s="14" t="s">
        <v>392</v>
      </c>
      <c r="D311" s="13">
        <v>3</v>
      </c>
      <c r="E311" s="15"/>
      <c r="F311" s="15"/>
      <c r="G311" s="15"/>
      <c r="H311" s="16">
        <v>1</v>
      </c>
      <c r="I311" s="16">
        <v>133</v>
      </c>
      <c r="J311" s="16">
        <v>140</v>
      </c>
      <c r="K311" s="16">
        <v>7</v>
      </c>
      <c r="L311" s="16">
        <v>7</v>
      </c>
      <c r="M311" s="16">
        <v>10</v>
      </c>
      <c r="N311" s="16">
        <v>0</v>
      </c>
      <c r="O311" s="16"/>
      <c r="P311" s="16">
        <v>3</v>
      </c>
      <c r="Q311" s="16"/>
      <c r="R311" s="18"/>
      <c r="S311" s="15"/>
      <c r="T311" s="20"/>
      <c r="U311" s="17"/>
      <c r="V311" s="17">
        <f t="shared" si="32"/>
        <v>20</v>
      </c>
      <c r="W311" s="15">
        <f ca="1">IFERROR(__xludf.DUMMYFUNCTION("IFERROR(
  SUM(
    FILTER(
      Reporte!$E:$E, 
      REGEXMATCH(Reporte!$A:$A, ""(?i)(TE PAGÓ|PAGASTE)""), 
      Reporte!$H:$H &amp; """" = AH311 &amp; """"
    )
  ), 
  0
)"),0)</f>
        <v>0</v>
      </c>
      <c r="X311" s="15">
        <f ca="1">IFERROR(__xludf.DUMMYFUNCTION("IFERROR(
  SUM(
    FILTER(
      Efectivo!$C:$C, 
      Efectivo!$D:$D &amp; """" = AH311 &amp; """"
    )
  ), 
  0
)"),20)</f>
        <v>20</v>
      </c>
      <c r="Y311" s="15" t="s">
        <v>34</v>
      </c>
      <c r="Z311" s="15"/>
      <c r="AA311" s="15"/>
      <c r="AB311" s="15"/>
      <c r="AC311" s="15"/>
      <c r="AD311" s="15" t="str">
        <f t="shared" si="27"/>
        <v/>
      </c>
      <c r="AE311" s="15" t="e">
        <f>IF(
   OR(
     AND(#REF!&gt;0, OR(Y311="C", Y311="c"), U311&lt;0),
     AND(#REF!&gt;0, Y311="")
   ),
   "CORTE",
   ""
)</f>
        <v>#REF!</v>
      </c>
      <c r="AF311" s="15">
        <f t="shared" si="1"/>
        <v>20</v>
      </c>
      <c r="AG311" s="15">
        <f t="shared" si="2"/>
        <v>0</v>
      </c>
      <c r="AH311" s="15" t="str">
        <f t="shared" si="28"/>
        <v>R</v>
      </c>
      <c r="AI311" s="15" t="str">
        <f t="shared" si="29"/>
        <v>R-3</v>
      </c>
    </row>
    <row r="312" spans="1:35" ht="15.75" customHeight="1" x14ac:dyDescent="0.35">
      <c r="A312" s="8">
        <v>311</v>
      </c>
      <c r="B312" s="9" t="s">
        <v>395</v>
      </c>
      <c r="C312" s="9" t="s">
        <v>392</v>
      </c>
      <c r="D312" s="8">
        <v>4</v>
      </c>
      <c r="E312" s="10"/>
      <c r="F312" s="10"/>
      <c r="G312" s="10"/>
      <c r="H312" s="11">
        <v>1</v>
      </c>
      <c r="I312" s="11">
        <v>766</v>
      </c>
      <c r="J312" s="11">
        <v>772</v>
      </c>
      <c r="K312" s="11">
        <v>6</v>
      </c>
      <c r="L312" s="11">
        <v>6</v>
      </c>
      <c r="M312" s="11"/>
      <c r="N312" s="11">
        <v>0</v>
      </c>
      <c r="O312" s="11"/>
      <c r="P312" s="11">
        <v>3</v>
      </c>
      <c r="Q312" s="11"/>
      <c r="R312" s="19"/>
      <c r="S312" s="10"/>
      <c r="T312" s="21"/>
      <c r="U312" s="12"/>
      <c r="V312" s="12">
        <f t="shared" si="32"/>
        <v>9</v>
      </c>
      <c r="W312" s="10">
        <f ca="1">IFERROR(__xludf.DUMMYFUNCTION("IFERROR(
  SUM(
    FILTER(
      Reporte!$E:$E, 
      REGEXMATCH(Reporte!$A:$A, ""(?i)(TE PAGÓ|PAGASTE)""), 
      Reporte!$H:$H &amp; """" = AH312 &amp; """"
    )
  ), 
  0
)"),9)</f>
        <v>9</v>
      </c>
      <c r="X312" s="10">
        <f ca="1">IFERROR(__xludf.DUMMYFUNCTION("IFERROR(
  SUM(
    FILTER(
      Efectivo!$C:$C, 
      Efectivo!$D:$D &amp; """" = AH312 &amp; """"
    )
  ), 
  0
)"),0)</f>
        <v>0</v>
      </c>
      <c r="Y312" s="10" t="s">
        <v>34</v>
      </c>
      <c r="Z312" s="10"/>
      <c r="AA312" s="10" t="s">
        <v>35</v>
      </c>
      <c r="AB312" s="10"/>
      <c r="AC312" s="10"/>
      <c r="AD312" s="10" t="str">
        <f t="shared" si="27"/>
        <v/>
      </c>
      <c r="AE312" s="10" t="e">
        <f>IF(
   OR(
     AND(#REF!&gt;0, OR(Y312="C", Y312="c"), U312&lt;0),
     AND(#REF!&gt;0, Y312="")
   ),
   "CORTE",
   ""
)</f>
        <v>#REF!</v>
      </c>
      <c r="AF312" s="10">
        <f t="shared" si="1"/>
        <v>0</v>
      </c>
      <c r="AG312" s="10">
        <f t="shared" si="2"/>
        <v>9</v>
      </c>
      <c r="AH312" s="10" t="str">
        <f t="shared" si="28"/>
        <v>R</v>
      </c>
      <c r="AI312" s="10" t="str">
        <f t="shared" si="29"/>
        <v>R-4</v>
      </c>
    </row>
    <row r="313" spans="1:35" ht="15.75" customHeight="1" x14ac:dyDescent="0.35">
      <c r="A313" s="13">
        <v>312</v>
      </c>
      <c r="B313" s="14" t="s">
        <v>396</v>
      </c>
      <c r="C313" s="14" t="s">
        <v>392</v>
      </c>
      <c r="D313" s="13">
        <v>5</v>
      </c>
      <c r="E313" s="15"/>
      <c r="F313" s="15"/>
      <c r="G313" s="15"/>
      <c r="H313" s="16">
        <v>1</v>
      </c>
      <c r="I313" s="16">
        <v>461</v>
      </c>
      <c r="J313" s="16">
        <v>463</v>
      </c>
      <c r="K313" s="16">
        <v>2</v>
      </c>
      <c r="L313" s="16">
        <v>5</v>
      </c>
      <c r="M313" s="16"/>
      <c r="N313" s="16">
        <v>0</v>
      </c>
      <c r="O313" s="16"/>
      <c r="P313" s="16">
        <v>3</v>
      </c>
      <c r="Q313" s="16"/>
      <c r="R313" s="18"/>
      <c r="S313" s="15"/>
      <c r="T313" s="20"/>
      <c r="U313" s="17"/>
      <c r="V313" s="17">
        <f t="shared" si="32"/>
        <v>8</v>
      </c>
      <c r="W313" s="15">
        <f ca="1">IFERROR(__xludf.DUMMYFUNCTION("IFERROR(
  SUM(
    FILTER(
      Reporte!$E:$E, 
      REGEXMATCH(Reporte!$A:$A, ""(?i)(TE PAGÓ|PAGASTE)""), 
      Reporte!$H:$H &amp; """" = AH313 &amp; """"
    )
  ), 
  0
)"),0)</f>
        <v>0</v>
      </c>
      <c r="X313" s="15">
        <f ca="1">IFERROR(__xludf.DUMMYFUNCTION("IFERROR(
  SUM(
    FILTER(
      Efectivo!$C:$C, 
      Efectivo!$D:$D &amp; """" = AH313 &amp; """"
    )
  ), 
  0
)"),0)</f>
        <v>0</v>
      </c>
      <c r="Y313" s="15"/>
      <c r="Z313" s="15"/>
      <c r="AA313" s="15"/>
      <c r="AB313" s="15"/>
      <c r="AC313" s="15"/>
      <c r="AD313" s="15" t="str">
        <f t="shared" si="27"/>
        <v/>
      </c>
      <c r="AE313" s="15" t="e">
        <f>IF(
   OR(
     AND(#REF!&gt;0, OR(Y313="C", Y313="c"), U313&lt;0),
     AND(#REF!&gt;0, Y313="")
   ),
   "CORTE",
   ""
)</f>
        <v>#REF!</v>
      </c>
      <c r="AF313" s="15">
        <f t="shared" si="1"/>
        <v>0</v>
      </c>
      <c r="AG313" s="15">
        <f t="shared" si="2"/>
        <v>0</v>
      </c>
      <c r="AH313" s="15" t="str">
        <f t="shared" si="28"/>
        <v>R</v>
      </c>
      <c r="AI313" s="15" t="str">
        <f t="shared" si="29"/>
        <v>R-5</v>
      </c>
    </row>
    <row r="314" spans="1:35" ht="15.75" customHeight="1" x14ac:dyDescent="0.35">
      <c r="A314" s="8">
        <v>313</v>
      </c>
      <c r="B314" s="9" t="s">
        <v>397</v>
      </c>
      <c r="C314" s="9" t="s">
        <v>392</v>
      </c>
      <c r="D314" s="8">
        <v>7</v>
      </c>
      <c r="E314" s="10"/>
      <c r="F314" s="10"/>
      <c r="G314" s="10"/>
      <c r="H314" s="11">
        <v>1</v>
      </c>
      <c r="I314" s="11">
        <v>257</v>
      </c>
      <c r="J314" s="11">
        <v>269</v>
      </c>
      <c r="K314" s="11">
        <v>12</v>
      </c>
      <c r="L314" s="11">
        <v>12</v>
      </c>
      <c r="M314" s="11">
        <v>17</v>
      </c>
      <c r="N314" s="11">
        <v>0</v>
      </c>
      <c r="O314" s="11"/>
      <c r="P314" s="11">
        <v>3</v>
      </c>
      <c r="Q314" s="11"/>
      <c r="R314" s="19"/>
      <c r="S314" s="10"/>
      <c r="T314" s="21"/>
      <c r="U314" s="12"/>
      <c r="V314" s="12">
        <f t="shared" si="32"/>
        <v>32</v>
      </c>
      <c r="W314" s="10">
        <f ca="1">IFERROR(__xludf.DUMMYFUNCTION("IFERROR(
  SUM(
    FILTER(
      Reporte!$E:$E, 
      REGEXMATCH(Reporte!$A:$A, ""(?i)(TE PAGÓ|PAGASTE)""), 
      Reporte!$H:$H &amp; """" = AH314 &amp; """"
    )
  ), 
  0
)"),32)</f>
        <v>32</v>
      </c>
      <c r="X314" s="10">
        <f ca="1">IFERROR(__xludf.DUMMYFUNCTION("IFERROR(
  SUM(
    FILTER(
      Efectivo!$C:$C, 
      Efectivo!$D:$D &amp; """" = AH314 &amp; """"
    )
  ), 
  0
)"),0)</f>
        <v>0</v>
      </c>
      <c r="Y314" s="10" t="s">
        <v>34</v>
      </c>
      <c r="Z314" s="10"/>
      <c r="AA314" s="10" t="s">
        <v>35</v>
      </c>
      <c r="AB314" s="10"/>
      <c r="AC314" s="10"/>
      <c r="AD314" s="10" t="str">
        <f t="shared" si="27"/>
        <v/>
      </c>
      <c r="AE314" s="10" t="e">
        <f>IF(
   OR(
     AND(#REF!&gt;0, OR(Y314="C", Y314="c"), U314&lt;0),
     AND(#REF!&gt;0, Y314="")
   ),
   "CORTE",
   ""
)</f>
        <v>#REF!</v>
      </c>
      <c r="AF314" s="10">
        <f t="shared" si="1"/>
        <v>0</v>
      </c>
      <c r="AG314" s="10">
        <f t="shared" si="2"/>
        <v>32</v>
      </c>
      <c r="AH314" s="10" t="str">
        <f t="shared" si="28"/>
        <v>R</v>
      </c>
      <c r="AI314" s="10" t="str">
        <f t="shared" si="29"/>
        <v>R-7</v>
      </c>
    </row>
    <row r="315" spans="1:35" ht="15.75" customHeight="1" x14ac:dyDescent="0.35">
      <c r="A315" s="13">
        <v>314</v>
      </c>
      <c r="B315" s="14" t="s">
        <v>398</v>
      </c>
      <c r="C315" s="14" t="s">
        <v>392</v>
      </c>
      <c r="D315" s="13">
        <v>8</v>
      </c>
      <c r="E315" s="15"/>
      <c r="F315" s="15"/>
      <c r="G315" s="15"/>
      <c r="H315" s="16">
        <v>1</v>
      </c>
      <c r="I315" s="16">
        <v>2079</v>
      </c>
      <c r="J315" s="16">
        <v>2088</v>
      </c>
      <c r="K315" s="16">
        <v>9</v>
      </c>
      <c r="L315" s="16">
        <v>9</v>
      </c>
      <c r="M315" s="16"/>
      <c r="N315" s="16">
        <v>0</v>
      </c>
      <c r="O315" s="16"/>
      <c r="P315" s="16">
        <v>3</v>
      </c>
      <c r="Q315" s="16"/>
      <c r="R315" s="18"/>
      <c r="S315" s="15"/>
      <c r="T315" s="20"/>
      <c r="U315" s="17"/>
      <c r="V315" s="17">
        <f t="shared" si="32"/>
        <v>12</v>
      </c>
      <c r="W315" s="15">
        <f ca="1">IFERROR(__xludf.DUMMYFUNCTION("IFERROR(
  SUM(
    FILTER(
      Reporte!$E:$E, 
      REGEXMATCH(Reporte!$A:$A, ""(?i)(TE PAGÓ|PAGASTE)""), 
      Reporte!$H:$H &amp; """" = AH315 &amp; """"
    )
  ), 
  0
)"),0)</f>
        <v>0</v>
      </c>
      <c r="X315" s="15">
        <f ca="1">IFERROR(__xludf.DUMMYFUNCTION("IFERROR(
  SUM(
    FILTER(
      Efectivo!$C:$C, 
      Efectivo!$D:$D &amp; """" = AH315 &amp; """"
    )
  ), 
  0
)"),0)</f>
        <v>0</v>
      </c>
      <c r="Y315" s="15"/>
      <c r="Z315" s="15"/>
      <c r="AA315" s="15"/>
      <c r="AB315" s="15"/>
      <c r="AC315" s="15"/>
      <c r="AD315" s="15" t="str">
        <f t="shared" si="27"/>
        <v/>
      </c>
      <c r="AE315" s="15" t="e">
        <f>IF(
   OR(
     AND(#REF!&gt;0, OR(Y315="C", Y315="c"), U315&lt;0),
     AND(#REF!&gt;0, Y315="")
   ),
   "CORTE",
   ""
)</f>
        <v>#REF!</v>
      </c>
      <c r="AF315" s="15">
        <f t="shared" si="1"/>
        <v>0</v>
      </c>
      <c r="AG315" s="15">
        <f t="shared" si="2"/>
        <v>0</v>
      </c>
      <c r="AH315" s="15" t="str">
        <f t="shared" si="28"/>
        <v>R</v>
      </c>
      <c r="AI315" s="15" t="str">
        <f t="shared" si="29"/>
        <v>R-8</v>
      </c>
    </row>
    <row r="316" spans="1:35" ht="15.75" customHeight="1" x14ac:dyDescent="0.35">
      <c r="A316" s="8">
        <v>315</v>
      </c>
      <c r="B316" s="9" t="s">
        <v>399</v>
      </c>
      <c r="C316" s="9" t="s">
        <v>400</v>
      </c>
      <c r="D316" s="8">
        <v>1</v>
      </c>
      <c r="E316" s="10"/>
      <c r="F316" s="10"/>
      <c r="G316" s="10"/>
      <c r="H316" s="11">
        <v>1</v>
      </c>
      <c r="I316" s="11">
        <v>623</v>
      </c>
      <c r="J316" s="11">
        <v>641</v>
      </c>
      <c r="K316" s="11">
        <v>18</v>
      </c>
      <c r="L316" s="11">
        <v>18</v>
      </c>
      <c r="M316" s="11">
        <v>23</v>
      </c>
      <c r="N316" s="11">
        <v>20</v>
      </c>
      <c r="O316" s="11"/>
      <c r="P316" s="11">
        <v>3</v>
      </c>
      <c r="Q316" s="11"/>
      <c r="R316" s="19"/>
      <c r="S316" s="10"/>
      <c r="T316" s="21"/>
      <c r="U316" s="12"/>
      <c r="V316" s="12">
        <f t="shared" si="32"/>
        <v>64</v>
      </c>
      <c r="W316" s="10">
        <f ca="1">IFERROR(__xludf.DUMMYFUNCTION("IFERROR(
  SUM(
    FILTER(
      Reporte!$E:$E, 
      REGEXMATCH(Reporte!$A:$A, ""(?i)(TE PAGÓ|PAGASTE)""), 
      Reporte!$H:$H &amp; """" = AH316 &amp; """"
    )
  ), 
  0
)"),64)</f>
        <v>64</v>
      </c>
      <c r="X316" s="10">
        <f ca="1">IFERROR(__xludf.DUMMYFUNCTION("IFERROR(
  SUM(
    FILTER(
      Efectivo!$C:$C, 
      Efectivo!$D:$D &amp; """" = AH316 &amp; """"
    )
  ), 
  0
)"),0)</f>
        <v>0</v>
      </c>
      <c r="Y316" s="10" t="s">
        <v>34</v>
      </c>
      <c r="Z316" s="10"/>
      <c r="AA316" s="10" t="s">
        <v>35</v>
      </c>
      <c r="AB316" s="10"/>
      <c r="AC316" s="10"/>
      <c r="AD316" s="10" t="str">
        <f t="shared" si="27"/>
        <v/>
      </c>
      <c r="AE316" s="10" t="e">
        <f>IF(
   OR(
     AND(#REF!&gt;0, OR(Y316="C", Y316="c"), U316&lt;0),
     AND(#REF!&gt;0, Y316="")
   ),
   "CORTE",
   ""
)</f>
        <v>#REF!</v>
      </c>
      <c r="AF316" s="10">
        <f t="shared" si="1"/>
        <v>0</v>
      </c>
      <c r="AG316" s="10">
        <f t="shared" si="2"/>
        <v>64</v>
      </c>
      <c r="AH316" s="10" t="str">
        <f t="shared" si="28"/>
        <v>S</v>
      </c>
      <c r="AI316" s="10" t="str">
        <f t="shared" si="29"/>
        <v>S-1</v>
      </c>
    </row>
    <row r="317" spans="1:35" ht="15.75" customHeight="1" x14ac:dyDescent="0.35">
      <c r="A317" s="13">
        <v>316</v>
      </c>
      <c r="B317" s="14" t="s">
        <v>401</v>
      </c>
      <c r="C317" s="14" t="s">
        <v>400</v>
      </c>
      <c r="D317" s="13">
        <v>2</v>
      </c>
      <c r="E317" s="15"/>
      <c r="F317" s="15"/>
      <c r="G317" s="15"/>
      <c r="H317" s="16">
        <v>1</v>
      </c>
      <c r="I317" s="16">
        <v>2115</v>
      </c>
      <c r="J317" s="16">
        <v>2136</v>
      </c>
      <c r="K317" s="16">
        <v>21</v>
      </c>
      <c r="L317" s="16">
        <v>21</v>
      </c>
      <c r="M317" s="16"/>
      <c r="N317" s="16">
        <v>0</v>
      </c>
      <c r="O317" s="16"/>
      <c r="P317" s="16">
        <v>3</v>
      </c>
      <c r="Q317" s="16"/>
      <c r="R317" s="18"/>
      <c r="S317" s="15"/>
      <c r="T317" s="20"/>
      <c r="U317" s="17"/>
      <c r="V317" s="17">
        <f t="shared" si="32"/>
        <v>24</v>
      </c>
      <c r="W317" s="15">
        <f ca="1">IFERROR(__xludf.DUMMYFUNCTION("IFERROR(
  SUM(
    FILTER(
      Reporte!$E:$E, 
      REGEXMATCH(Reporte!$A:$A, ""(?i)(TE PAGÓ|PAGASTE)""), 
      Reporte!$H:$H &amp; """" = AH317 &amp; """"
    )
  ), 
  0
)"),24)</f>
        <v>24</v>
      </c>
      <c r="X317" s="15">
        <f ca="1">IFERROR(__xludf.DUMMYFUNCTION("IFERROR(
  SUM(
    FILTER(
      Efectivo!$C:$C, 
      Efectivo!$D:$D &amp; """" = AH317 &amp; """"
    )
  ), 
  0
)"),0)</f>
        <v>0</v>
      </c>
      <c r="Y317" s="15" t="s">
        <v>34</v>
      </c>
      <c r="Z317" s="15"/>
      <c r="AA317" s="15" t="s">
        <v>35</v>
      </c>
      <c r="AB317" s="15"/>
      <c r="AC317" s="15"/>
      <c r="AD317" s="15" t="str">
        <f t="shared" si="27"/>
        <v/>
      </c>
      <c r="AE317" s="15" t="e">
        <f>IF(
   OR(
     AND(#REF!&gt;0, OR(Y317="C", Y317="c"), U317&lt;0),
     AND(#REF!&gt;0, Y317="")
   ),
   "CORTE",
   ""
)</f>
        <v>#REF!</v>
      </c>
      <c r="AF317" s="15">
        <f t="shared" si="1"/>
        <v>0</v>
      </c>
      <c r="AG317" s="15">
        <f t="shared" si="2"/>
        <v>24</v>
      </c>
      <c r="AH317" s="15" t="str">
        <f t="shared" si="28"/>
        <v>S</v>
      </c>
      <c r="AI317" s="15" t="str">
        <f t="shared" si="29"/>
        <v>S-2</v>
      </c>
    </row>
    <row r="318" spans="1:35" ht="15.75" customHeight="1" x14ac:dyDescent="0.35">
      <c r="A318" s="8">
        <v>317</v>
      </c>
      <c r="B318" s="9" t="s">
        <v>402</v>
      </c>
      <c r="C318" s="9" t="s">
        <v>400</v>
      </c>
      <c r="D318" s="8">
        <v>3</v>
      </c>
      <c r="E318" s="10"/>
      <c r="F318" s="10"/>
      <c r="G318" s="10"/>
      <c r="H318" s="11">
        <v>1</v>
      </c>
      <c r="I318" s="11">
        <v>1</v>
      </c>
      <c r="J318" s="11">
        <v>10</v>
      </c>
      <c r="K318" s="11">
        <v>9</v>
      </c>
      <c r="L318" s="11">
        <v>9</v>
      </c>
      <c r="M318" s="11">
        <v>13</v>
      </c>
      <c r="N318" s="11">
        <v>0</v>
      </c>
      <c r="O318" s="11">
        <v>25</v>
      </c>
      <c r="P318" s="11">
        <v>3</v>
      </c>
      <c r="Q318" s="11"/>
      <c r="R318" s="19"/>
      <c r="S318" s="10"/>
      <c r="T318" s="21"/>
      <c r="U318" s="12"/>
      <c r="V318" s="12">
        <f t="shared" si="32"/>
        <v>50</v>
      </c>
      <c r="W318" s="10">
        <f ca="1">IFERROR(__xludf.DUMMYFUNCTION("IFERROR(
  SUM(
    FILTER(
      Reporte!$E:$E, 
      REGEXMATCH(Reporte!$A:$A, ""(?i)(TE PAGÓ|PAGASTE)""), 
      Reporte!$H:$H &amp; """" = AH318 &amp; """"
    )
  ), 
  0
)"),50)</f>
        <v>50</v>
      </c>
      <c r="X318" s="10">
        <f ca="1">IFERROR(__xludf.DUMMYFUNCTION("IFERROR(
  SUM(
    FILTER(
      Efectivo!$C:$C, 
      Efectivo!$D:$D &amp; """" = AH318 &amp; """"
    )
  ), 
  0
)"),0)</f>
        <v>0</v>
      </c>
      <c r="Y318" s="10" t="s">
        <v>34</v>
      </c>
      <c r="Z318" s="10"/>
      <c r="AA318" s="10" t="s">
        <v>35</v>
      </c>
      <c r="AB318" s="10"/>
      <c r="AC318" s="10"/>
      <c r="AD318" s="10" t="str">
        <f t="shared" si="27"/>
        <v/>
      </c>
      <c r="AE318" s="10" t="e">
        <f>IF(
   OR(
     AND(#REF!&gt;0, OR(Y318="C", Y318="c"), U318&lt;0),
     AND(#REF!&gt;0, Y318="")
   ),
   "CORTE",
   ""
)</f>
        <v>#REF!</v>
      </c>
      <c r="AF318" s="10">
        <f t="shared" si="1"/>
        <v>0</v>
      </c>
      <c r="AG318" s="10">
        <f t="shared" si="2"/>
        <v>50</v>
      </c>
      <c r="AH318" s="10" t="str">
        <f t="shared" si="28"/>
        <v>S</v>
      </c>
      <c r="AI318" s="10" t="str">
        <f t="shared" si="29"/>
        <v>S-3</v>
      </c>
    </row>
    <row r="319" spans="1:35" ht="15.75" customHeight="1" x14ac:dyDescent="0.35">
      <c r="A319" s="13">
        <v>318</v>
      </c>
      <c r="B319" s="14" t="s">
        <v>403</v>
      </c>
      <c r="C319" s="14" t="s">
        <v>400</v>
      </c>
      <c r="D319" s="13">
        <v>4</v>
      </c>
      <c r="E319" s="15"/>
      <c r="F319" s="15"/>
      <c r="G319" s="15"/>
      <c r="H319" s="16">
        <v>1</v>
      </c>
      <c r="I319" s="16">
        <v>5</v>
      </c>
      <c r="J319" s="16">
        <v>26</v>
      </c>
      <c r="K319" s="16">
        <v>21</v>
      </c>
      <c r="L319" s="16">
        <v>21</v>
      </c>
      <c r="M319" s="16"/>
      <c r="N319" s="16">
        <v>0</v>
      </c>
      <c r="O319" s="16">
        <v>25</v>
      </c>
      <c r="P319" s="16">
        <v>3</v>
      </c>
      <c r="Q319" s="16"/>
      <c r="R319" s="18"/>
      <c r="S319" s="15"/>
      <c r="T319" s="20"/>
      <c r="U319" s="17"/>
      <c r="V319" s="17">
        <f t="shared" si="32"/>
        <v>49</v>
      </c>
      <c r="W319" s="15">
        <f ca="1">IFERROR(__xludf.DUMMYFUNCTION("IFERROR(
  SUM(
    FILTER(
      Reporte!$E:$E, 
      REGEXMATCH(Reporte!$A:$A, ""(?i)(TE PAGÓ|PAGASTE)""), 
      Reporte!$H:$H &amp; """" = AH319 &amp; """"
    )
  ), 
  0
)"),49)</f>
        <v>49</v>
      </c>
      <c r="X319" s="15">
        <f ca="1">IFERROR(__xludf.DUMMYFUNCTION("IFERROR(
  SUM(
    FILTER(
      Efectivo!$C:$C, 
      Efectivo!$D:$D &amp; """" = AH319 &amp; """"
    )
  ), 
  0
)"),0)</f>
        <v>0</v>
      </c>
      <c r="Y319" s="15" t="s">
        <v>34</v>
      </c>
      <c r="Z319" s="15"/>
      <c r="AA319" s="15" t="s">
        <v>35</v>
      </c>
      <c r="AB319" s="15"/>
      <c r="AC319" s="15"/>
      <c r="AD319" s="15" t="str">
        <f t="shared" si="27"/>
        <v/>
      </c>
      <c r="AE319" s="15" t="e">
        <f>IF(
   OR(
     AND(#REF!&gt;0, OR(Y319="C", Y319="c"), U319&lt;0),
     AND(#REF!&gt;0, Y319="")
   ),
   "CORTE",
   ""
)</f>
        <v>#REF!</v>
      </c>
      <c r="AF319" s="15">
        <f t="shared" si="1"/>
        <v>0</v>
      </c>
      <c r="AG319" s="15">
        <f t="shared" si="2"/>
        <v>49</v>
      </c>
      <c r="AH319" s="15" t="str">
        <f t="shared" si="28"/>
        <v>S</v>
      </c>
      <c r="AI319" s="15" t="str">
        <f t="shared" si="29"/>
        <v>S-4</v>
      </c>
    </row>
    <row r="320" spans="1:35" ht="15.75" customHeight="1" x14ac:dyDescent="0.35">
      <c r="A320" s="8">
        <v>319</v>
      </c>
      <c r="B320" s="9" t="s">
        <v>404</v>
      </c>
      <c r="C320" s="9" t="s">
        <v>400</v>
      </c>
      <c r="D320" s="8">
        <v>5</v>
      </c>
      <c r="E320" s="10"/>
      <c r="F320" s="10"/>
      <c r="G320" s="10"/>
      <c r="H320" s="11">
        <v>1</v>
      </c>
      <c r="I320" s="11">
        <v>2235</v>
      </c>
      <c r="J320" s="11">
        <v>2252</v>
      </c>
      <c r="K320" s="11">
        <v>17</v>
      </c>
      <c r="L320" s="11">
        <v>17</v>
      </c>
      <c r="M320" s="11"/>
      <c r="N320" s="11">
        <v>0</v>
      </c>
      <c r="O320" s="11"/>
      <c r="P320" s="11">
        <v>3</v>
      </c>
      <c r="Q320" s="11"/>
      <c r="R320" s="19"/>
      <c r="S320" s="10"/>
      <c r="T320" s="21"/>
      <c r="U320" s="12"/>
      <c r="V320" s="12">
        <f>SUM(L320:U320)</f>
        <v>20</v>
      </c>
      <c r="W320" s="10">
        <f ca="1">IFERROR(__xludf.DUMMYFUNCTION("IFERROR(
  SUM(
    FILTER(
      Reporte!$E:$E, 
      REGEXMATCH(Reporte!$A:$A, ""(?i)(TE PAGÓ|PAGASTE)""), 
      Reporte!$H:$H &amp; """" = AH320 &amp; """"
    )
  ), 
  0
)"),20)</f>
        <v>20</v>
      </c>
      <c r="X320" s="10">
        <f ca="1">IFERROR(__xludf.DUMMYFUNCTION("IFERROR(
  SUM(
    FILTER(
      Efectivo!$C:$C, 
      Efectivo!$D:$D &amp; """" = AH320 &amp; """"
    )
  ), 
  0
)"),0)</f>
        <v>0</v>
      </c>
      <c r="Y320" s="10" t="s">
        <v>34</v>
      </c>
      <c r="Z320" s="10"/>
      <c r="AA320" s="10" t="s">
        <v>35</v>
      </c>
      <c r="AB320" s="10"/>
      <c r="AC320" s="10"/>
      <c r="AD320" s="10" t="str">
        <f t="shared" si="27"/>
        <v/>
      </c>
      <c r="AE320" s="10" t="e">
        <f>IF(
   OR(
     AND(#REF!&gt;0, OR(Y320="C", Y320="c"), U320&lt;0),
     AND(#REF!&gt;0, Y320="")
   ),
   "CORTE",
   ""
)</f>
        <v>#REF!</v>
      </c>
      <c r="AF320" s="10">
        <f t="shared" si="1"/>
        <v>0</v>
      </c>
      <c r="AG320" s="10">
        <f t="shared" si="2"/>
        <v>20</v>
      </c>
      <c r="AH320" s="10" t="str">
        <f t="shared" si="28"/>
        <v>S</v>
      </c>
      <c r="AI320" s="10" t="str">
        <f t="shared" si="29"/>
        <v>S-5</v>
      </c>
    </row>
    <row r="321" spans="1:35" ht="15.75" customHeight="1" x14ac:dyDescent="0.35">
      <c r="A321" s="13">
        <v>320</v>
      </c>
      <c r="B321" s="14" t="s">
        <v>405</v>
      </c>
      <c r="C321" s="14" t="s">
        <v>400</v>
      </c>
      <c r="D321" s="13">
        <v>7</v>
      </c>
      <c r="E321" s="15"/>
      <c r="F321" s="15"/>
      <c r="G321" s="15"/>
      <c r="H321" s="16">
        <v>1</v>
      </c>
      <c r="I321" s="16">
        <v>194</v>
      </c>
      <c r="J321" s="16">
        <v>194</v>
      </c>
      <c r="K321" s="16">
        <v>5</v>
      </c>
      <c r="L321" s="16">
        <v>5</v>
      </c>
      <c r="M321" s="16"/>
      <c r="N321" s="16">
        <v>0</v>
      </c>
      <c r="O321" s="16"/>
      <c r="P321" s="16">
        <v>3</v>
      </c>
      <c r="Q321" s="16"/>
      <c r="R321" s="18"/>
      <c r="S321" s="15"/>
      <c r="T321" s="20"/>
      <c r="U321" s="17"/>
      <c r="V321" s="17">
        <f>SUM(L321:Q321)</f>
        <v>8</v>
      </c>
      <c r="W321" s="15">
        <f ca="1">IFERROR(__xludf.DUMMYFUNCTION("IFERROR(
  SUM(
    FILTER(
      Reporte!$E:$E, 
      REGEXMATCH(Reporte!$A:$A, ""(?i)(TE PAGÓ|PAGASTE)""), 
      Reporte!$H:$H &amp; """" = AH321 &amp; """"
    )
  ), 
  0
)"),8)</f>
        <v>8</v>
      </c>
      <c r="X321" s="15">
        <f ca="1">IFERROR(__xludf.DUMMYFUNCTION("IFERROR(
  SUM(
    FILTER(
      Efectivo!$C:$C, 
      Efectivo!$D:$D &amp; """" = AH321 &amp; """"
    )
  ), 
  0
)"),0)</f>
        <v>0</v>
      </c>
      <c r="Y321" s="15" t="s">
        <v>34</v>
      </c>
      <c r="Z321" s="15"/>
      <c r="AA321" s="15" t="s">
        <v>35</v>
      </c>
      <c r="AB321" s="15"/>
      <c r="AC321" s="15"/>
      <c r="AD321" s="15" t="str">
        <f t="shared" si="27"/>
        <v/>
      </c>
      <c r="AE321" s="15" t="e">
        <f>IF(
   OR(
     AND(#REF!&gt;0, OR(Y321="C", Y321="c"), U321&lt;0),
     AND(#REF!&gt;0, Y321="")
   ),
   "CORTE",
   ""
)</f>
        <v>#REF!</v>
      </c>
      <c r="AF321" s="15">
        <f t="shared" si="1"/>
        <v>0</v>
      </c>
      <c r="AG321" s="15">
        <f t="shared" si="2"/>
        <v>8</v>
      </c>
      <c r="AH321" s="15" t="str">
        <f t="shared" si="28"/>
        <v>S</v>
      </c>
      <c r="AI321" s="15" t="str">
        <f t="shared" si="29"/>
        <v>S-7</v>
      </c>
    </row>
    <row r="322" spans="1:35" ht="15.75" customHeight="1" x14ac:dyDescent="0.35">
      <c r="A322" s="8">
        <v>321</v>
      </c>
      <c r="B322" s="9" t="s">
        <v>406</v>
      </c>
      <c r="C322" s="9" t="s">
        <v>400</v>
      </c>
      <c r="D322" s="8">
        <v>8</v>
      </c>
      <c r="E322" s="10"/>
      <c r="F322" s="10"/>
      <c r="G322" s="10"/>
      <c r="H322" s="11">
        <v>1</v>
      </c>
      <c r="I322" s="11">
        <v>345</v>
      </c>
      <c r="J322" s="11">
        <v>345</v>
      </c>
      <c r="K322" s="11">
        <v>5</v>
      </c>
      <c r="L322" s="11">
        <v>5</v>
      </c>
      <c r="M322" s="11"/>
      <c r="N322" s="11">
        <v>0</v>
      </c>
      <c r="O322" s="11"/>
      <c r="P322" s="11">
        <v>3</v>
      </c>
      <c r="Q322" s="11"/>
      <c r="R322" s="19"/>
      <c r="S322" s="10"/>
      <c r="T322" s="21"/>
      <c r="U322" s="12"/>
      <c r="V322" s="12">
        <f>SUM(L322:U322)</f>
        <v>8</v>
      </c>
      <c r="W322" s="10">
        <f ca="1">IFERROR(__xludf.DUMMYFUNCTION("IFERROR(
  SUM(
    FILTER(
      Reporte!$E:$E, 
      REGEXMATCH(Reporte!$A:$A, ""(?i)(TE PAGÓ|PAGASTE)""), 
      Reporte!$H:$H &amp; """" = AH322 &amp; """"
    )
  ), 
  0
)"),8)</f>
        <v>8</v>
      </c>
      <c r="X322" s="10">
        <f ca="1">IFERROR(__xludf.DUMMYFUNCTION("IFERROR(
  SUM(
    FILTER(
      Efectivo!$C:$C, 
      Efectivo!$D:$D &amp; """" = AH322 &amp; """"
    )
  ), 
  0
)"),0)</f>
        <v>0</v>
      </c>
      <c r="Y322" s="10" t="s">
        <v>34</v>
      </c>
      <c r="Z322" s="10"/>
      <c r="AA322" s="10" t="s">
        <v>35</v>
      </c>
      <c r="AB322" s="10"/>
      <c r="AC322" s="10"/>
      <c r="AD322" s="10" t="str">
        <f t="shared" ref="AD322:AD385" si="33">IF(AND(L322&gt;0, M322&gt;=8, NOT(OR(Y322="C", Y322="c"))), "CORTE", "")</f>
        <v/>
      </c>
      <c r="AE322" s="10" t="e">
        <f>IF(
   OR(
     AND(#REF!&gt;0, OR(Y322="C", Y322="c"), U322&lt;0),
     AND(#REF!&gt;0, Y322="")
   ),
   "CORTE",
   ""
)</f>
        <v>#REF!</v>
      </c>
      <c r="AF322" s="10">
        <f t="shared" si="1"/>
        <v>0</v>
      </c>
      <c r="AG322" s="10">
        <f t="shared" si="2"/>
        <v>8</v>
      </c>
      <c r="AH322" s="10" t="str">
        <f t="shared" ref="AH322:AH385" si="34">TRIM(UPPER(C322))</f>
        <v>S</v>
      </c>
      <c r="AI322" s="10" t="str">
        <f t="shared" ref="AI322:AI385" si="35">TRIM(UPPER(C322)) &amp; "-" &amp; TRIM(UPPER(D322))</f>
        <v>S-8</v>
      </c>
    </row>
    <row r="323" spans="1:35" ht="15.75" customHeight="1" x14ac:dyDescent="0.35">
      <c r="A323" s="13">
        <v>322</v>
      </c>
      <c r="B323" s="14" t="s">
        <v>407</v>
      </c>
      <c r="C323" s="14" t="s">
        <v>400</v>
      </c>
      <c r="D323" s="13">
        <v>9</v>
      </c>
      <c r="E323" s="15"/>
      <c r="F323" s="15"/>
      <c r="G323" s="15"/>
      <c r="H323" s="16">
        <v>1</v>
      </c>
      <c r="I323" s="16">
        <v>808</v>
      </c>
      <c r="J323" s="16">
        <v>816</v>
      </c>
      <c r="K323" s="16">
        <v>8</v>
      </c>
      <c r="L323" s="16">
        <v>8</v>
      </c>
      <c r="M323" s="16">
        <v>14</v>
      </c>
      <c r="N323" s="16">
        <v>0</v>
      </c>
      <c r="O323" s="16"/>
      <c r="P323" s="16">
        <v>3</v>
      </c>
      <c r="Q323" s="16"/>
      <c r="R323" s="18"/>
      <c r="S323" s="15"/>
      <c r="T323" s="20"/>
      <c r="U323" s="17"/>
      <c r="V323" s="17">
        <f t="shared" ref="V323:V368" si="36">SUM(L323:Q323)</f>
        <v>25</v>
      </c>
      <c r="W323" s="15">
        <f ca="1">IFERROR(__xludf.DUMMYFUNCTION("IFERROR(
  SUM(
    FILTER(
      Reporte!$E:$E, 
      REGEXMATCH(Reporte!$A:$A, ""(?i)(TE PAGÓ|PAGASTE)""), 
      Reporte!$H:$H &amp; """" = AH323 &amp; """"
    )
  ), 
  0
)"),25)</f>
        <v>25</v>
      </c>
      <c r="X323" s="15">
        <f ca="1">IFERROR(__xludf.DUMMYFUNCTION("IFERROR(
  SUM(
    FILTER(
      Efectivo!$C:$C, 
      Efectivo!$D:$D &amp; """" = AH323 &amp; """"
    )
  ), 
  0
)"),0)</f>
        <v>0</v>
      </c>
      <c r="Y323" s="15" t="s">
        <v>34</v>
      </c>
      <c r="Z323" s="15"/>
      <c r="AA323" s="15" t="s">
        <v>35</v>
      </c>
      <c r="AB323" s="15"/>
      <c r="AC323" s="15"/>
      <c r="AD323" s="15" t="str">
        <f t="shared" si="33"/>
        <v/>
      </c>
      <c r="AE323" s="15" t="e">
        <f>IF(
   OR(
     AND(#REF!&gt;0, OR(Y323="C", Y323="c"), U323&lt;0),
     AND(#REF!&gt;0, Y323="")
   ),
   "CORTE",
   ""
)</f>
        <v>#REF!</v>
      </c>
      <c r="AF323" s="15">
        <f t="shared" si="1"/>
        <v>0</v>
      </c>
      <c r="AG323" s="15">
        <f t="shared" si="2"/>
        <v>25</v>
      </c>
      <c r="AH323" s="15" t="str">
        <f t="shared" si="34"/>
        <v>S</v>
      </c>
      <c r="AI323" s="15" t="str">
        <f t="shared" si="35"/>
        <v>S-9</v>
      </c>
    </row>
    <row r="324" spans="1:35" ht="15.75" customHeight="1" x14ac:dyDescent="0.35">
      <c r="A324" s="8">
        <v>323</v>
      </c>
      <c r="B324" s="9" t="s">
        <v>408</v>
      </c>
      <c r="C324" s="9" t="s">
        <v>400</v>
      </c>
      <c r="D324" s="8">
        <v>10</v>
      </c>
      <c r="E324" s="10"/>
      <c r="F324" s="10"/>
      <c r="G324" s="10"/>
      <c r="H324" s="11">
        <v>1</v>
      </c>
      <c r="I324" s="11">
        <v>1810</v>
      </c>
      <c r="J324" s="11">
        <v>1515</v>
      </c>
      <c r="K324" s="11">
        <v>6</v>
      </c>
      <c r="L324" s="11">
        <v>6</v>
      </c>
      <c r="M324" s="11"/>
      <c r="N324" s="11">
        <v>0</v>
      </c>
      <c r="O324" s="11"/>
      <c r="P324" s="11">
        <v>3</v>
      </c>
      <c r="Q324" s="11"/>
      <c r="R324" s="19"/>
      <c r="S324" s="10"/>
      <c r="T324" s="21"/>
      <c r="U324" s="12"/>
      <c r="V324" s="12">
        <f t="shared" si="36"/>
        <v>9</v>
      </c>
      <c r="W324" s="10">
        <f ca="1">IFERROR(__xludf.DUMMYFUNCTION("IFERROR(
  SUM(
    FILTER(
      Reporte!$E:$E, 
      REGEXMATCH(Reporte!$A:$A, ""(?i)(TE PAGÓ|PAGASTE)""), 
      Reporte!$H:$H &amp; """" = AH324 &amp; """"
    )
  ), 
  0
)"),9)</f>
        <v>9</v>
      </c>
      <c r="X324" s="10">
        <f ca="1">IFERROR(__xludf.DUMMYFUNCTION("IFERROR(
  SUM(
    FILTER(
      Efectivo!$C:$C, 
      Efectivo!$D:$D &amp; """" = AH324 &amp; """"
    )
  ), 
  0
)"),0)</f>
        <v>0</v>
      </c>
      <c r="Y324" s="10" t="s">
        <v>34</v>
      </c>
      <c r="Z324" s="10"/>
      <c r="AA324" s="10" t="s">
        <v>35</v>
      </c>
      <c r="AB324" s="10"/>
      <c r="AC324" s="10"/>
      <c r="AD324" s="10" t="str">
        <f t="shared" si="33"/>
        <v/>
      </c>
      <c r="AE324" s="10" t="e">
        <f>IF(
   OR(
     AND(#REF!&gt;0, OR(Y324="C", Y324="c"), U324&lt;0),
     AND(#REF!&gt;0, Y324="")
   ),
   "CORTE",
   ""
)</f>
        <v>#REF!</v>
      </c>
      <c r="AF324" s="10">
        <f t="shared" si="1"/>
        <v>0</v>
      </c>
      <c r="AG324" s="10">
        <f t="shared" si="2"/>
        <v>9</v>
      </c>
      <c r="AH324" s="10" t="str">
        <f t="shared" si="34"/>
        <v>S</v>
      </c>
      <c r="AI324" s="10" t="str">
        <f t="shared" si="35"/>
        <v>S-10</v>
      </c>
    </row>
    <row r="325" spans="1:35" ht="15.75" customHeight="1" x14ac:dyDescent="0.35">
      <c r="A325" s="13">
        <v>324</v>
      </c>
      <c r="B325" s="14" t="s">
        <v>409</v>
      </c>
      <c r="C325" s="14" t="s">
        <v>400</v>
      </c>
      <c r="D325" s="13">
        <v>11</v>
      </c>
      <c r="E325" s="15"/>
      <c r="F325" s="15"/>
      <c r="G325" s="15"/>
      <c r="H325" s="16">
        <v>1</v>
      </c>
      <c r="I325" s="16">
        <v>1380</v>
      </c>
      <c r="J325" s="16">
        <v>1386</v>
      </c>
      <c r="K325" s="16">
        <v>6</v>
      </c>
      <c r="L325" s="16">
        <v>6</v>
      </c>
      <c r="M325" s="16"/>
      <c r="N325" s="16">
        <v>0</v>
      </c>
      <c r="O325" s="16"/>
      <c r="P325" s="16">
        <v>3</v>
      </c>
      <c r="Q325" s="16"/>
      <c r="R325" s="18"/>
      <c r="S325" s="15"/>
      <c r="T325" s="20"/>
      <c r="U325" s="17"/>
      <c r="V325" s="17">
        <f t="shared" si="36"/>
        <v>9</v>
      </c>
      <c r="W325" s="15">
        <f ca="1">IFERROR(__xludf.DUMMYFUNCTION("IFERROR(
  SUM(
    FILTER(
      Reporte!$E:$E, 
      REGEXMATCH(Reporte!$A:$A, ""(?i)(TE PAGÓ|PAGASTE)""), 
      Reporte!$H:$H &amp; """" = AH325 &amp; """"
    )
  ), 
  0
)"),9)</f>
        <v>9</v>
      </c>
      <c r="X325" s="15">
        <f ca="1">IFERROR(__xludf.DUMMYFUNCTION("IFERROR(
  SUM(
    FILTER(
      Efectivo!$C:$C, 
      Efectivo!$D:$D &amp; """" = AH325 &amp; """"
    )
  ), 
  0
)"),0)</f>
        <v>0</v>
      </c>
      <c r="Y325" s="15" t="s">
        <v>34</v>
      </c>
      <c r="Z325" s="15"/>
      <c r="AA325" s="15" t="s">
        <v>35</v>
      </c>
      <c r="AB325" s="15"/>
      <c r="AC325" s="15"/>
      <c r="AD325" s="15" t="str">
        <f t="shared" si="33"/>
        <v/>
      </c>
      <c r="AE325" s="15" t="e">
        <f>IF(
   OR(
     AND(#REF!&gt;0, OR(Y325="C", Y325="c"), U325&lt;0),
     AND(#REF!&gt;0, Y325="")
   ),
   "CORTE",
   ""
)</f>
        <v>#REF!</v>
      </c>
      <c r="AF325" s="15">
        <f t="shared" si="1"/>
        <v>0</v>
      </c>
      <c r="AG325" s="15">
        <f t="shared" si="2"/>
        <v>9</v>
      </c>
      <c r="AH325" s="15" t="str">
        <f t="shared" si="34"/>
        <v>S</v>
      </c>
      <c r="AI325" s="15" t="str">
        <f t="shared" si="35"/>
        <v>S-11</v>
      </c>
    </row>
    <row r="326" spans="1:35" ht="15.75" customHeight="1" x14ac:dyDescent="0.35">
      <c r="A326" s="8">
        <v>325</v>
      </c>
      <c r="B326" s="9" t="s">
        <v>410</v>
      </c>
      <c r="C326" s="9" t="s">
        <v>400</v>
      </c>
      <c r="D326" s="8">
        <v>12</v>
      </c>
      <c r="E326" s="10"/>
      <c r="F326" s="10"/>
      <c r="G326" s="10"/>
      <c r="H326" s="11">
        <v>1</v>
      </c>
      <c r="I326" s="11">
        <v>64</v>
      </c>
      <c r="J326" s="11">
        <v>65</v>
      </c>
      <c r="K326" s="11">
        <v>1</v>
      </c>
      <c r="L326" s="11">
        <v>5</v>
      </c>
      <c r="M326" s="11"/>
      <c r="N326" s="11">
        <v>0</v>
      </c>
      <c r="O326" s="11"/>
      <c r="P326" s="11">
        <v>3</v>
      </c>
      <c r="Q326" s="11"/>
      <c r="R326" s="19"/>
      <c r="S326" s="10"/>
      <c r="T326" s="21"/>
      <c r="U326" s="12"/>
      <c r="V326" s="12">
        <f t="shared" si="36"/>
        <v>8</v>
      </c>
      <c r="W326" s="10">
        <f ca="1">IFERROR(__xludf.DUMMYFUNCTION("IFERROR(
  SUM(
    FILTER(
      Reporte!$E:$E, 
      REGEXMATCH(Reporte!$A:$A, ""(?i)(TE PAGÓ|PAGASTE)""), 
      Reporte!$H:$H &amp; """" = AH326 &amp; """"
    )
  ), 
  0
)"),0)</f>
        <v>0</v>
      </c>
      <c r="X326" s="10">
        <f ca="1">IFERROR(__xludf.DUMMYFUNCTION("IFERROR(
  SUM(
    FILTER(
      Efectivo!$C:$C, 
      Efectivo!$D:$D &amp; """" = AH326 &amp; """"
    )
  ), 
  0
)"),8)</f>
        <v>8</v>
      </c>
      <c r="Y326" s="10" t="s">
        <v>34</v>
      </c>
      <c r="Z326" s="10"/>
      <c r="AA326" s="10"/>
      <c r="AB326" s="10"/>
      <c r="AC326" s="10"/>
      <c r="AD326" s="10" t="str">
        <f t="shared" si="33"/>
        <v/>
      </c>
      <c r="AE326" s="10" t="e">
        <f>IF(
   OR(
     AND(#REF!&gt;0, OR(Y326="C", Y326="c"), U326&lt;0),
     AND(#REF!&gt;0, Y326="")
   ),
   "CORTE",
   ""
)</f>
        <v>#REF!</v>
      </c>
      <c r="AF326" s="10">
        <f t="shared" si="1"/>
        <v>8</v>
      </c>
      <c r="AG326" s="10">
        <f t="shared" si="2"/>
        <v>0</v>
      </c>
      <c r="AH326" s="10" t="str">
        <f t="shared" si="34"/>
        <v>S</v>
      </c>
      <c r="AI326" s="10" t="str">
        <f t="shared" si="35"/>
        <v>S-12</v>
      </c>
    </row>
    <row r="327" spans="1:35" ht="15.75" customHeight="1" x14ac:dyDescent="0.35">
      <c r="A327" s="13">
        <v>326</v>
      </c>
      <c r="B327" s="14" t="s">
        <v>411</v>
      </c>
      <c r="C327" s="14" t="s">
        <v>400</v>
      </c>
      <c r="D327" s="13">
        <v>13</v>
      </c>
      <c r="E327" s="15"/>
      <c r="F327" s="15"/>
      <c r="G327" s="15"/>
      <c r="H327" s="16">
        <v>1</v>
      </c>
      <c r="I327" s="16">
        <v>4473</v>
      </c>
      <c r="J327" s="16">
        <v>4494</v>
      </c>
      <c r="K327" s="16">
        <v>21</v>
      </c>
      <c r="L327" s="16">
        <v>21</v>
      </c>
      <c r="M327" s="16"/>
      <c r="N327" s="16">
        <v>0</v>
      </c>
      <c r="O327" s="16"/>
      <c r="P327" s="16">
        <v>3</v>
      </c>
      <c r="Q327" s="16"/>
      <c r="R327" s="18"/>
      <c r="S327" s="15"/>
      <c r="T327" s="20"/>
      <c r="U327" s="17"/>
      <c r="V327" s="17">
        <f t="shared" si="36"/>
        <v>24</v>
      </c>
      <c r="W327" s="15">
        <f ca="1">IFERROR(__xludf.DUMMYFUNCTION("IFERROR(
  SUM(
    FILTER(
      Reporte!$E:$E, 
      REGEXMATCH(Reporte!$A:$A, ""(?i)(TE PAGÓ|PAGASTE)""), 
      Reporte!$H:$H &amp; """" = AH327 &amp; """"
    )
  ), 
  0
)"),24)</f>
        <v>24</v>
      </c>
      <c r="X327" s="15">
        <f ca="1">IFERROR(__xludf.DUMMYFUNCTION("IFERROR(
  SUM(
    FILTER(
      Efectivo!$C:$C, 
      Efectivo!$D:$D &amp; """" = AH327 &amp; """"
    )
  ), 
  0
)"),0)</f>
        <v>0</v>
      </c>
      <c r="Y327" s="15" t="s">
        <v>34</v>
      </c>
      <c r="Z327" s="15"/>
      <c r="AA327" s="15" t="s">
        <v>35</v>
      </c>
      <c r="AB327" s="15"/>
      <c r="AC327" s="15"/>
      <c r="AD327" s="15" t="str">
        <f t="shared" si="33"/>
        <v/>
      </c>
      <c r="AE327" s="15" t="e">
        <f>IF(
   OR(
     AND(#REF!&gt;0, OR(Y327="C", Y327="c"), U327&lt;0),
     AND(#REF!&gt;0, Y327="")
   ),
   "CORTE",
   ""
)</f>
        <v>#REF!</v>
      </c>
      <c r="AF327" s="15">
        <f t="shared" si="1"/>
        <v>0</v>
      </c>
      <c r="AG327" s="15">
        <f t="shared" si="2"/>
        <v>24</v>
      </c>
      <c r="AH327" s="15" t="str">
        <f t="shared" si="34"/>
        <v>S</v>
      </c>
      <c r="AI327" s="15" t="str">
        <f t="shared" si="35"/>
        <v>S-13</v>
      </c>
    </row>
    <row r="328" spans="1:35" ht="15.75" customHeight="1" x14ac:dyDescent="0.35">
      <c r="A328" s="8">
        <v>327</v>
      </c>
      <c r="B328" s="9" t="s">
        <v>412</v>
      </c>
      <c r="C328" s="9" t="s">
        <v>400</v>
      </c>
      <c r="D328" s="8">
        <v>15</v>
      </c>
      <c r="E328" s="10"/>
      <c r="F328" s="10"/>
      <c r="G328" s="10"/>
      <c r="H328" s="11">
        <v>1</v>
      </c>
      <c r="I328" s="11">
        <v>1549</v>
      </c>
      <c r="J328" s="11">
        <v>1568</v>
      </c>
      <c r="K328" s="11">
        <v>19</v>
      </c>
      <c r="L328" s="11">
        <v>19</v>
      </c>
      <c r="M328" s="11"/>
      <c r="N328" s="11">
        <v>0</v>
      </c>
      <c r="O328" s="11"/>
      <c r="P328" s="11">
        <v>3</v>
      </c>
      <c r="Q328" s="11"/>
      <c r="R328" s="19"/>
      <c r="S328" s="10"/>
      <c r="T328" s="21"/>
      <c r="U328" s="12"/>
      <c r="V328" s="12">
        <f t="shared" si="36"/>
        <v>22</v>
      </c>
      <c r="W328" s="10">
        <f ca="1">IFERROR(__xludf.DUMMYFUNCTION("IFERROR(
  SUM(
    FILTER(
      Reporte!$E:$E, 
      REGEXMATCH(Reporte!$A:$A, ""(?i)(TE PAGÓ|PAGASTE)""), 
      Reporte!$H:$H &amp; """" = AH328 &amp; """"
    )
  ), 
  0
)"),22)</f>
        <v>22</v>
      </c>
      <c r="X328" s="10">
        <f ca="1">IFERROR(__xludf.DUMMYFUNCTION("IFERROR(
  SUM(
    FILTER(
      Efectivo!$C:$C, 
      Efectivo!$D:$D &amp; """" = AH328 &amp; """"
    )
  ), 
  0
)"),0)</f>
        <v>0</v>
      </c>
      <c r="Y328" s="10" t="s">
        <v>34</v>
      </c>
      <c r="Z328" s="10"/>
      <c r="AA328" s="10" t="s">
        <v>35</v>
      </c>
      <c r="AB328" s="10"/>
      <c r="AC328" s="10"/>
      <c r="AD328" s="10" t="str">
        <f t="shared" si="33"/>
        <v/>
      </c>
      <c r="AE328" s="10" t="e">
        <f>IF(
   OR(
     AND(#REF!&gt;0, OR(Y328="C", Y328="c"), U328&lt;0),
     AND(#REF!&gt;0, Y328="")
   ),
   "CORTE",
   ""
)</f>
        <v>#REF!</v>
      </c>
      <c r="AF328" s="10">
        <f t="shared" si="1"/>
        <v>0</v>
      </c>
      <c r="AG328" s="10">
        <f t="shared" si="2"/>
        <v>22</v>
      </c>
      <c r="AH328" s="10" t="str">
        <f t="shared" si="34"/>
        <v>S</v>
      </c>
      <c r="AI328" s="10" t="str">
        <f t="shared" si="35"/>
        <v>S-15</v>
      </c>
    </row>
    <row r="329" spans="1:35" ht="15.75" customHeight="1" x14ac:dyDescent="0.35">
      <c r="A329" s="13">
        <v>328</v>
      </c>
      <c r="B329" s="14" t="s">
        <v>413</v>
      </c>
      <c r="C329" s="14" t="s">
        <v>414</v>
      </c>
      <c r="D329" s="13">
        <v>1</v>
      </c>
      <c r="E329" s="15"/>
      <c r="F329" s="15"/>
      <c r="G329" s="15"/>
      <c r="H329" s="16">
        <v>1</v>
      </c>
      <c r="I329" s="16">
        <v>2671</v>
      </c>
      <c r="J329" s="16">
        <v>2686</v>
      </c>
      <c r="K329" s="16">
        <v>15</v>
      </c>
      <c r="L329" s="16">
        <v>15</v>
      </c>
      <c r="M329" s="16"/>
      <c r="N329" s="16">
        <v>0</v>
      </c>
      <c r="O329" s="16"/>
      <c r="P329" s="16">
        <v>3</v>
      </c>
      <c r="Q329" s="16"/>
      <c r="R329" s="18"/>
      <c r="S329" s="15"/>
      <c r="T329" s="20"/>
      <c r="U329" s="17"/>
      <c r="V329" s="17">
        <f t="shared" si="36"/>
        <v>18</v>
      </c>
      <c r="W329" s="15">
        <f ca="1">IFERROR(__xludf.DUMMYFUNCTION("IFERROR(
  SUM(
    FILTER(
      Reporte!$E:$E, 
      REGEXMATCH(Reporte!$A:$A, ""(?i)(TE PAGÓ|PAGASTE)""), 
      Reporte!$H:$H &amp; """" = AH329 &amp; """"
    )
  ), 
  0
)"),18)</f>
        <v>18</v>
      </c>
      <c r="X329" s="15">
        <f ca="1">IFERROR(__xludf.DUMMYFUNCTION("IFERROR(
  SUM(
    FILTER(
      Efectivo!$C:$C, 
      Efectivo!$D:$D &amp; """" = AH329 &amp; """"
    )
  ), 
  0
)"),0)</f>
        <v>0</v>
      </c>
      <c r="Y329" s="15" t="s">
        <v>34</v>
      </c>
      <c r="Z329" s="15"/>
      <c r="AA329" s="15" t="s">
        <v>35</v>
      </c>
      <c r="AB329" s="15"/>
      <c r="AC329" s="15"/>
      <c r="AD329" s="15" t="str">
        <f t="shared" si="33"/>
        <v/>
      </c>
      <c r="AE329" s="15" t="e">
        <f>IF(
   OR(
     AND(#REF!&gt;0, OR(Y329="C", Y329="c"), U329&lt;0),
     AND(#REF!&gt;0, Y329="")
   ),
   "CORTE",
   ""
)</f>
        <v>#REF!</v>
      </c>
      <c r="AF329" s="15">
        <f t="shared" si="1"/>
        <v>0</v>
      </c>
      <c r="AG329" s="15">
        <f t="shared" si="2"/>
        <v>18</v>
      </c>
      <c r="AH329" s="15" t="str">
        <f t="shared" si="34"/>
        <v>T</v>
      </c>
      <c r="AI329" s="15" t="str">
        <f t="shared" si="35"/>
        <v>T-1</v>
      </c>
    </row>
    <row r="330" spans="1:35" ht="15.75" customHeight="1" x14ac:dyDescent="0.35">
      <c r="A330" s="8">
        <v>329</v>
      </c>
      <c r="B330" s="9" t="s">
        <v>415</v>
      </c>
      <c r="C330" s="9" t="s">
        <v>414</v>
      </c>
      <c r="D330" s="8">
        <v>3</v>
      </c>
      <c r="E330" s="10"/>
      <c r="F330" s="10"/>
      <c r="G330" s="10"/>
      <c r="H330" s="11">
        <v>1</v>
      </c>
      <c r="I330" s="11">
        <v>172</v>
      </c>
      <c r="J330" s="11">
        <v>178</v>
      </c>
      <c r="K330" s="11">
        <v>6</v>
      </c>
      <c r="L330" s="11">
        <v>6</v>
      </c>
      <c r="M330" s="11"/>
      <c r="N330" s="11">
        <v>0</v>
      </c>
      <c r="O330" s="11"/>
      <c r="P330" s="11">
        <v>3</v>
      </c>
      <c r="Q330" s="11"/>
      <c r="R330" s="19"/>
      <c r="S330" s="10"/>
      <c r="T330" s="21"/>
      <c r="U330" s="12"/>
      <c r="V330" s="12">
        <f t="shared" si="36"/>
        <v>9</v>
      </c>
      <c r="W330" s="10">
        <f ca="1">IFERROR(__xludf.DUMMYFUNCTION("IFERROR(
  SUM(
    FILTER(
      Reporte!$E:$E, 
      REGEXMATCH(Reporte!$A:$A, ""(?i)(TE PAGÓ|PAGASTE)""), 
      Reporte!$H:$H &amp; """" = AH330 &amp; """"
    )
  ), 
  0
)"),9)</f>
        <v>9</v>
      </c>
      <c r="X330" s="10">
        <f ca="1">IFERROR(__xludf.DUMMYFUNCTION("IFERROR(
  SUM(
    FILTER(
      Efectivo!$C:$C, 
      Efectivo!$D:$D &amp; """" = AH330 &amp; """"
    )
  ), 
  0
)"),0)</f>
        <v>0</v>
      </c>
      <c r="Y330" s="10" t="s">
        <v>34</v>
      </c>
      <c r="Z330" s="10"/>
      <c r="AA330" s="10" t="s">
        <v>35</v>
      </c>
      <c r="AB330" s="10"/>
      <c r="AC330" s="10"/>
      <c r="AD330" s="10" t="str">
        <f t="shared" si="33"/>
        <v/>
      </c>
      <c r="AE330" s="10" t="e">
        <f>IF(
   OR(
     AND(#REF!&gt;0, OR(Y330="C", Y330="c"), U330&lt;0),
     AND(#REF!&gt;0, Y330="")
   ),
   "CORTE",
   ""
)</f>
        <v>#REF!</v>
      </c>
      <c r="AF330" s="10">
        <f t="shared" si="1"/>
        <v>0</v>
      </c>
      <c r="AG330" s="10">
        <f t="shared" si="2"/>
        <v>9</v>
      </c>
      <c r="AH330" s="10" t="str">
        <f t="shared" si="34"/>
        <v>T</v>
      </c>
      <c r="AI330" s="10" t="str">
        <f t="shared" si="35"/>
        <v>T-3</v>
      </c>
    </row>
    <row r="331" spans="1:35" ht="15.75" customHeight="1" x14ac:dyDescent="0.35">
      <c r="A331" s="13">
        <v>330</v>
      </c>
      <c r="B331" s="14" t="s">
        <v>416</v>
      </c>
      <c r="C331" s="14" t="s">
        <v>414</v>
      </c>
      <c r="D331" s="13">
        <v>4</v>
      </c>
      <c r="E331" s="15"/>
      <c r="F331" s="15"/>
      <c r="G331" s="15"/>
      <c r="H331" s="16">
        <v>1</v>
      </c>
      <c r="I331" s="16">
        <v>1415</v>
      </c>
      <c r="J331" s="16">
        <v>1422</v>
      </c>
      <c r="K331" s="16">
        <v>7</v>
      </c>
      <c r="L331" s="16">
        <v>7</v>
      </c>
      <c r="M331" s="16"/>
      <c r="N331" s="16">
        <v>0</v>
      </c>
      <c r="O331" s="16"/>
      <c r="P331" s="16">
        <v>3</v>
      </c>
      <c r="Q331" s="16"/>
      <c r="R331" s="18"/>
      <c r="S331" s="15"/>
      <c r="T331" s="20"/>
      <c r="U331" s="17"/>
      <c r="V331" s="17">
        <f t="shared" si="36"/>
        <v>10</v>
      </c>
      <c r="W331" s="15">
        <f ca="1">IFERROR(__xludf.DUMMYFUNCTION("IFERROR(
  SUM(
    FILTER(
      Reporte!$E:$E, 
      REGEXMATCH(Reporte!$A:$A, ""(?i)(TE PAGÓ|PAGASTE)""), 
      Reporte!$H:$H &amp; """" = AH331 &amp; """"
    )
  ), 
  0
)"),0)</f>
        <v>0</v>
      </c>
      <c r="X331" s="15">
        <f ca="1">IFERROR(__xludf.DUMMYFUNCTION("IFERROR(
  SUM(
    FILTER(
      Efectivo!$C:$C, 
      Efectivo!$D:$D &amp; """" = AH331 &amp; """"
    )
  ), 
  0
)"),0)</f>
        <v>0</v>
      </c>
      <c r="Y331" s="15"/>
      <c r="Z331" s="15"/>
      <c r="AA331" s="15"/>
      <c r="AB331" s="15"/>
      <c r="AC331" s="15"/>
      <c r="AD331" s="15" t="str">
        <f t="shared" si="33"/>
        <v/>
      </c>
      <c r="AE331" s="15" t="e">
        <f>IF(
   OR(
     AND(#REF!&gt;0, OR(Y331="C", Y331="c"), U331&lt;0),
     AND(#REF!&gt;0, Y331="")
   ),
   "CORTE",
   ""
)</f>
        <v>#REF!</v>
      </c>
      <c r="AF331" s="15">
        <f t="shared" si="1"/>
        <v>0</v>
      </c>
      <c r="AG331" s="15">
        <f t="shared" si="2"/>
        <v>0</v>
      </c>
      <c r="AH331" s="15" t="str">
        <f t="shared" si="34"/>
        <v>T</v>
      </c>
      <c r="AI331" s="15" t="str">
        <f t="shared" si="35"/>
        <v>T-4</v>
      </c>
    </row>
    <row r="332" spans="1:35" ht="15.75" customHeight="1" x14ac:dyDescent="0.35">
      <c r="A332" s="8">
        <v>331</v>
      </c>
      <c r="B332" s="9" t="s">
        <v>417</v>
      </c>
      <c r="C332" s="9" t="s">
        <v>414</v>
      </c>
      <c r="D332" s="8">
        <v>5</v>
      </c>
      <c r="E332" s="10"/>
      <c r="F332" s="10"/>
      <c r="G332" s="10"/>
      <c r="H332" s="11">
        <v>1</v>
      </c>
      <c r="I332" s="11">
        <v>372</v>
      </c>
      <c r="J332" s="11">
        <v>372</v>
      </c>
      <c r="K332" s="11">
        <v>5</v>
      </c>
      <c r="L332" s="11">
        <v>5</v>
      </c>
      <c r="M332" s="11"/>
      <c r="N332" s="11">
        <v>0</v>
      </c>
      <c r="O332" s="11"/>
      <c r="P332" s="11">
        <v>3</v>
      </c>
      <c r="Q332" s="11"/>
      <c r="R332" s="19"/>
      <c r="S332" s="10"/>
      <c r="T332" s="21"/>
      <c r="U332" s="12"/>
      <c r="V332" s="12">
        <f t="shared" si="36"/>
        <v>8</v>
      </c>
      <c r="W332" s="10">
        <f ca="1">IFERROR(__xludf.DUMMYFUNCTION("IFERROR(
  SUM(
    FILTER(
      Reporte!$E:$E, 
      REGEXMATCH(Reporte!$A:$A, ""(?i)(TE PAGÓ|PAGASTE)""), 
      Reporte!$H:$H &amp; """" = AH332 &amp; """"
    )
  ), 
  0
)"),0)</f>
        <v>0</v>
      </c>
      <c r="X332" s="10">
        <f ca="1">IFERROR(__xludf.DUMMYFUNCTION("IFERROR(
  SUM(
    FILTER(
      Efectivo!$C:$C, 
      Efectivo!$D:$D &amp; """" = AH332 &amp; """"
    )
  ), 
  0
)"),8)</f>
        <v>8</v>
      </c>
      <c r="Y332" s="10" t="s">
        <v>34</v>
      </c>
      <c r="Z332" s="10"/>
      <c r="AA332" s="10"/>
      <c r="AB332" s="10"/>
      <c r="AC332" s="10"/>
      <c r="AD332" s="10" t="str">
        <f t="shared" si="33"/>
        <v/>
      </c>
      <c r="AE332" s="10" t="e">
        <f>IF(
   OR(
     AND(#REF!&gt;0, OR(Y332="C", Y332="c"), U332&lt;0),
     AND(#REF!&gt;0, Y332="")
   ),
   "CORTE",
   ""
)</f>
        <v>#REF!</v>
      </c>
      <c r="AF332" s="10">
        <f t="shared" si="1"/>
        <v>8</v>
      </c>
      <c r="AG332" s="10">
        <f t="shared" si="2"/>
        <v>0</v>
      </c>
      <c r="AH332" s="10" t="str">
        <f t="shared" si="34"/>
        <v>T</v>
      </c>
      <c r="AI332" s="10" t="str">
        <f t="shared" si="35"/>
        <v>T-5</v>
      </c>
    </row>
    <row r="333" spans="1:35" ht="15.75" customHeight="1" x14ac:dyDescent="0.35">
      <c r="A333" s="13">
        <v>332</v>
      </c>
      <c r="B333" s="14" t="s">
        <v>418</v>
      </c>
      <c r="C333" s="14" t="s">
        <v>414</v>
      </c>
      <c r="D333" s="13">
        <v>6</v>
      </c>
      <c r="E333" s="15"/>
      <c r="F333" s="15"/>
      <c r="G333" s="15"/>
      <c r="H333" s="16">
        <v>1</v>
      </c>
      <c r="I333" s="16">
        <v>119</v>
      </c>
      <c r="J333" s="16">
        <v>155</v>
      </c>
      <c r="K333" s="16">
        <v>36</v>
      </c>
      <c r="L333" s="16">
        <v>36</v>
      </c>
      <c r="M333" s="16"/>
      <c r="N333" s="16">
        <v>0</v>
      </c>
      <c r="O333" s="16"/>
      <c r="P333" s="16">
        <v>3</v>
      </c>
      <c r="Q333" s="16"/>
      <c r="R333" s="18"/>
      <c r="S333" s="15"/>
      <c r="T333" s="20"/>
      <c r="U333" s="17"/>
      <c r="V333" s="17">
        <f t="shared" si="36"/>
        <v>39</v>
      </c>
      <c r="W333" s="15">
        <f ca="1">IFERROR(__xludf.DUMMYFUNCTION("IFERROR(
  SUM(
    FILTER(
      Reporte!$E:$E, 
      REGEXMATCH(Reporte!$A:$A, ""(?i)(TE PAGÓ|PAGASTE)""), 
      Reporte!$H:$H &amp; """" = AH333 &amp; """"
    )
  ), 
  0
)"),0)</f>
        <v>0</v>
      </c>
      <c r="X333" s="15">
        <f ca="1">IFERROR(__xludf.DUMMYFUNCTION("IFERROR(
  SUM(
    FILTER(
      Efectivo!$C:$C, 
      Efectivo!$D:$D &amp; """" = AH333 &amp; """"
    )
  ), 
  0
)"),39)</f>
        <v>39</v>
      </c>
      <c r="Y333" s="15" t="s">
        <v>34</v>
      </c>
      <c r="Z333" s="15"/>
      <c r="AA333" s="15"/>
      <c r="AB333" s="15"/>
      <c r="AC333" s="15"/>
      <c r="AD333" s="15" t="str">
        <f t="shared" si="33"/>
        <v/>
      </c>
      <c r="AE333" s="15" t="e">
        <f>IF(
   OR(
     AND(#REF!&gt;0, OR(Y333="C", Y333="c"), U333&lt;0),
     AND(#REF!&gt;0, Y333="")
   ),
   "CORTE",
   ""
)</f>
        <v>#REF!</v>
      </c>
      <c r="AF333" s="15">
        <f t="shared" si="1"/>
        <v>39</v>
      </c>
      <c r="AG333" s="15">
        <f t="shared" si="2"/>
        <v>0</v>
      </c>
      <c r="AH333" s="15" t="str">
        <f t="shared" si="34"/>
        <v>T</v>
      </c>
      <c r="AI333" s="15" t="str">
        <f t="shared" si="35"/>
        <v>T-6</v>
      </c>
    </row>
    <row r="334" spans="1:35" ht="15.75" customHeight="1" x14ac:dyDescent="0.35">
      <c r="A334" s="8">
        <v>333</v>
      </c>
      <c r="B334" s="9" t="s">
        <v>419</v>
      </c>
      <c r="C334" s="9" t="s">
        <v>414</v>
      </c>
      <c r="D334" s="8">
        <v>7</v>
      </c>
      <c r="E334" s="10"/>
      <c r="F334" s="10"/>
      <c r="G334" s="10"/>
      <c r="H334" s="11">
        <v>1</v>
      </c>
      <c r="I334" s="11">
        <v>2</v>
      </c>
      <c r="J334" s="11">
        <v>17</v>
      </c>
      <c r="K334" s="11">
        <v>15</v>
      </c>
      <c r="L334" s="11">
        <v>15</v>
      </c>
      <c r="M334" s="11"/>
      <c r="N334" s="11">
        <v>0</v>
      </c>
      <c r="O334" s="11">
        <v>25</v>
      </c>
      <c r="P334" s="11">
        <v>3</v>
      </c>
      <c r="Q334" s="11"/>
      <c r="R334" s="19"/>
      <c r="S334" s="10"/>
      <c r="T334" s="21"/>
      <c r="U334" s="12"/>
      <c r="V334" s="12">
        <f t="shared" si="36"/>
        <v>43</v>
      </c>
      <c r="W334" s="10">
        <f ca="1">IFERROR(__xludf.DUMMYFUNCTION("IFERROR(
  SUM(
    FILTER(
      Reporte!$E:$E, 
      REGEXMATCH(Reporte!$A:$A, ""(?i)(TE PAGÓ|PAGASTE)""), 
      Reporte!$H:$H &amp; """" = AH334 &amp; """"
    )
  ), 
  0
)"),0)</f>
        <v>0</v>
      </c>
      <c r="X334" s="10">
        <f ca="1">IFERROR(__xludf.DUMMYFUNCTION("IFERROR(
  SUM(
    FILTER(
      Efectivo!$C:$C, 
      Efectivo!$D:$D &amp; """" = AH334 &amp; """"
    )
  ), 
  0
)"),0)</f>
        <v>0</v>
      </c>
      <c r="Y334" s="10"/>
      <c r="Z334" s="10"/>
      <c r="AA334" s="10"/>
      <c r="AB334" s="10"/>
      <c r="AC334" s="10"/>
      <c r="AD334" s="10" t="str">
        <f t="shared" si="33"/>
        <v/>
      </c>
      <c r="AE334" s="10"/>
      <c r="AF334" s="10">
        <f t="shared" si="1"/>
        <v>0</v>
      </c>
      <c r="AG334" s="10">
        <f t="shared" si="2"/>
        <v>0</v>
      </c>
      <c r="AH334" s="10" t="str">
        <f t="shared" si="34"/>
        <v>T</v>
      </c>
      <c r="AI334" s="10" t="str">
        <f t="shared" si="35"/>
        <v>T-7</v>
      </c>
    </row>
    <row r="335" spans="1:35" ht="15.75" customHeight="1" x14ac:dyDescent="0.35">
      <c r="A335" s="13">
        <v>334</v>
      </c>
      <c r="B335" s="14" t="s">
        <v>420</v>
      </c>
      <c r="C335" s="14" t="s">
        <v>414</v>
      </c>
      <c r="D335" s="13">
        <v>8</v>
      </c>
      <c r="E335" s="15"/>
      <c r="F335" s="15"/>
      <c r="G335" s="15"/>
      <c r="H335" s="16">
        <v>1</v>
      </c>
      <c r="I335" s="16">
        <v>2</v>
      </c>
      <c r="J335" s="16">
        <v>14</v>
      </c>
      <c r="K335" s="16">
        <v>12</v>
      </c>
      <c r="L335" s="16">
        <v>12</v>
      </c>
      <c r="M335" s="16"/>
      <c r="N335" s="16">
        <v>0</v>
      </c>
      <c r="O335" s="16">
        <v>25</v>
      </c>
      <c r="P335" s="16">
        <v>3</v>
      </c>
      <c r="Q335" s="16"/>
      <c r="R335" s="18"/>
      <c r="S335" s="15"/>
      <c r="T335" s="20"/>
      <c r="U335" s="17"/>
      <c r="V335" s="17">
        <f t="shared" si="36"/>
        <v>40</v>
      </c>
      <c r="W335" s="15">
        <f ca="1">IFERROR(__xludf.DUMMYFUNCTION("IFERROR(
  SUM(
    FILTER(
      Reporte!$E:$E, 
      REGEXMATCH(Reporte!$A:$A, ""(?i)(TE PAGÓ|PAGASTE)""), 
      Reporte!$H:$H &amp; """" = AH335 &amp; """"
    )
  ), 
  0
)"),0)</f>
        <v>0</v>
      </c>
      <c r="X335" s="15">
        <f ca="1">IFERROR(__xludf.DUMMYFUNCTION("IFERROR(
  SUM(
    FILTER(
      Efectivo!$C:$C, 
      Efectivo!$D:$D &amp; """" = AH335 &amp; """"
    )
  ), 
  0
)"),40)</f>
        <v>40</v>
      </c>
      <c r="Y335" s="15" t="s">
        <v>34</v>
      </c>
      <c r="Z335" s="15"/>
      <c r="AA335" s="15"/>
      <c r="AB335" s="15"/>
      <c r="AC335" s="15" t="s">
        <v>223</v>
      </c>
      <c r="AD335" s="15" t="str">
        <f t="shared" si="33"/>
        <v/>
      </c>
      <c r="AE335" s="15" t="e">
        <f>IF(
   OR(
     AND(#REF!&gt;0, OR(Y335="C", Y335="c"), U335&lt;0),
     AND(#REF!&gt;0, Y335="")
   ),
   "CORTE",
   ""
)</f>
        <v>#REF!</v>
      </c>
      <c r="AF335" s="15">
        <f t="shared" si="1"/>
        <v>40</v>
      </c>
      <c r="AG335" s="15">
        <f t="shared" si="2"/>
        <v>0</v>
      </c>
      <c r="AH335" s="15" t="str">
        <f t="shared" si="34"/>
        <v>T</v>
      </c>
      <c r="AI335" s="15" t="str">
        <f t="shared" si="35"/>
        <v>T-8</v>
      </c>
    </row>
    <row r="336" spans="1:35" ht="15.75" customHeight="1" x14ac:dyDescent="0.35">
      <c r="A336" s="8">
        <v>335</v>
      </c>
      <c r="B336" s="9" t="s">
        <v>421</v>
      </c>
      <c r="C336" s="9" t="s">
        <v>414</v>
      </c>
      <c r="D336" s="8">
        <v>9</v>
      </c>
      <c r="E336" s="10"/>
      <c r="F336" s="10"/>
      <c r="G336" s="10"/>
      <c r="H336" s="11">
        <v>1</v>
      </c>
      <c r="I336" s="11">
        <v>601</v>
      </c>
      <c r="J336" s="11">
        <v>604</v>
      </c>
      <c r="K336" s="11">
        <v>3</v>
      </c>
      <c r="L336" s="11">
        <v>5</v>
      </c>
      <c r="M336" s="11">
        <v>160</v>
      </c>
      <c r="N336" s="11">
        <v>40</v>
      </c>
      <c r="O336" s="11"/>
      <c r="P336" s="11">
        <v>3</v>
      </c>
      <c r="Q336" s="11">
        <v>30</v>
      </c>
      <c r="R336" s="19"/>
      <c r="S336" s="10"/>
      <c r="T336" s="21"/>
      <c r="U336" s="12"/>
      <c r="V336" s="12">
        <f t="shared" si="36"/>
        <v>238</v>
      </c>
      <c r="W336" s="10">
        <f ca="1">IFERROR(__xludf.DUMMYFUNCTION("IFERROR(
  SUM(
    FILTER(
      Reporte!$E:$E, 
      REGEXMATCH(Reporte!$A:$A, ""(?i)(TE PAGÓ|PAGASTE)""), 
      Reporte!$H:$H &amp; """" = AH336 &amp; """"
    )
  ), 
  0
)"),0)</f>
        <v>0</v>
      </c>
      <c r="X336" s="10">
        <f ca="1">IFERROR(__xludf.DUMMYFUNCTION("IFERROR(
  SUM(
    FILTER(
      Efectivo!$C:$C, 
      Efectivo!$D:$D &amp; """" = AH336 &amp; """"
    )
  ), 
  0
)"),0)</f>
        <v>0</v>
      </c>
      <c r="Y336" s="10"/>
      <c r="Z336" s="10"/>
      <c r="AA336" s="10"/>
      <c r="AB336" s="10"/>
      <c r="AC336" s="10"/>
      <c r="AD336" s="10" t="str">
        <f t="shared" si="33"/>
        <v>CORTE</v>
      </c>
      <c r="AE336" s="10" t="e">
        <f>IF(
   OR(
     AND(#REF!&gt;0, OR(Y336="C", Y336="c"), U336&lt;0),
     AND(#REF!&gt;0, Y336="")
   ),
   "CORTE",
   ""
)</f>
        <v>#REF!</v>
      </c>
      <c r="AF336" s="10">
        <f t="shared" si="1"/>
        <v>0</v>
      </c>
      <c r="AG336" s="10">
        <f t="shared" si="2"/>
        <v>0</v>
      </c>
      <c r="AH336" s="10" t="str">
        <f t="shared" si="34"/>
        <v>T</v>
      </c>
      <c r="AI336" s="10" t="str">
        <f t="shared" si="35"/>
        <v>T-9</v>
      </c>
    </row>
    <row r="337" spans="1:35" ht="15.75" customHeight="1" x14ac:dyDescent="0.35">
      <c r="A337" s="13">
        <v>336</v>
      </c>
      <c r="B337" s="14" t="s">
        <v>422</v>
      </c>
      <c r="C337" s="14" t="s">
        <v>414</v>
      </c>
      <c r="D337" s="13">
        <v>10</v>
      </c>
      <c r="E337" s="15"/>
      <c r="F337" s="15"/>
      <c r="G337" s="15"/>
      <c r="H337" s="16">
        <v>1</v>
      </c>
      <c r="I337" s="16">
        <v>191</v>
      </c>
      <c r="J337" s="16">
        <v>214</v>
      </c>
      <c r="K337" s="16">
        <v>23</v>
      </c>
      <c r="L337" s="16">
        <v>23</v>
      </c>
      <c r="M337" s="16"/>
      <c r="N337" s="16">
        <v>0</v>
      </c>
      <c r="O337" s="16"/>
      <c r="P337" s="16">
        <v>3</v>
      </c>
      <c r="Q337" s="16"/>
      <c r="R337" s="18"/>
      <c r="S337" s="15"/>
      <c r="T337" s="20"/>
      <c r="U337" s="17"/>
      <c r="V337" s="17">
        <f t="shared" si="36"/>
        <v>26</v>
      </c>
      <c r="W337" s="15">
        <f ca="1">IFERROR(__xludf.DUMMYFUNCTION("IFERROR(
  SUM(
    FILTER(
      Reporte!$E:$E, 
      REGEXMATCH(Reporte!$A:$A, ""(?i)(TE PAGÓ|PAGASTE)""), 
      Reporte!$H:$H &amp; """" = AH337 &amp; """"
    )
  ), 
  0
)"),26)</f>
        <v>26</v>
      </c>
      <c r="X337" s="15">
        <f ca="1">IFERROR(__xludf.DUMMYFUNCTION("IFERROR(
  SUM(
    FILTER(
      Efectivo!$C:$C, 
      Efectivo!$D:$D &amp; """" = AH337 &amp; """"
    )
  ), 
  0
)"),0)</f>
        <v>0</v>
      </c>
      <c r="Y337" s="15" t="s">
        <v>34</v>
      </c>
      <c r="Z337" s="15"/>
      <c r="AA337" s="15" t="s">
        <v>35</v>
      </c>
      <c r="AB337" s="15"/>
      <c r="AC337" s="15"/>
      <c r="AD337" s="15" t="str">
        <f t="shared" si="33"/>
        <v/>
      </c>
      <c r="AE337" s="15" t="e">
        <f>IF(
   OR(
     AND(#REF!&gt;0, OR(Y337="C", Y337="c"), U337&lt;0),
     AND(#REF!&gt;0, Y337="")
   ),
   "CORTE",
   ""
)</f>
        <v>#REF!</v>
      </c>
      <c r="AF337" s="15">
        <f t="shared" si="1"/>
        <v>0</v>
      </c>
      <c r="AG337" s="15">
        <f t="shared" si="2"/>
        <v>26</v>
      </c>
      <c r="AH337" s="15" t="str">
        <f t="shared" si="34"/>
        <v>T</v>
      </c>
      <c r="AI337" s="15" t="str">
        <f t="shared" si="35"/>
        <v>T-10</v>
      </c>
    </row>
    <row r="338" spans="1:35" ht="15.75" customHeight="1" x14ac:dyDescent="0.35">
      <c r="A338" s="8">
        <v>337</v>
      </c>
      <c r="B338" s="9" t="s">
        <v>423</v>
      </c>
      <c r="C338" s="9" t="s">
        <v>414</v>
      </c>
      <c r="D338" s="8">
        <v>11</v>
      </c>
      <c r="E338" s="10"/>
      <c r="F338" s="10"/>
      <c r="G338" s="10"/>
      <c r="H338" s="11">
        <v>1</v>
      </c>
      <c r="I338" s="11">
        <v>498</v>
      </c>
      <c r="J338" s="11">
        <v>502</v>
      </c>
      <c r="K338" s="11">
        <v>4</v>
      </c>
      <c r="L338" s="11">
        <v>5</v>
      </c>
      <c r="M338" s="11"/>
      <c r="N338" s="11">
        <v>0</v>
      </c>
      <c r="O338" s="11"/>
      <c r="P338" s="11">
        <v>3</v>
      </c>
      <c r="Q338" s="11"/>
      <c r="R338" s="19"/>
      <c r="S338" s="10"/>
      <c r="T338" s="21"/>
      <c r="U338" s="12"/>
      <c r="V338" s="12">
        <f t="shared" si="36"/>
        <v>8</v>
      </c>
      <c r="W338" s="10">
        <f ca="1">IFERROR(__xludf.DUMMYFUNCTION("IFERROR(
  SUM(
    FILTER(
      Reporte!$E:$E, 
      REGEXMATCH(Reporte!$A:$A, ""(?i)(TE PAGÓ|PAGASTE)""), 
      Reporte!$H:$H &amp; """" = AH338 &amp; """"
    )
  ), 
  0
)"),8)</f>
        <v>8</v>
      </c>
      <c r="X338" s="10">
        <f ca="1">IFERROR(__xludf.DUMMYFUNCTION("IFERROR(
  SUM(
    FILTER(
      Efectivo!$C:$C, 
      Efectivo!$D:$D &amp; """" = AH338 &amp; """"
    )
  ), 
  0
)"),0)</f>
        <v>0</v>
      </c>
      <c r="Y338" s="10" t="s">
        <v>34</v>
      </c>
      <c r="Z338" s="10"/>
      <c r="AA338" s="10" t="s">
        <v>35</v>
      </c>
      <c r="AB338" s="10"/>
      <c r="AC338" s="10"/>
      <c r="AD338" s="10" t="str">
        <f t="shared" si="33"/>
        <v/>
      </c>
      <c r="AE338" s="10" t="e">
        <f>IF(
   OR(
     AND(#REF!&gt;0, OR(Y338="C", Y338="c"), U338&lt;0),
     AND(#REF!&gt;0, Y338="")
   ),
   "CORTE",
   ""
)</f>
        <v>#REF!</v>
      </c>
      <c r="AF338" s="10">
        <f t="shared" si="1"/>
        <v>0</v>
      </c>
      <c r="AG338" s="10">
        <f t="shared" si="2"/>
        <v>8</v>
      </c>
      <c r="AH338" s="10" t="str">
        <f t="shared" si="34"/>
        <v>T</v>
      </c>
      <c r="AI338" s="10" t="str">
        <f t="shared" si="35"/>
        <v>T-11</v>
      </c>
    </row>
    <row r="339" spans="1:35" ht="15.75" customHeight="1" x14ac:dyDescent="0.35">
      <c r="A339" s="13">
        <v>338</v>
      </c>
      <c r="B339" s="14" t="s">
        <v>424</v>
      </c>
      <c r="C339" s="14" t="s">
        <v>414</v>
      </c>
      <c r="D339" s="13">
        <v>13</v>
      </c>
      <c r="E339" s="15"/>
      <c r="F339" s="15"/>
      <c r="G339" s="15"/>
      <c r="H339" s="16">
        <v>1</v>
      </c>
      <c r="I339" s="16">
        <v>40</v>
      </c>
      <c r="J339" s="16">
        <v>30</v>
      </c>
      <c r="K339" s="16">
        <v>10</v>
      </c>
      <c r="L339" s="16">
        <v>10</v>
      </c>
      <c r="M339" s="16"/>
      <c r="N339" s="16">
        <v>0</v>
      </c>
      <c r="O339" s="16"/>
      <c r="P339" s="16">
        <v>3</v>
      </c>
      <c r="Q339" s="16"/>
      <c r="R339" s="18"/>
      <c r="S339" s="15"/>
      <c r="T339" s="20"/>
      <c r="U339" s="17"/>
      <c r="V339" s="17">
        <f t="shared" si="36"/>
        <v>13</v>
      </c>
      <c r="W339" s="15">
        <f ca="1">IFERROR(__xludf.DUMMYFUNCTION("IFERROR(
  SUM(
    FILTER(
      Reporte!$E:$E, 
      REGEXMATCH(Reporte!$A:$A, ""(?i)(TE PAGÓ|PAGASTE)""), 
      Reporte!$H:$H &amp; """" = AH339 &amp; """"
    )
  ), 
  0
)"),13)</f>
        <v>13</v>
      </c>
      <c r="X339" s="15">
        <f ca="1">IFERROR(__xludf.DUMMYFUNCTION("IFERROR(
  SUM(
    FILTER(
      Efectivo!$C:$C, 
      Efectivo!$D:$D &amp; """" = AH339 &amp; """"
    )
  ), 
  0
)"),0)</f>
        <v>0</v>
      </c>
      <c r="Y339" s="15" t="s">
        <v>34</v>
      </c>
      <c r="Z339" s="15"/>
      <c r="AA339" s="15" t="s">
        <v>35</v>
      </c>
      <c r="AB339" s="15"/>
      <c r="AC339" s="15"/>
      <c r="AD339" s="15" t="str">
        <f t="shared" si="33"/>
        <v/>
      </c>
      <c r="AE339" s="15" t="e">
        <f>IF(
   OR(
     AND(#REF!&gt;0, OR(Y339="C", Y339="c"), U339&lt;0),
     AND(#REF!&gt;0, Y339="")
   ),
   "CORTE",
   ""
)</f>
        <v>#REF!</v>
      </c>
      <c r="AF339" s="15">
        <f t="shared" si="1"/>
        <v>0</v>
      </c>
      <c r="AG339" s="15">
        <f t="shared" si="2"/>
        <v>13</v>
      </c>
      <c r="AH339" s="15" t="str">
        <f t="shared" si="34"/>
        <v>T</v>
      </c>
      <c r="AI339" s="15" t="str">
        <f t="shared" si="35"/>
        <v>T-13</v>
      </c>
    </row>
    <row r="340" spans="1:35" ht="15.75" customHeight="1" x14ac:dyDescent="0.35">
      <c r="A340" s="8">
        <v>339</v>
      </c>
      <c r="B340" s="9" t="s">
        <v>425</v>
      </c>
      <c r="C340" s="9" t="s">
        <v>414</v>
      </c>
      <c r="D340" s="8">
        <v>14</v>
      </c>
      <c r="E340" s="10"/>
      <c r="F340" s="10"/>
      <c r="G340" s="10"/>
      <c r="H340" s="11">
        <v>1</v>
      </c>
      <c r="I340" s="11">
        <v>0</v>
      </c>
      <c r="J340" s="11">
        <v>13</v>
      </c>
      <c r="K340" s="11">
        <v>13</v>
      </c>
      <c r="L340" s="11">
        <v>13</v>
      </c>
      <c r="M340" s="11"/>
      <c r="N340" s="11">
        <v>0</v>
      </c>
      <c r="O340" s="11">
        <v>25</v>
      </c>
      <c r="P340" s="11">
        <v>3</v>
      </c>
      <c r="Q340" s="11"/>
      <c r="R340" s="19"/>
      <c r="S340" s="10"/>
      <c r="T340" s="21"/>
      <c r="U340" s="12"/>
      <c r="V340" s="12">
        <f t="shared" si="36"/>
        <v>41</v>
      </c>
      <c r="W340" s="10">
        <f ca="1">IFERROR(__xludf.DUMMYFUNCTION("IFERROR(
  SUM(
    FILTER(
      Reporte!$E:$E, 
      REGEXMATCH(Reporte!$A:$A, ""(?i)(TE PAGÓ|PAGASTE)""), 
      Reporte!$H:$H &amp; """" = AH340 &amp; """"
    )
  ), 
  0
)"),0)</f>
        <v>0</v>
      </c>
      <c r="X340" s="10">
        <f ca="1">IFERROR(__xludf.DUMMYFUNCTION("IFERROR(
  SUM(
    FILTER(
      Efectivo!$C:$C, 
      Efectivo!$D:$D &amp; """" = AH340 &amp; """"
    )
  ), 
  0
)"),0)</f>
        <v>0</v>
      </c>
      <c r="Y340" s="10"/>
      <c r="Z340" s="10"/>
      <c r="AA340" s="10"/>
      <c r="AB340" s="10"/>
      <c r="AC340" s="10"/>
      <c r="AD340" s="10" t="str">
        <f t="shared" si="33"/>
        <v/>
      </c>
      <c r="AE340" s="10" t="e">
        <f>IF(
   OR(
     AND(#REF!&gt;0, OR(Y340="C", Y340="c"), U340&lt;0),
     AND(#REF!&gt;0, Y340="")
   ),
   "CORTE",
   ""
)</f>
        <v>#REF!</v>
      </c>
      <c r="AF340" s="10">
        <f t="shared" si="1"/>
        <v>0</v>
      </c>
      <c r="AG340" s="10">
        <f t="shared" si="2"/>
        <v>0</v>
      </c>
      <c r="AH340" s="10" t="str">
        <f t="shared" si="34"/>
        <v>T</v>
      </c>
      <c r="AI340" s="10" t="str">
        <f t="shared" si="35"/>
        <v>T-14</v>
      </c>
    </row>
    <row r="341" spans="1:35" ht="15.75" customHeight="1" x14ac:dyDescent="0.35">
      <c r="A341" s="13">
        <v>340</v>
      </c>
      <c r="B341" s="14" t="s">
        <v>426</v>
      </c>
      <c r="C341" s="14" t="s">
        <v>414</v>
      </c>
      <c r="D341" s="13">
        <v>15</v>
      </c>
      <c r="E341" s="15"/>
      <c r="F341" s="15"/>
      <c r="G341" s="15"/>
      <c r="H341" s="16">
        <v>1</v>
      </c>
      <c r="I341" s="16">
        <v>363</v>
      </c>
      <c r="J341" s="16">
        <v>366</v>
      </c>
      <c r="K341" s="16">
        <v>3</v>
      </c>
      <c r="L341" s="16">
        <v>5</v>
      </c>
      <c r="M341" s="16"/>
      <c r="N341" s="16">
        <v>0</v>
      </c>
      <c r="O341" s="16"/>
      <c r="P341" s="16">
        <v>3</v>
      </c>
      <c r="Q341" s="16"/>
      <c r="R341" s="18"/>
      <c r="S341" s="15"/>
      <c r="T341" s="20"/>
      <c r="U341" s="17"/>
      <c r="V341" s="17">
        <f t="shared" si="36"/>
        <v>8</v>
      </c>
      <c r="W341" s="15">
        <f ca="1">IFERROR(__xludf.DUMMYFUNCTION("IFERROR(
  SUM(
    FILTER(
      Reporte!$E:$E, 
      REGEXMATCH(Reporte!$A:$A, ""(?i)(TE PAGÓ|PAGASTE)""), 
      Reporte!$H:$H &amp; """" = AH341 &amp; """"
    )
  ), 
  0
)"),0)</f>
        <v>0</v>
      </c>
      <c r="X341" s="15">
        <f ca="1">IFERROR(__xludf.DUMMYFUNCTION("IFERROR(
  SUM(
    FILTER(
      Efectivo!$C:$C, 
      Efectivo!$D:$D &amp; """" = AH341 &amp; """"
    )
  ), 
  0
)"),8)</f>
        <v>8</v>
      </c>
      <c r="Y341" s="15" t="s">
        <v>34</v>
      </c>
      <c r="Z341" s="15"/>
      <c r="AA341" s="15"/>
      <c r="AB341" s="15"/>
      <c r="AC341" s="15"/>
      <c r="AD341" s="15" t="str">
        <f t="shared" si="33"/>
        <v/>
      </c>
      <c r="AE341" s="15"/>
      <c r="AF341" s="15">
        <f t="shared" si="1"/>
        <v>8</v>
      </c>
      <c r="AG341" s="15">
        <f t="shared" si="2"/>
        <v>0</v>
      </c>
      <c r="AH341" s="15" t="str">
        <f t="shared" si="34"/>
        <v>T</v>
      </c>
      <c r="AI341" s="15" t="str">
        <f t="shared" si="35"/>
        <v>T-15</v>
      </c>
    </row>
    <row r="342" spans="1:35" ht="15.75" customHeight="1" x14ac:dyDescent="0.35">
      <c r="A342" s="8">
        <v>341</v>
      </c>
      <c r="B342" s="9" t="s">
        <v>427</v>
      </c>
      <c r="C342" s="9" t="s">
        <v>414</v>
      </c>
      <c r="D342" s="8">
        <v>16</v>
      </c>
      <c r="E342" s="10"/>
      <c r="F342" s="10"/>
      <c r="G342" s="10"/>
      <c r="H342" s="11">
        <v>1</v>
      </c>
      <c r="I342" s="11">
        <v>109</v>
      </c>
      <c r="J342" s="11">
        <v>124</v>
      </c>
      <c r="K342" s="11">
        <v>15</v>
      </c>
      <c r="L342" s="11">
        <v>15</v>
      </c>
      <c r="M342" s="11">
        <v>18</v>
      </c>
      <c r="N342" s="11">
        <v>0</v>
      </c>
      <c r="O342" s="11"/>
      <c r="P342" s="11">
        <v>3</v>
      </c>
      <c r="Q342" s="11"/>
      <c r="R342" s="19"/>
      <c r="S342" s="10"/>
      <c r="T342" s="21"/>
      <c r="U342" s="12"/>
      <c r="V342" s="12">
        <f t="shared" si="36"/>
        <v>36</v>
      </c>
      <c r="W342" s="10">
        <f ca="1">IFERROR(__xludf.DUMMYFUNCTION("IFERROR(
  SUM(
    FILTER(
      Reporte!$E:$E, 
      REGEXMATCH(Reporte!$A:$A, ""(?i)(TE PAGÓ|PAGASTE)""), 
      Reporte!$H:$H &amp; """" = AH342 &amp; """"
    )
  ), 
  0
)"),36)</f>
        <v>36</v>
      </c>
      <c r="X342" s="10">
        <f ca="1">IFERROR(__xludf.DUMMYFUNCTION("IFERROR(
  SUM(
    FILTER(
      Efectivo!$C:$C, 
      Efectivo!$D:$D &amp; """" = AH342 &amp; """"
    )
  ), 
  0
)"),0)</f>
        <v>0</v>
      </c>
      <c r="Y342" s="10" t="s">
        <v>34</v>
      </c>
      <c r="Z342" s="10"/>
      <c r="AA342" s="10" t="s">
        <v>35</v>
      </c>
      <c r="AB342" s="10"/>
      <c r="AC342" s="10"/>
      <c r="AD342" s="10" t="str">
        <f t="shared" si="33"/>
        <v/>
      </c>
      <c r="AE342" s="10" t="e">
        <f>IF(
   OR(
     AND(#REF!&gt;0, OR(Y342="C", Y342="c"), U342&lt;0),
     AND(#REF!&gt;0, Y342="")
   ),
   "CORTE",
   ""
)</f>
        <v>#REF!</v>
      </c>
      <c r="AF342" s="10">
        <f t="shared" si="1"/>
        <v>0</v>
      </c>
      <c r="AG342" s="10">
        <f t="shared" si="2"/>
        <v>36</v>
      </c>
      <c r="AH342" s="10" t="str">
        <f t="shared" si="34"/>
        <v>T</v>
      </c>
      <c r="AI342" s="10" t="str">
        <f t="shared" si="35"/>
        <v>T-16</v>
      </c>
    </row>
    <row r="343" spans="1:35" ht="15.75" customHeight="1" x14ac:dyDescent="0.35">
      <c r="A343" s="13">
        <v>342</v>
      </c>
      <c r="B343" s="14" t="s">
        <v>428</v>
      </c>
      <c r="C343" s="14" t="s">
        <v>414</v>
      </c>
      <c r="D343" s="13">
        <v>17</v>
      </c>
      <c r="E343" s="15"/>
      <c r="F343" s="15"/>
      <c r="G343" s="15"/>
      <c r="H343" s="16">
        <v>1</v>
      </c>
      <c r="I343" s="16">
        <v>2403</v>
      </c>
      <c r="J343" s="16">
        <v>2403</v>
      </c>
      <c r="K343" s="16">
        <v>5</v>
      </c>
      <c r="L343" s="16">
        <v>5</v>
      </c>
      <c r="M343" s="16">
        <v>152</v>
      </c>
      <c r="N343" s="16">
        <v>40</v>
      </c>
      <c r="O343" s="16"/>
      <c r="P343" s="16">
        <v>3</v>
      </c>
      <c r="Q343" s="16">
        <v>30</v>
      </c>
      <c r="R343" s="18"/>
      <c r="S343" s="15"/>
      <c r="T343" s="20"/>
      <c r="U343" s="17"/>
      <c r="V343" s="17">
        <f t="shared" si="36"/>
        <v>230</v>
      </c>
      <c r="W343" s="15">
        <f ca="1">IFERROR(__xludf.DUMMYFUNCTION("IFERROR(
  SUM(
    FILTER(
      Reporte!$E:$E, 
      REGEXMATCH(Reporte!$A:$A, ""(?i)(TE PAGÓ|PAGASTE)""), 
      Reporte!$H:$H &amp; """" = AH343 &amp; """"
    )
  ), 
  0
)"),0)</f>
        <v>0</v>
      </c>
      <c r="X343" s="15">
        <f ca="1">IFERROR(__xludf.DUMMYFUNCTION("IFERROR(
  SUM(
    FILTER(
      Efectivo!$C:$C, 
      Efectivo!$D:$D &amp; """" = AH343 &amp; """"
    )
  ), 
  0
)"),0)</f>
        <v>0</v>
      </c>
      <c r="Y343" s="15"/>
      <c r="Z343" s="15"/>
      <c r="AA343" s="15"/>
      <c r="AB343" s="15"/>
      <c r="AC343" s="15"/>
      <c r="AD343" s="15" t="str">
        <f t="shared" si="33"/>
        <v>CORTE</v>
      </c>
      <c r="AE343" s="15" t="e">
        <f>IF(
   OR(
     AND(#REF!&gt;0, OR(Y343="C", Y343="c"), U343&lt;0),
     AND(#REF!&gt;0, Y343="")
   ),
   "CORTE",
   ""
)</f>
        <v>#REF!</v>
      </c>
      <c r="AF343" s="15">
        <f t="shared" si="1"/>
        <v>0</v>
      </c>
      <c r="AG343" s="15">
        <f t="shared" si="2"/>
        <v>0</v>
      </c>
      <c r="AH343" s="15" t="str">
        <f t="shared" si="34"/>
        <v>T</v>
      </c>
      <c r="AI343" s="15" t="str">
        <f t="shared" si="35"/>
        <v>T-17</v>
      </c>
    </row>
    <row r="344" spans="1:35" ht="15.75" customHeight="1" x14ac:dyDescent="0.35">
      <c r="A344" s="8">
        <v>343</v>
      </c>
      <c r="B344" s="9" t="s">
        <v>429</v>
      </c>
      <c r="C344" s="9" t="s">
        <v>414</v>
      </c>
      <c r="D344" s="8">
        <v>18</v>
      </c>
      <c r="E344" s="10"/>
      <c r="F344" s="10"/>
      <c r="G344" s="10"/>
      <c r="H344" s="11">
        <v>1</v>
      </c>
      <c r="I344" s="11">
        <v>1757</v>
      </c>
      <c r="J344" s="11">
        <v>1771</v>
      </c>
      <c r="K344" s="11">
        <v>14</v>
      </c>
      <c r="L344" s="11">
        <v>14</v>
      </c>
      <c r="M344" s="11"/>
      <c r="N344" s="11">
        <v>0</v>
      </c>
      <c r="O344" s="11"/>
      <c r="P344" s="11">
        <v>3</v>
      </c>
      <c r="Q344" s="11"/>
      <c r="R344" s="19"/>
      <c r="S344" s="10"/>
      <c r="T344" s="21"/>
      <c r="U344" s="12"/>
      <c r="V344" s="12">
        <f t="shared" si="36"/>
        <v>17</v>
      </c>
      <c r="W344" s="10">
        <f ca="1">IFERROR(__xludf.DUMMYFUNCTION("IFERROR(
  SUM(
    FILTER(
      Reporte!$E:$E, 
      REGEXMATCH(Reporte!$A:$A, ""(?i)(TE PAGÓ|PAGASTE)""), 
      Reporte!$H:$H &amp; """" = AH344 &amp; """"
    )
  ), 
  0
)"),0)</f>
        <v>0</v>
      </c>
      <c r="X344" s="10">
        <f ca="1">IFERROR(__xludf.DUMMYFUNCTION("IFERROR(
  SUM(
    FILTER(
      Efectivo!$C:$C, 
      Efectivo!$D:$D &amp; """" = AH344 &amp; """"
    )
  ), 
  0
)"),0)</f>
        <v>0</v>
      </c>
      <c r="Y344" s="10"/>
      <c r="Z344" s="10"/>
      <c r="AA344" s="10"/>
      <c r="AB344" s="10"/>
      <c r="AC344" s="10"/>
      <c r="AD344" s="10" t="str">
        <f t="shared" si="33"/>
        <v/>
      </c>
      <c r="AE344" s="10" t="e">
        <f>IF(
   OR(
     AND(#REF!&gt;0, OR(Y344="C", Y344="c"), U344&lt;0),
     AND(#REF!&gt;0, Y344="")
   ),
   "CORTE",
   ""
)</f>
        <v>#REF!</v>
      </c>
      <c r="AF344" s="10">
        <f t="shared" si="1"/>
        <v>0</v>
      </c>
      <c r="AG344" s="10">
        <f t="shared" si="2"/>
        <v>0</v>
      </c>
      <c r="AH344" s="10" t="str">
        <f t="shared" si="34"/>
        <v>T</v>
      </c>
      <c r="AI344" s="10" t="str">
        <f t="shared" si="35"/>
        <v>T-18</v>
      </c>
    </row>
    <row r="345" spans="1:35" ht="15.75" customHeight="1" x14ac:dyDescent="0.35">
      <c r="A345" s="13">
        <v>344</v>
      </c>
      <c r="B345" s="14" t="s">
        <v>430</v>
      </c>
      <c r="C345" s="14" t="s">
        <v>414</v>
      </c>
      <c r="D345" s="13">
        <v>19</v>
      </c>
      <c r="E345" s="15"/>
      <c r="F345" s="15"/>
      <c r="G345" s="15"/>
      <c r="H345" s="16">
        <v>1</v>
      </c>
      <c r="I345" s="16">
        <v>399</v>
      </c>
      <c r="J345" s="16">
        <v>417</v>
      </c>
      <c r="K345" s="16">
        <v>18</v>
      </c>
      <c r="L345" s="16">
        <v>18</v>
      </c>
      <c r="M345" s="16"/>
      <c r="N345" s="16">
        <v>0</v>
      </c>
      <c r="O345" s="16"/>
      <c r="P345" s="16">
        <v>3</v>
      </c>
      <c r="Q345" s="16"/>
      <c r="R345" s="18"/>
      <c r="S345" s="15"/>
      <c r="T345" s="20"/>
      <c r="U345" s="17"/>
      <c r="V345" s="17">
        <f t="shared" si="36"/>
        <v>21</v>
      </c>
      <c r="W345" s="15">
        <f ca="1">IFERROR(__xludf.DUMMYFUNCTION("IFERROR(
  SUM(
    FILTER(
      Reporte!$E:$E, 
      REGEXMATCH(Reporte!$A:$A, ""(?i)(TE PAGÓ|PAGASTE)""), 
      Reporte!$H:$H &amp; """" = AH345 &amp; """"
    )
  ), 
  0
)"),21)</f>
        <v>21</v>
      </c>
      <c r="X345" s="15">
        <f ca="1">IFERROR(__xludf.DUMMYFUNCTION("IFERROR(
  SUM(
    FILTER(
      Efectivo!$C:$C, 
      Efectivo!$D:$D &amp; """" = AH345 &amp; """"
    )
  ), 
  0
)"),0)</f>
        <v>0</v>
      </c>
      <c r="Y345" s="15" t="s">
        <v>34</v>
      </c>
      <c r="Z345" s="15"/>
      <c r="AA345" s="15" t="s">
        <v>35</v>
      </c>
      <c r="AB345" s="15"/>
      <c r="AC345" s="15"/>
      <c r="AD345" s="15" t="str">
        <f t="shared" si="33"/>
        <v/>
      </c>
      <c r="AE345" s="15" t="e">
        <f>IF(
   OR(
     AND(#REF!&gt;0, OR(Y345="C", Y345="c"), U345&lt;0),
     AND(#REF!&gt;0, Y345="")
   ),
   "CORTE",
   ""
)</f>
        <v>#REF!</v>
      </c>
      <c r="AF345" s="15">
        <f t="shared" si="1"/>
        <v>0</v>
      </c>
      <c r="AG345" s="15">
        <f t="shared" si="2"/>
        <v>21</v>
      </c>
      <c r="AH345" s="15" t="str">
        <f t="shared" si="34"/>
        <v>T</v>
      </c>
      <c r="AI345" s="15" t="str">
        <f t="shared" si="35"/>
        <v>T-19</v>
      </c>
    </row>
    <row r="346" spans="1:35" ht="15.75" customHeight="1" x14ac:dyDescent="0.35">
      <c r="A346" s="8">
        <v>345</v>
      </c>
      <c r="B346" s="9" t="s">
        <v>431</v>
      </c>
      <c r="C346" s="9" t="s">
        <v>414</v>
      </c>
      <c r="D346" s="8">
        <v>20</v>
      </c>
      <c r="E346" s="10"/>
      <c r="F346" s="10"/>
      <c r="G346" s="10"/>
      <c r="H346" s="11">
        <v>1</v>
      </c>
      <c r="I346" s="11">
        <v>414</v>
      </c>
      <c r="J346" s="11">
        <v>436</v>
      </c>
      <c r="K346" s="11">
        <v>22</v>
      </c>
      <c r="L346" s="11">
        <v>22</v>
      </c>
      <c r="M346" s="11"/>
      <c r="N346" s="11">
        <v>0</v>
      </c>
      <c r="O346" s="11"/>
      <c r="P346" s="11">
        <v>3</v>
      </c>
      <c r="Q346" s="11"/>
      <c r="R346" s="19"/>
      <c r="S346" s="10"/>
      <c r="T346" s="21"/>
      <c r="U346" s="12"/>
      <c r="V346" s="12">
        <f t="shared" si="36"/>
        <v>25</v>
      </c>
      <c r="W346" s="10">
        <f ca="1">IFERROR(__xludf.DUMMYFUNCTION("IFERROR(
  SUM(
    FILTER(
      Reporte!$E:$E, 
      REGEXMATCH(Reporte!$A:$A, ""(?i)(TE PAGÓ|PAGASTE)""), 
      Reporte!$H:$H &amp; """" = AH346 &amp; """"
    )
  ), 
  0
)"),25)</f>
        <v>25</v>
      </c>
      <c r="X346" s="10">
        <f ca="1">IFERROR(__xludf.DUMMYFUNCTION("IFERROR(
  SUM(
    FILTER(
      Efectivo!$C:$C, 
      Efectivo!$D:$D &amp; """" = AH346 &amp; """"
    )
  ), 
  0
)"),0)</f>
        <v>0</v>
      </c>
      <c r="Y346" s="10" t="s">
        <v>34</v>
      </c>
      <c r="Z346" s="10"/>
      <c r="AA346" s="10" t="s">
        <v>35</v>
      </c>
      <c r="AB346" s="10"/>
      <c r="AC346" s="10"/>
      <c r="AD346" s="10" t="str">
        <f t="shared" si="33"/>
        <v/>
      </c>
      <c r="AE346" s="10" t="e">
        <f>IF(
   OR(
     AND(#REF!&gt;0, OR(Y346="C", Y346="c"), U346&lt;0),
     AND(#REF!&gt;0, Y346="")
   ),
   "CORTE",
   ""
)</f>
        <v>#REF!</v>
      </c>
      <c r="AF346" s="10">
        <f t="shared" si="1"/>
        <v>0</v>
      </c>
      <c r="AG346" s="10">
        <f t="shared" si="2"/>
        <v>25</v>
      </c>
      <c r="AH346" s="10" t="str">
        <f t="shared" si="34"/>
        <v>T</v>
      </c>
      <c r="AI346" s="10" t="str">
        <f t="shared" si="35"/>
        <v>T-20</v>
      </c>
    </row>
    <row r="347" spans="1:35" ht="15.75" customHeight="1" x14ac:dyDescent="0.35">
      <c r="A347" s="13">
        <v>346</v>
      </c>
      <c r="B347" s="14" t="s">
        <v>432</v>
      </c>
      <c r="C347" s="14" t="s">
        <v>433</v>
      </c>
      <c r="D347" s="13">
        <v>1</v>
      </c>
      <c r="E347" s="15"/>
      <c r="F347" s="15"/>
      <c r="G347" s="15"/>
      <c r="H347" s="16">
        <v>1</v>
      </c>
      <c r="I347" s="16">
        <v>2174</v>
      </c>
      <c r="J347" s="16">
        <v>218</v>
      </c>
      <c r="K347" s="16">
        <v>6</v>
      </c>
      <c r="L347" s="16">
        <v>6</v>
      </c>
      <c r="M347" s="16"/>
      <c r="N347" s="16">
        <v>0</v>
      </c>
      <c r="O347" s="16"/>
      <c r="P347" s="16">
        <v>3</v>
      </c>
      <c r="Q347" s="16"/>
      <c r="R347" s="18"/>
      <c r="S347" s="15"/>
      <c r="T347" s="20"/>
      <c r="U347" s="17"/>
      <c r="V347" s="17">
        <f t="shared" si="36"/>
        <v>9</v>
      </c>
      <c r="W347" s="15">
        <f ca="1">IFERROR(__xludf.DUMMYFUNCTION("IFERROR(
  SUM(
    FILTER(
      Reporte!$E:$E, 
      REGEXMATCH(Reporte!$A:$A, ""(?i)(TE PAGÓ|PAGASTE)""), 
      Reporte!$H:$H &amp; """" = AH347 &amp; """"
    )
  ), 
  0
)"),9)</f>
        <v>9</v>
      </c>
      <c r="X347" s="15">
        <f ca="1">IFERROR(__xludf.DUMMYFUNCTION("IFERROR(
  SUM(
    FILTER(
      Efectivo!$C:$C, 
      Efectivo!$D:$D &amp; """" = AH347 &amp; """"
    )
  ), 
  0
)"),0)</f>
        <v>0</v>
      </c>
      <c r="Y347" s="15" t="s">
        <v>34</v>
      </c>
      <c r="Z347" s="15"/>
      <c r="AA347" s="15" t="s">
        <v>35</v>
      </c>
      <c r="AB347" s="15"/>
      <c r="AC347" s="15"/>
      <c r="AD347" s="15" t="str">
        <f t="shared" si="33"/>
        <v/>
      </c>
      <c r="AE347" s="15" t="e">
        <f>IF(
   OR(
     AND(#REF!&gt;0, OR(Y347="C", Y347="c"), U347&lt;0),
     AND(#REF!&gt;0, Y347="")
   ),
   "CORTE",
   ""
)</f>
        <v>#REF!</v>
      </c>
      <c r="AF347" s="15">
        <f t="shared" si="1"/>
        <v>0</v>
      </c>
      <c r="AG347" s="15">
        <f t="shared" si="2"/>
        <v>9</v>
      </c>
      <c r="AH347" s="15" t="str">
        <f t="shared" si="34"/>
        <v>U</v>
      </c>
      <c r="AI347" s="15" t="str">
        <f t="shared" si="35"/>
        <v>U-1</v>
      </c>
    </row>
    <row r="348" spans="1:35" ht="15.75" customHeight="1" x14ac:dyDescent="0.35">
      <c r="A348" s="8">
        <v>347</v>
      </c>
      <c r="B348" s="9" t="s">
        <v>434</v>
      </c>
      <c r="C348" s="9" t="s">
        <v>433</v>
      </c>
      <c r="D348" s="8">
        <v>2</v>
      </c>
      <c r="E348" s="10"/>
      <c r="F348" s="10"/>
      <c r="G348" s="10"/>
      <c r="H348" s="11">
        <v>1</v>
      </c>
      <c r="I348" s="11">
        <v>375</v>
      </c>
      <c r="J348" s="11">
        <v>383</v>
      </c>
      <c r="K348" s="11">
        <v>8</v>
      </c>
      <c r="L348" s="11">
        <v>8</v>
      </c>
      <c r="M348" s="11"/>
      <c r="N348" s="11">
        <v>0</v>
      </c>
      <c r="O348" s="11"/>
      <c r="P348" s="11">
        <v>3</v>
      </c>
      <c r="Q348" s="11"/>
      <c r="R348" s="19"/>
      <c r="S348" s="10"/>
      <c r="T348" s="21"/>
      <c r="U348" s="12"/>
      <c r="V348" s="12">
        <f t="shared" si="36"/>
        <v>11</v>
      </c>
      <c r="W348" s="10">
        <f ca="1">IFERROR(__xludf.DUMMYFUNCTION("IFERROR(
  SUM(
    FILTER(
      Reporte!$E:$E, 
      REGEXMATCH(Reporte!$A:$A, ""(?i)(TE PAGÓ|PAGASTE)""), 
      Reporte!$H:$H &amp; """" = AH348 &amp; """"
    )
  ), 
  0
)"),0)</f>
        <v>0</v>
      </c>
      <c r="X348" s="10">
        <f ca="1">IFERROR(__xludf.DUMMYFUNCTION("IFERROR(
  SUM(
    FILTER(
      Efectivo!$C:$C, 
      Efectivo!$D:$D &amp; """" = AH348 &amp; """"
    )
  ), 
  0
)"),11)</f>
        <v>11</v>
      </c>
      <c r="Y348" s="10" t="s">
        <v>34</v>
      </c>
      <c r="Z348" s="10"/>
      <c r="AA348" s="10"/>
      <c r="AB348" s="10"/>
      <c r="AC348" s="10"/>
      <c r="AD348" s="10" t="str">
        <f t="shared" si="33"/>
        <v/>
      </c>
      <c r="AE348" s="10" t="e">
        <f>IF(
   OR(
     AND(#REF!&gt;0, OR(Y348="C", Y348="c"), U348&lt;0),
     AND(#REF!&gt;0, Y348="")
   ),
   "CORTE",
   ""
)</f>
        <v>#REF!</v>
      </c>
      <c r="AF348" s="10">
        <f t="shared" si="1"/>
        <v>11</v>
      </c>
      <c r="AG348" s="10">
        <f t="shared" si="2"/>
        <v>0</v>
      </c>
      <c r="AH348" s="10" t="str">
        <f t="shared" si="34"/>
        <v>U</v>
      </c>
      <c r="AI348" s="10" t="str">
        <f t="shared" si="35"/>
        <v>U-2</v>
      </c>
    </row>
    <row r="349" spans="1:35" ht="15.75" customHeight="1" x14ac:dyDescent="0.35">
      <c r="A349" s="13">
        <v>348</v>
      </c>
      <c r="B349" s="14" t="s">
        <v>435</v>
      </c>
      <c r="C349" s="14" t="s">
        <v>433</v>
      </c>
      <c r="D349" s="13">
        <v>3</v>
      </c>
      <c r="E349" s="15"/>
      <c r="F349" s="15"/>
      <c r="G349" s="15"/>
      <c r="H349" s="16">
        <v>1</v>
      </c>
      <c r="I349" s="16">
        <v>1025</v>
      </c>
      <c r="J349" s="16">
        <v>1032</v>
      </c>
      <c r="K349" s="16">
        <v>7</v>
      </c>
      <c r="L349" s="16">
        <v>7</v>
      </c>
      <c r="M349" s="16"/>
      <c r="N349" s="16">
        <v>0</v>
      </c>
      <c r="O349" s="16"/>
      <c r="P349" s="16">
        <v>3</v>
      </c>
      <c r="Q349" s="16"/>
      <c r="R349" s="18"/>
      <c r="S349" s="15"/>
      <c r="T349" s="20"/>
      <c r="U349" s="17"/>
      <c r="V349" s="17">
        <f t="shared" si="36"/>
        <v>10</v>
      </c>
      <c r="W349" s="15">
        <f ca="1">IFERROR(__xludf.DUMMYFUNCTION("IFERROR(
  SUM(
    FILTER(
      Reporte!$E:$E, 
      REGEXMATCH(Reporte!$A:$A, ""(?i)(TE PAGÓ|PAGASTE)""), 
      Reporte!$H:$H &amp; """" = AH349 &amp; """"
    )
  ), 
  0
)"),10)</f>
        <v>10</v>
      </c>
      <c r="X349" s="15">
        <f ca="1">IFERROR(__xludf.DUMMYFUNCTION("IFERROR(
  SUM(
    FILTER(
      Efectivo!$C:$C, 
      Efectivo!$D:$D &amp; """" = AH349 &amp; """"
    )
  ), 
  0
)"),0)</f>
        <v>0</v>
      </c>
      <c r="Y349" s="15" t="s">
        <v>34</v>
      </c>
      <c r="Z349" s="15"/>
      <c r="AA349" s="15" t="s">
        <v>35</v>
      </c>
      <c r="AB349" s="15"/>
      <c r="AC349" s="15"/>
      <c r="AD349" s="15" t="str">
        <f t="shared" si="33"/>
        <v/>
      </c>
      <c r="AE349" s="15" t="e">
        <f>IF(
   OR(
     AND(#REF!&gt;0, OR(Y349="C", Y349="c"), U349&lt;0),
     AND(#REF!&gt;0, Y349="")
   ),
   "CORTE",
   ""
)</f>
        <v>#REF!</v>
      </c>
      <c r="AF349" s="15">
        <f t="shared" si="1"/>
        <v>0</v>
      </c>
      <c r="AG349" s="15">
        <f t="shared" si="2"/>
        <v>10</v>
      </c>
      <c r="AH349" s="15" t="str">
        <f t="shared" si="34"/>
        <v>U</v>
      </c>
      <c r="AI349" s="15" t="str">
        <f t="shared" si="35"/>
        <v>U-3</v>
      </c>
    </row>
    <row r="350" spans="1:35" ht="15.75" customHeight="1" x14ac:dyDescent="0.35">
      <c r="A350" s="8">
        <v>349</v>
      </c>
      <c r="B350" s="9" t="s">
        <v>436</v>
      </c>
      <c r="C350" s="9" t="s">
        <v>433</v>
      </c>
      <c r="D350" s="8">
        <v>4</v>
      </c>
      <c r="E350" s="10"/>
      <c r="F350" s="10"/>
      <c r="G350" s="10"/>
      <c r="H350" s="11">
        <v>1</v>
      </c>
      <c r="I350" s="11">
        <v>6</v>
      </c>
      <c r="J350" s="11">
        <v>7</v>
      </c>
      <c r="K350" s="11">
        <v>1</v>
      </c>
      <c r="L350" s="11">
        <v>5</v>
      </c>
      <c r="M350" s="11"/>
      <c r="N350" s="11">
        <v>0</v>
      </c>
      <c r="O350" s="11"/>
      <c r="P350" s="11">
        <v>3</v>
      </c>
      <c r="Q350" s="11"/>
      <c r="R350" s="19"/>
      <c r="S350" s="10"/>
      <c r="T350" s="21"/>
      <c r="U350" s="12"/>
      <c r="V350" s="12">
        <f t="shared" si="36"/>
        <v>8</v>
      </c>
      <c r="W350" s="10">
        <f ca="1">IFERROR(__xludf.DUMMYFUNCTION("IFERROR(
  SUM(
    FILTER(
      Reporte!$E:$E, 
      REGEXMATCH(Reporte!$A:$A, ""(?i)(TE PAGÓ|PAGASTE)""), 
      Reporte!$H:$H &amp; """" = AH350 &amp; """"
    )
  ), 
  0
)"),8)</f>
        <v>8</v>
      </c>
      <c r="X350" s="10">
        <f ca="1">IFERROR(__xludf.DUMMYFUNCTION("IFERROR(
  SUM(
    FILTER(
      Efectivo!$C:$C, 
      Efectivo!$D:$D &amp; """" = AH350 &amp; """"
    )
  ), 
  0
)"),0)</f>
        <v>0</v>
      </c>
      <c r="Y350" s="10" t="s">
        <v>34</v>
      </c>
      <c r="Z350" s="10"/>
      <c r="AA350" s="10" t="s">
        <v>35</v>
      </c>
      <c r="AB350" s="10"/>
      <c r="AC350" s="10"/>
      <c r="AD350" s="10" t="str">
        <f t="shared" si="33"/>
        <v/>
      </c>
      <c r="AE350" s="10" t="e">
        <f>IF(
   OR(
     AND(#REF!&gt;0, OR(Y350="C", Y350="c"), U350&lt;0),
     AND(#REF!&gt;0, Y350="")
   ),
   "CORTE",
   ""
)</f>
        <v>#REF!</v>
      </c>
      <c r="AF350" s="10">
        <f t="shared" si="1"/>
        <v>0</v>
      </c>
      <c r="AG350" s="10">
        <f t="shared" si="2"/>
        <v>8</v>
      </c>
      <c r="AH350" s="10" t="str">
        <f t="shared" si="34"/>
        <v>U</v>
      </c>
      <c r="AI350" s="10" t="str">
        <f t="shared" si="35"/>
        <v>U-4</v>
      </c>
    </row>
    <row r="351" spans="1:35" ht="15.75" customHeight="1" x14ac:dyDescent="0.35">
      <c r="A351" s="13">
        <v>350</v>
      </c>
      <c r="B351" s="14" t="s">
        <v>437</v>
      </c>
      <c r="C351" s="14" t="s">
        <v>433</v>
      </c>
      <c r="D351" s="13">
        <v>5</v>
      </c>
      <c r="E351" s="15"/>
      <c r="F351" s="15"/>
      <c r="G351" s="15"/>
      <c r="H351" s="16">
        <v>1</v>
      </c>
      <c r="I351" s="16">
        <v>7191</v>
      </c>
      <c r="J351" s="16">
        <v>7195</v>
      </c>
      <c r="K351" s="16">
        <v>4</v>
      </c>
      <c r="L351" s="16">
        <v>5</v>
      </c>
      <c r="M351" s="16"/>
      <c r="N351" s="16">
        <v>0</v>
      </c>
      <c r="O351" s="16"/>
      <c r="P351" s="16">
        <v>3</v>
      </c>
      <c r="Q351" s="16"/>
      <c r="R351" s="18"/>
      <c r="S351" s="15"/>
      <c r="T351" s="20"/>
      <c r="U351" s="17"/>
      <c r="V351" s="17">
        <f t="shared" si="36"/>
        <v>8</v>
      </c>
      <c r="W351" s="15">
        <f ca="1">IFERROR(__xludf.DUMMYFUNCTION("IFERROR(
  SUM(
    FILTER(
      Reporte!$E:$E, 
      REGEXMATCH(Reporte!$A:$A, ""(?i)(TE PAGÓ|PAGASTE)""), 
      Reporte!$H:$H &amp; """" = AH351 &amp; """"
    )
  ), 
  0
)"),8)</f>
        <v>8</v>
      </c>
      <c r="X351" s="15">
        <f ca="1">IFERROR(__xludf.DUMMYFUNCTION("IFERROR(
  SUM(
    FILTER(
      Efectivo!$C:$C, 
      Efectivo!$D:$D &amp; """" = AH351 &amp; """"
    )
  ), 
  0
)"),0)</f>
        <v>0</v>
      </c>
      <c r="Y351" s="15" t="s">
        <v>34</v>
      </c>
      <c r="Z351" s="15"/>
      <c r="AA351" s="15" t="s">
        <v>35</v>
      </c>
      <c r="AB351" s="15"/>
      <c r="AC351" s="15"/>
      <c r="AD351" s="15" t="str">
        <f t="shared" si="33"/>
        <v/>
      </c>
      <c r="AE351" s="15" t="e">
        <f>IF(
   OR(
     AND(#REF!&gt;0, OR(Y351="C", Y351="c"), U351&lt;0),
     AND(#REF!&gt;0, Y351="")
   ),
   "CORTE",
   ""
)</f>
        <v>#REF!</v>
      </c>
      <c r="AF351" s="15">
        <f t="shared" si="1"/>
        <v>0</v>
      </c>
      <c r="AG351" s="15">
        <f t="shared" si="2"/>
        <v>8</v>
      </c>
      <c r="AH351" s="15" t="str">
        <f t="shared" si="34"/>
        <v>U</v>
      </c>
      <c r="AI351" s="15" t="str">
        <f t="shared" si="35"/>
        <v>U-5</v>
      </c>
    </row>
    <row r="352" spans="1:35" ht="15.75" customHeight="1" x14ac:dyDescent="0.35">
      <c r="A352" s="8">
        <v>351</v>
      </c>
      <c r="B352" s="9" t="s">
        <v>438</v>
      </c>
      <c r="C352" s="9" t="s">
        <v>433</v>
      </c>
      <c r="D352" s="8">
        <v>6</v>
      </c>
      <c r="E352" s="10"/>
      <c r="F352" s="10"/>
      <c r="G352" s="10"/>
      <c r="H352" s="11">
        <v>1</v>
      </c>
      <c r="I352" s="11">
        <v>1529</v>
      </c>
      <c r="J352" s="11">
        <v>1539</v>
      </c>
      <c r="K352" s="11">
        <v>10</v>
      </c>
      <c r="L352" s="11">
        <v>10</v>
      </c>
      <c r="M352" s="11"/>
      <c r="N352" s="11">
        <v>0</v>
      </c>
      <c r="O352" s="11"/>
      <c r="P352" s="11">
        <v>3</v>
      </c>
      <c r="Q352" s="11"/>
      <c r="R352" s="19"/>
      <c r="S352" s="10"/>
      <c r="T352" s="21"/>
      <c r="U352" s="12"/>
      <c r="V352" s="12">
        <f t="shared" si="36"/>
        <v>13</v>
      </c>
      <c r="W352" s="10">
        <f ca="1">IFERROR(__xludf.DUMMYFUNCTION("IFERROR(
  SUM(
    FILTER(
      Reporte!$E:$E, 
      REGEXMATCH(Reporte!$A:$A, ""(?i)(TE PAGÓ|PAGASTE)""), 
      Reporte!$H:$H &amp; """" = AH352 &amp; """"
    )
  ), 
  0
)"),13)</f>
        <v>13</v>
      </c>
      <c r="X352" s="10">
        <f ca="1">IFERROR(__xludf.DUMMYFUNCTION("IFERROR(
  SUM(
    FILTER(
      Efectivo!$C:$C, 
      Efectivo!$D:$D &amp; """" = AH352 &amp; """"
    )
  ), 
  0
)"),0)</f>
        <v>0</v>
      </c>
      <c r="Y352" s="10" t="s">
        <v>34</v>
      </c>
      <c r="Z352" s="10"/>
      <c r="AA352" s="10" t="s">
        <v>35</v>
      </c>
      <c r="AB352" s="10"/>
      <c r="AC352" s="10"/>
      <c r="AD352" s="10" t="str">
        <f t="shared" si="33"/>
        <v/>
      </c>
      <c r="AE352" s="10" t="e">
        <f>IF(
   OR(
     AND(#REF!&gt;0, OR(Y352="C", Y352="c"), U352&lt;0),
     AND(#REF!&gt;0, Y352="")
   ),
   "CORTE",
   ""
)</f>
        <v>#REF!</v>
      </c>
      <c r="AF352" s="10">
        <f t="shared" si="1"/>
        <v>0</v>
      </c>
      <c r="AG352" s="10">
        <f t="shared" si="2"/>
        <v>13</v>
      </c>
      <c r="AH352" s="10" t="str">
        <f t="shared" si="34"/>
        <v>U</v>
      </c>
      <c r="AI352" s="10" t="str">
        <f t="shared" si="35"/>
        <v>U-6</v>
      </c>
    </row>
    <row r="353" spans="1:35" ht="15.75" customHeight="1" x14ac:dyDescent="0.35">
      <c r="A353" s="13">
        <v>352</v>
      </c>
      <c r="B353" s="14" t="s">
        <v>439</v>
      </c>
      <c r="C353" s="14" t="s">
        <v>440</v>
      </c>
      <c r="D353" s="13">
        <v>1</v>
      </c>
      <c r="E353" s="15"/>
      <c r="F353" s="15"/>
      <c r="G353" s="15"/>
      <c r="H353" s="16">
        <v>1</v>
      </c>
      <c r="I353" s="16">
        <v>1148</v>
      </c>
      <c r="J353" s="16">
        <v>1148</v>
      </c>
      <c r="K353" s="16">
        <v>5</v>
      </c>
      <c r="L353" s="16">
        <v>5</v>
      </c>
      <c r="M353" s="16"/>
      <c r="N353" s="16">
        <v>0</v>
      </c>
      <c r="O353" s="16"/>
      <c r="P353" s="16">
        <v>3</v>
      </c>
      <c r="Q353" s="16"/>
      <c r="R353" s="18"/>
      <c r="S353" s="15"/>
      <c r="T353" s="20"/>
      <c r="U353" s="17"/>
      <c r="V353" s="17">
        <f t="shared" si="36"/>
        <v>8</v>
      </c>
      <c r="W353" s="15">
        <f ca="1">IFERROR(__xludf.DUMMYFUNCTION("IFERROR(
  SUM(
    FILTER(
      Reporte!$E:$E, 
      REGEXMATCH(Reporte!$A:$A, ""(?i)(TE PAGÓ|PAGASTE)""), 
      Reporte!$H:$H &amp; """" = AH353 &amp; """"
    )
  ), 
  0
)"),0)</f>
        <v>0</v>
      </c>
      <c r="X353" s="15">
        <f ca="1">IFERROR(__xludf.DUMMYFUNCTION("IFERROR(
  SUM(
    FILTER(
      Efectivo!$C:$C, 
      Efectivo!$D:$D &amp; """" = AH353 &amp; """"
    )
  ), 
  0
)"),0)</f>
        <v>0</v>
      </c>
      <c r="Y353" s="15"/>
      <c r="Z353" s="15"/>
      <c r="AA353" s="15"/>
      <c r="AB353" s="15"/>
      <c r="AC353" s="15"/>
      <c r="AD353" s="15" t="str">
        <f t="shared" si="33"/>
        <v/>
      </c>
      <c r="AE353" s="15" t="e">
        <f>IF(
   OR(
     AND(#REF!&gt;0, OR(Y353="C", Y353="c"), U353&lt;0),
     AND(#REF!&gt;0, Y353="")
   ),
   "CORTE",
   ""
)</f>
        <v>#REF!</v>
      </c>
      <c r="AF353" s="15">
        <f t="shared" si="1"/>
        <v>0</v>
      </c>
      <c r="AG353" s="15">
        <f t="shared" si="2"/>
        <v>0</v>
      </c>
      <c r="AH353" s="15" t="str">
        <f t="shared" si="34"/>
        <v>V</v>
      </c>
      <c r="AI353" s="15" t="str">
        <f t="shared" si="35"/>
        <v>V-1</v>
      </c>
    </row>
    <row r="354" spans="1:35" ht="15.75" customHeight="1" x14ac:dyDescent="0.35">
      <c r="A354" s="8">
        <v>353</v>
      </c>
      <c r="B354" s="9" t="s">
        <v>441</v>
      </c>
      <c r="C354" s="9" t="s">
        <v>440</v>
      </c>
      <c r="D354" s="8">
        <v>2</v>
      </c>
      <c r="E354" s="10"/>
      <c r="F354" s="10"/>
      <c r="G354" s="10"/>
      <c r="H354" s="11">
        <v>1</v>
      </c>
      <c r="I354" s="11">
        <v>29</v>
      </c>
      <c r="J354" s="11">
        <v>32</v>
      </c>
      <c r="K354" s="11">
        <v>3</v>
      </c>
      <c r="L354" s="11">
        <v>5</v>
      </c>
      <c r="M354" s="11">
        <v>8</v>
      </c>
      <c r="N354" s="11">
        <v>0</v>
      </c>
      <c r="O354" s="11"/>
      <c r="P354" s="11">
        <v>3</v>
      </c>
      <c r="Q354" s="11"/>
      <c r="R354" s="19"/>
      <c r="S354" s="10"/>
      <c r="T354" s="21"/>
      <c r="U354" s="12"/>
      <c r="V354" s="12">
        <f t="shared" si="36"/>
        <v>16</v>
      </c>
      <c r="W354" s="10">
        <f ca="1">IFERROR(__xludf.DUMMYFUNCTION("IFERROR(
  SUM(
    FILTER(
      Reporte!$E:$E, 
      REGEXMATCH(Reporte!$A:$A, ""(?i)(TE PAGÓ|PAGASTE)""), 
      Reporte!$H:$H &amp; """" = AH354 &amp; """"
    )
  ), 
  0
)"),16)</f>
        <v>16</v>
      </c>
      <c r="X354" s="10">
        <f ca="1">IFERROR(__xludf.DUMMYFUNCTION("IFERROR(
  SUM(
    FILTER(
      Efectivo!$C:$C, 
      Efectivo!$D:$D &amp; """" = AH354 &amp; """"
    )
  ), 
  0
)"),0)</f>
        <v>0</v>
      </c>
      <c r="Y354" s="10" t="s">
        <v>34</v>
      </c>
      <c r="Z354" s="10"/>
      <c r="AA354" s="10" t="s">
        <v>35</v>
      </c>
      <c r="AB354" s="10" t="s">
        <v>442</v>
      </c>
      <c r="AC354" s="10"/>
      <c r="AD354" s="10" t="str">
        <f t="shared" si="33"/>
        <v/>
      </c>
      <c r="AE354" s="10" t="e">
        <f>IF(
   OR(
     AND(#REF!&gt;0, OR(Y354="C", Y354="c"), U354&lt;0),
     AND(#REF!&gt;0, Y354="")
   ),
   "CORTE",
   ""
)</f>
        <v>#REF!</v>
      </c>
      <c r="AF354" s="10">
        <f t="shared" si="1"/>
        <v>0</v>
      </c>
      <c r="AG354" s="10">
        <f t="shared" si="2"/>
        <v>16</v>
      </c>
      <c r="AH354" s="10" t="str">
        <f t="shared" si="34"/>
        <v>V</v>
      </c>
      <c r="AI354" s="10" t="str">
        <f t="shared" si="35"/>
        <v>V-2</v>
      </c>
    </row>
    <row r="355" spans="1:35" ht="15.75" customHeight="1" x14ac:dyDescent="0.35">
      <c r="A355" s="13">
        <v>354</v>
      </c>
      <c r="B355" s="14" t="s">
        <v>443</v>
      </c>
      <c r="C355" s="14" t="s">
        <v>440</v>
      </c>
      <c r="D355" s="13">
        <v>3</v>
      </c>
      <c r="E355" s="15"/>
      <c r="F355" s="15"/>
      <c r="G355" s="15"/>
      <c r="H355" s="16">
        <v>1</v>
      </c>
      <c r="I355" s="16">
        <v>22</v>
      </c>
      <c r="J355" s="16">
        <v>23</v>
      </c>
      <c r="K355" s="16">
        <v>1</v>
      </c>
      <c r="L355" s="16">
        <v>5</v>
      </c>
      <c r="M355" s="16"/>
      <c r="N355" s="16">
        <v>0</v>
      </c>
      <c r="O355" s="16"/>
      <c r="P355" s="16">
        <v>3</v>
      </c>
      <c r="Q355" s="16"/>
      <c r="R355" s="18"/>
      <c r="S355" s="15"/>
      <c r="T355" s="20"/>
      <c r="U355" s="17"/>
      <c r="V355" s="17">
        <f t="shared" si="36"/>
        <v>8</v>
      </c>
      <c r="W355" s="15">
        <f ca="1">IFERROR(__xludf.DUMMYFUNCTION("IFERROR(
  SUM(
    FILTER(
      Reporte!$E:$E, 
      REGEXMATCH(Reporte!$A:$A, ""(?i)(TE PAGÓ|PAGASTE)""), 
      Reporte!$H:$H &amp; """" = AH355 &amp; """"
    )
  ), 
  0
)"),8)</f>
        <v>8</v>
      </c>
      <c r="X355" s="15">
        <f ca="1">IFERROR(__xludf.DUMMYFUNCTION("IFERROR(
  SUM(
    FILTER(
      Efectivo!$C:$C, 
      Efectivo!$D:$D &amp; """" = AH355 &amp; """"
    )
  ), 
  0
)"),0)</f>
        <v>0</v>
      </c>
      <c r="Y355" s="15" t="s">
        <v>34</v>
      </c>
      <c r="Z355" s="15"/>
      <c r="AA355" s="15" t="s">
        <v>35</v>
      </c>
      <c r="AB355" s="15"/>
      <c r="AC355" s="15"/>
      <c r="AD355" s="15" t="str">
        <f t="shared" si="33"/>
        <v/>
      </c>
      <c r="AE355" s="15" t="e">
        <f>IF(
   OR(
     AND(#REF!&gt;0, OR(Y355="C", Y355="c"), U355&lt;0),
     AND(#REF!&gt;0, Y355="")
   ),
   "CORTE",
   ""
)</f>
        <v>#REF!</v>
      </c>
      <c r="AF355" s="15">
        <f t="shared" si="1"/>
        <v>0</v>
      </c>
      <c r="AG355" s="15">
        <f t="shared" si="2"/>
        <v>8</v>
      </c>
      <c r="AH355" s="15" t="str">
        <f t="shared" si="34"/>
        <v>V</v>
      </c>
      <c r="AI355" s="15" t="str">
        <f t="shared" si="35"/>
        <v>V-3</v>
      </c>
    </row>
    <row r="356" spans="1:35" ht="15.75" customHeight="1" x14ac:dyDescent="0.35">
      <c r="A356" s="8">
        <v>355</v>
      </c>
      <c r="B356" s="9" t="s">
        <v>444</v>
      </c>
      <c r="C356" s="9" t="s">
        <v>440</v>
      </c>
      <c r="D356" s="8">
        <v>4</v>
      </c>
      <c r="E356" s="10"/>
      <c r="F356" s="10"/>
      <c r="G356" s="10"/>
      <c r="H356" s="11">
        <v>1</v>
      </c>
      <c r="I356" s="11">
        <v>285</v>
      </c>
      <c r="J356" s="11">
        <v>289</v>
      </c>
      <c r="K356" s="11">
        <v>4</v>
      </c>
      <c r="L356" s="11">
        <v>5</v>
      </c>
      <c r="M356" s="11"/>
      <c r="N356" s="11">
        <v>0</v>
      </c>
      <c r="O356" s="11"/>
      <c r="P356" s="11">
        <v>3</v>
      </c>
      <c r="Q356" s="11"/>
      <c r="R356" s="19"/>
      <c r="S356" s="10"/>
      <c r="T356" s="21"/>
      <c r="U356" s="12"/>
      <c r="V356" s="12">
        <f t="shared" si="36"/>
        <v>8</v>
      </c>
      <c r="W356" s="10">
        <f ca="1">IFERROR(__xludf.DUMMYFUNCTION("IFERROR(
  SUM(
    FILTER(
      Reporte!$E:$E, 
      REGEXMATCH(Reporte!$A:$A, ""(?i)(TE PAGÓ|PAGASTE)""), 
      Reporte!$H:$H &amp; """" = AH356 &amp; """"
    )
  ), 
  0
)"),0)</f>
        <v>0</v>
      </c>
      <c r="X356" s="10">
        <f ca="1">IFERROR(__xludf.DUMMYFUNCTION("IFERROR(
  SUM(
    FILTER(
      Efectivo!$C:$C, 
      Efectivo!$D:$D &amp; """" = AH356 &amp; """"
    )
  ), 
  0
)"),0)</f>
        <v>0</v>
      </c>
      <c r="Y356" s="10"/>
      <c r="Z356" s="10"/>
      <c r="AA356" s="10"/>
      <c r="AB356" s="10"/>
      <c r="AC356" s="10"/>
      <c r="AD356" s="10" t="str">
        <f t="shared" si="33"/>
        <v/>
      </c>
      <c r="AE356" s="10" t="e">
        <f>IF(
   OR(
     AND(#REF!&gt;0, OR(Y356="C", Y356="c"), U356&lt;0),
     AND(#REF!&gt;0, Y356="")
   ),
   "CORTE",
   ""
)</f>
        <v>#REF!</v>
      </c>
      <c r="AF356" s="10">
        <f t="shared" si="1"/>
        <v>0</v>
      </c>
      <c r="AG356" s="10">
        <f t="shared" si="2"/>
        <v>0</v>
      </c>
      <c r="AH356" s="10" t="str">
        <f t="shared" si="34"/>
        <v>V</v>
      </c>
      <c r="AI356" s="10" t="str">
        <f t="shared" si="35"/>
        <v>V-4</v>
      </c>
    </row>
    <row r="357" spans="1:35" ht="15.75" customHeight="1" x14ac:dyDescent="0.35">
      <c r="A357" s="13">
        <v>356</v>
      </c>
      <c r="B357" s="14" t="s">
        <v>445</v>
      </c>
      <c r="C357" s="14" t="s">
        <v>440</v>
      </c>
      <c r="D357" s="13">
        <v>5</v>
      </c>
      <c r="E357" s="15"/>
      <c r="F357" s="15"/>
      <c r="G357" s="15"/>
      <c r="H357" s="16">
        <v>1</v>
      </c>
      <c r="I357" s="16">
        <v>1040</v>
      </c>
      <c r="J357" s="16">
        <v>1057</v>
      </c>
      <c r="K357" s="16">
        <v>17</v>
      </c>
      <c r="L357" s="16">
        <v>17</v>
      </c>
      <c r="M357" s="16"/>
      <c r="N357" s="16">
        <v>0</v>
      </c>
      <c r="O357" s="16"/>
      <c r="P357" s="16">
        <v>3</v>
      </c>
      <c r="Q357" s="16"/>
      <c r="R357" s="18"/>
      <c r="S357" s="15"/>
      <c r="T357" s="20"/>
      <c r="U357" s="17"/>
      <c r="V357" s="17">
        <f t="shared" si="36"/>
        <v>20</v>
      </c>
      <c r="W357" s="15">
        <f ca="1">IFERROR(__xludf.DUMMYFUNCTION("IFERROR(
  SUM(
    FILTER(
      Reporte!$E:$E, 
      REGEXMATCH(Reporte!$A:$A, ""(?i)(TE PAGÓ|PAGASTE)""), 
      Reporte!$H:$H &amp; """" = AH357 &amp; """"
    )
  ), 
  0
)"),0)</f>
        <v>0</v>
      </c>
      <c r="X357" s="15">
        <f ca="1">IFERROR(__xludf.DUMMYFUNCTION("IFERROR(
  SUM(
    FILTER(
      Efectivo!$C:$C, 
      Efectivo!$D:$D &amp; """" = AH357 &amp; """"
    )
  ), 
  0
)"),20)</f>
        <v>20</v>
      </c>
      <c r="Y357" s="15" t="s">
        <v>34</v>
      </c>
      <c r="Z357" s="15"/>
      <c r="AA357" s="15"/>
      <c r="AB357" s="15"/>
      <c r="AC357" s="15"/>
      <c r="AD357" s="15" t="str">
        <f t="shared" si="33"/>
        <v/>
      </c>
      <c r="AE357" s="15" t="e">
        <f>IF(
   OR(
     AND(#REF!&gt;0, OR(Y357="C", Y357="c"), U357&lt;0),
     AND(#REF!&gt;0, Y357="")
   ),
   "CORTE",
   ""
)</f>
        <v>#REF!</v>
      </c>
      <c r="AF357" s="15">
        <f t="shared" si="1"/>
        <v>20</v>
      </c>
      <c r="AG357" s="15">
        <f t="shared" si="2"/>
        <v>0</v>
      </c>
      <c r="AH357" s="15" t="str">
        <f t="shared" si="34"/>
        <v>V</v>
      </c>
      <c r="AI357" s="15" t="str">
        <f t="shared" si="35"/>
        <v>V-5</v>
      </c>
    </row>
    <row r="358" spans="1:35" ht="15.75" customHeight="1" x14ac:dyDescent="0.35">
      <c r="A358" s="8">
        <v>357</v>
      </c>
      <c r="B358" s="9" t="s">
        <v>446</v>
      </c>
      <c r="C358" s="9" t="s">
        <v>440</v>
      </c>
      <c r="D358" s="8">
        <v>6</v>
      </c>
      <c r="E358" s="10"/>
      <c r="F358" s="10"/>
      <c r="G358" s="10"/>
      <c r="H358" s="11">
        <v>1</v>
      </c>
      <c r="I358" s="11">
        <v>2046</v>
      </c>
      <c r="J358" s="11">
        <v>1057</v>
      </c>
      <c r="K358" s="11">
        <v>11</v>
      </c>
      <c r="L358" s="11">
        <v>11</v>
      </c>
      <c r="M358" s="11"/>
      <c r="N358" s="11">
        <v>0</v>
      </c>
      <c r="O358" s="11"/>
      <c r="P358" s="11">
        <v>3</v>
      </c>
      <c r="Q358" s="11"/>
      <c r="R358" s="19"/>
      <c r="S358" s="10"/>
      <c r="T358" s="21"/>
      <c r="U358" s="12"/>
      <c r="V358" s="12">
        <f t="shared" si="36"/>
        <v>14</v>
      </c>
      <c r="W358" s="10">
        <f ca="1">IFERROR(__xludf.DUMMYFUNCTION("IFERROR(
  SUM(
    FILTER(
      Reporte!$E:$E, 
      REGEXMATCH(Reporte!$A:$A, ""(?i)(TE PAGÓ|PAGASTE)""), 
      Reporte!$H:$H &amp; """" = AH358 &amp; """"
    )
  ), 
  0
)"),14)</f>
        <v>14</v>
      </c>
      <c r="X358" s="10">
        <f ca="1">IFERROR(__xludf.DUMMYFUNCTION("IFERROR(
  SUM(
    FILTER(
      Efectivo!$C:$C, 
      Efectivo!$D:$D &amp; """" = AH358 &amp; """"
    )
  ), 
  0
)"),0)</f>
        <v>0</v>
      </c>
      <c r="Y358" s="10" t="s">
        <v>34</v>
      </c>
      <c r="Z358" s="10"/>
      <c r="AA358" s="10" t="s">
        <v>35</v>
      </c>
      <c r="AB358" s="10"/>
      <c r="AC358" s="10"/>
      <c r="AD358" s="10" t="str">
        <f t="shared" si="33"/>
        <v/>
      </c>
      <c r="AE358" s="10" t="e">
        <f>IF(
   OR(
     AND(#REF!&gt;0, OR(Y358="C", Y358="c"), U358&lt;0),
     AND(#REF!&gt;0, Y358="")
   ),
   "CORTE",
   ""
)</f>
        <v>#REF!</v>
      </c>
      <c r="AF358" s="10">
        <f t="shared" si="1"/>
        <v>0</v>
      </c>
      <c r="AG358" s="10">
        <f t="shared" si="2"/>
        <v>14</v>
      </c>
      <c r="AH358" s="10" t="str">
        <f t="shared" si="34"/>
        <v>V</v>
      </c>
      <c r="AI358" s="10" t="str">
        <f t="shared" si="35"/>
        <v>V-6</v>
      </c>
    </row>
    <row r="359" spans="1:35" ht="15.75" customHeight="1" x14ac:dyDescent="0.35">
      <c r="A359" s="13">
        <v>358</v>
      </c>
      <c r="B359" s="14" t="s">
        <v>447</v>
      </c>
      <c r="C359" s="14" t="s">
        <v>440</v>
      </c>
      <c r="D359" s="13">
        <v>7</v>
      </c>
      <c r="E359" s="15"/>
      <c r="F359" s="15"/>
      <c r="G359" s="15"/>
      <c r="H359" s="16">
        <v>1</v>
      </c>
      <c r="I359" s="16">
        <v>1077</v>
      </c>
      <c r="J359" s="16">
        <v>1080</v>
      </c>
      <c r="K359" s="16">
        <v>3</v>
      </c>
      <c r="L359" s="16">
        <v>5</v>
      </c>
      <c r="M359" s="16">
        <v>8</v>
      </c>
      <c r="N359" s="16">
        <v>0</v>
      </c>
      <c r="O359" s="16"/>
      <c r="P359" s="16">
        <v>3</v>
      </c>
      <c r="Q359" s="16"/>
      <c r="R359" s="18"/>
      <c r="S359" s="15"/>
      <c r="T359" s="20"/>
      <c r="U359" s="17"/>
      <c r="V359" s="17">
        <f t="shared" si="36"/>
        <v>16</v>
      </c>
      <c r="W359" s="15">
        <f ca="1">IFERROR(__xludf.DUMMYFUNCTION("IFERROR(
  SUM(
    FILTER(
      Reporte!$E:$E, 
      REGEXMATCH(Reporte!$A:$A, ""(?i)(TE PAGÓ|PAGASTE)""), 
      Reporte!$H:$H &amp; """" = AH359 &amp; """"
    )
  ), 
  0
)"),16)</f>
        <v>16</v>
      </c>
      <c r="X359" s="15">
        <f ca="1">IFERROR(__xludf.DUMMYFUNCTION("IFERROR(
  SUM(
    FILTER(
      Efectivo!$C:$C, 
      Efectivo!$D:$D &amp; """" = AH359 &amp; """"
    )
  ), 
  0
)"),0)</f>
        <v>0</v>
      </c>
      <c r="Y359" s="15" t="s">
        <v>34</v>
      </c>
      <c r="Z359" s="15"/>
      <c r="AA359" s="15" t="s">
        <v>35</v>
      </c>
      <c r="AB359" s="15"/>
      <c r="AC359" s="15"/>
      <c r="AD359" s="15" t="str">
        <f t="shared" si="33"/>
        <v/>
      </c>
      <c r="AE359" s="15" t="e">
        <f>IF(
   OR(
     AND(#REF!&gt;0, OR(Y359="C", Y359="c"), U359&lt;0),
     AND(#REF!&gt;0, Y359="")
   ),
   "CORTE",
   ""
)</f>
        <v>#REF!</v>
      </c>
      <c r="AF359" s="15">
        <f t="shared" si="1"/>
        <v>0</v>
      </c>
      <c r="AG359" s="15">
        <f t="shared" si="2"/>
        <v>16</v>
      </c>
      <c r="AH359" s="15" t="str">
        <f t="shared" si="34"/>
        <v>V</v>
      </c>
      <c r="AI359" s="15" t="str">
        <f t="shared" si="35"/>
        <v>V-7</v>
      </c>
    </row>
    <row r="360" spans="1:35" ht="15.75" customHeight="1" x14ac:dyDescent="0.35">
      <c r="A360" s="8">
        <v>359</v>
      </c>
      <c r="B360" s="9" t="s">
        <v>448</v>
      </c>
      <c r="C360" s="9" t="s">
        <v>440</v>
      </c>
      <c r="D360" s="8">
        <v>8</v>
      </c>
      <c r="E360" s="10"/>
      <c r="F360" s="10"/>
      <c r="G360" s="10"/>
      <c r="H360" s="11">
        <v>1</v>
      </c>
      <c r="I360" s="11">
        <v>550</v>
      </c>
      <c r="J360" s="11">
        <v>550</v>
      </c>
      <c r="K360" s="11">
        <v>5</v>
      </c>
      <c r="L360" s="11">
        <v>5</v>
      </c>
      <c r="M360" s="11"/>
      <c r="N360" s="11">
        <v>0</v>
      </c>
      <c r="O360" s="11"/>
      <c r="P360" s="11">
        <v>3</v>
      </c>
      <c r="Q360" s="11"/>
      <c r="R360" s="19"/>
      <c r="S360" s="10"/>
      <c r="T360" s="21"/>
      <c r="U360" s="12"/>
      <c r="V360" s="12">
        <f t="shared" si="36"/>
        <v>8</v>
      </c>
      <c r="W360" s="10">
        <f ca="1">IFERROR(__xludf.DUMMYFUNCTION("IFERROR(
  SUM(
    FILTER(
      Reporte!$E:$E, 
      REGEXMATCH(Reporte!$A:$A, ""(?i)(TE PAGÓ|PAGASTE)""), 
      Reporte!$H:$H &amp; """" = AH360 &amp; """"
    )
  ), 
  0
)"),0)</f>
        <v>0</v>
      </c>
      <c r="X360" s="10">
        <f ca="1">IFERROR(__xludf.DUMMYFUNCTION("IFERROR(
  SUM(
    FILTER(
      Efectivo!$C:$C, 
      Efectivo!$D:$D &amp; """" = AH360 &amp; """"
    )
  ), 
  0
)"),0)</f>
        <v>0</v>
      </c>
      <c r="Y360" s="10"/>
      <c r="Z360" s="10"/>
      <c r="AA360" s="10"/>
      <c r="AB360" s="10"/>
      <c r="AC360" s="10"/>
      <c r="AD360" s="10" t="str">
        <f t="shared" si="33"/>
        <v/>
      </c>
      <c r="AE360" s="10" t="e">
        <f>IF(
   OR(
     AND(#REF!&gt;0, OR(Y360="C", Y360="c"), U360&lt;0),
     AND(#REF!&gt;0, Y360="")
   ),
   "CORTE",
   ""
)</f>
        <v>#REF!</v>
      </c>
      <c r="AF360" s="10">
        <f t="shared" si="1"/>
        <v>0</v>
      </c>
      <c r="AG360" s="10">
        <f t="shared" si="2"/>
        <v>0</v>
      </c>
      <c r="AH360" s="10" t="str">
        <f t="shared" si="34"/>
        <v>V</v>
      </c>
      <c r="AI360" s="10" t="str">
        <f t="shared" si="35"/>
        <v>V-8</v>
      </c>
    </row>
    <row r="361" spans="1:35" ht="15.75" customHeight="1" x14ac:dyDescent="0.35">
      <c r="A361" s="13">
        <v>360</v>
      </c>
      <c r="B361" s="14" t="s">
        <v>449</v>
      </c>
      <c r="C361" s="14" t="s">
        <v>440</v>
      </c>
      <c r="D361" s="13">
        <v>9</v>
      </c>
      <c r="E361" s="15"/>
      <c r="F361" s="15"/>
      <c r="G361" s="15"/>
      <c r="H361" s="16">
        <v>1</v>
      </c>
      <c r="I361" s="16">
        <v>975</v>
      </c>
      <c r="J361" s="16">
        <v>982</v>
      </c>
      <c r="K361" s="16">
        <v>7</v>
      </c>
      <c r="L361" s="16">
        <v>7</v>
      </c>
      <c r="M361" s="16"/>
      <c r="N361" s="16"/>
      <c r="O361" s="16"/>
      <c r="P361" s="16">
        <v>3</v>
      </c>
      <c r="Q361" s="16"/>
      <c r="R361" s="18"/>
      <c r="S361" s="15"/>
      <c r="T361" s="20"/>
      <c r="U361" s="17"/>
      <c r="V361" s="17">
        <f t="shared" si="36"/>
        <v>10</v>
      </c>
      <c r="W361" s="15">
        <f ca="1">IFERROR(__xludf.DUMMYFUNCTION("IFERROR(
  SUM(
    FILTER(
      Reporte!$E:$E, 
      REGEXMATCH(Reporte!$A:$A, ""(?i)(TE PAGÓ|PAGASTE)""), 
      Reporte!$H:$H &amp; """" = AH361 &amp; """"
    )
  ), 
  0
)"),0)</f>
        <v>0</v>
      </c>
      <c r="X361" s="15">
        <f ca="1">IFERROR(__xludf.DUMMYFUNCTION("IFERROR(
  SUM(
    FILTER(
      Efectivo!$C:$C, 
      Efectivo!$D:$D &amp; """" = AH361 &amp; """"
    )
  ), 
  0
)"),0)</f>
        <v>0</v>
      </c>
      <c r="Y361" s="15"/>
      <c r="Z361" s="15"/>
      <c r="AA361" s="15"/>
      <c r="AB361" s="15"/>
      <c r="AC361" s="15"/>
      <c r="AD361" s="15" t="str">
        <f t="shared" si="33"/>
        <v/>
      </c>
      <c r="AE361" s="15" t="e">
        <f>IF(
   OR(
     AND(#REF!&gt;0, OR(Y361="C", Y361="c"), U361&lt;0),
     AND(#REF!&gt;0, Y361="")
   ),
   "CORTE",
   ""
)</f>
        <v>#REF!</v>
      </c>
      <c r="AF361" s="15">
        <f t="shared" si="1"/>
        <v>0</v>
      </c>
      <c r="AG361" s="15">
        <f t="shared" si="2"/>
        <v>0</v>
      </c>
      <c r="AH361" s="15" t="str">
        <f t="shared" si="34"/>
        <v>V</v>
      </c>
      <c r="AI361" s="15" t="str">
        <f t="shared" si="35"/>
        <v>V-9</v>
      </c>
    </row>
    <row r="362" spans="1:35" ht="15.75" customHeight="1" x14ac:dyDescent="0.35">
      <c r="A362" s="8">
        <v>361</v>
      </c>
      <c r="B362" s="9" t="s">
        <v>450</v>
      </c>
      <c r="C362" s="9" t="s">
        <v>440</v>
      </c>
      <c r="D362" s="8">
        <v>10</v>
      </c>
      <c r="E362" s="10"/>
      <c r="F362" s="10"/>
      <c r="G362" s="10"/>
      <c r="H362" s="11">
        <v>1</v>
      </c>
      <c r="I362" s="11">
        <v>2459</v>
      </c>
      <c r="J362" s="11">
        <v>2469</v>
      </c>
      <c r="K362" s="11">
        <v>10</v>
      </c>
      <c r="L362" s="11">
        <v>10</v>
      </c>
      <c r="M362" s="11">
        <v>17</v>
      </c>
      <c r="N362" s="11">
        <v>20</v>
      </c>
      <c r="O362" s="11"/>
      <c r="P362" s="11">
        <v>3</v>
      </c>
      <c r="Q362" s="11"/>
      <c r="R362" s="19"/>
      <c r="S362" s="10"/>
      <c r="T362" s="21"/>
      <c r="U362" s="12"/>
      <c r="V362" s="12">
        <f t="shared" si="36"/>
        <v>50</v>
      </c>
      <c r="W362" s="10">
        <f ca="1">IFERROR(__xludf.DUMMYFUNCTION("IFERROR(
  SUM(
    FILTER(
      Reporte!$E:$E, 
      REGEXMATCH(Reporte!$A:$A, ""(?i)(TE PAGÓ|PAGASTE)""), 
      Reporte!$H:$H &amp; """" = AH362 &amp; """"
    )
  ), 
  0
)"),50)</f>
        <v>50</v>
      </c>
      <c r="X362" s="10">
        <f ca="1">IFERROR(__xludf.DUMMYFUNCTION("IFERROR(
  SUM(
    FILTER(
      Efectivo!$C:$C, 
      Efectivo!$D:$D &amp; """" = AH362 &amp; """"
    )
  ), 
  0
)"),0)</f>
        <v>0</v>
      </c>
      <c r="Y362" s="10" t="s">
        <v>34</v>
      </c>
      <c r="Z362" s="10"/>
      <c r="AA362" s="10" t="s">
        <v>35</v>
      </c>
      <c r="AB362" s="10"/>
      <c r="AC362" s="10"/>
      <c r="AD362" s="10" t="str">
        <f t="shared" si="33"/>
        <v/>
      </c>
      <c r="AE362" s="10" t="e">
        <f>IF(
   OR(
     AND(#REF!&gt;0, OR(Y362="C", Y362="c"), U362&lt;0),
     AND(#REF!&gt;0, Y362="")
   ),
   "CORTE",
   ""
)</f>
        <v>#REF!</v>
      </c>
      <c r="AF362" s="10">
        <f t="shared" si="1"/>
        <v>0</v>
      </c>
      <c r="AG362" s="10">
        <f t="shared" si="2"/>
        <v>50</v>
      </c>
      <c r="AH362" s="10" t="str">
        <f t="shared" si="34"/>
        <v>V</v>
      </c>
      <c r="AI362" s="10" t="str">
        <f t="shared" si="35"/>
        <v>V-10</v>
      </c>
    </row>
    <row r="363" spans="1:35" ht="15.75" customHeight="1" x14ac:dyDescent="0.35">
      <c r="A363" s="13">
        <v>362</v>
      </c>
      <c r="B363" s="14" t="s">
        <v>451</v>
      </c>
      <c r="C363" s="14" t="s">
        <v>440</v>
      </c>
      <c r="D363" s="13">
        <v>11</v>
      </c>
      <c r="E363" s="15"/>
      <c r="F363" s="15"/>
      <c r="G363" s="15"/>
      <c r="H363" s="16">
        <v>1</v>
      </c>
      <c r="I363" s="16">
        <v>1486</v>
      </c>
      <c r="J363" s="16">
        <v>1496</v>
      </c>
      <c r="K363" s="16">
        <v>10</v>
      </c>
      <c r="L363" s="16">
        <v>10</v>
      </c>
      <c r="M363" s="16"/>
      <c r="N363" s="16">
        <v>0</v>
      </c>
      <c r="O363" s="16"/>
      <c r="P363" s="16">
        <v>3</v>
      </c>
      <c r="Q363" s="16"/>
      <c r="R363" s="18"/>
      <c r="S363" s="15"/>
      <c r="T363" s="20"/>
      <c r="U363" s="17"/>
      <c r="V363" s="17">
        <f t="shared" si="36"/>
        <v>13</v>
      </c>
      <c r="W363" s="15">
        <f ca="1">IFERROR(__xludf.DUMMYFUNCTION("IFERROR(
  SUM(
    FILTER(
      Reporte!$E:$E, 
      REGEXMATCH(Reporte!$A:$A, ""(?i)(TE PAGÓ|PAGASTE)""), 
      Reporte!$H:$H &amp; """" = AH363 &amp; """"
    )
  ), 
  0
)"),0)</f>
        <v>0</v>
      </c>
      <c r="X363" s="15">
        <f ca="1">IFERROR(__xludf.DUMMYFUNCTION("IFERROR(
  SUM(
    FILTER(
      Efectivo!$C:$C, 
      Efectivo!$D:$D &amp; """" = AH363 &amp; """"
    )
  ), 
  0
)"),13)</f>
        <v>13</v>
      </c>
      <c r="Y363" s="15" t="s">
        <v>34</v>
      </c>
      <c r="Z363" s="15"/>
      <c r="AA363" s="15"/>
      <c r="AB363" s="15"/>
      <c r="AC363" s="15"/>
      <c r="AD363" s="15" t="str">
        <f t="shared" si="33"/>
        <v/>
      </c>
      <c r="AE363" s="15" t="e">
        <f>IF(
   OR(
     AND(#REF!&gt;0, OR(Y363="C", Y363="c"), U363&lt;0),
     AND(#REF!&gt;0, Y363="")
   ),
   "CORTE",
   ""
)</f>
        <v>#REF!</v>
      </c>
      <c r="AF363" s="15">
        <f t="shared" si="1"/>
        <v>13</v>
      </c>
      <c r="AG363" s="15">
        <f t="shared" si="2"/>
        <v>0</v>
      </c>
      <c r="AH363" s="15" t="str">
        <f t="shared" si="34"/>
        <v>V</v>
      </c>
      <c r="AI363" s="15" t="str">
        <f t="shared" si="35"/>
        <v>V-11</v>
      </c>
    </row>
    <row r="364" spans="1:35" ht="15.75" customHeight="1" x14ac:dyDescent="0.35">
      <c r="A364" s="8">
        <v>363</v>
      </c>
      <c r="B364" s="9" t="s">
        <v>452</v>
      </c>
      <c r="C364" s="9" t="s">
        <v>440</v>
      </c>
      <c r="D364" s="8">
        <v>12</v>
      </c>
      <c r="E364" s="10"/>
      <c r="F364" s="11">
        <v>1</v>
      </c>
      <c r="G364" s="10"/>
      <c r="H364" s="11">
        <v>1</v>
      </c>
      <c r="I364" s="11">
        <v>2425</v>
      </c>
      <c r="J364" s="11">
        <v>2442</v>
      </c>
      <c r="K364" s="11">
        <v>17</v>
      </c>
      <c r="L364" s="11">
        <v>17</v>
      </c>
      <c r="M364" s="11">
        <v>22</v>
      </c>
      <c r="N364" s="11">
        <v>0</v>
      </c>
      <c r="O364" s="11"/>
      <c r="P364" s="11">
        <v>3</v>
      </c>
      <c r="Q364" s="11"/>
      <c r="R364" s="19"/>
      <c r="S364" s="10"/>
      <c r="T364" s="21"/>
      <c r="U364" s="12"/>
      <c r="V364" s="12">
        <f t="shared" si="36"/>
        <v>42</v>
      </c>
      <c r="W364" s="10">
        <f ca="1">IFERROR(__xludf.DUMMYFUNCTION("IFERROR(
  SUM(
    FILTER(
      Reporte!$E:$E, 
      REGEXMATCH(Reporte!$A:$A, ""(?i)(TE PAGÓ|PAGASTE)""), 
      Reporte!$H:$H &amp; """" = AH364 &amp; """"
    )
  ), 
  0
)"),42)</f>
        <v>42</v>
      </c>
      <c r="X364" s="10">
        <f ca="1">IFERROR(__xludf.DUMMYFUNCTION("IFERROR(
  SUM(
    FILTER(
      Efectivo!$C:$C, 
      Efectivo!$D:$D &amp; """" = AH364 &amp; """"
    )
  ), 
  0
)"),0)</f>
        <v>0</v>
      </c>
      <c r="Y364" s="10" t="s">
        <v>34</v>
      </c>
      <c r="Z364" s="10"/>
      <c r="AA364" s="10" t="s">
        <v>35</v>
      </c>
      <c r="AB364" s="10"/>
      <c r="AC364" s="10"/>
      <c r="AD364" s="10" t="str">
        <f t="shared" si="33"/>
        <v/>
      </c>
      <c r="AE364" s="10" t="e">
        <f>IF(
   OR(
     AND(#REF!&gt;0, OR(Y364="C", Y364="c"), U364&lt;0),
     AND(#REF!&gt;0, Y364="")
   ),
   "CORTE",
   ""
)</f>
        <v>#REF!</v>
      </c>
      <c r="AF364" s="10">
        <f t="shared" si="1"/>
        <v>0</v>
      </c>
      <c r="AG364" s="10">
        <f t="shared" si="2"/>
        <v>42</v>
      </c>
      <c r="AH364" s="10" t="str">
        <f t="shared" si="34"/>
        <v>V</v>
      </c>
      <c r="AI364" s="10" t="str">
        <f t="shared" si="35"/>
        <v>V-12</v>
      </c>
    </row>
    <row r="365" spans="1:35" ht="15.75" customHeight="1" x14ac:dyDescent="0.35">
      <c r="A365" s="13">
        <v>364</v>
      </c>
      <c r="B365" s="14" t="s">
        <v>453</v>
      </c>
      <c r="C365" s="14" t="s">
        <v>440</v>
      </c>
      <c r="D365" s="13">
        <v>13</v>
      </c>
      <c r="E365" s="15"/>
      <c r="F365" s="15"/>
      <c r="G365" s="15"/>
      <c r="H365" s="16">
        <v>1</v>
      </c>
      <c r="I365" s="16">
        <v>92</v>
      </c>
      <c r="J365" s="16">
        <v>99</v>
      </c>
      <c r="K365" s="16">
        <v>7</v>
      </c>
      <c r="L365" s="16">
        <v>7</v>
      </c>
      <c r="M365" s="16"/>
      <c r="N365" s="16">
        <v>0</v>
      </c>
      <c r="O365" s="16"/>
      <c r="P365" s="16">
        <v>3</v>
      </c>
      <c r="Q365" s="16"/>
      <c r="R365" s="18"/>
      <c r="S365" s="15"/>
      <c r="T365" s="20"/>
      <c r="U365" s="17"/>
      <c r="V365" s="17">
        <f t="shared" si="36"/>
        <v>10</v>
      </c>
      <c r="W365" s="15">
        <f ca="1">IFERROR(__xludf.DUMMYFUNCTION("IFERROR(
  SUM(
    FILTER(
      Reporte!$E:$E, 
      REGEXMATCH(Reporte!$A:$A, ""(?i)(TE PAGÓ|PAGASTE)""), 
      Reporte!$H:$H &amp; """" = AH365 &amp; """"
    )
  ), 
  0
)"),10)</f>
        <v>10</v>
      </c>
      <c r="X365" s="15">
        <f ca="1">IFERROR(__xludf.DUMMYFUNCTION("IFERROR(
  SUM(
    FILTER(
      Efectivo!$C:$C, 
      Efectivo!$D:$D &amp; """" = AH365 &amp; """"
    )
  ), 
  0
)"),0)</f>
        <v>0</v>
      </c>
      <c r="Y365" s="15" t="s">
        <v>34</v>
      </c>
      <c r="Z365" s="15"/>
      <c r="AA365" s="15" t="s">
        <v>35</v>
      </c>
      <c r="AB365" s="15"/>
      <c r="AC365" s="15"/>
      <c r="AD365" s="15" t="str">
        <f t="shared" si="33"/>
        <v/>
      </c>
      <c r="AE365" s="15" t="e">
        <f>IF(
   OR(
     AND(#REF!&gt;0, OR(Y365="C", Y365="c"), U365&lt;0),
     AND(#REF!&gt;0, Y365="")
   ),
   "CORTE",
   ""
)</f>
        <v>#REF!</v>
      </c>
      <c r="AF365" s="15">
        <f t="shared" si="1"/>
        <v>0</v>
      </c>
      <c r="AG365" s="15">
        <f t="shared" si="2"/>
        <v>10</v>
      </c>
      <c r="AH365" s="15" t="str">
        <f t="shared" si="34"/>
        <v>V</v>
      </c>
      <c r="AI365" s="15" t="str">
        <f t="shared" si="35"/>
        <v>V-13</v>
      </c>
    </row>
    <row r="366" spans="1:35" ht="15.75" customHeight="1" x14ac:dyDescent="0.35">
      <c r="A366" s="8">
        <v>365</v>
      </c>
      <c r="B366" s="9" t="s">
        <v>454</v>
      </c>
      <c r="C366" s="9" t="s">
        <v>440</v>
      </c>
      <c r="D366" s="8">
        <v>14</v>
      </c>
      <c r="E366" s="10"/>
      <c r="F366" s="10"/>
      <c r="G366" s="10"/>
      <c r="H366" s="11">
        <v>1</v>
      </c>
      <c r="I366" s="11">
        <v>223</v>
      </c>
      <c r="J366" s="11">
        <v>223</v>
      </c>
      <c r="K366" s="11">
        <v>5</v>
      </c>
      <c r="L366" s="11">
        <v>5</v>
      </c>
      <c r="M366" s="11">
        <v>0</v>
      </c>
      <c r="N366" s="11">
        <v>0</v>
      </c>
      <c r="O366" s="11"/>
      <c r="P366" s="11">
        <v>3</v>
      </c>
      <c r="Q366" s="11"/>
      <c r="R366" s="19"/>
      <c r="S366" s="10"/>
      <c r="T366" s="21"/>
      <c r="U366" s="12"/>
      <c r="V366" s="12">
        <f t="shared" si="36"/>
        <v>8</v>
      </c>
      <c r="W366" s="10">
        <f ca="1">IFERROR(__xludf.DUMMYFUNCTION("IFERROR(
  SUM(
    FILTER(
      Reporte!$E:$E, 
      REGEXMATCH(Reporte!$A:$A, ""(?i)(TE PAGÓ|PAGASTE)""), 
      Reporte!$H:$H &amp; """" = AH366 &amp; """"
    )
  ), 
  0
)"),8)</f>
        <v>8</v>
      </c>
      <c r="X366" s="10">
        <f ca="1">IFERROR(__xludf.DUMMYFUNCTION("IFERROR(
  SUM(
    FILTER(
      Efectivo!$C:$C, 
      Efectivo!$D:$D &amp; """" = AH366 &amp; """"
    )
  ), 
  0
)"),0)</f>
        <v>0</v>
      </c>
      <c r="Y366" s="10" t="s">
        <v>34</v>
      </c>
      <c r="Z366" s="10"/>
      <c r="AA366" s="10" t="s">
        <v>35</v>
      </c>
      <c r="AB366" s="10"/>
      <c r="AC366" s="10"/>
      <c r="AD366" s="10" t="str">
        <f t="shared" si="33"/>
        <v/>
      </c>
      <c r="AE366" s="10" t="e">
        <f>IF(
   OR(
     AND(#REF!&gt;0, OR(Y366="C", Y366="c"), U366&lt;0),
     AND(#REF!&gt;0, Y366="")
   ),
   "CORTE",
   ""
)</f>
        <v>#REF!</v>
      </c>
      <c r="AF366" s="10">
        <f t="shared" si="1"/>
        <v>0</v>
      </c>
      <c r="AG366" s="10">
        <f t="shared" si="2"/>
        <v>8</v>
      </c>
      <c r="AH366" s="10" t="str">
        <f t="shared" si="34"/>
        <v>V</v>
      </c>
      <c r="AI366" s="10" t="str">
        <f t="shared" si="35"/>
        <v>V-14</v>
      </c>
    </row>
    <row r="367" spans="1:35" ht="15.75" customHeight="1" x14ac:dyDescent="0.35">
      <c r="A367" s="13">
        <v>366</v>
      </c>
      <c r="B367" s="14" t="s">
        <v>455</v>
      </c>
      <c r="C367" s="14" t="s">
        <v>440</v>
      </c>
      <c r="D367" s="13">
        <v>15</v>
      </c>
      <c r="E367" s="15"/>
      <c r="F367" s="15"/>
      <c r="G367" s="15"/>
      <c r="H367" s="16">
        <v>1</v>
      </c>
      <c r="I367" s="16">
        <v>978</v>
      </c>
      <c r="J367" s="16">
        <v>986</v>
      </c>
      <c r="K367" s="16">
        <v>8</v>
      </c>
      <c r="L367" s="16">
        <v>8</v>
      </c>
      <c r="M367" s="16"/>
      <c r="N367" s="16">
        <v>0</v>
      </c>
      <c r="O367" s="16"/>
      <c r="P367" s="16">
        <v>3</v>
      </c>
      <c r="Q367" s="16"/>
      <c r="R367" s="18"/>
      <c r="S367" s="15"/>
      <c r="T367" s="20"/>
      <c r="U367" s="17"/>
      <c r="V367" s="17">
        <f t="shared" si="36"/>
        <v>11</v>
      </c>
      <c r="W367" s="15">
        <f ca="1">IFERROR(__xludf.DUMMYFUNCTION("IFERROR(
  SUM(
    FILTER(
      Reporte!$E:$E, 
      REGEXMATCH(Reporte!$A:$A, ""(?i)(TE PAGÓ|PAGASTE)""), 
      Reporte!$H:$H &amp; """" = AH367 &amp; """"
    )
  ), 
  0
)"),0)</f>
        <v>0</v>
      </c>
      <c r="X367" s="15">
        <f ca="1">IFERROR(__xludf.DUMMYFUNCTION("IFERROR(
  SUM(
    FILTER(
      Efectivo!$C:$C, 
      Efectivo!$D:$D &amp; """" = AH367 &amp; """"
    )
  ), 
  0
)"),11)</f>
        <v>11</v>
      </c>
      <c r="Y367" s="15" t="s">
        <v>34</v>
      </c>
      <c r="Z367" s="15"/>
      <c r="AA367" s="15"/>
      <c r="AB367" s="15"/>
      <c r="AC367" s="15"/>
      <c r="AD367" s="15" t="str">
        <f t="shared" si="33"/>
        <v/>
      </c>
      <c r="AE367" s="15" t="e">
        <f>IF(
   OR(
     AND(#REF!&gt;0, OR(Y367="C", Y367="c"), U367&lt;0),
     AND(#REF!&gt;0, Y367="")
   ),
   "CORTE",
   ""
)</f>
        <v>#REF!</v>
      </c>
      <c r="AF367" s="15">
        <f t="shared" si="1"/>
        <v>11</v>
      </c>
      <c r="AG367" s="15">
        <f t="shared" si="2"/>
        <v>0</v>
      </c>
      <c r="AH367" s="15" t="str">
        <f t="shared" si="34"/>
        <v>V</v>
      </c>
      <c r="AI367" s="15" t="str">
        <f t="shared" si="35"/>
        <v>V-15</v>
      </c>
    </row>
    <row r="368" spans="1:35" ht="15.75" customHeight="1" x14ac:dyDescent="0.35">
      <c r="A368" s="8">
        <v>367</v>
      </c>
      <c r="B368" s="9" t="s">
        <v>456</v>
      </c>
      <c r="C368" s="9" t="s">
        <v>440</v>
      </c>
      <c r="D368" s="8">
        <v>16</v>
      </c>
      <c r="E368" s="10"/>
      <c r="F368" s="10"/>
      <c r="G368" s="10"/>
      <c r="H368" s="11">
        <v>1</v>
      </c>
      <c r="I368" s="11">
        <v>87</v>
      </c>
      <c r="J368" s="11">
        <v>95</v>
      </c>
      <c r="K368" s="11">
        <v>8</v>
      </c>
      <c r="L368" s="11">
        <v>8</v>
      </c>
      <c r="M368" s="11"/>
      <c r="N368" s="11">
        <v>0</v>
      </c>
      <c r="O368" s="11"/>
      <c r="P368" s="11">
        <v>3</v>
      </c>
      <c r="Q368" s="11"/>
      <c r="R368" s="19"/>
      <c r="S368" s="10"/>
      <c r="T368" s="21"/>
      <c r="U368" s="12"/>
      <c r="V368" s="12">
        <f t="shared" si="36"/>
        <v>11</v>
      </c>
      <c r="W368" s="10">
        <f ca="1">IFERROR(__xludf.DUMMYFUNCTION("IFERROR(
  SUM(
    FILTER(
      Reporte!$E:$E, 
      REGEXMATCH(Reporte!$A:$A, ""(?i)(TE PAGÓ|PAGASTE)""), 
      Reporte!$H:$H &amp; """" = AH368 &amp; """"
    )
  ), 
  0
)"),11)</f>
        <v>11</v>
      </c>
      <c r="X368" s="10">
        <f ca="1">IFERROR(__xludf.DUMMYFUNCTION("IFERROR(
  SUM(
    FILTER(
      Efectivo!$C:$C, 
      Efectivo!$D:$D &amp; """" = AH368 &amp; """"
    )
  ), 
  0
)"),0)</f>
        <v>0</v>
      </c>
      <c r="Y368" s="10" t="s">
        <v>34</v>
      </c>
      <c r="Z368" s="10"/>
      <c r="AA368" s="10" t="s">
        <v>35</v>
      </c>
      <c r="AB368" s="10"/>
      <c r="AC368" s="10"/>
      <c r="AD368" s="10" t="str">
        <f t="shared" si="33"/>
        <v/>
      </c>
      <c r="AE368" s="10" t="e">
        <f>IF(
   OR(
     AND(#REF!&gt;0, OR(Y368="C", Y368="c"), U368&lt;0),
     AND(#REF!&gt;0, Y368="")
   ),
   "CORTE",
   ""
)</f>
        <v>#REF!</v>
      </c>
      <c r="AF368" s="10">
        <f t="shared" si="1"/>
        <v>0</v>
      </c>
      <c r="AG368" s="10">
        <f t="shared" si="2"/>
        <v>11</v>
      </c>
      <c r="AH368" s="10" t="str">
        <f t="shared" si="34"/>
        <v>V</v>
      </c>
      <c r="AI368" s="10" t="str">
        <f t="shared" si="35"/>
        <v>V-16</v>
      </c>
    </row>
    <row r="369" spans="1:35" ht="15.75" customHeight="1" x14ac:dyDescent="0.35">
      <c r="A369" s="13">
        <v>368</v>
      </c>
      <c r="B369" s="14" t="s">
        <v>457</v>
      </c>
      <c r="C369" s="14" t="s">
        <v>458</v>
      </c>
      <c r="D369" s="13">
        <v>1</v>
      </c>
      <c r="E369" s="15"/>
      <c r="F369" s="15"/>
      <c r="G369" s="15"/>
      <c r="H369" s="16">
        <v>1</v>
      </c>
      <c r="I369" s="16">
        <v>29</v>
      </c>
      <c r="J369" s="16">
        <v>29</v>
      </c>
      <c r="K369" s="16">
        <v>5</v>
      </c>
      <c r="L369" s="16">
        <v>5</v>
      </c>
      <c r="M369" s="16"/>
      <c r="N369" s="16">
        <v>0</v>
      </c>
      <c r="O369" s="16"/>
      <c r="P369" s="16">
        <v>3</v>
      </c>
      <c r="Q369" s="16"/>
      <c r="R369" s="18"/>
      <c r="S369" s="15"/>
      <c r="T369" s="20"/>
      <c r="U369" s="17"/>
      <c r="V369" s="17">
        <f>SUM(L369:U369)</f>
        <v>8</v>
      </c>
      <c r="W369" s="15">
        <f ca="1">IFERROR(__xludf.DUMMYFUNCTION("IFERROR(
  SUM(
    FILTER(
      Reporte!$E:$E, 
      REGEXMATCH(Reporte!$A:$A, ""(?i)(TE PAGÓ|PAGASTE)""), 
      Reporte!$H:$H &amp; """" = AH369 &amp; """"
    )
  ), 
  0
)"),0)</f>
        <v>0</v>
      </c>
      <c r="X369" s="15">
        <f ca="1">IFERROR(__xludf.DUMMYFUNCTION("IFERROR(
  SUM(
    FILTER(
      Efectivo!$C:$C, 
      Efectivo!$D:$D &amp; """" = AH369 &amp; """"
    )
  ), 
  0
)"),8)</f>
        <v>8</v>
      </c>
      <c r="Y369" s="15" t="s">
        <v>34</v>
      </c>
      <c r="Z369" s="15"/>
      <c r="AA369" s="15"/>
      <c r="AB369" s="15"/>
      <c r="AC369" s="15"/>
      <c r="AD369" s="15" t="str">
        <f t="shared" si="33"/>
        <v/>
      </c>
      <c r="AE369" s="15" t="e">
        <f>IF(
   OR(
     AND(#REF!&gt;0, OR(Y369="C", Y369="c"), U369&lt;0),
     AND(#REF!&gt;0, Y369="")
   ),
   "CORTE",
   ""
)</f>
        <v>#REF!</v>
      </c>
      <c r="AF369" s="15">
        <f t="shared" si="1"/>
        <v>8</v>
      </c>
      <c r="AG369" s="15">
        <f t="shared" si="2"/>
        <v>0</v>
      </c>
      <c r="AH369" s="15" t="str">
        <f t="shared" si="34"/>
        <v>W</v>
      </c>
      <c r="AI369" s="15" t="str">
        <f t="shared" si="35"/>
        <v>W-1</v>
      </c>
    </row>
    <row r="370" spans="1:35" ht="15.75" customHeight="1" x14ac:dyDescent="0.35">
      <c r="A370" s="8">
        <v>369</v>
      </c>
      <c r="B370" s="9" t="s">
        <v>459</v>
      </c>
      <c r="C370" s="9" t="s">
        <v>458</v>
      </c>
      <c r="D370" s="8">
        <v>2</v>
      </c>
      <c r="E370" s="10"/>
      <c r="F370" s="10"/>
      <c r="G370" s="10"/>
      <c r="H370" s="11">
        <v>1</v>
      </c>
      <c r="I370" s="11">
        <v>4</v>
      </c>
      <c r="J370" s="11">
        <v>4</v>
      </c>
      <c r="K370" s="11">
        <v>5</v>
      </c>
      <c r="L370" s="11">
        <v>5</v>
      </c>
      <c r="M370" s="11"/>
      <c r="N370" s="11">
        <v>0</v>
      </c>
      <c r="O370" s="11"/>
      <c r="P370" s="11">
        <v>3</v>
      </c>
      <c r="Q370" s="11"/>
      <c r="R370" s="19"/>
      <c r="S370" s="10"/>
      <c r="T370" s="21"/>
      <c r="U370" s="12"/>
      <c r="V370" s="12">
        <f>SUM(L370:Q370)</f>
        <v>8</v>
      </c>
      <c r="W370" s="10">
        <f ca="1">IFERROR(__xludf.DUMMYFUNCTION("IFERROR(
  SUM(
    FILTER(
      Reporte!$E:$E, 
      REGEXMATCH(Reporte!$A:$A, ""(?i)(TE PAGÓ|PAGASTE)""), 
      Reporte!$H:$H &amp; """" = AH370 &amp; """"
    )
  ), 
  0
)"),8)</f>
        <v>8</v>
      </c>
      <c r="X370" s="10">
        <f ca="1">IFERROR(__xludf.DUMMYFUNCTION("IFERROR(
  SUM(
    FILTER(
      Efectivo!$C:$C, 
      Efectivo!$D:$D &amp; """" = AH370 &amp; """"
    )
  ), 
  0
)"),0)</f>
        <v>0</v>
      </c>
      <c r="Y370" s="10" t="s">
        <v>34</v>
      </c>
      <c r="Z370" s="10"/>
      <c r="AA370" s="10" t="s">
        <v>35</v>
      </c>
      <c r="AB370" s="10"/>
      <c r="AC370" s="10"/>
      <c r="AD370" s="10" t="str">
        <f t="shared" si="33"/>
        <v/>
      </c>
      <c r="AE370" s="10" t="e">
        <f>IF(
   OR(
     AND(#REF!&gt;0, OR(Y370="C", Y370="c"), U370&lt;0),
     AND(#REF!&gt;0, Y370="")
   ),
   "CORTE",
   ""
)</f>
        <v>#REF!</v>
      </c>
      <c r="AF370" s="10">
        <f t="shared" si="1"/>
        <v>0</v>
      </c>
      <c r="AG370" s="10">
        <f t="shared" si="2"/>
        <v>8</v>
      </c>
      <c r="AH370" s="10" t="str">
        <f t="shared" si="34"/>
        <v>W</v>
      </c>
      <c r="AI370" s="10" t="str">
        <f t="shared" si="35"/>
        <v>W-2</v>
      </c>
    </row>
    <row r="371" spans="1:35" ht="15.75" customHeight="1" x14ac:dyDescent="0.35">
      <c r="A371" s="13">
        <v>370</v>
      </c>
      <c r="B371" s="14" t="s">
        <v>460</v>
      </c>
      <c r="C371" s="14" t="s">
        <v>458</v>
      </c>
      <c r="D371" s="13">
        <v>3</v>
      </c>
      <c r="E371" s="15"/>
      <c r="F371" s="15"/>
      <c r="G371" s="15"/>
      <c r="H371" s="16">
        <v>1</v>
      </c>
      <c r="I371" s="16">
        <v>4</v>
      </c>
      <c r="J371" s="16">
        <v>10</v>
      </c>
      <c r="K371" s="16">
        <v>6</v>
      </c>
      <c r="L371" s="16">
        <v>6</v>
      </c>
      <c r="M371" s="16"/>
      <c r="N371" s="16">
        <v>0</v>
      </c>
      <c r="O371" s="16">
        <v>1</v>
      </c>
      <c r="P371" s="16">
        <v>3</v>
      </c>
      <c r="Q371" s="16"/>
      <c r="R371" s="18"/>
      <c r="S371" s="15"/>
      <c r="T371" s="20"/>
      <c r="U371" s="17"/>
      <c r="V371" s="17">
        <f>SUM(L371:U371)</f>
        <v>10</v>
      </c>
      <c r="W371" s="15">
        <f ca="1">IFERROR(__xludf.DUMMYFUNCTION("IFERROR(
  SUM(
    FILTER(
      Reporte!$E:$E, 
      REGEXMATCH(Reporte!$A:$A, ""(?i)(TE PAGÓ|PAGASTE)""), 
      Reporte!$H:$H &amp; """" = AH371 &amp; """"
    )
  ), 
  0
)"),0)</f>
        <v>0</v>
      </c>
      <c r="X371" s="15">
        <f ca="1">IFERROR(__xludf.DUMMYFUNCTION("IFERROR(
  SUM(
    FILTER(
      Efectivo!$C:$C, 
      Efectivo!$D:$D &amp; """" = AH371 &amp; """"
    )
  ), 
  0
)"),0)</f>
        <v>0</v>
      </c>
      <c r="Y371" s="15"/>
      <c r="Z371" s="15"/>
      <c r="AA371" s="15"/>
      <c r="AB371" s="15"/>
      <c r="AC371" s="15"/>
      <c r="AD371" s="15" t="str">
        <f t="shared" si="33"/>
        <v/>
      </c>
      <c r="AE371" s="15" t="e">
        <f>IF(
   OR(
     AND(#REF!&gt;0, OR(Y371="C", Y371="c"), U371&lt;0),
     AND(#REF!&gt;0, Y371="")
   ),
   "CORTE",
   ""
)</f>
        <v>#REF!</v>
      </c>
      <c r="AF371" s="15">
        <f t="shared" si="1"/>
        <v>0</v>
      </c>
      <c r="AG371" s="15">
        <f t="shared" si="2"/>
        <v>0</v>
      </c>
      <c r="AH371" s="15" t="str">
        <f t="shared" si="34"/>
        <v>W</v>
      </c>
      <c r="AI371" s="15" t="str">
        <f t="shared" si="35"/>
        <v>W-3</v>
      </c>
    </row>
    <row r="372" spans="1:35" ht="15.75" customHeight="1" x14ac:dyDescent="0.35">
      <c r="A372" s="8">
        <v>371</v>
      </c>
      <c r="B372" s="9" t="s">
        <v>461</v>
      </c>
      <c r="C372" s="9" t="s">
        <v>458</v>
      </c>
      <c r="D372" s="8">
        <v>4</v>
      </c>
      <c r="E372" s="10"/>
      <c r="F372" s="10"/>
      <c r="G372" s="10"/>
      <c r="H372" s="11">
        <v>1</v>
      </c>
      <c r="I372" s="11">
        <v>11</v>
      </c>
      <c r="J372" s="11">
        <v>27</v>
      </c>
      <c r="K372" s="11">
        <v>16</v>
      </c>
      <c r="L372" s="11">
        <v>16</v>
      </c>
      <c r="M372" s="11"/>
      <c r="N372" s="11">
        <v>0</v>
      </c>
      <c r="O372" s="11">
        <v>25</v>
      </c>
      <c r="P372" s="11">
        <v>3</v>
      </c>
      <c r="Q372" s="11"/>
      <c r="R372" s="19"/>
      <c r="S372" s="10"/>
      <c r="T372" s="21"/>
      <c r="U372" s="12"/>
      <c r="V372" s="12">
        <f>SUM(L372:Q372)</f>
        <v>44</v>
      </c>
      <c r="W372" s="10">
        <f ca="1">IFERROR(__xludf.DUMMYFUNCTION("IFERROR(
  SUM(
    FILTER(
      Reporte!$E:$E, 
      REGEXMATCH(Reporte!$A:$A, ""(?i)(TE PAGÓ|PAGASTE)""), 
      Reporte!$H:$H &amp; """" = AH372 &amp; """"
    )
  ), 
  0
)"),44)</f>
        <v>44</v>
      </c>
      <c r="X372" s="10">
        <f ca="1">IFERROR(__xludf.DUMMYFUNCTION("IFERROR(
  SUM(
    FILTER(
      Efectivo!$C:$C, 
      Efectivo!$D:$D &amp; """" = AH372 &amp; """"
    )
  ), 
  0
)"),0)</f>
        <v>0</v>
      </c>
      <c r="Y372" s="10" t="s">
        <v>34</v>
      </c>
      <c r="Z372" s="10"/>
      <c r="AA372" s="10" t="s">
        <v>35</v>
      </c>
      <c r="AB372" s="10"/>
      <c r="AC372" s="10"/>
      <c r="AD372" s="10" t="str">
        <f t="shared" si="33"/>
        <v/>
      </c>
      <c r="AE372" s="10" t="e">
        <f>IF(
   OR(
     AND(#REF!&gt;0, OR(Y372="C", Y372="c"), U372&lt;0),
     AND(#REF!&gt;0, Y372="")
   ),
   "CORTE",
   ""
)</f>
        <v>#REF!</v>
      </c>
      <c r="AF372" s="10">
        <f t="shared" si="1"/>
        <v>0</v>
      </c>
      <c r="AG372" s="10">
        <f t="shared" si="2"/>
        <v>44</v>
      </c>
      <c r="AH372" s="10" t="str">
        <f t="shared" si="34"/>
        <v>W</v>
      </c>
      <c r="AI372" s="10" t="str">
        <f t="shared" si="35"/>
        <v>W-4</v>
      </c>
    </row>
    <row r="373" spans="1:35" ht="15.75" customHeight="1" x14ac:dyDescent="0.35">
      <c r="A373" s="13">
        <v>372</v>
      </c>
      <c r="B373" s="14" t="s">
        <v>462</v>
      </c>
      <c r="C373" s="14" t="s">
        <v>458</v>
      </c>
      <c r="D373" s="13">
        <v>5</v>
      </c>
      <c r="E373" s="15"/>
      <c r="F373" s="15"/>
      <c r="G373" s="15"/>
      <c r="H373" s="16">
        <v>1</v>
      </c>
      <c r="I373" s="16">
        <v>7</v>
      </c>
      <c r="J373" s="16">
        <v>17</v>
      </c>
      <c r="K373" s="16">
        <v>10</v>
      </c>
      <c r="L373" s="16">
        <v>10</v>
      </c>
      <c r="M373" s="16">
        <v>3</v>
      </c>
      <c r="N373" s="16">
        <v>0</v>
      </c>
      <c r="O373" s="16">
        <v>72</v>
      </c>
      <c r="P373" s="16">
        <v>3</v>
      </c>
      <c r="Q373" s="16"/>
      <c r="R373" s="18"/>
      <c r="S373" s="15"/>
      <c r="T373" s="20"/>
      <c r="U373" s="17"/>
      <c r="V373" s="17">
        <f>SUM(L373:U373)</f>
        <v>88</v>
      </c>
      <c r="W373" s="15">
        <f ca="1">IFERROR(__xludf.DUMMYFUNCTION("IFERROR(
  SUM(
    FILTER(
      Reporte!$E:$E, 
      REGEXMATCH(Reporte!$A:$A, ""(?i)(TE PAGÓ|PAGASTE)""), 
      Reporte!$H:$H &amp; """" = AH373 &amp; """"
    )
  ), 
  0
)"),13)</f>
        <v>13</v>
      </c>
      <c r="X373" s="15">
        <f ca="1">IFERROR(__xludf.DUMMYFUNCTION("IFERROR(
  SUM(
    FILTER(
      Efectivo!$C:$C, 
      Efectivo!$D:$D &amp; """" = AH373 &amp; """"
    )
  ), 
  0
)"),75)</f>
        <v>75</v>
      </c>
      <c r="Y373" s="15" t="s">
        <v>34</v>
      </c>
      <c r="Z373" s="15"/>
      <c r="AA373" s="15" t="s">
        <v>35</v>
      </c>
      <c r="AB373" s="15" t="s">
        <v>463</v>
      </c>
      <c r="AC373" s="15"/>
      <c r="AD373" s="15" t="str">
        <f t="shared" si="33"/>
        <v/>
      </c>
      <c r="AE373" s="15" t="e">
        <f>IF(
   OR(
     AND(#REF!&gt;0, OR(Y373="C", Y373="c"), U373&lt;0),
     AND(#REF!&gt;0, Y373="")
   ),
   "CORTE",
   ""
)</f>
        <v>#REF!</v>
      </c>
      <c r="AF373" s="15">
        <f t="shared" si="1"/>
        <v>0</v>
      </c>
      <c r="AG373" s="15">
        <f t="shared" si="2"/>
        <v>88</v>
      </c>
      <c r="AH373" s="15" t="str">
        <f t="shared" si="34"/>
        <v>W</v>
      </c>
      <c r="AI373" s="15" t="str">
        <f t="shared" si="35"/>
        <v>W-5</v>
      </c>
    </row>
    <row r="374" spans="1:35" ht="15.75" customHeight="1" x14ac:dyDescent="0.35">
      <c r="A374" s="8">
        <v>373</v>
      </c>
      <c r="B374" s="9" t="s">
        <v>464</v>
      </c>
      <c r="C374" s="9" t="s">
        <v>458</v>
      </c>
      <c r="D374" s="8">
        <v>6</v>
      </c>
      <c r="E374" s="10"/>
      <c r="F374" s="10"/>
      <c r="G374" s="10"/>
      <c r="H374" s="11">
        <v>1</v>
      </c>
      <c r="I374" s="11">
        <v>2</v>
      </c>
      <c r="J374" s="11">
        <v>6</v>
      </c>
      <c r="K374" s="11">
        <v>4</v>
      </c>
      <c r="L374" s="11">
        <v>5</v>
      </c>
      <c r="M374" s="11">
        <v>8</v>
      </c>
      <c r="N374" s="11">
        <v>0</v>
      </c>
      <c r="O374" s="11"/>
      <c r="P374" s="11">
        <v>3</v>
      </c>
      <c r="Q374" s="11"/>
      <c r="R374" s="19"/>
      <c r="S374" s="10"/>
      <c r="T374" s="21"/>
      <c r="U374" s="12"/>
      <c r="V374" s="12">
        <f t="shared" ref="V374:V387" si="37">SUM(L374:Q374)</f>
        <v>16</v>
      </c>
      <c r="W374" s="10">
        <f ca="1">IFERROR(__xludf.DUMMYFUNCTION("IFERROR(
  SUM(
    FILTER(
      Reporte!$E:$E, 
      REGEXMATCH(Reporte!$A:$A, ""(?i)(TE PAGÓ|PAGASTE)""), 
      Reporte!$H:$H &amp; """" = AH374 &amp; """"
    )
  ), 
  0
)"),0)</f>
        <v>0</v>
      </c>
      <c r="X374" s="10">
        <f ca="1">IFERROR(__xludf.DUMMYFUNCTION("IFERROR(
  SUM(
    FILTER(
      Efectivo!$C:$C, 
      Efectivo!$D:$D &amp; """" = AH374 &amp; """"
    )
  ), 
  0
)"),8)</f>
        <v>8</v>
      </c>
      <c r="Y374" s="10" t="s">
        <v>34</v>
      </c>
      <c r="Z374" s="10"/>
      <c r="AA374" s="10"/>
      <c r="AB374" s="10" t="s">
        <v>465</v>
      </c>
      <c r="AC374" s="10"/>
      <c r="AD374" s="10" t="str">
        <f t="shared" si="33"/>
        <v/>
      </c>
      <c r="AE374" s="10" t="e">
        <f>IF(
   OR(
     AND(#REF!&gt;0, OR(Y374="C", Y374="c"), U374&lt;0),
     AND(#REF!&gt;0, Y374="")
   ),
   "CORTE",
   ""
)</f>
        <v>#REF!</v>
      </c>
      <c r="AF374" s="10">
        <f t="shared" si="1"/>
        <v>16</v>
      </c>
      <c r="AG374" s="10">
        <f t="shared" si="2"/>
        <v>0</v>
      </c>
      <c r="AH374" s="10" t="str">
        <f t="shared" si="34"/>
        <v>W</v>
      </c>
      <c r="AI374" s="10" t="str">
        <f t="shared" si="35"/>
        <v>W-6</v>
      </c>
    </row>
    <row r="375" spans="1:35" ht="15.75" customHeight="1" x14ac:dyDescent="0.35">
      <c r="A375" s="13">
        <v>374</v>
      </c>
      <c r="B375" s="14" t="s">
        <v>466</v>
      </c>
      <c r="C375" s="14" t="s">
        <v>458</v>
      </c>
      <c r="D375" s="13">
        <v>7</v>
      </c>
      <c r="E375" s="15"/>
      <c r="F375" s="15"/>
      <c r="G375" s="15"/>
      <c r="H375" s="16">
        <v>1</v>
      </c>
      <c r="I375" s="16">
        <v>351</v>
      </c>
      <c r="J375" s="16">
        <v>354</v>
      </c>
      <c r="K375" s="16">
        <v>3</v>
      </c>
      <c r="L375" s="16">
        <v>5</v>
      </c>
      <c r="M375" s="16"/>
      <c r="N375" s="16">
        <v>0</v>
      </c>
      <c r="O375" s="16"/>
      <c r="P375" s="16">
        <v>3</v>
      </c>
      <c r="Q375" s="16"/>
      <c r="R375" s="18"/>
      <c r="S375" s="15"/>
      <c r="T375" s="20"/>
      <c r="U375" s="17"/>
      <c r="V375" s="17">
        <f t="shared" si="37"/>
        <v>8</v>
      </c>
      <c r="W375" s="15">
        <f ca="1">IFERROR(__xludf.DUMMYFUNCTION("IFERROR(
  SUM(
    FILTER(
      Reporte!$E:$E, 
      REGEXMATCH(Reporte!$A:$A, ""(?i)(TE PAGÓ|PAGASTE)""), 
      Reporte!$H:$H &amp; """" = AH375 &amp; """"
    )
  ), 
  0
)"),8)</f>
        <v>8</v>
      </c>
      <c r="X375" s="15">
        <f ca="1">IFERROR(__xludf.DUMMYFUNCTION("IFERROR(
  SUM(
    FILTER(
      Efectivo!$C:$C, 
      Efectivo!$D:$D &amp; """" = AH375 &amp; """"
    )
  ), 
  0
)"),0)</f>
        <v>0</v>
      </c>
      <c r="Y375" s="15" t="s">
        <v>34</v>
      </c>
      <c r="Z375" s="15"/>
      <c r="AA375" s="15" t="s">
        <v>35</v>
      </c>
      <c r="AB375" s="15"/>
      <c r="AC375" s="15"/>
      <c r="AD375" s="15" t="str">
        <f t="shared" si="33"/>
        <v/>
      </c>
      <c r="AE375" s="15" t="e">
        <f>IF(
   OR(
     AND(#REF!&gt;0, OR(Y375="C", Y375="c"), U375&lt;0),
     AND(#REF!&gt;0, Y375="")
   ),
   "CORTE",
   ""
)</f>
        <v>#REF!</v>
      </c>
      <c r="AF375" s="15">
        <f t="shared" si="1"/>
        <v>0</v>
      </c>
      <c r="AG375" s="15">
        <f t="shared" si="2"/>
        <v>8</v>
      </c>
      <c r="AH375" s="15" t="str">
        <f t="shared" si="34"/>
        <v>W</v>
      </c>
      <c r="AI375" s="15" t="str">
        <f t="shared" si="35"/>
        <v>W-7</v>
      </c>
    </row>
    <row r="376" spans="1:35" ht="15.75" customHeight="1" x14ac:dyDescent="0.35">
      <c r="A376" s="8">
        <v>375</v>
      </c>
      <c r="B376" s="9" t="s">
        <v>467</v>
      </c>
      <c r="C376" s="9" t="s">
        <v>458</v>
      </c>
      <c r="D376" s="8">
        <v>9</v>
      </c>
      <c r="E376" s="10"/>
      <c r="F376" s="10"/>
      <c r="G376" s="10"/>
      <c r="H376" s="11">
        <v>1</v>
      </c>
      <c r="I376" s="11">
        <v>0</v>
      </c>
      <c r="J376" s="11">
        <v>0</v>
      </c>
      <c r="K376" s="11">
        <v>5</v>
      </c>
      <c r="L376" s="11">
        <v>5</v>
      </c>
      <c r="M376" s="11"/>
      <c r="N376" s="11">
        <v>0</v>
      </c>
      <c r="O376" s="11"/>
      <c r="P376" s="11">
        <v>3</v>
      </c>
      <c r="Q376" s="11"/>
      <c r="R376" s="19"/>
      <c r="S376" s="10"/>
      <c r="T376" s="21"/>
      <c r="U376" s="12"/>
      <c r="V376" s="12">
        <f t="shared" si="37"/>
        <v>8</v>
      </c>
      <c r="W376" s="10">
        <f ca="1">IFERROR(__xludf.DUMMYFUNCTION("IFERROR(
  SUM(
    FILTER(
      Reporte!$E:$E, 
      REGEXMATCH(Reporte!$A:$A, ""(?i)(TE PAGÓ|PAGASTE)""), 
      Reporte!$H:$H &amp; """" = AH376 &amp; """"
    )
  ), 
  0
)"),8)</f>
        <v>8</v>
      </c>
      <c r="X376" s="10">
        <f ca="1">IFERROR(__xludf.DUMMYFUNCTION("IFERROR(
  SUM(
    FILTER(
      Efectivo!$C:$C, 
      Efectivo!$D:$D &amp; """" = AH376 &amp; """"
    )
  ), 
  0
)"),0)</f>
        <v>0</v>
      </c>
      <c r="Y376" s="10" t="s">
        <v>34</v>
      </c>
      <c r="Z376" s="10"/>
      <c r="AA376" s="10" t="s">
        <v>35</v>
      </c>
      <c r="AB376" s="10"/>
      <c r="AC376" s="10"/>
      <c r="AD376" s="10" t="str">
        <f t="shared" si="33"/>
        <v/>
      </c>
      <c r="AE376" s="10" t="e">
        <f>IF(
   OR(
     AND(#REF!&gt;0, OR(Y376="C", Y376="c"), U376&lt;0),
     AND(#REF!&gt;0, Y376="")
   ),
   "CORTE",
   ""
)</f>
        <v>#REF!</v>
      </c>
      <c r="AF376" s="10">
        <f t="shared" si="1"/>
        <v>0</v>
      </c>
      <c r="AG376" s="10">
        <f t="shared" si="2"/>
        <v>8</v>
      </c>
      <c r="AH376" s="10" t="str">
        <f t="shared" si="34"/>
        <v>W</v>
      </c>
      <c r="AI376" s="10" t="str">
        <f t="shared" si="35"/>
        <v>W-9</v>
      </c>
    </row>
    <row r="377" spans="1:35" ht="15.75" customHeight="1" x14ac:dyDescent="0.35">
      <c r="A377" s="13">
        <v>376</v>
      </c>
      <c r="B377" s="14" t="s">
        <v>468</v>
      </c>
      <c r="C377" s="14" t="s">
        <v>458</v>
      </c>
      <c r="D377" s="13">
        <v>13</v>
      </c>
      <c r="E377" s="15"/>
      <c r="F377" s="15"/>
      <c r="G377" s="15"/>
      <c r="H377" s="16">
        <v>1</v>
      </c>
      <c r="I377" s="16">
        <v>656</v>
      </c>
      <c r="J377" s="16">
        <v>663</v>
      </c>
      <c r="K377" s="16">
        <v>7</v>
      </c>
      <c r="L377" s="16">
        <v>7</v>
      </c>
      <c r="M377" s="16"/>
      <c r="N377" s="16">
        <v>0</v>
      </c>
      <c r="O377" s="16"/>
      <c r="P377" s="16">
        <v>3</v>
      </c>
      <c r="Q377" s="16"/>
      <c r="R377" s="18"/>
      <c r="S377" s="15"/>
      <c r="T377" s="20"/>
      <c r="U377" s="17"/>
      <c r="V377" s="17">
        <f t="shared" si="37"/>
        <v>10</v>
      </c>
      <c r="W377" s="15">
        <f ca="1">IFERROR(__xludf.DUMMYFUNCTION("IFERROR(
  SUM(
    FILTER(
      Reporte!$E:$E, 
      REGEXMATCH(Reporte!$A:$A, ""(?i)(TE PAGÓ|PAGASTE)""), 
      Reporte!$H:$H &amp; """" = AH377 &amp; """"
    )
  ), 
  0
)"),10)</f>
        <v>10</v>
      </c>
      <c r="X377" s="15">
        <f ca="1">IFERROR(__xludf.DUMMYFUNCTION("IFERROR(
  SUM(
    FILTER(
      Efectivo!$C:$C, 
      Efectivo!$D:$D &amp; """" = AH377 &amp; """"
    )
  ), 
  0
)"),0)</f>
        <v>0</v>
      </c>
      <c r="Y377" s="20" t="s">
        <v>73</v>
      </c>
      <c r="Z377" s="15"/>
      <c r="AA377" s="15" t="s">
        <v>35</v>
      </c>
      <c r="AB377" s="15"/>
      <c r="AC377" s="15"/>
      <c r="AD377" s="15" t="str">
        <f t="shared" si="33"/>
        <v/>
      </c>
      <c r="AE377" s="15" t="e">
        <f>IF(
   OR(
     AND(#REF!&gt;0, OR(Y377="C", Y377="c"), U377&lt;0),
     AND(#REF!&gt;0, Y377="")
   ),
   "CORTE",
   ""
)</f>
        <v>#REF!</v>
      </c>
      <c r="AF377" s="15">
        <f t="shared" si="1"/>
        <v>0</v>
      </c>
      <c r="AG377" s="15">
        <f t="shared" si="2"/>
        <v>10</v>
      </c>
      <c r="AH377" s="15" t="str">
        <f t="shared" si="34"/>
        <v>W</v>
      </c>
      <c r="AI377" s="15" t="str">
        <f t="shared" si="35"/>
        <v>W-13</v>
      </c>
    </row>
    <row r="378" spans="1:35" ht="15.75" customHeight="1" x14ac:dyDescent="0.35">
      <c r="A378" s="8">
        <v>377</v>
      </c>
      <c r="B378" s="9" t="s">
        <v>469</v>
      </c>
      <c r="C378" s="9" t="s">
        <v>458</v>
      </c>
      <c r="D378" s="8">
        <v>14</v>
      </c>
      <c r="E378" s="10"/>
      <c r="F378" s="10"/>
      <c r="G378" s="10"/>
      <c r="H378" s="11">
        <v>1</v>
      </c>
      <c r="I378" s="11">
        <v>33</v>
      </c>
      <c r="J378" s="11">
        <v>39</v>
      </c>
      <c r="K378" s="11">
        <v>6</v>
      </c>
      <c r="L378" s="11">
        <v>6</v>
      </c>
      <c r="M378" s="11"/>
      <c r="N378" s="11">
        <v>0</v>
      </c>
      <c r="O378" s="11"/>
      <c r="P378" s="11">
        <v>3</v>
      </c>
      <c r="Q378" s="11"/>
      <c r="R378" s="19"/>
      <c r="S378" s="10"/>
      <c r="T378" s="21"/>
      <c r="U378" s="12"/>
      <c r="V378" s="12">
        <f t="shared" si="37"/>
        <v>9</v>
      </c>
      <c r="W378" s="10">
        <f ca="1">IFERROR(__xludf.DUMMYFUNCTION("IFERROR(
  SUM(
    FILTER(
      Reporte!$E:$E, 
      REGEXMATCH(Reporte!$A:$A, ""(?i)(TE PAGÓ|PAGASTE)""), 
      Reporte!$H:$H &amp; """" = AH378 &amp; """"
    )
  ), 
  0
)"),0)</f>
        <v>0</v>
      </c>
      <c r="X378" s="10">
        <f ca="1">IFERROR(__xludf.DUMMYFUNCTION("IFERROR(
  SUM(
    FILTER(
      Efectivo!$C:$C, 
      Efectivo!$D:$D &amp; """" = AH378 &amp; """"
    )
  ), 
  0
)"),9)</f>
        <v>9</v>
      </c>
      <c r="Y378" s="10" t="s">
        <v>34</v>
      </c>
      <c r="Z378" s="10"/>
      <c r="AA378" s="10"/>
      <c r="AB378" s="10"/>
      <c r="AC378" s="10"/>
      <c r="AD378" s="10" t="str">
        <f t="shared" si="33"/>
        <v/>
      </c>
      <c r="AE378" s="10" t="e">
        <f>IF(
   OR(
     AND(#REF!&gt;0, OR(Y378="C", Y378="c"), U378&lt;0),
     AND(#REF!&gt;0, Y378="")
   ),
   "CORTE",
   ""
)</f>
        <v>#REF!</v>
      </c>
      <c r="AF378" s="10">
        <f t="shared" si="1"/>
        <v>9</v>
      </c>
      <c r="AG378" s="10">
        <f t="shared" si="2"/>
        <v>0</v>
      </c>
      <c r="AH378" s="10" t="str">
        <f t="shared" si="34"/>
        <v>W</v>
      </c>
      <c r="AI378" s="10" t="str">
        <f t="shared" si="35"/>
        <v>W-14</v>
      </c>
    </row>
    <row r="379" spans="1:35" ht="15.75" customHeight="1" x14ac:dyDescent="0.35">
      <c r="A379" s="13">
        <v>378</v>
      </c>
      <c r="B379" s="14" t="s">
        <v>470</v>
      </c>
      <c r="C379" s="14" t="s">
        <v>458</v>
      </c>
      <c r="D379" s="13">
        <v>16</v>
      </c>
      <c r="E379" s="15"/>
      <c r="F379" s="15"/>
      <c r="G379" s="15"/>
      <c r="H379" s="16">
        <v>1</v>
      </c>
      <c r="I379" s="16">
        <v>3628</v>
      </c>
      <c r="J379" s="16">
        <v>3651</v>
      </c>
      <c r="K379" s="16">
        <v>23</v>
      </c>
      <c r="L379" s="16">
        <v>23</v>
      </c>
      <c r="M379" s="16">
        <v>16</v>
      </c>
      <c r="N379" s="16">
        <v>0</v>
      </c>
      <c r="O379" s="16"/>
      <c r="P379" s="16">
        <v>3</v>
      </c>
      <c r="Q379" s="16"/>
      <c r="R379" s="18"/>
      <c r="S379" s="15"/>
      <c r="T379" s="20"/>
      <c r="U379" s="17"/>
      <c r="V379" s="17">
        <f t="shared" si="37"/>
        <v>42</v>
      </c>
      <c r="W379" s="15">
        <f ca="1">IFERROR(__xludf.DUMMYFUNCTION("IFERROR(
  SUM(
    FILTER(
      Reporte!$E:$E, 
      REGEXMATCH(Reporte!$A:$A, ""(?i)(TE PAGÓ|PAGASTE)""), 
      Reporte!$H:$H &amp; """" = AH379 &amp; """"
    )
  ), 
  0
)"),42)</f>
        <v>42</v>
      </c>
      <c r="X379" s="15">
        <f ca="1">IFERROR(__xludf.DUMMYFUNCTION("IFERROR(
  SUM(
    FILTER(
      Efectivo!$C:$C, 
      Efectivo!$D:$D &amp; """" = AH379 &amp; """"
    )
  ), 
  0
)"),0)</f>
        <v>0</v>
      </c>
      <c r="Y379" s="15" t="s">
        <v>34</v>
      </c>
      <c r="Z379" s="15"/>
      <c r="AA379" s="15" t="s">
        <v>35</v>
      </c>
      <c r="AB379" s="15"/>
      <c r="AC379" s="15"/>
      <c r="AD379" s="15" t="str">
        <f t="shared" si="33"/>
        <v/>
      </c>
      <c r="AE379" s="15" t="e">
        <f>IF(
   OR(
     AND(#REF!&gt;0, OR(Y379="C", Y379="c"), U379&lt;0),
     AND(#REF!&gt;0, Y379="")
   ),
   "CORTE",
   ""
)</f>
        <v>#REF!</v>
      </c>
      <c r="AF379" s="15">
        <f t="shared" si="1"/>
        <v>0</v>
      </c>
      <c r="AG379" s="15">
        <f t="shared" si="2"/>
        <v>42</v>
      </c>
      <c r="AH379" s="15" t="str">
        <f t="shared" si="34"/>
        <v>W</v>
      </c>
      <c r="AI379" s="15" t="str">
        <f t="shared" si="35"/>
        <v>W-16</v>
      </c>
    </row>
    <row r="380" spans="1:35" ht="15.75" customHeight="1" x14ac:dyDescent="0.35">
      <c r="A380" s="8">
        <v>379</v>
      </c>
      <c r="B380" s="9" t="s">
        <v>471</v>
      </c>
      <c r="C380" s="9" t="s">
        <v>458</v>
      </c>
      <c r="D380" s="8">
        <v>17</v>
      </c>
      <c r="E380" s="10"/>
      <c r="F380" s="10"/>
      <c r="G380" s="10"/>
      <c r="H380" s="11">
        <v>1</v>
      </c>
      <c r="I380" s="11">
        <v>2247</v>
      </c>
      <c r="J380" s="11">
        <v>2258</v>
      </c>
      <c r="K380" s="11">
        <v>11</v>
      </c>
      <c r="L380" s="11">
        <v>11</v>
      </c>
      <c r="M380" s="11"/>
      <c r="N380" s="11"/>
      <c r="O380" s="11"/>
      <c r="P380" s="11">
        <v>3</v>
      </c>
      <c r="Q380" s="11"/>
      <c r="R380" s="19"/>
      <c r="S380" s="10"/>
      <c r="T380" s="21"/>
      <c r="U380" s="12"/>
      <c r="V380" s="12">
        <f t="shared" si="37"/>
        <v>14</v>
      </c>
      <c r="W380" s="10">
        <f ca="1">IFERROR(__xludf.DUMMYFUNCTION("IFERROR(
  SUM(
    FILTER(
      Reporte!$E:$E, 
      REGEXMATCH(Reporte!$A:$A, ""(?i)(TE PAGÓ|PAGASTE)""), 
      Reporte!$H:$H &amp; """" = AH380 &amp; """"
    )
  ), 
  0
)"),0)</f>
        <v>0</v>
      </c>
      <c r="X380" s="10">
        <f ca="1">IFERROR(__xludf.DUMMYFUNCTION("IFERROR(
  SUM(
    FILTER(
      Efectivo!$C:$C, 
      Efectivo!$D:$D &amp; """" = AH380 &amp; """"
    )
  ), 
  0
)"),0)</f>
        <v>0</v>
      </c>
      <c r="Y380" s="10"/>
      <c r="Z380" s="10"/>
      <c r="AA380" s="10"/>
      <c r="AB380" s="10"/>
      <c r="AC380" s="10"/>
      <c r="AD380" s="10" t="str">
        <f t="shared" si="33"/>
        <v/>
      </c>
      <c r="AE380" s="10" t="e">
        <f>IF(
   OR(
     AND(#REF!&gt;0, OR(Y380="C", Y380="c"), U380&lt;0),
     AND(#REF!&gt;0, Y380="")
   ),
   "CORTE",
   ""
)</f>
        <v>#REF!</v>
      </c>
      <c r="AF380" s="10">
        <f t="shared" si="1"/>
        <v>0</v>
      </c>
      <c r="AG380" s="10">
        <f t="shared" si="2"/>
        <v>0</v>
      </c>
      <c r="AH380" s="10" t="str">
        <f t="shared" si="34"/>
        <v>W</v>
      </c>
      <c r="AI380" s="10" t="str">
        <f t="shared" si="35"/>
        <v>W-17</v>
      </c>
    </row>
    <row r="381" spans="1:35" ht="15.75" customHeight="1" x14ac:dyDescent="0.35">
      <c r="A381" s="13">
        <v>380</v>
      </c>
      <c r="B381" s="14" t="s">
        <v>472</v>
      </c>
      <c r="C381" s="14" t="s">
        <v>458</v>
      </c>
      <c r="D381" s="13">
        <v>19</v>
      </c>
      <c r="E381" s="15"/>
      <c r="F381" s="15"/>
      <c r="G381" s="15"/>
      <c r="H381" s="16">
        <v>1</v>
      </c>
      <c r="I381" s="16">
        <v>2283</v>
      </c>
      <c r="J381" s="16">
        <v>2295</v>
      </c>
      <c r="K381" s="16">
        <v>12</v>
      </c>
      <c r="L381" s="16">
        <v>12</v>
      </c>
      <c r="M381" s="16">
        <v>17</v>
      </c>
      <c r="N381" s="16">
        <v>0</v>
      </c>
      <c r="O381" s="16"/>
      <c r="P381" s="16">
        <v>3</v>
      </c>
      <c r="Q381" s="16"/>
      <c r="R381" s="18"/>
      <c r="S381" s="15"/>
      <c r="T381" s="20"/>
      <c r="U381" s="17"/>
      <c r="V381" s="17">
        <f t="shared" si="37"/>
        <v>32</v>
      </c>
      <c r="W381" s="15">
        <f ca="1">IFERROR(__xludf.DUMMYFUNCTION("IFERROR(
  SUM(
    FILTER(
      Reporte!$E:$E, 
      REGEXMATCH(Reporte!$A:$A, ""(?i)(TE PAGÓ|PAGASTE)""), 
      Reporte!$H:$H &amp; """" = AH381 &amp; """"
    )
  ), 
  0
)"),0)</f>
        <v>0</v>
      </c>
      <c r="X381" s="15">
        <f ca="1">IFERROR(__xludf.DUMMYFUNCTION("IFERROR(
  SUM(
    FILTER(
      Efectivo!$C:$C, 
      Efectivo!$D:$D &amp; """" = AH381 &amp; """"
    )
  ), 
  0
)"),32)</f>
        <v>32</v>
      </c>
      <c r="Y381" s="15" t="s">
        <v>34</v>
      </c>
      <c r="Z381" s="15"/>
      <c r="AA381" s="15"/>
      <c r="AB381" s="15"/>
      <c r="AC381" s="15"/>
      <c r="AD381" s="15" t="str">
        <f t="shared" si="33"/>
        <v/>
      </c>
      <c r="AE381" s="15" t="e">
        <f>IF(
   OR(
     AND(#REF!&gt;0, OR(Y381="C", Y381="c"), U381&lt;0),
     AND(#REF!&gt;0, Y381="")
   ),
   "CORTE",
   ""
)</f>
        <v>#REF!</v>
      </c>
      <c r="AF381" s="15">
        <f t="shared" si="1"/>
        <v>32</v>
      </c>
      <c r="AG381" s="15">
        <f t="shared" si="2"/>
        <v>0</v>
      </c>
      <c r="AH381" s="15" t="str">
        <f t="shared" si="34"/>
        <v>W</v>
      </c>
      <c r="AI381" s="15" t="str">
        <f t="shared" si="35"/>
        <v>W-19</v>
      </c>
    </row>
    <row r="382" spans="1:35" ht="15.75" customHeight="1" x14ac:dyDescent="0.35">
      <c r="A382" s="8">
        <v>381</v>
      </c>
      <c r="B382" s="9" t="s">
        <v>473</v>
      </c>
      <c r="C382" s="9" t="s">
        <v>458</v>
      </c>
      <c r="D382" s="8">
        <v>20</v>
      </c>
      <c r="E382" s="10"/>
      <c r="F382" s="10"/>
      <c r="G382" s="10"/>
      <c r="H382" s="11">
        <v>1</v>
      </c>
      <c r="I382" s="11">
        <v>1139</v>
      </c>
      <c r="J382" s="11">
        <v>1155</v>
      </c>
      <c r="K382" s="11">
        <v>16</v>
      </c>
      <c r="L382" s="11">
        <v>16</v>
      </c>
      <c r="M382" s="11"/>
      <c r="N382" s="11">
        <v>0</v>
      </c>
      <c r="O382" s="11"/>
      <c r="P382" s="11">
        <v>3</v>
      </c>
      <c r="Q382" s="11"/>
      <c r="R382" s="19"/>
      <c r="S382" s="10"/>
      <c r="T382" s="21"/>
      <c r="U382" s="12"/>
      <c r="V382" s="12">
        <f t="shared" si="37"/>
        <v>19</v>
      </c>
      <c r="W382" s="10">
        <f ca="1">IFERROR(__xludf.DUMMYFUNCTION("IFERROR(
  SUM(
    FILTER(
      Reporte!$E:$E, 
      REGEXMATCH(Reporte!$A:$A, ""(?i)(TE PAGÓ|PAGASTE)""), 
      Reporte!$H:$H &amp; """" = AH382 &amp; """"
    )
  ), 
  0
)"),0)</f>
        <v>0</v>
      </c>
      <c r="X382" s="10">
        <f ca="1">IFERROR(__xludf.DUMMYFUNCTION("IFERROR(
  SUM(
    FILTER(
      Efectivo!$C:$C, 
      Efectivo!$D:$D &amp; """" = AH382 &amp; """"
    )
  ), 
  0
)"),0)</f>
        <v>0</v>
      </c>
      <c r="Y382" s="10"/>
      <c r="Z382" s="10"/>
      <c r="AA382" s="10"/>
      <c r="AB382" s="10"/>
      <c r="AC382" s="10"/>
      <c r="AD382" s="10" t="str">
        <f t="shared" si="33"/>
        <v/>
      </c>
      <c r="AE382" s="10" t="e">
        <f>IF(
   OR(
     AND(#REF!&gt;0, OR(Y382="C", Y382="c"), U382&lt;0),
     AND(#REF!&gt;0, Y382="")
   ),
   "CORTE",
   ""
)</f>
        <v>#REF!</v>
      </c>
      <c r="AF382" s="10">
        <f t="shared" si="1"/>
        <v>0</v>
      </c>
      <c r="AG382" s="10">
        <f t="shared" si="2"/>
        <v>0</v>
      </c>
      <c r="AH382" s="10" t="str">
        <f t="shared" si="34"/>
        <v>W</v>
      </c>
      <c r="AI382" s="10" t="str">
        <f t="shared" si="35"/>
        <v>W-20</v>
      </c>
    </row>
    <row r="383" spans="1:35" ht="15.75" customHeight="1" x14ac:dyDescent="0.35">
      <c r="A383" s="13">
        <v>382</v>
      </c>
      <c r="B383" s="14" t="s">
        <v>474</v>
      </c>
      <c r="C383" s="14" t="s">
        <v>475</v>
      </c>
      <c r="D383" s="13">
        <v>1</v>
      </c>
      <c r="E383" s="15"/>
      <c r="F383" s="15"/>
      <c r="G383" s="15"/>
      <c r="H383" s="16">
        <v>1</v>
      </c>
      <c r="I383" s="16">
        <v>212</v>
      </c>
      <c r="J383" s="16">
        <v>221</v>
      </c>
      <c r="K383" s="16">
        <v>9</v>
      </c>
      <c r="L383" s="16">
        <v>9</v>
      </c>
      <c r="M383" s="16"/>
      <c r="N383" s="16">
        <v>0</v>
      </c>
      <c r="O383" s="16"/>
      <c r="P383" s="16">
        <v>3</v>
      </c>
      <c r="Q383" s="16"/>
      <c r="R383" s="18"/>
      <c r="S383" s="15"/>
      <c r="T383" s="20"/>
      <c r="U383" s="17"/>
      <c r="V383" s="17">
        <f t="shared" si="37"/>
        <v>12</v>
      </c>
      <c r="W383" s="15">
        <f ca="1">IFERROR(__xludf.DUMMYFUNCTION("IFERROR(
  SUM(
    FILTER(
      Reporte!$E:$E, 
      REGEXMATCH(Reporte!$A:$A, ""(?i)(TE PAGÓ|PAGASTE)""), 
      Reporte!$H:$H &amp; """" = AH383 &amp; """"
    )
  ), 
  0
)"),12)</f>
        <v>12</v>
      </c>
      <c r="X383" s="15">
        <f ca="1">IFERROR(__xludf.DUMMYFUNCTION("IFERROR(
  SUM(
    FILTER(
      Efectivo!$C:$C, 
      Efectivo!$D:$D &amp; """" = AH383 &amp; """"
    )
  ), 
  0
)"),0)</f>
        <v>0</v>
      </c>
      <c r="Y383" s="15" t="s">
        <v>34</v>
      </c>
      <c r="Z383" s="15"/>
      <c r="AA383" s="15" t="s">
        <v>35</v>
      </c>
      <c r="AB383" s="15"/>
      <c r="AC383" s="15"/>
      <c r="AD383" s="15" t="str">
        <f t="shared" si="33"/>
        <v/>
      </c>
      <c r="AE383" s="15" t="e">
        <f>IF(
   OR(
     AND(#REF!&gt;0, OR(Y383="C", Y383="c"), U383&lt;0),
     AND(#REF!&gt;0, Y383="")
   ),
   "CORTE",
   ""
)</f>
        <v>#REF!</v>
      </c>
      <c r="AF383" s="15">
        <f t="shared" si="1"/>
        <v>0</v>
      </c>
      <c r="AG383" s="15">
        <f t="shared" si="2"/>
        <v>12</v>
      </c>
      <c r="AH383" s="15" t="str">
        <f t="shared" si="34"/>
        <v>X</v>
      </c>
      <c r="AI383" s="15" t="str">
        <f t="shared" si="35"/>
        <v>X-1</v>
      </c>
    </row>
    <row r="384" spans="1:35" ht="15.75" customHeight="1" x14ac:dyDescent="0.35">
      <c r="A384" s="8">
        <v>383</v>
      </c>
      <c r="B384" s="9" t="s">
        <v>476</v>
      </c>
      <c r="C384" s="9" t="s">
        <v>475</v>
      </c>
      <c r="D384" s="8">
        <v>2</v>
      </c>
      <c r="E384" s="10"/>
      <c r="F384" s="10"/>
      <c r="G384" s="10"/>
      <c r="H384" s="11">
        <v>1</v>
      </c>
      <c r="I384" s="11">
        <v>1681</v>
      </c>
      <c r="J384" s="11">
        <v>1697</v>
      </c>
      <c r="K384" s="11">
        <v>16</v>
      </c>
      <c r="L384" s="11">
        <v>16</v>
      </c>
      <c r="M384" s="11">
        <v>25</v>
      </c>
      <c r="N384" s="11">
        <v>0</v>
      </c>
      <c r="O384" s="11"/>
      <c r="P384" s="11">
        <v>3</v>
      </c>
      <c r="Q384" s="11"/>
      <c r="R384" s="19"/>
      <c r="S384" s="10"/>
      <c r="T384" s="21"/>
      <c r="U384" s="12"/>
      <c r="V384" s="12">
        <f t="shared" si="37"/>
        <v>44</v>
      </c>
      <c r="W384" s="10">
        <f ca="1">IFERROR(__xludf.DUMMYFUNCTION("IFERROR(
  SUM(
    FILTER(
      Reporte!$E:$E, 
      REGEXMATCH(Reporte!$A:$A, ""(?i)(TE PAGÓ|PAGASTE)""), 
      Reporte!$H:$H &amp; """" = AH384 &amp; """"
    )
  ), 
  0
)"),44)</f>
        <v>44</v>
      </c>
      <c r="X384" s="10">
        <f ca="1">IFERROR(__xludf.DUMMYFUNCTION("IFERROR(
  SUM(
    FILTER(
      Efectivo!$C:$C, 
      Efectivo!$D:$D &amp; """" = AH384 &amp; """"
    )
  ), 
  0
)"),0)</f>
        <v>0</v>
      </c>
      <c r="Y384" s="10" t="s">
        <v>34</v>
      </c>
      <c r="Z384" s="10"/>
      <c r="AA384" s="10" t="s">
        <v>35</v>
      </c>
      <c r="AB384" s="10"/>
      <c r="AC384" s="10"/>
      <c r="AD384" s="10" t="str">
        <f t="shared" si="33"/>
        <v/>
      </c>
      <c r="AE384" s="10" t="e">
        <f>IF(
   OR(
     AND(#REF!&gt;0, OR(Y384="C", Y384="c"), U384&lt;0),
     AND(#REF!&gt;0, Y384="")
   ),
   "CORTE",
   ""
)</f>
        <v>#REF!</v>
      </c>
      <c r="AF384" s="10">
        <f t="shared" si="1"/>
        <v>0</v>
      </c>
      <c r="AG384" s="10">
        <f t="shared" si="2"/>
        <v>44</v>
      </c>
      <c r="AH384" s="10" t="str">
        <f t="shared" si="34"/>
        <v>X</v>
      </c>
      <c r="AI384" s="10" t="str">
        <f t="shared" si="35"/>
        <v>X-2</v>
      </c>
    </row>
    <row r="385" spans="1:35" ht="15.75" customHeight="1" x14ac:dyDescent="0.35">
      <c r="A385" s="13">
        <v>384</v>
      </c>
      <c r="B385" s="14" t="s">
        <v>477</v>
      </c>
      <c r="C385" s="14" t="s">
        <v>475</v>
      </c>
      <c r="D385" s="13">
        <v>3</v>
      </c>
      <c r="E385" s="15"/>
      <c r="F385" s="15"/>
      <c r="G385" s="15"/>
      <c r="H385" s="16">
        <v>1</v>
      </c>
      <c r="I385" s="16">
        <v>725</v>
      </c>
      <c r="J385" s="16">
        <v>738</v>
      </c>
      <c r="K385" s="16">
        <v>13</v>
      </c>
      <c r="L385" s="16">
        <v>13</v>
      </c>
      <c r="M385" s="16"/>
      <c r="N385" s="16">
        <v>0</v>
      </c>
      <c r="O385" s="16"/>
      <c r="P385" s="16">
        <v>3</v>
      </c>
      <c r="Q385" s="16"/>
      <c r="R385" s="18"/>
      <c r="S385" s="15"/>
      <c r="T385" s="20"/>
      <c r="U385" s="17"/>
      <c r="V385" s="17">
        <f t="shared" si="37"/>
        <v>16</v>
      </c>
      <c r="W385" s="15">
        <f ca="1">IFERROR(__xludf.DUMMYFUNCTION("IFERROR(
  SUM(
    FILTER(
      Reporte!$E:$E, 
      REGEXMATCH(Reporte!$A:$A, ""(?i)(TE PAGÓ|PAGASTE)""), 
      Reporte!$H:$H &amp; """" = AH385 &amp; """"
    )
  ), 
  0
)"),16)</f>
        <v>16</v>
      </c>
      <c r="X385" s="15">
        <f ca="1">IFERROR(__xludf.DUMMYFUNCTION("IFERROR(
  SUM(
    FILTER(
      Efectivo!$C:$C, 
      Efectivo!$D:$D &amp; """" = AH385 &amp; """"
    )
  ), 
  0
)"),0)</f>
        <v>0</v>
      </c>
      <c r="Y385" s="15" t="s">
        <v>34</v>
      </c>
      <c r="Z385" s="15"/>
      <c r="AA385" s="15" t="s">
        <v>35</v>
      </c>
      <c r="AB385" s="15"/>
      <c r="AC385" s="15"/>
      <c r="AD385" s="15" t="str">
        <f t="shared" si="33"/>
        <v/>
      </c>
      <c r="AE385" s="15" t="e">
        <f>IF(
   OR(
     AND(#REF!&gt;0, OR(Y385="C", Y385="c"), U385&lt;0),
     AND(#REF!&gt;0, Y385="")
   ),
   "CORTE",
   ""
)</f>
        <v>#REF!</v>
      </c>
      <c r="AF385" s="15">
        <f t="shared" si="1"/>
        <v>0</v>
      </c>
      <c r="AG385" s="15">
        <f t="shared" si="2"/>
        <v>16</v>
      </c>
      <c r="AH385" s="15" t="str">
        <f t="shared" si="34"/>
        <v>X</v>
      </c>
      <c r="AI385" s="15" t="str">
        <f t="shared" si="35"/>
        <v>X-3</v>
      </c>
    </row>
    <row r="386" spans="1:35" ht="15.75" customHeight="1" x14ac:dyDescent="0.35">
      <c r="A386" s="8">
        <v>385</v>
      </c>
      <c r="B386" s="9" t="s">
        <v>478</v>
      </c>
      <c r="C386" s="9" t="s">
        <v>475</v>
      </c>
      <c r="D386" s="8">
        <v>4</v>
      </c>
      <c r="E386" s="10"/>
      <c r="F386" s="10"/>
      <c r="G386" s="10"/>
      <c r="H386" s="11">
        <v>1</v>
      </c>
      <c r="I386" s="11">
        <v>3257</v>
      </c>
      <c r="J386" s="11">
        <v>3273</v>
      </c>
      <c r="K386" s="11">
        <v>16</v>
      </c>
      <c r="L386" s="11">
        <v>16</v>
      </c>
      <c r="M386" s="11">
        <v>19</v>
      </c>
      <c r="N386" s="11">
        <v>20</v>
      </c>
      <c r="O386" s="11"/>
      <c r="P386" s="11">
        <v>3</v>
      </c>
      <c r="Q386" s="11"/>
      <c r="R386" s="19"/>
      <c r="S386" s="10"/>
      <c r="T386" s="21"/>
      <c r="U386" s="12"/>
      <c r="V386" s="12">
        <f t="shared" si="37"/>
        <v>58</v>
      </c>
      <c r="W386" s="10">
        <f ca="1">IFERROR(__xludf.DUMMYFUNCTION("IFERROR(
  SUM(
    FILTER(
      Reporte!$E:$E, 
      REGEXMATCH(Reporte!$A:$A, ""(?i)(TE PAGÓ|PAGASTE)""), 
      Reporte!$H:$H &amp; """" = AH386 &amp; """"
    )
  ), 
  0
)"),58)</f>
        <v>58</v>
      </c>
      <c r="X386" s="10">
        <f ca="1">IFERROR(__xludf.DUMMYFUNCTION("IFERROR(
  SUM(
    FILTER(
      Efectivo!$C:$C, 
      Efectivo!$D:$D &amp; """" = AH386 &amp; """"
    )
  ), 
  0
)"),0)</f>
        <v>0</v>
      </c>
      <c r="Y386" s="10" t="s">
        <v>34</v>
      </c>
      <c r="Z386" s="10"/>
      <c r="AA386" s="10" t="s">
        <v>35</v>
      </c>
      <c r="AB386" s="10"/>
      <c r="AC386" s="10"/>
      <c r="AD386" s="10" t="str">
        <f t="shared" ref="AD386:AD449" si="38">IF(AND(L386&gt;0, M386&gt;=8, NOT(OR(Y386="C", Y386="c"))), "CORTE", "")</f>
        <v/>
      </c>
      <c r="AE386" s="10" t="e">
        <f>IF(
   OR(
     AND(#REF!&gt;0, OR(Y386="C", Y386="c"), U386&lt;0),
     AND(#REF!&gt;0, Y386="")
   ),
   "CORTE",
   ""
)</f>
        <v>#REF!</v>
      </c>
      <c r="AF386" s="10">
        <f t="shared" si="1"/>
        <v>0</v>
      </c>
      <c r="AG386" s="10">
        <f t="shared" si="2"/>
        <v>58</v>
      </c>
      <c r="AH386" s="10" t="str">
        <f t="shared" ref="AH386:AH449" si="39">TRIM(UPPER(C386))</f>
        <v>X</v>
      </c>
      <c r="AI386" s="10" t="str">
        <f t="shared" ref="AI386:AI449" si="40">TRIM(UPPER(C386)) &amp; "-" &amp; TRIM(UPPER(D386))</f>
        <v>X-4</v>
      </c>
    </row>
    <row r="387" spans="1:35" ht="15.75" customHeight="1" x14ac:dyDescent="0.35">
      <c r="A387" s="13">
        <v>386</v>
      </c>
      <c r="B387" s="14" t="s">
        <v>479</v>
      </c>
      <c r="C387" s="14" t="s">
        <v>475</v>
      </c>
      <c r="D387" s="13">
        <v>6</v>
      </c>
      <c r="E387" s="15"/>
      <c r="F387" s="15"/>
      <c r="G387" s="15"/>
      <c r="H387" s="16">
        <v>1</v>
      </c>
      <c r="I387" s="16">
        <v>2520</v>
      </c>
      <c r="J387" s="16">
        <v>2536</v>
      </c>
      <c r="K387" s="16">
        <v>16</v>
      </c>
      <c r="L387" s="16">
        <v>16</v>
      </c>
      <c r="M387" s="16"/>
      <c r="N387" s="16">
        <v>0</v>
      </c>
      <c r="O387" s="16"/>
      <c r="P387" s="16">
        <v>3</v>
      </c>
      <c r="Q387" s="16"/>
      <c r="R387" s="18"/>
      <c r="S387" s="15"/>
      <c r="T387" s="20"/>
      <c r="U387" s="17"/>
      <c r="V387" s="17">
        <f t="shared" si="37"/>
        <v>19</v>
      </c>
      <c r="W387" s="15">
        <f ca="1">IFERROR(__xludf.DUMMYFUNCTION("IFERROR(
  SUM(
    FILTER(
      Reporte!$E:$E, 
      REGEXMATCH(Reporte!$A:$A, ""(?i)(TE PAGÓ|PAGASTE)""), 
      Reporte!$H:$H &amp; """" = AH387 &amp; """"
    )
  ), 
  0
)"),19)</f>
        <v>19</v>
      </c>
      <c r="X387" s="15">
        <f ca="1">IFERROR(__xludf.DUMMYFUNCTION("IFERROR(
  SUM(
    FILTER(
      Efectivo!$C:$C, 
      Efectivo!$D:$D &amp; """" = AH387 &amp; """"
    )
  ), 
  0
)"),0)</f>
        <v>0</v>
      </c>
      <c r="Y387" s="15" t="s">
        <v>34</v>
      </c>
      <c r="Z387" s="15"/>
      <c r="AA387" s="15" t="s">
        <v>35</v>
      </c>
      <c r="AB387" s="15"/>
      <c r="AC387" s="15"/>
      <c r="AD387" s="15" t="str">
        <f t="shared" si="38"/>
        <v/>
      </c>
      <c r="AE387" s="15" t="e">
        <f>IF(
   OR(
     AND(#REF!&gt;0, OR(Y387="C", Y387="c"), U387&lt;0),
     AND(#REF!&gt;0, Y387="")
   ),
   "CORTE",
   ""
)</f>
        <v>#REF!</v>
      </c>
      <c r="AF387" s="15">
        <f t="shared" si="1"/>
        <v>0</v>
      </c>
      <c r="AG387" s="15">
        <f t="shared" si="2"/>
        <v>19</v>
      </c>
      <c r="AH387" s="15" t="str">
        <f t="shared" si="39"/>
        <v>X</v>
      </c>
      <c r="AI387" s="15" t="str">
        <f t="shared" si="40"/>
        <v>X-6</v>
      </c>
    </row>
    <row r="388" spans="1:35" ht="15.75" customHeight="1" x14ac:dyDescent="0.35">
      <c r="A388" s="8">
        <v>387</v>
      </c>
      <c r="B388" s="9" t="s">
        <v>480</v>
      </c>
      <c r="C388" s="9" t="s">
        <v>475</v>
      </c>
      <c r="D388" s="8">
        <v>9</v>
      </c>
      <c r="E388" s="10"/>
      <c r="F388" s="10"/>
      <c r="G388" s="10"/>
      <c r="H388" s="11">
        <v>1</v>
      </c>
      <c r="I388" s="11">
        <v>686</v>
      </c>
      <c r="J388" s="11">
        <v>702</v>
      </c>
      <c r="K388" s="11">
        <v>16</v>
      </c>
      <c r="L388" s="11">
        <v>16</v>
      </c>
      <c r="M388" s="11"/>
      <c r="N388" s="11">
        <v>0</v>
      </c>
      <c r="O388" s="11"/>
      <c r="P388" s="11">
        <v>3</v>
      </c>
      <c r="Q388" s="11"/>
      <c r="R388" s="19"/>
      <c r="S388" s="10"/>
      <c r="T388" s="21"/>
      <c r="U388" s="12"/>
      <c r="V388" s="12">
        <f>SUM(L388:U388)</f>
        <v>19</v>
      </c>
      <c r="W388" s="10">
        <f ca="1">IFERROR(__xludf.DUMMYFUNCTION("IFERROR(
  SUM(
    FILTER(
      Reporte!$E:$E, 
      REGEXMATCH(Reporte!$A:$A, ""(?i)(TE PAGÓ|PAGASTE)""), 
      Reporte!$H:$H &amp; """" = AH388 &amp; """"
    )
  ), 
  0
)"),19)</f>
        <v>19</v>
      </c>
      <c r="X388" s="10">
        <f ca="1">IFERROR(__xludf.DUMMYFUNCTION("IFERROR(
  SUM(
    FILTER(
      Efectivo!$C:$C, 
      Efectivo!$D:$D &amp; """" = AH388 &amp; """"
    )
  ), 
  0
)"),0)</f>
        <v>0</v>
      </c>
      <c r="Y388" s="10" t="s">
        <v>34</v>
      </c>
      <c r="Z388" s="10"/>
      <c r="AA388" s="10" t="s">
        <v>35</v>
      </c>
      <c r="AB388" s="10"/>
      <c r="AC388" s="10"/>
      <c r="AD388" s="10" t="str">
        <f t="shared" si="38"/>
        <v/>
      </c>
      <c r="AE388" s="10" t="e">
        <f>IF(
   OR(
     AND(#REF!&gt;0, OR(Y388="C", Y388="c"), U388&lt;0),
     AND(#REF!&gt;0, Y388="")
   ),
   "CORTE",
   ""
)</f>
        <v>#REF!</v>
      </c>
      <c r="AF388" s="10">
        <f t="shared" si="1"/>
        <v>0</v>
      </c>
      <c r="AG388" s="10">
        <f t="shared" si="2"/>
        <v>19</v>
      </c>
      <c r="AH388" s="10" t="str">
        <f t="shared" si="39"/>
        <v>X</v>
      </c>
      <c r="AI388" s="10" t="str">
        <f t="shared" si="40"/>
        <v>X-9</v>
      </c>
    </row>
    <row r="389" spans="1:35" ht="15.75" customHeight="1" x14ac:dyDescent="0.35">
      <c r="A389" s="13">
        <v>388</v>
      </c>
      <c r="B389" s="14" t="s">
        <v>481</v>
      </c>
      <c r="C389" s="14" t="s">
        <v>475</v>
      </c>
      <c r="D389" s="13">
        <v>10</v>
      </c>
      <c r="E389" s="15"/>
      <c r="F389" s="15"/>
      <c r="G389" s="15"/>
      <c r="H389" s="16">
        <v>1</v>
      </c>
      <c r="I389" s="16">
        <v>509</v>
      </c>
      <c r="J389" s="16">
        <v>541</v>
      </c>
      <c r="K389" s="16">
        <v>32</v>
      </c>
      <c r="L389" s="16">
        <v>32</v>
      </c>
      <c r="M389" s="16"/>
      <c r="N389" s="16">
        <v>0</v>
      </c>
      <c r="O389" s="16"/>
      <c r="P389" s="16">
        <v>3</v>
      </c>
      <c r="Q389" s="16"/>
      <c r="R389" s="18"/>
      <c r="S389" s="15"/>
      <c r="T389" s="20"/>
      <c r="U389" s="17"/>
      <c r="V389" s="17">
        <f t="shared" ref="V389:V400" si="41">SUM(L389:Q389)</f>
        <v>35</v>
      </c>
      <c r="W389" s="15">
        <f ca="1">IFERROR(__xludf.DUMMYFUNCTION("IFERROR(
  SUM(
    FILTER(
      Reporte!$E:$E, 
      REGEXMATCH(Reporte!$A:$A, ""(?i)(TE PAGÓ|PAGASTE)""), 
      Reporte!$H:$H &amp; """" = AH389 &amp; """"
    )
  ), 
  0
)"),35)</f>
        <v>35</v>
      </c>
      <c r="X389" s="15">
        <f ca="1">IFERROR(__xludf.DUMMYFUNCTION("IFERROR(
  SUM(
    FILTER(
      Efectivo!$C:$C, 
      Efectivo!$D:$D &amp; """" = AH389 &amp; """"
    )
  ), 
  0
)"),0)</f>
        <v>0</v>
      </c>
      <c r="Y389" s="15" t="s">
        <v>34</v>
      </c>
      <c r="Z389" s="15"/>
      <c r="AA389" s="15" t="s">
        <v>35</v>
      </c>
      <c r="AB389" s="15"/>
      <c r="AC389" s="15"/>
      <c r="AD389" s="15" t="str">
        <f t="shared" si="38"/>
        <v/>
      </c>
      <c r="AE389" s="15" t="e">
        <f>IF(
   OR(
     AND(#REF!&gt;0, OR(Y389="C", Y389="c"), U389&lt;0),
     AND(#REF!&gt;0, Y389="")
   ),
   "CORTE",
   ""
)</f>
        <v>#REF!</v>
      </c>
      <c r="AF389" s="15">
        <f t="shared" si="1"/>
        <v>0</v>
      </c>
      <c r="AG389" s="15">
        <f t="shared" si="2"/>
        <v>35</v>
      </c>
      <c r="AH389" s="15" t="str">
        <f t="shared" si="39"/>
        <v>X</v>
      </c>
      <c r="AI389" s="15" t="str">
        <f t="shared" si="40"/>
        <v>X-10</v>
      </c>
    </row>
    <row r="390" spans="1:35" ht="15.75" customHeight="1" x14ac:dyDescent="0.35">
      <c r="A390" s="8">
        <v>389</v>
      </c>
      <c r="B390" s="9" t="s">
        <v>482</v>
      </c>
      <c r="C390" s="9" t="s">
        <v>475</v>
      </c>
      <c r="D390" s="8">
        <v>11</v>
      </c>
      <c r="E390" s="10"/>
      <c r="F390" s="10"/>
      <c r="G390" s="10"/>
      <c r="H390" s="11">
        <v>1</v>
      </c>
      <c r="I390" s="11">
        <v>95</v>
      </c>
      <c r="J390" s="11">
        <v>101</v>
      </c>
      <c r="K390" s="11">
        <v>5</v>
      </c>
      <c r="L390" s="11">
        <v>5</v>
      </c>
      <c r="M390" s="11">
        <v>0</v>
      </c>
      <c r="N390" s="11">
        <v>0</v>
      </c>
      <c r="O390" s="11"/>
      <c r="P390" s="11">
        <v>3</v>
      </c>
      <c r="Q390" s="11"/>
      <c r="R390" s="19"/>
      <c r="S390" s="10"/>
      <c r="T390" s="21"/>
      <c r="U390" s="12"/>
      <c r="V390" s="12">
        <f t="shared" si="41"/>
        <v>8</v>
      </c>
      <c r="W390" s="10">
        <f ca="1">IFERROR(__xludf.DUMMYFUNCTION("IFERROR(
  SUM(
    FILTER(
      Reporte!$E:$E, 
      REGEXMATCH(Reporte!$A:$A, ""(?i)(TE PAGÓ|PAGASTE)""), 
      Reporte!$H:$H &amp; """" = AH390 &amp; """"
    )
  ), 
  0
)"),8)</f>
        <v>8</v>
      </c>
      <c r="X390" s="10">
        <f ca="1">IFERROR(__xludf.DUMMYFUNCTION("IFERROR(
  SUM(
    FILTER(
      Efectivo!$C:$C, 
      Efectivo!$D:$D &amp; """" = AH390 &amp; """"
    )
  ), 
  0
)"),0)</f>
        <v>0</v>
      </c>
      <c r="Y390" s="10" t="s">
        <v>34</v>
      </c>
      <c r="Z390" s="10"/>
      <c r="AA390" s="10" t="s">
        <v>35</v>
      </c>
      <c r="AB390" s="10" t="s">
        <v>483</v>
      </c>
      <c r="AC390" s="10"/>
      <c r="AD390" s="10" t="str">
        <f t="shared" si="38"/>
        <v/>
      </c>
      <c r="AE390" s="10" t="e">
        <f>IF(
   OR(
     AND(#REF!&gt;0, OR(Y390="C", Y390="c"), U390&lt;0),
     AND(#REF!&gt;0, Y390="")
   ),
   "CORTE",
   ""
)</f>
        <v>#REF!</v>
      </c>
      <c r="AF390" s="10">
        <f t="shared" si="1"/>
        <v>0</v>
      </c>
      <c r="AG390" s="10">
        <f t="shared" si="2"/>
        <v>8</v>
      </c>
      <c r="AH390" s="10" t="str">
        <f t="shared" si="39"/>
        <v>X</v>
      </c>
      <c r="AI390" s="10" t="str">
        <f t="shared" si="40"/>
        <v>X-11</v>
      </c>
    </row>
    <row r="391" spans="1:35" ht="15.75" customHeight="1" x14ac:dyDescent="0.35">
      <c r="A391" s="13">
        <v>390</v>
      </c>
      <c r="B391" s="14" t="s">
        <v>484</v>
      </c>
      <c r="C391" s="14" t="s">
        <v>475</v>
      </c>
      <c r="D391" s="13">
        <v>12</v>
      </c>
      <c r="E391" s="15"/>
      <c r="F391" s="15"/>
      <c r="G391" s="15"/>
      <c r="H391" s="16">
        <v>1</v>
      </c>
      <c r="I391" s="16">
        <v>1158</v>
      </c>
      <c r="J391" s="16">
        <v>1168</v>
      </c>
      <c r="K391" s="16">
        <v>10</v>
      </c>
      <c r="L391" s="16">
        <v>10</v>
      </c>
      <c r="M391" s="16">
        <v>10</v>
      </c>
      <c r="N391" s="16">
        <v>0</v>
      </c>
      <c r="O391" s="16"/>
      <c r="P391" s="16">
        <v>3</v>
      </c>
      <c r="Q391" s="16"/>
      <c r="R391" s="18"/>
      <c r="S391" s="15"/>
      <c r="T391" s="20"/>
      <c r="U391" s="17"/>
      <c r="V391" s="17">
        <f t="shared" si="41"/>
        <v>23</v>
      </c>
      <c r="W391" s="15">
        <f ca="1">IFERROR(__xludf.DUMMYFUNCTION("IFERROR(
  SUM(
    FILTER(
      Reporte!$E:$E, 
      REGEXMATCH(Reporte!$A:$A, ""(?i)(TE PAGÓ|PAGASTE)""), 
      Reporte!$H:$H &amp; """" = AH391 &amp; """"
    )
  ), 
  0
)"),23)</f>
        <v>23</v>
      </c>
      <c r="X391" s="15">
        <f ca="1">IFERROR(__xludf.DUMMYFUNCTION("IFERROR(
  SUM(
    FILTER(
      Efectivo!$C:$C, 
      Efectivo!$D:$D &amp; """" = AH391 &amp; """"
    )
  ), 
  0
)"),0)</f>
        <v>0</v>
      </c>
      <c r="Y391" s="15" t="s">
        <v>34</v>
      </c>
      <c r="Z391" s="15"/>
      <c r="AA391" s="15" t="s">
        <v>35</v>
      </c>
      <c r="AB391" s="15"/>
      <c r="AC391" s="15"/>
      <c r="AD391" s="15" t="str">
        <f t="shared" si="38"/>
        <v/>
      </c>
      <c r="AE391" s="15" t="e">
        <f>IF(
   OR(
     AND(#REF!&gt;0, OR(Y391="C", Y391="c"), U391&lt;0),
     AND(#REF!&gt;0, Y391="")
   ),
   "CORTE",
   ""
)</f>
        <v>#REF!</v>
      </c>
      <c r="AF391" s="15">
        <f t="shared" si="1"/>
        <v>0</v>
      </c>
      <c r="AG391" s="15">
        <f t="shared" si="2"/>
        <v>23</v>
      </c>
      <c r="AH391" s="15" t="str">
        <f t="shared" si="39"/>
        <v>X</v>
      </c>
      <c r="AI391" s="15" t="str">
        <f t="shared" si="40"/>
        <v>X-12</v>
      </c>
    </row>
    <row r="392" spans="1:35" ht="15.75" customHeight="1" x14ac:dyDescent="0.35">
      <c r="A392" s="8">
        <v>391</v>
      </c>
      <c r="B392" s="9" t="s">
        <v>485</v>
      </c>
      <c r="C392" s="9" t="s">
        <v>475</v>
      </c>
      <c r="D392" s="8">
        <v>13</v>
      </c>
      <c r="E392" s="10"/>
      <c r="F392" s="10"/>
      <c r="G392" s="10"/>
      <c r="H392" s="11">
        <v>1</v>
      </c>
      <c r="I392" s="11">
        <v>983</v>
      </c>
      <c r="J392" s="11">
        <v>991</v>
      </c>
      <c r="K392" s="11">
        <v>8</v>
      </c>
      <c r="L392" s="11">
        <v>8</v>
      </c>
      <c r="M392" s="11"/>
      <c r="N392" s="11">
        <v>0</v>
      </c>
      <c r="O392" s="11"/>
      <c r="P392" s="11">
        <v>3</v>
      </c>
      <c r="Q392" s="11"/>
      <c r="R392" s="19"/>
      <c r="S392" s="10"/>
      <c r="T392" s="21"/>
      <c r="U392" s="12"/>
      <c r="V392" s="12">
        <f t="shared" si="41"/>
        <v>11</v>
      </c>
      <c r="W392" s="10">
        <f ca="1">IFERROR(__xludf.DUMMYFUNCTION("IFERROR(
  SUM(
    FILTER(
      Reporte!$E:$E, 
      REGEXMATCH(Reporte!$A:$A, ""(?i)(TE PAGÓ|PAGASTE)""), 
      Reporte!$H:$H &amp; """" = AH392 &amp; """"
    )
  ), 
  0
)"),11)</f>
        <v>11</v>
      </c>
      <c r="X392" s="10">
        <f ca="1">IFERROR(__xludf.DUMMYFUNCTION("IFERROR(
  SUM(
    FILTER(
      Efectivo!$C:$C, 
      Efectivo!$D:$D &amp; """" = AH392 &amp; """"
    )
  ), 
  0
)"),0)</f>
        <v>0</v>
      </c>
      <c r="Y392" s="10" t="s">
        <v>34</v>
      </c>
      <c r="Z392" s="10"/>
      <c r="AA392" s="10" t="s">
        <v>35</v>
      </c>
      <c r="AB392" s="10"/>
      <c r="AC392" s="10"/>
      <c r="AD392" s="10" t="str">
        <f t="shared" si="38"/>
        <v/>
      </c>
      <c r="AE392" s="10" t="e">
        <f>IF(
   OR(
     AND(#REF!&gt;0, OR(Y392="C", Y392="c"), U392&lt;0),
     AND(#REF!&gt;0, Y392="")
   ),
   "CORTE",
   ""
)</f>
        <v>#REF!</v>
      </c>
      <c r="AF392" s="10">
        <f t="shared" si="1"/>
        <v>0</v>
      </c>
      <c r="AG392" s="10">
        <f t="shared" si="2"/>
        <v>11</v>
      </c>
      <c r="AH392" s="10" t="str">
        <f t="shared" si="39"/>
        <v>X</v>
      </c>
      <c r="AI392" s="10" t="str">
        <f t="shared" si="40"/>
        <v>X-13</v>
      </c>
    </row>
    <row r="393" spans="1:35" ht="15.75" customHeight="1" x14ac:dyDescent="0.35">
      <c r="A393" s="13">
        <v>392</v>
      </c>
      <c r="B393" s="14" t="s">
        <v>486</v>
      </c>
      <c r="C393" s="14" t="s">
        <v>475</v>
      </c>
      <c r="D393" s="13">
        <v>14</v>
      </c>
      <c r="E393" s="15"/>
      <c r="F393" s="15"/>
      <c r="G393" s="15"/>
      <c r="H393" s="16">
        <v>1</v>
      </c>
      <c r="I393" s="16">
        <v>175</v>
      </c>
      <c r="J393" s="16">
        <v>185</v>
      </c>
      <c r="K393" s="16">
        <v>10</v>
      </c>
      <c r="L393" s="16">
        <v>10</v>
      </c>
      <c r="M393" s="16">
        <v>6</v>
      </c>
      <c r="N393" s="16">
        <v>0</v>
      </c>
      <c r="O393" s="16"/>
      <c r="P393" s="16">
        <v>3</v>
      </c>
      <c r="Q393" s="16"/>
      <c r="R393" s="18"/>
      <c r="S393" s="15"/>
      <c r="T393" s="20"/>
      <c r="U393" s="17"/>
      <c r="V393" s="17">
        <f t="shared" si="41"/>
        <v>19</v>
      </c>
      <c r="W393" s="15">
        <f ca="1">IFERROR(__xludf.DUMMYFUNCTION("IFERROR(
  SUM(
    FILTER(
      Reporte!$E:$E, 
      REGEXMATCH(Reporte!$A:$A, ""(?i)(TE PAGÓ|PAGASTE)""), 
      Reporte!$H:$H &amp; """" = AH393 &amp; """"
    )
  ), 
  0
)"),19)</f>
        <v>19</v>
      </c>
      <c r="X393" s="15">
        <f ca="1">IFERROR(__xludf.DUMMYFUNCTION("IFERROR(
  SUM(
    FILTER(
      Efectivo!$C:$C, 
      Efectivo!$D:$D &amp; """" = AH393 &amp; """"
    )
  ), 
  0
)"),0)</f>
        <v>0</v>
      </c>
      <c r="Y393" s="15" t="s">
        <v>34</v>
      </c>
      <c r="Z393" s="15"/>
      <c r="AA393" s="15" t="s">
        <v>35</v>
      </c>
      <c r="AB393" s="15"/>
      <c r="AC393" s="15"/>
      <c r="AD393" s="15" t="str">
        <f t="shared" si="38"/>
        <v/>
      </c>
      <c r="AE393" s="15" t="e">
        <f>IF(
   OR(
     AND(#REF!&gt;0, OR(Y393="C", Y393="c"), U393&lt;0),
     AND(#REF!&gt;0, Y393="")
   ),
   "CORTE",
   ""
)</f>
        <v>#REF!</v>
      </c>
      <c r="AF393" s="15">
        <f t="shared" si="1"/>
        <v>0</v>
      </c>
      <c r="AG393" s="15">
        <f t="shared" si="2"/>
        <v>19</v>
      </c>
      <c r="AH393" s="15" t="str">
        <f t="shared" si="39"/>
        <v>X</v>
      </c>
      <c r="AI393" s="15" t="str">
        <f t="shared" si="40"/>
        <v>X-14</v>
      </c>
    </row>
    <row r="394" spans="1:35" ht="15.75" customHeight="1" x14ac:dyDescent="0.35">
      <c r="A394" s="8">
        <v>393</v>
      </c>
      <c r="B394" s="9" t="s">
        <v>487</v>
      </c>
      <c r="C394" s="9" t="s">
        <v>475</v>
      </c>
      <c r="D394" s="8">
        <v>17</v>
      </c>
      <c r="E394" s="10"/>
      <c r="F394" s="10"/>
      <c r="G394" s="10"/>
      <c r="H394" s="11">
        <v>1</v>
      </c>
      <c r="I394" s="11">
        <v>1336</v>
      </c>
      <c r="J394" s="11">
        <v>1343</v>
      </c>
      <c r="K394" s="11">
        <v>7</v>
      </c>
      <c r="L394" s="11">
        <v>7</v>
      </c>
      <c r="M394" s="11">
        <v>11</v>
      </c>
      <c r="N394" s="11">
        <v>0</v>
      </c>
      <c r="O394" s="11"/>
      <c r="P394" s="11">
        <v>3</v>
      </c>
      <c r="Q394" s="11"/>
      <c r="R394" s="19"/>
      <c r="S394" s="10"/>
      <c r="T394" s="21"/>
      <c r="U394" s="12"/>
      <c r="V394" s="12">
        <f t="shared" si="41"/>
        <v>21</v>
      </c>
      <c r="W394" s="10">
        <f ca="1">IFERROR(__xludf.DUMMYFUNCTION("IFERROR(
  SUM(
    FILTER(
      Reporte!$E:$E, 
      REGEXMATCH(Reporte!$A:$A, ""(?i)(TE PAGÓ|PAGASTE)""), 
      Reporte!$H:$H &amp; """" = AH394 &amp; """"
    )
  ), 
  0
)"),21)</f>
        <v>21</v>
      </c>
      <c r="X394" s="10">
        <f ca="1">IFERROR(__xludf.DUMMYFUNCTION("IFERROR(
  SUM(
    FILTER(
      Efectivo!$C:$C, 
      Efectivo!$D:$D &amp; """" = AH394 &amp; """"
    )
  ), 
  0
)"),0)</f>
        <v>0</v>
      </c>
      <c r="Y394" s="10" t="s">
        <v>34</v>
      </c>
      <c r="Z394" s="10"/>
      <c r="AA394" s="10" t="s">
        <v>35</v>
      </c>
      <c r="AB394" s="10"/>
      <c r="AC394" s="10"/>
      <c r="AD394" s="10" t="str">
        <f t="shared" si="38"/>
        <v/>
      </c>
      <c r="AE394" s="10"/>
      <c r="AF394" s="10">
        <f t="shared" si="1"/>
        <v>0</v>
      </c>
      <c r="AG394" s="10">
        <f t="shared" si="2"/>
        <v>21</v>
      </c>
      <c r="AH394" s="10" t="str">
        <f t="shared" si="39"/>
        <v>X</v>
      </c>
      <c r="AI394" s="10" t="str">
        <f t="shared" si="40"/>
        <v>X-17</v>
      </c>
    </row>
    <row r="395" spans="1:35" ht="15.75" customHeight="1" x14ac:dyDescent="0.35">
      <c r="A395" s="13">
        <v>394</v>
      </c>
      <c r="B395" s="14" t="s">
        <v>488</v>
      </c>
      <c r="C395" s="14" t="s">
        <v>475</v>
      </c>
      <c r="D395" s="13">
        <v>21</v>
      </c>
      <c r="E395" s="15"/>
      <c r="F395" s="15"/>
      <c r="G395" s="15"/>
      <c r="H395" s="16">
        <v>1</v>
      </c>
      <c r="I395" s="16">
        <v>69</v>
      </c>
      <c r="J395" s="16">
        <v>76</v>
      </c>
      <c r="K395" s="16">
        <v>7</v>
      </c>
      <c r="L395" s="16">
        <v>7</v>
      </c>
      <c r="M395" s="16"/>
      <c r="N395" s="16">
        <v>0</v>
      </c>
      <c r="O395" s="16"/>
      <c r="P395" s="16">
        <v>3</v>
      </c>
      <c r="Q395" s="16"/>
      <c r="R395" s="18"/>
      <c r="S395" s="15"/>
      <c r="T395" s="20"/>
      <c r="U395" s="17"/>
      <c r="V395" s="17">
        <f t="shared" si="41"/>
        <v>10</v>
      </c>
      <c r="W395" s="15">
        <f ca="1">IFERROR(__xludf.DUMMYFUNCTION("IFERROR(
  SUM(
    FILTER(
      Reporte!$E:$E, 
      REGEXMATCH(Reporte!$A:$A, ""(?i)(TE PAGÓ|PAGASTE)""), 
      Reporte!$H:$H &amp; """" = AH395 &amp; """"
    )
  ), 
  0
)"),10)</f>
        <v>10</v>
      </c>
      <c r="X395" s="15">
        <f ca="1">IFERROR(__xludf.DUMMYFUNCTION("IFERROR(
  SUM(
    FILTER(
      Efectivo!$C:$C, 
      Efectivo!$D:$D &amp; """" = AH395 &amp; """"
    )
  ), 
  0
)"),0)</f>
        <v>0</v>
      </c>
      <c r="Y395" s="15" t="s">
        <v>34</v>
      </c>
      <c r="Z395" s="15"/>
      <c r="AA395" s="15" t="s">
        <v>35</v>
      </c>
      <c r="AB395" s="15"/>
      <c r="AC395" s="15" t="s">
        <v>223</v>
      </c>
      <c r="AD395" s="15" t="str">
        <f t="shared" si="38"/>
        <v/>
      </c>
      <c r="AE395" s="15" t="e">
        <f>IF(
   OR(
     AND(#REF!&gt;0, OR(Y395="C", Y395="c"), U395&lt;0),
     AND(#REF!&gt;0, Y395="")
   ),
   "CORTE",
   ""
)</f>
        <v>#REF!</v>
      </c>
      <c r="AF395" s="15">
        <f t="shared" si="1"/>
        <v>0</v>
      </c>
      <c r="AG395" s="15">
        <f t="shared" si="2"/>
        <v>10</v>
      </c>
      <c r="AH395" s="15" t="str">
        <f t="shared" si="39"/>
        <v>X</v>
      </c>
      <c r="AI395" s="15" t="str">
        <f t="shared" si="40"/>
        <v>X-21</v>
      </c>
    </row>
    <row r="396" spans="1:35" ht="15.75" customHeight="1" x14ac:dyDescent="0.35">
      <c r="A396" s="8">
        <v>395</v>
      </c>
      <c r="B396" s="9" t="s">
        <v>489</v>
      </c>
      <c r="C396" s="9" t="s">
        <v>475</v>
      </c>
      <c r="D396" s="8">
        <v>31</v>
      </c>
      <c r="E396" s="10"/>
      <c r="F396" s="10"/>
      <c r="G396" s="10"/>
      <c r="H396" s="11">
        <v>1</v>
      </c>
      <c r="I396" s="11">
        <v>47</v>
      </c>
      <c r="J396" s="11">
        <v>47</v>
      </c>
      <c r="K396" s="11">
        <v>5</v>
      </c>
      <c r="L396" s="11">
        <v>5</v>
      </c>
      <c r="M396" s="11">
        <v>144</v>
      </c>
      <c r="N396" s="11">
        <v>40</v>
      </c>
      <c r="O396" s="11"/>
      <c r="P396" s="11">
        <v>3</v>
      </c>
      <c r="Q396" s="11">
        <v>30</v>
      </c>
      <c r="R396" s="19"/>
      <c r="S396" s="10"/>
      <c r="T396" s="21"/>
      <c r="U396" s="12"/>
      <c r="V396" s="12">
        <f t="shared" si="41"/>
        <v>222</v>
      </c>
      <c r="W396" s="10">
        <f ca="1">IFERROR(__xludf.DUMMYFUNCTION("IFERROR(
  SUM(
    FILTER(
      Reporte!$E:$E, 
      REGEXMATCH(Reporte!$A:$A, ""(?i)(TE PAGÓ|PAGASTE)""), 
      Reporte!$H:$H &amp; """" = AH396 &amp; """"
    )
  ), 
  0
)"),0)</f>
        <v>0</v>
      </c>
      <c r="X396" s="10">
        <f ca="1">IFERROR(__xludf.DUMMYFUNCTION("IFERROR(
  SUM(
    FILTER(
      Efectivo!$C:$C, 
      Efectivo!$D:$D &amp; """" = AH396 &amp; """"
    )
  ), 
  0
)"),0)</f>
        <v>0</v>
      </c>
      <c r="Y396" s="10"/>
      <c r="Z396" s="10"/>
      <c r="AA396" s="10"/>
      <c r="AB396" s="10"/>
      <c r="AC396" s="10"/>
      <c r="AD396" s="10" t="str">
        <f t="shared" si="38"/>
        <v>CORTE</v>
      </c>
      <c r="AE396" s="10" t="e">
        <f>IF(
   OR(
     AND(#REF!&gt;0, OR(Y396="C", Y396="c"), U396&lt;0),
     AND(#REF!&gt;0, Y396="")
   ),
   "CORTE",
   ""
)</f>
        <v>#REF!</v>
      </c>
      <c r="AF396" s="10">
        <f t="shared" si="1"/>
        <v>0</v>
      </c>
      <c r="AG396" s="10">
        <f t="shared" si="2"/>
        <v>0</v>
      </c>
      <c r="AH396" s="10" t="str">
        <f t="shared" si="39"/>
        <v>X</v>
      </c>
      <c r="AI396" s="10" t="str">
        <f t="shared" si="40"/>
        <v>X-31</v>
      </c>
    </row>
    <row r="397" spans="1:35" ht="15.75" customHeight="1" x14ac:dyDescent="0.35">
      <c r="A397" s="13">
        <v>396</v>
      </c>
      <c r="B397" s="14" t="s">
        <v>490</v>
      </c>
      <c r="C397" s="14" t="s">
        <v>475</v>
      </c>
      <c r="D397" s="13">
        <v>32</v>
      </c>
      <c r="E397" s="15"/>
      <c r="F397" s="15"/>
      <c r="G397" s="15"/>
      <c r="H397" s="16">
        <v>1</v>
      </c>
      <c r="I397" s="16">
        <v>288</v>
      </c>
      <c r="J397" s="16">
        <v>291</v>
      </c>
      <c r="K397" s="16">
        <v>3</v>
      </c>
      <c r="L397" s="16">
        <v>5</v>
      </c>
      <c r="M397" s="16"/>
      <c r="N397" s="16">
        <v>0</v>
      </c>
      <c r="O397" s="16"/>
      <c r="P397" s="16">
        <v>3</v>
      </c>
      <c r="Q397" s="16"/>
      <c r="R397" s="18"/>
      <c r="S397" s="15"/>
      <c r="T397" s="20"/>
      <c r="U397" s="17"/>
      <c r="V397" s="17">
        <f t="shared" si="41"/>
        <v>8</v>
      </c>
      <c r="W397" s="15">
        <f ca="1">IFERROR(__xludf.DUMMYFUNCTION("IFERROR(
  SUM(
    FILTER(
      Reporte!$E:$E, 
      REGEXMATCH(Reporte!$A:$A, ""(?i)(TE PAGÓ|PAGASTE)""), 
      Reporte!$H:$H &amp; """" = AH397 &amp; """"
    )
  ), 
  0
)"),0)</f>
        <v>0</v>
      </c>
      <c r="X397" s="15">
        <f ca="1">IFERROR(__xludf.DUMMYFUNCTION("IFERROR(
  SUM(
    FILTER(
      Efectivo!$C:$C, 
      Efectivo!$D:$D &amp; """" = AH397 &amp; """"
    )
  ), 
  0
)"),0)</f>
        <v>0</v>
      </c>
      <c r="Y397" s="15"/>
      <c r="Z397" s="15"/>
      <c r="AA397" s="15"/>
      <c r="AB397" s="15"/>
      <c r="AC397" s="15"/>
      <c r="AD397" s="15" t="str">
        <f t="shared" si="38"/>
        <v/>
      </c>
      <c r="AE397" s="15" t="e">
        <f>IF(
   OR(
     AND(#REF!&gt;0, OR(Y397="C", Y397="c"), U397&lt;0),
     AND(#REF!&gt;0, Y397="")
   ),
   "CORTE",
   ""
)</f>
        <v>#REF!</v>
      </c>
      <c r="AF397" s="15">
        <f t="shared" si="1"/>
        <v>0</v>
      </c>
      <c r="AG397" s="15">
        <f t="shared" si="2"/>
        <v>0</v>
      </c>
      <c r="AH397" s="15" t="str">
        <f t="shared" si="39"/>
        <v>X</v>
      </c>
      <c r="AI397" s="15" t="str">
        <f t="shared" si="40"/>
        <v>X-32</v>
      </c>
    </row>
    <row r="398" spans="1:35" ht="15.75" customHeight="1" x14ac:dyDescent="0.35">
      <c r="A398" s="8">
        <v>397</v>
      </c>
      <c r="B398" s="9" t="s">
        <v>491</v>
      </c>
      <c r="C398" s="9" t="s">
        <v>475</v>
      </c>
      <c r="D398" s="8">
        <v>33</v>
      </c>
      <c r="E398" s="10"/>
      <c r="F398" s="10"/>
      <c r="G398" s="10"/>
      <c r="H398" s="11">
        <v>1</v>
      </c>
      <c r="I398" s="11">
        <v>831</v>
      </c>
      <c r="J398" s="11">
        <v>842</v>
      </c>
      <c r="K398" s="11">
        <v>11</v>
      </c>
      <c r="L398" s="11">
        <v>11</v>
      </c>
      <c r="M398" s="11">
        <v>16</v>
      </c>
      <c r="N398" s="11">
        <v>0</v>
      </c>
      <c r="O398" s="11"/>
      <c r="P398" s="11">
        <v>3</v>
      </c>
      <c r="Q398" s="11"/>
      <c r="R398" s="19"/>
      <c r="S398" s="10"/>
      <c r="T398" s="21"/>
      <c r="U398" s="12"/>
      <c r="V398" s="12">
        <f t="shared" si="41"/>
        <v>30</v>
      </c>
      <c r="W398" s="10">
        <f ca="1">IFERROR(__xludf.DUMMYFUNCTION("IFERROR(
  SUM(
    FILTER(
      Reporte!$E:$E, 
      REGEXMATCH(Reporte!$A:$A, ""(?i)(TE PAGÓ|PAGASTE)""), 
      Reporte!$H:$H &amp; """" = AH398 &amp; """"
    )
  ), 
  0
)"),30)</f>
        <v>30</v>
      </c>
      <c r="X398" s="10">
        <f ca="1">IFERROR(__xludf.DUMMYFUNCTION("IFERROR(
  SUM(
    FILTER(
      Efectivo!$C:$C, 
      Efectivo!$D:$D &amp; """" = AH398 &amp; """"
    )
  ), 
  0
)"),0)</f>
        <v>0</v>
      </c>
      <c r="Y398" s="10" t="s">
        <v>34</v>
      </c>
      <c r="Z398" s="10"/>
      <c r="AA398" s="10" t="s">
        <v>35</v>
      </c>
      <c r="AB398" s="10"/>
      <c r="AC398" s="10"/>
      <c r="AD398" s="10" t="str">
        <f t="shared" si="38"/>
        <v/>
      </c>
      <c r="AE398" s="10" t="e">
        <f>IF(
   OR(
     AND(#REF!&gt;0, OR(Y398="C", Y398="c"), U398&lt;0),
     AND(#REF!&gt;0, Y398="")
   ),
   "CORTE",
   ""
)</f>
        <v>#REF!</v>
      </c>
      <c r="AF398" s="10">
        <f t="shared" si="1"/>
        <v>0</v>
      </c>
      <c r="AG398" s="10">
        <f t="shared" si="2"/>
        <v>30</v>
      </c>
      <c r="AH398" s="10" t="str">
        <f t="shared" si="39"/>
        <v>X</v>
      </c>
      <c r="AI398" s="10" t="str">
        <f t="shared" si="40"/>
        <v>X-33</v>
      </c>
    </row>
    <row r="399" spans="1:35" ht="15.75" customHeight="1" x14ac:dyDescent="0.35">
      <c r="A399" s="13">
        <v>398</v>
      </c>
      <c r="B399" s="14" t="s">
        <v>492</v>
      </c>
      <c r="C399" s="14" t="s">
        <v>475</v>
      </c>
      <c r="D399" s="13">
        <v>34</v>
      </c>
      <c r="E399" s="15"/>
      <c r="F399" s="15"/>
      <c r="G399" s="15"/>
      <c r="H399" s="16">
        <v>1</v>
      </c>
      <c r="I399" s="16">
        <v>211</v>
      </c>
      <c r="J399" s="16">
        <v>215</v>
      </c>
      <c r="K399" s="16">
        <v>4</v>
      </c>
      <c r="L399" s="16">
        <v>5</v>
      </c>
      <c r="M399" s="16"/>
      <c r="N399" s="16">
        <v>0</v>
      </c>
      <c r="O399" s="16"/>
      <c r="P399" s="16">
        <v>3</v>
      </c>
      <c r="Q399" s="16"/>
      <c r="R399" s="18"/>
      <c r="S399" s="15"/>
      <c r="T399" s="20"/>
      <c r="U399" s="17"/>
      <c r="V399" s="17">
        <f t="shared" si="41"/>
        <v>8</v>
      </c>
      <c r="W399" s="15">
        <f ca="1">IFERROR(__xludf.DUMMYFUNCTION("IFERROR(
  SUM(
    FILTER(
      Reporte!$E:$E, 
      REGEXMATCH(Reporte!$A:$A, ""(?i)(TE PAGÓ|PAGASTE)""), 
      Reporte!$H:$H &amp; """" = AH399 &amp; """"
    )
  ), 
  0
)"),0)</f>
        <v>0</v>
      </c>
      <c r="X399" s="15">
        <f ca="1">IFERROR(__xludf.DUMMYFUNCTION("IFERROR(
  SUM(
    FILTER(
      Efectivo!$C:$C, 
      Efectivo!$D:$D &amp; """" = AH399 &amp; """"
    )
  ), 
  0
)"),8)</f>
        <v>8</v>
      </c>
      <c r="Y399" s="15" t="s">
        <v>34</v>
      </c>
      <c r="Z399" s="15"/>
      <c r="AA399" s="15"/>
      <c r="AB399" s="15"/>
      <c r="AC399" s="15"/>
      <c r="AD399" s="15" t="str">
        <f t="shared" si="38"/>
        <v/>
      </c>
      <c r="AE399" s="15" t="e">
        <f>IF(
   OR(
     AND(#REF!&gt;0, OR(Y399="C", Y399="c"), U399&lt;0),
     AND(#REF!&gt;0, Y399="")
   ),
   "CORTE",
   ""
)</f>
        <v>#REF!</v>
      </c>
      <c r="AF399" s="15">
        <f t="shared" si="1"/>
        <v>8</v>
      </c>
      <c r="AG399" s="15">
        <f t="shared" si="2"/>
        <v>0</v>
      </c>
      <c r="AH399" s="15" t="str">
        <f t="shared" si="39"/>
        <v>X</v>
      </c>
      <c r="AI399" s="15" t="str">
        <f t="shared" si="40"/>
        <v>X-34</v>
      </c>
    </row>
    <row r="400" spans="1:35" ht="15.75" customHeight="1" x14ac:dyDescent="0.35">
      <c r="A400" s="8">
        <v>399</v>
      </c>
      <c r="B400" s="9" t="s">
        <v>493</v>
      </c>
      <c r="C400" s="9" t="s">
        <v>494</v>
      </c>
      <c r="D400" s="8">
        <v>1</v>
      </c>
      <c r="E400" s="10"/>
      <c r="F400" s="10"/>
      <c r="G400" s="10"/>
      <c r="H400" s="11">
        <v>1</v>
      </c>
      <c r="I400" s="11">
        <v>1634</v>
      </c>
      <c r="J400" s="11">
        <v>1644</v>
      </c>
      <c r="K400" s="11">
        <v>10</v>
      </c>
      <c r="L400" s="11">
        <v>10</v>
      </c>
      <c r="M400" s="11"/>
      <c r="N400" s="11">
        <v>0</v>
      </c>
      <c r="O400" s="11"/>
      <c r="P400" s="11">
        <v>3</v>
      </c>
      <c r="Q400" s="11"/>
      <c r="R400" s="19"/>
      <c r="S400" s="10"/>
      <c r="T400" s="21"/>
      <c r="U400" s="12"/>
      <c r="V400" s="12">
        <f t="shared" si="41"/>
        <v>13</v>
      </c>
      <c r="W400" s="10">
        <f ca="1">IFERROR(__xludf.DUMMYFUNCTION("IFERROR(
  SUM(
    FILTER(
      Reporte!$E:$E, 
      REGEXMATCH(Reporte!$A:$A, ""(?i)(TE PAGÓ|PAGASTE)""), 
      Reporte!$H:$H &amp; """" = AH400 &amp; """"
    )
  ), 
  0
)"),13)</f>
        <v>13</v>
      </c>
      <c r="X400" s="10">
        <f ca="1">IFERROR(__xludf.DUMMYFUNCTION("IFERROR(
  SUM(
    FILTER(
      Efectivo!$C:$C, 
      Efectivo!$D:$D &amp; """" = AH400 &amp; """"
    )
  ), 
  0
)"),0)</f>
        <v>0</v>
      </c>
      <c r="Y400" s="10" t="s">
        <v>34</v>
      </c>
      <c r="Z400" s="10"/>
      <c r="AA400" s="10" t="s">
        <v>35</v>
      </c>
      <c r="AB400" s="10"/>
      <c r="AC400" s="10"/>
      <c r="AD400" s="10" t="str">
        <f t="shared" si="38"/>
        <v/>
      </c>
      <c r="AE400" s="10" t="e">
        <f>IF(
   OR(
     AND(#REF!&gt;0, OR(Y400="C", Y400="c"), U400&lt;0),
     AND(#REF!&gt;0, Y400="")
   ),
   "CORTE",
   ""
)</f>
        <v>#REF!</v>
      </c>
      <c r="AF400" s="10">
        <f t="shared" si="1"/>
        <v>0</v>
      </c>
      <c r="AG400" s="10">
        <f t="shared" si="2"/>
        <v>13</v>
      </c>
      <c r="AH400" s="10" t="str">
        <f t="shared" si="39"/>
        <v>Y</v>
      </c>
      <c r="AI400" s="10" t="str">
        <f t="shared" si="40"/>
        <v>Y-1</v>
      </c>
    </row>
    <row r="401" spans="1:35" ht="15.75" customHeight="1" x14ac:dyDescent="0.35">
      <c r="A401" s="13">
        <v>400</v>
      </c>
      <c r="B401" s="14" t="s">
        <v>495</v>
      </c>
      <c r="C401" s="14" t="s">
        <v>494</v>
      </c>
      <c r="D401" s="13">
        <v>2</v>
      </c>
      <c r="E401" s="15"/>
      <c r="F401" s="15"/>
      <c r="G401" s="15"/>
      <c r="H401" s="16">
        <v>1</v>
      </c>
      <c r="I401" s="16">
        <v>30</v>
      </c>
      <c r="J401" s="16">
        <v>32</v>
      </c>
      <c r="K401" s="16">
        <v>2</v>
      </c>
      <c r="L401" s="16">
        <v>5</v>
      </c>
      <c r="M401" s="16">
        <v>8</v>
      </c>
      <c r="N401" s="16">
        <v>0</v>
      </c>
      <c r="O401" s="16"/>
      <c r="P401" s="16">
        <v>3</v>
      </c>
      <c r="Q401" s="16"/>
      <c r="R401" s="18"/>
      <c r="S401" s="15"/>
      <c r="T401" s="20"/>
      <c r="U401" s="17"/>
      <c r="V401" s="17">
        <f>SUM(L401:U401)</f>
        <v>16</v>
      </c>
      <c r="W401" s="15">
        <f ca="1">IFERROR(__xludf.DUMMYFUNCTION("IFERROR(
  SUM(
    FILTER(
      Reporte!$E:$E, 
      REGEXMATCH(Reporte!$A:$A, ""(?i)(TE PAGÓ|PAGASTE)""), 
      Reporte!$H:$H &amp; """" = AH401 &amp; """"
    )
  ), 
  0
)"),16)</f>
        <v>16</v>
      </c>
      <c r="X401" s="15">
        <f ca="1">IFERROR(__xludf.DUMMYFUNCTION("IFERROR(
  SUM(
    FILTER(
      Efectivo!$C:$C, 
      Efectivo!$D:$D &amp; """" = AH401 &amp; """"
    )
  ), 
  0
)"),0)</f>
        <v>0</v>
      </c>
      <c r="Y401" s="15" t="s">
        <v>34</v>
      </c>
      <c r="Z401" s="15"/>
      <c r="AA401" s="15" t="s">
        <v>35</v>
      </c>
      <c r="AB401" s="15" t="s">
        <v>496</v>
      </c>
      <c r="AC401" s="15"/>
      <c r="AD401" s="15" t="str">
        <f t="shared" si="38"/>
        <v/>
      </c>
      <c r="AE401" s="15" t="e">
        <f>IF(
   OR(
     AND(#REF!&gt;0, OR(Y401="C", Y401="c"), U401&lt;0),
     AND(#REF!&gt;0, Y401="")
   ),
   "CORTE",
   ""
)</f>
        <v>#REF!</v>
      </c>
      <c r="AF401" s="15">
        <f t="shared" si="1"/>
        <v>0</v>
      </c>
      <c r="AG401" s="15">
        <f t="shared" si="2"/>
        <v>16</v>
      </c>
      <c r="AH401" s="15" t="str">
        <f t="shared" si="39"/>
        <v>Y</v>
      </c>
      <c r="AI401" s="15" t="str">
        <f t="shared" si="40"/>
        <v>Y-2</v>
      </c>
    </row>
    <row r="402" spans="1:35" ht="15.75" customHeight="1" x14ac:dyDescent="0.35">
      <c r="A402" s="8">
        <v>401</v>
      </c>
      <c r="B402" s="9" t="s">
        <v>497</v>
      </c>
      <c r="C402" s="9" t="s">
        <v>494</v>
      </c>
      <c r="D402" s="8">
        <v>3</v>
      </c>
      <c r="E402" s="10"/>
      <c r="F402" s="10"/>
      <c r="G402" s="10"/>
      <c r="H402" s="11">
        <v>1</v>
      </c>
      <c r="I402" s="11">
        <v>43</v>
      </c>
      <c r="J402" s="11">
        <v>58</v>
      </c>
      <c r="K402" s="11">
        <v>15</v>
      </c>
      <c r="L402" s="11">
        <v>15</v>
      </c>
      <c r="M402" s="11"/>
      <c r="N402" s="11">
        <v>0</v>
      </c>
      <c r="O402" s="11">
        <v>50</v>
      </c>
      <c r="P402" s="11">
        <v>3</v>
      </c>
      <c r="Q402" s="11"/>
      <c r="R402" s="19"/>
      <c r="S402" s="10"/>
      <c r="T402" s="21"/>
      <c r="U402" s="12"/>
      <c r="V402" s="12">
        <f>SUM(L402:Q402)</f>
        <v>68</v>
      </c>
      <c r="W402" s="10">
        <f ca="1">IFERROR(__xludf.DUMMYFUNCTION("IFERROR(
  SUM(
    FILTER(
      Reporte!$E:$E, 
      REGEXMATCH(Reporte!$A:$A, ""(?i)(TE PAGÓ|PAGASTE)""), 
      Reporte!$H:$H &amp; """" = AH402 &amp; """"
    )
  ), 
  0
)"),0)</f>
        <v>0</v>
      </c>
      <c r="X402" s="10">
        <f ca="1">IFERROR(__xludf.DUMMYFUNCTION("IFERROR(
  SUM(
    FILTER(
      Efectivo!$C:$C, 
      Efectivo!$D:$D &amp; """" = AH402 &amp; """"
    )
  ), 
  0
)"),68)</f>
        <v>68</v>
      </c>
      <c r="Y402" s="10" t="s">
        <v>34</v>
      </c>
      <c r="Z402" s="10"/>
      <c r="AA402" s="10"/>
      <c r="AB402" s="10"/>
      <c r="AC402" s="10"/>
      <c r="AD402" s="10" t="str">
        <f t="shared" si="38"/>
        <v/>
      </c>
      <c r="AE402" s="10" t="e">
        <f>IF(
   OR(
     AND(#REF!&gt;0, OR(Y402="C", Y402="c"), U402&lt;0),
     AND(#REF!&gt;0, Y402="")
   ),
   "CORTE",
   ""
)</f>
        <v>#REF!</v>
      </c>
      <c r="AF402" s="10">
        <f t="shared" si="1"/>
        <v>68</v>
      </c>
      <c r="AG402" s="10">
        <f t="shared" si="2"/>
        <v>0</v>
      </c>
      <c r="AH402" s="10" t="str">
        <f t="shared" si="39"/>
        <v>Y</v>
      </c>
      <c r="AI402" s="10" t="str">
        <f t="shared" si="40"/>
        <v>Y-3</v>
      </c>
    </row>
    <row r="403" spans="1:35" ht="15.75" customHeight="1" x14ac:dyDescent="0.35">
      <c r="A403" s="13">
        <v>402</v>
      </c>
      <c r="B403" s="14" t="s">
        <v>498</v>
      </c>
      <c r="C403" s="14" t="s">
        <v>494</v>
      </c>
      <c r="D403" s="13">
        <v>5</v>
      </c>
      <c r="E403" s="15"/>
      <c r="F403" s="15"/>
      <c r="G403" s="15"/>
      <c r="H403" s="16">
        <v>1</v>
      </c>
      <c r="I403" s="16">
        <v>264</v>
      </c>
      <c r="J403" s="16">
        <v>264</v>
      </c>
      <c r="K403" s="16">
        <v>5</v>
      </c>
      <c r="L403" s="16">
        <v>5</v>
      </c>
      <c r="M403" s="16"/>
      <c r="N403" s="16">
        <v>0</v>
      </c>
      <c r="O403" s="16"/>
      <c r="P403" s="16">
        <v>3</v>
      </c>
      <c r="Q403" s="16"/>
      <c r="R403" s="18"/>
      <c r="S403" s="15"/>
      <c r="T403" s="20"/>
      <c r="U403" s="17"/>
      <c r="V403" s="17">
        <f>SUM(L403:Q403)</f>
        <v>8</v>
      </c>
      <c r="W403" s="15">
        <f ca="1">IFERROR(__xludf.DUMMYFUNCTION("IFERROR(
  SUM(
    FILTER(
      Reporte!$E:$E, 
      REGEXMATCH(Reporte!$A:$A, ""(?i)(TE PAGÓ|PAGASTE)""), 
      Reporte!$H:$H &amp; """" = AH403 &amp; """"
    )
  ), 
  0
)"),8)</f>
        <v>8</v>
      </c>
      <c r="X403" s="15">
        <f ca="1">IFERROR(__xludf.DUMMYFUNCTION("IFERROR(
  SUM(
    FILTER(
      Efectivo!$C:$C, 
      Efectivo!$D:$D &amp; """" = AH403 &amp; """"
    )
  ), 
  0
)"),0)</f>
        <v>0</v>
      </c>
      <c r="Y403" s="20" t="s">
        <v>34</v>
      </c>
      <c r="Z403" s="15"/>
      <c r="AA403" s="20" t="s">
        <v>35</v>
      </c>
      <c r="AB403" s="15"/>
      <c r="AC403" s="15"/>
      <c r="AD403" s="15" t="str">
        <f t="shared" si="38"/>
        <v/>
      </c>
      <c r="AE403" s="15" t="e">
        <f>IF(
   OR(
     AND(#REF!&gt;0, OR(Y403="C", Y403="c"), U403&lt;0),
     AND(#REF!&gt;0, Y403="")
   ),
   "CORTE",
   ""
)</f>
        <v>#REF!</v>
      </c>
      <c r="AF403" s="15">
        <f t="shared" si="1"/>
        <v>0</v>
      </c>
      <c r="AG403" s="15">
        <f t="shared" si="2"/>
        <v>8</v>
      </c>
      <c r="AH403" s="15" t="str">
        <f t="shared" si="39"/>
        <v>Y</v>
      </c>
      <c r="AI403" s="15" t="str">
        <f t="shared" si="40"/>
        <v>Y-5</v>
      </c>
    </row>
    <row r="404" spans="1:35" ht="15.75" customHeight="1" x14ac:dyDescent="0.35">
      <c r="A404" s="8">
        <v>403</v>
      </c>
      <c r="B404" s="9" t="s">
        <v>499</v>
      </c>
      <c r="C404" s="9" t="s">
        <v>494</v>
      </c>
      <c r="D404" s="8">
        <v>6</v>
      </c>
      <c r="E404" s="10"/>
      <c r="F404" s="10"/>
      <c r="G404" s="10"/>
      <c r="H404" s="11">
        <v>1</v>
      </c>
      <c r="I404" s="11">
        <v>1339</v>
      </c>
      <c r="J404" s="11">
        <v>1363</v>
      </c>
      <c r="K404" s="11">
        <v>24</v>
      </c>
      <c r="L404" s="11">
        <v>24</v>
      </c>
      <c r="M404" s="11"/>
      <c r="N404" s="11">
        <v>0</v>
      </c>
      <c r="O404" s="11"/>
      <c r="P404" s="11">
        <v>3</v>
      </c>
      <c r="Q404" s="11"/>
      <c r="R404" s="19"/>
      <c r="S404" s="10"/>
      <c r="T404" s="21"/>
      <c r="U404" s="12"/>
      <c r="V404" s="12">
        <f>SUM(L404:Q404)</f>
        <v>27</v>
      </c>
      <c r="W404" s="10">
        <f ca="1">IFERROR(__xludf.DUMMYFUNCTION("IFERROR(
  SUM(
    FILTER(
      Reporte!$E:$E, 
      REGEXMATCH(Reporte!$A:$A, ""(?i)(TE PAGÓ|PAGASTE)""), 
      Reporte!$H:$H &amp; """" = AH404 &amp; """"
    )
  ), 
  0
)"),0)</f>
        <v>0</v>
      </c>
      <c r="X404" s="10">
        <f ca="1">IFERROR(__xludf.DUMMYFUNCTION("IFERROR(
  SUM(
    FILTER(
      Efectivo!$C:$C, 
      Efectivo!$D:$D &amp; """" = AH404 &amp; """"
    )
  ), 
  0
)"),0)</f>
        <v>0</v>
      </c>
      <c r="Y404" s="10"/>
      <c r="Z404" s="10"/>
      <c r="AA404" s="10"/>
      <c r="AB404" s="10"/>
      <c r="AC404" s="10"/>
      <c r="AD404" s="10" t="str">
        <f t="shared" si="38"/>
        <v/>
      </c>
      <c r="AE404" s="10" t="e">
        <f>IF(
   OR(
     AND(#REF!&gt;0, OR(Y404="C", Y404="c"), U404&lt;0),
     AND(#REF!&gt;0, Y404="")
   ),
   "CORTE",
   ""
)</f>
        <v>#REF!</v>
      </c>
      <c r="AF404" s="10">
        <f t="shared" si="1"/>
        <v>0</v>
      </c>
      <c r="AG404" s="10">
        <f t="shared" si="2"/>
        <v>0</v>
      </c>
      <c r="AH404" s="10" t="str">
        <f t="shared" si="39"/>
        <v>Y</v>
      </c>
      <c r="AI404" s="10" t="str">
        <f t="shared" si="40"/>
        <v>Y-6</v>
      </c>
    </row>
    <row r="405" spans="1:35" ht="15.75" customHeight="1" x14ac:dyDescent="0.35">
      <c r="A405" s="13">
        <v>404</v>
      </c>
      <c r="B405" s="14" t="s">
        <v>500</v>
      </c>
      <c r="C405" s="14" t="s">
        <v>494</v>
      </c>
      <c r="D405" s="13">
        <v>8</v>
      </c>
      <c r="E405" s="15"/>
      <c r="F405" s="15"/>
      <c r="G405" s="15"/>
      <c r="H405" s="16">
        <v>1</v>
      </c>
      <c r="I405" s="16">
        <v>1162</v>
      </c>
      <c r="J405" s="16">
        <v>1174</v>
      </c>
      <c r="K405" s="16">
        <v>12</v>
      </c>
      <c r="L405" s="16">
        <v>12</v>
      </c>
      <c r="M405" s="16"/>
      <c r="N405" s="16">
        <v>0</v>
      </c>
      <c r="O405" s="16"/>
      <c r="P405" s="16">
        <v>3</v>
      </c>
      <c r="Q405" s="16"/>
      <c r="R405" s="18"/>
      <c r="S405" s="15"/>
      <c r="T405" s="20"/>
      <c r="U405" s="17"/>
      <c r="V405" s="17">
        <f>SUM(L405:Q405)</f>
        <v>15</v>
      </c>
      <c r="W405" s="15">
        <f ca="1">IFERROR(__xludf.DUMMYFUNCTION("IFERROR(
  SUM(
    FILTER(
      Reporte!$E:$E, 
      REGEXMATCH(Reporte!$A:$A, ""(?i)(TE PAGÓ|PAGASTE)""), 
      Reporte!$H:$H &amp; """" = AH405 &amp; """"
    )
  ), 
  0
)"),15)</f>
        <v>15</v>
      </c>
      <c r="X405" s="15">
        <f ca="1">IFERROR(__xludf.DUMMYFUNCTION("IFERROR(
  SUM(
    FILTER(
      Efectivo!$C:$C, 
      Efectivo!$D:$D &amp; """" = AH405 &amp; """"
    )
  ), 
  0
)"),0)</f>
        <v>0</v>
      </c>
      <c r="Y405" s="15" t="s">
        <v>34</v>
      </c>
      <c r="Z405" s="15"/>
      <c r="AA405" s="15" t="s">
        <v>35</v>
      </c>
      <c r="AB405" s="15"/>
      <c r="AC405" s="15"/>
      <c r="AD405" s="15" t="str">
        <f t="shared" si="38"/>
        <v/>
      </c>
      <c r="AE405" s="15" t="e">
        <f>IF(
   OR(
     AND(#REF!&gt;0, OR(Y405="C", Y405="c"), U405&lt;0),
     AND(#REF!&gt;0, Y405="")
   ),
   "CORTE",
   ""
)</f>
        <v>#REF!</v>
      </c>
      <c r="AF405" s="15">
        <f t="shared" si="1"/>
        <v>0</v>
      </c>
      <c r="AG405" s="15">
        <f t="shared" si="2"/>
        <v>15</v>
      </c>
      <c r="AH405" s="15" t="str">
        <f t="shared" si="39"/>
        <v>Y</v>
      </c>
      <c r="AI405" s="15" t="str">
        <f t="shared" si="40"/>
        <v>Y-8</v>
      </c>
    </row>
    <row r="406" spans="1:35" ht="15.75" customHeight="1" x14ac:dyDescent="0.35">
      <c r="A406" s="8">
        <v>405</v>
      </c>
      <c r="B406" s="9" t="s">
        <v>501</v>
      </c>
      <c r="C406" s="9" t="s">
        <v>494</v>
      </c>
      <c r="D406" s="8">
        <v>9</v>
      </c>
      <c r="E406" s="10"/>
      <c r="F406" s="10"/>
      <c r="G406" s="10"/>
      <c r="H406" s="11">
        <v>1</v>
      </c>
      <c r="I406" s="11">
        <v>983</v>
      </c>
      <c r="J406" s="11">
        <v>993</v>
      </c>
      <c r="K406" s="11">
        <v>10</v>
      </c>
      <c r="L406" s="11">
        <v>10</v>
      </c>
      <c r="M406" s="11"/>
      <c r="N406" s="11">
        <v>0</v>
      </c>
      <c r="O406" s="11"/>
      <c r="P406" s="11">
        <v>3</v>
      </c>
      <c r="Q406" s="11"/>
      <c r="R406" s="19"/>
      <c r="S406" s="10"/>
      <c r="T406" s="21"/>
      <c r="U406" s="12"/>
      <c r="V406" s="12">
        <f>SUM(L406:U406)</f>
        <v>13</v>
      </c>
      <c r="W406" s="10">
        <f ca="1">IFERROR(__xludf.DUMMYFUNCTION("IFERROR(
  SUM(
    FILTER(
      Reporte!$E:$E, 
      REGEXMATCH(Reporte!$A:$A, ""(?i)(TE PAGÓ|PAGASTE)""), 
      Reporte!$H:$H &amp; """" = AH406 &amp; """"
    )
  ), 
  0
)"),0)</f>
        <v>0</v>
      </c>
      <c r="X406" s="10">
        <f ca="1">IFERROR(__xludf.DUMMYFUNCTION("IFERROR(
  SUM(
    FILTER(
      Efectivo!$C:$C, 
      Efectivo!$D:$D &amp; """" = AH406 &amp; """"
    )
  ), 
  0
)"),0)</f>
        <v>0</v>
      </c>
      <c r="Y406" s="10"/>
      <c r="Z406" s="10"/>
      <c r="AA406" s="10"/>
      <c r="AB406" s="10"/>
      <c r="AC406" s="10"/>
      <c r="AD406" s="10" t="str">
        <f t="shared" si="38"/>
        <v/>
      </c>
      <c r="AE406" s="10" t="e">
        <f>IF(
   OR(
     AND(#REF!&gt;0, OR(Y406="C", Y406="c"), U406&lt;0),
     AND(#REF!&gt;0, Y406="")
   ),
   "CORTE",
   ""
)</f>
        <v>#REF!</v>
      </c>
      <c r="AF406" s="10">
        <f t="shared" si="1"/>
        <v>0</v>
      </c>
      <c r="AG406" s="10">
        <f t="shared" si="2"/>
        <v>0</v>
      </c>
      <c r="AH406" s="10" t="str">
        <f t="shared" si="39"/>
        <v>Y</v>
      </c>
      <c r="AI406" s="10" t="str">
        <f t="shared" si="40"/>
        <v>Y-9</v>
      </c>
    </row>
    <row r="407" spans="1:35" ht="15.75" customHeight="1" x14ac:dyDescent="0.35">
      <c r="A407" s="13">
        <v>406</v>
      </c>
      <c r="B407" s="14" t="s">
        <v>502</v>
      </c>
      <c r="C407" s="14" t="s">
        <v>503</v>
      </c>
      <c r="D407" s="13">
        <v>2</v>
      </c>
      <c r="E407" s="15"/>
      <c r="F407" s="15"/>
      <c r="G407" s="15"/>
      <c r="H407" s="16">
        <v>1</v>
      </c>
      <c r="I407" s="16">
        <v>1544</v>
      </c>
      <c r="J407" s="16">
        <v>1554</v>
      </c>
      <c r="K407" s="16">
        <v>10</v>
      </c>
      <c r="L407" s="16">
        <v>10</v>
      </c>
      <c r="M407" s="16"/>
      <c r="N407" s="16">
        <v>0</v>
      </c>
      <c r="O407" s="16"/>
      <c r="P407" s="16">
        <v>3</v>
      </c>
      <c r="Q407" s="16"/>
      <c r="R407" s="18"/>
      <c r="S407" s="15"/>
      <c r="T407" s="20"/>
      <c r="U407" s="17"/>
      <c r="V407" s="17">
        <f>SUM(L407:Q407)</f>
        <v>13</v>
      </c>
      <c r="W407" s="15">
        <f ca="1">IFERROR(__xludf.DUMMYFUNCTION("IFERROR(
  SUM(
    FILTER(
      Reporte!$E:$E, 
      REGEXMATCH(Reporte!$A:$A, ""(?i)(TE PAGÓ|PAGASTE)""), 
      Reporte!$H:$H &amp; """" = AH407 &amp; """"
    )
  ), 
  0
)"),13)</f>
        <v>13</v>
      </c>
      <c r="X407" s="15">
        <f ca="1">IFERROR(__xludf.DUMMYFUNCTION("IFERROR(
  SUM(
    FILTER(
      Efectivo!$C:$C, 
      Efectivo!$D:$D &amp; """" = AH407 &amp; """"
    )
  ), 
  0
)"),0)</f>
        <v>0</v>
      </c>
      <c r="Y407" s="15" t="s">
        <v>34</v>
      </c>
      <c r="Z407" s="15"/>
      <c r="AA407" s="15" t="s">
        <v>35</v>
      </c>
      <c r="AB407" s="15"/>
      <c r="AC407" s="15"/>
      <c r="AD407" s="15" t="str">
        <f t="shared" si="38"/>
        <v/>
      </c>
      <c r="AE407" s="15" t="e">
        <f>IF(
   OR(
     AND(#REF!&gt;0, OR(Y407="C", Y407="c"), U407&lt;0),
     AND(#REF!&gt;0, Y407="")
   ),
   "CORTE",
   ""
)</f>
        <v>#REF!</v>
      </c>
      <c r="AF407" s="15">
        <f t="shared" si="1"/>
        <v>0</v>
      </c>
      <c r="AG407" s="15">
        <f t="shared" si="2"/>
        <v>13</v>
      </c>
      <c r="AH407" s="15" t="str">
        <f t="shared" si="39"/>
        <v>Z</v>
      </c>
      <c r="AI407" s="15" t="str">
        <f t="shared" si="40"/>
        <v>Z-2</v>
      </c>
    </row>
    <row r="408" spans="1:35" ht="15.75" customHeight="1" x14ac:dyDescent="0.35">
      <c r="A408" s="8">
        <v>407</v>
      </c>
      <c r="B408" s="9" t="s">
        <v>504</v>
      </c>
      <c r="C408" s="9" t="s">
        <v>503</v>
      </c>
      <c r="D408" s="8">
        <v>3</v>
      </c>
      <c r="E408" s="10"/>
      <c r="F408" s="10"/>
      <c r="G408" s="10"/>
      <c r="H408" s="10"/>
      <c r="I408" s="11">
        <v>470</v>
      </c>
      <c r="J408" s="11">
        <v>478</v>
      </c>
      <c r="K408" s="11">
        <v>8</v>
      </c>
      <c r="L408" s="11">
        <v>8</v>
      </c>
      <c r="M408" s="11"/>
      <c r="N408" s="11">
        <v>0</v>
      </c>
      <c r="O408" s="11"/>
      <c r="P408" s="11">
        <v>3</v>
      </c>
      <c r="Q408" s="11"/>
      <c r="R408" s="19"/>
      <c r="S408" s="10"/>
      <c r="T408" s="21"/>
      <c r="U408" s="12"/>
      <c r="V408" s="12">
        <f>SUM(L408:U408)</f>
        <v>11</v>
      </c>
      <c r="W408" s="10">
        <f ca="1">IFERROR(__xludf.DUMMYFUNCTION("IFERROR(
  SUM(
    FILTER(
      Reporte!$E:$E, 
      REGEXMATCH(Reporte!$A:$A, ""(?i)(TE PAGÓ|PAGASTE)""), 
      Reporte!$H:$H &amp; """" = AH408 &amp; """"
    )
  ), 
  0
)"),11)</f>
        <v>11</v>
      </c>
      <c r="X408" s="10">
        <f ca="1">IFERROR(__xludf.DUMMYFUNCTION("IFERROR(
  SUM(
    FILTER(
      Efectivo!$C:$C, 
      Efectivo!$D:$D &amp; """" = AH408 &amp; """"
    )
  ), 
  0
)"),0)</f>
        <v>0</v>
      </c>
      <c r="Y408" s="10" t="s">
        <v>34</v>
      </c>
      <c r="Z408" s="10"/>
      <c r="AA408" s="10" t="s">
        <v>35</v>
      </c>
      <c r="AB408" s="10"/>
      <c r="AC408" s="10"/>
      <c r="AD408" s="10" t="str">
        <f t="shared" si="38"/>
        <v/>
      </c>
      <c r="AE408" s="10" t="e">
        <f>IF(
   OR(
     AND(#REF!&gt;0, OR(Y408="C", Y408="c"), U408&lt;0),
     AND(#REF!&gt;0, Y408="")
   ),
   "CORTE",
   ""
)</f>
        <v>#REF!</v>
      </c>
      <c r="AF408" s="10">
        <f t="shared" si="1"/>
        <v>0</v>
      </c>
      <c r="AG408" s="10">
        <f t="shared" si="2"/>
        <v>11</v>
      </c>
      <c r="AH408" s="10" t="str">
        <f t="shared" si="39"/>
        <v>Z</v>
      </c>
      <c r="AI408" s="10" t="str">
        <f t="shared" si="40"/>
        <v>Z-3</v>
      </c>
    </row>
    <row r="409" spans="1:35" ht="15.75" customHeight="1" x14ac:dyDescent="0.35">
      <c r="A409" s="13">
        <v>408</v>
      </c>
      <c r="B409" s="26" t="s">
        <v>505</v>
      </c>
      <c r="C409" s="26" t="s">
        <v>503</v>
      </c>
      <c r="D409" s="27">
        <v>4</v>
      </c>
      <c r="E409" s="15"/>
      <c r="F409" s="15"/>
      <c r="G409" s="15"/>
      <c r="H409" s="16">
        <v>1</v>
      </c>
      <c r="I409" s="16">
        <v>1973</v>
      </c>
      <c r="J409" s="16">
        <v>1978</v>
      </c>
      <c r="K409" s="16">
        <v>5</v>
      </c>
      <c r="L409" s="16">
        <v>5</v>
      </c>
      <c r="M409" s="16">
        <v>-8</v>
      </c>
      <c r="N409" s="16">
        <v>0</v>
      </c>
      <c r="O409" s="16"/>
      <c r="P409" s="16">
        <v>3</v>
      </c>
      <c r="Q409" s="16"/>
      <c r="R409" s="18"/>
      <c r="S409" s="15"/>
      <c r="T409" s="20"/>
      <c r="U409" s="17"/>
      <c r="V409" s="17">
        <f>SUM(L409:U409)</f>
        <v>0</v>
      </c>
      <c r="W409" s="15">
        <f ca="1">IFERROR(__xludf.DUMMYFUNCTION("IFERROR(
  SUM(
    FILTER(
      Reporte!$E:$E, 
      REGEXMATCH(Reporte!$A:$A, ""(?i)(TE PAGÓ|PAGASTE)""), 
      Reporte!$H:$H &amp; """" = AH409 &amp; """"
    )
  ), 
  0
)"),0)</f>
        <v>0</v>
      </c>
      <c r="X409" s="15">
        <f ca="1">IFERROR(__xludf.DUMMYFUNCTION("IFERROR(
  SUM(
    FILTER(
      Efectivo!$C:$C, 
      Efectivo!$D:$D &amp; """" = AH409 &amp; """"
    )
  ), 
  0
)"),0)</f>
        <v>0</v>
      </c>
      <c r="Y409" s="15"/>
      <c r="Z409" s="15"/>
      <c r="AA409" s="15"/>
      <c r="AB409" s="15"/>
      <c r="AC409" s="15"/>
      <c r="AD409" s="15" t="str">
        <f t="shared" si="38"/>
        <v/>
      </c>
      <c r="AE409" s="15" t="e">
        <f>IF(
   OR(
     AND(#REF!&gt;0, OR(Y409="C", Y409="c"), U409&lt;0),
     AND(#REF!&gt;0, Y409="")
   ),
   "CORTE",
   ""
)</f>
        <v>#REF!</v>
      </c>
      <c r="AF409" s="15">
        <f t="shared" si="1"/>
        <v>0</v>
      </c>
      <c r="AG409" s="15">
        <f t="shared" si="2"/>
        <v>0</v>
      </c>
      <c r="AH409" s="15" t="str">
        <f t="shared" si="39"/>
        <v>Z</v>
      </c>
      <c r="AI409" s="15" t="str">
        <f t="shared" si="40"/>
        <v>Z-4</v>
      </c>
    </row>
    <row r="410" spans="1:35" ht="15.75" customHeight="1" x14ac:dyDescent="0.35">
      <c r="A410" s="8">
        <v>409</v>
      </c>
      <c r="B410" s="9" t="s">
        <v>506</v>
      </c>
      <c r="C410" s="9" t="s">
        <v>503</v>
      </c>
      <c r="D410" s="8">
        <v>5</v>
      </c>
      <c r="E410" s="10"/>
      <c r="F410" s="10"/>
      <c r="G410" s="10"/>
      <c r="H410" s="11">
        <v>1</v>
      </c>
      <c r="I410" s="11">
        <v>12</v>
      </c>
      <c r="J410" s="11">
        <v>13</v>
      </c>
      <c r="K410" s="11">
        <v>1</v>
      </c>
      <c r="L410" s="11">
        <v>5</v>
      </c>
      <c r="M410" s="11"/>
      <c r="N410" s="11">
        <v>0</v>
      </c>
      <c r="O410" s="11"/>
      <c r="P410" s="11">
        <v>3</v>
      </c>
      <c r="Q410" s="11"/>
      <c r="R410" s="19"/>
      <c r="S410" s="10"/>
      <c r="T410" s="21"/>
      <c r="U410" s="12"/>
      <c r="V410" s="12">
        <f>SUM(L410:U410)</f>
        <v>8</v>
      </c>
      <c r="W410" s="10">
        <f ca="1">IFERROR(__xludf.DUMMYFUNCTION("IFERROR(
  SUM(
    FILTER(
      Reporte!$E:$E, 
      REGEXMATCH(Reporte!$A:$A, ""(?i)(TE PAGÓ|PAGASTE)""), 
      Reporte!$H:$H &amp; """" = AH410 &amp; """"
    )
  ), 
  0
)"),0)</f>
        <v>0</v>
      </c>
      <c r="X410" s="10">
        <f ca="1">IFERROR(__xludf.DUMMYFUNCTION("IFERROR(
  SUM(
    FILTER(
      Efectivo!$C:$C, 
      Efectivo!$D:$D &amp; """" = AH410 &amp; """"
    )
  ), 
  0
)"),0)</f>
        <v>0</v>
      </c>
      <c r="Y410" s="10"/>
      <c r="Z410" s="10"/>
      <c r="AA410" s="10"/>
      <c r="AB410" s="10"/>
      <c r="AC410" s="10" t="s">
        <v>223</v>
      </c>
      <c r="AD410" s="10" t="str">
        <f t="shared" si="38"/>
        <v/>
      </c>
      <c r="AE410" s="10" t="e">
        <f>IF(
   OR(
     AND(#REF!&gt;0, OR(Y410="C", Y410="c"), U410&lt;0),
     AND(#REF!&gt;0, Y410="")
   ),
   "CORTE",
   ""
)</f>
        <v>#REF!</v>
      </c>
      <c r="AF410" s="10">
        <f t="shared" si="1"/>
        <v>0</v>
      </c>
      <c r="AG410" s="10">
        <f t="shared" si="2"/>
        <v>0</v>
      </c>
      <c r="AH410" s="10" t="str">
        <f t="shared" si="39"/>
        <v>Z</v>
      </c>
      <c r="AI410" s="10" t="str">
        <f t="shared" si="40"/>
        <v>Z-5</v>
      </c>
    </row>
    <row r="411" spans="1:35" ht="15.75" customHeight="1" x14ac:dyDescent="0.35">
      <c r="A411" s="13">
        <v>410</v>
      </c>
      <c r="B411" s="14" t="s">
        <v>507</v>
      </c>
      <c r="C411" s="14" t="s">
        <v>503</v>
      </c>
      <c r="D411" s="13">
        <v>6</v>
      </c>
      <c r="E411" s="15"/>
      <c r="F411" s="15"/>
      <c r="G411" s="15"/>
      <c r="H411" s="16">
        <v>1</v>
      </c>
      <c r="I411" s="16">
        <v>0</v>
      </c>
      <c r="J411" s="16">
        <v>0</v>
      </c>
      <c r="K411" s="16">
        <v>5</v>
      </c>
      <c r="L411" s="16">
        <v>5</v>
      </c>
      <c r="M411" s="16">
        <v>6</v>
      </c>
      <c r="N411" s="16">
        <v>0</v>
      </c>
      <c r="O411" s="16"/>
      <c r="P411" s="16">
        <v>3</v>
      </c>
      <c r="Q411" s="16"/>
      <c r="R411" s="18"/>
      <c r="S411" s="15"/>
      <c r="T411" s="20"/>
      <c r="U411" s="17"/>
      <c r="V411" s="17">
        <f>SUM(L411:Q411)</f>
        <v>14</v>
      </c>
      <c r="W411" s="15">
        <f ca="1">IFERROR(__xludf.DUMMYFUNCTION("IFERROR(
  SUM(
    FILTER(
      Reporte!$E:$E, 
      REGEXMATCH(Reporte!$A:$A, ""(?i)(TE PAGÓ|PAGASTE)""), 
      Reporte!$H:$H &amp; """" = AH411 &amp; """"
    )
  ), 
  0
)"),0)</f>
        <v>0</v>
      </c>
      <c r="X411" s="15">
        <f ca="1">IFERROR(__xludf.DUMMYFUNCTION("IFERROR(
  SUM(
    FILTER(
      Efectivo!$C:$C, 
      Efectivo!$D:$D &amp; """" = AH411 &amp; """"
    )
  ), 
  0
)"),0)</f>
        <v>0</v>
      </c>
      <c r="Y411" s="15"/>
      <c r="Z411" s="15"/>
      <c r="AA411" s="15"/>
      <c r="AB411" s="15" t="s">
        <v>508</v>
      </c>
      <c r="AC411" s="15"/>
      <c r="AD411" s="15" t="str">
        <f t="shared" si="38"/>
        <v/>
      </c>
      <c r="AE411" s="15" t="e">
        <f>IF(
   OR(
     AND(#REF!&gt;0, OR(Y411="C", Y411="c"), U411&lt;0),
     AND(#REF!&gt;0, Y411="")
   ),
   "CORTE",
   ""
)</f>
        <v>#REF!</v>
      </c>
      <c r="AF411" s="15">
        <f t="shared" si="1"/>
        <v>0</v>
      </c>
      <c r="AG411" s="15">
        <f t="shared" si="2"/>
        <v>0</v>
      </c>
      <c r="AH411" s="15" t="str">
        <f t="shared" si="39"/>
        <v>Z</v>
      </c>
      <c r="AI411" s="15" t="str">
        <f t="shared" si="40"/>
        <v>Z-6</v>
      </c>
    </row>
    <row r="412" spans="1:35" ht="15.75" customHeight="1" x14ac:dyDescent="0.35">
      <c r="A412" s="8">
        <v>411</v>
      </c>
      <c r="B412" s="9" t="s">
        <v>509</v>
      </c>
      <c r="C412" s="9" t="s">
        <v>503</v>
      </c>
      <c r="D412" s="8">
        <v>7</v>
      </c>
      <c r="E412" s="10"/>
      <c r="F412" s="10"/>
      <c r="G412" s="10"/>
      <c r="H412" s="11">
        <v>1</v>
      </c>
      <c r="I412" s="11">
        <v>994</v>
      </c>
      <c r="J412" s="11">
        <v>999</v>
      </c>
      <c r="K412" s="11">
        <v>5</v>
      </c>
      <c r="L412" s="11">
        <v>5</v>
      </c>
      <c r="M412" s="11">
        <v>16</v>
      </c>
      <c r="N412" s="11">
        <v>0</v>
      </c>
      <c r="O412" s="11"/>
      <c r="P412" s="11">
        <v>3</v>
      </c>
      <c r="Q412" s="11"/>
      <c r="R412" s="19"/>
      <c r="S412" s="10"/>
      <c r="T412" s="21"/>
      <c r="U412" s="12"/>
      <c r="V412" s="12">
        <f>SUM(L412:Q412)</f>
        <v>24</v>
      </c>
      <c r="W412" s="10">
        <f ca="1">IFERROR(__xludf.DUMMYFUNCTION("IFERROR(
  SUM(
    FILTER(
      Reporte!$E:$E, 
      REGEXMATCH(Reporte!$A:$A, ""(?i)(TE PAGÓ|PAGASTE)""), 
      Reporte!$H:$H &amp; """" = AH412 &amp; """"
    )
  ), 
  0
)"),24)</f>
        <v>24</v>
      </c>
      <c r="X412" s="10">
        <f ca="1">IFERROR(__xludf.DUMMYFUNCTION("IFERROR(
  SUM(
    FILTER(
      Efectivo!$C:$C, 
      Efectivo!$D:$D &amp; """" = AH412 &amp; """"
    )
  ), 
  0
)"),0)</f>
        <v>0</v>
      </c>
      <c r="Y412" s="10" t="s">
        <v>34</v>
      </c>
      <c r="Z412" s="10"/>
      <c r="AA412" s="10" t="s">
        <v>35</v>
      </c>
      <c r="AB412" s="10"/>
      <c r="AC412" s="10"/>
      <c r="AD412" s="10" t="str">
        <f t="shared" si="38"/>
        <v/>
      </c>
      <c r="AE412" s="10" t="e">
        <f>IF(
   OR(
     AND(#REF!&gt;0, OR(Y412="C", Y412="c"), U412&lt;0),
     AND(#REF!&gt;0, Y412="")
   ),
   "CORTE",
   ""
)</f>
        <v>#REF!</v>
      </c>
      <c r="AF412" s="10">
        <f t="shared" si="1"/>
        <v>0</v>
      </c>
      <c r="AG412" s="10">
        <f t="shared" si="2"/>
        <v>24</v>
      </c>
      <c r="AH412" s="10" t="str">
        <f t="shared" si="39"/>
        <v>Z</v>
      </c>
      <c r="AI412" s="10" t="str">
        <f t="shared" si="40"/>
        <v>Z-7</v>
      </c>
    </row>
    <row r="413" spans="1:35" ht="15.75" customHeight="1" x14ac:dyDescent="0.35">
      <c r="A413" s="13">
        <v>412</v>
      </c>
      <c r="B413" s="14" t="s">
        <v>510</v>
      </c>
      <c r="C413" s="14" t="s">
        <v>503</v>
      </c>
      <c r="D413" s="13">
        <v>8</v>
      </c>
      <c r="E413" s="15"/>
      <c r="F413" s="15"/>
      <c r="G413" s="15"/>
      <c r="H413" s="16">
        <v>1</v>
      </c>
      <c r="I413" s="16">
        <v>417</v>
      </c>
      <c r="J413" s="16">
        <v>428</v>
      </c>
      <c r="K413" s="16">
        <v>11</v>
      </c>
      <c r="L413" s="16">
        <v>11</v>
      </c>
      <c r="M413" s="16">
        <v>6</v>
      </c>
      <c r="N413" s="16">
        <v>0</v>
      </c>
      <c r="O413" s="16"/>
      <c r="P413" s="16">
        <v>3</v>
      </c>
      <c r="Q413" s="16"/>
      <c r="R413" s="18"/>
      <c r="S413" s="15"/>
      <c r="T413" s="20"/>
      <c r="U413" s="17"/>
      <c r="V413" s="17">
        <f>SUM(L413:Q413)</f>
        <v>20</v>
      </c>
      <c r="W413" s="15">
        <f ca="1">IFERROR(__xludf.DUMMYFUNCTION("IFERROR(
  SUM(
    FILTER(
      Reporte!$E:$E, 
      REGEXMATCH(Reporte!$A:$A, ""(?i)(TE PAGÓ|PAGASTE)""), 
      Reporte!$H:$H &amp; """" = AH413 &amp; """"
    )
  ), 
  0
)"),20)</f>
        <v>20</v>
      </c>
      <c r="X413" s="15">
        <f ca="1">IFERROR(__xludf.DUMMYFUNCTION("IFERROR(
  SUM(
    FILTER(
      Efectivo!$C:$C, 
      Efectivo!$D:$D &amp; """" = AH413 &amp; """"
    )
  ), 
  0
)"),0)</f>
        <v>0</v>
      </c>
      <c r="Y413" s="15" t="s">
        <v>34</v>
      </c>
      <c r="Z413" s="15"/>
      <c r="AA413" s="15" t="s">
        <v>35</v>
      </c>
      <c r="AB413" s="15"/>
      <c r="AC413" s="15"/>
      <c r="AD413" s="15" t="str">
        <f t="shared" si="38"/>
        <v/>
      </c>
      <c r="AE413" s="15" t="e">
        <f>IF(
   OR(
     AND(#REF!&gt;0, OR(Y413="C", Y413="c"), U413&lt;0),
     AND(#REF!&gt;0, Y413="")
   ),
   "CORTE",
   ""
)</f>
        <v>#REF!</v>
      </c>
      <c r="AF413" s="15">
        <f t="shared" si="1"/>
        <v>0</v>
      </c>
      <c r="AG413" s="15">
        <f t="shared" si="2"/>
        <v>20</v>
      </c>
      <c r="AH413" s="15" t="str">
        <f t="shared" si="39"/>
        <v>Z</v>
      </c>
      <c r="AI413" s="15" t="str">
        <f t="shared" si="40"/>
        <v>Z-8</v>
      </c>
    </row>
    <row r="414" spans="1:35" ht="15.75" customHeight="1" x14ac:dyDescent="0.35">
      <c r="A414" s="8">
        <v>413</v>
      </c>
      <c r="B414" s="9" t="s">
        <v>511</v>
      </c>
      <c r="C414" s="9" t="s">
        <v>503</v>
      </c>
      <c r="D414" s="8">
        <v>9</v>
      </c>
      <c r="E414" s="10"/>
      <c r="F414" s="10"/>
      <c r="G414" s="10"/>
      <c r="H414" s="11">
        <v>1</v>
      </c>
      <c r="I414" s="11">
        <v>493</v>
      </c>
      <c r="J414" s="11">
        <v>498</v>
      </c>
      <c r="K414" s="11">
        <v>5</v>
      </c>
      <c r="L414" s="11">
        <v>5</v>
      </c>
      <c r="M414" s="11"/>
      <c r="N414" s="11">
        <v>0</v>
      </c>
      <c r="O414" s="11"/>
      <c r="P414" s="11">
        <v>3</v>
      </c>
      <c r="Q414" s="11"/>
      <c r="R414" s="19"/>
      <c r="S414" s="10"/>
      <c r="T414" s="21"/>
      <c r="U414" s="12"/>
      <c r="V414" s="12">
        <f>SUM(L414:U414)</f>
        <v>8</v>
      </c>
      <c r="W414" s="10">
        <f ca="1">IFERROR(__xludf.DUMMYFUNCTION("IFERROR(
  SUM(
    FILTER(
      Reporte!$E:$E, 
      REGEXMATCH(Reporte!$A:$A, ""(?i)(TE PAGÓ|PAGASTE)""), 
      Reporte!$H:$H &amp; """" = AH414 &amp; """"
    )
  ), 
  0
)"),0)</f>
        <v>0</v>
      </c>
      <c r="X414" s="10">
        <f ca="1">IFERROR(__xludf.DUMMYFUNCTION("IFERROR(
  SUM(
    FILTER(
      Efectivo!$C:$C, 
      Efectivo!$D:$D &amp; """" = AH414 &amp; """"
    )
  ), 
  0
)"),0)</f>
        <v>0</v>
      </c>
      <c r="Y414" s="10"/>
      <c r="Z414" s="10"/>
      <c r="AA414" s="10"/>
      <c r="AB414" s="10"/>
      <c r="AC414" s="10"/>
      <c r="AD414" s="10" t="str">
        <f t="shared" si="38"/>
        <v/>
      </c>
      <c r="AE414" s="10" t="e">
        <f>IF(
   OR(
     AND(#REF!&gt;0, OR(Y414="C", Y414="c"), U414&lt;0),
     AND(#REF!&gt;0, Y414="")
   ),
   "CORTE",
   ""
)</f>
        <v>#REF!</v>
      </c>
      <c r="AF414" s="10">
        <f t="shared" si="1"/>
        <v>0</v>
      </c>
      <c r="AG414" s="10">
        <f t="shared" si="2"/>
        <v>0</v>
      </c>
      <c r="AH414" s="10" t="str">
        <f t="shared" si="39"/>
        <v>Z</v>
      </c>
      <c r="AI414" s="10" t="str">
        <f t="shared" si="40"/>
        <v>Z-9</v>
      </c>
    </row>
    <row r="415" spans="1:35" ht="15.75" customHeight="1" x14ac:dyDescent="0.35">
      <c r="A415" s="13">
        <v>414</v>
      </c>
      <c r="B415" s="26" t="s">
        <v>512</v>
      </c>
      <c r="C415" s="26" t="s">
        <v>503</v>
      </c>
      <c r="D415" s="27">
        <v>11</v>
      </c>
      <c r="E415" s="15"/>
      <c r="F415" s="15"/>
      <c r="G415" s="15"/>
      <c r="H415" s="16">
        <v>1</v>
      </c>
      <c r="I415" s="16">
        <v>1371</v>
      </c>
      <c r="J415" s="16">
        <v>1378</v>
      </c>
      <c r="K415" s="16">
        <v>7</v>
      </c>
      <c r="L415" s="16">
        <v>7</v>
      </c>
      <c r="M415" s="16">
        <v>13</v>
      </c>
      <c r="N415" s="16">
        <v>0</v>
      </c>
      <c r="O415" s="16"/>
      <c r="P415" s="16">
        <v>3</v>
      </c>
      <c r="Q415" s="16"/>
      <c r="R415" s="18"/>
      <c r="S415" s="15"/>
      <c r="T415" s="20"/>
      <c r="U415" s="17"/>
      <c r="V415" s="17">
        <f>SUM(L415:Q415)</f>
        <v>23</v>
      </c>
      <c r="W415" s="15">
        <f ca="1">IFERROR(__xludf.DUMMYFUNCTION("IFERROR(
  SUM(
    FILTER(
      Reporte!$E:$E, 
      REGEXMATCH(Reporte!$A:$A, ""(?i)(TE PAGÓ|PAGASTE)""), 
      Reporte!$H:$H &amp; """" = AH415 &amp; """"
    )
  ), 
  0
)"),23)</f>
        <v>23</v>
      </c>
      <c r="X415" s="15">
        <f ca="1">IFERROR(__xludf.DUMMYFUNCTION("IFERROR(
  SUM(
    FILTER(
      Efectivo!$C:$C, 
      Efectivo!$D:$D &amp; """" = AH415 &amp; """"
    )
  ), 
  0
)"),0)</f>
        <v>0</v>
      </c>
      <c r="Y415" s="15" t="s">
        <v>34</v>
      </c>
      <c r="Z415" s="15"/>
      <c r="AA415" s="15" t="s">
        <v>35</v>
      </c>
      <c r="AB415" s="15"/>
      <c r="AC415" s="15"/>
      <c r="AD415" s="15" t="str">
        <f t="shared" si="38"/>
        <v/>
      </c>
      <c r="AE415" s="15" t="e">
        <f>IF(
   OR(
     AND(#REF!&gt;0, OR(Y415="C", Y415="c"), U415&lt;0),
     AND(#REF!&gt;0, Y415="")
   ),
   "CORTE",
   ""
)</f>
        <v>#REF!</v>
      </c>
      <c r="AF415" s="15">
        <f t="shared" si="1"/>
        <v>0</v>
      </c>
      <c r="AG415" s="15">
        <f t="shared" si="2"/>
        <v>23</v>
      </c>
      <c r="AH415" s="15" t="str">
        <f t="shared" si="39"/>
        <v>Z</v>
      </c>
      <c r="AI415" s="15" t="str">
        <f t="shared" si="40"/>
        <v>Z-11</v>
      </c>
    </row>
    <row r="416" spans="1:35" ht="15.75" customHeight="1" x14ac:dyDescent="0.35">
      <c r="A416" s="8">
        <v>415</v>
      </c>
      <c r="B416" s="9" t="s">
        <v>513</v>
      </c>
      <c r="C416" s="9" t="s">
        <v>503</v>
      </c>
      <c r="D416" s="8">
        <v>12</v>
      </c>
      <c r="E416" s="10"/>
      <c r="F416" s="10"/>
      <c r="G416" s="10"/>
      <c r="H416" s="11">
        <v>1</v>
      </c>
      <c r="I416" s="11">
        <v>76</v>
      </c>
      <c r="J416" s="11">
        <v>81</v>
      </c>
      <c r="K416" s="11">
        <v>5</v>
      </c>
      <c r="L416" s="11">
        <v>5</v>
      </c>
      <c r="M416" s="11">
        <v>8</v>
      </c>
      <c r="N416" s="11">
        <v>0</v>
      </c>
      <c r="O416" s="11"/>
      <c r="P416" s="11">
        <v>3</v>
      </c>
      <c r="Q416" s="11"/>
      <c r="R416" s="19"/>
      <c r="S416" s="10"/>
      <c r="T416" s="21"/>
      <c r="U416" s="12"/>
      <c r="V416" s="12">
        <f>SUM(L416:U416)</f>
        <v>16</v>
      </c>
      <c r="W416" s="10">
        <f ca="1">IFERROR(__xludf.DUMMYFUNCTION("IFERROR(
  SUM(
    FILTER(
      Reporte!$E:$E, 
      REGEXMATCH(Reporte!$A:$A, ""(?i)(TE PAGÓ|PAGASTE)""), 
      Reporte!$H:$H &amp; """" = AH416 &amp; """"
    )
  ), 
  0
)"),16)</f>
        <v>16</v>
      </c>
      <c r="X416" s="10">
        <f ca="1">IFERROR(__xludf.DUMMYFUNCTION("IFERROR(
  SUM(
    FILTER(
      Efectivo!$C:$C, 
      Efectivo!$D:$D &amp; """" = AH416 &amp; """"
    )
  ), 
  0
)"),0)</f>
        <v>0</v>
      </c>
      <c r="Y416" s="10" t="s">
        <v>34</v>
      </c>
      <c r="Z416" s="10"/>
      <c r="AA416" s="10" t="s">
        <v>35</v>
      </c>
      <c r="AB416" s="10" t="s">
        <v>514</v>
      </c>
      <c r="AC416" s="10"/>
      <c r="AD416" s="10" t="str">
        <f t="shared" si="38"/>
        <v/>
      </c>
      <c r="AE416" s="10" t="e">
        <f>IF(
   OR(
     AND(#REF!&gt;0, OR(Y416="C", Y416="c"), U416&lt;0),
     AND(#REF!&gt;0, Y416="")
   ),
   "CORTE",
   ""
)</f>
        <v>#REF!</v>
      </c>
      <c r="AF416" s="10">
        <f t="shared" si="1"/>
        <v>0</v>
      </c>
      <c r="AG416" s="10">
        <f t="shared" si="2"/>
        <v>16</v>
      </c>
      <c r="AH416" s="10" t="str">
        <f t="shared" si="39"/>
        <v>Z</v>
      </c>
      <c r="AI416" s="10" t="str">
        <f t="shared" si="40"/>
        <v>Z-12</v>
      </c>
    </row>
    <row r="417" spans="1:35" ht="15.75" customHeight="1" x14ac:dyDescent="0.35">
      <c r="A417" s="13">
        <v>416</v>
      </c>
      <c r="B417" s="14" t="s">
        <v>515</v>
      </c>
      <c r="C417" s="14" t="s">
        <v>503</v>
      </c>
      <c r="D417" s="13">
        <v>13</v>
      </c>
      <c r="E417" s="15"/>
      <c r="F417" s="15"/>
      <c r="G417" s="15"/>
      <c r="H417" s="16">
        <v>1</v>
      </c>
      <c r="I417" s="16">
        <v>580</v>
      </c>
      <c r="J417" s="16">
        <v>582</v>
      </c>
      <c r="K417" s="16">
        <v>2</v>
      </c>
      <c r="L417" s="16">
        <v>5</v>
      </c>
      <c r="M417" s="16"/>
      <c r="N417" s="16">
        <v>0</v>
      </c>
      <c r="O417" s="16"/>
      <c r="P417" s="16">
        <v>3</v>
      </c>
      <c r="Q417" s="16"/>
      <c r="R417" s="18"/>
      <c r="S417" s="15"/>
      <c r="T417" s="20"/>
      <c r="U417" s="17"/>
      <c r="V417" s="17">
        <f>SUM(L417:Q417)</f>
        <v>8</v>
      </c>
      <c r="W417" s="15">
        <f ca="1">IFERROR(__xludf.DUMMYFUNCTION("IFERROR(
  SUM(
    FILTER(
      Reporte!$E:$E, 
      REGEXMATCH(Reporte!$A:$A, ""(?i)(TE PAGÓ|PAGASTE)""), 
      Reporte!$H:$H &amp; """" = AH417 &amp; """"
    )
  ), 
  0
)"),0)</f>
        <v>0</v>
      </c>
      <c r="X417" s="15">
        <f ca="1">IFERROR(__xludf.DUMMYFUNCTION("IFERROR(
  SUM(
    FILTER(
      Efectivo!$C:$C, 
      Efectivo!$D:$D &amp; """" = AH417 &amp; """"
    )
  ), 
  0
)"),0)</f>
        <v>0</v>
      </c>
      <c r="Y417" s="15"/>
      <c r="Z417" s="15"/>
      <c r="AA417" s="15"/>
      <c r="AB417" s="15"/>
      <c r="AC417" s="15"/>
      <c r="AD417" s="15" t="str">
        <f t="shared" si="38"/>
        <v/>
      </c>
      <c r="AE417" s="15" t="e">
        <f>IF(
   OR(
     AND(#REF!&gt;0, OR(Y417="C", Y417="c"), U417&lt;0),
     AND(#REF!&gt;0, Y417="")
   ),
   "CORTE",
   ""
)</f>
        <v>#REF!</v>
      </c>
      <c r="AF417" s="15">
        <f t="shared" si="1"/>
        <v>0</v>
      </c>
      <c r="AG417" s="15">
        <f t="shared" si="2"/>
        <v>0</v>
      </c>
      <c r="AH417" s="15" t="str">
        <f t="shared" si="39"/>
        <v>Z</v>
      </c>
      <c r="AI417" s="15" t="str">
        <f t="shared" si="40"/>
        <v>Z-13</v>
      </c>
    </row>
    <row r="418" spans="1:35" ht="15.75" customHeight="1" x14ac:dyDescent="0.35">
      <c r="A418" s="8">
        <v>417</v>
      </c>
      <c r="B418" s="9" t="s">
        <v>516</v>
      </c>
      <c r="C418" s="9" t="s">
        <v>503</v>
      </c>
      <c r="D418" s="8">
        <v>14</v>
      </c>
      <c r="E418" s="10"/>
      <c r="F418" s="10"/>
      <c r="G418" s="10"/>
      <c r="H418" s="11">
        <v>1</v>
      </c>
      <c r="I418" s="11">
        <v>1171</v>
      </c>
      <c r="J418" s="11">
        <v>1182</v>
      </c>
      <c r="K418" s="11">
        <v>11</v>
      </c>
      <c r="L418" s="11">
        <v>11</v>
      </c>
      <c r="M418" s="11">
        <v>1</v>
      </c>
      <c r="N418" s="11">
        <v>0</v>
      </c>
      <c r="O418" s="11"/>
      <c r="P418" s="11">
        <v>3</v>
      </c>
      <c r="Q418" s="11"/>
      <c r="R418" s="19"/>
      <c r="S418" s="10"/>
      <c r="T418" s="21"/>
      <c r="U418" s="12"/>
      <c r="V418" s="12">
        <f>SUM(L418:U418)</f>
        <v>15</v>
      </c>
      <c r="W418" s="10">
        <f ca="1">IFERROR(__xludf.DUMMYFUNCTION("IFERROR(
  SUM(
    FILTER(
      Reporte!$E:$E, 
      REGEXMATCH(Reporte!$A:$A, ""(?i)(TE PAGÓ|PAGASTE)""), 
      Reporte!$H:$H &amp; """" = AH418 &amp; """"
    )
  ), 
  0
)"),15)</f>
        <v>15</v>
      </c>
      <c r="X418" s="10">
        <f ca="1">IFERROR(__xludf.DUMMYFUNCTION("IFERROR(
  SUM(
    FILTER(
      Efectivo!$C:$C, 
      Efectivo!$D:$D &amp; """" = AH418 &amp; """"
    )
  ), 
  0
)"),0)</f>
        <v>0</v>
      </c>
      <c r="Y418" s="10" t="s">
        <v>34</v>
      </c>
      <c r="Z418" s="10"/>
      <c r="AA418" s="10" t="s">
        <v>35</v>
      </c>
      <c r="AB418" s="10"/>
      <c r="AC418" s="10"/>
      <c r="AD418" s="10" t="str">
        <f t="shared" si="38"/>
        <v/>
      </c>
      <c r="AE418" s="10" t="e">
        <f>IF(
   OR(
     AND(#REF!&gt;0, OR(Y418="C", Y418="c"), U418&lt;0),
     AND(#REF!&gt;0, Y418="")
   ),
   "CORTE",
   ""
)</f>
        <v>#REF!</v>
      </c>
      <c r="AF418" s="10">
        <f t="shared" si="1"/>
        <v>0</v>
      </c>
      <c r="AG418" s="10">
        <f t="shared" si="2"/>
        <v>15</v>
      </c>
      <c r="AH418" s="10" t="str">
        <f t="shared" si="39"/>
        <v>Z</v>
      </c>
      <c r="AI418" s="10" t="str">
        <f t="shared" si="40"/>
        <v>Z-14</v>
      </c>
    </row>
    <row r="419" spans="1:35" ht="15.75" customHeight="1" x14ac:dyDescent="0.35">
      <c r="A419" s="13">
        <v>418</v>
      </c>
      <c r="B419" s="14" t="s">
        <v>517</v>
      </c>
      <c r="C419" s="14" t="s">
        <v>503</v>
      </c>
      <c r="D419" s="13">
        <v>15</v>
      </c>
      <c r="E419" s="15"/>
      <c r="F419" s="15"/>
      <c r="G419" s="15"/>
      <c r="H419" s="16">
        <v>1</v>
      </c>
      <c r="I419" s="16">
        <v>1509</v>
      </c>
      <c r="J419" s="16">
        <v>1515</v>
      </c>
      <c r="K419" s="16">
        <v>6</v>
      </c>
      <c r="L419" s="16">
        <v>6</v>
      </c>
      <c r="M419" s="16">
        <v>10</v>
      </c>
      <c r="N419" s="16">
        <v>0</v>
      </c>
      <c r="O419" s="16"/>
      <c r="P419" s="16">
        <v>3</v>
      </c>
      <c r="Q419" s="16"/>
      <c r="R419" s="18"/>
      <c r="S419" s="15"/>
      <c r="T419" s="20"/>
      <c r="U419" s="17"/>
      <c r="V419" s="17">
        <f>SUM(L419:U419)</f>
        <v>19</v>
      </c>
      <c r="W419" s="15">
        <f ca="1">IFERROR(__xludf.DUMMYFUNCTION("IFERROR(
  SUM(
    FILTER(
      Reporte!$E:$E, 
      REGEXMATCH(Reporte!$A:$A, ""(?i)(TE PAGÓ|PAGASTE)""), 
      Reporte!$H:$H &amp; """" = AH419 &amp; """"
    )
  ), 
  0
)"),19)</f>
        <v>19</v>
      </c>
      <c r="X419" s="15">
        <f ca="1">IFERROR(__xludf.DUMMYFUNCTION("IFERROR(
  SUM(
    FILTER(
      Efectivo!$C:$C, 
      Efectivo!$D:$D &amp; """" = AH419 &amp; """"
    )
  ), 
  0
)"),0)</f>
        <v>0</v>
      </c>
      <c r="Y419" s="15" t="s">
        <v>34</v>
      </c>
      <c r="Z419" s="15"/>
      <c r="AA419" s="15" t="s">
        <v>35</v>
      </c>
      <c r="AB419" s="15" t="s">
        <v>514</v>
      </c>
      <c r="AC419" s="15"/>
      <c r="AD419" s="15" t="str">
        <f t="shared" si="38"/>
        <v/>
      </c>
      <c r="AE419" s="15" t="e">
        <f>IF(
   OR(
     AND(#REF!&gt;0, OR(Y419="C", Y419="c"), U419&lt;0),
     AND(#REF!&gt;0, Y419="")
   ),
   "CORTE",
   ""
)</f>
        <v>#REF!</v>
      </c>
      <c r="AF419" s="15">
        <f t="shared" si="1"/>
        <v>0</v>
      </c>
      <c r="AG419" s="15">
        <f t="shared" si="2"/>
        <v>19</v>
      </c>
      <c r="AH419" s="15" t="str">
        <f t="shared" si="39"/>
        <v>Z</v>
      </c>
      <c r="AI419" s="15" t="str">
        <f t="shared" si="40"/>
        <v>Z-15</v>
      </c>
    </row>
    <row r="420" spans="1:35" ht="15.75" customHeight="1" x14ac:dyDescent="0.35">
      <c r="A420" s="8">
        <v>419</v>
      </c>
      <c r="B420" s="9" t="s">
        <v>518</v>
      </c>
      <c r="C420" s="9" t="s">
        <v>503</v>
      </c>
      <c r="D420" s="8">
        <v>16</v>
      </c>
      <c r="E420" s="10"/>
      <c r="F420" s="10"/>
      <c r="G420" s="10"/>
      <c r="H420" s="11">
        <v>1</v>
      </c>
      <c r="I420" s="11">
        <v>1943</v>
      </c>
      <c r="J420" s="11">
        <v>1944</v>
      </c>
      <c r="K420" s="11">
        <v>1</v>
      </c>
      <c r="L420" s="11">
        <v>5</v>
      </c>
      <c r="M420" s="11"/>
      <c r="N420" s="11">
        <v>0</v>
      </c>
      <c r="O420" s="11"/>
      <c r="P420" s="11">
        <v>3</v>
      </c>
      <c r="Q420" s="11"/>
      <c r="R420" s="19"/>
      <c r="S420" s="10"/>
      <c r="T420" s="21"/>
      <c r="U420" s="12"/>
      <c r="V420" s="12">
        <f t="shared" ref="V420:V426" si="42">SUM(L420:Q420)</f>
        <v>8</v>
      </c>
      <c r="W420" s="10">
        <f ca="1">IFERROR(__xludf.DUMMYFUNCTION("IFERROR(
  SUM(
    FILTER(
      Reporte!$E:$E, 
      REGEXMATCH(Reporte!$A:$A, ""(?i)(TE PAGÓ|PAGASTE)""), 
      Reporte!$H:$H &amp; """" = AH420 &amp; """"
    )
  ), 
  0
)"),0)</f>
        <v>0</v>
      </c>
      <c r="X420" s="10">
        <f ca="1">IFERROR(__xludf.DUMMYFUNCTION("IFERROR(
  SUM(
    FILTER(
      Efectivo!$C:$C, 
      Efectivo!$D:$D &amp; """" = AH420 &amp; """"
    )
  ), 
  0
)"),0)</f>
        <v>0</v>
      </c>
      <c r="Y420" s="10"/>
      <c r="Z420" s="10"/>
      <c r="AA420" s="10"/>
      <c r="AB420" s="10"/>
      <c r="AC420" s="10"/>
      <c r="AD420" s="10" t="str">
        <f t="shared" si="38"/>
        <v/>
      </c>
      <c r="AE420" s="10" t="e">
        <f>IF(
   OR(
     AND(#REF!&gt;0, OR(Y420="C", Y420="c"), U420&lt;0),
     AND(#REF!&gt;0, Y420="")
   ),
   "CORTE",
   ""
)</f>
        <v>#REF!</v>
      </c>
      <c r="AF420" s="10">
        <f t="shared" si="1"/>
        <v>0</v>
      </c>
      <c r="AG420" s="10">
        <f t="shared" si="2"/>
        <v>0</v>
      </c>
      <c r="AH420" s="10" t="str">
        <f t="shared" si="39"/>
        <v>Z</v>
      </c>
      <c r="AI420" s="10" t="str">
        <f t="shared" si="40"/>
        <v>Z-16</v>
      </c>
    </row>
    <row r="421" spans="1:35" ht="15.75" customHeight="1" x14ac:dyDescent="0.35">
      <c r="A421" s="13">
        <v>420</v>
      </c>
      <c r="B421" s="14" t="s">
        <v>519</v>
      </c>
      <c r="C421" s="14" t="s">
        <v>503</v>
      </c>
      <c r="D421" s="13">
        <v>17</v>
      </c>
      <c r="E421" s="15"/>
      <c r="F421" s="15"/>
      <c r="G421" s="15"/>
      <c r="H421" s="16">
        <v>1</v>
      </c>
      <c r="I421" s="16">
        <v>1970</v>
      </c>
      <c r="J421" s="16">
        <v>2001</v>
      </c>
      <c r="K421" s="16">
        <v>31</v>
      </c>
      <c r="L421" s="16">
        <v>31</v>
      </c>
      <c r="M421" s="16">
        <v>1</v>
      </c>
      <c r="N421" s="16">
        <v>0</v>
      </c>
      <c r="O421" s="16"/>
      <c r="P421" s="16">
        <v>3</v>
      </c>
      <c r="Q421" s="16"/>
      <c r="R421" s="18"/>
      <c r="S421" s="15"/>
      <c r="T421" s="20"/>
      <c r="U421" s="17"/>
      <c r="V421" s="17">
        <f t="shared" si="42"/>
        <v>35</v>
      </c>
      <c r="W421" s="15">
        <f ca="1">IFERROR(__xludf.DUMMYFUNCTION("IFERROR(
  SUM(
    FILTER(
      Reporte!$E:$E, 
      REGEXMATCH(Reporte!$A:$A, ""(?i)(TE PAGÓ|PAGASTE)""), 
      Reporte!$H:$H &amp; """" = AH421 &amp; """"
    )
  ), 
  0
)"),35)</f>
        <v>35</v>
      </c>
      <c r="X421" s="15">
        <f ca="1">IFERROR(__xludf.DUMMYFUNCTION("IFERROR(
  SUM(
    FILTER(
      Efectivo!$C:$C, 
      Efectivo!$D:$D &amp; """" = AH421 &amp; """"
    )
  ), 
  0
)"),0)</f>
        <v>0</v>
      </c>
      <c r="Y421" s="15" t="s">
        <v>34</v>
      </c>
      <c r="Z421" s="15"/>
      <c r="AA421" s="15" t="s">
        <v>35</v>
      </c>
      <c r="AB421" s="15"/>
      <c r="AC421" s="15"/>
      <c r="AD421" s="15" t="str">
        <f t="shared" si="38"/>
        <v/>
      </c>
      <c r="AE421" s="15" t="e">
        <f>IF(
   OR(
     AND(#REF!&gt;0, OR(Y421="C", Y421="c"), U421&lt;0),
     AND(#REF!&gt;0, Y421="")
   ),
   "CORTE",
   ""
)</f>
        <v>#REF!</v>
      </c>
      <c r="AF421" s="15">
        <f t="shared" si="1"/>
        <v>0</v>
      </c>
      <c r="AG421" s="15">
        <f t="shared" si="2"/>
        <v>35</v>
      </c>
      <c r="AH421" s="15" t="str">
        <f t="shared" si="39"/>
        <v>Z</v>
      </c>
      <c r="AI421" s="15" t="str">
        <f t="shared" si="40"/>
        <v>Z-17</v>
      </c>
    </row>
    <row r="422" spans="1:35" ht="15.75" customHeight="1" x14ac:dyDescent="0.35">
      <c r="A422" s="8">
        <v>421</v>
      </c>
      <c r="B422" s="9" t="s">
        <v>520</v>
      </c>
      <c r="C422" s="9" t="s">
        <v>503</v>
      </c>
      <c r="D422" s="8">
        <v>18</v>
      </c>
      <c r="E422" s="10"/>
      <c r="F422" s="10"/>
      <c r="G422" s="10"/>
      <c r="H422" s="11">
        <v>2</v>
      </c>
      <c r="I422" s="11">
        <v>242</v>
      </c>
      <c r="J422" s="11">
        <v>257</v>
      </c>
      <c r="K422" s="11">
        <v>15</v>
      </c>
      <c r="L422" s="11">
        <v>15</v>
      </c>
      <c r="M422" s="11"/>
      <c r="N422" s="11">
        <v>0</v>
      </c>
      <c r="O422" s="11"/>
      <c r="P422" s="11">
        <v>3</v>
      </c>
      <c r="Q422" s="11"/>
      <c r="R422" s="19"/>
      <c r="S422" s="10"/>
      <c r="T422" s="21"/>
      <c r="U422" s="12"/>
      <c r="V422" s="12">
        <f t="shared" si="42"/>
        <v>18</v>
      </c>
      <c r="W422" s="10">
        <f ca="1">IFERROR(__xludf.DUMMYFUNCTION("IFERROR(
  SUM(
    FILTER(
      Reporte!$E:$E, 
      REGEXMATCH(Reporte!$A:$A, ""(?i)(TE PAGÓ|PAGASTE)""), 
      Reporte!$H:$H &amp; """" = AH422 &amp; """"
    )
  ), 
  0
)"),18)</f>
        <v>18</v>
      </c>
      <c r="X422" s="10">
        <f ca="1">IFERROR(__xludf.DUMMYFUNCTION("IFERROR(
  SUM(
    FILTER(
      Efectivo!$C:$C, 
      Efectivo!$D:$D &amp; """" = AH422 &amp; """"
    )
  ), 
  0
)"),0)</f>
        <v>0</v>
      </c>
      <c r="Y422" s="10" t="s">
        <v>34</v>
      </c>
      <c r="Z422" s="10"/>
      <c r="AA422" s="10" t="s">
        <v>35</v>
      </c>
      <c r="AB422" s="10"/>
      <c r="AC422" s="10"/>
      <c r="AD422" s="10" t="str">
        <f t="shared" si="38"/>
        <v/>
      </c>
      <c r="AE422" s="10" t="e">
        <f>IF(
   OR(
     AND(#REF!&gt;0, OR(Y422="C", Y422="c"), U422&lt;0),
     AND(#REF!&gt;0, Y422="")
   ),
   "CORTE",
   ""
)</f>
        <v>#REF!</v>
      </c>
      <c r="AF422" s="10">
        <f t="shared" si="1"/>
        <v>0</v>
      </c>
      <c r="AG422" s="10">
        <f t="shared" si="2"/>
        <v>18</v>
      </c>
      <c r="AH422" s="10" t="str">
        <f t="shared" si="39"/>
        <v>Z</v>
      </c>
      <c r="AI422" s="10" t="str">
        <f t="shared" si="40"/>
        <v>Z-18</v>
      </c>
    </row>
    <row r="423" spans="1:35" ht="15.75" customHeight="1" x14ac:dyDescent="0.35">
      <c r="A423" s="13">
        <v>422</v>
      </c>
      <c r="B423" s="14" t="s">
        <v>521</v>
      </c>
      <c r="C423" s="14" t="s">
        <v>522</v>
      </c>
      <c r="D423" s="13">
        <v>1</v>
      </c>
      <c r="E423" s="15"/>
      <c r="F423" s="15"/>
      <c r="G423" s="15"/>
      <c r="H423" s="16">
        <v>1</v>
      </c>
      <c r="I423" s="16">
        <v>506</v>
      </c>
      <c r="J423" s="16">
        <v>513</v>
      </c>
      <c r="K423" s="16">
        <v>7</v>
      </c>
      <c r="L423" s="16">
        <v>7</v>
      </c>
      <c r="M423" s="16">
        <v>8</v>
      </c>
      <c r="N423" s="16">
        <v>0</v>
      </c>
      <c r="O423" s="16"/>
      <c r="P423" s="16">
        <v>3</v>
      </c>
      <c r="Q423" s="16"/>
      <c r="R423" s="18"/>
      <c r="S423" s="15"/>
      <c r="T423" s="20"/>
      <c r="U423" s="17"/>
      <c r="V423" s="17">
        <f t="shared" si="42"/>
        <v>18</v>
      </c>
      <c r="W423" s="15">
        <f ca="1">IFERROR(__xludf.DUMMYFUNCTION("IFERROR(
  SUM(
    FILTER(
      Reporte!$E:$E, 
      REGEXMATCH(Reporte!$A:$A, ""(?i)(TE PAGÓ|PAGASTE)""), 
      Reporte!$H:$H &amp; """" = AH423 &amp; """"
    )
  ), 
  0
)"),18)</f>
        <v>18</v>
      </c>
      <c r="X423" s="15">
        <f ca="1">IFERROR(__xludf.DUMMYFUNCTION("IFERROR(
  SUM(
    FILTER(
      Efectivo!$C:$C, 
      Efectivo!$D:$D &amp; """" = AH423 &amp; """"
    )
  ), 
  0
)"),0)</f>
        <v>0</v>
      </c>
      <c r="Y423" s="15" t="s">
        <v>34</v>
      </c>
      <c r="Z423" s="15"/>
      <c r="AA423" s="15" t="s">
        <v>35</v>
      </c>
      <c r="AB423" s="15"/>
      <c r="AC423" s="15"/>
      <c r="AD423" s="15" t="str">
        <f t="shared" si="38"/>
        <v/>
      </c>
      <c r="AE423" s="15" t="e">
        <f>IF(
   OR(
     AND(#REF!&gt;0, OR(Y423="C", Y423="c"), U423&lt;0),
     AND(#REF!&gt;0, Y423="")
   ),
   "CORTE",
   ""
)</f>
        <v>#REF!</v>
      </c>
      <c r="AF423" s="15">
        <f t="shared" si="1"/>
        <v>0</v>
      </c>
      <c r="AG423" s="15">
        <f t="shared" si="2"/>
        <v>18</v>
      </c>
      <c r="AH423" s="15" t="str">
        <f t="shared" si="39"/>
        <v>A1</v>
      </c>
      <c r="AI423" s="15" t="str">
        <f t="shared" si="40"/>
        <v>A1-1</v>
      </c>
    </row>
    <row r="424" spans="1:35" ht="15.75" customHeight="1" x14ac:dyDescent="0.35">
      <c r="A424" s="8">
        <v>423</v>
      </c>
      <c r="B424" s="9" t="s">
        <v>523</v>
      </c>
      <c r="C424" s="9" t="s">
        <v>522</v>
      </c>
      <c r="D424" s="8">
        <v>2</v>
      </c>
      <c r="E424" s="10"/>
      <c r="F424" s="10"/>
      <c r="G424" s="10"/>
      <c r="H424" s="11">
        <v>1</v>
      </c>
      <c r="I424" s="11">
        <v>930</v>
      </c>
      <c r="J424" s="11">
        <v>942</v>
      </c>
      <c r="K424" s="11">
        <v>12</v>
      </c>
      <c r="L424" s="11">
        <v>12</v>
      </c>
      <c r="M424" s="11"/>
      <c r="N424" s="11">
        <v>0</v>
      </c>
      <c r="O424" s="11"/>
      <c r="P424" s="11">
        <v>3</v>
      </c>
      <c r="Q424" s="11"/>
      <c r="R424" s="19"/>
      <c r="S424" s="10"/>
      <c r="T424" s="21"/>
      <c r="U424" s="12"/>
      <c r="V424" s="12">
        <f t="shared" si="42"/>
        <v>15</v>
      </c>
      <c r="W424" s="10">
        <f ca="1">IFERROR(__xludf.DUMMYFUNCTION("IFERROR(
  SUM(
    FILTER(
      Reporte!$E:$E, 
      REGEXMATCH(Reporte!$A:$A, ""(?i)(TE PAGÓ|PAGASTE)""), 
      Reporte!$H:$H &amp; """" = AH424 &amp; """"
    )
  ), 
  0
)"),0)</f>
        <v>0</v>
      </c>
      <c r="X424" s="10">
        <f ca="1">IFERROR(__xludf.DUMMYFUNCTION("IFERROR(
  SUM(
    FILTER(
      Efectivo!$C:$C, 
      Efectivo!$D:$D &amp; """" = AH424 &amp; """"
    )
  ), 
  0
)"),0)</f>
        <v>0</v>
      </c>
      <c r="Y424" s="10"/>
      <c r="Z424" s="10"/>
      <c r="AA424" s="10"/>
      <c r="AB424" s="10"/>
      <c r="AC424" s="10"/>
      <c r="AD424" s="10" t="str">
        <f t="shared" si="38"/>
        <v/>
      </c>
      <c r="AE424" s="10" t="e">
        <f>IF(
   OR(
     AND(#REF!&gt;0, OR(Y424="C", Y424="c"), U424&lt;0),
     AND(#REF!&gt;0, Y424="")
   ),
   "CORTE",
   ""
)</f>
        <v>#REF!</v>
      </c>
      <c r="AF424" s="10">
        <f t="shared" si="1"/>
        <v>0</v>
      </c>
      <c r="AG424" s="10">
        <f t="shared" si="2"/>
        <v>0</v>
      </c>
      <c r="AH424" s="10" t="str">
        <f t="shared" si="39"/>
        <v>A1</v>
      </c>
      <c r="AI424" s="10" t="str">
        <f t="shared" si="40"/>
        <v>A1-2</v>
      </c>
    </row>
    <row r="425" spans="1:35" ht="15.75" customHeight="1" x14ac:dyDescent="0.35">
      <c r="A425" s="13">
        <v>424</v>
      </c>
      <c r="B425" s="14" t="s">
        <v>524</v>
      </c>
      <c r="C425" s="14" t="s">
        <v>522</v>
      </c>
      <c r="D425" s="13">
        <v>3</v>
      </c>
      <c r="E425" s="15"/>
      <c r="F425" s="15"/>
      <c r="G425" s="15"/>
      <c r="H425" s="16">
        <v>1</v>
      </c>
      <c r="I425" s="16">
        <v>7567</v>
      </c>
      <c r="J425" s="16">
        <v>7607</v>
      </c>
      <c r="K425" s="16">
        <v>40</v>
      </c>
      <c r="L425" s="16">
        <v>40</v>
      </c>
      <c r="M425" s="16"/>
      <c r="N425" s="16">
        <v>0</v>
      </c>
      <c r="O425" s="16"/>
      <c r="P425" s="16">
        <v>3</v>
      </c>
      <c r="Q425" s="16"/>
      <c r="R425" s="18"/>
      <c r="S425" s="15"/>
      <c r="T425" s="20"/>
      <c r="U425" s="17"/>
      <c r="V425" s="17">
        <f t="shared" si="42"/>
        <v>43</v>
      </c>
      <c r="W425" s="15">
        <f ca="1">IFERROR(__xludf.DUMMYFUNCTION("IFERROR(
  SUM(
    FILTER(
      Reporte!$E:$E, 
      REGEXMATCH(Reporte!$A:$A, ""(?i)(TE PAGÓ|PAGASTE)""), 
      Reporte!$H:$H &amp; """" = AH425 &amp; """"
    )
  ), 
  0
)"),0)</f>
        <v>0</v>
      </c>
      <c r="X425" s="15">
        <f ca="1">IFERROR(__xludf.DUMMYFUNCTION("IFERROR(
  SUM(
    FILTER(
      Efectivo!$C:$C, 
      Efectivo!$D:$D &amp; """" = AH425 &amp; """"
    )
  ), 
  0
)"),43)</f>
        <v>43</v>
      </c>
      <c r="Y425" s="15" t="s">
        <v>34</v>
      </c>
      <c r="Z425" s="15"/>
      <c r="AA425" s="15"/>
      <c r="AB425" s="15"/>
      <c r="AC425" s="15"/>
      <c r="AD425" s="15" t="str">
        <f t="shared" si="38"/>
        <v/>
      </c>
      <c r="AE425" s="15" t="e">
        <f>IF(
   OR(
     AND(#REF!&gt;0, OR(Y425="C", Y425="c"), U425&lt;0),
     AND(#REF!&gt;0, Y425="")
   ),
   "CORTE",
   ""
)</f>
        <v>#REF!</v>
      </c>
      <c r="AF425" s="15">
        <f t="shared" si="1"/>
        <v>43</v>
      </c>
      <c r="AG425" s="15">
        <f t="shared" si="2"/>
        <v>0</v>
      </c>
      <c r="AH425" s="15" t="str">
        <f t="shared" si="39"/>
        <v>A1</v>
      </c>
      <c r="AI425" s="15" t="str">
        <f t="shared" si="40"/>
        <v>A1-3</v>
      </c>
    </row>
    <row r="426" spans="1:35" ht="15.75" customHeight="1" x14ac:dyDescent="0.35">
      <c r="A426" s="8">
        <v>425</v>
      </c>
      <c r="B426" s="9" t="s">
        <v>525</v>
      </c>
      <c r="C426" s="9" t="s">
        <v>522</v>
      </c>
      <c r="D426" s="8">
        <v>4</v>
      </c>
      <c r="E426" s="10"/>
      <c r="F426" s="10"/>
      <c r="G426" s="10"/>
      <c r="H426" s="11">
        <v>1</v>
      </c>
      <c r="I426" s="11">
        <v>268</v>
      </c>
      <c r="J426" s="11">
        <v>281</v>
      </c>
      <c r="K426" s="11">
        <v>13</v>
      </c>
      <c r="L426" s="11">
        <v>13</v>
      </c>
      <c r="M426" s="11"/>
      <c r="N426" s="11">
        <v>0</v>
      </c>
      <c r="O426" s="11"/>
      <c r="P426" s="11">
        <v>3</v>
      </c>
      <c r="Q426" s="11"/>
      <c r="R426" s="19"/>
      <c r="S426" s="10"/>
      <c r="T426" s="21"/>
      <c r="U426" s="12"/>
      <c r="V426" s="12">
        <f t="shared" si="42"/>
        <v>16</v>
      </c>
      <c r="W426" s="10">
        <f ca="1">IFERROR(__xludf.DUMMYFUNCTION("IFERROR(
  SUM(
    FILTER(
      Reporte!$E:$E, 
      REGEXMATCH(Reporte!$A:$A, ""(?i)(TE PAGÓ|PAGASTE)""), 
      Reporte!$H:$H &amp; """" = AH426 &amp; """"
    )
  ), 
  0
)"),0)</f>
        <v>0</v>
      </c>
      <c r="X426" s="10">
        <f ca="1">IFERROR(__xludf.DUMMYFUNCTION("IFERROR(
  SUM(
    FILTER(
      Efectivo!$C:$C, 
      Efectivo!$D:$D &amp; """" = AH426 &amp; """"
    )
  ), 
  0
)"),16)</f>
        <v>16</v>
      </c>
      <c r="Y426" s="10" t="s">
        <v>34</v>
      </c>
      <c r="Z426" s="10"/>
      <c r="AA426" s="10"/>
      <c r="AB426" s="10"/>
      <c r="AC426" s="10"/>
      <c r="AD426" s="10" t="str">
        <f t="shared" si="38"/>
        <v/>
      </c>
      <c r="AE426" s="10" t="e">
        <f>IF(
   OR(
     AND(#REF!&gt;0, OR(Y426="C", Y426="c"), U426&lt;0),
     AND(#REF!&gt;0, Y426="")
   ),
   "CORTE",
   ""
)</f>
        <v>#REF!</v>
      </c>
      <c r="AF426" s="10">
        <f t="shared" si="1"/>
        <v>16</v>
      </c>
      <c r="AG426" s="10">
        <f t="shared" si="2"/>
        <v>0</v>
      </c>
      <c r="AH426" s="10" t="str">
        <f t="shared" si="39"/>
        <v>A1</v>
      </c>
      <c r="AI426" s="10" t="str">
        <f t="shared" si="40"/>
        <v>A1-4</v>
      </c>
    </row>
    <row r="427" spans="1:35" ht="15.75" customHeight="1" x14ac:dyDescent="0.35">
      <c r="A427" s="13">
        <v>426</v>
      </c>
      <c r="B427" s="14" t="s">
        <v>526</v>
      </c>
      <c r="C427" s="14" t="s">
        <v>522</v>
      </c>
      <c r="D427" s="13">
        <v>5</v>
      </c>
      <c r="E427" s="15"/>
      <c r="F427" s="15"/>
      <c r="G427" s="15"/>
      <c r="H427" s="16">
        <v>1</v>
      </c>
      <c r="I427" s="16">
        <v>1071</v>
      </c>
      <c r="J427" s="16">
        <v>1077</v>
      </c>
      <c r="K427" s="16">
        <v>6</v>
      </c>
      <c r="L427" s="16">
        <v>6</v>
      </c>
      <c r="M427" s="16"/>
      <c r="N427" s="16">
        <v>0</v>
      </c>
      <c r="O427" s="16"/>
      <c r="P427" s="16">
        <v>3</v>
      </c>
      <c r="Q427" s="16"/>
      <c r="R427" s="18"/>
      <c r="S427" s="15"/>
      <c r="T427" s="20"/>
      <c r="U427" s="17"/>
      <c r="V427" s="17">
        <f>SUM(L427:U427)</f>
        <v>9</v>
      </c>
      <c r="W427" s="15">
        <f ca="1">IFERROR(__xludf.DUMMYFUNCTION("IFERROR(
  SUM(
    FILTER(
      Reporte!$E:$E, 
      REGEXMATCH(Reporte!$A:$A, ""(?i)(TE PAGÓ|PAGASTE)""), 
      Reporte!$H:$H &amp; """" = AH427 &amp; """"
    )
  ), 
  0
)"),9)</f>
        <v>9</v>
      </c>
      <c r="X427" s="15">
        <f ca="1">IFERROR(__xludf.DUMMYFUNCTION("IFERROR(
  SUM(
    FILTER(
      Efectivo!$C:$C, 
      Efectivo!$D:$D &amp; """" = AH427 &amp; """"
    )
  ), 
  0
)"),0)</f>
        <v>0</v>
      </c>
      <c r="Y427" s="15" t="s">
        <v>34</v>
      </c>
      <c r="Z427" s="15"/>
      <c r="AA427" s="15" t="s">
        <v>35</v>
      </c>
      <c r="AB427" s="15"/>
      <c r="AC427" s="15"/>
      <c r="AD427" s="15" t="str">
        <f t="shared" si="38"/>
        <v/>
      </c>
      <c r="AE427" s="15" t="e">
        <f>IF(
   OR(
     AND(#REF!&gt;0, OR(Y427="C", Y427="c"), U427&lt;0),
     AND(#REF!&gt;0, Y427="")
   ),
   "CORTE",
   ""
)</f>
        <v>#REF!</v>
      </c>
      <c r="AF427" s="15">
        <f t="shared" si="1"/>
        <v>0</v>
      </c>
      <c r="AG427" s="15">
        <f t="shared" si="2"/>
        <v>9</v>
      </c>
      <c r="AH427" s="15" t="str">
        <f t="shared" si="39"/>
        <v>A1</v>
      </c>
      <c r="AI427" s="15" t="str">
        <f t="shared" si="40"/>
        <v>A1-5</v>
      </c>
    </row>
    <row r="428" spans="1:35" ht="15.75" customHeight="1" x14ac:dyDescent="0.35">
      <c r="A428" s="8">
        <v>427</v>
      </c>
      <c r="B428" s="9" t="s">
        <v>527</v>
      </c>
      <c r="C428" s="9" t="s">
        <v>522</v>
      </c>
      <c r="D428" s="8">
        <v>6</v>
      </c>
      <c r="E428" s="10"/>
      <c r="F428" s="11">
        <v>1</v>
      </c>
      <c r="G428" s="10"/>
      <c r="H428" s="11">
        <v>1</v>
      </c>
      <c r="I428" s="11">
        <v>1201</v>
      </c>
      <c r="J428" s="11">
        <v>1210</v>
      </c>
      <c r="K428" s="11">
        <v>9</v>
      </c>
      <c r="L428" s="11">
        <v>9</v>
      </c>
      <c r="M428" s="11"/>
      <c r="N428" s="11">
        <v>0</v>
      </c>
      <c r="O428" s="11"/>
      <c r="P428" s="11">
        <v>3</v>
      </c>
      <c r="Q428" s="11"/>
      <c r="R428" s="19"/>
      <c r="S428" s="10"/>
      <c r="T428" s="21"/>
      <c r="U428" s="12"/>
      <c r="V428" s="12">
        <f t="shared" ref="V428:V436" si="43">SUM(L428:Q428)</f>
        <v>12</v>
      </c>
      <c r="W428" s="10">
        <f ca="1">IFERROR(__xludf.DUMMYFUNCTION("IFERROR(
  SUM(
    FILTER(
      Reporte!$E:$E, 
      REGEXMATCH(Reporte!$A:$A, ""(?i)(TE PAGÓ|PAGASTE)""), 
      Reporte!$H:$H &amp; """" = AH428 &amp; """"
    )
  ), 
  0
)"),12)</f>
        <v>12</v>
      </c>
      <c r="X428" s="10">
        <f ca="1">IFERROR(__xludf.DUMMYFUNCTION("IFERROR(
  SUM(
    FILTER(
      Efectivo!$C:$C, 
      Efectivo!$D:$D &amp; """" = AH428 &amp; """"
    )
  ), 
  0
)"),0)</f>
        <v>0</v>
      </c>
      <c r="Y428" s="10" t="s">
        <v>34</v>
      </c>
      <c r="Z428" s="10"/>
      <c r="AA428" s="10" t="s">
        <v>35</v>
      </c>
      <c r="AB428" s="10"/>
      <c r="AC428" s="10"/>
      <c r="AD428" s="10" t="str">
        <f t="shared" si="38"/>
        <v/>
      </c>
      <c r="AE428" s="10" t="e">
        <f>IF(
   OR(
     AND(#REF!&gt;0, OR(Y428="C", Y428="c"), U428&lt;0),
     AND(#REF!&gt;0, Y428="")
   ),
   "CORTE",
   ""
)</f>
        <v>#REF!</v>
      </c>
      <c r="AF428" s="10">
        <f t="shared" si="1"/>
        <v>0</v>
      </c>
      <c r="AG428" s="10">
        <f t="shared" si="2"/>
        <v>12</v>
      </c>
      <c r="AH428" s="10" t="str">
        <f t="shared" si="39"/>
        <v>A1</v>
      </c>
      <c r="AI428" s="10" t="str">
        <f t="shared" si="40"/>
        <v>A1-6</v>
      </c>
    </row>
    <row r="429" spans="1:35" ht="15.75" customHeight="1" x14ac:dyDescent="0.35">
      <c r="A429" s="13">
        <v>428</v>
      </c>
      <c r="B429" s="14" t="s">
        <v>528</v>
      </c>
      <c r="C429" s="14" t="s">
        <v>522</v>
      </c>
      <c r="D429" s="13">
        <v>7</v>
      </c>
      <c r="E429" s="15"/>
      <c r="F429" s="15"/>
      <c r="G429" s="15"/>
      <c r="H429" s="16">
        <v>1</v>
      </c>
      <c r="I429" s="16">
        <v>272</v>
      </c>
      <c r="J429" s="16">
        <v>278</v>
      </c>
      <c r="K429" s="16">
        <v>6</v>
      </c>
      <c r="L429" s="16">
        <v>6</v>
      </c>
      <c r="M429" s="16"/>
      <c r="N429" s="16">
        <v>0</v>
      </c>
      <c r="O429" s="16"/>
      <c r="P429" s="16">
        <v>3</v>
      </c>
      <c r="Q429" s="16"/>
      <c r="R429" s="18"/>
      <c r="S429" s="15"/>
      <c r="T429" s="20"/>
      <c r="U429" s="17"/>
      <c r="V429" s="17">
        <f t="shared" si="43"/>
        <v>9</v>
      </c>
      <c r="W429" s="15">
        <f ca="1">IFERROR(__xludf.DUMMYFUNCTION("IFERROR(
  SUM(
    FILTER(
      Reporte!$E:$E, 
      REGEXMATCH(Reporte!$A:$A, ""(?i)(TE PAGÓ|PAGASTE)""), 
      Reporte!$H:$H &amp; """" = AH429 &amp; """"
    )
  ), 
  0
)"),9)</f>
        <v>9</v>
      </c>
      <c r="X429" s="15">
        <f ca="1">IFERROR(__xludf.DUMMYFUNCTION("IFERROR(
  SUM(
    FILTER(
      Efectivo!$C:$C, 
      Efectivo!$D:$D &amp; """" = AH429 &amp; """"
    )
  ), 
  0
)"),0)</f>
        <v>0</v>
      </c>
      <c r="Y429" s="15" t="s">
        <v>34</v>
      </c>
      <c r="Z429" s="15"/>
      <c r="AA429" s="15" t="s">
        <v>35</v>
      </c>
      <c r="AB429" s="15"/>
      <c r="AC429" s="15"/>
      <c r="AD429" s="15" t="str">
        <f t="shared" si="38"/>
        <v/>
      </c>
      <c r="AE429" s="15" t="e">
        <f>IF(
   OR(
     AND(#REF!&gt;0, OR(Y429="C", Y429="c"), U429&lt;0),
     AND(#REF!&gt;0, Y429="")
   ),
   "CORTE",
   ""
)</f>
        <v>#REF!</v>
      </c>
      <c r="AF429" s="15">
        <f t="shared" si="1"/>
        <v>0</v>
      </c>
      <c r="AG429" s="15">
        <f t="shared" si="2"/>
        <v>9</v>
      </c>
      <c r="AH429" s="15" t="str">
        <f t="shared" si="39"/>
        <v>A1</v>
      </c>
      <c r="AI429" s="15" t="str">
        <f t="shared" si="40"/>
        <v>A1-7</v>
      </c>
    </row>
    <row r="430" spans="1:35" ht="15.75" customHeight="1" x14ac:dyDescent="0.35">
      <c r="A430" s="8">
        <v>429</v>
      </c>
      <c r="B430" s="9" t="s">
        <v>529</v>
      </c>
      <c r="C430" s="9" t="s">
        <v>522</v>
      </c>
      <c r="D430" s="8">
        <v>8</v>
      </c>
      <c r="E430" s="10"/>
      <c r="F430" s="10"/>
      <c r="G430" s="10"/>
      <c r="H430" s="11">
        <v>1</v>
      </c>
      <c r="I430" s="11">
        <v>446</v>
      </c>
      <c r="J430" s="11">
        <v>453</v>
      </c>
      <c r="K430" s="11">
        <v>7</v>
      </c>
      <c r="L430" s="11">
        <v>7</v>
      </c>
      <c r="M430" s="11"/>
      <c r="N430" s="11">
        <v>0</v>
      </c>
      <c r="O430" s="11"/>
      <c r="P430" s="11">
        <v>3</v>
      </c>
      <c r="Q430" s="11"/>
      <c r="R430" s="19"/>
      <c r="S430" s="10"/>
      <c r="T430" s="21"/>
      <c r="U430" s="12"/>
      <c r="V430" s="12">
        <f t="shared" si="43"/>
        <v>10</v>
      </c>
      <c r="W430" s="10">
        <f ca="1">IFERROR(__xludf.DUMMYFUNCTION("IFERROR(
  SUM(
    FILTER(
      Reporte!$E:$E, 
      REGEXMATCH(Reporte!$A:$A, ""(?i)(TE PAGÓ|PAGASTE)""), 
      Reporte!$H:$H &amp; """" = AH430 &amp; """"
    )
  ), 
  0
)"),10)</f>
        <v>10</v>
      </c>
      <c r="X430" s="10">
        <f ca="1">IFERROR(__xludf.DUMMYFUNCTION("IFERROR(
  SUM(
    FILTER(
      Efectivo!$C:$C, 
      Efectivo!$D:$D &amp; """" = AH430 &amp; """"
    )
  ), 
  0
)"),0)</f>
        <v>0</v>
      </c>
      <c r="Y430" s="10" t="s">
        <v>34</v>
      </c>
      <c r="Z430" s="10"/>
      <c r="AA430" s="10" t="s">
        <v>35</v>
      </c>
      <c r="AB430" s="10"/>
      <c r="AC430" s="10"/>
      <c r="AD430" s="10" t="str">
        <f t="shared" si="38"/>
        <v/>
      </c>
      <c r="AE430" s="10" t="e">
        <f>IF(
   OR(
     AND(#REF!&gt;0, OR(Y430="C", Y430="c"), U430&lt;0),
     AND(#REF!&gt;0, Y430="")
   ),
   "CORTE",
   ""
)</f>
        <v>#REF!</v>
      </c>
      <c r="AF430" s="10">
        <f t="shared" si="1"/>
        <v>0</v>
      </c>
      <c r="AG430" s="10">
        <f t="shared" si="2"/>
        <v>10</v>
      </c>
      <c r="AH430" s="10" t="str">
        <f t="shared" si="39"/>
        <v>A1</v>
      </c>
      <c r="AI430" s="10" t="str">
        <f t="shared" si="40"/>
        <v>A1-8</v>
      </c>
    </row>
    <row r="431" spans="1:35" ht="15.75" customHeight="1" x14ac:dyDescent="0.35">
      <c r="A431" s="13">
        <v>430</v>
      </c>
      <c r="B431" s="14" t="s">
        <v>530</v>
      </c>
      <c r="C431" s="14" t="s">
        <v>522</v>
      </c>
      <c r="D431" s="13">
        <v>11</v>
      </c>
      <c r="E431" s="15"/>
      <c r="F431" s="15"/>
      <c r="G431" s="15"/>
      <c r="H431" s="16">
        <v>1</v>
      </c>
      <c r="I431" s="16">
        <v>62</v>
      </c>
      <c r="J431" s="16">
        <v>66</v>
      </c>
      <c r="K431" s="16">
        <v>4</v>
      </c>
      <c r="L431" s="16">
        <v>5</v>
      </c>
      <c r="M431" s="16"/>
      <c r="N431" s="16">
        <v>0</v>
      </c>
      <c r="O431" s="16"/>
      <c r="P431" s="16">
        <v>3</v>
      </c>
      <c r="Q431" s="16"/>
      <c r="R431" s="18"/>
      <c r="S431" s="15"/>
      <c r="T431" s="20"/>
      <c r="U431" s="17"/>
      <c r="V431" s="17">
        <f t="shared" si="43"/>
        <v>8</v>
      </c>
      <c r="W431" s="15">
        <f ca="1">IFERROR(__xludf.DUMMYFUNCTION("IFERROR(
  SUM(
    FILTER(
      Reporte!$E:$E, 
      REGEXMATCH(Reporte!$A:$A, ""(?i)(TE PAGÓ|PAGASTE)""), 
      Reporte!$H:$H &amp; """" = AH431 &amp; """"
    )
  ), 
  0
)"),0)</f>
        <v>0</v>
      </c>
      <c r="X431" s="15">
        <f ca="1">IFERROR(__xludf.DUMMYFUNCTION("IFERROR(
  SUM(
    FILTER(
      Efectivo!$C:$C, 
      Efectivo!$D:$D &amp; """" = AH431 &amp; """"
    )
  ), 
  0
)"),8)</f>
        <v>8</v>
      </c>
      <c r="Y431" s="15" t="s">
        <v>34</v>
      </c>
      <c r="Z431" s="15"/>
      <c r="AA431" s="15"/>
      <c r="AB431" s="15"/>
      <c r="AC431" s="15"/>
      <c r="AD431" s="15" t="str">
        <f t="shared" si="38"/>
        <v/>
      </c>
      <c r="AE431" s="15" t="e">
        <f>IF(
   OR(
     AND(#REF!&gt;0, OR(Y431="C", Y431="c"), U431&lt;0),
     AND(#REF!&gt;0, Y431="")
   ),
   "CORTE",
   ""
)</f>
        <v>#REF!</v>
      </c>
      <c r="AF431" s="15">
        <f t="shared" si="1"/>
        <v>8</v>
      </c>
      <c r="AG431" s="15">
        <f t="shared" si="2"/>
        <v>0</v>
      </c>
      <c r="AH431" s="15" t="str">
        <f t="shared" si="39"/>
        <v>A1</v>
      </c>
      <c r="AI431" s="15" t="str">
        <f t="shared" si="40"/>
        <v>A1-11</v>
      </c>
    </row>
    <row r="432" spans="1:35" ht="15.75" customHeight="1" x14ac:dyDescent="0.35">
      <c r="A432" s="8">
        <v>431</v>
      </c>
      <c r="B432" s="9" t="s">
        <v>531</v>
      </c>
      <c r="C432" s="9" t="s">
        <v>522</v>
      </c>
      <c r="D432" s="8">
        <v>12</v>
      </c>
      <c r="E432" s="10"/>
      <c r="F432" s="10"/>
      <c r="G432" s="10"/>
      <c r="H432" s="11">
        <v>1</v>
      </c>
      <c r="I432" s="11">
        <v>2449</v>
      </c>
      <c r="J432" s="11">
        <v>2</v>
      </c>
      <c r="K432" s="11">
        <v>5</v>
      </c>
      <c r="L432" s="11">
        <v>5</v>
      </c>
      <c r="M432" s="11">
        <v>8</v>
      </c>
      <c r="N432" s="11">
        <v>0</v>
      </c>
      <c r="O432" s="11"/>
      <c r="P432" s="11">
        <v>3</v>
      </c>
      <c r="Q432" s="11"/>
      <c r="R432" s="19"/>
      <c r="S432" s="10"/>
      <c r="T432" s="21"/>
      <c r="U432" s="12"/>
      <c r="V432" s="12">
        <f t="shared" si="43"/>
        <v>16</v>
      </c>
      <c r="W432" s="10">
        <f ca="1">IFERROR(__xludf.DUMMYFUNCTION("IFERROR(
  SUM(
    FILTER(
      Reporte!$E:$E, 
      REGEXMATCH(Reporte!$A:$A, ""(?i)(TE PAGÓ|PAGASTE)""), 
      Reporte!$H:$H &amp; """" = AH432 &amp; """"
    )
  ), 
  0
)"),16)</f>
        <v>16</v>
      </c>
      <c r="X432" s="10">
        <f ca="1">IFERROR(__xludf.DUMMYFUNCTION("IFERROR(
  SUM(
    FILTER(
      Efectivo!$C:$C, 
      Efectivo!$D:$D &amp; """" = AH432 &amp; """"
    )
  ), 
  0
)"),0)</f>
        <v>0</v>
      </c>
      <c r="Y432" s="10" t="s">
        <v>34</v>
      </c>
      <c r="Z432" s="10"/>
      <c r="AA432" s="10" t="s">
        <v>35</v>
      </c>
      <c r="AB432" s="10"/>
      <c r="AC432" s="10"/>
      <c r="AD432" s="10" t="str">
        <f t="shared" si="38"/>
        <v/>
      </c>
      <c r="AE432" s="10" t="e">
        <f>IF(
   OR(
     AND(#REF!&gt;0, OR(Y432="C", Y432="c"), U432&lt;0),
     AND(#REF!&gt;0, Y432="")
   ),
   "CORTE",
   ""
)</f>
        <v>#REF!</v>
      </c>
      <c r="AF432" s="10">
        <f t="shared" si="1"/>
        <v>0</v>
      </c>
      <c r="AG432" s="10">
        <f t="shared" si="2"/>
        <v>16</v>
      </c>
      <c r="AH432" s="10" t="str">
        <f t="shared" si="39"/>
        <v>A1</v>
      </c>
      <c r="AI432" s="10" t="str">
        <f t="shared" si="40"/>
        <v>A1-12</v>
      </c>
    </row>
    <row r="433" spans="1:35" ht="15.75" customHeight="1" x14ac:dyDescent="0.35">
      <c r="A433" s="13">
        <v>432</v>
      </c>
      <c r="B433" s="14" t="s">
        <v>532</v>
      </c>
      <c r="C433" s="14" t="s">
        <v>522</v>
      </c>
      <c r="D433" s="13">
        <v>13</v>
      </c>
      <c r="E433" s="15"/>
      <c r="F433" s="15"/>
      <c r="G433" s="15"/>
      <c r="H433" s="16">
        <v>1</v>
      </c>
      <c r="I433" s="16">
        <v>56</v>
      </c>
      <c r="J433" s="16">
        <v>56</v>
      </c>
      <c r="K433" s="16">
        <v>5</v>
      </c>
      <c r="L433" s="16">
        <v>5</v>
      </c>
      <c r="M433" s="16"/>
      <c r="N433" s="16">
        <v>0</v>
      </c>
      <c r="O433" s="16"/>
      <c r="P433" s="16">
        <v>3</v>
      </c>
      <c r="Q433" s="16"/>
      <c r="R433" s="18"/>
      <c r="S433" s="15"/>
      <c r="T433" s="20"/>
      <c r="U433" s="17"/>
      <c r="V433" s="17">
        <f t="shared" si="43"/>
        <v>8</v>
      </c>
      <c r="W433" s="15">
        <f ca="1">IFERROR(__xludf.DUMMYFUNCTION("IFERROR(
  SUM(
    FILTER(
      Reporte!$E:$E, 
      REGEXMATCH(Reporte!$A:$A, ""(?i)(TE PAGÓ|PAGASTE)""), 
      Reporte!$H:$H &amp; """" = AH433 &amp; """"
    )
  ), 
  0
)"),0)</f>
        <v>0</v>
      </c>
      <c r="X433" s="15">
        <f ca="1">IFERROR(__xludf.DUMMYFUNCTION("IFERROR(
  SUM(
    FILTER(
      Efectivo!$C:$C, 
      Efectivo!$D:$D &amp; """" = AH433 &amp; """"
    )
  ), 
  0
)"),8)</f>
        <v>8</v>
      </c>
      <c r="Y433" s="15" t="s">
        <v>34</v>
      </c>
      <c r="Z433" s="15"/>
      <c r="AA433" s="15"/>
      <c r="AB433" s="15"/>
      <c r="AC433" s="15"/>
      <c r="AD433" s="15" t="str">
        <f t="shared" si="38"/>
        <v/>
      </c>
      <c r="AE433" s="15" t="e">
        <f>IF(
   OR(
     AND(#REF!&gt;0, OR(Y433="C", Y433="c"), U433&lt;0),
     AND(#REF!&gt;0, Y433="")
   ),
   "CORTE",
   ""
)</f>
        <v>#REF!</v>
      </c>
      <c r="AF433" s="15">
        <f t="shared" si="1"/>
        <v>8</v>
      </c>
      <c r="AG433" s="15">
        <f t="shared" si="2"/>
        <v>0</v>
      </c>
      <c r="AH433" s="15" t="str">
        <f t="shared" si="39"/>
        <v>A1</v>
      </c>
      <c r="AI433" s="15" t="str">
        <f t="shared" si="40"/>
        <v>A1-13</v>
      </c>
    </row>
    <row r="434" spans="1:35" ht="15.75" customHeight="1" x14ac:dyDescent="0.35">
      <c r="A434" s="8">
        <v>433</v>
      </c>
      <c r="B434" s="9" t="s">
        <v>533</v>
      </c>
      <c r="C434" s="9" t="s">
        <v>534</v>
      </c>
      <c r="D434" s="8">
        <v>1</v>
      </c>
      <c r="E434" s="10"/>
      <c r="F434" s="10"/>
      <c r="G434" s="10"/>
      <c r="H434" s="11">
        <v>1</v>
      </c>
      <c r="I434" s="11">
        <v>1729</v>
      </c>
      <c r="J434" s="11">
        <v>1739</v>
      </c>
      <c r="K434" s="11">
        <v>10</v>
      </c>
      <c r="L434" s="11">
        <v>10</v>
      </c>
      <c r="M434" s="11"/>
      <c r="N434" s="11">
        <v>0</v>
      </c>
      <c r="O434" s="11"/>
      <c r="P434" s="11">
        <v>3</v>
      </c>
      <c r="Q434" s="11"/>
      <c r="R434" s="19"/>
      <c r="S434" s="10"/>
      <c r="T434" s="21"/>
      <c r="U434" s="12"/>
      <c r="V434" s="12">
        <f t="shared" si="43"/>
        <v>13</v>
      </c>
      <c r="W434" s="10">
        <f ca="1">IFERROR(__xludf.DUMMYFUNCTION("IFERROR(
  SUM(
    FILTER(
      Reporte!$E:$E, 
      REGEXMATCH(Reporte!$A:$A, ""(?i)(TE PAGÓ|PAGASTE)""), 
      Reporte!$H:$H &amp; """" = AH434 &amp; """"
    )
  ), 
  0
)"),0)</f>
        <v>0</v>
      </c>
      <c r="X434" s="10">
        <f ca="1">IFERROR(__xludf.DUMMYFUNCTION("IFERROR(
  SUM(
    FILTER(
      Efectivo!$C:$C, 
      Efectivo!$D:$D &amp; """" = AH434 &amp; """"
    )
  ), 
  0
)"),13)</f>
        <v>13</v>
      </c>
      <c r="Y434" s="10" t="s">
        <v>34</v>
      </c>
      <c r="Z434" s="10"/>
      <c r="AA434" s="10"/>
      <c r="AB434" s="10"/>
      <c r="AC434" s="10"/>
      <c r="AD434" s="10" t="str">
        <f t="shared" si="38"/>
        <v/>
      </c>
      <c r="AE434" s="10" t="e">
        <f>IF(
   OR(
     AND(#REF!&gt;0, OR(Y434="C", Y434="c"), U434&lt;0),
     AND(#REF!&gt;0, Y434="")
   ),
   "CORTE",
   ""
)</f>
        <v>#REF!</v>
      </c>
      <c r="AF434" s="10">
        <f t="shared" si="1"/>
        <v>13</v>
      </c>
      <c r="AG434" s="10">
        <f t="shared" si="2"/>
        <v>0</v>
      </c>
      <c r="AH434" s="10" t="str">
        <f t="shared" si="39"/>
        <v>B1</v>
      </c>
      <c r="AI434" s="10" t="str">
        <f t="shared" si="40"/>
        <v>B1-1</v>
      </c>
    </row>
    <row r="435" spans="1:35" ht="15.75" customHeight="1" x14ac:dyDescent="0.35">
      <c r="A435" s="13">
        <v>434</v>
      </c>
      <c r="B435" s="14" t="s">
        <v>535</v>
      </c>
      <c r="C435" s="14" t="s">
        <v>534</v>
      </c>
      <c r="D435" s="13">
        <v>3</v>
      </c>
      <c r="E435" s="15"/>
      <c r="F435" s="15"/>
      <c r="G435" s="15"/>
      <c r="H435" s="16">
        <v>1</v>
      </c>
      <c r="I435" s="16">
        <v>33</v>
      </c>
      <c r="J435" s="16">
        <v>33</v>
      </c>
      <c r="K435" s="16">
        <v>5</v>
      </c>
      <c r="L435" s="16">
        <v>5</v>
      </c>
      <c r="M435" s="16"/>
      <c r="N435" s="16">
        <v>0</v>
      </c>
      <c r="O435" s="16"/>
      <c r="P435" s="16">
        <v>3</v>
      </c>
      <c r="Q435" s="16"/>
      <c r="R435" s="18"/>
      <c r="S435" s="15"/>
      <c r="T435" s="20"/>
      <c r="U435" s="17"/>
      <c r="V435" s="17">
        <f t="shared" si="43"/>
        <v>8</v>
      </c>
      <c r="W435" s="15">
        <f ca="1">IFERROR(__xludf.DUMMYFUNCTION("IFERROR(
  SUM(
    FILTER(
      Reporte!$E:$E, 
      REGEXMATCH(Reporte!$A:$A, ""(?i)(TE PAGÓ|PAGASTE)""), 
      Reporte!$H:$H &amp; """" = AH435 &amp; """"
    )
  ), 
  0
)"),8)</f>
        <v>8</v>
      </c>
      <c r="X435" s="15">
        <f ca="1">IFERROR(__xludf.DUMMYFUNCTION("IFERROR(
  SUM(
    FILTER(
      Efectivo!$C:$C, 
      Efectivo!$D:$D &amp; """" = AH435 &amp; """"
    )
  ), 
  0
)"),0)</f>
        <v>0</v>
      </c>
      <c r="Y435" s="15" t="s">
        <v>34</v>
      </c>
      <c r="Z435" s="15"/>
      <c r="AA435" s="15" t="s">
        <v>35</v>
      </c>
      <c r="AB435" s="15"/>
      <c r="AC435" s="15"/>
      <c r="AD435" s="15" t="str">
        <f t="shared" si="38"/>
        <v/>
      </c>
      <c r="AE435" s="15" t="e">
        <f>IF(
   OR(
     AND(#REF!&gt;0, OR(Y435="C", Y435="c"), U435&lt;0),
     AND(#REF!&gt;0, Y435="")
   ),
   "CORTE",
   ""
)</f>
        <v>#REF!</v>
      </c>
      <c r="AF435" s="15">
        <f t="shared" si="1"/>
        <v>0</v>
      </c>
      <c r="AG435" s="15">
        <f t="shared" si="2"/>
        <v>8</v>
      </c>
      <c r="AH435" s="15" t="str">
        <f t="shared" si="39"/>
        <v>B1</v>
      </c>
      <c r="AI435" s="15" t="str">
        <f t="shared" si="40"/>
        <v>B1-3</v>
      </c>
    </row>
    <row r="436" spans="1:35" ht="15.75" customHeight="1" x14ac:dyDescent="0.35">
      <c r="A436" s="8">
        <v>435</v>
      </c>
      <c r="B436" s="9" t="s">
        <v>536</v>
      </c>
      <c r="C436" s="9" t="s">
        <v>534</v>
      </c>
      <c r="D436" s="8">
        <v>4</v>
      </c>
      <c r="E436" s="10"/>
      <c r="F436" s="10"/>
      <c r="G436" s="10"/>
      <c r="H436" s="11">
        <v>1</v>
      </c>
      <c r="I436" s="11">
        <v>107</v>
      </c>
      <c r="J436" s="11">
        <v>119</v>
      </c>
      <c r="K436" s="11">
        <v>12</v>
      </c>
      <c r="L436" s="11">
        <v>12</v>
      </c>
      <c r="M436" s="11"/>
      <c r="N436" s="11">
        <v>0</v>
      </c>
      <c r="O436" s="11"/>
      <c r="P436" s="11">
        <v>3</v>
      </c>
      <c r="Q436" s="11"/>
      <c r="R436" s="19"/>
      <c r="S436" s="10"/>
      <c r="T436" s="21"/>
      <c r="U436" s="12"/>
      <c r="V436" s="12">
        <f t="shared" si="43"/>
        <v>15</v>
      </c>
      <c r="W436" s="10">
        <f ca="1">IFERROR(__xludf.DUMMYFUNCTION("IFERROR(
  SUM(
    FILTER(
      Reporte!$E:$E, 
      REGEXMATCH(Reporte!$A:$A, ""(?i)(TE PAGÓ|PAGASTE)""), 
      Reporte!$H:$H &amp; """" = AH436 &amp; """"
    )
  ), 
  0
)"),15)</f>
        <v>15</v>
      </c>
      <c r="X436" s="10">
        <f ca="1">IFERROR(__xludf.DUMMYFUNCTION("IFERROR(
  SUM(
    FILTER(
      Efectivo!$C:$C, 
      Efectivo!$D:$D &amp; """" = AH436 &amp; """"
    )
  ), 
  0
)"),0)</f>
        <v>0</v>
      </c>
      <c r="Y436" s="10" t="s">
        <v>34</v>
      </c>
      <c r="Z436" s="10"/>
      <c r="AA436" s="10" t="s">
        <v>35</v>
      </c>
      <c r="AB436" s="10"/>
      <c r="AC436" s="10"/>
      <c r="AD436" s="10" t="str">
        <f t="shared" si="38"/>
        <v/>
      </c>
      <c r="AE436" s="10" t="e">
        <f>IF(
   OR(
     AND(#REF!&gt;0, OR(Y436="C", Y436="c"), U436&lt;0),
     AND(#REF!&gt;0, Y436="")
   ),
   "CORTE",
   ""
)</f>
        <v>#REF!</v>
      </c>
      <c r="AF436" s="10">
        <f t="shared" si="1"/>
        <v>0</v>
      </c>
      <c r="AG436" s="10">
        <f t="shared" si="2"/>
        <v>15</v>
      </c>
      <c r="AH436" s="10" t="str">
        <f t="shared" si="39"/>
        <v>B1</v>
      </c>
      <c r="AI436" s="10" t="str">
        <f t="shared" si="40"/>
        <v>B1-4</v>
      </c>
    </row>
    <row r="437" spans="1:35" ht="15.75" customHeight="1" x14ac:dyDescent="0.35">
      <c r="A437" s="13">
        <v>436</v>
      </c>
      <c r="B437" s="14" t="s">
        <v>537</v>
      </c>
      <c r="C437" s="14" t="s">
        <v>534</v>
      </c>
      <c r="D437" s="13">
        <v>5</v>
      </c>
      <c r="E437" s="15"/>
      <c r="F437" s="15"/>
      <c r="G437" s="15"/>
      <c r="H437" s="16">
        <v>1</v>
      </c>
      <c r="I437" s="16">
        <v>1535</v>
      </c>
      <c r="J437" s="16">
        <v>1553</v>
      </c>
      <c r="K437" s="16">
        <v>18</v>
      </c>
      <c r="L437" s="16">
        <v>8</v>
      </c>
      <c r="M437" s="16"/>
      <c r="N437" s="16">
        <v>0</v>
      </c>
      <c r="O437" s="16"/>
      <c r="P437" s="16">
        <v>3</v>
      </c>
      <c r="Q437" s="16"/>
      <c r="R437" s="18"/>
      <c r="S437" s="15"/>
      <c r="T437" s="20"/>
      <c r="U437" s="17"/>
      <c r="V437" s="17">
        <f>SUM(L437:U437)</f>
        <v>11</v>
      </c>
      <c r="W437" s="15">
        <f ca="1">IFERROR(__xludf.DUMMYFUNCTION("IFERROR(
  SUM(
    FILTER(
      Reporte!$E:$E, 
      REGEXMATCH(Reporte!$A:$A, ""(?i)(TE PAGÓ|PAGASTE)""), 
      Reporte!$H:$H &amp; """" = AH437 &amp; """"
    )
  ), 
  0
)"),0)</f>
        <v>0</v>
      </c>
      <c r="X437" s="15">
        <f ca="1">IFERROR(__xludf.DUMMYFUNCTION("IFERROR(
  SUM(
    FILTER(
      Efectivo!$C:$C, 
      Efectivo!$D:$D &amp; """" = AH437 &amp; """"
    )
  ), 
  0
)"),11)</f>
        <v>11</v>
      </c>
      <c r="Y437" s="15" t="s">
        <v>34</v>
      </c>
      <c r="Z437" s="15"/>
      <c r="AA437" s="15"/>
      <c r="AB437" s="15"/>
      <c r="AC437" s="15"/>
      <c r="AD437" s="15" t="str">
        <f t="shared" si="38"/>
        <v/>
      </c>
      <c r="AE437" s="15" t="e">
        <f>IF(
   OR(
     AND(#REF!&gt;0, OR(Y437="C", Y437="c"), U437&lt;0),
     AND(#REF!&gt;0, Y437="")
   ),
   "CORTE",
   ""
)</f>
        <v>#REF!</v>
      </c>
      <c r="AF437" s="15">
        <f t="shared" si="1"/>
        <v>11</v>
      </c>
      <c r="AG437" s="15">
        <f t="shared" si="2"/>
        <v>0</v>
      </c>
      <c r="AH437" s="15" t="str">
        <f t="shared" si="39"/>
        <v>B1</v>
      </c>
      <c r="AI437" s="15" t="str">
        <f t="shared" si="40"/>
        <v>B1-5</v>
      </c>
    </row>
    <row r="438" spans="1:35" ht="15.75" customHeight="1" x14ac:dyDescent="0.35">
      <c r="A438" s="8">
        <v>437</v>
      </c>
      <c r="B438" s="9" t="s">
        <v>538</v>
      </c>
      <c r="C438" s="9" t="s">
        <v>534</v>
      </c>
      <c r="D438" s="8">
        <v>6</v>
      </c>
      <c r="E438" s="10"/>
      <c r="F438" s="10"/>
      <c r="G438" s="10"/>
      <c r="H438" s="11">
        <v>1</v>
      </c>
      <c r="I438" s="11">
        <v>1112</v>
      </c>
      <c r="J438" s="11">
        <v>1123</v>
      </c>
      <c r="K438" s="11">
        <v>11</v>
      </c>
      <c r="L438" s="11">
        <v>11</v>
      </c>
      <c r="M438" s="11"/>
      <c r="N438" s="11">
        <v>0</v>
      </c>
      <c r="O438" s="11"/>
      <c r="P438" s="11">
        <v>3</v>
      </c>
      <c r="Q438" s="11"/>
      <c r="R438" s="19"/>
      <c r="S438" s="10"/>
      <c r="T438" s="21"/>
      <c r="U438" s="12"/>
      <c r="V438" s="12">
        <f>SUM(L438:Q438)</f>
        <v>14</v>
      </c>
      <c r="W438" s="10">
        <f ca="1">IFERROR(__xludf.DUMMYFUNCTION("IFERROR(
  SUM(
    FILTER(
      Reporte!$E:$E, 
      REGEXMATCH(Reporte!$A:$A, ""(?i)(TE PAGÓ|PAGASTE)""), 
      Reporte!$H:$H &amp; """" = AH438 &amp; """"
    )
  ), 
  0
)"),0)</f>
        <v>0</v>
      </c>
      <c r="X438" s="10">
        <f ca="1">IFERROR(__xludf.DUMMYFUNCTION("IFERROR(
  SUM(
    FILTER(
      Efectivo!$C:$C, 
      Efectivo!$D:$D &amp; """" = AH438 &amp; """"
    )
  ), 
  0
)"),0)</f>
        <v>0</v>
      </c>
      <c r="Y438" s="10"/>
      <c r="Z438" s="10"/>
      <c r="AA438" s="10"/>
      <c r="AB438" s="10"/>
      <c r="AC438" s="10"/>
      <c r="AD438" s="10" t="str">
        <f t="shared" si="38"/>
        <v/>
      </c>
      <c r="AE438" s="10" t="e">
        <f>IF(
   OR(
     AND(#REF!&gt;0, OR(Y438="C", Y438="c"), U438&lt;0),
     AND(#REF!&gt;0, Y438="")
   ),
   "CORTE",
   ""
)</f>
        <v>#REF!</v>
      </c>
      <c r="AF438" s="10">
        <f t="shared" si="1"/>
        <v>0</v>
      </c>
      <c r="AG438" s="10">
        <f t="shared" si="2"/>
        <v>0</v>
      </c>
      <c r="AH438" s="10" t="str">
        <f t="shared" si="39"/>
        <v>B1</v>
      </c>
      <c r="AI438" s="10" t="str">
        <f t="shared" si="40"/>
        <v>B1-6</v>
      </c>
    </row>
    <row r="439" spans="1:35" ht="15.75" customHeight="1" x14ac:dyDescent="0.35">
      <c r="A439" s="13">
        <v>438</v>
      </c>
      <c r="B439" s="14" t="s">
        <v>539</v>
      </c>
      <c r="C439" s="14" t="s">
        <v>534</v>
      </c>
      <c r="D439" s="13">
        <v>8</v>
      </c>
      <c r="E439" s="15"/>
      <c r="F439" s="15"/>
      <c r="G439" s="15"/>
      <c r="H439" s="16">
        <v>1</v>
      </c>
      <c r="I439" s="16">
        <v>1726</v>
      </c>
      <c r="J439" s="16">
        <v>1740</v>
      </c>
      <c r="K439" s="16">
        <v>14</v>
      </c>
      <c r="L439" s="16">
        <v>14</v>
      </c>
      <c r="M439" s="16"/>
      <c r="N439" s="16">
        <v>0</v>
      </c>
      <c r="O439" s="16"/>
      <c r="P439" s="16">
        <v>3</v>
      </c>
      <c r="Q439" s="16"/>
      <c r="R439" s="18"/>
      <c r="S439" s="15"/>
      <c r="T439" s="20"/>
      <c r="U439" s="17"/>
      <c r="V439" s="17">
        <f>SUM(L439:Q439)</f>
        <v>17</v>
      </c>
      <c r="W439" s="15">
        <f ca="1">IFERROR(__xludf.DUMMYFUNCTION("IFERROR(
  SUM(
    FILTER(
      Reporte!$E:$E, 
      REGEXMATCH(Reporte!$A:$A, ""(?i)(TE PAGÓ|PAGASTE)""), 
      Reporte!$H:$H &amp; """" = AH439 &amp; """"
    )
  ), 
  0
)"),17)</f>
        <v>17</v>
      </c>
      <c r="X439" s="15">
        <f ca="1">IFERROR(__xludf.DUMMYFUNCTION("IFERROR(
  SUM(
    FILTER(
      Efectivo!$C:$C, 
      Efectivo!$D:$D &amp; """" = AH439 &amp; """"
    )
  ), 
  0
)"),0)</f>
        <v>0</v>
      </c>
      <c r="Y439" s="15" t="s">
        <v>34</v>
      </c>
      <c r="Z439" s="15"/>
      <c r="AA439" s="15" t="s">
        <v>35</v>
      </c>
      <c r="AB439" s="15"/>
      <c r="AC439" s="15"/>
      <c r="AD439" s="15" t="str">
        <f t="shared" si="38"/>
        <v/>
      </c>
      <c r="AE439" s="15" t="e">
        <f>IF(
   OR(
     AND(#REF!&gt;0, OR(Y439="C", Y439="c"), U439&lt;0),
     AND(#REF!&gt;0, Y439="")
   ),
   "CORTE",
   ""
)</f>
        <v>#REF!</v>
      </c>
      <c r="AF439" s="15">
        <f t="shared" si="1"/>
        <v>0</v>
      </c>
      <c r="AG439" s="15">
        <f t="shared" si="2"/>
        <v>17</v>
      </c>
      <c r="AH439" s="15" t="str">
        <f t="shared" si="39"/>
        <v>B1</v>
      </c>
      <c r="AI439" s="15" t="str">
        <f t="shared" si="40"/>
        <v>B1-8</v>
      </c>
    </row>
    <row r="440" spans="1:35" ht="15.75" customHeight="1" x14ac:dyDescent="0.35">
      <c r="A440" s="8">
        <v>439</v>
      </c>
      <c r="B440" s="9" t="s">
        <v>540</v>
      </c>
      <c r="C440" s="9" t="s">
        <v>534</v>
      </c>
      <c r="D440" s="8">
        <v>9</v>
      </c>
      <c r="E440" s="10"/>
      <c r="F440" s="10"/>
      <c r="G440" s="10"/>
      <c r="H440" s="11">
        <v>1</v>
      </c>
      <c r="I440" s="11">
        <v>1643</v>
      </c>
      <c r="J440" s="11">
        <v>1657</v>
      </c>
      <c r="K440" s="11">
        <v>14</v>
      </c>
      <c r="L440" s="11">
        <v>14</v>
      </c>
      <c r="M440" s="11"/>
      <c r="N440" s="11">
        <v>0</v>
      </c>
      <c r="O440" s="11"/>
      <c r="P440" s="11">
        <v>3</v>
      </c>
      <c r="Q440" s="11"/>
      <c r="R440" s="19"/>
      <c r="S440" s="10"/>
      <c r="T440" s="21"/>
      <c r="U440" s="12"/>
      <c r="V440" s="12">
        <f>SUM(L440:U440)</f>
        <v>17</v>
      </c>
      <c r="W440" s="10">
        <f ca="1">IFERROR(__xludf.DUMMYFUNCTION("IFERROR(
  SUM(
    FILTER(
      Reporte!$E:$E, 
      REGEXMATCH(Reporte!$A:$A, ""(?i)(TE PAGÓ|PAGASTE)""), 
      Reporte!$H:$H &amp; """" = AH440 &amp; """"
    )
  ), 
  0
)"),17)</f>
        <v>17</v>
      </c>
      <c r="X440" s="10">
        <f ca="1">IFERROR(__xludf.DUMMYFUNCTION("IFERROR(
  SUM(
    FILTER(
      Efectivo!$C:$C, 
      Efectivo!$D:$D &amp; """" = AH440 &amp; """"
    )
  ), 
  0
)"),0)</f>
        <v>0</v>
      </c>
      <c r="Y440" s="10" t="s">
        <v>34</v>
      </c>
      <c r="Z440" s="10"/>
      <c r="AA440" s="10" t="s">
        <v>35</v>
      </c>
      <c r="AB440" s="10"/>
      <c r="AC440" s="10"/>
      <c r="AD440" s="10" t="str">
        <f t="shared" si="38"/>
        <v/>
      </c>
      <c r="AE440" s="10" t="e">
        <f>IF(
   OR(
     AND(#REF!&gt;0, OR(Y440="C", Y440="c"), U440&lt;0),
     AND(#REF!&gt;0, Y440="")
   ),
   "CORTE",
   ""
)</f>
        <v>#REF!</v>
      </c>
      <c r="AF440" s="10">
        <f t="shared" si="1"/>
        <v>0</v>
      </c>
      <c r="AG440" s="10">
        <f t="shared" si="2"/>
        <v>17</v>
      </c>
      <c r="AH440" s="10" t="str">
        <f t="shared" si="39"/>
        <v>B1</v>
      </c>
      <c r="AI440" s="10" t="str">
        <f t="shared" si="40"/>
        <v>B1-9</v>
      </c>
    </row>
    <row r="441" spans="1:35" ht="15.75" customHeight="1" x14ac:dyDescent="0.35">
      <c r="A441" s="13">
        <v>440</v>
      </c>
      <c r="B441" s="14" t="s">
        <v>541</v>
      </c>
      <c r="C441" s="14" t="s">
        <v>534</v>
      </c>
      <c r="D441" s="13">
        <v>10</v>
      </c>
      <c r="E441" s="15"/>
      <c r="F441" s="15"/>
      <c r="G441" s="15"/>
      <c r="H441" s="16">
        <v>2</v>
      </c>
      <c r="I441" s="16">
        <v>1570</v>
      </c>
      <c r="J441" s="16">
        <v>1580</v>
      </c>
      <c r="K441" s="16">
        <v>10</v>
      </c>
      <c r="L441" s="16">
        <v>10</v>
      </c>
      <c r="M441" s="16"/>
      <c r="N441" s="16">
        <v>0</v>
      </c>
      <c r="O441" s="16"/>
      <c r="P441" s="16">
        <v>3</v>
      </c>
      <c r="Q441" s="16"/>
      <c r="R441" s="18"/>
      <c r="S441" s="15"/>
      <c r="T441" s="20"/>
      <c r="U441" s="17"/>
      <c r="V441" s="17">
        <f t="shared" ref="V441:V451" si="44">SUM(L441:Q441)</f>
        <v>13</v>
      </c>
      <c r="W441" s="15">
        <f ca="1">IFERROR(__xludf.DUMMYFUNCTION("IFERROR(
  SUM(
    FILTER(
      Reporte!$E:$E, 
      REGEXMATCH(Reporte!$A:$A, ""(?i)(TE PAGÓ|PAGASTE)""), 
      Reporte!$H:$H &amp; """" = AH441 &amp; """"
    )
  ), 
  0
)"),0)</f>
        <v>0</v>
      </c>
      <c r="X441" s="15">
        <f ca="1">IFERROR(__xludf.DUMMYFUNCTION("IFERROR(
  SUM(
    FILTER(
      Efectivo!$C:$C, 
      Efectivo!$D:$D &amp; """" = AH441 &amp; """"
    )
  ), 
  0
)"),13)</f>
        <v>13</v>
      </c>
      <c r="Y441" s="15" t="s">
        <v>34</v>
      </c>
      <c r="Z441" s="15"/>
      <c r="AA441" s="15"/>
      <c r="AB441" s="15"/>
      <c r="AC441" s="15"/>
      <c r="AD441" s="15" t="str">
        <f t="shared" si="38"/>
        <v/>
      </c>
      <c r="AE441" s="15" t="e">
        <f>IF(
   OR(
     AND(#REF!&gt;0, OR(Y441="C", Y441="c"), U441&lt;0),
     AND(#REF!&gt;0, Y441="")
   ),
   "CORTE",
   ""
)</f>
        <v>#REF!</v>
      </c>
      <c r="AF441" s="15">
        <f t="shared" si="1"/>
        <v>13</v>
      </c>
      <c r="AG441" s="15">
        <f t="shared" si="2"/>
        <v>0</v>
      </c>
      <c r="AH441" s="15" t="str">
        <f t="shared" si="39"/>
        <v>B1</v>
      </c>
      <c r="AI441" s="15" t="str">
        <f t="shared" si="40"/>
        <v>B1-10</v>
      </c>
    </row>
    <row r="442" spans="1:35" ht="15.75" customHeight="1" x14ac:dyDescent="0.35">
      <c r="A442" s="8">
        <v>441</v>
      </c>
      <c r="B442" s="9" t="s">
        <v>542</v>
      </c>
      <c r="C442" s="9" t="s">
        <v>534</v>
      </c>
      <c r="D442" s="8">
        <v>11</v>
      </c>
      <c r="E442" s="10"/>
      <c r="F442" s="10"/>
      <c r="G442" s="10"/>
      <c r="H442" s="11">
        <v>2</v>
      </c>
      <c r="I442" s="11">
        <v>776</v>
      </c>
      <c r="J442" s="11">
        <v>790</v>
      </c>
      <c r="K442" s="11">
        <v>14</v>
      </c>
      <c r="L442" s="11">
        <v>14</v>
      </c>
      <c r="M442" s="11"/>
      <c r="N442" s="11">
        <v>0</v>
      </c>
      <c r="O442" s="11"/>
      <c r="P442" s="11">
        <v>3</v>
      </c>
      <c r="Q442" s="11"/>
      <c r="R442" s="19"/>
      <c r="S442" s="10"/>
      <c r="T442" s="21"/>
      <c r="U442" s="12"/>
      <c r="V442" s="12">
        <f t="shared" si="44"/>
        <v>17</v>
      </c>
      <c r="W442" s="10">
        <f ca="1">IFERROR(__xludf.DUMMYFUNCTION("IFERROR(
  SUM(
    FILTER(
      Reporte!$E:$E, 
      REGEXMATCH(Reporte!$A:$A, ""(?i)(TE PAGÓ|PAGASTE)""), 
      Reporte!$H:$H &amp; """" = AH442 &amp; """"
    )
  ), 
  0
)"),17)</f>
        <v>17</v>
      </c>
      <c r="X442" s="10">
        <f ca="1">IFERROR(__xludf.DUMMYFUNCTION("IFERROR(
  SUM(
    FILTER(
      Efectivo!$C:$C, 
      Efectivo!$D:$D &amp; """" = AH442 &amp; """"
    )
  ), 
  0
)"),0)</f>
        <v>0</v>
      </c>
      <c r="Y442" s="10" t="s">
        <v>34</v>
      </c>
      <c r="Z442" s="10"/>
      <c r="AA442" s="10" t="s">
        <v>35</v>
      </c>
      <c r="AB442" s="10"/>
      <c r="AC442" s="10"/>
      <c r="AD442" s="10" t="str">
        <f t="shared" si="38"/>
        <v/>
      </c>
      <c r="AE442" s="10" t="e">
        <f>IF(
   OR(
     AND(#REF!&gt;0, OR(Y442="C", Y442="c"), U442&lt;0),
     AND(#REF!&gt;0, Y442="")
   ),
   "CORTE",
   ""
)</f>
        <v>#REF!</v>
      </c>
      <c r="AF442" s="10">
        <f t="shared" si="1"/>
        <v>0</v>
      </c>
      <c r="AG442" s="10">
        <f t="shared" si="2"/>
        <v>17</v>
      </c>
      <c r="AH442" s="10" t="str">
        <f t="shared" si="39"/>
        <v>B1</v>
      </c>
      <c r="AI442" s="10" t="str">
        <f t="shared" si="40"/>
        <v>B1-11</v>
      </c>
    </row>
    <row r="443" spans="1:35" ht="15.75" customHeight="1" x14ac:dyDescent="0.35">
      <c r="A443" s="13">
        <v>442</v>
      </c>
      <c r="B443" s="14" t="s">
        <v>457</v>
      </c>
      <c r="C443" s="14" t="s">
        <v>534</v>
      </c>
      <c r="D443" s="13">
        <v>12</v>
      </c>
      <c r="E443" s="15"/>
      <c r="F443" s="15"/>
      <c r="G443" s="15"/>
      <c r="H443" s="16">
        <v>1</v>
      </c>
      <c r="I443" s="16">
        <v>218</v>
      </c>
      <c r="J443" s="16">
        <v>234</v>
      </c>
      <c r="K443" s="16">
        <v>16</v>
      </c>
      <c r="L443" s="16">
        <v>16</v>
      </c>
      <c r="M443" s="16"/>
      <c r="N443" s="16">
        <v>0</v>
      </c>
      <c r="O443" s="16"/>
      <c r="P443" s="16">
        <v>3</v>
      </c>
      <c r="Q443" s="16"/>
      <c r="R443" s="18"/>
      <c r="S443" s="15"/>
      <c r="T443" s="20"/>
      <c r="U443" s="17"/>
      <c r="V443" s="17">
        <f t="shared" si="44"/>
        <v>19</v>
      </c>
      <c r="W443" s="15">
        <f ca="1">IFERROR(__xludf.DUMMYFUNCTION("IFERROR(
  SUM(
    FILTER(
      Reporte!$E:$E, 
      REGEXMATCH(Reporte!$A:$A, ""(?i)(TE PAGÓ|PAGASTE)""), 
      Reporte!$H:$H &amp; """" = AH443 &amp; """"
    )
  ), 
  0
)"),0)</f>
        <v>0</v>
      </c>
      <c r="X443" s="15">
        <f ca="1">IFERROR(__xludf.DUMMYFUNCTION("IFERROR(
  SUM(
    FILTER(
      Efectivo!$C:$C, 
      Efectivo!$D:$D &amp; """" = AH443 &amp; """"
    )
  ), 
  0
)"),19)</f>
        <v>19</v>
      </c>
      <c r="Y443" s="15" t="s">
        <v>34</v>
      </c>
      <c r="Z443" s="15"/>
      <c r="AA443" s="15"/>
      <c r="AB443" s="15"/>
      <c r="AC443" s="15"/>
      <c r="AD443" s="15" t="str">
        <f t="shared" si="38"/>
        <v/>
      </c>
      <c r="AE443" s="15" t="e">
        <f>IF(
   OR(
     AND(#REF!&gt;0, OR(Y443="C", Y443="c"), U443&lt;0),
     AND(#REF!&gt;0, Y443="")
   ),
   "CORTE",
   ""
)</f>
        <v>#REF!</v>
      </c>
      <c r="AF443" s="15">
        <f t="shared" si="1"/>
        <v>19</v>
      </c>
      <c r="AG443" s="15">
        <f t="shared" si="2"/>
        <v>0</v>
      </c>
      <c r="AH443" s="15" t="str">
        <f t="shared" si="39"/>
        <v>B1</v>
      </c>
      <c r="AI443" s="15" t="str">
        <f t="shared" si="40"/>
        <v>B1-12</v>
      </c>
    </row>
    <row r="444" spans="1:35" ht="15.75" customHeight="1" x14ac:dyDescent="0.35">
      <c r="A444" s="8">
        <v>443</v>
      </c>
      <c r="B444" s="9" t="s">
        <v>543</v>
      </c>
      <c r="C444" s="9" t="s">
        <v>534</v>
      </c>
      <c r="D444" s="8">
        <v>13</v>
      </c>
      <c r="E444" s="10"/>
      <c r="F444" s="10"/>
      <c r="G444" s="10"/>
      <c r="H444" s="11">
        <v>1</v>
      </c>
      <c r="I444" s="11">
        <v>15</v>
      </c>
      <c r="J444" s="11">
        <v>46</v>
      </c>
      <c r="K444" s="11">
        <v>31</v>
      </c>
      <c r="L444" s="11">
        <v>31</v>
      </c>
      <c r="M444" s="11"/>
      <c r="N444" s="11">
        <v>0</v>
      </c>
      <c r="O444" s="11"/>
      <c r="P444" s="11">
        <v>3</v>
      </c>
      <c r="Q444" s="11"/>
      <c r="R444" s="19"/>
      <c r="S444" s="10"/>
      <c r="T444" s="21"/>
      <c r="U444" s="12"/>
      <c r="V444" s="12">
        <f t="shared" si="44"/>
        <v>34</v>
      </c>
      <c r="W444" s="10">
        <f ca="1">IFERROR(__xludf.DUMMYFUNCTION("IFERROR(
  SUM(
    FILTER(
      Reporte!$E:$E, 
      REGEXMATCH(Reporte!$A:$A, ""(?i)(TE PAGÓ|PAGASTE)""), 
      Reporte!$H:$H &amp; """" = AH444 &amp; """"
    )
  ), 
  0
)"),34)</f>
        <v>34</v>
      </c>
      <c r="X444" s="10">
        <f ca="1">IFERROR(__xludf.DUMMYFUNCTION("IFERROR(
  SUM(
    FILTER(
      Efectivo!$C:$C, 
      Efectivo!$D:$D &amp; """" = AH444 &amp; """"
    )
  ), 
  0
)"),0)</f>
        <v>0</v>
      </c>
      <c r="Y444" s="10" t="s">
        <v>34</v>
      </c>
      <c r="Z444" s="10"/>
      <c r="AA444" s="10" t="s">
        <v>35</v>
      </c>
      <c r="AB444" s="10"/>
      <c r="AC444" s="10"/>
      <c r="AD444" s="10" t="str">
        <f t="shared" si="38"/>
        <v/>
      </c>
      <c r="AE444" s="10" t="e">
        <f>IF(
   OR(
     AND(#REF!&gt;0, OR(Y444="C", Y444="c"), U444&lt;0),
     AND(#REF!&gt;0, Y444="")
   ),
   "CORTE",
   ""
)</f>
        <v>#REF!</v>
      </c>
      <c r="AF444" s="10">
        <f t="shared" si="1"/>
        <v>0</v>
      </c>
      <c r="AG444" s="10">
        <f t="shared" si="2"/>
        <v>34</v>
      </c>
      <c r="AH444" s="10" t="str">
        <f t="shared" si="39"/>
        <v>B1</v>
      </c>
      <c r="AI444" s="10" t="str">
        <f t="shared" si="40"/>
        <v>B1-13</v>
      </c>
    </row>
    <row r="445" spans="1:35" ht="15.75" customHeight="1" x14ac:dyDescent="0.35">
      <c r="A445" s="13">
        <v>444</v>
      </c>
      <c r="B445" s="14" t="s">
        <v>544</v>
      </c>
      <c r="C445" s="14" t="s">
        <v>534</v>
      </c>
      <c r="D445" s="13">
        <v>14</v>
      </c>
      <c r="E445" s="15"/>
      <c r="F445" s="15"/>
      <c r="G445" s="15"/>
      <c r="H445" s="16">
        <v>1</v>
      </c>
      <c r="I445" s="16">
        <v>285</v>
      </c>
      <c r="J445" s="16">
        <v>286</v>
      </c>
      <c r="K445" s="16">
        <v>1</v>
      </c>
      <c r="L445" s="16">
        <v>5</v>
      </c>
      <c r="M445" s="16"/>
      <c r="N445" s="16">
        <v>0</v>
      </c>
      <c r="O445" s="16"/>
      <c r="P445" s="16">
        <v>3</v>
      </c>
      <c r="Q445" s="16"/>
      <c r="R445" s="18"/>
      <c r="S445" s="15"/>
      <c r="T445" s="20"/>
      <c r="U445" s="17"/>
      <c r="V445" s="17">
        <f t="shared" si="44"/>
        <v>8</v>
      </c>
      <c r="W445" s="15">
        <f ca="1">IFERROR(__xludf.DUMMYFUNCTION("IFERROR(
  SUM(
    FILTER(
      Reporte!$E:$E, 
      REGEXMATCH(Reporte!$A:$A, ""(?i)(TE PAGÓ|PAGASTE)""), 
      Reporte!$H:$H &amp; """" = AH445 &amp; """"
    )
  ), 
  0
)"),8)</f>
        <v>8</v>
      </c>
      <c r="X445" s="15">
        <f ca="1">IFERROR(__xludf.DUMMYFUNCTION("IFERROR(
  SUM(
    FILTER(
      Efectivo!$C:$C, 
      Efectivo!$D:$D &amp; """" = AH445 &amp; """"
    )
  ), 
  0
)"),0)</f>
        <v>0</v>
      </c>
      <c r="Y445" s="15" t="s">
        <v>34</v>
      </c>
      <c r="Z445" s="15"/>
      <c r="AA445" s="15" t="s">
        <v>35</v>
      </c>
      <c r="AB445" s="15"/>
      <c r="AC445" s="15"/>
      <c r="AD445" s="15" t="str">
        <f t="shared" si="38"/>
        <v/>
      </c>
      <c r="AE445" s="15" t="e">
        <f>IF(
   OR(
     AND(#REF!&gt;0, OR(Y445="C", Y445="c"), U445&lt;0),
     AND(#REF!&gt;0, Y445="")
   ),
   "CORTE",
   ""
)</f>
        <v>#REF!</v>
      </c>
      <c r="AF445" s="15">
        <f t="shared" si="1"/>
        <v>0</v>
      </c>
      <c r="AG445" s="15">
        <f t="shared" si="2"/>
        <v>8</v>
      </c>
      <c r="AH445" s="15" t="str">
        <f t="shared" si="39"/>
        <v>B1</v>
      </c>
      <c r="AI445" s="15" t="str">
        <f t="shared" si="40"/>
        <v>B1-14</v>
      </c>
    </row>
    <row r="446" spans="1:35" ht="15.75" customHeight="1" x14ac:dyDescent="0.35">
      <c r="A446" s="8">
        <v>445</v>
      </c>
      <c r="B446" s="9" t="s">
        <v>545</v>
      </c>
      <c r="C446" s="9" t="s">
        <v>546</v>
      </c>
      <c r="D446" s="8">
        <v>1</v>
      </c>
      <c r="E446" s="10"/>
      <c r="F446" s="10"/>
      <c r="G446" s="10"/>
      <c r="H446" s="11">
        <v>1</v>
      </c>
      <c r="I446" s="11">
        <v>1921</v>
      </c>
      <c r="J446" s="11">
        <v>1930</v>
      </c>
      <c r="K446" s="11">
        <v>9</v>
      </c>
      <c r="L446" s="11">
        <v>9</v>
      </c>
      <c r="M446" s="11"/>
      <c r="N446" s="11">
        <v>0</v>
      </c>
      <c r="O446" s="11"/>
      <c r="P446" s="11">
        <v>3</v>
      </c>
      <c r="Q446" s="11"/>
      <c r="R446" s="19"/>
      <c r="S446" s="10"/>
      <c r="T446" s="21"/>
      <c r="U446" s="12"/>
      <c r="V446" s="12">
        <f t="shared" si="44"/>
        <v>12</v>
      </c>
      <c r="W446" s="10">
        <f ca="1">IFERROR(__xludf.DUMMYFUNCTION("IFERROR(
  SUM(
    FILTER(
      Reporte!$E:$E, 
      REGEXMATCH(Reporte!$A:$A, ""(?i)(TE PAGÓ|PAGASTE)""), 
      Reporte!$H:$H &amp; """" = AH446 &amp; """"
    )
  ), 
  0
)"),12)</f>
        <v>12</v>
      </c>
      <c r="X446" s="10">
        <f ca="1">IFERROR(__xludf.DUMMYFUNCTION("IFERROR(
  SUM(
    FILTER(
      Efectivo!$C:$C, 
      Efectivo!$D:$D &amp; """" = AH446 &amp; """"
    )
  ), 
  0
)"),0)</f>
        <v>0</v>
      </c>
      <c r="Y446" s="10" t="s">
        <v>34</v>
      </c>
      <c r="Z446" s="10"/>
      <c r="AA446" s="10" t="s">
        <v>35</v>
      </c>
      <c r="AB446" s="10"/>
      <c r="AC446" s="10"/>
      <c r="AD446" s="10" t="str">
        <f t="shared" si="38"/>
        <v/>
      </c>
      <c r="AE446" s="10" t="e">
        <f>IF(
   OR(
     AND(#REF!&gt;0, OR(Y446="C", Y446="c"), U446&lt;0),
     AND(#REF!&gt;0, Y446="")
   ),
   "CORTE",
   ""
)</f>
        <v>#REF!</v>
      </c>
      <c r="AF446" s="10">
        <f t="shared" si="1"/>
        <v>0</v>
      </c>
      <c r="AG446" s="10">
        <f t="shared" si="2"/>
        <v>12</v>
      </c>
      <c r="AH446" s="10" t="str">
        <f t="shared" si="39"/>
        <v>C1</v>
      </c>
      <c r="AI446" s="10" t="str">
        <f t="shared" si="40"/>
        <v>C1-1</v>
      </c>
    </row>
    <row r="447" spans="1:35" ht="15.75" customHeight="1" x14ac:dyDescent="0.35">
      <c r="A447" s="13">
        <v>446</v>
      </c>
      <c r="B447" s="14" t="s">
        <v>547</v>
      </c>
      <c r="C447" s="14" t="s">
        <v>546</v>
      </c>
      <c r="D447" s="13">
        <v>2</v>
      </c>
      <c r="E447" s="15"/>
      <c r="F447" s="15"/>
      <c r="G447" s="15"/>
      <c r="H447" s="16">
        <v>1</v>
      </c>
      <c r="I447" s="16">
        <v>1</v>
      </c>
      <c r="J447" s="16">
        <v>1</v>
      </c>
      <c r="K447" s="16">
        <v>5</v>
      </c>
      <c r="L447" s="16">
        <v>5</v>
      </c>
      <c r="M447" s="16"/>
      <c r="N447" s="16">
        <v>0</v>
      </c>
      <c r="O447" s="16"/>
      <c r="P447" s="16">
        <v>3</v>
      </c>
      <c r="Q447" s="16"/>
      <c r="R447" s="18"/>
      <c r="S447" s="15"/>
      <c r="T447" s="20"/>
      <c r="U447" s="17"/>
      <c r="V447" s="17">
        <f t="shared" si="44"/>
        <v>8</v>
      </c>
      <c r="W447" s="15">
        <f ca="1">IFERROR(__xludf.DUMMYFUNCTION("IFERROR(
  SUM(
    FILTER(
      Reporte!$E:$E, 
      REGEXMATCH(Reporte!$A:$A, ""(?i)(TE PAGÓ|PAGASTE)""), 
      Reporte!$H:$H &amp; """" = AH447 &amp; """"
    )
  ), 
  0
)"),8)</f>
        <v>8</v>
      </c>
      <c r="X447" s="15">
        <f ca="1">IFERROR(__xludf.DUMMYFUNCTION("IFERROR(
  SUM(
    FILTER(
      Efectivo!$C:$C, 
      Efectivo!$D:$D &amp; """" = AH447 &amp; """"
    )
  ), 
  0
)"),0)</f>
        <v>0</v>
      </c>
      <c r="Y447" s="15" t="s">
        <v>34</v>
      </c>
      <c r="Z447" s="15"/>
      <c r="AA447" s="15" t="s">
        <v>35</v>
      </c>
      <c r="AB447" s="15"/>
      <c r="AC447" s="15"/>
      <c r="AD447" s="15" t="str">
        <f t="shared" si="38"/>
        <v/>
      </c>
      <c r="AE447" s="15" t="e">
        <f>IF(
   OR(
     AND(#REF!&gt;0, OR(Y447="C", Y447="c"), U447&lt;0),
     AND(#REF!&gt;0, Y447="")
   ),
   "CORTE",
   ""
)</f>
        <v>#REF!</v>
      </c>
      <c r="AF447" s="15">
        <f t="shared" si="1"/>
        <v>0</v>
      </c>
      <c r="AG447" s="15">
        <f t="shared" si="2"/>
        <v>8</v>
      </c>
      <c r="AH447" s="15" t="str">
        <f t="shared" si="39"/>
        <v>C1</v>
      </c>
      <c r="AI447" s="15" t="str">
        <f t="shared" si="40"/>
        <v>C1-2</v>
      </c>
    </row>
    <row r="448" spans="1:35" ht="15.75" customHeight="1" x14ac:dyDescent="0.35">
      <c r="A448" s="8">
        <v>447</v>
      </c>
      <c r="B448" s="9" t="s">
        <v>548</v>
      </c>
      <c r="C448" s="9" t="s">
        <v>546</v>
      </c>
      <c r="D448" s="8">
        <v>3</v>
      </c>
      <c r="E448" s="10"/>
      <c r="F448" s="10"/>
      <c r="G448" s="10"/>
      <c r="H448" s="11">
        <v>1</v>
      </c>
      <c r="I448" s="11">
        <v>412</v>
      </c>
      <c r="J448" s="11">
        <v>415</v>
      </c>
      <c r="K448" s="11">
        <v>3</v>
      </c>
      <c r="L448" s="11">
        <v>5</v>
      </c>
      <c r="M448" s="11"/>
      <c r="N448" s="11">
        <v>0</v>
      </c>
      <c r="O448" s="11"/>
      <c r="P448" s="11">
        <v>3</v>
      </c>
      <c r="Q448" s="11"/>
      <c r="R448" s="19"/>
      <c r="S448" s="10"/>
      <c r="T448" s="21"/>
      <c r="U448" s="12"/>
      <c r="V448" s="12">
        <f t="shared" si="44"/>
        <v>8</v>
      </c>
      <c r="W448" s="10">
        <f ca="1">IFERROR(__xludf.DUMMYFUNCTION("IFERROR(
  SUM(
    FILTER(
      Reporte!$E:$E, 
      REGEXMATCH(Reporte!$A:$A, ""(?i)(TE PAGÓ|PAGASTE)""), 
      Reporte!$H:$H &amp; """" = AH448 &amp; """"
    )
  ), 
  0
)"),0)</f>
        <v>0</v>
      </c>
      <c r="X448" s="10">
        <f ca="1">IFERROR(__xludf.DUMMYFUNCTION("IFERROR(
  SUM(
    FILTER(
      Efectivo!$C:$C, 
      Efectivo!$D:$D &amp; """" = AH448 &amp; """"
    )
  ), 
  0
)"),0)</f>
        <v>0</v>
      </c>
      <c r="Y448" s="10"/>
      <c r="Z448" s="10"/>
      <c r="AA448" s="10"/>
      <c r="AB448" s="10"/>
      <c r="AC448" s="10"/>
      <c r="AD448" s="10" t="str">
        <f t="shared" si="38"/>
        <v/>
      </c>
      <c r="AE448" s="10" t="e">
        <f>IF(
   OR(
     AND(#REF!&gt;0, OR(Y448="C", Y448="c"), U448&lt;0),
     AND(#REF!&gt;0, Y448="")
   ),
   "CORTE",
   ""
)</f>
        <v>#REF!</v>
      </c>
      <c r="AF448" s="10">
        <f t="shared" si="1"/>
        <v>0</v>
      </c>
      <c r="AG448" s="10">
        <f t="shared" si="2"/>
        <v>0</v>
      </c>
      <c r="AH448" s="10" t="str">
        <f t="shared" si="39"/>
        <v>C1</v>
      </c>
      <c r="AI448" s="10" t="str">
        <f t="shared" si="40"/>
        <v>C1-3</v>
      </c>
    </row>
    <row r="449" spans="1:35" ht="15.75" customHeight="1" x14ac:dyDescent="0.35">
      <c r="A449" s="13">
        <v>448</v>
      </c>
      <c r="B449" s="14" t="s">
        <v>549</v>
      </c>
      <c r="C449" s="14" t="s">
        <v>546</v>
      </c>
      <c r="D449" s="13">
        <v>4</v>
      </c>
      <c r="E449" s="15"/>
      <c r="F449" s="15"/>
      <c r="G449" s="15"/>
      <c r="H449" s="16">
        <v>1</v>
      </c>
      <c r="I449" s="16">
        <v>534</v>
      </c>
      <c r="J449" s="16">
        <v>575</v>
      </c>
      <c r="K449" s="16">
        <v>41</v>
      </c>
      <c r="L449" s="16">
        <v>41</v>
      </c>
      <c r="M449" s="16"/>
      <c r="N449" s="16">
        <v>0</v>
      </c>
      <c r="O449" s="16"/>
      <c r="P449" s="16">
        <v>3</v>
      </c>
      <c r="Q449" s="16"/>
      <c r="R449" s="18"/>
      <c r="S449" s="15"/>
      <c r="T449" s="20"/>
      <c r="U449" s="17"/>
      <c r="V449" s="17">
        <f t="shared" si="44"/>
        <v>44</v>
      </c>
      <c r="W449" s="15">
        <f ca="1">IFERROR(__xludf.DUMMYFUNCTION("IFERROR(
  SUM(
    FILTER(
      Reporte!$E:$E, 
      REGEXMATCH(Reporte!$A:$A, ""(?i)(TE PAGÓ|PAGASTE)""), 
      Reporte!$H:$H &amp; """" = AH449 &amp; """"
    )
  ), 
  0
)"),44)</f>
        <v>44</v>
      </c>
      <c r="X449" s="15">
        <f ca="1">IFERROR(__xludf.DUMMYFUNCTION("IFERROR(
  SUM(
    FILTER(
      Efectivo!$C:$C, 
      Efectivo!$D:$D &amp; """" = AH449 &amp; """"
    )
  ), 
  0
)"),0)</f>
        <v>0</v>
      </c>
      <c r="Y449" s="15" t="s">
        <v>34</v>
      </c>
      <c r="Z449" s="15"/>
      <c r="AA449" s="15" t="s">
        <v>35</v>
      </c>
      <c r="AB449" s="15"/>
      <c r="AC449" s="15"/>
      <c r="AD449" s="15" t="str">
        <f t="shared" si="38"/>
        <v/>
      </c>
      <c r="AE449" s="15" t="e">
        <f>IF(
   OR(
     AND(#REF!&gt;0, OR(Y449="C", Y449="c"), U449&lt;0),
     AND(#REF!&gt;0, Y449="")
   ),
   "CORTE",
   ""
)</f>
        <v>#REF!</v>
      </c>
      <c r="AF449" s="15">
        <f t="shared" si="1"/>
        <v>0</v>
      </c>
      <c r="AG449" s="15">
        <f t="shared" si="2"/>
        <v>44</v>
      </c>
      <c r="AH449" s="15" t="str">
        <f t="shared" si="39"/>
        <v>C1</v>
      </c>
      <c r="AI449" s="15" t="str">
        <f t="shared" si="40"/>
        <v>C1-4</v>
      </c>
    </row>
    <row r="450" spans="1:35" ht="15.75" customHeight="1" x14ac:dyDescent="0.35">
      <c r="A450" s="8">
        <v>449</v>
      </c>
      <c r="B450" s="9" t="s">
        <v>550</v>
      </c>
      <c r="C450" s="9" t="s">
        <v>546</v>
      </c>
      <c r="D450" s="8">
        <v>5</v>
      </c>
      <c r="E450" s="10"/>
      <c r="F450" s="10"/>
      <c r="G450" s="10"/>
      <c r="H450" s="11">
        <v>1</v>
      </c>
      <c r="I450" s="11">
        <v>80</v>
      </c>
      <c r="J450" s="11">
        <v>89</v>
      </c>
      <c r="K450" s="11">
        <v>9</v>
      </c>
      <c r="L450" s="11">
        <v>9</v>
      </c>
      <c r="M450" s="11"/>
      <c r="N450" s="11">
        <v>0</v>
      </c>
      <c r="O450" s="11"/>
      <c r="P450" s="11">
        <v>3</v>
      </c>
      <c r="Q450" s="11"/>
      <c r="R450" s="19"/>
      <c r="S450" s="10"/>
      <c r="T450" s="21"/>
      <c r="U450" s="12"/>
      <c r="V450" s="12">
        <f t="shared" si="44"/>
        <v>12</v>
      </c>
      <c r="W450" s="10">
        <f ca="1">IFERROR(__xludf.DUMMYFUNCTION("IFERROR(
  SUM(
    FILTER(
      Reporte!$E:$E, 
      REGEXMATCH(Reporte!$A:$A, ""(?i)(TE PAGÓ|PAGASTE)""), 
      Reporte!$H:$H &amp; """" = AH450 &amp; """"
    )
  ), 
  0
)"),0)</f>
        <v>0</v>
      </c>
      <c r="X450" s="10">
        <f ca="1">IFERROR(__xludf.DUMMYFUNCTION("IFERROR(
  SUM(
    FILTER(
      Efectivo!$C:$C, 
      Efectivo!$D:$D &amp; """" = AH450 &amp; """"
    )
  ), 
  0
)"),0)</f>
        <v>0</v>
      </c>
      <c r="Y450" s="10"/>
      <c r="Z450" s="10"/>
      <c r="AA450" s="10"/>
      <c r="AB450" s="10"/>
      <c r="AC450" s="10"/>
      <c r="AD450" s="10" t="str">
        <f t="shared" ref="AD450:AD500" si="45">IF(AND(L450&gt;0, M450&gt;=8, NOT(OR(Y450="C", Y450="c"))), "CORTE", "")</f>
        <v/>
      </c>
      <c r="AE450" s="10" t="e">
        <f>IF(
   OR(
     AND(#REF!&gt;0, OR(Y450="C", Y450="c"), U450&lt;0),
     AND(#REF!&gt;0, Y450="")
   ),
   "CORTE",
   ""
)</f>
        <v>#REF!</v>
      </c>
      <c r="AF450" s="10">
        <f t="shared" si="1"/>
        <v>0</v>
      </c>
      <c r="AG450" s="10">
        <f t="shared" si="2"/>
        <v>0</v>
      </c>
      <c r="AH450" s="10" t="str">
        <f t="shared" ref="AH450:AH500" si="46">TRIM(UPPER(C450))</f>
        <v>C1</v>
      </c>
      <c r="AI450" s="10" t="str">
        <f t="shared" ref="AI450:AI500" si="47">TRIM(UPPER(C450)) &amp; "-" &amp; TRIM(UPPER(D450))</f>
        <v>C1-5</v>
      </c>
    </row>
    <row r="451" spans="1:35" ht="15.75" customHeight="1" x14ac:dyDescent="0.35">
      <c r="A451" s="13">
        <v>450</v>
      </c>
      <c r="B451" s="14" t="s">
        <v>551</v>
      </c>
      <c r="C451" s="14" t="s">
        <v>546</v>
      </c>
      <c r="D451" s="13">
        <v>6</v>
      </c>
      <c r="E451" s="15"/>
      <c r="F451" s="15"/>
      <c r="G451" s="15"/>
      <c r="H451" s="16">
        <v>1</v>
      </c>
      <c r="I451" s="16">
        <v>913</v>
      </c>
      <c r="J451" s="16">
        <v>918</v>
      </c>
      <c r="K451" s="16">
        <v>5</v>
      </c>
      <c r="L451" s="16">
        <v>5</v>
      </c>
      <c r="M451" s="16"/>
      <c r="N451" s="16">
        <v>0</v>
      </c>
      <c r="O451" s="16"/>
      <c r="P451" s="16">
        <v>3</v>
      </c>
      <c r="Q451" s="16"/>
      <c r="R451" s="18"/>
      <c r="S451" s="15"/>
      <c r="T451" s="20"/>
      <c r="U451" s="17"/>
      <c r="V451" s="17">
        <f t="shared" si="44"/>
        <v>8</v>
      </c>
      <c r="W451" s="15">
        <f ca="1">IFERROR(__xludf.DUMMYFUNCTION("IFERROR(
  SUM(
    FILTER(
      Reporte!$E:$E, 
      REGEXMATCH(Reporte!$A:$A, ""(?i)(TE PAGÓ|PAGASTE)""), 
      Reporte!$H:$H &amp; """" = AH451 &amp; """"
    )
  ), 
  0
)"),8)</f>
        <v>8</v>
      </c>
      <c r="X451" s="15">
        <f ca="1">IFERROR(__xludf.DUMMYFUNCTION("IFERROR(
  SUM(
    FILTER(
      Efectivo!$C:$C, 
      Efectivo!$D:$D &amp; """" = AH451 &amp; """"
    )
  ), 
  0
)"),0)</f>
        <v>0</v>
      </c>
      <c r="Y451" s="15" t="s">
        <v>34</v>
      </c>
      <c r="Z451" s="15"/>
      <c r="AA451" s="15" t="s">
        <v>35</v>
      </c>
      <c r="AB451" s="15"/>
      <c r="AC451" s="15"/>
      <c r="AD451" s="15" t="str">
        <f t="shared" si="45"/>
        <v/>
      </c>
      <c r="AE451" s="15" t="e">
        <f>IF(
   OR(
     AND(#REF!&gt;0, OR(Y451="C", Y451="c"), U451&lt;0),
     AND(#REF!&gt;0, Y451="")
   ),
   "CORTE",
   ""
)</f>
        <v>#REF!</v>
      </c>
      <c r="AF451" s="15">
        <f t="shared" si="1"/>
        <v>0</v>
      </c>
      <c r="AG451" s="15">
        <f t="shared" si="2"/>
        <v>8</v>
      </c>
      <c r="AH451" s="15" t="str">
        <f t="shared" si="46"/>
        <v>C1</v>
      </c>
      <c r="AI451" s="15" t="str">
        <f t="shared" si="47"/>
        <v>C1-6</v>
      </c>
    </row>
    <row r="452" spans="1:35" ht="15.75" customHeight="1" x14ac:dyDescent="0.35">
      <c r="A452" s="8">
        <v>451</v>
      </c>
      <c r="B452" s="9" t="s">
        <v>552</v>
      </c>
      <c r="C452" s="9" t="s">
        <v>546</v>
      </c>
      <c r="D452" s="8">
        <v>7</v>
      </c>
      <c r="E452" s="10"/>
      <c r="F452" s="10"/>
      <c r="G452" s="10"/>
      <c r="H452" s="11">
        <v>1</v>
      </c>
      <c r="I452" s="11">
        <v>264</v>
      </c>
      <c r="J452" s="11">
        <v>281</v>
      </c>
      <c r="K452" s="11">
        <v>17</v>
      </c>
      <c r="L452" s="11">
        <v>17</v>
      </c>
      <c r="M452" s="11">
        <v>4</v>
      </c>
      <c r="N452" s="11">
        <v>0</v>
      </c>
      <c r="O452" s="11"/>
      <c r="P452" s="11">
        <v>3</v>
      </c>
      <c r="Q452" s="11"/>
      <c r="R452" s="19"/>
      <c r="S452" s="10"/>
      <c r="T452" s="21"/>
      <c r="U452" s="12"/>
      <c r="V452" s="12">
        <f>SUM(L452:U452)</f>
        <v>24</v>
      </c>
      <c r="W452" s="10">
        <f ca="1">IFERROR(__xludf.DUMMYFUNCTION("IFERROR(
  SUM(
    FILTER(
      Reporte!$E:$E, 
      REGEXMATCH(Reporte!$A:$A, ""(?i)(TE PAGÓ|PAGASTE)""), 
      Reporte!$H:$H &amp; """" = AH452 &amp; """"
    )
  ), 
  0
)"),24)</f>
        <v>24</v>
      </c>
      <c r="X452" s="10">
        <f ca="1">IFERROR(__xludf.DUMMYFUNCTION("IFERROR(
  SUM(
    FILTER(
      Efectivo!$C:$C, 
      Efectivo!$D:$D &amp; """" = AH452 &amp; """"
    )
  ), 
  0
)"),0)</f>
        <v>0</v>
      </c>
      <c r="Y452" s="10" t="s">
        <v>34</v>
      </c>
      <c r="Z452" s="10"/>
      <c r="AA452" s="10" t="s">
        <v>35</v>
      </c>
      <c r="AB452" s="10" t="s">
        <v>553</v>
      </c>
      <c r="AC452" s="10"/>
      <c r="AD452" s="10" t="str">
        <f t="shared" si="45"/>
        <v/>
      </c>
      <c r="AE452" s="10" t="e">
        <f>IF(
   OR(
     AND(#REF!&gt;0, OR(Y452="C", Y452="c"), U452&lt;0),
     AND(#REF!&gt;0, Y452="")
   ),
   "CORTE",
   ""
)</f>
        <v>#REF!</v>
      </c>
      <c r="AF452" s="10">
        <f t="shared" si="1"/>
        <v>0</v>
      </c>
      <c r="AG452" s="10">
        <f t="shared" si="2"/>
        <v>24</v>
      </c>
      <c r="AH452" s="10" t="str">
        <f t="shared" si="46"/>
        <v>C1</v>
      </c>
      <c r="AI452" s="10" t="str">
        <f t="shared" si="47"/>
        <v>C1-7</v>
      </c>
    </row>
    <row r="453" spans="1:35" ht="15.75" customHeight="1" x14ac:dyDescent="0.35">
      <c r="A453" s="13">
        <v>452</v>
      </c>
      <c r="B453" s="14" t="s">
        <v>554</v>
      </c>
      <c r="C453" s="14" t="s">
        <v>546</v>
      </c>
      <c r="D453" s="13">
        <v>8</v>
      </c>
      <c r="E453" s="15"/>
      <c r="F453" s="15"/>
      <c r="G453" s="15"/>
      <c r="H453" s="16">
        <v>1</v>
      </c>
      <c r="I453" s="16">
        <v>486</v>
      </c>
      <c r="J453" s="16">
        <v>497</v>
      </c>
      <c r="K453" s="16">
        <v>11</v>
      </c>
      <c r="L453" s="16">
        <v>11</v>
      </c>
      <c r="M453" s="16"/>
      <c r="N453" s="16">
        <v>0</v>
      </c>
      <c r="O453" s="16"/>
      <c r="P453" s="16">
        <v>3</v>
      </c>
      <c r="Q453" s="16"/>
      <c r="R453" s="18"/>
      <c r="S453" s="15"/>
      <c r="T453" s="20"/>
      <c r="U453" s="17"/>
      <c r="V453" s="17">
        <f>SUM(L453:Q453)</f>
        <v>14</v>
      </c>
      <c r="W453" s="15">
        <f ca="1">IFERROR(__xludf.DUMMYFUNCTION("IFERROR(
  SUM(
    FILTER(
      Reporte!$E:$E, 
      REGEXMATCH(Reporte!$A:$A, ""(?i)(TE PAGÓ|PAGASTE)""), 
      Reporte!$H:$H &amp; """" = AH453 &amp; """"
    )
  ), 
  0
)"),0)</f>
        <v>0</v>
      </c>
      <c r="X453" s="15">
        <f ca="1">IFERROR(__xludf.DUMMYFUNCTION("IFERROR(
  SUM(
    FILTER(
      Efectivo!$C:$C, 
      Efectivo!$D:$D &amp; """" = AH453 &amp; """"
    )
  ), 
  0
)"),0)</f>
        <v>0</v>
      </c>
      <c r="Y453" s="15"/>
      <c r="Z453" s="15"/>
      <c r="AA453" s="15"/>
      <c r="AB453" s="15"/>
      <c r="AC453" s="15"/>
      <c r="AD453" s="15" t="str">
        <f t="shared" si="45"/>
        <v/>
      </c>
      <c r="AE453" s="15" t="e">
        <f>IF(
   OR(
     AND(#REF!&gt;0, OR(Y453="C", Y453="c"), U453&lt;0),
     AND(#REF!&gt;0, Y453="")
   ),
   "CORTE",
   ""
)</f>
        <v>#REF!</v>
      </c>
      <c r="AF453" s="15">
        <f t="shared" si="1"/>
        <v>0</v>
      </c>
      <c r="AG453" s="15">
        <f t="shared" si="2"/>
        <v>0</v>
      </c>
      <c r="AH453" s="15" t="str">
        <f t="shared" si="46"/>
        <v>C1</v>
      </c>
      <c r="AI453" s="15" t="str">
        <f t="shared" si="47"/>
        <v>C1-8</v>
      </c>
    </row>
    <row r="454" spans="1:35" ht="15.75" customHeight="1" x14ac:dyDescent="0.35">
      <c r="A454" s="8">
        <v>453</v>
      </c>
      <c r="B454" s="9" t="s">
        <v>555</v>
      </c>
      <c r="C454" s="9" t="s">
        <v>546</v>
      </c>
      <c r="D454" s="8">
        <v>13</v>
      </c>
      <c r="E454" s="10"/>
      <c r="F454" s="10"/>
      <c r="G454" s="10"/>
      <c r="H454" s="11">
        <v>1</v>
      </c>
      <c r="I454" s="11">
        <v>567</v>
      </c>
      <c r="J454" s="11">
        <v>577</v>
      </c>
      <c r="K454" s="11">
        <v>10</v>
      </c>
      <c r="L454" s="11">
        <v>10</v>
      </c>
      <c r="M454" s="11"/>
      <c r="N454" s="11">
        <v>0</v>
      </c>
      <c r="O454" s="11"/>
      <c r="P454" s="11">
        <v>3</v>
      </c>
      <c r="Q454" s="11"/>
      <c r="R454" s="19"/>
      <c r="S454" s="10"/>
      <c r="T454" s="21"/>
      <c r="U454" s="12"/>
      <c r="V454" s="12">
        <f>SUM(L454:Q454)</f>
        <v>13</v>
      </c>
      <c r="W454" s="10">
        <f ca="1">IFERROR(__xludf.DUMMYFUNCTION("IFERROR(
  SUM(
    FILTER(
      Reporte!$E:$E, 
      REGEXMATCH(Reporte!$A:$A, ""(?i)(TE PAGÓ|PAGASTE)""), 
      Reporte!$H:$H &amp; """" = AH454 &amp; """"
    )
  ), 
  0
)"),13)</f>
        <v>13</v>
      </c>
      <c r="X454" s="10">
        <f ca="1">IFERROR(__xludf.DUMMYFUNCTION("IFERROR(
  SUM(
    FILTER(
      Efectivo!$C:$C, 
      Efectivo!$D:$D &amp; """" = AH454 &amp; """"
    )
  ), 
  0
)"),0)</f>
        <v>0</v>
      </c>
      <c r="Y454" s="10" t="s">
        <v>34</v>
      </c>
      <c r="Z454" s="10"/>
      <c r="AA454" s="10" t="s">
        <v>35</v>
      </c>
      <c r="AB454" s="10"/>
      <c r="AC454" s="10"/>
      <c r="AD454" s="10" t="str">
        <f t="shared" si="45"/>
        <v/>
      </c>
      <c r="AE454" s="10" t="e">
        <f>IF(
   OR(
     AND(#REF!&gt;0, OR(Y454="C", Y454="c"), U454&lt;0),
     AND(#REF!&gt;0, Y454="")
   ),
   "CORTE",
   ""
)</f>
        <v>#REF!</v>
      </c>
      <c r="AF454" s="10">
        <f t="shared" si="1"/>
        <v>0</v>
      </c>
      <c r="AG454" s="10">
        <f t="shared" si="2"/>
        <v>13</v>
      </c>
      <c r="AH454" s="10" t="str">
        <f t="shared" si="46"/>
        <v>C1</v>
      </c>
      <c r="AI454" s="10" t="str">
        <f t="shared" si="47"/>
        <v>C1-13</v>
      </c>
    </row>
    <row r="455" spans="1:35" ht="15.75" customHeight="1" x14ac:dyDescent="0.35">
      <c r="A455" s="13">
        <v>454</v>
      </c>
      <c r="B455" s="14" t="s">
        <v>556</v>
      </c>
      <c r="C455" s="14" t="s">
        <v>546</v>
      </c>
      <c r="D455" s="13">
        <v>14</v>
      </c>
      <c r="E455" s="15"/>
      <c r="F455" s="15"/>
      <c r="G455" s="15"/>
      <c r="H455" s="16">
        <v>1</v>
      </c>
      <c r="I455" s="16">
        <v>678</v>
      </c>
      <c r="J455" s="16">
        <v>681</v>
      </c>
      <c r="K455" s="16">
        <v>3</v>
      </c>
      <c r="L455" s="16">
        <v>5</v>
      </c>
      <c r="M455" s="16">
        <v>8</v>
      </c>
      <c r="N455" s="16">
        <v>40</v>
      </c>
      <c r="O455" s="16"/>
      <c r="P455" s="16">
        <v>3</v>
      </c>
      <c r="Q455" s="16"/>
      <c r="R455" s="18"/>
      <c r="S455" s="15"/>
      <c r="T455" s="20"/>
      <c r="U455" s="17"/>
      <c r="V455" s="17">
        <f>SUM(L455:U455)</f>
        <v>56</v>
      </c>
      <c r="W455" s="15">
        <f ca="1">IFERROR(__xludf.DUMMYFUNCTION("IFERROR(
  SUM(
    FILTER(
      Reporte!$E:$E, 
      REGEXMATCH(Reporte!$A:$A, ""(?i)(TE PAGÓ|PAGASTE)""), 
      Reporte!$H:$H &amp; """" = AH455 &amp; """"
    )
  ), 
  0
)"),56)</f>
        <v>56</v>
      </c>
      <c r="X455" s="15">
        <f ca="1">IFERROR(__xludf.DUMMYFUNCTION("IFERROR(
  SUM(
    FILTER(
      Efectivo!$C:$C, 
      Efectivo!$D:$D &amp; """" = AH455 &amp; """"
    )
  ), 
  0
)"),0)</f>
        <v>0</v>
      </c>
      <c r="Y455" s="15" t="s">
        <v>34</v>
      </c>
      <c r="Z455" s="15"/>
      <c r="AA455" s="15" t="s">
        <v>35</v>
      </c>
      <c r="AB455" s="15"/>
      <c r="AC455" s="15"/>
      <c r="AD455" s="15" t="str">
        <f t="shared" si="45"/>
        <v/>
      </c>
      <c r="AE455" s="15" t="e">
        <f>IF(
   OR(
     AND(#REF!&gt;0, OR(Y455="C", Y455="c"), U455&lt;0),
     AND(#REF!&gt;0, Y455="")
   ),
   "CORTE",
   ""
)</f>
        <v>#REF!</v>
      </c>
      <c r="AF455" s="15">
        <f t="shared" si="1"/>
        <v>0</v>
      </c>
      <c r="AG455" s="15">
        <f t="shared" si="2"/>
        <v>56</v>
      </c>
      <c r="AH455" s="15" t="str">
        <f t="shared" si="46"/>
        <v>C1</v>
      </c>
      <c r="AI455" s="15" t="str">
        <f t="shared" si="47"/>
        <v>C1-14</v>
      </c>
    </row>
    <row r="456" spans="1:35" ht="15.75" customHeight="1" x14ac:dyDescent="0.35">
      <c r="A456" s="8">
        <v>455</v>
      </c>
      <c r="B456" s="9" t="s">
        <v>557</v>
      </c>
      <c r="C456" s="9" t="s">
        <v>546</v>
      </c>
      <c r="D456" s="8">
        <v>15</v>
      </c>
      <c r="E456" s="10"/>
      <c r="F456" s="10"/>
      <c r="G456" s="10"/>
      <c r="H456" s="11">
        <v>1</v>
      </c>
      <c r="I456" s="11">
        <v>128</v>
      </c>
      <c r="J456" s="11">
        <v>129</v>
      </c>
      <c r="K456" s="11">
        <v>1</v>
      </c>
      <c r="L456" s="11">
        <v>5</v>
      </c>
      <c r="M456" s="11"/>
      <c r="N456" s="11">
        <v>0</v>
      </c>
      <c r="O456" s="11"/>
      <c r="P456" s="11">
        <v>3</v>
      </c>
      <c r="Q456" s="11"/>
      <c r="R456" s="19"/>
      <c r="S456" s="10"/>
      <c r="T456" s="21"/>
      <c r="U456" s="12"/>
      <c r="V456" s="12">
        <f>SUM(L456:Q456)</f>
        <v>8</v>
      </c>
      <c r="W456" s="10">
        <f ca="1">IFERROR(__xludf.DUMMYFUNCTION("IFERROR(
  SUM(
    FILTER(
      Reporte!$E:$E, 
      REGEXMATCH(Reporte!$A:$A, ""(?i)(TE PAGÓ|PAGASTE)""), 
      Reporte!$H:$H &amp; """" = AH456 &amp; """"
    )
  ), 
  0
)"),8)</f>
        <v>8</v>
      </c>
      <c r="X456" s="10">
        <f ca="1">IFERROR(__xludf.DUMMYFUNCTION("IFERROR(
  SUM(
    FILTER(
      Efectivo!$C:$C, 
      Efectivo!$D:$D &amp; """" = AH456 &amp; """"
    )
  ), 
  0
)"),0)</f>
        <v>0</v>
      </c>
      <c r="Y456" s="10" t="s">
        <v>34</v>
      </c>
      <c r="Z456" s="10"/>
      <c r="AA456" s="10" t="s">
        <v>35</v>
      </c>
      <c r="AB456" s="10"/>
      <c r="AC456" s="10" t="s">
        <v>223</v>
      </c>
      <c r="AD456" s="10" t="str">
        <f t="shared" si="45"/>
        <v/>
      </c>
      <c r="AE456" s="10" t="e">
        <f>IF(
   OR(
     AND(#REF!&gt;0, OR(Y456="C", Y456="c"), U456&lt;0),
     AND(#REF!&gt;0, Y456="")
   ),
   "CORTE",
   ""
)</f>
        <v>#REF!</v>
      </c>
      <c r="AF456" s="10">
        <f t="shared" si="1"/>
        <v>0</v>
      </c>
      <c r="AG456" s="10">
        <f t="shared" si="2"/>
        <v>8</v>
      </c>
      <c r="AH456" s="10" t="str">
        <f t="shared" si="46"/>
        <v>C1</v>
      </c>
      <c r="AI456" s="10" t="str">
        <f t="shared" si="47"/>
        <v>C1-15</v>
      </c>
    </row>
    <row r="457" spans="1:35" ht="15.75" customHeight="1" x14ac:dyDescent="0.35">
      <c r="A457" s="13">
        <v>456</v>
      </c>
      <c r="B457" s="14" t="s">
        <v>558</v>
      </c>
      <c r="C457" s="14" t="s">
        <v>546</v>
      </c>
      <c r="D457" s="13">
        <v>16</v>
      </c>
      <c r="E457" s="15"/>
      <c r="F457" s="15"/>
      <c r="G457" s="15"/>
      <c r="H457" s="16">
        <v>1</v>
      </c>
      <c r="I457" s="16">
        <v>932</v>
      </c>
      <c r="J457" s="16">
        <v>949</v>
      </c>
      <c r="K457" s="16">
        <v>17</v>
      </c>
      <c r="L457" s="16">
        <v>17</v>
      </c>
      <c r="M457" s="16"/>
      <c r="N457" s="16">
        <v>0</v>
      </c>
      <c r="O457" s="16"/>
      <c r="P457" s="16">
        <v>1</v>
      </c>
      <c r="Q457" s="16"/>
      <c r="R457" s="18"/>
      <c r="S457" s="15"/>
      <c r="T457" s="20"/>
      <c r="U457" s="17"/>
      <c r="V457" s="17">
        <f>SUM(L457:U457)</f>
        <v>18</v>
      </c>
      <c r="W457" s="15">
        <f ca="1">IFERROR(__xludf.DUMMYFUNCTION("IFERROR(
  SUM(
    FILTER(
      Reporte!$E:$E, 
      REGEXMATCH(Reporte!$A:$A, ""(?i)(TE PAGÓ|PAGASTE)""), 
      Reporte!$H:$H &amp; """" = AH457 &amp; """"
    )
  ), 
  0
)"),18)</f>
        <v>18</v>
      </c>
      <c r="X457" s="15">
        <f ca="1">IFERROR(__xludf.DUMMYFUNCTION("IFERROR(
  SUM(
    FILTER(
      Efectivo!$C:$C, 
      Efectivo!$D:$D &amp; """" = AH457 &amp; """"
    )
  ), 
  0
)"),0)</f>
        <v>0</v>
      </c>
      <c r="Y457" s="15" t="s">
        <v>34</v>
      </c>
      <c r="Z457" s="15"/>
      <c r="AA457" s="15" t="s">
        <v>35</v>
      </c>
      <c r="AB457" s="15" t="s">
        <v>559</v>
      </c>
      <c r="AC457" s="15" t="s">
        <v>223</v>
      </c>
      <c r="AD457" s="15" t="str">
        <f t="shared" si="45"/>
        <v/>
      </c>
      <c r="AE457" s="15" t="e">
        <f>IF(
   OR(
     AND(#REF!&gt;0, OR(Y457="C", Y457="c"), U457&lt;0),
     AND(#REF!&gt;0, Y457="")
   ),
   "CORTE",
   ""
)</f>
        <v>#REF!</v>
      </c>
      <c r="AF457" s="15">
        <f t="shared" si="1"/>
        <v>0</v>
      </c>
      <c r="AG457" s="15">
        <f t="shared" si="2"/>
        <v>18</v>
      </c>
      <c r="AH457" s="15" t="str">
        <f t="shared" si="46"/>
        <v>C1</v>
      </c>
      <c r="AI457" s="15" t="str">
        <f t="shared" si="47"/>
        <v>C1-16</v>
      </c>
    </row>
    <row r="458" spans="1:35" ht="15.75" customHeight="1" x14ac:dyDescent="0.35">
      <c r="A458" s="8">
        <v>457</v>
      </c>
      <c r="B458" s="9" t="s">
        <v>560</v>
      </c>
      <c r="C458" s="9" t="s">
        <v>546</v>
      </c>
      <c r="D458" s="8">
        <v>17</v>
      </c>
      <c r="E458" s="10"/>
      <c r="F458" s="10"/>
      <c r="G458" s="10"/>
      <c r="H458" s="11">
        <v>1</v>
      </c>
      <c r="I458" s="11">
        <v>398</v>
      </c>
      <c r="J458" s="11">
        <v>405</v>
      </c>
      <c r="K458" s="11">
        <v>7</v>
      </c>
      <c r="L458" s="11">
        <v>7</v>
      </c>
      <c r="M458" s="11">
        <v>9</v>
      </c>
      <c r="N458" s="11">
        <v>0</v>
      </c>
      <c r="O458" s="11"/>
      <c r="P458" s="11">
        <v>3</v>
      </c>
      <c r="Q458" s="11"/>
      <c r="R458" s="19"/>
      <c r="S458" s="10"/>
      <c r="T458" s="21"/>
      <c r="U458" s="12">
        <v>0.5</v>
      </c>
      <c r="V458" s="12">
        <f>SUM(L458:U458)</f>
        <v>19.5</v>
      </c>
      <c r="W458" s="10">
        <f ca="1">IFERROR(__xludf.DUMMYFUNCTION("IFERROR(
  SUM(
    FILTER(
      Reporte!$E:$E, 
      REGEXMATCH(Reporte!$A:$A, ""(?i)(TE PAGÓ|PAGASTE)""), 
      Reporte!$H:$H &amp; """" = AH458 &amp; """"
    )
  ), 
  0
)"),19.5)</f>
        <v>19.5</v>
      </c>
      <c r="X458" s="10">
        <f ca="1">IFERROR(__xludf.DUMMYFUNCTION("IFERROR(
  SUM(
    FILTER(
      Efectivo!$C:$C, 
      Efectivo!$D:$D &amp; """" = AH458 &amp; """"
    )
  ), 
  0
)"),0)</f>
        <v>0</v>
      </c>
      <c r="Y458" s="10" t="s">
        <v>34</v>
      </c>
      <c r="Z458" s="10"/>
      <c r="AA458" s="10" t="s">
        <v>35</v>
      </c>
      <c r="AB458" s="10" t="s">
        <v>561</v>
      </c>
      <c r="AC458" s="10"/>
      <c r="AD458" s="10" t="str">
        <f t="shared" si="45"/>
        <v/>
      </c>
      <c r="AE458" s="10" t="e">
        <f>IF(
   OR(
     AND(#REF!&gt;0, OR(Y458="C", Y458="c"), U458&lt;0),
     AND(#REF!&gt;0, Y458="")
   ),
   "CORTE",
   ""
)</f>
        <v>#REF!</v>
      </c>
      <c r="AF458" s="10">
        <f t="shared" si="1"/>
        <v>0</v>
      </c>
      <c r="AG458" s="10">
        <f t="shared" si="2"/>
        <v>19.5</v>
      </c>
      <c r="AH458" s="10" t="str">
        <f t="shared" si="46"/>
        <v>C1</v>
      </c>
      <c r="AI458" s="10" t="str">
        <f t="shared" si="47"/>
        <v>C1-17</v>
      </c>
    </row>
    <row r="459" spans="1:35" ht="15.75" customHeight="1" x14ac:dyDescent="0.35">
      <c r="A459" s="13">
        <v>458</v>
      </c>
      <c r="B459" s="14" t="s">
        <v>562</v>
      </c>
      <c r="C459" s="14" t="s">
        <v>563</v>
      </c>
      <c r="D459" s="13">
        <v>1</v>
      </c>
      <c r="E459" s="15"/>
      <c r="F459" s="15"/>
      <c r="G459" s="15"/>
      <c r="H459" s="16">
        <v>1</v>
      </c>
      <c r="I459" s="16">
        <v>165</v>
      </c>
      <c r="J459" s="16">
        <v>165</v>
      </c>
      <c r="K459" s="16">
        <v>5</v>
      </c>
      <c r="L459" s="16">
        <v>5</v>
      </c>
      <c r="M459" s="16">
        <v>88</v>
      </c>
      <c r="N459" s="16">
        <v>0</v>
      </c>
      <c r="O459" s="16"/>
      <c r="P459" s="16">
        <v>3</v>
      </c>
      <c r="Q459" s="16">
        <v>30</v>
      </c>
      <c r="R459" s="18"/>
      <c r="S459" s="15"/>
      <c r="T459" s="20"/>
      <c r="U459" s="17"/>
      <c r="V459" s="17">
        <f t="shared" ref="V459:V473" si="48">SUM(L459:Q459)</f>
        <v>126</v>
      </c>
      <c r="W459" s="15">
        <f ca="1">IFERROR(__xludf.DUMMYFUNCTION("IFERROR(
  SUM(
    FILTER(
      Reporte!$E:$E, 
      REGEXMATCH(Reporte!$A:$A, ""(?i)(TE PAGÓ|PAGASTE)""), 
      Reporte!$H:$H &amp; """" = AH459 &amp; """"
    )
  ), 
  0
)"),0)</f>
        <v>0</v>
      </c>
      <c r="X459" s="15">
        <f ca="1">IFERROR(__xludf.DUMMYFUNCTION("IFERROR(
  SUM(
    FILTER(
      Efectivo!$C:$C, 
      Efectivo!$D:$D &amp; """" = AH459 &amp; """"
    )
  ), 
  0
)"),0)</f>
        <v>0</v>
      </c>
      <c r="Y459" s="15"/>
      <c r="Z459" s="15"/>
      <c r="AA459" s="15"/>
      <c r="AB459" s="15"/>
      <c r="AC459" s="15" t="s">
        <v>223</v>
      </c>
      <c r="AD459" s="15" t="str">
        <f t="shared" si="45"/>
        <v>CORTE</v>
      </c>
      <c r="AE459" s="15" t="e">
        <f>IF(
   OR(
     AND(#REF!&gt;0, OR(Y459="C", Y459="c"), U459&lt;0),
     AND(#REF!&gt;0, Y459="")
   ),
   "CORTE",
   ""
)</f>
        <v>#REF!</v>
      </c>
      <c r="AF459" s="15">
        <f t="shared" si="1"/>
        <v>0</v>
      </c>
      <c r="AG459" s="15">
        <f t="shared" si="2"/>
        <v>0</v>
      </c>
      <c r="AH459" s="15" t="str">
        <f t="shared" si="46"/>
        <v>D1</v>
      </c>
      <c r="AI459" s="15" t="str">
        <f t="shared" si="47"/>
        <v>D1-1</v>
      </c>
    </row>
    <row r="460" spans="1:35" ht="15.75" customHeight="1" x14ac:dyDescent="0.35">
      <c r="A460" s="8">
        <v>459</v>
      </c>
      <c r="B460" s="9" t="s">
        <v>564</v>
      </c>
      <c r="C460" s="9" t="s">
        <v>563</v>
      </c>
      <c r="D460" s="8">
        <v>2</v>
      </c>
      <c r="E460" s="10"/>
      <c r="F460" s="10"/>
      <c r="G460" s="10"/>
      <c r="H460" s="11">
        <v>1</v>
      </c>
      <c r="I460" s="11">
        <v>40</v>
      </c>
      <c r="J460" s="11">
        <v>40</v>
      </c>
      <c r="K460" s="11">
        <v>5</v>
      </c>
      <c r="L460" s="11">
        <v>5</v>
      </c>
      <c r="M460" s="11"/>
      <c r="N460" s="11">
        <v>0</v>
      </c>
      <c r="O460" s="11"/>
      <c r="P460" s="11">
        <v>3</v>
      </c>
      <c r="Q460" s="11"/>
      <c r="R460" s="19"/>
      <c r="S460" s="10"/>
      <c r="T460" s="21"/>
      <c r="U460" s="12"/>
      <c r="V460" s="12">
        <f t="shared" si="48"/>
        <v>8</v>
      </c>
      <c r="W460" s="10">
        <f ca="1">IFERROR(__xludf.DUMMYFUNCTION("IFERROR(
  SUM(
    FILTER(
      Reporte!$E:$E, 
      REGEXMATCH(Reporte!$A:$A, ""(?i)(TE PAGÓ|PAGASTE)""), 
      Reporte!$H:$H &amp; """" = AH460 &amp; """"
    )
  ), 
  0
)"),8)</f>
        <v>8</v>
      </c>
      <c r="X460" s="10">
        <f ca="1">IFERROR(__xludf.DUMMYFUNCTION("IFERROR(
  SUM(
    FILTER(
      Efectivo!$C:$C, 
      Efectivo!$D:$D &amp; """" = AH460 &amp; """"
    )
  ), 
  0
)"),0)</f>
        <v>0</v>
      </c>
      <c r="Y460" s="10" t="s">
        <v>34</v>
      </c>
      <c r="Z460" s="10"/>
      <c r="AA460" s="10" t="s">
        <v>35</v>
      </c>
      <c r="AB460" s="10"/>
      <c r="AC460" s="10"/>
      <c r="AD460" s="10" t="str">
        <f t="shared" si="45"/>
        <v/>
      </c>
      <c r="AE460" s="10" t="e">
        <f>IF(
   OR(
     AND(#REF!&gt;0, OR(Y460="C", Y460="c"), U460&lt;0),
     AND(#REF!&gt;0, Y460="")
   ),
   "CORTE",
   ""
)</f>
        <v>#REF!</v>
      </c>
      <c r="AF460" s="10">
        <f t="shared" si="1"/>
        <v>0</v>
      </c>
      <c r="AG460" s="10">
        <f t="shared" si="2"/>
        <v>8</v>
      </c>
      <c r="AH460" s="10" t="str">
        <f t="shared" si="46"/>
        <v>D1</v>
      </c>
      <c r="AI460" s="10" t="str">
        <f t="shared" si="47"/>
        <v>D1-2</v>
      </c>
    </row>
    <row r="461" spans="1:35" ht="15.75" customHeight="1" x14ac:dyDescent="0.35">
      <c r="A461" s="13">
        <v>460</v>
      </c>
      <c r="B461" s="14" t="s">
        <v>565</v>
      </c>
      <c r="C461" s="14" t="s">
        <v>563</v>
      </c>
      <c r="D461" s="13">
        <v>3</v>
      </c>
      <c r="E461" s="15"/>
      <c r="F461" s="15"/>
      <c r="G461" s="15"/>
      <c r="H461" s="16">
        <v>1</v>
      </c>
      <c r="I461" s="16">
        <v>635</v>
      </c>
      <c r="J461" s="16">
        <v>641</v>
      </c>
      <c r="K461" s="16">
        <v>6</v>
      </c>
      <c r="L461" s="16">
        <v>6</v>
      </c>
      <c r="M461" s="16">
        <v>3</v>
      </c>
      <c r="N461" s="16">
        <v>0</v>
      </c>
      <c r="O461" s="16"/>
      <c r="P461" s="16">
        <v>3</v>
      </c>
      <c r="Q461" s="16"/>
      <c r="R461" s="18"/>
      <c r="S461" s="15"/>
      <c r="T461" s="20"/>
      <c r="U461" s="17"/>
      <c r="V461" s="17">
        <f t="shared" si="48"/>
        <v>12</v>
      </c>
      <c r="W461" s="15">
        <f ca="1">IFERROR(__xludf.DUMMYFUNCTION("IFERROR(
  SUM(
    FILTER(
      Reporte!$E:$E, 
      REGEXMATCH(Reporte!$A:$A, ""(?i)(TE PAGÓ|PAGASTE)""), 
      Reporte!$H:$H &amp; """" = AH461 &amp; """"
    )
  ), 
  0
)"),0)</f>
        <v>0</v>
      </c>
      <c r="X461" s="15">
        <f ca="1">IFERROR(__xludf.DUMMYFUNCTION("IFERROR(
  SUM(
    FILTER(
      Efectivo!$C:$C, 
      Efectivo!$D:$D &amp; """" = AH461 &amp; """"
    )
  ), 
  0
)"),0)</f>
        <v>0</v>
      </c>
      <c r="Y461" s="15"/>
      <c r="Z461" s="15"/>
      <c r="AA461" s="15"/>
      <c r="AB461" s="15"/>
      <c r="AC461" s="15"/>
      <c r="AD461" s="15" t="str">
        <f t="shared" si="45"/>
        <v/>
      </c>
      <c r="AE461" s="15" t="e">
        <f>IF(
   OR(
     AND(#REF!&gt;0, OR(Y461="C", Y461="c"), U461&lt;0),
     AND(#REF!&gt;0, Y461="")
   ),
   "CORTE",
   ""
)</f>
        <v>#REF!</v>
      </c>
      <c r="AF461" s="15">
        <f t="shared" si="1"/>
        <v>0</v>
      </c>
      <c r="AG461" s="15">
        <f t="shared" si="2"/>
        <v>0</v>
      </c>
      <c r="AH461" s="15" t="str">
        <f t="shared" si="46"/>
        <v>D1</v>
      </c>
      <c r="AI461" s="15" t="str">
        <f t="shared" si="47"/>
        <v>D1-3</v>
      </c>
    </row>
    <row r="462" spans="1:35" ht="15.75" customHeight="1" x14ac:dyDescent="0.35">
      <c r="A462" s="8">
        <v>461</v>
      </c>
      <c r="B462" s="9" t="s">
        <v>566</v>
      </c>
      <c r="C462" s="9" t="s">
        <v>563</v>
      </c>
      <c r="D462" s="8">
        <v>4</v>
      </c>
      <c r="E462" s="10"/>
      <c r="F462" s="10"/>
      <c r="G462" s="10"/>
      <c r="H462" s="11">
        <v>1</v>
      </c>
      <c r="I462" s="11">
        <v>77</v>
      </c>
      <c r="J462" s="11">
        <v>83</v>
      </c>
      <c r="K462" s="11">
        <v>6</v>
      </c>
      <c r="L462" s="11">
        <v>6</v>
      </c>
      <c r="M462" s="11"/>
      <c r="N462" s="11">
        <v>0</v>
      </c>
      <c r="O462" s="11"/>
      <c r="P462" s="11">
        <v>3</v>
      </c>
      <c r="Q462" s="11"/>
      <c r="R462" s="19"/>
      <c r="S462" s="10"/>
      <c r="T462" s="21"/>
      <c r="U462" s="12"/>
      <c r="V462" s="12">
        <f t="shared" si="48"/>
        <v>9</v>
      </c>
      <c r="W462" s="10">
        <f ca="1">IFERROR(__xludf.DUMMYFUNCTION("IFERROR(
  SUM(
    FILTER(
      Reporte!$E:$E, 
      REGEXMATCH(Reporte!$A:$A, ""(?i)(TE PAGÓ|PAGASTE)""), 
      Reporte!$H:$H &amp; """" = AH462 &amp; """"
    )
  ), 
  0
)"),0)</f>
        <v>0</v>
      </c>
      <c r="X462" s="10">
        <f ca="1">IFERROR(__xludf.DUMMYFUNCTION("IFERROR(
  SUM(
    FILTER(
      Efectivo!$C:$C, 
      Efectivo!$D:$D &amp; """" = AH462 &amp; """"
    )
  ), 
  0
)"),9)</f>
        <v>9</v>
      </c>
      <c r="Y462" s="10" t="s">
        <v>34</v>
      </c>
      <c r="Z462" s="10"/>
      <c r="AA462" s="10"/>
      <c r="AB462" s="10"/>
      <c r="AC462" s="10"/>
      <c r="AD462" s="10" t="str">
        <f t="shared" si="45"/>
        <v/>
      </c>
      <c r="AE462" s="10" t="e">
        <f>IF(
   OR(
     AND(#REF!&gt;0, OR(Y462="C", Y462="c"), U462&lt;0),
     AND(#REF!&gt;0, Y462="")
   ),
   "CORTE",
   ""
)</f>
        <v>#REF!</v>
      </c>
      <c r="AF462" s="10">
        <f t="shared" si="1"/>
        <v>9</v>
      </c>
      <c r="AG462" s="10">
        <f t="shared" si="2"/>
        <v>0</v>
      </c>
      <c r="AH462" s="10" t="str">
        <f t="shared" si="46"/>
        <v>D1</v>
      </c>
      <c r="AI462" s="10" t="str">
        <f t="shared" si="47"/>
        <v>D1-4</v>
      </c>
    </row>
    <row r="463" spans="1:35" ht="15.75" customHeight="1" x14ac:dyDescent="0.35">
      <c r="A463" s="13">
        <v>462</v>
      </c>
      <c r="B463" s="14" t="s">
        <v>567</v>
      </c>
      <c r="C463" s="14" t="s">
        <v>563</v>
      </c>
      <c r="D463" s="13">
        <v>5</v>
      </c>
      <c r="E463" s="15"/>
      <c r="F463" s="15"/>
      <c r="G463" s="15"/>
      <c r="H463" s="16">
        <v>1</v>
      </c>
      <c r="I463" s="16">
        <v>885</v>
      </c>
      <c r="J463" s="16">
        <v>894</v>
      </c>
      <c r="K463" s="16">
        <v>9</v>
      </c>
      <c r="L463" s="16">
        <v>9</v>
      </c>
      <c r="M463" s="16">
        <v>11</v>
      </c>
      <c r="N463" s="16">
        <v>0</v>
      </c>
      <c r="O463" s="16"/>
      <c r="P463" s="16">
        <v>3</v>
      </c>
      <c r="Q463" s="16"/>
      <c r="R463" s="18"/>
      <c r="S463" s="15"/>
      <c r="T463" s="20"/>
      <c r="U463" s="17"/>
      <c r="V463" s="17">
        <f t="shared" si="48"/>
        <v>23</v>
      </c>
      <c r="W463" s="15">
        <f ca="1">IFERROR(__xludf.DUMMYFUNCTION("IFERROR(
  SUM(
    FILTER(
      Reporte!$E:$E, 
      REGEXMATCH(Reporte!$A:$A, ""(?i)(TE PAGÓ|PAGASTE)""), 
      Reporte!$H:$H &amp; """" = AH463 &amp; """"
    )
  ), 
  0
)"),23)</f>
        <v>23</v>
      </c>
      <c r="X463" s="15">
        <f ca="1">IFERROR(__xludf.DUMMYFUNCTION("IFERROR(
  SUM(
    FILTER(
      Efectivo!$C:$C, 
      Efectivo!$D:$D &amp; """" = AH463 &amp; """"
    )
  ), 
  0
)"),0)</f>
        <v>0</v>
      </c>
      <c r="Y463" s="15" t="s">
        <v>34</v>
      </c>
      <c r="Z463" s="15"/>
      <c r="AA463" s="15" t="s">
        <v>35</v>
      </c>
      <c r="AB463" s="15"/>
      <c r="AC463" s="15"/>
      <c r="AD463" s="15" t="str">
        <f t="shared" si="45"/>
        <v/>
      </c>
      <c r="AE463" s="15" t="e">
        <f>IF(
   OR(
     AND(#REF!&gt;0, OR(Y463="C", Y463="c"), U463&lt;0),
     AND(#REF!&gt;0, Y463="")
   ),
   "CORTE",
   ""
)</f>
        <v>#REF!</v>
      </c>
      <c r="AF463" s="15">
        <f t="shared" si="1"/>
        <v>0</v>
      </c>
      <c r="AG463" s="15">
        <f t="shared" si="2"/>
        <v>23</v>
      </c>
      <c r="AH463" s="15" t="str">
        <f t="shared" si="46"/>
        <v>D1</v>
      </c>
      <c r="AI463" s="15" t="str">
        <f t="shared" si="47"/>
        <v>D1-5</v>
      </c>
    </row>
    <row r="464" spans="1:35" ht="15.75" customHeight="1" x14ac:dyDescent="0.35">
      <c r="A464" s="8">
        <v>463</v>
      </c>
      <c r="B464" s="9" t="s">
        <v>568</v>
      </c>
      <c r="C464" s="9" t="s">
        <v>563</v>
      </c>
      <c r="D464" s="8">
        <v>6</v>
      </c>
      <c r="E464" s="10"/>
      <c r="F464" s="10"/>
      <c r="G464" s="10"/>
      <c r="H464" s="11">
        <v>1</v>
      </c>
      <c r="I464" s="11">
        <v>263</v>
      </c>
      <c r="J464" s="11">
        <v>268</v>
      </c>
      <c r="K464" s="11">
        <v>5</v>
      </c>
      <c r="L464" s="11">
        <v>5</v>
      </c>
      <c r="M464" s="11"/>
      <c r="N464" s="11">
        <v>0</v>
      </c>
      <c r="O464" s="11"/>
      <c r="P464" s="11">
        <v>3</v>
      </c>
      <c r="Q464" s="11"/>
      <c r="R464" s="19"/>
      <c r="S464" s="10"/>
      <c r="T464" s="21"/>
      <c r="U464" s="12"/>
      <c r="V464" s="12">
        <f t="shared" si="48"/>
        <v>8</v>
      </c>
      <c r="W464" s="10">
        <f ca="1">IFERROR(__xludf.DUMMYFUNCTION("IFERROR(
  SUM(
    FILTER(
      Reporte!$E:$E, 
      REGEXMATCH(Reporte!$A:$A, ""(?i)(TE PAGÓ|PAGASTE)""), 
      Reporte!$H:$H &amp; """" = AH464 &amp; """"
    )
  ), 
  0
)"),8)</f>
        <v>8</v>
      </c>
      <c r="X464" s="10">
        <f ca="1">IFERROR(__xludf.DUMMYFUNCTION("IFERROR(
  SUM(
    FILTER(
      Efectivo!$C:$C, 
      Efectivo!$D:$D &amp; """" = AH464 &amp; """"
    )
  ), 
  0
)"),0)</f>
        <v>0</v>
      </c>
      <c r="Y464" s="10" t="s">
        <v>34</v>
      </c>
      <c r="Z464" s="10"/>
      <c r="AA464" s="10" t="s">
        <v>35</v>
      </c>
      <c r="AB464" s="10"/>
      <c r="AC464" s="10"/>
      <c r="AD464" s="10" t="str">
        <f t="shared" si="45"/>
        <v/>
      </c>
      <c r="AE464" s="10" t="e">
        <f>IF(
   OR(
     AND(#REF!&gt;0, OR(Y464="C", Y464="c"), U464&lt;0),
     AND(#REF!&gt;0, Y464="")
   ),
   "CORTE",
   ""
)</f>
        <v>#REF!</v>
      </c>
      <c r="AF464" s="10">
        <f t="shared" si="1"/>
        <v>0</v>
      </c>
      <c r="AG464" s="10">
        <f t="shared" si="2"/>
        <v>8</v>
      </c>
      <c r="AH464" s="10" t="str">
        <f t="shared" si="46"/>
        <v>D1</v>
      </c>
      <c r="AI464" s="10" t="str">
        <f t="shared" si="47"/>
        <v>D1-6</v>
      </c>
    </row>
    <row r="465" spans="1:35" ht="15.75" customHeight="1" x14ac:dyDescent="0.35">
      <c r="A465" s="13">
        <v>464</v>
      </c>
      <c r="B465" s="14" t="s">
        <v>569</v>
      </c>
      <c r="C465" s="14" t="s">
        <v>570</v>
      </c>
      <c r="D465" s="13">
        <v>1</v>
      </c>
      <c r="E465" s="15"/>
      <c r="F465" s="15"/>
      <c r="G465" s="15"/>
      <c r="H465" s="16">
        <v>1</v>
      </c>
      <c r="I465" s="16">
        <v>889</v>
      </c>
      <c r="J465" s="16">
        <v>890</v>
      </c>
      <c r="K465" s="16">
        <v>1</v>
      </c>
      <c r="L465" s="16">
        <v>5</v>
      </c>
      <c r="M465" s="16"/>
      <c r="N465" s="16">
        <v>0</v>
      </c>
      <c r="O465" s="16"/>
      <c r="P465" s="16">
        <v>3</v>
      </c>
      <c r="Q465" s="16"/>
      <c r="R465" s="18"/>
      <c r="S465" s="15"/>
      <c r="T465" s="20"/>
      <c r="U465" s="17"/>
      <c r="V465" s="17">
        <f t="shared" si="48"/>
        <v>8</v>
      </c>
      <c r="W465" s="15">
        <f ca="1">IFERROR(__xludf.DUMMYFUNCTION("IFERROR(
  SUM(
    FILTER(
      Reporte!$E:$E, 
      REGEXMATCH(Reporte!$A:$A, ""(?i)(TE PAGÓ|PAGASTE)""), 
      Reporte!$H:$H &amp; """" = AH465 &amp; """"
    )
  ), 
  0
)"),8)</f>
        <v>8</v>
      </c>
      <c r="X465" s="15">
        <f ca="1">IFERROR(__xludf.DUMMYFUNCTION("IFERROR(
  SUM(
    FILTER(
      Efectivo!$C:$C, 
      Efectivo!$D:$D &amp; """" = AH465 &amp; """"
    )
  ), 
  0
)"),0)</f>
        <v>0</v>
      </c>
      <c r="Y465" s="15" t="s">
        <v>34</v>
      </c>
      <c r="Z465" s="15"/>
      <c r="AA465" s="15" t="s">
        <v>35</v>
      </c>
      <c r="AB465" s="15"/>
      <c r="AC465" s="15"/>
      <c r="AD465" s="15" t="str">
        <f t="shared" si="45"/>
        <v/>
      </c>
      <c r="AE465" s="15" t="e">
        <f>IF(
   OR(
     AND(#REF!&gt;0, OR(Y465="C", Y465="c"), U465&lt;0),
     AND(#REF!&gt;0, Y465="")
   ),
   "CORTE",
   ""
)</f>
        <v>#REF!</v>
      </c>
      <c r="AF465" s="15">
        <f t="shared" si="1"/>
        <v>0</v>
      </c>
      <c r="AG465" s="15">
        <f t="shared" si="2"/>
        <v>8</v>
      </c>
      <c r="AH465" s="15" t="str">
        <f t="shared" si="46"/>
        <v>E1</v>
      </c>
      <c r="AI465" s="15" t="str">
        <f t="shared" si="47"/>
        <v>E1-1</v>
      </c>
    </row>
    <row r="466" spans="1:35" ht="15.75" customHeight="1" x14ac:dyDescent="0.35">
      <c r="A466" s="8">
        <v>465</v>
      </c>
      <c r="B466" s="9" t="s">
        <v>571</v>
      </c>
      <c r="C466" s="9" t="s">
        <v>570</v>
      </c>
      <c r="D466" s="8">
        <v>3</v>
      </c>
      <c r="E466" s="10"/>
      <c r="F466" s="10"/>
      <c r="G466" s="10"/>
      <c r="H466" s="11">
        <v>1</v>
      </c>
      <c r="I466" s="11">
        <v>66</v>
      </c>
      <c r="J466" s="11">
        <v>73</v>
      </c>
      <c r="K466" s="11">
        <v>7</v>
      </c>
      <c r="L466" s="11">
        <v>7</v>
      </c>
      <c r="M466" s="11"/>
      <c r="N466" s="11">
        <v>0</v>
      </c>
      <c r="O466" s="11"/>
      <c r="P466" s="11">
        <v>3</v>
      </c>
      <c r="Q466" s="11"/>
      <c r="R466" s="19"/>
      <c r="S466" s="10"/>
      <c r="T466" s="21"/>
      <c r="U466" s="12"/>
      <c r="V466" s="12">
        <f t="shared" si="48"/>
        <v>10</v>
      </c>
      <c r="W466" s="10">
        <f ca="1">IFERROR(__xludf.DUMMYFUNCTION("IFERROR(
  SUM(
    FILTER(
      Reporte!$E:$E, 
      REGEXMATCH(Reporte!$A:$A, ""(?i)(TE PAGÓ|PAGASTE)""), 
      Reporte!$H:$H &amp; """" = AH466 &amp; """"
    )
  ), 
  0
)"),10)</f>
        <v>10</v>
      </c>
      <c r="X466" s="10">
        <f ca="1">IFERROR(__xludf.DUMMYFUNCTION("IFERROR(
  SUM(
    FILTER(
      Efectivo!$C:$C, 
      Efectivo!$D:$D &amp; """" = AH466 &amp; """"
    )
  ), 
  0
)"),0)</f>
        <v>0</v>
      </c>
      <c r="Y466" s="10" t="s">
        <v>34</v>
      </c>
      <c r="Z466" s="10"/>
      <c r="AA466" s="10" t="s">
        <v>35</v>
      </c>
      <c r="AB466" s="10"/>
      <c r="AC466" s="10"/>
      <c r="AD466" s="10" t="str">
        <f t="shared" si="45"/>
        <v/>
      </c>
      <c r="AE466" s="10" t="e">
        <f>IF(
   OR(
     AND(#REF!&gt;0, OR(Y466="C", Y466="c"), U466&lt;0),
     AND(#REF!&gt;0, Y466="")
   ),
   "CORTE",
   ""
)</f>
        <v>#REF!</v>
      </c>
      <c r="AF466" s="10">
        <f t="shared" si="1"/>
        <v>0</v>
      </c>
      <c r="AG466" s="10">
        <f t="shared" si="2"/>
        <v>10</v>
      </c>
      <c r="AH466" s="10" t="str">
        <f t="shared" si="46"/>
        <v>E1</v>
      </c>
      <c r="AI466" s="10" t="str">
        <f t="shared" si="47"/>
        <v>E1-3</v>
      </c>
    </row>
    <row r="467" spans="1:35" ht="15.75" customHeight="1" x14ac:dyDescent="0.35">
      <c r="A467" s="13">
        <v>466</v>
      </c>
      <c r="B467" s="14" t="s">
        <v>572</v>
      </c>
      <c r="C467" s="14" t="s">
        <v>570</v>
      </c>
      <c r="D467" s="13">
        <v>4</v>
      </c>
      <c r="E467" s="15"/>
      <c r="F467" s="15"/>
      <c r="G467" s="15"/>
      <c r="H467" s="16">
        <v>1</v>
      </c>
      <c r="I467" s="16">
        <v>1016</v>
      </c>
      <c r="J467" s="16">
        <v>1017</v>
      </c>
      <c r="K467" s="16">
        <v>1</v>
      </c>
      <c r="L467" s="16">
        <v>5</v>
      </c>
      <c r="M467" s="16"/>
      <c r="N467" s="16">
        <v>0</v>
      </c>
      <c r="O467" s="16"/>
      <c r="P467" s="16">
        <v>3</v>
      </c>
      <c r="Q467" s="16"/>
      <c r="R467" s="18"/>
      <c r="S467" s="15"/>
      <c r="T467" s="20"/>
      <c r="U467" s="17"/>
      <c r="V467" s="17">
        <f t="shared" si="48"/>
        <v>8</v>
      </c>
      <c r="W467" s="15">
        <f ca="1">IFERROR(__xludf.DUMMYFUNCTION("IFERROR(
  SUM(
    FILTER(
      Reporte!$E:$E, 
      REGEXMATCH(Reporte!$A:$A, ""(?i)(TE PAGÓ|PAGASTE)""), 
      Reporte!$H:$H &amp; """" = AH467 &amp; """"
    )
  ), 
  0
)"),0)</f>
        <v>0</v>
      </c>
      <c r="X467" s="15">
        <f ca="1">IFERROR(__xludf.DUMMYFUNCTION("IFERROR(
  SUM(
    FILTER(
      Efectivo!$C:$C, 
      Efectivo!$D:$D &amp; """" = AH467 &amp; """"
    )
  ), 
  0
)"),0)</f>
        <v>0</v>
      </c>
      <c r="Y467" s="15"/>
      <c r="Z467" s="15"/>
      <c r="AA467" s="15"/>
      <c r="AB467" s="15"/>
      <c r="AC467" s="15"/>
      <c r="AD467" s="15" t="str">
        <f t="shared" si="45"/>
        <v/>
      </c>
      <c r="AE467" s="15" t="e">
        <f>IF(
   OR(
     AND(#REF!&gt;0, OR(Y467="C", Y467="c"), U467&lt;0),
     AND(#REF!&gt;0, Y467="")
   ),
   "CORTE",
   ""
)</f>
        <v>#REF!</v>
      </c>
      <c r="AF467" s="15">
        <f t="shared" si="1"/>
        <v>0</v>
      </c>
      <c r="AG467" s="15">
        <f t="shared" si="2"/>
        <v>0</v>
      </c>
      <c r="AH467" s="15" t="str">
        <f t="shared" si="46"/>
        <v>E1</v>
      </c>
      <c r="AI467" s="15" t="str">
        <f t="shared" si="47"/>
        <v>E1-4</v>
      </c>
    </row>
    <row r="468" spans="1:35" ht="15.75" customHeight="1" x14ac:dyDescent="0.35">
      <c r="A468" s="8">
        <v>467</v>
      </c>
      <c r="B468" s="9" t="s">
        <v>573</v>
      </c>
      <c r="C468" s="9" t="s">
        <v>570</v>
      </c>
      <c r="D468" s="8">
        <v>6</v>
      </c>
      <c r="E468" s="10"/>
      <c r="F468" s="10"/>
      <c r="G468" s="10"/>
      <c r="H468" s="11">
        <v>1</v>
      </c>
      <c r="I468" s="11">
        <v>0</v>
      </c>
      <c r="J468" s="11">
        <v>0</v>
      </c>
      <c r="K468" s="11">
        <v>5</v>
      </c>
      <c r="L468" s="11">
        <v>5</v>
      </c>
      <c r="M468" s="11"/>
      <c r="N468" s="11">
        <v>0</v>
      </c>
      <c r="O468" s="11"/>
      <c r="P468" s="11">
        <v>3</v>
      </c>
      <c r="Q468" s="11"/>
      <c r="R468" s="19"/>
      <c r="S468" s="10"/>
      <c r="T468" s="21"/>
      <c r="U468" s="12"/>
      <c r="V468" s="12">
        <f t="shared" si="48"/>
        <v>8</v>
      </c>
      <c r="W468" s="10">
        <f ca="1">IFERROR(__xludf.DUMMYFUNCTION("IFERROR(
  SUM(
    FILTER(
      Reporte!$E:$E, 
      REGEXMATCH(Reporte!$A:$A, ""(?i)(TE PAGÓ|PAGASTE)""), 
      Reporte!$H:$H &amp; """" = AH468 &amp; """"
    )
  ), 
  0
)"),0)</f>
        <v>0</v>
      </c>
      <c r="X468" s="10">
        <f ca="1">IFERROR(__xludf.DUMMYFUNCTION("IFERROR(
  SUM(
    FILTER(
      Efectivo!$C:$C, 
      Efectivo!$D:$D &amp; """" = AH468 &amp; """"
    )
  ), 
  0
)"),0)</f>
        <v>0</v>
      </c>
      <c r="Y468" s="10"/>
      <c r="Z468" s="10"/>
      <c r="AA468" s="10"/>
      <c r="AB468" s="10"/>
      <c r="AC468" s="10"/>
      <c r="AD468" s="10" t="str">
        <f t="shared" si="45"/>
        <v/>
      </c>
      <c r="AE468" s="10" t="e">
        <f>IF(
   OR(
     AND(#REF!&gt;0, OR(Y468="C", Y468="c"), U468&lt;0),
     AND(#REF!&gt;0, Y468="")
   ),
   "CORTE",
   ""
)</f>
        <v>#REF!</v>
      </c>
      <c r="AF468" s="10">
        <f t="shared" si="1"/>
        <v>0</v>
      </c>
      <c r="AG468" s="10">
        <f t="shared" si="2"/>
        <v>0</v>
      </c>
      <c r="AH468" s="10" t="str">
        <f t="shared" si="46"/>
        <v>E1</v>
      </c>
      <c r="AI468" s="10" t="str">
        <f t="shared" si="47"/>
        <v>E1-6</v>
      </c>
    </row>
    <row r="469" spans="1:35" ht="15.75" customHeight="1" x14ac:dyDescent="0.35">
      <c r="A469" s="13">
        <v>468</v>
      </c>
      <c r="B469" s="14" t="s">
        <v>574</v>
      </c>
      <c r="C469" s="14" t="s">
        <v>570</v>
      </c>
      <c r="D469" s="13">
        <v>7</v>
      </c>
      <c r="E469" s="15"/>
      <c r="F469" s="15"/>
      <c r="G469" s="15"/>
      <c r="H469" s="16">
        <v>1</v>
      </c>
      <c r="I469" s="16">
        <v>307</v>
      </c>
      <c r="J469" s="16">
        <v>315</v>
      </c>
      <c r="K469" s="16">
        <v>8</v>
      </c>
      <c r="L469" s="16">
        <v>8</v>
      </c>
      <c r="M469" s="16"/>
      <c r="N469" s="16">
        <v>0</v>
      </c>
      <c r="O469" s="16"/>
      <c r="P469" s="16">
        <v>3</v>
      </c>
      <c r="Q469" s="16"/>
      <c r="R469" s="18"/>
      <c r="S469" s="15"/>
      <c r="T469" s="20"/>
      <c r="U469" s="17"/>
      <c r="V469" s="17">
        <f t="shared" si="48"/>
        <v>11</v>
      </c>
      <c r="W469" s="15">
        <f ca="1">IFERROR(__xludf.DUMMYFUNCTION("IFERROR(
  SUM(
    FILTER(
      Reporte!$E:$E, 
      REGEXMATCH(Reporte!$A:$A, ""(?i)(TE PAGÓ|PAGASTE)""), 
      Reporte!$H:$H &amp; """" = AH469 &amp; """"
    )
  ), 
  0
)"),11)</f>
        <v>11</v>
      </c>
      <c r="X469" s="15">
        <f ca="1">IFERROR(__xludf.DUMMYFUNCTION("IFERROR(
  SUM(
    FILTER(
      Efectivo!$C:$C, 
      Efectivo!$D:$D &amp; """" = AH469 &amp; """"
    )
  ), 
  0
)"),0)</f>
        <v>0</v>
      </c>
      <c r="Y469" s="15" t="s">
        <v>34</v>
      </c>
      <c r="Z469" s="15"/>
      <c r="AA469" s="15" t="s">
        <v>35</v>
      </c>
      <c r="AB469" s="15"/>
      <c r="AC469" s="15"/>
      <c r="AD469" s="15" t="str">
        <f t="shared" si="45"/>
        <v/>
      </c>
      <c r="AE469" s="15" t="e">
        <f>IF(
   OR(
     AND(#REF!&gt;0, OR(Y469="C", Y469="c"), U469&lt;0),
     AND(#REF!&gt;0, Y469="")
   ),
   "CORTE",
   ""
)</f>
        <v>#REF!</v>
      </c>
      <c r="AF469" s="15">
        <f t="shared" si="1"/>
        <v>0</v>
      </c>
      <c r="AG469" s="15">
        <f t="shared" si="2"/>
        <v>11</v>
      </c>
      <c r="AH469" s="15" t="str">
        <f t="shared" si="46"/>
        <v>E1</v>
      </c>
      <c r="AI469" s="15" t="str">
        <f t="shared" si="47"/>
        <v>E1-7</v>
      </c>
    </row>
    <row r="470" spans="1:35" ht="15.75" customHeight="1" x14ac:dyDescent="0.35">
      <c r="A470" s="8">
        <v>469</v>
      </c>
      <c r="B470" s="9" t="s">
        <v>575</v>
      </c>
      <c r="C470" s="9" t="s">
        <v>570</v>
      </c>
      <c r="D470" s="8">
        <v>8</v>
      </c>
      <c r="E470" s="10"/>
      <c r="F470" s="10"/>
      <c r="G470" s="10"/>
      <c r="H470" s="11">
        <v>1</v>
      </c>
      <c r="I470" s="11">
        <v>359</v>
      </c>
      <c r="J470" s="11">
        <v>363</v>
      </c>
      <c r="K470" s="11">
        <v>4</v>
      </c>
      <c r="L470" s="11">
        <v>5</v>
      </c>
      <c r="M470" s="11"/>
      <c r="N470" s="11">
        <v>0</v>
      </c>
      <c r="O470" s="11"/>
      <c r="P470" s="11">
        <v>3</v>
      </c>
      <c r="Q470" s="11"/>
      <c r="R470" s="19"/>
      <c r="S470" s="10"/>
      <c r="T470" s="21"/>
      <c r="U470" s="12"/>
      <c r="V470" s="12">
        <f t="shared" si="48"/>
        <v>8</v>
      </c>
      <c r="W470" s="10">
        <f ca="1">IFERROR(__xludf.DUMMYFUNCTION("IFERROR(
  SUM(
    FILTER(
      Reporte!$E:$E, 
      REGEXMATCH(Reporte!$A:$A, ""(?i)(TE PAGÓ|PAGASTE)""), 
      Reporte!$H:$H &amp; """" = AH470 &amp; """"
    )
  ), 
  0
)"),8)</f>
        <v>8</v>
      </c>
      <c r="X470" s="10">
        <f ca="1">IFERROR(__xludf.DUMMYFUNCTION("IFERROR(
  SUM(
    FILTER(
      Efectivo!$C:$C, 
      Efectivo!$D:$D &amp; """" = AH470 &amp; """"
    )
  ), 
  0
)"),0)</f>
        <v>0</v>
      </c>
      <c r="Y470" s="10" t="s">
        <v>34</v>
      </c>
      <c r="Z470" s="10"/>
      <c r="AA470" s="10" t="s">
        <v>35</v>
      </c>
      <c r="AB470" s="10"/>
      <c r="AC470" s="10"/>
      <c r="AD470" s="10" t="str">
        <f t="shared" si="45"/>
        <v/>
      </c>
      <c r="AE470" s="10" t="e">
        <f>IF(
   OR(
     AND(#REF!&gt;0, OR(Y470="C", Y470="c"), U470&lt;0),
     AND(#REF!&gt;0, Y470="")
   ),
   "CORTE",
   ""
)</f>
        <v>#REF!</v>
      </c>
      <c r="AF470" s="10">
        <f t="shared" si="1"/>
        <v>0</v>
      </c>
      <c r="AG470" s="10">
        <f t="shared" si="2"/>
        <v>8</v>
      </c>
      <c r="AH470" s="10" t="str">
        <f t="shared" si="46"/>
        <v>E1</v>
      </c>
      <c r="AI470" s="10" t="str">
        <f t="shared" si="47"/>
        <v>E1-8</v>
      </c>
    </row>
    <row r="471" spans="1:35" ht="15.75" customHeight="1" x14ac:dyDescent="0.35">
      <c r="A471" s="13">
        <v>470</v>
      </c>
      <c r="B471" s="14" t="s">
        <v>576</v>
      </c>
      <c r="C471" s="14" t="s">
        <v>570</v>
      </c>
      <c r="D471" s="13">
        <v>9</v>
      </c>
      <c r="E471" s="15"/>
      <c r="F471" s="15"/>
      <c r="G471" s="15"/>
      <c r="H471" s="16">
        <v>1</v>
      </c>
      <c r="I471" s="16">
        <v>54</v>
      </c>
      <c r="J471" s="16">
        <v>62</v>
      </c>
      <c r="K471" s="16">
        <v>8</v>
      </c>
      <c r="L471" s="16">
        <v>8</v>
      </c>
      <c r="M471" s="16"/>
      <c r="N471" s="16">
        <v>0</v>
      </c>
      <c r="O471" s="16"/>
      <c r="P471" s="16">
        <v>3</v>
      </c>
      <c r="Q471" s="16"/>
      <c r="R471" s="18"/>
      <c r="S471" s="15"/>
      <c r="T471" s="20"/>
      <c r="U471" s="17"/>
      <c r="V471" s="17">
        <f t="shared" si="48"/>
        <v>11</v>
      </c>
      <c r="W471" s="15">
        <f ca="1">IFERROR(__xludf.DUMMYFUNCTION("IFERROR(
  SUM(
    FILTER(
      Reporte!$E:$E, 
      REGEXMATCH(Reporte!$A:$A, ""(?i)(TE PAGÓ|PAGASTE)""), 
      Reporte!$H:$H &amp; """" = AH471 &amp; """"
    )
  ), 
  0
)"),0)</f>
        <v>0</v>
      </c>
      <c r="X471" s="15">
        <f ca="1">IFERROR(__xludf.DUMMYFUNCTION("IFERROR(
  SUM(
    FILTER(
      Efectivo!$C:$C, 
      Efectivo!$D:$D &amp; """" = AH471 &amp; """"
    )
  ), 
  0
)"),0)</f>
        <v>0</v>
      </c>
      <c r="Y471" s="15"/>
      <c r="Z471" s="15"/>
      <c r="AA471" s="15"/>
      <c r="AB471" s="15"/>
      <c r="AC471" s="15"/>
      <c r="AD471" s="15" t="str">
        <f t="shared" si="45"/>
        <v/>
      </c>
      <c r="AE471" s="15" t="e">
        <f>IF(
   OR(
     AND(#REF!&gt;0, OR(Y471="C", Y471="c"), U471&lt;0),
     AND(#REF!&gt;0, Y471="")
   ),
   "CORTE",
   ""
)</f>
        <v>#REF!</v>
      </c>
      <c r="AF471" s="15">
        <f t="shared" si="1"/>
        <v>0</v>
      </c>
      <c r="AG471" s="15">
        <f t="shared" si="2"/>
        <v>0</v>
      </c>
      <c r="AH471" s="15" t="str">
        <f t="shared" si="46"/>
        <v>E1</v>
      </c>
      <c r="AI471" s="15" t="str">
        <f t="shared" si="47"/>
        <v>E1-9</v>
      </c>
    </row>
    <row r="472" spans="1:35" ht="15.75" customHeight="1" x14ac:dyDescent="0.35">
      <c r="A472" s="8">
        <v>471</v>
      </c>
      <c r="B472" s="9" t="s">
        <v>577</v>
      </c>
      <c r="C472" s="9" t="s">
        <v>578</v>
      </c>
      <c r="D472" s="8">
        <v>1</v>
      </c>
      <c r="E472" s="10"/>
      <c r="F472" s="10"/>
      <c r="G472" s="10"/>
      <c r="H472" s="11">
        <v>1</v>
      </c>
      <c r="I472" s="11">
        <v>258</v>
      </c>
      <c r="J472" s="11">
        <v>263</v>
      </c>
      <c r="K472" s="11">
        <v>5</v>
      </c>
      <c r="L472" s="11">
        <v>5</v>
      </c>
      <c r="M472" s="11"/>
      <c r="N472" s="11">
        <v>0</v>
      </c>
      <c r="O472" s="11"/>
      <c r="P472" s="11">
        <v>3</v>
      </c>
      <c r="Q472" s="11"/>
      <c r="R472" s="19"/>
      <c r="S472" s="10"/>
      <c r="T472" s="21"/>
      <c r="U472" s="12"/>
      <c r="V472" s="12">
        <f t="shared" si="48"/>
        <v>8</v>
      </c>
      <c r="W472" s="10">
        <f ca="1">IFERROR(__xludf.DUMMYFUNCTION("IFERROR(
  SUM(
    FILTER(
      Reporte!$E:$E, 
      REGEXMATCH(Reporte!$A:$A, ""(?i)(TE PAGÓ|PAGASTE)""), 
      Reporte!$H:$H &amp; """" = AH472 &amp; """"
    )
  ), 
  0
)"),8)</f>
        <v>8</v>
      </c>
      <c r="X472" s="10">
        <f ca="1">IFERROR(__xludf.DUMMYFUNCTION("IFERROR(
  SUM(
    FILTER(
      Efectivo!$C:$C, 
      Efectivo!$D:$D &amp; """" = AH472 &amp; """"
    )
  ), 
  0
)"),0)</f>
        <v>0</v>
      </c>
      <c r="Y472" s="10" t="s">
        <v>34</v>
      </c>
      <c r="Z472" s="10"/>
      <c r="AA472" s="10" t="s">
        <v>35</v>
      </c>
      <c r="AB472" s="10"/>
      <c r="AC472" s="10"/>
      <c r="AD472" s="10" t="str">
        <f t="shared" si="45"/>
        <v/>
      </c>
      <c r="AE472" s="10" t="e">
        <f>IF(
   OR(
     AND(#REF!&gt;0, OR(Y472="C", Y472="c"), U472&lt;0),
     AND(#REF!&gt;0, Y472="")
   ),
   "CORTE",
   ""
)</f>
        <v>#REF!</v>
      </c>
      <c r="AF472" s="10">
        <f t="shared" si="1"/>
        <v>0</v>
      </c>
      <c r="AG472" s="10">
        <f t="shared" si="2"/>
        <v>8</v>
      </c>
      <c r="AH472" s="10" t="str">
        <f t="shared" si="46"/>
        <v>F1</v>
      </c>
      <c r="AI472" s="10" t="str">
        <f t="shared" si="47"/>
        <v>F1-1</v>
      </c>
    </row>
    <row r="473" spans="1:35" ht="15.75" customHeight="1" x14ac:dyDescent="0.35">
      <c r="A473" s="13">
        <v>472</v>
      </c>
      <c r="B473" s="14" t="s">
        <v>579</v>
      </c>
      <c r="C473" s="14" t="s">
        <v>578</v>
      </c>
      <c r="D473" s="13">
        <v>2</v>
      </c>
      <c r="E473" s="15"/>
      <c r="F473" s="15"/>
      <c r="G473" s="15"/>
      <c r="H473" s="16">
        <v>1</v>
      </c>
      <c r="I473" s="16">
        <v>840</v>
      </c>
      <c r="J473" s="16">
        <v>543</v>
      </c>
      <c r="K473" s="16">
        <v>5</v>
      </c>
      <c r="L473" s="16">
        <v>5</v>
      </c>
      <c r="M473" s="16"/>
      <c r="N473" s="16">
        <v>0</v>
      </c>
      <c r="O473" s="16"/>
      <c r="P473" s="16">
        <v>3</v>
      </c>
      <c r="Q473" s="16"/>
      <c r="R473" s="18"/>
      <c r="S473" s="15"/>
      <c r="T473" s="20"/>
      <c r="U473" s="17"/>
      <c r="V473" s="17">
        <f t="shared" si="48"/>
        <v>8</v>
      </c>
      <c r="W473" s="15">
        <f ca="1">IFERROR(__xludf.DUMMYFUNCTION("IFERROR(
  SUM(
    FILTER(
      Reporte!$E:$E, 
      REGEXMATCH(Reporte!$A:$A, ""(?i)(TE PAGÓ|PAGASTE)""), 
      Reporte!$H:$H &amp; """" = AH473 &amp; """"
    )
  ), 
  0
)"),8)</f>
        <v>8</v>
      </c>
      <c r="X473" s="15">
        <f ca="1">IFERROR(__xludf.DUMMYFUNCTION("IFERROR(
  SUM(
    FILTER(
      Efectivo!$C:$C, 
      Efectivo!$D:$D &amp; """" = AH473 &amp; """"
    )
  ), 
  0
)"),0)</f>
        <v>0</v>
      </c>
      <c r="Y473" s="15" t="s">
        <v>34</v>
      </c>
      <c r="Z473" s="15"/>
      <c r="AA473" s="15" t="s">
        <v>35</v>
      </c>
      <c r="AB473" s="15"/>
      <c r="AC473" s="15"/>
      <c r="AD473" s="15" t="str">
        <f t="shared" si="45"/>
        <v/>
      </c>
      <c r="AE473" s="15" t="e">
        <f>IF(
   OR(
     AND(#REF!&gt;0, OR(Y473="C", Y473="c"), U473&lt;0),
     AND(#REF!&gt;0, Y473="")
   ),
   "CORTE",
   ""
)</f>
        <v>#REF!</v>
      </c>
      <c r="AF473" s="15">
        <f t="shared" si="1"/>
        <v>0</v>
      </c>
      <c r="AG473" s="15">
        <f t="shared" si="2"/>
        <v>8</v>
      </c>
      <c r="AH473" s="15" t="str">
        <f t="shared" si="46"/>
        <v>F1</v>
      </c>
      <c r="AI473" s="15" t="str">
        <f t="shared" si="47"/>
        <v>F1-2</v>
      </c>
    </row>
    <row r="474" spans="1:35" ht="15.75" customHeight="1" x14ac:dyDescent="0.35">
      <c r="A474" s="8">
        <v>473</v>
      </c>
      <c r="B474" s="9" t="s">
        <v>580</v>
      </c>
      <c r="C474" s="9" t="s">
        <v>578</v>
      </c>
      <c r="D474" s="8">
        <v>4</v>
      </c>
      <c r="E474" s="10"/>
      <c r="F474" s="10"/>
      <c r="G474" s="10"/>
      <c r="H474" s="11">
        <v>1</v>
      </c>
      <c r="I474" s="11">
        <v>1259</v>
      </c>
      <c r="J474" s="11">
        <v>1281</v>
      </c>
      <c r="K474" s="11">
        <v>22</v>
      </c>
      <c r="L474" s="11">
        <v>22</v>
      </c>
      <c r="M474" s="11">
        <v>8</v>
      </c>
      <c r="N474" s="11">
        <v>0</v>
      </c>
      <c r="O474" s="11"/>
      <c r="P474" s="11">
        <v>3</v>
      </c>
      <c r="Q474" s="11"/>
      <c r="R474" s="19"/>
      <c r="S474" s="10"/>
      <c r="T474" s="21"/>
      <c r="U474" s="12"/>
      <c r="V474" s="12">
        <f>SUM(L474:U474)</f>
        <v>33</v>
      </c>
      <c r="W474" s="10">
        <f ca="1">IFERROR(__xludf.DUMMYFUNCTION("IFERROR(
  SUM(
    FILTER(
      Reporte!$E:$E, 
      REGEXMATCH(Reporte!$A:$A, ""(?i)(TE PAGÓ|PAGASTE)""), 
      Reporte!$H:$H &amp; """" = AH474 &amp; """"
    )
  ), 
  0
)"),33)</f>
        <v>33</v>
      </c>
      <c r="X474" s="10">
        <f ca="1">IFERROR(__xludf.DUMMYFUNCTION("IFERROR(
  SUM(
    FILTER(
      Efectivo!$C:$C, 
      Efectivo!$D:$D &amp; """" = AH474 &amp; """"
    )
  ), 
  0
)"),0)</f>
        <v>0</v>
      </c>
      <c r="Y474" s="10" t="s">
        <v>34</v>
      </c>
      <c r="Z474" s="10"/>
      <c r="AA474" s="10" t="s">
        <v>35</v>
      </c>
      <c r="AB474" s="10"/>
      <c r="AC474" s="10"/>
      <c r="AD474" s="10" t="str">
        <f t="shared" si="45"/>
        <v/>
      </c>
      <c r="AE474" s="10" t="e">
        <f>IF(
   OR(
     AND(#REF!&gt;0, OR(Y474="C", Y474="c"), U474&lt;0),
     AND(#REF!&gt;0, Y474="")
   ),
   "CORTE",
   ""
)</f>
        <v>#REF!</v>
      </c>
      <c r="AF474" s="10">
        <f t="shared" si="1"/>
        <v>0</v>
      </c>
      <c r="AG474" s="10">
        <f t="shared" si="2"/>
        <v>33</v>
      </c>
      <c r="AH474" s="10" t="str">
        <f t="shared" si="46"/>
        <v>F1</v>
      </c>
      <c r="AI474" s="10" t="str">
        <f t="shared" si="47"/>
        <v>F1-4</v>
      </c>
    </row>
    <row r="475" spans="1:35" ht="15.75" customHeight="1" x14ac:dyDescent="0.35">
      <c r="A475" s="13">
        <v>474</v>
      </c>
      <c r="B475" s="14" t="s">
        <v>581</v>
      </c>
      <c r="C475" s="14" t="s">
        <v>578</v>
      </c>
      <c r="D475" s="13">
        <v>6</v>
      </c>
      <c r="E475" s="15"/>
      <c r="F475" s="15"/>
      <c r="G475" s="15"/>
      <c r="H475" s="16">
        <v>1</v>
      </c>
      <c r="I475" s="16">
        <v>345</v>
      </c>
      <c r="J475" s="16">
        <v>350</v>
      </c>
      <c r="K475" s="16">
        <v>5</v>
      </c>
      <c r="L475" s="16">
        <v>5</v>
      </c>
      <c r="M475" s="16"/>
      <c r="N475" s="16">
        <v>0</v>
      </c>
      <c r="O475" s="16"/>
      <c r="P475" s="16">
        <v>3</v>
      </c>
      <c r="Q475" s="16"/>
      <c r="R475" s="18"/>
      <c r="S475" s="15"/>
      <c r="T475" s="20"/>
      <c r="U475" s="17"/>
      <c r="V475" s="17">
        <f>SUM(L475:Q475)</f>
        <v>8</v>
      </c>
      <c r="W475" s="15">
        <f ca="1">IFERROR(__xludf.DUMMYFUNCTION("IFERROR(
  SUM(
    FILTER(
      Reporte!$E:$E, 
      REGEXMATCH(Reporte!$A:$A, ""(?i)(TE PAGÓ|PAGASTE)""), 
      Reporte!$H:$H &amp; """" = AH475 &amp; """"
    )
  ), 
  0
)"),8)</f>
        <v>8</v>
      </c>
      <c r="X475" s="15">
        <f ca="1">IFERROR(__xludf.DUMMYFUNCTION("IFERROR(
  SUM(
    FILTER(
      Efectivo!$C:$C, 
      Efectivo!$D:$D &amp; """" = AH475 &amp; """"
    )
  ), 
  0
)"),0)</f>
        <v>0</v>
      </c>
      <c r="Y475" s="15" t="s">
        <v>34</v>
      </c>
      <c r="Z475" s="15"/>
      <c r="AA475" s="15" t="s">
        <v>35</v>
      </c>
      <c r="AB475" s="15"/>
      <c r="AC475" s="15"/>
      <c r="AD475" s="15" t="str">
        <f t="shared" si="45"/>
        <v/>
      </c>
      <c r="AE475" s="15" t="e">
        <f>IF(
   OR(
     AND(#REF!&gt;0, OR(Y475="C", Y475="c"), U475&lt;0),
     AND(#REF!&gt;0, Y475="")
   ),
   "CORTE",
   ""
)</f>
        <v>#REF!</v>
      </c>
      <c r="AF475" s="15">
        <f t="shared" si="1"/>
        <v>0</v>
      </c>
      <c r="AG475" s="15">
        <f t="shared" si="2"/>
        <v>8</v>
      </c>
      <c r="AH475" s="15" t="str">
        <f t="shared" si="46"/>
        <v>F1</v>
      </c>
      <c r="AI475" s="15" t="str">
        <f t="shared" si="47"/>
        <v>F1-6</v>
      </c>
    </row>
    <row r="476" spans="1:35" ht="15.75" customHeight="1" x14ac:dyDescent="0.35">
      <c r="A476" s="8">
        <v>475</v>
      </c>
      <c r="B476" s="9" t="s">
        <v>582</v>
      </c>
      <c r="C476" s="9" t="s">
        <v>578</v>
      </c>
      <c r="D476" s="8">
        <v>7</v>
      </c>
      <c r="E476" s="10"/>
      <c r="F476" s="10"/>
      <c r="G476" s="10"/>
      <c r="H476" s="11">
        <v>1</v>
      </c>
      <c r="I476" s="11">
        <v>107</v>
      </c>
      <c r="J476" s="11">
        <v>114</v>
      </c>
      <c r="K476" s="11">
        <v>7</v>
      </c>
      <c r="L476" s="11">
        <v>7</v>
      </c>
      <c r="M476" s="11"/>
      <c r="N476" s="11">
        <v>0</v>
      </c>
      <c r="O476" s="11"/>
      <c r="P476" s="11">
        <v>3</v>
      </c>
      <c r="Q476" s="11"/>
      <c r="R476" s="19"/>
      <c r="S476" s="10"/>
      <c r="T476" s="21"/>
      <c r="U476" s="12"/>
      <c r="V476" s="12">
        <f>SUM(L476:Q476)</f>
        <v>10</v>
      </c>
      <c r="W476" s="10">
        <f ca="1">IFERROR(__xludf.DUMMYFUNCTION("IFERROR(
  SUM(
    FILTER(
      Reporte!$E:$E, 
      REGEXMATCH(Reporte!$A:$A, ""(?i)(TE PAGÓ|PAGASTE)""), 
      Reporte!$H:$H &amp; """" = AH476 &amp; """"
    )
  ), 
  0
)"),10)</f>
        <v>10</v>
      </c>
      <c r="X476" s="10">
        <f ca="1">IFERROR(__xludf.DUMMYFUNCTION("IFERROR(
  SUM(
    FILTER(
      Efectivo!$C:$C, 
      Efectivo!$D:$D &amp; """" = AH476 &amp; """"
    )
  ), 
  0
)"),0)</f>
        <v>0</v>
      </c>
      <c r="Y476" s="10" t="s">
        <v>34</v>
      </c>
      <c r="Z476" s="10"/>
      <c r="AA476" s="10" t="s">
        <v>35</v>
      </c>
      <c r="AB476" s="10"/>
      <c r="AC476" s="10"/>
      <c r="AD476" s="10" t="str">
        <f t="shared" si="45"/>
        <v/>
      </c>
      <c r="AE476" s="10" t="e">
        <f>IF(
   OR(
     AND(#REF!&gt;0, OR(Y476="C", Y476="c"), U476&lt;0),
     AND(#REF!&gt;0, Y476="")
   ),
   "CORTE",
   ""
)</f>
        <v>#REF!</v>
      </c>
      <c r="AF476" s="10">
        <f t="shared" si="1"/>
        <v>0</v>
      </c>
      <c r="AG476" s="10">
        <f t="shared" si="2"/>
        <v>10</v>
      </c>
      <c r="AH476" s="10" t="str">
        <f t="shared" si="46"/>
        <v>F1</v>
      </c>
      <c r="AI476" s="10" t="str">
        <f t="shared" si="47"/>
        <v>F1-7</v>
      </c>
    </row>
    <row r="477" spans="1:35" ht="15.75" customHeight="1" x14ac:dyDescent="0.35">
      <c r="A477" s="13">
        <v>476</v>
      </c>
      <c r="B477" s="14" t="s">
        <v>583</v>
      </c>
      <c r="C477" s="14" t="s">
        <v>578</v>
      </c>
      <c r="D477" s="13">
        <v>8</v>
      </c>
      <c r="E477" s="15" t="s">
        <v>73</v>
      </c>
      <c r="F477" s="15"/>
      <c r="G477" s="15"/>
      <c r="H477" s="16">
        <v>1</v>
      </c>
      <c r="I477" s="16">
        <v>6</v>
      </c>
      <c r="J477" s="16">
        <v>18</v>
      </c>
      <c r="K477" s="16">
        <v>12</v>
      </c>
      <c r="L477" s="16">
        <v>12</v>
      </c>
      <c r="M477" s="16"/>
      <c r="N477" s="16">
        <v>0</v>
      </c>
      <c r="O477" s="16">
        <v>25</v>
      </c>
      <c r="P477" s="16">
        <v>3</v>
      </c>
      <c r="Q477" s="16"/>
      <c r="R477" s="18"/>
      <c r="S477" s="15"/>
      <c r="T477" s="20"/>
      <c r="U477" s="17"/>
      <c r="V477" s="17">
        <f>SUM(L477:U477)</f>
        <v>40</v>
      </c>
      <c r="W477" s="15">
        <f ca="1">IFERROR(__xludf.DUMMYFUNCTION("IFERROR(
  SUM(
    FILTER(
      Reporte!$E:$E, 
      REGEXMATCH(Reporte!$A:$A, ""(?i)(TE PAGÓ|PAGASTE)""), 
      Reporte!$H:$H &amp; """" = AH477 &amp; """"
    )
  ), 
  0
)"),40)</f>
        <v>40</v>
      </c>
      <c r="X477" s="15">
        <f ca="1">IFERROR(__xludf.DUMMYFUNCTION("IFERROR(
  SUM(
    FILTER(
      Efectivo!$C:$C, 
      Efectivo!$D:$D &amp; """" = AH477 &amp; """"
    )
  ), 
  0
)"),0)</f>
        <v>0</v>
      </c>
      <c r="Y477" s="15" t="s">
        <v>34</v>
      </c>
      <c r="Z477" s="15"/>
      <c r="AA477" s="15" t="s">
        <v>35</v>
      </c>
      <c r="AB477" s="15"/>
      <c r="AC477" s="15"/>
      <c r="AD477" s="15" t="str">
        <f t="shared" si="45"/>
        <v/>
      </c>
      <c r="AE477" s="15" t="e">
        <f>IF(
   OR(
     AND(#REF!&gt;0, OR(Y477="C", Y477="c"), U477&lt;0),
     AND(#REF!&gt;0, Y477="")
   ),
   "CORTE",
   ""
)</f>
        <v>#REF!</v>
      </c>
      <c r="AF477" s="15">
        <f t="shared" si="1"/>
        <v>0</v>
      </c>
      <c r="AG477" s="15">
        <f t="shared" si="2"/>
        <v>40</v>
      </c>
      <c r="AH477" s="15" t="str">
        <f t="shared" si="46"/>
        <v>F1</v>
      </c>
      <c r="AI477" s="15" t="str">
        <f t="shared" si="47"/>
        <v>F1-8</v>
      </c>
    </row>
    <row r="478" spans="1:35" ht="15.75" customHeight="1" x14ac:dyDescent="0.35">
      <c r="A478" s="8">
        <v>477</v>
      </c>
      <c r="B478" s="9" t="s">
        <v>584</v>
      </c>
      <c r="C478" s="9" t="s">
        <v>578</v>
      </c>
      <c r="D478" s="8">
        <v>9</v>
      </c>
      <c r="E478" s="10"/>
      <c r="F478" s="10"/>
      <c r="G478" s="10"/>
      <c r="H478" s="11">
        <v>1</v>
      </c>
      <c r="I478" s="11">
        <v>124</v>
      </c>
      <c r="J478" s="11">
        <v>126</v>
      </c>
      <c r="K478" s="11">
        <v>2</v>
      </c>
      <c r="L478" s="11">
        <v>5</v>
      </c>
      <c r="M478" s="11"/>
      <c r="N478" s="11">
        <v>0</v>
      </c>
      <c r="O478" s="11"/>
      <c r="P478" s="11">
        <v>3</v>
      </c>
      <c r="Q478" s="11"/>
      <c r="R478" s="19"/>
      <c r="S478" s="10"/>
      <c r="T478" s="21"/>
      <c r="U478" s="12"/>
      <c r="V478" s="12">
        <f>SUM(L478:Q478)</f>
        <v>8</v>
      </c>
      <c r="W478" s="10">
        <f ca="1">IFERROR(__xludf.DUMMYFUNCTION("IFERROR(
  SUM(
    FILTER(
      Reporte!$E:$E, 
      REGEXMATCH(Reporte!$A:$A, ""(?i)(TE PAGÓ|PAGASTE)""), 
      Reporte!$H:$H &amp; """" = AH478 &amp; """"
    )
  ), 
  0
)"),0)</f>
        <v>0</v>
      </c>
      <c r="X478" s="10">
        <f ca="1">IFERROR(__xludf.DUMMYFUNCTION("IFERROR(
  SUM(
    FILTER(
      Efectivo!$C:$C, 
      Efectivo!$D:$D &amp; """" = AH478 &amp; """"
    )
  ), 
  0
)"),8)</f>
        <v>8</v>
      </c>
      <c r="Y478" s="10" t="s">
        <v>34</v>
      </c>
      <c r="Z478" s="10"/>
      <c r="AA478" s="10"/>
      <c r="AB478" s="10"/>
      <c r="AC478" s="10"/>
      <c r="AD478" s="10" t="str">
        <f t="shared" si="45"/>
        <v/>
      </c>
      <c r="AE478" s="10" t="e">
        <f>IF(
   OR(
     AND(#REF!&gt;0, OR(Y478="C", Y478="c"), U478&lt;0),
     AND(#REF!&gt;0, Y478="")
   ),
   "CORTE",
   ""
)</f>
        <v>#REF!</v>
      </c>
      <c r="AF478" s="10">
        <f t="shared" si="1"/>
        <v>8</v>
      </c>
      <c r="AG478" s="10">
        <f t="shared" si="2"/>
        <v>0</v>
      </c>
      <c r="AH478" s="10" t="str">
        <f t="shared" si="46"/>
        <v>F1</v>
      </c>
      <c r="AI478" s="10" t="str">
        <f t="shared" si="47"/>
        <v>F1-9</v>
      </c>
    </row>
    <row r="479" spans="1:35" ht="15.75" customHeight="1" x14ac:dyDescent="0.35">
      <c r="A479" s="13">
        <v>478</v>
      </c>
      <c r="B479" s="14" t="s">
        <v>585</v>
      </c>
      <c r="C479" s="14" t="s">
        <v>578</v>
      </c>
      <c r="D479" s="13">
        <v>10</v>
      </c>
      <c r="E479" s="15"/>
      <c r="F479" s="15"/>
      <c r="G479" s="15"/>
      <c r="H479" s="16">
        <v>1</v>
      </c>
      <c r="I479" s="16">
        <v>975</v>
      </c>
      <c r="J479" s="16">
        <v>981</v>
      </c>
      <c r="K479" s="16">
        <v>6</v>
      </c>
      <c r="L479" s="16">
        <v>6</v>
      </c>
      <c r="M479" s="16"/>
      <c r="N479" s="16">
        <v>0</v>
      </c>
      <c r="O479" s="16"/>
      <c r="P479" s="16">
        <v>3</v>
      </c>
      <c r="Q479" s="16"/>
      <c r="R479" s="18"/>
      <c r="S479" s="15"/>
      <c r="T479" s="20"/>
      <c r="U479" s="17"/>
      <c r="V479" s="17">
        <f>SUM(L479:Q479)</f>
        <v>9</v>
      </c>
      <c r="W479" s="15">
        <f ca="1">IFERROR(__xludf.DUMMYFUNCTION("IFERROR(
  SUM(
    FILTER(
      Reporte!$E:$E, 
      REGEXMATCH(Reporte!$A:$A, ""(?i)(TE PAGÓ|PAGASTE)""), 
      Reporte!$H:$H &amp; """" = AH479 &amp; """"
    )
  ), 
  0
)"),9)</f>
        <v>9</v>
      </c>
      <c r="X479" s="15">
        <f ca="1">IFERROR(__xludf.DUMMYFUNCTION("IFERROR(
  SUM(
    FILTER(
      Efectivo!$C:$C, 
      Efectivo!$D:$D &amp; """" = AH479 &amp; """"
    )
  ), 
  0
)"),0)</f>
        <v>0</v>
      </c>
      <c r="Y479" s="15" t="s">
        <v>34</v>
      </c>
      <c r="Z479" s="15"/>
      <c r="AA479" s="15" t="s">
        <v>35</v>
      </c>
      <c r="AB479" s="15"/>
      <c r="AC479" s="15"/>
      <c r="AD479" s="15" t="str">
        <f t="shared" si="45"/>
        <v/>
      </c>
      <c r="AE479" s="15" t="e">
        <f>IF(
   OR(
     AND(#REF!&gt;0, OR(Y479="C", Y479="c"), U479&lt;0),
     AND(#REF!&gt;0, Y479="")
   ),
   "CORTE",
   ""
)</f>
        <v>#REF!</v>
      </c>
      <c r="AF479" s="15">
        <f t="shared" si="1"/>
        <v>0</v>
      </c>
      <c r="AG479" s="15">
        <f t="shared" si="2"/>
        <v>9</v>
      </c>
      <c r="AH479" s="15" t="str">
        <f t="shared" si="46"/>
        <v>F1</v>
      </c>
      <c r="AI479" s="15" t="str">
        <f t="shared" si="47"/>
        <v>F1-10</v>
      </c>
    </row>
    <row r="480" spans="1:35" ht="15.75" customHeight="1" x14ac:dyDescent="0.35">
      <c r="A480" s="8">
        <v>479</v>
      </c>
      <c r="B480" s="9" t="s">
        <v>586</v>
      </c>
      <c r="C480" s="9" t="s">
        <v>578</v>
      </c>
      <c r="D480" s="8">
        <v>11</v>
      </c>
      <c r="E480" s="10"/>
      <c r="F480" s="10"/>
      <c r="G480" s="10"/>
      <c r="H480" s="11">
        <v>1</v>
      </c>
      <c r="I480" s="11">
        <v>103</v>
      </c>
      <c r="J480" s="11">
        <v>109</v>
      </c>
      <c r="K480" s="11">
        <v>6</v>
      </c>
      <c r="L480" s="11">
        <v>6</v>
      </c>
      <c r="M480" s="11"/>
      <c r="N480" s="11">
        <v>0</v>
      </c>
      <c r="O480" s="11">
        <v>50</v>
      </c>
      <c r="P480" s="11">
        <v>3</v>
      </c>
      <c r="Q480" s="11"/>
      <c r="R480" s="19"/>
      <c r="S480" s="10"/>
      <c r="T480" s="21"/>
      <c r="U480" s="12"/>
      <c r="V480" s="12">
        <f>SUM(L480:Q480)</f>
        <v>59</v>
      </c>
      <c r="W480" s="10">
        <f ca="1">IFERROR(__xludf.DUMMYFUNCTION("IFERROR(
  SUM(
    FILTER(
      Reporte!$E:$E, 
      REGEXMATCH(Reporte!$A:$A, ""(?i)(TE PAGÓ|PAGASTE)""), 
      Reporte!$H:$H &amp; """" = AH480 &amp; """"
    )
  ), 
  0
)"),0)</f>
        <v>0</v>
      </c>
      <c r="X480" s="10">
        <f ca="1">IFERROR(__xludf.DUMMYFUNCTION("IFERROR(
  SUM(
    FILTER(
      Efectivo!$C:$C, 
      Efectivo!$D:$D &amp; """" = AH480 &amp; """"
    )
  ), 
  0
)"),59)</f>
        <v>59</v>
      </c>
      <c r="Y480" s="10" t="s">
        <v>34</v>
      </c>
      <c r="Z480" s="10"/>
      <c r="AA480" s="10"/>
      <c r="AB480" s="10"/>
      <c r="AC480" s="10"/>
      <c r="AD480" s="10" t="str">
        <f t="shared" si="45"/>
        <v/>
      </c>
      <c r="AE480" s="10" t="e">
        <f>IF(
   OR(
     AND(#REF!&gt;0, OR(Y480="C", Y480="c"), U480&lt;0),
     AND(#REF!&gt;0, Y480="")
   ),
   "CORTE",
   ""
)</f>
        <v>#REF!</v>
      </c>
      <c r="AF480" s="10">
        <f t="shared" si="1"/>
        <v>59</v>
      </c>
      <c r="AG480" s="10">
        <f t="shared" si="2"/>
        <v>0</v>
      </c>
      <c r="AH480" s="10" t="str">
        <f t="shared" si="46"/>
        <v>F1</v>
      </c>
      <c r="AI480" s="10" t="str">
        <f t="shared" si="47"/>
        <v>F1-11</v>
      </c>
    </row>
    <row r="481" spans="1:35" ht="15.75" customHeight="1" x14ac:dyDescent="0.35">
      <c r="A481" s="13">
        <v>480</v>
      </c>
      <c r="B481" s="14" t="s">
        <v>587</v>
      </c>
      <c r="C481" s="14" t="s">
        <v>578</v>
      </c>
      <c r="D481" s="13">
        <v>13</v>
      </c>
      <c r="E481" s="15"/>
      <c r="F481" s="15"/>
      <c r="G481" s="15"/>
      <c r="H481" s="16">
        <v>1</v>
      </c>
      <c r="I481" s="16">
        <v>254</v>
      </c>
      <c r="J481" s="16">
        <v>256</v>
      </c>
      <c r="K481" s="16">
        <v>2</v>
      </c>
      <c r="L481" s="16">
        <v>5</v>
      </c>
      <c r="M481" s="16"/>
      <c r="N481" s="16">
        <v>0</v>
      </c>
      <c r="O481" s="16"/>
      <c r="P481" s="16">
        <v>3</v>
      </c>
      <c r="Q481" s="16"/>
      <c r="R481" s="18"/>
      <c r="S481" s="15"/>
      <c r="T481" s="20"/>
      <c r="U481" s="17"/>
      <c r="V481" s="17">
        <f>SUM(L481:Q481)</f>
        <v>8</v>
      </c>
      <c r="W481" s="15">
        <f ca="1">IFERROR(__xludf.DUMMYFUNCTION("IFERROR(
  SUM(
    FILTER(
      Reporte!$E:$E, 
      REGEXMATCH(Reporte!$A:$A, ""(?i)(TE PAGÓ|PAGASTE)""), 
      Reporte!$H:$H &amp; """" = AH481 &amp; """"
    )
  ), 
  0
)"),0)</f>
        <v>0</v>
      </c>
      <c r="X481" s="15">
        <f ca="1">IFERROR(__xludf.DUMMYFUNCTION("IFERROR(
  SUM(
    FILTER(
      Efectivo!$C:$C, 
      Efectivo!$D:$D &amp; """" = AH481 &amp; """"
    )
  ), 
  0
)"),8)</f>
        <v>8</v>
      </c>
      <c r="Y481" s="15" t="s">
        <v>34</v>
      </c>
      <c r="Z481" s="15"/>
      <c r="AA481" s="15"/>
      <c r="AB481" s="15"/>
      <c r="AC481" s="15"/>
      <c r="AD481" s="15" t="str">
        <f t="shared" si="45"/>
        <v/>
      </c>
      <c r="AE481" s="15" t="e">
        <f>IF(
   OR(
     AND(#REF!&gt;0, OR(Y481="C", Y481="c"), U481&lt;0),
     AND(#REF!&gt;0, Y481="")
   ),
   "CORTE",
   ""
)</f>
        <v>#REF!</v>
      </c>
      <c r="AF481" s="15">
        <f t="shared" si="1"/>
        <v>8</v>
      </c>
      <c r="AG481" s="15">
        <f t="shared" si="2"/>
        <v>0</v>
      </c>
      <c r="AH481" s="15" t="str">
        <f t="shared" si="46"/>
        <v>F1</v>
      </c>
      <c r="AI481" s="15" t="str">
        <f t="shared" si="47"/>
        <v>F1-13</v>
      </c>
    </row>
    <row r="482" spans="1:35" ht="15.75" customHeight="1" x14ac:dyDescent="0.35">
      <c r="A482" s="8">
        <v>481</v>
      </c>
      <c r="B482" s="9" t="s">
        <v>588</v>
      </c>
      <c r="C482" s="9" t="s">
        <v>589</v>
      </c>
      <c r="D482" s="8">
        <v>1</v>
      </c>
      <c r="E482" s="10"/>
      <c r="F482" s="10"/>
      <c r="G482" s="10"/>
      <c r="H482" s="11">
        <v>1</v>
      </c>
      <c r="I482" s="11">
        <v>106</v>
      </c>
      <c r="J482" s="11">
        <v>109</v>
      </c>
      <c r="K482" s="11">
        <v>3</v>
      </c>
      <c r="L482" s="11">
        <v>5</v>
      </c>
      <c r="M482" s="11"/>
      <c r="N482" s="11">
        <v>0</v>
      </c>
      <c r="O482" s="11"/>
      <c r="P482" s="11">
        <v>3</v>
      </c>
      <c r="Q482" s="11"/>
      <c r="R482" s="19"/>
      <c r="S482" s="10"/>
      <c r="T482" s="21"/>
      <c r="U482" s="12"/>
      <c r="V482" s="12">
        <f>SUM(L482:Q482)</f>
        <v>8</v>
      </c>
      <c r="W482" s="10">
        <f ca="1">IFERROR(__xludf.DUMMYFUNCTION("IFERROR(
  SUM(
    FILTER(
      Reporte!$E:$E, 
      REGEXMATCH(Reporte!$A:$A, ""(?i)(TE PAGÓ|PAGASTE)""), 
      Reporte!$H:$H &amp; """" = AH482 &amp; """"
    )
  ), 
  0
)"),0)</f>
        <v>0</v>
      </c>
      <c r="X482" s="10">
        <f ca="1">IFERROR(__xludf.DUMMYFUNCTION("IFERROR(
  SUM(
    FILTER(
      Efectivo!$C:$C, 
      Efectivo!$D:$D &amp; """" = AH482 &amp; """"
    )
  ), 
  0
)"),0)</f>
        <v>0</v>
      </c>
      <c r="Y482" s="10"/>
      <c r="Z482" s="10"/>
      <c r="AA482" s="10"/>
      <c r="AB482" s="10"/>
      <c r="AC482" s="10"/>
      <c r="AD482" s="10" t="str">
        <f t="shared" si="45"/>
        <v/>
      </c>
      <c r="AE482" s="10" t="e">
        <f>IF(
   OR(
     AND(#REF!&gt;0, OR(Y482="C", Y482="c"), U482&lt;0),
     AND(#REF!&gt;0, Y482="")
   ),
   "CORTE",
   ""
)</f>
        <v>#REF!</v>
      </c>
      <c r="AF482" s="10">
        <f t="shared" si="1"/>
        <v>0</v>
      </c>
      <c r="AG482" s="10">
        <f t="shared" si="2"/>
        <v>0</v>
      </c>
      <c r="AH482" s="10" t="str">
        <f t="shared" si="46"/>
        <v>G1</v>
      </c>
      <c r="AI482" s="10" t="str">
        <f t="shared" si="47"/>
        <v>G1-1</v>
      </c>
    </row>
    <row r="483" spans="1:35" ht="15.75" customHeight="1" x14ac:dyDescent="0.35">
      <c r="A483" s="13">
        <v>482</v>
      </c>
      <c r="B483" s="14" t="s">
        <v>590</v>
      </c>
      <c r="C483" s="14" t="s">
        <v>589</v>
      </c>
      <c r="D483" s="13">
        <v>2</v>
      </c>
      <c r="E483" s="15"/>
      <c r="F483" s="15"/>
      <c r="G483" s="15"/>
      <c r="H483" s="16">
        <v>1</v>
      </c>
      <c r="I483" s="16">
        <v>604</v>
      </c>
      <c r="J483" s="16">
        <v>614</v>
      </c>
      <c r="K483" s="16">
        <v>10</v>
      </c>
      <c r="L483" s="16">
        <v>10</v>
      </c>
      <c r="M483" s="16"/>
      <c r="N483" s="16">
        <v>0</v>
      </c>
      <c r="O483" s="16"/>
      <c r="P483" s="16">
        <v>3</v>
      </c>
      <c r="Q483" s="16"/>
      <c r="R483" s="18"/>
      <c r="S483" s="15"/>
      <c r="T483" s="20"/>
      <c r="U483" s="17"/>
      <c r="V483" s="17">
        <f>SUM(L483:U483)</f>
        <v>13</v>
      </c>
      <c r="W483" s="15">
        <f ca="1">IFERROR(__xludf.DUMMYFUNCTION("IFERROR(
  SUM(
    FILTER(
      Reporte!$E:$E, 
      REGEXMATCH(Reporte!$A:$A, ""(?i)(TE PAGÓ|PAGASTE)""), 
      Reporte!$H:$H &amp; """" = AH483 &amp; """"
    )
  ), 
  0
)"),13)</f>
        <v>13</v>
      </c>
      <c r="X483" s="15">
        <f ca="1">IFERROR(__xludf.DUMMYFUNCTION("IFERROR(
  SUM(
    FILTER(
      Efectivo!$C:$C, 
      Efectivo!$D:$D &amp; """" = AH483 &amp; """"
    )
  ), 
  0
)"),0)</f>
        <v>0</v>
      </c>
      <c r="Y483" s="15" t="s">
        <v>34</v>
      </c>
      <c r="Z483" s="15"/>
      <c r="AA483" s="15" t="s">
        <v>35</v>
      </c>
      <c r="AB483" s="15"/>
      <c r="AC483" s="15"/>
      <c r="AD483" s="15" t="str">
        <f t="shared" si="45"/>
        <v/>
      </c>
      <c r="AE483" s="15" t="e">
        <f>IF(
   OR(
     AND(#REF!&gt;0, OR(Y483="C", Y483="c"), U483&lt;0),
     AND(#REF!&gt;0, Y483="")
   ),
   "CORTE",
   ""
)</f>
        <v>#REF!</v>
      </c>
      <c r="AF483" s="15">
        <f t="shared" si="1"/>
        <v>0</v>
      </c>
      <c r="AG483" s="15">
        <f t="shared" si="2"/>
        <v>13</v>
      </c>
      <c r="AH483" s="15" t="str">
        <f t="shared" si="46"/>
        <v>G1</v>
      </c>
      <c r="AI483" s="15" t="str">
        <f t="shared" si="47"/>
        <v>G1-2</v>
      </c>
    </row>
    <row r="484" spans="1:35" ht="15.75" customHeight="1" x14ac:dyDescent="0.35">
      <c r="A484" s="8">
        <v>483</v>
      </c>
      <c r="B484" s="9" t="s">
        <v>591</v>
      </c>
      <c r="C484" s="9" t="s">
        <v>589</v>
      </c>
      <c r="D484" s="8">
        <v>3</v>
      </c>
      <c r="E484" s="10"/>
      <c r="F484" s="10"/>
      <c r="G484" s="10"/>
      <c r="H484" s="11">
        <v>1</v>
      </c>
      <c r="I484" s="11">
        <v>894</v>
      </c>
      <c r="J484" s="11">
        <v>904</v>
      </c>
      <c r="K484" s="11">
        <v>10</v>
      </c>
      <c r="L484" s="11">
        <v>10</v>
      </c>
      <c r="M484" s="11"/>
      <c r="N484" s="11">
        <v>0</v>
      </c>
      <c r="O484" s="11"/>
      <c r="P484" s="11">
        <v>3</v>
      </c>
      <c r="Q484" s="11"/>
      <c r="R484" s="19"/>
      <c r="S484" s="10"/>
      <c r="T484" s="21"/>
      <c r="U484" s="12"/>
      <c r="V484" s="12">
        <f t="shared" ref="V484:V500" si="49">SUM(L484:Q484)</f>
        <v>13</v>
      </c>
      <c r="W484" s="10">
        <f ca="1">IFERROR(__xludf.DUMMYFUNCTION("IFERROR(
  SUM(
    FILTER(
      Reporte!$E:$E, 
      REGEXMATCH(Reporte!$A:$A, ""(?i)(TE PAGÓ|PAGASTE)""), 
      Reporte!$H:$H &amp; """" = AH484 &amp; """"
    )
  ), 
  0
)"),13)</f>
        <v>13</v>
      </c>
      <c r="X484" s="10">
        <f ca="1">IFERROR(__xludf.DUMMYFUNCTION("IFERROR(
  SUM(
    FILTER(
      Efectivo!$C:$C, 
      Efectivo!$D:$D &amp; """" = AH484 &amp; """"
    )
  ), 
  0
)"),0)</f>
        <v>0</v>
      </c>
      <c r="Y484" s="10" t="s">
        <v>34</v>
      </c>
      <c r="Z484" s="10"/>
      <c r="AA484" s="10" t="s">
        <v>35</v>
      </c>
      <c r="AB484" s="10"/>
      <c r="AC484" s="10"/>
      <c r="AD484" s="10" t="str">
        <f t="shared" si="45"/>
        <v/>
      </c>
      <c r="AE484" s="10" t="e">
        <f>IF(
   OR(
     AND(#REF!&gt;0, OR(Y484="C", Y484="c"), U484&lt;0),
     AND(#REF!&gt;0, Y484="")
   ),
   "CORTE",
   ""
)</f>
        <v>#REF!</v>
      </c>
      <c r="AF484" s="10">
        <f t="shared" si="1"/>
        <v>0</v>
      </c>
      <c r="AG484" s="10">
        <f t="shared" si="2"/>
        <v>13</v>
      </c>
      <c r="AH484" s="10" t="str">
        <f t="shared" si="46"/>
        <v>G1</v>
      </c>
      <c r="AI484" s="10" t="str">
        <f t="shared" si="47"/>
        <v>G1-3</v>
      </c>
    </row>
    <row r="485" spans="1:35" ht="15.75" customHeight="1" x14ac:dyDescent="0.35">
      <c r="A485" s="13">
        <v>484</v>
      </c>
      <c r="B485" s="14" t="s">
        <v>592</v>
      </c>
      <c r="C485" s="14" t="s">
        <v>589</v>
      </c>
      <c r="D485" s="13">
        <v>4</v>
      </c>
      <c r="E485" s="15"/>
      <c r="F485" s="15"/>
      <c r="G485" s="15"/>
      <c r="H485" s="16">
        <v>1</v>
      </c>
      <c r="I485" s="16">
        <v>1036</v>
      </c>
      <c r="J485" s="16">
        <v>1045</v>
      </c>
      <c r="K485" s="16">
        <v>9</v>
      </c>
      <c r="L485" s="16">
        <v>9</v>
      </c>
      <c r="M485" s="16"/>
      <c r="N485" s="16">
        <v>0</v>
      </c>
      <c r="O485" s="16"/>
      <c r="P485" s="16">
        <v>3</v>
      </c>
      <c r="Q485" s="16"/>
      <c r="R485" s="18"/>
      <c r="S485" s="15"/>
      <c r="T485" s="20"/>
      <c r="U485" s="17"/>
      <c r="V485" s="17">
        <f t="shared" si="49"/>
        <v>12</v>
      </c>
      <c r="W485" s="15">
        <f ca="1">IFERROR(__xludf.DUMMYFUNCTION("IFERROR(
  SUM(
    FILTER(
      Reporte!$E:$E, 
      REGEXMATCH(Reporte!$A:$A, ""(?i)(TE PAGÓ|PAGASTE)""), 
      Reporte!$H:$H &amp; """" = AH485 &amp; """"
    )
  ), 
  0
)"),12)</f>
        <v>12</v>
      </c>
      <c r="X485" s="15">
        <f ca="1">IFERROR(__xludf.DUMMYFUNCTION("IFERROR(
  SUM(
    FILTER(
      Efectivo!$C:$C, 
      Efectivo!$D:$D &amp; """" = AH485 &amp; """"
    )
  ), 
  0
)"),0)</f>
        <v>0</v>
      </c>
      <c r="Y485" s="15" t="s">
        <v>34</v>
      </c>
      <c r="Z485" s="15"/>
      <c r="AA485" s="15" t="s">
        <v>35</v>
      </c>
      <c r="AB485" s="15"/>
      <c r="AC485" s="15" t="s">
        <v>223</v>
      </c>
      <c r="AD485" s="15" t="str">
        <f t="shared" si="45"/>
        <v/>
      </c>
      <c r="AE485" s="15" t="e">
        <f>IF(
   OR(
     AND(#REF!&gt;0, OR(Y485="C", Y485="c"), U485&lt;0),
     AND(#REF!&gt;0, Y485="")
   ),
   "CORTE",
   ""
)</f>
        <v>#REF!</v>
      </c>
      <c r="AF485" s="15">
        <f t="shared" si="1"/>
        <v>0</v>
      </c>
      <c r="AG485" s="15">
        <f t="shared" si="2"/>
        <v>12</v>
      </c>
      <c r="AH485" s="15" t="str">
        <f t="shared" si="46"/>
        <v>G1</v>
      </c>
      <c r="AI485" s="15" t="str">
        <f t="shared" si="47"/>
        <v>G1-4</v>
      </c>
    </row>
    <row r="486" spans="1:35" ht="15.75" customHeight="1" x14ac:dyDescent="0.35">
      <c r="A486" s="8">
        <v>485</v>
      </c>
      <c r="B486" s="9" t="s">
        <v>593</v>
      </c>
      <c r="C486" s="9" t="s">
        <v>589</v>
      </c>
      <c r="D486" s="8">
        <v>5</v>
      </c>
      <c r="E486" s="10"/>
      <c r="F486" s="10"/>
      <c r="G486" s="10"/>
      <c r="H486" s="11">
        <v>1</v>
      </c>
      <c r="I486" s="11">
        <v>2</v>
      </c>
      <c r="J486" s="11">
        <v>14</v>
      </c>
      <c r="K486" s="11">
        <v>12</v>
      </c>
      <c r="L486" s="11">
        <v>12</v>
      </c>
      <c r="M486" s="11"/>
      <c r="N486" s="11">
        <v>0</v>
      </c>
      <c r="O486" s="11">
        <v>25</v>
      </c>
      <c r="P486" s="11">
        <v>3</v>
      </c>
      <c r="Q486" s="11"/>
      <c r="R486" s="19"/>
      <c r="S486" s="10"/>
      <c r="T486" s="21"/>
      <c r="U486" s="12"/>
      <c r="V486" s="12">
        <f t="shared" si="49"/>
        <v>40</v>
      </c>
      <c r="W486" s="10">
        <f ca="1">IFERROR(__xludf.DUMMYFUNCTION("IFERROR(
  SUM(
    FILTER(
      Reporte!$E:$E, 
      REGEXMATCH(Reporte!$A:$A, ""(?i)(TE PAGÓ|PAGASTE)""), 
      Reporte!$H:$H &amp; """" = AH486 &amp; """"
    )
  ), 
  0
)"),40)</f>
        <v>40</v>
      </c>
      <c r="X486" s="10">
        <f ca="1">IFERROR(__xludf.DUMMYFUNCTION("IFERROR(
  SUM(
    FILTER(
      Efectivo!$C:$C, 
      Efectivo!$D:$D &amp; """" = AH486 &amp; """"
    )
  ), 
  0
)"),0)</f>
        <v>0</v>
      </c>
      <c r="Y486" s="10" t="s">
        <v>34</v>
      </c>
      <c r="Z486" s="10"/>
      <c r="AA486" s="10" t="s">
        <v>35</v>
      </c>
      <c r="AB486" s="10"/>
      <c r="AC486" s="10"/>
      <c r="AD486" s="10" t="str">
        <f t="shared" si="45"/>
        <v/>
      </c>
      <c r="AE486" s="10" t="e">
        <f>IF(
   OR(
     AND(#REF!&gt;0, OR(Y486="C", Y486="c"), U486&lt;0),
     AND(#REF!&gt;0, Y486="")
   ),
   "CORTE",
   ""
)</f>
        <v>#REF!</v>
      </c>
      <c r="AF486" s="10">
        <f t="shared" si="1"/>
        <v>0</v>
      </c>
      <c r="AG486" s="10">
        <f t="shared" si="2"/>
        <v>40</v>
      </c>
      <c r="AH486" s="10" t="str">
        <f t="shared" si="46"/>
        <v>G1</v>
      </c>
      <c r="AI486" s="10" t="str">
        <f t="shared" si="47"/>
        <v>G1-5</v>
      </c>
    </row>
    <row r="487" spans="1:35" ht="15.75" customHeight="1" x14ac:dyDescent="0.35">
      <c r="A487" s="13">
        <v>486</v>
      </c>
      <c r="B487" s="14" t="s">
        <v>594</v>
      </c>
      <c r="C487" s="14" t="s">
        <v>595</v>
      </c>
      <c r="D487" s="13">
        <v>1</v>
      </c>
      <c r="E487" s="15"/>
      <c r="F487" s="15"/>
      <c r="G487" s="15"/>
      <c r="H487" s="16">
        <v>1</v>
      </c>
      <c r="I487" s="16">
        <v>60</v>
      </c>
      <c r="J487" s="16">
        <v>65</v>
      </c>
      <c r="K487" s="16">
        <v>5</v>
      </c>
      <c r="L487" s="16">
        <v>5</v>
      </c>
      <c r="M487" s="16"/>
      <c r="N487" s="16">
        <v>0</v>
      </c>
      <c r="O487" s="16"/>
      <c r="P487" s="16">
        <v>3</v>
      </c>
      <c r="Q487" s="16"/>
      <c r="R487" s="18"/>
      <c r="S487" s="15"/>
      <c r="T487" s="20"/>
      <c r="U487" s="17"/>
      <c r="V487" s="17">
        <f t="shared" si="49"/>
        <v>8</v>
      </c>
      <c r="W487" s="15">
        <f ca="1">IFERROR(__xludf.DUMMYFUNCTION("IFERROR(
  SUM(
    FILTER(
      Reporte!$E:$E, 
      REGEXMATCH(Reporte!$A:$A, ""(?i)(TE PAGÓ|PAGASTE)""), 
      Reporte!$H:$H &amp; """" = AH487 &amp; """"
    )
  ), 
  0
)"),0)</f>
        <v>0</v>
      </c>
      <c r="X487" s="15">
        <f ca="1">IFERROR(__xludf.DUMMYFUNCTION("IFERROR(
  SUM(
    FILTER(
      Efectivo!$C:$C, 
      Efectivo!$D:$D &amp; """" = AH487 &amp; """"
    )
  ), 
  0
)"),8)</f>
        <v>8</v>
      </c>
      <c r="Y487" s="15" t="s">
        <v>34</v>
      </c>
      <c r="Z487" s="15"/>
      <c r="AA487" s="15"/>
      <c r="AB487" s="15"/>
      <c r="AC487" s="15"/>
      <c r="AD487" s="15" t="str">
        <f t="shared" si="45"/>
        <v/>
      </c>
      <c r="AE487" s="15" t="e">
        <f>IF(
   OR(
     AND(#REF!&gt;0, OR(Y487="C", Y487="c"), U487&lt;0),
     AND(#REF!&gt;0, Y487="")
   ),
   "CORTE",
   ""
)</f>
        <v>#REF!</v>
      </c>
      <c r="AF487" s="15">
        <f t="shared" si="1"/>
        <v>8</v>
      </c>
      <c r="AG487" s="15">
        <f t="shared" si="2"/>
        <v>0</v>
      </c>
      <c r="AH487" s="15" t="str">
        <f t="shared" si="46"/>
        <v>H1</v>
      </c>
      <c r="AI487" s="15" t="str">
        <f t="shared" si="47"/>
        <v>H1-1</v>
      </c>
    </row>
    <row r="488" spans="1:35" ht="15.75" customHeight="1" x14ac:dyDescent="0.35">
      <c r="A488" s="8">
        <v>487</v>
      </c>
      <c r="B488" s="9" t="s">
        <v>596</v>
      </c>
      <c r="C488" s="9" t="s">
        <v>595</v>
      </c>
      <c r="D488" s="8">
        <v>3</v>
      </c>
      <c r="E488" s="10"/>
      <c r="F488" s="10"/>
      <c r="G488" s="10"/>
      <c r="H488" s="11">
        <v>1</v>
      </c>
      <c r="I488" s="11">
        <v>344</v>
      </c>
      <c r="J488" s="11">
        <v>351</v>
      </c>
      <c r="K488" s="11">
        <v>7</v>
      </c>
      <c r="L488" s="11">
        <v>7</v>
      </c>
      <c r="M488" s="11"/>
      <c r="N488" s="11">
        <v>0</v>
      </c>
      <c r="O488" s="11"/>
      <c r="P488" s="11">
        <v>3</v>
      </c>
      <c r="Q488" s="11"/>
      <c r="R488" s="19"/>
      <c r="S488" s="10"/>
      <c r="T488" s="21"/>
      <c r="U488" s="12"/>
      <c r="V488" s="12">
        <f t="shared" si="49"/>
        <v>10</v>
      </c>
      <c r="W488" s="10">
        <f ca="1">IFERROR(__xludf.DUMMYFUNCTION("IFERROR(
  SUM(
    FILTER(
      Reporte!$E:$E, 
      REGEXMATCH(Reporte!$A:$A, ""(?i)(TE PAGÓ|PAGASTE)""), 
      Reporte!$H:$H &amp; """" = AH488 &amp; """"
    )
  ), 
  0
)"),10)</f>
        <v>10</v>
      </c>
      <c r="X488" s="10">
        <f ca="1">IFERROR(__xludf.DUMMYFUNCTION("IFERROR(
  SUM(
    FILTER(
      Efectivo!$C:$C, 
      Efectivo!$D:$D &amp; """" = AH488 &amp; """"
    )
  ), 
  0
)"),0)</f>
        <v>0</v>
      </c>
      <c r="Y488" s="10" t="s">
        <v>34</v>
      </c>
      <c r="Z488" s="10"/>
      <c r="AA488" s="10" t="s">
        <v>35</v>
      </c>
      <c r="AB488" s="10"/>
      <c r="AC488" s="10"/>
      <c r="AD488" s="10" t="str">
        <f t="shared" si="45"/>
        <v/>
      </c>
      <c r="AE488" s="10" t="e">
        <f>IF(
   OR(
     AND(#REF!&gt;0, OR(Y488="C", Y488="c"), U488&lt;0),
     AND(#REF!&gt;0, Y488="")
   ),
   "CORTE",
   ""
)</f>
        <v>#REF!</v>
      </c>
      <c r="AF488" s="10">
        <f t="shared" si="1"/>
        <v>0</v>
      </c>
      <c r="AG488" s="10">
        <f t="shared" si="2"/>
        <v>10</v>
      </c>
      <c r="AH488" s="10" t="str">
        <f t="shared" si="46"/>
        <v>H1</v>
      </c>
      <c r="AI488" s="10" t="str">
        <f t="shared" si="47"/>
        <v>H1-3</v>
      </c>
    </row>
    <row r="489" spans="1:35" ht="15.75" customHeight="1" x14ac:dyDescent="0.35">
      <c r="A489" s="13">
        <v>488</v>
      </c>
      <c r="B489" s="14" t="s">
        <v>597</v>
      </c>
      <c r="C489" s="14" t="s">
        <v>595</v>
      </c>
      <c r="D489" s="13">
        <v>5</v>
      </c>
      <c r="E489" s="15"/>
      <c r="F489" s="15"/>
      <c r="G489" s="15"/>
      <c r="H489" s="16">
        <v>1</v>
      </c>
      <c r="I489" s="16">
        <v>0</v>
      </c>
      <c r="J489" s="16">
        <v>0</v>
      </c>
      <c r="K489" s="16">
        <v>5</v>
      </c>
      <c r="L489" s="16">
        <v>5</v>
      </c>
      <c r="M489" s="16"/>
      <c r="N489" s="16">
        <v>0</v>
      </c>
      <c r="O489" s="16"/>
      <c r="P489" s="16">
        <v>3</v>
      </c>
      <c r="Q489" s="16"/>
      <c r="R489" s="18"/>
      <c r="S489" s="15"/>
      <c r="T489" s="20"/>
      <c r="U489" s="17"/>
      <c r="V489" s="17">
        <f t="shared" si="49"/>
        <v>8</v>
      </c>
      <c r="W489" s="15">
        <f ca="1">IFERROR(__xludf.DUMMYFUNCTION("IFERROR(
  SUM(
    FILTER(
      Reporte!$E:$E, 
      REGEXMATCH(Reporte!$A:$A, ""(?i)(TE PAGÓ|PAGASTE)""), 
      Reporte!$H:$H &amp; """" = AH489 &amp; """"
    )
  ), 
  0
)"),8)</f>
        <v>8</v>
      </c>
      <c r="X489" s="15">
        <f ca="1">IFERROR(__xludf.DUMMYFUNCTION("IFERROR(
  SUM(
    FILTER(
      Efectivo!$C:$C, 
      Efectivo!$D:$D &amp; """" = AH489 &amp; """"
    )
  ), 
  0
)"),0)</f>
        <v>0</v>
      </c>
      <c r="Y489" s="15" t="s">
        <v>34</v>
      </c>
      <c r="Z489" s="15"/>
      <c r="AA489" s="15" t="s">
        <v>35</v>
      </c>
      <c r="AB489" s="15"/>
      <c r="AC489" s="15"/>
      <c r="AD489" s="15" t="str">
        <f t="shared" si="45"/>
        <v/>
      </c>
      <c r="AE489" s="15" t="e">
        <f>IF(
   OR(
     AND(#REF!&gt;0, OR(Y489="C", Y489="c"), U489&lt;0),
     AND(#REF!&gt;0, Y489="")
   ),
   "CORTE",
   ""
)</f>
        <v>#REF!</v>
      </c>
      <c r="AF489" s="15">
        <f t="shared" si="1"/>
        <v>0</v>
      </c>
      <c r="AG489" s="15">
        <f t="shared" si="2"/>
        <v>8</v>
      </c>
      <c r="AH489" s="15" t="str">
        <f t="shared" si="46"/>
        <v>H1</v>
      </c>
      <c r="AI489" s="15" t="str">
        <f t="shared" si="47"/>
        <v>H1-5</v>
      </c>
    </row>
    <row r="490" spans="1:35" ht="15.75" customHeight="1" x14ac:dyDescent="0.35">
      <c r="A490" s="8">
        <v>489</v>
      </c>
      <c r="B490" s="9" t="s">
        <v>598</v>
      </c>
      <c r="C490" s="9" t="s">
        <v>595</v>
      </c>
      <c r="D490" s="8">
        <v>6</v>
      </c>
      <c r="E490" s="10"/>
      <c r="F490" s="10"/>
      <c r="G490" s="10"/>
      <c r="H490" s="11">
        <v>1</v>
      </c>
      <c r="I490" s="11">
        <v>280</v>
      </c>
      <c r="J490" s="11">
        <v>288</v>
      </c>
      <c r="K490" s="11">
        <v>8</v>
      </c>
      <c r="L490" s="11">
        <v>8</v>
      </c>
      <c r="M490" s="11"/>
      <c r="N490" s="11">
        <v>0</v>
      </c>
      <c r="O490" s="11"/>
      <c r="P490" s="11">
        <v>3</v>
      </c>
      <c r="Q490" s="11"/>
      <c r="R490" s="19"/>
      <c r="S490" s="10"/>
      <c r="T490" s="21"/>
      <c r="U490" s="12"/>
      <c r="V490" s="12">
        <f t="shared" si="49"/>
        <v>11</v>
      </c>
      <c r="W490" s="10">
        <f ca="1">IFERROR(__xludf.DUMMYFUNCTION("IFERROR(
  SUM(
    FILTER(
      Reporte!$E:$E, 
      REGEXMATCH(Reporte!$A:$A, ""(?i)(TE PAGÓ|PAGASTE)""), 
      Reporte!$H:$H &amp; """" = AH490 &amp; """"
    )
  ), 
  0
)"),11)</f>
        <v>11</v>
      </c>
      <c r="X490" s="10">
        <f ca="1">IFERROR(__xludf.DUMMYFUNCTION("IFERROR(
  SUM(
    FILTER(
      Efectivo!$C:$C, 
      Efectivo!$D:$D &amp; """" = AH490 &amp; """"
    )
  ), 
  0
)"),0)</f>
        <v>0</v>
      </c>
      <c r="Y490" s="10" t="s">
        <v>34</v>
      </c>
      <c r="Z490" s="10"/>
      <c r="AA490" s="10" t="s">
        <v>35</v>
      </c>
      <c r="AB490" s="10"/>
      <c r="AC490" s="10"/>
      <c r="AD490" s="10" t="str">
        <f t="shared" si="45"/>
        <v/>
      </c>
      <c r="AE490" s="10" t="e">
        <f>IF(
   OR(
     AND(#REF!&gt;0, OR(Y490="C", Y490="c"), U490&lt;0),
     AND(#REF!&gt;0, Y490="")
   ),
   "CORTE",
   ""
)</f>
        <v>#REF!</v>
      </c>
      <c r="AF490" s="10">
        <f t="shared" si="1"/>
        <v>0</v>
      </c>
      <c r="AG490" s="10">
        <f t="shared" si="2"/>
        <v>11</v>
      </c>
      <c r="AH490" s="10" t="str">
        <f t="shared" si="46"/>
        <v>H1</v>
      </c>
      <c r="AI490" s="10" t="str">
        <f t="shared" si="47"/>
        <v>H1-6</v>
      </c>
    </row>
    <row r="491" spans="1:35" ht="15.75" customHeight="1" x14ac:dyDescent="0.35">
      <c r="A491" s="13">
        <v>490</v>
      </c>
      <c r="B491" s="14" t="s">
        <v>599</v>
      </c>
      <c r="C491" s="14" t="s">
        <v>595</v>
      </c>
      <c r="D491" s="13">
        <v>7</v>
      </c>
      <c r="E491" s="15"/>
      <c r="F491" s="15"/>
      <c r="G491" s="15"/>
      <c r="H491" s="16">
        <v>1</v>
      </c>
      <c r="I491" s="16">
        <v>459</v>
      </c>
      <c r="J491" s="16">
        <v>468</v>
      </c>
      <c r="K491" s="16">
        <v>9</v>
      </c>
      <c r="L491" s="16">
        <v>9</v>
      </c>
      <c r="M491" s="16"/>
      <c r="N491" s="16">
        <v>0</v>
      </c>
      <c r="O491" s="16"/>
      <c r="P491" s="16">
        <v>3</v>
      </c>
      <c r="Q491" s="16"/>
      <c r="R491" s="18"/>
      <c r="S491" s="15"/>
      <c r="T491" s="20"/>
      <c r="U491" s="17"/>
      <c r="V491" s="17">
        <f t="shared" si="49"/>
        <v>12</v>
      </c>
      <c r="W491" s="15">
        <f ca="1">IFERROR(__xludf.DUMMYFUNCTION("IFERROR(
  SUM(
    FILTER(
      Reporte!$E:$E, 
      REGEXMATCH(Reporte!$A:$A, ""(?i)(TE PAGÓ|PAGASTE)""), 
      Reporte!$H:$H &amp; """" = AH491 &amp; """"
    )
  ), 
  0
)"),0)</f>
        <v>0</v>
      </c>
      <c r="X491" s="15">
        <f ca="1">IFERROR(__xludf.DUMMYFUNCTION("IFERROR(
  SUM(
    FILTER(
      Efectivo!$C:$C, 
      Efectivo!$D:$D &amp; """" = AH491 &amp; """"
    )
  ), 
  0
)"),0)</f>
        <v>0</v>
      </c>
      <c r="Y491" s="15"/>
      <c r="Z491" s="15"/>
      <c r="AA491" s="15"/>
      <c r="AB491" s="15"/>
      <c r="AC491" s="15"/>
      <c r="AD491" s="15" t="str">
        <f t="shared" si="45"/>
        <v/>
      </c>
      <c r="AE491" s="15" t="e">
        <f>IF(
   OR(
     AND(#REF!&gt;0, OR(Y491="C", Y491="c"), U491&lt;0),
     AND(#REF!&gt;0, Y491="")
   ),
   "CORTE",
   ""
)</f>
        <v>#REF!</v>
      </c>
      <c r="AF491" s="15">
        <f t="shared" si="1"/>
        <v>0</v>
      </c>
      <c r="AG491" s="15">
        <f t="shared" si="2"/>
        <v>0</v>
      </c>
      <c r="AH491" s="15" t="str">
        <f t="shared" si="46"/>
        <v>H1</v>
      </c>
      <c r="AI491" s="15" t="str">
        <f t="shared" si="47"/>
        <v>H1-7</v>
      </c>
    </row>
    <row r="492" spans="1:35" ht="15.75" customHeight="1" x14ac:dyDescent="0.35">
      <c r="A492" s="8">
        <v>491</v>
      </c>
      <c r="B492" s="9" t="s">
        <v>600</v>
      </c>
      <c r="C492" s="9" t="s">
        <v>595</v>
      </c>
      <c r="D492" s="8">
        <v>8</v>
      </c>
      <c r="E492" s="10"/>
      <c r="F492" s="10"/>
      <c r="G492" s="10"/>
      <c r="H492" s="11">
        <v>1</v>
      </c>
      <c r="I492" s="11">
        <v>132</v>
      </c>
      <c r="J492" s="11">
        <v>132</v>
      </c>
      <c r="K492" s="11">
        <v>5</v>
      </c>
      <c r="L492" s="11">
        <v>5</v>
      </c>
      <c r="M492" s="11"/>
      <c r="N492" s="11">
        <v>0</v>
      </c>
      <c r="O492" s="11"/>
      <c r="P492" s="11">
        <v>3</v>
      </c>
      <c r="Q492" s="11"/>
      <c r="R492" s="19"/>
      <c r="S492" s="10"/>
      <c r="T492" s="21"/>
      <c r="U492" s="12"/>
      <c r="V492" s="12">
        <f t="shared" si="49"/>
        <v>8</v>
      </c>
      <c r="W492" s="10">
        <f ca="1">IFERROR(__xludf.DUMMYFUNCTION("IFERROR(
  SUM(
    FILTER(
      Reporte!$E:$E, 
      REGEXMATCH(Reporte!$A:$A, ""(?i)(TE PAGÓ|PAGASTE)""), 
      Reporte!$H:$H &amp; """" = AH492 &amp; """"
    )
  ), 
  0
)"),8)</f>
        <v>8</v>
      </c>
      <c r="X492" s="10">
        <f ca="1">IFERROR(__xludf.DUMMYFUNCTION("IFERROR(
  SUM(
    FILTER(
      Efectivo!$C:$C, 
      Efectivo!$D:$D &amp; """" = AH492 &amp; """"
    )
  ), 
  0
)"),0)</f>
        <v>0</v>
      </c>
      <c r="Y492" s="10" t="s">
        <v>34</v>
      </c>
      <c r="Z492" s="10"/>
      <c r="AA492" s="10" t="s">
        <v>35</v>
      </c>
      <c r="AB492" s="10"/>
      <c r="AC492" s="10"/>
      <c r="AD492" s="10" t="str">
        <f t="shared" si="45"/>
        <v/>
      </c>
      <c r="AE492" s="10" t="e">
        <f>IF(
   OR(
     AND(#REF!&gt;0, OR(Y492="C", Y492="c"), U492&lt;0),
     AND(#REF!&gt;0, Y492="")
   ),
   "CORTE",
   ""
)</f>
        <v>#REF!</v>
      </c>
      <c r="AF492" s="10">
        <f t="shared" si="1"/>
        <v>0</v>
      </c>
      <c r="AG492" s="10">
        <f t="shared" si="2"/>
        <v>8</v>
      </c>
      <c r="AH492" s="10" t="str">
        <f t="shared" si="46"/>
        <v>H1</v>
      </c>
      <c r="AI492" s="10" t="str">
        <f t="shared" si="47"/>
        <v>H1-8</v>
      </c>
    </row>
    <row r="493" spans="1:35" ht="15.75" customHeight="1" x14ac:dyDescent="0.35">
      <c r="A493" s="13">
        <v>492</v>
      </c>
      <c r="B493" s="14" t="s">
        <v>601</v>
      </c>
      <c r="C493" s="14" t="s">
        <v>595</v>
      </c>
      <c r="D493" s="13">
        <v>10</v>
      </c>
      <c r="E493" s="15"/>
      <c r="F493" s="15"/>
      <c r="G493" s="15"/>
      <c r="H493" s="16">
        <v>1</v>
      </c>
      <c r="I493" s="16">
        <v>383</v>
      </c>
      <c r="J493" s="16">
        <v>385</v>
      </c>
      <c r="K493" s="16">
        <v>2</v>
      </c>
      <c r="L493" s="16">
        <v>5</v>
      </c>
      <c r="M493" s="16"/>
      <c r="N493" s="16">
        <v>0</v>
      </c>
      <c r="O493" s="16"/>
      <c r="P493" s="16">
        <v>3</v>
      </c>
      <c r="Q493" s="16"/>
      <c r="R493" s="18"/>
      <c r="S493" s="15"/>
      <c r="T493" s="20"/>
      <c r="U493" s="17"/>
      <c r="V493" s="17">
        <f t="shared" si="49"/>
        <v>8</v>
      </c>
      <c r="W493" s="15">
        <f ca="1">IFERROR(__xludf.DUMMYFUNCTION("IFERROR(
  SUM(
    FILTER(
      Reporte!$E:$E, 
      REGEXMATCH(Reporte!$A:$A, ""(?i)(TE PAGÓ|PAGASTE)""), 
      Reporte!$H:$H &amp; """" = AH493 &amp; """"
    )
  ), 
  0
)"),0)</f>
        <v>0</v>
      </c>
      <c r="X493" s="15">
        <f ca="1">IFERROR(__xludf.DUMMYFUNCTION("IFERROR(
  SUM(
    FILTER(
      Efectivo!$C:$C, 
      Efectivo!$D:$D &amp; """" = AH493 &amp; """"
    )
  ), 
  0
)"),0)</f>
        <v>0</v>
      </c>
      <c r="Y493" s="15"/>
      <c r="Z493" s="15"/>
      <c r="AA493" s="15"/>
      <c r="AB493" s="15" t="s">
        <v>602</v>
      </c>
      <c r="AC493" s="15"/>
      <c r="AD493" s="15" t="str">
        <f t="shared" si="45"/>
        <v/>
      </c>
      <c r="AE493" s="15" t="e">
        <f>IF(
   OR(
     AND(#REF!&gt;0, OR(Y493="C", Y493="c"), U493&lt;0),
     AND(#REF!&gt;0, Y493="")
   ),
   "CORTE",
   ""
)</f>
        <v>#REF!</v>
      </c>
      <c r="AF493" s="15">
        <f t="shared" si="1"/>
        <v>0</v>
      </c>
      <c r="AG493" s="15">
        <f t="shared" si="2"/>
        <v>0</v>
      </c>
      <c r="AH493" s="15" t="str">
        <f t="shared" si="46"/>
        <v>H1</v>
      </c>
      <c r="AI493" s="15" t="str">
        <f t="shared" si="47"/>
        <v>H1-10</v>
      </c>
    </row>
    <row r="494" spans="1:35" ht="15.75" customHeight="1" x14ac:dyDescent="0.35">
      <c r="A494" s="8">
        <v>493</v>
      </c>
      <c r="B494" s="28" t="s">
        <v>603</v>
      </c>
      <c r="C494" s="28" t="s">
        <v>595</v>
      </c>
      <c r="D494" s="29">
        <v>11</v>
      </c>
      <c r="E494" s="10"/>
      <c r="F494" s="10"/>
      <c r="G494" s="10"/>
      <c r="H494" s="11">
        <v>1</v>
      </c>
      <c r="I494" s="11">
        <v>618</v>
      </c>
      <c r="J494" s="11">
        <v>625</v>
      </c>
      <c r="K494" s="11">
        <v>7</v>
      </c>
      <c r="L494" s="11">
        <v>7</v>
      </c>
      <c r="M494" s="11"/>
      <c r="N494" s="11">
        <v>0</v>
      </c>
      <c r="O494" s="11"/>
      <c r="P494" s="11">
        <v>3</v>
      </c>
      <c r="Q494" s="11"/>
      <c r="R494" s="19"/>
      <c r="S494" s="10"/>
      <c r="T494" s="21"/>
      <c r="U494" s="12"/>
      <c r="V494" s="12">
        <f t="shared" si="49"/>
        <v>10</v>
      </c>
      <c r="W494" s="10">
        <f ca="1">IFERROR(__xludf.DUMMYFUNCTION("IFERROR(
  SUM(
    FILTER(
      Reporte!$E:$E, 
      REGEXMATCH(Reporte!$A:$A, ""(?i)(TE PAGÓ|PAGASTE)""), 
      Reporte!$H:$H &amp; """" = AH494 &amp; """"
    )
  ), 
  0
)"),10)</f>
        <v>10</v>
      </c>
      <c r="X494" s="10">
        <f ca="1">IFERROR(__xludf.DUMMYFUNCTION("IFERROR(
  SUM(
    FILTER(
      Efectivo!$C:$C, 
      Efectivo!$D:$D &amp; """" = AH494 &amp; """"
    )
  ), 
  0
)"),0)</f>
        <v>0</v>
      </c>
      <c r="Y494" s="10" t="s">
        <v>34</v>
      </c>
      <c r="Z494" s="10"/>
      <c r="AA494" s="10" t="s">
        <v>35</v>
      </c>
      <c r="AB494" s="10"/>
      <c r="AC494" s="10"/>
      <c r="AD494" s="10" t="str">
        <f t="shared" si="45"/>
        <v/>
      </c>
      <c r="AE494" s="10" t="e">
        <f>IF(
   OR(
     AND(#REF!&gt;0, OR(Y494="C", Y494="c"), U494&lt;0),
     AND(#REF!&gt;0, Y494="")
   ),
   "CORTE",
   ""
)</f>
        <v>#REF!</v>
      </c>
      <c r="AF494" s="10">
        <f t="shared" si="1"/>
        <v>0</v>
      </c>
      <c r="AG494" s="10">
        <f t="shared" si="2"/>
        <v>10</v>
      </c>
      <c r="AH494" s="10" t="str">
        <f t="shared" si="46"/>
        <v>H1</v>
      </c>
      <c r="AI494" s="10" t="str">
        <f t="shared" si="47"/>
        <v>H1-11</v>
      </c>
    </row>
    <row r="495" spans="1:35" ht="15.75" customHeight="1" x14ac:dyDescent="0.35">
      <c r="A495" s="13">
        <v>494</v>
      </c>
      <c r="B495" s="14" t="s">
        <v>604</v>
      </c>
      <c r="C495" s="14" t="s">
        <v>595</v>
      </c>
      <c r="D495" s="13">
        <v>12</v>
      </c>
      <c r="E495" s="15"/>
      <c r="F495" s="15"/>
      <c r="G495" s="15"/>
      <c r="H495" s="16">
        <v>1</v>
      </c>
      <c r="I495" s="16">
        <v>699</v>
      </c>
      <c r="J495" s="16">
        <v>710</v>
      </c>
      <c r="K495" s="16">
        <v>11</v>
      </c>
      <c r="L495" s="16">
        <v>11</v>
      </c>
      <c r="M495" s="16"/>
      <c r="N495" s="16">
        <v>0</v>
      </c>
      <c r="O495" s="16"/>
      <c r="P495" s="16">
        <v>3</v>
      </c>
      <c r="Q495" s="16"/>
      <c r="R495" s="18"/>
      <c r="S495" s="15"/>
      <c r="T495" s="20"/>
      <c r="U495" s="17"/>
      <c r="V495" s="17">
        <f t="shared" si="49"/>
        <v>14</v>
      </c>
      <c r="W495" s="15">
        <f ca="1">IFERROR(__xludf.DUMMYFUNCTION("IFERROR(
  SUM(
    FILTER(
      Reporte!$E:$E, 
      REGEXMATCH(Reporte!$A:$A, ""(?i)(TE PAGÓ|PAGASTE)""), 
      Reporte!$H:$H &amp; """" = AH495 &amp; """"
    )
  ), 
  0
)"),0)</f>
        <v>0</v>
      </c>
      <c r="X495" s="15">
        <f ca="1">IFERROR(__xludf.DUMMYFUNCTION("IFERROR(
  SUM(
    FILTER(
      Efectivo!$C:$C, 
      Efectivo!$D:$D &amp; """" = AH495 &amp; """"
    )
  ), 
  0
)"),0)</f>
        <v>0</v>
      </c>
      <c r="Y495" s="15"/>
      <c r="Z495" s="15"/>
      <c r="AA495" s="15"/>
      <c r="AB495" s="15"/>
      <c r="AC495" s="15"/>
      <c r="AD495" s="15" t="str">
        <f t="shared" si="45"/>
        <v/>
      </c>
      <c r="AE495" s="15" t="e">
        <f>IF(
   OR(
     AND(#REF!&gt;0, OR(Y495="C", Y495="c"), U495&lt;0),
     AND(#REF!&gt;0, Y495="")
   ),
   "CORTE",
   ""
)</f>
        <v>#REF!</v>
      </c>
      <c r="AF495" s="15">
        <f t="shared" si="1"/>
        <v>0</v>
      </c>
      <c r="AG495" s="15">
        <f t="shared" si="2"/>
        <v>0</v>
      </c>
      <c r="AH495" s="15" t="str">
        <f t="shared" si="46"/>
        <v>H1</v>
      </c>
      <c r="AI495" s="15" t="str">
        <f t="shared" si="47"/>
        <v>H1-12</v>
      </c>
    </row>
    <row r="496" spans="1:35" ht="15.75" customHeight="1" x14ac:dyDescent="0.35">
      <c r="A496" s="8">
        <v>495</v>
      </c>
      <c r="B496" s="9" t="s">
        <v>605</v>
      </c>
      <c r="C496" s="9" t="s">
        <v>595</v>
      </c>
      <c r="D496" s="8">
        <v>13</v>
      </c>
      <c r="E496" s="10"/>
      <c r="F496" s="10"/>
      <c r="G496" s="10"/>
      <c r="H496" s="11">
        <v>1</v>
      </c>
      <c r="I496" s="11">
        <v>190</v>
      </c>
      <c r="J496" s="11">
        <v>192</v>
      </c>
      <c r="K496" s="11">
        <v>2</v>
      </c>
      <c r="L496" s="11">
        <v>5</v>
      </c>
      <c r="M496" s="11"/>
      <c r="N496" s="11">
        <v>0</v>
      </c>
      <c r="O496" s="11"/>
      <c r="P496" s="11">
        <v>3</v>
      </c>
      <c r="Q496" s="11"/>
      <c r="R496" s="19"/>
      <c r="S496" s="10"/>
      <c r="T496" s="21"/>
      <c r="U496" s="12"/>
      <c r="V496" s="12">
        <f t="shared" si="49"/>
        <v>8</v>
      </c>
      <c r="W496" s="10">
        <f ca="1">IFERROR(__xludf.DUMMYFUNCTION("IFERROR(
  SUM(
    FILTER(
      Reporte!$E:$E, 
      REGEXMATCH(Reporte!$A:$A, ""(?i)(TE PAGÓ|PAGASTE)""), 
      Reporte!$H:$H &amp; """" = AH496 &amp; """"
    )
  ), 
  0
)"),8)</f>
        <v>8</v>
      </c>
      <c r="X496" s="10">
        <f ca="1">IFERROR(__xludf.DUMMYFUNCTION("IFERROR(
  SUM(
    FILTER(
      Efectivo!$C:$C, 
      Efectivo!$D:$D &amp; """" = AH496 &amp; """"
    )
  ), 
  0
)"),0)</f>
        <v>0</v>
      </c>
      <c r="Y496" s="10" t="s">
        <v>34</v>
      </c>
      <c r="Z496" s="10"/>
      <c r="AA496" s="10" t="s">
        <v>35</v>
      </c>
      <c r="AB496" s="10"/>
      <c r="AC496" s="10"/>
      <c r="AD496" s="10" t="str">
        <f t="shared" si="45"/>
        <v/>
      </c>
      <c r="AE496" s="10" t="e">
        <f>IF(
   OR(
     AND(#REF!&gt;0, OR(Y496="C", Y496="c"), U496&lt;0),
     AND(#REF!&gt;0, Y496="")
   ),
   "CORTE",
   ""
)</f>
        <v>#REF!</v>
      </c>
      <c r="AF496" s="10">
        <f t="shared" si="1"/>
        <v>0</v>
      </c>
      <c r="AG496" s="10">
        <f t="shared" si="2"/>
        <v>8</v>
      </c>
      <c r="AH496" s="10" t="str">
        <f t="shared" si="46"/>
        <v>H1</v>
      </c>
      <c r="AI496" s="10" t="str">
        <f t="shared" si="47"/>
        <v>H1-13</v>
      </c>
    </row>
    <row r="497" spans="1:35" ht="15.75" customHeight="1" x14ac:dyDescent="0.35">
      <c r="A497" s="13">
        <v>496</v>
      </c>
      <c r="B497" s="14" t="s">
        <v>606</v>
      </c>
      <c r="C497" s="14" t="s">
        <v>595</v>
      </c>
      <c r="D497" s="13">
        <v>15</v>
      </c>
      <c r="E497" s="15"/>
      <c r="F497" s="15"/>
      <c r="G497" s="15"/>
      <c r="H497" s="15"/>
      <c r="I497" s="15">
        <v>641</v>
      </c>
      <c r="J497" s="15">
        <v>652</v>
      </c>
      <c r="K497" s="15">
        <v>11</v>
      </c>
      <c r="L497" s="15">
        <v>11</v>
      </c>
      <c r="M497" s="15"/>
      <c r="N497" s="15">
        <v>0</v>
      </c>
      <c r="O497" s="15"/>
      <c r="P497" s="15">
        <v>3</v>
      </c>
      <c r="Q497" s="15"/>
      <c r="R497" s="20"/>
      <c r="S497" s="15"/>
      <c r="T497" s="20"/>
      <c r="U497" s="17"/>
      <c r="V497" s="17">
        <f t="shared" si="49"/>
        <v>14</v>
      </c>
      <c r="W497" s="15">
        <f ca="1">IFERROR(__xludf.DUMMYFUNCTION("IFERROR(
  SUM(
    FILTER(
      Reporte!$E:$E, 
      REGEXMATCH(Reporte!$A:$A, ""(?i)(TE PAGÓ|PAGASTE)""), 
      Reporte!$H:$H &amp; """" = AH497 &amp; """"
    )
  ), 
  0
)"),0)</f>
        <v>0</v>
      </c>
      <c r="X497" s="15">
        <f ca="1">IFERROR(__xludf.DUMMYFUNCTION("IFERROR(
  SUM(
    FILTER(
      Efectivo!$C:$C, 
      Efectivo!$D:$D &amp; """" = AH497 &amp; """"
    )
  ), 
  0
)"),0)</f>
        <v>0</v>
      </c>
      <c r="Y497" s="15"/>
      <c r="Z497" s="15"/>
      <c r="AA497" s="15"/>
      <c r="AB497" s="15"/>
      <c r="AC497" s="15"/>
      <c r="AD497" s="15" t="str">
        <f t="shared" si="45"/>
        <v/>
      </c>
      <c r="AE497" s="15"/>
      <c r="AF497" s="15">
        <f t="shared" si="1"/>
        <v>0</v>
      </c>
      <c r="AG497" s="15">
        <f t="shared" si="2"/>
        <v>0</v>
      </c>
      <c r="AH497" s="15" t="str">
        <f t="shared" si="46"/>
        <v>H1</v>
      </c>
      <c r="AI497" s="15" t="str">
        <f t="shared" si="47"/>
        <v>H1-15</v>
      </c>
    </row>
    <row r="498" spans="1:35" ht="15.75" customHeight="1" x14ac:dyDescent="0.35">
      <c r="A498" s="8">
        <v>497</v>
      </c>
      <c r="B498" s="9" t="s">
        <v>607</v>
      </c>
      <c r="C498" s="9" t="s">
        <v>595</v>
      </c>
      <c r="D498" s="8">
        <v>16</v>
      </c>
      <c r="E498" s="10"/>
      <c r="F498" s="10"/>
      <c r="G498" s="10"/>
      <c r="H498" s="10"/>
      <c r="I498" s="10">
        <v>23</v>
      </c>
      <c r="J498" s="10">
        <v>23</v>
      </c>
      <c r="K498" s="10">
        <v>5</v>
      </c>
      <c r="L498" s="10">
        <v>5</v>
      </c>
      <c r="M498" s="10"/>
      <c r="N498" s="10">
        <v>0</v>
      </c>
      <c r="O498" s="10"/>
      <c r="P498" s="10">
        <v>3</v>
      </c>
      <c r="Q498" s="10"/>
      <c r="R498" s="21"/>
      <c r="S498" s="10"/>
      <c r="T498" s="21"/>
      <c r="U498" s="12"/>
      <c r="V498" s="12">
        <f t="shared" si="49"/>
        <v>8</v>
      </c>
      <c r="W498" s="10">
        <f ca="1">IFERROR(__xludf.DUMMYFUNCTION("IFERROR(
  SUM(
    FILTER(
      Reporte!$E:$E, 
      REGEXMATCH(Reporte!$A:$A, ""(?i)(TE PAGÓ|PAGASTE)""), 
      Reporte!$H:$H &amp; """" = AH498 &amp; """"
    )
  ), 
  0
)"),8)</f>
        <v>8</v>
      </c>
      <c r="X498" s="10">
        <f ca="1">IFERROR(__xludf.DUMMYFUNCTION("IFERROR(
  SUM(
    FILTER(
      Efectivo!$C:$C, 
      Efectivo!$D:$D &amp; """" = AH498 &amp; """"
    )
  ), 
  0
)"),0)</f>
        <v>0</v>
      </c>
      <c r="Y498" s="10" t="s">
        <v>34</v>
      </c>
      <c r="Z498" s="10"/>
      <c r="AA498" s="10" t="s">
        <v>35</v>
      </c>
      <c r="AB498" s="10"/>
      <c r="AC498" s="10"/>
      <c r="AD498" s="10" t="str">
        <f t="shared" si="45"/>
        <v/>
      </c>
      <c r="AE498" s="10"/>
      <c r="AF498" s="10">
        <f t="shared" si="1"/>
        <v>0</v>
      </c>
      <c r="AG498" s="10">
        <f t="shared" si="2"/>
        <v>8</v>
      </c>
      <c r="AH498" s="10" t="str">
        <f t="shared" si="46"/>
        <v>H1</v>
      </c>
      <c r="AI498" s="10" t="str">
        <f t="shared" si="47"/>
        <v>H1-16</v>
      </c>
    </row>
    <row r="499" spans="1:35" ht="15.75" customHeight="1" x14ac:dyDescent="0.35">
      <c r="A499" s="13">
        <v>498</v>
      </c>
      <c r="B499" s="14" t="s">
        <v>608</v>
      </c>
      <c r="C499" s="14" t="s">
        <v>595</v>
      </c>
      <c r="D499" s="13">
        <v>35</v>
      </c>
      <c r="E499" s="15"/>
      <c r="F499" s="15"/>
      <c r="G499" s="15"/>
      <c r="H499" s="15"/>
      <c r="I499" s="15">
        <v>198</v>
      </c>
      <c r="J499" s="15">
        <v>202</v>
      </c>
      <c r="K499" s="15">
        <v>4</v>
      </c>
      <c r="L499" s="15">
        <v>5</v>
      </c>
      <c r="M499" s="15"/>
      <c r="N499" s="15">
        <v>0</v>
      </c>
      <c r="O499" s="15"/>
      <c r="P499" s="15">
        <v>3</v>
      </c>
      <c r="Q499" s="15"/>
      <c r="R499" s="20"/>
      <c r="S499" s="15"/>
      <c r="T499" s="20"/>
      <c r="U499" s="17"/>
      <c r="V499" s="17">
        <f t="shared" si="49"/>
        <v>8</v>
      </c>
      <c r="W499" s="15">
        <f ca="1">IFERROR(__xludf.DUMMYFUNCTION("IFERROR(
  SUM(
    FILTER(
      Reporte!$E:$E, 
      REGEXMATCH(Reporte!$A:$A, ""(?i)(TE PAGÓ|PAGASTE)""), 
      Reporte!$H:$H &amp; """" = AH499 &amp; """"
    )
  ), 
  0
)"),0)</f>
        <v>0</v>
      </c>
      <c r="X499" s="15">
        <f ca="1">IFERROR(__xludf.DUMMYFUNCTION("IFERROR(
  SUM(
    FILTER(
      Efectivo!$C:$C, 
      Efectivo!$D:$D &amp; """" = AH499 &amp; """"
    )
  ), 
  0
)"),8)</f>
        <v>8</v>
      </c>
      <c r="Y499" s="15" t="s">
        <v>34</v>
      </c>
      <c r="Z499" s="15"/>
      <c r="AA499" s="15"/>
      <c r="AB499" s="15"/>
      <c r="AC499" s="15"/>
      <c r="AD499" s="15" t="str">
        <f t="shared" si="45"/>
        <v/>
      </c>
      <c r="AE499" s="15"/>
      <c r="AF499" s="15">
        <f t="shared" si="1"/>
        <v>8</v>
      </c>
      <c r="AG499" s="15">
        <f t="shared" si="2"/>
        <v>0</v>
      </c>
      <c r="AH499" s="15" t="str">
        <f t="shared" si="46"/>
        <v>H1</v>
      </c>
      <c r="AI499" s="15" t="str">
        <f t="shared" si="47"/>
        <v>H1-35</v>
      </c>
    </row>
    <row r="500" spans="1:35" ht="15.75" customHeight="1" x14ac:dyDescent="0.35">
      <c r="A500" s="30" t="s">
        <v>609</v>
      </c>
      <c r="B500" s="31" t="s">
        <v>610</v>
      </c>
      <c r="C500" s="31" t="s">
        <v>595</v>
      </c>
      <c r="D500" s="30" t="s">
        <v>611</v>
      </c>
      <c r="E500" s="32"/>
      <c r="F500" s="32"/>
      <c r="G500" s="32"/>
      <c r="H500" s="32"/>
      <c r="I500" s="32" t="s">
        <v>612</v>
      </c>
      <c r="J500" s="32" t="s">
        <v>613</v>
      </c>
      <c r="K500" s="32" t="s">
        <v>614</v>
      </c>
      <c r="L500" s="32" t="s">
        <v>614</v>
      </c>
      <c r="M500" s="32"/>
      <c r="N500" s="32" t="s">
        <v>615</v>
      </c>
      <c r="O500" s="32"/>
      <c r="P500" s="32" t="s">
        <v>616</v>
      </c>
      <c r="Q500" s="32"/>
      <c r="R500" s="32"/>
      <c r="S500" s="32"/>
      <c r="T500" s="32"/>
      <c r="U500" s="33"/>
      <c r="V500" s="33">
        <f t="shared" si="49"/>
        <v>0</v>
      </c>
      <c r="W500" s="32">
        <f ca="1">IFERROR(__xludf.DUMMYFUNCTION("IFERROR(
  SUM(
    FILTER(
      Reporte!$E:$E, 
      REGEXMATCH(Reporte!$A:$A, ""(?i)(TE PAGÓ|PAGASTE)""), 
      Reporte!$H:$H &amp; """" = AH500 &amp; """"
    )
  ), 
  0
)"),12)</f>
        <v>12</v>
      </c>
      <c r="X500" s="32">
        <f ca="1">IFERROR(__xludf.DUMMYFUNCTION("IFERROR(
  SUM(
    FILTER(
      Efectivo!$C:$C, 
      Efectivo!$D:$D &amp; """" = AH500 &amp; """"
    )
  ), 
  0
)"),0)</f>
        <v>0</v>
      </c>
      <c r="Y500" s="32" t="s">
        <v>34</v>
      </c>
      <c r="Z500" s="32"/>
      <c r="AA500" s="32" t="s">
        <v>35</v>
      </c>
      <c r="AB500" s="32"/>
      <c r="AC500" s="32"/>
      <c r="AD500" s="32" t="str">
        <f t="shared" si="45"/>
        <v/>
      </c>
      <c r="AE500" s="32"/>
      <c r="AF500" s="32">
        <f t="shared" si="1"/>
        <v>0</v>
      </c>
      <c r="AG500" s="32">
        <f t="shared" si="2"/>
        <v>0</v>
      </c>
      <c r="AH500" s="32" t="str">
        <f t="shared" si="46"/>
        <v>H1</v>
      </c>
      <c r="AI500" s="32" t="str">
        <f t="shared" si="47"/>
        <v>H1-36</v>
      </c>
    </row>
    <row r="501" spans="1:35" ht="15.75" customHeight="1" x14ac:dyDescent="0.35">
      <c r="A501" s="34"/>
      <c r="B501" s="34"/>
      <c r="C501" s="34"/>
      <c r="D501" s="34"/>
      <c r="E501" s="35"/>
      <c r="F501" s="35"/>
      <c r="G501" s="35"/>
      <c r="H501" s="35"/>
      <c r="I501" s="35"/>
      <c r="J501" s="35"/>
      <c r="K501" s="36">
        <f>SUM($K$2:$K$500)</f>
        <v>6718</v>
      </c>
      <c r="L501" s="35"/>
      <c r="M501" s="35"/>
      <c r="N501" s="35"/>
      <c r="O501" s="36">
        <f>SUBTOTAL(109, Cobranza!$O$2:$O$500)</f>
        <v>3806</v>
      </c>
      <c r="P501" s="35"/>
      <c r="Q501" s="35"/>
      <c r="R501" s="43"/>
      <c r="S501" s="35"/>
      <c r="T501" s="43"/>
      <c r="U501" s="35"/>
      <c r="V501" s="37"/>
      <c r="W501" s="36">
        <f ca="1">SUBTOTAL(109, Cobranza!$W$2:$W$500)</f>
        <v>7650.5</v>
      </c>
      <c r="X501" s="36">
        <f ca="1">SUBTOTAL(109, Cobranza!$X$2:$X$500)</f>
        <v>3557</v>
      </c>
      <c r="Y501" s="35"/>
      <c r="Z501" s="35"/>
      <c r="AA501" s="35"/>
      <c r="AB501" s="35"/>
      <c r="AC501" s="35"/>
      <c r="AD501" s="35"/>
      <c r="AE501" s="35"/>
      <c r="AF501" s="38">
        <f>SUBTOTAL(109, Cobranza!$AF$2:$AF$500)</f>
        <v>3621</v>
      </c>
      <c r="AG501" s="38">
        <f>SUBTOTAL(109, Cobranza!$AG$2:$AG$500)</f>
        <v>7817.5</v>
      </c>
      <c r="AH501" s="35"/>
      <c r="AI501" s="35"/>
    </row>
    <row r="502" spans="1:35" ht="15.75" customHeight="1" x14ac:dyDescent="0.35">
      <c r="A502" s="34"/>
      <c r="B502" s="34"/>
      <c r="C502" s="34"/>
      <c r="D502" s="34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43"/>
      <c r="S502" s="35"/>
      <c r="T502" s="43"/>
      <c r="U502" s="35"/>
      <c r="V502" s="39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</row>
    <row r="503" spans="1:35" ht="15.75" customHeight="1" x14ac:dyDescent="0.35">
      <c r="A503" s="34"/>
      <c r="B503" s="34"/>
      <c r="C503" s="34"/>
      <c r="D503" s="34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43"/>
      <c r="S503" s="35"/>
      <c r="T503" s="43"/>
      <c r="U503" s="35"/>
      <c r="V503" s="39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</row>
    <row r="504" spans="1:35" ht="15.75" customHeight="1" x14ac:dyDescent="0.35">
      <c r="A504" s="34"/>
      <c r="B504" s="34"/>
      <c r="C504" s="34"/>
      <c r="D504" s="34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43"/>
      <c r="S504" s="35"/>
      <c r="T504" s="43"/>
      <c r="U504" s="35"/>
      <c r="V504" s="39"/>
      <c r="W504" s="35"/>
      <c r="X504" s="35"/>
      <c r="Y504" s="35"/>
      <c r="Z504" s="35"/>
      <c r="AA504" s="35"/>
      <c r="AB504" s="35"/>
      <c r="AC504" s="35"/>
      <c r="AD504" s="35"/>
      <c r="AE504" s="40"/>
      <c r="AF504" s="40"/>
      <c r="AG504" s="35"/>
      <c r="AH504" s="35"/>
      <c r="AI504" s="35"/>
    </row>
    <row r="505" spans="1:35" ht="15.75" customHeight="1" x14ac:dyDescent="0.35">
      <c r="A505" s="34"/>
      <c r="B505" s="34"/>
      <c r="C505" s="34"/>
      <c r="D505" s="34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43"/>
      <c r="S505" s="35"/>
      <c r="T505" s="43"/>
      <c r="U505" s="35"/>
      <c r="V505" s="39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</row>
    <row r="506" spans="1:35" ht="15.75" customHeight="1" x14ac:dyDescent="0.35">
      <c r="A506" s="34"/>
      <c r="B506" s="34"/>
      <c r="C506" s="34"/>
      <c r="D506" s="34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43"/>
      <c r="S506" s="35"/>
      <c r="T506" s="43"/>
      <c r="U506" s="35"/>
      <c r="V506" s="39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</row>
    <row r="507" spans="1:35" ht="15.75" customHeight="1" x14ac:dyDescent="0.35">
      <c r="A507" s="34"/>
      <c r="B507" s="34"/>
      <c r="C507" s="34"/>
      <c r="D507" s="34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43"/>
      <c r="S507" s="35"/>
      <c r="T507" s="43"/>
      <c r="U507" s="35"/>
      <c r="V507" s="39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</row>
    <row r="508" spans="1:35" ht="15.75" customHeight="1" x14ac:dyDescent="0.35">
      <c r="A508" s="34"/>
      <c r="B508" s="34"/>
      <c r="C508" s="34"/>
      <c r="D508" s="34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43"/>
      <c r="S508" s="41"/>
      <c r="T508" s="41"/>
      <c r="U508" s="41"/>
      <c r="V508" s="39"/>
      <c r="W508" s="41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</row>
    <row r="509" spans="1:35" ht="15.75" customHeight="1" x14ac:dyDescent="0.35">
      <c r="A509" s="34"/>
      <c r="B509" s="34"/>
      <c r="C509" s="34"/>
      <c r="D509" s="34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43"/>
      <c r="S509" s="35"/>
      <c r="T509" s="43"/>
      <c r="U509" s="35"/>
      <c r="V509" s="39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</row>
    <row r="510" spans="1:35" ht="15.75" customHeight="1" x14ac:dyDescent="0.35">
      <c r="A510" s="34"/>
      <c r="B510" s="34"/>
      <c r="C510" s="34"/>
      <c r="D510" s="34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43"/>
      <c r="S510" s="35"/>
      <c r="T510" s="43"/>
      <c r="U510" s="35"/>
      <c r="V510" s="39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</row>
    <row r="511" spans="1:35" ht="15.75" customHeight="1" x14ac:dyDescent="0.35">
      <c r="A511" s="34"/>
      <c r="B511" s="34"/>
      <c r="C511" s="34"/>
      <c r="D511" s="34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43"/>
      <c r="S511" s="35"/>
      <c r="T511" s="43"/>
      <c r="U511" s="35"/>
      <c r="V511" s="39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</row>
    <row r="512" spans="1:35" ht="15.75" customHeight="1" x14ac:dyDescent="0.35">
      <c r="A512" s="34"/>
      <c r="B512" s="34"/>
      <c r="C512" s="34"/>
      <c r="D512" s="34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43"/>
      <c r="S512" s="35"/>
      <c r="T512" s="43"/>
      <c r="U512" s="35"/>
      <c r="V512" s="39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</row>
    <row r="513" spans="1:35" ht="15.75" customHeight="1" x14ac:dyDescent="0.35">
      <c r="A513" s="34"/>
      <c r="B513" s="34"/>
      <c r="C513" s="34"/>
      <c r="D513" s="34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43"/>
      <c r="S513" s="35"/>
      <c r="T513" s="43"/>
      <c r="U513" s="35"/>
      <c r="V513" s="39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</row>
    <row r="514" spans="1:35" ht="15.75" customHeight="1" x14ac:dyDescent="0.35">
      <c r="A514" s="34"/>
      <c r="B514" s="34"/>
      <c r="C514" s="34"/>
      <c r="D514" s="34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43"/>
      <c r="S514" s="35"/>
      <c r="T514" s="43"/>
      <c r="U514" s="35"/>
      <c r="V514" s="39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</row>
    <row r="515" spans="1:35" ht="15.75" customHeight="1" x14ac:dyDescent="0.35">
      <c r="A515" s="34"/>
      <c r="B515" s="34"/>
      <c r="C515" s="34"/>
      <c r="D515" s="34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43"/>
      <c r="S515" s="35"/>
      <c r="T515" s="43"/>
      <c r="U515" s="35"/>
      <c r="V515" s="39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</row>
    <row r="516" spans="1:35" ht="15.75" customHeight="1" x14ac:dyDescent="0.35">
      <c r="A516" s="34"/>
      <c r="B516" s="34"/>
      <c r="C516" s="34"/>
      <c r="D516" s="34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43"/>
      <c r="S516" s="35"/>
      <c r="T516" s="43"/>
      <c r="U516" s="35"/>
      <c r="V516" s="39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</row>
    <row r="517" spans="1:35" ht="15.75" customHeight="1" x14ac:dyDescent="0.35">
      <c r="A517" s="34"/>
      <c r="B517" s="34"/>
      <c r="C517" s="34"/>
      <c r="D517" s="34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43"/>
      <c r="S517" s="35"/>
      <c r="T517" s="43"/>
      <c r="U517" s="35"/>
      <c r="V517" s="39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</row>
    <row r="518" spans="1:35" ht="15.75" customHeight="1" x14ac:dyDescent="0.35">
      <c r="A518" s="34"/>
      <c r="B518" s="34"/>
      <c r="C518" s="34"/>
      <c r="D518" s="34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43"/>
      <c r="S518" s="35"/>
      <c r="T518" s="43"/>
      <c r="U518" s="35"/>
      <c r="V518" s="39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</row>
    <row r="519" spans="1:35" ht="15.75" customHeight="1" x14ac:dyDescent="0.35">
      <c r="A519" s="34"/>
      <c r="B519" s="34"/>
      <c r="C519" s="34"/>
      <c r="D519" s="34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43"/>
      <c r="S519" s="35"/>
      <c r="T519" s="43"/>
      <c r="U519" s="35"/>
      <c r="V519" s="39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</row>
    <row r="520" spans="1:35" ht="15.75" customHeight="1" x14ac:dyDescent="0.35">
      <c r="A520" s="34"/>
      <c r="B520" s="34"/>
      <c r="C520" s="34"/>
      <c r="D520" s="34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43"/>
      <c r="S520" s="35"/>
      <c r="T520" s="43"/>
      <c r="U520" s="35"/>
      <c r="V520" s="39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</row>
    <row r="521" spans="1:35" ht="15.75" customHeight="1" x14ac:dyDescent="0.35">
      <c r="A521" s="34"/>
      <c r="B521" s="34"/>
      <c r="C521" s="34"/>
      <c r="D521" s="34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43"/>
      <c r="S521" s="35"/>
      <c r="T521" s="43"/>
      <c r="U521" s="35"/>
      <c r="V521" s="39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</row>
    <row r="522" spans="1:35" ht="15.75" customHeight="1" x14ac:dyDescent="0.35">
      <c r="A522" s="34"/>
      <c r="B522" s="34"/>
      <c r="C522" s="34"/>
      <c r="D522" s="34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43"/>
      <c r="S522" s="35"/>
      <c r="T522" s="43"/>
      <c r="U522" s="35"/>
      <c r="V522" s="39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</row>
    <row r="523" spans="1:35" ht="15.75" customHeight="1" x14ac:dyDescent="0.35">
      <c r="A523" s="34"/>
      <c r="B523" s="34"/>
      <c r="C523" s="34"/>
      <c r="D523" s="34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43"/>
      <c r="S523" s="35"/>
      <c r="T523" s="43"/>
      <c r="U523" s="35"/>
      <c r="V523" s="39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</row>
    <row r="524" spans="1:35" ht="15.75" customHeight="1" x14ac:dyDescent="0.35">
      <c r="A524" s="34"/>
      <c r="B524" s="34"/>
      <c r="C524" s="34"/>
      <c r="D524" s="34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43"/>
      <c r="S524" s="35"/>
      <c r="T524" s="43"/>
      <c r="U524" s="35"/>
      <c r="V524" s="39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</row>
    <row r="525" spans="1:35" ht="15.75" customHeight="1" x14ac:dyDescent="0.35">
      <c r="A525" s="34"/>
      <c r="B525" s="34"/>
      <c r="C525" s="34"/>
      <c r="D525" s="34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43"/>
      <c r="S525" s="35"/>
      <c r="T525" s="43"/>
      <c r="U525" s="35"/>
      <c r="V525" s="39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</row>
    <row r="526" spans="1:35" ht="15.75" customHeight="1" x14ac:dyDescent="0.35">
      <c r="A526" s="34"/>
      <c r="B526" s="34"/>
      <c r="C526" s="34"/>
      <c r="D526" s="34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43"/>
      <c r="S526" s="35"/>
      <c r="T526" s="43"/>
      <c r="U526" s="35"/>
      <c r="V526" s="39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</row>
    <row r="527" spans="1:35" ht="15.75" customHeight="1" x14ac:dyDescent="0.35">
      <c r="A527" s="34"/>
      <c r="B527" s="34"/>
      <c r="C527" s="34"/>
      <c r="D527" s="34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43"/>
      <c r="S527" s="35"/>
      <c r="T527" s="43"/>
      <c r="U527" s="35"/>
      <c r="V527" s="39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</row>
    <row r="528" spans="1:35" ht="15.75" customHeight="1" x14ac:dyDescent="0.35">
      <c r="A528" s="34"/>
      <c r="B528" s="34"/>
      <c r="C528" s="34"/>
      <c r="D528" s="34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43"/>
      <c r="S528" s="41"/>
      <c r="T528" s="41"/>
      <c r="U528" s="41"/>
      <c r="V528" s="39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</row>
    <row r="529" spans="1:35" ht="15.75" customHeight="1" x14ac:dyDescent="0.35">
      <c r="A529" s="34"/>
      <c r="B529" s="34"/>
      <c r="C529" s="34"/>
      <c r="D529" s="34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43"/>
      <c r="S529" s="35"/>
      <c r="T529" s="43"/>
      <c r="U529" s="35"/>
      <c r="V529" s="39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</row>
    <row r="530" spans="1:35" ht="15.75" customHeight="1" x14ac:dyDescent="0.35">
      <c r="A530" s="34"/>
      <c r="B530" s="34"/>
      <c r="C530" s="34"/>
      <c r="D530" s="34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43"/>
      <c r="S530" s="35"/>
      <c r="T530" s="43"/>
      <c r="U530" s="35"/>
      <c r="V530" s="39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</row>
    <row r="531" spans="1:35" ht="15.75" customHeight="1" x14ac:dyDescent="0.35">
      <c r="A531" s="34"/>
      <c r="B531" s="34"/>
      <c r="C531" s="34"/>
      <c r="D531" s="34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43"/>
      <c r="S531" s="35"/>
      <c r="T531" s="43"/>
      <c r="U531" s="35"/>
      <c r="V531" s="39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</row>
    <row r="532" spans="1:35" ht="15.75" customHeight="1" x14ac:dyDescent="0.35">
      <c r="A532" s="34"/>
      <c r="B532" s="34"/>
      <c r="C532" s="34"/>
      <c r="D532" s="34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43"/>
      <c r="S532" s="35"/>
      <c r="T532" s="43"/>
      <c r="U532" s="35"/>
      <c r="V532" s="39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</row>
    <row r="533" spans="1:35" ht="15.75" customHeight="1" x14ac:dyDescent="0.35">
      <c r="A533" s="34"/>
      <c r="B533" s="34"/>
      <c r="C533" s="34"/>
      <c r="D533" s="34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43"/>
      <c r="S533" s="35"/>
      <c r="T533" s="43"/>
      <c r="U533" s="35"/>
      <c r="V533" s="39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</row>
    <row r="534" spans="1:35" ht="15.75" customHeight="1" x14ac:dyDescent="0.35">
      <c r="A534" s="34"/>
      <c r="B534" s="34"/>
      <c r="C534" s="34"/>
      <c r="D534" s="34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43"/>
      <c r="S534" s="35"/>
      <c r="T534" s="43"/>
      <c r="U534" s="35"/>
      <c r="V534" s="39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</row>
    <row r="535" spans="1:35" ht="15.75" customHeight="1" x14ac:dyDescent="0.35">
      <c r="A535" s="34"/>
      <c r="B535" s="34"/>
      <c r="C535" s="34"/>
      <c r="D535" s="34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43"/>
      <c r="S535" s="35"/>
      <c r="T535" s="43"/>
      <c r="U535" s="35"/>
      <c r="V535" s="39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</row>
    <row r="536" spans="1:35" ht="15.75" customHeight="1" x14ac:dyDescent="0.35">
      <c r="A536" s="34"/>
      <c r="B536" s="34"/>
      <c r="C536" s="34"/>
      <c r="D536" s="34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43"/>
      <c r="S536" s="35"/>
      <c r="T536" s="43"/>
      <c r="U536" s="35"/>
      <c r="V536" s="39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</row>
    <row r="537" spans="1:35" ht="15.75" customHeight="1" x14ac:dyDescent="0.35">
      <c r="A537" s="34"/>
      <c r="B537" s="34"/>
      <c r="C537" s="34"/>
      <c r="D537" s="34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43"/>
      <c r="S537" s="35"/>
      <c r="T537" s="43"/>
      <c r="U537" s="35"/>
      <c r="V537" s="39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</row>
    <row r="538" spans="1:35" ht="15.75" customHeight="1" x14ac:dyDescent="0.35">
      <c r="A538" s="34"/>
      <c r="B538" s="34"/>
      <c r="C538" s="34"/>
      <c r="D538" s="34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43"/>
      <c r="S538" s="35"/>
      <c r="T538" s="43"/>
      <c r="U538" s="35"/>
      <c r="V538" s="39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</row>
    <row r="539" spans="1:35" ht="15.75" customHeight="1" x14ac:dyDescent="0.35">
      <c r="A539" s="34"/>
      <c r="B539" s="34"/>
      <c r="C539" s="34"/>
      <c r="D539" s="34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43"/>
      <c r="S539" s="35"/>
      <c r="T539" s="43"/>
      <c r="U539" s="35"/>
      <c r="V539" s="39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</row>
    <row r="540" spans="1:35" ht="15.75" customHeight="1" x14ac:dyDescent="0.35">
      <c r="A540" s="34"/>
      <c r="B540" s="34"/>
      <c r="C540" s="34"/>
      <c r="D540" s="34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43"/>
      <c r="S540" s="35"/>
      <c r="T540" s="43"/>
      <c r="U540" s="35"/>
      <c r="V540" s="39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</row>
    <row r="541" spans="1:35" ht="15.75" customHeight="1" x14ac:dyDescent="0.35">
      <c r="A541" s="34"/>
      <c r="B541" s="34"/>
      <c r="C541" s="34"/>
      <c r="D541" s="34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43"/>
      <c r="S541" s="35"/>
      <c r="T541" s="43"/>
      <c r="U541" s="35"/>
      <c r="V541" s="39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</row>
    <row r="542" spans="1:35" ht="15.75" customHeight="1" x14ac:dyDescent="0.35">
      <c r="A542" s="34"/>
      <c r="B542" s="34"/>
      <c r="C542" s="34"/>
      <c r="D542" s="34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43"/>
      <c r="S542" s="35"/>
      <c r="T542" s="43"/>
      <c r="U542" s="35"/>
      <c r="V542" s="39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</row>
    <row r="543" spans="1:35" ht="15.75" customHeight="1" x14ac:dyDescent="0.35">
      <c r="A543" s="34"/>
      <c r="B543" s="34"/>
      <c r="C543" s="34"/>
      <c r="D543" s="34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43"/>
      <c r="S543" s="35"/>
      <c r="T543" s="43"/>
      <c r="U543" s="35"/>
      <c r="V543" s="39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</row>
    <row r="544" spans="1:35" ht="15.75" customHeight="1" x14ac:dyDescent="0.35">
      <c r="A544" s="34"/>
      <c r="B544" s="34"/>
      <c r="C544" s="34"/>
      <c r="D544" s="34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43"/>
      <c r="S544" s="35"/>
      <c r="T544" s="43"/>
      <c r="U544" s="35"/>
      <c r="V544" s="39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</row>
    <row r="545" spans="1:35" ht="15.75" customHeight="1" x14ac:dyDescent="0.35">
      <c r="A545" s="34"/>
      <c r="B545" s="34"/>
      <c r="C545" s="34"/>
      <c r="D545" s="34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43"/>
      <c r="S545" s="35"/>
      <c r="T545" s="43"/>
      <c r="U545" s="35"/>
      <c r="V545" s="39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</row>
    <row r="546" spans="1:35" ht="15.75" customHeight="1" x14ac:dyDescent="0.35">
      <c r="A546" s="34"/>
      <c r="B546" s="34"/>
      <c r="C546" s="34"/>
      <c r="D546" s="34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43"/>
      <c r="S546" s="35"/>
      <c r="T546" s="43"/>
      <c r="U546" s="35"/>
      <c r="V546" s="39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</row>
    <row r="547" spans="1:35" ht="15.75" customHeight="1" x14ac:dyDescent="0.35">
      <c r="A547" s="34"/>
      <c r="B547" s="34"/>
      <c r="C547" s="34"/>
      <c r="D547" s="34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43"/>
      <c r="S547" s="35"/>
      <c r="T547" s="43"/>
      <c r="U547" s="35"/>
      <c r="V547" s="39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</row>
    <row r="548" spans="1:35" ht="15.75" customHeight="1" x14ac:dyDescent="0.35">
      <c r="A548" s="34"/>
      <c r="B548" s="34"/>
      <c r="C548" s="34"/>
      <c r="D548" s="34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43"/>
      <c r="S548" s="41"/>
      <c r="T548" s="41"/>
      <c r="U548" s="41"/>
      <c r="V548" s="39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</row>
    <row r="549" spans="1:35" ht="15.75" customHeight="1" x14ac:dyDescent="0.35">
      <c r="A549" s="34"/>
      <c r="B549" s="34"/>
      <c r="C549" s="34"/>
      <c r="D549" s="34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43"/>
      <c r="S549" s="35"/>
      <c r="T549" s="43"/>
      <c r="U549" s="35"/>
      <c r="V549" s="39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</row>
    <row r="550" spans="1:35" ht="15.75" customHeight="1" x14ac:dyDescent="0.35">
      <c r="A550" s="34"/>
      <c r="B550" s="34"/>
      <c r="C550" s="34"/>
      <c r="D550" s="34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43"/>
      <c r="S550" s="35"/>
      <c r="T550" s="43"/>
      <c r="U550" s="35"/>
      <c r="V550" s="39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</row>
    <row r="551" spans="1:35" ht="15.75" customHeight="1" x14ac:dyDescent="0.35">
      <c r="A551" s="34"/>
      <c r="B551" s="34"/>
      <c r="C551" s="34"/>
      <c r="D551" s="34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43"/>
      <c r="S551" s="35"/>
      <c r="T551" s="43"/>
      <c r="U551" s="35"/>
      <c r="V551" s="39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</row>
    <row r="552" spans="1:35" ht="15.75" customHeight="1" x14ac:dyDescent="0.35">
      <c r="A552" s="34"/>
      <c r="B552" s="34"/>
      <c r="C552" s="34"/>
      <c r="D552" s="34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43"/>
      <c r="S552" s="35"/>
      <c r="T552" s="43"/>
      <c r="U552" s="35"/>
      <c r="V552" s="39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</row>
    <row r="553" spans="1:35" ht="15.75" customHeight="1" x14ac:dyDescent="0.35">
      <c r="A553" s="34"/>
      <c r="B553" s="34"/>
      <c r="C553" s="34"/>
      <c r="D553" s="34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43"/>
      <c r="S553" s="35"/>
      <c r="T553" s="43"/>
      <c r="U553" s="35"/>
      <c r="V553" s="39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</row>
    <row r="554" spans="1:35" ht="15.75" customHeight="1" x14ac:dyDescent="0.35">
      <c r="A554" s="34"/>
      <c r="B554" s="34"/>
      <c r="C554" s="34"/>
      <c r="D554" s="34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43"/>
      <c r="S554" s="35"/>
      <c r="T554" s="43"/>
      <c r="U554" s="35"/>
      <c r="V554" s="39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</row>
    <row r="555" spans="1:35" ht="15.75" customHeight="1" x14ac:dyDescent="0.35">
      <c r="A555" s="34"/>
      <c r="B555" s="34"/>
      <c r="C555" s="34"/>
      <c r="D555" s="34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43"/>
      <c r="S555" s="35"/>
      <c r="T555" s="43"/>
      <c r="U555" s="35"/>
      <c r="V555" s="39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</row>
    <row r="556" spans="1:35" ht="15.75" customHeight="1" x14ac:dyDescent="0.35">
      <c r="A556" s="34"/>
      <c r="B556" s="34"/>
      <c r="C556" s="34"/>
      <c r="D556" s="34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43"/>
      <c r="S556" s="35"/>
      <c r="T556" s="43"/>
      <c r="U556" s="35"/>
      <c r="V556" s="39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</row>
    <row r="557" spans="1:35" ht="15.75" customHeight="1" x14ac:dyDescent="0.35">
      <c r="A557" s="34"/>
      <c r="B557" s="34"/>
      <c r="C557" s="34"/>
      <c r="D557" s="34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43"/>
      <c r="S557" s="35"/>
      <c r="T557" s="43"/>
      <c r="U557" s="35"/>
      <c r="V557" s="39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</row>
    <row r="558" spans="1:35" ht="15.75" customHeight="1" x14ac:dyDescent="0.35">
      <c r="A558" s="34"/>
      <c r="B558" s="34"/>
      <c r="C558" s="34"/>
      <c r="D558" s="34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43"/>
      <c r="S558" s="35"/>
      <c r="T558" s="43"/>
      <c r="U558" s="35"/>
      <c r="V558" s="39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</row>
    <row r="559" spans="1:35" ht="15.75" customHeight="1" x14ac:dyDescent="0.35">
      <c r="A559" s="34"/>
      <c r="B559" s="34"/>
      <c r="C559" s="34"/>
      <c r="D559" s="34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43"/>
      <c r="S559" s="35"/>
      <c r="T559" s="43"/>
      <c r="U559" s="35"/>
      <c r="V559" s="39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</row>
    <row r="560" spans="1:35" ht="15.75" customHeight="1" x14ac:dyDescent="0.35">
      <c r="A560" s="34"/>
      <c r="B560" s="34"/>
      <c r="C560" s="34"/>
      <c r="D560" s="34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43"/>
      <c r="S560" s="35"/>
      <c r="T560" s="43"/>
      <c r="U560" s="35"/>
      <c r="V560" s="39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</row>
    <row r="561" spans="1:35" ht="15.75" customHeight="1" x14ac:dyDescent="0.35">
      <c r="A561" s="34"/>
      <c r="B561" s="34"/>
      <c r="C561" s="34"/>
      <c r="D561" s="34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43"/>
      <c r="S561" s="35"/>
      <c r="T561" s="43"/>
      <c r="U561" s="35"/>
      <c r="V561" s="39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</row>
    <row r="562" spans="1:35" ht="15.75" customHeight="1" x14ac:dyDescent="0.35">
      <c r="A562" s="34"/>
      <c r="B562" s="34"/>
      <c r="C562" s="34"/>
      <c r="D562" s="34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43"/>
      <c r="S562" s="35"/>
      <c r="T562" s="43"/>
      <c r="U562" s="35"/>
      <c r="V562" s="39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</row>
    <row r="563" spans="1:35" ht="15.75" customHeight="1" x14ac:dyDescent="0.35">
      <c r="A563" s="34"/>
      <c r="B563" s="34"/>
      <c r="C563" s="34"/>
      <c r="D563" s="34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43"/>
      <c r="S563" s="35"/>
      <c r="T563" s="43"/>
      <c r="U563" s="35"/>
      <c r="V563" s="39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</row>
    <row r="564" spans="1:35" ht="15.75" customHeight="1" x14ac:dyDescent="0.35">
      <c r="A564" s="34"/>
      <c r="B564" s="34"/>
      <c r="C564" s="34"/>
      <c r="D564" s="34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43"/>
      <c r="S564" s="35"/>
      <c r="T564" s="43"/>
      <c r="U564" s="35"/>
      <c r="V564" s="39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</row>
    <row r="565" spans="1:35" ht="15.75" customHeight="1" x14ac:dyDescent="0.35">
      <c r="A565" s="34"/>
      <c r="B565" s="34"/>
      <c r="C565" s="34"/>
      <c r="D565" s="34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43"/>
      <c r="S565" s="35"/>
      <c r="T565" s="43"/>
      <c r="U565" s="35"/>
      <c r="V565" s="39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</row>
    <row r="566" spans="1:35" ht="15.75" customHeight="1" x14ac:dyDescent="0.35">
      <c r="A566" s="34"/>
      <c r="B566" s="34"/>
      <c r="C566" s="34"/>
      <c r="D566" s="34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43"/>
      <c r="S566" s="35"/>
      <c r="T566" s="43"/>
      <c r="U566" s="35"/>
      <c r="V566" s="39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</row>
    <row r="567" spans="1:35" ht="15.75" customHeight="1" x14ac:dyDescent="0.35">
      <c r="A567" s="34"/>
      <c r="B567" s="34"/>
      <c r="C567" s="34"/>
      <c r="D567" s="34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43"/>
      <c r="S567" s="35"/>
      <c r="T567" s="43"/>
      <c r="U567" s="35"/>
      <c r="V567" s="39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</row>
    <row r="568" spans="1:35" ht="15.75" customHeight="1" x14ac:dyDescent="0.35">
      <c r="A568" s="34"/>
      <c r="B568" s="34"/>
      <c r="C568" s="34"/>
      <c r="D568" s="34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43"/>
      <c r="S568" s="41"/>
      <c r="T568" s="41"/>
      <c r="U568" s="41"/>
      <c r="V568" s="39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</row>
    <row r="569" spans="1:35" ht="15.75" customHeight="1" x14ac:dyDescent="0.35">
      <c r="A569" s="34"/>
      <c r="B569" s="34"/>
      <c r="C569" s="34"/>
      <c r="D569" s="34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43"/>
      <c r="S569" s="35"/>
      <c r="T569" s="43"/>
      <c r="U569" s="35"/>
      <c r="V569" s="39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</row>
    <row r="570" spans="1:35" ht="15.75" customHeight="1" x14ac:dyDescent="0.35">
      <c r="A570" s="34"/>
      <c r="B570" s="34"/>
      <c r="C570" s="34"/>
      <c r="D570" s="34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43"/>
      <c r="S570" s="35"/>
      <c r="T570" s="43"/>
      <c r="U570" s="35"/>
      <c r="V570" s="39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</row>
    <row r="571" spans="1:35" ht="15.75" customHeight="1" x14ac:dyDescent="0.35">
      <c r="A571" s="34"/>
      <c r="B571" s="34"/>
      <c r="C571" s="34"/>
      <c r="D571" s="34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43"/>
      <c r="S571" s="35"/>
      <c r="T571" s="43"/>
      <c r="U571" s="35"/>
      <c r="V571" s="39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</row>
    <row r="572" spans="1:35" ht="15.75" customHeight="1" x14ac:dyDescent="0.35">
      <c r="A572" s="34"/>
      <c r="B572" s="34"/>
      <c r="C572" s="34"/>
      <c r="D572" s="34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43"/>
      <c r="S572" s="35"/>
      <c r="T572" s="43"/>
      <c r="U572" s="35"/>
      <c r="V572" s="39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</row>
    <row r="573" spans="1:35" ht="15.75" customHeight="1" x14ac:dyDescent="0.35">
      <c r="A573" s="34"/>
      <c r="B573" s="34"/>
      <c r="C573" s="34"/>
      <c r="D573" s="34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43"/>
      <c r="S573" s="35"/>
      <c r="T573" s="43"/>
      <c r="U573" s="35"/>
      <c r="V573" s="39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</row>
    <row r="574" spans="1:35" ht="15.75" customHeight="1" x14ac:dyDescent="0.35">
      <c r="A574" s="34"/>
      <c r="B574" s="34"/>
      <c r="C574" s="34"/>
      <c r="D574" s="34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43"/>
      <c r="S574" s="35"/>
      <c r="T574" s="43"/>
      <c r="U574" s="35"/>
      <c r="V574" s="39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</row>
    <row r="575" spans="1:35" ht="15.75" customHeight="1" x14ac:dyDescent="0.35">
      <c r="A575" s="34"/>
      <c r="B575" s="34"/>
      <c r="C575" s="34"/>
      <c r="D575" s="34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43"/>
      <c r="S575" s="35"/>
      <c r="T575" s="43"/>
      <c r="U575" s="35"/>
      <c r="V575" s="39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</row>
    <row r="576" spans="1:35" ht="15.75" customHeight="1" x14ac:dyDescent="0.35">
      <c r="A576" s="34"/>
      <c r="B576" s="34"/>
      <c r="C576" s="34"/>
      <c r="D576" s="34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43"/>
      <c r="S576" s="35"/>
      <c r="T576" s="43"/>
      <c r="U576" s="35"/>
      <c r="V576" s="39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</row>
    <row r="577" spans="1:35" ht="15.75" customHeight="1" x14ac:dyDescent="0.35">
      <c r="A577" s="34"/>
      <c r="B577" s="34"/>
      <c r="C577" s="34"/>
      <c r="D577" s="34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43"/>
      <c r="S577" s="35"/>
      <c r="T577" s="43"/>
      <c r="U577" s="35"/>
      <c r="V577" s="39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</row>
    <row r="578" spans="1:35" ht="15.75" customHeight="1" x14ac:dyDescent="0.35">
      <c r="A578" s="34"/>
      <c r="B578" s="34"/>
      <c r="C578" s="34"/>
      <c r="D578" s="34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43"/>
      <c r="S578" s="35"/>
      <c r="T578" s="43"/>
      <c r="U578" s="35"/>
      <c r="V578" s="39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</row>
    <row r="579" spans="1:35" ht="15.75" customHeight="1" x14ac:dyDescent="0.35">
      <c r="A579" s="34"/>
      <c r="B579" s="34"/>
      <c r="C579" s="34"/>
      <c r="D579" s="34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43"/>
      <c r="S579" s="35"/>
      <c r="T579" s="43"/>
      <c r="U579" s="35"/>
      <c r="V579" s="39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</row>
    <row r="580" spans="1:35" ht="15.75" customHeight="1" x14ac:dyDescent="0.35">
      <c r="A580" s="34"/>
      <c r="B580" s="34"/>
      <c r="C580" s="34"/>
      <c r="D580" s="34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43"/>
      <c r="S580" s="35"/>
      <c r="T580" s="43"/>
      <c r="U580" s="35"/>
      <c r="V580" s="39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</row>
    <row r="581" spans="1:35" ht="15.75" customHeight="1" x14ac:dyDescent="0.35">
      <c r="A581" s="34"/>
      <c r="B581" s="34"/>
      <c r="C581" s="34"/>
      <c r="D581" s="34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43"/>
      <c r="S581" s="35"/>
      <c r="T581" s="43"/>
      <c r="U581" s="35"/>
      <c r="V581" s="39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</row>
    <row r="582" spans="1:35" ht="15.75" customHeight="1" x14ac:dyDescent="0.35">
      <c r="A582" s="34"/>
      <c r="B582" s="34"/>
      <c r="C582" s="34"/>
      <c r="D582" s="34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43"/>
      <c r="S582" s="35"/>
      <c r="T582" s="43"/>
      <c r="U582" s="35"/>
      <c r="V582" s="39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</row>
    <row r="583" spans="1:35" ht="15.75" customHeight="1" x14ac:dyDescent="0.35">
      <c r="A583" s="34"/>
      <c r="B583" s="34"/>
      <c r="C583" s="34"/>
      <c r="D583" s="34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43"/>
      <c r="S583" s="35"/>
      <c r="T583" s="43"/>
      <c r="U583" s="35"/>
      <c r="V583" s="39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</row>
    <row r="584" spans="1:35" ht="15.75" customHeight="1" x14ac:dyDescent="0.35">
      <c r="A584" s="34"/>
      <c r="B584" s="34"/>
      <c r="C584" s="34"/>
      <c r="D584" s="34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43"/>
      <c r="S584" s="35"/>
      <c r="T584" s="43"/>
      <c r="U584" s="35"/>
      <c r="V584" s="39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</row>
    <row r="585" spans="1:35" ht="15.75" customHeight="1" x14ac:dyDescent="0.35">
      <c r="A585" s="34"/>
      <c r="B585" s="34"/>
      <c r="C585" s="34"/>
      <c r="D585" s="34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43"/>
      <c r="S585" s="35"/>
      <c r="T585" s="43"/>
      <c r="U585" s="35"/>
      <c r="V585" s="39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</row>
    <row r="586" spans="1:35" ht="15.75" customHeight="1" x14ac:dyDescent="0.35">
      <c r="A586" s="34"/>
      <c r="B586" s="34"/>
      <c r="C586" s="34"/>
      <c r="D586" s="34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43"/>
      <c r="S586" s="35"/>
      <c r="T586" s="43"/>
      <c r="U586" s="35"/>
      <c r="V586" s="39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</row>
    <row r="587" spans="1:35" ht="15.75" customHeight="1" x14ac:dyDescent="0.35">
      <c r="A587" s="34"/>
      <c r="B587" s="34"/>
      <c r="C587" s="34"/>
      <c r="D587" s="34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43"/>
      <c r="S587" s="35"/>
      <c r="T587" s="43"/>
      <c r="U587" s="35"/>
      <c r="V587" s="39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</row>
    <row r="588" spans="1:35" ht="15.75" customHeight="1" x14ac:dyDescent="0.35">
      <c r="A588" s="34"/>
      <c r="B588" s="34"/>
      <c r="C588" s="34"/>
      <c r="D588" s="34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43"/>
      <c r="S588" s="41"/>
      <c r="T588" s="41"/>
      <c r="U588" s="41"/>
      <c r="V588" s="39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</row>
    <row r="589" spans="1:35" ht="15.75" customHeight="1" x14ac:dyDescent="0.35">
      <c r="A589" s="34"/>
      <c r="B589" s="34"/>
      <c r="C589" s="34"/>
      <c r="D589" s="34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43"/>
      <c r="S589" s="35"/>
      <c r="T589" s="43"/>
      <c r="U589" s="35"/>
      <c r="V589" s="39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</row>
    <row r="590" spans="1:35" ht="15.75" customHeight="1" x14ac:dyDescent="0.35">
      <c r="A590" s="34"/>
      <c r="B590" s="34"/>
      <c r="C590" s="34"/>
      <c r="D590" s="34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43"/>
      <c r="S590" s="35"/>
      <c r="T590" s="43"/>
      <c r="U590" s="35"/>
      <c r="V590" s="39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</row>
    <row r="591" spans="1:35" ht="15.75" customHeight="1" x14ac:dyDescent="0.35">
      <c r="A591" s="34"/>
      <c r="B591" s="34"/>
      <c r="C591" s="34"/>
      <c r="D591" s="34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43"/>
      <c r="S591" s="35"/>
      <c r="T591" s="43"/>
      <c r="U591" s="35"/>
      <c r="V591" s="39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</row>
    <row r="592" spans="1:35" ht="15.75" customHeight="1" x14ac:dyDescent="0.35">
      <c r="A592" s="34"/>
      <c r="B592" s="34"/>
      <c r="C592" s="34"/>
      <c r="D592" s="34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43"/>
      <c r="S592" s="35"/>
      <c r="T592" s="43"/>
      <c r="U592" s="35"/>
      <c r="V592" s="39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</row>
    <row r="593" spans="1:35" ht="15.75" customHeight="1" x14ac:dyDescent="0.35">
      <c r="A593" s="34"/>
      <c r="B593" s="34"/>
      <c r="C593" s="34"/>
      <c r="D593" s="34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43"/>
      <c r="S593" s="35"/>
      <c r="T593" s="43"/>
      <c r="U593" s="35"/>
      <c r="V593" s="39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</row>
    <row r="594" spans="1:35" ht="15.75" customHeight="1" x14ac:dyDescent="0.35">
      <c r="A594" s="34"/>
      <c r="B594" s="34"/>
      <c r="C594" s="34"/>
      <c r="D594" s="34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43"/>
      <c r="S594" s="35"/>
      <c r="T594" s="43"/>
      <c r="U594" s="35"/>
      <c r="V594" s="39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</row>
    <row r="595" spans="1:35" ht="15.75" customHeight="1" x14ac:dyDescent="0.35">
      <c r="A595" s="34"/>
      <c r="B595" s="34"/>
      <c r="C595" s="34"/>
      <c r="D595" s="34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43"/>
      <c r="S595" s="35"/>
      <c r="T595" s="43"/>
      <c r="U595" s="35"/>
      <c r="V595" s="39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</row>
    <row r="596" spans="1:35" ht="15.75" customHeight="1" x14ac:dyDescent="0.35">
      <c r="A596" s="34"/>
      <c r="B596" s="34"/>
      <c r="C596" s="34"/>
      <c r="D596" s="34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43"/>
      <c r="S596" s="35"/>
      <c r="T596" s="43"/>
      <c r="U596" s="35"/>
      <c r="V596" s="39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</row>
    <row r="597" spans="1:35" ht="15.75" customHeight="1" x14ac:dyDescent="0.35">
      <c r="A597" s="34"/>
      <c r="B597" s="34"/>
      <c r="C597" s="34"/>
      <c r="D597" s="34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43"/>
      <c r="S597" s="35"/>
      <c r="T597" s="43"/>
      <c r="U597" s="35"/>
      <c r="V597" s="39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</row>
    <row r="598" spans="1:35" ht="15.75" customHeight="1" x14ac:dyDescent="0.35">
      <c r="A598" s="34"/>
      <c r="B598" s="34"/>
      <c r="C598" s="34"/>
      <c r="D598" s="34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43"/>
      <c r="S598" s="35"/>
      <c r="T598" s="43"/>
      <c r="U598" s="35"/>
      <c r="V598" s="39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</row>
    <row r="599" spans="1:35" ht="15.75" customHeight="1" x14ac:dyDescent="0.35">
      <c r="A599" s="34"/>
      <c r="B599" s="34"/>
      <c r="C599" s="34"/>
      <c r="D599" s="34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43"/>
      <c r="S599" s="35"/>
      <c r="T599" s="43"/>
      <c r="U599" s="35"/>
      <c r="V599" s="39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</row>
    <row r="600" spans="1:35" ht="15.75" customHeight="1" x14ac:dyDescent="0.35">
      <c r="A600" s="34"/>
      <c r="B600" s="34"/>
      <c r="C600" s="34"/>
      <c r="D600" s="34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43"/>
      <c r="S600" s="35"/>
      <c r="T600" s="43"/>
      <c r="U600" s="35"/>
      <c r="V600" s="39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</row>
    <row r="601" spans="1:35" ht="15.75" customHeight="1" x14ac:dyDescent="0.35">
      <c r="A601" s="34"/>
      <c r="B601" s="34"/>
      <c r="C601" s="34"/>
      <c r="D601" s="34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43"/>
      <c r="S601" s="35"/>
      <c r="T601" s="43"/>
      <c r="U601" s="35"/>
      <c r="V601" s="39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</row>
    <row r="602" spans="1:35" ht="15.75" customHeight="1" x14ac:dyDescent="0.35">
      <c r="A602" s="34"/>
      <c r="B602" s="34"/>
      <c r="C602" s="34"/>
      <c r="D602" s="34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43"/>
      <c r="S602" s="35"/>
      <c r="T602" s="43"/>
      <c r="U602" s="35"/>
      <c r="V602" s="39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</row>
    <row r="603" spans="1:35" ht="15.75" customHeight="1" x14ac:dyDescent="0.35">
      <c r="A603" s="34"/>
      <c r="B603" s="34"/>
      <c r="C603" s="34"/>
      <c r="D603" s="34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43"/>
      <c r="S603" s="35"/>
      <c r="T603" s="43"/>
      <c r="U603" s="35"/>
      <c r="V603" s="39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</row>
    <row r="604" spans="1:35" ht="15.75" customHeight="1" x14ac:dyDescent="0.35">
      <c r="A604" s="34"/>
      <c r="B604" s="34"/>
      <c r="C604" s="34"/>
      <c r="D604" s="34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43"/>
      <c r="S604" s="35"/>
      <c r="T604" s="43"/>
      <c r="U604" s="35"/>
      <c r="V604" s="39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</row>
    <row r="605" spans="1:35" ht="15.75" customHeight="1" x14ac:dyDescent="0.35">
      <c r="A605" s="34"/>
      <c r="B605" s="34"/>
      <c r="C605" s="34"/>
      <c r="D605" s="34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43"/>
      <c r="S605" s="35"/>
      <c r="T605" s="43"/>
      <c r="U605" s="35"/>
      <c r="V605" s="39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</row>
    <row r="606" spans="1:35" ht="15.75" customHeight="1" x14ac:dyDescent="0.35">
      <c r="A606" s="34"/>
      <c r="B606" s="34"/>
      <c r="C606" s="34"/>
      <c r="D606" s="34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43"/>
      <c r="S606" s="35"/>
      <c r="T606" s="43"/>
      <c r="U606" s="35"/>
      <c r="V606" s="39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</row>
    <row r="607" spans="1:35" ht="15.75" customHeight="1" x14ac:dyDescent="0.35">
      <c r="A607" s="34"/>
      <c r="B607" s="34"/>
      <c r="C607" s="34"/>
      <c r="D607" s="34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43"/>
      <c r="S607" s="35"/>
      <c r="T607" s="43"/>
      <c r="U607" s="35"/>
      <c r="V607" s="39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</row>
    <row r="608" spans="1:35" ht="15.75" customHeight="1" x14ac:dyDescent="0.35">
      <c r="A608" s="34"/>
      <c r="B608" s="34"/>
      <c r="C608" s="34"/>
      <c r="D608" s="34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43"/>
      <c r="S608" s="41"/>
      <c r="T608" s="41"/>
      <c r="U608" s="41"/>
      <c r="V608" s="39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</row>
    <row r="609" spans="1:35" ht="15.75" customHeight="1" x14ac:dyDescent="0.35">
      <c r="A609" s="34"/>
      <c r="B609" s="34"/>
      <c r="C609" s="34"/>
      <c r="D609" s="34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43"/>
      <c r="S609" s="35"/>
      <c r="T609" s="43"/>
      <c r="U609" s="35"/>
      <c r="V609" s="39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</row>
    <row r="610" spans="1:35" ht="15.75" customHeight="1" x14ac:dyDescent="0.35">
      <c r="A610" s="34"/>
      <c r="B610" s="34"/>
      <c r="C610" s="34"/>
      <c r="D610" s="34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43"/>
      <c r="S610" s="35"/>
      <c r="T610" s="43"/>
      <c r="U610" s="35"/>
      <c r="V610" s="39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</row>
    <row r="611" spans="1:35" ht="15.75" customHeight="1" x14ac:dyDescent="0.35">
      <c r="A611" s="34"/>
      <c r="B611" s="34"/>
      <c r="C611" s="34"/>
      <c r="D611" s="34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43"/>
      <c r="S611" s="35"/>
      <c r="T611" s="43"/>
      <c r="U611" s="35"/>
      <c r="V611" s="39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</row>
    <row r="612" spans="1:35" ht="15.75" customHeight="1" x14ac:dyDescent="0.35">
      <c r="A612" s="34"/>
      <c r="B612" s="34"/>
      <c r="C612" s="34"/>
      <c r="D612" s="34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43"/>
      <c r="S612" s="35"/>
      <c r="T612" s="43"/>
      <c r="U612" s="35"/>
      <c r="V612" s="39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</row>
    <row r="613" spans="1:35" ht="15.75" customHeight="1" x14ac:dyDescent="0.35">
      <c r="A613" s="34"/>
      <c r="B613" s="34"/>
      <c r="C613" s="34"/>
      <c r="D613" s="34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43"/>
      <c r="S613" s="35"/>
      <c r="T613" s="43"/>
      <c r="U613" s="35"/>
      <c r="V613" s="39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</row>
    <row r="614" spans="1:35" ht="15.75" customHeight="1" x14ac:dyDescent="0.35">
      <c r="A614" s="34"/>
      <c r="B614" s="34"/>
      <c r="C614" s="34"/>
      <c r="D614" s="34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43"/>
      <c r="S614" s="35"/>
      <c r="T614" s="43"/>
      <c r="U614" s="35"/>
      <c r="V614" s="39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</row>
    <row r="615" spans="1:35" ht="15.75" customHeight="1" x14ac:dyDescent="0.35">
      <c r="A615" s="34"/>
      <c r="B615" s="34"/>
      <c r="C615" s="34"/>
      <c r="D615" s="34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43"/>
      <c r="S615" s="35"/>
      <c r="T615" s="43"/>
      <c r="U615" s="35"/>
      <c r="V615" s="39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</row>
    <row r="616" spans="1:35" ht="15.75" customHeight="1" x14ac:dyDescent="0.35">
      <c r="A616" s="34"/>
      <c r="B616" s="34"/>
      <c r="C616" s="34"/>
      <c r="D616" s="34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43"/>
      <c r="S616" s="35"/>
      <c r="T616" s="43"/>
      <c r="U616" s="35"/>
      <c r="V616" s="39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</row>
    <row r="617" spans="1:35" ht="15.75" customHeight="1" x14ac:dyDescent="0.35">
      <c r="A617" s="34"/>
      <c r="B617" s="34"/>
      <c r="C617" s="34"/>
      <c r="D617" s="34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43"/>
      <c r="S617" s="35"/>
      <c r="T617" s="43"/>
      <c r="U617" s="35"/>
      <c r="V617" s="39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</row>
    <row r="618" spans="1:35" ht="15.75" customHeight="1" x14ac:dyDescent="0.35">
      <c r="A618" s="34"/>
      <c r="B618" s="34"/>
      <c r="C618" s="34"/>
      <c r="D618" s="34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43"/>
      <c r="S618" s="35"/>
      <c r="T618" s="43"/>
      <c r="U618" s="35"/>
      <c r="V618" s="39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</row>
    <row r="619" spans="1:35" ht="15.75" customHeight="1" x14ac:dyDescent="0.35">
      <c r="A619" s="34"/>
      <c r="B619" s="34"/>
      <c r="C619" s="34"/>
      <c r="D619" s="34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43"/>
      <c r="S619" s="35"/>
      <c r="T619" s="43"/>
      <c r="U619" s="35"/>
      <c r="V619" s="39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</row>
    <row r="620" spans="1:35" ht="15.75" customHeight="1" x14ac:dyDescent="0.35">
      <c r="A620" s="34"/>
      <c r="B620" s="34"/>
      <c r="C620" s="34"/>
      <c r="D620" s="34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43"/>
      <c r="S620" s="35"/>
      <c r="T620" s="43"/>
      <c r="U620" s="35"/>
      <c r="V620" s="39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</row>
    <row r="621" spans="1:35" ht="15.75" customHeight="1" x14ac:dyDescent="0.35">
      <c r="A621" s="34"/>
      <c r="B621" s="34"/>
      <c r="C621" s="34"/>
      <c r="D621" s="34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43"/>
      <c r="S621" s="35"/>
      <c r="T621" s="43"/>
      <c r="U621" s="35"/>
      <c r="V621" s="39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</row>
    <row r="622" spans="1:35" ht="15.75" customHeight="1" x14ac:dyDescent="0.35">
      <c r="A622" s="34"/>
      <c r="B622" s="34"/>
      <c r="C622" s="34"/>
      <c r="D622" s="34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43"/>
      <c r="S622" s="35"/>
      <c r="T622" s="43"/>
      <c r="U622" s="35"/>
      <c r="V622" s="39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</row>
    <row r="623" spans="1:35" ht="15.75" customHeight="1" x14ac:dyDescent="0.35">
      <c r="A623" s="34"/>
      <c r="B623" s="34"/>
      <c r="C623" s="34"/>
      <c r="D623" s="34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43"/>
      <c r="S623" s="35"/>
      <c r="T623" s="43"/>
      <c r="U623" s="35"/>
      <c r="V623" s="39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</row>
    <row r="624" spans="1:35" ht="15.75" customHeight="1" x14ac:dyDescent="0.35">
      <c r="A624" s="34"/>
      <c r="B624" s="34"/>
      <c r="C624" s="34"/>
      <c r="D624" s="34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43"/>
      <c r="S624" s="35"/>
      <c r="T624" s="43"/>
      <c r="U624" s="35"/>
      <c r="V624" s="39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</row>
    <row r="625" spans="1:35" ht="15.75" customHeight="1" x14ac:dyDescent="0.35">
      <c r="A625" s="34"/>
      <c r="B625" s="34"/>
      <c r="C625" s="34"/>
      <c r="D625" s="34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43"/>
      <c r="S625" s="35"/>
      <c r="T625" s="43"/>
      <c r="U625" s="35"/>
      <c r="V625" s="39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</row>
    <row r="626" spans="1:35" ht="15.75" customHeight="1" x14ac:dyDescent="0.35">
      <c r="A626" s="34"/>
      <c r="B626" s="34"/>
      <c r="C626" s="34"/>
      <c r="D626" s="34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43"/>
      <c r="S626" s="35"/>
      <c r="T626" s="43"/>
      <c r="U626" s="35"/>
      <c r="V626" s="39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</row>
    <row r="627" spans="1:35" ht="15.75" customHeight="1" x14ac:dyDescent="0.35">
      <c r="A627" s="34"/>
      <c r="B627" s="34"/>
      <c r="C627" s="34"/>
      <c r="D627" s="34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43"/>
      <c r="S627" s="35"/>
      <c r="T627" s="43"/>
      <c r="U627" s="35"/>
      <c r="V627" s="39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</row>
    <row r="628" spans="1:35" ht="15.75" customHeight="1" x14ac:dyDescent="0.35">
      <c r="A628" s="34"/>
      <c r="B628" s="34"/>
      <c r="C628" s="34"/>
      <c r="D628" s="34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43"/>
      <c r="S628" s="41"/>
      <c r="T628" s="41"/>
      <c r="U628" s="41"/>
      <c r="V628" s="39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</row>
    <row r="629" spans="1:35" ht="15.75" customHeight="1" x14ac:dyDescent="0.35">
      <c r="A629" s="34"/>
      <c r="B629" s="34"/>
      <c r="C629" s="34"/>
      <c r="D629" s="34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43"/>
      <c r="S629" s="35"/>
      <c r="T629" s="43"/>
      <c r="U629" s="35"/>
      <c r="V629" s="39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</row>
    <row r="630" spans="1:35" ht="15.75" customHeight="1" x14ac:dyDescent="0.35">
      <c r="A630" s="34"/>
      <c r="B630" s="34"/>
      <c r="C630" s="34"/>
      <c r="D630" s="34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43"/>
      <c r="S630" s="35"/>
      <c r="T630" s="43"/>
      <c r="U630" s="35"/>
      <c r="V630" s="39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</row>
    <row r="631" spans="1:35" ht="15.75" customHeight="1" x14ac:dyDescent="0.35">
      <c r="A631" s="34"/>
      <c r="B631" s="34"/>
      <c r="C631" s="34"/>
      <c r="D631" s="34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43"/>
      <c r="S631" s="35"/>
      <c r="T631" s="43"/>
      <c r="U631" s="35"/>
      <c r="V631" s="39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</row>
    <row r="632" spans="1:35" ht="15.75" customHeight="1" x14ac:dyDescent="0.35">
      <c r="A632" s="34"/>
      <c r="B632" s="34"/>
      <c r="C632" s="34"/>
      <c r="D632" s="34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43"/>
      <c r="S632" s="35"/>
      <c r="T632" s="43"/>
      <c r="U632" s="35"/>
      <c r="V632" s="39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</row>
    <row r="633" spans="1:35" ht="15.75" customHeight="1" x14ac:dyDescent="0.35">
      <c r="A633" s="34"/>
      <c r="B633" s="34"/>
      <c r="C633" s="34"/>
      <c r="D633" s="34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43"/>
      <c r="S633" s="35"/>
      <c r="T633" s="43"/>
      <c r="U633" s="35"/>
      <c r="V633" s="39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</row>
    <row r="634" spans="1:35" ht="15.75" customHeight="1" x14ac:dyDescent="0.35">
      <c r="A634" s="34"/>
      <c r="B634" s="34"/>
      <c r="C634" s="34"/>
      <c r="D634" s="34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43"/>
      <c r="S634" s="35"/>
      <c r="T634" s="43"/>
      <c r="U634" s="35"/>
      <c r="V634" s="39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</row>
    <row r="635" spans="1:35" ht="15.75" customHeight="1" x14ac:dyDescent="0.35">
      <c r="A635" s="34"/>
      <c r="B635" s="34"/>
      <c r="C635" s="34"/>
      <c r="D635" s="34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43"/>
      <c r="S635" s="35"/>
      <c r="T635" s="43"/>
      <c r="U635" s="35"/>
      <c r="V635" s="39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</row>
    <row r="636" spans="1:35" ht="15.75" customHeight="1" x14ac:dyDescent="0.35">
      <c r="A636" s="34"/>
      <c r="B636" s="34"/>
      <c r="C636" s="34"/>
      <c r="D636" s="34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43"/>
      <c r="S636" s="35"/>
      <c r="T636" s="43"/>
      <c r="U636" s="35"/>
      <c r="V636" s="39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</row>
    <row r="637" spans="1:35" ht="15.75" customHeight="1" x14ac:dyDescent="0.35">
      <c r="A637" s="34"/>
      <c r="B637" s="34"/>
      <c r="C637" s="34"/>
      <c r="D637" s="34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43"/>
      <c r="S637" s="35"/>
      <c r="T637" s="43"/>
      <c r="U637" s="35"/>
      <c r="V637" s="39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</row>
    <row r="638" spans="1:35" ht="15.75" customHeight="1" x14ac:dyDescent="0.35">
      <c r="A638" s="34"/>
      <c r="B638" s="34"/>
      <c r="C638" s="34"/>
      <c r="D638" s="34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43"/>
      <c r="S638" s="35"/>
      <c r="T638" s="43"/>
      <c r="U638" s="35"/>
      <c r="V638" s="39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</row>
    <row r="639" spans="1:35" ht="15.75" customHeight="1" x14ac:dyDescent="0.35">
      <c r="A639" s="34"/>
      <c r="B639" s="34"/>
      <c r="C639" s="34"/>
      <c r="D639" s="34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43"/>
      <c r="S639" s="35"/>
      <c r="T639" s="43"/>
      <c r="U639" s="35"/>
      <c r="V639" s="39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</row>
    <row r="640" spans="1:35" ht="15.75" customHeight="1" x14ac:dyDescent="0.35">
      <c r="A640" s="34"/>
      <c r="B640" s="34"/>
      <c r="C640" s="34"/>
      <c r="D640" s="34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43"/>
      <c r="S640" s="35"/>
      <c r="T640" s="43"/>
      <c r="U640" s="35"/>
      <c r="V640" s="39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</row>
    <row r="641" spans="1:35" ht="15.75" customHeight="1" x14ac:dyDescent="0.35">
      <c r="A641" s="34"/>
      <c r="B641" s="34"/>
      <c r="C641" s="34"/>
      <c r="D641" s="34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43"/>
      <c r="S641" s="35"/>
      <c r="T641" s="43"/>
      <c r="U641" s="35"/>
      <c r="V641" s="39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</row>
    <row r="642" spans="1:35" ht="15.75" customHeight="1" x14ac:dyDescent="0.35">
      <c r="A642" s="34"/>
      <c r="B642" s="34"/>
      <c r="C642" s="34"/>
      <c r="D642" s="34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43"/>
      <c r="S642" s="35"/>
      <c r="T642" s="43"/>
      <c r="U642" s="35"/>
      <c r="V642" s="39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</row>
    <row r="643" spans="1:35" ht="15.75" customHeight="1" x14ac:dyDescent="0.35">
      <c r="A643" s="34"/>
      <c r="B643" s="34"/>
      <c r="C643" s="34"/>
      <c r="D643" s="34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43"/>
      <c r="S643" s="35"/>
      <c r="T643" s="43"/>
      <c r="U643" s="35"/>
      <c r="V643" s="39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</row>
    <row r="644" spans="1:35" ht="15.75" customHeight="1" x14ac:dyDescent="0.35">
      <c r="A644" s="34"/>
      <c r="B644" s="34"/>
      <c r="C644" s="34"/>
      <c r="D644" s="34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43"/>
      <c r="S644" s="35"/>
      <c r="T644" s="43"/>
      <c r="U644" s="35"/>
      <c r="V644" s="39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</row>
    <row r="645" spans="1:35" ht="15.75" customHeight="1" x14ac:dyDescent="0.35">
      <c r="A645" s="34"/>
      <c r="B645" s="34"/>
      <c r="C645" s="34"/>
      <c r="D645" s="34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43"/>
      <c r="S645" s="35"/>
      <c r="T645" s="43"/>
      <c r="U645" s="35"/>
      <c r="V645" s="39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</row>
    <row r="646" spans="1:35" ht="15.75" customHeight="1" x14ac:dyDescent="0.35">
      <c r="A646" s="34"/>
      <c r="B646" s="34"/>
      <c r="C646" s="34"/>
      <c r="D646" s="34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43"/>
      <c r="S646" s="35"/>
      <c r="T646" s="43"/>
      <c r="U646" s="35"/>
      <c r="V646" s="39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</row>
    <row r="647" spans="1:35" ht="15.75" customHeight="1" x14ac:dyDescent="0.35">
      <c r="A647" s="34"/>
      <c r="B647" s="34"/>
      <c r="C647" s="34"/>
      <c r="D647" s="34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43"/>
      <c r="S647" s="35"/>
      <c r="T647" s="43"/>
      <c r="U647" s="35"/>
      <c r="V647" s="39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</row>
    <row r="648" spans="1:35" ht="15.75" customHeight="1" x14ac:dyDescent="0.35">
      <c r="A648" s="34"/>
      <c r="B648" s="34"/>
      <c r="C648" s="34"/>
      <c r="D648" s="34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43"/>
      <c r="S648" s="41"/>
      <c r="T648" s="41"/>
      <c r="U648" s="41"/>
      <c r="V648" s="39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</row>
    <row r="649" spans="1:35" ht="15.75" customHeight="1" x14ac:dyDescent="0.35">
      <c r="A649" s="34"/>
      <c r="B649" s="34"/>
      <c r="C649" s="34"/>
      <c r="D649" s="34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43"/>
      <c r="S649" s="35"/>
      <c r="T649" s="43"/>
      <c r="U649" s="35"/>
      <c r="V649" s="39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</row>
    <row r="650" spans="1:35" ht="15.75" customHeight="1" x14ac:dyDescent="0.35">
      <c r="A650" s="34"/>
      <c r="B650" s="34"/>
      <c r="C650" s="34"/>
      <c r="D650" s="34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43"/>
      <c r="S650" s="35"/>
      <c r="T650" s="43"/>
      <c r="U650" s="35"/>
      <c r="V650" s="39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</row>
    <row r="651" spans="1:35" ht="15.75" customHeight="1" x14ac:dyDescent="0.35">
      <c r="A651" s="34"/>
      <c r="B651" s="34"/>
      <c r="C651" s="34"/>
      <c r="D651" s="34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43"/>
      <c r="S651" s="35"/>
      <c r="T651" s="43"/>
      <c r="U651" s="35"/>
      <c r="V651" s="39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</row>
    <row r="652" spans="1:35" ht="15.75" customHeight="1" x14ac:dyDescent="0.35">
      <c r="A652" s="34"/>
      <c r="B652" s="34"/>
      <c r="C652" s="34"/>
      <c r="D652" s="34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43"/>
      <c r="S652" s="35"/>
      <c r="T652" s="43"/>
      <c r="U652" s="35"/>
      <c r="V652" s="39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</row>
    <row r="653" spans="1:35" ht="15.75" customHeight="1" x14ac:dyDescent="0.35">
      <c r="A653" s="34"/>
      <c r="B653" s="34"/>
      <c r="C653" s="34"/>
      <c r="D653" s="34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43"/>
      <c r="S653" s="35"/>
      <c r="T653" s="43"/>
      <c r="U653" s="35"/>
      <c r="V653" s="39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</row>
    <row r="654" spans="1:35" ht="15.75" customHeight="1" x14ac:dyDescent="0.35">
      <c r="A654" s="34"/>
      <c r="B654" s="34"/>
      <c r="C654" s="34"/>
      <c r="D654" s="34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43"/>
      <c r="S654" s="35"/>
      <c r="T654" s="43"/>
      <c r="U654" s="35"/>
      <c r="V654" s="39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</row>
    <row r="655" spans="1:35" ht="15.75" customHeight="1" x14ac:dyDescent="0.35">
      <c r="A655" s="34"/>
      <c r="B655" s="34"/>
      <c r="C655" s="34"/>
      <c r="D655" s="34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43"/>
      <c r="S655" s="35"/>
      <c r="T655" s="43"/>
      <c r="U655" s="35"/>
      <c r="V655" s="39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</row>
    <row r="656" spans="1:35" ht="15.75" customHeight="1" x14ac:dyDescent="0.35">
      <c r="A656" s="34"/>
      <c r="B656" s="34"/>
      <c r="C656" s="34"/>
      <c r="D656" s="34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43"/>
      <c r="S656" s="35"/>
      <c r="T656" s="43"/>
      <c r="U656" s="35"/>
      <c r="V656" s="39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</row>
    <row r="657" spans="1:35" ht="15.75" customHeight="1" x14ac:dyDescent="0.35">
      <c r="A657" s="34"/>
      <c r="B657" s="34"/>
      <c r="C657" s="34"/>
      <c r="D657" s="34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43"/>
      <c r="S657" s="35"/>
      <c r="T657" s="43"/>
      <c r="U657" s="35"/>
      <c r="V657" s="39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</row>
    <row r="658" spans="1:35" ht="15.75" customHeight="1" x14ac:dyDescent="0.35">
      <c r="A658" s="34"/>
      <c r="B658" s="34"/>
      <c r="C658" s="34"/>
      <c r="D658" s="34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43"/>
      <c r="S658" s="35"/>
      <c r="T658" s="43"/>
      <c r="U658" s="35"/>
      <c r="V658" s="39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</row>
    <row r="659" spans="1:35" ht="15.75" customHeight="1" x14ac:dyDescent="0.35">
      <c r="A659" s="34"/>
      <c r="B659" s="34"/>
      <c r="C659" s="34"/>
      <c r="D659" s="34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43"/>
      <c r="S659" s="35"/>
      <c r="T659" s="43"/>
      <c r="U659" s="35"/>
      <c r="V659" s="39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</row>
    <row r="660" spans="1:35" ht="15.75" customHeight="1" x14ac:dyDescent="0.35">
      <c r="A660" s="34"/>
      <c r="B660" s="34"/>
      <c r="C660" s="34"/>
      <c r="D660" s="34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43"/>
      <c r="S660" s="35"/>
      <c r="T660" s="43"/>
      <c r="U660" s="35"/>
      <c r="V660" s="39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</row>
    <row r="661" spans="1:35" ht="15.75" customHeight="1" x14ac:dyDescent="0.35">
      <c r="A661" s="34"/>
      <c r="B661" s="34"/>
      <c r="C661" s="34"/>
      <c r="D661" s="34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43"/>
      <c r="S661" s="35"/>
      <c r="T661" s="43"/>
      <c r="U661" s="35"/>
      <c r="V661" s="39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</row>
    <row r="662" spans="1:35" ht="15.75" customHeight="1" x14ac:dyDescent="0.35">
      <c r="A662" s="34"/>
      <c r="B662" s="34"/>
      <c r="C662" s="34"/>
      <c r="D662" s="34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43"/>
      <c r="S662" s="35"/>
      <c r="T662" s="43"/>
      <c r="U662" s="35"/>
      <c r="V662" s="39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</row>
    <row r="663" spans="1:35" ht="15.75" customHeight="1" x14ac:dyDescent="0.35">
      <c r="A663" s="34"/>
      <c r="B663" s="34"/>
      <c r="C663" s="34"/>
      <c r="D663" s="34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43"/>
      <c r="S663" s="35"/>
      <c r="T663" s="43"/>
      <c r="U663" s="35"/>
      <c r="V663" s="39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</row>
    <row r="664" spans="1:35" ht="15.75" customHeight="1" x14ac:dyDescent="0.35">
      <c r="A664" s="34"/>
      <c r="B664" s="34"/>
      <c r="C664" s="34"/>
      <c r="D664" s="34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43"/>
      <c r="S664" s="35"/>
      <c r="T664" s="43"/>
      <c r="U664" s="35"/>
      <c r="V664" s="39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</row>
    <row r="665" spans="1:35" ht="15.75" customHeight="1" x14ac:dyDescent="0.35">
      <c r="A665" s="34"/>
      <c r="B665" s="34"/>
      <c r="C665" s="34"/>
      <c r="D665" s="34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43"/>
      <c r="S665" s="35"/>
      <c r="T665" s="43"/>
      <c r="U665" s="35"/>
      <c r="V665" s="39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</row>
    <row r="666" spans="1:35" ht="15.75" customHeight="1" x14ac:dyDescent="0.35">
      <c r="A666" s="34"/>
      <c r="B666" s="34"/>
      <c r="C666" s="34"/>
      <c r="D666" s="34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43"/>
      <c r="S666" s="35"/>
      <c r="T666" s="43"/>
      <c r="U666" s="35"/>
      <c r="V666" s="39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</row>
    <row r="667" spans="1:35" ht="15.75" customHeight="1" x14ac:dyDescent="0.35">
      <c r="A667" s="34"/>
      <c r="B667" s="34"/>
      <c r="C667" s="34"/>
      <c r="D667" s="34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43"/>
      <c r="S667" s="35"/>
      <c r="T667" s="43"/>
      <c r="U667" s="35"/>
      <c r="V667" s="39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</row>
    <row r="668" spans="1:35" ht="15.75" customHeight="1" x14ac:dyDescent="0.35">
      <c r="A668" s="34"/>
      <c r="B668" s="34"/>
      <c r="C668" s="34"/>
      <c r="D668" s="34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43"/>
      <c r="S668" s="41"/>
      <c r="T668" s="41"/>
      <c r="U668" s="41"/>
      <c r="V668" s="39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</row>
    <row r="669" spans="1:35" ht="15.75" customHeight="1" x14ac:dyDescent="0.35">
      <c r="A669" s="34"/>
      <c r="B669" s="34"/>
      <c r="C669" s="34"/>
      <c r="D669" s="34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43"/>
      <c r="S669" s="35"/>
      <c r="T669" s="43"/>
      <c r="U669" s="35"/>
      <c r="V669" s="39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</row>
    <row r="670" spans="1:35" ht="15.75" customHeight="1" x14ac:dyDescent="0.35">
      <c r="A670" s="34"/>
      <c r="B670" s="34"/>
      <c r="C670" s="34"/>
      <c r="D670" s="34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43"/>
      <c r="S670" s="35"/>
      <c r="T670" s="43"/>
      <c r="U670" s="35"/>
      <c r="V670" s="39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</row>
    <row r="671" spans="1:35" ht="15.75" customHeight="1" x14ac:dyDescent="0.35">
      <c r="A671" s="34"/>
      <c r="B671" s="34"/>
      <c r="C671" s="34"/>
      <c r="D671" s="34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43"/>
      <c r="S671" s="35"/>
      <c r="T671" s="43"/>
      <c r="U671" s="35"/>
      <c r="V671" s="39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</row>
    <row r="672" spans="1:35" ht="15.75" customHeight="1" x14ac:dyDescent="0.35">
      <c r="A672" s="34"/>
      <c r="B672" s="34"/>
      <c r="C672" s="34"/>
      <c r="D672" s="34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43"/>
      <c r="S672" s="35"/>
      <c r="T672" s="43"/>
      <c r="U672" s="35"/>
      <c r="V672" s="39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</row>
    <row r="673" spans="1:35" ht="15.75" customHeight="1" x14ac:dyDescent="0.35">
      <c r="A673" s="34"/>
      <c r="B673" s="34"/>
      <c r="C673" s="34"/>
      <c r="D673" s="34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43"/>
      <c r="S673" s="35"/>
      <c r="T673" s="43"/>
      <c r="U673" s="35"/>
      <c r="V673" s="39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</row>
    <row r="674" spans="1:35" ht="15.75" customHeight="1" x14ac:dyDescent="0.35">
      <c r="A674" s="34"/>
      <c r="B674" s="34"/>
      <c r="C674" s="34"/>
      <c r="D674" s="34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43"/>
      <c r="S674" s="35"/>
      <c r="T674" s="43"/>
      <c r="U674" s="35"/>
      <c r="V674" s="39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</row>
    <row r="675" spans="1:35" ht="15.75" customHeight="1" x14ac:dyDescent="0.35">
      <c r="A675" s="34"/>
      <c r="B675" s="34"/>
      <c r="C675" s="34"/>
      <c r="D675" s="34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43"/>
      <c r="S675" s="35"/>
      <c r="T675" s="43"/>
      <c r="U675" s="35"/>
      <c r="V675" s="39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</row>
    <row r="676" spans="1:35" ht="15.75" customHeight="1" x14ac:dyDescent="0.35">
      <c r="A676" s="34"/>
      <c r="B676" s="34"/>
      <c r="C676" s="34"/>
      <c r="D676" s="34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43"/>
      <c r="S676" s="35"/>
      <c r="T676" s="43"/>
      <c r="U676" s="35"/>
      <c r="V676" s="39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</row>
    <row r="677" spans="1:35" ht="15.75" customHeight="1" x14ac:dyDescent="0.35">
      <c r="A677" s="34"/>
      <c r="B677" s="34"/>
      <c r="C677" s="34"/>
      <c r="D677" s="34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43"/>
      <c r="S677" s="35"/>
      <c r="T677" s="43"/>
      <c r="U677" s="35"/>
      <c r="V677" s="39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</row>
    <row r="678" spans="1:35" ht="15.75" customHeight="1" x14ac:dyDescent="0.35">
      <c r="A678" s="34"/>
      <c r="B678" s="34"/>
      <c r="C678" s="34"/>
      <c r="D678" s="34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43"/>
      <c r="S678" s="35"/>
      <c r="T678" s="43"/>
      <c r="U678" s="35"/>
      <c r="V678" s="39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</row>
    <row r="679" spans="1:35" ht="15.75" customHeight="1" x14ac:dyDescent="0.35">
      <c r="A679" s="34"/>
      <c r="B679" s="34"/>
      <c r="C679" s="34"/>
      <c r="D679" s="34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43"/>
      <c r="S679" s="35"/>
      <c r="T679" s="43"/>
      <c r="U679" s="35"/>
      <c r="V679" s="39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</row>
    <row r="680" spans="1:35" ht="15.75" customHeight="1" x14ac:dyDescent="0.35">
      <c r="A680" s="34"/>
      <c r="B680" s="34"/>
      <c r="C680" s="34"/>
      <c r="D680" s="34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43"/>
      <c r="S680" s="35"/>
      <c r="T680" s="43"/>
      <c r="U680" s="35"/>
      <c r="V680" s="39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</row>
    <row r="681" spans="1:35" ht="15.75" customHeight="1" x14ac:dyDescent="0.35">
      <c r="A681" s="34"/>
      <c r="B681" s="34"/>
      <c r="C681" s="34"/>
      <c r="D681" s="34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43"/>
      <c r="S681" s="35"/>
      <c r="T681" s="43"/>
      <c r="U681" s="35"/>
      <c r="V681" s="39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</row>
    <row r="682" spans="1:35" ht="15.75" customHeight="1" x14ac:dyDescent="0.35">
      <c r="A682" s="34"/>
      <c r="B682" s="34"/>
      <c r="C682" s="34"/>
      <c r="D682" s="34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43"/>
      <c r="S682" s="35"/>
      <c r="T682" s="43"/>
      <c r="U682" s="35"/>
      <c r="V682" s="39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</row>
    <row r="683" spans="1:35" ht="15.75" customHeight="1" x14ac:dyDescent="0.35">
      <c r="A683" s="34"/>
      <c r="B683" s="34"/>
      <c r="C683" s="34"/>
      <c r="D683" s="34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43"/>
      <c r="S683" s="35"/>
      <c r="T683" s="43"/>
      <c r="U683" s="35"/>
      <c r="V683" s="39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</row>
    <row r="684" spans="1:35" ht="15.75" customHeight="1" x14ac:dyDescent="0.35">
      <c r="A684" s="34"/>
      <c r="B684" s="34"/>
      <c r="C684" s="34"/>
      <c r="D684" s="34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43"/>
      <c r="S684" s="35"/>
      <c r="T684" s="43"/>
      <c r="U684" s="35"/>
      <c r="V684" s="39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</row>
    <row r="685" spans="1:35" ht="15.75" customHeight="1" x14ac:dyDescent="0.35">
      <c r="A685" s="34"/>
      <c r="B685" s="34"/>
      <c r="C685" s="34"/>
      <c r="D685" s="34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43"/>
      <c r="S685" s="35"/>
      <c r="T685" s="43"/>
      <c r="U685" s="35"/>
      <c r="V685" s="39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</row>
    <row r="686" spans="1:35" ht="15.75" customHeight="1" x14ac:dyDescent="0.35">
      <c r="A686" s="34"/>
      <c r="B686" s="34"/>
      <c r="C686" s="34"/>
      <c r="D686" s="34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43"/>
      <c r="S686" s="35"/>
      <c r="T686" s="43"/>
      <c r="U686" s="35"/>
      <c r="V686" s="39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</row>
    <row r="687" spans="1:35" ht="15.75" customHeight="1" x14ac:dyDescent="0.35">
      <c r="A687" s="34"/>
      <c r="B687" s="34"/>
      <c r="C687" s="34"/>
      <c r="D687" s="34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43"/>
      <c r="S687" s="35"/>
      <c r="T687" s="43"/>
      <c r="U687" s="35"/>
      <c r="V687" s="39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</row>
    <row r="688" spans="1:35" ht="15.75" customHeight="1" x14ac:dyDescent="0.35">
      <c r="A688" s="34"/>
      <c r="B688" s="34"/>
      <c r="C688" s="34"/>
      <c r="D688" s="34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43"/>
      <c r="S688" s="41"/>
      <c r="T688" s="41"/>
      <c r="U688" s="41"/>
      <c r="V688" s="39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</row>
    <row r="689" spans="1:35" ht="15.75" customHeight="1" x14ac:dyDescent="0.35">
      <c r="A689" s="34"/>
      <c r="B689" s="34"/>
      <c r="C689" s="34"/>
      <c r="D689" s="34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43"/>
      <c r="S689" s="35"/>
      <c r="T689" s="43"/>
      <c r="U689" s="35"/>
      <c r="V689" s="39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</row>
    <row r="690" spans="1:35" ht="15.75" customHeight="1" x14ac:dyDescent="0.35">
      <c r="A690" s="34"/>
      <c r="B690" s="34"/>
      <c r="C690" s="34"/>
      <c r="D690" s="34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43"/>
      <c r="S690" s="35"/>
      <c r="T690" s="43"/>
      <c r="U690" s="35"/>
      <c r="V690" s="39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</row>
    <row r="691" spans="1:35" ht="15.75" customHeight="1" x14ac:dyDescent="0.35">
      <c r="A691" s="34"/>
      <c r="B691" s="34"/>
      <c r="C691" s="34"/>
      <c r="D691" s="34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43"/>
      <c r="S691" s="35"/>
      <c r="T691" s="43"/>
      <c r="U691" s="35"/>
      <c r="V691" s="39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</row>
    <row r="692" spans="1:35" ht="15.75" customHeight="1" x14ac:dyDescent="0.35">
      <c r="A692" s="34"/>
      <c r="B692" s="34"/>
      <c r="C692" s="34"/>
      <c r="D692" s="34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43"/>
      <c r="S692" s="35"/>
      <c r="T692" s="43"/>
      <c r="U692" s="35"/>
      <c r="V692" s="39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</row>
    <row r="693" spans="1:35" ht="15.75" customHeight="1" x14ac:dyDescent="0.35">
      <c r="A693" s="34"/>
      <c r="B693" s="34"/>
      <c r="C693" s="34"/>
      <c r="D693" s="34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43"/>
      <c r="S693" s="35"/>
      <c r="T693" s="43"/>
      <c r="U693" s="35"/>
      <c r="V693" s="39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</row>
    <row r="694" spans="1:35" ht="15.75" customHeight="1" x14ac:dyDescent="0.35">
      <c r="A694" s="34"/>
      <c r="B694" s="34"/>
      <c r="C694" s="34"/>
      <c r="D694" s="34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43"/>
      <c r="S694" s="35"/>
      <c r="T694" s="43"/>
      <c r="U694" s="35"/>
      <c r="V694" s="39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</row>
    <row r="695" spans="1:35" ht="15.75" customHeight="1" x14ac:dyDescent="0.35">
      <c r="A695" s="34"/>
      <c r="B695" s="34"/>
      <c r="C695" s="34"/>
      <c r="D695" s="34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43"/>
      <c r="S695" s="35"/>
      <c r="T695" s="43"/>
      <c r="U695" s="35"/>
      <c r="V695" s="39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</row>
    <row r="696" spans="1:35" ht="15.75" customHeight="1" x14ac:dyDescent="0.35">
      <c r="A696" s="34"/>
      <c r="B696" s="34"/>
      <c r="C696" s="34"/>
      <c r="D696" s="34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43"/>
      <c r="S696" s="35"/>
      <c r="T696" s="43"/>
      <c r="U696" s="35"/>
      <c r="V696" s="39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</row>
    <row r="697" spans="1:35" ht="15.75" customHeight="1" x14ac:dyDescent="0.35">
      <c r="A697" s="34"/>
      <c r="B697" s="34"/>
      <c r="C697" s="34"/>
      <c r="D697" s="34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43"/>
      <c r="S697" s="35"/>
      <c r="T697" s="43"/>
      <c r="U697" s="35"/>
      <c r="V697" s="39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</row>
    <row r="698" spans="1:35" ht="15.75" customHeight="1" x14ac:dyDescent="0.35">
      <c r="A698" s="34"/>
      <c r="B698" s="34"/>
      <c r="C698" s="34"/>
      <c r="D698" s="34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43"/>
      <c r="S698" s="35"/>
      <c r="T698" s="43"/>
      <c r="U698" s="35"/>
      <c r="V698" s="39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</row>
    <row r="699" spans="1:35" ht="15.75" customHeight="1" x14ac:dyDescent="0.35">
      <c r="A699" s="34"/>
      <c r="B699" s="34"/>
      <c r="C699" s="34"/>
      <c r="D699" s="34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43"/>
      <c r="S699" s="35"/>
      <c r="T699" s="43"/>
      <c r="U699" s="35"/>
      <c r="V699" s="39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</row>
    <row r="700" spans="1:35" ht="15.75" customHeight="1" x14ac:dyDescent="0.35">
      <c r="A700" s="34"/>
      <c r="B700" s="34"/>
      <c r="C700" s="34"/>
      <c r="D700" s="34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43"/>
      <c r="S700" s="35"/>
      <c r="T700" s="43"/>
      <c r="U700" s="35"/>
      <c r="V700" s="39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</row>
    <row r="701" spans="1:35" ht="15.75" customHeight="1" x14ac:dyDescent="0.35">
      <c r="A701" s="34"/>
      <c r="B701" s="34"/>
      <c r="C701" s="34"/>
      <c r="D701" s="34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43"/>
      <c r="S701" s="35"/>
      <c r="T701" s="43"/>
      <c r="U701" s="35"/>
      <c r="V701" s="39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</row>
    <row r="702" spans="1:35" ht="15.75" customHeight="1" x14ac:dyDescent="0.35">
      <c r="A702" s="34"/>
      <c r="B702" s="34"/>
      <c r="C702" s="34"/>
      <c r="D702" s="34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43"/>
      <c r="S702" s="35"/>
      <c r="T702" s="43"/>
      <c r="U702" s="35"/>
      <c r="V702" s="39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</row>
    <row r="703" spans="1:35" ht="15.75" customHeight="1" x14ac:dyDescent="0.35">
      <c r="A703" s="34"/>
      <c r="B703" s="34"/>
      <c r="C703" s="34"/>
      <c r="D703" s="34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43"/>
      <c r="S703" s="35"/>
      <c r="T703" s="43"/>
      <c r="U703" s="35"/>
      <c r="V703" s="39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</row>
    <row r="704" spans="1:35" ht="15.75" customHeight="1" x14ac:dyDescent="0.35">
      <c r="A704" s="34"/>
      <c r="B704" s="34"/>
      <c r="C704" s="34"/>
      <c r="D704" s="34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43"/>
      <c r="S704" s="35"/>
      <c r="T704" s="43"/>
      <c r="U704" s="35"/>
      <c r="V704" s="39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</row>
    <row r="705" spans="1:35" ht="15.75" customHeight="1" x14ac:dyDescent="0.35">
      <c r="A705" s="34"/>
      <c r="B705" s="34"/>
      <c r="C705" s="34"/>
      <c r="D705" s="34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43"/>
      <c r="S705" s="35"/>
      <c r="T705" s="43"/>
      <c r="U705" s="35"/>
      <c r="V705" s="39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</row>
    <row r="706" spans="1:35" ht="15.75" customHeight="1" x14ac:dyDescent="0.35">
      <c r="A706" s="34"/>
      <c r="B706" s="34"/>
      <c r="C706" s="34"/>
      <c r="D706" s="34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43"/>
      <c r="S706" s="35"/>
      <c r="T706" s="43"/>
      <c r="U706" s="35"/>
      <c r="V706" s="39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</row>
    <row r="707" spans="1:35" ht="15.75" customHeight="1" x14ac:dyDescent="0.35">
      <c r="A707" s="34"/>
      <c r="B707" s="34"/>
      <c r="C707" s="34"/>
      <c r="D707" s="34"/>
      <c r="S707" s="35"/>
      <c r="T707" s="43"/>
      <c r="U707" s="35"/>
      <c r="V707" s="39"/>
    </row>
    <row r="708" spans="1:35" ht="15.75" customHeight="1" x14ac:dyDescent="0.35">
      <c r="A708" s="34"/>
      <c r="B708" s="34"/>
      <c r="C708" s="34"/>
      <c r="D708" s="34"/>
      <c r="S708" s="41"/>
      <c r="T708" s="41"/>
      <c r="U708" s="41"/>
      <c r="V708" s="39"/>
    </row>
    <row r="709" spans="1:35" ht="15.75" customHeight="1" x14ac:dyDescent="0.35">
      <c r="A709" s="34"/>
      <c r="B709" s="34"/>
      <c r="C709" s="34"/>
      <c r="D709" s="34"/>
      <c r="S709" s="35"/>
      <c r="T709" s="43"/>
      <c r="U709" s="35"/>
      <c r="V709" s="39"/>
    </row>
    <row r="710" spans="1:35" ht="15.75" customHeight="1" x14ac:dyDescent="0.35">
      <c r="A710" s="34"/>
      <c r="B710" s="34"/>
      <c r="C710" s="34"/>
      <c r="D710" s="34"/>
      <c r="S710" s="35"/>
      <c r="T710" s="43"/>
      <c r="U710" s="35"/>
      <c r="V710" s="39"/>
    </row>
    <row r="711" spans="1:35" ht="15.75" customHeight="1" x14ac:dyDescent="0.35">
      <c r="A711" s="34"/>
      <c r="B711" s="34"/>
      <c r="C711" s="34"/>
      <c r="D711" s="34"/>
      <c r="S711" s="35"/>
      <c r="T711" s="43"/>
      <c r="U711" s="35"/>
      <c r="V711" s="39"/>
    </row>
    <row r="712" spans="1:35" ht="15.75" customHeight="1" x14ac:dyDescent="0.35">
      <c r="A712" s="34"/>
      <c r="B712" s="34"/>
      <c r="C712" s="34"/>
      <c r="D712" s="34"/>
      <c r="S712" s="35"/>
      <c r="T712" s="43"/>
      <c r="U712" s="35"/>
      <c r="V712" s="39"/>
    </row>
    <row r="713" spans="1:35" ht="15.75" customHeight="1" x14ac:dyDescent="0.35">
      <c r="A713" s="34"/>
      <c r="B713" s="34"/>
      <c r="C713" s="34"/>
      <c r="D713" s="34"/>
      <c r="S713" s="35"/>
      <c r="T713" s="43"/>
      <c r="U713" s="35"/>
      <c r="V713" s="39"/>
    </row>
    <row r="714" spans="1:35" ht="15.75" customHeight="1" x14ac:dyDescent="0.35">
      <c r="A714" s="34"/>
      <c r="B714" s="34"/>
      <c r="C714" s="34"/>
      <c r="D714" s="34"/>
      <c r="S714" s="35"/>
      <c r="T714" s="43"/>
      <c r="U714" s="35"/>
      <c r="V714" s="39"/>
    </row>
    <row r="715" spans="1:35" ht="15.75" customHeight="1" x14ac:dyDescent="0.35">
      <c r="A715" s="34"/>
      <c r="B715" s="34"/>
      <c r="C715" s="34"/>
      <c r="D715" s="34"/>
      <c r="S715" s="35"/>
      <c r="T715" s="43"/>
      <c r="U715" s="35"/>
      <c r="V715" s="39"/>
    </row>
    <row r="716" spans="1:35" ht="15.75" customHeight="1" x14ac:dyDescent="0.35">
      <c r="A716" s="34"/>
      <c r="B716" s="34"/>
      <c r="C716" s="34"/>
      <c r="D716" s="34"/>
      <c r="S716" s="35"/>
      <c r="T716" s="43"/>
      <c r="U716" s="35"/>
      <c r="V716" s="39"/>
    </row>
    <row r="717" spans="1:35" ht="15.75" customHeight="1" x14ac:dyDescent="0.35">
      <c r="A717" s="34"/>
      <c r="B717" s="34"/>
      <c r="C717" s="34"/>
      <c r="D717" s="34"/>
      <c r="S717" s="35"/>
      <c r="T717" s="43"/>
      <c r="U717" s="35"/>
      <c r="V717" s="39"/>
    </row>
    <row r="718" spans="1:35" ht="15.75" customHeight="1" x14ac:dyDescent="0.35">
      <c r="A718" s="34"/>
      <c r="B718" s="34"/>
      <c r="C718" s="34"/>
      <c r="D718" s="34"/>
      <c r="S718" s="35"/>
      <c r="T718" s="43"/>
      <c r="U718" s="35"/>
      <c r="V718" s="39"/>
    </row>
    <row r="719" spans="1:35" ht="15.75" customHeight="1" x14ac:dyDescent="0.35">
      <c r="A719" s="34"/>
      <c r="B719" s="34"/>
      <c r="C719" s="34"/>
      <c r="D719" s="34"/>
      <c r="S719" s="35"/>
      <c r="T719" s="43"/>
      <c r="U719" s="35"/>
      <c r="V719" s="39"/>
    </row>
    <row r="720" spans="1:35" ht="15.75" customHeight="1" x14ac:dyDescent="0.35">
      <c r="A720" s="34"/>
      <c r="B720" s="34"/>
      <c r="C720" s="34"/>
      <c r="D720" s="34"/>
      <c r="S720" s="35"/>
      <c r="T720" s="43"/>
      <c r="U720" s="35"/>
      <c r="V720" s="39"/>
    </row>
    <row r="721" spans="1:22" ht="15.75" customHeight="1" x14ac:dyDescent="0.35">
      <c r="A721" s="34"/>
      <c r="B721" s="34"/>
      <c r="C721" s="34"/>
      <c r="D721" s="34"/>
      <c r="S721" s="35"/>
      <c r="T721" s="43"/>
      <c r="U721" s="35"/>
      <c r="V721" s="39"/>
    </row>
    <row r="722" spans="1:22" ht="15.75" customHeight="1" x14ac:dyDescent="0.35">
      <c r="A722" s="34"/>
      <c r="B722" s="34"/>
      <c r="C722" s="34"/>
      <c r="D722" s="34"/>
      <c r="S722" s="35"/>
      <c r="T722" s="43"/>
      <c r="U722" s="35"/>
      <c r="V722" s="39"/>
    </row>
    <row r="723" spans="1:22" ht="15.75" customHeight="1" x14ac:dyDescent="0.35">
      <c r="A723" s="34"/>
      <c r="B723" s="34"/>
      <c r="C723" s="34"/>
      <c r="D723" s="34"/>
      <c r="S723" s="35"/>
      <c r="T723" s="43"/>
      <c r="U723" s="35"/>
      <c r="V723" s="39"/>
    </row>
    <row r="724" spans="1:22" ht="15.75" customHeight="1" x14ac:dyDescent="0.35">
      <c r="A724" s="34"/>
      <c r="B724" s="34"/>
      <c r="C724" s="34"/>
      <c r="D724" s="34"/>
      <c r="S724" s="35"/>
      <c r="T724" s="43"/>
      <c r="U724" s="35"/>
      <c r="V724" s="39"/>
    </row>
    <row r="725" spans="1:22" ht="15.75" customHeight="1" x14ac:dyDescent="0.35">
      <c r="A725" s="34"/>
      <c r="B725" s="34"/>
      <c r="C725" s="34"/>
      <c r="D725" s="34"/>
      <c r="S725" s="35"/>
      <c r="T725" s="43"/>
      <c r="U725" s="35"/>
      <c r="V725" s="39"/>
    </row>
    <row r="726" spans="1:22" ht="15.75" customHeight="1" x14ac:dyDescent="0.35">
      <c r="A726" s="34"/>
      <c r="B726" s="34"/>
      <c r="C726" s="34"/>
      <c r="D726" s="34"/>
      <c r="S726" s="35"/>
      <c r="T726" s="43"/>
      <c r="U726" s="35"/>
      <c r="V726" s="39"/>
    </row>
    <row r="727" spans="1:22" ht="15.75" customHeight="1" x14ac:dyDescent="0.35">
      <c r="A727" s="34"/>
      <c r="B727" s="34"/>
      <c r="C727" s="34"/>
      <c r="D727" s="34"/>
      <c r="S727" s="35"/>
      <c r="T727" s="43"/>
      <c r="U727" s="35"/>
      <c r="V727" s="39"/>
    </row>
    <row r="728" spans="1:22" ht="15.75" customHeight="1" x14ac:dyDescent="0.35">
      <c r="A728" s="34"/>
      <c r="B728" s="34"/>
      <c r="C728" s="34"/>
      <c r="D728" s="34"/>
      <c r="S728" s="41"/>
      <c r="T728" s="41"/>
      <c r="U728" s="41"/>
      <c r="V728" s="39"/>
    </row>
    <row r="729" spans="1:22" ht="15.75" customHeight="1" x14ac:dyDescent="0.35">
      <c r="A729" s="34"/>
      <c r="B729" s="34"/>
      <c r="C729" s="34"/>
      <c r="D729" s="34"/>
      <c r="S729" s="35"/>
      <c r="T729" s="43"/>
      <c r="U729" s="35"/>
      <c r="V729" s="39"/>
    </row>
    <row r="730" spans="1:22" ht="15.75" customHeight="1" x14ac:dyDescent="0.35">
      <c r="A730" s="34"/>
      <c r="B730" s="34"/>
      <c r="C730" s="34"/>
      <c r="D730" s="34"/>
      <c r="S730" s="35"/>
      <c r="T730" s="43"/>
      <c r="U730" s="35"/>
      <c r="V730" s="39"/>
    </row>
    <row r="731" spans="1:22" ht="15.75" customHeight="1" x14ac:dyDescent="0.35">
      <c r="A731" s="34"/>
      <c r="B731" s="34"/>
      <c r="C731" s="34"/>
      <c r="D731" s="34"/>
      <c r="S731" s="35"/>
      <c r="T731" s="43"/>
      <c r="U731" s="35"/>
      <c r="V731" s="39"/>
    </row>
    <row r="732" spans="1:22" ht="15.75" customHeight="1" x14ac:dyDescent="0.35">
      <c r="A732" s="34"/>
      <c r="B732" s="34"/>
      <c r="C732" s="34"/>
      <c r="D732" s="34"/>
      <c r="S732" s="35"/>
      <c r="T732" s="43"/>
      <c r="U732" s="35"/>
      <c r="V732" s="39"/>
    </row>
    <row r="733" spans="1:22" ht="15.75" customHeight="1" x14ac:dyDescent="0.35">
      <c r="A733" s="34"/>
      <c r="B733" s="34"/>
      <c r="C733" s="34"/>
      <c r="D733" s="34"/>
      <c r="S733" s="35"/>
      <c r="T733" s="43"/>
      <c r="U733" s="35"/>
      <c r="V733" s="39"/>
    </row>
    <row r="734" spans="1:22" ht="15.75" customHeight="1" x14ac:dyDescent="0.35">
      <c r="A734" s="34"/>
      <c r="B734" s="34"/>
      <c r="C734" s="34"/>
      <c r="D734" s="34"/>
      <c r="S734" s="35"/>
      <c r="T734" s="43"/>
      <c r="U734" s="35"/>
      <c r="V734" s="39"/>
    </row>
    <row r="735" spans="1:22" ht="15.75" customHeight="1" x14ac:dyDescent="0.35">
      <c r="A735" s="34"/>
      <c r="B735" s="34"/>
      <c r="C735" s="34"/>
      <c r="D735" s="34"/>
      <c r="S735" s="35"/>
      <c r="T735" s="43"/>
      <c r="U735" s="35"/>
      <c r="V735" s="39"/>
    </row>
    <row r="736" spans="1:22" ht="15.75" customHeight="1" x14ac:dyDescent="0.35">
      <c r="A736" s="34"/>
      <c r="B736" s="34"/>
      <c r="C736" s="34"/>
      <c r="D736" s="34"/>
      <c r="S736" s="35"/>
      <c r="T736" s="43"/>
      <c r="U736" s="35"/>
      <c r="V736" s="39"/>
    </row>
    <row r="737" spans="1:22" ht="15.75" customHeight="1" x14ac:dyDescent="0.35">
      <c r="A737" s="34"/>
      <c r="B737" s="34"/>
      <c r="C737" s="34"/>
      <c r="D737" s="34"/>
      <c r="S737" s="35"/>
      <c r="T737" s="43"/>
      <c r="U737" s="35"/>
      <c r="V737" s="39"/>
    </row>
    <row r="738" spans="1:22" ht="15.75" customHeight="1" x14ac:dyDescent="0.35">
      <c r="A738" s="34"/>
      <c r="B738" s="34"/>
      <c r="C738" s="34"/>
      <c r="D738" s="34"/>
      <c r="S738" s="35"/>
      <c r="T738" s="43"/>
      <c r="U738" s="35"/>
      <c r="V738" s="39"/>
    </row>
    <row r="739" spans="1:22" ht="15.75" customHeight="1" x14ac:dyDescent="0.35">
      <c r="A739" s="34"/>
      <c r="B739" s="34"/>
      <c r="C739" s="34"/>
      <c r="D739" s="34"/>
      <c r="S739" s="35"/>
      <c r="T739" s="43"/>
      <c r="U739" s="35"/>
      <c r="V739" s="39"/>
    </row>
    <row r="740" spans="1:22" ht="15.75" customHeight="1" x14ac:dyDescent="0.35">
      <c r="A740" s="34"/>
      <c r="B740" s="34"/>
      <c r="C740" s="34"/>
      <c r="D740" s="34"/>
      <c r="S740" s="35"/>
      <c r="T740" s="43"/>
      <c r="U740" s="35"/>
      <c r="V740" s="39"/>
    </row>
    <row r="741" spans="1:22" ht="15.75" customHeight="1" x14ac:dyDescent="0.35">
      <c r="A741" s="34"/>
      <c r="B741" s="34"/>
      <c r="C741" s="34"/>
      <c r="D741" s="34"/>
      <c r="S741" s="35"/>
      <c r="T741" s="43"/>
      <c r="U741" s="35"/>
      <c r="V741" s="39"/>
    </row>
    <row r="742" spans="1:22" ht="15.75" customHeight="1" x14ac:dyDescent="0.35">
      <c r="A742" s="34"/>
      <c r="B742" s="34"/>
      <c r="C742" s="34"/>
      <c r="D742" s="34"/>
      <c r="S742" s="35"/>
      <c r="T742" s="43"/>
      <c r="U742" s="35"/>
      <c r="V742" s="39"/>
    </row>
    <row r="743" spans="1:22" ht="15.75" customHeight="1" x14ac:dyDescent="0.35">
      <c r="A743" s="34"/>
      <c r="B743" s="34"/>
      <c r="C743" s="34"/>
      <c r="D743" s="34"/>
      <c r="S743" s="35"/>
      <c r="T743" s="43"/>
      <c r="U743" s="35"/>
      <c r="V743" s="39"/>
    </row>
    <row r="744" spans="1:22" ht="15.75" customHeight="1" x14ac:dyDescent="0.35">
      <c r="A744" s="34"/>
      <c r="B744" s="34"/>
      <c r="C744" s="34"/>
      <c r="D744" s="34"/>
      <c r="S744" s="35"/>
      <c r="T744" s="43"/>
      <c r="U744" s="35"/>
      <c r="V744" s="39"/>
    </row>
    <row r="745" spans="1:22" ht="15.75" customHeight="1" x14ac:dyDescent="0.35">
      <c r="A745" s="34"/>
      <c r="B745" s="34"/>
      <c r="C745" s="34"/>
      <c r="D745" s="34"/>
      <c r="S745" s="35"/>
      <c r="T745" s="43"/>
      <c r="U745" s="35"/>
      <c r="V745" s="39"/>
    </row>
    <row r="746" spans="1:22" ht="15.75" customHeight="1" x14ac:dyDescent="0.35">
      <c r="A746" s="34"/>
      <c r="B746" s="34"/>
      <c r="C746" s="34"/>
      <c r="D746" s="34"/>
      <c r="S746" s="35"/>
      <c r="T746" s="43"/>
      <c r="U746" s="35"/>
      <c r="V746" s="39"/>
    </row>
    <row r="747" spans="1:22" ht="15.75" customHeight="1" x14ac:dyDescent="0.35">
      <c r="A747" s="34"/>
      <c r="B747" s="34"/>
      <c r="C747" s="34"/>
      <c r="D747" s="34"/>
      <c r="S747" s="35"/>
      <c r="T747" s="43"/>
      <c r="U747" s="35"/>
      <c r="V747" s="39"/>
    </row>
    <row r="748" spans="1:22" ht="15.75" customHeight="1" x14ac:dyDescent="0.35">
      <c r="A748" s="34"/>
      <c r="B748" s="34"/>
      <c r="C748" s="34"/>
      <c r="D748" s="34"/>
      <c r="S748" s="41"/>
      <c r="T748" s="41"/>
      <c r="U748" s="41"/>
      <c r="V748" s="39"/>
    </row>
    <row r="749" spans="1:22" ht="15.75" customHeight="1" x14ac:dyDescent="0.35">
      <c r="A749" s="34"/>
      <c r="B749" s="34"/>
      <c r="C749" s="34"/>
      <c r="D749" s="34"/>
      <c r="S749" s="35"/>
      <c r="T749" s="43"/>
      <c r="U749" s="35"/>
      <c r="V749" s="39"/>
    </row>
    <row r="750" spans="1:22" ht="15.75" customHeight="1" x14ac:dyDescent="0.35">
      <c r="A750" s="34"/>
      <c r="B750" s="34"/>
      <c r="C750" s="34"/>
      <c r="D750" s="34"/>
      <c r="S750" s="35"/>
      <c r="T750" s="43"/>
      <c r="U750" s="35"/>
      <c r="V750" s="39"/>
    </row>
    <row r="751" spans="1:22" ht="15.75" customHeight="1" x14ac:dyDescent="0.35">
      <c r="A751" s="34"/>
      <c r="B751" s="34"/>
      <c r="C751" s="34"/>
      <c r="D751" s="34"/>
      <c r="S751" s="35"/>
      <c r="T751" s="43"/>
      <c r="U751" s="35"/>
      <c r="V751" s="39"/>
    </row>
    <row r="752" spans="1:22" ht="15.75" customHeight="1" x14ac:dyDescent="0.35">
      <c r="A752" s="34"/>
      <c r="B752" s="34"/>
      <c r="C752" s="34"/>
      <c r="D752" s="34"/>
      <c r="S752" s="35"/>
      <c r="T752" s="43"/>
      <c r="U752" s="35"/>
      <c r="V752" s="39"/>
    </row>
    <row r="753" spans="1:22" ht="15.75" customHeight="1" x14ac:dyDescent="0.35">
      <c r="A753" s="34"/>
      <c r="B753" s="34"/>
      <c r="C753" s="34"/>
      <c r="D753" s="34"/>
      <c r="S753" s="35"/>
      <c r="T753" s="43"/>
      <c r="U753" s="35"/>
      <c r="V753" s="39"/>
    </row>
    <row r="754" spans="1:22" ht="15.75" customHeight="1" x14ac:dyDescent="0.35">
      <c r="A754" s="34"/>
      <c r="B754" s="34"/>
      <c r="C754" s="34"/>
      <c r="D754" s="34"/>
      <c r="S754" s="35"/>
      <c r="T754" s="43"/>
      <c r="U754" s="35"/>
      <c r="V754" s="39"/>
    </row>
    <row r="755" spans="1:22" ht="15.75" customHeight="1" x14ac:dyDescent="0.35">
      <c r="A755" s="34"/>
      <c r="B755" s="34"/>
      <c r="C755" s="34"/>
      <c r="D755" s="34"/>
      <c r="S755" s="35"/>
      <c r="T755" s="43"/>
      <c r="U755" s="35"/>
      <c r="V755" s="39"/>
    </row>
    <row r="756" spans="1:22" ht="15.75" customHeight="1" x14ac:dyDescent="0.35">
      <c r="A756" s="34"/>
      <c r="B756" s="34"/>
      <c r="C756" s="34"/>
      <c r="D756" s="34"/>
      <c r="S756" s="35"/>
      <c r="T756" s="43"/>
      <c r="U756" s="35"/>
      <c r="V756" s="39"/>
    </row>
    <row r="757" spans="1:22" ht="15.75" customHeight="1" x14ac:dyDescent="0.35">
      <c r="A757" s="34"/>
      <c r="B757" s="34"/>
      <c r="C757" s="34"/>
      <c r="D757" s="34"/>
      <c r="S757" s="35"/>
      <c r="T757" s="43"/>
      <c r="U757" s="35"/>
      <c r="V757" s="39"/>
    </row>
    <row r="758" spans="1:22" ht="15.75" customHeight="1" x14ac:dyDescent="0.35">
      <c r="A758" s="34"/>
      <c r="B758" s="34"/>
      <c r="C758" s="34"/>
      <c r="D758" s="34"/>
      <c r="S758" s="35"/>
      <c r="T758" s="43"/>
      <c r="U758" s="35"/>
      <c r="V758" s="39"/>
    </row>
    <row r="759" spans="1:22" ht="15.75" customHeight="1" x14ac:dyDescent="0.35">
      <c r="A759" s="34"/>
      <c r="B759" s="34"/>
      <c r="C759" s="34"/>
      <c r="D759" s="34"/>
      <c r="S759" s="35"/>
      <c r="T759" s="43"/>
      <c r="U759" s="35"/>
      <c r="V759" s="39"/>
    </row>
    <row r="760" spans="1:22" ht="15.75" customHeight="1" x14ac:dyDescent="0.35">
      <c r="A760" s="34"/>
      <c r="B760" s="34"/>
      <c r="C760" s="34"/>
      <c r="D760" s="34"/>
      <c r="S760" s="35"/>
      <c r="T760" s="43"/>
      <c r="U760" s="35"/>
      <c r="V760" s="39"/>
    </row>
    <row r="761" spans="1:22" ht="15.75" customHeight="1" x14ac:dyDescent="0.35">
      <c r="A761" s="34"/>
      <c r="B761" s="34"/>
      <c r="C761" s="34"/>
      <c r="D761" s="34"/>
      <c r="S761" s="35"/>
      <c r="T761" s="43"/>
      <c r="U761" s="35"/>
      <c r="V761" s="39"/>
    </row>
    <row r="762" spans="1:22" ht="15.75" customHeight="1" x14ac:dyDescent="0.35">
      <c r="A762" s="34"/>
      <c r="B762" s="34"/>
      <c r="C762" s="34"/>
      <c r="D762" s="34"/>
      <c r="S762" s="35"/>
      <c r="T762" s="43"/>
      <c r="U762" s="35"/>
      <c r="V762" s="39"/>
    </row>
    <row r="763" spans="1:22" ht="15.75" customHeight="1" x14ac:dyDescent="0.35">
      <c r="A763" s="34"/>
      <c r="B763" s="34"/>
      <c r="C763" s="34"/>
      <c r="D763" s="34"/>
      <c r="S763" s="35"/>
      <c r="T763" s="43"/>
      <c r="U763" s="35"/>
      <c r="V763" s="39"/>
    </row>
    <row r="764" spans="1:22" ht="15.75" customHeight="1" x14ac:dyDescent="0.35">
      <c r="A764" s="34"/>
      <c r="B764" s="34"/>
      <c r="C764" s="34"/>
      <c r="D764" s="34"/>
      <c r="S764" s="35"/>
      <c r="T764" s="43"/>
      <c r="U764" s="35"/>
      <c r="V764" s="39"/>
    </row>
    <row r="765" spans="1:22" ht="15.75" customHeight="1" x14ac:dyDescent="0.35">
      <c r="A765" s="34"/>
      <c r="B765" s="34"/>
      <c r="C765" s="34"/>
      <c r="D765" s="34"/>
      <c r="S765" s="35"/>
      <c r="T765" s="43"/>
      <c r="U765" s="35"/>
      <c r="V765" s="39"/>
    </row>
    <row r="766" spans="1:22" ht="15.75" customHeight="1" x14ac:dyDescent="0.35">
      <c r="A766" s="34"/>
      <c r="B766" s="34"/>
      <c r="C766" s="34"/>
      <c r="D766" s="34"/>
      <c r="S766" s="35"/>
      <c r="T766" s="43"/>
      <c r="U766" s="35"/>
      <c r="V766" s="39"/>
    </row>
    <row r="767" spans="1:22" ht="15.75" customHeight="1" x14ac:dyDescent="0.35">
      <c r="A767" s="34"/>
      <c r="B767" s="34"/>
      <c r="C767" s="34"/>
      <c r="D767" s="34"/>
      <c r="S767" s="35"/>
      <c r="T767" s="43"/>
      <c r="U767" s="35"/>
      <c r="V767" s="39"/>
    </row>
    <row r="768" spans="1:22" ht="15.75" customHeight="1" x14ac:dyDescent="0.35">
      <c r="A768" s="34"/>
      <c r="B768" s="34"/>
      <c r="C768" s="34"/>
      <c r="D768" s="34"/>
      <c r="S768" s="41"/>
      <c r="T768" s="41"/>
      <c r="U768" s="41"/>
      <c r="V768" s="39"/>
    </row>
    <row r="769" spans="1:22" ht="15.75" customHeight="1" x14ac:dyDescent="0.35">
      <c r="A769" s="34"/>
      <c r="B769" s="34"/>
      <c r="C769" s="34"/>
      <c r="D769" s="34"/>
      <c r="S769" s="35"/>
      <c r="T769" s="43"/>
      <c r="U769" s="35"/>
      <c r="V769" s="39"/>
    </row>
    <row r="770" spans="1:22" ht="15.75" customHeight="1" x14ac:dyDescent="0.35">
      <c r="A770" s="34"/>
      <c r="B770" s="34"/>
      <c r="C770" s="34"/>
      <c r="D770" s="34"/>
      <c r="S770" s="35"/>
      <c r="T770" s="43"/>
      <c r="U770" s="35"/>
      <c r="V770" s="39"/>
    </row>
    <row r="771" spans="1:22" ht="15.75" customHeight="1" x14ac:dyDescent="0.35">
      <c r="A771" s="34"/>
      <c r="B771" s="34"/>
      <c r="C771" s="34"/>
      <c r="D771" s="34"/>
      <c r="S771" s="35"/>
      <c r="T771" s="43"/>
      <c r="U771" s="35"/>
      <c r="V771" s="39"/>
    </row>
    <row r="772" spans="1:22" ht="15.75" customHeight="1" x14ac:dyDescent="0.35">
      <c r="A772" s="34"/>
      <c r="B772" s="34"/>
      <c r="C772" s="34"/>
      <c r="D772" s="34"/>
      <c r="S772" s="35"/>
      <c r="T772" s="43"/>
      <c r="U772" s="35"/>
      <c r="V772" s="39"/>
    </row>
    <row r="773" spans="1:22" ht="15.75" customHeight="1" x14ac:dyDescent="0.35">
      <c r="A773" s="34"/>
      <c r="B773" s="34"/>
      <c r="C773" s="34"/>
      <c r="D773" s="34"/>
      <c r="S773" s="35"/>
      <c r="T773" s="43"/>
      <c r="U773" s="35"/>
      <c r="V773" s="39"/>
    </row>
    <row r="774" spans="1:22" ht="15.75" customHeight="1" x14ac:dyDescent="0.35">
      <c r="A774" s="34"/>
      <c r="B774" s="34"/>
      <c r="C774" s="34"/>
      <c r="D774" s="34"/>
      <c r="S774" s="35"/>
      <c r="T774" s="43"/>
      <c r="U774" s="35"/>
      <c r="V774" s="39"/>
    </row>
    <row r="775" spans="1:22" ht="15.75" customHeight="1" x14ac:dyDescent="0.35">
      <c r="A775" s="34"/>
      <c r="B775" s="34"/>
      <c r="C775" s="34"/>
      <c r="D775" s="34"/>
      <c r="S775" s="35"/>
      <c r="T775" s="43"/>
      <c r="U775" s="35"/>
      <c r="V775" s="39"/>
    </row>
    <row r="776" spans="1:22" ht="15.75" customHeight="1" x14ac:dyDescent="0.35">
      <c r="A776" s="34"/>
      <c r="B776" s="34"/>
      <c r="C776" s="34"/>
      <c r="D776" s="34"/>
      <c r="S776" s="35"/>
      <c r="T776" s="43"/>
      <c r="U776" s="35"/>
      <c r="V776" s="39"/>
    </row>
    <row r="777" spans="1:22" ht="15.75" customHeight="1" x14ac:dyDescent="0.35">
      <c r="A777" s="34"/>
      <c r="B777" s="34"/>
      <c r="C777" s="34"/>
      <c r="D777" s="34"/>
      <c r="S777" s="35"/>
      <c r="T777" s="43"/>
      <c r="U777" s="35"/>
      <c r="V777" s="39"/>
    </row>
    <row r="778" spans="1:22" ht="15.75" customHeight="1" x14ac:dyDescent="0.35">
      <c r="A778" s="34"/>
      <c r="B778" s="34"/>
      <c r="C778" s="34"/>
      <c r="D778" s="34"/>
      <c r="S778" s="35"/>
      <c r="T778" s="43"/>
      <c r="U778" s="35"/>
      <c r="V778" s="39"/>
    </row>
    <row r="779" spans="1:22" ht="15.75" customHeight="1" x14ac:dyDescent="0.35">
      <c r="A779" s="34"/>
      <c r="B779" s="34"/>
      <c r="C779" s="34"/>
      <c r="D779" s="34"/>
      <c r="S779" s="35"/>
      <c r="T779" s="43"/>
      <c r="U779" s="35"/>
      <c r="V779" s="39"/>
    </row>
    <row r="780" spans="1:22" ht="15.75" customHeight="1" x14ac:dyDescent="0.35">
      <c r="A780" s="34"/>
      <c r="B780" s="34"/>
      <c r="C780" s="34"/>
      <c r="D780" s="34"/>
      <c r="S780" s="35"/>
      <c r="T780" s="43"/>
      <c r="U780" s="35"/>
      <c r="V780" s="39"/>
    </row>
    <row r="781" spans="1:22" ht="15.75" customHeight="1" x14ac:dyDescent="0.35">
      <c r="A781" s="34"/>
      <c r="B781" s="34"/>
      <c r="C781" s="34"/>
      <c r="D781" s="34"/>
      <c r="S781" s="35"/>
      <c r="T781" s="43"/>
      <c r="U781" s="35"/>
      <c r="V781" s="39"/>
    </row>
    <row r="782" spans="1:22" ht="15.75" customHeight="1" x14ac:dyDescent="0.35">
      <c r="A782" s="34"/>
      <c r="B782" s="34"/>
      <c r="C782" s="34"/>
      <c r="D782" s="34"/>
      <c r="S782" s="35"/>
      <c r="T782" s="43"/>
      <c r="U782" s="35"/>
      <c r="V782" s="39"/>
    </row>
    <row r="783" spans="1:22" ht="15.75" customHeight="1" x14ac:dyDescent="0.35">
      <c r="A783" s="34"/>
      <c r="B783" s="34"/>
      <c r="C783" s="34"/>
      <c r="D783" s="34"/>
      <c r="S783" s="35"/>
      <c r="T783" s="43"/>
      <c r="U783" s="35"/>
      <c r="V783" s="39"/>
    </row>
    <row r="784" spans="1:22" ht="15.75" customHeight="1" x14ac:dyDescent="0.35">
      <c r="A784" s="34"/>
      <c r="B784" s="34"/>
      <c r="C784" s="34"/>
      <c r="D784" s="34"/>
      <c r="S784" s="35"/>
      <c r="T784" s="43"/>
      <c r="U784" s="35"/>
      <c r="V784" s="39"/>
    </row>
    <row r="785" spans="1:22" ht="15.75" customHeight="1" x14ac:dyDescent="0.35">
      <c r="A785" s="34"/>
      <c r="B785" s="34"/>
      <c r="C785" s="34"/>
      <c r="D785" s="34"/>
      <c r="S785" s="35"/>
      <c r="T785" s="43"/>
      <c r="U785" s="35"/>
      <c r="V785" s="39"/>
    </row>
    <row r="786" spans="1:22" ht="15.75" customHeight="1" x14ac:dyDescent="0.35">
      <c r="A786" s="34"/>
      <c r="B786" s="34"/>
      <c r="C786" s="34"/>
      <c r="D786" s="34"/>
      <c r="S786" s="35"/>
      <c r="T786" s="43"/>
      <c r="U786" s="35"/>
      <c r="V786" s="39"/>
    </row>
    <row r="787" spans="1:22" ht="15.75" customHeight="1" x14ac:dyDescent="0.35">
      <c r="A787" s="34"/>
      <c r="B787" s="34"/>
      <c r="C787" s="34"/>
      <c r="D787" s="34"/>
      <c r="S787" s="35"/>
      <c r="T787" s="43"/>
      <c r="U787" s="35"/>
      <c r="V787" s="39"/>
    </row>
    <row r="788" spans="1:22" ht="15.75" customHeight="1" x14ac:dyDescent="0.35">
      <c r="A788" s="34"/>
      <c r="B788" s="34"/>
      <c r="C788" s="34"/>
      <c r="D788" s="34"/>
      <c r="S788" s="41"/>
      <c r="T788" s="41"/>
      <c r="U788" s="41"/>
      <c r="V788" s="39"/>
    </row>
    <row r="789" spans="1:22" ht="15.75" customHeight="1" x14ac:dyDescent="0.35">
      <c r="A789" s="34"/>
      <c r="B789" s="34"/>
      <c r="C789" s="34"/>
      <c r="D789" s="34"/>
      <c r="S789" s="35"/>
      <c r="T789" s="43"/>
      <c r="U789" s="35"/>
      <c r="V789" s="39"/>
    </row>
    <row r="790" spans="1:22" ht="15.75" customHeight="1" x14ac:dyDescent="0.35">
      <c r="A790" s="34"/>
      <c r="B790" s="34"/>
      <c r="C790" s="34"/>
      <c r="D790" s="34"/>
      <c r="S790" s="35"/>
      <c r="T790" s="43"/>
      <c r="U790" s="35"/>
      <c r="V790" s="39"/>
    </row>
    <row r="791" spans="1:22" ht="15.75" customHeight="1" x14ac:dyDescent="0.35">
      <c r="A791" s="34"/>
      <c r="B791" s="34"/>
      <c r="C791" s="34"/>
      <c r="D791" s="34"/>
      <c r="S791" s="35"/>
      <c r="T791" s="43"/>
      <c r="U791" s="35"/>
      <c r="V791" s="39"/>
    </row>
    <row r="792" spans="1:22" ht="15.75" customHeight="1" x14ac:dyDescent="0.35">
      <c r="A792" s="34"/>
      <c r="B792" s="34"/>
      <c r="C792" s="34"/>
      <c r="D792" s="34"/>
      <c r="S792" s="35"/>
      <c r="T792" s="43"/>
      <c r="U792" s="35"/>
      <c r="V792" s="39"/>
    </row>
    <row r="793" spans="1:22" ht="15.75" customHeight="1" x14ac:dyDescent="0.35">
      <c r="A793" s="34"/>
      <c r="B793" s="34"/>
      <c r="C793" s="34"/>
      <c r="D793" s="34"/>
      <c r="S793" s="35"/>
      <c r="T793" s="43"/>
      <c r="U793" s="35"/>
      <c r="V793" s="39"/>
    </row>
    <row r="794" spans="1:22" ht="15.75" customHeight="1" x14ac:dyDescent="0.35">
      <c r="A794" s="34"/>
      <c r="B794" s="34"/>
      <c r="C794" s="34"/>
      <c r="D794" s="34"/>
      <c r="S794" s="35"/>
      <c r="T794" s="43"/>
      <c r="U794" s="35"/>
      <c r="V794" s="39"/>
    </row>
    <row r="795" spans="1:22" ht="15.75" customHeight="1" x14ac:dyDescent="0.35">
      <c r="A795" s="34"/>
      <c r="B795" s="34"/>
      <c r="C795" s="34"/>
      <c r="D795" s="34"/>
      <c r="S795" s="35"/>
      <c r="T795" s="43"/>
      <c r="U795" s="35"/>
      <c r="V795" s="39"/>
    </row>
    <row r="796" spans="1:22" ht="15.75" customHeight="1" x14ac:dyDescent="0.35">
      <c r="A796" s="34"/>
      <c r="B796" s="34"/>
      <c r="C796" s="34"/>
      <c r="D796" s="34"/>
      <c r="S796" s="35"/>
      <c r="T796" s="43"/>
      <c r="U796" s="35"/>
      <c r="V796" s="39"/>
    </row>
    <row r="797" spans="1:22" ht="15.75" customHeight="1" x14ac:dyDescent="0.35">
      <c r="A797" s="34"/>
      <c r="B797" s="34"/>
      <c r="C797" s="34"/>
      <c r="D797" s="34"/>
      <c r="S797" s="35"/>
      <c r="T797" s="43"/>
      <c r="U797" s="35"/>
      <c r="V797" s="39"/>
    </row>
    <row r="798" spans="1:22" ht="15.75" customHeight="1" x14ac:dyDescent="0.35">
      <c r="A798" s="34"/>
      <c r="B798" s="34"/>
      <c r="C798" s="34"/>
      <c r="D798" s="34"/>
      <c r="S798" s="35"/>
      <c r="T798" s="43"/>
      <c r="U798" s="35"/>
      <c r="V798" s="39"/>
    </row>
    <row r="799" spans="1:22" ht="15.75" customHeight="1" x14ac:dyDescent="0.35">
      <c r="A799" s="34"/>
      <c r="B799" s="34"/>
      <c r="C799" s="34"/>
      <c r="D799" s="34"/>
      <c r="S799" s="35"/>
      <c r="T799" s="43"/>
      <c r="U799" s="35"/>
      <c r="V799" s="39"/>
    </row>
    <row r="800" spans="1:22" ht="15.75" customHeight="1" x14ac:dyDescent="0.35">
      <c r="A800" s="34"/>
      <c r="B800" s="34"/>
      <c r="C800" s="34"/>
      <c r="D800" s="34"/>
      <c r="S800" s="35"/>
      <c r="T800" s="43"/>
      <c r="U800" s="35"/>
      <c r="V800" s="39"/>
    </row>
    <row r="801" spans="1:22" ht="15.75" customHeight="1" x14ac:dyDescent="0.35">
      <c r="A801" s="34"/>
      <c r="B801" s="34"/>
      <c r="C801" s="34"/>
      <c r="D801" s="34"/>
      <c r="S801" s="35"/>
      <c r="T801" s="43"/>
      <c r="U801" s="35"/>
      <c r="V801" s="39"/>
    </row>
    <row r="802" spans="1:22" ht="15.75" customHeight="1" x14ac:dyDescent="0.35">
      <c r="A802" s="34"/>
      <c r="B802" s="34"/>
      <c r="C802" s="34"/>
      <c r="D802" s="34"/>
      <c r="S802" s="35"/>
      <c r="T802" s="43"/>
      <c r="U802" s="35"/>
      <c r="V802" s="39"/>
    </row>
    <row r="803" spans="1:22" ht="15.75" customHeight="1" x14ac:dyDescent="0.35">
      <c r="A803" s="34"/>
      <c r="B803" s="34"/>
      <c r="C803" s="34"/>
      <c r="D803" s="34"/>
      <c r="S803" s="35"/>
      <c r="T803" s="43"/>
      <c r="U803" s="35"/>
      <c r="V803" s="39"/>
    </row>
    <row r="804" spans="1:22" ht="15.75" customHeight="1" x14ac:dyDescent="0.35">
      <c r="A804" s="34"/>
      <c r="B804" s="34"/>
      <c r="C804" s="34"/>
      <c r="D804" s="34"/>
      <c r="S804" s="35"/>
      <c r="T804" s="43"/>
      <c r="U804" s="35"/>
      <c r="V804" s="39"/>
    </row>
    <row r="805" spans="1:22" ht="15.75" customHeight="1" x14ac:dyDescent="0.35">
      <c r="A805" s="34"/>
      <c r="B805" s="34"/>
      <c r="C805" s="34"/>
      <c r="D805" s="34"/>
      <c r="S805" s="35"/>
      <c r="T805" s="43"/>
      <c r="U805" s="35"/>
      <c r="V805" s="39"/>
    </row>
    <row r="806" spans="1:22" ht="15.75" customHeight="1" x14ac:dyDescent="0.35">
      <c r="A806" s="34"/>
      <c r="B806" s="34"/>
      <c r="C806" s="34"/>
      <c r="D806" s="34"/>
      <c r="S806" s="35"/>
      <c r="T806" s="43"/>
      <c r="U806" s="35"/>
      <c r="V806" s="39"/>
    </row>
    <row r="807" spans="1:22" ht="15.75" customHeight="1" x14ac:dyDescent="0.35">
      <c r="A807" s="34"/>
      <c r="B807" s="34"/>
      <c r="C807" s="34"/>
      <c r="D807" s="34"/>
      <c r="S807" s="35"/>
      <c r="T807" s="43"/>
      <c r="U807" s="35"/>
      <c r="V807" s="39"/>
    </row>
    <row r="808" spans="1:22" ht="15.75" customHeight="1" x14ac:dyDescent="0.35">
      <c r="A808" s="34"/>
      <c r="B808" s="34"/>
      <c r="C808" s="34"/>
      <c r="D808" s="34"/>
      <c r="S808" s="41"/>
      <c r="T808" s="41"/>
      <c r="U808" s="41"/>
      <c r="V808" s="39"/>
    </row>
    <row r="809" spans="1:22" ht="15.75" customHeight="1" x14ac:dyDescent="0.35">
      <c r="A809" s="34"/>
      <c r="B809" s="34"/>
      <c r="C809" s="34"/>
      <c r="D809" s="34"/>
      <c r="S809" s="35"/>
      <c r="T809" s="43"/>
      <c r="U809" s="35"/>
      <c r="V809" s="39"/>
    </row>
    <row r="810" spans="1:22" ht="15.75" customHeight="1" x14ac:dyDescent="0.35">
      <c r="A810" s="34"/>
      <c r="B810" s="34"/>
      <c r="C810" s="34"/>
      <c r="D810" s="34"/>
      <c r="S810" s="35"/>
      <c r="T810" s="43"/>
      <c r="U810" s="35"/>
      <c r="V810" s="39"/>
    </row>
    <row r="811" spans="1:22" ht="15.75" customHeight="1" x14ac:dyDescent="0.35">
      <c r="A811" s="34"/>
      <c r="B811" s="34"/>
      <c r="C811" s="34"/>
      <c r="D811" s="34"/>
      <c r="S811" s="35"/>
      <c r="T811" s="43"/>
      <c r="U811" s="35"/>
      <c r="V811" s="39"/>
    </row>
    <row r="812" spans="1:22" ht="15.75" customHeight="1" x14ac:dyDescent="0.35">
      <c r="A812" s="34"/>
      <c r="B812" s="34"/>
      <c r="C812" s="34"/>
      <c r="D812" s="34"/>
      <c r="S812" s="35"/>
      <c r="T812" s="43"/>
      <c r="U812" s="35"/>
      <c r="V812" s="39"/>
    </row>
    <row r="813" spans="1:22" ht="15.75" customHeight="1" x14ac:dyDescent="0.35">
      <c r="A813" s="34"/>
      <c r="B813" s="34"/>
      <c r="C813" s="34"/>
      <c r="D813" s="34"/>
      <c r="S813" s="35"/>
      <c r="T813" s="43"/>
      <c r="U813" s="35"/>
      <c r="V813" s="39"/>
    </row>
    <row r="814" spans="1:22" ht="15.75" customHeight="1" x14ac:dyDescent="0.35">
      <c r="A814" s="34"/>
      <c r="B814" s="34"/>
      <c r="C814" s="34"/>
      <c r="D814" s="34"/>
      <c r="S814" s="35"/>
      <c r="T814" s="43"/>
      <c r="U814" s="35"/>
      <c r="V814" s="39"/>
    </row>
    <row r="815" spans="1:22" ht="15.75" customHeight="1" x14ac:dyDescent="0.35">
      <c r="A815" s="34"/>
      <c r="B815" s="34"/>
      <c r="C815" s="34"/>
      <c r="D815" s="34"/>
      <c r="S815" s="35"/>
      <c r="T815" s="43"/>
      <c r="U815" s="35"/>
      <c r="V815" s="39"/>
    </row>
    <row r="816" spans="1:22" ht="15.75" customHeight="1" x14ac:dyDescent="0.35">
      <c r="A816" s="34"/>
      <c r="B816" s="34"/>
      <c r="C816" s="34"/>
      <c r="D816" s="34"/>
      <c r="S816" s="35"/>
      <c r="T816" s="43"/>
      <c r="U816" s="35"/>
      <c r="V816" s="39"/>
    </row>
    <row r="817" spans="1:22" ht="15.75" customHeight="1" x14ac:dyDescent="0.35">
      <c r="A817" s="34"/>
      <c r="B817" s="34"/>
      <c r="C817" s="34"/>
      <c r="D817" s="34"/>
      <c r="S817" s="35"/>
      <c r="T817" s="43"/>
      <c r="U817" s="35"/>
      <c r="V817" s="39"/>
    </row>
    <row r="818" spans="1:22" ht="15.75" customHeight="1" x14ac:dyDescent="0.35">
      <c r="A818" s="34"/>
      <c r="B818" s="34"/>
      <c r="C818" s="34"/>
      <c r="D818" s="34"/>
      <c r="S818" s="35"/>
      <c r="T818" s="43"/>
      <c r="U818" s="35"/>
      <c r="V818" s="39"/>
    </row>
    <row r="819" spans="1:22" ht="15.75" customHeight="1" x14ac:dyDescent="0.35">
      <c r="A819" s="34"/>
      <c r="B819" s="34"/>
      <c r="C819" s="34"/>
      <c r="D819" s="34"/>
      <c r="S819" s="35"/>
      <c r="T819" s="43"/>
      <c r="U819" s="35"/>
      <c r="V819" s="39"/>
    </row>
    <row r="820" spans="1:22" ht="15.75" customHeight="1" x14ac:dyDescent="0.35">
      <c r="A820" s="34"/>
      <c r="B820" s="34"/>
      <c r="C820" s="34"/>
      <c r="D820" s="34"/>
      <c r="S820" s="35"/>
      <c r="T820" s="43"/>
      <c r="U820" s="35"/>
      <c r="V820" s="39"/>
    </row>
    <row r="821" spans="1:22" ht="15.75" customHeight="1" x14ac:dyDescent="0.35">
      <c r="A821" s="34"/>
      <c r="B821" s="34"/>
      <c r="C821" s="34"/>
      <c r="D821" s="34"/>
      <c r="S821" s="35"/>
      <c r="T821" s="43"/>
      <c r="U821" s="35"/>
      <c r="V821" s="39"/>
    </row>
    <row r="822" spans="1:22" ht="15.75" customHeight="1" x14ac:dyDescent="0.35">
      <c r="A822" s="34"/>
      <c r="B822" s="34"/>
      <c r="C822" s="34"/>
      <c r="D822" s="34"/>
      <c r="S822" s="35"/>
      <c r="T822" s="43"/>
      <c r="U822" s="35"/>
      <c r="V822" s="39"/>
    </row>
    <row r="823" spans="1:22" ht="15.75" customHeight="1" x14ac:dyDescent="0.35">
      <c r="A823" s="34"/>
      <c r="B823" s="34"/>
      <c r="C823" s="34"/>
      <c r="D823" s="34"/>
      <c r="S823" s="35"/>
      <c r="T823" s="43"/>
      <c r="U823" s="35"/>
      <c r="V823" s="39"/>
    </row>
    <row r="824" spans="1:22" ht="15.75" customHeight="1" x14ac:dyDescent="0.35">
      <c r="A824" s="34"/>
      <c r="B824" s="34"/>
      <c r="C824" s="34"/>
      <c r="D824" s="34"/>
      <c r="S824" s="35"/>
      <c r="T824" s="43"/>
      <c r="U824" s="35"/>
      <c r="V824" s="39"/>
    </row>
    <row r="825" spans="1:22" ht="15.75" customHeight="1" x14ac:dyDescent="0.35">
      <c r="A825" s="34"/>
      <c r="B825" s="34"/>
      <c r="C825" s="34"/>
      <c r="D825" s="34"/>
      <c r="S825" s="35"/>
      <c r="T825" s="43"/>
      <c r="U825" s="35"/>
      <c r="V825" s="39"/>
    </row>
    <row r="826" spans="1:22" ht="15.75" customHeight="1" x14ac:dyDescent="0.35">
      <c r="A826" s="34"/>
      <c r="B826" s="34"/>
      <c r="C826" s="34"/>
      <c r="D826" s="34"/>
      <c r="S826" s="35"/>
      <c r="T826" s="43"/>
      <c r="U826" s="35"/>
      <c r="V826" s="39"/>
    </row>
    <row r="827" spans="1:22" ht="15.75" customHeight="1" x14ac:dyDescent="0.35">
      <c r="A827" s="34"/>
      <c r="B827" s="34"/>
      <c r="C827" s="34"/>
      <c r="D827" s="34"/>
      <c r="S827" s="35"/>
      <c r="T827" s="43"/>
      <c r="U827" s="35"/>
      <c r="V827" s="39"/>
    </row>
    <row r="828" spans="1:22" ht="15.75" customHeight="1" x14ac:dyDescent="0.35">
      <c r="A828" s="34"/>
      <c r="B828" s="34"/>
      <c r="C828" s="34"/>
      <c r="D828" s="34"/>
      <c r="S828" s="41"/>
      <c r="T828" s="41"/>
      <c r="U828" s="41"/>
      <c r="V828" s="39"/>
    </row>
    <row r="829" spans="1:22" ht="15.75" customHeight="1" x14ac:dyDescent="0.35">
      <c r="A829" s="34"/>
      <c r="B829" s="34"/>
      <c r="C829" s="34"/>
      <c r="D829" s="34"/>
      <c r="S829" s="35"/>
      <c r="T829" s="43"/>
      <c r="U829" s="35"/>
      <c r="V829" s="39"/>
    </row>
    <row r="830" spans="1:22" ht="15.75" customHeight="1" x14ac:dyDescent="0.35">
      <c r="A830" s="34"/>
      <c r="B830" s="34"/>
      <c r="C830" s="34"/>
      <c r="D830" s="34"/>
      <c r="S830" s="35"/>
      <c r="T830" s="43"/>
      <c r="U830" s="35"/>
      <c r="V830" s="39"/>
    </row>
    <row r="831" spans="1:22" ht="15.75" customHeight="1" x14ac:dyDescent="0.35">
      <c r="A831" s="34"/>
      <c r="B831" s="34"/>
      <c r="C831" s="34"/>
      <c r="D831" s="34"/>
      <c r="S831" s="35"/>
      <c r="T831" s="43"/>
      <c r="U831" s="35"/>
      <c r="V831" s="39"/>
    </row>
    <row r="832" spans="1:22" ht="15.75" customHeight="1" x14ac:dyDescent="0.35">
      <c r="A832" s="34"/>
      <c r="B832" s="34"/>
      <c r="C832" s="34"/>
      <c r="D832" s="34"/>
      <c r="S832" s="35"/>
      <c r="T832" s="43"/>
      <c r="U832" s="35"/>
      <c r="V832" s="39"/>
    </row>
    <row r="833" spans="1:22" ht="15.75" customHeight="1" x14ac:dyDescent="0.35">
      <c r="A833" s="34"/>
      <c r="B833" s="34"/>
      <c r="C833" s="34"/>
      <c r="D833" s="34"/>
      <c r="S833" s="35"/>
      <c r="T833" s="43"/>
      <c r="U833" s="35"/>
      <c r="V833" s="39"/>
    </row>
    <row r="834" spans="1:22" ht="15.75" customHeight="1" x14ac:dyDescent="0.35">
      <c r="A834" s="34"/>
      <c r="B834" s="34"/>
      <c r="C834" s="34"/>
      <c r="D834" s="34"/>
      <c r="S834" s="35"/>
      <c r="T834" s="43"/>
      <c r="U834" s="35"/>
      <c r="V834" s="39"/>
    </row>
    <row r="835" spans="1:22" ht="15.75" customHeight="1" x14ac:dyDescent="0.35">
      <c r="A835" s="34"/>
      <c r="B835" s="34"/>
      <c r="C835" s="34"/>
      <c r="D835" s="34"/>
      <c r="S835" s="35"/>
      <c r="T835" s="43"/>
      <c r="U835" s="35"/>
      <c r="V835" s="39"/>
    </row>
    <row r="836" spans="1:22" ht="15.75" customHeight="1" x14ac:dyDescent="0.35">
      <c r="A836" s="34"/>
      <c r="B836" s="34"/>
      <c r="C836" s="34"/>
      <c r="D836" s="34"/>
      <c r="S836" s="35"/>
      <c r="T836" s="43"/>
      <c r="U836" s="35"/>
      <c r="V836" s="39"/>
    </row>
    <row r="837" spans="1:22" ht="15.75" customHeight="1" x14ac:dyDescent="0.35">
      <c r="A837" s="34"/>
      <c r="B837" s="34"/>
      <c r="C837" s="34"/>
      <c r="D837" s="34"/>
      <c r="S837" s="35"/>
      <c r="T837" s="43"/>
      <c r="U837" s="35"/>
      <c r="V837" s="39"/>
    </row>
    <row r="838" spans="1:22" ht="15.75" customHeight="1" x14ac:dyDescent="0.35">
      <c r="A838" s="34"/>
      <c r="B838" s="34"/>
      <c r="C838" s="34"/>
      <c r="D838" s="34"/>
      <c r="S838" s="35"/>
      <c r="T838" s="43"/>
      <c r="U838" s="35"/>
      <c r="V838" s="39"/>
    </row>
    <row r="839" spans="1:22" ht="15.75" customHeight="1" x14ac:dyDescent="0.35">
      <c r="A839" s="34"/>
      <c r="B839" s="34"/>
      <c r="C839" s="34"/>
      <c r="D839" s="34"/>
      <c r="S839" s="35"/>
      <c r="T839" s="43"/>
      <c r="U839" s="35"/>
      <c r="V839" s="39"/>
    </row>
    <row r="840" spans="1:22" ht="15.75" customHeight="1" x14ac:dyDescent="0.35">
      <c r="A840" s="34"/>
      <c r="B840" s="34"/>
      <c r="C840" s="34"/>
      <c r="D840" s="34"/>
      <c r="S840" s="35"/>
      <c r="T840" s="43"/>
      <c r="U840" s="35"/>
      <c r="V840" s="39"/>
    </row>
    <row r="841" spans="1:22" ht="15.75" customHeight="1" x14ac:dyDescent="0.35">
      <c r="A841" s="34"/>
      <c r="B841" s="34"/>
      <c r="C841" s="34"/>
      <c r="D841" s="34"/>
      <c r="S841" s="35"/>
      <c r="T841" s="43"/>
      <c r="U841" s="35"/>
      <c r="V841" s="39"/>
    </row>
    <row r="842" spans="1:22" ht="15.75" customHeight="1" x14ac:dyDescent="0.35">
      <c r="A842" s="34"/>
      <c r="B842" s="34"/>
      <c r="C842" s="34"/>
      <c r="D842" s="34"/>
      <c r="S842" s="35"/>
      <c r="T842" s="43"/>
      <c r="U842" s="35"/>
      <c r="V842" s="39"/>
    </row>
    <row r="843" spans="1:22" ht="15.75" customHeight="1" x14ac:dyDescent="0.35">
      <c r="A843" s="34"/>
      <c r="B843" s="34"/>
      <c r="C843" s="34"/>
      <c r="D843" s="34"/>
      <c r="S843" s="35"/>
      <c r="T843" s="43"/>
      <c r="U843" s="35"/>
      <c r="V843" s="39"/>
    </row>
    <row r="844" spans="1:22" ht="15.75" customHeight="1" x14ac:dyDescent="0.35">
      <c r="A844" s="34"/>
      <c r="B844" s="34"/>
      <c r="C844" s="34"/>
      <c r="D844" s="34"/>
      <c r="S844" s="35"/>
      <c r="T844" s="43"/>
      <c r="U844" s="35"/>
      <c r="V844" s="39"/>
    </row>
    <row r="845" spans="1:22" ht="15.75" customHeight="1" x14ac:dyDescent="0.35">
      <c r="A845" s="34"/>
      <c r="B845" s="34"/>
      <c r="C845" s="34"/>
      <c r="D845" s="34"/>
      <c r="S845" s="35"/>
      <c r="T845" s="43"/>
      <c r="U845" s="35"/>
      <c r="V845" s="39"/>
    </row>
    <row r="846" spans="1:22" ht="15.75" customHeight="1" x14ac:dyDescent="0.35">
      <c r="A846" s="34"/>
      <c r="B846" s="34"/>
      <c r="C846" s="34"/>
      <c r="D846" s="34"/>
      <c r="S846" s="35"/>
      <c r="T846" s="43"/>
      <c r="U846" s="35"/>
      <c r="V846" s="39"/>
    </row>
    <row r="847" spans="1:22" ht="15.75" customHeight="1" x14ac:dyDescent="0.35">
      <c r="A847" s="34"/>
      <c r="B847" s="34"/>
      <c r="C847" s="34"/>
      <c r="D847" s="34"/>
      <c r="S847" s="35"/>
      <c r="T847" s="43"/>
      <c r="U847" s="35"/>
      <c r="V847" s="39"/>
    </row>
    <row r="848" spans="1:22" ht="15.75" customHeight="1" x14ac:dyDescent="0.35">
      <c r="A848" s="34"/>
      <c r="B848" s="34"/>
      <c r="C848" s="34"/>
      <c r="D848" s="34"/>
      <c r="S848" s="41"/>
      <c r="T848" s="41"/>
      <c r="U848" s="41"/>
      <c r="V848" s="39"/>
    </row>
    <row r="849" spans="1:22" ht="15.75" customHeight="1" x14ac:dyDescent="0.35">
      <c r="A849" s="34"/>
      <c r="B849" s="34"/>
      <c r="C849" s="34"/>
      <c r="D849" s="34"/>
      <c r="S849" s="35"/>
      <c r="T849" s="43"/>
      <c r="U849" s="35"/>
      <c r="V849" s="39"/>
    </row>
    <row r="850" spans="1:22" ht="15.75" customHeight="1" x14ac:dyDescent="0.35">
      <c r="A850" s="34"/>
      <c r="B850" s="34"/>
      <c r="C850" s="34"/>
      <c r="D850" s="34"/>
      <c r="S850" s="35"/>
      <c r="T850" s="43"/>
      <c r="U850" s="35"/>
      <c r="V850" s="39"/>
    </row>
    <row r="851" spans="1:22" ht="15.75" customHeight="1" x14ac:dyDescent="0.35">
      <c r="A851" s="34"/>
      <c r="B851" s="34"/>
      <c r="C851" s="34"/>
      <c r="D851" s="34"/>
      <c r="S851" s="35"/>
      <c r="T851" s="43"/>
      <c r="U851" s="35"/>
      <c r="V851" s="39"/>
    </row>
    <row r="852" spans="1:22" ht="15.75" customHeight="1" x14ac:dyDescent="0.35">
      <c r="A852" s="34"/>
      <c r="B852" s="34"/>
      <c r="C852" s="34"/>
      <c r="D852" s="34"/>
      <c r="S852" s="35"/>
      <c r="T852" s="43"/>
      <c r="U852" s="35"/>
      <c r="V852" s="39"/>
    </row>
    <row r="853" spans="1:22" ht="15.75" customHeight="1" x14ac:dyDescent="0.35">
      <c r="A853" s="34"/>
      <c r="B853" s="34"/>
      <c r="C853" s="34"/>
      <c r="D853" s="34"/>
      <c r="S853" s="35"/>
      <c r="T853" s="43"/>
      <c r="U853" s="35"/>
      <c r="V853" s="39"/>
    </row>
    <row r="854" spans="1:22" ht="15.75" customHeight="1" x14ac:dyDescent="0.35">
      <c r="A854" s="34"/>
      <c r="B854" s="34"/>
      <c r="C854" s="34"/>
      <c r="D854" s="34"/>
      <c r="S854" s="35"/>
      <c r="T854" s="43"/>
      <c r="U854" s="35"/>
      <c r="V854" s="39"/>
    </row>
    <row r="855" spans="1:22" ht="15.75" customHeight="1" x14ac:dyDescent="0.35">
      <c r="A855" s="34"/>
      <c r="B855" s="34"/>
      <c r="C855" s="34"/>
      <c r="D855" s="34"/>
      <c r="S855" s="35"/>
      <c r="T855" s="43"/>
      <c r="U855" s="35"/>
      <c r="V855" s="39"/>
    </row>
    <row r="856" spans="1:22" ht="15.75" customHeight="1" x14ac:dyDescent="0.35">
      <c r="A856" s="34"/>
      <c r="B856" s="34"/>
      <c r="C856" s="34"/>
      <c r="D856" s="34"/>
      <c r="S856" s="35"/>
      <c r="T856" s="43"/>
      <c r="U856" s="35"/>
      <c r="V856" s="39"/>
    </row>
    <row r="857" spans="1:22" ht="15.75" customHeight="1" x14ac:dyDescent="0.35">
      <c r="A857" s="34"/>
      <c r="B857" s="34"/>
      <c r="C857" s="34"/>
      <c r="D857" s="34"/>
      <c r="S857" s="35"/>
      <c r="T857" s="43"/>
      <c r="U857" s="35"/>
      <c r="V857" s="39"/>
    </row>
    <row r="858" spans="1:22" ht="15.75" customHeight="1" x14ac:dyDescent="0.35">
      <c r="A858" s="34"/>
      <c r="B858" s="34"/>
      <c r="C858" s="34"/>
      <c r="D858" s="34"/>
      <c r="S858" s="35"/>
      <c r="T858" s="43"/>
      <c r="U858" s="35"/>
      <c r="V858" s="39"/>
    </row>
    <row r="859" spans="1:22" ht="15.75" customHeight="1" x14ac:dyDescent="0.35">
      <c r="A859" s="34"/>
      <c r="B859" s="34"/>
      <c r="C859" s="34"/>
      <c r="D859" s="34"/>
      <c r="S859" s="35"/>
      <c r="T859" s="43"/>
      <c r="U859" s="35"/>
      <c r="V859" s="39"/>
    </row>
    <row r="860" spans="1:22" ht="15.75" customHeight="1" x14ac:dyDescent="0.35">
      <c r="A860" s="34"/>
      <c r="B860" s="34"/>
      <c r="C860" s="34"/>
      <c r="D860" s="34"/>
      <c r="S860" s="35"/>
      <c r="T860" s="43"/>
      <c r="U860" s="35"/>
      <c r="V860" s="39"/>
    </row>
    <row r="861" spans="1:22" ht="15.75" customHeight="1" x14ac:dyDescent="0.35">
      <c r="A861" s="34"/>
      <c r="B861" s="34"/>
      <c r="C861" s="34"/>
      <c r="D861" s="34"/>
      <c r="S861" s="35"/>
      <c r="T861" s="43"/>
      <c r="U861" s="35"/>
      <c r="V861" s="39"/>
    </row>
    <row r="862" spans="1:22" ht="15.75" customHeight="1" x14ac:dyDescent="0.35">
      <c r="A862" s="34"/>
      <c r="B862" s="34"/>
      <c r="C862" s="34"/>
      <c r="D862" s="34"/>
      <c r="S862" s="35"/>
      <c r="T862" s="43"/>
      <c r="U862" s="35"/>
      <c r="V862" s="39"/>
    </row>
    <row r="863" spans="1:22" ht="15.75" customHeight="1" x14ac:dyDescent="0.35">
      <c r="A863" s="34"/>
      <c r="B863" s="34"/>
      <c r="C863" s="34"/>
      <c r="D863" s="34"/>
      <c r="S863" s="35"/>
      <c r="T863" s="43"/>
      <c r="U863" s="35"/>
      <c r="V863" s="39"/>
    </row>
    <row r="864" spans="1:22" ht="15.75" customHeight="1" x14ac:dyDescent="0.35">
      <c r="A864" s="34"/>
      <c r="B864" s="34"/>
      <c r="C864" s="34"/>
      <c r="D864" s="34"/>
      <c r="S864" s="35"/>
      <c r="T864" s="43"/>
      <c r="U864" s="35"/>
      <c r="V864" s="39"/>
    </row>
    <row r="865" spans="1:22" ht="15.75" customHeight="1" x14ac:dyDescent="0.35">
      <c r="A865" s="34"/>
      <c r="B865" s="34"/>
      <c r="C865" s="34"/>
      <c r="D865" s="34"/>
      <c r="S865" s="35"/>
      <c r="T865" s="43"/>
      <c r="U865" s="35"/>
      <c r="V865" s="39"/>
    </row>
    <row r="866" spans="1:22" ht="15.75" customHeight="1" x14ac:dyDescent="0.35">
      <c r="A866" s="34"/>
      <c r="B866" s="34"/>
      <c r="C866" s="34"/>
      <c r="D866" s="34"/>
      <c r="S866" s="35"/>
      <c r="T866" s="43"/>
      <c r="U866" s="35"/>
      <c r="V866" s="39"/>
    </row>
    <row r="867" spans="1:22" ht="15.75" customHeight="1" x14ac:dyDescent="0.35">
      <c r="A867" s="34"/>
      <c r="B867" s="34"/>
      <c r="C867" s="34"/>
      <c r="D867" s="34"/>
      <c r="S867" s="35"/>
      <c r="T867" s="43"/>
      <c r="U867" s="35"/>
      <c r="V867" s="39"/>
    </row>
    <row r="868" spans="1:22" ht="15.75" customHeight="1" x14ac:dyDescent="0.35">
      <c r="A868" s="34"/>
      <c r="B868" s="34"/>
      <c r="C868" s="34"/>
      <c r="D868" s="34"/>
      <c r="S868" s="41"/>
      <c r="T868" s="41"/>
      <c r="U868" s="41"/>
      <c r="V868" s="39"/>
    </row>
    <row r="869" spans="1:22" ht="15.75" customHeight="1" x14ac:dyDescent="0.35">
      <c r="A869" s="34"/>
      <c r="B869" s="34"/>
      <c r="C869" s="34"/>
      <c r="D869" s="34"/>
      <c r="S869" s="35"/>
      <c r="T869" s="43"/>
      <c r="U869" s="35"/>
      <c r="V869" s="39"/>
    </row>
    <row r="870" spans="1:22" ht="15.75" customHeight="1" x14ac:dyDescent="0.35">
      <c r="A870" s="34"/>
      <c r="B870" s="34"/>
      <c r="C870" s="34"/>
      <c r="D870" s="34"/>
      <c r="S870" s="35"/>
      <c r="T870" s="43"/>
      <c r="U870" s="35"/>
      <c r="V870" s="39"/>
    </row>
    <row r="871" spans="1:22" ht="15.75" customHeight="1" x14ac:dyDescent="0.35">
      <c r="A871" s="34"/>
      <c r="B871" s="34"/>
      <c r="C871" s="34"/>
      <c r="D871" s="34"/>
      <c r="S871" s="35"/>
      <c r="T871" s="43"/>
      <c r="U871" s="35"/>
      <c r="V871" s="39"/>
    </row>
    <row r="872" spans="1:22" ht="15.75" customHeight="1" x14ac:dyDescent="0.35">
      <c r="A872" s="34"/>
      <c r="B872" s="34"/>
      <c r="C872" s="34"/>
      <c r="D872" s="34"/>
      <c r="S872" s="35"/>
      <c r="T872" s="43"/>
      <c r="U872" s="35"/>
      <c r="V872" s="39"/>
    </row>
    <row r="873" spans="1:22" ht="15.75" customHeight="1" x14ac:dyDescent="0.35">
      <c r="A873" s="34"/>
      <c r="B873" s="34"/>
      <c r="C873" s="34"/>
      <c r="D873" s="34"/>
      <c r="S873" s="35"/>
      <c r="T873" s="43"/>
      <c r="U873" s="35"/>
      <c r="V873" s="39"/>
    </row>
    <row r="874" spans="1:22" ht="15.75" customHeight="1" x14ac:dyDescent="0.35">
      <c r="A874" s="34"/>
      <c r="B874" s="34"/>
      <c r="C874" s="34"/>
      <c r="D874" s="34"/>
      <c r="S874" s="35"/>
      <c r="T874" s="43"/>
      <c r="U874" s="35"/>
      <c r="V874" s="39"/>
    </row>
    <row r="875" spans="1:22" ht="15.75" customHeight="1" x14ac:dyDescent="0.35">
      <c r="A875" s="34"/>
      <c r="B875" s="34"/>
      <c r="C875" s="34"/>
      <c r="D875" s="34"/>
      <c r="S875" s="35"/>
      <c r="T875" s="43"/>
      <c r="U875" s="35"/>
      <c r="V875" s="39"/>
    </row>
    <row r="876" spans="1:22" ht="15.75" customHeight="1" x14ac:dyDescent="0.35">
      <c r="A876" s="34"/>
      <c r="B876" s="34"/>
      <c r="C876" s="34"/>
      <c r="D876" s="34"/>
      <c r="S876" s="35"/>
      <c r="T876" s="43"/>
      <c r="U876" s="35"/>
      <c r="V876" s="39"/>
    </row>
    <row r="877" spans="1:22" ht="15.75" customHeight="1" x14ac:dyDescent="0.35">
      <c r="A877" s="34"/>
      <c r="B877" s="34"/>
      <c r="C877" s="34"/>
      <c r="D877" s="34"/>
      <c r="S877" s="35"/>
      <c r="T877" s="43"/>
      <c r="U877" s="35"/>
      <c r="V877" s="39"/>
    </row>
    <row r="878" spans="1:22" ht="15.75" customHeight="1" x14ac:dyDescent="0.35">
      <c r="A878" s="34"/>
      <c r="B878" s="34"/>
      <c r="C878" s="34"/>
      <c r="D878" s="34"/>
      <c r="S878" s="35"/>
      <c r="T878" s="43"/>
      <c r="U878" s="35"/>
      <c r="V878" s="39"/>
    </row>
    <row r="879" spans="1:22" ht="15.75" customHeight="1" x14ac:dyDescent="0.35">
      <c r="A879" s="34"/>
      <c r="B879" s="34"/>
      <c r="C879" s="34"/>
      <c r="D879" s="34"/>
      <c r="S879" s="35"/>
      <c r="T879" s="43"/>
      <c r="U879" s="35"/>
      <c r="V879" s="39"/>
    </row>
    <row r="880" spans="1:22" ht="15.75" customHeight="1" x14ac:dyDescent="0.35">
      <c r="A880" s="34"/>
      <c r="B880" s="34"/>
      <c r="C880" s="34"/>
      <c r="D880" s="34"/>
      <c r="S880" s="35"/>
      <c r="T880" s="43"/>
      <c r="U880" s="35"/>
      <c r="V880" s="39"/>
    </row>
    <row r="881" spans="1:22" ht="15.75" customHeight="1" x14ac:dyDescent="0.35">
      <c r="A881" s="34"/>
      <c r="B881" s="34"/>
      <c r="C881" s="34"/>
      <c r="D881" s="34"/>
      <c r="S881" s="35"/>
      <c r="T881" s="43"/>
      <c r="U881" s="35"/>
      <c r="V881" s="39"/>
    </row>
    <row r="882" spans="1:22" ht="15.75" customHeight="1" x14ac:dyDescent="0.35">
      <c r="A882" s="34"/>
      <c r="B882" s="34"/>
      <c r="C882" s="34"/>
      <c r="D882" s="34"/>
      <c r="S882" s="35"/>
      <c r="T882" s="43"/>
      <c r="U882" s="35"/>
      <c r="V882" s="39"/>
    </row>
    <row r="883" spans="1:22" ht="15.75" customHeight="1" x14ac:dyDescent="0.35">
      <c r="A883" s="34"/>
      <c r="B883" s="34"/>
      <c r="C883" s="34"/>
      <c r="D883" s="34"/>
      <c r="S883" s="35"/>
      <c r="T883" s="43"/>
      <c r="U883" s="35"/>
      <c r="V883" s="39"/>
    </row>
    <row r="884" spans="1:22" ht="15.75" customHeight="1" x14ac:dyDescent="0.35">
      <c r="A884" s="34"/>
      <c r="B884" s="34"/>
      <c r="C884" s="34"/>
      <c r="D884" s="34"/>
      <c r="S884" s="35"/>
      <c r="T884" s="43"/>
      <c r="U884" s="35"/>
      <c r="V884" s="39"/>
    </row>
    <row r="885" spans="1:22" ht="15.75" customHeight="1" x14ac:dyDescent="0.35">
      <c r="A885" s="34"/>
      <c r="B885" s="34"/>
      <c r="C885" s="34"/>
      <c r="D885" s="34"/>
      <c r="S885" s="35"/>
      <c r="T885" s="43"/>
      <c r="U885" s="35"/>
      <c r="V885" s="39"/>
    </row>
    <row r="886" spans="1:22" ht="15.75" customHeight="1" x14ac:dyDescent="0.35">
      <c r="A886" s="34"/>
      <c r="B886" s="34"/>
      <c r="C886" s="34"/>
      <c r="D886" s="34"/>
      <c r="S886" s="35"/>
      <c r="T886" s="43"/>
      <c r="U886" s="35"/>
      <c r="V886" s="39"/>
    </row>
    <row r="887" spans="1:22" ht="15.75" customHeight="1" x14ac:dyDescent="0.35">
      <c r="A887" s="34"/>
      <c r="B887" s="34"/>
      <c r="C887" s="34"/>
      <c r="D887" s="34"/>
      <c r="S887" s="35"/>
      <c r="T887" s="43"/>
      <c r="U887" s="35"/>
      <c r="V887" s="39"/>
    </row>
    <row r="888" spans="1:22" ht="15.75" customHeight="1" x14ac:dyDescent="0.35">
      <c r="A888" s="34"/>
      <c r="B888" s="34"/>
      <c r="C888" s="34"/>
      <c r="D888" s="34"/>
      <c r="S888" s="41"/>
      <c r="T888" s="41"/>
      <c r="U888" s="41"/>
      <c r="V888" s="39"/>
    </row>
    <row r="889" spans="1:22" ht="15.75" customHeight="1" x14ac:dyDescent="0.35">
      <c r="A889" s="34"/>
      <c r="B889" s="34"/>
      <c r="C889" s="34"/>
      <c r="D889" s="34"/>
      <c r="S889" s="35"/>
      <c r="T889" s="43"/>
      <c r="U889" s="35"/>
      <c r="V889" s="39"/>
    </row>
    <row r="890" spans="1:22" ht="15.75" customHeight="1" x14ac:dyDescent="0.35">
      <c r="A890" s="34"/>
      <c r="B890" s="34"/>
      <c r="C890" s="34"/>
      <c r="D890" s="34"/>
      <c r="S890" s="35"/>
      <c r="T890" s="43"/>
      <c r="U890" s="35"/>
      <c r="V890" s="39"/>
    </row>
    <row r="891" spans="1:22" ht="15.75" customHeight="1" x14ac:dyDescent="0.35">
      <c r="A891" s="34"/>
      <c r="B891" s="34"/>
      <c r="C891" s="34"/>
      <c r="D891" s="34"/>
      <c r="S891" s="35"/>
      <c r="T891" s="43"/>
      <c r="U891" s="35"/>
      <c r="V891" s="39"/>
    </row>
    <row r="892" spans="1:22" ht="15.75" customHeight="1" x14ac:dyDescent="0.35">
      <c r="A892" s="34"/>
      <c r="B892" s="34"/>
      <c r="C892" s="34"/>
      <c r="D892" s="34"/>
      <c r="S892" s="35"/>
      <c r="T892" s="43"/>
      <c r="U892" s="35"/>
      <c r="V892" s="39"/>
    </row>
    <row r="893" spans="1:22" ht="15.75" customHeight="1" x14ac:dyDescent="0.35">
      <c r="A893" s="34"/>
      <c r="B893" s="34"/>
      <c r="C893" s="34"/>
      <c r="D893" s="34"/>
      <c r="S893" s="35"/>
      <c r="T893" s="43"/>
      <c r="U893" s="35"/>
      <c r="V893" s="39"/>
    </row>
    <row r="894" spans="1:22" ht="15.75" customHeight="1" x14ac:dyDescent="0.35">
      <c r="A894" s="34"/>
      <c r="B894" s="34"/>
      <c r="C894" s="34"/>
      <c r="D894" s="34"/>
      <c r="S894" s="35"/>
      <c r="T894" s="43"/>
      <c r="U894" s="35"/>
      <c r="V894" s="39"/>
    </row>
    <row r="895" spans="1:22" ht="15.75" customHeight="1" x14ac:dyDescent="0.35">
      <c r="A895" s="34"/>
      <c r="B895" s="34"/>
      <c r="C895" s="34"/>
      <c r="D895" s="34"/>
      <c r="S895" s="35"/>
      <c r="T895" s="43"/>
      <c r="U895" s="35"/>
      <c r="V895" s="39"/>
    </row>
    <row r="896" spans="1:22" ht="15.75" customHeight="1" x14ac:dyDescent="0.35">
      <c r="A896" s="34"/>
      <c r="B896" s="34"/>
      <c r="C896" s="34"/>
      <c r="D896" s="34"/>
      <c r="S896" s="35"/>
      <c r="T896" s="43"/>
      <c r="U896" s="35"/>
      <c r="V896" s="39"/>
    </row>
    <row r="897" spans="1:22" ht="15.75" customHeight="1" x14ac:dyDescent="0.35">
      <c r="A897" s="34"/>
      <c r="B897" s="34"/>
      <c r="C897" s="34"/>
      <c r="D897" s="34"/>
      <c r="S897" s="35"/>
      <c r="T897" s="43"/>
      <c r="U897" s="35"/>
      <c r="V897" s="39"/>
    </row>
    <row r="898" spans="1:22" ht="15.75" customHeight="1" x14ac:dyDescent="0.35">
      <c r="A898" s="34"/>
      <c r="B898" s="34"/>
      <c r="C898" s="34"/>
      <c r="D898" s="34"/>
      <c r="S898" s="35"/>
      <c r="T898" s="43"/>
      <c r="U898" s="35"/>
      <c r="V898" s="39"/>
    </row>
    <row r="899" spans="1:22" ht="15.75" customHeight="1" x14ac:dyDescent="0.35">
      <c r="A899" s="34"/>
      <c r="B899" s="34"/>
      <c r="C899" s="34"/>
      <c r="D899" s="34"/>
      <c r="S899" s="35"/>
      <c r="T899" s="43"/>
      <c r="U899" s="35"/>
      <c r="V899" s="39"/>
    </row>
    <row r="900" spans="1:22" ht="15.75" customHeight="1" x14ac:dyDescent="0.35">
      <c r="A900" s="34"/>
      <c r="B900" s="34"/>
      <c r="C900" s="34"/>
      <c r="D900" s="34"/>
      <c r="S900" s="35"/>
      <c r="T900" s="43"/>
      <c r="U900" s="35"/>
      <c r="V900" s="39"/>
    </row>
    <row r="901" spans="1:22" ht="15.75" customHeight="1" x14ac:dyDescent="0.35">
      <c r="A901" s="34"/>
      <c r="B901" s="34"/>
      <c r="C901" s="34"/>
      <c r="D901" s="34"/>
      <c r="S901" s="35"/>
      <c r="T901" s="43"/>
      <c r="U901" s="35"/>
      <c r="V901" s="39"/>
    </row>
    <row r="902" spans="1:22" ht="15.75" customHeight="1" x14ac:dyDescent="0.35">
      <c r="A902" s="34"/>
      <c r="B902" s="34"/>
      <c r="C902" s="34"/>
      <c r="D902" s="34"/>
      <c r="S902" s="35"/>
      <c r="T902" s="43"/>
      <c r="U902" s="35"/>
      <c r="V902" s="39"/>
    </row>
    <row r="903" spans="1:22" ht="15.75" customHeight="1" x14ac:dyDescent="0.35">
      <c r="A903" s="34"/>
      <c r="B903" s="34"/>
      <c r="C903" s="34"/>
      <c r="D903" s="34"/>
      <c r="S903" s="35"/>
      <c r="T903" s="43"/>
      <c r="U903" s="35"/>
      <c r="V903" s="39"/>
    </row>
    <row r="904" spans="1:22" ht="15.75" customHeight="1" x14ac:dyDescent="0.35">
      <c r="A904" s="34"/>
      <c r="B904" s="34"/>
      <c r="C904" s="34"/>
      <c r="D904" s="34"/>
      <c r="S904" s="35"/>
      <c r="T904" s="43"/>
      <c r="U904" s="35"/>
      <c r="V904" s="39"/>
    </row>
    <row r="905" spans="1:22" ht="15.75" customHeight="1" x14ac:dyDescent="0.35">
      <c r="A905" s="34"/>
      <c r="B905" s="34"/>
      <c r="C905" s="34"/>
      <c r="D905" s="34"/>
      <c r="S905" s="35"/>
      <c r="T905" s="43"/>
      <c r="U905" s="35"/>
      <c r="V905" s="39"/>
    </row>
    <row r="906" spans="1:22" ht="15.75" customHeight="1" x14ac:dyDescent="0.35">
      <c r="A906" s="34"/>
      <c r="B906" s="34"/>
      <c r="C906" s="34"/>
      <c r="D906" s="34"/>
      <c r="S906" s="35"/>
      <c r="T906" s="43"/>
      <c r="U906" s="35"/>
      <c r="V906" s="39"/>
    </row>
    <row r="907" spans="1:22" ht="15.75" customHeight="1" x14ac:dyDescent="0.35">
      <c r="A907" s="34"/>
      <c r="B907" s="34"/>
      <c r="C907" s="34"/>
      <c r="D907" s="34"/>
      <c r="S907" s="35"/>
      <c r="T907" s="43"/>
      <c r="U907" s="35"/>
      <c r="V907" s="39"/>
    </row>
    <row r="908" spans="1:22" ht="15.75" customHeight="1" x14ac:dyDescent="0.35">
      <c r="A908" s="34"/>
      <c r="B908" s="34"/>
      <c r="C908" s="34"/>
      <c r="D908" s="34"/>
      <c r="S908" s="41"/>
      <c r="T908" s="41"/>
      <c r="U908" s="41"/>
      <c r="V908" s="39"/>
    </row>
    <row r="909" spans="1:22" ht="15.75" customHeight="1" x14ac:dyDescent="0.35">
      <c r="A909" s="34"/>
      <c r="B909" s="34"/>
      <c r="C909" s="34"/>
      <c r="D909" s="34"/>
      <c r="S909" s="35"/>
      <c r="T909" s="43"/>
      <c r="U909" s="35"/>
      <c r="V909" s="39"/>
    </row>
    <row r="910" spans="1:22" ht="15.75" customHeight="1" x14ac:dyDescent="0.35">
      <c r="A910" s="34"/>
      <c r="B910" s="34"/>
      <c r="C910" s="34"/>
      <c r="D910" s="34"/>
      <c r="S910" s="35"/>
      <c r="T910" s="43"/>
      <c r="U910" s="35"/>
      <c r="V910" s="39"/>
    </row>
    <row r="911" spans="1:22" ht="15.75" customHeight="1" x14ac:dyDescent="0.35">
      <c r="A911" s="34"/>
      <c r="B911" s="34"/>
      <c r="C911" s="34"/>
      <c r="D911" s="34"/>
      <c r="S911" s="35"/>
      <c r="T911" s="43"/>
      <c r="U911" s="35"/>
      <c r="V911" s="39"/>
    </row>
    <row r="912" spans="1:22" ht="15.75" customHeight="1" x14ac:dyDescent="0.35">
      <c r="A912" s="34"/>
      <c r="B912" s="34"/>
      <c r="C912" s="34"/>
      <c r="D912" s="34"/>
      <c r="S912" s="35"/>
      <c r="T912" s="43"/>
      <c r="U912" s="35"/>
      <c r="V912" s="39"/>
    </row>
    <row r="913" spans="1:22" ht="15.75" customHeight="1" x14ac:dyDescent="0.35">
      <c r="A913" s="34"/>
      <c r="B913" s="34"/>
      <c r="C913" s="34"/>
      <c r="D913" s="34"/>
      <c r="S913" s="35"/>
      <c r="T913" s="43"/>
      <c r="U913" s="35"/>
      <c r="V913" s="39"/>
    </row>
    <row r="914" spans="1:22" ht="15.75" customHeight="1" x14ac:dyDescent="0.35">
      <c r="A914" s="34"/>
      <c r="B914" s="34"/>
      <c r="C914" s="34"/>
      <c r="D914" s="34"/>
      <c r="S914" s="35"/>
      <c r="T914" s="43"/>
      <c r="U914" s="35"/>
      <c r="V914" s="39"/>
    </row>
    <row r="915" spans="1:22" ht="15.75" customHeight="1" x14ac:dyDescent="0.35">
      <c r="A915" s="34"/>
      <c r="B915" s="34"/>
      <c r="C915" s="34"/>
      <c r="D915" s="34"/>
      <c r="S915" s="35"/>
      <c r="T915" s="43"/>
      <c r="U915" s="35"/>
      <c r="V915" s="39"/>
    </row>
    <row r="916" spans="1:22" ht="15.75" customHeight="1" x14ac:dyDescent="0.35">
      <c r="A916" s="34"/>
      <c r="B916" s="34"/>
      <c r="C916" s="34"/>
      <c r="D916" s="34"/>
      <c r="S916" s="35"/>
      <c r="T916" s="43"/>
      <c r="U916" s="35"/>
      <c r="V916" s="39"/>
    </row>
    <row r="917" spans="1:22" ht="15.75" customHeight="1" x14ac:dyDescent="0.35">
      <c r="A917" s="34"/>
      <c r="B917" s="34"/>
      <c r="C917" s="34"/>
      <c r="D917" s="34"/>
      <c r="S917" s="35"/>
      <c r="T917" s="43"/>
      <c r="U917" s="35"/>
      <c r="V917" s="39"/>
    </row>
    <row r="918" spans="1:22" ht="15.75" customHeight="1" x14ac:dyDescent="0.35">
      <c r="A918" s="34"/>
      <c r="B918" s="34"/>
      <c r="C918" s="34"/>
      <c r="D918" s="34"/>
      <c r="S918" s="35"/>
      <c r="T918" s="43"/>
      <c r="U918" s="35"/>
      <c r="V918" s="39"/>
    </row>
    <row r="919" spans="1:22" ht="15.75" customHeight="1" x14ac:dyDescent="0.35">
      <c r="A919" s="34"/>
      <c r="B919" s="34"/>
      <c r="C919" s="34"/>
      <c r="D919" s="34"/>
      <c r="S919" s="35"/>
      <c r="T919" s="43"/>
      <c r="U919" s="35"/>
      <c r="V919" s="39"/>
    </row>
    <row r="920" spans="1:22" ht="15.75" customHeight="1" x14ac:dyDescent="0.35">
      <c r="A920" s="34"/>
      <c r="B920" s="34"/>
      <c r="C920" s="34"/>
      <c r="D920" s="34"/>
      <c r="S920" s="35"/>
      <c r="T920" s="43"/>
      <c r="U920" s="35"/>
      <c r="V920" s="39"/>
    </row>
    <row r="921" spans="1:22" ht="15.75" customHeight="1" x14ac:dyDescent="0.35">
      <c r="A921" s="34"/>
      <c r="B921" s="34"/>
      <c r="C921" s="34"/>
      <c r="D921" s="34"/>
      <c r="S921" s="35"/>
      <c r="T921" s="43"/>
      <c r="U921" s="35"/>
      <c r="V921" s="39"/>
    </row>
    <row r="922" spans="1:22" ht="15.75" customHeight="1" x14ac:dyDescent="0.35">
      <c r="A922" s="34"/>
      <c r="B922" s="34"/>
      <c r="C922" s="34"/>
      <c r="D922" s="34"/>
      <c r="S922" s="35"/>
      <c r="T922" s="43"/>
      <c r="U922" s="35"/>
      <c r="V922" s="39"/>
    </row>
    <row r="923" spans="1:22" ht="15.75" customHeight="1" x14ac:dyDescent="0.35">
      <c r="A923" s="34"/>
      <c r="B923" s="34"/>
      <c r="C923" s="34"/>
      <c r="D923" s="34"/>
      <c r="S923" s="35"/>
      <c r="T923" s="43"/>
      <c r="U923" s="35"/>
      <c r="V923" s="39"/>
    </row>
    <row r="924" spans="1:22" ht="15.75" customHeight="1" x14ac:dyDescent="0.35">
      <c r="A924" s="34"/>
      <c r="B924" s="34"/>
      <c r="C924" s="34"/>
      <c r="D924" s="34"/>
      <c r="S924" s="35"/>
      <c r="T924" s="43"/>
      <c r="U924" s="35"/>
      <c r="V924" s="39"/>
    </row>
    <row r="925" spans="1:22" ht="15.75" customHeight="1" x14ac:dyDescent="0.35">
      <c r="A925" s="34"/>
      <c r="B925" s="34"/>
      <c r="C925" s="34"/>
      <c r="D925" s="34"/>
      <c r="S925" s="35"/>
      <c r="T925" s="43"/>
      <c r="U925" s="35"/>
      <c r="V925" s="39"/>
    </row>
    <row r="926" spans="1:22" ht="15.75" customHeight="1" x14ac:dyDescent="0.35">
      <c r="A926" s="34"/>
      <c r="B926" s="34"/>
      <c r="C926" s="34"/>
      <c r="D926" s="34"/>
      <c r="S926" s="35"/>
      <c r="T926" s="43"/>
      <c r="U926" s="35"/>
      <c r="V926" s="39"/>
    </row>
    <row r="927" spans="1:22" ht="15.75" customHeight="1" x14ac:dyDescent="0.35">
      <c r="A927" s="34"/>
      <c r="B927" s="34"/>
      <c r="C927" s="34"/>
      <c r="D927" s="34"/>
      <c r="S927" s="35"/>
      <c r="T927" s="43"/>
      <c r="U927" s="35"/>
      <c r="V927" s="39"/>
    </row>
    <row r="928" spans="1:22" ht="15.75" customHeight="1" x14ac:dyDescent="0.35">
      <c r="A928" s="34"/>
      <c r="B928" s="34"/>
      <c r="C928" s="34"/>
      <c r="D928" s="34"/>
      <c r="S928" s="41"/>
      <c r="T928" s="41"/>
      <c r="U928" s="41"/>
      <c r="V928" s="39"/>
    </row>
    <row r="929" spans="1:22" ht="15.75" customHeight="1" x14ac:dyDescent="0.35">
      <c r="A929" s="34"/>
      <c r="B929" s="34"/>
      <c r="C929" s="34"/>
      <c r="D929" s="34"/>
      <c r="S929" s="35"/>
      <c r="T929" s="43"/>
      <c r="U929" s="35"/>
      <c r="V929" s="39"/>
    </row>
    <row r="930" spans="1:22" ht="15.75" customHeight="1" x14ac:dyDescent="0.35">
      <c r="A930" s="34"/>
      <c r="B930" s="34"/>
      <c r="C930" s="34"/>
      <c r="D930" s="34"/>
      <c r="S930" s="35"/>
      <c r="T930" s="43"/>
      <c r="U930" s="35"/>
      <c r="V930" s="39"/>
    </row>
    <row r="931" spans="1:22" ht="15.75" customHeight="1" x14ac:dyDescent="0.35">
      <c r="A931" s="34"/>
      <c r="B931" s="34"/>
      <c r="C931" s="34"/>
      <c r="D931" s="34"/>
      <c r="S931" s="35"/>
      <c r="T931" s="43"/>
      <c r="U931" s="35"/>
      <c r="V931" s="39"/>
    </row>
    <row r="932" spans="1:22" ht="15.75" customHeight="1" x14ac:dyDescent="0.35">
      <c r="A932" s="34"/>
      <c r="B932" s="34"/>
      <c r="C932" s="34"/>
      <c r="D932" s="34"/>
      <c r="S932" s="35"/>
      <c r="T932" s="43"/>
      <c r="U932" s="35"/>
      <c r="V932" s="39"/>
    </row>
    <row r="933" spans="1:22" ht="15.75" customHeight="1" x14ac:dyDescent="0.35">
      <c r="A933" s="34"/>
      <c r="B933" s="34"/>
      <c r="C933" s="34"/>
      <c r="D933" s="34"/>
      <c r="S933" s="35"/>
      <c r="T933" s="43"/>
      <c r="U933" s="35"/>
      <c r="V933" s="39"/>
    </row>
    <row r="934" spans="1:22" ht="15.75" customHeight="1" x14ac:dyDescent="0.35">
      <c r="A934" s="34"/>
      <c r="B934" s="34"/>
      <c r="C934" s="34"/>
      <c r="D934" s="34"/>
      <c r="S934" s="35"/>
      <c r="T934" s="43"/>
      <c r="U934" s="35"/>
      <c r="V934" s="39"/>
    </row>
    <row r="935" spans="1:22" ht="15.75" customHeight="1" x14ac:dyDescent="0.35">
      <c r="A935" s="34"/>
      <c r="B935" s="34"/>
      <c r="C935" s="34"/>
      <c r="D935" s="34"/>
      <c r="S935" s="35"/>
      <c r="T935" s="43"/>
      <c r="U935" s="35"/>
      <c r="V935" s="39"/>
    </row>
    <row r="936" spans="1:22" ht="15.75" customHeight="1" x14ac:dyDescent="0.35">
      <c r="A936" s="34"/>
      <c r="B936" s="34"/>
      <c r="C936" s="34"/>
      <c r="D936" s="34"/>
      <c r="S936" s="35"/>
      <c r="T936" s="43"/>
      <c r="U936" s="35"/>
      <c r="V936" s="39"/>
    </row>
    <row r="937" spans="1:22" ht="15.75" customHeight="1" x14ac:dyDescent="0.35">
      <c r="A937" s="34"/>
      <c r="B937" s="34"/>
      <c r="C937" s="34"/>
      <c r="D937" s="34"/>
      <c r="S937" s="35"/>
      <c r="T937" s="43"/>
      <c r="U937" s="35"/>
      <c r="V937" s="39"/>
    </row>
    <row r="938" spans="1:22" ht="15.75" customHeight="1" x14ac:dyDescent="0.35">
      <c r="A938" s="34"/>
      <c r="B938" s="34"/>
      <c r="C938" s="34"/>
      <c r="D938" s="34"/>
      <c r="S938" s="35"/>
      <c r="T938" s="43"/>
      <c r="U938" s="35"/>
      <c r="V938" s="39"/>
    </row>
    <row r="939" spans="1:22" ht="15.75" customHeight="1" x14ac:dyDescent="0.35">
      <c r="A939" s="34"/>
      <c r="B939" s="34"/>
      <c r="C939" s="34"/>
      <c r="D939" s="34"/>
      <c r="S939" s="35"/>
      <c r="T939" s="43"/>
      <c r="U939" s="35"/>
      <c r="V939" s="39"/>
    </row>
    <row r="940" spans="1:22" ht="15.75" customHeight="1" x14ac:dyDescent="0.35">
      <c r="A940" s="34"/>
      <c r="B940" s="34"/>
      <c r="C940" s="34"/>
      <c r="D940" s="34"/>
      <c r="S940" s="35"/>
      <c r="T940" s="43"/>
      <c r="U940" s="35"/>
      <c r="V940" s="39"/>
    </row>
    <row r="941" spans="1:22" ht="15.75" customHeight="1" x14ac:dyDescent="0.35">
      <c r="A941" s="34"/>
      <c r="B941" s="34"/>
      <c r="C941" s="34"/>
      <c r="D941" s="34"/>
      <c r="S941" s="35"/>
      <c r="T941" s="43"/>
      <c r="U941" s="35"/>
      <c r="V941" s="39"/>
    </row>
    <row r="942" spans="1:22" ht="15.75" customHeight="1" x14ac:dyDescent="0.35">
      <c r="A942" s="34"/>
      <c r="B942" s="34"/>
      <c r="C942" s="34"/>
      <c r="D942" s="34"/>
      <c r="S942" s="35"/>
      <c r="T942" s="43"/>
      <c r="U942" s="35"/>
      <c r="V942" s="39"/>
    </row>
    <row r="943" spans="1:22" ht="15.75" customHeight="1" x14ac:dyDescent="0.35">
      <c r="A943" s="34"/>
      <c r="B943" s="34"/>
      <c r="C943" s="34"/>
      <c r="D943" s="34"/>
      <c r="S943" s="35"/>
      <c r="T943" s="43"/>
      <c r="U943" s="35"/>
      <c r="V943" s="39"/>
    </row>
    <row r="944" spans="1:22" ht="15.75" customHeight="1" x14ac:dyDescent="0.35">
      <c r="A944" s="34"/>
      <c r="B944" s="34"/>
      <c r="C944" s="34"/>
      <c r="D944" s="34"/>
      <c r="S944" s="35"/>
      <c r="T944" s="43"/>
      <c r="U944" s="35"/>
      <c r="V944" s="39"/>
    </row>
    <row r="945" spans="1:22" ht="15.75" customHeight="1" x14ac:dyDescent="0.35">
      <c r="A945" s="34"/>
      <c r="B945" s="34"/>
      <c r="C945" s="34"/>
      <c r="D945" s="34"/>
      <c r="S945" s="35"/>
      <c r="T945" s="43"/>
      <c r="U945" s="35"/>
      <c r="V945" s="39"/>
    </row>
    <row r="946" spans="1:22" ht="15.75" customHeight="1" x14ac:dyDescent="0.35">
      <c r="A946" s="34"/>
      <c r="B946" s="34"/>
      <c r="C946" s="34"/>
      <c r="D946" s="34"/>
      <c r="S946" s="35"/>
      <c r="T946" s="43"/>
      <c r="U946" s="35"/>
      <c r="V946" s="39"/>
    </row>
    <row r="947" spans="1:22" ht="15.75" customHeight="1" x14ac:dyDescent="0.35">
      <c r="A947" s="34"/>
      <c r="B947" s="34"/>
      <c r="C947" s="34"/>
      <c r="D947" s="34"/>
      <c r="S947" s="35"/>
      <c r="T947" s="43"/>
      <c r="U947" s="35"/>
      <c r="V947" s="39"/>
    </row>
    <row r="948" spans="1:22" ht="15.75" customHeight="1" x14ac:dyDescent="0.35">
      <c r="A948" s="34"/>
      <c r="B948" s="34"/>
      <c r="C948" s="34"/>
      <c r="D948" s="34"/>
      <c r="S948" s="41"/>
      <c r="T948" s="41"/>
      <c r="U948" s="41"/>
      <c r="V948" s="39"/>
    </row>
    <row r="949" spans="1:22" ht="15.75" customHeight="1" x14ac:dyDescent="0.35">
      <c r="A949" s="34"/>
      <c r="B949" s="34"/>
      <c r="C949" s="34"/>
      <c r="D949" s="34"/>
      <c r="S949" s="35"/>
      <c r="T949" s="43"/>
      <c r="U949" s="35"/>
      <c r="V949" s="39"/>
    </row>
    <row r="950" spans="1:22" ht="15.75" customHeight="1" x14ac:dyDescent="0.35">
      <c r="A950" s="34"/>
      <c r="B950" s="34"/>
      <c r="C950" s="34"/>
      <c r="D950" s="34"/>
      <c r="S950" s="35"/>
      <c r="T950" s="43"/>
      <c r="U950" s="35"/>
      <c r="V950" s="39"/>
    </row>
    <row r="951" spans="1:22" ht="15.75" customHeight="1" x14ac:dyDescent="0.35">
      <c r="A951" s="34"/>
      <c r="B951" s="34"/>
      <c r="C951" s="34"/>
      <c r="D951" s="34"/>
      <c r="S951" s="35"/>
      <c r="T951" s="43"/>
      <c r="U951" s="35"/>
      <c r="V951" s="39"/>
    </row>
    <row r="952" spans="1:22" ht="15.75" customHeight="1" x14ac:dyDescent="0.35">
      <c r="A952" s="34"/>
      <c r="B952" s="34"/>
      <c r="C952" s="34"/>
      <c r="D952" s="34"/>
      <c r="S952" s="35"/>
      <c r="T952" s="43"/>
      <c r="U952" s="35"/>
      <c r="V952" s="39"/>
    </row>
    <row r="953" spans="1:22" ht="15.75" customHeight="1" x14ac:dyDescent="0.35">
      <c r="A953" s="34"/>
      <c r="B953" s="34"/>
      <c r="C953" s="34"/>
      <c r="D953" s="34"/>
      <c r="S953" s="35"/>
      <c r="T953" s="43"/>
      <c r="U953" s="35"/>
      <c r="V953" s="39"/>
    </row>
    <row r="954" spans="1:22" ht="15.75" customHeight="1" x14ac:dyDescent="0.35">
      <c r="A954" s="34"/>
      <c r="B954" s="34"/>
      <c r="C954" s="34"/>
      <c r="D954" s="34"/>
      <c r="S954" s="35"/>
      <c r="T954" s="43"/>
      <c r="U954" s="35"/>
      <c r="V954" s="39"/>
    </row>
    <row r="955" spans="1:22" ht="15.75" customHeight="1" x14ac:dyDescent="0.35">
      <c r="A955" s="34"/>
      <c r="B955" s="34"/>
      <c r="C955" s="34"/>
      <c r="D955" s="34"/>
      <c r="S955" s="35"/>
      <c r="T955" s="43"/>
      <c r="U955" s="35"/>
      <c r="V955" s="39"/>
    </row>
    <row r="956" spans="1:22" ht="15.75" customHeight="1" x14ac:dyDescent="0.35">
      <c r="A956" s="34"/>
      <c r="B956" s="34"/>
      <c r="C956" s="34"/>
      <c r="D956" s="34"/>
      <c r="S956" s="35"/>
      <c r="T956" s="43"/>
      <c r="U956" s="35"/>
      <c r="V956" s="39"/>
    </row>
    <row r="957" spans="1:22" ht="15.75" customHeight="1" x14ac:dyDescent="0.35">
      <c r="A957" s="34"/>
      <c r="B957" s="34"/>
      <c r="C957" s="34"/>
      <c r="D957" s="34"/>
      <c r="S957" s="35"/>
      <c r="T957" s="43"/>
      <c r="U957" s="35"/>
      <c r="V957" s="39"/>
    </row>
    <row r="958" spans="1:22" ht="15.75" customHeight="1" x14ac:dyDescent="0.35">
      <c r="A958" s="34"/>
      <c r="B958" s="34"/>
      <c r="C958" s="34"/>
      <c r="D958" s="34"/>
      <c r="S958" s="35"/>
      <c r="T958" s="43"/>
      <c r="U958" s="35"/>
      <c r="V958" s="39"/>
    </row>
    <row r="959" spans="1:22" ht="15.75" customHeight="1" x14ac:dyDescent="0.35">
      <c r="A959" s="34"/>
      <c r="B959" s="34"/>
      <c r="C959" s="34"/>
      <c r="D959" s="34"/>
      <c r="S959" s="35"/>
      <c r="T959" s="43"/>
      <c r="U959" s="35"/>
      <c r="V959" s="39"/>
    </row>
    <row r="960" spans="1:22" ht="15.75" customHeight="1" x14ac:dyDescent="0.35">
      <c r="A960" s="34"/>
      <c r="B960" s="34"/>
      <c r="C960" s="34"/>
      <c r="D960" s="34"/>
      <c r="S960" s="35"/>
      <c r="T960" s="43"/>
      <c r="U960" s="35"/>
      <c r="V960" s="39"/>
    </row>
    <row r="961" spans="1:22" ht="15.75" customHeight="1" x14ac:dyDescent="0.35">
      <c r="A961" s="34"/>
      <c r="B961" s="34"/>
      <c r="C961" s="34"/>
      <c r="D961" s="34"/>
      <c r="S961" s="35"/>
      <c r="T961" s="43"/>
      <c r="U961" s="35"/>
      <c r="V961" s="39"/>
    </row>
    <row r="962" spans="1:22" ht="15.75" customHeight="1" x14ac:dyDescent="0.35">
      <c r="A962" s="34"/>
      <c r="B962" s="34"/>
      <c r="C962" s="34"/>
      <c r="D962" s="34"/>
      <c r="S962" s="35"/>
      <c r="T962" s="43"/>
      <c r="U962" s="35"/>
      <c r="V962" s="39"/>
    </row>
    <row r="963" spans="1:22" ht="15.75" customHeight="1" x14ac:dyDescent="0.35">
      <c r="A963" s="34"/>
      <c r="B963" s="34"/>
      <c r="C963" s="34"/>
      <c r="D963" s="34"/>
      <c r="S963" s="35"/>
      <c r="T963" s="43"/>
      <c r="U963" s="35"/>
      <c r="V963" s="39"/>
    </row>
    <row r="964" spans="1:22" ht="15.75" customHeight="1" x14ac:dyDescent="0.35">
      <c r="A964" s="34"/>
      <c r="B964" s="34"/>
      <c r="C964" s="34"/>
      <c r="D964" s="34"/>
      <c r="S964" s="35"/>
      <c r="T964" s="43"/>
      <c r="U964" s="35"/>
      <c r="V964" s="39"/>
    </row>
    <row r="965" spans="1:22" ht="15.75" customHeight="1" x14ac:dyDescent="0.35">
      <c r="A965" s="34"/>
      <c r="B965" s="34"/>
      <c r="C965" s="34"/>
      <c r="D965" s="34"/>
      <c r="S965" s="35"/>
      <c r="T965" s="43"/>
      <c r="U965" s="35"/>
      <c r="V965" s="39"/>
    </row>
    <row r="966" spans="1:22" ht="15.75" customHeight="1" x14ac:dyDescent="0.35">
      <c r="A966" s="34"/>
      <c r="B966" s="34"/>
      <c r="C966" s="34"/>
      <c r="D966" s="34"/>
      <c r="S966" s="35"/>
      <c r="T966" s="43"/>
      <c r="U966" s="35"/>
      <c r="V966" s="39"/>
    </row>
    <row r="967" spans="1:22" ht="15.75" customHeight="1" x14ac:dyDescent="0.35">
      <c r="A967" s="34"/>
      <c r="B967" s="34"/>
      <c r="C967" s="34"/>
      <c r="D967" s="34"/>
      <c r="S967" s="35"/>
      <c r="T967" s="43"/>
      <c r="U967" s="35"/>
      <c r="V967" s="39"/>
    </row>
    <row r="968" spans="1:22" ht="15.75" customHeight="1" x14ac:dyDescent="0.35">
      <c r="A968" s="34"/>
      <c r="B968" s="34"/>
      <c r="C968" s="34"/>
      <c r="D968" s="34"/>
      <c r="S968" s="35"/>
      <c r="T968" s="43"/>
      <c r="U968" s="35"/>
      <c r="V968" s="39"/>
    </row>
    <row r="969" spans="1:22" ht="15.75" customHeight="1" x14ac:dyDescent="0.35">
      <c r="A969" s="34"/>
      <c r="B969" s="34"/>
      <c r="C969" s="34"/>
      <c r="D969" s="34"/>
      <c r="S969" s="35"/>
      <c r="T969" s="43"/>
      <c r="U969" s="35"/>
      <c r="V969" s="39"/>
    </row>
    <row r="970" spans="1:22" ht="15.75" customHeight="1" x14ac:dyDescent="0.35">
      <c r="A970" s="34"/>
      <c r="B970" s="34"/>
      <c r="C970" s="34"/>
      <c r="D970" s="34"/>
      <c r="S970" s="35"/>
      <c r="T970" s="43"/>
      <c r="U970" s="35"/>
      <c r="V970" s="39"/>
    </row>
    <row r="971" spans="1:22" ht="15.75" customHeight="1" x14ac:dyDescent="0.35">
      <c r="A971" s="34"/>
      <c r="B971" s="34"/>
      <c r="C971" s="34"/>
      <c r="D971" s="34"/>
      <c r="S971" s="35"/>
      <c r="T971" s="43"/>
      <c r="U971" s="35"/>
      <c r="V971" s="39"/>
    </row>
    <row r="972" spans="1:22" ht="15.75" customHeight="1" x14ac:dyDescent="0.35">
      <c r="A972" s="34"/>
      <c r="B972" s="34"/>
      <c r="C972" s="34"/>
      <c r="D972" s="34"/>
      <c r="S972" s="35"/>
      <c r="T972" s="43"/>
      <c r="U972" s="35"/>
      <c r="V972" s="39"/>
    </row>
    <row r="973" spans="1:22" ht="15.75" customHeight="1" x14ac:dyDescent="0.35">
      <c r="A973" s="34"/>
      <c r="B973" s="34"/>
      <c r="C973" s="34"/>
      <c r="D973" s="34"/>
      <c r="S973" s="35"/>
      <c r="T973" s="43"/>
      <c r="U973" s="35"/>
      <c r="V973" s="39"/>
    </row>
    <row r="974" spans="1:22" ht="15.75" customHeight="1" x14ac:dyDescent="0.35">
      <c r="A974" s="34"/>
      <c r="B974" s="34"/>
      <c r="C974" s="34"/>
      <c r="D974" s="34"/>
      <c r="S974" s="35"/>
      <c r="T974" s="43"/>
      <c r="U974" s="35"/>
      <c r="V974" s="39"/>
    </row>
    <row r="975" spans="1:22" ht="15.75" customHeight="1" x14ac:dyDescent="0.35">
      <c r="A975" s="34"/>
      <c r="B975" s="34"/>
      <c r="C975" s="34"/>
      <c r="D975" s="34"/>
      <c r="S975" s="35"/>
      <c r="T975" s="43"/>
      <c r="U975" s="35"/>
      <c r="V975" s="39"/>
    </row>
    <row r="976" spans="1:22" ht="15.75" customHeight="1" x14ac:dyDescent="0.35">
      <c r="A976" s="34"/>
      <c r="B976" s="34"/>
      <c r="C976" s="34"/>
      <c r="D976" s="34"/>
      <c r="S976" s="35"/>
      <c r="T976" s="43"/>
      <c r="U976" s="35"/>
      <c r="V976" s="39"/>
    </row>
    <row r="977" spans="1:22" ht="15.75" customHeight="1" x14ac:dyDescent="0.35">
      <c r="A977" s="34"/>
      <c r="B977" s="34"/>
      <c r="C977" s="34"/>
      <c r="D977" s="34"/>
      <c r="S977" s="35"/>
      <c r="T977" s="43"/>
      <c r="U977" s="35"/>
      <c r="V977" s="39"/>
    </row>
    <row r="978" spans="1:22" ht="15.75" customHeight="1" x14ac:dyDescent="0.35">
      <c r="A978" s="34"/>
      <c r="B978" s="34"/>
      <c r="C978" s="34"/>
      <c r="D978" s="34"/>
      <c r="S978" s="35"/>
      <c r="T978" s="43"/>
      <c r="U978" s="35"/>
      <c r="V978" s="39"/>
    </row>
    <row r="979" spans="1:22" ht="15.75" customHeight="1" x14ac:dyDescent="0.35">
      <c r="A979" s="34"/>
      <c r="B979" s="34"/>
      <c r="C979" s="34"/>
      <c r="D979" s="34"/>
      <c r="S979" s="35"/>
      <c r="T979" s="43"/>
      <c r="U979" s="35"/>
      <c r="V979" s="39"/>
    </row>
    <row r="980" spans="1:22" ht="15.75" customHeight="1" x14ac:dyDescent="0.35">
      <c r="A980" s="34"/>
      <c r="B980" s="34"/>
      <c r="C980" s="34"/>
      <c r="D980" s="34"/>
      <c r="S980" s="35"/>
      <c r="T980" s="43"/>
      <c r="U980" s="35"/>
      <c r="V980" s="39"/>
    </row>
    <row r="981" spans="1:22" ht="15.75" customHeight="1" x14ac:dyDescent="0.35">
      <c r="A981" s="34"/>
      <c r="B981" s="34"/>
      <c r="C981" s="34"/>
      <c r="D981" s="34"/>
      <c r="S981" s="35"/>
      <c r="T981" s="43"/>
      <c r="U981" s="35"/>
      <c r="V981" s="39"/>
    </row>
    <row r="982" spans="1:22" ht="15.75" customHeight="1" x14ac:dyDescent="0.35">
      <c r="A982" s="34"/>
      <c r="B982" s="34"/>
      <c r="C982" s="34"/>
      <c r="D982" s="34"/>
      <c r="S982" s="35"/>
      <c r="T982" s="43"/>
      <c r="U982" s="35"/>
      <c r="V982" s="39"/>
    </row>
    <row r="983" spans="1:22" ht="15.75" customHeight="1" x14ac:dyDescent="0.35">
      <c r="A983" s="34"/>
      <c r="B983" s="34"/>
      <c r="C983" s="34"/>
      <c r="D983" s="34"/>
      <c r="S983" s="35"/>
      <c r="T983" s="43"/>
      <c r="U983" s="35"/>
      <c r="V983" s="39"/>
    </row>
    <row r="984" spans="1:22" ht="15.75" customHeight="1" x14ac:dyDescent="0.35">
      <c r="A984" s="34"/>
      <c r="B984" s="34"/>
      <c r="C984" s="34"/>
      <c r="D984" s="34"/>
      <c r="S984" s="35"/>
      <c r="T984" s="43"/>
      <c r="U984" s="35"/>
      <c r="V984" s="39"/>
    </row>
    <row r="985" spans="1:22" ht="15.75" customHeight="1" x14ac:dyDescent="0.35">
      <c r="A985" s="34"/>
      <c r="B985" s="34"/>
      <c r="C985" s="34"/>
      <c r="D985" s="34"/>
      <c r="S985" s="35"/>
      <c r="T985" s="43"/>
      <c r="U985" s="35"/>
      <c r="V985" s="39"/>
    </row>
    <row r="986" spans="1:22" ht="15.75" customHeight="1" x14ac:dyDescent="0.35">
      <c r="A986" s="34"/>
      <c r="B986" s="34"/>
      <c r="C986" s="34"/>
      <c r="D986" s="34"/>
      <c r="S986" s="35"/>
      <c r="T986" s="43"/>
      <c r="U986" s="35"/>
      <c r="V986" s="39"/>
    </row>
    <row r="987" spans="1:22" ht="15.75" customHeight="1" x14ac:dyDescent="0.35">
      <c r="A987" s="34"/>
      <c r="B987" s="34"/>
      <c r="C987" s="34"/>
      <c r="D987" s="34"/>
      <c r="S987" s="35"/>
      <c r="T987" s="43"/>
      <c r="U987" s="35"/>
      <c r="V987" s="39"/>
    </row>
    <row r="988" spans="1:22" ht="15.75" customHeight="1" x14ac:dyDescent="0.35">
      <c r="A988" s="34"/>
      <c r="B988" s="34"/>
      <c r="C988" s="34"/>
      <c r="D988" s="34"/>
      <c r="S988" s="35"/>
      <c r="T988" s="43"/>
      <c r="U988" s="35"/>
      <c r="V988" s="39"/>
    </row>
    <row r="989" spans="1:22" ht="15.75" customHeight="1" x14ac:dyDescent="0.35">
      <c r="A989" s="34"/>
      <c r="B989" s="34"/>
      <c r="C989" s="34"/>
      <c r="D989" s="34"/>
      <c r="S989" s="35"/>
      <c r="T989" s="43"/>
      <c r="U989" s="35"/>
      <c r="V989" s="39"/>
    </row>
    <row r="990" spans="1:22" ht="15.75" customHeight="1" x14ac:dyDescent="0.35">
      <c r="A990" s="34"/>
      <c r="B990" s="34"/>
      <c r="C990" s="34"/>
      <c r="D990" s="34"/>
      <c r="S990" s="35"/>
      <c r="T990" s="43"/>
      <c r="U990" s="35"/>
      <c r="V990" s="39"/>
    </row>
    <row r="991" spans="1:22" ht="15.75" customHeight="1" x14ac:dyDescent="0.35">
      <c r="A991" s="34"/>
      <c r="B991" s="34"/>
      <c r="C991" s="34"/>
      <c r="D991" s="34"/>
      <c r="S991" s="35"/>
      <c r="T991" s="43"/>
      <c r="U991" s="35"/>
      <c r="V991" s="39"/>
    </row>
    <row r="992" spans="1:22" ht="15.75" customHeight="1" x14ac:dyDescent="0.35">
      <c r="A992" s="34"/>
      <c r="B992" s="34"/>
      <c r="C992" s="34"/>
      <c r="D992" s="34"/>
      <c r="S992" s="35"/>
      <c r="T992" s="43"/>
      <c r="U992" s="35"/>
      <c r="V992" s="39"/>
    </row>
    <row r="993" spans="1:22" ht="15.75" customHeight="1" x14ac:dyDescent="0.35">
      <c r="A993" s="34"/>
      <c r="B993" s="34"/>
      <c r="C993" s="34"/>
      <c r="D993" s="34"/>
      <c r="S993" s="35"/>
      <c r="T993" s="43"/>
      <c r="U993" s="35"/>
      <c r="V993" s="39"/>
    </row>
    <row r="994" spans="1:22" ht="15.75" customHeight="1" x14ac:dyDescent="0.35">
      <c r="A994" s="34"/>
      <c r="B994" s="34"/>
      <c r="C994" s="34"/>
      <c r="D994" s="34"/>
      <c r="S994" s="35"/>
      <c r="T994" s="43"/>
      <c r="U994" s="35"/>
      <c r="V994" s="39"/>
    </row>
    <row r="995" spans="1:22" ht="15.75" customHeight="1" x14ac:dyDescent="0.35">
      <c r="A995" s="34"/>
      <c r="B995" s="34"/>
      <c r="C995" s="34"/>
      <c r="D995" s="34"/>
      <c r="S995" s="35"/>
      <c r="T995" s="43"/>
      <c r="U995" s="35"/>
      <c r="V995" s="39"/>
    </row>
    <row r="996" spans="1:22" ht="15.75" customHeight="1" x14ac:dyDescent="0.35">
      <c r="A996" s="34"/>
      <c r="B996" s="34"/>
      <c r="C996" s="34"/>
      <c r="D996" s="34"/>
      <c r="S996" s="35"/>
      <c r="T996" s="43"/>
      <c r="U996" s="35"/>
      <c r="V996" s="39"/>
    </row>
    <row r="997" spans="1:22" ht="15.75" customHeight="1" x14ac:dyDescent="0.35">
      <c r="A997" s="34"/>
      <c r="B997" s="34"/>
      <c r="C997" s="34"/>
      <c r="D997" s="34"/>
      <c r="S997" s="35"/>
      <c r="T997" s="43"/>
      <c r="U997" s="35"/>
      <c r="V997" s="39"/>
    </row>
    <row r="998" spans="1:22" ht="15.75" customHeight="1" x14ac:dyDescent="0.35">
      <c r="A998" s="34"/>
      <c r="B998" s="34"/>
      <c r="C998" s="34"/>
      <c r="D998" s="34"/>
      <c r="S998" s="35"/>
      <c r="T998" s="43"/>
      <c r="U998" s="35"/>
      <c r="V998" s="39"/>
    </row>
    <row r="999" spans="1:22" ht="15.75" customHeight="1" x14ac:dyDescent="0.35">
      <c r="A999" s="34"/>
      <c r="B999" s="34"/>
      <c r="C999" s="34"/>
      <c r="D999" s="34"/>
      <c r="S999" s="35"/>
      <c r="T999" s="43"/>
      <c r="U999" s="35"/>
      <c r="V999" s="39"/>
    </row>
    <row r="1000" spans="1:22" ht="15.75" customHeight="1" x14ac:dyDescent="0.35">
      <c r="A1000" s="34"/>
      <c r="B1000" s="34"/>
      <c r="C1000" s="34"/>
      <c r="D1000" s="34"/>
      <c r="S1000" s="35"/>
      <c r="T1000" s="43"/>
      <c r="U1000" s="35"/>
      <c r="V1000" s="39"/>
    </row>
    <row r="1001" spans="1:22" ht="15.75" customHeight="1" x14ac:dyDescent="0.35">
      <c r="A1001" s="34"/>
      <c r="B1001" s="34"/>
      <c r="C1001" s="34"/>
      <c r="D1001" s="34"/>
      <c r="S1001" s="35"/>
      <c r="T1001" s="43"/>
      <c r="U1001" s="35"/>
      <c r="V1001" s="39"/>
    </row>
    <row r="1002" spans="1:22" ht="15.75" customHeight="1" x14ac:dyDescent="0.35">
      <c r="A1002" s="34"/>
      <c r="B1002" s="34"/>
      <c r="C1002" s="34"/>
      <c r="D1002" s="34"/>
      <c r="S1002" s="35"/>
      <c r="T1002" s="43"/>
      <c r="U1002" s="35"/>
      <c r="V1002" s="39"/>
    </row>
    <row r="1003" spans="1:22" ht="15.75" customHeight="1" x14ac:dyDescent="0.35">
      <c r="A1003" s="34"/>
      <c r="B1003" s="34"/>
      <c r="C1003" s="34"/>
      <c r="D1003" s="34"/>
      <c r="S1003" s="35"/>
      <c r="T1003" s="43"/>
      <c r="U1003" s="35"/>
      <c r="V1003" s="39"/>
    </row>
    <row r="1004" spans="1:22" ht="15.75" customHeight="1" x14ac:dyDescent="0.35">
      <c r="A1004" s="34"/>
      <c r="B1004" s="34"/>
      <c r="C1004" s="34"/>
      <c r="D1004" s="34"/>
      <c r="S1004" s="35"/>
      <c r="T1004" s="43"/>
      <c r="U1004" s="35"/>
      <c r="V1004" s="39"/>
    </row>
    <row r="1005" spans="1:22" ht="15.75" customHeight="1" x14ac:dyDescent="0.35">
      <c r="A1005" s="34"/>
      <c r="B1005" s="34"/>
      <c r="C1005" s="34"/>
      <c r="D1005" s="34"/>
      <c r="S1005" s="35"/>
      <c r="T1005" s="43"/>
      <c r="U1005" s="35"/>
      <c r="V1005" s="39"/>
    </row>
    <row r="1006" spans="1:22" ht="15.75" customHeight="1" x14ac:dyDescent="0.35">
      <c r="A1006" s="34"/>
      <c r="B1006" s="34"/>
      <c r="C1006" s="34"/>
      <c r="D1006" s="34"/>
      <c r="S1006" s="35"/>
      <c r="T1006" s="43"/>
      <c r="U1006" s="35"/>
      <c r="V1006" s="39"/>
    </row>
    <row r="1007" spans="1:22" ht="15.75" customHeight="1" x14ac:dyDescent="0.35">
      <c r="A1007" s="34"/>
      <c r="B1007" s="34"/>
      <c r="C1007" s="34"/>
      <c r="D1007" s="34"/>
      <c r="S1007" s="35"/>
      <c r="T1007" s="43"/>
      <c r="U1007" s="35"/>
      <c r="V1007" s="39"/>
    </row>
    <row r="1008" spans="1:22" ht="15.75" customHeight="1" x14ac:dyDescent="0.35">
      <c r="A1008" s="34"/>
      <c r="B1008" s="34"/>
      <c r="C1008" s="34"/>
      <c r="D1008" s="34"/>
      <c r="S1008" s="35"/>
      <c r="T1008" s="43"/>
      <c r="U1008" s="35"/>
      <c r="V1008" s="39"/>
    </row>
    <row r="1009" spans="1:22" ht="15.75" customHeight="1" x14ac:dyDescent="0.35">
      <c r="A1009" s="34"/>
      <c r="B1009" s="34"/>
      <c r="C1009" s="34"/>
      <c r="D1009" s="34"/>
      <c r="S1009" s="35"/>
      <c r="T1009" s="43"/>
      <c r="U1009" s="35"/>
      <c r="V1009" s="39"/>
    </row>
    <row r="1010" spans="1:22" ht="15.75" customHeight="1" x14ac:dyDescent="0.35">
      <c r="A1010" s="34"/>
      <c r="B1010" s="34"/>
      <c r="C1010" s="34"/>
      <c r="D1010" s="34"/>
      <c r="S1010" s="35"/>
      <c r="T1010" s="43"/>
      <c r="U1010" s="35"/>
      <c r="V1010" s="39"/>
    </row>
    <row r="1011" spans="1:22" ht="15.75" customHeight="1" x14ac:dyDescent="0.35">
      <c r="A1011" s="34"/>
      <c r="B1011" s="34"/>
      <c r="C1011" s="34"/>
      <c r="D1011" s="34"/>
      <c r="S1011" s="35"/>
      <c r="T1011" s="43"/>
      <c r="U1011" s="35"/>
      <c r="V1011" s="39"/>
    </row>
    <row r="1012" spans="1:22" ht="15.75" customHeight="1" x14ac:dyDescent="0.35">
      <c r="A1012" s="34"/>
      <c r="B1012" s="34"/>
      <c r="C1012" s="34"/>
      <c r="D1012" s="34"/>
      <c r="S1012" s="35"/>
      <c r="T1012" s="43"/>
      <c r="U1012" s="35"/>
      <c r="V1012" s="39"/>
    </row>
    <row r="1013" spans="1:22" ht="15.75" customHeight="1" x14ac:dyDescent="0.35">
      <c r="A1013" s="34"/>
      <c r="B1013" s="34"/>
      <c r="C1013" s="34"/>
      <c r="D1013" s="34"/>
      <c r="S1013" s="35"/>
      <c r="T1013" s="43"/>
      <c r="U1013" s="35"/>
      <c r="V1013" s="39"/>
    </row>
    <row r="1014" spans="1:22" ht="15.75" customHeight="1" x14ac:dyDescent="0.35">
      <c r="A1014" s="34"/>
      <c r="B1014" s="34"/>
      <c r="C1014" s="34"/>
      <c r="D1014" s="34"/>
      <c r="S1014" s="35"/>
      <c r="T1014" s="43"/>
      <c r="U1014" s="35"/>
      <c r="V1014" s="39"/>
    </row>
    <row r="1015" spans="1:22" ht="15.75" customHeight="1" x14ac:dyDescent="0.35">
      <c r="A1015" s="34"/>
      <c r="B1015" s="34"/>
      <c r="C1015" s="34"/>
      <c r="D1015" s="34"/>
      <c r="S1015" s="35"/>
      <c r="T1015" s="43"/>
      <c r="U1015" s="35"/>
      <c r="V1015" s="39"/>
    </row>
    <row r="1016" spans="1:22" ht="15.75" customHeight="1" x14ac:dyDescent="0.35">
      <c r="A1016" s="34"/>
      <c r="B1016" s="34"/>
      <c r="C1016" s="34"/>
      <c r="D1016" s="34"/>
      <c r="S1016" s="35"/>
      <c r="T1016" s="43"/>
      <c r="U1016" s="35"/>
      <c r="V1016" s="39"/>
    </row>
    <row r="1017" spans="1:22" ht="15.75" customHeight="1" x14ac:dyDescent="0.35">
      <c r="A1017" s="34"/>
      <c r="B1017" s="34"/>
      <c r="C1017" s="34"/>
      <c r="D1017" s="34"/>
      <c r="S1017" s="35"/>
      <c r="T1017" s="43"/>
      <c r="U1017" s="35"/>
      <c r="V1017" s="39"/>
    </row>
    <row r="1018" spans="1:22" ht="15.75" customHeight="1" x14ac:dyDescent="0.35">
      <c r="A1018" s="34"/>
      <c r="B1018" s="34"/>
      <c r="C1018" s="34"/>
      <c r="D1018" s="34"/>
      <c r="S1018" s="35"/>
      <c r="T1018" s="43"/>
      <c r="U1018" s="35"/>
      <c r="V1018" s="39"/>
    </row>
    <row r="1019" spans="1:22" ht="15.75" customHeight="1" x14ac:dyDescent="0.35">
      <c r="A1019" s="34"/>
      <c r="B1019" s="34"/>
      <c r="C1019" s="34"/>
      <c r="D1019" s="34"/>
      <c r="S1019" s="35"/>
      <c r="T1019" s="43"/>
      <c r="U1019" s="35"/>
      <c r="V1019" s="39"/>
    </row>
    <row r="1020" spans="1:22" ht="15.75" customHeight="1" x14ac:dyDescent="0.35">
      <c r="A1020" s="34"/>
      <c r="B1020" s="34"/>
      <c r="C1020" s="34"/>
      <c r="D1020" s="34"/>
      <c r="S1020" s="35"/>
      <c r="T1020" s="43"/>
      <c r="U1020" s="35"/>
      <c r="V1020" s="39"/>
    </row>
    <row r="1021" spans="1:22" ht="15.75" customHeight="1" x14ac:dyDescent="0.35">
      <c r="A1021" s="34"/>
      <c r="B1021" s="34"/>
      <c r="C1021" s="34"/>
      <c r="D1021" s="34"/>
      <c r="S1021" s="35"/>
      <c r="T1021" s="43"/>
      <c r="U1021" s="35"/>
      <c r="V1021" s="39"/>
    </row>
    <row r="1022" spans="1:22" ht="15.75" customHeight="1" x14ac:dyDescent="0.35">
      <c r="A1022" s="34"/>
      <c r="B1022" s="34"/>
      <c r="C1022" s="34"/>
      <c r="D1022" s="34"/>
      <c r="S1022" s="35"/>
      <c r="T1022" s="43"/>
      <c r="U1022" s="35"/>
      <c r="V1022" s="39"/>
    </row>
    <row r="1023" spans="1:22" ht="15.75" customHeight="1" x14ac:dyDescent="0.35">
      <c r="A1023" s="34"/>
      <c r="B1023" s="34"/>
      <c r="C1023" s="34"/>
      <c r="D1023" s="34"/>
      <c r="S1023" s="35"/>
      <c r="T1023" s="43"/>
      <c r="U1023" s="35"/>
      <c r="V1023" s="39"/>
    </row>
    <row r="1024" spans="1:22" ht="15.75" customHeight="1" x14ac:dyDescent="0.35">
      <c r="A1024" s="34"/>
      <c r="B1024" s="34"/>
      <c r="C1024" s="34"/>
      <c r="D1024" s="34"/>
      <c r="S1024" s="35"/>
      <c r="T1024" s="43"/>
      <c r="U1024" s="35"/>
      <c r="V1024" s="39"/>
    </row>
    <row r="1025" spans="1:22" ht="15.75" customHeight="1" x14ac:dyDescent="0.35">
      <c r="A1025" s="34"/>
      <c r="B1025" s="34"/>
      <c r="C1025" s="34"/>
      <c r="D1025" s="34"/>
      <c r="S1025" s="35"/>
      <c r="T1025" s="43"/>
      <c r="U1025" s="35"/>
      <c r="V1025" s="39"/>
    </row>
    <row r="1026" spans="1:22" ht="15.75" customHeight="1" x14ac:dyDescent="0.35">
      <c r="A1026" s="34"/>
      <c r="B1026" s="34"/>
      <c r="C1026" s="34"/>
      <c r="D1026" s="34"/>
      <c r="S1026" s="35"/>
      <c r="T1026" s="43"/>
      <c r="U1026" s="35"/>
      <c r="V1026" s="39"/>
    </row>
    <row r="1027" spans="1:22" ht="15.75" customHeight="1" x14ac:dyDescent="0.35">
      <c r="A1027" s="34"/>
      <c r="B1027" s="34"/>
      <c r="C1027" s="34"/>
      <c r="D1027" s="34"/>
      <c r="S1027" s="35"/>
      <c r="T1027" s="43"/>
      <c r="U1027" s="35"/>
      <c r="V1027" s="39"/>
    </row>
    <row r="1028" spans="1:22" ht="15.75" customHeight="1" x14ac:dyDescent="0.35">
      <c r="A1028" s="34"/>
      <c r="B1028" s="34"/>
      <c r="C1028" s="34"/>
      <c r="D1028" s="34"/>
      <c r="S1028" s="35"/>
      <c r="T1028" s="43"/>
      <c r="U1028" s="35"/>
      <c r="V1028" s="39"/>
    </row>
    <row r="1029" spans="1:22" ht="15.75" customHeight="1" x14ac:dyDescent="0.35">
      <c r="A1029" s="34"/>
      <c r="B1029" s="34"/>
      <c r="C1029" s="34"/>
      <c r="D1029" s="34"/>
      <c r="S1029" s="35"/>
      <c r="T1029" s="43"/>
      <c r="U1029" s="35"/>
      <c r="V1029" s="39"/>
    </row>
    <row r="1030" spans="1:22" ht="15.75" customHeight="1" x14ac:dyDescent="0.35">
      <c r="A1030" s="34"/>
      <c r="B1030" s="34"/>
      <c r="C1030" s="34"/>
      <c r="D1030" s="34"/>
      <c r="S1030" s="35"/>
      <c r="T1030" s="43"/>
      <c r="U1030" s="35"/>
      <c r="V1030" s="39"/>
    </row>
    <row r="1031" spans="1:22" ht="15.75" customHeight="1" x14ac:dyDescent="0.35">
      <c r="A1031" s="34"/>
      <c r="B1031" s="34"/>
      <c r="C1031" s="34"/>
      <c r="D1031" s="34"/>
      <c r="S1031" s="35"/>
      <c r="T1031" s="43"/>
      <c r="U1031" s="35"/>
      <c r="V1031" s="39"/>
    </row>
    <row r="1032" spans="1:22" ht="15.75" customHeight="1" x14ac:dyDescent="0.35">
      <c r="A1032" s="34"/>
      <c r="B1032" s="34"/>
      <c r="C1032" s="34"/>
      <c r="D1032" s="34"/>
      <c r="S1032" s="35"/>
      <c r="T1032" s="43"/>
      <c r="U1032" s="35"/>
      <c r="V1032" s="39"/>
    </row>
    <row r="1033" spans="1:22" ht="15.75" customHeight="1" x14ac:dyDescent="0.35">
      <c r="A1033" s="34"/>
      <c r="B1033" s="34"/>
      <c r="C1033" s="34"/>
      <c r="D1033" s="34"/>
      <c r="S1033" s="35"/>
      <c r="T1033" s="43"/>
      <c r="U1033" s="35"/>
      <c r="V1033" s="39"/>
    </row>
    <row r="1034" spans="1:22" ht="15.75" customHeight="1" x14ac:dyDescent="0.35">
      <c r="A1034" s="34"/>
      <c r="B1034" s="34"/>
      <c r="C1034" s="34"/>
      <c r="D1034" s="34"/>
      <c r="S1034" s="35"/>
      <c r="T1034" s="43"/>
      <c r="U1034" s="35"/>
      <c r="V1034" s="39"/>
    </row>
    <row r="1035" spans="1:22" ht="15.75" customHeight="1" x14ac:dyDescent="0.35">
      <c r="A1035" s="34"/>
      <c r="B1035" s="34"/>
      <c r="C1035" s="34"/>
      <c r="D1035" s="34"/>
      <c r="S1035" s="35"/>
      <c r="T1035" s="43"/>
      <c r="U1035" s="35"/>
      <c r="V1035" s="39"/>
    </row>
    <row r="1036" spans="1:22" ht="15.75" customHeight="1" x14ac:dyDescent="0.35">
      <c r="A1036" s="34"/>
      <c r="B1036" s="34"/>
      <c r="C1036" s="34"/>
      <c r="D1036" s="34"/>
      <c r="S1036" s="35"/>
      <c r="T1036" s="43"/>
      <c r="U1036" s="35"/>
      <c r="V1036" s="39"/>
    </row>
    <row r="1037" spans="1:22" ht="15.75" customHeight="1" x14ac:dyDescent="0.35">
      <c r="A1037" s="34"/>
      <c r="B1037" s="34"/>
      <c r="C1037" s="34"/>
      <c r="D1037" s="34"/>
      <c r="S1037" s="35"/>
      <c r="T1037" s="43"/>
      <c r="U1037" s="35"/>
      <c r="V1037" s="39"/>
    </row>
    <row r="1038" spans="1:22" ht="15.75" customHeight="1" x14ac:dyDescent="0.35">
      <c r="A1038" s="34"/>
      <c r="B1038" s="34"/>
      <c r="C1038" s="34"/>
      <c r="D1038" s="34"/>
      <c r="S1038" s="35"/>
      <c r="T1038" s="43"/>
      <c r="U1038" s="35"/>
      <c r="V1038" s="39"/>
    </row>
    <row r="1039" spans="1:22" ht="15.75" customHeight="1" x14ac:dyDescent="0.35">
      <c r="A1039" s="34"/>
      <c r="B1039" s="34"/>
      <c r="C1039" s="34"/>
      <c r="D1039" s="34"/>
      <c r="S1039" s="35"/>
      <c r="T1039" s="43"/>
      <c r="U1039" s="35"/>
      <c r="V1039" s="39"/>
    </row>
    <row r="1040" spans="1:22" ht="15.75" customHeight="1" x14ac:dyDescent="0.35">
      <c r="A1040" s="34"/>
      <c r="B1040" s="34"/>
      <c r="C1040" s="34"/>
      <c r="D1040" s="34"/>
      <c r="S1040" s="35"/>
      <c r="T1040" s="43"/>
      <c r="U1040" s="35"/>
      <c r="V1040" s="39"/>
    </row>
    <row r="1041" spans="1:22" ht="15.75" customHeight="1" x14ac:dyDescent="0.35">
      <c r="A1041" s="34"/>
      <c r="B1041" s="34"/>
      <c r="C1041" s="34"/>
      <c r="D1041" s="34"/>
      <c r="S1041" s="35"/>
      <c r="T1041" s="43"/>
      <c r="U1041" s="35"/>
      <c r="V1041" s="39"/>
    </row>
    <row r="1042" spans="1:22" ht="15.75" customHeight="1" x14ac:dyDescent="0.35">
      <c r="A1042" s="34"/>
      <c r="B1042" s="34"/>
      <c r="C1042" s="34"/>
      <c r="D1042" s="34"/>
      <c r="S1042" s="35"/>
      <c r="T1042" s="43"/>
      <c r="U1042" s="35"/>
      <c r="V1042" s="39"/>
    </row>
    <row r="1043" spans="1:22" ht="15.75" customHeight="1" x14ac:dyDescent="0.35">
      <c r="A1043" s="34"/>
      <c r="B1043" s="34"/>
      <c r="C1043" s="34"/>
      <c r="D1043" s="34"/>
      <c r="S1043" s="35"/>
      <c r="T1043" s="43"/>
      <c r="U1043" s="35"/>
      <c r="V1043" s="39"/>
    </row>
    <row r="1044" spans="1:22" ht="15.75" customHeight="1" x14ac:dyDescent="0.35">
      <c r="A1044" s="34"/>
      <c r="B1044" s="34"/>
      <c r="C1044" s="34"/>
      <c r="D1044" s="34"/>
      <c r="S1044" s="35"/>
      <c r="T1044" s="43"/>
      <c r="U1044" s="35"/>
      <c r="V1044" s="39"/>
    </row>
    <row r="1045" spans="1:22" ht="15.75" customHeight="1" x14ac:dyDescent="0.35">
      <c r="A1045" s="34"/>
      <c r="B1045" s="34"/>
      <c r="C1045" s="34"/>
      <c r="D1045" s="34"/>
      <c r="S1045" s="35"/>
      <c r="T1045" s="43"/>
      <c r="U1045" s="35"/>
      <c r="V1045" s="39"/>
    </row>
    <row r="1046" spans="1:22" ht="15.75" customHeight="1" x14ac:dyDescent="0.35">
      <c r="A1046" s="34"/>
      <c r="B1046" s="34"/>
      <c r="C1046" s="34"/>
      <c r="D1046" s="34"/>
      <c r="S1046" s="35"/>
      <c r="T1046" s="43"/>
      <c r="U1046" s="35"/>
      <c r="V1046" s="39"/>
    </row>
    <row r="1047" spans="1:22" ht="15.75" customHeight="1" x14ac:dyDescent="0.35">
      <c r="A1047" s="34"/>
      <c r="B1047" s="34"/>
      <c r="C1047" s="34"/>
      <c r="D1047" s="34"/>
      <c r="S1047" s="35"/>
      <c r="T1047" s="43"/>
      <c r="U1047" s="35"/>
      <c r="V1047" s="39"/>
    </row>
    <row r="1048" spans="1:22" ht="15.75" customHeight="1" x14ac:dyDescent="0.35">
      <c r="A1048" s="34"/>
      <c r="B1048" s="34"/>
      <c r="C1048" s="34"/>
      <c r="D1048" s="34"/>
      <c r="S1048" s="35"/>
      <c r="T1048" s="43"/>
      <c r="U1048" s="35"/>
      <c r="V1048" s="39"/>
    </row>
    <row r="1049" spans="1:22" ht="15.75" customHeight="1" x14ac:dyDescent="0.35">
      <c r="A1049" s="34"/>
      <c r="B1049" s="34"/>
      <c r="C1049" s="34"/>
      <c r="D1049" s="34"/>
      <c r="S1049" s="35"/>
      <c r="T1049" s="43"/>
      <c r="U1049" s="35"/>
      <c r="V1049" s="39"/>
    </row>
    <row r="1050" spans="1:22" ht="15.75" customHeight="1" x14ac:dyDescent="0.35">
      <c r="A1050" s="34"/>
      <c r="B1050" s="34"/>
      <c r="C1050" s="34"/>
      <c r="D1050" s="34"/>
      <c r="S1050" s="35"/>
      <c r="T1050" s="43"/>
      <c r="U1050" s="35"/>
      <c r="V1050" s="39"/>
    </row>
    <row r="1051" spans="1:22" ht="15.75" customHeight="1" x14ac:dyDescent="0.35">
      <c r="A1051" s="34"/>
      <c r="B1051" s="34"/>
      <c r="C1051" s="34"/>
      <c r="D1051" s="34"/>
      <c r="S1051" s="35"/>
      <c r="T1051" s="43"/>
      <c r="U1051" s="35"/>
      <c r="V1051" s="39"/>
    </row>
    <row r="1052" spans="1:22" ht="15.75" customHeight="1" x14ac:dyDescent="0.35">
      <c r="A1052" s="34"/>
      <c r="B1052" s="34"/>
      <c r="C1052" s="34"/>
      <c r="D1052" s="34"/>
      <c r="S1052" s="35"/>
      <c r="T1052" s="43"/>
      <c r="U1052" s="35"/>
      <c r="V1052" s="39"/>
    </row>
    <row r="1053" spans="1:22" ht="15.75" customHeight="1" x14ac:dyDescent="0.35">
      <c r="A1053" s="34"/>
      <c r="B1053" s="34"/>
      <c r="C1053" s="34"/>
      <c r="D1053" s="34"/>
      <c r="S1053" s="35"/>
      <c r="T1053" s="43"/>
      <c r="U1053" s="35"/>
      <c r="V1053" s="39"/>
    </row>
    <row r="1054" spans="1:22" ht="15.75" customHeight="1" x14ac:dyDescent="0.35">
      <c r="A1054" s="34"/>
      <c r="B1054" s="34"/>
      <c r="C1054" s="34"/>
      <c r="D1054" s="34"/>
      <c r="S1054" s="35"/>
      <c r="T1054" s="43"/>
      <c r="U1054" s="35"/>
      <c r="V1054" s="39"/>
    </row>
    <row r="1055" spans="1:22" ht="15.75" customHeight="1" x14ac:dyDescent="0.35">
      <c r="A1055" s="34"/>
      <c r="B1055" s="34"/>
      <c r="C1055" s="34"/>
      <c r="D1055" s="34"/>
      <c r="S1055" s="35"/>
      <c r="T1055" s="43"/>
      <c r="U1055" s="35"/>
      <c r="V1055" s="39"/>
    </row>
    <row r="1056" spans="1:22" ht="15.75" customHeight="1" x14ac:dyDescent="0.35">
      <c r="A1056" s="34"/>
      <c r="B1056" s="34"/>
      <c r="C1056" s="34"/>
      <c r="D1056" s="34"/>
      <c r="S1056" s="35"/>
      <c r="T1056" s="43"/>
      <c r="U1056" s="35"/>
      <c r="V1056" s="39"/>
    </row>
    <row r="1057" spans="1:22" ht="15.75" customHeight="1" x14ac:dyDescent="0.35">
      <c r="A1057" s="34"/>
      <c r="B1057" s="34"/>
      <c r="C1057" s="34"/>
      <c r="D1057" s="34"/>
      <c r="S1057" s="35"/>
      <c r="T1057" s="43"/>
      <c r="U1057" s="35"/>
      <c r="V1057" s="39"/>
    </row>
    <row r="1058" spans="1:22" ht="15.75" customHeight="1" x14ac:dyDescent="0.35">
      <c r="A1058" s="34"/>
      <c r="B1058" s="34"/>
      <c r="C1058" s="34"/>
      <c r="D1058" s="34"/>
      <c r="S1058" s="35"/>
      <c r="T1058" s="43"/>
      <c r="U1058" s="35"/>
      <c r="V1058" s="39"/>
    </row>
    <row r="1059" spans="1:22" ht="15.75" customHeight="1" x14ac:dyDescent="0.35">
      <c r="A1059" s="34"/>
      <c r="B1059" s="34"/>
      <c r="C1059" s="34"/>
      <c r="D1059" s="34"/>
      <c r="S1059" s="35"/>
      <c r="T1059" s="43"/>
      <c r="U1059" s="35"/>
      <c r="V1059" s="39"/>
    </row>
    <row r="1060" spans="1:22" ht="15.75" customHeight="1" x14ac:dyDescent="0.35">
      <c r="A1060" s="34"/>
      <c r="B1060" s="34"/>
      <c r="C1060" s="34"/>
      <c r="D1060" s="34"/>
      <c r="S1060" s="35"/>
      <c r="T1060" s="43"/>
      <c r="U1060" s="35"/>
      <c r="V1060" s="39"/>
    </row>
    <row r="1061" spans="1:22" ht="15.75" customHeight="1" x14ac:dyDescent="0.35">
      <c r="A1061" s="34"/>
      <c r="B1061" s="34"/>
      <c r="C1061" s="34"/>
      <c r="D1061" s="34"/>
      <c r="S1061" s="35"/>
      <c r="T1061" s="43"/>
      <c r="U1061" s="35"/>
      <c r="V1061" s="39"/>
    </row>
    <row r="1062" spans="1:22" ht="15.75" customHeight="1" x14ac:dyDescent="0.35">
      <c r="A1062" s="34"/>
      <c r="B1062" s="34"/>
      <c r="C1062" s="34"/>
      <c r="D1062" s="34"/>
      <c r="S1062" s="35"/>
      <c r="T1062" s="43"/>
      <c r="U1062" s="35"/>
      <c r="V1062" s="39"/>
    </row>
    <row r="1063" spans="1:22" ht="15.75" customHeight="1" x14ac:dyDescent="0.35">
      <c r="A1063" s="34"/>
      <c r="B1063" s="34"/>
      <c r="C1063" s="34"/>
      <c r="D1063" s="34"/>
      <c r="S1063" s="35"/>
      <c r="T1063" s="43"/>
      <c r="U1063" s="35"/>
      <c r="V1063" s="39"/>
    </row>
    <row r="1064" spans="1:22" ht="15.75" customHeight="1" x14ac:dyDescent="0.35">
      <c r="A1064" s="34"/>
      <c r="B1064" s="34"/>
      <c r="C1064" s="34"/>
      <c r="D1064" s="34"/>
      <c r="S1064" s="35"/>
      <c r="T1064" s="43"/>
      <c r="U1064" s="35"/>
      <c r="V1064" s="39"/>
    </row>
    <row r="1065" spans="1:22" ht="15.75" customHeight="1" x14ac:dyDescent="0.35">
      <c r="A1065" s="34"/>
      <c r="B1065" s="34"/>
      <c r="C1065" s="34"/>
      <c r="D1065" s="34"/>
      <c r="S1065" s="35"/>
      <c r="T1065" s="43"/>
      <c r="U1065" s="35"/>
      <c r="V1065" s="39"/>
    </row>
    <row r="1066" spans="1:22" ht="15.75" customHeight="1" x14ac:dyDescent="0.35">
      <c r="A1066" s="34"/>
      <c r="B1066" s="34"/>
      <c r="C1066" s="34"/>
      <c r="D1066" s="34"/>
      <c r="S1066" s="35"/>
      <c r="T1066" s="43"/>
      <c r="U1066" s="35"/>
      <c r="V1066" s="39"/>
    </row>
    <row r="1067" spans="1:22" ht="15.75" customHeight="1" x14ac:dyDescent="0.35">
      <c r="A1067" s="34"/>
      <c r="B1067" s="34"/>
      <c r="C1067" s="34"/>
      <c r="D1067" s="34"/>
      <c r="S1067" s="35"/>
      <c r="T1067" s="43"/>
      <c r="U1067" s="35"/>
      <c r="V1067" s="39"/>
    </row>
    <row r="1068" spans="1:22" ht="15.75" customHeight="1" x14ac:dyDescent="0.35">
      <c r="A1068" s="34"/>
      <c r="B1068" s="34"/>
      <c r="C1068" s="34"/>
      <c r="D1068" s="34"/>
      <c r="S1068" s="35"/>
      <c r="T1068" s="43"/>
      <c r="U1068" s="35"/>
      <c r="V1068" s="39"/>
    </row>
    <row r="1069" spans="1:22" ht="15.75" customHeight="1" x14ac:dyDescent="0.35">
      <c r="A1069" s="34"/>
      <c r="B1069" s="34"/>
      <c r="C1069" s="34"/>
      <c r="D1069" s="34"/>
      <c r="S1069" s="35"/>
      <c r="T1069" s="43"/>
      <c r="U1069" s="35"/>
      <c r="V1069" s="39"/>
    </row>
    <row r="1070" spans="1:22" ht="15.75" customHeight="1" x14ac:dyDescent="0.35">
      <c r="A1070" s="34"/>
      <c r="B1070" s="34"/>
      <c r="C1070" s="34"/>
      <c r="D1070" s="34"/>
      <c r="S1070" s="35"/>
      <c r="T1070" s="43"/>
      <c r="U1070" s="35"/>
      <c r="V1070" s="39"/>
    </row>
    <row r="1071" spans="1:22" ht="15.75" customHeight="1" x14ac:dyDescent="0.35">
      <c r="A1071" s="34"/>
      <c r="B1071" s="34"/>
      <c r="C1071" s="34"/>
      <c r="D1071" s="34"/>
      <c r="S1071" s="35"/>
      <c r="T1071" s="43"/>
      <c r="U1071" s="35"/>
      <c r="V1071" s="39"/>
    </row>
    <row r="1072" spans="1:22" ht="15.75" customHeight="1" x14ac:dyDescent="0.35">
      <c r="A1072" s="34"/>
      <c r="B1072" s="34"/>
      <c r="C1072" s="34"/>
      <c r="D1072" s="34"/>
      <c r="S1072" s="35"/>
      <c r="T1072" s="43"/>
      <c r="U1072" s="35"/>
      <c r="V1072" s="39"/>
    </row>
    <row r="1073" spans="1:22" ht="15.75" customHeight="1" x14ac:dyDescent="0.35">
      <c r="A1073" s="34"/>
      <c r="B1073" s="34"/>
      <c r="C1073" s="34"/>
      <c r="D1073" s="34"/>
      <c r="S1073" s="35"/>
      <c r="T1073" s="43"/>
      <c r="U1073" s="35"/>
      <c r="V1073" s="39"/>
    </row>
    <row r="1074" spans="1:22" ht="15.75" customHeight="1" x14ac:dyDescent="0.35">
      <c r="A1074" s="34"/>
      <c r="B1074" s="34"/>
      <c r="C1074" s="34"/>
      <c r="D1074" s="34"/>
      <c r="S1074" s="35"/>
      <c r="T1074" s="43"/>
      <c r="U1074" s="35"/>
      <c r="V1074" s="39"/>
    </row>
    <row r="1075" spans="1:22" ht="15.75" customHeight="1" x14ac:dyDescent="0.35">
      <c r="A1075" s="34"/>
      <c r="B1075" s="34"/>
      <c r="C1075" s="34"/>
      <c r="D1075" s="34"/>
      <c r="S1075" s="35"/>
      <c r="T1075" s="43"/>
      <c r="U1075" s="35"/>
      <c r="V1075" s="39"/>
    </row>
    <row r="1076" spans="1:22" ht="15.75" customHeight="1" x14ac:dyDescent="0.35">
      <c r="A1076" s="34"/>
      <c r="B1076" s="34"/>
      <c r="C1076" s="34"/>
      <c r="D1076" s="34"/>
      <c r="S1076" s="35"/>
      <c r="T1076" s="43"/>
      <c r="U1076" s="35"/>
      <c r="V1076" s="39"/>
    </row>
    <row r="1077" spans="1:22" ht="15.75" customHeight="1" x14ac:dyDescent="0.35">
      <c r="A1077" s="34"/>
      <c r="B1077" s="34"/>
      <c r="C1077" s="34"/>
      <c r="D1077" s="34"/>
      <c r="S1077" s="35"/>
      <c r="T1077" s="43"/>
      <c r="U1077" s="35"/>
      <c r="V1077" s="39"/>
    </row>
    <row r="1078" spans="1:22" ht="15.75" customHeight="1" x14ac:dyDescent="0.35">
      <c r="A1078" s="34"/>
      <c r="B1078" s="34"/>
      <c r="C1078" s="34"/>
      <c r="D1078" s="34"/>
      <c r="S1078" s="35"/>
      <c r="T1078" s="43"/>
      <c r="U1078" s="35"/>
      <c r="V1078" s="39"/>
    </row>
    <row r="1079" spans="1:22" ht="15.75" customHeight="1" x14ac:dyDescent="0.35">
      <c r="A1079" s="34"/>
      <c r="B1079" s="34"/>
      <c r="C1079" s="34"/>
      <c r="D1079" s="34"/>
      <c r="S1079" s="35"/>
      <c r="T1079" s="43"/>
      <c r="U1079" s="35"/>
      <c r="V1079" s="39"/>
    </row>
    <row r="1080" spans="1:22" ht="15.75" customHeight="1" x14ac:dyDescent="0.35">
      <c r="A1080" s="34"/>
      <c r="B1080" s="34"/>
      <c r="C1080" s="34"/>
      <c r="D1080" s="34"/>
      <c r="S1080" s="35"/>
      <c r="T1080" s="43"/>
      <c r="U1080" s="35"/>
      <c r="V1080" s="39"/>
    </row>
    <row r="1081" spans="1:22" ht="15.75" customHeight="1" x14ac:dyDescent="0.35">
      <c r="A1081" s="34"/>
      <c r="B1081" s="34"/>
      <c r="C1081" s="34"/>
      <c r="D1081" s="34"/>
      <c r="S1081" s="35"/>
      <c r="T1081" s="43"/>
      <c r="U1081" s="35"/>
      <c r="V1081" s="39"/>
    </row>
    <row r="1082" spans="1:22" ht="15.75" customHeight="1" x14ac:dyDescent="0.35">
      <c r="A1082" s="34"/>
      <c r="B1082" s="34"/>
      <c r="C1082" s="34"/>
      <c r="D1082" s="34"/>
      <c r="S1082" s="35"/>
      <c r="T1082" s="43"/>
      <c r="U1082" s="35"/>
      <c r="V1082" s="39"/>
    </row>
    <row r="1083" spans="1:22" ht="15.75" customHeight="1" x14ac:dyDescent="0.35">
      <c r="A1083" s="34"/>
      <c r="B1083" s="34"/>
      <c r="C1083" s="34"/>
      <c r="D1083" s="34"/>
      <c r="S1083" s="35"/>
      <c r="T1083" s="43"/>
      <c r="U1083" s="35"/>
      <c r="V1083" s="39"/>
    </row>
    <row r="1084" spans="1:22" ht="15.75" customHeight="1" x14ac:dyDescent="0.35">
      <c r="A1084" s="34"/>
      <c r="B1084" s="34"/>
      <c r="C1084" s="34"/>
      <c r="D1084" s="34"/>
      <c r="S1084" s="35"/>
      <c r="T1084" s="43"/>
      <c r="U1084" s="35"/>
      <c r="V1084" s="39"/>
    </row>
    <row r="1085" spans="1:22" ht="15.75" customHeight="1" x14ac:dyDescent="0.35">
      <c r="A1085" s="34"/>
      <c r="B1085" s="34"/>
      <c r="C1085" s="34"/>
      <c r="D1085" s="34"/>
      <c r="S1085" s="35"/>
      <c r="T1085" s="43"/>
      <c r="U1085" s="35"/>
      <c r="V1085" s="39"/>
    </row>
    <row r="1086" spans="1:22" ht="15.75" customHeight="1" x14ac:dyDescent="0.35">
      <c r="A1086" s="34"/>
      <c r="B1086" s="34"/>
      <c r="C1086" s="34"/>
      <c r="D1086" s="34"/>
      <c r="S1086" s="35"/>
      <c r="T1086" s="43"/>
      <c r="U1086" s="35"/>
      <c r="V1086" s="39"/>
    </row>
    <row r="1087" spans="1:22" ht="15.75" customHeight="1" x14ac:dyDescent="0.35">
      <c r="A1087" s="34"/>
      <c r="B1087" s="34"/>
      <c r="C1087" s="34"/>
      <c r="D1087" s="34"/>
      <c r="S1087" s="35"/>
      <c r="T1087" s="43"/>
      <c r="U1087" s="35"/>
      <c r="V1087" s="39"/>
    </row>
    <row r="1088" spans="1:22" ht="15.75" customHeight="1" x14ac:dyDescent="0.35">
      <c r="A1088" s="34"/>
      <c r="B1088" s="34"/>
      <c r="C1088" s="34"/>
      <c r="D1088" s="34"/>
      <c r="S1088" s="35"/>
      <c r="T1088" s="43"/>
      <c r="U1088" s="35"/>
      <c r="V1088" s="39"/>
    </row>
    <row r="1089" spans="1:22" ht="15.75" customHeight="1" x14ac:dyDescent="0.35">
      <c r="A1089" s="34"/>
      <c r="B1089" s="34"/>
      <c r="C1089" s="34"/>
      <c r="D1089" s="34"/>
      <c r="S1089" s="35"/>
      <c r="T1089" s="43"/>
      <c r="U1089" s="35"/>
      <c r="V1089" s="39"/>
    </row>
    <row r="1090" spans="1:22" ht="15.75" customHeight="1" x14ac:dyDescent="0.35">
      <c r="A1090" s="34"/>
      <c r="B1090" s="34"/>
      <c r="C1090" s="34"/>
      <c r="D1090" s="34"/>
      <c r="S1090" s="35"/>
      <c r="T1090" s="43"/>
      <c r="U1090" s="35"/>
      <c r="V1090" s="39"/>
    </row>
    <row r="1091" spans="1:22" ht="15.75" customHeight="1" x14ac:dyDescent="0.35">
      <c r="A1091" s="34"/>
      <c r="B1091" s="34"/>
      <c r="C1091" s="34"/>
      <c r="D1091" s="34"/>
      <c r="S1091" s="35"/>
      <c r="T1091" s="43"/>
      <c r="U1091" s="35"/>
      <c r="V1091" s="39"/>
    </row>
    <row r="1092" spans="1:22" ht="15.75" customHeight="1" x14ac:dyDescent="0.35">
      <c r="A1092" s="34"/>
      <c r="B1092" s="34"/>
      <c r="C1092" s="34"/>
      <c r="D1092" s="34"/>
      <c r="S1092" s="35"/>
      <c r="T1092" s="43"/>
      <c r="U1092" s="35"/>
      <c r="V1092" s="39"/>
    </row>
    <row r="1093" spans="1:22" ht="15.75" customHeight="1" x14ac:dyDescent="0.35">
      <c r="A1093" s="34"/>
      <c r="B1093" s="34"/>
      <c r="C1093" s="34"/>
      <c r="D1093" s="34"/>
      <c r="S1093" s="35"/>
      <c r="T1093" s="43"/>
      <c r="U1093" s="35"/>
      <c r="V1093" s="39"/>
    </row>
    <row r="1094" spans="1:22" ht="15.75" customHeight="1" x14ac:dyDescent="0.35">
      <c r="A1094" s="34"/>
      <c r="B1094" s="34"/>
      <c r="C1094" s="34"/>
      <c r="D1094" s="34"/>
      <c r="S1094" s="35"/>
      <c r="T1094" s="43"/>
      <c r="U1094" s="35"/>
      <c r="V1094" s="39"/>
    </row>
    <row r="1095" spans="1:22" ht="15.75" customHeight="1" x14ac:dyDescent="0.35">
      <c r="A1095" s="34"/>
      <c r="B1095" s="34"/>
      <c r="C1095" s="34"/>
      <c r="D1095" s="34"/>
      <c r="S1095" s="35"/>
      <c r="T1095" s="43"/>
      <c r="U1095" s="35"/>
      <c r="V1095" s="39"/>
    </row>
    <row r="1096" spans="1:22" ht="15.75" customHeight="1" x14ac:dyDescent="0.35">
      <c r="A1096" s="34"/>
      <c r="B1096" s="34"/>
      <c r="C1096" s="34"/>
      <c r="D1096" s="34"/>
      <c r="S1096" s="35"/>
      <c r="T1096" s="43"/>
      <c r="U1096" s="35"/>
      <c r="V1096" s="39"/>
    </row>
    <row r="1097" spans="1:22" ht="15.75" customHeight="1" x14ac:dyDescent="0.35">
      <c r="A1097" s="34"/>
      <c r="B1097" s="34"/>
      <c r="C1097" s="34"/>
      <c r="D1097" s="34"/>
      <c r="S1097" s="35"/>
      <c r="T1097" s="43"/>
      <c r="U1097" s="35"/>
      <c r="V1097" s="39"/>
    </row>
    <row r="1098" spans="1:22" ht="15.75" customHeight="1" x14ac:dyDescent="0.35">
      <c r="A1098" s="34"/>
      <c r="B1098" s="34"/>
      <c r="C1098" s="34"/>
      <c r="D1098" s="34"/>
      <c r="S1098" s="35"/>
      <c r="T1098" s="43"/>
      <c r="U1098" s="35"/>
      <c r="V1098" s="39"/>
    </row>
    <row r="1099" spans="1:22" ht="15.75" customHeight="1" x14ac:dyDescent="0.35">
      <c r="A1099" s="34"/>
      <c r="B1099" s="34"/>
      <c r="C1099" s="34"/>
      <c r="D1099" s="34"/>
      <c r="S1099" s="35"/>
      <c r="T1099" s="43"/>
      <c r="U1099" s="35"/>
      <c r="V1099" s="39"/>
    </row>
    <row r="1100" spans="1:22" ht="15.75" customHeight="1" x14ac:dyDescent="0.35">
      <c r="A1100" s="34"/>
      <c r="B1100" s="34"/>
      <c r="C1100" s="34"/>
      <c r="D1100" s="34"/>
      <c r="S1100" s="35"/>
      <c r="T1100" s="43"/>
      <c r="U1100" s="35"/>
      <c r="V1100" s="39"/>
    </row>
    <row r="1101" spans="1:22" ht="15.75" customHeight="1" x14ac:dyDescent="0.35">
      <c r="A1101" s="34"/>
      <c r="B1101" s="34"/>
      <c r="C1101" s="34"/>
      <c r="D1101" s="34"/>
      <c r="S1101" s="35"/>
      <c r="T1101" s="43"/>
      <c r="U1101" s="35"/>
      <c r="V1101" s="39"/>
    </row>
    <row r="1102" spans="1:22" ht="15.75" customHeight="1" x14ac:dyDescent="0.35">
      <c r="A1102" s="34"/>
      <c r="B1102" s="34"/>
      <c r="C1102" s="34"/>
      <c r="D1102" s="34"/>
      <c r="S1102" s="35"/>
      <c r="T1102" s="43"/>
      <c r="U1102" s="35"/>
      <c r="V1102" s="39"/>
    </row>
    <row r="1103" spans="1:22" ht="15.75" customHeight="1" x14ac:dyDescent="0.35">
      <c r="A1103" s="34"/>
      <c r="B1103" s="34"/>
      <c r="C1103" s="34"/>
      <c r="D1103" s="34"/>
      <c r="S1103" s="35"/>
      <c r="T1103" s="43"/>
      <c r="U1103" s="35"/>
      <c r="V1103" s="39"/>
    </row>
    <row r="1104" spans="1:22" ht="15.75" customHeight="1" x14ac:dyDescent="0.35">
      <c r="A1104" s="34"/>
      <c r="B1104" s="34"/>
      <c r="C1104" s="34"/>
      <c r="D1104" s="34"/>
      <c r="S1104" s="35"/>
      <c r="T1104" s="43"/>
      <c r="U1104" s="35"/>
      <c r="V1104" s="39"/>
    </row>
    <row r="1105" spans="1:22" ht="15.75" customHeight="1" x14ac:dyDescent="0.35">
      <c r="A1105" s="34"/>
      <c r="B1105" s="34"/>
      <c r="C1105" s="34"/>
      <c r="D1105" s="34"/>
      <c r="S1105" s="35"/>
      <c r="T1105" s="43"/>
      <c r="U1105" s="35"/>
      <c r="V1105" s="39"/>
    </row>
    <row r="1106" spans="1:22" ht="15.75" customHeight="1" x14ac:dyDescent="0.35">
      <c r="A1106" s="34"/>
      <c r="B1106" s="34"/>
      <c r="C1106" s="34"/>
      <c r="D1106" s="34"/>
      <c r="S1106" s="35"/>
      <c r="T1106" s="43"/>
      <c r="U1106" s="35"/>
      <c r="V1106" s="39"/>
    </row>
    <row r="1107" spans="1:22" ht="15.75" customHeight="1" x14ac:dyDescent="0.35">
      <c r="A1107" s="34"/>
      <c r="B1107" s="34"/>
      <c r="C1107" s="34"/>
      <c r="D1107" s="34"/>
      <c r="S1107" s="35"/>
      <c r="T1107" s="43"/>
      <c r="U1107" s="35"/>
      <c r="V1107" s="39"/>
    </row>
    <row r="1108" spans="1:22" ht="15.75" customHeight="1" x14ac:dyDescent="0.35">
      <c r="A1108" s="34"/>
      <c r="B1108" s="34"/>
      <c r="C1108" s="34"/>
      <c r="D1108" s="34"/>
      <c r="S1108" s="35"/>
      <c r="T1108" s="43"/>
      <c r="U1108" s="35"/>
      <c r="V1108" s="39"/>
    </row>
    <row r="1109" spans="1:22" ht="15.75" customHeight="1" x14ac:dyDescent="0.35">
      <c r="A1109" s="34"/>
      <c r="B1109" s="34"/>
      <c r="C1109" s="34"/>
      <c r="D1109" s="34"/>
      <c r="S1109" s="35"/>
      <c r="T1109" s="43"/>
      <c r="U1109" s="35"/>
      <c r="V1109" s="39"/>
    </row>
    <row r="1110" spans="1:22" ht="15.75" customHeight="1" x14ac:dyDescent="0.35">
      <c r="A1110" s="34"/>
      <c r="B1110" s="34"/>
      <c r="C1110" s="34"/>
      <c r="D1110" s="34"/>
      <c r="S1110" s="35"/>
      <c r="T1110" s="43"/>
      <c r="U1110" s="35"/>
      <c r="V1110" s="39"/>
    </row>
    <row r="1111" spans="1:22" ht="15.75" customHeight="1" x14ac:dyDescent="0.35">
      <c r="A1111" s="34"/>
      <c r="B1111" s="34"/>
      <c r="C1111" s="34"/>
      <c r="D1111" s="34"/>
      <c r="S1111" s="35"/>
      <c r="T1111" s="43"/>
      <c r="U1111" s="35"/>
      <c r="V1111" s="39"/>
    </row>
    <row r="1112" spans="1:22" ht="15.75" customHeight="1" x14ac:dyDescent="0.35">
      <c r="A1112" s="34"/>
      <c r="B1112" s="34"/>
      <c r="C1112" s="34"/>
      <c r="D1112" s="34"/>
      <c r="S1112" s="35"/>
      <c r="T1112" s="43"/>
      <c r="U1112" s="35"/>
      <c r="V1112" s="39"/>
    </row>
    <row r="1113" spans="1:22" ht="15.75" customHeight="1" x14ac:dyDescent="0.35">
      <c r="A1113" s="34"/>
      <c r="B1113" s="34"/>
      <c r="C1113" s="34"/>
      <c r="D1113" s="34"/>
      <c r="S1113" s="35"/>
      <c r="T1113" s="43"/>
      <c r="U1113" s="35"/>
      <c r="V1113" s="39"/>
    </row>
    <row r="1114" spans="1:22" ht="15.75" customHeight="1" x14ac:dyDescent="0.35">
      <c r="A1114" s="34"/>
      <c r="B1114" s="34"/>
      <c r="C1114" s="34"/>
      <c r="D1114" s="34"/>
      <c r="S1114" s="35"/>
      <c r="T1114" s="43"/>
      <c r="U1114" s="35"/>
      <c r="V1114" s="39"/>
    </row>
    <row r="1115" spans="1:22" ht="15.75" customHeight="1" x14ac:dyDescent="0.35">
      <c r="A1115" s="34"/>
      <c r="B1115" s="34"/>
      <c r="C1115" s="34"/>
      <c r="D1115" s="34"/>
      <c r="S1115" s="35"/>
      <c r="T1115" s="43"/>
      <c r="U1115" s="35"/>
      <c r="V1115" s="39"/>
    </row>
    <row r="1116" spans="1:22" ht="15.75" customHeight="1" x14ac:dyDescent="0.35">
      <c r="A1116" s="34"/>
      <c r="B1116" s="34"/>
      <c r="C1116" s="34"/>
      <c r="D1116" s="34"/>
      <c r="S1116" s="35"/>
      <c r="T1116" s="43"/>
      <c r="U1116" s="35"/>
      <c r="V1116" s="39"/>
    </row>
    <row r="1117" spans="1:22" ht="15.75" customHeight="1" x14ac:dyDescent="0.35">
      <c r="A1117" s="34"/>
      <c r="B1117" s="34"/>
      <c r="C1117" s="34"/>
      <c r="D1117" s="34"/>
      <c r="S1117" s="35"/>
      <c r="T1117" s="43"/>
      <c r="U1117" s="35"/>
      <c r="V1117" s="39"/>
    </row>
    <row r="1118" spans="1:22" ht="15.75" customHeight="1" x14ac:dyDescent="0.35">
      <c r="A1118" s="34"/>
      <c r="B1118" s="34"/>
      <c r="C1118" s="34"/>
      <c r="D1118" s="34"/>
      <c r="S1118" s="35"/>
      <c r="T1118" s="43"/>
      <c r="U1118" s="35"/>
      <c r="V1118" s="39"/>
    </row>
    <row r="1119" spans="1:22" ht="15.75" customHeight="1" x14ac:dyDescent="0.35">
      <c r="A1119" s="34"/>
      <c r="B1119" s="34"/>
      <c r="C1119" s="34"/>
      <c r="D1119" s="34"/>
      <c r="S1119" s="35"/>
      <c r="T1119" s="43"/>
      <c r="U1119" s="35"/>
      <c r="V1119" s="39"/>
    </row>
    <row r="1120" spans="1:22" ht="15.75" customHeight="1" x14ac:dyDescent="0.35">
      <c r="A1120" s="34"/>
      <c r="B1120" s="34"/>
      <c r="C1120" s="34"/>
      <c r="D1120" s="34"/>
      <c r="S1120" s="35"/>
      <c r="T1120" s="43"/>
      <c r="U1120" s="35"/>
      <c r="V1120" s="39"/>
    </row>
    <row r="1121" spans="1:22" ht="15.75" customHeight="1" x14ac:dyDescent="0.35">
      <c r="A1121" s="34"/>
      <c r="B1121" s="34"/>
      <c r="C1121" s="34"/>
      <c r="D1121" s="34"/>
      <c r="S1121" s="35"/>
      <c r="T1121" s="43"/>
      <c r="U1121" s="35"/>
      <c r="V1121" s="39"/>
    </row>
    <row r="1122" spans="1:22" ht="15.75" customHeight="1" x14ac:dyDescent="0.35">
      <c r="A1122" s="34"/>
      <c r="B1122" s="34"/>
      <c r="C1122" s="34"/>
      <c r="D1122" s="34"/>
      <c r="S1122" s="35"/>
      <c r="T1122" s="43"/>
      <c r="U1122" s="35"/>
      <c r="V1122" s="39"/>
    </row>
    <row r="1123" spans="1:22" ht="15.75" customHeight="1" x14ac:dyDescent="0.35">
      <c r="A1123" s="34"/>
      <c r="B1123" s="34"/>
      <c r="C1123" s="34"/>
      <c r="D1123" s="34"/>
      <c r="S1123" s="35"/>
      <c r="T1123" s="43"/>
      <c r="U1123" s="35"/>
      <c r="V1123" s="39"/>
    </row>
    <row r="1124" spans="1:22" ht="15.75" customHeight="1" x14ac:dyDescent="0.35">
      <c r="A1124" s="34"/>
      <c r="B1124" s="34"/>
      <c r="C1124" s="34"/>
      <c r="D1124" s="34"/>
      <c r="S1124" s="35"/>
      <c r="T1124" s="43"/>
      <c r="U1124" s="35"/>
      <c r="V1124" s="39"/>
    </row>
    <row r="1125" spans="1:22" ht="15.75" customHeight="1" x14ac:dyDescent="0.35">
      <c r="A1125" s="34"/>
      <c r="B1125" s="34"/>
      <c r="C1125" s="34"/>
      <c r="D1125" s="34"/>
      <c r="S1125" s="35"/>
      <c r="T1125" s="43"/>
      <c r="U1125" s="35"/>
      <c r="V1125" s="39"/>
    </row>
    <row r="1126" spans="1:22" ht="15.75" customHeight="1" x14ac:dyDescent="0.35">
      <c r="A1126" s="34"/>
      <c r="B1126" s="34"/>
      <c r="C1126" s="34"/>
      <c r="D1126" s="34"/>
      <c r="S1126" s="35"/>
      <c r="T1126" s="43"/>
      <c r="U1126" s="35"/>
      <c r="V1126" s="39"/>
    </row>
    <row r="1127" spans="1:22" ht="15.75" customHeight="1" x14ac:dyDescent="0.35">
      <c r="A1127" s="34"/>
      <c r="B1127" s="34"/>
      <c r="C1127" s="34"/>
      <c r="D1127" s="34"/>
      <c r="S1127" s="35"/>
      <c r="T1127" s="43"/>
      <c r="U1127" s="35"/>
      <c r="V1127" s="39"/>
    </row>
    <row r="1128" spans="1:22" ht="15.75" customHeight="1" x14ac:dyDescent="0.35">
      <c r="A1128" s="34"/>
      <c r="B1128" s="34"/>
      <c r="C1128" s="34"/>
      <c r="D1128" s="34"/>
      <c r="S1128" s="35"/>
      <c r="T1128" s="43"/>
      <c r="U1128" s="35"/>
      <c r="V1128" s="39"/>
    </row>
    <row r="1129" spans="1:22" ht="15.75" customHeight="1" x14ac:dyDescent="0.35">
      <c r="A1129" s="34"/>
      <c r="B1129" s="34"/>
      <c r="C1129" s="34"/>
      <c r="D1129" s="34"/>
      <c r="S1129" s="35"/>
      <c r="T1129" s="43"/>
      <c r="U1129" s="35"/>
      <c r="V1129" s="39"/>
    </row>
    <row r="1130" spans="1:22" ht="15.75" customHeight="1" x14ac:dyDescent="0.35">
      <c r="A1130" s="34"/>
      <c r="B1130" s="34"/>
      <c r="C1130" s="34"/>
      <c r="D1130" s="34"/>
      <c r="S1130" s="35"/>
      <c r="T1130" s="43"/>
      <c r="U1130" s="35"/>
      <c r="V1130" s="39"/>
    </row>
    <row r="1131" spans="1:22" ht="15.75" customHeight="1" x14ac:dyDescent="0.35">
      <c r="A1131" s="34"/>
      <c r="B1131" s="34"/>
      <c r="C1131" s="34"/>
      <c r="D1131" s="34"/>
      <c r="S1131" s="35"/>
      <c r="T1131" s="43"/>
      <c r="U1131" s="35"/>
      <c r="V1131" s="39"/>
    </row>
    <row r="1132" spans="1:22" ht="15.75" customHeight="1" x14ac:dyDescent="0.35">
      <c r="A1132" s="34"/>
      <c r="B1132" s="34"/>
      <c r="C1132" s="34"/>
      <c r="D1132" s="34"/>
      <c r="S1132" s="35"/>
      <c r="T1132" s="43"/>
      <c r="U1132" s="35"/>
      <c r="V1132" s="39"/>
    </row>
    <row r="1133" spans="1:22" ht="15.75" customHeight="1" x14ac:dyDescent="0.35">
      <c r="A1133" s="34"/>
      <c r="B1133" s="34"/>
      <c r="C1133" s="34"/>
      <c r="D1133" s="34"/>
      <c r="S1133" s="35"/>
      <c r="T1133" s="43"/>
      <c r="U1133" s="35"/>
      <c r="V1133" s="39"/>
    </row>
    <row r="1134" spans="1:22" ht="15.75" customHeight="1" x14ac:dyDescent="0.35">
      <c r="A1134" s="34"/>
      <c r="B1134" s="34"/>
      <c r="C1134" s="34"/>
      <c r="D1134" s="34"/>
      <c r="S1134" s="35"/>
      <c r="T1134" s="43"/>
      <c r="U1134" s="35"/>
      <c r="V1134" s="39"/>
    </row>
    <row r="1135" spans="1:22" ht="15.75" customHeight="1" x14ac:dyDescent="0.35">
      <c r="A1135" s="34"/>
      <c r="B1135" s="34"/>
      <c r="C1135" s="34"/>
      <c r="D1135" s="34"/>
      <c r="S1135" s="35"/>
      <c r="T1135" s="43"/>
      <c r="U1135" s="35"/>
      <c r="V1135" s="39"/>
    </row>
    <row r="1136" spans="1:22" ht="15.75" customHeight="1" x14ac:dyDescent="0.35">
      <c r="A1136" s="34"/>
      <c r="B1136" s="34"/>
      <c r="C1136" s="34"/>
      <c r="D1136" s="34"/>
      <c r="S1136" s="35"/>
      <c r="T1136" s="43"/>
      <c r="U1136" s="35"/>
      <c r="V1136" s="39"/>
    </row>
    <row r="1137" spans="1:22" ht="15.75" customHeight="1" x14ac:dyDescent="0.35">
      <c r="A1137" s="34"/>
      <c r="B1137" s="34"/>
      <c r="C1137" s="34"/>
      <c r="D1137" s="34"/>
      <c r="S1137" s="35"/>
      <c r="T1137" s="43"/>
      <c r="U1137" s="35"/>
      <c r="V1137" s="39"/>
    </row>
    <row r="1138" spans="1:22" ht="15.75" customHeight="1" x14ac:dyDescent="0.35">
      <c r="A1138" s="34"/>
      <c r="B1138" s="34"/>
      <c r="C1138" s="34"/>
      <c r="D1138" s="34"/>
      <c r="S1138" s="35"/>
      <c r="T1138" s="43"/>
      <c r="U1138" s="35"/>
      <c r="V1138" s="39"/>
    </row>
    <row r="1139" spans="1:22" ht="15.75" customHeight="1" x14ac:dyDescent="0.35">
      <c r="A1139" s="34"/>
      <c r="B1139" s="34"/>
      <c r="C1139" s="34"/>
      <c r="D1139" s="34"/>
      <c r="S1139" s="35"/>
      <c r="T1139" s="43"/>
      <c r="U1139" s="35"/>
      <c r="V1139" s="39"/>
    </row>
    <row r="1140" spans="1:22" ht="15.75" customHeight="1" x14ac:dyDescent="0.35">
      <c r="A1140" s="34"/>
      <c r="B1140" s="34"/>
      <c r="C1140" s="34"/>
      <c r="D1140" s="34"/>
      <c r="S1140" s="35"/>
      <c r="T1140" s="43"/>
      <c r="U1140" s="35"/>
      <c r="V1140" s="39"/>
    </row>
    <row r="1141" spans="1:22" ht="15.75" customHeight="1" x14ac:dyDescent="0.35">
      <c r="A1141" s="34"/>
      <c r="B1141" s="34"/>
      <c r="C1141" s="34"/>
      <c r="D1141" s="34"/>
      <c r="S1141" s="35"/>
      <c r="T1141" s="43"/>
      <c r="U1141" s="35"/>
      <c r="V1141" s="39"/>
    </row>
    <row r="1142" spans="1:22" ht="15.75" customHeight="1" x14ac:dyDescent="0.35">
      <c r="A1142" s="34"/>
      <c r="B1142" s="34"/>
      <c r="C1142" s="34"/>
      <c r="D1142" s="34"/>
      <c r="S1142" s="35"/>
      <c r="T1142" s="43"/>
      <c r="U1142" s="35"/>
      <c r="V1142" s="39"/>
    </row>
    <row r="1143" spans="1:22" ht="15.75" customHeight="1" x14ac:dyDescent="0.35">
      <c r="A1143" s="34"/>
      <c r="B1143" s="34"/>
      <c r="C1143" s="34"/>
      <c r="D1143" s="34"/>
      <c r="S1143" s="35"/>
      <c r="T1143" s="43"/>
      <c r="U1143" s="35"/>
      <c r="V1143" s="39"/>
    </row>
    <row r="1144" spans="1:22" ht="15.75" customHeight="1" x14ac:dyDescent="0.35">
      <c r="A1144" s="34"/>
      <c r="B1144" s="34"/>
      <c r="C1144" s="34"/>
      <c r="D1144" s="34"/>
      <c r="S1144" s="35"/>
      <c r="T1144" s="43"/>
      <c r="U1144" s="35"/>
      <c r="V1144" s="39"/>
    </row>
    <row r="1145" spans="1:22" ht="15.75" customHeight="1" x14ac:dyDescent="0.35">
      <c r="A1145" s="34"/>
      <c r="B1145" s="34"/>
      <c r="C1145" s="34"/>
      <c r="D1145" s="34"/>
      <c r="S1145" s="35"/>
      <c r="T1145" s="43"/>
      <c r="U1145" s="35"/>
      <c r="V1145" s="39"/>
    </row>
    <row r="1146" spans="1:22" ht="15.75" customHeight="1" x14ac:dyDescent="0.35">
      <c r="A1146" s="34"/>
      <c r="B1146" s="34"/>
      <c r="C1146" s="34"/>
      <c r="D1146" s="34"/>
      <c r="S1146" s="35"/>
      <c r="T1146" s="43"/>
      <c r="U1146" s="35"/>
      <c r="V1146" s="39"/>
    </row>
    <row r="1147" spans="1:22" ht="15.75" customHeight="1" x14ac:dyDescent="0.35">
      <c r="A1147" s="34"/>
      <c r="B1147" s="34"/>
      <c r="C1147" s="34"/>
      <c r="D1147" s="34"/>
      <c r="S1147" s="35"/>
      <c r="T1147" s="43"/>
      <c r="U1147" s="35"/>
      <c r="V1147" s="39"/>
    </row>
    <row r="1148" spans="1:22" ht="15.75" customHeight="1" x14ac:dyDescent="0.35">
      <c r="A1148" s="34"/>
      <c r="B1148" s="34"/>
      <c r="C1148" s="34"/>
      <c r="D1148" s="34"/>
      <c r="S1148" s="35"/>
      <c r="T1148" s="43"/>
      <c r="U1148" s="35"/>
      <c r="V1148" s="39"/>
    </row>
    <row r="1149" spans="1:22" ht="15.75" customHeight="1" x14ac:dyDescent="0.35">
      <c r="A1149" s="34"/>
      <c r="B1149" s="34"/>
      <c r="C1149" s="34"/>
      <c r="D1149" s="34"/>
      <c r="S1149" s="35"/>
      <c r="T1149" s="43"/>
      <c r="U1149" s="35"/>
      <c r="V1149" s="39"/>
    </row>
    <row r="1150" spans="1:22" ht="15.75" customHeight="1" x14ac:dyDescent="0.35">
      <c r="A1150" s="34"/>
      <c r="B1150" s="34"/>
      <c r="C1150" s="34"/>
      <c r="D1150" s="34"/>
      <c r="S1150" s="35"/>
      <c r="T1150" s="43"/>
      <c r="U1150" s="35"/>
      <c r="V1150" s="39"/>
    </row>
    <row r="1151" spans="1:22" ht="15.75" customHeight="1" x14ac:dyDescent="0.35">
      <c r="A1151" s="34"/>
      <c r="B1151" s="34"/>
      <c r="C1151" s="34"/>
      <c r="D1151" s="34"/>
      <c r="S1151" s="35"/>
      <c r="T1151" s="43"/>
      <c r="U1151" s="35"/>
      <c r="V1151" s="39"/>
    </row>
    <row r="1152" spans="1:22" ht="15.75" customHeight="1" x14ac:dyDescent="0.35">
      <c r="A1152" s="34"/>
      <c r="B1152" s="34"/>
      <c r="C1152" s="34"/>
      <c r="D1152" s="34"/>
      <c r="S1152" s="35"/>
      <c r="T1152" s="43"/>
      <c r="U1152" s="35"/>
      <c r="V1152" s="39"/>
    </row>
    <row r="1153" spans="1:22" ht="15.75" customHeight="1" x14ac:dyDescent="0.35">
      <c r="A1153" s="34"/>
      <c r="B1153" s="34"/>
      <c r="C1153" s="34"/>
      <c r="D1153" s="34"/>
      <c r="S1153" s="35"/>
      <c r="T1153" s="43"/>
      <c r="U1153" s="35"/>
      <c r="V1153" s="39"/>
    </row>
    <row r="1154" spans="1:22" ht="15.75" customHeight="1" x14ac:dyDescent="0.35">
      <c r="A1154" s="34"/>
      <c r="B1154" s="34"/>
      <c r="C1154" s="34"/>
      <c r="D1154" s="34"/>
      <c r="S1154" s="35"/>
      <c r="T1154" s="43"/>
      <c r="U1154" s="35"/>
      <c r="V1154" s="39"/>
    </row>
    <row r="1155" spans="1:22" ht="15.75" customHeight="1" x14ac:dyDescent="0.35">
      <c r="A1155" s="34"/>
      <c r="B1155" s="34"/>
      <c r="C1155" s="34"/>
      <c r="D1155" s="34"/>
      <c r="S1155" s="35"/>
      <c r="T1155" s="43"/>
      <c r="U1155" s="35"/>
      <c r="V1155" s="39"/>
    </row>
    <row r="1156" spans="1:22" ht="15.75" customHeight="1" x14ac:dyDescent="0.35">
      <c r="A1156" s="34"/>
      <c r="B1156" s="34"/>
      <c r="C1156" s="34"/>
      <c r="D1156" s="34"/>
      <c r="S1156" s="35"/>
      <c r="T1156" s="43"/>
      <c r="U1156" s="35"/>
      <c r="V1156" s="39"/>
    </row>
    <row r="1157" spans="1:22" ht="15.75" customHeight="1" x14ac:dyDescent="0.35">
      <c r="A1157" s="34"/>
      <c r="B1157" s="34"/>
      <c r="C1157" s="34"/>
      <c r="D1157" s="34"/>
      <c r="S1157" s="35"/>
      <c r="T1157" s="43"/>
      <c r="U1157" s="35"/>
      <c r="V1157" s="39"/>
    </row>
    <row r="1158" spans="1:22" ht="15.75" customHeight="1" x14ac:dyDescent="0.35">
      <c r="A1158" s="34"/>
      <c r="B1158" s="34"/>
      <c r="C1158" s="34"/>
      <c r="D1158" s="34"/>
      <c r="S1158" s="35"/>
      <c r="T1158" s="43"/>
      <c r="U1158" s="35"/>
      <c r="V1158" s="39"/>
    </row>
    <row r="1159" spans="1:22" ht="15.75" customHeight="1" x14ac:dyDescent="0.35">
      <c r="A1159" s="34"/>
      <c r="B1159" s="34"/>
      <c r="C1159" s="34"/>
      <c r="D1159" s="34"/>
      <c r="S1159" s="35"/>
      <c r="T1159" s="43"/>
      <c r="U1159" s="35"/>
      <c r="V1159" s="39"/>
    </row>
    <row r="1160" spans="1:22" ht="15.75" customHeight="1" x14ac:dyDescent="0.35">
      <c r="A1160" s="34"/>
      <c r="B1160" s="34"/>
      <c r="C1160" s="34"/>
      <c r="D1160" s="34"/>
      <c r="S1160" s="35"/>
      <c r="T1160" s="43"/>
      <c r="U1160" s="35"/>
      <c r="V1160" s="39"/>
    </row>
    <row r="1161" spans="1:22" ht="15.75" customHeight="1" x14ac:dyDescent="0.35">
      <c r="A1161" s="34"/>
      <c r="B1161" s="34"/>
      <c r="C1161" s="34"/>
      <c r="D1161" s="34"/>
      <c r="S1161" s="35"/>
      <c r="T1161" s="43"/>
      <c r="U1161" s="35"/>
      <c r="V1161" s="39"/>
    </row>
    <row r="1162" spans="1:22" ht="15.75" customHeight="1" x14ac:dyDescent="0.35">
      <c r="A1162" s="34"/>
      <c r="B1162" s="34"/>
      <c r="C1162" s="34"/>
      <c r="D1162" s="34"/>
      <c r="S1162" s="35"/>
      <c r="T1162" s="43"/>
      <c r="U1162" s="35"/>
      <c r="V1162" s="39"/>
    </row>
    <row r="1163" spans="1:22" ht="15.75" customHeight="1" x14ac:dyDescent="0.35">
      <c r="A1163" s="34"/>
      <c r="B1163" s="34"/>
      <c r="C1163" s="34"/>
      <c r="D1163" s="34"/>
      <c r="S1163" s="35"/>
      <c r="T1163" s="43"/>
      <c r="U1163" s="35"/>
      <c r="V1163" s="39"/>
    </row>
    <row r="1164" spans="1:22" ht="15.75" customHeight="1" x14ac:dyDescent="0.35">
      <c r="A1164" s="34"/>
      <c r="B1164" s="34"/>
      <c r="C1164" s="34"/>
      <c r="D1164" s="34"/>
      <c r="S1164" s="35"/>
      <c r="T1164" s="43"/>
      <c r="U1164" s="35"/>
      <c r="V1164" s="39"/>
    </row>
    <row r="1165" spans="1:22" ht="15.75" customHeight="1" x14ac:dyDescent="0.35">
      <c r="A1165" s="34"/>
      <c r="B1165" s="34"/>
      <c r="C1165" s="34"/>
      <c r="D1165" s="34"/>
      <c r="S1165" s="35"/>
      <c r="T1165" s="43"/>
      <c r="U1165" s="35"/>
      <c r="V1165" s="39"/>
    </row>
    <row r="1166" spans="1:22" ht="15.75" customHeight="1" x14ac:dyDescent="0.35">
      <c r="A1166" s="34"/>
      <c r="B1166" s="34"/>
      <c r="C1166" s="34"/>
      <c r="D1166" s="34"/>
      <c r="V1166" s="42"/>
    </row>
    <row r="1167" spans="1:22" ht="15.75" customHeight="1" x14ac:dyDescent="0.35">
      <c r="A1167" s="34"/>
      <c r="B1167" s="34"/>
      <c r="C1167" s="34"/>
      <c r="D1167" s="34"/>
      <c r="V1167" s="42"/>
    </row>
    <row r="1168" spans="1:22" ht="15.75" customHeight="1" x14ac:dyDescent="0.35">
      <c r="A1168" s="34"/>
      <c r="B1168" s="34"/>
      <c r="C1168" s="34"/>
      <c r="D1168" s="34"/>
      <c r="V1168" s="42"/>
    </row>
    <row r="1169" spans="1:22" ht="15.75" customHeight="1" x14ac:dyDescent="0.35">
      <c r="A1169" s="34"/>
      <c r="B1169" s="34"/>
      <c r="C1169" s="34"/>
      <c r="D1169" s="34"/>
      <c r="V1169" s="42"/>
    </row>
    <row r="1170" spans="1:22" ht="15.75" customHeight="1" x14ac:dyDescent="0.35">
      <c r="A1170" s="34"/>
      <c r="B1170" s="34"/>
      <c r="C1170" s="34"/>
      <c r="D1170" s="34"/>
      <c r="V1170" s="42"/>
    </row>
    <row r="1171" spans="1:22" ht="15.75" customHeight="1" x14ac:dyDescent="0.35">
      <c r="A1171" s="34"/>
      <c r="B1171" s="34"/>
      <c r="C1171" s="34"/>
      <c r="D1171" s="34"/>
      <c r="V1171" s="42"/>
    </row>
    <row r="1172" spans="1:22" ht="15.75" customHeight="1" x14ac:dyDescent="0.35">
      <c r="A1172" s="34"/>
      <c r="B1172" s="34"/>
      <c r="C1172" s="34"/>
      <c r="D1172" s="34"/>
      <c r="V1172" s="42"/>
    </row>
    <row r="1173" spans="1:22" ht="15.75" customHeight="1" x14ac:dyDescent="0.35">
      <c r="A1173" s="34"/>
      <c r="B1173" s="34"/>
      <c r="C1173" s="34"/>
      <c r="D1173" s="34"/>
      <c r="V1173" s="42"/>
    </row>
    <row r="1174" spans="1:22" ht="15.75" customHeight="1" x14ac:dyDescent="0.35">
      <c r="A1174" s="34"/>
      <c r="B1174" s="34"/>
      <c r="C1174" s="34"/>
      <c r="D1174" s="34"/>
      <c r="V1174" s="42"/>
    </row>
    <row r="1175" spans="1:22" ht="15.75" customHeight="1" x14ac:dyDescent="0.35">
      <c r="A1175" s="34"/>
      <c r="B1175" s="34"/>
      <c r="C1175" s="34"/>
      <c r="D1175" s="34"/>
      <c r="V1175" s="42"/>
    </row>
    <row r="1176" spans="1:22" ht="15.75" customHeight="1" x14ac:dyDescent="0.35">
      <c r="A1176" s="34"/>
      <c r="B1176" s="34"/>
      <c r="C1176" s="34"/>
      <c r="D1176" s="34"/>
      <c r="V1176" s="42"/>
    </row>
    <row r="1177" spans="1:22" ht="15.75" customHeight="1" x14ac:dyDescent="0.35">
      <c r="A1177" s="34"/>
      <c r="B1177" s="34"/>
      <c r="C1177" s="34"/>
      <c r="D1177" s="34"/>
      <c r="V1177" s="42"/>
    </row>
    <row r="1178" spans="1:22" ht="15.75" customHeight="1" x14ac:dyDescent="0.35">
      <c r="A1178" s="34"/>
      <c r="B1178" s="34"/>
      <c r="C1178" s="34"/>
      <c r="D1178" s="34"/>
      <c r="V1178" s="42"/>
    </row>
    <row r="1179" spans="1:22" ht="15.75" customHeight="1" x14ac:dyDescent="0.35">
      <c r="A1179" s="34"/>
      <c r="B1179" s="34"/>
      <c r="C1179" s="34"/>
      <c r="D1179" s="34"/>
      <c r="V1179" s="42"/>
    </row>
    <row r="1180" spans="1:22" ht="15.75" customHeight="1" x14ac:dyDescent="0.35">
      <c r="A1180" s="34"/>
      <c r="B1180" s="34"/>
      <c r="C1180" s="34"/>
      <c r="D1180" s="34"/>
      <c r="V1180" s="42"/>
    </row>
    <row r="1181" spans="1:22" ht="15.75" customHeight="1" x14ac:dyDescent="0.35">
      <c r="A1181" s="34"/>
      <c r="B1181" s="34"/>
      <c r="C1181" s="34"/>
      <c r="D1181" s="34"/>
      <c r="V1181" s="42"/>
    </row>
    <row r="1182" spans="1:22" ht="15.75" customHeight="1" x14ac:dyDescent="0.35">
      <c r="A1182" s="34"/>
      <c r="B1182" s="34"/>
      <c r="C1182" s="34"/>
      <c r="D1182" s="34"/>
      <c r="V1182" s="42"/>
    </row>
    <row r="1183" spans="1:22" ht="15.75" customHeight="1" x14ac:dyDescent="0.35">
      <c r="A1183" s="34"/>
      <c r="B1183" s="34"/>
      <c r="C1183" s="34"/>
      <c r="D1183" s="34"/>
      <c r="V1183" s="42"/>
    </row>
    <row r="1184" spans="1:22" ht="15.75" customHeight="1" x14ac:dyDescent="0.35">
      <c r="A1184" s="34"/>
      <c r="B1184" s="34"/>
      <c r="C1184" s="34"/>
      <c r="D1184" s="34"/>
      <c r="V1184" s="42"/>
    </row>
    <row r="1185" spans="1:22" ht="15.75" customHeight="1" x14ac:dyDescent="0.35">
      <c r="A1185" s="34"/>
      <c r="B1185" s="34"/>
      <c r="C1185" s="34"/>
      <c r="D1185" s="34"/>
      <c r="V1185" s="42"/>
    </row>
    <row r="1186" spans="1:22" ht="15.75" customHeight="1" x14ac:dyDescent="0.35">
      <c r="A1186" s="34"/>
      <c r="B1186" s="34"/>
      <c r="C1186" s="34"/>
      <c r="D1186" s="34"/>
      <c r="V1186" s="42"/>
    </row>
    <row r="1187" spans="1:22" ht="15.75" customHeight="1" x14ac:dyDescent="0.35">
      <c r="A1187" s="34"/>
      <c r="B1187" s="34"/>
      <c r="C1187" s="34"/>
      <c r="D1187" s="34"/>
      <c r="V1187" s="42"/>
    </row>
    <row r="1188" spans="1:22" ht="15.75" customHeight="1" x14ac:dyDescent="0.35">
      <c r="A1188" s="34"/>
      <c r="B1188" s="34"/>
      <c r="C1188" s="34"/>
      <c r="D1188" s="34"/>
      <c r="V1188" s="42"/>
    </row>
    <row r="1189" spans="1:22" ht="15.75" customHeight="1" x14ac:dyDescent="0.35">
      <c r="A1189" s="34"/>
      <c r="B1189" s="34"/>
      <c r="C1189" s="34"/>
      <c r="D1189" s="34"/>
      <c r="V1189" s="42"/>
    </row>
    <row r="1190" spans="1:22" ht="15.75" customHeight="1" x14ac:dyDescent="0.35">
      <c r="A1190" s="34"/>
      <c r="B1190" s="34"/>
      <c r="C1190" s="34"/>
      <c r="D1190" s="34"/>
      <c r="V1190" s="42"/>
    </row>
    <row r="1191" spans="1:22" ht="15.75" customHeight="1" x14ac:dyDescent="0.35">
      <c r="A1191" s="34"/>
      <c r="B1191" s="34"/>
      <c r="C1191" s="34"/>
      <c r="D1191" s="34"/>
      <c r="V1191" s="42"/>
    </row>
    <row r="1192" spans="1:22" ht="15.75" customHeight="1" x14ac:dyDescent="0.35">
      <c r="A1192" s="34"/>
      <c r="B1192" s="34"/>
      <c r="C1192" s="34"/>
      <c r="D1192" s="34"/>
      <c r="V1192" s="42"/>
    </row>
    <row r="1193" spans="1:22" ht="15.75" customHeight="1" x14ac:dyDescent="0.35">
      <c r="A1193" s="34"/>
      <c r="B1193" s="34"/>
      <c r="C1193" s="34"/>
      <c r="D1193" s="34"/>
      <c r="V1193" s="42"/>
    </row>
    <row r="1194" spans="1:22" ht="15.75" customHeight="1" x14ac:dyDescent="0.35">
      <c r="A1194" s="34"/>
      <c r="B1194" s="34"/>
      <c r="C1194" s="34"/>
      <c r="D1194" s="34"/>
      <c r="V1194" s="42"/>
    </row>
    <row r="1195" spans="1:22" ht="15.75" customHeight="1" x14ac:dyDescent="0.35">
      <c r="A1195" s="34"/>
      <c r="B1195" s="34"/>
      <c r="C1195" s="34"/>
      <c r="D1195" s="34"/>
      <c r="V1195" s="42"/>
    </row>
    <row r="1196" spans="1:22" ht="15.75" customHeight="1" x14ac:dyDescent="0.35">
      <c r="A1196" s="34"/>
      <c r="B1196" s="34"/>
      <c r="C1196" s="34"/>
      <c r="D1196" s="34"/>
      <c r="V1196" s="42"/>
    </row>
    <row r="1197" spans="1:22" ht="15.75" customHeight="1" x14ac:dyDescent="0.35">
      <c r="A1197" s="34"/>
      <c r="B1197" s="34"/>
      <c r="C1197" s="34"/>
      <c r="D1197" s="34"/>
      <c r="V1197" s="42"/>
    </row>
    <row r="1198" spans="1:22" ht="15.75" customHeight="1" x14ac:dyDescent="0.35">
      <c r="A1198" s="34"/>
      <c r="B1198" s="34"/>
      <c r="C1198" s="34"/>
      <c r="D1198" s="34"/>
      <c r="V1198" s="42"/>
    </row>
    <row r="1199" spans="1:22" ht="15.75" customHeight="1" x14ac:dyDescent="0.35">
      <c r="A1199" s="34"/>
      <c r="B1199" s="34"/>
      <c r="C1199" s="34"/>
      <c r="D1199" s="34"/>
      <c r="V1199" s="42"/>
    </row>
    <row r="1200" spans="1:22" ht="15.75" customHeight="1" x14ac:dyDescent="0.35">
      <c r="A1200" s="34"/>
      <c r="B1200" s="34"/>
      <c r="C1200" s="34"/>
      <c r="D1200" s="34"/>
      <c r="V1200" s="42"/>
    </row>
    <row r="1201" spans="1:22" ht="15.75" customHeight="1" x14ac:dyDescent="0.35">
      <c r="A1201" s="34"/>
      <c r="B1201" s="34"/>
      <c r="C1201" s="34"/>
      <c r="D1201" s="34"/>
      <c r="V1201" s="42"/>
    </row>
    <row r="1202" spans="1:22" ht="15.75" customHeight="1" x14ac:dyDescent="0.35">
      <c r="A1202" s="34"/>
      <c r="B1202" s="34"/>
      <c r="C1202" s="34"/>
      <c r="D1202" s="34"/>
      <c r="V1202" s="42"/>
    </row>
    <row r="1203" spans="1:22" ht="15.75" customHeight="1" x14ac:dyDescent="0.35">
      <c r="A1203" s="34"/>
      <c r="B1203" s="34"/>
      <c r="C1203" s="34"/>
      <c r="D1203" s="34"/>
      <c r="V1203" s="42"/>
    </row>
    <row r="1204" spans="1:22" ht="15.75" customHeight="1" x14ac:dyDescent="0.35">
      <c r="A1204" s="34"/>
      <c r="B1204" s="34"/>
      <c r="C1204" s="34"/>
      <c r="D1204" s="34"/>
      <c r="V1204" s="42"/>
    </row>
    <row r="1205" spans="1:22" ht="15.75" customHeight="1" x14ac:dyDescent="0.35">
      <c r="A1205" s="34"/>
      <c r="B1205" s="34"/>
      <c r="C1205" s="34"/>
      <c r="D1205" s="34"/>
      <c r="V1205" s="42"/>
    </row>
    <row r="1206" spans="1:22" ht="15.75" customHeight="1" x14ac:dyDescent="0.35">
      <c r="A1206" s="34"/>
      <c r="B1206" s="34"/>
      <c r="C1206" s="34"/>
      <c r="D1206" s="34"/>
      <c r="V1206" s="42"/>
    </row>
    <row r="1207" spans="1:22" ht="15.75" customHeight="1" x14ac:dyDescent="0.35">
      <c r="A1207" s="34"/>
      <c r="B1207" s="34"/>
      <c r="C1207" s="34"/>
      <c r="D1207" s="34"/>
      <c r="V1207" s="42"/>
    </row>
    <row r="1208" spans="1:22" ht="15.75" customHeight="1" x14ac:dyDescent="0.35">
      <c r="A1208" s="34"/>
      <c r="B1208" s="34"/>
      <c r="C1208" s="34"/>
      <c r="D1208" s="34"/>
      <c r="V1208" s="42"/>
    </row>
    <row r="1209" spans="1:22" ht="15.75" customHeight="1" x14ac:dyDescent="0.35">
      <c r="A1209" s="34"/>
      <c r="B1209" s="34"/>
      <c r="C1209" s="34"/>
      <c r="D1209" s="34"/>
      <c r="V1209" s="42"/>
    </row>
    <row r="1210" spans="1:22" ht="15.75" customHeight="1" x14ac:dyDescent="0.35">
      <c r="A1210" s="34"/>
      <c r="B1210" s="34"/>
      <c r="C1210" s="34"/>
      <c r="D1210" s="34"/>
      <c r="V1210" s="42"/>
    </row>
    <row r="1211" spans="1:22" ht="15.75" customHeight="1" x14ac:dyDescent="0.35">
      <c r="A1211" s="34"/>
      <c r="B1211" s="34"/>
      <c r="C1211" s="34"/>
      <c r="D1211" s="34"/>
      <c r="V1211" s="42"/>
    </row>
    <row r="1212" spans="1:22" ht="15.75" customHeight="1" x14ac:dyDescent="0.35">
      <c r="A1212" s="34"/>
      <c r="B1212" s="34"/>
      <c r="C1212" s="34"/>
      <c r="D1212" s="34"/>
      <c r="V1212" s="42"/>
    </row>
    <row r="1213" spans="1:22" ht="15.75" customHeight="1" x14ac:dyDescent="0.35">
      <c r="A1213" s="34"/>
      <c r="B1213" s="34"/>
      <c r="C1213" s="34"/>
      <c r="D1213" s="34"/>
      <c r="V1213" s="42"/>
    </row>
    <row r="1214" spans="1:22" ht="15.75" customHeight="1" x14ac:dyDescent="0.35">
      <c r="A1214" s="34"/>
      <c r="B1214" s="34"/>
      <c r="C1214" s="34"/>
      <c r="D1214" s="34"/>
      <c r="V1214" s="42"/>
    </row>
    <row r="1215" spans="1:22" ht="15.75" customHeight="1" x14ac:dyDescent="0.35">
      <c r="A1215" s="34"/>
      <c r="B1215" s="34"/>
      <c r="C1215" s="34"/>
      <c r="D1215" s="34"/>
      <c r="V1215" s="42"/>
    </row>
    <row r="1216" spans="1:22" ht="15.75" customHeight="1" x14ac:dyDescent="0.35">
      <c r="A1216" s="34"/>
      <c r="B1216" s="34"/>
      <c r="C1216" s="34"/>
      <c r="D1216" s="34"/>
      <c r="V1216" s="42"/>
    </row>
    <row r="1217" spans="1:22" ht="15.75" customHeight="1" x14ac:dyDescent="0.35">
      <c r="A1217" s="34"/>
      <c r="B1217" s="34"/>
      <c r="C1217" s="34"/>
      <c r="D1217" s="34"/>
      <c r="V1217" s="42"/>
    </row>
    <row r="1218" spans="1:22" ht="15.75" customHeight="1" x14ac:dyDescent="0.35">
      <c r="A1218" s="34"/>
      <c r="B1218" s="34"/>
      <c r="C1218" s="34"/>
      <c r="D1218" s="34"/>
      <c r="V1218" s="42"/>
    </row>
    <row r="1219" spans="1:22" ht="15.75" customHeight="1" x14ac:dyDescent="0.35">
      <c r="A1219" s="34"/>
      <c r="B1219" s="34"/>
      <c r="C1219" s="34"/>
      <c r="D1219" s="34"/>
      <c r="V1219" s="42"/>
    </row>
    <row r="1220" spans="1:22" ht="15.75" customHeight="1" x14ac:dyDescent="0.35">
      <c r="A1220" s="34"/>
      <c r="B1220" s="34"/>
      <c r="C1220" s="34"/>
      <c r="D1220" s="34"/>
      <c r="V1220" s="42"/>
    </row>
    <row r="1221" spans="1:22" ht="15.75" customHeight="1" x14ac:dyDescent="0.35">
      <c r="A1221" s="34"/>
      <c r="B1221" s="34"/>
      <c r="C1221" s="34"/>
      <c r="D1221" s="34"/>
      <c r="V1221" s="42"/>
    </row>
    <row r="1222" spans="1:22" ht="15.75" customHeight="1" x14ac:dyDescent="0.35">
      <c r="A1222" s="34"/>
      <c r="B1222" s="34"/>
      <c r="C1222" s="34"/>
      <c r="D1222" s="34"/>
      <c r="V1222" s="42"/>
    </row>
    <row r="1223" spans="1:22" ht="15.75" customHeight="1" x14ac:dyDescent="0.35">
      <c r="A1223" s="34"/>
      <c r="B1223" s="34"/>
      <c r="C1223" s="34"/>
      <c r="D1223" s="34"/>
      <c r="V1223" s="42"/>
    </row>
    <row r="1224" spans="1:22" ht="15.75" customHeight="1" x14ac:dyDescent="0.35">
      <c r="A1224" s="34"/>
      <c r="B1224" s="34"/>
      <c r="C1224" s="34"/>
      <c r="D1224" s="34"/>
      <c r="V1224" s="42"/>
    </row>
    <row r="1225" spans="1:22" ht="15.75" customHeight="1" x14ac:dyDescent="0.35">
      <c r="A1225" s="34"/>
      <c r="B1225" s="34"/>
      <c r="C1225" s="34"/>
      <c r="D1225" s="34"/>
      <c r="V1225" s="42"/>
    </row>
    <row r="1226" spans="1:22" ht="15.75" customHeight="1" x14ac:dyDescent="0.35">
      <c r="A1226" s="34"/>
      <c r="B1226" s="34"/>
      <c r="C1226" s="34"/>
      <c r="D1226" s="34"/>
      <c r="V1226" s="42"/>
    </row>
    <row r="1227" spans="1:22" ht="15.75" customHeight="1" x14ac:dyDescent="0.35">
      <c r="A1227" s="34"/>
      <c r="B1227" s="34"/>
      <c r="C1227" s="34"/>
      <c r="D1227" s="34"/>
      <c r="V1227" s="42"/>
    </row>
    <row r="1228" spans="1:22" ht="15.75" customHeight="1" x14ac:dyDescent="0.35">
      <c r="A1228" s="34"/>
      <c r="B1228" s="34"/>
      <c r="C1228" s="34"/>
      <c r="D1228" s="34"/>
      <c r="V1228" s="42"/>
    </row>
    <row r="1229" spans="1:22" ht="15.75" customHeight="1" x14ac:dyDescent="0.35">
      <c r="A1229" s="34"/>
      <c r="B1229" s="34"/>
      <c r="C1229" s="34"/>
      <c r="D1229" s="34"/>
      <c r="V1229" s="42"/>
    </row>
    <row r="1230" spans="1:22" ht="15.75" customHeight="1" x14ac:dyDescent="0.35">
      <c r="A1230" s="34"/>
      <c r="B1230" s="34"/>
      <c r="C1230" s="34"/>
      <c r="D1230" s="34"/>
      <c r="V1230" s="42"/>
    </row>
    <row r="1231" spans="1:22" ht="15.75" customHeight="1" x14ac:dyDescent="0.35">
      <c r="A1231" s="34"/>
      <c r="B1231" s="34"/>
      <c r="C1231" s="34"/>
      <c r="D1231" s="34"/>
      <c r="V1231" s="42"/>
    </row>
    <row r="1232" spans="1:22" ht="15.75" customHeight="1" x14ac:dyDescent="0.35">
      <c r="A1232" s="34"/>
      <c r="B1232" s="34"/>
      <c r="C1232" s="34"/>
      <c r="D1232" s="34"/>
      <c r="V1232" s="42"/>
    </row>
    <row r="1233" spans="1:22" ht="15.75" customHeight="1" x14ac:dyDescent="0.35">
      <c r="A1233" s="34"/>
      <c r="B1233" s="34"/>
      <c r="C1233" s="34"/>
      <c r="D1233" s="34"/>
      <c r="V1233" s="42"/>
    </row>
    <row r="1234" spans="1:22" ht="15.75" customHeight="1" x14ac:dyDescent="0.35">
      <c r="A1234" s="34"/>
      <c r="B1234" s="34"/>
      <c r="C1234" s="34"/>
      <c r="D1234" s="34"/>
      <c r="V1234" s="42"/>
    </row>
    <row r="1235" spans="1:22" ht="15.75" customHeight="1" x14ac:dyDescent="0.35">
      <c r="A1235" s="34"/>
      <c r="B1235" s="34"/>
      <c r="C1235" s="34"/>
      <c r="D1235" s="34"/>
      <c r="V1235" s="42"/>
    </row>
    <row r="1236" spans="1:22" ht="15.75" customHeight="1" x14ac:dyDescent="0.35">
      <c r="A1236" s="34"/>
      <c r="B1236" s="34"/>
      <c r="C1236" s="34"/>
      <c r="D1236" s="34"/>
      <c r="V1236" s="42"/>
    </row>
    <row r="1237" spans="1:22" ht="15.75" customHeight="1" x14ac:dyDescent="0.35">
      <c r="A1237" s="34"/>
      <c r="B1237" s="34"/>
      <c r="C1237" s="34"/>
      <c r="D1237" s="34"/>
      <c r="V1237" s="42"/>
    </row>
    <row r="1238" spans="1:22" ht="15.75" customHeight="1" x14ac:dyDescent="0.35">
      <c r="A1238" s="34"/>
      <c r="B1238" s="34"/>
      <c r="C1238" s="34"/>
      <c r="D1238" s="34"/>
      <c r="V1238" s="42"/>
    </row>
    <row r="1239" spans="1:22" ht="15.75" customHeight="1" x14ac:dyDescent="0.35">
      <c r="A1239" s="34"/>
      <c r="B1239" s="34"/>
      <c r="C1239" s="34"/>
      <c r="D1239" s="34"/>
      <c r="V1239" s="42"/>
    </row>
    <row r="1240" spans="1:22" ht="15.75" customHeight="1" x14ac:dyDescent="0.35">
      <c r="A1240" s="34"/>
      <c r="B1240" s="34"/>
      <c r="C1240" s="34"/>
      <c r="D1240" s="34"/>
      <c r="V1240" s="42"/>
    </row>
    <row r="1241" spans="1:22" ht="15.75" customHeight="1" x14ac:dyDescent="0.35">
      <c r="A1241" s="34"/>
      <c r="B1241" s="34"/>
      <c r="C1241" s="34"/>
      <c r="D1241" s="34"/>
      <c r="V1241" s="42"/>
    </row>
    <row r="1242" spans="1:22" ht="15.75" customHeight="1" x14ac:dyDescent="0.35">
      <c r="A1242" s="34"/>
      <c r="B1242" s="34"/>
      <c r="C1242" s="34"/>
      <c r="D1242" s="34"/>
      <c r="V1242" s="42"/>
    </row>
    <row r="1243" spans="1:22" ht="15.75" customHeight="1" x14ac:dyDescent="0.35">
      <c r="A1243" s="34"/>
      <c r="B1243" s="34"/>
      <c r="C1243" s="34"/>
      <c r="D1243" s="34"/>
      <c r="V1243" s="42"/>
    </row>
    <row r="1244" spans="1:22" ht="15.75" customHeight="1" x14ac:dyDescent="0.35">
      <c r="A1244" s="34"/>
      <c r="B1244" s="34"/>
      <c r="C1244" s="34"/>
      <c r="D1244" s="34"/>
      <c r="V1244" s="42"/>
    </row>
    <row r="1245" spans="1:22" ht="15.75" customHeight="1" x14ac:dyDescent="0.35">
      <c r="A1245" s="34"/>
      <c r="B1245" s="34"/>
      <c r="C1245" s="34"/>
      <c r="D1245" s="34"/>
      <c r="V1245" s="42"/>
    </row>
    <row r="1246" spans="1:22" ht="15.75" customHeight="1" x14ac:dyDescent="0.35">
      <c r="A1246" s="34"/>
      <c r="B1246" s="34"/>
      <c r="C1246" s="34"/>
      <c r="D1246" s="34"/>
      <c r="V1246" s="42"/>
    </row>
    <row r="1247" spans="1:22" ht="15.75" customHeight="1" x14ac:dyDescent="0.35">
      <c r="A1247" s="34"/>
      <c r="B1247" s="34"/>
      <c r="C1247" s="34"/>
      <c r="D1247" s="34"/>
      <c r="V1247" s="42"/>
    </row>
    <row r="1248" spans="1:22" ht="15.75" customHeight="1" x14ac:dyDescent="0.35">
      <c r="A1248" s="34"/>
      <c r="B1248" s="34"/>
      <c r="C1248" s="34"/>
      <c r="D1248" s="34"/>
      <c r="V1248" s="42"/>
    </row>
    <row r="1249" spans="1:22" ht="15.75" customHeight="1" x14ac:dyDescent="0.35">
      <c r="A1249" s="34"/>
      <c r="B1249" s="34"/>
      <c r="C1249" s="34"/>
      <c r="D1249" s="34"/>
      <c r="V1249" s="42"/>
    </row>
    <row r="1250" spans="1:22" ht="15.75" customHeight="1" x14ac:dyDescent="0.35">
      <c r="A1250" s="34"/>
      <c r="B1250" s="34"/>
      <c r="C1250" s="34"/>
      <c r="D1250" s="34"/>
      <c r="V1250" s="42"/>
    </row>
    <row r="1251" spans="1:22" ht="15.75" customHeight="1" x14ac:dyDescent="0.35">
      <c r="A1251" s="34"/>
      <c r="B1251" s="34"/>
      <c r="C1251" s="34"/>
      <c r="D1251" s="34"/>
      <c r="V1251" s="42"/>
    </row>
    <row r="1252" spans="1:22" ht="15.75" customHeight="1" x14ac:dyDescent="0.35">
      <c r="A1252" s="34"/>
      <c r="B1252" s="34"/>
      <c r="C1252" s="34"/>
      <c r="D1252" s="34"/>
      <c r="V1252" s="42"/>
    </row>
    <row r="1253" spans="1:22" ht="15.75" customHeight="1" x14ac:dyDescent="0.35">
      <c r="A1253" s="34"/>
      <c r="B1253" s="34"/>
      <c r="C1253" s="34"/>
      <c r="D1253" s="34"/>
      <c r="V1253" s="42"/>
    </row>
    <row r="1254" spans="1:22" ht="15.75" customHeight="1" x14ac:dyDescent="0.35">
      <c r="A1254" s="34"/>
      <c r="B1254" s="34"/>
      <c r="C1254" s="34"/>
      <c r="D1254" s="34"/>
      <c r="V1254" s="42"/>
    </row>
    <row r="1255" spans="1:22" ht="15.75" customHeight="1" x14ac:dyDescent="0.35">
      <c r="A1255" s="34"/>
      <c r="B1255" s="34"/>
      <c r="C1255" s="34"/>
      <c r="D1255" s="34"/>
      <c r="V1255" s="42"/>
    </row>
    <row r="1256" spans="1:22" ht="15.75" customHeight="1" x14ac:dyDescent="0.35">
      <c r="A1256" s="34"/>
      <c r="B1256" s="34"/>
      <c r="C1256" s="34"/>
      <c r="D1256" s="34"/>
      <c r="V1256" s="42"/>
    </row>
    <row r="1257" spans="1:22" ht="15.75" customHeight="1" x14ac:dyDescent="0.35">
      <c r="A1257" s="34"/>
      <c r="B1257" s="34"/>
      <c r="C1257" s="34"/>
      <c r="D1257" s="34"/>
      <c r="V1257" s="42"/>
    </row>
    <row r="1258" spans="1:22" ht="15.75" customHeight="1" x14ac:dyDescent="0.35">
      <c r="A1258" s="34"/>
      <c r="B1258" s="34"/>
      <c r="C1258" s="34"/>
      <c r="D1258" s="34"/>
      <c r="V1258" s="42"/>
    </row>
    <row r="1259" spans="1:22" ht="15.75" customHeight="1" x14ac:dyDescent="0.35">
      <c r="A1259" s="34"/>
      <c r="B1259" s="34"/>
      <c r="C1259" s="34"/>
      <c r="D1259" s="34"/>
      <c r="V1259" s="42"/>
    </row>
    <row r="1260" spans="1:22" ht="15.75" customHeight="1" x14ac:dyDescent="0.35">
      <c r="A1260" s="34"/>
      <c r="B1260" s="34"/>
      <c r="C1260" s="34"/>
      <c r="D1260" s="34"/>
      <c r="V1260" s="42"/>
    </row>
    <row r="1261" spans="1:22" ht="15.75" customHeight="1" x14ac:dyDescent="0.35">
      <c r="A1261" s="34"/>
      <c r="B1261" s="34"/>
      <c r="C1261" s="34"/>
      <c r="D1261" s="34"/>
      <c r="V1261" s="42"/>
    </row>
    <row r="1262" spans="1:22" ht="15.75" customHeight="1" x14ac:dyDescent="0.35">
      <c r="A1262" s="34"/>
      <c r="B1262" s="34"/>
      <c r="C1262" s="34"/>
      <c r="D1262" s="34"/>
      <c r="V1262" s="42"/>
    </row>
    <row r="1263" spans="1:22" ht="15.75" customHeight="1" x14ac:dyDescent="0.35">
      <c r="A1263" s="34"/>
      <c r="B1263" s="34"/>
      <c r="C1263" s="34"/>
      <c r="D1263" s="34"/>
      <c r="V1263" s="42"/>
    </row>
    <row r="1264" spans="1:22" ht="15.75" customHeight="1" x14ac:dyDescent="0.35">
      <c r="A1264" s="34"/>
      <c r="B1264" s="34"/>
      <c r="C1264" s="34"/>
      <c r="D1264" s="34"/>
      <c r="V1264" s="42"/>
    </row>
    <row r="1265" spans="1:22" ht="15.75" customHeight="1" x14ac:dyDescent="0.35">
      <c r="A1265" s="34"/>
      <c r="B1265" s="34"/>
      <c r="C1265" s="34"/>
      <c r="D1265" s="34"/>
      <c r="V1265" s="42"/>
    </row>
    <row r="1266" spans="1:22" ht="15.75" customHeight="1" x14ac:dyDescent="0.35">
      <c r="A1266" s="34"/>
      <c r="B1266" s="34"/>
      <c r="C1266" s="34"/>
      <c r="D1266" s="34"/>
      <c r="V1266" s="42"/>
    </row>
    <row r="1267" spans="1:22" ht="15.75" customHeight="1" x14ac:dyDescent="0.35">
      <c r="A1267" s="34"/>
      <c r="B1267" s="34"/>
      <c r="C1267" s="34"/>
      <c r="D1267" s="34"/>
      <c r="V1267" s="42"/>
    </row>
    <row r="1268" spans="1:22" ht="15.75" customHeight="1" x14ac:dyDescent="0.35">
      <c r="A1268" s="34"/>
      <c r="B1268" s="34"/>
      <c r="C1268" s="34"/>
      <c r="D1268" s="34"/>
      <c r="V1268" s="42"/>
    </row>
    <row r="1269" spans="1:22" ht="15.75" customHeight="1" x14ac:dyDescent="0.35">
      <c r="A1269" s="34"/>
      <c r="B1269" s="34"/>
      <c r="C1269" s="34"/>
      <c r="D1269" s="34"/>
      <c r="V1269" s="42"/>
    </row>
    <row r="1270" spans="1:22" ht="15.75" customHeight="1" x14ac:dyDescent="0.35">
      <c r="A1270" s="34"/>
      <c r="B1270" s="34"/>
      <c r="C1270" s="34"/>
      <c r="D1270" s="34"/>
      <c r="V1270" s="42"/>
    </row>
    <row r="1271" spans="1:22" ht="15.75" customHeight="1" x14ac:dyDescent="0.35">
      <c r="A1271" s="34"/>
      <c r="B1271" s="34"/>
      <c r="C1271" s="34"/>
      <c r="D1271" s="34"/>
      <c r="V1271" s="42"/>
    </row>
    <row r="1272" spans="1:22" ht="15.75" customHeight="1" x14ac:dyDescent="0.35">
      <c r="A1272" s="34"/>
      <c r="B1272" s="34"/>
      <c r="C1272" s="34"/>
      <c r="D1272" s="34"/>
      <c r="V1272" s="42"/>
    </row>
    <row r="1273" spans="1:22" ht="15.75" customHeight="1" x14ac:dyDescent="0.35">
      <c r="A1273" s="34"/>
      <c r="B1273" s="34"/>
      <c r="C1273" s="34"/>
      <c r="D1273" s="34"/>
      <c r="V1273" s="42"/>
    </row>
    <row r="1274" spans="1:22" ht="15.75" customHeight="1" x14ac:dyDescent="0.35">
      <c r="A1274" s="34"/>
      <c r="B1274" s="34"/>
      <c r="C1274" s="34"/>
      <c r="D1274" s="34"/>
      <c r="V1274" s="42"/>
    </row>
    <row r="1275" spans="1:22" ht="15.75" customHeight="1" x14ac:dyDescent="0.35">
      <c r="A1275" s="34"/>
      <c r="B1275" s="34"/>
      <c r="C1275" s="34"/>
      <c r="D1275" s="34"/>
      <c r="V1275" s="42"/>
    </row>
    <row r="1276" spans="1:22" ht="15.75" customHeight="1" x14ac:dyDescent="0.35">
      <c r="A1276" s="34"/>
      <c r="B1276" s="34"/>
      <c r="C1276" s="34"/>
      <c r="D1276" s="34"/>
      <c r="V1276" s="42"/>
    </row>
    <row r="1277" spans="1:22" ht="15.75" customHeight="1" x14ac:dyDescent="0.35">
      <c r="A1277" s="34"/>
      <c r="B1277" s="34"/>
      <c r="C1277" s="34"/>
      <c r="D1277" s="34"/>
      <c r="V1277" s="42"/>
    </row>
    <row r="1278" spans="1:22" ht="15.75" customHeight="1" x14ac:dyDescent="0.35">
      <c r="A1278" s="34"/>
      <c r="B1278" s="34"/>
      <c r="C1278" s="34"/>
      <c r="D1278" s="34"/>
      <c r="V1278" s="42"/>
    </row>
    <row r="1279" spans="1:22" ht="15.75" customHeight="1" x14ac:dyDescent="0.35">
      <c r="A1279" s="34"/>
      <c r="B1279" s="34"/>
      <c r="C1279" s="34"/>
      <c r="D1279" s="34"/>
      <c r="V1279" s="42"/>
    </row>
    <row r="1280" spans="1:22" ht="15.75" customHeight="1" x14ac:dyDescent="0.35">
      <c r="A1280" s="34"/>
      <c r="B1280" s="34"/>
      <c r="C1280" s="34"/>
      <c r="D1280" s="34"/>
      <c r="V1280" s="42"/>
    </row>
    <row r="1281" spans="1:22" ht="15.75" customHeight="1" x14ac:dyDescent="0.35">
      <c r="A1281" s="34"/>
      <c r="B1281" s="34"/>
      <c r="C1281" s="34"/>
      <c r="D1281" s="34"/>
      <c r="V1281" s="42"/>
    </row>
    <row r="1282" spans="1:22" ht="15.75" customHeight="1" x14ac:dyDescent="0.35">
      <c r="A1282" s="34"/>
      <c r="B1282" s="34"/>
      <c r="C1282" s="34"/>
      <c r="D1282" s="34"/>
      <c r="V1282" s="42"/>
    </row>
    <row r="1283" spans="1:22" ht="15.75" customHeight="1" x14ac:dyDescent="0.35">
      <c r="A1283" s="34"/>
      <c r="B1283" s="34"/>
      <c r="C1283" s="34"/>
      <c r="D1283" s="34"/>
      <c r="V1283" s="42"/>
    </row>
    <row r="1284" spans="1:22" ht="15.75" customHeight="1" x14ac:dyDescent="0.35">
      <c r="A1284" s="34"/>
      <c r="B1284" s="34"/>
      <c r="C1284" s="34"/>
      <c r="D1284" s="34"/>
      <c r="V1284" s="42"/>
    </row>
    <row r="1285" spans="1:22" ht="15.75" customHeight="1" x14ac:dyDescent="0.35">
      <c r="A1285" s="34"/>
      <c r="B1285" s="34"/>
      <c r="C1285" s="34"/>
      <c r="D1285" s="34"/>
      <c r="V1285" s="42"/>
    </row>
    <row r="1286" spans="1:22" ht="15.75" customHeight="1" x14ac:dyDescent="0.35">
      <c r="A1286" s="34"/>
      <c r="B1286" s="34"/>
      <c r="C1286" s="34"/>
      <c r="D1286" s="34"/>
      <c r="V1286" s="42"/>
    </row>
    <row r="1287" spans="1:22" ht="15.75" customHeight="1" x14ac:dyDescent="0.35">
      <c r="A1287" s="34"/>
      <c r="B1287" s="34"/>
      <c r="C1287" s="34"/>
      <c r="D1287" s="34"/>
      <c r="V1287" s="42"/>
    </row>
    <row r="1288" spans="1:22" ht="15.75" customHeight="1" x14ac:dyDescent="0.35">
      <c r="A1288" s="34"/>
      <c r="B1288" s="34"/>
      <c r="C1288" s="34"/>
      <c r="D1288" s="34"/>
      <c r="V1288" s="42"/>
    </row>
    <row r="1289" spans="1:22" ht="15.75" customHeight="1" x14ac:dyDescent="0.35">
      <c r="A1289" s="34"/>
      <c r="B1289" s="34"/>
      <c r="C1289" s="34"/>
      <c r="D1289" s="34"/>
      <c r="V1289" s="42"/>
    </row>
    <row r="1290" spans="1:22" ht="15.75" customHeight="1" x14ac:dyDescent="0.35">
      <c r="A1290" s="34"/>
      <c r="B1290" s="34"/>
      <c r="C1290" s="34"/>
      <c r="D1290" s="34"/>
      <c r="V1290" s="42"/>
    </row>
    <row r="1291" spans="1:22" ht="15.75" customHeight="1" x14ac:dyDescent="0.35">
      <c r="A1291" s="34"/>
      <c r="B1291" s="34"/>
      <c r="C1291" s="34"/>
      <c r="D1291" s="34"/>
      <c r="V1291" s="42"/>
    </row>
    <row r="1292" spans="1:22" ht="15.75" customHeight="1" x14ac:dyDescent="0.35">
      <c r="A1292" s="34"/>
      <c r="B1292" s="34"/>
      <c r="C1292" s="34"/>
      <c r="D1292" s="34"/>
      <c r="V1292" s="42"/>
    </row>
    <row r="1293" spans="1:22" ht="15.75" customHeight="1" x14ac:dyDescent="0.35">
      <c r="A1293" s="34"/>
      <c r="B1293" s="34"/>
      <c r="C1293" s="34"/>
      <c r="D1293" s="34"/>
      <c r="V1293" s="42"/>
    </row>
    <row r="1294" spans="1:22" ht="15.75" customHeight="1" x14ac:dyDescent="0.35">
      <c r="A1294" s="34"/>
      <c r="B1294" s="34"/>
      <c r="C1294" s="34"/>
      <c r="D1294" s="34"/>
      <c r="V1294" s="42"/>
    </row>
    <row r="1295" spans="1:22" ht="15.75" customHeight="1" x14ac:dyDescent="0.35">
      <c r="A1295" s="34"/>
      <c r="B1295" s="34"/>
      <c r="C1295" s="34"/>
      <c r="D1295" s="34"/>
      <c r="V1295" s="42"/>
    </row>
    <row r="1296" spans="1:22" ht="15.75" customHeight="1" x14ac:dyDescent="0.35">
      <c r="A1296" s="34"/>
      <c r="B1296" s="34"/>
      <c r="C1296" s="34"/>
      <c r="D1296" s="34"/>
      <c r="V1296" s="42"/>
    </row>
    <row r="1297" spans="1:22" ht="15.75" customHeight="1" x14ac:dyDescent="0.35">
      <c r="A1297" s="34"/>
      <c r="B1297" s="34"/>
      <c r="C1297" s="34"/>
      <c r="D1297" s="34"/>
      <c r="V1297" s="42"/>
    </row>
    <row r="1298" spans="1:22" ht="15.75" customHeight="1" x14ac:dyDescent="0.35">
      <c r="A1298" s="34"/>
      <c r="B1298" s="34"/>
      <c r="C1298" s="34"/>
      <c r="D1298" s="34"/>
      <c r="V1298" s="42"/>
    </row>
    <row r="1299" spans="1:22" ht="15.75" customHeight="1" x14ac:dyDescent="0.35">
      <c r="A1299" s="34"/>
      <c r="B1299" s="34"/>
      <c r="C1299" s="34"/>
      <c r="D1299" s="34"/>
      <c r="V1299" s="42"/>
    </row>
    <row r="1300" spans="1:22" ht="15.75" customHeight="1" x14ac:dyDescent="0.35">
      <c r="A1300" s="34"/>
      <c r="B1300" s="34"/>
      <c r="C1300" s="34"/>
      <c r="D1300" s="34"/>
      <c r="V1300" s="42"/>
    </row>
    <row r="1301" spans="1:22" ht="15.75" customHeight="1" x14ac:dyDescent="0.35">
      <c r="A1301" s="34"/>
      <c r="B1301" s="34"/>
      <c r="C1301" s="34"/>
      <c r="D1301" s="34"/>
      <c r="V1301" s="42"/>
    </row>
    <row r="1302" spans="1:22" ht="15.75" customHeight="1" x14ac:dyDescent="0.35">
      <c r="A1302" s="34"/>
      <c r="B1302" s="34"/>
      <c r="C1302" s="34"/>
      <c r="D1302" s="34"/>
      <c r="V1302" s="42"/>
    </row>
    <row r="1303" spans="1:22" ht="15.75" customHeight="1" x14ac:dyDescent="0.35">
      <c r="A1303" s="34"/>
      <c r="B1303" s="34"/>
      <c r="C1303" s="34"/>
      <c r="D1303" s="34"/>
      <c r="V1303" s="42"/>
    </row>
    <row r="1304" spans="1:22" ht="15.75" customHeight="1" x14ac:dyDescent="0.35">
      <c r="A1304" s="34"/>
      <c r="B1304" s="34"/>
      <c r="C1304" s="34"/>
      <c r="D1304" s="34"/>
      <c r="V1304" s="42"/>
    </row>
    <row r="1305" spans="1:22" ht="15.75" customHeight="1" x14ac:dyDescent="0.35">
      <c r="A1305" s="34"/>
      <c r="B1305" s="34"/>
      <c r="C1305" s="34"/>
      <c r="D1305" s="34"/>
      <c r="V1305" s="42"/>
    </row>
    <row r="1306" spans="1:22" ht="15.75" customHeight="1" x14ac:dyDescent="0.35">
      <c r="A1306" s="34"/>
      <c r="B1306" s="34"/>
      <c r="C1306" s="34"/>
      <c r="D1306" s="34"/>
      <c r="V1306" s="42"/>
    </row>
    <row r="1307" spans="1:22" ht="15.75" customHeight="1" x14ac:dyDescent="0.35">
      <c r="A1307" s="34"/>
      <c r="B1307" s="34"/>
      <c r="C1307" s="34"/>
      <c r="D1307" s="34"/>
      <c r="V1307" s="42"/>
    </row>
    <row r="1308" spans="1:22" ht="15.75" customHeight="1" x14ac:dyDescent="0.35">
      <c r="A1308" s="34"/>
      <c r="B1308" s="34"/>
      <c r="C1308" s="34"/>
      <c r="D1308" s="34"/>
      <c r="V1308" s="42"/>
    </row>
    <row r="1309" spans="1:22" ht="15.75" customHeight="1" x14ac:dyDescent="0.35">
      <c r="A1309" s="34"/>
      <c r="B1309" s="34"/>
      <c r="C1309" s="34"/>
      <c r="D1309" s="34"/>
      <c r="V1309" s="42"/>
    </row>
    <row r="1310" spans="1:22" ht="15.75" customHeight="1" x14ac:dyDescent="0.35">
      <c r="A1310" s="34"/>
      <c r="B1310" s="34"/>
      <c r="C1310" s="34"/>
      <c r="D1310" s="34"/>
      <c r="V1310" s="42"/>
    </row>
    <row r="1311" spans="1:22" ht="15.75" customHeight="1" x14ac:dyDescent="0.35">
      <c r="A1311" s="34"/>
      <c r="B1311" s="34"/>
      <c r="C1311" s="34"/>
      <c r="D1311" s="34"/>
      <c r="V1311" s="42"/>
    </row>
    <row r="1312" spans="1:22" ht="15.75" customHeight="1" x14ac:dyDescent="0.35">
      <c r="A1312" s="34"/>
      <c r="B1312" s="34"/>
      <c r="C1312" s="34"/>
      <c r="D1312" s="34"/>
      <c r="V1312" s="42"/>
    </row>
    <row r="1313" spans="1:22" ht="15.75" customHeight="1" x14ac:dyDescent="0.35">
      <c r="A1313" s="34"/>
      <c r="B1313" s="34"/>
      <c r="C1313" s="34"/>
      <c r="D1313" s="34"/>
      <c r="V1313" s="42"/>
    </row>
    <row r="1314" spans="1:22" ht="15.75" customHeight="1" x14ac:dyDescent="0.35">
      <c r="A1314" s="34"/>
      <c r="B1314" s="34"/>
      <c r="C1314" s="34"/>
      <c r="D1314" s="34"/>
      <c r="V1314" s="42"/>
    </row>
    <row r="1315" spans="1:22" ht="15.75" customHeight="1" x14ac:dyDescent="0.35">
      <c r="A1315" s="34"/>
      <c r="B1315" s="34"/>
      <c r="C1315" s="34"/>
      <c r="D1315" s="34"/>
      <c r="V1315" s="42"/>
    </row>
    <row r="1316" spans="1:22" ht="15.75" customHeight="1" x14ac:dyDescent="0.35">
      <c r="A1316" s="34"/>
      <c r="B1316" s="34"/>
      <c r="C1316" s="34"/>
      <c r="D1316" s="34"/>
      <c r="V1316" s="42"/>
    </row>
    <row r="1317" spans="1:22" ht="15.75" customHeight="1" x14ac:dyDescent="0.35">
      <c r="A1317" s="34"/>
      <c r="B1317" s="34"/>
      <c r="C1317" s="34"/>
      <c r="D1317" s="34"/>
      <c r="V1317" s="42"/>
    </row>
    <row r="1318" spans="1:22" ht="15.75" customHeight="1" x14ac:dyDescent="0.35">
      <c r="A1318" s="34"/>
      <c r="B1318" s="34"/>
      <c r="C1318" s="34"/>
      <c r="D1318" s="34"/>
      <c r="V1318" s="42"/>
    </row>
    <row r="1319" spans="1:22" ht="15.75" customHeight="1" x14ac:dyDescent="0.35">
      <c r="A1319" s="34"/>
      <c r="B1319" s="34"/>
      <c r="C1319" s="34"/>
      <c r="D1319" s="34"/>
      <c r="V1319" s="42"/>
    </row>
    <row r="1320" spans="1:22" ht="15.75" customHeight="1" x14ac:dyDescent="0.35">
      <c r="A1320" s="34"/>
      <c r="B1320" s="34"/>
      <c r="C1320" s="34"/>
      <c r="D1320" s="34"/>
      <c r="V1320" s="42"/>
    </row>
    <row r="1321" spans="1:22" ht="15.75" customHeight="1" x14ac:dyDescent="0.35">
      <c r="A1321" s="34"/>
      <c r="B1321" s="34"/>
      <c r="C1321" s="34"/>
      <c r="D1321" s="34"/>
      <c r="V1321" s="42"/>
    </row>
    <row r="1322" spans="1:22" ht="15.75" customHeight="1" x14ac:dyDescent="0.35">
      <c r="A1322" s="34"/>
      <c r="B1322" s="34"/>
      <c r="C1322" s="34"/>
      <c r="D1322" s="34"/>
      <c r="V1322" s="42"/>
    </row>
    <row r="1323" spans="1:22" ht="15.75" customHeight="1" x14ac:dyDescent="0.35">
      <c r="A1323" s="34"/>
      <c r="B1323" s="34"/>
      <c r="C1323" s="34"/>
      <c r="D1323" s="34"/>
      <c r="V1323" s="42"/>
    </row>
    <row r="1324" spans="1:22" ht="15.75" customHeight="1" x14ac:dyDescent="0.35">
      <c r="A1324" s="34"/>
      <c r="B1324" s="34"/>
      <c r="C1324" s="34"/>
      <c r="D1324" s="34"/>
      <c r="V1324" s="42"/>
    </row>
    <row r="1325" spans="1:22" ht="15.75" customHeight="1" x14ac:dyDescent="0.35">
      <c r="A1325" s="34"/>
      <c r="B1325" s="34"/>
      <c r="C1325" s="34"/>
      <c r="D1325" s="34"/>
      <c r="V1325" s="42"/>
    </row>
    <row r="1326" spans="1:22" ht="15.75" customHeight="1" x14ac:dyDescent="0.35">
      <c r="A1326" s="34"/>
      <c r="B1326" s="34"/>
      <c r="C1326" s="34"/>
      <c r="D1326" s="34"/>
      <c r="V1326" s="42"/>
    </row>
    <row r="1327" spans="1:22" ht="15.75" customHeight="1" x14ac:dyDescent="0.35">
      <c r="A1327" s="34"/>
      <c r="B1327" s="34"/>
      <c r="C1327" s="34"/>
      <c r="D1327" s="34"/>
      <c r="V1327" s="42"/>
    </row>
    <row r="1328" spans="1:22" ht="15.75" customHeight="1" x14ac:dyDescent="0.35">
      <c r="A1328" s="34"/>
      <c r="B1328" s="34"/>
      <c r="C1328" s="34"/>
      <c r="D1328" s="34"/>
      <c r="V1328" s="42"/>
    </row>
    <row r="1329" spans="1:22" ht="15.75" customHeight="1" x14ac:dyDescent="0.35">
      <c r="A1329" s="34"/>
      <c r="B1329" s="34"/>
      <c r="C1329" s="34"/>
      <c r="D1329" s="34"/>
      <c r="V1329" s="42"/>
    </row>
    <row r="1330" spans="1:22" ht="15.75" customHeight="1" x14ac:dyDescent="0.35">
      <c r="A1330" s="34"/>
      <c r="B1330" s="34"/>
      <c r="C1330" s="34"/>
      <c r="D1330" s="34"/>
      <c r="V1330" s="42"/>
    </row>
    <row r="1331" spans="1:22" ht="15.75" customHeight="1" x14ac:dyDescent="0.35">
      <c r="A1331" s="34"/>
      <c r="B1331" s="34"/>
      <c r="C1331" s="34"/>
      <c r="D1331" s="34"/>
      <c r="V1331" s="42"/>
    </row>
    <row r="1332" spans="1:22" ht="15.75" customHeight="1" x14ac:dyDescent="0.35">
      <c r="A1332" s="34"/>
      <c r="B1332" s="34"/>
      <c r="C1332" s="34"/>
      <c r="D1332" s="34"/>
      <c r="V1332" s="42"/>
    </row>
    <row r="1333" spans="1:22" ht="15.75" customHeight="1" x14ac:dyDescent="0.35">
      <c r="A1333" s="34"/>
      <c r="B1333" s="34"/>
      <c r="C1333" s="34"/>
      <c r="D1333" s="34"/>
      <c r="V1333" s="42"/>
    </row>
    <row r="1334" spans="1:22" ht="15.75" customHeight="1" x14ac:dyDescent="0.35">
      <c r="A1334" s="34"/>
      <c r="B1334" s="34"/>
      <c r="C1334" s="34"/>
      <c r="D1334" s="34"/>
      <c r="V1334" s="42"/>
    </row>
    <row r="1335" spans="1:22" ht="15.75" customHeight="1" x14ac:dyDescent="0.35">
      <c r="A1335" s="34"/>
      <c r="B1335" s="34"/>
      <c r="C1335" s="34"/>
      <c r="D1335" s="34"/>
      <c r="V1335" s="42"/>
    </row>
    <row r="1336" spans="1:22" ht="15.75" customHeight="1" x14ac:dyDescent="0.35">
      <c r="A1336" s="34"/>
      <c r="B1336" s="34"/>
      <c r="C1336" s="34"/>
      <c r="D1336" s="34"/>
      <c r="V1336" s="42"/>
    </row>
    <row r="1337" spans="1:22" ht="15.75" customHeight="1" x14ac:dyDescent="0.35">
      <c r="A1337" s="34"/>
      <c r="B1337" s="34"/>
      <c r="C1337" s="34"/>
      <c r="D1337" s="34"/>
      <c r="V1337" s="42"/>
    </row>
    <row r="1338" spans="1:22" ht="15.75" customHeight="1" x14ac:dyDescent="0.35">
      <c r="A1338" s="34"/>
      <c r="B1338" s="34"/>
      <c r="C1338" s="34"/>
      <c r="D1338" s="34"/>
      <c r="V1338" s="42"/>
    </row>
    <row r="1339" spans="1:22" ht="15.75" customHeight="1" x14ac:dyDescent="0.35">
      <c r="A1339" s="34"/>
      <c r="B1339" s="34"/>
      <c r="C1339" s="34"/>
      <c r="D1339" s="34"/>
      <c r="V1339" s="42"/>
    </row>
    <row r="1340" spans="1:22" ht="15.75" customHeight="1" x14ac:dyDescent="0.35">
      <c r="A1340" s="34"/>
      <c r="B1340" s="34"/>
      <c r="C1340" s="34"/>
      <c r="D1340" s="34"/>
      <c r="V1340" s="42"/>
    </row>
    <row r="1341" spans="1:22" ht="15.75" customHeight="1" x14ac:dyDescent="0.35">
      <c r="A1341" s="34"/>
      <c r="B1341" s="34"/>
      <c r="C1341" s="34"/>
      <c r="D1341" s="34"/>
      <c r="V1341" s="42"/>
    </row>
    <row r="1342" spans="1:22" ht="15.75" customHeight="1" x14ac:dyDescent="0.35">
      <c r="A1342" s="34"/>
      <c r="B1342" s="34"/>
      <c r="C1342" s="34"/>
      <c r="D1342" s="34"/>
      <c r="V1342" s="42"/>
    </row>
    <row r="1343" spans="1:22" ht="15.75" customHeight="1" x14ac:dyDescent="0.35">
      <c r="A1343" s="34"/>
      <c r="B1343" s="34"/>
      <c r="C1343" s="34"/>
      <c r="D1343" s="34"/>
      <c r="V1343" s="42"/>
    </row>
    <row r="1344" spans="1:22" ht="15.75" customHeight="1" x14ac:dyDescent="0.35">
      <c r="A1344" s="34"/>
      <c r="B1344" s="34"/>
      <c r="C1344" s="34"/>
      <c r="D1344" s="34"/>
      <c r="V1344" s="42"/>
    </row>
    <row r="1345" spans="1:22" ht="15.75" customHeight="1" x14ac:dyDescent="0.35">
      <c r="A1345" s="34"/>
      <c r="B1345" s="34"/>
      <c r="C1345" s="34"/>
      <c r="D1345" s="34"/>
      <c r="V1345" s="42"/>
    </row>
    <row r="1346" spans="1:22" ht="15.75" customHeight="1" x14ac:dyDescent="0.35">
      <c r="A1346" s="34"/>
      <c r="B1346" s="34"/>
      <c r="C1346" s="34"/>
      <c r="D1346" s="34"/>
      <c r="V1346" s="42"/>
    </row>
    <row r="1347" spans="1:22" ht="15.75" customHeight="1" x14ac:dyDescent="0.35">
      <c r="A1347" s="34"/>
      <c r="B1347" s="34"/>
      <c r="C1347" s="34"/>
      <c r="D1347" s="34"/>
      <c r="V1347" s="42"/>
    </row>
    <row r="1348" spans="1:22" ht="15.75" customHeight="1" x14ac:dyDescent="0.35">
      <c r="A1348" s="34"/>
      <c r="B1348" s="34"/>
      <c r="C1348" s="34"/>
      <c r="D1348" s="34"/>
      <c r="V1348" s="42"/>
    </row>
    <row r="1349" spans="1:22" ht="15.75" customHeight="1" x14ac:dyDescent="0.35">
      <c r="A1349" s="34"/>
      <c r="B1349" s="34"/>
      <c r="C1349" s="34"/>
      <c r="D1349" s="34"/>
      <c r="V1349" s="42"/>
    </row>
    <row r="1350" spans="1:22" ht="15.75" customHeight="1" x14ac:dyDescent="0.35">
      <c r="A1350" s="34"/>
      <c r="B1350" s="34"/>
      <c r="C1350" s="34"/>
      <c r="D1350" s="34"/>
      <c r="V1350" s="42"/>
    </row>
    <row r="1351" spans="1:22" ht="15.75" customHeight="1" x14ac:dyDescent="0.35">
      <c r="A1351" s="34"/>
      <c r="B1351" s="34"/>
      <c r="C1351" s="34"/>
      <c r="D1351" s="34"/>
      <c r="V1351" s="42"/>
    </row>
    <row r="1352" spans="1:22" ht="15.75" customHeight="1" x14ac:dyDescent="0.35">
      <c r="A1352" s="34"/>
      <c r="B1352" s="34"/>
      <c r="C1352" s="34"/>
      <c r="D1352" s="34"/>
      <c r="V1352" s="42"/>
    </row>
    <row r="1353" spans="1:22" ht="15.75" customHeight="1" x14ac:dyDescent="0.35">
      <c r="A1353" s="34"/>
      <c r="B1353" s="34"/>
      <c r="C1353" s="34"/>
      <c r="D1353" s="34"/>
      <c r="V1353" s="42"/>
    </row>
    <row r="1354" spans="1:22" ht="15.75" customHeight="1" x14ac:dyDescent="0.35">
      <c r="A1354" s="34"/>
      <c r="B1354" s="34"/>
      <c r="C1354" s="34"/>
      <c r="D1354" s="34"/>
      <c r="V1354" s="42"/>
    </row>
    <row r="1355" spans="1:22" ht="15.75" customHeight="1" x14ac:dyDescent="0.35">
      <c r="A1355" s="34"/>
      <c r="B1355" s="34"/>
      <c r="C1355" s="34"/>
      <c r="D1355" s="34"/>
      <c r="V1355" s="42"/>
    </row>
    <row r="1356" spans="1:22" ht="15.75" customHeight="1" x14ac:dyDescent="0.35">
      <c r="A1356" s="34"/>
      <c r="B1356" s="34"/>
      <c r="C1356" s="34"/>
      <c r="D1356" s="34"/>
      <c r="V1356" s="42"/>
    </row>
    <row r="1357" spans="1:22" ht="15.75" customHeight="1" x14ac:dyDescent="0.35">
      <c r="A1357" s="34"/>
      <c r="B1357" s="34"/>
      <c r="C1357" s="34"/>
      <c r="D1357" s="34"/>
      <c r="V1357" s="42"/>
    </row>
    <row r="1358" spans="1:22" ht="15.75" customHeight="1" x14ac:dyDescent="0.35">
      <c r="A1358" s="34"/>
      <c r="B1358" s="34"/>
      <c r="C1358" s="34"/>
      <c r="D1358" s="34"/>
      <c r="V1358" s="42"/>
    </row>
    <row r="1359" spans="1:22" ht="15.75" customHeight="1" x14ac:dyDescent="0.35">
      <c r="A1359" s="34"/>
      <c r="B1359" s="34"/>
      <c r="C1359" s="34"/>
      <c r="D1359" s="34"/>
      <c r="V1359" s="42"/>
    </row>
    <row r="1360" spans="1:22" ht="15.75" customHeight="1" x14ac:dyDescent="0.35">
      <c r="A1360" s="34"/>
      <c r="B1360" s="34"/>
      <c r="C1360" s="34"/>
      <c r="D1360" s="34"/>
      <c r="V1360" s="42"/>
    </row>
    <row r="1361" spans="1:22" ht="15.75" customHeight="1" x14ac:dyDescent="0.35">
      <c r="A1361" s="34"/>
      <c r="B1361" s="34"/>
      <c r="C1361" s="34"/>
      <c r="D1361" s="34"/>
      <c r="V1361" s="42"/>
    </row>
    <row r="1362" spans="1:22" ht="15.75" customHeight="1" x14ac:dyDescent="0.35">
      <c r="A1362" s="34"/>
      <c r="B1362" s="34"/>
      <c r="C1362" s="34"/>
      <c r="D1362" s="34"/>
      <c r="V1362" s="42"/>
    </row>
    <row r="1363" spans="1:22" ht="15.75" customHeight="1" x14ac:dyDescent="0.35">
      <c r="A1363" s="34"/>
      <c r="B1363" s="34"/>
      <c r="C1363" s="34"/>
      <c r="D1363" s="34"/>
      <c r="V1363" s="42"/>
    </row>
    <row r="1364" spans="1:22" ht="15.75" customHeight="1" x14ac:dyDescent="0.35">
      <c r="A1364" s="34"/>
      <c r="B1364" s="34"/>
      <c r="C1364" s="34"/>
      <c r="D1364" s="34"/>
      <c r="V1364" s="42"/>
    </row>
    <row r="1365" spans="1:22" ht="15.75" customHeight="1" x14ac:dyDescent="0.35">
      <c r="A1365" s="34"/>
      <c r="B1365" s="34"/>
      <c r="C1365" s="34"/>
      <c r="D1365" s="34"/>
      <c r="V1365" s="42"/>
    </row>
    <row r="1366" spans="1:22" ht="15.75" customHeight="1" x14ac:dyDescent="0.35">
      <c r="A1366" s="34"/>
      <c r="B1366" s="34"/>
      <c r="C1366" s="34"/>
      <c r="D1366" s="34"/>
      <c r="V1366" s="42"/>
    </row>
    <row r="1367" spans="1:22" ht="15.75" customHeight="1" x14ac:dyDescent="0.35">
      <c r="A1367" s="34"/>
      <c r="B1367" s="34"/>
      <c r="C1367" s="34"/>
      <c r="D1367" s="34"/>
      <c r="V1367" s="42"/>
    </row>
    <row r="1368" spans="1:22" ht="15.75" customHeight="1" x14ac:dyDescent="0.35">
      <c r="A1368" s="34"/>
      <c r="B1368" s="34"/>
      <c r="C1368" s="34"/>
      <c r="D1368" s="34"/>
      <c r="V1368" s="42"/>
    </row>
    <row r="1369" spans="1:22" ht="15.75" customHeight="1" x14ac:dyDescent="0.35">
      <c r="A1369" s="34"/>
      <c r="B1369" s="34"/>
      <c r="C1369" s="34"/>
      <c r="D1369" s="34"/>
      <c r="V1369" s="42"/>
    </row>
    <row r="1370" spans="1:22" ht="15.75" customHeight="1" x14ac:dyDescent="0.35">
      <c r="A1370" s="34"/>
      <c r="B1370" s="34"/>
      <c r="C1370" s="34"/>
      <c r="D1370" s="34"/>
      <c r="V1370" s="42"/>
    </row>
    <row r="1371" spans="1:22" ht="15.75" customHeight="1" x14ac:dyDescent="0.35">
      <c r="A1371" s="34"/>
      <c r="B1371" s="34"/>
      <c r="C1371" s="34"/>
      <c r="D1371" s="34"/>
      <c r="V1371" s="42"/>
    </row>
    <row r="1372" spans="1:22" ht="15.75" customHeight="1" x14ac:dyDescent="0.35">
      <c r="A1372" s="34"/>
      <c r="B1372" s="34"/>
      <c r="C1372" s="34"/>
      <c r="D1372" s="34"/>
      <c r="V1372" s="42"/>
    </row>
    <row r="1373" spans="1:22" ht="15.75" customHeight="1" x14ac:dyDescent="0.35">
      <c r="A1373" s="34"/>
      <c r="B1373" s="34"/>
      <c r="C1373" s="34"/>
      <c r="D1373" s="34"/>
      <c r="V1373" s="42"/>
    </row>
    <row r="1374" spans="1:22" ht="15.75" customHeight="1" x14ac:dyDescent="0.35">
      <c r="A1374" s="34"/>
      <c r="B1374" s="34"/>
      <c r="C1374" s="34"/>
      <c r="D1374" s="34"/>
      <c r="V1374" s="42"/>
    </row>
    <row r="1375" spans="1:22" ht="15.75" customHeight="1" x14ac:dyDescent="0.35">
      <c r="A1375" s="34"/>
      <c r="B1375" s="34"/>
      <c r="C1375" s="34"/>
      <c r="D1375" s="34"/>
      <c r="V1375" s="42"/>
    </row>
    <row r="1376" spans="1:22" ht="15.75" customHeight="1" x14ac:dyDescent="0.35">
      <c r="A1376" s="34"/>
      <c r="B1376" s="34"/>
      <c r="C1376" s="34"/>
      <c r="D1376" s="34"/>
      <c r="V1376" s="42"/>
    </row>
    <row r="1377" spans="1:22" ht="15.75" customHeight="1" x14ac:dyDescent="0.35">
      <c r="A1377" s="34"/>
      <c r="B1377" s="34"/>
      <c r="C1377" s="34"/>
      <c r="D1377" s="34"/>
      <c r="V1377" s="42"/>
    </row>
    <row r="1378" spans="1:22" ht="15.75" customHeight="1" x14ac:dyDescent="0.35">
      <c r="A1378" s="34"/>
      <c r="B1378" s="34"/>
      <c r="C1378" s="34"/>
      <c r="D1378" s="34"/>
      <c r="V1378" s="42"/>
    </row>
    <row r="1379" spans="1:22" ht="15.75" customHeight="1" x14ac:dyDescent="0.35">
      <c r="A1379" s="34"/>
      <c r="B1379" s="34"/>
      <c r="C1379" s="34"/>
      <c r="D1379" s="34"/>
      <c r="V1379" s="42"/>
    </row>
    <row r="1380" spans="1:22" ht="15.75" customHeight="1" x14ac:dyDescent="0.35">
      <c r="A1380" s="34"/>
      <c r="B1380" s="34"/>
      <c r="C1380" s="34"/>
      <c r="D1380" s="34"/>
      <c r="V1380" s="42"/>
    </row>
    <row r="1381" spans="1:22" ht="15.75" customHeight="1" x14ac:dyDescent="0.35">
      <c r="A1381" s="34"/>
      <c r="B1381" s="34"/>
      <c r="C1381" s="34"/>
      <c r="D1381" s="34"/>
      <c r="V1381" s="42"/>
    </row>
    <row r="1382" spans="1:22" ht="15.75" customHeight="1" x14ac:dyDescent="0.35">
      <c r="A1382" s="34"/>
      <c r="B1382" s="34"/>
      <c r="C1382" s="34"/>
      <c r="D1382" s="34"/>
      <c r="V1382" s="42"/>
    </row>
    <row r="1383" spans="1:22" ht="15.75" customHeight="1" x14ac:dyDescent="0.35">
      <c r="A1383" s="34"/>
      <c r="B1383" s="34"/>
      <c r="C1383" s="34"/>
      <c r="D1383" s="34"/>
      <c r="V1383" s="42"/>
    </row>
    <row r="1384" spans="1:22" ht="15.75" customHeight="1" x14ac:dyDescent="0.35">
      <c r="A1384" s="34"/>
      <c r="B1384" s="34"/>
      <c r="C1384" s="34"/>
      <c r="D1384" s="34"/>
      <c r="V1384" s="42"/>
    </row>
    <row r="1385" spans="1:22" ht="15.75" customHeight="1" x14ac:dyDescent="0.35">
      <c r="A1385" s="34"/>
      <c r="B1385" s="34"/>
      <c r="C1385" s="34"/>
      <c r="D1385" s="34"/>
      <c r="V1385" s="42"/>
    </row>
    <row r="1386" spans="1:22" ht="15.75" customHeight="1" x14ac:dyDescent="0.35">
      <c r="A1386" s="34"/>
      <c r="B1386" s="34"/>
      <c r="C1386" s="34"/>
      <c r="D1386" s="34"/>
      <c r="V1386" s="42"/>
    </row>
    <row r="1387" spans="1:22" ht="15.75" customHeight="1" x14ac:dyDescent="0.35">
      <c r="A1387" s="34"/>
      <c r="B1387" s="34"/>
      <c r="C1387" s="34"/>
      <c r="D1387" s="34"/>
      <c r="V1387" s="42"/>
    </row>
    <row r="1388" spans="1:22" ht="15.75" customHeight="1" x14ac:dyDescent="0.35">
      <c r="A1388" s="34"/>
      <c r="B1388" s="34"/>
      <c r="C1388" s="34"/>
      <c r="D1388" s="34"/>
      <c r="V1388" s="42"/>
    </row>
    <row r="1389" spans="1:22" ht="15.75" customHeight="1" x14ac:dyDescent="0.35">
      <c r="A1389" s="34"/>
      <c r="B1389" s="34"/>
      <c r="C1389" s="34"/>
      <c r="D1389" s="34"/>
      <c r="V1389" s="42"/>
    </row>
    <row r="1390" spans="1:22" ht="15.75" customHeight="1" x14ac:dyDescent="0.35">
      <c r="A1390" s="34"/>
      <c r="B1390" s="34"/>
      <c r="C1390" s="34"/>
      <c r="D1390" s="34"/>
      <c r="V1390" s="42"/>
    </row>
    <row r="1391" spans="1:22" ht="15.75" customHeight="1" x14ac:dyDescent="0.35">
      <c r="A1391" s="34"/>
      <c r="B1391" s="34"/>
      <c r="C1391" s="34"/>
      <c r="D1391" s="34"/>
      <c r="V1391" s="42"/>
    </row>
    <row r="1392" spans="1:22" ht="15.75" customHeight="1" x14ac:dyDescent="0.35">
      <c r="A1392" s="34"/>
      <c r="B1392" s="34"/>
      <c r="C1392" s="34"/>
      <c r="D1392" s="34"/>
      <c r="V1392" s="42"/>
    </row>
    <row r="1393" spans="1:22" ht="15.75" customHeight="1" x14ac:dyDescent="0.35">
      <c r="A1393" s="34"/>
      <c r="B1393" s="34"/>
      <c r="C1393" s="34"/>
      <c r="D1393" s="34"/>
      <c r="V1393" s="42"/>
    </row>
    <row r="1394" spans="1:22" ht="15.75" customHeight="1" x14ac:dyDescent="0.35">
      <c r="A1394" s="34"/>
      <c r="B1394" s="34"/>
      <c r="C1394" s="34"/>
      <c r="D1394" s="34"/>
      <c r="V1394" s="42"/>
    </row>
    <row r="1395" spans="1:22" ht="15.75" customHeight="1" x14ac:dyDescent="0.35">
      <c r="A1395" s="34"/>
      <c r="B1395" s="34"/>
      <c r="C1395" s="34"/>
      <c r="D1395" s="34"/>
      <c r="V1395" s="42"/>
    </row>
    <row r="1396" spans="1:22" ht="15.75" customHeight="1" x14ac:dyDescent="0.35">
      <c r="A1396" s="34"/>
      <c r="B1396" s="34"/>
      <c r="C1396" s="34"/>
      <c r="D1396" s="34"/>
      <c r="V1396" s="42"/>
    </row>
    <row r="1397" spans="1:22" ht="15.75" customHeight="1" x14ac:dyDescent="0.35">
      <c r="A1397" s="34"/>
      <c r="B1397" s="34"/>
      <c r="C1397" s="34"/>
      <c r="D1397" s="34"/>
      <c r="V1397" s="42"/>
    </row>
    <row r="1398" spans="1:22" ht="15.75" customHeight="1" x14ac:dyDescent="0.35">
      <c r="A1398" s="34"/>
      <c r="B1398" s="34"/>
      <c r="C1398" s="34"/>
      <c r="D1398" s="34"/>
      <c r="V1398" s="42"/>
    </row>
    <row r="1399" spans="1:22" ht="15.75" customHeight="1" x14ac:dyDescent="0.35">
      <c r="A1399" s="34"/>
      <c r="B1399" s="34"/>
      <c r="C1399" s="34"/>
      <c r="D1399" s="34"/>
      <c r="V1399" s="42"/>
    </row>
    <row r="1400" spans="1:22" ht="15.75" customHeight="1" x14ac:dyDescent="0.35">
      <c r="A1400" s="34"/>
      <c r="B1400" s="34"/>
      <c r="C1400" s="34"/>
      <c r="D1400" s="34"/>
      <c r="V1400" s="42"/>
    </row>
    <row r="1401" spans="1:22" ht="15.75" customHeight="1" x14ac:dyDescent="0.35">
      <c r="A1401" s="34"/>
      <c r="B1401" s="34"/>
      <c r="C1401" s="34"/>
      <c r="D1401" s="34"/>
      <c r="V1401" s="42"/>
    </row>
    <row r="1402" spans="1:22" ht="15.75" customHeight="1" x14ac:dyDescent="0.35">
      <c r="A1402" s="34"/>
      <c r="B1402" s="34"/>
      <c r="C1402" s="34"/>
      <c r="D1402" s="34"/>
      <c r="V1402" s="42"/>
    </row>
    <row r="1403" spans="1:22" ht="15.75" customHeight="1" x14ac:dyDescent="0.35">
      <c r="A1403" s="34"/>
      <c r="B1403" s="34"/>
      <c r="C1403" s="34"/>
      <c r="D1403" s="34"/>
      <c r="V1403" s="42"/>
    </row>
    <row r="1404" spans="1:22" ht="15.75" customHeight="1" x14ac:dyDescent="0.35">
      <c r="A1404" s="34"/>
      <c r="B1404" s="34"/>
      <c r="C1404" s="34"/>
      <c r="D1404" s="34"/>
      <c r="V1404" s="42"/>
    </row>
    <row r="1405" spans="1:22" ht="15.75" customHeight="1" x14ac:dyDescent="0.35">
      <c r="A1405" s="34"/>
      <c r="B1405" s="34"/>
      <c r="C1405" s="34"/>
      <c r="D1405" s="34"/>
      <c r="V1405" s="42"/>
    </row>
    <row r="1406" spans="1:22" ht="15.75" customHeight="1" x14ac:dyDescent="0.35">
      <c r="A1406" s="34"/>
      <c r="B1406" s="34"/>
      <c r="C1406" s="34"/>
      <c r="D1406" s="34"/>
      <c r="V1406" s="42"/>
    </row>
    <row r="1407" spans="1:22" ht="15.75" customHeight="1" x14ac:dyDescent="0.35">
      <c r="A1407" s="34"/>
      <c r="B1407" s="34"/>
      <c r="C1407" s="34"/>
      <c r="D1407" s="34"/>
      <c r="V1407" s="42"/>
    </row>
    <row r="1408" spans="1:22" ht="15.75" customHeight="1" x14ac:dyDescent="0.35">
      <c r="A1408" s="34"/>
      <c r="B1408" s="34"/>
      <c r="C1408" s="34"/>
      <c r="D1408" s="34"/>
      <c r="V1408" s="42"/>
    </row>
    <row r="1409" spans="1:22" ht="15.75" customHeight="1" x14ac:dyDescent="0.35">
      <c r="A1409" s="34"/>
      <c r="B1409" s="34"/>
      <c r="C1409" s="34"/>
      <c r="D1409" s="34"/>
      <c r="V1409" s="42"/>
    </row>
    <row r="1410" spans="1:22" ht="15.75" customHeight="1" x14ac:dyDescent="0.35">
      <c r="A1410" s="34"/>
      <c r="B1410" s="34"/>
      <c r="C1410" s="34"/>
      <c r="D1410" s="34"/>
      <c r="V1410" s="42"/>
    </row>
    <row r="1411" spans="1:22" ht="15.75" customHeight="1" x14ac:dyDescent="0.35">
      <c r="A1411" s="34"/>
      <c r="B1411" s="34"/>
      <c r="C1411" s="34"/>
      <c r="D1411" s="34"/>
      <c r="V1411" s="42"/>
    </row>
    <row r="1412" spans="1:22" ht="15.75" customHeight="1" x14ac:dyDescent="0.35">
      <c r="A1412" s="34"/>
      <c r="B1412" s="34"/>
      <c r="C1412" s="34"/>
      <c r="D1412" s="34"/>
      <c r="V1412" s="42"/>
    </row>
    <row r="1413" spans="1:22" ht="15.75" customHeight="1" x14ac:dyDescent="0.35">
      <c r="A1413" s="34"/>
      <c r="B1413" s="34"/>
      <c r="C1413" s="34"/>
      <c r="D1413" s="34"/>
      <c r="V1413" s="42"/>
    </row>
    <row r="1414" spans="1:22" ht="15.75" customHeight="1" x14ac:dyDescent="0.35">
      <c r="A1414" s="34"/>
      <c r="B1414" s="34"/>
      <c r="C1414" s="34"/>
      <c r="D1414" s="34"/>
      <c r="V1414" s="42"/>
    </row>
    <row r="1415" spans="1:22" ht="15.75" customHeight="1" x14ac:dyDescent="0.35">
      <c r="A1415" s="34"/>
      <c r="B1415" s="34"/>
      <c r="C1415" s="34"/>
      <c r="D1415" s="34"/>
      <c r="V1415" s="42"/>
    </row>
    <row r="1416" spans="1:22" ht="15.75" customHeight="1" x14ac:dyDescent="0.35">
      <c r="A1416" s="34"/>
      <c r="B1416" s="34"/>
      <c r="C1416" s="34"/>
      <c r="D1416" s="34"/>
      <c r="V1416" s="42"/>
    </row>
    <row r="1417" spans="1:22" ht="15.75" customHeight="1" x14ac:dyDescent="0.35">
      <c r="A1417" s="34"/>
      <c r="B1417" s="34"/>
      <c r="C1417" s="34"/>
      <c r="D1417" s="34"/>
      <c r="V1417" s="42"/>
    </row>
    <row r="1418" spans="1:22" ht="15.75" customHeight="1" x14ac:dyDescent="0.35">
      <c r="A1418" s="34"/>
      <c r="B1418" s="34"/>
      <c r="C1418" s="34"/>
      <c r="D1418" s="34"/>
      <c r="V1418" s="42"/>
    </row>
  </sheetData>
  <autoFilter ref="A1:AI501" xr:uid="{00000000-0009-0000-0000-000000000000}"/>
  <conditionalFormatting sqref="Q2:R494 Q496:R496">
    <cfRule type="cellIs" dxfId="2" priority="1" operator="greaterThan">
      <formula>1</formula>
    </cfRule>
  </conditionalFormatting>
  <conditionalFormatting sqref="W2:W500">
    <cfRule type="expression" dxfId="1" priority="2">
      <formula>V2&lt;&gt;W2</formula>
    </cfRule>
  </conditionalFormatting>
  <conditionalFormatting sqref="X2:X500">
    <cfRule type="expression" dxfId="0" priority="3">
      <formula>AND(X2&lt;&gt;0, X2&lt;&gt;$V2)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689"/>
  <sheetViews>
    <sheetView workbookViewId="0"/>
  </sheetViews>
  <sheetFormatPr baseColWidth="10" defaultColWidth="14.453125" defaultRowHeight="15" customHeight="1" x14ac:dyDescent="0.35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 x14ac:dyDescent="0.35">
      <c r="A1" s="44" t="s">
        <v>617</v>
      </c>
      <c r="B1" s="44" t="s">
        <v>618</v>
      </c>
      <c r="C1" s="44" t="s">
        <v>2</v>
      </c>
      <c r="D1" s="44" t="s">
        <v>3</v>
      </c>
      <c r="E1" s="44" t="s">
        <v>619</v>
      </c>
      <c r="F1" s="44" t="s">
        <v>10</v>
      </c>
      <c r="G1" s="44" t="s">
        <v>619</v>
      </c>
      <c r="H1" s="44" t="s">
        <v>620</v>
      </c>
      <c r="I1" s="44" t="s">
        <v>619</v>
      </c>
      <c r="J1" s="44" t="s">
        <v>620</v>
      </c>
      <c r="K1" s="44" t="s">
        <v>619</v>
      </c>
      <c r="L1" s="44" t="s">
        <v>620</v>
      </c>
      <c r="M1" s="44" t="s">
        <v>619</v>
      </c>
      <c r="N1" s="44" t="s">
        <v>620</v>
      </c>
      <c r="O1" s="44" t="s">
        <v>619</v>
      </c>
      <c r="P1" s="44" t="s">
        <v>620</v>
      </c>
      <c r="Q1" s="44" t="s">
        <v>621</v>
      </c>
      <c r="R1" s="44" t="s">
        <v>620</v>
      </c>
      <c r="S1" s="44" t="s">
        <v>621</v>
      </c>
      <c r="T1" s="44" t="s">
        <v>620</v>
      </c>
      <c r="U1" s="44" t="s">
        <v>622</v>
      </c>
      <c r="V1" s="44" t="s">
        <v>10</v>
      </c>
      <c r="W1" s="44" t="s">
        <v>623</v>
      </c>
      <c r="X1" s="44" t="s">
        <v>10</v>
      </c>
      <c r="Y1" s="44" t="s">
        <v>623</v>
      </c>
      <c r="Z1" s="44" t="s">
        <v>10</v>
      </c>
      <c r="AA1" s="44" t="s">
        <v>619</v>
      </c>
      <c r="AB1" s="44" t="s">
        <v>620</v>
      </c>
      <c r="AC1" s="44" t="s">
        <v>11</v>
      </c>
      <c r="AD1" s="44" t="s">
        <v>12</v>
      </c>
      <c r="AE1" s="44" t="s">
        <v>13</v>
      </c>
      <c r="AF1" s="44" t="s">
        <v>14</v>
      </c>
      <c r="AG1" s="44" t="s">
        <v>624</v>
      </c>
      <c r="AH1" s="44" t="s">
        <v>625</v>
      </c>
      <c r="AI1" s="44" t="s">
        <v>626</v>
      </c>
      <c r="AJ1" s="44" t="s">
        <v>21</v>
      </c>
      <c r="AK1" s="44" t="s">
        <v>627</v>
      </c>
      <c r="AL1" s="44" t="s">
        <v>628</v>
      </c>
      <c r="AM1" s="44" t="s">
        <v>24</v>
      </c>
    </row>
    <row r="2" spans="1:39" ht="14.5" x14ac:dyDescent="0.35">
      <c r="A2" s="35">
        <v>1</v>
      </c>
      <c r="B2" s="35" t="s">
        <v>32</v>
      </c>
      <c r="C2" s="35" t="s">
        <v>33</v>
      </c>
      <c r="D2" s="35">
        <v>1</v>
      </c>
      <c r="E2" s="35">
        <v>2445</v>
      </c>
      <c r="F2" s="35">
        <v>6</v>
      </c>
      <c r="G2" s="35">
        <v>2451</v>
      </c>
      <c r="H2" s="35">
        <v>7</v>
      </c>
      <c r="I2" s="35">
        <v>2458</v>
      </c>
      <c r="J2" s="35">
        <v>6</v>
      </c>
      <c r="K2" s="35">
        <v>2464</v>
      </c>
      <c r="L2" s="35">
        <v>5</v>
      </c>
      <c r="M2" s="35">
        <v>2469</v>
      </c>
      <c r="N2" s="35">
        <v>7</v>
      </c>
      <c r="O2" s="35">
        <v>2476</v>
      </c>
      <c r="P2" s="35">
        <v>5</v>
      </c>
      <c r="Q2" s="35">
        <v>2481</v>
      </c>
      <c r="R2" s="35">
        <v>5</v>
      </c>
      <c r="S2" s="35">
        <v>2486</v>
      </c>
      <c r="T2" s="35">
        <v>5</v>
      </c>
      <c r="U2" s="35">
        <v>2491</v>
      </c>
      <c r="V2" s="35">
        <v>5</v>
      </c>
      <c r="W2" s="35">
        <v>2496</v>
      </c>
      <c r="X2" s="35">
        <v>5</v>
      </c>
      <c r="Y2" s="35">
        <v>2502</v>
      </c>
      <c r="Z2" s="35">
        <v>6</v>
      </c>
      <c r="AA2" s="35">
        <v>2506</v>
      </c>
      <c r="AB2" s="35">
        <v>4</v>
      </c>
      <c r="AC2" s="35">
        <v>5</v>
      </c>
      <c r="AD2" s="35">
        <v>0</v>
      </c>
      <c r="AE2" s="35">
        <v>0</v>
      </c>
      <c r="AG2" s="35">
        <v>3</v>
      </c>
      <c r="AH2" s="35">
        <v>0</v>
      </c>
      <c r="AI2" s="35">
        <v>8</v>
      </c>
    </row>
    <row r="3" spans="1:39" ht="14.5" x14ac:dyDescent="0.35">
      <c r="A3" s="35">
        <v>2</v>
      </c>
      <c r="B3" s="35" t="s">
        <v>36</v>
      </c>
      <c r="C3" s="35" t="s">
        <v>33</v>
      </c>
      <c r="D3" s="35">
        <v>2</v>
      </c>
      <c r="E3" s="35">
        <v>1975</v>
      </c>
      <c r="F3" s="35">
        <v>37</v>
      </c>
      <c r="G3" s="35">
        <v>2012</v>
      </c>
      <c r="H3" s="35">
        <v>23</v>
      </c>
      <c r="I3" s="35">
        <v>2035</v>
      </c>
      <c r="J3" s="35">
        <v>32</v>
      </c>
      <c r="K3" s="35">
        <v>2067</v>
      </c>
      <c r="L3" s="35">
        <v>27</v>
      </c>
      <c r="M3" s="35">
        <v>2094</v>
      </c>
      <c r="N3" s="35">
        <v>26</v>
      </c>
      <c r="O3" s="35">
        <v>2120</v>
      </c>
      <c r="P3" s="35">
        <v>22</v>
      </c>
      <c r="Q3" s="35">
        <v>2142</v>
      </c>
      <c r="R3" s="35">
        <v>22</v>
      </c>
      <c r="S3" s="35">
        <v>2168</v>
      </c>
      <c r="T3" s="35">
        <v>26</v>
      </c>
      <c r="U3" s="35">
        <v>2193</v>
      </c>
      <c r="V3" s="35">
        <v>25</v>
      </c>
      <c r="W3" s="35">
        <v>2225</v>
      </c>
      <c r="X3" s="35">
        <v>32</v>
      </c>
      <c r="Y3" s="35">
        <v>2248</v>
      </c>
      <c r="Z3" s="35">
        <v>23</v>
      </c>
      <c r="AA3" s="35">
        <v>2288</v>
      </c>
      <c r="AB3" s="35">
        <v>40</v>
      </c>
      <c r="AC3" s="35">
        <v>40</v>
      </c>
      <c r="AD3" s="35">
        <v>0</v>
      </c>
      <c r="AE3" s="35">
        <v>0</v>
      </c>
      <c r="AG3" s="35">
        <v>3</v>
      </c>
      <c r="AH3" s="35">
        <v>0</v>
      </c>
      <c r="AI3" s="35">
        <v>43</v>
      </c>
    </row>
    <row r="4" spans="1:39" ht="14.5" x14ac:dyDescent="0.35">
      <c r="A4" s="35">
        <v>3</v>
      </c>
      <c r="B4" s="35" t="s">
        <v>629</v>
      </c>
      <c r="C4" s="35" t="s">
        <v>33</v>
      </c>
      <c r="D4" s="35">
        <v>3</v>
      </c>
      <c r="K4" s="35">
        <v>0</v>
      </c>
      <c r="L4" s="35">
        <v>0</v>
      </c>
      <c r="M4" s="35">
        <v>0</v>
      </c>
      <c r="N4" s="35">
        <v>1</v>
      </c>
      <c r="O4" s="35">
        <v>1</v>
      </c>
      <c r="P4" s="35">
        <v>14</v>
      </c>
      <c r="Q4" s="35">
        <v>15</v>
      </c>
      <c r="R4" s="35">
        <v>14</v>
      </c>
      <c r="S4" s="35">
        <v>22</v>
      </c>
      <c r="T4" s="35">
        <v>7</v>
      </c>
      <c r="U4" s="35">
        <v>22</v>
      </c>
      <c r="V4" s="35">
        <v>0</v>
      </c>
      <c r="W4" s="35">
        <v>22</v>
      </c>
      <c r="X4" s="35">
        <v>0</v>
      </c>
      <c r="Y4" s="35">
        <v>22</v>
      </c>
      <c r="Z4" s="35">
        <v>0</v>
      </c>
      <c r="AA4" s="35">
        <v>22</v>
      </c>
      <c r="AB4" s="35">
        <v>0</v>
      </c>
      <c r="AC4" s="35">
        <v>5</v>
      </c>
      <c r="AD4" s="35">
        <v>0</v>
      </c>
      <c r="AE4" s="35">
        <v>0</v>
      </c>
      <c r="AG4" s="35">
        <v>3</v>
      </c>
      <c r="AH4" s="35">
        <v>0</v>
      </c>
      <c r="AI4" s="35">
        <v>8</v>
      </c>
    </row>
    <row r="5" spans="1:39" ht="14.5" x14ac:dyDescent="0.35">
      <c r="A5" s="35">
        <v>4</v>
      </c>
      <c r="B5" s="35" t="s">
        <v>38</v>
      </c>
      <c r="C5" s="35" t="s">
        <v>33</v>
      </c>
      <c r="D5" s="35">
        <v>4</v>
      </c>
      <c r="E5" s="35">
        <v>1759</v>
      </c>
      <c r="F5" s="35">
        <v>0</v>
      </c>
      <c r="G5" s="35">
        <v>1759</v>
      </c>
      <c r="H5" s="35">
        <v>0</v>
      </c>
      <c r="I5" s="35">
        <v>1759</v>
      </c>
      <c r="J5" s="35">
        <v>3</v>
      </c>
      <c r="K5" s="35">
        <v>1762</v>
      </c>
      <c r="L5" s="35">
        <v>0</v>
      </c>
      <c r="M5" s="35">
        <v>1762</v>
      </c>
      <c r="N5" s="35">
        <v>0</v>
      </c>
      <c r="O5" s="35">
        <v>1762</v>
      </c>
      <c r="P5" s="35">
        <v>0</v>
      </c>
      <c r="Q5" s="35">
        <v>1762</v>
      </c>
      <c r="R5" s="35">
        <v>0</v>
      </c>
      <c r="S5" s="35">
        <v>1762</v>
      </c>
      <c r="T5" s="35">
        <v>0</v>
      </c>
      <c r="U5" s="35">
        <v>1732</v>
      </c>
      <c r="V5" s="35">
        <v>0</v>
      </c>
      <c r="W5" s="35">
        <v>1762</v>
      </c>
      <c r="X5" s="35">
        <v>30</v>
      </c>
      <c r="Y5" s="35">
        <v>1763</v>
      </c>
      <c r="Z5" s="35">
        <v>1</v>
      </c>
      <c r="AA5" s="35">
        <v>1763</v>
      </c>
      <c r="AB5" s="35">
        <v>0</v>
      </c>
      <c r="AC5" s="35">
        <v>5</v>
      </c>
      <c r="AD5" s="35">
        <v>41</v>
      </c>
      <c r="AE5" s="35">
        <v>40</v>
      </c>
      <c r="AG5" s="35">
        <v>3</v>
      </c>
      <c r="AH5" s="35">
        <v>20</v>
      </c>
      <c r="AI5" s="35">
        <v>109</v>
      </c>
    </row>
    <row r="6" spans="1:39" ht="14.5" x14ac:dyDescent="0.35">
      <c r="A6" s="35">
        <v>5</v>
      </c>
      <c r="B6" s="35" t="s">
        <v>39</v>
      </c>
      <c r="C6" s="35" t="s">
        <v>33</v>
      </c>
      <c r="D6" s="35">
        <v>5</v>
      </c>
      <c r="E6" s="35">
        <v>2933</v>
      </c>
      <c r="F6" s="35">
        <v>35</v>
      </c>
      <c r="G6" s="35">
        <v>2968</v>
      </c>
      <c r="H6" s="35">
        <v>34</v>
      </c>
      <c r="I6" s="35">
        <v>3002</v>
      </c>
      <c r="J6" s="35">
        <v>23</v>
      </c>
      <c r="K6" s="35">
        <v>3025</v>
      </c>
      <c r="L6" s="35">
        <v>23</v>
      </c>
      <c r="M6" s="35">
        <v>3048</v>
      </c>
      <c r="N6" s="35">
        <v>16</v>
      </c>
      <c r="O6" s="35">
        <v>3064</v>
      </c>
      <c r="P6" s="35">
        <v>14</v>
      </c>
      <c r="Q6" s="35">
        <v>3078</v>
      </c>
      <c r="R6" s="35">
        <v>14</v>
      </c>
      <c r="S6" s="35">
        <v>3092</v>
      </c>
      <c r="T6" s="35">
        <v>14</v>
      </c>
      <c r="U6" s="35">
        <v>3108</v>
      </c>
      <c r="V6" s="35">
        <v>16</v>
      </c>
      <c r="W6" s="35">
        <v>3120</v>
      </c>
      <c r="X6" s="35">
        <v>12</v>
      </c>
      <c r="Y6" s="35">
        <v>3141</v>
      </c>
      <c r="Z6" s="35">
        <v>21</v>
      </c>
      <c r="AA6" s="35">
        <v>3162</v>
      </c>
      <c r="AB6" s="35">
        <v>21</v>
      </c>
      <c r="AC6" s="35">
        <v>21</v>
      </c>
      <c r="AD6" s="35">
        <v>0</v>
      </c>
      <c r="AE6" s="35">
        <v>0</v>
      </c>
      <c r="AG6" s="35">
        <v>3</v>
      </c>
      <c r="AH6" s="35">
        <v>0</v>
      </c>
      <c r="AI6" s="35">
        <v>24</v>
      </c>
    </row>
    <row r="7" spans="1:39" ht="14.5" x14ac:dyDescent="0.35">
      <c r="A7" s="35">
        <v>6</v>
      </c>
      <c r="B7" s="35" t="s">
        <v>40</v>
      </c>
      <c r="C7" s="35" t="s">
        <v>33</v>
      </c>
      <c r="D7" s="35">
        <v>6</v>
      </c>
      <c r="E7" s="35">
        <v>1253</v>
      </c>
      <c r="F7" s="35">
        <v>45</v>
      </c>
      <c r="G7" s="35">
        <v>1298</v>
      </c>
      <c r="H7" s="35">
        <v>35</v>
      </c>
      <c r="I7" s="35">
        <v>1333</v>
      </c>
      <c r="J7" s="35">
        <v>25</v>
      </c>
      <c r="K7" s="35">
        <v>1358</v>
      </c>
      <c r="L7" s="35">
        <v>32</v>
      </c>
      <c r="M7" s="35">
        <v>1390</v>
      </c>
      <c r="N7" s="35">
        <v>22</v>
      </c>
      <c r="O7" s="35">
        <v>1412</v>
      </c>
      <c r="P7" s="35">
        <v>28</v>
      </c>
      <c r="Q7" s="35">
        <v>1440</v>
      </c>
      <c r="R7" s="35">
        <v>28</v>
      </c>
      <c r="S7" s="35">
        <v>1467</v>
      </c>
      <c r="T7" s="35">
        <v>27</v>
      </c>
      <c r="U7" s="35">
        <v>1491</v>
      </c>
      <c r="V7" s="35">
        <v>24</v>
      </c>
      <c r="W7" s="35">
        <v>1517</v>
      </c>
      <c r="X7" s="35">
        <v>26</v>
      </c>
      <c r="Y7" s="35">
        <v>1544</v>
      </c>
      <c r="Z7" s="35">
        <v>27</v>
      </c>
      <c r="AA7" s="35">
        <v>1571</v>
      </c>
      <c r="AB7" s="35">
        <v>27</v>
      </c>
      <c r="AC7" s="35">
        <v>27</v>
      </c>
      <c r="AD7" s="35">
        <v>0</v>
      </c>
      <c r="AE7" s="35">
        <v>0</v>
      </c>
      <c r="AG7" s="35">
        <v>3</v>
      </c>
      <c r="AH7" s="35">
        <v>0</v>
      </c>
      <c r="AI7" s="35">
        <v>30</v>
      </c>
    </row>
    <row r="8" spans="1:39" ht="14.5" x14ac:dyDescent="0.35">
      <c r="A8" s="35">
        <v>7</v>
      </c>
      <c r="B8" s="35" t="s">
        <v>41</v>
      </c>
      <c r="C8" s="35" t="s">
        <v>33</v>
      </c>
      <c r="D8" s="35">
        <v>7</v>
      </c>
      <c r="E8" s="35">
        <v>1358</v>
      </c>
      <c r="F8" s="35">
        <v>24</v>
      </c>
      <c r="G8" s="35">
        <v>1382</v>
      </c>
      <c r="H8" s="35">
        <v>25</v>
      </c>
      <c r="I8" s="35">
        <v>1407</v>
      </c>
      <c r="J8" s="35">
        <v>22</v>
      </c>
      <c r="K8" s="35">
        <v>1429</v>
      </c>
      <c r="L8" s="35">
        <v>23</v>
      </c>
      <c r="M8" s="35">
        <v>1452</v>
      </c>
      <c r="N8" s="35">
        <v>19</v>
      </c>
      <c r="O8" s="35">
        <v>1471</v>
      </c>
      <c r="P8" s="35">
        <v>22</v>
      </c>
      <c r="Q8" s="35">
        <v>1493</v>
      </c>
      <c r="R8" s="35">
        <v>22</v>
      </c>
      <c r="S8" s="35">
        <v>1512</v>
      </c>
      <c r="T8" s="35">
        <v>19</v>
      </c>
      <c r="U8" s="35">
        <v>1529</v>
      </c>
      <c r="V8" s="35">
        <v>17</v>
      </c>
      <c r="W8" s="35">
        <v>1546</v>
      </c>
      <c r="X8" s="35">
        <v>17</v>
      </c>
      <c r="Y8" s="35">
        <v>1562</v>
      </c>
      <c r="Z8" s="35">
        <v>16</v>
      </c>
      <c r="AA8" s="35">
        <v>1579</v>
      </c>
      <c r="AB8" s="35">
        <v>17</v>
      </c>
      <c r="AC8" s="35">
        <v>17</v>
      </c>
      <c r="AD8" s="35">
        <v>19</v>
      </c>
      <c r="AE8" s="35">
        <v>0</v>
      </c>
      <c r="AG8" s="35">
        <v>3</v>
      </c>
      <c r="AH8" s="35">
        <v>0</v>
      </c>
      <c r="AI8" s="35">
        <v>39</v>
      </c>
    </row>
    <row r="9" spans="1:39" ht="14.5" x14ac:dyDescent="0.35">
      <c r="A9" s="35">
        <v>8</v>
      </c>
      <c r="B9" s="35" t="s">
        <v>42</v>
      </c>
      <c r="C9" s="35" t="s">
        <v>33</v>
      </c>
      <c r="D9" s="35">
        <v>8</v>
      </c>
      <c r="E9" s="35">
        <v>5882</v>
      </c>
      <c r="F9" s="35">
        <v>35</v>
      </c>
      <c r="G9" s="35">
        <v>5917</v>
      </c>
      <c r="H9" s="35">
        <v>33</v>
      </c>
      <c r="I9" s="35">
        <v>5950</v>
      </c>
      <c r="J9" s="35">
        <v>25</v>
      </c>
      <c r="K9" s="35">
        <v>5975</v>
      </c>
      <c r="L9" s="35">
        <v>36</v>
      </c>
      <c r="M9" s="35">
        <v>6011</v>
      </c>
      <c r="N9" s="35">
        <v>21</v>
      </c>
      <c r="O9" s="35">
        <v>6032</v>
      </c>
      <c r="P9" s="35">
        <v>13</v>
      </c>
      <c r="Q9" s="35">
        <v>6045</v>
      </c>
      <c r="R9" s="35">
        <v>13</v>
      </c>
      <c r="S9" s="35">
        <v>6055</v>
      </c>
      <c r="T9" s="35">
        <v>10</v>
      </c>
      <c r="U9" s="35">
        <v>6067</v>
      </c>
      <c r="V9" s="35">
        <v>12</v>
      </c>
      <c r="W9" s="35">
        <v>6078</v>
      </c>
      <c r="X9" s="35">
        <v>11</v>
      </c>
      <c r="Y9" s="35">
        <v>6088</v>
      </c>
      <c r="Z9" s="35">
        <v>10</v>
      </c>
      <c r="AA9" s="35">
        <v>6103</v>
      </c>
      <c r="AB9" s="35">
        <v>15</v>
      </c>
      <c r="AC9" s="35">
        <v>15</v>
      </c>
      <c r="AD9" s="35">
        <v>0</v>
      </c>
      <c r="AE9" s="35">
        <v>0</v>
      </c>
      <c r="AG9" s="35">
        <v>3</v>
      </c>
      <c r="AH9" s="35">
        <v>0</v>
      </c>
      <c r="AI9" s="35">
        <v>18</v>
      </c>
    </row>
    <row r="10" spans="1:39" ht="14.5" x14ac:dyDescent="0.35">
      <c r="A10" s="35">
        <v>9</v>
      </c>
      <c r="B10" s="35" t="s">
        <v>43</v>
      </c>
      <c r="C10" s="35" t="s">
        <v>33</v>
      </c>
      <c r="D10" s="35" t="s">
        <v>630</v>
      </c>
      <c r="P10" s="35">
        <v>18</v>
      </c>
      <c r="Q10" s="35">
        <v>18</v>
      </c>
      <c r="R10" s="35">
        <v>18</v>
      </c>
      <c r="S10" s="35">
        <v>26</v>
      </c>
      <c r="T10" s="35">
        <v>8</v>
      </c>
      <c r="U10" s="35">
        <v>32</v>
      </c>
      <c r="V10" s="35">
        <v>6</v>
      </c>
      <c r="W10" s="35">
        <v>46</v>
      </c>
      <c r="X10" s="35">
        <v>14</v>
      </c>
      <c r="Y10" s="35">
        <v>53</v>
      </c>
      <c r="Z10" s="35">
        <v>7</v>
      </c>
      <c r="AA10" s="35">
        <v>61</v>
      </c>
      <c r="AB10" s="35">
        <v>8</v>
      </c>
      <c r="AC10" s="35">
        <v>8</v>
      </c>
      <c r="AD10" s="35">
        <v>0</v>
      </c>
      <c r="AE10" s="35">
        <v>0</v>
      </c>
      <c r="AG10" s="35">
        <v>3</v>
      </c>
      <c r="AH10" s="35">
        <v>20</v>
      </c>
      <c r="AI10" s="35">
        <v>31</v>
      </c>
    </row>
    <row r="11" spans="1:39" ht="14.5" x14ac:dyDescent="0.35">
      <c r="A11" s="35">
        <v>10</v>
      </c>
      <c r="B11" s="35" t="s">
        <v>45</v>
      </c>
      <c r="C11" s="35" t="s">
        <v>33</v>
      </c>
      <c r="D11" s="35">
        <v>9</v>
      </c>
      <c r="E11" s="35">
        <v>1381</v>
      </c>
      <c r="F11" s="35">
        <v>32</v>
      </c>
      <c r="G11" s="35">
        <v>1413</v>
      </c>
      <c r="H11" s="35">
        <v>30</v>
      </c>
      <c r="I11" s="35">
        <v>1443</v>
      </c>
      <c r="J11" s="35">
        <v>40</v>
      </c>
      <c r="K11" s="35">
        <v>1483</v>
      </c>
      <c r="L11" s="35">
        <v>33</v>
      </c>
      <c r="M11" s="35">
        <v>1516</v>
      </c>
      <c r="N11" s="35">
        <v>33</v>
      </c>
      <c r="O11" s="35">
        <v>1549</v>
      </c>
      <c r="P11" s="35">
        <v>27</v>
      </c>
      <c r="Q11" s="35">
        <v>1576</v>
      </c>
      <c r="R11" s="35">
        <v>27</v>
      </c>
      <c r="S11" s="35">
        <v>1601</v>
      </c>
      <c r="T11" s="35">
        <v>25</v>
      </c>
      <c r="U11" s="35">
        <v>1624</v>
      </c>
      <c r="V11" s="35">
        <v>23</v>
      </c>
      <c r="W11" s="35">
        <v>1646</v>
      </c>
      <c r="X11" s="35">
        <v>22</v>
      </c>
      <c r="Y11" s="35">
        <v>1673</v>
      </c>
      <c r="Z11" s="35">
        <v>27</v>
      </c>
      <c r="AA11" s="35">
        <v>1703</v>
      </c>
      <c r="AB11" s="35">
        <v>30</v>
      </c>
      <c r="AC11" s="35">
        <v>30</v>
      </c>
      <c r="AD11" s="35">
        <v>0</v>
      </c>
      <c r="AE11" s="35">
        <v>0</v>
      </c>
      <c r="AG11" s="35">
        <v>3</v>
      </c>
      <c r="AH11" s="35">
        <v>0</v>
      </c>
      <c r="AI11" s="35">
        <v>33</v>
      </c>
    </row>
    <row r="12" spans="1:39" ht="14.5" x14ac:dyDescent="0.35">
      <c r="A12" s="35">
        <v>11</v>
      </c>
      <c r="B12" s="35" t="s">
        <v>46</v>
      </c>
      <c r="C12" s="35" t="s">
        <v>33</v>
      </c>
      <c r="D12" s="35">
        <v>10</v>
      </c>
      <c r="E12" s="35">
        <v>31</v>
      </c>
      <c r="F12" s="35">
        <v>10</v>
      </c>
      <c r="G12" s="35">
        <v>41</v>
      </c>
      <c r="H12" s="35">
        <v>29</v>
      </c>
      <c r="I12" s="35">
        <v>70</v>
      </c>
      <c r="J12" s="35">
        <v>18</v>
      </c>
      <c r="K12" s="35">
        <v>88</v>
      </c>
      <c r="L12" s="35">
        <v>29</v>
      </c>
      <c r="M12" s="35">
        <v>117</v>
      </c>
      <c r="N12" s="35">
        <v>20</v>
      </c>
      <c r="O12" s="35">
        <v>137</v>
      </c>
      <c r="P12" s="35">
        <v>163</v>
      </c>
      <c r="Q12" s="35">
        <v>300</v>
      </c>
      <c r="R12" s="35">
        <v>163</v>
      </c>
      <c r="S12" s="35">
        <v>371</v>
      </c>
      <c r="T12" s="35">
        <v>71</v>
      </c>
      <c r="U12" s="35">
        <v>379</v>
      </c>
      <c r="V12" s="35">
        <v>8</v>
      </c>
      <c r="W12" s="35">
        <v>384</v>
      </c>
      <c r="X12" s="35">
        <v>5</v>
      </c>
      <c r="Y12" s="35">
        <v>389</v>
      </c>
      <c r="Z12" s="35">
        <v>5</v>
      </c>
      <c r="AA12" s="35">
        <v>395</v>
      </c>
      <c r="AB12" s="35">
        <v>6</v>
      </c>
      <c r="AC12" s="35">
        <v>6</v>
      </c>
      <c r="AD12" s="35">
        <v>0</v>
      </c>
      <c r="AE12" s="35">
        <v>0</v>
      </c>
      <c r="AG12" s="35">
        <v>3</v>
      </c>
      <c r="AH12" s="35">
        <v>20</v>
      </c>
      <c r="AI12" s="35">
        <v>29</v>
      </c>
    </row>
    <row r="13" spans="1:39" ht="14.5" x14ac:dyDescent="0.35">
      <c r="A13" s="35">
        <v>12</v>
      </c>
      <c r="B13" s="35" t="s">
        <v>47</v>
      </c>
      <c r="C13" s="35" t="s">
        <v>33</v>
      </c>
      <c r="D13" s="35">
        <v>11</v>
      </c>
      <c r="E13" s="35">
        <v>341</v>
      </c>
      <c r="F13" s="35">
        <v>0</v>
      </c>
      <c r="G13" s="35">
        <v>341</v>
      </c>
      <c r="H13" s="35">
        <v>1</v>
      </c>
      <c r="I13" s="35">
        <v>342</v>
      </c>
      <c r="J13" s="35">
        <v>1</v>
      </c>
      <c r="K13" s="35">
        <v>343</v>
      </c>
      <c r="L13" s="35">
        <v>0</v>
      </c>
      <c r="M13" s="35">
        <v>343</v>
      </c>
      <c r="N13" s="35">
        <v>1</v>
      </c>
      <c r="O13" s="35">
        <v>344</v>
      </c>
      <c r="P13" s="35">
        <v>0</v>
      </c>
      <c r="Q13" s="35">
        <v>344</v>
      </c>
      <c r="R13" s="35">
        <v>0</v>
      </c>
      <c r="S13" s="35">
        <v>345</v>
      </c>
      <c r="T13" s="35">
        <v>1</v>
      </c>
      <c r="U13" s="35">
        <v>346</v>
      </c>
      <c r="V13" s="35">
        <v>1</v>
      </c>
      <c r="W13" s="35">
        <v>346</v>
      </c>
      <c r="X13" s="35">
        <v>0</v>
      </c>
      <c r="Y13" s="35">
        <v>346</v>
      </c>
      <c r="Z13" s="35">
        <v>0</v>
      </c>
      <c r="AA13" s="35">
        <v>346</v>
      </c>
      <c r="AB13" s="35">
        <v>0</v>
      </c>
      <c r="AC13" s="35">
        <v>5</v>
      </c>
      <c r="AD13" s="35">
        <v>0</v>
      </c>
      <c r="AE13" s="35">
        <v>0</v>
      </c>
      <c r="AG13" s="35">
        <v>3</v>
      </c>
      <c r="AH13" s="35">
        <v>20</v>
      </c>
      <c r="AI13" s="35">
        <v>28</v>
      </c>
    </row>
    <row r="14" spans="1:39" ht="14.5" x14ac:dyDescent="0.35">
      <c r="A14" s="35">
        <v>13</v>
      </c>
      <c r="B14" s="35" t="s">
        <v>48</v>
      </c>
      <c r="C14" s="35" t="s">
        <v>49</v>
      </c>
      <c r="D14" s="35">
        <v>1</v>
      </c>
      <c r="E14" s="35">
        <v>2078</v>
      </c>
      <c r="F14" s="35">
        <v>15</v>
      </c>
      <c r="G14" s="35">
        <v>2093</v>
      </c>
      <c r="H14" s="35">
        <v>0</v>
      </c>
      <c r="I14" s="35">
        <v>2093</v>
      </c>
      <c r="J14" s="35">
        <v>7</v>
      </c>
      <c r="K14" s="35">
        <v>2100</v>
      </c>
      <c r="L14" s="35">
        <v>10</v>
      </c>
      <c r="M14" s="35">
        <v>2110</v>
      </c>
      <c r="N14" s="35">
        <v>8</v>
      </c>
      <c r="O14" s="35">
        <v>2118</v>
      </c>
      <c r="P14" s="35">
        <v>5</v>
      </c>
      <c r="Q14" s="35">
        <v>2123</v>
      </c>
      <c r="R14" s="35">
        <v>5</v>
      </c>
      <c r="S14" s="35">
        <v>2131</v>
      </c>
      <c r="T14" s="35">
        <v>8</v>
      </c>
      <c r="U14" s="35">
        <v>2137</v>
      </c>
      <c r="V14" s="35">
        <v>6</v>
      </c>
      <c r="W14" s="35">
        <v>2141</v>
      </c>
      <c r="X14" s="35">
        <v>4</v>
      </c>
      <c r="Y14" s="35">
        <v>2147</v>
      </c>
      <c r="Z14" s="35">
        <v>6</v>
      </c>
      <c r="AA14" s="35">
        <v>2153</v>
      </c>
      <c r="AB14" s="35">
        <v>6</v>
      </c>
      <c r="AC14" s="35">
        <v>6</v>
      </c>
      <c r="AD14" s="35">
        <v>9</v>
      </c>
      <c r="AE14" s="35">
        <v>0</v>
      </c>
      <c r="AG14" s="35">
        <v>3</v>
      </c>
      <c r="AH14" s="35">
        <v>0</v>
      </c>
      <c r="AI14" s="35">
        <v>18</v>
      </c>
    </row>
    <row r="15" spans="1:39" ht="14.5" x14ac:dyDescent="0.35">
      <c r="A15" s="35">
        <v>14</v>
      </c>
      <c r="B15" s="35" t="s">
        <v>50</v>
      </c>
      <c r="C15" s="35" t="s">
        <v>49</v>
      </c>
      <c r="D15" s="35">
        <v>2</v>
      </c>
      <c r="E15" s="35">
        <v>2104</v>
      </c>
      <c r="F15" s="35">
        <v>6</v>
      </c>
      <c r="G15" s="35">
        <v>2110</v>
      </c>
      <c r="H15" s="35">
        <v>3</v>
      </c>
      <c r="I15" s="35">
        <v>2113</v>
      </c>
      <c r="J15" s="35">
        <v>2</v>
      </c>
      <c r="K15" s="35">
        <v>2115</v>
      </c>
      <c r="L15" s="35">
        <v>11</v>
      </c>
      <c r="M15" s="35">
        <v>2126</v>
      </c>
      <c r="N15" s="35">
        <v>9</v>
      </c>
      <c r="O15" s="35">
        <v>2135</v>
      </c>
      <c r="P15" s="35">
        <v>6</v>
      </c>
      <c r="Q15" s="35">
        <v>2141</v>
      </c>
      <c r="R15" s="35">
        <v>6</v>
      </c>
      <c r="S15" s="35">
        <v>2146</v>
      </c>
      <c r="T15" s="35">
        <v>5</v>
      </c>
      <c r="U15" s="35">
        <v>2152</v>
      </c>
      <c r="V15" s="35">
        <v>6</v>
      </c>
      <c r="W15" s="35">
        <v>2157</v>
      </c>
      <c r="X15" s="35">
        <v>5</v>
      </c>
      <c r="Y15" s="35">
        <v>2164</v>
      </c>
      <c r="Z15" s="35">
        <v>7</v>
      </c>
      <c r="AA15" s="35">
        <v>2171</v>
      </c>
      <c r="AB15" s="35">
        <v>7</v>
      </c>
      <c r="AC15" s="35">
        <v>7</v>
      </c>
      <c r="AD15" s="35">
        <v>0</v>
      </c>
      <c r="AE15" s="35">
        <v>0</v>
      </c>
      <c r="AG15" s="35">
        <v>3</v>
      </c>
      <c r="AH15" s="35">
        <v>20</v>
      </c>
      <c r="AI15" s="35">
        <v>30</v>
      </c>
    </row>
    <row r="16" spans="1:39" ht="14.5" x14ac:dyDescent="0.35">
      <c r="A16" s="35">
        <v>15</v>
      </c>
      <c r="B16" s="35" t="s">
        <v>51</v>
      </c>
      <c r="C16" s="35" t="s">
        <v>49</v>
      </c>
      <c r="D16" s="35">
        <v>3</v>
      </c>
      <c r="E16" s="35">
        <v>602</v>
      </c>
      <c r="F16" s="35">
        <v>9</v>
      </c>
      <c r="G16" s="35">
        <v>611</v>
      </c>
      <c r="H16" s="35">
        <v>10</v>
      </c>
      <c r="I16" s="35">
        <v>621</v>
      </c>
      <c r="J16" s="35">
        <v>10</v>
      </c>
      <c r="K16" s="35">
        <v>631</v>
      </c>
      <c r="L16" s="35">
        <v>9</v>
      </c>
      <c r="M16" s="35">
        <v>640</v>
      </c>
      <c r="N16" s="35">
        <v>8</v>
      </c>
      <c r="O16" s="35">
        <v>648</v>
      </c>
      <c r="P16" s="35">
        <v>10</v>
      </c>
      <c r="Q16" s="35">
        <v>658</v>
      </c>
      <c r="R16" s="35">
        <v>10</v>
      </c>
      <c r="S16" s="35">
        <v>669</v>
      </c>
      <c r="T16" s="35">
        <v>11</v>
      </c>
      <c r="U16" s="35">
        <v>676</v>
      </c>
      <c r="V16" s="35">
        <v>7</v>
      </c>
      <c r="W16" s="35">
        <v>682</v>
      </c>
      <c r="X16" s="35">
        <v>6</v>
      </c>
      <c r="Y16" s="35">
        <v>689</v>
      </c>
      <c r="Z16" s="35">
        <v>7</v>
      </c>
      <c r="AA16" s="35">
        <v>695</v>
      </c>
      <c r="AB16" s="35">
        <v>6</v>
      </c>
      <c r="AC16" s="35">
        <v>6</v>
      </c>
      <c r="AD16" s="35">
        <v>0</v>
      </c>
      <c r="AE16" s="35">
        <v>0</v>
      </c>
      <c r="AG16" s="35">
        <v>3</v>
      </c>
      <c r="AH16" s="35">
        <v>0</v>
      </c>
      <c r="AI16" s="35">
        <v>9</v>
      </c>
    </row>
    <row r="17" spans="1:35" ht="14.5" x14ac:dyDescent="0.35">
      <c r="A17" s="35">
        <v>16</v>
      </c>
      <c r="B17" s="35" t="s">
        <v>52</v>
      </c>
      <c r="C17" s="35" t="s">
        <v>49</v>
      </c>
      <c r="D17" s="35">
        <v>4</v>
      </c>
      <c r="E17" s="35">
        <v>189</v>
      </c>
      <c r="F17" s="35">
        <v>10</v>
      </c>
      <c r="G17" s="35">
        <v>199</v>
      </c>
      <c r="H17" s="35">
        <v>12</v>
      </c>
      <c r="I17" s="35">
        <v>211</v>
      </c>
      <c r="J17" s="35">
        <v>15</v>
      </c>
      <c r="K17" s="35">
        <v>226</v>
      </c>
      <c r="L17" s="35">
        <v>13</v>
      </c>
      <c r="M17" s="35">
        <v>239</v>
      </c>
      <c r="N17" s="35">
        <v>13</v>
      </c>
      <c r="O17" s="35">
        <v>252</v>
      </c>
      <c r="P17" s="35">
        <v>21</v>
      </c>
      <c r="Q17" s="35">
        <v>273</v>
      </c>
      <c r="R17" s="35">
        <v>21</v>
      </c>
      <c r="S17" s="35">
        <v>291</v>
      </c>
      <c r="T17" s="35">
        <v>18</v>
      </c>
      <c r="U17" s="35">
        <v>311</v>
      </c>
      <c r="V17" s="35">
        <v>20</v>
      </c>
      <c r="W17" s="35">
        <v>331</v>
      </c>
      <c r="X17" s="35">
        <v>20</v>
      </c>
      <c r="Y17" s="35">
        <v>348</v>
      </c>
      <c r="Z17" s="35">
        <v>17</v>
      </c>
      <c r="AA17" s="35">
        <v>369</v>
      </c>
      <c r="AB17" s="35">
        <v>21</v>
      </c>
      <c r="AC17" s="35">
        <v>21</v>
      </c>
      <c r="AD17" s="35">
        <v>0</v>
      </c>
      <c r="AE17" s="35">
        <v>0</v>
      </c>
      <c r="AG17" s="35">
        <v>3</v>
      </c>
      <c r="AH17" s="35">
        <v>0</v>
      </c>
      <c r="AI17" s="35">
        <v>24</v>
      </c>
    </row>
    <row r="18" spans="1:35" ht="14.5" x14ac:dyDescent="0.35">
      <c r="A18" s="35">
        <v>17</v>
      </c>
      <c r="B18" s="35" t="s">
        <v>53</v>
      </c>
      <c r="C18" s="35" t="s">
        <v>49</v>
      </c>
      <c r="D18" s="35">
        <v>5</v>
      </c>
      <c r="E18" s="35">
        <v>4425</v>
      </c>
      <c r="F18" s="35">
        <v>58</v>
      </c>
      <c r="G18" s="35">
        <v>4483</v>
      </c>
      <c r="H18" s="35">
        <v>45</v>
      </c>
      <c r="I18" s="35">
        <v>4528</v>
      </c>
      <c r="J18" s="35">
        <v>39</v>
      </c>
      <c r="K18" s="35">
        <v>4567</v>
      </c>
      <c r="L18" s="35">
        <v>33</v>
      </c>
      <c r="M18" s="35">
        <v>4600</v>
      </c>
      <c r="N18" s="35">
        <v>39</v>
      </c>
      <c r="O18" s="35">
        <v>4639</v>
      </c>
      <c r="P18" s="35">
        <v>34</v>
      </c>
      <c r="Q18" s="35">
        <v>4673</v>
      </c>
      <c r="R18" s="35">
        <v>34</v>
      </c>
      <c r="S18" s="35">
        <v>4706</v>
      </c>
      <c r="T18" s="35">
        <v>33</v>
      </c>
      <c r="U18" s="35">
        <v>4742</v>
      </c>
      <c r="V18" s="35">
        <v>36</v>
      </c>
      <c r="W18" s="35">
        <v>4775</v>
      </c>
      <c r="X18" s="35">
        <v>33</v>
      </c>
      <c r="Y18" s="35">
        <v>4810</v>
      </c>
      <c r="Z18" s="35">
        <v>35</v>
      </c>
      <c r="AA18" s="35">
        <v>4848</v>
      </c>
      <c r="AB18" s="35">
        <v>38</v>
      </c>
      <c r="AC18" s="35">
        <v>38</v>
      </c>
      <c r="AD18" s="35">
        <v>0</v>
      </c>
      <c r="AE18" s="35">
        <v>0</v>
      </c>
      <c r="AG18" s="35">
        <v>3</v>
      </c>
      <c r="AH18" s="35">
        <v>20</v>
      </c>
      <c r="AI18" s="35">
        <v>61</v>
      </c>
    </row>
    <row r="19" spans="1:35" ht="14.5" x14ac:dyDescent="0.35">
      <c r="A19" s="35">
        <v>18</v>
      </c>
      <c r="B19" s="35" t="s">
        <v>54</v>
      </c>
      <c r="C19" s="35" t="s">
        <v>49</v>
      </c>
      <c r="D19" s="35">
        <v>6</v>
      </c>
      <c r="E19" s="35">
        <v>3385</v>
      </c>
      <c r="F19" s="35">
        <v>34</v>
      </c>
      <c r="G19" s="35">
        <v>3419</v>
      </c>
      <c r="H19" s="35">
        <v>35</v>
      </c>
      <c r="I19" s="35">
        <v>3454</v>
      </c>
      <c r="J19" s="35">
        <v>23</v>
      </c>
      <c r="K19" s="35">
        <v>3477</v>
      </c>
      <c r="L19" s="35">
        <v>23</v>
      </c>
      <c r="M19" s="35">
        <v>3500</v>
      </c>
      <c r="N19" s="35">
        <v>20</v>
      </c>
      <c r="O19" s="35">
        <v>3520</v>
      </c>
      <c r="P19" s="35">
        <v>26</v>
      </c>
      <c r="Q19" s="35">
        <v>3546</v>
      </c>
      <c r="R19" s="35">
        <v>26</v>
      </c>
      <c r="S19" s="35">
        <v>3570</v>
      </c>
      <c r="T19" s="35">
        <v>24</v>
      </c>
      <c r="U19" s="35">
        <v>3592</v>
      </c>
      <c r="V19" s="35">
        <v>22</v>
      </c>
      <c r="W19" s="35">
        <v>3612</v>
      </c>
      <c r="X19" s="35">
        <v>20</v>
      </c>
      <c r="Y19" s="35">
        <v>3634</v>
      </c>
      <c r="Z19" s="35">
        <v>22</v>
      </c>
      <c r="AA19" s="35">
        <v>3656</v>
      </c>
      <c r="AB19" s="35">
        <v>22</v>
      </c>
      <c r="AC19" s="35">
        <v>22</v>
      </c>
      <c r="AD19" s="35">
        <v>25</v>
      </c>
      <c r="AE19" s="35">
        <v>0</v>
      </c>
      <c r="AG19" s="35">
        <v>3</v>
      </c>
      <c r="AH19" s="35">
        <v>0</v>
      </c>
      <c r="AI19" s="35">
        <v>50</v>
      </c>
    </row>
    <row r="20" spans="1:35" ht="14.5" x14ac:dyDescent="0.35">
      <c r="A20" s="35">
        <v>19</v>
      </c>
      <c r="B20" s="35" t="s">
        <v>55</v>
      </c>
      <c r="C20" s="35" t="s">
        <v>49</v>
      </c>
      <c r="D20" s="35">
        <v>7</v>
      </c>
      <c r="E20" s="35">
        <v>2289</v>
      </c>
      <c r="F20" s="35">
        <v>16</v>
      </c>
      <c r="G20" s="35">
        <v>2305</v>
      </c>
      <c r="H20" s="35">
        <v>17</v>
      </c>
      <c r="I20" s="35">
        <v>2322</v>
      </c>
      <c r="J20" s="35">
        <v>26</v>
      </c>
      <c r="K20" s="35">
        <v>2348</v>
      </c>
      <c r="L20" s="35">
        <v>16</v>
      </c>
      <c r="M20" s="35">
        <v>2364</v>
      </c>
      <c r="N20" s="35">
        <v>17</v>
      </c>
      <c r="O20" s="35">
        <v>2381</v>
      </c>
      <c r="P20" s="35">
        <v>16</v>
      </c>
      <c r="Q20" s="35">
        <v>2397</v>
      </c>
      <c r="R20" s="35">
        <v>16</v>
      </c>
      <c r="S20" s="35">
        <v>2414</v>
      </c>
      <c r="T20" s="35">
        <v>17</v>
      </c>
      <c r="U20" s="35">
        <v>2428</v>
      </c>
      <c r="V20" s="35">
        <v>14</v>
      </c>
      <c r="W20" s="35">
        <v>2443</v>
      </c>
      <c r="X20" s="35">
        <v>15</v>
      </c>
      <c r="Y20" s="35">
        <v>2455</v>
      </c>
      <c r="Z20" s="35">
        <v>12</v>
      </c>
      <c r="AA20" s="35">
        <v>2469</v>
      </c>
      <c r="AB20" s="35">
        <v>14</v>
      </c>
      <c r="AC20" s="35">
        <v>14</v>
      </c>
      <c r="AD20" s="35">
        <v>0</v>
      </c>
      <c r="AE20" s="35">
        <v>0</v>
      </c>
      <c r="AG20" s="35">
        <v>3</v>
      </c>
      <c r="AH20" s="35">
        <v>0</v>
      </c>
      <c r="AI20" s="35">
        <v>17</v>
      </c>
    </row>
    <row r="21" spans="1:35" ht="15.75" customHeight="1" x14ac:dyDescent="0.35">
      <c r="A21" s="35">
        <v>20</v>
      </c>
      <c r="B21" s="35" t="s">
        <v>56</v>
      </c>
      <c r="C21" s="35" t="s">
        <v>49</v>
      </c>
      <c r="D21" s="35">
        <v>8</v>
      </c>
      <c r="E21" s="35">
        <v>6347</v>
      </c>
      <c r="F21" s="35">
        <v>14</v>
      </c>
      <c r="G21" s="35">
        <v>6361</v>
      </c>
      <c r="H21" s="35">
        <v>17</v>
      </c>
      <c r="I21" s="35">
        <v>6378</v>
      </c>
      <c r="J21" s="35">
        <v>18</v>
      </c>
      <c r="K21" s="35">
        <v>6396</v>
      </c>
      <c r="L21" s="35">
        <v>15</v>
      </c>
      <c r="M21" s="35">
        <v>6411</v>
      </c>
      <c r="N21" s="35">
        <v>14</v>
      </c>
      <c r="O21" s="35">
        <v>6425</v>
      </c>
      <c r="P21" s="35">
        <v>14</v>
      </c>
      <c r="Q21" s="35">
        <v>6439</v>
      </c>
      <c r="R21" s="35">
        <v>14</v>
      </c>
      <c r="S21" s="35">
        <v>6456</v>
      </c>
      <c r="T21" s="35">
        <v>17</v>
      </c>
      <c r="U21" s="35">
        <v>6470</v>
      </c>
      <c r="V21" s="35">
        <v>14</v>
      </c>
      <c r="W21" s="35">
        <v>6484</v>
      </c>
      <c r="X21" s="35">
        <v>14</v>
      </c>
      <c r="Y21" s="35">
        <v>6497</v>
      </c>
      <c r="Z21" s="35">
        <v>13</v>
      </c>
      <c r="AA21" s="35">
        <v>6510</v>
      </c>
      <c r="AB21" s="35">
        <v>13</v>
      </c>
      <c r="AC21" s="35">
        <v>13</v>
      </c>
      <c r="AD21" s="35">
        <v>16</v>
      </c>
      <c r="AE21" s="35">
        <v>0</v>
      </c>
      <c r="AG21" s="35">
        <v>3</v>
      </c>
      <c r="AH21" s="35">
        <v>0</v>
      </c>
      <c r="AI21" s="35">
        <v>32</v>
      </c>
    </row>
    <row r="22" spans="1:35" ht="15.75" customHeight="1" x14ac:dyDescent="0.35">
      <c r="A22" s="35">
        <v>21</v>
      </c>
      <c r="B22" s="35" t="s">
        <v>57</v>
      </c>
      <c r="C22" s="35" t="s">
        <v>49</v>
      </c>
      <c r="D22" s="35">
        <v>9</v>
      </c>
      <c r="E22" s="35">
        <v>5905</v>
      </c>
      <c r="F22" s="35">
        <v>23</v>
      </c>
      <c r="G22" s="35">
        <v>5928</v>
      </c>
      <c r="H22" s="35">
        <v>25</v>
      </c>
      <c r="I22" s="35">
        <v>5953</v>
      </c>
      <c r="J22" s="35">
        <v>21</v>
      </c>
      <c r="K22" s="35">
        <v>5974</v>
      </c>
      <c r="L22" s="35">
        <v>16</v>
      </c>
      <c r="M22" s="35">
        <v>5990</v>
      </c>
      <c r="N22" s="35">
        <v>14</v>
      </c>
      <c r="O22" s="35">
        <v>6004</v>
      </c>
      <c r="P22" s="35">
        <v>14</v>
      </c>
      <c r="Q22" s="35">
        <v>6018</v>
      </c>
      <c r="R22" s="35">
        <v>14</v>
      </c>
      <c r="S22" s="35">
        <v>6045</v>
      </c>
      <c r="T22" s="35">
        <v>27</v>
      </c>
      <c r="U22" s="35">
        <v>6052</v>
      </c>
      <c r="V22" s="35">
        <v>7</v>
      </c>
      <c r="W22" s="35">
        <v>6058</v>
      </c>
      <c r="X22" s="35">
        <v>6</v>
      </c>
      <c r="Y22" s="35">
        <v>6062</v>
      </c>
      <c r="Z22" s="35">
        <v>4</v>
      </c>
      <c r="AA22" s="35">
        <v>6066</v>
      </c>
      <c r="AB22" s="35">
        <v>4</v>
      </c>
      <c r="AC22" s="35">
        <v>5</v>
      </c>
      <c r="AD22" s="35">
        <v>0</v>
      </c>
      <c r="AE22" s="35">
        <v>0</v>
      </c>
      <c r="AG22" s="35">
        <v>3</v>
      </c>
      <c r="AH22" s="35">
        <v>0</v>
      </c>
      <c r="AI22" s="35">
        <v>8</v>
      </c>
    </row>
    <row r="23" spans="1:35" ht="15.75" customHeight="1" x14ac:dyDescent="0.35">
      <c r="A23" s="35">
        <v>22</v>
      </c>
      <c r="B23" s="35" t="s">
        <v>631</v>
      </c>
      <c r="C23" s="35" t="s">
        <v>49</v>
      </c>
      <c r="D23" s="35">
        <v>11</v>
      </c>
      <c r="E23" s="35">
        <v>2676</v>
      </c>
      <c r="F23" s="35">
        <v>17</v>
      </c>
      <c r="G23" s="35">
        <v>2693</v>
      </c>
      <c r="H23" s="35">
        <v>18</v>
      </c>
      <c r="I23" s="35">
        <v>2711</v>
      </c>
      <c r="J23" s="35">
        <v>15</v>
      </c>
      <c r="K23" s="35">
        <v>2726</v>
      </c>
      <c r="L23" s="35">
        <v>19</v>
      </c>
      <c r="M23" s="35">
        <v>2745</v>
      </c>
      <c r="N23" s="35">
        <v>20</v>
      </c>
      <c r="O23" s="35">
        <v>2765</v>
      </c>
      <c r="P23" s="35">
        <v>17</v>
      </c>
      <c r="Q23" s="35">
        <v>2782</v>
      </c>
      <c r="R23" s="35">
        <v>17</v>
      </c>
      <c r="S23" s="35">
        <v>2795</v>
      </c>
      <c r="T23" s="35">
        <v>13</v>
      </c>
      <c r="U23" s="35">
        <v>2810</v>
      </c>
      <c r="V23" s="35">
        <v>15</v>
      </c>
      <c r="W23" s="35">
        <v>2823</v>
      </c>
      <c r="X23" s="35">
        <v>13</v>
      </c>
      <c r="Y23" s="35">
        <v>2837</v>
      </c>
      <c r="Z23" s="35">
        <v>14</v>
      </c>
      <c r="AA23" s="35">
        <v>2852</v>
      </c>
      <c r="AB23" s="35">
        <v>15</v>
      </c>
      <c r="AC23" s="35">
        <v>15</v>
      </c>
      <c r="AD23" s="35">
        <v>17</v>
      </c>
      <c r="AE23" s="35">
        <v>0</v>
      </c>
      <c r="AG23" s="35">
        <v>3</v>
      </c>
      <c r="AH23" s="35">
        <v>0</v>
      </c>
      <c r="AI23" s="35">
        <v>35</v>
      </c>
    </row>
    <row r="24" spans="1:35" ht="15.75" customHeight="1" x14ac:dyDescent="0.35">
      <c r="A24" s="35">
        <v>23</v>
      </c>
      <c r="B24" s="35" t="s">
        <v>59</v>
      </c>
      <c r="C24" s="35" t="s">
        <v>49</v>
      </c>
      <c r="D24" s="35">
        <v>10</v>
      </c>
      <c r="E24" s="35">
        <v>110</v>
      </c>
      <c r="F24" s="35">
        <v>3</v>
      </c>
      <c r="G24" s="35">
        <v>113</v>
      </c>
      <c r="H24" s="35">
        <v>36</v>
      </c>
      <c r="I24" s="35">
        <v>149</v>
      </c>
      <c r="J24" s="35">
        <v>63</v>
      </c>
      <c r="K24" s="35">
        <v>212</v>
      </c>
      <c r="L24" s="35">
        <v>2</v>
      </c>
      <c r="M24" s="35">
        <v>214</v>
      </c>
      <c r="N24" s="35">
        <v>3</v>
      </c>
      <c r="O24" s="35">
        <v>217</v>
      </c>
      <c r="P24" s="35">
        <v>55</v>
      </c>
      <c r="Q24" s="35">
        <v>272</v>
      </c>
      <c r="R24" s="35">
        <v>55</v>
      </c>
      <c r="S24" s="35">
        <v>276</v>
      </c>
      <c r="T24" s="35">
        <v>5</v>
      </c>
      <c r="U24" s="35">
        <v>278</v>
      </c>
      <c r="V24" s="35">
        <v>5</v>
      </c>
      <c r="W24" s="35">
        <v>284</v>
      </c>
      <c r="X24" s="35">
        <v>6</v>
      </c>
      <c r="Y24" s="35">
        <v>288</v>
      </c>
      <c r="Z24" s="35">
        <v>4</v>
      </c>
      <c r="AA24" s="35">
        <v>292</v>
      </c>
      <c r="AB24" s="35">
        <v>4</v>
      </c>
      <c r="AC24" s="35">
        <v>5</v>
      </c>
      <c r="AD24" s="35">
        <v>0</v>
      </c>
      <c r="AE24" s="35">
        <v>0</v>
      </c>
      <c r="AG24" s="35">
        <v>3</v>
      </c>
      <c r="AH24" s="35">
        <v>0</v>
      </c>
      <c r="AI24" s="35">
        <v>8</v>
      </c>
    </row>
    <row r="25" spans="1:35" ht="15.75" customHeight="1" x14ac:dyDescent="0.35">
      <c r="A25" s="35">
        <v>24</v>
      </c>
      <c r="B25" s="35" t="s">
        <v>60</v>
      </c>
      <c r="C25" s="35" t="s">
        <v>49</v>
      </c>
      <c r="D25" s="35">
        <v>12</v>
      </c>
      <c r="E25" s="35">
        <v>2213</v>
      </c>
      <c r="F25" s="35">
        <v>8</v>
      </c>
      <c r="G25" s="35">
        <v>2221</v>
      </c>
      <c r="H25" s="35">
        <v>8</v>
      </c>
      <c r="I25" s="35">
        <v>2229</v>
      </c>
      <c r="J25" s="35">
        <v>10</v>
      </c>
      <c r="K25" s="35">
        <v>2239</v>
      </c>
      <c r="L25" s="35">
        <v>7</v>
      </c>
      <c r="M25" s="35">
        <v>2246</v>
      </c>
      <c r="N25" s="35">
        <v>9</v>
      </c>
      <c r="O25" s="35">
        <v>2255</v>
      </c>
      <c r="P25" s="35">
        <v>6</v>
      </c>
      <c r="Q25" s="35">
        <v>2261</v>
      </c>
      <c r="R25" s="35">
        <v>6</v>
      </c>
      <c r="S25" s="35">
        <v>2267</v>
      </c>
      <c r="T25" s="35">
        <v>6</v>
      </c>
      <c r="U25" s="35">
        <v>2273</v>
      </c>
      <c r="V25" s="35">
        <v>6</v>
      </c>
      <c r="W25" s="35">
        <v>2278</v>
      </c>
      <c r="X25" s="35">
        <v>5</v>
      </c>
      <c r="Y25" s="35">
        <v>2285</v>
      </c>
      <c r="Z25" s="35">
        <v>7</v>
      </c>
      <c r="AA25" s="35">
        <v>2292</v>
      </c>
      <c r="AB25" s="35">
        <v>7</v>
      </c>
      <c r="AC25" s="35">
        <v>7</v>
      </c>
      <c r="AD25" s="35">
        <v>10</v>
      </c>
      <c r="AE25" s="35">
        <v>0</v>
      </c>
      <c r="AG25" s="35">
        <v>3</v>
      </c>
      <c r="AH25" s="35">
        <v>0</v>
      </c>
      <c r="AI25" s="35">
        <v>20</v>
      </c>
    </row>
    <row r="26" spans="1:35" ht="15.75" customHeight="1" x14ac:dyDescent="0.35">
      <c r="A26" s="35">
        <v>25</v>
      </c>
      <c r="B26" s="35" t="s">
        <v>632</v>
      </c>
      <c r="C26" s="35" t="s">
        <v>49</v>
      </c>
      <c r="D26" s="35" t="s">
        <v>633</v>
      </c>
      <c r="E26" s="35">
        <v>198</v>
      </c>
      <c r="F26" s="35">
        <v>6</v>
      </c>
      <c r="G26" s="35">
        <v>204</v>
      </c>
      <c r="H26" s="35">
        <v>7</v>
      </c>
      <c r="I26" s="35">
        <v>211</v>
      </c>
      <c r="J26" s="35">
        <v>6</v>
      </c>
      <c r="K26" s="35">
        <v>217</v>
      </c>
      <c r="L26" s="35">
        <v>6</v>
      </c>
      <c r="M26" s="35">
        <v>223</v>
      </c>
      <c r="N26" s="35">
        <v>6</v>
      </c>
      <c r="O26" s="35">
        <v>229</v>
      </c>
      <c r="P26" s="35">
        <v>6</v>
      </c>
      <c r="Q26" s="35">
        <v>235</v>
      </c>
      <c r="R26" s="35">
        <v>6</v>
      </c>
      <c r="S26" s="35">
        <v>239</v>
      </c>
      <c r="T26" s="35">
        <v>4</v>
      </c>
      <c r="U26" s="35">
        <v>244</v>
      </c>
      <c r="V26" s="35">
        <v>5</v>
      </c>
      <c r="W26" s="35">
        <v>250</v>
      </c>
      <c r="X26" s="35">
        <v>6</v>
      </c>
      <c r="Y26" s="35">
        <v>256</v>
      </c>
      <c r="Z26" s="35">
        <v>6</v>
      </c>
      <c r="AA26" s="35">
        <v>262</v>
      </c>
      <c r="AB26" s="35">
        <v>6</v>
      </c>
      <c r="AC26" s="35">
        <v>6</v>
      </c>
      <c r="AD26" s="35">
        <v>0</v>
      </c>
      <c r="AE26" s="35">
        <v>0</v>
      </c>
      <c r="AG26" s="35">
        <v>3</v>
      </c>
      <c r="AH26" s="35">
        <v>0</v>
      </c>
      <c r="AI26" s="35">
        <v>9</v>
      </c>
    </row>
    <row r="27" spans="1:35" ht="15.75" customHeight="1" x14ac:dyDescent="0.35">
      <c r="A27" s="35">
        <v>26</v>
      </c>
      <c r="B27" s="35" t="s">
        <v>63</v>
      </c>
      <c r="C27" s="35" t="s">
        <v>49</v>
      </c>
      <c r="D27" s="35">
        <v>13</v>
      </c>
      <c r="E27" s="35">
        <v>90</v>
      </c>
      <c r="F27" s="35">
        <v>13</v>
      </c>
      <c r="G27" s="35">
        <v>103</v>
      </c>
      <c r="H27" s="35">
        <v>12</v>
      </c>
      <c r="I27" s="35">
        <v>115</v>
      </c>
      <c r="J27" s="35">
        <v>16</v>
      </c>
      <c r="K27" s="35">
        <v>131</v>
      </c>
      <c r="L27" s="35">
        <v>6</v>
      </c>
      <c r="M27" s="35">
        <v>137</v>
      </c>
      <c r="N27" s="35">
        <v>5</v>
      </c>
      <c r="O27" s="35">
        <v>142</v>
      </c>
      <c r="P27" s="35">
        <v>5</v>
      </c>
      <c r="Q27" s="35">
        <v>147</v>
      </c>
      <c r="R27" s="35">
        <v>5</v>
      </c>
      <c r="S27" s="35">
        <v>152</v>
      </c>
      <c r="T27" s="35">
        <v>5</v>
      </c>
      <c r="U27" s="35">
        <v>157</v>
      </c>
      <c r="V27" s="35">
        <v>5</v>
      </c>
      <c r="W27" s="35">
        <v>165</v>
      </c>
      <c r="X27" s="35">
        <v>8</v>
      </c>
      <c r="Y27" s="35">
        <v>173</v>
      </c>
      <c r="Z27" s="35">
        <v>8</v>
      </c>
      <c r="AA27" s="35">
        <v>180</v>
      </c>
      <c r="AB27" s="35">
        <v>7</v>
      </c>
      <c r="AC27" s="35">
        <v>7</v>
      </c>
      <c r="AD27" s="35">
        <v>0</v>
      </c>
      <c r="AE27" s="35">
        <v>0</v>
      </c>
      <c r="AG27" s="35">
        <v>3</v>
      </c>
      <c r="AH27" s="35">
        <v>0</v>
      </c>
      <c r="AI27" s="35">
        <v>10</v>
      </c>
    </row>
    <row r="28" spans="1:35" ht="15.75" customHeight="1" x14ac:dyDescent="0.35">
      <c r="A28" s="35">
        <v>27</v>
      </c>
      <c r="B28" s="35" t="s">
        <v>64</v>
      </c>
      <c r="C28" s="35" t="s">
        <v>49</v>
      </c>
      <c r="D28" s="35">
        <v>15</v>
      </c>
      <c r="E28" s="35">
        <v>886</v>
      </c>
      <c r="F28" s="35">
        <v>12</v>
      </c>
      <c r="G28" s="35">
        <v>898</v>
      </c>
      <c r="H28" s="35">
        <v>18</v>
      </c>
      <c r="I28" s="35">
        <v>916</v>
      </c>
      <c r="J28" s="35">
        <v>13</v>
      </c>
      <c r="K28" s="35">
        <v>929</v>
      </c>
      <c r="L28" s="35">
        <v>18</v>
      </c>
      <c r="M28" s="35">
        <v>947</v>
      </c>
      <c r="N28" s="35">
        <v>18</v>
      </c>
      <c r="O28" s="35">
        <v>965</v>
      </c>
      <c r="P28" s="35">
        <v>20</v>
      </c>
      <c r="Q28" s="35">
        <v>985</v>
      </c>
      <c r="R28" s="35">
        <v>20</v>
      </c>
      <c r="S28" s="35">
        <v>1006</v>
      </c>
      <c r="T28" s="35">
        <v>21</v>
      </c>
      <c r="U28" s="35">
        <v>1028</v>
      </c>
      <c r="V28" s="35">
        <v>22</v>
      </c>
      <c r="W28" s="35">
        <v>1052</v>
      </c>
      <c r="X28" s="35">
        <v>24</v>
      </c>
      <c r="Y28" s="35">
        <v>1061</v>
      </c>
      <c r="Z28" s="35">
        <v>9</v>
      </c>
      <c r="AA28" s="35">
        <v>1105</v>
      </c>
      <c r="AB28" s="35">
        <v>44</v>
      </c>
      <c r="AC28" s="35">
        <v>44</v>
      </c>
      <c r="AD28" s="35">
        <v>0</v>
      </c>
      <c r="AE28" s="35">
        <v>0</v>
      </c>
      <c r="AG28" s="35">
        <v>3</v>
      </c>
      <c r="AH28" s="35">
        <v>0</v>
      </c>
      <c r="AI28" s="35">
        <v>47</v>
      </c>
    </row>
    <row r="29" spans="1:35" ht="15.75" customHeight="1" x14ac:dyDescent="0.35">
      <c r="A29" s="35">
        <v>28</v>
      </c>
      <c r="B29" s="35" t="s">
        <v>67</v>
      </c>
      <c r="C29" s="35" t="s">
        <v>49</v>
      </c>
      <c r="D29" s="35">
        <v>16</v>
      </c>
      <c r="E29" s="35">
        <v>322</v>
      </c>
      <c r="F29" s="35">
        <v>13</v>
      </c>
      <c r="G29" s="35">
        <v>335</v>
      </c>
      <c r="H29" s="35">
        <v>21</v>
      </c>
      <c r="I29" s="35">
        <v>356</v>
      </c>
      <c r="J29" s="35">
        <v>16</v>
      </c>
      <c r="K29" s="35">
        <v>372</v>
      </c>
      <c r="L29" s="35">
        <v>17</v>
      </c>
      <c r="M29" s="35">
        <v>389</v>
      </c>
      <c r="N29" s="35">
        <v>15</v>
      </c>
      <c r="O29" s="35">
        <v>404</v>
      </c>
      <c r="P29" s="35">
        <v>10</v>
      </c>
      <c r="Q29" s="35">
        <v>414</v>
      </c>
      <c r="R29" s="35">
        <v>10</v>
      </c>
      <c r="S29" s="35">
        <v>422</v>
      </c>
      <c r="T29" s="35">
        <v>8</v>
      </c>
      <c r="U29" s="35">
        <v>428</v>
      </c>
      <c r="V29" s="35">
        <v>6</v>
      </c>
      <c r="W29" s="35">
        <v>435</v>
      </c>
      <c r="X29" s="35">
        <v>7</v>
      </c>
      <c r="Y29" s="35">
        <v>442</v>
      </c>
      <c r="Z29" s="35">
        <v>7</v>
      </c>
      <c r="AA29" s="35">
        <v>452</v>
      </c>
      <c r="AB29" s="35">
        <v>10</v>
      </c>
      <c r="AC29" s="35">
        <v>10</v>
      </c>
      <c r="AD29" s="35">
        <v>0</v>
      </c>
      <c r="AE29" s="35">
        <v>0</v>
      </c>
      <c r="AG29" s="35">
        <v>3</v>
      </c>
      <c r="AH29" s="35">
        <v>20</v>
      </c>
      <c r="AI29" s="35">
        <v>33</v>
      </c>
    </row>
    <row r="30" spans="1:35" ht="15.75" customHeight="1" x14ac:dyDescent="0.35">
      <c r="A30" s="35">
        <v>29</v>
      </c>
      <c r="B30" s="35" t="s">
        <v>65</v>
      </c>
      <c r="C30" s="35" t="s">
        <v>49</v>
      </c>
      <c r="D30" s="35">
        <v>17</v>
      </c>
      <c r="E30" s="35">
        <v>16</v>
      </c>
      <c r="F30" s="35">
        <v>0</v>
      </c>
      <c r="G30" s="35">
        <v>16</v>
      </c>
      <c r="H30" s="35">
        <v>0</v>
      </c>
      <c r="I30" s="35">
        <v>16</v>
      </c>
      <c r="J30" s="35">
        <v>2</v>
      </c>
      <c r="K30" s="35">
        <v>18</v>
      </c>
      <c r="L30" s="35">
        <v>3</v>
      </c>
      <c r="M30" s="35">
        <v>21</v>
      </c>
      <c r="N30" s="35">
        <v>1</v>
      </c>
      <c r="O30" s="35">
        <v>22</v>
      </c>
      <c r="P30" s="35">
        <v>0</v>
      </c>
      <c r="Q30" s="35">
        <v>22</v>
      </c>
      <c r="R30" s="35">
        <v>0</v>
      </c>
      <c r="S30" s="35">
        <v>23</v>
      </c>
      <c r="T30" s="35">
        <v>1</v>
      </c>
      <c r="U30" s="35">
        <v>23</v>
      </c>
      <c r="V30" s="35">
        <v>0</v>
      </c>
      <c r="W30" s="35">
        <v>23</v>
      </c>
      <c r="X30" s="35">
        <v>0</v>
      </c>
      <c r="Y30" s="35">
        <v>24</v>
      </c>
      <c r="Z30" s="35">
        <v>1</v>
      </c>
      <c r="AA30" s="35">
        <v>24</v>
      </c>
      <c r="AB30" s="35">
        <v>0</v>
      </c>
      <c r="AC30" s="35">
        <v>5</v>
      </c>
      <c r="AD30" s="35">
        <v>0</v>
      </c>
      <c r="AE30" s="35">
        <v>0</v>
      </c>
      <c r="AG30" s="35">
        <v>3</v>
      </c>
      <c r="AH30" s="35">
        <v>0</v>
      </c>
      <c r="AI30" s="35">
        <v>8</v>
      </c>
    </row>
    <row r="31" spans="1:35" ht="15.75" customHeight="1" x14ac:dyDescent="0.35">
      <c r="A31" s="35">
        <v>30</v>
      </c>
      <c r="B31" s="35" t="s">
        <v>66</v>
      </c>
      <c r="C31" s="35" t="s">
        <v>49</v>
      </c>
      <c r="D31" s="35">
        <v>18</v>
      </c>
      <c r="E31" s="35">
        <v>632</v>
      </c>
      <c r="F31" s="35">
        <v>18</v>
      </c>
      <c r="G31" s="35">
        <v>650</v>
      </c>
      <c r="H31" s="35">
        <v>22</v>
      </c>
      <c r="I31" s="35">
        <v>672</v>
      </c>
      <c r="J31" s="35">
        <v>22</v>
      </c>
      <c r="K31" s="35">
        <v>694</v>
      </c>
      <c r="L31" s="35">
        <v>17</v>
      </c>
      <c r="M31" s="35">
        <v>711</v>
      </c>
      <c r="N31" s="35">
        <v>15</v>
      </c>
      <c r="O31" s="35">
        <v>726</v>
      </c>
      <c r="P31" s="35">
        <v>16</v>
      </c>
      <c r="Q31" s="35">
        <v>742</v>
      </c>
      <c r="R31" s="35">
        <v>16</v>
      </c>
      <c r="S31" s="35">
        <v>753</v>
      </c>
      <c r="T31" s="35">
        <v>11</v>
      </c>
      <c r="U31" s="35">
        <v>765</v>
      </c>
      <c r="V31" s="35">
        <v>12</v>
      </c>
      <c r="W31" s="35">
        <v>777</v>
      </c>
      <c r="X31" s="35">
        <v>12</v>
      </c>
      <c r="Y31" s="35">
        <v>790</v>
      </c>
      <c r="Z31" s="35">
        <v>13</v>
      </c>
      <c r="AA31" s="35">
        <v>803</v>
      </c>
      <c r="AB31" s="35">
        <v>13</v>
      </c>
      <c r="AC31" s="35">
        <v>13</v>
      </c>
      <c r="AD31" s="35">
        <v>0</v>
      </c>
      <c r="AE31" s="35">
        <v>0</v>
      </c>
      <c r="AG31" s="35">
        <v>3</v>
      </c>
      <c r="AH31" s="35">
        <v>0</v>
      </c>
      <c r="AI31" s="35">
        <v>16</v>
      </c>
    </row>
    <row r="32" spans="1:35" ht="15.75" customHeight="1" x14ac:dyDescent="0.35">
      <c r="A32" s="35">
        <v>31</v>
      </c>
      <c r="B32" s="35" t="s">
        <v>634</v>
      </c>
      <c r="C32" s="35" t="s">
        <v>49</v>
      </c>
      <c r="D32" s="35">
        <v>21</v>
      </c>
      <c r="E32" s="35">
        <v>0</v>
      </c>
      <c r="F32" s="35">
        <v>0</v>
      </c>
      <c r="G32" s="35">
        <v>0</v>
      </c>
      <c r="H32" s="35">
        <v>5</v>
      </c>
      <c r="I32" s="35">
        <v>5</v>
      </c>
      <c r="J32" s="35">
        <v>3</v>
      </c>
      <c r="K32" s="35">
        <v>3</v>
      </c>
      <c r="L32" s="35">
        <v>4</v>
      </c>
      <c r="M32" s="35">
        <v>7</v>
      </c>
      <c r="N32" s="35">
        <v>3</v>
      </c>
      <c r="O32" s="35">
        <v>10</v>
      </c>
      <c r="P32" s="35">
        <v>9</v>
      </c>
      <c r="Q32" s="35">
        <v>19</v>
      </c>
      <c r="R32" s="35">
        <v>9</v>
      </c>
      <c r="S32" s="35">
        <v>28</v>
      </c>
      <c r="T32" s="35">
        <v>9</v>
      </c>
      <c r="U32" s="35">
        <v>36</v>
      </c>
      <c r="V32" s="35">
        <v>8</v>
      </c>
      <c r="W32" s="35">
        <v>47</v>
      </c>
      <c r="X32" s="35">
        <v>11</v>
      </c>
      <c r="Y32" s="35">
        <v>60</v>
      </c>
      <c r="Z32" s="35">
        <v>13</v>
      </c>
      <c r="AA32" s="35">
        <v>72</v>
      </c>
      <c r="AB32" s="35">
        <v>12</v>
      </c>
      <c r="AC32" s="35">
        <v>12</v>
      </c>
      <c r="AD32" s="35">
        <v>0</v>
      </c>
      <c r="AE32" s="35">
        <v>0</v>
      </c>
      <c r="AG32" s="35">
        <v>3</v>
      </c>
      <c r="AH32" s="35">
        <v>0</v>
      </c>
      <c r="AI32" s="35">
        <v>15</v>
      </c>
    </row>
    <row r="33" spans="1:35" ht="15.75" customHeight="1" x14ac:dyDescent="0.35">
      <c r="A33" s="35">
        <v>32</v>
      </c>
      <c r="B33" s="35" t="s">
        <v>70</v>
      </c>
      <c r="C33" s="35" t="s">
        <v>49</v>
      </c>
      <c r="D33" s="35">
        <v>29</v>
      </c>
      <c r="F33" s="35">
        <v>0</v>
      </c>
      <c r="H33" s="35">
        <v>0</v>
      </c>
      <c r="I33" s="35">
        <v>0</v>
      </c>
      <c r="J33" s="35">
        <v>19</v>
      </c>
      <c r="K33" s="35">
        <v>19</v>
      </c>
      <c r="L33" s="35">
        <v>9</v>
      </c>
      <c r="M33" s="35">
        <v>28</v>
      </c>
      <c r="N33" s="35">
        <v>4</v>
      </c>
      <c r="O33" s="35">
        <v>32</v>
      </c>
      <c r="P33" s="35">
        <v>5</v>
      </c>
      <c r="Q33" s="35">
        <v>37</v>
      </c>
      <c r="R33" s="35">
        <v>5</v>
      </c>
      <c r="S33" s="35">
        <v>45</v>
      </c>
      <c r="T33" s="35">
        <v>8</v>
      </c>
      <c r="U33" s="35">
        <v>52</v>
      </c>
      <c r="V33" s="35">
        <v>7</v>
      </c>
      <c r="W33" s="35">
        <v>66</v>
      </c>
      <c r="X33" s="35">
        <v>14</v>
      </c>
      <c r="Y33" s="35">
        <v>78</v>
      </c>
      <c r="Z33" s="35">
        <v>12</v>
      </c>
      <c r="AA33" s="35">
        <v>88</v>
      </c>
      <c r="AB33" s="35">
        <v>10</v>
      </c>
      <c r="AC33" s="35">
        <v>10</v>
      </c>
      <c r="AD33" s="35">
        <v>0</v>
      </c>
      <c r="AE33" s="35">
        <v>0</v>
      </c>
      <c r="AF33" s="35">
        <v>100</v>
      </c>
      <c r="AG33" s="35">
        <v>3</v>
      </c>
      <c r="AH33" s="35">
        <v>0</v>
      </c>
      <c r="AI33" s="35">
        <v>113</v>
      </c>
    </row>
    <row r="34" spans="1:35" ht="15.75" customHeight="1" x14ac:dyDescent="0.35">
      <c r="A34" s="35">
        <v>33</v>
      </c>
      <c r="B34" s="35" t="s">
        <v>72</v>
      </c>
      <c r="C34" s="35" t="s">
        <v>73</v>
      </c>
      <c r="D34" s="35">
        <v>1</v>
      </c>
      <c r="E34" s="35">
        <v>1726</v>
      </c>
      <c r="F34" s="35">
        <v>16</v>
      </c>
      <c r="G34" s="35">
        <v>1742</v>
      </c>
      <c r="H34" s="35">
        <v>15</v>
      </c>
      <c r="I34" s="35">
        <v>1757</v>
      </c>
      <c r="J34" s="35">
        <v>13</v>
      </c>
      <c r="K34" s="35">
        <v>1770</v>
      </c>
      <c r="L34" s="35">
        <v>14</v>
      </c>
      <c r="M34" s="35">
        <v>1784</v>
      </c>
      <c r="N34" s="35">
        <v>13</v>
      </c>
      <c r="O34" s="35">
        <v>1797</v>
      </c>
      <c r="P34" s="35">
        <v>12</v>
      </c>
      <c r="Q34" s="35">
        <v>1809</v>
      </c>
      <c r="R34" s="35">
        <v>12</v>
      </c>
      <c r="S34" s="35">
        <v>1819</v>
      </c>
      <c r="T34" s="35">
        <v>10</v>
      </c>
      <c r="U34" s="35">
        <v>1831</v>
      </c>
      <c r="V34" s="35">
        <v>12</v>
      </c>
      <c r="W34" s="35">
        <v>1845</v>
      </c>
      <c r="X34" s="35">
        <v>14</v>
      </c>
      <c r="Y34" s="35">
        <v>1859</v>
      </c>
      <c r="Z34" s="35">
        <v>14</v>
      </c>
      <c r="AA34" s="35">
        <v>1873</v>
      </c>
      <c r="AB34" s="35">
        <v>14</v>
      </c>
      <c r="AC34" s="35">
        <v>14</v>
      </c>
      <c r="AD34" s="35">
        <v>0</v>
      </c>
      <c r="AE34" s="35">
        <v>0</v>
      </c>
      <c r="AG34" s="35">
        <v>3</v>
      </c>
      <c r="AH34" s="35">
        <v>20</v>
      </c>
      <c r="AI34" s="35">
        <v>37</v>
      </c>
    </row>
    <row r="35" spans="1:35" ht="15.75" customHeight="1" x14ac:dyDescent="0.35">
      <c r="A35" s="35">
        <v>34</v>
      </c>
      <c r="B35" s="35" t="s">
        <v>74</v>
      </c>
      <c r="C35" s="35" t="s">
        <v>73</v>
      </c>
      <c r="D35" s="35">
        <v>2</v>
      </c>
      <c r="E35" s="35">
        <v>796</v>
      </c>
      <c r="F35" s="35">
        <v>5</v>
      </c>
      <c r="G35" s="35">
        <v>801</v>
      </c>
      <c r="H35" s="35">
        <v>17</v>
      </c>
      <c r="I35" s="35">
        <v>818</v>
      </c>
      <c r="J35" s="35">
        <v>2</v>
      </c>
      <c r="K35" s="35">
        <v>820</v>
      </c>
      <c r="L35" s="35">
        <v>2</v>
      </c>
      <c r="M35" s="35">
        <v>822</v>
      </c>
      <c r="N35" s="35">
        <v>1</v>
      </c>
      <c r="O35" s="35">
        <v>823</v>
      </c>
      <c r="P35" s="35">
        <v>2</v>
      </c>
      <c r="Q35" s="35">
        <v>825</v>
      </c>
      <c r="R35" s="35">
        <v>2</v>
      </c>
      <c r="S35" s="35">
        <v>826</v>
      </c>
      <c r="T35" s="35">
        <v>1</v>
      </c>
      <c r="U35" s="35">
        <v>827</v>
      </c>
      <c r="V35" s="35">
        <v>1</v>
      </c>
      <c r="W35" s="35">
        <v>829</v>
      </c>
      <c r="X35" s="35">
        <v>2</v>
      </c>
      <c r="Y35" s="35">
        <v>830</v>
      </c>
      <c r="Z35" s="35">
        <v>1</v>
      </c>
      <c r="AA35" s="35">
        <v>833</v>
      </c>
      <c r="AB35" s="35">
        <v>3</v>
      </c>
      <c r="AC35" s="35">
        <v>5</v>
      </c>
      <c r="AD35" s="35">
        <v>0</v>
      </c>
      <c r="AE35" s="35">
        <v>0</v>
      </c>
      <c r="AG35" s="35">
        <v>3</v>
      </c>
      <c r="AH35" s="35">
        <v>0</v>
      </c>
      <c r="AI35" s="35">
        <v>8</v>
      </c>
    </row>
    <row r="36" spans="1:35" ht="15.75" customHeight="1" x14ac:dyDescent="0.35">
      <c r="A36" s="35">
        <v>35</v>
      </c>
      <c r="B36" s="35" t="s">
        <v>75</v>
      </c>
      <c r="C36" s="35" t="s">
        <v>73</v>
      </c>
      <c r="D36" s="35">
        <v>4</v>
      </c>
      <c r="E36" s="35">
        <v>2918</v>
      </c>
      <c r="F36" s="35">
        <v>20</v>
      </c>
      <c r="G36" s="35">
        <v>2938</v>
      </c>
      <c r="H36" s="35">
        <v>32</v>
      </c>
      <c r="I36" s="35">
        <v>2970</v>
      </c>
      <c r="J36" s="35">
        <v>30</v>
      </c>
      <c r="K36" s="35">
        <v>3000</v>
      </c>
      <c r="L36" s="35">
        <v>29</v>
      </c>
      <c r="M36" s="35">
        <v>3029</v>
      </c>
      <c r="N36" s="35">
        <v>22</v>
      </c>
      <c r="O36" s="35">
        <v>3051</v>
      </c>
      <c r="P36" s="35">
        <v>15</v>
      </c>
      <c r="Q36" s="35">
        <v>3066</v>
      </c>
      <c r="R36" s="35">
        <v>15</v>
      </c>
      <c r="S36" s="35">
        <v>3085</v>
      </c>
      <c r="T36" s="35">
        <v>19</v>
      </c>
      <c r="U36" s="35">
        <v>3106</v>
      </c>
      <c r="V36" s="35">
        <v>21</v>
      </c>
      <c r="W36" s="35">
        <v>3122</v>
      </c>
      <c r="X36" s="35">
        <v>16</v>
      </c>
      <c r="Y36" s="35">
        <v>3150</v>
      </c>
      <c r="Z36" s="35">
        <v>28</v>
      </c>
      <c r="AA36" s="35">
        <v>3175</v>
      </c>
      <c r="AB36" s="35">
        <v>25</v>
      </c>
      <c r="AC36" s="35">
        <v>25</v>
      </c>
      <c r="AD36" s="35">
        <v>0</v>
      </c>
      <c r="AE36" s="35">
        <v>0</v>
      </c>
      <c r="AG36" s="35">
        <v>3</v>
      </c>
      <c r="AH36" s="35">
        <v>0</v>
      </c>
      <c r="AI36" s="35">
        <v>28</v>
      </c>
    </row>
    <row r="37" spans="1:35" ht="15.75" customHeight="1" x14ac:dyDescent="0.35">
      <c r="A37" s="35">
        <v>36</v>
      </c>
      <c r="B37" s="35" t="s">
        <v>635</v>
      </c>
      <c r="C37" s="35" t="s">
        <v>73</v>
      </c>
      <c r="D37" s="35">
        <v>5</v>
      </c>
      <c r="E37" s="35">
        <v>3725</v>
      </c>
      <c r="F37" s="35">
        <v>22</v>
      </c>
      <c r="G37" s="35">
        <v>3747</v>
      </c>
      <c r="H37" s="35">
        <v>21</v>
      </c>
      <c r="I37" s="35">
        <v>3768</v>
      </c>
      <c r="J37" s="35">
        <v>19</v>
      </c>
      <c r="K37" s="35">
        <v>3787</v>
      </c>
      <c r="L37" s="35">
        <v>19</v>
      </c>
      <c r="M37" s="35">
        <v>3806</v>
      </c>
      <c r="N37" s="35">
        <v>18</v>
      </c>
      <c r="O37" s="35">
        <v>3824</v>
      </c>
      <c r="P37" s="35">
        <v>11</v>
      </c>
      <c r="Q37" s="35">
        <v>3835</v>
      </c>
      <c r="R37" s="35">
        <v>11</v>
      </c>
      <c r="S37" s="35">
        <v>3845</v>
      </c>
      <c r="T37" s="35">
        <v>10</v>
      </c>
      <c r="U37" s="35">
        <v>3859</v>
      </c>
      <c r="V37" s="35">
        <v>14</v>
      </c>
      <c r="W37" s="35">
        <v>3869</v>
      </c>
      <c r="X37" s="35">
        <v>10</v>
      </c>
      <c r="Y37" s="35">
        <v>3884</v>
      </c>
      <c r="Z37" s="35">
        <v>15</v>
      </c>
      <c r="AA37" s="35">
        <v>3899</v>
      </c>
      <c r="AB37" s="35">
        <v>15</v>
      </c>
      <c r="AC37" s="35">
        <v>15</v>
      </c>
      <c r="AD37" s="35">
        <v>0</v>
      </c>
      <c r="AE37" s="35">
        <v>0</v>
      </c>
      <c r="AG37" s="35">
        <v>3</v>
      </c>
      <c r="AH37" s="35">
        <v>0</v>
      </c>
      <c r="AI37" s="35">
        <v>18</v>
      </c>
    </row>
    <row r="38" spans="1:35" ht="15.75" customHeight="1" x14ac:dyDescent="0.35">
      <c r="A38" s="35">
        <v>37</v>
      </c>
      <c r="B38" s="35" t="s">
        <v>77</v>
      </c>
      <c r="C38" s="35" t="s">
        <v>73</v>
      </c>
      <c r="D38" s="35">
        <v>6</v>
      </c>
      <c r="E38" s="35">
        <v>150</v>
      </c>
      <c r="F38" s="35">
        <v>22</v>
      </c>
      <c r="G38" s="35">
        <v>172</v>
      </c>
      <c r="H38" s="35">
        <v>23</v>
      </c>
      <c r="I38" s="35">
        <v>195</v>
      </c>
      <c r="J38" s="35">
        <v>19</v>
      </c>
      <c r="K38" s="35">
        <v>214</v>
      </c>
      <c r="L38" s="35">
        <v>15</v>
      </c>
      <c r="M38" s="35">
        <v>229</v>
      </c>
      <c r="N38" s="35">
        <v>16</v>
      </c>
      <c r="O38" s="35">
        <v>245</v>
      </c>
      <c r="P38" s="35">
        <v>21</v>
      </c>
      <c r="Q38" s="35">
        <v>266</v>
      </c>
      <c r="R38" s="35">
        <v>21</v>
      </c>
      <c r="S38" s="35">
        <v>283</v>
      </c>
      <c r="T38" s="35">
        <v>17</v>
      </c>
      <c r="U38" s="35">
        <v>299</v>
      </c>
      <c r="V38" s="35">
        <v>16</v>
      </c>
      <c r="W38" s="35">
        <v>324</v>
      </c>
      <c r="X38" s="35">
        <v>25</v>
      </c>
      <c r="Y38" s="35">
        <v>350</v>
      </c>
      <c r="Z38" s="35">
        <v>26</v>
      </c>
      <c r="AA38" s="35">
        <v>370</v>
      </c>
      <c r="AB38" s="35">
        <v>20</v>
      </c>
      <c r="AC38" s="35">
        <v>20</v>
      </c>
      <c r="AD38" s="35">
        <v>0</v>
      </c>
      <c r="AE38" s="35">
        <v>0</v>
      </c>
      <c r="AG38" s="35">
        <v>3</v>
      </c>
      <c r="AH38" s="35">
        <v>40</v>
      </c>
      <c r="AI38" s="35">
        <v>63</v>
      </c>
    </row>
    <row r="39" spans="1:35" ht="15.75" customHeight="1" x14ac:dyDescent="0.35">
      <c r="A39" s="35">
        <v>38</v>
      </c>
      <c r="B39" s="35" t="s">
        <v>78</v>
      </c>
      <c r="C39" s="35" t="s">
        <v>73</v>
      </c>
      <c r="D39" s="35">
        <v>7</v>
      </c>
      <c r="E39" s="35">
        <v>2096</v>
      </c>
      <c r="F39" s="35">
        <v>43</v>
      </c>
      <c r="G39" s="35">
        <v>2139</v>
      </c>
      <c r="H39" s="35">
        <v>27</v>
      </c>
      <c r="I39" s="35">
        <v>2166</v>
      </c>
      <c r="J39" s="35">
        <v>20</v>
      </c>
      <c r="K39" s="35">
        <v>2186</v>
      </c>
      <c r="L39" s="35">
        <v>15</v>
      </c>
      <c r="M39" s="35">
        <v>2201</v>
      </c>
      <c r="N39" s="35">
        <v>14</v>
      </c>
      <c r="O39" s="35">
        <v>2215</v>
      </c>
      <c r="P39" s="35">
        <v>11</v>
      </c>
      <c r="Q39" s="35">
        <v>2226</v>
      </c>
      <c r="R39" s="35">
        <v>11</v>
      </c>
      <c r="S39" s="35">
        <v>2236</v>
      </c>
      <c r="T39" s="35">
        <v>10</v>
      </c>
      <c r="U39" s="35">
        <v>2246</v>
      </c>
      <c r="V39" s="35">
        <v>10</v>
      </c>
      <c r="W39" s="35">
        <v>2260</v>
      </c>
      <c r="X39" s="35">
        <v>14</v>
      </c>
      <c r="Y39" s="35">
        <v>2276</v>
      </c>
      <c r="Z39" s="35">
        <v>16</v>
      </c>
      <c r="AA39" s="35">
        <v>2288</v>
      </c>
      <c r="AB39" s="35">
        <v>12</v>
      </c>
      <c r="AC39" s="35">
        <v>12</v>
      </c>
      <c r="AD39" s="35">
        <v>0</v>
      </c>
      <c r="AE39" s="35">
        <v>0</v>
      </c>
      <c r="AG39" s="35">
        <v>3</v>
      </c>
      <c r="AH39" s="35">
        <v>40</v>
      </c>
      <c r="AI39" s="35">
        <v>55</v>
      </c>
    </row>
    <row r="40" spans="1:35" ht="15.75" customHeight="1" x14ac:dyDescent="0.35">
      <c r="A40" s="35">
        <v>39</v>
      </c>
      <c r="B40" s="35" t="s">
        <v>79</v>
      </c>
      <c r="C40" s="35" t="s">
        <v>73</v>
      </c>
      <c r="D40" s="35">
        <v>8</v>
      </c>
      <c r="E40" s="35">
        <v>156</v>
      </c>
      <c r="F40" s="35">
        <v>0</v>
      </c>
      <c r="G40" s="35">
        <v>156</v>
      </c>
      <c r="H40" s="35">
        <v>1</v>
      </c>
      <c r="I40" s="35">
        <v>157</v>
      </c>
      <c r="J40" s="35">
        <v>0</v>
      </c>
      <c r="K40" s="35">
        <v>157</v>
      </c>
      <c r="L40" s="35">
        <v>0</v>
      </c>
      <c r="M40" s="35">
        <v>157</v>
      </c>
      <c r="N40" s="35">
        <v>1</v>
      </c>
      <c r="O40" s="35">
        <v>158</v>
      </c>
      <c r="P40" s="35">
        <v>4</v>
      </c>
      <c r="Q40" s="35">
        <v>162</v>
      </c>
      <c r="R40" s="35">
        <v>4</v>
      </c>
      <c r="S40" s="35">
        <v>167</v>
      </c>
      <c r="T40" s="35">
        <v>5</v>
      </c>
      <c r="U40" s="35">
        <v>170</v>
      </c>
      <c r="V40" s="35">
        <v>3</v>
      </c>
      <c r="W40" s="35">
        <v>175</v>
      </c>
      <c r="X40" s="35">
        <v>5</v>
      </c>
      <c r="Y40" s="35">
        <v>179</v>
      </c>
      <c r="Z40" s="35">
        <v>4</v>
      </c>
      <c r="AA40" s="35">
        <v>184</v>
      </c>
      <c r="AB40" s="35">
        <v>5</v>
      </c>
      <c r="AC40" s="35">
        <v>5</v>
      </c>
      <c r="AD40" s="35">
        <v>8</v>
      </c>
      <c r="AE40" s="35">
        <v>0</v>
      </c>
      <c r="AG40" s="35">
        <v>3</v>
      </c>
      <c r="AH40" s="35">
        <v>20</v>
      </c>
      <c r="AI40" s="35">
        <v>36</v>
      </c>
    </row>
    <row r="41" spans="1:35" ht="15.75" customHeight="1" x14ac:dyDescent="0.35">
      <c r="A41" s="35">
        <v>40</v>
      </c>
      <c r="B41" s="35" t="s">
        <v>80</v>
      </c>
      <c r="C41" s="35" t="s">
        <v>73</v>
      </c>
      <c r="D41" s="35" t="s">
        <v>636</v>
      </c>
      <c r="E41" s="35">
        <v>509</v>
      </c>
      <c r="F41" s="35">
        <v>16</v>
      </c>
      <c r="G41" s="35">
        <v>525</v>
      </c>
      <c r="H41" s="35">
        <v>22</v>
      </c>
      <c r="I41" s="35">
        <v>547</v>
      </c>
      <c r="J41" s="35">
        <v>16</v>
      </c>
      <c r="K41" s="35">
        <v>563</v>
      </c>
      <c r="L41" s="35">
        <v>15</v>
      </c>
      <c r="M41" s="35">
        <v>578</v>
      </c>
      <c r="N41" s="35">
        <v>14</v>
      </c>
      <c r="O41" s="35">
        <v>592</v>
      </c>
      <c r="P41" s="35">
        <v>14</v>
      </c>
      <c r="Q41" s="35">
        <v>606</v>
      </c>
      <c r="R41" s="35">
        <v>14</v>
      </c>
      <c r="S41" s="35">
        <v>618</v>
      </c>
      <c r="T41" s="35">
        <v>12</v>
      </c>
      <c r="U41" s="35">
        <v>631</v>
      </c>
      <c r="V41" s="35">
        <v>13</v>
      </c>
      <c r="W41" s="35">
        <v>645</v>
      </c>
      <c r="X41" s="35">
        <v>14</v>
      </c>
      <c r="Y41" s="35">
        <v>668</v>
      </c>
      <c r="Z41" s="35">
        <v>23</v>
      </c>
      <c r="AA41" s="35">
        <v>689</v>
      </c>
      <c r="AB41" s="35">
        <v>21</v>
      </c>
      <c r="AC41" s="35">
        <v>21</v>
      </c>
      <c r="AD41" s="35">
        <v>0</v>
      </c>
      <c r="AE41" s="35">
        <v>0</v>
      </c>
      <c r="AG41" s="35">
        <v>3</v>
      </c>
      <c r="AH41" s="35">
        <v>0</v>
      </c>
      <c r="AI41" s="35">
        <v>24</v>
      </c>
    </row>
    <row r="42" spans="1:35" ht="15.75" customHeight="1" x14ac:dyDescent="0.35">
      <c r="A42" s="35">
        <v>41</v>
      </c>
      <c r="B42" s="35" t="s">
        <v>82</v>
      </c>
      <c r="C42" s="35" t="s">
        <v>73</v>
      </c>
      <c r="D42" s="35">
        <v>9</v>
      </c>
      <c r="E42" s="35">
        <v>2002</v>
      </c>
      <c r="F42" s="35">
        <v>5</v>
      </c>
      <c r="G42" s="35">
        <v>2007</v>
      </c>
      <c r="H42" s="35">
        <v>3</v>
      </c>
      <c r="I42" s="35">
        <v>2010</v>
      </c>
      <c r="J42" s="35">
        <v>29</v>
      </c>
      <c r="K42" s="35">
        <v>2039</v>
      </c>
      <c r="L42" s="35">
        <v>6</v>
      </c>
      <c r="M42" s="35">
        <v>2045</v>
      </c>
      <c r="N42" s="35">
        <v>4</v>
      </c>
      <c r="O42" s="35">
        <v>2049</v>
      </c>
      <c r="P42" s="35">
        <v>1</v>
      </c>
      <c r="Q42" s="35">
        <v>2050</v>
      </c>
      <c r="R42" s="35">
        <v>1</v>
      </c>
      <c r="S42" s="35">
        <v>2050</v>
      </c>
      <c r="T42" s="35">
        <v>0</v>
      </c>
      <c r="U42" s="35">
        <v>2050</v>
      </c>
      <c r="V42" s="35">
        <v>0</v>
      </c>
      <c r="W42" s="35">
        <v>2060</v>
      </c>
      <c r="X42" s="35">
        <v>10</v>
      </c>
      <c r="Y42" s="35">
        <v>2062</v>
      </c>
      <c r="Z42" s="35">
        <v>2</v>
      </c>
      <c r="AA42" s="35">
        <v>2064</v>
      </c>
      <c r="AB42" s="35">
        <v>2</v>
      </c>
      <c r="AC42" s="35">
        <v>5</v>
      </c>
      <c r="AD42" s="35">
        <v>0</v>
      </c>
      <c r="AE42" s="35">
        <v>0</v>
      </c>
      <c r="AG42" s="35">
        <v>3</v>
      </c>
      <c r="AH42" s="35">
        <v>0</v>
      </c>
      <c r="AI42" s="35">
        <v>8</v>
      </c>
    </row>
    <row r="43" spans="1:35" ht="15.75" customHeight="1" x14ac:dyDescent="0.35">
      <c r="A43" s="35">
        <v>42</v>
      </c>
      <c r="B43" s="35" t="s">
        <v>83</v>
      </c>
      <c r="C43" s="35" t="s">
        <v>73</v>
      </c>
      <c r="D43" s="35" t="s">
        <v>637</v>
      </c>
      <c r="E43" s="35">
        <v>306</v>
      </c>
      <c r="F43" s="35">
        <v>7</v>
      </c>
      <c r="G43" s="35">
        <v>313</v>
      </c>
      <c r="H43" s="35">
        <v>9</v>
      </c>
      <c r="I43" s="35">
        <v>322</v>
      </c>
      <c r="J43" s="35">
        <v>7</v>
      </c>
      <c r="K43" s="35">
        <v>329</v>
      </c>
      <c r="L43" s="35">
        <v>9</v>
      </c>
      <c r="M43" s="35">
        <v>338</v>
      </c>
      <c r="N43" s="35">
        <v>6</v>
      </c>
      <c r="O43" s="35">
        <v>344</v>
      </c>
      <c r="P43" s="35">
        <v>6</v>
      </c>
      <c r="Q43" s="35">
        <v>350</v>
      </c>
      <c r="R43" s="35">
        <v>6</v>
      </c>
      <c r="S43" s="35">
        <v>355</v>
      </c>
      <c r="T43" s="35">
        <v>5</v>
      </c>
      <c r="U43" s="35">
        <v>361</v>
      </c>
      <c r="V43" s="35">
        <v>6</v>
      </c>
      <c r="W43" s="35">
        <v>365</v>
      </c>
      <c r="X43" s="35">
        <v>4</v>
      </c>
      <c r="Y43" s="35">
        <v>373</v>
      </c>
      <c r="Z43" s="35">
        <v>8</v>
      </c>
      <c r="AA43" s="35">
        <v>381</v>
      </c>
      <c r="AB43" s="35">
        <v>8</v>
      </c>
      <c r="AC43" s="35">
        <v>8</v>
      </c>
      <c r="AD43" s="35">
        <v>0</v>
      </c>
      <c r="AE43" s="35">
        <v>0</v>
      </c>
      <c r="AG43" s="35">
        <v>3</v>
      </c>
      <c r="AH43" s="35">
        <v>0</v>
      </c>
      <c r="AI43" s="35">
        <v>11</v>
      </c>
    </row>
    <row r="44" spans="1:35" ht="15.75" customHeight="1" x14ac:dyDescent="0.35">
      <c r="A44" s="35">
        <v>43</v>
      </c>
      <c r="B44" s="35" t="s">
        <v>85</v>
      </c>
      <c r="C44" s="35" t="s">
        <v>73</v>
      </c>
      <c r="D44" s="35">
        <v>11</v>
      </c>
      <c r="E44" s="35">
        <v>325</v>
      </c>
      <c r="F44" s="35">
        <v>16</v>
      </c>
      <c r="G44" s="35">
        <v>341</v>
      </c>
      <c r="H44" s="35">
        <v>23</v>
      </c>
      <c r="I44" s="35">
        <v>364</v>
      </c>
      <c r="J44" s="35">
        <v>21</v>
      </c>
      <c r="K44" s="35">
        <v>385</v>
      </c>
      <c r="L44" s="35">
        <v>24</v>
      </c>
      <c r="M44" s="35">
        <v>409</v>
      </c>
      <c r="N44" s="35">
        <v>22</v>
      </c>
      <c r="O44" s="35">
        <v>431</v>
      </c>
      <c r="P44" s="35">
        <v>19</v>
      </c>
      <c r="Q44" s="35">
        <v>450</v>
      </c>
      <c r="R44" s="35">
        <v>19</v>
      </c>
      <c r="S44" s="35">
        <v>472</v>
      </c>
      <c r="T44" s="35">
        <v>22</v>
      </c>
      <c r="U44" s="35">
        <v>496</v>
      </c>
      <c r="V44" s="35">
        <v>24</v>
      </c>
      <c r="W44" s="35">
        <v>510</v>
      </c>
      <c r="X44" s="35">
        <v>14</v>
      </c>
      <c r="Y44" s="35">
        <v>526</v>
      </c>
      <c r="Z44" s="35">
        <v>16</v>
      </c>
      <c r="AA44" s="35">
        <v>552</v>
      </c>
      <c r="AB44" s="35">
        <v>26</v>
      </c>
      <c r="AC44" s="35">
        <v>26</v>
      </c>
      <c r="AD44" s="35">
        <v>0</v>
      </c>
      <c r="AE44" s="35">
        <v>0</v>
      </c>
      <c r="AG44" s="35">
        <v>3</v>
      </c>
      <c r="AH44" s="35">
        <v>0</v>
      </c>
      <c r="AI44" s="35">
        <v>29</v>
      </c>
    </row>
    <row r="45" spans="1:35" ht="15.75" customHeight="1" x14ac:dyDescent="0.35">
      <c r="A45" s="35">
        <v>44</v>
      </c>
      <c r="B45" s="35" t="s">
        <v>86</v>
      </c>
      <c r="C45" s="35" t="s">
        <v>73</v>
      </c>
      <c r="D45" s="35">
        <v>12</v>
      </c>
      <c r="E45" s="35">
        <v>1348</v>
      </c>
      <c r="F45" s="35">
        <v>16</v>
      </c>
      <c r="G45" s="35">
        <v>1364</v>
      </c>
      <c r="H45" s="35">
        <v>11</v>
      </c>
      <c r="I45" s="35">
        <v>1375</v>
      </c>
      <c r="J45" s="35">
        <v>18</v>
      </c>
      <c r="K45" s="35">
        <v>1393</v>
      </c>
      <c r="L45" s="35">
        <v>14</v>
      </c>
      <c r="M45" s="35">
        <v>1407</v>
      </c>
      <c r="N45" s="35">
        <v>12</v>
      </c>
      <c r="O45" s="35">
        <v>1419</v>
      </c>
      <c r="P45" s="35">
        <v>12</v>
      </c>
      <c r="Q45" s="35">
        <v>1431</v>
      </c>
      <c r="R45" s="35">
        <v>12</v>
      </c>
      <c r="S45" s="35">
        <v>1440</v>
      </c>
      <c r="T45" s="35">
        <v>9</v>
      </c>
      <c r="U45" s="35">
        <v>1454</v>
      </c>
      <c r="V45" s="35">
        <v>14</v>
      </c>
      <c r="W45" s="35">
        <v>1462</v>
      </c>
      <c r="X45" s="35">
        <v>8</v>
      </c>
      <c r="Y45" s="35">
        <v>1471</v>
      </c>
      <c r="Z45" s="35">
        <v>9</v>
      </c>
      <c r="AA45" s="35">
        <v>1483</v>
      </c>
      <c r="AB45" s="35">
        <v>12</v>
      </c>
      <c r="AC45" s="35">
        <v>12</v>
      </c>
      <c r="AD45" s="35">
        <v>0</v>
      </c>
      <c r="AE45" s="35">
        <v>0</v>
      </c>
      <c r="AG45" s="35">
        <v>3</v>
      </c>
      <c r="AH45" s="35">
        <v>0</v>
      </c>
      <c r="AI45" s="35">
        <v>15</v>
      </c>
    </row>
    <row r="46" spans="1:35" ht="15.75" customHeight="1" x14ac:dyDescent="0.35">
      <c r="A46" s="35">
        <v>45</v>
      </c>
      <c r="B46" s="35" t="s">
        <v>87</v>
      </c>
      <c r="C46" s="35" t="s">
        <v>73</v>
      </c>
      <c r="D46" s="35">
        <v>13</v>
      </c>
      <c r="E46" s="35">
        <v>1924</v>
      </c>
      <c r="F46" s="35">
        <v>9</v>
      </c>
      <c r="G46" s="35">
        <v>1933</v>
      </c>
      <c r="H46" s="35">
        <v>9</v>
      </c>
      <c r="I46" s="35">
        <v>1942</v>
      </c>
      <c r="J46" s="35">
        <v>7</v>
      </c>
      <c r="K46" s="35">
        <v>1949</v>
      </c>
      <c r="L46" s="35">
        <v>7</v>
      </c>
      <c r="M46" s="35">
        <v>1956</v>
      </c>
      <c r="N46" s="35">
        <v>11</v>
      </c>
      <c r="O46" s="35">
        <v>1967</v>
      </c>
      <c r="P46" s="35">
        <v>6</v>
      </c>
      <c r="Q46" s="35">
        <v>1973</v>
      </c>
      <c r="R46" s="35">
        <v>6</v>
      </c>
      <c r="S46" s="35">
        <v>1988</v>
      </c>
      <c r="T46" s="35">
        <v>15</v>
      </c>
      <c r="U46" s="35">
        <v>1993</v>
      </c>
      <c r="V46" s="35">
        <v>5</v>
      </c>
      <c r="W46" s="35">
        <v>2002</v>
      </c>
      <c r="X46" s="35">
        <v>9</v>
      </c>
      <c r="Y46" s="35">
        <v>2007</v>
      </c>
      <c r="Z46" s="35">
        <v>5</v>
      </c>
      <c r="AA46" s="35">
        <v>2012</v>
      </c>
      <c r="AB46" s="35">
        <v>5</v>
      </c>
      <c r="AC46" s="35">
        <v>5</v>
      </c>
      <c r="AD46" s="35">
        <v>0</v>
      </c>
      <c r="AE46" s="35">
        <v>0</v>
      </c>
      <c r="AG46" s="35">
        <v>3</v>
      </c>
      <c r="AH46" s="35">
        <v>0</v>
      </c>
      <c r="AI46" s="35">
        <v>8</v>
      </c>
    </row>
    <row r="47" spans="1:35" ht="15.75" customHeight="1" x14ac:dyDescent="0.35">
      <c r="A47" s="35">
        <v>46</v>
      </c>
      <c r="B47" s="35" t="s">
        <v>88</v>
      </c>
      <c r="C47" s="35" t="s">
        <v>73</v>
      </c>
      <c r="D47" s="35">
        <v>14</v>
      </c>
      <c r="E47" s="35">
        <v>648</v>
      </c>
      <c r="F47" s="35">
        <v>7</v>
      </c>
      <c r="G47" s="35">
        <v>655</v>
      </c>
      <c r="H47" s="35">
        <v>5</v>
      </c>
      <c r="I47" s="35">
        <v>660</v>
      </c>
      <c r="J47" s="35">
        <v>11</v>
      </c>
      <c r="K47" s="35">
        <v>671</v>
      </c>
      <c r="L47" s="35">
        <v>8</v>
      </c>
      <c r="M47" s="35">
        <v>679</v>
      </c>
      <c r="N47" s="35">
        <v>7</v>
      </c>
      <c r="O47" s="35">
        <v>686</v>
      </c>
      <c r="P47" s="35">
        <v>5</v>
      </c>
      <c r="Q47" s="35">
        <v>691</v>
      </c>
      <c r="R47" s="35">
        <v>5</v>
      </c>
      <c r="S47" s="35">
        <v>696</v>
      </c>
      <c r="T47" s="35">
        <v>5</v>
      </c>
      <c r="U47" s="35">
        <v>699</v>
      </c>
      <c r="V47" s="35">
        <v>5</v>
      </c>
      <c r="W47" s="35">
        <v>702</v>
      </c>
      <c r="X47" s="35">
        <v>3</v>
      </c>
      <c r="Y47" s="35">
        <v>708</v>
      </c>
      <c r="Z47" s="35">
        <v>6</v>
      </c>
      <c r="AA47" s="35">
        <v>714</v>
      </c>
      <c r="AB47" s="35">
        <v>6</v>
      </c>
      <c r="AC47" s="35">
        <v>6</v>
      </c>
      <c r="AD47" s="35">
        <v>0</v>
      </c>
      <c r="AE47" s="35">
        <v>0</v>
      </c>
      <c r="AG47" s="35">
        <v>3</v>
      </c>
      <c r="AH47" s="35">
        <v>0</v>
      </c>
      <c r="AI47" s="35">
        <v>9</v>
      </c>
    </row>
    <row r="48" spans="1:35" ht="15.75" customHeight="1" x14ac:dyDescent="0.35">
      <c r="A48" s="35">
        <v>47</v>
      </c>
      <c r="B48" s="35" t="s">
        <v>89</v>
      </c>
      <c r="C48" s="35" t="s">
        <v>73</v>
      </c>
      <c r="D48" s="35">
        <v>15</v>
      </c>
      <c r="E48" s="35">
        <v>1994</v>
      </c>
      <c r="F48" s="35">
        <v>6</v>
      </c>
      <c r="G48" s="35">
        <v>2000</v>
      </c>
      <c r="H48" s="35">
        <v>-5</v>
      </c>
      <c r="I48" s="35">
        <v>1995</v>
      </c>
      <c r="J48" s="35">
        <v>0</v>
      </c>
      <c r="K48" s="35">
        <v>0</v>
      </c>
      <c r="L48" s="35">
        <v>15</v>
      </c>
      <c r="M48" s="35">
        <v>15</v>
      </c>
      <c r="N48" s="35">
        <v>11</v>
      </c>
      <c r="O48" s="35">
        <v>26</v>
      </c>
      <c r="P48" s="35">
        <v>7</v>
      </c>
      <c r="Q48" s="35">
        <v>33</v>
      </c>
      <c r="R48" s="35">
        <v>7</v>
      </c>
      <c r="S48" s="35">
        <v>39</v>
      </c>
      <c r="T48" s="35">
        <v>6</v>
      </c>
      <c r="U48" s="35">
        <v>45</v>
      </c>
      <c r="V48" s="35">
        <v>6</v>
      </c>
      <c r="W48" s="35">
        <v>50</v>
      </c>
      <c r="X48" s="35">
        <v>5</v>
      </c>
      <c r="Y48" s="35">
        <v>53</v>
      </c>
      <c r="Z48" s="35">
        <v>3</v>
      </c>
      <c r="AA48" s="35">
        <v>56</v>
      </c>
      <c r="AB48" s="35">
        <v>3</v>
      </c>
      <c r="AC48" s="35">
        <v>5</v>
      </c>
      <c r="AD48" s="35">
        <v>0</v>
      </c>
      <c r="AE48" s="35">
        <v>0</v>
      </c>
      <c r="AG48" s="35">
        <v>3</v>
      </c>
      <c r="AH48" s="35">
        <v>0</v>
      </c>
      <c r="AI48" s="35">
        <v>8</v>
      </c>
    </row>
    <row r="49" spans="1:35" ht="15.75" customHeight="1" x14ac:dyDescent="0.35">
      <c r="A49" s="35">
        <v>48</v>
      </c>
      <c r="B49" s="35" t="s">
        <v>90</v>
      </c>
      <c r="C49" s="35" t="s">
        <v>73</v>
      </c>
      <c r="D49" s="35">
        <v>16</v>
      </c>
      <c r="E49" s="35">
        <v>1692</v>
      </c>
      <c r="F49" s="35">
        <v>9</v>
      </c>
      <c r="G49" s="35">
        <v>1701</v>
      </c>
      <c r="H49" s="35">
        <v>14</v>
      </c>
      <c r="I49" s="35">
        <v>1715</v>
      </c>
      <c r="J49" s="35">
        <v>5</v>
      </c>
      <c r="K49" s="35">
        <v>1720</v>
      </c>
      <c r="L49" s="35">
        <v>5</v>
      </c>
      <c r="M49" s="35">
        <v>1725</v>
      </c>
      <c r="N49" s="35">
        <v>5</v>
      </c>
      <c r="O49" s="35">
        <v>1730</v>
      </c>
      <c r="P49" s="35">
        <v>3</v>
      </c>
      <c r="Q49" s="35">
        <v>1733</v>
      </c>
      <c r="R49" s="35">
        <v>3</v>
      </c>
      <c r="S49" s="35">
        <v>1736</v>
      </c>
      <c r="T49" s="35">
        <v>3</v>
      </c>
      <c r="U49" s="35">
        <v>1744</v>
      </c>
      <c r="V49" s="35">
        <v>8</v>
      </c>
      <c r="W49" s="35">
        <v>1750</v>
      </c>
      <c r="X49" s="35">
        <v>6</v>
      </c>
      <c r="Y49" s="35">
        <v>1757</v>
      </c>
      <c r="Z49" s="35">
        <v>7</v>
      </c>
      <c r="AA49" s="35">
        <v>1763</v>
      </c>
      <c r="AB49" s="35">
        <v>6</v>
      </c>
      <c r="AC49" s="35">
        <v>6</v>
      </c>
      <c r="AD49" s="35">
        <v>10</v>
      </c>
      <c r="AE49" s="35">
        <v>0</v>
      </c>
      <c r="AG49" s="35">
        <v>3</v>
      </c>
      <c r="AH49" s="35">
        <v>0</v>
      </c>
      <c r="AI49" s="35">
        <v>19</v>
      </c>
    </row>
    <row r="50" spans="1:35" ht="15.75" customHeight="1" x14ac:dyDescent="0.35">
      <c r="A50" s="35">
        <v>49</v>
      </c>
      <c r="B50" s="35" t="s">
        <v>92</v>
      </c>
      <c r="C50" s="35" t="s">
        <v>73</v>
      </c>
      <c r="D50" s="35">
        <v>18</v>
      </c>
      <c r="E50" s="35">
        <v>263</v>
      </c>
      <c r="F50" s="35">
        <v>7</v>
      </c>
      <c r="G50" s="35">
        <v>270</v>
      </c>
      <c r="H50" s="35">
        <v>12</v>
      </c>
      <c r="I50" s="35">
        <v>282</v>
      </c>
      <c r="J50" s="35">
        <v>5</v>
      </c>
      <c r="K50" s="35">
        <v>287</v>
      </c>
      <c r="L50" s="35">
        <v>7</v>
      </c>
      <c r="M50" s="35">
        <v>294</v>
      </c>
      <c r="N50" s="35">
        <v>5</v>
      </c>
      <c r="O50" s="35">
        <v>299</v>
      </c>
      <c r="P50" s="35">
        <v>4</v>
      </c>
      <c r="Q50" s="35">
        <v>303</v>
      </c>
      <c r="R50" s="35">
        <v>4</v>
      </c>
      <c r="S50" s="35">
        <v>308</v>
      </c>
      <c r="T50" s="35">
        <v>5</v>
      </c>
      <c r="U50" s="35">
        <v>309</v>
      </c>
      <c r="V50" s="35">
        <v>1</v>
      </c>
      <c r="W50" s="35">
        <v>313</v>
      </c>
      <c r="X50" s="35">
        <v>4</v>
      </c>
      <c r="Y50" s="35">
        <v>318</v>
      </c>
      <c r="Z50" s="35">
        <v>5</v>
      </c>
      <c r="AA50" s="35">
        <v>326</v>
      </c>
      <c r="AB50" s="35">
        <v>8</v>
      </c>
      <c r="AC50" s="35">
        <v>8</v>
      </c>
      <c r="AD50" s="35">
        <v>0</v>
      </c>
      <c r="AE50" s="35">
        <v>0</v>
      </c>
      <c r="AG50" s="35">
        <v>3</v>
      </c>
      <c r="AH50" s="35">
        <v>0</v>
      </c>
      <c r="AI50" s="35">
        <v>11</v>
      </c>
    </row>
    <row r="51" spans="1:35" ht="15.75" customHeight="1" x14ac:dyDescent="0.35">
      <c r="A51" s="35">
        <v>50</v>
      </c>
      <c r="B51" s="35" t="s">
        <v>93</v>
      </c>
      <c r="C51" s="35" t="s">
        <v>73</v>
      </c>
      <c r="D51" s="35">
        <v>19</v>
      </c>
      <c r="E51" s="35">
        <v>3207</v>
      </c>
      <c r="F51" s="35">
        <v>21</v>
      </c>
      <c r="G51" s="35">
        <v>3228</v>
      </c>
      <c r="H51" s="35">
        <v>22</v>
      </c>
      <c r="I51" s="35">
        <v>3250</v>
      </c>
      <c r="J51" s="35">
        <v>18</v>
      </c>
      <c r="K51" s="35">
        <v>3268</v>
      </c>
      <c r="L51" s="35">
        <v>20</v>
      </c>
      <c r="M51" s="35">
        <v>3288</v>
      </c>
      <c r="N51" s="35">
        <v>20</v>
      </c>
      <c r="O51" s="35">
        <v>3308</v>
      </c>
      <c r="P51" s="35">
        <v>19</v>
      </c>
      <c r="Q51" s="35">
        <v>3327</v>
      </c>
      <c r="R51" s="35">
        <v>19</v>
      </c>
      <c r="S51" s="35">
        <v>3347</v>
      </c>
      <c r="T51" s="35">
        <v>20</v>
      </c>
      <c r="U51" s="35">
        <v>3363</v>
      </c>
      <c r="V51" s="35">
        <v>16</v>
      </c>
      <c r="W51" s="35">
        <v>3380</v>
      </c>
      <c r="X51" s="35">
        <v>17</v>
      </c>
      <c r="Y51" s="35">
        <v>3402</v>
      </c>
      <c r="Z51" s="35">
        <v>22</v>
      </c>
      <c r="AA51" s="35">
        <v>3425</v>
      </c>
      <c r="AB51" s="35">
        <v>23</v>
      </c>
      <c r="AC51" s="35">
        <v>23</v>
      </c>
      <c r="AD51" s="35">
        <v>0</v>
      </c>
      <c r="AE51" s="35">
        <v>0</v>
      </c>
      <c r="AG51" s="35">
        <v>3</v>
      </c>
      <c r="AH51" s="35">
        <v>0</v>
      </c>
      <c r="AI51" s="35">
        <v>26</v>
      </c>
    </row>
    <row r="52" spans="1:35" ht="15.75" customHeight="1" x14ac:dyDescent="0.35">
      <c r="A52" s="35">
        <v>51</v>
      </c>
      <c r="B52" s="35" t="s">
        <v>94</v>
      </c>
      <c r="C52" s="35" t="s">
        <v>73</v>
      </c>
      <c r="D52" s="35">
        <v>20</v>
      </c>
      <c r="E52" s="35">
        <v>2433</v>
      </c>
      <c r="F52" s="35">
        <v>20</v>
      </c>
      <c r="G52" s="35">
        <v>2453</v>
      </c>
      <c r="H52" s="35">
        <v>20</v>
      </c>
      <c r="I52" s="35">
        <v>2473</v>
      </c>
      <c r="J52" s="35">
        <v>21</v>
      </c>
      <c r="K52" s="35">
        <v>2494</v>
      </c>
      <c r="L52" s="35">
        <v>16</v>
      </c>
      <c r="M52" s="35">
        <v>2510</v>
      </c>
      <c r="N52" s="35">
        <v>18</v>
      </c>
      <c r="O52" s="35">
        <v>2528</v>
      </c>
      <c r="P52" s="35">
        <v>22</v>
      </c>
      <c r="Q52" s="35">
        <v>2550</v>
      </c>
      <c r="R52" s="35">
        <v>22</v>
      </c>
      <c r="S52" s="35">
        <v>2560</v>
      </c>
      <c r="T52" s="35">
        <v>10</v>
      </c>
      <c r="U52" s="35">
        <v>2570</v>
      </c>
      <c r="V52" s="35">
        <v>10</v>
      </c>
      <c r="W52" s="35">
        <v>2582</v>
      </c>
      <c r="X52" s="35">
        <v>12</v>
      </c>
      <c r="Y52" s="35">
        <v>2594</v>
      </c>
      <c r="Z52" s="35">
        <v>12</v>
      </c>
      <c r="AA52" s="35">
        <v>2608</v>
      </c>
      <c r="AB52" s="35">
        <v>14</v>
      </c>
      <c r="AC52" s="35">
        <v>14</v>
      </c>
      <c r="AD52" s="35">
        <v>0</v>
      </c>
      <c r="AE52" s="35">
        <v>0</v>
      </c>
      <c r="AG52" s="35">
        <v>3</v>
      </c>
      <c r="AH52" s="35">
        <v>20</v>
      </c>
      <c r="AI52" s="35">
        <v>37</v>
      </c>
    </row>
    <row r="53" spans="1:35" ht="15.75" customHeight="1" x14ac:dyDescent="0.35">
      <c r="A53" s="35">
        <v>53</v>
      </c>
      <c r="B53" s="35" t="s">
        <v>98</v>
      </c>
      <c r="C53" s="35" t="s">
        <v>73</v>
      </c>
      <c r="D53" s="35">
        <v>22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6</v>
      </c>
      <c r="O53" s="35">
        <v>6</v>
      </c>
      <c r="P53" s="35">
        <v>2</v>
      </c>
      <c r="Q53" s="35">
        <v>8</v>
      </c>
      <c r="R53" s="35">
        <v>2</v>
      </c>
      <c r="S53" s="35">
        <v>10</v>
      </c>
      <c r="T53" s="35">
        <v>2</v>
      </c>
      <c r="U53" s="35">
        <v>12</v>
      </c>
      <c r="V53" s="35">
        <v>2</v>
      </c>
      <c r="W53" s="35">
        <v>13</v>
      </c>
      <c r="X53" s="35">
        <v>1</v>
      </c>
      <c r="Y53" s="35">
        <v>18</v>
      </c>
      <c r="Z53" s="35">
        <v>5</v>
      </c>
      <c r="AA53" s="35">
        <v>25</v>
      </c>
      <c r="AB53" s="35">
        <v>7</v>
      </c>
      <c r="AC53" s="35">
        <v>7</v>
      </c>
      <c r="AD53" s="35">
        <v>0</v>
      </c>
      <c r="AE53" s="35">
        <v>0</v>
      </c>
      <c r="AG53" s="35">
        <v>3</v>
      </c>
      <c r="AH53" s="35">
        <v>20</v>
      </c>
      <c r="AI53" s="35">
        <v>30</v>
      </c>
    </row>
    <row r="54" spans="1:35" ht="15.75" customHeight="1" x14ac:dyDescent="0.35">
      <c r="A54" s="35">
        <v>54</v>
      </c>
      <c r="B54" s="35" t="s">
        <v>99</v>
      </c>
      <c r="C54" s="35" t="s">
        <v>73</v>
      </c>
      <c r="D54" s="35">
        <v>23</v>
      </c>
      <c r="E54" s="35">
        <v>4089</v>
      </c>
      <c r="F54" s="35">
        <v>20</v>
      </c>
      <c r="G54" s="35">
        <v>4109</v>
      </c>
      <c r="H54" s="35">
        <v>27</v>
      </c>
      <c r="I54" s="35">
        <v>4136</v>
      </c>
      <c r="J54" s="35">
        <v>25</v>
      </c>
      <c r="K54" s="35">
        <v>4161</v>
      </c>
      <c r="L54" s="35">
        <v>24</v>
      </c>
      <c r="M54" s="35">
        <v>4185</v>
      </c>
      <c r="N54" s="35">
        <v>25</v>
      </c>
      <c r="O54" s="35">
        <v>4210</v>
      </c>
      <c r="P54" s="35">
        <v>21</v>
      </c>
      <c r="Q54" s="35">
        <v>4231</v>
      </c>
      <c r="R54" s="35">
        <v>21</v>
      </c>
      <c r="S54" s="35">
        <v>4241</v>
      </c>
      <c r="T54" s="35">
        <v>10</v>
      </c>
      <c r="U54" s="35">
        <v>4249</v>
      </c>
      <c r="V54" s="35">
        <v>8</v>
      </c>
      <c r="W54" s="35">
        <v>4259</v>
      </c>
      <c r="X54" s="35">
        <v>10</v>
      </c>
      <c r="Y54" s="35">
        <v>4273</v>
      </c>
      <c r="Z54" s="35">
        <v>14</v>
      </c>
      <c r="AA54" s="35">
        <v>4288</v>
      </c>
      <c r="AB54" s="35">
        <v>15</v>
      </c>
      <c r="AC54" s="35">
        <v>15</v>
      </c>
      <c r="AD54" s="35">
        <v>0</v>
      </c>
      <c r="AE54" s="35">
        <v>0</v>
      </c>
      <c r="AG54" s="35">
        <v>3</v>
      </c>
      <c r="AH54" s="35">
        <v>20</v>
      </c>
      <c r="AI54" s="35">
        <v>38</v>
      </c>
    </row>
    <row r="55" spans="1:35" ht="15.75" customHeight="1" x14ac:dyDescent="0.35">
      <c r="A55" s="35">
        <v>55</v>
      </c>
      <c r="B55" s="35" t="s">
        <v>100</v>
      </c>
      <c r="C55" s="35" t="s">
        <v>73</v>
      </c>
      <c r="D55" s="35">
        <v>24</v>
      </c>
      <c r="E55" s="35">
        <v>490</v>
      </c>
      <c r="F55" s="35">
        <v>2</v>
      </c>
      <c r="G55" s="35">
        <v>492</v>
      </c>
      <c r="H55" s="35">
        <v>2</v>
      </c>
      <c r="I55" s="35">
        <v>494</v>
      </c>
      <c r="J55" s="35">
        <v>2</v>
      </c>
      <c r="K55" s="35">
        <v>496</v>
      </c>
      <c r="L55" s="35">
        <v>2</v>
      </c>
      <c r="M55" s="35">
        <v>498</v>
      </c>
      <c r="N55" s="35">
        <v>2</v>
      </c>
      <c r="O55" s="35">
        <v>500</v>
      </c>
      <c r="P55" s="35">
        <v>3</v>
      </c>
      <c r="Q55" s="35">
        <v>503</v>
      </c>
      <c r="R55" s="35">
        <v>3</v>
      </c>
      <c r="S55" s="35">
        <v>505</v>
      </c>
      <c r="T55" s="35">
        <v>2</v>
      </c>
      <c r="U55" s="35">
        <v>507</v>
      </c>
      <c r="V55" s="35">
        <v>2</v>
      </c>
      <c r="W55" s="35">
        <v>508</v>
      </c>
      <c r="X55" s="35">
        <v>1</v>
      </c>
      <c r="Y55" s="35">
        <v>510</v>
      </c>
      <c r="Z55" s="35">
        <v>2</v>
      </c>
      <c r="AA55" s="35">
        <v>514</v>
      </c>
      <c r="AB55" s="35">
        <v>4</v>
      </c>
      <c r="AC55" s="35">
        <v>5</v>
      </c>
      <c r="AD55" s="35">
        <v>0</v>
      </c>
      <c r="AE55" s="35">
        <v>0</v>
      </c>
      <c r="AG55" s="35">
        <v>3</v>
      </c>
      <c r="AH55" s="35">
        <v>20</v>
      </c>
      <c r="AI55" s="35">
        <v>28</v>
      </c>
    </row>
    <row r="56" spans="1:35" ht="15.75" customHeight="1" x14ac:dyDescent="0.35">
      <c r="A56" s="35">
        <v>56</v>
      </c>
      <c r="B56" s="35" t="s">
        <v>101</v>
      </c>
      <c r="C56" s="35" t="s">
        <v>73</v>
      </c>
      <c r="D56" s="35">
        <v>25</v>
      </c>
      <c r="E56" s="35">
        <v>3686</v>
      </c>
      <c r="F56" s="35">
        <v>11</v>
      </c>
      <c r="G56" s="35">
        <v>3697</v>
      </c>
      <c r="H56" s="35">
        <v>12</v>
      </c>
      <c r="I56" s="35">
        <v>3709</v>
      </c>
      <c r="J56" s="35">
        <v>12</v>
      </c>
      <c r="K56" s="35">
        <v>3721</v>
      </c>
      <c r="L56" s="35">
        <v>9</v>
      </c>
      <c r="M56" s="35">
        <v>3730</v>
      </c>
      <c r="N56" s="35">
        <v>10</v>
      </c>
      <c r="O56" s="35">
        <v>3740</v>
      </c>
      <c r="P56" s="35">
        <v>10</v>
      </c>
      <c r="Q56" s="35">
        <v>3750</v>
      </c>
      <c r="R56" s="35">
        <v>10</v>
      </c>
      <c r="S56" s="35">
        <v>3758</v>
      </c>
      <c r="T56" s="35">
        <v>8</v>
      </c>
      <c r="U56" s="35">
        <v>3767</v>
      </c>
      <c r="V56" s="35">
        <v>9</v>
      </c>
      <c r="W56" s="35">
        <v>3775</v>
      </c>
      <c r="X56" s="35">
        <v>8</v>
      </c>
      <c r="Y56" s="35">
        <v>3784</v>
      </c>
      <c r="Z56" s="35">
        <v>9</v>
      </c>
      <c r="AA56" s="35">
        <v>3798</v>
      </c>
      <c r="AB56" s="35">
        <v>14</v>
      </c>
      <c r="AC56" s="35">
        <v>14</v>
      </c>
      <c r="AD56" s="35">
        <v>0</v>
      </c>
      <c r="AE56" s="35">
        <v>0</v>
      </c>
      <c r="AG56" s="35">
        <v>3</v>
      </c>
      <c r="AH56" s="35">
        <v>0</v>
      </c>
      <c r="AI56" s="35">
        <v>17</v>
      </c>
    </row>
    <row r="57" spans="1:35" ht="15.75" customHeight="1" x14ac:dyDescent="0.35">
      <c r="A57" s="35">
        <v>57</v>
      </c>
      <c r="B57" s="35" t="s">
        <v>102</v>
      </c>
      <c r="C57" s="35" t="s">
        <v>73</v>
      </c>
      <c r="D57" s="35">
        <v>26</v>
      </c>
      <c r="E57" s="35">
        <v>1495</v>
      </c>
      <c r="F57" s="35">
        <v>0</v>
      </c>
      <c r="G57" s="35">
        <v>1495</v>
      </c>
      <c r="H57" s="35">
        <v>1</v>
      </c>
      <c r="I57" s="35">
        <v>1496</v>
      </c>
      <c r="J57" s="35">
        <v>0</v>
      </c>
      <c r="K57" s="35">
        <v>1496</v>
      </c>
      <c r="L57" s="35">
        <v>0</v>
      </c>
      <c r="M57" s="35">
        <v>1496</v>
      </c>
      <c r="N57" s="35">
        <v>0</v>
      </c>
      <c r="O57" s="35">
        <v>1496</v>
      </c>
      <c r="P57" s="35">
        <v>0</v>
      </c>
      <c r="Q57" s="35">
        <v>1496</v>
      </c>
      <c r="R57" s="35">
        <v>0</v>
      </c>
      <c r="S57" s="35">
        <v>1496</v>
      </c>
      <c r="T57" s="35">
        <v>0</v>
      </c>
      <c r="U57" s="35">
        <v>1497</v>
      </c>
      <c r="V57" s="35">
        <v>1</v>
      </c>
      <c r="W57" s="35">
        <v>1497</v>
      </c>
      <c r="X57" s="35">
        <v>0</v>
      </c>
      <c r="Y57" s="35">
        <v>1497</v>
      </c>
      <c r="Z57" s="35">
        <v>0</v>
      </c>
      <c r="AA57" s="35">
        <v>1498</v>
      </c>
      <c r="AB57" s="35">
        <v>1</v>
      </c>
      <c r="AC57" s="35">
        <v>5</v>
      </c>
      <c r="AD57" s="35">
        <v>0</v>
      </c>
      <c r="AE57" s="35">
        <v>0</v>
      </c>
      <c r="AG57" s="35">
        <v>3</v>
      </c>
      <c r="AH57" s="35">
        <v>0</v>
      </c>
      <c r="AI57" s="35">
        <v>8</v>
      </c>
    </row>
    <row r="58" spans="1:35" ht="15.75" customHeight="1" x14ac:dyDescent="0.35">
      <c r="A58" s="35">
        <v>58</v>
      </c>
      <c r="B58" s="35" t="s">
        <v>103</v>
      </c>
      <c r="C58" s="35" t="s">
        <v>73</v>
      </c>
      <c r="D58" s="35">
        <v>27</v>
      </c>
      <c r="E58" s="35">
        <v>26</v>
      </c>
      <c r="F58" s="35">
        <v>3</v>
      </c>
      <c r="G58" s="35">
        <v>29</v>
      </c>
      <c r="H58" s="35">
        <v>5</v>
      </c>
      <c r="I58" s="35">
        <v>34</v>
      </c>
      <c r="J58" s="35">
        <v>5</v>
      </c>
      <c r="K58" s="35">
        <v>39</v>
      </c>
      <c r="L58" s="35">
        <v>5</v>
      </c>
      <c r="M58" s="35">
        <v>44</v>
      </c>
      <c r="N58" s="35">
        <v>4</v>
      </c>
      <c r="O58" s="35">
        <v>48</v>
      </c>
      <c r="P58" s="35">
        <v>3</v>
      </c>
      <c r="Q58" s="35">
        <v>51</v>
      </c>
      <c r="R58" s="35">
        <v>3</v>
      </c>
      <c r="S58" s="35">
        <v>55</v>
      </c>
      <c r="T58" s="35">
        <v>4</v>
      </c>
      <c r="U58" s="35">
        <v>59</v>
      </c>
      <c r="V58" s="35">
        <v>4</v>
      </c>
      <c r="W58" s="35">
        <v>65</v>
      </c>
      <c r="X58" s="35">
        <v>6</v>
      </c>
      <c r="Y58" s="35">
        <v>73</v>
      </c>
      <c r="Z58" s="35">
        <v>8</v>
      </c>
      <c r="AA58" s="35">
        <v>79</v>
      </c>
      <c r="AB58" s="35">
        <v>6</v>
      </c>
      <c r="AC58" s="35">
        <v>6</v>
      </c>
      <c r="AD58" s="35">
        <v>0</v>
      </c>
      <c r="AE58" s="35">
        <v>0</v>
      </c>
      <c r="AG58" s="35">
        <v>3</v>
      </c>
      <c r="AH58" s="35">
        <v>20</v>
      </c>
      <c r="AI58" s="35">
        <v>29</v>
      </c>
    </row>
    <row r="59" spans="1:35" ht="15.75" customHeight="1" x14ac:dyDescent="0.35">
      <c r="A59" s="35">
        <v>59</v>
      </c>
      <c r="B59" s="35" t="s">
        <v>104</v>
      </c>
      <c r="C59" s="35" t="s">
        <v>73</v>
      </c>
      <c r="D59" s="35">
        <v>28</v>
      </c>
      <c r="E59" s="35">
        <v>5284</v>
      </c>
      <c r="F59" s="35">
        <v>27</v>
      </c>
      <c r="G59" s="35">
        <v>5311</v>
      </c>
      <c r="H59" s="35">
        <v>33</v>
      </c>
      <c r="I59" s="35">
        <v>5344</v>
      </c>
      <c r="J59" s="35">
        <v>18</v>
      </c>
      <c r="K59" s="35">
        <v>5362</v>
      </c>
      <c r="L59" s="35">
        <v>27</v>
      </c>
      <c r="M59" s="35">
        <v>5389</v>
      </c>
      <c r="N59" s="35">
        <v>12</v>
      </c>
      <c r="O59" s="35">
        <v>5401</v>
      </c>
      <c r="P59" s="35">
        <v>13</v>
      </c>
      <c r="Q59" s="35">
        <v>5414</v>
      </c>
      <c r="R59" s="35">
        <v>13</v>
      </c>
      <c r="S59" s="35">
        <v>5419</v>
      </c>
      <c r="T59" s="35">
        <v>5</v>
      </c>
      <c r="U59" s="35">
        <v>5436</v>
      </c>
      <c r="V59" s="35">
        <v>17</v>
      </c>
      <c r="W59" s="35">
        <v>5450</v>
      </c>
      <c r="X59" s="35">
        <v>14</v>
      </c>
      <c r="Y59" s="35">
        <v>5457</v>
      </c>
      <c r="Z59" s="35">
        <v>7</v>
      </c>
      <c r="AA59" s="35">
        <v>5471</v>
      </c>
      <c r="AB59" s="35">
        <v>14</v>
      </c>
      <c r="AC59" s="35">
        <v>14</v>
      </c>
      <c r="AD59" s="35">
        <v>0</v>
      </c>
      <c r="AE59" s="35">
        <v>0</v>
      </c>
      <c r="AG59" s="35">
        <v>3</v>
      </c>
      <c r="AH59" s="35">
        <v>0</v>
      </c>
      <c r="AI59" s="35">
        <v>17</v>
      </c>
    </row>
    <row r="60" spans="1:35" ht="15.75" customHeight="1" x14ac:dyDescent="0.35">
      <c r="A60" s="35">
        <v>60</v>
      </c>
      <c r="B60" s="35" t="s">
        <v>105</v>
      </c>
      <c r="C60" s="35" t="s">
        <v>73</v>
      </c>
      <c r="D60" s="35">
        <v>30</v>
      </c>
      <c r="E60" s="35">
        <v>3083</v>
      </c>
      <c r="F60" s="35">
        <v>20</v>
      </c>
      <c r="G60" s="35">
        <v>3103</v>
      </c>
      <c r="H60" s="35">
        <v>23</v>
      </c>
      <c r="I60" s="35">
        <v>3126</v>
      </c>
      <c r="J60" s="35">
        <v>23</v>
      </c>
      <c r="K60" s="35">
        <v>3149</v>
      </c>
      <c r="L60" s="35">
        <v>18</v>
      </c>
      <c r="M60" s="35">
        <v>3167</v>
      </c>
      <c r="N60" s="35">
        <v>19</v>
      </c>
      <c r="O60" s="35">
        <v>3186</v>
      </c>
      <c r="P60" s="35">
        <v>19</v>
      </c>
      <c r="Q60" s="35">
        <v>3205</v>
      </c>
      <c r="R60" s="35">
        <v>19</v>
      </c>
      <c r="S60" s="35">
        <v>3218</v>
      </c>
      <c r="T60" s="35">
        <v>13</v>
      </c>
      <c r="U60" s="35">
        <v>3239</v>
      </c>
      <c r="V60" s="35">
        <v>21</v>
      </c>
      <c r="W60" s="35">
        <v>3252</v>
      </c>
      <c r="X60" s="35">
        <v>13</v>
      </c>
      <c r="Y60" s="35">
        <v>3271</v>
      </c>
      <c r="Z60" s="35">
        <v>19</v>
      </c>
      <c r="AA60" s="35">
        <v>3289</v>
      </c>
      <c r="AB60" s="35">
        <v>18</v>
      </c>
      <c r="AC60" s="35">
        <v>18</v>
      </c>
      <c r="AD60" s="35">
        <v>0</v>
      </c>
      <c r="AE60" s="35">
        <v>0</v>
      </c>
      <c r="AG60" s="35">
        <v>3</v>
      </c>
      <c r="AH60" s="35">
        <v>0</v>
      </c>
      <c r="AI60" s="35">
        <v>21</v>
      </c>
    </row>
    <row r="61" spans="1:35" ht="15.75" customHeight="1" x14ac:dyDescent="0.35">
      <c r="A61" s="35">
        <v>61</v>
      </c>
      <c r="B61" s="35" t="s">
        <v>106</v>
      </c>
      <c r="C61" s="35" t="s">
        <v>73</v>
      </c>
      <c r="D61" s="35">
        <v>31</v>
      </c>
      <c r="E61" s="35">
        <v>413</v>
      </c>
      <c r="F61" s="35">
        <v>25</v>
      </c>
      <c r="G61" s="35">
        <v>438</v>
      </c>
      <c r="H61" s="35">
        <v>10</v>
      </c>
      <c r="I61" s="35">
        <v>448</v>
      </c>
      <c r="J61" s="35">
        <v>12</v>
      </c>
      <c r="K61" s="35">
        <v>460</v>
      </c>
      <c r="L61" s="35">
        <v>13</v>
      </c>
      <c r="M61" s="35">
        <v>473</v>
      </c>
      <c r="N61" s="35">
        <v>12</v>
      </c>
      <c r="O61" s="35">
        <v>485</v>
      </c>
      <c r="P61" s="35">
        <v>9</v>
      </c>
      <c r="Q61" s="35">
        <v>494</v>
      </c>
      <c r="R61" s="35">
        <v>9</v>
      </c>
      <c r="S61" s="35">
        <v>500</v>
      </c>
      <c r="T61" s="35">
        <v>6</v>
      </c>
      <c r="U61" s="35">
        <v>505</v>
      </c>
      <c r="V61" s="35">
        <v>5</v>
      </c>
      <c r="W61" s="35">
        <v>513</v>
      </c>
      <c r="X61" s="35">
        <v>8</v>
      </c>
      <c r="Y61" s="35">
        <v>523</v>
      </c>
      <c r="Z61" s="35">
        <v>10</v>
      </c>
      <c r="AA61" s="35">
        <v>534</v>
      </c>
      <c r="AB61" s="35">
        <v>11</v>
      </c>
      <c r="AC61" s="35">
        <v>11</v>
      </c>
      <c r="AD61" s="35">
        <v>0</v>
      </c>
      <c r="AE61" s="35">
        <v>0</v>
      </c>
      <c r="AG61" s="35">
        <v>3</v>
      </c>
      <c r="AH61" s="35">
        <v>0</v>
      </c>
      <c r="AI61" s="35">
        <v>14</v>
      </c>
    </row>
    <row r="62" spans="1:35" ht="15.75" customHeight="1" x14ac:dyDescent="0.35">
      <c r="A62" s="35">
        <v>62</v>
      </c>
      <c r="B62" s="35" t="s">
        <v>107</v>
      </c>
      <c r="C62" s="35" t="s">
        <v>73</v>
      </c>
      <c r="D62" s="35">
        <v>32</v>
      </c>
      <c r="E62" s="35">
        <v>1570</v>
      </c>
      <c r="F62" s="35">
        <v>4</v>
      </c>
      <c r="G62" s="35">
        <v>1574</v>
      </c>
      <c r="H62" s="35">
        <v>5</v>
      </c>
      <c r="I62" s="35">
        <v>1579</v>
      </c>
      <c r="J62" s="35">
        <v>4</v>
      </c>
      <c r="K62" s="35">
        <v>1583</v>
      </c>
      <c r="L62" s="35">
        <v>5</v>
      </c>
      <c r="M62" s="35">
        <v>1588</v>
      </c>
      <c r="N62" s="35">
        <v>3</v>
      </c>
      <c r="O62" s="35">
        <v>1591</v>
      </c>
      <c r="P62" s="35">
        <v>5</v>
      </c>
      <c r="Q62" s="35">
        <v>1596</v>
      </c>
      <c r="R62" s="35">
        <v>5</v>
      </c>
      <c r="S62" s="35">
        <v>1601</v>
      </c>
      <c r="T62" s="35">
        <v>5</v>
      </c>
      <c r="U62" s="35">
        <v>1606</v>
      </c>
      <c r="V62" s="35">
        <v>5</v>
      </c>
      <c r="W62" s="35">
        <v>1609</v>
      </c>
      <c r="X62" s="35">
        <v>3</v>
      </c>
      <c r="Y62" s="35">
        <v>1613</v>
      </c>
      <c r="Z62" s="35">
        <v>4</v>
      </c>
      <c r="AA62" s="35">
        <v>1616</v>
      </c>
      <c r="AB62" s="35">
        <v>3</v>
      </c>
      <c r="AC62" s="35">
        <v>5</v>
      </c>
      <c r="AD62" s="35">
        <v>0</v>
      </c>
      <c r="AE62" s="35">
        <v>0</v>
      </c>
      <c r="AG62" s="35">
        <v>3</v>
      </c>
      <c r="AH62" s="35">
        <v>0</v>
      </c>
      <c r="AI62" s="35">
        <v>8</v>
      </c>
    </row>
    <row r="63" spans="1:35" ht="15.75" customHeight="1" x14ac:dyDescent="0.35">
      <c r="A63" s="35">
        <v>63</v>
      </c>
      <c r="B63" s="35" t="s">
        <v>638</v>
      </c>
      <c r="C63" s="35" t="s">
        <v>73</v>
      </c>
      <c r="D63" s="35">
        <v>33</v>
      </c>
      <c r="E63" s="35">
        <v>1005</v>
      </c>
      <c r="F63" s="35">
        <v>30</v>
      </c>
      <c r="G63" s="35">
        <v>1035</v>
      </c>
      <c r="H63" s="35">
        <v>-1016</v>
      </c>
      <c r="I63" s="35">
        <v>19</v>
      </c>
      <c r="J63" s="35">
        <v>13</v>
      </c>
      <c r="K63" s="35">
        <v>32</v>
      </c>
      <c r="L63" s="35">
        <v>15</v>
      </c>
      <c r="M63" s="35">
        <v>47</v>
      </c>
      <c r="N63" s="35">
        <v>13</v>
      </c>
      <c r="O63" s="35">
        <v>60</v>
      </c>
      <c r="P63" s="35">
        <v>18</v>
      </c>
      <c r="Q63" s="35">
        <v>78</v>
      </c>
      <c r="R63" s="35">
        <v>18</v>
      </c>
      <c r="S63" s="35">
        <v>88</v>
      </c>
      <c r="T63" s="35">
        <v>10</v>
      </c>
      <c r="U63" s="35">
        <v>104</v>
      </c>
      <c r="V63" s="35">
        <v>16</v>
      </c>
      <c r="W63" s="35">
        <v>122</v>
      </c>
      <c r="X63" s="35">
        <v>18</v>
      </c>
      <c r="Y63" s="35">
        <v>128</v>
      </c>
      <c r="Z63" s="35">
        <v>6</v>
      </c>
      <c r="AA63" s="35">
        <v>143</v>
      </c>
      <c r="AB63" s="35">
        <v>15</v>
      </c>
      <c r="AC63" s="35">
        <v>15</v>
      </c>
      <c r="AD63" s="35">
        <v>0</v>
      </c>
      <c r="AE63" s="35">
        <v>0</v>
      </c>
      <c r="AG63" s="35">
        <v>3</v>
      </c>
      <c r="AH63" s="35">
        <v>20</v>
      </c>
      <c r="AI63" s="35">
        <v>38</v>
      </c>
    </row>
    <row r="64" spans="1:35" ht="15.75" customHeight="1" x14ac:dyDescent="0.35">
      <c r="A64" s="35">
        <v>64</v>
      </c>
      <c r="B64" s="35" t="s">
        <v>109</v>
      </c>
      <c r="C64" s="35" t="s">
        <v>73</v>
      </c>
      <c r="D64" s="35">
        <v>34</v>
      </c>
      <c r="E64" s="35">
        <v>616</v>
      </c>
      <c r="F64" s="35">
        <v>4</v>
      </c>
      <c r="G64" s="35">
        <v>620</v>
      </c>
      <c r="H64" s="35">
        <v>6</v>
      </c>
      <c r="I64" s="35">
        <v>626</v>
      </c>
      <c r="J64" s="35">
        <v>3</v>
      </c>
      <c r="K64" s="35">
        <v>629</v>
      </c>
      <c r="L64" s="35">
        <v>3</v>
      </c>
      <c r="M64" s="35">
        <v>632</v>
      </c>
      <c r="N64" s="35">
        <v>0</v>
      </c>
      <c r="O64" s="35">
        <v>632</v>
      </c>
      <c r="P64" s="35">
        <v>0</v>
      </c>
      <c r="Q64" s="35">
        <v>632</v>
      </c>
      <c r="R64" s="35">
        <v>0</v>
      </c>
      <c r="S64" s="35">
        <v>632</v>
      </c>
      <c r="T64" s="35">
        <v>0</v>
      </c>
      <c r="U64" s="35">
        <v>632</v>
      </c>
      <c r="V64" s="35">
        <v>0</v>
      </c>
      <c r="W64" s="35">
        <v>632</v>
      </c>
      <c r="X64" s="35">
        <v>0</v>
      </c>
      <c r="Y64" s="35">
        <v>632</v>
      </c>
      <c r="Z64" s="35">
        <v>0</v>
      </c>
      <c r="AA64" s="35">
        <v>632</v>
      </c>
      <c r="AB64" s="35">
        <v>0</v>
      </c>
      <c r="AC64" s="35">
        <v>5</v>
      </c>
      <c r="AD64" s="35">
        <v>0</v>
      </c>
      <c r="AE64" s="35">
        <v>0</v>
      </c>
      <c r="AG64" s="35">
        <v>3</v>
      </c>
      <c r="AH64" s="35">
        <v>0</v>
      </c>
      <c r="AI64" s="35">
        <v>8</v>
      </c>
    </row>
    <row r="65" spans="1:35" ht="15.75" customHeight="1" x14ac:dyDescent="0.35">
      <c r="A65" s="35">
        <v>65</v>
      </c>
      <c r="B65" s="35" t="s">
        <v>110</v>
      </c>
      <c r="C65" s="35" t="s">
        <v>73</v>
      </c>
      <c r="D65" s="35">
        <v>35</v>
      </c>
      <c r="E65" s="35">
        <v>328</v>
      </c>
      <c r="F65" s="35">
        <v>11</v>
      </c>
      <c r="G65" s="35">
        <v>339</v>
      </c>
      <c r="H65" s="35">
        <v>11</v>
      </c>
      <c r="I65" s="35">
        <v>350</v>
      </c>
      <c r="J65" s="35">
        <v>10</v>
      </c>
      <c r="K65" s="35">
        <v>360</v>
      </c>
      <c r="L65" s="35">
        <v>10</v>
      </c>
      <c r="M65" s="35">
        <v>370</v>
      </c>
      <c r="N65" s="35">
        <v>12</v>
      </c>
      <c r="O65" s="35">
        <v>382</v>
      </c>
      <c r="P65" s="35">
        <v>12</v>
      </c>
      <c r="Q65" s="35">
        <v>394</v>
      </c>
      <c r="R65" s="35">
        <v>12</v>
      </c>
      <c r="S65" s="35">
        <v>404</v>
      </c>
      <c r="T65" s="35">
        <v>10</v>
      </c>
      <c r="U65" s="35">
        <v>413</v>
      </c>
      <c r="V65" s="35">
        <v>9</v>
      </c>
      <c r="W65" s="35">
        <v>425</v>
      </c>
      <c r="X65" s="35">
        <v>12</v>
      </c>
      <c r="Y65" s="35">
        <v>435</v>
      </c>
      <c r="Z65" s="35">
        <v>10</v>
      </c>
      <c r="AA65" s="35">
        <v>445</v>
      </c>
      <c r="AB65" s="35">
        <v>10</v>
      </c>
      <c r="AC65" s="35">
        <v>10</v>
      </c>
      <c r="AD65" s="35">
        <v>28</v>
      </c>
      <c r="AE65" s="35">
        <v>0</v>
      </c>
      <c r="AF65" s="35">
        <v>100</v>
      </c>
      <c r="AG65" s="35">
        <v>3</v>
      </c>
      <c r="AH65" s="35">
        <v>20</v>
      </c>
      <c r="AI65" s="35">
        <v>161</v>
      </c>
    </row>
    <row r="66" spans="1:35" ht="15.75" customHeight="1" x14ac:dyDescent="0.35">
      <c r="A66" s="35">
        <v>66</v>
      </c>
      <c r="B66" s="35" t="s">
        <v>112</v>
      </c>
      <c r="C66" s="35" t="s">
        <v>73</v>
      </c>
      <c r="D66" s="35">
        <v>36</v>
      </c>
      <c r="E66" s="35">
        <v>158</v>
      </c>
      <c r="F66" s="35">
        <v>9</v>
      </c>
      <c r="G66" s="35">
        <v>167</v>
      </c>
      <c r="H66" s="35">
        <v>8</v>
      </c>
      <c r="I66" s="35">
        <v>175</v>
      </c>
      <c r="J66" s="35">
        <v>5</v>
      </c>
      <c r="K66" s="35">
        <v>180</v>
      </c>
      <c r="L66" s="35">
        <v>5</v>
      </c>
      <c r="M66" s="35">
        <v>185</v>
      </c>
      <c r="N66" s="35">
        <v>3</v>
      </c>
      <c r="O66" s="35">
        <v>188</v>
      </c>
      <c r="P66" s="35">
        <v>5</v>
      </c>
      <c r="Q66" s="35">
        <v>193</v>
      </c>
      <c r="R66" s="35">
        <v>5</v>
      </c>
      <c r="S66" s="35">
        <v>196</v>
      </c>
      <c r="T66" s="35">
        <v>3</v>
      </c>
      <c r="U66" s="35">
        <v>199</v>
      </c>
      <c r="V66" s="35">
        <v>3</v>
      </c>
      <c r="W66" s="35">
        <v>201</v>
      </c>
      <c r="X66" s="35">
        <v>2</v>
      </c>
      <c r="Y66" s="35">
        <v>204</v>
      </c>
      <c r="Z66" s="35">
        <v>3</v>
      </c>
      <c r="AA66" s="35">
        <v>208</v>
      </c>
      <c r="AB66" s="35">
        <v>4</v>
      </c>
      <c r="AC66" s="35">
        <v>5</v>
      </c>
      <c r="AD66" s="35">
        <v>0</v>
      </c>
      <c r="AE66" s="35">
        <v>0</v>
      </c>
      <c r="AG66" s="35">
        <v>3</v>
      </c>
      <c r="AH66" s="35">
        <v>0</v>
      </c>
      <c r="AI66" s="35">
        <v>8</v>
      </c>
    </row>
    <row r="67" spans="1:35" ht="15.75" customHeight="1" x14ac:dyDescent="0.35">
      <c r="A67" s="35">
        <v>67</v>
      </c>
      <c r="B67" s="35" t="s">
        <v>113</v>
      </c>
      <c r="C67" s="35" t="s">
        <v>73</v>
      </c>
      <c r="D67" s="35">
        <v>37</v>
      </c>
      <c r="E67" s="35">
        <v>93</v>
      </c>
      <c r="F67" s="35">
        <v>7</v>
      </c>
      <c r="G67" s="35">
        <v>100</v>
      </c>
      <c r="H67" s="35">
        <v>9</v>
      </c>
      <c r="I67" s="35">
        <v>109</v>
      </c>
      <c r="J67" s="35">
        <v>8</v>
      </c>
      <c r="K67" s="35">
        <v>117</v>
      </c>
      <c r="L67" s="35">
        <v>9</v>
      </c>
      <c r="M67" s="35">
        <v>126</v>
      </c>
      <c r="N67" s="35">
        <v>8</v>
      </c>
      <c r="O67" s="35">
        <v>134</v>
      </c>
      <c r="P67" s="35">
        <v>6</v>
      </c>
      <c r="Q67" s="35">
        <v>140</v>
      </c>
      <c r="R67" s="35">
        <v>6</v>
      </c>
      <c r="S67" s="35">
        <v>146</v>
      </c>
      <c r="T67" s="35">
        <v>6</v>
      </c>
      <c r="U67" s="35">
        <v>152</v>
      </c>
      <c r="V67" s="35">
        <v>6</v>
      </c>
      <c r="W67" s="35">
        <v>157</v>
      </c>
      <c r="X67" s="35">
        <v>5</v>
      </c>
      <c r="Y67" s="35">
        <v>163</v>
      </c>
      <c r="Z67" s="35">
        <v>6</v>
      </c>
      <c r="AA67" s="35">
        <v>169</v>
      </c>
      <c r="AB67" s="35">
        <v>6</v>
      </c>
      <c r="AC67" s="35">
        <v>6</v>
      </c>
      <c r="AD67" s="35">
        <v>0</v>
      </c>
      <c r="AE67" s="35">
        <v>0</v>
      </c>
      <c r="AG67" s="35">
        <v>3</v>
      </c>
      <c r="AH67" s="35">
        <v>20</v>
      </c>
      <c r="AI67" s="35">
        <v>29</v>
      </c>
    </row>
    <row r="68" spans="1:35" ht="15.75" customHeight="1" x14ac:dyDescent="0.35">
      <c r="A68" s="35">
        <v>68</v>
      </c>
      <c r="B68" s="35" t="s">
        <v>114</v>
      </c>
      <c r="C68" s="35" t="s">
        <v>73</v>
      </c>
      <c r="D68" s="35">
        <v>42</v>
      </c>
      <c r="F68" s="35">
        <v>0</v>
      </c>
      <c r="H68" s="35">
        <v>4</v>
      </c>
      <c r="I68" s="35">
        <v>4</v>
      </c>
      <c r="J68" s="35">
        <v>8</v>
      </c>
      <c r="K68" s="35">
        <v>12</v>
      </c>
      <c r="L68" s="35">
        <v>9</v>
      </c>
      <c r="M68" s="35">
        <v>21</v>
      </c>
      <c r="N68" s="35">
        <v>6</v>
      </c>
      <c r="O68" s="35">
        <v>27</v>
      </c>
      <c r="P68" s="35">
        <v>21</v>
      </c>
      <c r="Q68" s="35">
        <v>48</v>
      </c>
      <c r="R68" s="35">
        <v>21</v>
      </c>
      <c r="S68" s="35">
        <v>62</v>
      </c>
      <c r="T68" s="35">
        <v>14</v>
      </c>
      <c r="U68" s="35">
        <v>73</v>
      </c>
      <c r="V68" s="35">
        <v>11</v>
      </c>
      <c r="W68" s="35">
        <v>85</v>
      </c>
      <c r="X68" s="35">
        <v>12</v>
      </c>
      <c r="Y68" s="35">
        <v>97</v>
      </c>
      <c r="Z68" s="35">
        <v>12</v>
      </c>
      <c r="AA68" s="35">
        <v>112</v>
      </c>
      <c r="AB68" s="35">
        <v>15</v>
      </c>
      <c r="AC68" s="35">
        <v>15</v>
      </c>
      <c r="AD68" s="35">
        <v>0</v>
      </c>
      <c r="AE68" s="35">
        <v>0</v>
      </c>
      <c r="AF68" s="35">
        <v>100</v>
      </c>
      <c r="AG68" s="35">
        <v>3</v>
      </c>
      <c r="AH68" s="35">
        <v>20</v>
      </c>
      <c r="AI68" s="35">
        <v>138</v>
      </c>
    </row>
    <row r="69" spans="1:35" ht="15.75" customHeight="1" x14ac:dyDescent="0.35">
      <c r="A69" s="35">
        <v>69</v>
      </c>
      <c r="B69" s="35" t="s">
        <v>115</v>
      </c>
      <c r="C69" s="35" t="s">
        <v>73</v>
      </c>
      <c r="D69" s="35">
        <v>45</v>
      </c>
      <c r="W69" s="35">
        <v>0</v>
      </c>
      <c r="X69" s="35">
        <v>0</v>
      </c>
      <c r="Y69" s="35">
        <v>0</v>
      </c>
      <c r="Z69" s="35">
        <v>0</v>
      </c>
      <c r="AA69" s="35">
        <v>0</v>
      </c>
      <c r="AB69" s="35">
        <v>0</v>
      </c>
      <c r="AC69" s="35">
        <v>5</v>
      </c>
      <c r="AD69" s="35">
        <v>8</v>
      </c>
      <c r="AE69" s="35">
        <v>0</v>
      </c>
      <c r="AF69" s="35">
        <v>100</v>
      </c>
      <c r="AG69" s="35">
        <v>3</v>
      </c>
      <c r="AH69" s="35">
        <v>0</v>
      </c>
      <c r="AI69" s="35">
        <v>116</v>
      </c>
    </row>
    <row r="70" spans="1:35" ht="15.75" customHeight="1" x14ac:dyDescent="0.35">
      <c r="A70" s="35">
        <v>70</v>
      </c>
      <c r="B70" s="35" t="s">
        <v>116</v>
      </c>
      <c r="C70" s="35" t="s">
        <v>117</v>
      </c>
      <c r="D70" s="35">
        <v>1</v>
      </c>
      <c r="E70" s="35">
        <v>1625</v>
      </c>
      <c r="F70" s="35">
        <v>7</v>
      </c>
      <c r="G70" s="35">
        <v>1632</v>
      </c>
      <c r="H70" s="35">
        <v>7</v>
      </c>
      <c r="I70" s="35">
        <v>1639</v>
      </c>
      <c r="J70" s="35">
        <v>7</v>
      </c>
      <c r="K70" s="35">
        <v>1646</v>
      </c>
      <c r="L70" s="35">
        <v>7</v>
      </c>
      <c r="M70" s="35">
        <v>1653</v>
      </c>
      <c r="N70" s="35">
        <v>6</v>
      </c>
      <c r="O70" s="35">
        <v>1659</v>
      </c>
      <c r="P70" s="35">
        <v>6</v>
      </c>
      <c r="Q70" s="35">
        <v>1665</v>
      </c>
      <c r="R70" s="35">
        <v>6</v>
      </c>
      <c r="S70" s="35">
        <v>1669</v>
      </c>
      <c r="T70" s="35">
        <v>4</v>
      </c>
      <c r="U70" s="35">
        <v>1675</v>
      </c>
      <c r="V70" s="35">
        <v>6</v>
      </c>
      <c r="W70" s="35">
        <v>1680</v>
      </c>
      <c r="X70" s="35">
        <v>5</v>
      </c>
      <c r="Y70" s="35">
        <v>1685</v>
      </c>
      <c r="Z70" s="35">
        <v>5</v>
      </c>
      <c r="AA70" s="35">
        <v>1693</v>
      </c>
      <c r="AB70" s="35">
        <v>8</v>
      </c>
      <c r="AC70" s="35">
        <v>8</v>
      </c>
      <c r="AD70" s="35">
        <v>0</v>
      </c>
      <c r="AE70" s="35">
        <v>0</v>
      </c>
      <c r="AG70" s="35">
        <v>3</v>
      </c>
      <c r="AH70" s="35">
        <v>0</v>
      </c>
      <c r="AI70" s="35">
        <v>11</v>
      </c>
    </row>
    <row r="71" spans="1:35" ht="15.75" customHeight="1" x14ac:dyDescent="0.35">
      <c r="A71" s="35">
        <v>71</v>
      </c>
      <c r="B71" s="35" t="s">
        <v>118</v>
      </c>
      <c r="C71" s="35" t="s">
        <v>117</v>
      </c>
      <c r="D71" s="35">
        <v>2</v>
      </c>
      <c r="E71" s="35">
        <v>1772</v>
      </c>
      <c r="F71" s="35">
        <v>17</v>
      </c>
      <c r="G71" s="35">
        <v>1789</v>
      </c>
      <c r="H71" s="35">
        <v>18</v>
      </c>
      <c r="I71" s="35">
        <v>1807</v>
      </c>
      <c r="J71" s="35">
        <v>17</v>
      </c>
      <c r="K71" s="35">
        <v>1824</v>
      </c>
      <c r="L71" s="35">
        <v>17</v>
      </c>
      <c r="M71" s="35">
        <v>1841</v>
      </c>
      <c r="N71" s="35">
        <v>12</v>
      </c>
      <c r="O71" s="35">
        <v>1853</v>
      </c>
      <c r="P71" s="35">
        <v>7</v>
      </c>
      <c r="Q71" s="35">
        <v>1860</v>
      </c>
      <c r="R71" s="35">
        <v>7</v>
      </c>
      <c r="S71" s="35">
        <v>1864</v>
      </c>
      <c r="T71" s="35">
        <v>4</v>
      </c>
      <c r="U71" s="35">
        <v>1868</v>
      </c>
      <c r="V71" s="35">
        <v>4</v>
      </c>
      <c r="W71" s="35">
        <v>1872</v>
      </c>
      <c r="X71" s="35">
        <v>4</v>
      </c>
      <c r="Y71" s="35">
        <v>1883</v>
      </c>
      <c r="Z71" s="35">
        <v>11</v>
      </c>
      <c r="AA71" s="35">
        <v>1918</v>
      </c>
      <c r="AB71" s="35">
        <v>35</v>
      </c>
      <c r="AC71" s="35">
        <v>35</v>
      </c>
      <c r="AD71" s="35">
        <v>0</v>
      </c>
      <c r="AE71" s="35">
        <v>0</v>
      </c>
      <c r="AG71" s="35">
        <v>3</v>
      </c>
      <c r="AH71" s="35">
        <v>20</v>
      </c>
      <c r="AI71" s="35">
        <v>58</v>
      </c>
    </row>
    <row r="72" spans="1:35" ht="15.75" customHeight="1" x14ac:dyDescent="0.35">
      <c r="A72" s="35">
        <v>72</v>
      </c>
      <c r="B72" s="35" t="s">
        <v>119</v>
      </c>
      <c r="C72" s="35" t="s">
        <v>117</v>
      </c>
      <c r="D72" s="35">
        <v>3</v>
      </c>
      <c r="E72" s="35">
        <v>1087</v>
      </c>
      <c r="F72" s="35">
        <v>34</v>
      </c>
      <c r="G72" s="35">
        <v>1121</v>
      </c>
      <c r="H72" s="35">
        <v>7</v>
      </c>
      <c r="I72" s="35">
        <v>1128</v>
      </c>
      <c r="J72" s="35">
        <v>7</v>
      </c>
      <c r="K72" s="35">
        <v>1135</v>
      </c>
      <c r="L72" s="35">
        <v>9</v>
      </c>
      <c r="M72" s="35">
        <v>1144</v>
      </c>
      <c r="N72" s="35">
        <v>9</v>
      </c>
      <c r="O72" s="35">
        <v>1153</v>
      </c>
      <c r="P72" s="35">
        <v>10</v>
      </c>
      <c r="Q72" s="35">
        <v>1163</v>
      </c>
      <c r="R72" s="35">
        <v>10</v>
      </c>
      <c r="S72" s="35">
        <v>1171</v>
      </c>
      <c r="T72" s="35">
        <v>8</v>
      </c>
      <c r="U72" s="35">
        <v>1183</v>
      </c>
      <c r="V72" s="35">
        <v>12</v>
      </c>
      <c r="W72" s="35">
        <v>1192</v>
      </c>
      <c r="X72" s="35">
        <v>9</v>
      </c>
      <c r="Y72" s="35">
        <v>1201</v>
      </c>
      <c r="Z72" s="35">
        <v>9</v>
      </c>
      <c r="AA72" s="35">
        <v>1210</v>
      </c>
      <c r="AB72" s="35">
        <v>9</v>
      </c>
      <c r="AC72" s="35">
        <v>9</v>
      </c>
      <c r="AD72" s="35">
        <v>0</v>
      </c>
      <c r="AE72" s="35">
        <v>0</v>
      </c>
      <c r="AG72" s="35">
        <v>3</v>
      </c>
      <c r="AH72" s="35">
        <v>0</v>
      </c>
      <c r="AI72" s="35">
        <v>12</v>
      </c>
    </row>
    <row r="73" spans="1:35" ht="15.75" customHeight="1" x14ac:dyDescent="0.35">
      <c r="A73" s="35">
        <v>73</v>
      </c>
      <c r="B73" s="35" t="s">
        <v>120</v>
      </c>
      <c r="C73" s="35" t="s">
        <v>117</v>
      </c>
      <c r="D73" s="35">
        <v>4</v>
      </c>
      <c r="E73" s="35">
        <v>168</v>
      </c>
      <c r="F73" s="35">
        <v>10</v>
      </c>
      <c r="G73" s="35">
        <v>178</v>
      </c>
      <c r="H73" s="35">
        <v>-10</v>
      </c>
      <c r="I73" s="35">
        <v>168</v>
      </c>
      <c r="J73" s="35">
        <v>0</v>
      </c>
      <c r="K73" s="35">
        <v>0</v>
      </c>
      <c r="L73" s="35">
        <v>16</v>
      </c>
      <c r="M73" s="35">
        <v>16</v>
      </c>
      <c r="N73" s="35">
        <v>12</v>
      </c>
      <c r="O73" s="35">
        <v>28</v>
      </c>
      <c r="P73" s="35">
        <v>20</v>
      </c>
      <c r="Q73" s="35">
        <v>48</v>
      </c>
      <c r="R73" s="35">
        <v>20</v>
      </c>
      <c r="S73" s="35">
        <v>63</v>
      </c>
      <c r="T73" s="35">
        <v>15</v>
      </c>
      <c r="U73" s="35">
        <v>74</v>
      </c>
      <c r="V73" s="35">
        <v>11</v>
      </c>
      <c r="W73" s="35">
        <v>86</v>
      </c>
      <c r="X73" s="35">
        <v>12</v>
      </c>
      <c r="Y73" s="35">
        <v>97</v>
      </c>
      <c r="Z73" s="35">
        <v>11</v>
      </c>
      <c r="AA73" s="35">
        <v>113</v>
      </c>
      <c r="AB73" s="35">
        <v>16</v>
      </c>
      <c r="AC73" s="35">
        <v>16</v>
      </c>
      <c r="AD73" s="35">
        <v>0</v>
      </c>
      <c r="AE73" s="35">
        <v>0</v>
      </c>
      <c r="AG73" s="35">
        <v>3</v>
      </c>
      <c r="AH73" s="35">
        <v>20</v>
      </c>
      <c r="AI73" s="35">
        <v>39</v>
      </c>
    </row>
    <row r="74" spans="1:35" ht="15.75" customHeight="1" x14ac:dyDescent="0.35">
      <c r="A74" s="35">
        <v>74</v>
      </c>
      <c r="B74" s="35" t="s">
        <v>121</v>
      </c>
      <c r="C74" s="35" t="s">
        <v>117</v>
      </c>
      <c r="D74" s="35">
        <v>5</v>
      </c>
      <c r="E74" s="35">
        <v>225</v>
      </c>
      <c r="F74" s="35">
        <v>14</v>
      </c>
      <c r="G74" s="35">
        <v>239</v>
      </c>
      <c r="H74" s="35">
        <v>35</v>
      </c>
      <c r="I74" s="35">
        <v>274</v>
      </c>
      <c r="J74" s="35">
        <v>14</v>
      </c>
      <c r="K74" s="35">
        <v>288</v>
      </c>
      <c r="L74" s="35">
        <v>13</v>
      </c>
      <c r="M74" s="35">
        <v>301</v>
      </c>
      <c r="N74" s="35">
        <v>7</v>
      </c>
      <c r="O74" s="35">
        <v>308</v>
      </c>
      <c r="P74" s="35">
        <v>8</v>
      </c>
      <c r="Q74" s="35">
        <v>316</v>
      </c>
      <c r="R74" s="35">
        <v>8</v>
      </c>
      <c r="S74" s="35">
        <v>324</v>
      </c>
      <c r="T74" s="35">
        <v>8</v>
      </c>
      <c r="U74" s="35">
        <v>333</v>
      </c>
      <c r="V74" s="35">
        <v>9</v>
      </c>
      <c r="W74" s="35">
        <v>344</v>
      </c>
      <c r="X74" s="35">
        <v>11</v>
      </c>
      <c r="Y74" s="35">
        <v>352</v>
      </c>
      <c r="Z74" s="35">
        <v>8</v>
      </c>
      <c r="AA74" s="35">
        <v>367</v>
      </c>
      <c r="AB74" s="35">
        <v>15</v>
      </c>
      <c r="AC74" s="35">
        <v>15</v>
      </c>
      <c r="AD74" s="35">
        <v>0</v>
      </c>
      <c r="AE74" s="35">
        <v>0</v>
      </c>
      <c r="AG74" s="35">
        <v>3</v>
      </c>
      <c r="AH74" s="35">
        <v>0</v>
      </c>
      <c r="AI74" s="35">
        <v>18</v>
      </c>
    </row>
    <row r="75" spans="1:35" ht="15.75" customHeight="1" x14ac:dyDescent="0.35">
      <c r="A75" s="35">
        <v>75</v>
      </c>
      <c r="B75" s="35" t="s">
        <v>122</v>
      </c>
      <c r="C75" s="35" t="s">
        <v>117</v>
      </c>
      <c r="D75" s="35">
        <v>6</v>
      </c>
      <c r="E75" s="35">
        <v>7638</v>
      </c>
      <c r="F75" s="35">
        <v>20</v>
      </c>
      <c r="G75" s="35">
        <v>7658</v>
      </c>
      <c r="H75" s="35">
        <v>26</v>
      </c>
      <c r="I75" s="35">
        <v>7684</v>
      </c>
      <c r="J75" s="35">
        <v>19</v>
      </c>
      <c r="K75" s="35">
        <v>7703</v>
      </c>
      <c r="L75" s="35">
        <v>27</v>
      </c>
      <c r="M75" s="35">
        <v>7730</v>
      </c>
      <c r="N75" s="35">
        <v>16</v>
      </c>
      <c r="O75" s="35">
        <v>7746</v>
      </c>
      <c r="P75" s="35">
        <v>15</v>
      </c>
      <c r="Q75" s="35">
        <v>7761</v>
      </c>
      <c r="R75" s="35">
        <v>15</v>
      </c>
      <c r="S75" s="35">
        <v>7775</v>
      </c>
      <c r="T75" s="35">
        <v>14</v>
      </c>
      <c r="U75" s="35">
        <v>7789</v>
      </c>
      <c r="V75" s="35">
        <v>14</v>
      </c>
      <c r="W75" s="35">
        <v>7803</v>
      </c>
      <c r="X75" s="35">
        <v>14</v>
      </c>
      <c r="Y75" s="35">
        <v>7822</v>
      </c>
      <c r="Z75" s="35">
        <v>19</v>
      </c>
      <c r="AA75" s="35">
        <v>7840</v>
      </c>
      <c r="AB75" s="35">
        <v>18</v>
      </c>
      <c r="AC75" s="35">
        <v>18</v>
      </c>
      <c r="AD75" s="35">
        <v>0</v>
      </c>
      <c r="AE75" s="35">
        <v>0</v>
      </c>
      <c r="AG75" s="35">
        <v>3</v>
      </c>
      <c r="AH75" s="35">
        <v>0</v>
      </c>
      <c r="AI75" s="35">
        <v>21</v>
      </c>
    </row>
    <row r="76" spans="1:35" ht="15.75" customHeight="1" x14ac:dyDescent="0.35">
      <c r="A76" s="35">
        <v>76</v>
      </c>
      <c r="B76" s="35" t="s">
        <v>123</v>
      </c>
      <c r="C76" s="35" t="s">
        <v>117</v>
      </c>
      <c r="D76" s="35">
        <v>7</v>
      </c>
      <c r="E76" s="35">
        <v>3878</v>
      </c>
      <c r="F76" s="35">
        <v>73</v>
      </c>
      <c r="G76" s="35">
        <v>3951</v>
      </c>
      <c r="H76" s="35">
        <v>74</v>
      </c>
      <c r="I76" s="35">
        <v>4025</v>
      </c>
      <c r="J76" s="35">
        <v>65</v>
      </c>
      <c r="K76" s="35">
        <v>4090</v>
      </c>
      <c r="L76" s="35">
        <v>71</v>
      </c>
      <c r="M76" s="35">
        <v>4161</v>
      </c>
      <c r="N76" s="35">
        <v>61</v>
      </c>
      <c r="O76" s="35">
        <v>4222</v>
      </c>
      <c r="P76" s="35">
        <v>58</v>
      </c>
      <c r="Q76" s="35">
        <v>4280</v>
      </c>
      <c r="R76" s="35">
        <v>58</v>
      </c>
      <c r="S76" s="35">
        <v>4331</v>
      </c>
      <c r="T76" s="35">
        <v>51</v>
      </c>
      <c r="U76" s="35">
        <v>4382</v>
      </c>
      <c r="V76" s="35">
        <v>51</v>
      </c>
      <c r="W76" s="35">
        <v>4445</v>
      </c>
      <c r="X76" s="35">
        <v>63</v>
      </c>
      <c r="Y76" s="35">
        <v>4507</v>
      </c>
      <c r="Z76" s="35">
        <v>62</v>
      </c>
      <c r="AA76" s="35">
        <v>4584</v>
      </c>
      <c r="AB76" s="35">
        <v>77</v>
      </c>
      <c r="AC76" s="35">
        <v>77</v>
      </c>
      <c r="AD76" s="35">
        <v>65</v>
      </c>
      <c r="AE76" s="35">
        <v>0</v>
      </c>
      <c r="AG76" s="35">
        <v>3</v>
      </c>
      <c r="AH76" s="35">
        <v>0</v>
      </c>
      <c r="AI76" s="35">
        <v>145</v>
      </c>
    </row>
    <row r="77" spans="1:35" ht="15.75" customHeight="1" x14ac:dyDescent="0.35">
      <c r="A77" s="35">
        <v>77</v>
      </c>
      <c r="B77" s="35" t="s">
        <v>124</v>
      </c>
      <c r="C77" s="35" t="s">
        <v>117</v>
      </c>
      <c r="D77" s="35">
        <v>8</v>
      </c>
      <c r="E77" s="35">
        <v>1622</v>
      </c>
      <c r="F77" s="35">
        <v>6</v>
      </c>
      <c r="G77" s="35">
        <v>1628</v>
      </c>
      <c r="H77" s="35">
        <v>6</v>
      </c>
      <c r="I77" s="35">
        <v>1634</v>
      </c>
      <c r="J77" s="35">
        <v>6</v>
      </c>
      <c r="K77" s="35">
        <v>1640</v>
      </c>
      <c r="L77" s="35">
        <v>6</v>
      </c>
      <c r="M77" s="35">
        <v>1646</v>
      </c>
      <c r="N77" s="35">
        <v>7</v>
      </c>
      <c r="O77" s="35">
        <v>1653</v>
      </c>
      <c r="P77" s="35">
        <v>5</v>
      </c>
      <c r="Q77" s="35">
        <v>1658</v>
      </c>
      <c r="R77" s="35">
        <v>5</v>
      </c>
      <c r="S77" s="35">
        <v>1667</v>
      </c>
      <c r="T77" s="35">
        <v>9</v>
      </c>
      <c r="U77" s="35">
        <v>1671</v>
      </c>
      <c r="V77" s="35">
        <v>4</v>
      </c>
      <c r="W77" s="35">
        <v>1676</v>
      </c>
      <c r="X77" s="35">
        <v>5</v>
      </c>
      <c r="Y77" s="35">
        <v>1681</v>
      </c>
      <c r="Z77" s="35">
        <v>5</v>
      </c>
      <c r="AA77" s="35">
        <v>1686</v>
      </c>
      <c r="AB77" s="35">
        <v>5</v>
      </c>
      <c r="AC77" s="35">
        <v>5</v>
      </c>
      <c r="AD77" s="35">
        <v>0</v>
      </c>
      <c r="AE77" s="35">
        <v>0</v>
      </c>
      <c r="AG77" s="35">
        <v>3</v>
      </c>
      <c r="AH77" s="35">
        <v>0</v>
      </c>
      <c r="AI77" s="35">
        <v>8</v>
      </c>
    </row>
    <row r="78" spans="1:35" ht="15.75" customHeight="1" x14ac:dyDescent="0.35">
      <c r="A78" s="35">
        <v>78</v>
      </c>
      <c r="B78" s="35" t="s">
        <v>126</v>
      </c>
      <c r="C78" s="35" t="s">
        <v>117</v>
      </c>
      <c r="D78" s="35">
        <v>9</v>
      </c>
      <c r="E78" s="35">
        <v>3754</v>
      </c>
      <c r="F78" s="35">
        <v>25</v>
      </c>
      <c r="G78" s="35">
        <v>3779</v>
      </c>
      <c r="H78" s="35">
        <v>21</v>
      </c>
      <c r="I78" s="35">
        <v>3800</v>
      </c>
      <c r="J78" s="35">
        <v>18</v>
      </c>
      <c r="K78" s="35">
        <v>3818</v>
      </c>
      <c r="L78" s="35">
        <v>17</v>
      </c>
      <c r="M78" s="35">
        <v>3835</v>
      </c>
      <c r="N78" s="35">
        <v>16</v>
      </c>
      <c r="O78" s="35">
        <v>3851</v>
      </c>
      <c r="P78" s="35">
        <v>21</v>
      </c>
      <c r="Q78" s="35">
        <v>3872</v>
      </c>
      <c r="R78" s="35">
        <v>21</v>
      </c>
      <c r="S78" s="35">
        <v>3893</v>
      </c>
      <c r="T78" s="35">
        <v>21</v>
      </c>
      <c r="U78" s="35">
        <v>3904</v>
      </c>
      <c r="V78" s="35">
        <v>11</v>
      </c>
      <c r="W78" s="35">
        <v>3915</v>
      </c>
      <c r="X78" s="35">
        <v>11</v>
      </c>
      <c r="Y78" s="35">
        <v>3929</v>
      </c>
      <c r="Z78" s="35">
        <v>14</v>
      </c>
      <c r="AA78" s="35">
        <v>3942</v>
      </c>
      <c r="AB78" s="35">
        <v>13</v>
      </c>
      <c r="AC78" s="35">
        <v>13</v>
      </c>
      <c r="AD78" s="35">
        <v>0</v>
      </c>
      <c r="AE78" s="35">
        <v>0</v>
      </c>
      <c r="AG78" s="35">
        <v>3</v>
      </c>
      <c r="AH78" s="35">
        <v>0</v>
      </c>
      <c r="AI78" s="35">
        <v>16</v>
      </c>
    </row>
    <row r="79" spans="1:35" ht="15.75" customHeight="1" x14ac:dyDescent="0.35">
      <c r="A79" s="35">
        <v>79</v>
      </c>
      <c r="B79" s="35" t="s">
        <v>128</v>
      </c>
      <c r="C79" s="35" t="s">
        <v>117</v>
      </c>
      <c r="D79" s="35">
        <v>10</v>
      </c>
      <c r="E79" s="35">
        <v>2569</v>
      </c>
      <c r="F79" s="35">
        <v>11</v>
      </c>
      <c r="G79" s="35">
        <v>2580</v>
      </c>
      <c r="H79" s="35">
        <v>12</v>
      </c>
      <c r="I79" s="35">
        <v>2592</v>
      </c>
      <c r="J79" s="35">
        <v>13</v>
      </c>
      <c r="K79" s="35">
        <v>2605</v>
      </c>
      <c r="L79" s="35">
        <v>14</v>
      </c>
      <c r="M79" s="35">
        <v>2619</v>
      </c>
      <c r="N79" s="35">
        <v>13</v>
      </c>
      <c r="O79" s="35">
        <v>2632</v>
      </c>
      <c r="P79" s="35">
        <v>11</v>
      </c>
      <c r="Q79" s="35">
        <v>2643</v>
      </c>
      <c r="R79" s="35">
        <v>11</v>
      </c>
      <c r="S79" s="35">
        <v>2655</v>
      </c>
      <c r="T79" s="35">
        <v>12</v>
      </c>
      <c r="U79" s="35">
        <v>2667</v>
      </c>
      <c r="V79" s="35">
        <v>12</v>
      </c>
      <c r="W79" s="35">
        <v>2677</v>
      </c>
      <c r="X79" s="35">
        <v>10</v>
      </c>
      <c r="Y79" s="35">
        <v>2687</v>
      </c>
      <c r="Z79" s="35">
        <v>10</v>
      </c>
      <c r="AA79" s="35">
        <v>2697</v>
      </c>
      <c r="AB79" s="35">
        <v>10</v>
      </c>
      <c r="AC79" s="35">
        <v>10</v>
      </c>
      <c r="AD79" s="35">
        <v>0</v>
      </c>
      <c r="AE79" s="35">
        <v>0</v>
      </c>
      <c r="AG79" s="35">
        <v>3</v>
      </c>
      <c r="AH79" s="35">
        <v>0</v>
      </c>
      <c r="AI79" s="35">
        <v>13</v>
      </c>
    </row>
    <row r="80" spans="1:35" ht="15.75" customHeight="1" x14ac:dyDescent="0.35">
      <c r="A80" s="35">
        <v>80</v>
      </c>
      <c r="B80" s="35" t="s">
        <v>639</v>
      </c>
      <c r="C80" s="35" t="s">
        <v>117</v>
      </c>
      <c r="D80" s="35">
        <v>11</v>
      </c>
      <c r="E80" s="35">
        <v>721</v>
      </c>
      <c r="F80" s="35">
        <v>14</v>
      </c>
      <c r="G80" s="35">
        <v>735</v>
      </c>
      <c r="H80" s="35">
        <v>16</v>
      </c>
      <c r="I80" s="35">
        <v>751</v>
      </c>
      <c r="J80" s="35">
        <v>14</v>
      </c>
      <c r="K80" s="35">
        <v>765</v>
      </c>
      <c r="L80" s="35">
        <v>13</v>
      </c>
      <c r="M80" s="35">
        <v>778</v>
      </c>
      <c r="N80" s="35">
        <v>12</v>
      </c>
      <c r="O80" s="35">
        <v>790</v>
      </c>
      <c r="P80" s="35">
        <v>12</v>
      </c>
      <c r="Q80" s="35">
        <v>802</v>
      </c>
      <c r="R80" s="35">
        <v>12</v>
      </c>
      <c r="S80" s="35">
        <v>812</v>
      </c>
      <c r="T80" s="35">
        <v>10</v>
      </c>
      <c r="U80" s="35">
        <v>823</v>
      </c>
      <c r="V80" s="35">
        <v>11</v>
      </c>
      <c r="W80" s="35">
        <v>834</v>
      </c>
      <c r="X80" s="35">
        <v>11</v>
      </c>
      <c r="Y80" s="35">
        <v>844</v>
      </c>
      <c r="Z80" s="35">
        <v>10</v>
      </c>
      <c r="AA80" s="35">
        <v>855</v>
      </c>
      <c r="AB80" s="35">
        <v>11</v>
      </c>
      <c r="AC80" s="35">
        <v>11</v>
      </c>
      <c r="AD80" s="35">
        <v>0</v>
      </c>
      <c r="AE80" s="35">
        <v>0</v>
      </c>
      <c r="AG80" s="35">
        <v>3</v>
      </c>
      <c r="AH80" s="35">
        <v>20</v>
      </c>
      <c r="AI80" s="35">
        <v>34</v>
      </c>
    </row>
    <row r="81" spans="1:35" ht="15.75" customHeight="1" x14ac:dyDescent="0.35">
      <c r="A81" s="35">
        <v>81</v>
      </c>
      <c r="B81" s="35" t="s">
        <v>130</v>
      </c>
      <c r="C81" s="35" t="s">
        <v>117</v>
      </c>
      <c r="D81" s="35">
        <v>12</v>
      </c>
      <c r="E81" s="35">
        <v>1033</v>
      </c>
      <c r="F81" s="35">
        <v>20</v>
      </c>
      <c r="G81" s="35">
        <v>1053</v>
      </c>
      <c r="H81" s="35">
        <v>-20</v>
      </c>
      <c r="I81" s="35">
        <v>1033</v>
      </c>
      <c r="J81" s="35">
        <v>0</v>
      </c>
      <c r="K81" s="35">
        <v>0</v>
      </c>
      <c r="L81" s="35">
        <v>36</v>
      </c>
      <c r="M81" s="35">
        <v>36</v>
      </c>
      <c r="N81" s="35">
        <v>28</v>
      </c>
      <c r="O81" s="35">
        <v>64</v>
      </c>
      <c r="P81" s="35">
        <v>29</v>
      </c>
      <c r="Q81" s="35">
        <v>93</v>
      </c>
      <c r="R81" s="35">
        <v>29</v>
      </c>
      <c r="S81" s="35">
        <v>116</v>
      </c>
      <c r="T81" s="35">
        <v>23</v>
      </c>
      <c r="U81" s="35">
        <v>133</v>
      </c>
      <c r="V81" s="35">
        <v>17</v>
      </c>
      <c r="W81" s="35">
        <v>153</v>
      </c>
      <c r="X81" s="35">
        <v>20</v>
      </c>
      <c r="Y81" s="35">
        <v>175</v>
      </c>
      <c r="Z81" s="35">
        <v>22</v>
      </c>
      <c r="AA81" s="35">
        <v>215</v>
      </c>
      <c r="AB81" s="35">
        <v>40</v>
      </c>
      <c r="AC81" s="35">
        <v>40</v>
      </c>
      <c r="AD81" s="35">
        <v>0</v>
      </c>
      <c r="AE81" s="35">
        <v>0</v>
      </c>
      <c r="AG81" s="35">
        <v>3</v>
      </c>
      <c r="AH81" s="35">
        <v>20</v>
      </c>
      <c r="AI81" s="35">
        <v>63</v>
      </c>
    </row>
    <row r="82" spans="1:35" ht="15.75" customHeight="1" x14ac:dyDescent="0.35">
      <c r="A82" s="35">
        <v>82</v>
      </c>
      <c r="B82" s="35" t="s">
        <v>131</v>
      </c>
      <c r="C82" s="35" t="s">
        <v>117</v>
      </c>
      <c r="D82" s="35">
        <v>13</v>
      </c>
      <c r="E82" s="35">
        <v>26</v>
      </c>
      <c r="F82" s="35">
        <v>29</v>
      </c>
      <c r="G82" s="35">
        <v>55</v>
      </c>
      <c r="H82" s="35">
        <v>23</v>
      </c>
      <c r="I82" s="35">
        <v>78</v>
      </c>
      <c r="J82" s="35">
        <v>21</v>
      </c>
      <c r="K82" s="35">
        <v>99</v>
      </c>
      <c r="L82" s="35">
        <v>17</v>
      </c>
      <c r="M82" s="35">
        <v>116</v>
      </c>
      <c r="N82" s="35">
        <v>16</v>
      </c>
      <c r="O82" s="35">
        <v>132</v>
      </c>
      <c r="P82" s="35">
        <v>15</v>
      </c>
      <c r="Q82" s="35">
        <v>147</v>
      </c>
      <c r="R82" s="35">
        <v>15</v>
      </c>
      <c r="S82" s="35">
        <v>162</v>
      </c>
      <c r="T82" s="35">
        <v>15</v>
      </c>
      <c r="U82" s="35">
        <v>176</v>
      </c>
      <c r="V82" s="35">
        <v>14</v>
      </c>
      <c r="W82" s="35">
        <v>191</v>
      </c>
      <c r="X82" s="35">
        <v>15</v>
      </c>
      <c r="Y82" s="35">
        <v>206</v>
      </c>
      <c r="Z82" s="35">
        <v>15</v>
      </c>
      <c r="AA82" s="35">
        <v>221</v>
      </c>
      <c r="AB82" s="35">
        <v>15</v>
      </c>
      <c r="AC82" s="35">
        <v>15</v>
      </c>
      <c r="AD82" s="35">
        <v>0</v>
      </c>
      <c r="AE82" s="35">
        <v>0</v>
      </c>
      <c r="AG82" s="35">
        <v>3</v>
      </c>
      <c r="AH82" s="35">
        <v>0</v>
      </c>
      <c r="AI82" s="35">
        <v>18</v>
      </c>
    </row>
    <row r="83" spans="1:35" ht="15.75" customHeight="1" x14ac:dyDescent="0.35">
      <c r="A83" s="35">
        <v>83</v>
      </c>
      <c r="B83" s="35" t="s">
        <v>132</v>
      </c>
      <c r="C83" s="35" t="s">
        <v>117</v>
      </c>
      <c r="D83" s="35">
        <v>16</v>
      </c>
      <c r="E83" s="35">
        <v>1499</v>
      </c>
      <c r="F83" s="35">
        <v>7</v>
      </c>
      <c r="G83" s="35">
        <v>1506</v>
      </c>
      <c r="H83" s="35">
        <v>5</v>
      </c>
      <c r="I83" s="35">
        <v>1511</v>
      </c>
      <c r="J83" s="35">
        <v>13</v>
      </c>
      <c r="K83" s="35">
        <v>1524</v>
      </c>
      <c r="L83" s="35">
        <v>14</v>
      </c>
      <c r="M83" s="35">
        <v>1538</v>
      </c>
      <c r="N83" s="35">
        <v>4</v>
      </c>
      <c r="O83" s="35">
        <v>1542</v>
      </c>
      <c r="P83" s="35">
        <v>4</v>
      </c>
      <c r="Q83" s="35">
        <v>1546</v>
      </c>
      <c r="R83" s="35">
        <v>4</v>
      </c>
      <c r="S83" s="35">
        <v>1551</v>
      </c>
      <c r="T83" s="35">
        <v>5</v>
      </c>
      <c r="U83" s="35">
        <v>1555</v>
      </c>
      <c r="V83" s="35">
        <v>4</v>
      </c>
      <c r="W83" s="35">
        <v>1559</v>
      </c>
      <c r="X83" s="35">
        <v>4</v>
      </c>
      <c r="Y83" s="35">
        <v>1562</v>
      </c>
      <c r="Z83" s="35">
        <v>3</v>
      </c>
      <c r="AA83" s="35">
        <v>1567</v>
      </c>
      <c r="AB83" s="35">
        <v>5</v>
      </c>
      <c r="AC83" s="35">
        <v>5</v>
      </c>
      <c r="AD83" s="35">
        <v>0</v>
      </c>
      <c r="AE83" s="35">
        <v>0</v>
      </c>
      <c r="AG83" s="35">
        <v>3</v>
      </c>
      <c r="AH83" s="35">
        <v>0</v>
      </c>
      <c r="AI83" s="35">
        <v>8</v>
      </c>
    </row>
    <row r="84" spans="1:35" ht="15.75" customHeight="1" x14ac:dyDescent="0.35">
      <c r="A84" s="35">
        <v>84</v>
      </c>
      <c r="B84" s="35" t="s">
        <v>133</v>
      </c>
      <c r="C84" s="35" t="s">
        <v>117</v>
      </c>
      <c r="D84" s="35">
        <v>17</v>
      </c>
      <c r="E84" s="35">
        <v>2613</v>
      </c>
      <c r="F84" s="35">
        <v>22</v>
      </c>
      <c r="G84" s="35">
        <v>2635</v>
      </c>
      <c r="H84" s="35">
        <v>22</v>
      </c>
      <c r="I84" s="35">
        <v>2657</v>
      </c>
      <c r="J84" s="35">
        <v>20</v>
      </c>
      <c r="K84" s="35">
        <v>2677</v>
      </c>
      <c r="L84" s="35">
        <v>18</v>
      </c>
      <c r="M84" s="35">
        <v>2695</v>
      </c>
      <c r="N84" s="35">
        <v>17</v>
      </c>
      <c r="O84" s="35">
        <v>2712</v>
      </c>
      <c r="P84" s="35">
        <v>15</v>
      </c>
      <c r="Q84" s="35">
        <v>2727</v>
      </c>
      <c r="R84" s="35">
        <v>15</v>
      </c>
      <c r="S84" s="35">
        <v>2740</v>
      </c>
      <c r="T84" s="35">
        <v>13</v>
      </c>
      <c r="U84" s="35">
        <v>2753</v>
      </c>
      <c r="V84" s="35">
        <v>13</v>
      </c>
      <c r="W84" s="35">
        <v>2765</v>
      </c>
      <c r="X84" s="35">
        <v>12</v>
      </c>
      <c r="Y84" s="35">
        <v>2779</v>
      </c>
      <c r="Z84" s="35">
        <v>14</v>
      </c>
      <c r="AA84" s="35">
        <v>2794</v>
      </c>
      <c r="AB84" s="35">
        <v>15</v>
      </c>
      <c r="AC84" s="35">
        <v>15</v>
      </c>
      <c r="AD84" s="35">
        <v>0</v>
      </c>
      <c r="AE84" s="35">
        <v>0</v>
      </c>
      <c r="AG84" s="35">
        <v>3</v>
      </c>
      <c r="AH84" s="35">
        <v>0</v>
      </c>
      <c r="AI84" s="35">
        <v>18</v>
      </c>
    </row>
    <row r="85" spans="1:35" ht="15.75" customHeight="1" x14ac:dyDescent="0.35">
      <c r="A85" s="35">
        <v>85</v>
      </c>
      <c r="B85" s="35" t="s">
        <v>134</v>
      </c>
      <c r="C85" s="35" t="s">
        <v>117</v>
      </c>
      <c r="D85" s="35">
        <v>18</v>
      </c>
      <c r="E85" s="35">
        <v>316</v>
      </c>
      <c r="F85" s="35">
        <v>27</v>
      </c>
      <c r="G85" s="35">
        <v>343</v>
      </c>
      <c r="H85" s="35">
        <v>29</v>
      </c>
      <c r="I85" s="35">
        <v>372</v>
      </c>
      <c r="J85" s="35">
        <v>17</v>
      </c>
      <c r="K85" s="35">
        <v>389</v>
      </c>
      <c r="L85" s="35">
        <v>17</v>
      </c>
      <c r="M85" s="35">
        <v>406</v>
      </c>
      <c r="N85" s="35">
        <v>17</v>
      </c>
      <c r="O85" s="35">
        <v>423</v>
      </c>
      <c r="P85" s="35">
        <v>23</v>
      </c>
      <c r="Q85" s="35">
        <v>446</v>
      </c>
      <c r="R85" s="35">
        <v>23</v>
      </c>
      <c r="S85" s="35">
        <v>462</v>
      </c>
      <c r="T85" s="35">
        <v>16</v>
      </c>
      <c r="U85" s="35">
        <v>485</v>
      </c>
      <c r="V85" s="35">
        <v>23</v>
      </c>
      <c r="W85" s="35">
        <v>506</v>
      </c>
      <c r="X85" s="35">
        <v>21</v>
      </c>
      <c r="Y85" s="35">
        <v>530</v>
      </c>
      <c r="Z85" s="35">
        <v>24</v>
      </c>
      <c r="AA85" s="35">
        <v>561</v>
      </c>
      <c r="AB85" s="35">
        <v>31</v>
      </c>
      <c r="AC85" s="35">
        <v>31</v>
      </c>
      <c r="AD85" s="35">
        <v>0</v>
      </c>
      <c r="AE85" s="35">
        <v>0</v>
      </c>
      <c r="AG85" s="35">
        <v>3</v>
      </c>
      <c r="AH85" s="35">
        <v>0</v>
      </c>
      <c r="AI85" s="35">
        <v>34</v>
      </c>
    </row>
    <row r="86" spans="1:35" ht="15.75" customHeight="1" x14ac:dyDescent="0.35">
      <c r="A86" s="35">
        <v>86</v>
      </c>
      <c r="B86" s="35" t="s">
        <v>135</v>
      </c>
      <c r="C86" s="35" t="s">
        <v>117</v>
      </c>
      <c r="D86" s="35">
        <v>19</v>
      </c>
      <c r="E86" s="35">
        <v>1651</v>
      </c>
      <c r="F86" s="35">
        <v>8</v>
      </c>
      <c r="G86" s="35">
        <v>1659</v>
      </c>
      <c r="H86" s="35">
        <v>14</v>
      </c>
      <c r="I86" s="35">
        <v>1673</v>
      </c>
      <c r="J86" s="35">
        <v>9</v>
      </c>
      <c r="K86" s="35">
        <v>1682</v>
      </c>
      <c r="L86" s="35">
        <v>7</v>
      </c>
      <c r="M86" s="35">
        <v>1689</v>
      </c>
      <c r="N86" s="35">
        <v>6</v>
      </c>
      <c r="O86" s="35">
        <v>1695</v>
      </c>
      <c r="P86" s="35">
        <v>3</v>
      </c>
      <c r="Q86" s="35">
        <v>1698</v>
      </c>
      <c r="R86" s="35">
        <v>3</v>
      </c>
      <c r="S86" s="35">
        <v>1702</v>
      </c>
      <c r="T86" s="35">
        <v>4</v>
      </c>
      <c r="U86" s="35">
        <v>1705</v>
      </c>
      <c r="V86" s="35">
        <v>3</v>
      </c>
      <c r="W86" s="35">
        <v>1706</v>
      </c>
      <c r="X86" s="35">
        <v>1</v>
      </c>
      <c r="Y86" s="35">
        <v>1711</v>
      </c>
      <c r="Z86" s="35">
        <v>5</v>
      </c>
      <c r="AA86" s="35">
        <v>1724</v>
      </c>
      <c r="AB86" s="35">
        <v>13</v>
      </c>
      <c r="AC86" s="35">
        <v>13</v>
      </c>
      <c r="AD86" s="35">
        <v>0</v>
      </c>
      <c r="AE86" s="35">
        <v>0</v>
      </c>
      <c r="AG86" s="35">
        <v>3</v>
      </c>
      <c r="AH86" s="35">
        <v>0</v>
      </c>
      <c r="AI86" s="35">
        <v>16</v>
      </c>
    </row>
    <row r="87" spans="1:35" ht="15.75" customHeight="1" x14ac:dyDescent="0.35">
      <c r="A87" s="35">
        <v>87</v>
      </c>
      <c r="B87" s="35" t="s">
        <v>136</v>
      </c>
      <c r="C87" s="35" t="s">
        <v>137</v>
      </c>
      <c r="D87" s="35">
        <v>1</v>
      </c>
      <c r="E87" s="35">
        <v>123</v>
      </c>
      <c r="F87" s="35">
        <v>8</v>
      </c>
      <c r="G87" s="35">
        <v>131</v>
      </c>
      <c r="H87" s="35">
        <v>8</v>
      </c>
      <c r="I87" s="35">
        <v>139</v>
      </c>
      <c r="J87" s="35">
        <v>8</v>
      </c>
      <c r="K87" s="35">
        <v>147</v>
      </c>
      <c r="L87" s="35">
        <v>9</v>
      </c>
      <c r="M87" s="35">
        <v>156</v>
      </c>
      <c r="N87" s="35">
        <v>9</v>
      </c>
      <c r="O87" s="35">
        <v>165</v>
      </c>
      <c r="P87" s="35">
        <v>6</v>
      </c>
      <c r="Q87" s="35">
        <v>171</v>
      </c>
      <c r="R87" s="35">
        <v>6</v>
      </c>
      <c r="S87" s="35">
        <v>177</v>
      </c>
      <c r="T87" s="35">
        <v>6</v>
      </c>
      <c r="U87" s="35">
        <v>185</v>
      </c>
      <c r="V87" s="35">
        <v>8</v>
      </c>
      <c r="W87" s="35">
        <v>192</v>
      </c>
      <c r="X87" s="35">
        <v>7</v>
      </c>
      <c r="Y87" s="35">
        <v>198</v>
      </c>
      <c r="Z87" s="35">
        <v>6</v>
      </c>
      <c r="AA87" s="35">
        <v>206</v>
      </c>
      <c r="AB87" s="35">
        <v>8</v>
      </c>
      <c r="AC87" s="35">
        <v>8</v>
      </c>
      <c r="AD87" s="35">
        <v>0</v>
      </c>
      <c r="AE87" s="35">
        <v>0</v>
      </c>
      <c r="AG87" s="35">
        <v>3</v>
      </c>
      <c r="AH87" s="35">
        <v>0</v>
      </c>
      <c r="AI87" s="35">
        <v>11</v>
      </c>
    </row>
    <row r="88" spans="1:35" ht="15.75" customHeight="1" x14ac:dyDescent="0.35">
      <c r="A88" s="35">
        <v>88</v>
      </c>
      <c r="B88" s="35" t="s">
        <v>138</v>
      </c>
      <c r="C88" s="35" t="s">
        <v>137</v>
      </c>
      <c r="D88" s="35">
        <v>2</v>
      </c>
      <c r="E88" s="35">
        <v>2908</v>
      </c>
      <c r="F88" s="35">
        <v>12</v>
      </c>
      <c r="G88" s="35">
        <v>2920</v>
      </c>
      <c r="H88" s="35">
        <v>11</v>
      </c>
      <c r="I88" s="35">
        <v>2931</v>
      </c>
      <c r="J88" s="35">
        <v>12</v>
      </c>
      <c r="K88" s="35">
        <v>2943</v>
      </c>
      <c r="L88" s="35">
        <v>9</v>
      </c>
      <c r="M88" s="35">
        <v>2952</v>
      </c>
      <c r="N88" s="35">
        <v>10</v>
      </c>
      <c r="O88" s="35">
        <v>2962</v>
      </c>
      <c r="P88" s="35">
        <v>8</v>
      </c>
      <c r="Q88" s="35">
        <v>2970</v>
      </c>
      <c r="R88" s="35">
        <v>8</v>
      </c>
      <c r="S88" s="35">
        <v>2988</v>
      </c>
      <c r="T88" s="35">
        <v>18</v>
      </c>
      <c r="U88" s="35">
        <v>2998</v>
      </c>
      <c r="V88" s="35">
        <v>10</v>
      </c>
      <c r="W88" s="35">
        <v>3015</v>
      </c>
      <c r="X88" s="35">
        <v>17</v>
      </c>
      <c r="Y88" s="35">
        <v>3026</v>
      </c>
      <c r="Z88" s="35">
        <v>11</v>
      </c>
      <c r="AA88" s="35">
        <v>3038</v>
      </c>
      <c r="AB88" s="35">
        <v>12</v>
      </c>
      <c r="AC88" s="35">
        <v>12</v>
      </c>
      <c r="AD88" s="35">
        <v>0</v>
      </c>
      <c r="AE88" s="35">
        <v>0</v>
      </c>
      <c r="AG88" s="35">
        <v>3</v>
      </c>
      <c r="AH88" s="35">
        <v>0</v>
      </c>
      <c r="AI88" s="35">
        <v>15</v>
      </c>
    </row>
    <row r="89" spans="1:35" ht="15.75" customHeight="1" x14ac:dyDescent="0.35">
      <c r="A89" s="35">
        <v>89</v>
      </c>
      <c r="B89" s="35" t="s">
        <v>139</v>
      </c>
      <c r="C89" s="35" t="s">
        <v>137</v>
      </c>
      <c r="D89" s="35">
        <v>3</v>
      </c>
      <c r="E89" s="35">
        <v>2023</v>
      </c>
      <c r="F89" s="35">
        <v>78</v>
      </c>
      <c r="G89" s="35">
        <v>2101</v>
      </c>
      <c r="H89" s="35">
        <v>66</v>
      </c>
      <c r="I89" s="35">
        <v>2167</v>
      </c>
      <c r="J89" s="35">
        <v>74</v>
      </c>
      <c r="K89" s="35">
        <v>2241</v>
      </c>
      <c r="L89" s="35">
        <v>73</v>
      </c>
      <c r="M89" s="35">
        <v>2314</v>
      </c>
      <c r="N89" s="35">
        <v>72</v>
      </c>
      <c r="O89" s="35">
        <v>2386</v>
      </c>
      <c r="P89" s="35">
        <v>73</v>
      </c>
      <c r="Q89" s="35">
        <v>2459</v>
      </c>
      <c r="R89" s="35">
        <v>73</v>
      </c>
      <c r="S89" s="35">
        <v>2527</v>
      </c>
      <c r="T89" s="35">
        <v>68</v>
      </c>
      <c r="U89" s="35">
        <v>2584</v>
      </c>
      <c r="V89" s="35">
        <v>57</v>
      </c>
      <c r="W89" s="35">
        <v>2601</v>
      </c>
      <c r="X89" s="35">
        <v>17</v>
      </c>
      <c r="Y89" s="35">
        <v>2609</v>
      </c>
      <c r="Z89" s="35">
        <v>8</v>
      </c>
      <c r="AA89" s="35">
        <v>2619</v>
      </c>
      <c r="AB89" s="35">
        <v>10</v>
      </c>
      <c r="AC89" s="35">
        <v>10</v>
      </c>
      <c r="AD89" s="35">
        <v>0</v>
      </c>
      <c r="AE89" s="35">
        <v>0</v>
      </c>
      <c r="AG89" s="35">
        <v>3</v>
      </c>
      <c r="AH89" s="35">
        <v>20</v>
      </c>
      <c r="AI89" s="35">
        <v>33</v>
      </c>
    </row>
    <row r="90" spans="1:35" ht="15.75" customHeight="1" x14ac:dyDescent="0.35">
      <c r="A90" s="35">
        <v>90</v>
      </c>
      <c r="B90" s="35" t="s">
        <v>140</v>
      </c>
      <c r="C90" s="35" t="s">
        <v>137</v>
      </c>
      <c r="D90" s="35">
        <v>4</v>
      </c>
      <c r="E90" s="35">
        <v>1736</v>
      </c>
      <c r="F90" s="35">
        <v>11</v>
      </c>
      <c r="G90" s="35">
        <v>1747</v>
      </c>
      <c r="H90" s="35">
        <v>12</v>
      </c>
      <c r="I90" s="35">
        <v>1759</v>
      </c>
      <c r="J90" s="35">
        <v>9</v>
      </c>
      <c r="K90" s="35">
        <v>1768</v>
      </c>
      <c r="L90" s="35">
        <v>14</v>
      </c>
      <c r="M90" s="35">
        <v>1782</v>
      </c>
      <c r="N90" s="35">
        <v>12</v>
      </c>
      <c r="O90" s="35">
        <v>1794</v>
      </c>
      <c r="P90" s="35">
        <v>5</v>
      </c>
      <c r="Q90" s="35">
        <v>1799</v>
      </c>
      <c r="R90" s="35">
        <v>5</v>
      </c>
      <c r="S90" s="35">
        <v>1803</v>
      </c>
      <c r="T90" s="35">
        <v>4</v>
      </c>
      <c r="U90" s="35">
        <v>1810</v>
      </c>
      <c r="V90" s="35">
        <v>7</v>
      </c>
      <c r="W90" s="35">
        <v>1822</v>
      </c>
      <c r="X90" s="35">
        <v>12</v>
      </c>
      <c r="Y90" s="35">
        <v>0</v>
      </c>
      <c r="Z90" s="35">
        <v>0</v>
      </c>
      <c r="AA90" s="35">
        <v>8</v>
      </c>
      <c r="AB90" s="35">
        <v>8</v>
      </c>
      <c r="AC90" s="35">
        <v>8</v>
      </c>
      <c r="AD90" s="35">
        <v>20</v>
      </c>
      <c r="AE90" s="35">
        <v>0</v>
      </c>
      <c r="AF90" s="35">
        <v>65</v>
      </c>
      <c r="AG90" s="35">
        <v>3</v>
      </c>
      <c r="AH90" s="35">
        <v>0</v>
      </c>
      <c r="AI90" s="35">
        <v>96</v>
      </c>
    </row>
    <row r="91" spans="1:35" ht="15.75" customHeight="1" x14ac:dyDescent="0.35">
      <c r="A91" s="35">
        <v>91</v>
      </c>
      <c r="B91" s="35" t="s">
        <v>141</v>
      </c>
      <c r="C91" s="35" t="s">
        <v>137</v>
      </c>
      <c r="D91" s="35">
        <v>6</v>
      </c>
      <c r="E91" s="35">
        <v>623</v>
      </c>
      <c r="F91" s="35">
        <v>16</v>
      </c>
      <c r="G91" s="35">
        <v>639</v>
      </c>
      <c r="H91" s="35">
        <v>17</v>
      </c>
      <c r="I91" s="35">
        <v>656</v>
      </c>
      <c r="J91" s="35">
        <v>19</v>
      </c>
      <c r="K91" s="35">
        <v>675</v>
      </c>
      <c r="L91" s="35">
        <v>14</v>
      </c>
      <c r="M91" s="35">
        <v>689</v>
      </c>
      <c r="N91" s="35">
        <v>15</v>
      </c>
      <c r="O91" s="35">
        <v>704</v>
      </c>
      <c r="P91" s="35">
        <v>11</v>
      </c>
      <c r="Q91" s="35">
        <v>715</v>
      </c>
      <c r="R91" s="35">
        <v>11</v>
      </c>
      <c r="S91" s="35">
        <v>722</v>
      </c>
      <c r="T91" s="35">
        <v>7</v>
      </c>
      <c r="U91" s="35">
        <v>730</v>
      </c>
      <c r="V91" s="35">
        <v>8</v>
      </c>
      <c r="W91" s="35">
        <v>740</v>
      </c>
      <c r="X91" s="35">
        <v>10</v>
      </c>
      <c r="Y91" s="35">
        <v>750</v>
      </c>
      <c r="Z91" s="35">
        <v>10</v>
      </c>
      <c r="AA91" s="35">
        <v>765</v>
      </c>
      <c r="AB91" s="35">
        <v>15</v>
      </c>
      <c r="AC91" s="35">
        <v>15</v>
      </c>
      <c r="AD91" s="35">
        <v>0</v>
      </c>
      <c r="AE91" s="35">
        <v>0</v>
      </c>
      <c r="AG91" s="35">
        <v>3</v>
      </c>
      <c r="AH91" s="35">
        <v>0</v>
      </c>
      <c r="AI91" s="35">
        <v>18</v>
      </c>
    </row>
    <row r="92" spans="1:35" ht="15.75" customHeight="1" x14ac:dyDescent="0.35">
      <c r="A92" s="35">
        <v>92</v>
      </c>
      <c r="B92" s="35" t="s">
        <v>142</v>
      </c>
      <c r="C92" s="35" t="s">
        <v>137</v>
      </c>
      <c r="D92" s="35">
        <v>7</v>
      </c>
      <c r="E92" s="35">
        <v>1760</v>
      </c>
      <c r="F92" s="35">
        <v>3</v>
      </c>
      <c r="G92" s="35">
        <v>1763</v>
      </c>
      <c r="H92" s="35">
        <v>10</v>
      </c>
      <c r="I92" s="35">
        <v>1773</v>
      </c>
      <c r="J92" s="35">
        <v>7</v>
      </c>
      <c r="K92" s="35">
        <v>1780</v>
      </c>
      <c r="L92" s="35">
        <v>3</v>
      </c>
      <c r="M92" s="35">
        <v>1783</v>
      </c>
      <c r="N92" s="35">
        <v>15</v>
      </c>
      <c r="O92" s="35">
        <v>1798</v>
      </c>
      <c r="P92" s="35">
        <v>2</v>
      </c>
      <c r="Q92" s="35">
        <v>1800</v>
      </c>
      <c r="R92" s="35">
        <v>2</v>
      </c>
      <c r="S92" s="35">
        <v>1803</v>
      </c>
      <c r="T92" s="35">
        <v>3</v>
      </c>
      <c r="U92" s="35">
        <v>1804</v>
      </c>
      <c r="V92" s="35">
        <v>1</v>
      </c>
      <c r="W92" s="35">
        <v>1808</v>
      </c>
      <c r="X92" s="35">
        <v>4</v>
      </c>
      <c r="Y92" s="35">
        <v>1814</v>
      </c>
      <c r="Z92" s="35">
        <v>6</v>
      </c>
      <c r="AA92" s="35">
        <v>1819</v>
      </c>
      <c r="AB92" s="35">
        <v>5</v>
      </c>
      <c r="AC92" s="35">
        <v>5</v>
      </c>
      <c r="AD92" s="35">
        <v>0</v>
      </c>
      <c r="AE92" s="35">
        <v>0</v>
      </c>
      <c r="AG92" s="35">
        <v>3</v>
      </c>
      <c r="AH92" s="35">
        <v>0</v>
      </c>
      <c r="AI92" s="35">
        <v>8</v>
      </c>
    </row>
    <row r="93" spans="1:35" ht="15.75" customHeight="1" x14ac:dyDescent="0.35">
      <c r="A93" s="35">
        <v>93</v>
      </c>
      <c r="B93" s="35" t="s">
        <v>143</v>
      </c>
      <c r="C93" s="35" t="s">
        <v>137</v>
      </c>
      <c r="D93" s="35">
        <v>8</v>
      </c>
      <c r="E93" s="35">
        <v>826</v>
      </c>
      <c r="F93" s="35">
        <v>4</v>
      </c>
      <c r="G93" s="35">
        <v>830</v>
      </c>
      <c r="H93" s="35">
        <v>5</v>
      </c>
      <c r="I93" s="35">
        <v>835</v>
      </c>
      <c r="J93" s="35">
        <v>7</v>
      </c>
      <c r="K93" s="35">
        <v>842</v>
      </c>
      <c r="L93" s="35">
        <v>9</v>
      </c>
      <c r="M93" s="35">
        <v>851</v>
      </c>
      <c r="N93" s="35">
        <v>21</v>
      </c>
      <c r="O93" s="35">
        <v>872</v>
      </c>
      <c r="P93" s="35">
        <v>5</v>
      </c>
      <c r="Q93" s="35">
        <v>877</v>
      </c>
      <c r="R93" s="35">
        <v>5</v>
      </c>
      <c r="S93" s="35">
        <v>896</v>
      </c>
      <c r="T93" s="35">
        <v>19</v>
      </c>
      <c r="U93" s="35">
        <v>899</v>
      </c>
      <c r="V93" s="35">
        <v>3</v>
      </c>
      <c r="W93" s="35">
        <v>904</v>
      </c>
      <c r="X93" s="35">
        <v>5</v>
      </c>
      <c r="Y93" s="35">
        <v>913</v>
      </c>
      <c r="Z93" s="35">
        <v>9</v>
      </c>
      <c r="AA93" s="35">
        <v>919</v>
      </c>
      <c r="AB93" s="35">
        <v>6</v>
      </c>
      <c r="AC93" s="35">
        <v>6</v>
      </c>
      <c r="AD93" s="35">
        <v>0</v>
      </c>
      <c r="AE93" s="35">
        <v>0</v>
      </c>
      <c r="AG93" s="35">
        <v>3</v>
      </c>
      <c r="AH93" s="35">
        <v>0</v>
      </c>
      <c r="AI93" s="35">
        <v>9</v>
      </c>
    </row>
    <row r="94" spans="1:35" ht="15.75" customHeight="1" x14ac:dyDescent="0.35">
      <c r="A94" s="35">
        <v>94</v>
      </c>
      <c r="B94" s="35" t="s">
        <v>144</v>
      </c>
      <c r="C94" s="35" t="s">
        <v>137</v>
      </c>
      <c r="D94" s="35">
        <v>9</v>
      </c>
      <c r="E94" s="35">
        <v>3190</v>
      </c>
      <c r="F94" s="35">
        <v>21</v>
      </c>
      <c r="G94" s="35">
        <v>3211</v>
      </c>
      <c r="H94" s="35">
        <v>21</v>
      </c>
      <c r="I94" s="35">
        <v>3232</v>
      </c>
      <c r="J94" s="35">
        <v>20</v>
      </c>
      <c r="K94" s="35">
        <v>3252</v>
      </c>
      <c r="L94" s="35">
        <v>22</v>
      </c>
      <c r="M94" s="35">
        <v>3274</v>
      </c>
      <c r="N94" s="35">
        <v>23</v>
      </c>
      <c r="O94" s="35">
        <v>3297</v>
      </c>
      <c r="P94" s="35">
        <v>17</v>
      </c>
      <c r="Q94" s="35">
        <v>3314</v>
      </c>
      <c r="R94" s="35">
        <v>17</v>
      </c>
      <c r="S94" s="35">
        <v>3328</v>
      </c>
      <c r="T94" s="35">
        <v>14</v>
      </c>
      <c r="U94" s="35">
        <v>3340</v>
      </c>
      <c r="V94" s="35">
        <v>12</v>
      </c>
      <c r="W94" s="35">
        <v>3355</v>
      </c>
      <c r="X94" s="35">
        <v>15</v>
      </c>
      <c r="Y94" s="35">
        <v>3375</v>
      </c>
      <c r="Z94" s="35">
        <v>20</v>
      </c>
      <c r="AA94" s="35">
        <v>3397</v>
      </c>
      <c r="AB94" s="35">
        <v>22</v>
      </c>
      <c r="AC94" s="35">
        <v>22</v>
      </c>
      <c r="AD94" s="35">
        <v>0</v>
      </c>
      <c r="AE94" s="35">
        <v>0</v>
      </c>
      <c r="AG94" s="35">
        <v>3</v>
      </c>
      <c r="AH94" s="35">
        <v>0</v>
      </c>
      <c r="AI94" s="35">
        <v>25</v>
      </c>
    </row>
    <row r="95" spans="1:35" ht="15.75" customHeight="1" x14ac:dyDescent="0.35">
      <c r="A95" s="35">
        <v>95</v>
      </c>
      <c r="B95" s="35" t="s">
        <v>145</v>
      </c>
      <c r="C95" s="35" t="s">
        <v>137</v>
      </c>
      <c r="D95" s="35">
        <v>10</v>
      </c>
      <c r="E95" s="35">
        <v>100</v>
      </c>
      <c r="F95" s="35">
        <v>51</v>
      </c>
      <c r="G95" s="35">
        <v>151</v>
      </c>
      <c r="H95" s="35">
        <v>49</v>
      </c>
      <c r="I95" s="35">
        <v>200</v>
      </c>
      <c r="J95" s="35">
        <v>36</v>
      </c>
      <c r="K95" s="35">
        <v>236</v>
      </c>
      <c r="L95" s="35">
        <v>32</v>
      </c>
      <c r="M95" s="35">
        <v>268</v>
      </c>
      <c r="N95" s="35">
        <v>29</v>
      </c>
      <c r="O95" s="35">
        <v>297</v>
      </c>
      <c r="P95" s="35">
        <v>23</v>
      </c>
      <c r="Q95" s="35">
        <v>320</v>
      </c>
      <c r="R95" s="35">
        <v>23</v>
      </c>
      <c r="S95" s="35">
        <v>340</v>
      </c>
      <c r="T95" s="35">
        <v>20</v>
      </c>
      <c r="U95" s="35">
        <v>359</v>
      </c>
      <c r="V95" s="35">
        <v>19</v>
      </c>
      <c r="W95" s="35">
        <v>386</v>
      </c>
      <c r="X95" s="35">
        <v>27</v>
      </c>
      <c r="Y95" s="35">
        <v>411</v>
      </c>
      <c r="Z95" s="35">
        <v>25</v>
      </c>
      <c r="AA95" s="35">
        <v>445</v>
      </c>
      <c r="AB95" s="35">
        <v>34</v>
      </c>
      <c r="AC95" s="35">
        <v>34</v>
      </c>
      <c r="AD95" s="35">
        <v>28</v>
      </c>
      <c r="AE95" s="35">
        <v>0</v>
      </c>
      <c r="AG95" s="35">
        <v>3</v>
      </c>
      <c r="AH95" s="35">
        <v>20</v>
      </c>
      <c r="AI95" s="35">
        <v>85</v>
      </c>
    </row>
    <row r="96" spans="1:35" ht="15.75" customHeight="1" x14ac:dyDescent="0.35">
      <c r="A96" s="35">
        <v>96</v>
      </c>
      <c r="B96" s="35" t="s">
        <v>146</v>
      </c>
      <c r="C96" s="35" t="s">
        <v>137</v>
      </c>
      <c r="D96" s="35">
        <v>11</v>
      </c>
      <c r="E96" s="35">
        <v>3342</v>
      </c>
      <c r="F96" s="35">
        <v>56</v>
      </c>
      <c r="G96" s="35">
        <v>3398</v>
      </c>
      <c r="H96" s="35">
        <v>48</v>
      </c>
      <c r="I96" s="35">
        <v>3446</v>
      </c>
      <c r="J96" s="35">
        <v>33</v>
      </c>
      <c r="K96" s="35">
        <v>3479</v>
      </c>
      <c r="L96" s="35">
        <v>29</v>
      </c>
      <c r="M96" s="35">
        <v>3508</v>
      </c>
      <c r="N96" s="35">
        <v>30</v>
      </c>
      <c r="O96" s="35">
        <v>3538</v>
      </c>
      <c r="P96" s="35">
        <v>26</v>
      </c>
      <c r="Q96" s="35">
        <v>3564</v>
      </c>
      <c r="R96" s="35">
        <v>26</v>
      </c>
      <c r="S96" s="35">
        <v>3587</v>
      </c>
      <c r="T96" s="35">
        <v>23</v>
      </c>
      <c r="U96" s="35">
        <v>3610</v>
      </c>
      <c r="V96" s="35">
        <v>23</v>
      </c>
      <c r="W96" s="35">
        <v>3633</v>
      </c>
      <c r="X96" s="35">
        <v>23</v>
      </c>
      <c r="Y96" s="35">
        <v>3659</v>
      </c>
      <c r="Z96" s="35">
        <v>26</v>
      </c>
      <c r="AA96" s="35">
        <v>3685</v>
      </c>
      <c r="AB96" s="35">
        <v>26</v>
      </c>
      <c r="AC96" s="35">
        <v>26</v>
      </c>
      <c r="AD96" s="35">
        <v>0</v>
      </c>
      <c r="AE96" s="35">
        <v>0</v>
      </c>
      <c r="AG96" s="35">
        <v>3</v>
      </c>
      <c r="AH96" s="35">
        <v>0</v>
      </c>
      <c r="AI96" s="35">
        <v>29</v>
      </c>
    </row>
    <row r="97" spans="1:35" ht="15.75" customHeight="1" x14ac:dyDescent="0.35">
      <c r="A97" s="35">
        <v>97</v>
      </c>
      <c r="B97" s="35" t="s">
        <v>147</v>
      </c>
      <c r="C97" s="35" t="s">
        <v>137</v>
      </c>
      <c r="D97" s="35">
        <v>12</v>
      </c>
      <c r="E97" s="35">
        <v>3375</v>
      </c>
      <c r="F97" s="35">
        <v>16</v>
      </c>
      <c r="G97" s="35">
        <v>3391</v>
      </c>
      <c r="H97" s="35">
        <v>13</v>
      </c>
      <c r="I97" s="35">
        <v>3404</v>
      </c>
      <c r="J97" s="35">
        <v>13</v>
      </c>
      <c r="K97" s="35">
        <v>3417</v>
      </c>
      <c r="L97" s="35">
        <v>12</v>
      </c>
      <c r="M97" s="35">
        <v>3429</v>
      </c>
      <c r="N97" s="35">
        <v>13</v>
      </c>
      <c r="O97" s="35">
        <v>3442</v>
      </c>
      <c r="P97" s="35">
        <v>10</v>
      </c>
      <c r="Q97" s="35">
        <v>3452</v>
      </c>
      <c r="R97" s="35">
        <v>10</v>
      </c>
      <c r="S97" s="35">
        <v>3463</v>
      </c>
      <c r="T97" s="35">
        <v>11</v>
      </c>
      <c r="U97" s="35">
        <v>3473</v>
      </c>
      <c r="V97" s="35">
        <v>10</v>
      </c>
      <c r="W97" s="35">
        <v>3489</v>
      </c>
      <c r="X97" s="35">
        <v>16</v>
      </c>
      <c r="Y97" s="35">
        <v>3503</v>
      </c>
      <c r="Z97" s="35">
        <v>14</v>
      </c>
      <c r="AA97" s="35">
        <v>3516</v>
      </c>
      <c r="AB97" s="35">
        <v>13</v>
      </c>
      <c r="AC97" s="35">
        <v>13</v>
      </c>
      <c r="AD97" s="35">
        <v>17</v>
      </c>
      <c r="AE97" s="35">
        <v>0</v>
      </c>
      <c r="AG97" s="35">
        <v>3</v>
      </c>
      <c r="AH97" s="35">
        <v>0</v>
      </c>
      <c r="AI97" s="35">
        <v>33</v>
      </c>
    </row>
    <row r="98" spans="1:35" ht="15.75" customHeight="1" x14ac:dyDescent="0.35">
      <c r="A98" s="35">
        <v>98</v>
      </c>
      <c r="B98" s="35" t="s">
        <v>148</v>
      </c>
      <c r="C98" s="35" t="s">
        <v>137</v>
      </c>
      <c r="D98" s="35">
        <v>13</v>
      </c>
      <c r="E98" s="35">
        <v>2528</v>
      </c>
      <c r="F98" s="35">
        <v>28</v>
      </c>
      <c r="G98" s="35">
        <v>2556</v>
      </c>
      <c r="H98" s="35">
        <v>30</v>
      </c>
      <c r="I98" s="35">
        <v>2586</v>
      </c>
      <c r="J98" s="35">
        <v>19</v>
      </c>
      <c r="K98" s="35">
        <v>2605</v>
      </c>
      <c r="L98" s="35">
        <v>20</v>
      </c>
      <c r="M98" s="35">
        <v>2625</v>
      </c>
      <c r="N98" s="35">
        <v>26</v>
      </c>
      <c r="O98" s="35">
        <v>2651</v>
      </c>
      <c r="P98" s="35">
        <v>21</v>
      </c>
      <c r="Q98" s="35">
        <v>2672</v>
      </c>
      <c r="R98" s="35">
        <v>21</v>
      </c>
      <c r="S98" s="35">
        <v>2691</v>
      </c>
      <c r="T98" s="35">
        <v>19</v>
      </c>
      <c r="U98" s="35">
        <v>2710</v>
      </c>
      <c r="V98" s="35">
        <v>19</v>
      </c>
      <c r="W98" s="35">
        <v>2727</v>
      </c>
      <c r="X98" s="35">
        <v>17</v>
      </c>
      <c r="Y98" s="35">
        <v>2751</v>
      </c>
      <c r="Z98" s="35">
        <v>24</v>
      </c>
      <c r="AA98" s="35">
        <v>2767</v>
      </c>
      <c r="AB98" s="35">
        <v>16</v>
      </c>
      <c r="AC98" s="35">
        <v>16</v>
      </c>
      <c r="AD98" s="35">
        <v>0</v>
      </c>
      <c r="AE98" s="35">
        <v>0</v>
      </c>
      <c r="AG98" s="35">
        <v>3</v>
      </c>
      <c r="AH98" s="35">
        <v>0</v>
      </c>
      <c r="AI98" s="35">
        <v>19</v>
      </c>
    </row>
    <row r="99" spans="1:35" ht="15.75" customHeight="1" x14ac:dyDescent="0.35">
      <c r="A99" s="35">
        <v>99</v>
      </c>
      <c r="B99" s="35" t="s">
        <v>149</v>
      </c>
      <c r="C99" s="35" t="s">
        <v>137</v>
      </c>
      <c r="D99" s="35">
        <v>14</v>
      </c>
      <c r="E99" s="35">
        <v>4542</v>
      </c>
      <c r="F99" s="35">
        <v>18</v>
      </c>
      <c r="G99" s="35">
        <v>4560</v>
      </c>
      <c r="H99" s="35">
        <v>18</v>
      </c>
      <c r="I99" s="35">
        <v>4578</v>
      </c>
      <c r="J99" s="35">
        <v>18</v>
      </c>
      <c r="K99" s="35">
        <v>4596</v>
      </c>
      <c r="L99" s="35">
        <v>27</v>
      </c>
      <c r="M99" s="35">
        <v>4623</v>
      </c>
      <c r="N99" s="35">
        <v>33</v>
      </c>
      <c r="O99" s="35">
        <v>4656</v>
      </c>
      <c r="P99" s="35">
        <v>14</v>
      </c>
      <c r="Q99" s="35">
        <v>4670</v>
      </c>
      <c r="R99" s="35">
        <v>14</v>
      </c>
      <c r="S99" s="35">
        <v>4683</v>
      </c>
      <c r="T99" s="35">
        <v>13</v>
      </c>
      <c r="U99" s="35">
        <v>4695</v>
      </c>
      <c r="V99" s="35">
        <v>12</v>
      </c>
      <c r="W99" s="35">
        <v>4708</v>
      </c>
      <c r="X99" s="35">
        <v>13</v>
      </c>
      <c r="Y99" s="35">
        <v>4722</v>
      </c>
      <c r="Z99" s="35">
        <v>14</v>
      </c>
      <c r="AA99" s="35">
        <v>4740</v>
      </c>
      <c r="AB99" s="35">
        <v>18</v>
      </c>
      <c r="AC99" s="35">
        <v>18</v>
      </c>
      <c r="AD99" s="35">
        <v>0</v>
      </c>
      <c r="AE99" s="35">
        <v>0</v>
      </c>
      <c r="AG99" s="35">
        <v>3</v>
      </c>
      <c r="AH99" s="35">
        <v>0</v>
      </c>
      <c r="AI99" s="35">
        <v>21</v>
      </c>
    </row>
    <row r="100" spans="1:35" ht="15.75" customHeight="1" x14ac:dyDescent="0.35">
      <c r="A100" s="35">
        <v>100</v>
      </c>
      <c r="B100" s="35" t="s">
        <v>150</v>
      </c>
      <c r="C100" s="35" t="s">
        <v>137</v>
      </c>
      <c r="D100" s="35" t="s">
        <v>640</v>
      </c>
      <c r="E100" s="35">
        <v>216</v>
      </c>
      <c r="F100" s="35">
        <v>4</v>
      </c>
      <c r="G100" s="35">
        <v>220</v>
      </c>
      <c r="H100" s="35">
        <v>5</v>
      </c>
      <c r="I100" s="35">
        <v>225</v>
      </c>
      <c r="J100" s="35">
        <v>6</v>
      </c>
      <c r="K100" s="35">
        <v>231</v>
      </c>
      <c r="L100" s="35">
        <v>4</v>
      </c>
      <c r="M100" s="35">
        <v>235</v>
      </c>
      <c r="N100" s="35">
        <v>4</v>
      </c>
      <c r="O100" s="35">
        <v>239</v>
      </c>
      <c r="P100" s="35">
        <v>4</v>
      </c>
      <c r="Q100" s="35">
        <v>243</v>
      </c>
      <c r="R100" s="35">
        <v>4</v>
      </c>
      <c r="S100" s="35">
        <v>246</v>
      </c>
      <c r="T100" s="35">
        <v>3</v>
      </c>
      <c r="U100" s="35">
        <v>249</v>
      </c>
      <c r="V100" s="35">
        <v>3</v>
      </c>
      <c r="W100" s="35">
        <v>252</v>
      </c>
      <c r="X100" s="35">
        <v>3</v>
      </c>
      <c r="Y100" s="35">
        <v>256</v>
      </c>
      <c r="Z100" s="35">
        <v>4</v>
      </c>
      <c r="AA100" s="35">
        <v>260</v>
      </c>
      <c r="AB100" s="35">
        <v>4</v>
      </c>
      <c r="AC100" s="35">
        <v>5</v>
      </c>
      <c r="AD100" s="35">
        <v>8</v>
      </c>
      <c r="AE100" s="35">
        <v>0</v>
      </c>
      <c r="AG100" s="35">
        <v>3</v>
      </c>
      <c r="AH100" s="35">
        <v>0</v>
      </c>
      <c r="AI100" s="35">
        <v>16</v>
      </c>
    </row>
    <row r="101" spans="1:35" ht="15.75" customHeight="1" x14ac:dyDescent="0.35">
      <c r="A101" s="35">
        <v>101</v>
      </c>
      <c r="B101" s="35" t="s">
        <v>641</v>
      </c>
      <c r="C101" s="35" t="s">
        <v>137</v>
      </c>
      <c r="D101" s="35">
        <v>19</v>
      </c>
      <c r="P101" s="35">
        <v>1</v>
      </c>
      <c r="Q101" s="35">
        <v>0</v>
      </c>
      <c r="R101" s="35">
        <v>0</v>
      </c>
      <c r="S101" s="35">
        <v>0</v>
      </c>
      <c r="T101" s="35">
        <v>0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0</v>
      </c>
      <c r="AB101" s="35">
        <v>0</v>
      </c>
      <c r="AC101" s="35">
        <v>5</v>
      </c>
      <c r="AD101" s="35">
        <v>0</v>
      </c>
      <c r="AE101" s="35">
        <v>0</v>
      </c>
      <c r="AG101" s="35">
        <v>3</v>
      </c>
      <c r="AH101" s="35">
        <v>0</v>
      </c>
      <c r="AI101" s="35">
        <v>8</v>
      </c>
    </row>
    <row r="102" spans="1:35" ht="15.75" customHeight="1" x14ac:dyDescent="0.35">
      <c r="A102" s="35">
        <v>102</v>
      </c>
      <c r="B102" s="35" t="s">
        <v>153</v>
      </c>
      <c r="C102" s="35" t="s">
        <v>154</v>
      </c>
      <c r="D102" s="35">
        <v>1</v>
      </c>
      <c r="E102" s="35">
        <v>344</v>
      </c>
      <c r="F102" s="35">
        <v>23</v>
      </c>
      <c r="G102" s="35">
        <v>367</v>
      </c>
      <c r="H102" s="35">
        <v>20</v>
      </c>
      <c r="I102" s="35">
        <v>387</v>
      </c>
      <c r="J102" s="35">
        <v>23</v>
      </c>
      <c r="K102" s="35">
        <v>410</v>
      </c>
      <c r="L102" s="35">
        <v>19</v>
      </c>
      <c r="M102" s="35">
        <v>429</v>
      </c>
      <c r="N102" s="35">
        <v>20</v>
      </c>
      <c r="O102" s="35">
        <v>449</v>
      </c>
      <c r="P102" s="35">
        <v>16</v>
      </c>
      <c r="Q102" s="35">
        <v>465</v>
      </c>
      <c r="R102" s="35">
        <v>16</v>
      </c>
      <c r="S102" s="35">
        <v>481</v>
      </c>
      <c r="T102" s="35">
        <v>16</v>
      </c>
      <c r="U102" s="35">
        <v>498</v>
      </c>
      <c r="V102" s="35">
        <v>17</v>
      </c>
      <c r="W102" s="35">
        <v>518</v>
      </c>
      <c r="X102" s="35">
        <v>20</v>
      </c>
      <c r="Y102" s="35">
        <v>534</v>
      </c>
      <c r="Z102" s="35">
        <v>16</v>
      </c>
      <c r="AA102" s="35">
        <v>553</v>
      </c>
      <c r="AB102" s="35">
        <v>19</v>
      </c>
      <c r="AC102" s="35">
        <v>19</v>
      </c>
      <c r="AD102" s="35">
        <v>0</v>
      </c>
      <c r="AE102" s="35">
        <v>0</v>
      </c>
      <c r="AG102" s="35">
        <v>3</v>
      </c>
      <c r="AH102" s="35">
        <v>0</v>
      </c>
      <c r="AI102" s="35">
        <v>22</v>
      </c>
    </row>
    <row r="103" spans="1:35" ht="15.75" customHeight="1" x14ac:dyDescent="0.35">
      <c r="A103" s="35">
        <v>103</v>
      </c>
      <c r="B103" s="35" t="s">
        <v>155</v>
      </c>
      <c r="C103" s="35" t="s">
        <v>154</v>
      </c>
      <c r="D103" s="35">
        <v>3</v>
      </c>
      <c r="E103" s="35">
        <v>1</v>
      </c>
      <c r="F103" s="35">
        <v>0</v>
      </c>
      <c r="G103" s="35">
        <v>1</v>
      </c>
      <c r="H103" s="35">
        <v>4</v>
      </c>
      <c r="I103" s="35">
        <v>5</v>
      </c>
      <c r="J103" s="35">
        <v>1</v>
      </c>
      <c r="K103" s="35">
        <v>2</v>
      </c>
      <c r="L103" s="35">
        <v>3</v>
      </c>
      <c r="M103" s="35">
        <v>5</v>
      </c>
      <c r="N103" s="35">
        <v>-2</v>
      </c>
      <c r="O103" s="35">
        <v>3</v>
      </c>
      <c r="P103" s="35">
        <v>0</v>
      </c>
      <c r="Q103" s="35">
        <v>3</v>
      </c>
      <c r="R103" s="35">
        <v>0</v>
      </c>
      <c r="S103" s="35">
        <v>3</v>
      </c>
      <c r="T103" s="35">
        <v>0</v>
      </c>
      <c r="U103" s="35">
        <v>3</v>
      </c>
      <c r="V103" s="35">
        <v>0</v>
      </c>
      <c r="W103" s="35">
        <v>3</v>
      </c>
      <c r="X103" s="35">
        <v>0</v>
      </c>
      <c r="Y103" s="35">
        <v>3</v>
      </c>
      <c r="Z103" s="35">
        <v>0</v>
      </c>
      <c r="AA103" s="35">
        <v>3</v>
      </c>
      <c r="AB103" s="35">
        <v>0</v>
      </c>
      <c r="AC103" s="35">
        <v>5</v>
      </c>
      <c r="AD103" s="35">
        <v>0</v>
      </c>
      <c r="AE103" s="35">
        <v>0</v>
      </c>
      <c r="AG103" s="35">
        <v>3</v>
      </c>
      <c r="AH103" s="35">
        <v>0</v>
      </c>
      <c r="AI103" s="35">
        <v>8</v>
      </c>
    </row>
    <row r="104" spans="1:35" ht="15.75" customHeight="1" x14ac:dyDescent="0.35">
      <c r="A104" s="35">
        <v>104</v>
      </c>
      <c r="B104" s="35" t="s">
        <v>156</v>
      </c>
      <c r="C104" s="35" t="s">
        <v>154</v>
      </c>
      <c r="D104" s="35" t="s">
        <v>642</v>
      </c>
      <c r="E104" s="35">
        <v>251</v>
      </c>
      <c r="F104" s="35">
        <v>4</v>
      </c>
      <c r="G104" s="35">
        <v>255</v>
      </c>
      <c r="H104" s="35">
        <v>12</v>
      </c>
      <c r="I104" s="35">
        <v>267</v>
      </c>
      <c r="J104" s="35">
        <v>8</v>
      </c>
      <c r="K104" s="35">
        <v>275</v>
      </c>
      <c r="L104" s="35">
        <v>9</v>
      </c>
      <c r="M104" s="35">
        <v>284</v>
      </c>
      <c r="N104" s="35">
        <v>7</v>
      </c>
      <c r="O104" s="35">
        <v>291</v>
      </c>
      <c r="P104" s="35">
        <v>4</v>
      </c>
      <c r="Q104" s="35">
        <v>295</v>
      </c>
      <c r="R104" s="35">
        <v>4</v>
      </c>
      <c r="S104" s="35">
        <v>296</v>
      </c>
      <c r="T104" s="35">
        <v>1</v>
      </c>
      <c r="U104" s="35">
        <v>296</v>
      </c>
      <c r="V104" s="35">
        <v>0</v>
      </c>
      <c r="W104" s="35">
        <v>297</v>
      </c>
      <c r="X104" s="35">
        <v>1</v>
      </c>
      <c r="Y104" s="35">
        <v>297</v>
      </c>
      <c r="Z104" s="35">
        <v>0</v>
      </c>
      <c r="AA104" s="35">
        <v>297</v>
      </c>
      <c r="AB104" s="35">
        <v>0</v>
      </c>
      <c r="AC104" s="35">
        <v>5</v>
      </c>
      <c r="AD104" s="35">
        <v>0</v>
      </c>
      <c r="AE104" s="35">
        <v>0</v>
      </c>
      <c r="AG104" s="35">
        <v>3</v>
      </c>
      <c r="AH104" s="35">
        <v>20</v>
      </c>
      <c r="AI104" s="35">
        <v>28</v>
      </c>
    </row>
    <row r="105" spans="1:35" ht="15.75" customHeight="1" x14ac:dyDescent="0.35">
      <c r="A105" s="35">
        <v>105</v>
      </c>
      <c r="B105" s="35" t="s">
        <v>158</v>
      </c>
      <c r="C105" s="35" t="s">
        <v>154</v>
      </c>
      <c r="D105" s="35">
        <v>4</v>
      </c>
      <c r="E105" s="35">
        <v>353</v>
      </c>
      <c r="F105" s="35">
        <v>11</v>
      </c>
      <c r="G105" s="35">
        <v>364</v>
      </c>
      <c r="H105" s="35">
        <v>15</v>
      </c>
      <c r="I105" s="35">
        <v>379</v>
      </c>
      <c r="J105" s="35">
        <v>14</v>
      </c>
      <c r="K105" s="35">
        <v>393</v>
      </c>
      <c r="L105" s="35">
        <v>15</v>
      </c>
      <c r="M105" s="35">
        <v>408</v>
      </c>
      <c r="N105" s="35">
        <v>17</v>
      </c>
      <c r="O105" s="35">
        <v>425</v>
      </c>
      <c r="P105" s="35">
        <v>10</v>
      </c>
      <c r="Q105" s="35">
        <v>435</v>
      </c>
      <c r="R105" s="35">
        <v>10</v>
      </c>
      <c r="S105" s="35">
        <v>444</v>
      </c>
      <c r="T105" s="35">
        <v>9</v>
      </c>
      <c r="U105" s="35">
        <v>455</v>
      </c>
      <c r="V105" s="35">
        <v>11</v>
      </c>
      <c r="W105" s="35">
        <v>465</v>
      </c>
      <c r="X105" s="35">
        <v>10</v>
      </c>
      <c r="Y105" s="35">
        <v>476</v>
      </c>
      <c r="Z105" s="35">
        <v>11</v>
      </c>
      <c r="AA105" s="35">
        <v>490</v>
      </c>
      <c r="AB105" s="35">
        <v>14</v>
      </c>
      <c r="AC105" s="35">
        <v>14</v>
      </c>
      <c r="AD105" s="35">
        <v>14</v>
      </c>
      <c r="AE105" s="35">
        <v>0</v>
      </c>
      <c r="AG105" s="35">
        <v>3</v>
      </c>
      <c r="AH105" s="35">
        <v>40</v>
      </c>
      <c r="AI105" s="35">
        <v>71</v>
      </c>
    </row>
    <row r="106" spans="1:35" ht="15.75" customHeight="1" x14ac:dyDescent="0.35">
      <c r="A106" s="35">
        <v>106</v>
      </c>
      <c r="B106" s="35" t="s">
        <v>159</v>
      </c>
      <c r="C106" s="35" t="s">
        <v>154</v>
      </c>
      <c r="D106" s="35">
        <v>5</v>
      </c>
      <c r="E106" s="35">
        <v>1428</v>
      </c>
      <c r="F106" s="35">
        <v>27</v>
      </c>
      <c r="G106" s="35">
        <v>1455</v>
      </c>
      <c r="H106" s="35">
        <v>34</v>
      </c>
      <c r="I106" s="35">
        <v>1489</v>
      </c>
      <c r="J106" s="35">
        <v>29</v>
      </c>
      <c r="K106" s="35">
        <v>1518</v>
      </c>
      <c r="L106" s="35">
        <v>26</v>
      </c>
      <c r="M106" s="35">
        <v>1544</v>
      </c>
      <c r="N106" s="35">
        <v>28</v>
      </c>
      <c r="O106" s="35">
        <v>1572</v>
      </c>
      <c r="P106" s="35">
        <v>29</v>
      </c>
      <c r="Q106" s="35">
        <v>1601</v>
      </c>
      <c r="R106" s="35">
        <v>29</v>
      </c>
      <c r="S106" s="35">
        <v>1623</v>
      </c>
      <c r="T106" s="35">
        <v>22</v>
      </c>
      <c r="U106" s="35">
        <v>1643</v>
      </c>
      <c r="V106" s="35">
        <v>20</v>
      </c>
      <c r="W106" s="35">
        <v>1662</v>
      </c>
      <c r="X106" s="35">
        <v>19</v>
      </c>
      <c r="Y106" s="35">
        <v>1686</v>
      </c>
      <c r="Z106" s="35">
        <v>24</v>
      </c>
      <c r="AA106" s="35">
        <v>1714</v>
      </c>
      <c r="AB106" s="35">
        <v>28</v>
      </c>
      <c r="AC106" s="35">
        <v>28</v>
      </c>
      <c r="AD106" s="35">
        <v>0</v>
      </c>
      <c r="AE106" s="35">
        <v>0</v>
      </c>
      <c r="AG106" s="35">
        <v>3</v>
      </c>
      <c r="AH106" s="35">
        <v>0</v>
      </c>
      <c r="AI106" s="35">
        <v>31</v>
      </c>
    </row>
    <row r="107" spans="1:35" ht="15.75" customHeight="1" x14ac:dyDescent="0.35">
      <c r="A107" s="35">
        <v>107</v>
      </c>
      <c r="B107" s="35" t="s">
        <v>160</v>
      </c>
      <c r="C107" s="35" t="s">
        <v>154</v>
      </c>
      <c r="D107" s="35">
        <v>6</v>
      </c>
      <c r="E107" s="35">
        <v>2851</v>
      </c>
      <c r="F107" s="35">
        <v>20</v>
      </c>
      <c r="G107" s="35">
        <v>2871</v>
      </c>
      <c r="H107" s="35">
        <v>20</v>
      </c>
      <c r="I107" s="35">
        <v>2891</v>
      </c>
      <c r="J107" s="35">
        <v>16</v>
      </c>
      <c r="K107" s="35">
        <v>2907</v>
      </c>
      <c r="L107" s="35">
        <v>16</v>
      </c>
      <c r="M107" s="35">
        <v>2923</v>
      </c>
      <c r="N107" s="35">
        <v>16</v>
      </c>
      <c r="O107" s="35">
        <v>2939</v>
      </c>
      <c r="P107" s="35">
        <v>11</v>
      </c>
      <c r="Q107" s="35">
        <v>2950</v>
      </c>
      <c r="R107" s="35">
        <v>11</v>
      </c>
      <c r="S107" s="35">
        <v>2960</v>
      </c>
      <c r="T107" s="35">
        <v>10</v>
      </c>
      <c r="U107" s="35">
        <v>2971</v>
      </c>
      <c r="V107" s="35">
        <v>11</v>
      </c>
      <c r="W107" s="35">
        <v>2978</v>
      </c>
      <c r="X107" s="35">
        <v>7</v>
      </c>
      <c r="Y107" s="35">
        <v>2993</v>
      </c>
      <c r="Z107" s="35">
        <v>15</v>
      </c>
      <c r="AA107" s="35">
        <v>3012</v>
      </c>
      <c r="AB107" s="35">
        <v>19</v>
      </c>
      <c r="AC107" s="35">
        <v>19</v>
      </c>
      <c r="AD107" s="35">
        <v>0</v>
      </c>
      <c r="AE107" s="35">
        <v>0</v>
      </c>
      <c r="AG107" s="35">
        <v>3</v>
      </c>
      <c r="AH107" s="35">
        <v>0</v>
      </c>
      <c r="AI107" s="35">
        <v>22</v>
      </c>
    </row>
    <row r="108" spans="1:35" ht="15.75" customHeight="1" x14ac:dyDescent="0.35">
      <c r="A108" s="35">
        <v>108</v>
      </c>
      <c r="B108" s="35" t="s">
        <v>161</v>
      </c>
      <c r="C108" s="35" t="s">
        <v>154</v>
      </c>
      <c r="D108" s="35">
        <v>7</v>
      </c>
      <c r="E108" s="35">
        <v>6500</v>
      </c>
      <c r="F108" s="35">
        <v>33</v>
      </c>
      <c r="G108" s="35">
        <v>6533</v>
      </c>
      <c r="H108" s="35">
        <v>40</v>
      </c>
      <c r="I108" s="35">
        <v>6573</v>
      </c>
      <c r="J108" s="35">
        <v>26</v>
      </c>
      <c r="K108" s="35">
        <v>6599</v>
      </c>
      <c r="L108" s="35">
        <v>33</v>
      </c>
      <c r="M108" s="35">
        <v>6632</v>
      </c>
      <c r="N108" s="35">
        <v>19</v>
      </c>
      <c r="O108" s="35">
        <v>6651</v>
      </c>
      <c r="P108" s="35">
        <v>23</v>
      </c>
      <c r="Q108" s="35">
        <v>6674</v>
      </c>
      <c r="R108" s="35">
        <v>23</v>
      </c>
      <c r="S108" s="35">
        <v>6692</v>
      </c>
      <c r="T108" s="35">
        <v>18</v>
      </c>
      <c r="U108" s="35">
        <v>6708</v>
      </c>
      <c r="V108" s="35">
        <v>16</v>
      </c>
      <c r="W108" s="35">
        <v>6727</v>
      </c>
      <c r="X108" s="35">
        <v>19</v>
      </c>
      <c r="Y108" s="35">
        <v>6751</v>
      </c>
      <c r="Z108" s="35">
        <v>24</v>
      </c>
      <c r="AA108" s="35">
        <v>6780</v>
      </c>
      <c r="AB108" s="35">
        <v>29</v>
      </c>
      <c r="AC108" s="35">
        <v>29</v>
      </c>
      <c r="AD108" s="35">
        <v>27</v>
      </c>
      <c r="AE108" s="35">
        <v>0</v>
      </c>
      <c r="AG108" s="35">
        <v>3</v>
      </c>
      <c r="AH108" s="35">
        <v>0</v>
      </c>
      <c r="AI108" s="35">
        <v>59</v>
      </c>
    </row>
    <row r="109" spans="1:35" ht="15.75" customHeight="1" x14ac:dyDescent="0.35">
      <c r="A109" s="35">
        <v>109</v>
      </c>
      <c r="B109" s="35" t="s">
        <v>162</v>
      </c>
      <c r="C109" s="35" t="s">
        <v>154</v>
      </c>
      <c r="D109" s="35">
        <v>8</v>
      </c>
      <c r="E109" s="35">
        <v>1568</v>
      </c>
      <c r="F109" s="35">
        <v>16</v>
      </c>
      <c r="G109" s="35">
        <v>1584</v>
      </c>
      <c r="H109" s="35">
        <v>11</v>
      </c>
      <c r="I109" s="35">
        <v>1595</v>
      </c>
      <c r="J109" s="35">
        <v>8</v>
      </c>
      <c r="K109" s="35">
        <v>1603</v>
      </c>
      <c r="L109" s="35">
        <v>11</v>
      </c>
      <c r="M109" s="35">
        <v>1614</v>
      </c>
      <c r="N109" s="35">
        <v>10</v>
      </c>
      <c r="O109" s="35">
        <v>1624</v>
      </c>
      <c r="P109" s="35">
        <v>10</v>
      </c>
      <c r="Q109" s="35">
        <v>1634</v>
      </c>
      <c r="R109" s="35">
        <v>10</v>
      </c>
      <c r="S109" s="35">
        <v>1641</v>
      </c>
      <c r="T109" s="35">
        <v>7</v>
      </c>
      <c r="U109" s="35">
        <v>1650</v>
      </c>
      <c r="V109" s="35">
        <v>9</v>
      </c>
      <c r="W109" s="35">
        <v>1659</v>
      </c>
      <c r="X109" s="35">
        <v>9</v>
      </c>
      <c r="Y109" s="35">
        <v>1665</v>
      </c>
      <c r="Z109" s="35">
        <v>6</v>
      </c>
      <c r="AA109" s="35">
        <v>1673</v>
      </c>
      <c r="AB109" s="35">
        <v>8</v>
      </c>
      <c r="AC109" s="35">
        <v>8</v>
      </c>
      <c r="AD109" s="35">
        <v>0</v>
      </c>
      <c r="AE109" s="35">
        <v>0</v>
      </c>
      <c r="AG109" s="35">
        <v>3</v>
      </c>
      <c r="AH109" s="35">
        <v>0</v>
      </c>
      <c r="AI109" s="35">
        <v>11</v>
      </c>
    </row>
    <row r="110" spans="1:35" ht="15.75" customHeight="1" x14ac:dyDescent="0.35">
      <c r="A110" s="35">
        <v>111</v>
      </c>
      <c r="B110" s="35" t="s">
        <v>164</v>
      </c>
      <c r="C110" s="35" t="s">
        <v>154</v>
      </c>
      <c r="D110" s="35">
        <v>10</v>
      </c>
      <c r="E110" s="35">
        <v>2420</v>
      </c>
      <c r="F110" s="35">
        <v>21</v>
      </c>
      <c r="G110" s="35">
        <v>2441</v>
      </c>
      <c r="H110" s="35">
        <v>6</v>
      </c>
      <c r="I110" s="35">
        <v>2447</v>
      </c>
      <c r="J110" s="35">
        <v>5</v>
      </c>
      <c r="K110" s="35">
        <v>5</v>
      </c>
      <c r="L110" s="35">
        <v>7</v>
      </c>
      <c r="M110" s="35">
        <v>12</v>
      </c>
      <c r="N110" s="35">
        <v>7</v>
      </c>
      <c r="O110" s="35">
        <v>19</v>
      </c>
      <c r="P110" s="35">
        <v>5</v>
      </c>
      <c r="Q110" s="35">
        <v>24</v>
      </c>
      <c r="R110" s="35">
        <v>5</v>
      </c>
      <c r="S110" s="35">
        <v>30</v>
      </c>
      <c r="T110" s="35">
        <v>6</v>
      </c>
      <c r="U110" s="35">
        <v>39</v>
      </c>
      <c r="V110" s="35">
        <v>9</v>
      </c>
      <c r="W110" s="35">
        <v>47</v>
      </c>
      <c r="X110" s="35">
        <v>8</v>
      </c>
      <c r="Y110" s="35">
        <v>57</v>
      </c>
      <c r="Z110" s="35">
        <v>10</v>
      </c>
      <c r="AA110" s="35">
        <v>70</v>
      </c>
      <c r="AB110" s="35">
        <v>13</v>
      </c>
      <c r="AC110" s="35">
        <v>13</v>
      </c>
      <c r="AD110" s="35">
        <v>0</v>
      </c>
      <c r="AE110" s="35">
        <v>0</v>
      </c>
      <c r="AG110" s="35">
        <v>3</v>
      </c>
      <c r="AH110" s="35">
        <v>0</v>
      </c>
      <c r="AI110" s="35">
        <v>16</v>
      </c>
    </row>
    <row r="111" spans="1:35" ht="15.75" customHeight="1" x14ac:dyDescent="0.35">
      <c r="A111" s="35">
        <v>112</v>
      </c>
      <c r="B111" s="35" t="s">
        <v>165</v>
      </c>
      <c r="C111" s="35" t="s">
        <v>154</v>
      </c>
      <c r="D111" s="35">
        <v>11</v>
      </c>
      <c r="E111" s="35">
        <v>2633</v>
      </c>
      <c r="F111" s="35">
        <v>21</v>
      </c>
      <c r="G111" s="35">
        <v>2654</v>
      </c>
      <c r="H111" s="35">
        <v>28</v>
      </c>
      <c r="I111" s="35">
        <v>2682</v>
      </c>
      <c r="J111" s="35">
        <v>20</v>
      </c>
      <c r="K111" s="35">
        <v>2702</v>
      </c>
      <c r="L111" s="35">
        <v>19</v>
      </c>
      <c r="M111" s="35">
        <v>2721</v>
      </c>
      <c r="N111" s="35">
        <v>16</v>
      </c>
      <c r="O111" s="35">
        <v>2737</v>
      </c>
      <c r="P111" s="35">
        <v>13</v>
      </c>
      <c r="Q111" s="35">
        <v>2750</v>
      </c>
      <c r="R111" s="35">
        <v>13</v>
      </c>
      <c r="S111" s="35">
        <v>2762</v>
      </c>
      <c r="T111" s="35">
        <v>12</v>
      </c>
      <c r="U111" s="35">
        <v>2773</v>
      </c>
      <c r="V111" s="35">
        <v>11</v>
      </c>
      <c r="W111" s="35">
        <v>2783</v>
      </c>
      <c r="X111" s="35">
        <v>10</v>
      </c>
      <c r="Y111" s="35">
        <v>2796</v>
      </c>
      <c r="Z111" s="35">
        <v>13</v>
      </c>
      <c r="AA111" s="35">
        <v>2811</v>
      </c>
      <c r="AB111" s="35">
        <v>15</v>
      </c>
      <c r="AC111" s="35">
        <v>15</v>
      </c>
      <c r="AD111" s="35">
        <v>0</v>
      </c>
      <c r="AE111" s="35">
        <v>0</v>
      </c>
      <c r="AG111" s="35">
        <v>3</v>
      </c>
      <c r="AH111" s="35">
        <v>0</v>
      </c>
      <c r="AI111" s="35">
        <v>18</v>
      </c>
    </row>
    <row r="112" spans="1:35" ht="15.75" customHeight="1" x14ac:dyDescent="0.35">
      <c r="A112" s="35">
        <v>113</v>
      </c>
      <c r="B112" s="35" t="s">
        <v>166</v>
      </c>
      <c r="C112" s="35" t="s">
        <v>154</v>
      </c>
      <c r="D112" s="35">
        <v>12</v>
      </c>
      <c r="E112" s="35">
        <v>1044</v>
      </c>
      <c r="F112" s="35">
        <v>9</v>
      </c>
      <c r="G112" s="35">
        <v>1053</v>
      </c>
      <c r="H112" s="35">
        <v>9</v>
      </c>
      <c r="I112" s="35">
        <v>1062</v>
      </c>
      <c r="J112" s="35">
        <v>7</v>
      </c>
      <c r="K112" s="35">
        <v>1069</v>
      </c>
      <c r="L112" s="35">
        <v>6</v>
      </c>
      <c r="M112" s="35">
        <v>1075</v>
      </c>
      <c r="N112" s="35">
        <v>4</v>
      </c>
      <c r="O112" s="35">
        <v>1079</v>
      </c>
      <c r="P112" s="35">
        <v>4</v>
      </c>
      <c r="Q112" s="35">
        <v>1083</v>
      </c>
      <c r="R112" s="35">
        <v>4</v>
      </c>
      <c r="S112" s="35">
        <v>1086</v>
      </c>
      <c r="T112" s="35">
        <v>3</v>
      </c>
      <c r="U112" s="35">
        <v>1090</v>
      </c>
      <c r="V112" s="35">
        <v>4</v>
      </c>
      <c r="W112" s="35">
        <v>1093</v>
      </c>
      <c r="X112" s="35">
        <v>3</v>
      </c>
      <c r="Y112" s="35">
        <v>1107</v>
      </c>
      <c r="Z112" s="35">
        <v>14</v>
      </c>
      <c r="AA112" s="35">
        <v>1106</v>
      </c>
      <c r="AB112" s="35">
        <v>-1</v>
      </c>
      <c r="AC112" s="35">
        <v>5</v>
      </c>
      <c r="AD112" s="35">
        <v>0</v>
      </c>
      <c r="AE112" s="35">
        <v>0</v>
      </c>
      <c r="AG112" s="35">
        <v>3</v>
      </c>
      <c r="AH112" s="35">
        <v>20</v>
      </c>
      <c r="AI112" s="35">
        <v>28</v>
      </c>
    </row>
    <row r="113" spans="1:35" ht="15.75" customHeight="1" x14ac:dyDescent="0.35">
      <c r="A113" s="35">
        <v>114</v>
      </c>
      <c r="B113" s="35" t="s">
        <v>167</v>
      </c>
      <c r="C113" s="35" t="s">
        <v>154</v>
      </c>
      <c r="D113" s="35">
        <v>14</v>
      </c>
      <c r="E113" s="35">
        <v>717</v>
      </c>
      <c r="F113" s="35">
        <v>40</v>
      </c>
      <c r="G113" s="35">
        <v>757</v>
      </c>
      <c r="H113" s="35">
        <v>33</v>
      </c>
      <c r="I113" s="35">
        <v>790</v>
      </c>
      <c r="J113" s="35">
        <v>40</v>
      </c>
      <c r="K113" s="35">
        <v>830</v>
      </c>
      <c r="L113" s="35">
        <v>34</v>
      </c>
      <c r="M113" s="35">
        <v>864</v>
      </c>
      <c r="N113" s="35">
        <v>38</v>
      </c>
      <c r="O113" s="35">
        <v>902</v>
      </c>
      <c r="P113" s="35">
        <v>34</v>
      </c>
      <c r="Q113" s="35">
        <v>936</v>
      </c>
      <c r="R113" s="35">
        <v>34</v>
      </c>
      <c r="S113" s="35">
        <v>969</v>
      </c>
      <c r="T113" s="35">
        <v>33</v>
      </c>
      <c r="U113" s="35">
        <v>1001</v>
      </c>
      <c r="V113" s="35">
        <v>32</v>
      </c>
      <c r="W113" s="35">
        <v>1033</v>
      </c>
      <c r="X113" s="35">
        <v>32</v>
      </c>
      <c r="Y113" s="35">
        <v>1069</v>
      </c>
      <c r="Z113" s="35">
        <v>36</v>
      </c>
      <c r="AA113" s="35">
        <v>1134</v>
      </c>
      <c r="AB113" s="35">
        <v>65</v>
      </c>
      <c r="AC113" s="35">
        <v>130</v>
      </c>
      <c r="AD113" s="35">
        <v>0</v>
      </c>
      <c r="AE113" s="35">
        <v>0</v>
      </c>
      <c r="AG113" s="35">
        <v>3</v>
      </c>
      <c r="AH113" s="35">
        <v>20</v>
      </c>
      <c r="AI113" s="35">
        <v>153</v>
      </c>
    </row>
    <row r="114" spans="1:35" ht="15.75" customHeight="1" x14ac:dyDescent="0.35">
      <c r="A114" s="35">
        <v>115</v>
      </c>
      <c r="B114" s="35" t="s">
        <v>168</v>
      </c>
      <c r="C114" s="35" t="s">
        <v>154</v>
      </c>
      <c r="D114" s="35">
        <v>15</v>
      </c>
      <c r="E114" s="35">
        <v>432</v>
      </c>
      <c r="F114" s="35">
        <v>11</v>
      </c>
      <c r="G114" s="35">
        <v>443</v>
      </c>
      <c r="H114" s="35">
        <v>12</v>
      </c>
      <c r="I114" s="35">
        <v>455</v>
      </c>
      <c r="J114" s="35">
        <v>8</v>
      </c>
      <c r="K114" s="35">
        <v>463</v>
      </c>
      <c r="L114" s="35">
        <v>11</v>
      </c>
      <c r="M114" s="35">
        <v>474</v>
      </c>
      <c r="N114" s="35">
        <v>13</v>
      </c>
      <c r="O114" s="35">
        <v>487</v>
      </c>
      <c r="P114" s="35">
        <v>10</v>
      </c>
      <c r="Q114" s="35">
        <v>497</v>
      </c>
      <c r="R114" s="35">
        <v>10</v>
      </c>
      <c r="S114" s="35">
        <v>504</v>
      </c>
      <c r="T114" s="35">
        <v>7</v>
      </c>
      <c r="U114" s="35">
        <v>515</v>
      </c>
      <c r="V114" s="35">
        <v>11</v>
      </c>
      <c r="W114" s="35">
        <v>525</v>
      </c>
      <c r="X114" s="35">
        <v>10</v>
      </c>
      <c r="Y114" s="35">
        <v>535</v>
      </c>
      <c r="Z114" s="35">
        <v>10</v>
      </c>
      <c r="AA114" s="35">
        <v>548</v>
      </c>
      <c r="AB114" s="35">
        <v>13</v>
      </c>
      <c r="AC114" s="35">
        <v>13</v>
      </c>
      <c r="AD114" s="35">
        <v>0</v>
      </c>
      <c r="AE114" s="35">
        <v>0</v>
      </c>
      <c r="AG114" s="35">
        <v>3</v>
      </c>
      <c r="AH114" s="35">
        <v>0</v>
      </c>
      <c r="AI114" s="35">
        <v>16</v>
      </c>
    </row>
    <row r="115" spans="1:35" ht="15.75" customHeight="1" x14ac:dyDescent="0.35">
      <c r="A115" s="35">
        <v>116</v>
      </c>
      <c r="B115" s="35" t="s">
        <v>169</v>
      </c>
      <c r="C115" s="35" t="s">
        <v>170</v>
      </c>
      <c r="D115" s="35">
        <v>1</v>
      </c>
      <c r="E115" s="35">
        <v>352</v>
      </c>
      <c r="F115" s="35">
        <v>23</v>
      </c>
      <c r="G115" s="35">
        <v>375</v>
      </c>
      <c r="H115" s="35">
        <v>21</v>
      </c>
      <c r="I115" s="35">
        <v>396</v>
      </c>
      <c r="J115" s="35">
        <v>17</v>
      </c>
      <c r="K115" s="35">
        <v>413</v>
      </c>
      <c r="L115" s="35">
        <v>18</v>
      </c>
      <c r="M115" s="35">
        <v>431</v>
      </c>
      <c r="N115" s="35">
        <v>17</v>
      </c>
      <c r="O115" s="35">
        <v>448</v>
      </c>
      <c r="P115" s="35">
        <v>16</v>
      </c>
      <c r="Q115" s="35">
        <v>464</v>
      </c>
      <c r="R115" s="35">
        <v>16</v>
      </c>
      <c r="S115" s="35">
        <v>479</v>
      </c>
      <c r="T115" s="35">
        <v>15</v>
      </c>
      <c r="U115" s="35">
        <v>493</v>
      </c>
      <c r="V115" s="35">
        <v>14</v>
      </c>
      <c r="W115" s="35">
        <v>507</v>
      </c>
      <c r="X115" s="35">
        <v>14</v>
      </c>
      <c r="Y115" s="35">
        <v>523</v>
      </c>
      <c r="Z115" s="35">
        <v>16</v>
      </c>
      <c r="AA115" s="35">
        <v>540</v>
      </c>
      <c r="AB115" s="35">
        <v>17</v>
      </c>
      <c r="AC115" s="35">
        <v>17</v>
      </c>
      <c r="AD115" s="35">
        <v>0</v>
      </c>
      <c r="AE115" s="35">
        <v>0</v>
      </c>
      <c r="AG115" s="35">
        <v>3</v>
      </c>
      <c r="AH115" s="35">
        <v>0</v>
      </c>
      <c r="AI115" s="35">
        <v>20</v>
      </c>
    </row>
    <row r="116" spans="1:35" ht="15.75" customHeight="1" x14ac:dyDescent="0.35">
      <c r="A116" s="35">
        <v>117</v>
      </c>
      <c r="B116" s="35" t="s">
        <v>171</v>
      </c>
      <c r="C116" s="35" t="s">
        <v>170</v>
      </c>
      <c r="D116" s="35">
        <v>2</v>
      </c>
      <c r="E116" s="35">
        <v>3422</v>
      </c>
      <c r="F116" s="35">
        <v>27</v>
      </c>
      <c r="G116" s="35">
        <v>3449</v>
      </c>
      <c r="H116" s="35">
        <v>26</v>
      </c>
      <c r="I116" s="35">
        <v>3475</v>
      </c>
      <c r="J116" s="35">
        <v>23</v>
      </c>
      <c r="K116" s="35">
        <v>3498</v>
      </c>
      <c r="L116" s="35">
        <v>22</v>
      </c>
      <c r="M116" s="35">
        <v>3520</v>
      </c>
      <c r="N116" s="35">
        <v>18</v>
      </c>
      <c r="O116" s="35">
        <v>3538</v>
      </c>
      <c r="P116" s="35">
        <v>16</v>
      </c>
      <c r="Q116" s="35">
        <v>3554</v>
      </c>
      <c r="R116" s="35">
        <v>16</v>
      </c>
      <c r="S116" s="35">
        <v>3568</v>
      </c>
      <c r="T116" s="35">
        <v>14</v>
      </c>
      <c r="U116" s="35">
        <v>3583</v>
      </c>
      <c r="V116" s="35">
        <v>15</v>
      </c>
      <c r="W116" s="35">
        <v>3599</v>
      </c>
      <c r="X116" s="35">
        <v>16</v>
      </c>
      <c r="Y116" s="35">
        <v>3615</v>
      </c>
      <c r="Z116" s="35">
        <v>16</v>
      </c>
      <c r="AA116" s="35">
        <v>3635</v>
      </c>
      <c r="AB116" s="35">
        <v>20</v>
      </c>
      <c r="AC116" s="35">
        <v>20</v>
      </c>
      <c r="AD116" s="35">
        <v>19</v>
      </c>
      <c r="AE116" s="35">
        <v>0</v>
      </c>
      <c r="AG116" s="35">
        <v>3</v>
      </c>
      <c r="AH116" s="35">
        <v>0</v>
      </c>
      <c r="AI116" s="35">
        <v>42</v>
      </c>
    </row>
    <row r="117" spans="1:35" ht="15.75" customHeight="1" x14ac:dyDescent="0.35">
      <c r="A117" s="35">
        <v>118</v>
      </c>
      <c r="B117" s="35" t="s">
        <v>172</v>
      </c>
      <c r="C117" s="35" t="s">
        <v>170</v>
      </c>
      <c r="D117" s="35">
        <v>3</v>
      </c>
      <c r="E117" s="35">
        <v>2071</v>
      </c>
      <c r="F117" s="35">
        <v>8</v>
      </c>
      <c r="G117" s="35">
        <v>2079</v>
      </c>
      <c r="H117" s="35">
        <v>9</v>
      </c>
      <c r="I117" s="35">
        <v>2088</v>
      </c>
      <c r="J117" s="35">
        <v>9</v>
      </c>
      <c r="K117" s="35">
        <v>2097</v>
      </c>
      <c r="L117" s="35">
        <v>9</v>
      </c>
      <c r="M117" s="35">
        <v>2106</v>
      </c>
      <c r="N117" s="35">
        <v>7</v>
      </c>
      <c r="O117" s="35">
        <v>2113</v>
      </c>
      <c r="P117" s="35">
        <v>8</v>
      </c>
      <c r="Q117" s="35">
        <v>2121</v>
      </c>
      <c r="R117" s="35">
        <v>8</v>
      </c>
      <c r="S117" s="35">
        <v>2129</v>
      </c>
      <c r="T117" s="35">
        <v>8</v>
      </c>
      <c r="U117" s="35">
        <v>2135</v>
      </c>
      <c r="V117" s="35">
        <v>6</v>
      </c>
      <c r="W117" s="35">
        <v>2141</v>
      </c>
      <c r="X117" s="35">
        <v>6</v>
      </c>
      <c r="Y117" s="35">
        <v>2148</v>
      </c>
      <c r="Z117" s="35">
        <v>7</v>
      </c>
      <c r="AA117" s="35">
        <v>2155</v>
      </c>
      <c r="AB117" s="35">
        <v>7</v>
      </c>
      <c r="AC117" s="35">
        <v>7</v>
      </c>
      <c r="AD117" s="35">
        <v>0</v>
      </c>
      <c r="AE117" s="35">
        <v>0</v>
      </c>
      <c r="AG117" s="35">
        <v>3</v>
      </c>
      <c r="AH117" s="35">
        <v>0</v>
      </c>
      <c r="AI117" s="35">
        <v>10</v>
      </c>
    </row>
    <row r="118" spans="1:35" ht="15.75" customHeight="1" x14ac:dyDescent="0.35">
      <c r="A118" s="35">
        <v>119</v>
      </c>
      <c r="B118" s="35" t="s">
        <v>173</v>
      </c>
      <c r="C118" s="35" t="s">
        <v>170</v>
      </c>
      <c r="D118" s="35">
        <v>4</v>
      </c>
      <c r="E118" s="35">
        <v>1231</v>
      </c>
      <c r="F118" s="35">
        <v>6</v>
      </c>
      <c r="G118" s="35">
        <v>1237</v>
      </c>
      <c r="H118" s="35">
        <v>9</v>
      </c>
      <c r="I118" s="35">
        <v>1246</v>
      </c>
      <c r="J118" s="35">
        <v>8</v>
      </c>
      <c r="K118" s="35">
        <v>1254</v>
      </c>
      <c r="L118" s="35">
        <v>7</v>
      </c>
      <c r="M118" s="35">
        <v>1261</v>
      </c>
      <c r="N118" s="35">
        <v>5</v>
      </c>
      <c r="O118" s="35">
        <v>1266</v>
      </c>
      <c r="P118" s="35">
        <v>5</v>
      </c>
      <c r="Q118" s="35">
        <v>1271</v>
      </c>
      <c r="R118" s="35">
        <v>5</v>
      </c>
      <c r="S118" s="35">
        <v>1275</v>
      </c>
      <c r="T118" s="35">
        <v>4</v>
      </c>
      <c r="U118" s="35">
        <v>1279</v>
      </c>
      <c r="V118" s="35">
        <v>4</v>
      </c>
      <c r="W118" s="35">
        <v>1284</v>
      </c>
      <c r="X118" s="35">
        <v>5</v>
      </c>
      <c r="Y118" s="35">
        <v>1289</v>
      </c>
      <c r="Z118" s="35">
        <v>5</v>
      </c>
      <c r="AA118" s="35">
        <v>1296</v>
      </c>
      <c r="AB118" s="35">
        <v>7</v>
      </c>
      <c r="AC118" s="35">
        <v>7</v>
      </c>
      <c r="AD118" s="35">
        <v>0</v>
      </c>
      <c r="AE118" s="35">
        <v>0</v>
      </c>
      <c r="AG118" s="35">
        <v>3</v>
      </c>
      <c r="AH118" s="35">
        <v>0</v>
      </c>
      <c r="AI118" s="35">
        <v>10</v>
      </c>
    </row>
    <row r="119" spans="1:35" ht="15.75" customHeight="1" x14ac:dyDescent="0.35">
      <c r="A119" s="35">
        <v>120</v>
      </c>
      <c r="B119" s="35" t="s">
        <v>175</v>
      </c>
      <c r="C119" s="35" t="s">
        <v>170</v>
      </c>
      <c r="D119" s="35">
        <v>5</v>
      </c>
      <c r="E119" s="35">
        <v>1298</v>
      </c>
      <c r="F119" s="35">
        <v>27</v>
      </c>
      <c r="G119" s="35">
        <v>1325</v>
      </c>
      <c r="H119" s="35">
        <v>-27</v>
      </c>
      <c r="I119" s="35">
        <v>1298</v>
      </c>
      <c r="J119" s="35">
        <v>0</v>
      </c>
      <c r="K119" s="35">
        <v>0</v>
      </c>
      <c r="L119" s="35">
        <v>17</v>
      </c>
      <c r="M119" s="35">
        <v>17</v>
      </c>
      <c r="N119" s="35">
        <v>20</v>
      </c>
      <c r="O119" s="35">
        <v>37</v>
      </c>
      <c r="P119" s="35">
        <v>43</v>
      </c>
      <c r="Q119" s="35">
        <v>80</v>
      </c>
      <c r="R119" s="35">
        <v>43</v>
      </c>
      <c r="S119" s="35">
        <v>116</v>
      </c>
      <c r="T119" s="35">
        <v>36</v>
      </c>
      <c r="U119" s="35">
        <v>133</v>
      </c>
      <c r="V119" s="35">
        <v>17</v>
      </c>
      <c r="W119" s="35">
        <v>153</v>
      </c>
      <c r="X119" s="35">
        <v>20</v>
      </c>
      <c r="Y119" s="35">
        <v>189</v>
      </c>
      <c r="Z119" s="35">
        <v>36</v>
      </c>
      <c r="AA119" s="35">
        <v>214</v>
      </c>
      <c r="AB119" s="35">
        <v>25</v>
      </c>
      <c r="AC119" s="35">
        <v>25</v>
      </c>
      <c r="AD119" s="35">
        <v>0</v>
      </c>
      <c r="AE119" s="35">
        <v>0</v>
      </c>
      <c r="AG119" s="35">
        <v>3</v>
      </c>
      <c r="AH119" s="35">
        <v>0</v>
      </c>
      <c r="AI119" s="35">
        <v>28</v>
      </c>
    </row>
    <row r="120" spans="1:35" ht="15.75" customHeight="1" x14ac:dyDescent="0.35">
      <c r="A120" s="35">
        <v>121</v>
      </c>
      <c r="B120" s="35" t="s">
        <v>176</v>
      </c>
      <c r="C120" s="35" t="s">
        <v>170</v>
      </c>
      <c r="D120" s="35">
        <v>6</v>
      </c>
      <c r="E120" s="35">
        <v>3295</v>
      </c>
      <c r="F120" s="35">
        <v>33</v>
      </c>
      <c r="G120" s="35">
        <v>3328</v>
      </c>
      <c r="H120" s="35">
        <v>35</v>
      </c>
      <c r="I120" s="35">
        <v>3363</v>
      </c>
      <c r="J120" s="35">
        <v>31</v>
      </c>
      <c r="K120" s="35">
        <v>3394</v>
      </c>
      <c r="L120" s="35">
        <v>25</v>
      </c>
      <c r="M120" s="35">
        <v>3419</v>
      </c>
      <c r="N120" s="35">
        <v>22</v>
      </c>
      <c r="O120" s="35">
        <v>3441</v>
      </c>
      <c r="P120" s="35">
        <v>19</v>
      </c>
      <c r="Q120" s="35">
        <v>3460</v>
      </c>
      <c r="R120" s="35">
        <v>19</v>
      </c>
      <c r="S120" s="35">
        <v>3475</v>
      </c>
      <c r="T120" s="35">
        <v>15</v>
      </c>
      <c r="U120" s="35">
        <v>3491</v>
      </c>
      <c r="V120" s="35">
        <v>16</v>
      </c>
      <c r="W120" s="35">
        <v>3507</v>
      </c>
      <c r="X120" s="35">
        <v>16</v>
      </c>
      <c r="Y120" s="35">
        <v>3527</v>
      </c>
      <c r="Z120" s="35">
        <v>20</v>
      </c>
      <c r="AA120" s="35">
        <v>3555</v>
      </c>
      <c r="AB120" s="35">
        <v>28</v>
      </c>
      <c r="AC120" s="35">
        <v>28</v>
      </c>
      <c r="AD120" s="35">
        <v>0</v>
      </c>
      <c r="AE120" s="35">
        <v>0</v>
      </c>
      <c r="AG120" s="35">
        <v>3</v>
      </c>
      <c r="AH120" s="35">
        <v>20</v>
      </c>
      <c r="AI120" s="35">
        <v>51</v>
      </c>
    </row>
    <row r="121" spans="1:35" ht="15.75" customHeight="1" x14ac:dyDescent="0.35">
      <c r="A121" s="35">
        <v>122</v>
      </c>
      <c r="B121" s="35" t="s">
        <v>177</v>
      </c>
      <c r="C121" s="35" t="s">
        <v>170</v>
      </c>
      <c r="D121" s="35">
        <v>7</v>
      </c>
      <c r="E121" s="35">
        <v>888</v>
      </c>
      <c r="F121" s="35">
        <v>14</v>
      </c>
      <c r="G121" s="35">
        <v>902</v>
      </c>
      <c r="H121" s="35">
        <v>24</v>
      </c>
      <c r="I121" s="35">
        <v>926</v>
      </c>
      <c r="J121" s="35">
        <v>15</v>
      </c>
      <c r="K121" s="35">
        <v>941</v>
      </c>
      <c r="L121" s="35">
        <v>25</v>
      </c>
      <c r="M121" s="35">
        <v>966</v>
      </c>
      <c r="N121" s="35">
        <v>65</v>
      </c>
      <c r="O121" s="35">
        <v>1031</v>
      </c>
      <c r="P121" s="35">
        <v>11</v>
      </c>
      <c r="Q121" s="35">
        <v>1042</v>
      </c>
      <c r="R121" s="35">
        <v>11</v>
      </c>
      <c r="S121" s="35">
        <v>1090</v>
      </c>
      <c r="T121" s="35">
        <v>48</v>
      </c>
      <c r="U121" s="35">
        <v>1112</v>
      </c>
      <c r="V121" s="35">
        <v>22</v>
      </c>
      <c r="W121" s="35">
        <v>1261</v>
      </c>
      <c r="X121" s="35">
        <v>149</v>
      </c>
      <c r="Y121" s="35">
        <v>1281</v>
      </c>
      <c r="Z121" s="35">
        <v>20</v>
      </c>
      <c r="AA121" s="35">
        <v>1315</v>
      </c>
      <c r="AB121" s="35">
        <v>34</v>
      </c>
      <c r="AC121" s="35">
        <v>34</v>
      </c>
      <c r="AD121" s="35">
        <v>0</v>
      </c>
      <c r="AE121" s="35">
        <v>0</v>
      </c>
      <c r="AG121" s="35">
        <v>3</v>
      </c>
      <c r="AH121" s="35">
        <v>20</v>
      </c>
      <c r="AI121" s="35">
        <v>57</v>
      </c>
    </row>
    <row r="122" spans="1:35" ht="15.75" customHeight="1" x14ac:dyDescent="0.35">
      <c r="A122" s="35">
        <v>123</v>
      </c>
      <c r="B122" s="35" t="s">
        <v>179</v>
      </c>
      <c r="C122" s="35" t="s">
        <v>170</v>
      </c>
      <c r="D122" s="35">
        <v>8</v>
      </c>
      <c r="E122" s="35">
        <v>4592</v>
      </c>
      <c r="F122" s="35">
        <v>37</v>
      </c>
      <c r="G122" s="35">
        <v>4629</v>
      </c>
      <c r="H122" s="35">
        <v>38</v>
      </c>
      <c r="I122" s="35">
        <v>4667</v>
      </c>
      <c r="J122" s="35">
        <v>38</v>
      </c>
      <c r="K122" s="35">
        <v>4705</v>
      </c>
      <c r="L122" s="35">
        <v>39</v>
      </c>
      <c r="M122" s="35">
        <v>4744</v>
      </c>
      <c r="N122" s="35">
        <v>37</v>
      </c>
      <c r="O122" s="35">
        <v>4781</v>
      </c>
      <c r="P122" s="35">
        <v>20</v>
      </c>
      <c r="Q122" s="35">
        <v>4801</v>
      </c>
      <c r="R122" s="35">
        <v>20</v>
      </c>
      <c r="S122" s="35">
        <v>4817</v>
      </c>
      <c r="T122" s="35">
        <v>16</v>
      </c>
      <c r="U122" s="35">
        <v>4833</v>
      </c>
      <c r="V122" s="35">
        <v>16</v>
      </c>
      <c r="W122" s="35">
        <v>4854</v>
      </c>
      <c r="X122" s="35">
        <v>21</v>
      </c>
      <c r="Y122" s="35">
        <v>4874</v>
      </c>
      <c r="Z122" s="35">
        <v>20</v>
      </c>
      <c r="AA122" s="35">
        <v>4903</v>
      </c>
      <c r="AB122" s="35">
        <v>29</v>
      </c>
      <c r="AC122" s="35">
        <v>29</v>
      </c>
      <c r="AD122" s="35">
        <v>0</v>
      </c>
      <c r="AE122" s="35">
        <v>0</v>
      </c>
      <c r="AG122" s="35">
        <v>3</v>
      </c>
      <c r="AH122" s="35">
        <v>0</v>
      </c>
      <c r="AI122" s="35">
        <v>32</v>
      </c>
    </row>
    <row r="123" spans="1:35" ht="15.75" customHeight="1" x14ac:dyDescent="0.35">
      <c r="A123" s="35">
        <v>124</v>
      </c>
      <c r="B123" s="35" t="s">
        <v>180</v>
      </c>
      <c r="C123" s="35" t="s">
        <v>170</v>
      </c>
      <c r="D123" s="35">
        <v>9</v>
      </c>
      <c r="E123" s="35">
        <v>584</v>
      </c>
      <c r="F123" s="35">
        <v>19</v>
      </c>
      <c r="G123" s="35">
        <v>603</v>
      </c>
      <c r="H123" s="35">
        <v>23</v>
      </c>
      <c r="I123" s="35">
        <v>626</v>
      </c>
      <c r="J123" s="35">
        <v>25</v>
      </c>
      <c r="K123" s="35">
        <v>651</v>
      </c>
      <c r="L123" s="35">
        <v>30</v>
      </c>
      <c r="M123" s="35">
        <v>681</v>
      </c>
      <c r="N123" s="35">
        <v>21</v>
      </c>
      <c r="O123" s="35">
        <v>702</v>
      </c>
      <c r="P123" s="35">
        <v>16</v>
      </c>
      <c r="Q123" s="35">
        <v>718</v>
      </c>
      <c r="R123" s="35">
        <v>16</v>
      </c>
      <c r="S123" s="35">
        <v>742</v>
      </c>
      <c r="T123" s="35">
        <v>24</v>
      </c>
      <c r="U123" s="35">
        <v>764</v>
      </c>
      <c r="V123" s="35">
        <v>22</v>
      </c>
      <c r="W123" s="35">
        <v>774</v>
      </c>
      <c r="X123" s="35">
        <v>10</v>
      </c>
      <c r="Y123" s="35">
        <v>787</v>
      </c>
      <c r="Z123" s="35">
        <v>13</v>
      </c>
      <c r="AA123" s="35">
        <v>804</v>
      </c>
      <c r="AB123" s="35">
        <v>17</v>
      </c>
      <c r="AC123" s="35">
        <v>17</v>
      </c>
      <c r="AD123" s="35">
        <v>16</v>
      </c>
      <c r="AE123" s="35">
        <v>0</v>
      </c>
      <c r="AG123" s="35">
        <v>3</v>
      </c>
      <c r="AH123" s="35">
        <v>0</v>
      </c>
      <c r="AI123" s="35">
        <v>36</v>
      </c>
    </row>
    <row r="124" spans="1:35" ht="15.75" customHeight="1" x14ac:dyDescent="0.35">
      <c r="A124" s="35">
        <v>125</v>
      </c>
      <c r="B124" s="35" t="s">
        <v>181</v>
      </c>
      <c r="C124" s="35" t="s">
        <v>170</v>
      </c>
      <c r="D124" s="35">
        <v>11</v>
      </c>
      <c r="E124" s="35">
        <v>3716</v>
      </c>
      <c r="F124" s="35">
        <v>16</v>
      </c>
      <c r="G124" s="35">
        <v>3732</v>
      </c>
      <c r="H124" s="35">
        <v>21</v>
      </c>
      <c r="I124" s="35">
        <v>3753</v>
      </c>
      <c r="J124" s="35">
        <v>24</v>
      </c>
      <c r="K124" s="35">
        <v>3777</v>
      </c>
      <c r="L124" s="35">
        <v>19</v>
      </c>
      <c r="M124" s="35">
        <v>3796</v>
      </c>
      <c r="N124" s="35">
        <v>16</v>
      </c>
      <c r="O124" s="35">
        <v>3812</v>
      </c>
      <c r="P124" s="35">
        <v>12</v>
      </c>
      <c r="Q124" s="35">
        <v>3824</v>
      </c>
      <c r="R124" s="35">
        <v>12</v>
      </c>
      <c r="S124" s="35">
        <v>3837</v>
      </c>
      <c r="T124" s="35">
        <v>13</v>
      </c>
      <c r="U124" s="35">
        <v>3848</v>
      </c>
      <c r="V124" s="35">
        <v>11</v>
      </c>
      <c r="W124" s="35">
        <v>3856</v>
      </c>
      <c r="X124" s="35">
        <v>8</v>
      </c>
      <c r="Y124" s="35">
        <v>3864</v>
      </c>
      <c r="Z124" s="35">
        <v>8</v>
      </c>
      <c r="AA124" s="35">
        <v>3879</v>
      </c>
      <c r="AB124" s="35">
        <v>15</v>
      </c>
      <c r="AC124" s="35">
        <v>15</v>
      </c>
      <c r="AD124" s="35">
        <v>0</v>
      </c>
      <c r="AE124" s="35">
        <v>0</v>
      </c>
      <c r="AG124" s="35">
        <v>3</v>
      </c>
      <c r="AH124" s="35">
        <v>0</v>
      </c>
      <c r="AI124" s="35">
        <v>18</v>
      </c>
    </row>
    <row r="125" spans="1:35" ht="15.75" customHeight="1" x14ac:dyDescent="0.35">
      <c r="A125" s="35">
        <v>126</v>
      </c>
      <c r="B125" s="35" t="s">
        <v>182</v>
      </c>
      <c r="C125" s="35" t="s">
        <v>170</v>
      </c>
      <c r="D125" s="35">
        <v>12</v>
      </c>
      <c r="E125" s="35">
        <v>2463</v>
      </c>
      <c r="F125" s="35">
        <v>11</v>
      </c>
      <c r="G125" s="35">
        <v>2474</v>
      </c>
      <c r="H125" s="35">
        <v>12</v>
      </c>
      <c r="I125" s="35">
        <v>2486</v>
      </c>
      <c r="J125" s="35">
        <v>12</v>
      </c>
      <c r="K125" s="35">
        <v>2498</v>
      </c>
      <c r="L125" s="35">
        <v>12</v>
      </c>
      <c r="M125" s="35">
        <v>2510</v>
      </c>
      <c r="N125" s="35">
        <v>10</v>
      </c>
      <c r="O125" s="35">
        <v>2520</v>
      </c>
      <c r="P125" s="35">
        <v>9</v>
      </c>
      <c r="Q125" s="35">
        <v>2529</v>
      </c>
      <c r="R125" s="35">
        <v>9</v>
      </c>
      <c r="S125" s="35">
        <v>2534</v>
      </c>
      <c r="T125" s="35">
        <v>5</v>
      </c>
      <c r="U125" s="35">
        <v>2543</v>
      </c>
      <c r="V125" s="35">
        <v>9</v>
      </c>
      <c r="W125" s="35">
        <v>2561</v>
      </c>
      <c r="X125" s="35">
        <v>18</v>
      </c>
      <c r="Y125" s="35">
        <v>2568</v>
      </c>
      <c r="Z125" s="35">
        <v>7</v>
      </c>
      <c r="AA125" s="35">
        <v>2583</v>
      </c>
      <c r="AB125" s="35">
        <v>15</v>
      </c>
      <c r="AC125" s="35">
        <v>15</v>
      </c>
      <c r="AD125" s="35">
        <v>0</v>
      </c>
      <c r="AE125" s="35">
        <v>0</v>
      </c>
      <c r="AG125" s="35">
        <v>3</v>
      </c>
      <c r="AH125" s="35">
        <v>0</v>
      </c>
      <c r="AI125" s="35">
        <v>18</v>
      </c>
    </row>
    <row r="126" spans="1:35" ht="15.75" customHeight="1" x14ac:dyDescent="0.35">
      <c r="A126" s="35">
        <v>127</v>
      </c>
      <c r="B126" s="35" t="s">
        <v>183</v>
      </c>
      <c r="C126" s="35" t="s">
        <v>170</v>
      </c>
      <c r="D126" s="35">
        <v>13</v>
      </c>
      <c r="E126" s="35">
        <v>4938</v>
      </c>
      <c r="F126" s="35">
        <v>31</v>
      </c>
      <c r="G126" s="35">
        <v>4969</v>
      </c>
      <c r="H126" s="35">
        <v>32</v>
      </c>
      <c r="I126" s="35">
        <v>5001</v>
      </c>
      <c r="J126" s="35">
        <v>27</v>
      </c>
      <c r="K126" s="35">
        <v>5028</v>
      </c>
      <c r="L126" s="35">
        <v>22</v>
      </c>
      <c r="M126" s="35">
        <v>5050</v>
      </c>
      <c r="N126" s="35">
        <v>38</v>
      </c>
      <c r="O126" s="35">
        <v>5088</v>
      </c>
      <c r="P126" s="35">
        <v>19</v>
      </c>
      <c r="Q126" s="35">
        <v>5107</v>
      </c>
      <c r="R126" s="35">
        <v>19</v>
      </c>
      <c r="S126" s="35">
        <v>5137</v>
      </c>
      <c r="T126" s="35">
        <v>30</v>
      </c>
      <c r="U126" s="35">
        <v>5160</v>
      </c>
      <c r="V126" s="35">
        <v>23</v>
      </c>
      <c r="W126" s="35">
        <v>5182</v>
      </c>
      <c r="X126" s="35">
        <v>22</v>
      </c>
      <c r="Y126" s="35">
        <v>5220</v>
      </c>
      <c r="Z126" s="35">
        <v>38</v>
      </c>
      <c r="AA126" s="35">
        <v>5258</v>
      </c>
      <c r="AB126" s="35">
        <v>38</v>
      </c>
      <c r="AC126" s="35">
        <v>38</v>
      </c>
      <c r="AD126" s="35">
        <v>41</v>
      </c>
      <c r="AE126" s="35">
        <v>0</v>
      </c>
      <c r="AG126" s="35">
        <v>3</v>
      </c>
      <c r="AH126" s="35">
        <v>20</v>
      </c>
      <c r="AI126" s="35">
        <v>102</v>
      </c>
    </row>
    <row r="127" spans="1:35" ht="15.75" customHeight="1" x14ac:dyDescent="0.35">
      <c r="A127" s="35">
        <v>128</v>
      </c>
      <c r="B127" s="35" t="s">
        <v>184</v>
      </c>
      <c r="C127" s="35" t="s">
        <v>170</v>
      </c>
      <c r="D127" s="35">
        <v>14</v>
      </c>
      <c r="E127" s="35">
        <v>1710</v>
      </c>
      <c r="F127" s="35">
        <v>16</v>
      </c>
      <c r="G127" s="35">
        <v>1726</v>
      </c>
      <c r="H127" s="35">
        <v>20</v>
      </c>
      <c r="I127" s="35">
        <v>1746</v>
      </c>
      <c r="J127" s="35">
        <v>14</v>
      </c>
      <c r="K127" s="35">
        <v>1760</v>
      </c>
      <c r="L127" s="35">
        <v>14</v>
      </c>
      <c r="M127" s="35">
        <v>1774</v>
      </c>
      <c r="N127" s="35">
        <v>14</v>
      </c>
      <c r="O127" s="35">
        <v>1788</v>
      </c>
      <c r="P127" s="35">
        <v>11</v>
      </c>
      <c r="Q127" s="35">
        <v>1799</v>
      </c>
      <c r="R127" s="35">
        <v>11</v>
      </c>
      <c r="S127" s="35">
        <v>1809</v>
      </c>
      <c r="T127" s="35">
        <v>10</v>
      </c>
      <c r="U127" s="35">
        <v>1819</v>
      </c>
      <c r="V127" s="35">
        <v>10</v>
      </c>
      <c r="W127" s="35">
        <v>1831</v>
      </c>
      <c r="X127" s="35">
        <v>12</v>
      </c>
      <c r="Y127" s="35">
        <v>1844</v>
      </c>
      <c r="Z127" s="35">
        <v>13</v>
      </c>
      <c r="AA127" s="35">
        <v>1859</v>
      </c>
      <c r="AB127" s="35">
        <v>15</v>
      </c>
      <c r="AC127" s="35">
        <v>15</v>
      </c>
      <c r="AD127" s="35">
        <v>0</v>
      </c>
      <c r="AE127" s="35">
        <v>0</v>
      </c>
      <c r="AG127" s="35">
        <v>3</v>
      </c>
      <c r="AH127" s="35">
        <v>0</v>
      </c>
      <c r="AI127" s="35">
        <v>18</v>
      </c>
    </row>
    <row r="128" spans="1:35" ht="15.75" customHeight="1" x14ac:dyDescent="0.35">
      <c r="A128" s="35">
        <v>129</v>
      </c>
      <c r="B128" s="35" t="s">
        <v>185</v>
      </c>
      <c r="C128" s="35" t="s">
        <v>170</v>
      </c>
      <c r="D128" s="35">
        <v>15</v>
      </c>
      <c r="E128" s="35">
        <v>1918</v>
      </c>
      <c r="F128" s="35">
        <v>7</v>
      </c>
      <c r="G128" s="35">
        <v>1925</v>
      </c>
      <c r="H128" s="35">
        <v>12</v>
      </c>
      <c r="I128" s="35">
        <v>1937</v>
      </c>
      <c r="J128" s="35">
        <v>12</v>
      </c>
      <c r="K128" s="35">
        <v>1949</v>
      </c>
      <c r="L128" s="35">
        <v>6</v>
      </c>
      <c r="M128" s="35">
        <v>1955</v>
      </c>
      <c r="N128" s="35">
        <v>7</v>
      </c>
      <c r="O128" s="35">
        <v>1962</v>
      </c>
      <c r="P128" s="35">
        <v>9</v>
      </c>
      <c r="Q128" s="35">
        <v>1971</v>
      </c>
      <c r="R128" s="35">
        <v>9</v>
      </c>
      <c r="S128" s="35">
        <v>1974</v>
      </c>
      <c r="T128" s="35">
        <v>3</v>
      </c>
      <c r="U128" s="35">
        <v>1978</v>
      </c>
      <c r="V128" s="35">
        <v>4</v>
      </c>
      <c r="W128" s="35">
        <v>1982</v>
      </c>
      <c r="X128" s="35">
        <v>4</v>
      </c>
      <c r="Y128" s="35">
        <v>1987</v>
      </c>
      <c r="Z128" s="35">
        <v>5</v>
      </c>
      <c r="AA128" s="35">
        <v>1999</v>
      </c>
      <c r="AB128" s="35">
        <v>12</v>
      </c>
      <c r="AC128" s="35">
        <v>12</v>
      </c>
      <c r="AD128" s="35">
        <v>0</v>
      </c>
      <c r="AE128" s="35">
        <v>0</v>
      </c>
      <c r="AG128" s="35">
        <v>3</v>
      </c>
      <c r="AH128" s="35">
        <v>20</v>
      </c>
      <c r="AI128" s="35">
        <v>35</v>
      </c>
    </row>
    <row r="129" spans="1:35" ht="15.75" customHeight="1" x14ac:dyDescent="0.35">
      <c r="A129" s="35">
        <v>130</v>
      </c>
      <c r="B129" s="35" t="s">
        <v>186</v>
      </c>
      <c r="C129" s="35" t="s">
        <v>170</v>
      </c>
      <c r="D129" s="35">
        <v>16</v>
      </c>
      <c r="E129" s="35">
        <v>4603</v>
      </c>
      <c r="F129" s="35">
        <v>13</v>
      </c>
      <c r="G129" s="35">
        <v>4616</v>
      </c>
      <c r="H129" s="35">
        <v>16</v>
      </c>
      <c r="I129" s="35">
        <v>4632</v>
      </c>
      <c r="J129" s="35">
        <v>13</v>
      </c>
      <c r="K129" s="35">
        <v>4645</v>
      </c>
      <c r="L129" s="35">
        <v>9</v>
      </c>
      <c r="M129" s="35">
        <v>4654</v>
      </c>
      <c r="N129" s="35">
        <v>13</v>
      </c>
      <c r="O129" s="35">
        <v>4667</v>
      </c>
      <c r="P129" s="35">
        <v>14</v>
      </c>
      <c r="Q129" s="35">
        <v>4681</v>
      </c>
      <c r="R129" s="35">
        <v>14</v>
      </c>
      <c r="S129" s="35">
        <v>4688</v>
      </c>
      <c r="T129" s="35">
        <v>7</v>
      </c>
      <c r="U129" s="35">
        <v>4696</v>
      </c>
      <c r="V129" s="35">
        <v>8</v>
      </c>
      <c r="W129" s="35">
        <v>4704</v>
      </c>
      <c r="X129" s="35">
        <v>8</v>
      </c>
      <c r="Y129" s="35">
        <v>4713</v>
      </c>
      <c r="Z129" s="35">
        <v>9</v>
      </c>
      <c r="AA129" s="35">
        <v>4721</v>
      </c>
      <c r="AB129" s="35">
        <v>8</v>
      </c>
      <c r="AC129" s="35">
        <v>8</v>
      </c>
      <c r="AD129" s="35">
        <v>0</v>
      </c>
      <c r="AE129" s="35">
        <v>0</v>
      </c>
      <c r="AG129" s="35">
        <v>3</v>
      </c>
      <c r="AH129" s="35">
        <v>20</v>
      </c>
      <c r="AI129" s="35">
        <v>31</v>
      </c>
    </row>
    <row r="130" spans="1:35" ht="15.75" customHeight="1" x14ac:dyDescent="0.35">
      <c r="A130" s="35">
        <v>131</v>
      </c>
      <c r="B130" s="35" t="s">
        <v>188</v>
      </c>
      <c r="C130" s="35" t="s">
        <v>170</v>
      </c>
      <c r="D130" s="35" t="s">
        <v>643</v>
      </c>
      <c r="E130" s="35">
        <v>12</v>
      </c>
      <c r="F130" s="35">
        <v>15</v>
      </c>
      <c r="G130" s="35">
        <v>27</v>
      </c>
      <c r="H130" s="35">
        <v>19</v>
      </c>
      <c r="I130" s="35">
        <v>46</v>
      </c>
      <c r="J130" s="35">
        <v>20</v>
      </c>
      <c r="K130" s="35">
        <v>66</v>
      </c>
      <c r="L130" s="35">
        <v>19</v>
      </c>
      <c r="M130" s="35">
        <v>85</v>
      </c>
      <c r="N130" s="35">
        <v>20</v>
      </c>
      <c r="O130" s="35">
        <v>105</v>
      </c>
      <c r="P130" s="35">
        <v>16</v>
      </c>
      <c r="Q130" s="35">
        <v>121</v>
      </c>
      <c r="R130" s="35">
        <v>16</v>
      </c>
      <c r="S130" s="35">
        <v>137</v>
      </c>
      <c r="T130" s="35">
        <v>16</v>
      </c>
      <c r="U130" s="35">
        <v>161</v>
      </c>
      <c r="V130" s="35">
        <v>24</v>
      </c>
      <c r="W130" s="35">
        <v>183</v>
      </c>
      <c r="X130" s="35">
        <v>22</v>
      </c>
      <c r="Y130" s="35">
        <v>216</v>
      </c>
      <c r="Z130" s="35">
        <v>33</v>
      </c>
      <c r="AA130" s="35">
        <v>253</v>
      </c>
      <c r="AB130" s="35">
        <v>37</v>
      </c>
      <c r="AC130" s="35">
        <v>37</v>
      </c>
      <c r="AD130" s="35">
        <v>0</v>
      </c>
      <c r="AE130" s="35">
        <v>0</v>
      </c>
      <c r="AG130" s="35">
        <v>3</v>
      </c>
      <c r="AH130" s="35">
        <v>20</v>
      </c>
      <c r="AI130" s="35">
        <v>60</v>
      </c>
    </row>
    <row r="131" spans="1:35" ht="15.75" customHeight="1" x14ac:dyDescent="0.35">
      <c r="A131" s="35">
        <v>132</v>
      </c>
      <c r="B131" s="35" t="s">
        <v>644</v>
      </c>
      <c r="C131" s="35" t="s">
        <v>170</v>
      </c>
      <c r="D131" s="35">
        <v>17</v>
      </c>
      <c r="E131" s="35">
        <v>1244</v>
      </c>
      <c r="F131" s="35">
        <v>22</v>
      </c>
      <c r="G131" s="35">
        <v>1266</v>
      </c>
      <c r="H131" s="35">
        <v>32</v>
      </c>
      <c r="I131" s="35">
        <v>1298</v>
      </c>
      <c r="J131" s="35">
        <v>33</v>
      </c>
      <c r="K131" s="35">
        <v>1331</v>
      </c>
      <c r="L131" s="35">
        <v>17</v>
      </c>
      <c r="M131" s="35">
        <v>1348</v>
      </c>
      <c r="N131" s="35">
        <v>12</v>
      </c>
      <c r="O131" s="35">
        <v>1360</v>
      </c>
      <c r="P131" s="35">
        <v>3</v>
      </c>
      <c r="Q131" s="35">
        <v>1363</v>
      </c>
      <c r="R131" s="35">
        <v>3</v>
      </c>
      <c r="S131" s="35">
        <v>1364</v>
      </c>
      <c r="T131" s="35">
        <v>1</v>
      </c>
      <c r="U131" s="35">
        <v>1364</v>
      </c>
      <c r="V131" s="35">
        <v>0</v>
      </c>
      <c r="W131" s="35">
        <v>1365</v>
      </c>
      <c r="X131" s="35">
        <v>1</v>
      </c>
      <c r="Y131" s="35">
        <v>1365</v>
      </c>
      <c r="Z131" s="35">
        <v>0</v>
      </c>
      <c r="AA131" s="35">
        <v>1365</v>
      </c>
      <c r="AB131" s="35">
        <v>0</v>
      </c>
      <c r="AC131" s="35">
        <v>5</v>
      </c>
      <c r="AD131" s="35">
        <v>0</v>
      </c>
      <c r="AE131" s="35">
        <v>0</v>
      </c>
      <c r="AG131" s="35">
        <v>3</v>
      </c>
      <c r="AH131" s="35">
        <v>20</v>
      </c>
      <c r="AI131" s="35">
        <v>28</v>
      </c>
    </row>
    <row r="132" spans="1:35" ht="15.75" customHeight="1" x14ac:dyDescent="0.35">
      <c r="A132" s="35">
        <v>133</v>
      </c>
      <c r="B132" s="35" t="s">
        <v>191</v>
      </c>
      <c r="C132" s="35" t="s">
        <v>170</v>
      </c>
      <c r="D132" s="35">
        <v>18</v>
      </c>
      <c r="E132" s="35">
        <v>1000</v>
      </c>
      <c r="F132" s="35">
        <v>9</v>
      </c>
      <c r="G132" s="35">
        <v>1009</v>
      </c>
      <c r="H132" s="35">
        <v>7</v>
      </c>
      <c r="I132" s="35">
        <v>1016</v>
      </c>
      <c r="J132" s="35">
        <v>5</v>
      </c>
      <c r="K132" s="35">
        <v>1021</v>
      </c>
      <c r="L132" s="35">
        <v>8</v>
      </c>
      <c r="M132" s="35">
        <v>1029</v>
      </c>
      <c r="N132" s="35">
        <v>4</v>
      </c>
      <c r="O132" s="35">
        <v>1033</v>
      </c>
      <c r="P132" s="35">
        <v>2</v>
      </c>
      <c r="Q132" s="35">
        <v>1035</v>
      </c>
      <c r="R132" s="35">
        <v>2</v>
      </c>
      <c r="S132" s="35">
        <v>1036</v>
      </c>
      <c r="T132" s="35">
        <v>1</v>
      </c>
      <c r="U132" s="35">
        <v>1039</v>
      </c>
      <c r="V132" s="35">
        <v>3</v>
      </c>
      <c r="W132" s="35">
        <v>1046</v>
      </c>
      <c r="X132" s="35">
        <v>7</v>
      </c>
      <c r="Y132" s="35">
        <v>1048</v>
      </c>
      <c r="Z132" s="35">
        <v>2</v>
      </c>
      <c r="AA132" s="35">
        <v>1049</v>
      </c>
      <c r="AB132" s="35">
        <v>1</v>
      </c>
      <c r="AC132" s="35">
        <v>5</v>
      </c>
      <c r="AD132" s="35">
        <v>0</v>
      </c>
      <c r="AE132" s="35">
        <v>0</v>
      </c>
      <c r="AG132" s="35">
        <v>3</v>
      </c>
      <c r="AH132" s="35">
        <v>0</v>
      </c>
      <c r="AI132" s="35">
        <v>8</v>
      </c>
    </row>
    <row r="133" spans="1:35" ht="15.75" customHeight="1" x14ac:dyDescent="0.35">
      <c r="A133" s="35">
        <v>134</v>
      </c>
      <c r="B133" s="35" t="s">
        <v>192</v>
      </c>
      <c r="C133" s="35" t="s">
        <v>170</v>
      </c>
      <c r="D133" s="35">
        <v>19</v>
      </c>
      <c r="E133" s="35">
        <v>2832</v>
      </c>
      <c r="F133" s="35">
        <v>25</v>
      </c>
      <c r="G133" s="35">
        <v>2857</v>
      </c>
      <c r="H133" s="35">
        <v>26</v>
      </c>
      <c r="I133" s="35">
        <v>2883</v>
      </c>
      <c r="J133" s="35">
        <v>25</v>
      </c>
      <c r="K133" s="35">
        <v>2908</v>
      </c>
      <c r="L133" s="35">
        <v>27</v>
      </c>
      <c r="M133" s="35">
        <v>2935</v>
      </c>
      <c r="N133" s="35">
        <v>21</v>
      </c>
      <c r="O133" s="35">
        <v>2956</v>
      </c>
      <c r="P133" s="35">
        <v>19</v>
      </c>
      <c r="Q133" s="35">
        <v>2975</v>
      </c>
      <c r="R133" s="35">
        <v>19</v>
      </c>
      <c r="S133" s="35">
        <v>2991</v>
      </c>
      <c r="T133" s="35">
        <v>16</v>
      </c>
      <c r="U133" s="35">
        <v>3007</v>
      </c>
      <c r="V133" s="35">
        <v>16</v>
      </c>
      <c r="W133" s="35">
        <v>3021</v>
      </c>
      <c r="X133" s="35">
        <v>14</v>
      </c>
      <c r="Y133" s="35">
        <v>3035</v>
      </c>
      <c r="Z133" s="35">
        <v>14</v>
      </c>
      <c r="AA133" s="35">
        <v>3051</v>
      </c>
      <c r="AB133" s="35">
        <v>16</v>
      </c>
      <c r="AC133" s="35">
        <v>16</v>
      </c>
      <c r="AD133" s="35">
        <v>0</v>
      </c>
      <c r="AE133" s="35">
        <v>0</v>
      </c>
      <c r="AG133" s="35">
        <v>3</v>
      </c>
      <c r="AH133" s="35">
        <v>0</v>
      </c>
      <c r="AI133" s="35">
        <v>19</v>
      </c>
    </row>
    <row r="134" spans="1:35" ht="15.75" customHeight="1" x14ac:dyDescent="0.35">
      <c r="A134" s="35">
        <v>135</v>
      </c>
      <c r="B134" s="35" t="s">
        <v>193</v>
      </c>
      <c r="C134" s="35" t="s">
        <v>170</v>
      </c>
      <c r="D134" s="35">
        <v>20</v>
      </c>
      <c r="E134" s="35">
        <v>2713</v>
      </c>
      <c r="F134" s="35">
        <v>19</v>
      </c>
      <c r="G134" s="35">
        <v>2732</v>
      </c>
      <c r="H134" s="35">
        <v>17</v>
      </c>
      <c r="I134" s="35">
        <v>2749</v>
      </c>
      <c r="J134" s="35">
        <v>15</v>
      </c>
      <c r="K134" s="35">
        <v>2764</v>
      </c>
      <c r="L134" s="35">
        <v>14</v>
      </c>
      <c r="M134" s="35">
        <v>2778</v>
      </c>
      <c r="N134" s="35">
        <v>13</v>
      </c>
      <c r="O134" s="35">
        <v>2791</v>
      </c>
      <c r="P134" s="35">
        <v>14</v>
      </c>
      <c r="Q134" s="35">
        <v>2805</v>
      </c>
      <c r="R134" s="35">
        <v>14</v>
      </c>
      <c r="S134" s="35">
        <v>2816</v>
      </c>
      <c r="T134" s="35">
        <v>11</v>
      </c>
      <c r="U134" s="35">
        <v>2827</v>
      </c>
      <c r="V134" s="35">
        <v>11</v>
      </c>
      <c r="W134" s="35">
        <v>2838</v>
      </c>
      <c r="X134" s="35">
        <v>11</v>
      </c>
      <c r="Y134" s="35">
        <v>2850</v>
      </c>
      <c r="Z134" s="35">
        <v>12</v>
      </c>
      <c r="AA134" s="35">
        <v>2865</v>
      </c>
      <c r="AB134" s="35">
        <v>15</v>
      </c>
      <c r="AC134" s="35">
        <v>15</v>
      </c>
      <c r="AD134" s="35">
        <v>0</v>
      </c>
      <c r="AE134" s="35">
        <v>0</v>
      </c>
      <c r="AG134" s="35">
        <v>3</v>
      </c>
      <c r="AH134" s="35">
        <v>0</v>
      </c>
      <c r="AI134" s="35">
        <v>18</v>
      </c>
    </row>
    <row r="135" spans="1:35" ht="15.75" customHeight="1" x14ac:dyDescent="0.35">
      <c r="A135" s="35">
        <v>136</v>
      </c>
      <c r="B135" s="35" t="s">
        <v>194</v>
      </c>
      <c r="C135" s="35" t="s">
        <v>170</v>
      </c>
      <c r="D135" s="35">
        <v>21</v>
      </c>
      <c r="E135" s="35">
        <v>1104</v>
      </c>
      <c r="F135" s="35">
        <v>27</v>
      </c>
      <c r="G135" s="35">
        <v>1131</v>
      </c>
      <c r="H135" s="35">
        <v>35</v>
      </c>
      <c r="I135" s="35">
        <v>1166</v>
      </c>
      <c r="J135" s="35">
        <v>30</v>
      </c>
      <c r="K135" s="35">
        <v>1196</v>
      </c>
      <c r="L135" s="35">
        <v>29</v>
      </c>
      <c r="M135" s="35">
        <v>1225</v>
      </c>
      <c r="N135" s="35">
        <v>23</v>
      </c>
      <c r="O135" s="35">
        <v>1248</v>
      </c>
      <c r="P135" s="35">
        <v>21</v>
      </c>
      <c r="Q135" s="35">
        <v>1269</v>
      </c>
      <c r="R135" s="35">
        <v>21</v>
      </c>
      <c r="S135" s="35">
        <v>1288</v>
      </c>
      <c r="T135" s="35">
        <v>19</v>
      </c>
      <c r="U135" s="35">
        <v>1305</v>
      </c>
      <c r="V135" s="35">
        <v>17</v>
      </c>
      <c r="W135" s="35">
        <v>1322</v>
      </c>
      <c r="X135" s="35">
        <v>17</v>
      </c>
      <c r="Y135" s="35">
        <v>1340</v>
      </c>
      <c r="Z135" s="35">
        <v>18</v>
      </c>
      <c r="AA135" s="35">
        <v>1363</v>
      </c>
      <c r="AB135" s="35">
        <v>23</v>
      </c>
      <c r="AC135" s="35">
        <v>23</v>
      </c>
      <c r="AD135" s="35">
        <v>0</v>
      </c>
      <c r="AE135" s="35">
        <v>0</v>
      </c>
      <c r="AG135" s="35">
        <v>3</v>
      </c>
      <c r="AH135" s="35">
        <v>0</v>
      </c>
      <c r="AI135" s="35">
        <v>26</v>
      </c>
    </row>
    <row r="136" spans="1:35" ht="15.75" customHeight="1" x14ac:dyDescent="0.35">
      <c r="A136" s="35">
        <v>137</v>
      </c>
      <c r="B136" s="35" t="s">
        <v>195</v>
      </c>
      <c r="C136" s="35" t="s">
        <v>170</v>
      </c>
      <c r="D136" s="35" t="s">
        <v>645</v>
      </c>
      <c r="E136" s="35">
        <v>458</v>
      </c>
      <c r="F136" s="35">
        <v>13</v>
      </c>
      <c r="G136" s="35">
        <v>471</v>
      </c>
      <c r="H136" s="35">
        <v>14</v>
      </c>
      <c r="I136" s="35">
        <v>485</v>
      </c>
      <c r="J136" s="35">
        <v>14</v>
      </c>
      <c r="K136" s="35">
        <v>499</v>
      </c>
      <c r="L136" s="35">
        <v>11</v>
      </c>
      <c r="M136" s="35">
        <v>510</v>
      </c>
      <c r="N136" s="35">
        <v>11</v>
      </c>
      <c r="O136" s="35">
        <v>521</v>
      </c>
      <c r="P136" s="35">
        <v>10</v>
      </c>
      <c r="Q136" s="35">
        <v>531</v>
      </c>
      <c r="R136" s="35">
        <v>10</v>
      </c>
      <c r="S136" s="35">
        <v>540</v>
      </c>
      <c r="T136" s="35">
        <v>9</v>
      </c>
      <c r="U136" s="35">
        <v>544</v>
      </c>
      <c r="V136" s="35">
        <v>4</v>
      </c>
      <c r="W136" s="35">
        <v>551</v>
      </c>
      <c r="X136" s="35">
        <v>7</v>
      </c>
      <c r="Y136" s="35">
        <v>559</v>
      </c>
      <c r="Z136" s="35">
        <v>8</v>
      </c>
      <c r="AA136" s="35">
        <v>571</v>
      </c>
      <c r="AB136" s="35">
        <v>12</v>
      </c>
      <c r="AC136" s="35">
        <v>12</v>
      </c>
      <c r="AD136" s="35">
        <v>0</v>
      </c>
      <c r="AE136" s="35">
        <v>0</v>
      </c>
      <c r="AG136" s="35">
        <v>3</v>
      </c>
      <c r="AH136" s="35">
        <v>0</v>
      </c>
      <c r="AI136" s="35">
        <v>15</v>
      </c>
    </row>
    <row r="137" spans="1:35" ht="15.75" customHeight="1" x14ac:dyDescent="0.35">
      <c r="A137" s="35">
        <v>138</v>
      </c>
      <c r="B137" s="35" t="s">
        <v>197</v>
      </c>
      <c r="C137" s="35" t="s">
        <v>170</v>
      </c>
      <c r="D137" s="35">
        <v>22</v>
      </c>
      <c r="E137" s="35">
        <v>3480</v>
      </c>
      <c r="F137" s="35">
        <v>28</v>
      </c>
      <c r="G137" s="35">
        <v>3508</v>
      </c>
      <c r="H137" s="35">
        <v>39</v>
      </c>
      <c r="I137" s="35">
        <v>3547</v>
      </c>
      <c r="J137" s="35">
        <v>29</v>
      </c>
      <c r="K137" s="35">
        <v>3576</v>
      </c>
      <c r="L137" s="35">
        <v>37</v>
      </c>
      <c r="M137" s="35">
        <v>3613</v>
      </c>
      <c r="N137" s="35">
        <v>33</v>
      </c>
      <c r="O137" s="35">
        <v>3646</v>
      </c>
      <c r="P137" s="35">
        <v>32</v>
      </c>
      <c r="Q137" s="35">
        <v>3678</v>
      </c>
      <c r="R137" s="35">
        <v>32</v>
      </c>
      <c r="S137" s="35">
        <v>3701</v>
      </c>
      <c r="T137" s="35">
        <v>23</v>
      </c>
      <c r="U137" s="35">
        <v>3725</v>
      </c>
      <c r="V137" s="35">
        <v>24</v>
      </c>
      <c r="W137" s="35">
        <v>3750</v>
      </c>
      <c r="X137" s="35">
        <v>25</v>
      </c>
      <c r="Y137" s="35">
        <v>3809</v>
      </c>
      <c r="Z137" s="35">
        <v>59</v>
      </c>
      <c r="AA137" s="35">
        <v>3855</v>
      </c>
      <c r="AB137" s="35">
        <v>46</v>
      </c>
      <c r="AC137" s="35">
        <v>46</v>
      </c>
      <c r="AD137" s="35">
        <v>0</v>
      </c>
      <c r="AE137" s="35">
        <v>0</v>
      </c>
      <c r="AG137" s="35">
        <v>3</v>
      </c>
      <c r="AH137" s="35">
        <v>0</v>
      </c>
      <c r="AI137" s="35">
        <v>49</v>
      </c>
    </row>
    <row r="138" spans="1:35" ht="15.75" customHeight="1" x14ac:dyDescent="0.35">
      <c r="A138" s="35">
        <v>139</v>
      </c>
      <c r="B138" s="35" t="s">
        <v>198</v>
      </c>
      <c r="C138" s="35" t="s">
        <v>170</v>
      </c>
      <c r="D138" s="35">
        <v>23</v>
      </c>
      <c r="E138" s="35">
        <v>121</v>
      </c>
      <c r="F138" s="35">
        <v>10</v>
      </c>
      <c r="G138" s="35">
        <v>131</v>
      </c>
      <c r="H138" s="35">
        <v>8</v>
      </c>
      <c r="I138" s="35">
        <v>139</v>
      </c>
      <c r="J138" s="35">
        <v>11</v>
      </c>
      <c r="K138" s="35">
        <v>150</v>
      </c>
      <c r="L138" s="35">
        <v>9</v>
      </c>
      <c r="M138" s="35">
        <v>159</v>
      </c>
      <c r="N138" s="35">
        <v>10</v>
      </c>
      <c r="O138" s="35">
        <v>169</v>
      </c>
      <c r="P138" s="35">
        <v>6</v>
      </c>
      <c r="Q138" s="35">
        <v>175</v>
      </c>
      <c r="R138" s="35">
        <v>6</v>
      </c>
      <c r="S138" s="35">
        <v>178</v>
      </c>
      <c r="T138" s="35">
        <v>3</v>
      </c>
      <c r="U138" s="35">
        <v>181</v>
      </c>
      <c r="V138" s="35">
        <v>3</v>
      </c>
      <c r="W138" s="35">
        <v>185</v>
      </c>
      <c r="X138" s="35">
        <v>4</v>
      </c>
      <c r="Y138" s="35">
        <v>194</v>
      </c>
      <c r="Z138" s="35">
        <v>9</v>
      </c>
      <c r="AA138" s="35">
        <v>204</v>
      </c>
      <c r="AB138" s="35">
        <v>10</v>
      </c>
      <c r="AC138" s="35">
        <v>10</v>
      </c>
      <c r="AD138" s="35">
        <v>12</v>
      </c>
      <c r="AE138" s="35">
        <v>0</v>
      </c>
      <c r="AG138" s="35">
        <v>3</v>
      </c>
      <c r="AH138" s="35">
        <v>20</v>
      </c>
      <c r="AI138" s="35">
        <v>45</v>
      </c>
    </row>
    <row r="139" spans="1:35" ht="15.75" customHeight="1" x14ac:dyDescent="0.35">
      <c r="A139" s="35">
        <v>140</v>
      </c>
      <c r="B139" s="35" t="s">
        <v>646</v>
      </c>
      <c r="C139" s="35" t="s">
        <v>170</v>
      </c>
      <c r="D139" s="35">
        <v>24</v>
      </c>
      <c r="E139" s="35">
        <v>3250</v>
      </c>
      <c r="F139" s="35">
        <v>30</v>
      </c>
      <c r="G139" s="35">
        <v>3280</v>
      </c>
      <c r="H139" s="35">
        <v>30</v>
      </c>
      <c r="I139" s="35">
        <v>15</v>
      </c>
      <c r="J139" s="35">
        <v>18</v>
      </c>
      <c r="K139" s="35">
        <v>33</v>
      </c>
      <c r="L139" s="35">
        <v>22</v>
      </c>
      <c r="M139" s="35">
        <v>55</v>
      </c>
      <c r="N139" s="35">
        <v>34</v>
      </c>
      <c r="O139" s="35">
        <v>89</v>
      </c>
      <c r="P139" s="35">
        <v>21</v>
      </c>
      <c r="Q139" s="35">
        <v>110</v>
      </c>
      <c r="R139" s="35">
        <v>21</v>
      </c>
      <c r="S139" s="35">
        <v>121</v>
      </c>
      <c r="T139" s="35">
        <v>11</v>
      </c>
      <c r="U139" s="35">
        <v>133</v>
      </c>
      <c r="V139" s="35">
        <v>12</v>
      </c>
      <c r="W139" s="35">
        <v>150</v>
      </c>
      <c r="X139" s="35">
        <v>17</v>
      </c>
      <c r="Y139" s="35">
        <v>166</v>
      </c>
      <c r="Z139" s="35">
        <v>16</v>
      </c>
      <c r="AA139" s="35">
        <v>180</v>
      </c>
      <c r="AB139" s="35">
        <v>14</v>
      </c>
      <c r="AC139" s="35">
        <v>14</v>
      </c>
      <c r="AD139" s="35">
        <v>0</v>
      </c>
      <c r="AE139" s="35">
        <v>0</v>
      </c>
      <c r="AG139" s="35">
        <v>3</v>
      </c>
      <c r="AH139" s="35">
        <v>0</v>
      </c>
      <c r="AI139" s="35">
        <v>17</v>
      </c>
    </row>
    <row r="140" spans="1:35" ht="15.75" customHeight="1" x14ac:dyDescent="0.35">
      <c r="A140" s="35">
        <v>141</v>
      </c>
      <c r="B140" s="35" t="s">
        <v>200</v>
      </c>
      <c r="C140" s="35" t="s">
        <v>201</v>
      </c>
      <c r="D140" s="35">
        <v>1</v>
      </c>
      <c r="E140" s="35">
        <v>2245</v>
      </c>
      <c r="F140" s="35">
        <v>33</v>
      </c>
      <c r="G140" s="35">
        <v>2278</v>
      </c>
      <c r="H140" s="35">
        <v>19</v>
      </c>
      <c r="I140" s="35">
        <v>2297</v>
      </c>
      <c r="J140" s="35">
        <v>11</v>
      </c>
      <c r="K140" s="35">
        <v>2308</v>
      </c>
      <c r="L140" s="35">
        <v>8</v>
      </c>
      <c r="M140" s="35">
        <v>2316</v>
      </c>
      <c r="N140" s="35">
        <v>7</v>
      </c>
      <c r="O140" s="35">
        <v>2323</v>
      </c>
      <c r="P140" s="35">
        <v>8</v>
      </c>
      <c r="Q140" s="35">
        <v>2331</v>
      </c>
      <c r="R140" s="35">
        <v>8</v>
      </c>
      <c r="S140" s="35">
        <v>2339</v>
      </c>
      <c r="T140" s="35">
        <v>8</v>
      </c>
      <c r="U140" s="35">
        <v>2355</v>
      </c>
      <c r="V140" s="35">
        <v>16</v>
      </c>
      <c r="W140" s="35">
        <v>2370</v>
      </c>
      <c r="X140" s="35">
        <v>15</v>
      </c>
      <c r="Y140" s="35">
        <v>2384</v>
      </c>
      <c r="Z140" s="35">
        <v>14</v>
      </c>
      <c r="AA140" s="35">
        <v>2401</v>
      </c>
      <c r="AB140" s="35">
        <v>17</v>
      </c>
      <c r="AC140" s="35">
        <v>17</v>
      </c>
      <c r="AD140" s="35">
        <v>0</v>
      </c>
      <c r="AE140" s="35">
        <v>0</v>
      </c>
      <c r="AG140" s="35">
        <v>3</v>
      </c>
      <c r="AH140" s="35">
        <v>0</v>
      </c>
      <c r="AI140" s="35">
        <v>20</v>
      </c>
    </row>
    <row r="141" spans="1:35" ht="15.75" customHeight="1" x14ac:dyDescent="0.35">
      <c r="A141" s="35">
        <v>142</v>
      </c>
      <c r="B141" s="35" t="s">
        <v>202</v>
      </c>
      <c r="C141" s="35" t="s">
        <v>201</v>
      </c>
      <c r="D141" s="35">
        <v>2</v>
      </c>
      <c r="E141" s="35">
        <v>1883</v>
      </c>
      <c r="F141" s="35">
        <v>7</v>
      </c>
      <c r="G141" s="35">
        <v>1890</v>
      </c>
      <c r="H141" s="35">
        <v>7</v>
      </c>
      <c r="I141" s="35">
        <v>1897</v>
      </c>
      <c r="J141" s="35">
        <v>10</v>
      </c>
      <c r="K141" s="35">
        <v>1907</v>
      </c>
      <c r="L141" s="35">
        <v>11</v>
      </c>
      <c r="M141" s="35">
        <v>1918</v>
      </c>
      <c r="N141" s="35">
        <v>10</v>
      </c>
      <c r="O141" s="35">
        <v>1928</v>
      </c>
      <c r="P141" s="35">
        <v>10</v>
      </c>
      <c r="Q141" s="35">
        <v>1938</v>
      </c>
      <c r="R141" s="35">
        <v>10</v>
      </c>
      <c r="S141" s="35">
        <v>1947</v>
      </c>
      <c r="T141" s="35">
        <v>9</v>
      </c>
      <c r="U141" s="35">
        <v>1958</v>
      </c>
      <c r="V141" s="35">
        <v>11</v>
      </c>
      <c r="W141" s="35">
        <v>1968</v>
      </c>
      <c r="X141" s="35">
        <v>10</v>
      </c>
      <c r="Y141" s="35">
        <v>1980</v>
      </c>
      <c r="Z141" s="35">
        <v>12</v>
      </c>
      <c r="AA141" s="35">
        <v>1992</v>
      </c>
      <c r="AB141" s="35">
        <v>12</v>
      </c>
      <c r="AC141" s="35">
        <v>12</v>
      </c>
      <c r="AD141" s="35">
        <v>0</v>
      </c>
      <c r="AE141" s="35">
        <v>0</v>
      </c>
      <c r="AG141" s="35">
        <v>3</v>
      </c>
      <c r="AH141" s="35">
        <v>0</v>
      </c>
      <c r="AI141" s="35">
        <v>15</v>
      </c>
    </row>
    <row r="142" spans="1:35" ht="15.75" customHeight="1" x14ac:dyDescent="0.35">
      <c r="A142" s="35">
        <v>143</v>
      </c>
      <c r="B142" s="35" t="s">
        <v>203</v>
      </c>
      <c r="C142" s="35" t="s">
        <v>201</v>
      </c>
      <c r="D142" s="35">
        <v>3</v>
      </c>
      <c r="E142" s="35">
        <v>2872</v>
      </c>
      <c r="F142" s="35">
        <v>14</v>
      </c>
      <c r="G142" s="35">
        <v>2886</v>
      </c>
      <c r="H142" s="35">
        <v>13</v>
      </c>
      <c r="I142" s="35">
        <v>2899</v>
      </c>
      <c r="J142" s="35">
        <v>14</v>
      </c>
      <c r="K142" s="35">
        <v>2913</v>
      </c>
      <c r="L142" s="35">
        <v>15</v>
      </c>
      <c r="M142" s="35">
        <v>2928</v>
      </c>
      <c r="N142" s="35">
        <v>13</v>
      </c>
      <c r="O142" s="35">
        <v>2941</v>
      </c>
      <c r="P142" s="35">
        <v>10</v>
      </c>
      <c r="Q142" s="35">
        <v>2951</v>
      </c>
      <c r="R142" s="35">
        <v>10</v>
      </c>
      <c r="S142" s="35">
        <v>2961</v>
      </c>
      <c r="T142" s="35">
        <v>10</v>
      </c>
      <c r="U142" s="35">
        <v>2967</v>
      </c>
      <c r="V142" s="35">
        <v>6</v>
      </c>
      <c r="W142" s="35">
        <v>2973</v>
      </c>
      <c r="X142" s="35">
        <v>6</v>
      </c>
      <c r="Y142" s="35">
        <v>2982</v>
      </c>
      <c r="Z142" s="35">
        <v>9</v>
      </c>
      <c r="AA142" s="35">
        <v>2983</v>
      </c>
      <c r="AB142" s="35">
        <v>1</v>
      </c>
      <c r="AC142" s="35">
        <v>5</v>
      </c>
      <c r="AD142" s="35">
        <v>0</v>
      </c>
      <c r="AE142" s="35">
        <v>0</v>
      </c>
      <c r="AG142" s="35">
        <v>3</v>
      </c>
      <c r="AH142" s="35">
        <v>0</v>
      </c>
      <c r="AI142" s="35">
        <v>8</v>
      </c>
    </row>
    <row r="143" spans="1:35" ht="15.75" customHeight="1" x14ac:dyDescent="0.35">
      <c r="A143" s="35">
        <v>144</v>
      </c>
      <c r="B143" s="35" t="s">
        <v>204</v>
      </c>
      <c r="C143" s="35" t="s">
        <v>201</v>
      </c>
      <c r="D143" s="35">
        <v>4</v>
      </c>
      <c r="E143" s="35">
        <v>2133</v>
      </c>
      <c r="F143" s="35">
        <v>18</v>
      </c>
      <c r="G143" s="35">
        <v>2151</v>
      </c>
      <c r="H143" s="35">
        <v>15</v>
      </c>
      <c r="I143" s="35">
        <v>2166</v>
      </c>
      <c r="J143" s="35">
        <v>8</v>
      </c>
      <c r="K143" s="35">
        <v>2174</v>
      </c>
      <c r="L143" s="35">
        <v>12</v>
      </c>
      <c r="M143" s="35">
        <v>2186</v>
      </c>
      <c r="N143" s="35">
        <v>13</v>
      </c>
      <c r="O143" s="35">
        <v>2199</v>
      </c>
      <c r="P143" s="35">
        <v>24</v>
      </c>
      <c r="Q143" s="35">
        <v>2223</v>
      </c>
      <c r="R143" s="35">
        <v>24</v>
      </c>
      <c r="S143" s="35">
        <v>2235</v>
      </c>
      <c r="T143" s="35">
        <v>12</v>
      </c>
      <c r="U143" s="35">
        <v>2252</v>
      </c>
      <c r="V143" s="35">
        <v>17</v>
      </c>
      <c r="W143" s="35">
        <v>2267</v>
      </c>
      <c r="X143" s="35">
        <v>15</v>
      </c>
      <c r="Y143" s="35">
        <v>2279</v>
      </c>
      <c r="Z143" s="35">
        <v>12</v>
      </c>
      <c r="AA143" s="35">
        <v>2288</v>
      </c>
      <c r="AB143" s="35">
        <v>9</v>
      </c>
      <c r="AC143" s="35">
        <v>9</v>
      </c>
      <c r="AD143" s="35">
        <v>0</v>
      </c>
      <c r="AE143" s="35">
        <v>0</v>
      </c>
      <c r="AG143" s="35">
        <v>3</v>
      </c>
      <c r="AH143" s="35">
        <v>0</v>
      </c>
      <c r="AI143" s="35">
        <v>12</v>
      </c>
    </row>
    <row r="144" spans="1:35" ht="15.75" customHeight="1" x14ac:dyDescent="0.35">
      <c r="A144" s="35">
        <v>145</v>
      </c>
      <c r="B144" s="35" t="s">
        <v>205</v>
      </c>
      <c r="C144" s="35" t="s">
        <v>201</v>
      </c>
      <c r="D144" s="35">
        <v>5</v>
      </c>
      <c r="E144" s="35">
        <v>5105</v>
      </c>
      <c r="F144" s="35">
        <v>27</v>
      </c>
      <c r="G144" s="35">
        <v>5132</v>
      </c>
      <c r="H144" s="35">
        <v>20</v>
      </c>
      <c r="I144" s="35">
        <v>5152</v>
      </c>
      <c r="J144" s="35">
        <v>32</v>
      </c>
      <c r="K144" s="35">
        <v>5184</v>
      </c>
      <c r="L144" s="35">
        <v>29</v>
      </c>
      <c r="M144" s="35">
        <v>5213</v>
      </c>
      <c r="N144" s="35">
        <v>24</v>
      </c>
      <c r="O144" s="35">
        <v>5237</v>
      </c>
      <c r="P144" s="35">
        <v>23</v>
      </c>
      <c r="Q144" s="35">
        <v>5260</v>
      </c>
      <c r="R144" s="35">
        <v>23</v>
      </c>
      <c r="S144" s="35">
        <v>5281</v>
      </c>
      <c r="T144" s="35">
        <v>21</v>
      </c>
      <c r="U144" s="35">
        <v>5303</v>
      </c>
      <c r="V144" s="35">
        <v>22</v>
      </c>
      <c r="W144" s="35">
        <v>5319</v>
      </c>
      <c r="X144" s="35">
        <v>16</v>
      </c>
      <c r="Y144" s="35">
        <v>5330</v>
      </c>
      <c r="Z144" s="35">
        <v>11</v>
      </c>
      <c r="AA144" s="35">
        <v>5343</v>
      </c>
      <c r="AB144" s="35">
        <v>13</v>
      </c>
      <c r="AC144" s="35">
        <v>13</v>
      </c>
      <c r="AD144" s="35">
        <v>0</v>
      </c>
      <c r="AE144" s="35">
        <v>0</v>
      </c>
      <c r="AG144" s="35">
        <v>3</v>
      </c>
      <c r="AH144" s="35">
        <v>20</v>
      </c>
      <c r="AI144" s="35">
        <v>36</v>
      </c>
    </row>
    <row r="145" spans="1:35" ht="15.75" customHeight="1" x14ac:dyDescent="0.35">
      <c r="A145" s="35">
        <v>146</v>
      </c>
      <c r="B145" s="35" t="s">
        <v>206</v>
      </c>
      <c r="C145" s="35" t="s">
        <v>201</v>
      </c>
      <c r="D145" s="35">
        <v>7</v>
      </c>
      <c r="E145" s="35">
        <v>6909</v>
      </c>
      <c r="F145" s="35">
        <v>34</v>
      </c>
      <c r="G145" s="35">
        <v>6943</v>
      </c>
      <c r="H145" s="35">
        <v>37</v>
      </c>
      <c r="I145" s="35">
        <v>6980</v>
      </c>
      <c r="J145" s="35">
        <v>37</v>
      </c>
      <c r="K145" s="35">
        <v>7017</v>
      </c>
      <c r="L145" s="35">
        <v>34</v>
      </c>
      <c r="M145" s="35">
        <v>7051</v>
      </c>
      <c r="N145" s="35">
        <v>31</v>
      </c>
      <c r="O145" s="35">
        <v>7082</v>
      </c>
      <c r="P145" s="35">
        <v>25</v>
      </c>
      <c r="Q145" s="35">
        <v>7107</v>
      </c>
      <c r="R145" s="35">
        <v>25</v>
      </c>
      <c r="S145" s="35">
        <v>7132</v>
      </c>
      <c r="T145" s="35">
        <v>25</v>
      </c>
      <c r="U145" s="35">
        <v>7154</v>
      </c>
      <c r="V145" s="35">
        <v>22</v>
      </c>
      <c r="W145" s="35">
        <v>7178</v>
      </c>
      <c r="X145" s="35">
        <v>24</v>
      </c>
      <c r="Y145" s="35">
        <v>7207</v>
      </c>
      <c r="Z145" s="35">
        <v>29</v>
      </c>
      <c r="AA145" s="35">
        <v>7236</v>
      </c>
      <c r="AB145" s="35">
        <v>29</v>
      </c>
      <c r="AC145" s="35">
        <v>29</v>
      </c>
      <c r="AD145" s="35">
        <v>0</v>
      </c>
      <c r="AE145" s="35">
        <v>0</v>
      </c>
      <c r="AG145" s="35">
        <v>3</v>
      </c>
      <c r="AH145" s="35">
        <v>20</v>
      </c>
      <c r="AI145" s="35">
        <v>52</v>
      </c>
    </row>
    <row r="146" spans="1:35" ht="15.75" customHeight="1" x14ac:dyDescent="0.35">
      <c r="A146" s="35">
        <v>147</v>
      </c>
      <c r="B146" s="35" t="s">
        <v>207</v>
      </c>
      <c r="C146" s="35" t="s">
        <v>201</v>
      </c>
      <c r="D146" s="35">
        <v>8</v>
      </c>
      <c r="E146" s="35">
        <v>2211</v>
      </c>
      <c r="F146" s="35">
        <v>16</v>
      </c>
      <c r="G146" s="35">
        <v>2227</v>
      </c>
      <c r="H146" s="35">
        <v>14</v>
      </c>
      <c r="I146" s="35">
        <v>2241</v>
      </c>
      <c r="J146" s="35">
        <v>13</v>
      </c>
      <c r="K146" s="35">
        <v>2254</v>
      </c>
      <c r="L146" s="35">
        <v>14</v>
      </c>
      <c r="M146" s="35">
        <v>2268</v>
      </c>
      <c r="N146" s="35">
        <v>15</v>
      </c>
      <c r="O146" s="35">
        <v>2283</v>
      </c>
      <c r="P146" s="35">
        <v>13</v>
      </c>
      <c r="Q146" s="35">
        <v>2296</v>
      </c>
      <c r="R146" s="35">
        <v>13</v>
      </c>
      <c r="S146" s="35">
        <v>2307</v>
      </c>
      <c r="T146" s="35">
        <v>11</v>
      </c>
      <c r="U146" s="35">
        <v>2319</v>
      </c>
      <c r="V146" s="35">
        <v>12</v>
      </c>
      <c r="W146" s="35">
        <v>2330</v>
      </c>
      <c r="X146" s="35">
        <v>11</v>
      </c>
      <c r="Y146" s="35">
        <v>2342</v>
      </c>
      <c r="Z146" s="35">
        <v>12</v>
      </c>
      <c r="AA146" s="35">
        <v>2355</v>
      </c>
      <c r="AB146" s="35">
        <v>13</v>
      </c>
      <c r="AC146" s="35">
        <v>13</v>
      </c>
      <c r="AD146" s="35">
        <v>0</v>
      </c>
      <c r="AE146" s="35">
        <v>0</v>
      </c>
      <c r="AG146" s="35">
        <v>3</v>
      </c>
      <c r="AH146" s="35">
        <v>0</v>
      </c>
      <c r="AI146" s="35">
        <v>16</v>
      </c>
    </row>
    <row r="147" spans="1:35" ht="15.75" customHeight="1" x14ac:dyDescent="0.35">
      <c r="A147" s="35">
        <v>148</v>
      </c>
      <c r="B147" s="35" t="s">
        <v>208</v>
      </c>
      <c r="C147" s="35" t="s">
        <v>201</v>
      </c>
      <c r="D147" s="35">
        <v>9</v>
      </c>
      <c r="E147" s="35">
        <v>2433</v>
      </c>
      <c r="F147" s="35">
        <v>11</v>
      </c>
      <c r="G147" s="35">
        <v>2444</v>
      </c>
      <c r="H147" s="35">
        <v>11</v>
      </c>
      <c r="I147" s="35">
        <v>2455</v>
      </c>
      <c r="J147" s="35">
        <v>10</v>
      </c>
      <c r="K147" s="35">
        <v>2465</v>
      </c>
      <c r="L147" s="35">
        <v>10</v>
      </c>
      <c r="M147" s="35">
        <v>2475</v>
      </c>
      <c r="N147" s="35">
        <v>7</v>
      </c>
      <c r="O147" s="35">
        <v>2482</v>
      </c>
      <c r="P147" s="35">
        <v>11</v>
      </c>
      <c r="Q147" s="35">
        <v>2493</v>
      </c>
      <c r="R147" s="35">
        <v>11</v>
      </c>
      <c r="S147" s="35">
        <v>2504</v>
      </c>
      <c r="T147" s="35">
        <v>11</v>
      </c>
      <c r="U147" s="35">
        <v>2520</v>
      </c>
      <c r="V147" s="35">
        <v>16</v>
      </c>
      <c r="W147" s="35">
        <v>2553</v>
      </c>
      <c r="X147" s="35">
        <v>33</v>
      </c>
      <c r="Y147" s="35">
        <v>2562</v>
      </c>
      <c r="Z147" s="35">
        <v>9</v>
      </c>
      <c r="AA147" s="35">
        <v>2571</v>
      </c>
      <c r="AB147" s="35">
        <v>9</v>
      </c>
      <c r="AC147" s="35">
        <v>9</v>
      </c>
      <c r="AD147" s="35">
        <v>0</v>
      </c>
      <c r="AE147" s="35">
        <v>0</v>
      </c>
      <c r="AG147" s="35">
        <v>3</v>
      </c>
      <c r="AH147" s="35">
        <v>0</v>
      </c>
      <c r="AI147" s="35">
        <v>12</v>
      </c>
    </row>
    <row r="148" spans="1:35" ht="15.75" customHeight="1" x14ac:dyDescent="0.35">
      <c r="A148" s="35">
        <v>149</v>
      </c>
      <c r="B148" s="35" t="s">
        <v>209</v>
      </c>
      <c r="C148" s="35" t="s">
        <v>201</v>
      </c>
      <c r="D148" s="35">
        <v>10</v>
      </c>
      <c r="E148" s="35">
        <v>1495</v>
      </c>
      <c r="F148" s="35">
        <v>2</v>
      </c>
      <c r="G148" s="35">
        <v>1497</v>
      </c>
      <c r="H148" s="35">
        <v>7</v>
      </c>
      <c r="I148" s="35">
        <v>1504</v>
      </c>
      <c r="J148" s="35">
        <v>6</v>
      </c>
      <c r="K148" s="35">
        <v>1510</v>
      </c>
      <c r="L148" s="35">
        <v>6</v>
      </c>
      <c r="M148" s="35">
        <v>1516</v>
      </c>
      <c r="N148" s="35">
        <v>4</v>
      </c>
      <c r="O148" s="35">
        <v>1520</v>
      </c>
      <c r="P148" s="35">
        <v>4</v>
      </c>
      <c r="Q148" s="35">
        <v>1524</v>
      </c>
      <c r="R148" s="35">
        <v>4</v>
      </c>
      <c r="S148" s="35">
        <v>1524</v>
      </c>
      <c r="T148" s="35">
        <v>0</v>
      </c>
      <c r="U148" s="35">
        <v>1529</v>
      </c>
      <c r="V148" s="35">
        <v>5</v>
      </c>
      <c r="W148" s="35">
        <v>1534</v>
      </c>
      <c r="X148" s="35">
        <v>5</v>
      </c>
      <c r="Y148" s="35">
        <v>1539</v>
      </c>
      <c r="Z148" s="35">
        <v>5</v>
      </c>
      <c r="AA148" s="35">
        <v>1543</v>
      </c>
      <c r="AB148" s="35">
        <v>4</v>
      </c>
      <c r="AC148" s="35">
        <v>5</v>
      </c>
      <c r="AD148" s="35">
        <v>0</v>
      </c>
      <c r="AE148" s="35">
        <v>0</v>
      </c>
      <c r="AG148" s="35">
        <v>3</v>
      </c>
      <c r="AH148" s="35">
        <v>0</v>
      </c>
      <c r="AI148" s="35">
        <v>8</v>
      </c>
    </row>
    <row r="149" spans="1:35" ht="15.75" customHeight="1" x14ac:dyDescent="0.35">
      <c r="A149" s="35">
        <v>150</v>
      </c>
      <c r="B149" s="35" t="s">
        <v>210</v>
      </c>
      <c r="C149" s="35" t="s">
        <v>201</v>
      </c>
      <c r="D149" s="35">
        <v>11</v>
      </c>
      <c r="E149" s="35">
        <v>985</v>
      </c>
      <c r="F149" s="35">
        <v>7</v>
      </c>
      <c r="G149" s="35">
        <v>992</v>
      </c>
      <c r="H149" s="35">
        <v>7</v>
      </c>
      <c r="I149" s="35">
        <v>999</v>
      </c>
      <c r="J149" s="35">
        <v>6</v>
      </c>
      <c r="K149" s="35">
        <v>1005</v>
      </c>
      <c r="L149" s="35">
        <v>9</v>
      </c>
      <c r="M149" s="35">
        <v>1014</v>
      </c>
      <c r="N149" s="35">
        <v>6</v>
      </c>
      <c r="O149" s="35">
        <v>1020</v>
      </c>
      <c r="P149" s="35">
        <v>4</v>
      </c>
      <c r="Q149" s="35">
        <v>1024</v>
      </c>
      <c r="R149" s="35">
        <v>4</v>
      </c>
      <c r="S149" s="35">
        <v>1029</v>
      </c>
      <c r="T149" s="35">
        <v>5</v>
      </c>
      <c r="U149" s="35">
        <v>1035</v>
      </c>
      <c r="V149" s="35">
        <v>6</v>
      </c>
      <c r="W149" s="35">
        <v>1040</v>
      </c>
      <c r="X149" s="35">
        <v>5</v>
      </c>
      <c r="Y149" s="35">
        <v>1044</v>
      </c>
      <c r="Z149" s="35">
        <v>4</v>
      </c>
      <c r="AA149" s="35">
        <v>1049</v>
      </c>
      <c r="AB149" s="35">
        <v>5</v>
      </c>
      <c r="AC149" s="35">
        <v>5</v>
      </c>
      <c r="AD149" s="35">
        <v>0</v>
      </c>
      <c r="AE149" s="35">
        <v>0</v>
      </c>
      <c r="AG149" s="35">
        <v>3</v>
      </c>
      <c r="AH149" s="35">
        <v>0</v>
      </c>
      <c r="AI149" s="35">
        <v>8</v>
      </c>
    </row>
    <row r="150" spans="1:35" ht="15.75" customHeight="1" x14ac:dyDescent="0.35">
      <c r="A150" s="35">
        <v>151</v>
      </c>
      <c r="B150" s="35" t="s">
        <v>211</v>
      </c>
      <c r="C150" s="35" t="s">
        <v>201</v>
      </c>
      <c r="D150" s="35">
        <v>12</v>
      </c>
      <c r="E150" s="35">
        <v>1934</v>
      </c>
      <c r="F150" s="35">
        <v>9</v>
      </c>
      <c r="G150" s="35">
        <v>1943</v>
      </c>
      <c r="H150" s="35">
        <v>12</v>
      </c>
      <c r="I150" s="35">
        <v>1955</v>
      </c>
      <c r="J150" s="35">
        <v>11</v>
      </c>
      <c r="K150" s="35">
        <v>1966</v>
      </c>
      <c r="L150" s="35">
        <v>10</v>
      </c>
      <c r="M150" s="35">
        <v>1976</v>
      </c>
      <c r="N150" s="35">
        <v>13</v>
      </c>
      <c r="O150" s="35">
        <v>1989</v>
      </c>
      <c r="P150" s="35">
        <v>12</v>
      </c>
      <c r="Q150" s="35">
        <v>2001</v>
      </c>
      <c r="R150" s="35">
        <v>12</v>
      </c>
      <c r="S150" s="35">
        <v>2008</v>
      </c>
      <c r="T150" s="35">
        <v>7</v>
      </c>
      <c r="U150" s="35">
        <v>2018</v>
      </c>
      <c r="V150" s="35">
        <v>10</v>
      </c>
      <c r="W150" s="35">
        <v>2028</v>
      </c>
      <c r="X150" s="35">
        <v>10</v>
      </c>
      <c r="Y150" s="35">
        <v>2038</v>
      </c>
      <c r="Z150" s="35">
        <v>10</v>
      </c>
      <c r="AA150" s="35">
        <v>2047</v>
      </c>
      <c r="AB150" s="35">
        <v>9</v>
      </c>
      <c r="AC150" s="35">
        <v>9</v>
      </c>
      <c r="AD150" s="35">
        <v>0</v>
      </c>
      <c r="AE150" s="35">
        <v>0</v>
      </c>
      <c r="AG150" s="35">
        <v>3</v>
      </c>
      <c r="AH150" s="35">
        <v>0</v>
      </c>
      <c r="AI150" s="35">
        <v>12</v>
      </c>
    </row>
    <row r="151" spans="1:35" ht="15.75" customHeight="1" x14ac:dyDescent="0.35">
      <c r="A151" s="35">
        <v>152</v>
      </c>
      <c r="B151" s="35" t="s">
        <v>212</v>
      </c>
      <c r="C151" s="35" t="s">
        <v>201</v>
      </c>
      <c r="D151" s="35">
        <v>13</v>
      </c>
      <c r="E151" s="35">
        <v>2140</v>
      </c>
      <c r="F151" s="35">
        <v>19</v>
      </c>
      <c r="G151" s="35">
        <v>2159</v>
      </c>
      <c r="H151" s="35">
        <v>32</v>
      </c>
      <c r="I151" s="35">
        <v>2191</v>
      </c>
      <c r="J151" s="35">
        <v>35</v>
      </c>
      <c r="K151" s="35">
        <v>2226</v>
      </c>
      <c r="L151" s="35">
        <v>30</v>
      </c>
      <c r="M151" s="35">
        <v>2256</v>
      </c>
      <c r="N151" s="35">
        <v>23</v>
      </c>
      <c r="O151" s="35">
        <v>2279</v>
      </c>
      <c r="P151" s="35">
        <v>16</v>
      </c>
      <c r="Q151" s="35">
        <v>2295</v>
      </c>
      <c r="R151" s="35">
        <v>16</v>
      </c>
      <c r="S151" s="35">
        <v>2312</v>
      </c>
      <c r="T151" s="35">
        <v>17</v>
      </c>
      <c r="U151" s="35">
        <v>2329</v>
      </c>
      <c r="V151" s="35">
        <v>17</v>
      </c>
      <c r="W151" s="35">
        <v>2349</v>
      </c>
      <c r="X151" s="35">
        <v>20</v>
      </c>
      <c r="Y151" s="35">
        <v>2379</v>
      </c>
      <c r="Z151" s="35">
        <v>30</v>
      </c>
      <c r="AA151" s="35">
        <v>2406</v>
      </c>
      <c r="AB151" s="35">
        <v>27</v>
      </c>
      <c r="AC151" s="35">
        <v>27</v>
      </c>
      <c r="AD151" s="35">
        <v>0</v>
      </c>
      <c r="AE151" s="35">
        <v>0</v>
      </c>
      <c r="AG151" s="35">
        <v>3</v>
      </c>
      <c r="AH151" s="35">
        <v>0</v>
      </c>
      <c r="AI151" s="35">
        <v>30</v>
      </c>
    </row>
    <row r="152" spans="1:35" ht="15.75" customHeight="1" x14ac:dyDescent="0.35">
      <c r="A152" s="35">
        <v>153</v>
      </c>
      <c r="B152" s="35" t="s">
        <v>214</v>
      </c>
      <c r="C152" s="35" t="s">
        <v>201</v>
      </c>
      <c r="D152" s="35">
        <v>14</v>
      </c>
      <c r="E152" s="35">
        <v>1592</v>
      </c>
      <c r="F152" s="35">
        <v>8</v>
      </c>
      <c r="G152" s="35">
        <v>1600</v>
      </c>
      <c r="H152" s="35">
        <v>10</v>
      </c>
      <c r="I152" s="35">
        <v>1610</v>
      </c>
      <c r="J152" s="35">
        <v>9</v>
      </c>
      <c r="K152" s="35">
        <v>1619</v>
      </c>
      <c r="L152" s="35">
        <v>7</v>
      </c>
      <c r="M152" s="35">
        <v>1626</v>
      </c>
      <c r="N152" s="35">
        <v>7</v>
      </c>
      <c r="O152" s="35">
        <v>1633</v>
      </c>
      <c r="P152" s="35">
        <v>8</v>
      </c>
      <c r="Q152" s="35">
        <v>1641</v>
      </c>
      <c r="R152" s="35">
        <v>8</v>
      </c>
      <c r="S152" s="35">
        <v>1648</v>
      </c>
      <c r="T152" s="35">
        <v>7</v>
      </c>
      <c r="U152" s="35">
        <v>1657</v>
      </c>
      <c r="V152" s="35">
        <v>9</v>
      </c>
      <c r="W152" s="35">
        <v>1668</v>
      </c>
      <c r="X152" s="35">
        <v>11</v>
      </c>
      <c r="Y152" s="35">
        <v>1675</v>
      </c>
      <c r="Z152" s="35">
        <v>7</v>
      </c>
      <c r="AA152" s="35">
        <v>1684</v>
      </c>
      <c r="AB152" s="35">
        <v>9</v>
      </c>
      <c r="AC152" s="35">
        <v>9</v>
      </c>
      <c r="AD152" s="35">
        <v>0</v>
      </c>
      <c r="AE152" s="35">
        <v>0</v>
      </c>
      <c r="AG152" s="35">
        <v>3</v>
      </c>
      <c r="AH152" s="35">
        <v>0</v>
      </c>
      <c r="AI152" s="35">
        <v>12</v>
      </c>
    </row>
    <row r="153" spans="1:35" ht="15.75" customHeight="1" x14ac:dyDescent="0.35">
      <c r="A153" s="35">
        <v>154</v>
      </c>
      <c r="B153" s="35" t="s">
        <v>216</v>
      </c>
      <c r="C153" s="35" t="s">
        <v>201</v>
      </c>
      <c r="D153" s="35">
        <v>15</v>
      </c>
      <c r="E153" s="35">
        <v>906</v>
      </c>
      <c r="F153" s="35">
        <v>12</v>
      </c>
      <c r="G153" s="35">
        <v>918</v>
      </c>
      <c r="H153" s="35">
        <v>14</v>
      </c>
      <c r="I153" s="35">
        <v>932</v>
      </c>
      <c r="J153" s="35">
        <v>12</v>
      </c>
      <c r="K153" s="35">
        <v>944</v>
      </c>
      <c r="L153" s="35">
        <v>10</v>
      </c>
      <c r="M153" s="35">
        <v>954</v>
      </c>
      <c r="N153" s="35">
        <v>10</v>
      </c>
      <c r="O153" s="35">
        <v>964</v>
      </c>
      <c r="P153" s="35">
        <v>12</v>
      </c>
      <c r="Q153" s="35">
        <v>976</v>
      </c>
      <c r="R153" s="35">
        <v>12</v>
      </c>
      <c r="S153" s="35">
        <v>984</v>
      </c>
      <c r="T153" s="35">
        <v>8</v>
      </c>
      <c r="U153" s="35">
        <v>995</v>
      </c>
      <c r="V153" s="35">
        <v>11</v>
      </c>
      <c r="W153" s="35">
        <v>1001</v>
      </c>
      <c r="X153" s="35">
        <v>6</v>
      </c>
      <c r="Y153" s="35">
        <v>1009</v>
      </c>
      <c r="Z153" s="35">
        <v>8</v>
      </c>
      <c r="AA153" s="35">
        <v>1018</v>
      </c>
      <c r="AB153" s="35">
        <v>9</v>
      </c>
      <c r="AC153" s="35">
        <v>9</v>
      </c>
      <c r="AD153" s="35">
        <v>0</v>
      </c>
      <c r="AE153" s="35">
        <v>0</v>
      </c>
      <c r="AG153" s="35">
        <v>3</v>
      </c>
      <c r="AH153" s="35">
        <v>0</v>
      </c>
      <c r="AI153" s="35">
        <v>12</v>
      </c>
    </row>
    <row r="154" spans="1:35" ht="15.75" customHeight="1" x14ac:dyDescent="0.35">
      <c r="A154" s="35">
        <v>155</v>
      </c>
      <c r="B154" s="35" t="s">
        <v>217</v>
      </c>
      <c r="C154" s="35" t="s">
        <v>201</v>
      </c>
      <c r="D154" s="35">
        <v>16</v>
      </c>
      <c r="E154" s="35">
        <v>2271</v>
      </c>
      <c r="F154" s="35">
        <v>16</v>
      </c>
      <c r="G154" s="35">
        <v>2287</v>
      </c>
      <c r="H154" s="35">
        <v>15</v>
      </c>
      <c r="I154" s="35">
        <v>2302</v>
      </c>
      <c r="J154" s="35">
        <v>13</v>
      </c>
      <c r="K154" s="35">
        <v>2315</v>
      </c>
      <c r="L154" s="35">
        <v>10</v>
      </c>
      <c r="M154" s="35">
        <v>2325</v>
      </c>
      <c r="N154" s="35">
        <v>7</v>
      </c>
      <c r="O154" s="35">
        <v>2332</v>
      </c>
      <c r="P154" s="35">
        <v>4</v>
      </c>
      <c r="Q154" s="35">
        <v>2336</v>
      </c>
      <c r="R154" s="35">
        <v>4</v>
      </c>
      <c r="S154" s="35">
        <v>2342</v>
      </c>
      <c r="T154" s="35">
        <v>6</v>
      </c>
      <c r="U154" s="35">
        <v>2348</v>
      </c>
      <c r="V154" s="35">
        <v>6</v>
      </c>
      <c r="W154" s="35">
        <v>2354</v>
      </c>
      <c r="X154" s="35">
        <v>6</v>
      </c>
      <c r="Y154" s="35">
        <v>2359</v>
      </c>
      <c r="Z154" s="35">
        <v>5</v>
      </c>
      <c r="AA154" s="35">
        <v>2364</v>
      </c>
      <c r="AB154" s="35">
        <v>5</v>
      </c>
      <c r="AC154" s="35">
        <v>5</v>
      </c>
      <c r="AD154" s="35">
        <v>8</v>
      </c>
      <c r="AE154" s="35">
        <v>0</v>
      </c>
      <c r="AG154" s="35">
        <v>3</v>
      </c>
      <c r="AH154" s="35">
        <v>20</v>
      </c>
      <c r="AI154" s="35">
        <v>36</v>
      </c>
    </row>
    <row r="155" spans="1:35" ht="15.75" customHeight="1" x14ac:dyDescent="0.35">
      <c r="A155" s="35">
        <v>156</v>
      </c>
      <c r="B155" s="35" t="s">
        <v>219</v>
      </c>
      <c r="C155" s="35" t="s">
        <v>201</v>
      </c>
      <c r="D155" s="35">
        <v>17</v>
      </c>
      <c r="E155" s="35">
        <v>2510</v>
      </c>
      <c r="F155" s="35">
        <v>11</v>
      </c>
      <c r="G155" s="35">
        <v>2521</v>
      </c>
      <c r="H155" s="35">
        <v>10</v>
      </c>
      <c r="I155" s="35">
        <v>2531</v>
      </c>
      <c r="J155" s="35">
        <v>10</v>
      </c>
      <c r="K155" s="35">
        <v>2541</v>
      </c>
      <c r="L155" s="35">
        <v>10</v>
      </c>
      <c r="M155" s="35">
        <v>2551</v>
      </c>
      <c r="N155" s="35">
        <v>9</v>
      </c>
      <c r="O155" s="35">
        <v>2560</v>
      </c>
      <c r="P155" s="35">
        <v>8</v>
      </c>
      <c r="Q155" s="35">
        <v>2568</v>
      </c>
      <c r="R155" s="35">
        <v>8</v>
      </c>
      <c r="S155" s="35">
        <v>2575</v>
      </c>
      <c r="T155" s="35">
        <v>7</v>
      </c>
      <c r="U155" s="35">
        <v>2583</v>
      </c>
      <c r="V155" s="35">
        <v>8</v>
      </c>
      <c r="W155" s="35">
        <v>2592</v>
      </c>
      <c r="X155" s="35">
        <v>9</v>
      </c>
      <c r="Y155" s="35">
        <v>2600</v>
      </c>
      <c r="Z155" s="35">
        <v>8</v>
      </c>
      <c r="AA155" s="35">
        <v>2609</v>
      </c>
      <c r="AB155" s="35">
        <v>9</v>
      </c>
      <c r="AC155" s="35">
        <v>9</v>
      </c>
      <c r="AD155" s="35">
        <v>0</v>
      </c>
      <c r="AE155" s="35">
        <v>0</v>
      </c>
      <c r="AG155" s="35">
        <v>3</v>
      </c>
      <c r="AH155" s="35">
        <v>20</v>
      </c>
      <c r="AI155" s="35">
        <v>32</v>
      </c>
    </row>
    <row r="156" spans="1:35" ht="15.75" customHeight="1" x14ac:dyDescent="0.35">
      <c r="A156" s="35">
        <v>157</v>
      </c>
      <c r="B156" s="35" t="s">
        <v>220</v>
      </c>
      <c r="C156" s="35" t="s">
        <v>201</v>
      </c>
      <c r="D156" s="35">
        <v>18</v>
      </c>
      <c r="E156" s="35">
        <v>1597</v>
      </c>
      <c r="F156" s="35">
        <v>8</v>
      </c>
      <c r="G156" s="35">
        <v>1605</v>
      </c>
      <c r="H156" s="35">
        <v>9</v>
      </c>
      <c r="I156" s="35">
        <v>1614</v>
      </c>
      <c r="J156" s="35">
        <v>7</v>
      </c>
      <c r="K156" s="35">
        <v>1621</v>
      </c>
      <c r="L156" s="35">
        <v>6</v>
      </c>
      <c r="M156" s="35">
        <v>1627</v>
      </c>
      <c r="N156" s="35">
        <v>6</v>
      </c>
      <c r="O156" s="35">
        <v>1633</v>
      </c>
      <c r="P156" s="35">
        <v>3</v>
      </c>
      <c r="Q156" s="35">
        <v>1636</v>
      </c>
      <c r="R156" s="35">
        <v>3</v>
      </c>
      <c r="S156" s="35">
        <v>1641</v>
      </c>
      <c r="T156" s="35">
        <v>5</v>
      </c>
      <c r="U156" s="35">
        <v>1644</v>
      </c>
      <c r="V156" s="35">
        <v>3</v>
      </c>
      <c r="W156" s="35">
        <v>1649</v>
      </c>
      <c r="X156" s="35">
        <v>5</v>
      </c>
      <c r="Y156" s="35">
        <v>1657</v>
      </c>
      <c r="Z156" s="35">
        <v>8</v>
      </c>
      <c r="AA156" s="35">
        <v>1666</v>
      </c>
      <c r="AB156" s="35">
        <v>9</v>
      </c>
      <c r="AC156" s="35">
        <v>9</v>
      </c>
      <c r="AD156" s="35">
        <v>0</v>
      </c>
      <c r="AE156" s="35">
        <v>0</v>
      </c>
      <c r="AG156" s="35">
        <v>3</v>
      </c>
      <c r="AH156" s="35">
        <v>0</v>
      </c>
      <c r="AI156" s="35">
        <v>12</v>
      </c>
    </row>
    <row r="157" spans="1:35" ht="15.75" customHeight="1" x14ac:dyDescent="0.35">
      <c r="A157" s="35">
        <v>158</v>
      </c>
      <c r="B157" s="35" t="s">
        <v>221</v>
      </c>
      <c r="C157" s="35" t="s">
        <v>201</v>
      </c>
      <c r="D157" s="35">
        <v>19</v>
      </c>
      <c r="E157" s="35">
        <v>1657</v>
      </c>
      <c r="F157" s="35">
        <v>7</v>
      </c>
      <c r="G157" s="35">
        <v>1664</v>
      </c>
      <c r="H157" s="35">
        <v>6</v>
      </c>
      <c r="I157" s="35">
        <v>1670</v>
      </c>
      <c r="J157" s="35">
        <v>6</v>
      </c>
      <c r="K157" s="35">
        <v>1676</v>
      </c>
      <c r="L157" s="35">
        <v>6</v>
      </c>
      <c r="M157" s="35">
        <v>1682</v>
      </c>
      <c r="N157" s="35">
        <v>5</v>
      </c>
      <c r="O157" s="35">
        <v>1687</v>
      </c>
      <c r="P157" s="35">
        <v>6</v>
      </c>
      <c r="Q157" s="35">
        <v>1693</v>
      </c>
      <c r="R157" s="35">
        <v>6</v>
      </c>
      <c r="S157" s="35">
        <v>1696</v>
      </c>
      <c r="T157" s="35">
        <v>3</v>
      </c>
      <c r="U157" s="35">
        <v>1701</v>
      </c>
      <c r="V157" s="35">
        <v>5</v>
      </c>
      <c r="W157" s="35">
        <v>1704</v>
      </c>
      <c r="X157" s="35">
        <v>3</v>
      </c>
      <c r="Y157" s="35">
        <v>1708</v>
      </c>
      <c r="Z157" s="35">
        <v>4</v>
      </c>
      <c r="AA157" s="35">
        <v>1713</v>
      </c>
      <c r="AB157" s="35">
        <v>5</v>
      </c>
      <c r="AC157" s="35">
        <v>5</v>
      </c>
      <c r="AD157" s="35">
        <v>0</v>
      </c>
      <c r="AE157" s="35">
        <v>0</v>
      </c>
      <c r="AG157" s="35">
        <v>3</v>
      </c>
      <c r="AH157" s="35">
        <v>0</v>
      </c>
      <c r="AI157" s="35">
        <v>8</v>
      </c>
    </row>
    <row r="158" spans="1:35" ht="15.75" customHeight="1" x14ac:dyDescent="0.35">
      <c r="A158" s="35">
        <v>159</v>
      </c>
      <c r="B158" s="35" t="s">
        <v>222</v>
      </c>
      <c r="C158" s="35" t="s">
        <v>201</v>
      </c>
      <c r="D158" s="35">
        <v>20</v>
      </c>
      <c r="E158" s="35">
        <v>1193</v>
      </c>
      <c r="F158" s="35">
        <v>0</v>
      </c>
      <c r="G158" s="35">
        <v>1193</v>
      </c>
      <c r="H158" s="35">
        <v>0</v>
      </c>
      <c r="I158" s="35">
        <v>1193</v>
      </c>
      <c r="J158" s="35">
        <v>0</v>
      </c>
      <c r="K158" s="35">
        <v>1193</v>
      </c>
      <c r="L158" s="35">
        <v>0</v>
      </c>
      <c r="M158" s="35">
        <v>1193</v>
      </c>
      <c r="N158" s="35">
        <v>0</v>
      </c>
      <c r="O158" s="35">
        <v>1193</v>
      </c>
      <c r="P158" s="35">
        <v>0</v>
      </c>
      <c r="Q158" s="35">
        <v>1193</v>
      </c>
      <c r="R158" s="35">
        <v>0</v>
      </c>
      <c r="S158" s="35">
        <v>1193</v>
      </c>
      <c r="T158" s="35">
        <v>0</v>
      </c>
      <c r="U158" s="35">
        <v>1193</v>
      </c>
      <c r="V158" s="35">
        <v>0</v>
      </c>
      <c r="W158" s="35">
        <v>1193</v>
      </c>
      <c r="X158" s="35">
        <v>0</v>
      </c>
      <c r="Y158" s="35">
        <v>1193</v>
      </c>
      <c r="Z158" s="35">
        <v>0</v>
      </c>
      <c r="AA158" s="35">
        <v>1193</v>
      </c>
      <c r="AB158" s="35">
        <v>0</v>
      </c>
      <c r="AC158" s="35">
        <v>5</v>
      </c>
      <c r="AD158" s="35">
        <v>8</v>
      </c>
      <c r="AE158" s="35">
        <v>0</v>
      </c>
      <c r="AG158" s="35">
        <v>3</v>
      </c>
      <c r="AH158" s="35">
        <v>20</v>
      </c>
      <c r="AI158" s="35">
        <v>36</v>
      </c>
    </row>
    <row r="159" spans="1:35" ht="15.75" customHeight="1" x14ac:dyDescent="0.35">
      <c r="A159" s="35">
        <v>160</v>
      </c>
      <c r="B159" s="35" t="s">
        <v>224</v>
      </c>
      <c r="C159" s="35" t="s">
        <v>201</v>
      </c>
      <c r="D159" s="35">
        <v>21</v>
      </c>
      <c r="E159" s="35">
        <v>2039</v>
      </c>
      <c r="F159" s="35">
        <v>14</v>
      </c>
      <c r="G159" s="35">
        <v>2053</v>
      </c>
      <c r="H159" s="35">
        <v>17</v>
      </c>
      <c r="I159" s="35">
        <v>2070</v>
      </c>
      <c r="J159" s="35">
        <v>14</v>
      </c>
      <c r="K159" s="35">
        <v>2084</v>
      </c>
      <c r="L159" s="35">
        <v>15</v>
      </c>
      <c r="M159" s="35">
        <v>2099</v>
      </c>
      <c r="N159" s="35">
        <v>12</v>
      </c>
      <c r="O159" s="35">
        <v>2111</v>
      </c>
      <c r="P159" s="35">
        <v>11</v>
      </c>
      <c r="Q159" s="35">
        <v>2122</v>
      </c>
      <c r="R159" s="35">
        <v>11</v>
      </c>
      <c r="S159" s="35">
        <v>2130</v>
      </c>
      <c r="T159" s="35">
        <v>8</v>
      </c>
      <c r="U159" s="35">
        <v>2141</v>
      </c>
      <c r="V159" s="35">
        <v>11</v>
      </c>
      <c r="W159" s="35">
        <v>2151</v>
      </c>
      <c r="X159" s="35">
        <v>10</v>
      </c>
      <c r="Y159" s="35">
        <v>2163</v>
      </c>
      <c r="Z159" s="35">
        <v>12</v>
      </c>
      <c r="AA159" s="35">
        <v>2175</v>
      </c>
      <c r="AB159" s="35">
        <v>12</v>
      </c>
      <c r="AC159" s="35">
        <v>12</v>
      </c>
      <c r="AD159" s="35">
        <v>15</v>
      </c>
      <c r="AE159" s="35">
        <v>0</v>
      </c>
      <c r="AG159" s="35">
        <v>3</v>
      </c>
      <c r="AH159" s="35">
        <v>0</v>
      </c>
      <c r="AI159" s="35">
        <v>30</v>
      </c>
    </row>
    <row r="160" spans="1:35" ht="15.75" customHeight="1" x14ac:dyDescent="0.35">
      <c r="A160" s="35">
        <v>161</v>
      </c>
      <c r="B160" s="35" t="s">
        <v>225</v>
      </c>
      <c r="C160" s="35" t="s">
        <v>201</v>
      </c>
      <c r="D160" s="35">
        <v>22</v>
      </c>
      <c r="E160" s="35">
        <v>2274</v>
      </c>
      <c r="F160" s="35">
        <v>15</v>
      </c>
      <c r="G160" s="35">
        <v>2289</v>
      </c>
      <c r="H160" s="35">
        <v>15</v>
      </c>
      <c r="I160" s="35">
        <v>2304</v>
      </c>
      <c r="J160" s="35">
        <v>11</v>
      </c>
      <c r="K160" s="35">
        <v>2315</v>
      </c>
      <c r="L160" s="35">
        <v>12</v>
      </c>
      <c r="M160" s="35">
        <v>2327</v>
      </c>
      <c r="N160" s="35">
        <v>12</v>
      </c>
      <c r="O160" s="35">
        <v>2339</v>
      </c>
      <c r="P160" s="35">
        <v>10</v>
      </c>
      <c r="Q160" s="35">
        <v>2349</v>
      </c>
      <c r="R160" s="35">
        <v>10</v>
      </c>
      <c r="S160" s="35">
        <v>2356</v>
      </c>
      <c r="T160" s="35">
        <v>7</v>
      </c>
      <c r="U160" s="35">
        <v>2362</v>
      </c>
      <c r="V160" s="35">
        <v>6</v>
      </c>
      <c r="W160" s="35">
        <v>2369</v>
      </c>
      <c r="X160" s="35">
        <v>7</v>
      </c>
      <c r="Y160" s="35">
        <v>2377</v>
      </c>
      <c r="Z160" s="35">
        <v>8</v>
      </c>
      <c r="AA160" s="35">
        <v>2387</v>
      </c>
      <c r="AB160" s="35">
        <v>10</v>
      </c>
      <c r="AC160" s="35">
        <v>10</v>
      </c>
      <c r="AD160" s="35">
        <v>0</v>
      </c>
      <c r="AE160" s="35">
        <v>0</v>
      </c>
      <c r="AG160" s="35">
        <v>3</v>
      </c>
      <c r="AH160" s="35">
        <v>20</v>
      </c>
      <c r="AI160" s="35">
        <v>33</v>
      </c>
    </row>
    <row r="161" spans="1:35" ht="15.75" customHeight="1" x14ac:dyDescent="0.35">
      <c r="A161" s="35">
        <v>162</v>
      </c>
      <c r="B161" s="35" t="s">
        <v>226</v>
      </c>
      <c r="C161" s="35" t="s">
        <v>227</v>
      </c>
      <c r="D161" s="35">
        <v>1</v>
      </c>
      <c r="E161" s="35">
        <v>3020</v>
      </c>
      <c r="F161" s="35">
        <v>11</v>
      </c>
      <c r="G161" s="35">
        <v>3031</v>
      </c>
      <c r="H161" s="35">
        <v>10</v>
      </c>
      <c r="I161" s="35">
        <v>3041</v>
      </c>
      <c r="J161" s="35">
        <v>11</v>
      </c>
      <c r="K161" s="35">
        <v>3052</v>
      </c>
      <c r="L161" s="35">
        <v>9</v>
      </c>
      <c r="M161" s="35">
        <v>3061</v>
      </c>
      <c r="N161" s="35">
        <v>11</v>
      </c>
      <c r="O161" s="35">
        <v>3072</v>
      </c>
      <c r="P161" s="35">
        <v>9</v>
      </c>
      <c r="Q161" s="35">
        <v>3081</v>
      </c>
      <c r="R161" s="35">
        <v>9</v>
      </c>
      <c r="S161" s="35">
        <v>3089</v>
      </c>
      <c r="T161" s="35">
        <v>8</v>
      </c>
      <c r="U161" s="35">
        <v>3098</v>
      </c>
      <c r="V161" s="35">
        <v>9</v>
      </c>
      <c r="W161" s="35">
        <v>3109</v>
      </c>
      <c r="X161" s="35">
        <v>11</v>
      </c>
      <c r="Y161" s="35">
        <v>3120</v>
      </c>
      <c r="Z161" s="35">
        <v>11</v>
      </c>
      <c r="AA161" s="35">
        <v>3135</v>
      </c>
      <c r="AB161" s="35">
        <v>15</v>
      </c>
      <c r="AC161" s="35">
        <v>15</v>
      </c>
      <c r="AD161" s="35">
        <v>0</v>
      </c>
      <c r="AE161" s="35">
        <v>0</v>
      </c>
      <c r="AG161" s="35">
        <v>3</v>
      </c>
      <c r="AH161" s="35">
        <v>0</v>
      </c>
      <c r="AI161" s="35">
        <v>18</v>
      </c>
    </row>
    <row r="162" spans="1:35" ht="15.75" customHeight="1" x14ac:dyDescent="0.35">
      <c r="A162" s="35">
        <v>163</v>
      </c>
      <c r="B162" s="35" t="s">
        <v>228</v>
      </c>
      <c r="C162" s="35" t="s">
        <v>227</v>
      </c>
      <c r="D162" s="35">
        <v>2</v>
      </c>
      <c r="E162" s="35">
        <v>314</v>
      </c>
      <c r="F162" s="35">
        <v>6</v>
      </c>
      <c r="G162" s="35">
        <v>320</v>
      </c>
      <c r="H162" s="35">
        <v>4</v>
      </c>
      <c r="I162" s="35">
        <v>324</v>
      </c>
      <c r="J162" s="35">
        <v>4</v>
      </c>
      <c r="K162" s="35">
        <v>328</v>
      </c>
      <c r="L162" s="35">
        <v>3</v>
      </c>
      <c r="M162" s="35">
        <v>331</v>
      </c>
      <c r="N162" s="35">
        <v>5</v>
      </c>
      <c r="O162" s="35">
        <v>336</v>
      </c>
      <c r="P162" s="35">
        <v>3</v>
      </c>
      <c r="Q162" s="35">
        <v>339</v>
      </c>
      <c r="R162" s="35">
        <v>3</v>
      </c>
      <c r="S162" s="35">
        <v>342</v>
      </c>
      <c r="T162" s="35">
        <v>3</v>
      </c>
      <c r="U162" s="35">
        <v>346</v>
      </c>
      <c r="V162" s="35">
        <v>4</v>
      </c>
      <c r="W162" s="35">
        <v>354</v>
      </c>
      <c r="X162" s="35">
        <v>8</v>
      </c>
      <c r="Y162" s="35">
        <v>362</v>
      </c>
      <c r="Z162" s="35">
        <v>8</v>
      </c>
      <c r="AA162" s="35">
        <v>372</v>
      </c>
      <c r="AB162" s="35">
        <v>10</v>
      </c>
      <c r="AC162" s="35">
        <v>10</v>
      </c>
      <c r="AD162" s="35">
        <v>0</v>
      </c>
      <c r="AE162" s="35">
        <v>0</v>
      </c>
      <c r="AG162" s="35">
        <v>3</v>
      </c>
      <c r="AH162" s="35">
        <v>0</v>
      </c>
      <c r="AI162" s="35">
        <v>13</v>
      </c>
    </row>
    <row r="163" spans="1:35" ht="15.75" customHeight="1" x14ac:dyDescent="0.35">
      <c r="A163" s="35">
        <v>164</v>
      </c>
      <c r="B163" s="35" t="s">
        <v>229</v>
      </c>
      <c r="C163" s="35" t="s">
        <v>227</v>
      </c>
      <c r="D163" s="35" t="s">
        <v>647</v>
      </c>
      <c r="E163" s="35">
        <v>29</v>
      </c>
      <c r="F163" s="35">
        <v>3</v>
      </c>
      <c r="G163" s="35">
        <v>32</v>
      </c>
      <c r="H163" s="35">
        <v>3</v>
      </c>
      <c r="I163" s="35">
        <v>35</v>
      </c>
      <c r="J163" s="35">
        <v>3</v>
      </c>
      <c r="K163" s="35">
        <v>38</v>
      </c>
      <c r="L163" s="35">
        <v>3</v>
      </c>
      <c r="M163" s="35">
        <v>41</v>
      </c>
      <c r="N163" s="35">
        <v>3</v>
      </c>
      <c r="O163" s="35">
        <v>44</v>
      </c>
      <c r="P163" s="35">
        <v>3</v>
      </c>
      <c r="Q163" s="35">
        <v>47</v>
      </c>
      <c r="R163" s="35">
        <v>3</v>
      </c>
      <c r="S163" s="35">
        <v>50</v>
      </c>
      <c r="T163" s="35">
        <v>3</v>
      </c>
      <c r="U163" s="35">
        <v>52</v>
      </c>
      <c r="V163" s="35">
        <v>2</v>
      </c>
      <c r="W163" s="35">
        <v>54</v>
      </c>
      <c r="X163" s="35">
        <v>2</v>
      </c>
      <c r="Y163" s="35">
        <v>56</v>
      </c>
      <c r="Z163" s="35">
        <v>2</v>
      </c>
      <c r="AA163" s="35">
        <v>61</v>
      </c>
      <c r="AB163" s="35">
        <v>5</v>
      </c>
      <c r="AC163" s="35">
        <v>5</v>
      </c>
      <c r="AD163" s="35">
        <v>0</v>
      </c>
      <c r="AE163" s="35">
        <v>0</v>
      </c>
      <c r="AG163" s="35">
        <v>3</v>
      </c>
      <c r="AH163" s="35">
        <v>0</v>
      </c>
      <c r="AI163" s="35">
        <v>8</v>
      </c>
    </row>
    <row r="164" spans="1:35" ht="15.75" customHeight="1" x14ac:dyDescent="0.35">
      <c r="A164" s="35">
        <v>165</v>
      </c>
      <c r="B164" s="35" t="s">
        <v>231</v>
      </c>
      <c r="C164" s="35" t="s">
        <v>227</v>
      </c>
      <c r="D164" s="35">
        <v>3</v>
      </c>
      <c r="E164" s="35">
        <v>1453</v>
      </c>
      <c r="F164" s="35">
        <v>24</v>
      </c>
      <c r="G164" s="35">
        <v>1477</v>
      </c>
      <c r="H164" s="35">
        <v>22</v>
      </c>
      <c r="I164" s="35">
        <v>1499</v>
      </c>
      <c r="J164" s="35">
        <v>20</v>
      </c>
      <c r="K164" s="35">
        <v>1519</v>
      </c>
      <c r="L164" s="35">
        <v>21</v>
      </c>
      <c r="M164" s="35">
        <v>1540</v>
      </c>
      <c r="N164" s="35">
        <v>17</v>
      </c>
      <c r="O164" s="35">
        <v>1557</v>
      </c>
      <c r="P164" s="35">
        <v>16</v>
      </c>
      <c r="Q164" s="35">
        <v>1573</v>
      </c>
      <c r="R164" s="35">
        <v>16</v>
      </c>
      <c r="S164" s="35">
        <v>1596</v>
      </c>
      <c r="T164" s="35">
        <v>23</v>
      </c>
      <c r="U164" s="35">
        <v>1621</v>
      </c>
      <c r="V164" s="35">
        <v>25</v>
      </c>
      <c r="W164" s="35">
        <v>1642</v>
      </c>
      <c r="X164" s="35">
        <v>21</v>
      </c>
      <c r="Y164" s="35">
        <v>1668</v>
      </c>
      <c r="Z164" s="35">
        <v>26</v>
      </c>
      <c r="AA164" s="35">
        <v>1689</v>
      </c>
      <c r="AB164" s="35">
        <v>21</v>
      </c>
      <c r="AC164" s="35">
        <v>21</v>
      </c>
      <c r="AD164" s="35">
        <v>0</v>
      </c>
      <c r="AE164" s="35">
        <v>0</v>
      </c>
      <c r="AG164" s="35">
        <v>3</v>
      </c>
      <c r="AH164" s="35">
        <v>20</v>
      </c>
      <c r="AI164" s="35">
        <v>44</v>
      </c>
    </row>
    <row r="165" spans="1:35" ht="15.75" customHeight="1" x14ac:dyDescent="0.35">
      <c r="A165" s="35">
        <v>166</v>
      </c>
      <c r="B165" s="35" t="s">
        <v>232</v>
      </c>
      <c r="C165" s="35" t="s">
        <v>227</v>
      </c>
      <c r="D165" s="35">
        <v>4</v>
      </c>
      <c r="E165" s="35">
        <v>628</v>
      </c>
      <c r="F165" s="35">
        <v>4</v>
      </c>
      <c r="G165" s="35">
        <v>632</v>
      </c>
      <c r="H165" s="35">
        <v>-8</v>
      </c>
      <c r="I165" s="35">
        <v>634</v>
      </c>
      <c r="J165" s="35">
        <v>16</v>
      </c>
      <c r="K165" s="35">
        <v>640</v>
      </c>
      <c r="L165" s="35">
        <v>1</v>
      </c>
      <c r="M165" s="35">
        <v>641</v>
      </c>
      <c r="N165" s="35">
        <v>3</v>
      </c>
      <c r="O165" s="35">
        <v>644</v>
      </c>
      <c r="P165" s="35">
        <v>2</v>
      </c>
      <c r="Q165" s="35">
        <v>646</v>
      </c>
      <c r="R165" s="35">
        <v>2</v>
      </c>
      <c r="S165" s="35">
        <v>647</v>
      </c>
      <c r="T165" s="35">
        <v>1</v>
      </c>
      <c r="U165" s="35">
        <v>648</v>
      </c>
      <c r="V165" s="35">
        <v>1</v>
      </c>
      <c r="W165" s="35">
        <v>649</v>
      </c>
      <c r="X165" s="35">
        <v>1</v>
      </c>
      <c r="Y165" s="35">
        <v>650</v>
      </c>
      <c r="Z165" s="35">
        <v>1</v>
      </c>
      <c r="AA165" s="35">
        <v>651</v>
      </c>
      <c r="AB165" s="35">
        <v>1</v>
      </c>
      <c r="AC165" s="35">
        <v>5</v>
      </c>
      <c r="AD165" s="35">
        <v>0</v>
      </c>
      <c r="AE165" s="35">
        <v>0</v>
      </c>
      <c r="AG165" s="35">
        <v>3</v>
      </c>
      <c r="AH165" s="35">
        <v>0</v>
      </c>
      <c r="AI165" s="35">
        <v>8</v>
      </c>
    </row>
    <row r="166" spans="1:35" ht="15.75" customHeight="1" x14ac:dyDescent="0.35">
      <c r="A166" s="35">
        <v>167</v>
      </c>
      <c r="B166" s="35" t="s">
        <v>233</v>
      </c>
      <c r="C166" s="35" t="s">
        <v>227</v>
      </c>
      <c r="D166" s="35">
        <v>5</v>
      </c>
      <c r="E166" s="35">
        <v>2586</v>
      </c>
      <c r="F166" s="35">
        <v>37</v>
      </c>
      <c r="G166" s="35">
        <v>2623</v>
      </c>
      <c r="H166" s="35">
        <v>34</v>
      </c>
      <c r="I166" s="35">
        <v>2657</v>
      </c>
      <c r="J166" s="35">
        <v>35</v>
      </c>
      <c r="K166" s="35">
        <v>2692</v>
      </c>
      <c r="L166" s="35">
        <v>26</v>
      </c>
      <c r="M166" s="35">
        <v>2718</v>
      </c>
      <c r="N166" s="35">
        <v>29</v>
      </c>
      <c r="O166" s="35">
        <v>2747</v>
      </c>
      <c r="P166" s="35">
        <v>27</v>
      </c>
      <c r="Q166" s="35">
        <v>2774</v>
      </c>
      <c r="R166" s="35">
        <v>27</v>
      </c>
      <c r="S166" s="35">
        <v>2798</v>
      </c>
      <c r="T166" s="35">
        <v>24</v>
      </c>
      <c r="U166" s="35">
        <v>2823</v>
      </c>
      <c r="V166" s="35">
        <v>25</v>
      </c>
      <c r="W166" s="35">
        <v>2849</v>
      </c>
      <c r="X166" s="35">
        <v>26</v>
      </c>
      <c r="Y166" s="35">
        <v>2868</v>
      </c>
      <c r="Z166" s="35">
        <v>19</v>
      </c>
      <c r="AA166" s="35">
        <v>2894</v>
      </c>
      <c r="AB166" s="35">
        <v>26</v>
      </c>
      <c r="AC166" s="35">
        <v>26</v>
      </c>
      <c r="AD166" s="35">
        <v>0</v>
      </c>
      <c r="AE166" s="35">
        <v>0</v>
      </c>
      <c r="AG166" s="35">
        <v>3</v>
      </c>
      <c r="AH166" s="35">
        <v>0</v>
      </c>
      <c r="AI166" s="35">
        <v>29</v>
      </c>
    </row>
    <row r="167" spans="1:35" ht="15.75" customHeight="1" x14ac:dyDescent="0.35">
      <c r="A167" s="35">
        <v>168</v>
      </c>
      <c r="B167" s="35" t="s">
        <v>234</v>
      </c>
      <c r="C167" s="35" t="s">
        <v>227</v>
      </c>
      <c r="D167" s="35">
        <v>6</v>
      </c>
      <c r="E167" s="35">
        <v>2306</v>
      </c>
      <c r="F167" s="35">
        <v>27</v>
      </c>
      <c r="G167" s="35">
        <v>2333</v>
      </c>
      <c r="H167" s="35">
        <v>-2316</v>
      </c>
      <c r="I167" s="35">
        <v>17</v>
      </c>
      <c r="J167" s="35">
        <v>17</v>
      </c>
      <c r="K167" s="35">
        <v>34</v>
      </c>
      <c r="L167" s="35">
        <v>16</v>
      </c>
      <c r="M167" s="35">
        <v>50</v>
      </c>
      <c r="N167" s="35">
        <v>17</v>
      </c>
      <c r="O167" s="35">
        <v>67</v>
      </c>
      <c r="P167" s="35">
        <v>16</v>
      </c>
      <c r="Q167" s="35">
        <v>83</v>
      </c>
      <c r="R167" s="35">
        <v>16</v>
      </c>
      <c r="S167" s="35">
        <v>97</v>
      </c>
      <c r="T167" s="35">
        <v>14</v>
      </c>
      <c r="U167" s="35">
        <v>111</v>
      </c>
      <c r="V167" s="35">
        <v>14</v>
      </c>
      <c r="W167" s="35">
        <v>124</v>
      </c>
      <c r="X167" s="35">
        <v>13</v>
      </c>
      <c r="Y167" s="35">
        <v>144</v>
      </c>
      <c r="Z167" s="35">
        <v>20</v>
      </c>
      <c r="AA167" s="35">
        <v>166</v>
      </c>
      <c r="AB167" s="35">
        <v>22</v>
      </c>
      <c r="AC167" s="35">
        <v>22</v>
      </c>
      <c r="AD167" s="35">
        <v>23</v>
      </c>
      <c r="AE167" s="35">
        <v>0</v>
      </c>
      <c r="AG167" s="35">
        <v>3</v>
      </c>
      <c r="AH167" s="35">
        <v>0</v>
      </c>
      <c r="AI167" s="35">
        <v>48</v>
      </c>
    </row>
    <row r="168" spans="1:35" ht="15.75" customHeight="1" x14ac:dyDescent="0.35">
      <c r="A168" s="35">
        <v>169</v>
      </c>
      <c r="B168" s="35" t="s">
        <v>235</v>
      </c>
      <c r="C168" s="35" t="s">
        <v>227</v>
      </c>
      <c r="D168" s="35">
        <v>7</v>
      </c>
      <c r="E168" s="35">
        <v>260</v>
      </c>
      <c r="F168" s="35">
        <v>10</v>
      </c>
      <c r="G168" s="35">
        <v>270</v>
      </c>
      <c r="H168" s="35">
        <v>12</v>
      </c>
      <c r="I168" s="35">
        <v>282</v>
      </c>
      <c r="J168" s="35">
        <v>15</v>
      </c>
      <c r="K168" s="35">
        <v>297</v>
      </c>
      <c r="L168" s="35">
        <v>14</v>
      </c>
      <c r="M168" s="35">
        <v>311</v>
      </c>
      <c r="N168" s="35">
        <v>10</v>
      </c>
      <c r="O168" s="35">
        <v>321</v>
      </c>
      <c r="P168" s="35">
        <v>9</v>
      </c>
      <c r="Q168" s="35">
        <v>330</v>
      </c>
      <c r="R168" s="35">
        <v>9</v>
      </c>
      <c r="S168" s="35">
        <v>338</v>
      </c>
      <c r="T168" s="35">
        <v>8</v>
      </c>
      <c r="U168" s="35">
        <v>348</v>
      </c>
      <c r="V168" s="35">
        <v>10</v>
      </c>
      <c r="W168" s="35">
        <v>357</v>
      </c>
      <c r="X168" s="35">
        <v>9</v>
      </c>
      <c r="Y168" s="35">
        <v>366</v>
      </c>
      <c r="Z168" s="35">
        <v>9</v>
      </c>
      <c r="AA168" s="35">
        <v>378</v>
      </c>
      <c r="AB168" s="35">
        <v>12</v>
      </c>
      <c r="AC168" s="35">
        <v>12</v>
      </c>
      <c r="AD168" s="35">
        <v>0</v>
      </c>
      <c r="AE168" s="35">
        <v>0</v>
      </c>
      <c r="AG168" s="35">
        <v>3</v>
      </c>
      <c r="AH168" s="35">
        <v>20</v>
      </c>
      <c r="AI168" s="35">
        <v>35</v>
      </c>
    </row>
    <row r="169" spans="1:35" ht="15.75" customHeight="1" x14ac:dyDescent="0.35">
      <c r="A169" s="35">
        <v>170</v>
      </c>
      <c r="B169" s="35" t="s">
        <v>236</v>
      </c>
      <c r="C169" s="35" t="s">
        <v>227</v>
      </c>
      <c r="D169" s="35">
        <v>8</v>
      </c>
      <c r="E169" s="35">
        <v>582</v>
      </c>
      <c r="F169" s="35">
        <v>0</v>
      </c>
      <c r="G169" s="35">
        <v>582</v>
      </c>
      <c r="H169" s="35">
        <v>5</v>
      </c>
      <c r="I169" s="35">
        <v>587</v>
      </c>
      <c r="J169" s="35">
        <v>2</v>
      </c>
      <c r="K169" s="35">
        <v>589</v>
      </c>
      <c r="L169" s="35">
        <v>0</v>
      </c>
      <c r="M169" s="35">
        <v>589</v>
      </c>
      <c r="N169" s="35">
        <v>2</v>
      </c>
      <c r="O169" s="35">
        <v>591</v>
      </c>
      <c r="P169" s="35">
        <v>1</v>
      </c>
      <c r="Q169" s="35">
        <v>592</v>
      </c>
      <c r="R169" s="35">
        <v>1</v>
      </c>
      <c r="S169" s="35">
        <v>592</v>
      </c>
      <c r="T169" s="35">
        <v>0</v>
      </c>
      <c r="U169" s="35">
        <v>593</v>
      </c>
      <c r="V169" s="35">
        <v>1</v>
      </c>
      <c r="W169" s="35">
        <v>594</v>
      </c>
      <c r="X169" s="35">
        <v>1</v>
      </c>
      <c r="Y169" s="35">
        <v>594</v>
      </c>
      <c r="Z169" s="35">
        <v>0</v>
      </c>
      <c r="AA169" s="35">
        <v>594</v>
      </c>
      <c r="AB169" s="35">
        <v>0</v>
      </c>
      <c r="AC169" s="35">
        <v>5</v>
      </c>
      <c r="AD169" s="35">
        <v>0</v>
      </c>
      <c r="AE169" s="35">
        <v>0</v>
      </c>
      <c r="AG169" s="35">
        <v>3</v>
      </c>
      <c r="AH169" s="35">
        <v>0</v>
      </c>
      <c r="AI169" s="35">
        <v>8</v>
      </c>
    </row>
    <row r="170" spans="1:35" ht="15.75" customHeight="1" x14ac:dyDescent="0.35">
      <c r="A170" s="35">
        <v>171</v>
      </c>
      <c r="B170" s="35" t="s">
        <v>237</v>
      </c>
      <c r="C170" s="35" t="s">
        <v>227</v>
      </c>
      <c r="D170" s="35">
        <v>9</v>
      </c>
      <c r="E170" s="35">
        <v>378</v>
      </c>
      <c r="F170" s="35">
        <v>0</v>
      </c>
      <c r="G170" s="35">
        <v>378</v>
      </c>
      <c r="H170" s="35">
        <v>0</v>
      </c>
      <c r="I170" s="35">
        <v>378</v>
      </c>
      <c r="J170" s="35">
        <v>0</v>
      </c>
      <c r="K170" s="35">
        <v>378</v>
      </c>
      <c r="L170" s="35">
        <v>0</v>
      </c>
      <c r="M170" s="35">
        <v>378</v>
      </c>
      <c r="N170" s="35">
        <v>0</v>
      </c>
      <c r="O170" s="35">
        <v>378</v>
      </c>
      <c r="P170" s="35">
        <v>0</v>
      </c>
      <c r="Q170" s="35">
        <v>378</v>
      </c>
      <c r="R170" s="35">
        <v>0</v>
      </c>
      <c r="S170" s="35">
        <v>378</v>
      </c>
      <c r="T170" s="35">
        <v>0</v>
      </c>
      <c r="U170" s="35">
        <v>378</v>
      </c>
      <c r="V170" s="35">
        <v>0</v>
      </c>
      <c r="W170" s="35">
        <v>378</v>
      </c>
      <c r="X170" s="35">
        <v>0</v>
      </c>
      <c r="Y170" s="35">
        <v>378</v>
      </c>
      <c r="Z170" s="35">
        <v>0</v>
      </c>
      <c r="AA170" s="35">
        <v>378</v>
      </c>
      <c r="AB170" s="35">
        <v>0</v>
      </c>
      <c r="AC170" s="35">
        <v>5</v>
      </c>
      <c r="AD170" s="35">
        <v>8</v>
      </c>
      <c r="AE170" s="35">
        <v>0</v>
      </c>
      <c r="AG170" s="35">
        <v>3</v>
      </c>
      <c r="AH170" s="35">
        <v>20</v>
      </c>
      <c r="AI170" s="35">
        <v>36</v>
      </c>
    </row>
    <row r="171" spans="1:35" ht="15.75" customHeight="1" x14ac:dyDescent="0.35">
      <c r="A171" s="35">
        <v>172</v>
      </c>
      <c r="B171" s="35" t="s">
        <v>238</v>
      </c>
      <c r="C171" s="35" t="s">
        <v>227</v>
      </c>
      <c r="D171" s="35">
        <v>10</v>
      </c>
      <c r="E171" s="35">
        <v>1019</v>
      </c>
      <c r="F171" s="35">
        <v>5</v>
      </c>
      <c r="G171" s="35">
        <v>1024</v>
      </c>
      <c r="H171" s="35">
        <v>1</v>
      </c>
      <c r="I171" s="35">
        <v>1025</v>
      </c>
      <c r="J171" s="35">
        <v>0</v>
      </c>
      <c r="K171" s="35">
        <v>1025</v>
      </c>
      <c r="L171" s="35">
        <v>0</v>
      </c>
      <c r="M171" s="35">
        <v>1025</v>
      </c>
      <c r="N171" s="35">
        <v>0</v>
      </c>
      <c r="O171" s="35">
        <v>1025</v>
      </c>
      <c r="P171" s="35">
        <v>1</v>
      </c>
      <c r="Q171" s="35">
        <v>1026</v>
      </c>
      <c r="R171" s="35">
        <v>1</v>
      </c>
      <c r="S171" s="35">
        <v>1037</v>
      </c>
      <c r="T171" s="35">
        <v>11</v>
      </c>
      <c r="U171" s="35">
        <v>1057</v>
      </c>
      <c r="V171" s="35">
        <v>20</v>
      </c>
      <c r="W171" s="35">
        <v>1058</v>
      </c>
      <c r="X171" s="35">
        <v>1</v>
      </c>
      <c r="Y171" s="35">
        <v>1063</v>
      </c>
      <c r="Z171" s="35">
        <v>5</v>
      </c>
      <c r="AA171" s="35">
        <v>1063</v>
      </c>
      <c r="AB171" s="35">
        <v>0</v>
      </c>
      <c r="AC171" s="35">
        <v>5</v>
      </c>
      <c r="AD171" s="35">
        <v>0</v>
      </c>
      <c r="AE171" s="35">
        <v>0</v>
      </c>
      <c r="AG171" s="35">
        <v>3</v>
      </c>
      <c r="AH171" s="35">
        <v>0</v>
      </c>
      <c r="AI171" s="35">
        <v>8</v>
      </c>
    </row>
    <row r="172" spans="1:35" ht="15.75" customHeight="1" x14ac:dyDescent="0.35">
      <c r="A172" s="35">
        <v>173</v>
      </c>
      <c r="B172" s="35" t="s">
        <v>239</v>
      </c>
      <c r="C172" s="35" t="s">
        <v>227</v>
      </c>
      <c r="D172" s="35">
        <v>11</v>
      </c>
      <c r="E172" s="35">
        <v>2966</v>
      </c>
      <c r="F172" s="35">
        <v>24</v>
      </c>
      <c r="G172" s="35">
        <v>2990</v>
      </c>
      <c r="H172" s="35">
        <v>20</v>
      </c>
      <c r="I172" s="35">
        <v>3010</v>
      </c>
      <c r="J172" s="35">
        <v>22</v>
      </c>
      <c r="K172" s="35">
        <v>3032</v>
      </c>
      <c r="L172" s="35">
        <v>20</v>
      </c>
      <c r="M172" s="35">
        <v>3052</v>
      </c>
      <c r="N172" s="35">
        <v>17</v>
      </c>
      <c r="O172" s="35">
        <v>3069</v>
      </c>
      <c r="P172" s="35">
        <v>14</v>
      </c>
      <c r="Q172" s="35">
        <v>3083</v>
      </c>
      <c r="R172" s="35">
        <v>14</v>
      </c>
      <c r="S172" s="35">
        <v>3096</v>
      </c>
      <c r="T172" s="35">
        <v>13</v>
      </c>
      <c r="U172" s="35">
        <v>3110</v>
      </c>
      <c r="V172" s="35">
        <v>14</v>
      </c>
      <c r="W172" s="35">
        <v>3120</v>
      </c>
      <c r="X172" s="35">
        <v>10</v>
      </c>
      <c r="Y172" s="35">
        <v>3130</v>
      </c>
      <c r="Z172" s="35">
        <v>10</v>
      </c>
      <c r="AA172" s="35">
        <v>3145</v>
      </c>
      <c r="AB172" s="35">
        <v>15</v>
      </c>
      <c r="AC172" s="35">
        <v>15</v>
      </c>
      <c r="AD172" s="35">
        <v>0</v>
      </c>
      <c r="AE172" s="35">
        <v>0</v>
      </c>
      <c r="AG172" s="35">
        <v>3</v>
      </c>
      <c r="AH172" s="35">
        <v>0</v>
      </c>
      <c r="AI172" s="35">
        <v>18</v>
      </c>
    </row>
    <row r="173" spans="1:35" ht="15.75" customHeight="1" x14ac:dyDescent="0.35">
      <c r="A173" s="35">
        <v>174</v>
      </c>
      <c r="B173" s="35" t="s">
        <v>240</v>
      </c>
      <c r="C173" s="35" t="s">
        <v>227</v>
      </c>
      <c r="D173" s="35">
        <v>12</v>
      </c>
      <c r="E173" s="35">
        <v>2008</v>
      </c>
      <c r="F173" s="35">
        <v>11</v>
      </c>
      <c r="G173" s="35">
        <v>2019</v>
      </c>
      <c r="H173" s="35">
        <v>9</v>
      </c>
      <c r="I173" s="35">
        <v>2028</v>
      </c>
      <c r="J173" s="35">
        <v>11</v>
      </c>
      <c r="K173" s="35">
        <v>2039</v>
      </c>
      <c r="L173" s="35">
        <v>8</v>
      </c>
      <c r="M173" s="35">
        <v>2047</v>
      </c>
      <c r="N173" s="35">
        <v>9</v>
      </c>
      <c r="O173" s="35">
        <v>2056</v>
      </c>
      <c r="P173" s="35">
        <v>8</v>
      </c>
      <c r="Q173" s="35">
        <v>2064</v>
      </c>
      <c r="R173" s="35">
        <v>8</v>
      </c>
      <c r="S173" s="35">
        <v>2067</v>
      </c>
      <c r="T173" s="35">
        <v>3</v>
      </c>
      <c r="U173" s="35">
        <v>2074</v>
      </c>
      <c r="V173" s="35">
        <v>7</v>
      </c>
      <c r="W173" s="35">
        <v>2077</v>
      </c>
      <c r="X173" s="35">
        <v>3</v>
      </c>
      <c r="Y173" s="35">
        <v>2084</v>
      </c>
      <c r="Z173" s="35">
        <v>7</v>
      </c>
      <c r="AA173" s="35">
        <v>2090</v>
      </c>
      <c r="AB173" s="35">
        <v>6</v>
      </c>
      <c r="AC173" s="35">
        <v>6</v>
      </c>
      <c r="AD173" s="35">
        <v>20</v>
      </c>
      <c r="AE173" s="35">
        <v>40</v>
      </c>
      <c r="AG173" s="35">
        <v>3</v>
      </c>
      <c r="AH173" s="35">
        <v>0</v>
      </c>
      <c r="AI173" s="35">
        <v>69</v>
      </c>
    </row>
    <row r="174" spans="1:35" ht="15.75" customHeight="1" x14ac:dyDescent="0.35">
      <c r="A174" s="35">
        <v>175</v>
      </c>
      <c r="B174" s="35" t="s">
        <v>241</v>
      </c>
      <c r="C174" s="35" t="s">
        <v>227</v>
      </c>
      <c r="D174" s="35">
        <v>13</v>
      </c>
      <c r="E174" s="35">
        <v>1642</v>
      </c>
      <c r="F174" s="35">
        <v>8</v>
      </c>
      <c r="G174" s="35">
        <v>1650</v>
      </c>
      <c r="H174" s="35">
        <v>11</v>
      </c>
      <c r="I174" s="35">
        <v>1661</v>
      </c>
      <c r="J174" s="35">
        <v>10</v>
      </c>
      <c r="K174" s="35">
        <v>1671</v>
      </c>
      <c r="L174" s="35">
        <v>6</v>
      </c>
      <c r="M174" s="35">
        <v>1677</v>
      </c>
      <c r="N174" s="35">
        <v>7</v>
      </c>
      <c r="O174" s="35">
        <v>1684</v>
      </c>
      <c r="P174" s="35">
        <v>5</v>
      </c>
      <c r="Q174" s="35">
        <v>1689</v>
      </c>
      <c r="R174" s="35">
        <v>5</v>
      </c>
      <c r="S174" s="35">
        <v>1700</v>
      </c>
      <c r="T174" s="35">
        <v>11</v>
      </c>
      <c r="U174" s="35">
        <v>1707</v>
      </c>
      <c r="V174" s="35">
        <v>7</v>
      </c>
      <c r="W174" s="35">
        <v>1717</v>
      </c>
      <c r="X174" s="35">
        <v>10</v>
      </c>
      <c r="Y174" s="35">
        <v>1730</v>
      </c>
      <c r="Z174" s="35">
        <v>13</v>
      </c>
      <c r="AA174" s="35">
        <v>1736</v>
      </c>
      <c r="AB174" s="35">
        <v>6</v>
      </c>
      <c r="AC174" s="35">
        <v>6</v>
      </c>
      <c r="AD174" s="35">
        <v>16</v>
      </c>
      <c r="AE174" s="35">
        <v>0</v>
      </c>
      <c r="AG174" s="35">
        <v>3</v>
      </c>
      <c r="AH174" s="35">
        <v>0</v>
      </c>
      <c r="AI174" s="35">
        <v>25</v>
      </c>
    </row>
    <row r="175" spans="1:35" ht="15.75" customHeight="1" x14ac:dyDescent="0.35">
      <c r="A175" s="35">
        <v>176</v>
      </c>
      <c r="B175" s="35" t="s">
        <v>242</v>
      </c>
      <c r="C175" s="35" t="s">
        <v>227</v>
      </c>
      <c r="D175" s="35">
        <v>14</v>
      </c>
      <c r="E175" s="35">
        <v>2137</v>
      </c>
      <c r="F175" s="35">
        <v>5</v>
      </c>
      <c r="G175" s="35">
        <v>2142</v>
      </c>
      <c r="H175" s="35">
        <v>6</v>
      </c>
      <c r="I175" s="35">
        <v>2148</v>
      </c>
      <c r="J175" s="35">
        <v>6</v>
      </c>
      <c r="K175" s="35">
        <v>2154</v>
      </c>
      <c r="L175" s="35">
        <v>9</v>
      </c>
      <c r="M175" s="35">
        <v>2163</v>
      </c>
      <c r="N175" s="35">
        <v>14</v>
      </c>
      <c r="O175" s="35">
        <v>2177</v>
      </c>
      <c r="P175" s="35">
        <v>10</v>
      </c>
      <c r="Q175" s="35">
        <v>2187</v>
      </c>
      <c r="R175" s="35">
        <v>10</v>
      </c>
      <c r="S175" s="35">
        <v>2192</v>
      </c>
      <c r="T175" s="35">
        <v>5</v>
      </c>
      <c r="U175" s="35">
        <v>2201</v>
      </c>
      <c r="V175" s="35">
        <v>9</v>
      </c>
      <c r="W175" s="35">
        <v>2210</v>
      </c>
      <c r="X175" s="35">
        <v>9</v>
      </c>
      <c r="Y175" s="35">
        <v>2215</v>
      </c>
      <c r="Z175" s="35">
        <v>5</v>
      </c>
      <c r="AA175" s="35">
        <v>2219</v>
      </c>
      <c r="AB175" s="35">
        <v>4</v>
      </c>
      <c r="AC175" s="35">
        <v>5</v>
      </c>
      <c r="AD175" s="35">
        <v>0</v>
      </c>
      <c r="AE175" s="35">
        <v>0</v>
      </c>
      <c r="AG175" s="35">
        <v>3</v>
      </c>
      <c r="AH175" s="35">
        <v>0</v>
      </c>
      <c r="AI175" s="35">
        <v>8</v>
      </c>
    </row>
    <row r="176" spans="1:35" ht="15.75" customHeight="1" x14ac:dyDescent="0.35">
      <c r="A176" s="35">
        <v>177</v>
      </c>
      <c r="B176" s="35" t="s">
        <v>243</v>
      </c>
      <c r="C176" s="35" t="s">
        <v>227</v>
      </c>
      <c r="D176" s="35">
        <v>15</v>
      </c>
      <c r="E176" s="35">
        <v>2119</v>
      </c>
      <c r="F176" s="35">
        <v>21</v>
      </c>
      <c r="G176" s="35">
        <v>2140</v>
      </c>
      <c r="H176" s="35">
        <v>27</v>
      </c>
      <c r="I176" s="35">
        <v>2167</v>
      </c>
      <c r="J176" s="35">
        <v>31</v>
      </c>
      <c r="K176" s="35">
        <v>2198</v>
      </c>
      <c r="L176" s="35">
        <v>22</v>
      </c>
      <c r="M176" s="35">
        <v>2220</v>
      </c>
      <c r="N176" s="35">
        <v>13</v>
      </c>
      <c r="O176" s="35">
        <v>2233</v>
      </c>
      <c r="P176" s="35">
        <v>12</v>
      </c>
      <c r="Q176" s="35">
        <v>2245</v>
      </c>
      <c r="R176" s="35">
        <v>12</v>
      </c>
      <c r="S176" s="35">
        <v>2256</v>
      </c>
      <c r="T176" s="35">
        <v>11</v>
      </c>
      <c r="U176" s="35">
        <v>2271</v>
      </c>
      <c r="V176" s="35">
        <v>15</v>
      </c>
      <c r="W176" s="35">
        <v>2284</v>
      </c>
      <c r="X176" s="35">
        <v>13</v>
      </c>
      <c r="Y176" s="35">
        <v>2297</v>
      </c>
      <c r="Z176" s="35">
        <v>13</v>
      </c>
      <c r="AA176" s="35">
        <v>2309</v>
      </c>
      <c r="AB176" s="35">
        <v>12</v>
      </c>
      <c r="AC176" s="35">
        <v>12</v>
      </c>
      <c r="AD176" s="35">
        <v>0</v>
      </c>
      <c r="AE176" s="35">
        <v>0</v>
      </c>
      <c r="AG176" s="35">
        <v>3</v>
      </c>
      <c r="AH176" s="35">
        <v>20</v>
      </c>
      <c r="AI176" s="35">
        <v>35</v>
      </c>
    </row>
    <row r="177" spans="1:35" ht="15.75" customHeight="1" x14ac:dyDescent="0.35">
      <c r="A177" s="35">
        <v>178</v>
      </c>
      <c r="B177" s="35" t="s">
        <v>244</v>
      </c>
      <c r="C177" s="35" t="s">
        <v>227</v>
      </c>
      <c r="D177" s="35">
        <v>16</v>
      </c>
      <c r="E177" s="35">
        <v>1034</v>
      </c>
      <c r="F177" s="35">
        <v>18</v>
      </c>
      <c r="G177" s="35">
        <v>1052</v>
      </c>
      <c r="H177" s="35">
        <v>12</v>
      </c>
      <c r="I177" s="35">
        <v>1064</v>
      </c>
      <c r="J177" s="35">
        <v>4</v>
      </c>
      <c r="K177" s="35">
        <v>1068</v>
      </c>
      <c r="L177" s="35">
        <v>4</v>
      </c>
      <c r="M177" s="35">
        <v>1072</v>
      </c>
      <c r="N177" s="35">
        <v>6</v>
      </c>
      <c r="O177" s="35">
        <v>1078</v>
      </c>
      <c r="P177" s="35">
        <v>5</v>
      </c>
      <c r="Q177" s="35">
        <v>1083</v>
      </c>
      <c r="R177" s="35">
        <v>5</v>
      </c>
      <c r="S177" s="35">
        <v>1087</v>
      </c>
      <c r="T177" s="35">
        <v>4</v>
      </c>
      <c r="U177" s="35">
        <v>1090</v>
      </c>
      <c r="V177" s="35">
        <v>3</v>
      </c>
      <c r="W177" s="35">
        <v>1091</v>
      </c>
      <c r="X177" s="35">
        <v>1</v>
      </c>
      <c r="Y177" s="35">
        <v>1093</v>
      </c>
      <c r="Z177" s="35">
        <v>2</v>
      </c>
      <c r="AA177" s="35">
        <v>1097</v>
      </c>
      <c r="AB177" s="35">
        <v>4</v>
      </c>
      <c r="AC177" s="35">
        <v>5</v>
      </c>
      <c r="AD177" s="35">
        <v>0</v>
      </c>
      <c r="AE177" s="35">
        <v>0</v>
      </c>
      <c r="AG177" s="35">
        <v>3</v>
      </c>
      <c r="AH177" s="35">
        <v>0</v>
      </c>
      <c r="AI177" s="35">
        <v>8</v>
      </c>
    </row>
    <row r="178" spans="1:35" ht="15.75" customHeight="1" x14ac:dyDescent="0.35">
      <c r="A178" s="35">
        <v>179</v>
      </c>
      <c r="B178" s="35" t="s">
        <v>245</v>
      </c>
      <c r="C178" s="35" t="s">
        <v>227</v>
      </c>
      <c r="D178" s="35">
        <v>17</v>
      </c>
      <c r="E178" s="35">
        <v>1028</v>
      </c>
      <c r="F178" s="35">
        <v>0</v>
      </c>
      <c r="G178" s="35">
        <v>1028</v>
      </c>
      <c r="H178" s="35">
        <v>1</v>
      </c>
      <c r="I178" s="35">
        <v>1029</v>
      </c>
      <c r="J178" s="35">
        <v>1</v>
      </c>
      <c r="K178" s="35">
        <v>1030</v>
      </c>
      <c r="L178" s="35">
        <v>0</v>
      </c>
      <c r="M178" s="35">
        <v>1030</v>
      </c>
      <c r="N178" s="35">
        <v>1</v>
      </c>
      <c r="O178" s="35">
        <v>1031</v>
      </c>
      <c r="P178" s="35">
        <v>1</v>
      </c>
      <c r="Q178" s="35">
        <v>1032</v>
      </c>
      <c r="R178" s="35">
        <v>1</v>
      </c>
      <c r="S178" s="35">
        <v>1034</v>
      </c>
      <c r="T178" s="35">
        <v>2</v>
      </c>
      <c r="U178" s="35">
        <v>1039</v>
      </c>
      <c r="V178" s="35">
        <v>5</v>
      </c>
      <c r="W178" s="35">
        <v>1041</v>
      </c>
      <c r="X178" s="35">
        <v>2</v>
      </c>
      <c r="Y178" s="35">
        <v>1043</v>
      </c>
      <c r="Z178" s="35">
        <v>2</v>
      </c>
      <c r="AA178" s="35">
        <v>1049</v>
      </c>
      <c r="AB178" s="35">
        <v>6</v>
      </c>
      <c r="AC178" s="35">
        <v>6</v>
      </c>
      <c r="AD178" s="35">
        <v>0</v>
      </c>
      <c r="AE178" s="35">
        <v>0</v>
      </c>
      <c r="AG178" s="35">
        <v>3</v>
      </c>
      <c r="AH178" s="35">
        <v>0</v>
      </c>
      <c r="AI178" s="35">
        <v>9</v>
      </c>
    </row>
    <row r="179" spans="1:35" ht="15.75" customHeight="1" x14ac:dyDescent="0.35">
      <c r="A179" s="35">
        <v>180</v>
      </c>
      <c r="B179" s="35" t="s">
        <v>246</v>
      </c>
      <c r="C179" s="35" t="s">
        <v>227</v>
      </c>
      <c r="D179" s="35">
        <v>18</v>
      </c>
      <c r="E179" s="35">
        <v>233</v>
      </c>
      <c r="F179" s="35">
        <v>15</v>
      </c>
      <c r="G179" s="35">
        <v>248</v>
      </c>
      <c r="H179" s="35">
        <v>9</v>
      </c>
      <c r="I179" s="35">
        <v>257</v>
      </c>
      <c r="J179" s="35">
        <v>10</v>
      </c>
      <c r="K179" s="35">
        <v>267</v>
      </c>
      <c r="L179" s="35">
        <v>8</v>
      </c>
      <c r="M179" s="35">
        <v>275</v>
      </c>
      <c r="N179" s="35">
        <v>6</v>
      </c>
      <c r="O179" s="35">
        <v>281</v>
      </c>
      <c r="P179" s="35">
        <v>5</v>
      </c>
      <c r="Q179" s="35">
        <v>286</v>
      </c>
      <c r="R179" s="35">
        <v>5</v>
      </c>
      <c r="S179" s="35">
        <v>292</v>
      </c>
      <c r="T179" s="35">
        <v>6</v>
      </c>
      <c r="U179" s="35">
        <v>304</v>
      </c>
      <c r="V179" s="35">
        <v>12</v>
      </c>
      <c r="W179" s="35">
        <v>317</v>
      </c>
      <c r="X179" s="35">
        <v>13</v>
      </c>
      <c r="Y179" s="35">
        <v>336</v>
      </c>
      <c r="Z179" s="35">
        <v>19</v>
      </c>
      <c r="AA179" s="35">
        <v>344</v>
      </c>
      <c r="AB179" s="35">
        <v>8</v>
      </c>
      <c r="AC179" s="35">
        <v>8</v>
      </c>
      <c r="AD179" s="35">
        <v>0</v>
      </c>
      <c r="AE179" s="35">
        <v>0</v>
      </c>
      <c r="AG179" s="35">
        <v>3</v>
      </c>
      <c r="AH179" s="35">
        <v>20</v>
      </c>
      <c r="AI179" s="35">
        <v>31</v>
      </c>
    </row>
    <row r="180" spans="1:35" ht="15.75" customHeight="1" x14ac:dyDescent="0.35">
      <c r="A180" s="35">
        <v>181</v>
      </c>
      <c r="B180" s="35" t="s">
        <v>247</v>
      </c>
      <c r="C180" s="35" t="s">
        <v>248</v>
      </c>
      <c r="D180" s="35">
        <v>1</v>
      </c>
      <c r="E180" s="35">
        <v>1497</v>
      </c>
      <c r="F180" s="35">
        <v>23</v>
      </c>
      <c r="G180" s="35">
        <v>1520</v>
      </c>
      <c r="H180" s="35">
        <v>32</v>
      </c>
      <c r="I180" s="35">
        <v>1552</v>
      </c>
      <c r="J180" s="35">
        <v>36</v>
      </c>
      <c r="K180" s="35">
        <v>1568</v>
      </c>
      <c r="L180" s="35">
        <v>5</v>
      </c>
      <c r="M180" s="35">
        <v>1573</v>
      </c>
      <c r="N180" s="35">
        <v>28</v>
      </c>
      <c r="O180" s="35">
        <v>1601</v>
      </c>
      <c r="P180" s="35">
        <v>49</v>
      </c>
      <c r="Q180" s="35">
        <v>1650</v>
      </c>
      <c r="R180" s="35">
        <v>49</v>
      </c>
      <c r="S180" s="35">
        <v>1681</v>
      </c>
      <c r="T180" s="35">
        <v>31</v>
      </c>
      <c r="U180" s="35">
        <v>1716</v>
      </c>
      <c r="V180" s="35">
        <v>35</v>
      </c>
      <c r="W180" s="35">
        <v>1748</v>
      </c>
      <c r="X180" s="35">
        <v>32</v>
      </c>
      <c r="Y180" s="35">
        <v>1770</v>
      </c>
      <c r="Z180" s="35">
        <v>22</v>
      </c>
      <c r="AA180" s="35">
        <v>1803</v>
      </c>
      <c r="AB180" s="35">
        <v>33</v>
      </c>
      <c r="AC180" s="35">
        <v>33</v>
      </c>
      <c r="AD180" s="35">
        <v>0</v>
      </c>
      <c r="AE180" s="35">
        <v>0</v>
      </c>
      <c r="AG180" s="35">
        <v>3</v>
      </c>
      <c r="AH180" s="35">
        <v>0</v>
      </c>
      <c r="AI180" s="35">
        <v>36</v>
      </c>
    </row>
    <row r="181" spans="1:35" ht="15.75" customHeight="1" x14ac:dyDescent="0.35">
      <c r="A181" s="35">
        <v>182</v>
      </c>
      <c r="B181" s="35" t="s">
        <v>250</v>
      </c>
      <c r="C181" s="35" t="s">
        <v>248</v>
      </c>
      <c r="D181" s="35">
        <v>2</v>
      </c>
      <c r="E181" s="35">
        <v>178</v>
      </c>
      <c r="F181" s="35">
        <v>13</v>
      </c>
      <c r="G181" s="35">
        <v>191</v>
      </c>
      <c r="H181" s="35">
        <v>19</v>
      </c>
      <c r="I181" s="35">
        <v>210</v>
      </c>
      <c r="J181" s="35">
        <v>16</v>
      </c>
      <c r="K181" s="35">
        <v>226</v>
      </c>
      <c r="L181" s="35">
        <v>10</v>
      </c>
      <c r="M181" s="35">
        <v>236</v>
      </c>
      <c r="N181" s="35">
        <v>7</v>
      </c>
      <c r="O181" s="35">
        <v>243</v>
      </c>
      <c r="P181" s="35">
        <v>8</v>
      </c>
      <c r="Q181" s="35">
        <v>251</v>
      </c>
      <c r="R181" s="35">
        <v>8</v>
      </c>
      <c r="S181" s="35">
        <v>258</v>
      </c>
      <c r="T181" s="35">
        <v>7</v>
      </c>
      <c r="U181" s="35">
        <v>265</v>
      </c>
      <c r="V181" s="35">
        <v>7</v>
      </c>
      <c r="W181" s="35">
        <v>271</v>
      </c>
      <c r="X181" s="35">
        <v>6</v>
      </c>
      <c r="Y181" s="35">
        <v>279</v>
      </c>
      <c r="Z181" s="35">
        <v>8</v>
      </c>
      <c r="AA181" s="35">
        <v>295</v>
      </c>
      <c r="AB181" s="35">
        <v>16</v>
      </c>
      <c r="AC181" s="35">
        <v>16</v>
      </c>
      <c r="AD181" s="35">
        <v>0</v>
      </c>
      <c r="AE181" s="35">
        <v>0</v>
      </c>
      <c r="AG181" s="35">
        <v>3</v>
      </c>
      <c r="AH181" s="35">
        <v>0</v>
      </c>
      <c r="AI181" s="35">
        <v>19</v>
      </c>
    </row>
    <row r="182" spans="1:35" ht="15.75" customHeight="1" x14ac:dyDescent="0.35">
      <c r="A182" s="35">
        <v>183</v>
      </c>
      <c r="B182" s="35" t="s">
        <v>251</v>
      </c>
      <c r="C182" s="35" t="s">
        <v>248</v>
      </c>
      <c r="D182" s="35">
        <v>3</v>
      </c>
      <c r="E182" s="35">
        <v>707</v>
      </c>
      <c r="F182" s="35">
        <v>0</v>
      </c>
      <c r="G182" s="35">
        <v>707</v>
      </c>
      <c r="H182" s="35">
        <v>0</v>
      </c>
      <c r="I182" s="35">
        <v>707</v>
      </c>
      <c r="J182" s="35">
        <v>0</v>
      </c>
      <c r="K182" s="35">
        <v>707</v>
      </c>
      <c r="L182" s="35">
        <v>0</v>
      </c>
      <c r="M182" s="35">
        <v>707</v>
      </c>
      <c r="N182" s="35">
        <v>0</v>
      </c>
      <c r="O182" s="35">
        <v>707</v>
      </c>
      <c r="P182" s="35">
        <v>0</v>
      </c>
      <c r="Q182" s="35">
        <v>707</v>
      </c>
      <c r="R182" s="35">
        <v>0</v>
      </c>
      <c r="S182" s="35">
        <v>707</v>
      </c>
      <c r="T182" s="35">
        <v>0</v>
      </c>
      <c r="U182" s="35">
        <v>707</v>
      </c>
      <c r="V182" s="35">
        <v>0</v>
      </c>
      <c r="W182" s="35">
        <v>707</v>
      </c>
      <c r="X182" s="35">
        <v>0</v>
      </c>
      <c r="Y182" s="35">
        <v>707</v>
      </c>
      <c r="Z182" s="35">
        <v>0</v>
      </c>
      <c r="AA182" s="35">
        <v>707</v>
      </c>
      <c r="AB182" s="35">
        <v>0</v>
      </c>
      <c r="AC182" s="35">
        <v>5</v>
      </c>
      <c r="AD182" s="35">
        <v>0</v>
      </c>
      <c r="AE182" s="35">
        <v>0</v>
      </c>
      <c r="AG182" s="35">
        <v>3</v>
      </c>
      <c r="AH182" s="35">
        <v>0</v>
      </c>
      <c r="AI182" s="35">
        <v>8</v>
      </c>
    </row>
    <row r="183" spans="1:35" ht="15.75" customHeight="1" x14ac:dyDescent="0.35">
      <c r="A183" s="35">
        <v>184</v>
      </c>
      <c r="B183" s="35" t="s">
        <v>252</v>
      </c>
      <c r="C183" s="35" t="s">
        <v>248</v>
      </c>
      <c r="D183" s="35">
        <v>4</v>
      </c>
      <c r="E183" s="35">
        <v>935</v>
      </c>
      <c r="F183" s="35">
        <v>11</v>
      </c>
      <c r="G183" s="35">
        <v>946</v>
      </c>
      <c r="H183" s="35">
        <v>15</v>
      </c>
      <c r="I183" s="35">
        <v>961</v>
      </c>
      <c r="J183" s="35">
        <v>12</v>
      </c>
      <c r="K183" s="35">
        <v>973</v>
      </c>
      <c r="L183" s="35">
        <v>14</v>
      </c>
      <c r="M183" s="35">
        <v>987</v>
      </c>
      <c r="N183" s="35">
        <v>8</v>
      </c>
      <c r="O183" s="35">
        <v>995</v>
      </c>
      <c r="P183" s="35">
        <v>4</v>
      </c>
      <c r="Q183" s="35">
        <v>999</v>
      </c>
      <c r="R183" s="35">
        <v>4</v>
      </c>
      <c r="S183" s="35">
        <v>1005</v>
      </c>
      <c r="T183" s="35">
        <v>6</v>
      </c>
      <c r="U183" s="35">
        <v>1011</v>
      </c>
      <c r="V183" s="35">
        <v>6</v>
      </c>
      <c r="W183" s="35">
        <v>1019</v>
      </c>
      <c r="X183" s="35">
        <v>8</v>
      </c>
      <c r="Y183" s="35">
        <v>1024</v>
      </c>
      <c r="Z183" s="35">
        <v>5</v>
      </c>
      <c r="AA183" s="35">
        <v>1033</v>
      </c>
      <c r="AB183" s="35">
        <v>9</v>
      </c>
      <c r="AC183" s="35">
        <v>9</v>
      </c>
      <c r="AD183" s="35">
        <v>0</v>
      </c>
      <c r="AE183" s="35">
        <v>0</v>
      </c>
      <c r="AG183" s="35">
        <v>3</v>
      </c>
      <c r="AH183" s="35">
        <v>0</v>
      </c>
      <c r="AI183" s="35">
        <v>12</v>
      </c>
    </row>
    <row r="184" spans="1:35" ht="15.75" customHeight="1" x14ac:dyDescent="0.35">
      <c r="A184" s="35">
        <v>185</v>
      </c>
      <c r="B184" s="35" t="s">
        <v>253</v>
      </c>
      <c r="C184" s="35" t="s">
        <v>248</v>
      </c>
      <c r="D184" s="35">
        <v>5</v>
      </c>
      <c r="E184" s="35">
        <v>3115</v>
      </c>
      <c r="F184" s="35">
        <v>21</v>
      </c>
      <c r="G184" s="35">
        <v>3136</v>
      </c>
      <c r="H184" s="35">
        <v>17</v>
      </c>
      <c r="I184" s="35">
        <v>3153</v>
      </c>
      <c r="J184" s="35">
        <v>19</v>
      </c>
      <c r="K184" s="35">
        <v>3172</v>
      </c>
      <c r="L184" s="35">
        <v>16</v>
      </c>
      <c r="M184" s="35">
        <v>3188</v>
      </c>
      <c r="N184" s="35">
        <v>17</v>
      </c>
      <c r="O184" s="35">
        <v>3205</v>
      </c>
      <c r="P184" s="35">
        <v>24</v>
      </c>
      <c r="Q184" s="35">
        <v>3229</v>
      </c>
      <c r="R184" s="35">
        <v>24</v>
      </c>
      <c r="S184" s="35">
        <v>3251</v>
      </c>
      <c r="T184" s="35">
        <v>22</v>
      </c>
      <c r="U184" s="35">
        <v>3265</v>
      </c>
      <c r="V184" s="35">
        <v>14</v>
      </c>
      <c r="W184" s="35">
        <v>3274</v>
      </c>
      <c r="X184" s="35">
        <v>9</v>
      </c>
      <c r="Y184" s="35">
        <v>3284</v>
      </c>
      <c r="Z184" s="35">
        <v>10</v>
      </c>
      <c r="AA184" s="35">
        <v>3297</v>
      </c>
      <c r="AB184" s="35">
        <v>13</v>
      </c>
      <c r="AC184" s="35">
        <v>13</v>
      </c>
      <c r="AD184" s="35">
        <v>0</v>
      </c>
      <c r="AE184" s="35">
        <v>0</v>
      </c>
      <c r="AG184" s="35">
        <v>3</v>
      </c>
      <c r="AH184" s="35">
        <v>0</v>
      </c>
      <c r="AI184" s="35">
        <v>16</v>
      </c>
    </row>
    <row r="185" spans="1:35" ht="15.75" customHeight="1" x14ac:dyDescent="0.35">
      <c r="A185" s="35">
        <v>186</v>
      </c>
      <c r="B185" s="35" t="s">
        <v>255</v>
      </c>
      <c r="C185" s="35" t="s">
        <v>248</v>
      </c>
      <c r="D185" s="35">
        <v>7</v>
      </c>
      <c r="E185" s="35">
        <v>1986</v>
      </c>
      <c r="F185" s="35">
        <v>6</v>
      </c>
      <c r="G185" s="35">
        <v>1992</v>
      </c>
      <c r="H185" s="35">
        <v>7</v>
      </c>
      <c r="I185" s="35">
        <v>1999</v>
      </c>
      <c r="J185" s="35">
        <v>7</v>
      </c>
      <c r="K185" s="35">
        <v>2006</v>
      </c>
      <c r="L185" s="35">
        <v>6</v>
      </c>
      <c r="M185" s="35">
        <v>2012</v>
      </c>
      <c r="N185" s="35">
        <v>6</v>
      </c>
      <c r="O185" s="35">
        <v>2018</v>
      </c>
      <c r="P185" s="35">
        <v>7</v>
      </c>
      <c r="Q185" s="35">
        <v>2025</v>
      </c>
      <c r="R185" s="35">
        <v>7</v>
      </c>
      <c r="S185" s="35">
        <v>2030</v>
      </c>
      <c r="T185" s="35">
        <v>5</v>
      </c>
      <c r="U185" s="35">
        <v>2040</v>
      </c>
      <c r="V185" s="35">
        <v>10</v>
      </c>
      <c r="W185" s="35">
        <v>2046</v>
      </c>
      <c r="X185" s="35">
        <v>6</v>
      </c>
      <c r="Y185" s="35">
        <v>2054</v>
      </c>
      <c r="Z185" s="35">
        <v>8</v>
      </c>
      <c r="AA185" s="35">
        <v>2059</v>
      </c>
      <c r="AB185" s="35">
        <v>5</v>
      </c>
      <c r="AC185" s="35">
        <v>5</v>
      </c>
      <c r="AD185" s="35">
        <v>0</v>
      </c>
      <c r="AE185" s="35">
        <v>0</v>
      </c>
      <c r="AG185" s="35">
        <v>3</v>
      </c>
      <c r="AH185" s="35">
        <v>0</v>
      </c>
      <c r="AI185" s="35">
        <v>8</v>
      </c>
    </row>
    <row r="186" spans="1:35" ht="15.75" customHeight="1" x14ac:dyDescent="0.35">
      <c r="A186" s="35">
        <v>187</v>
      </c>
      <c r="B186" s="35" t="s">
        <v>256</v>
      </c>
      <c r="C186" s="35" t="s">
        <v>248</v>
      </c>
      <c r="D186" s="35">
        <v>8</v>
      </c>
      <c r="E186" s="35">
        <v>2114</v>
      </c>
      <c r="F186" s="35">
        <v>15</v>
      </c>
      <c r="G186" s="35">
        <v>2129</v>
      </c>
      <c r="H186" s="35">
        <v>12</v>
      </c>
      <c r="I186" s="35">
        <v>2141</v>
      </c>
      <c r="J186" s="35">
        <v>15</v>
      </c>
      <c r="K186" s="35">
        <v>2156</v>
      </c>
      <c r="L186" s="35">
        <v>13</v>
      </c>
      <c r="M186" s="35">
        <v>2169</v>
      </c>
      <c r="N186" s="35">
        <v>11</v>
      </c>
      <c r="O186" s="35">
        <v>2180</v>
      </c>
      <c r="P186" s="35">
        <v>8</v>
      </c>
      <c r="Q186" s="35">
        <v>2188</v>
      </c>
      <c r="R186" s="35">
        <v>8</v>
      </c>
      <c r="S186" s="35">
        <v>2195</v>
      </c>
      <c r="T186" s="35">
        <v>7</v>
      </c>
      <c r="U186" s="35">
        <v>2201</v>
      </c>
      <c r="V186" s="35">
        <v>6</v>
      </c>
      <c r="W186" s="35">
        <v>2207</v>
      </c>
      <c r="X186" s="35">
        <v>6</v>
      </c>
      <c r="Y186" s="35">
        <v>2218</v>
      </c>
      <c r="Z186" s="35">
        <v>11</v>
      </c>
      <c r="AA186" s="35">
        <v>2225</v>
      </c>
      <c r="AB186" s="35">
        <v>7</v>
      </c>
      <c r="AC186" s="35">
        <v>7</v>
      </c>
      <c r="AD186" s="35">
        <v>0</v>
      </c>
      <c r="AE186" s="35">
        <v>0</v>
      </c>
      <c r="AG186" s="35">
        <v>3</v>
      </c>
      <c r="AH186" s="35">
        <v>0</v>
      </c>
      <c r="AI186" s="35">
        <v>10</v>
      </c>
    </row>
    <row r="187" spans="1:35" ht="15.75" customHeight="1" x14ac:dyDescent="0.35">
      <c r="A187" s="35">
        <v>188</v>
      </c>
      <c r="B187" s="35" t="s">
        <v>257</v>
      </c>
      <c r="C187" s="35" t="s">
        <v>248</v>
      </c>
      <c r="D187" s="35">
        <v>9</v>
      </c>
      <c r="E187" s="35">
        <v>2687</v>
      </c>
      <c r="F187" s="35">
        <v>16</v>
      </c>
      <c r="G187" s="35">
        <v>2703</v>
      </c>
      <c r="H187" s="35">
        <v>17</v>
      </c>
      <c r="I187" s="35">
        <v>2720</v>
      </c>
      <c r="J187" s="35">
        <v>15</v>
      </c>
      <c r="K187" s="35">
        <v>2735</v>
      </c>
      <c r="L187" s="35">
        <v>14</v>
      </c>
      <c r="M187" s="35">
        <v>2749</v>
      </c>
      <c r="N187" s="35">
        <v>13</v>
      </c>
      <c r="O187" s="35">
        <v>2762</v>
      </c>
      <c r="P187" s="35">
        <v>10</v>
      </c>
      <c r="Q187" s="35">
        <v>2772</v>
      </c>
      <c r="R187" s="35">
        <v>10</v>
      </c>
      <c r="S187" s="35">
        <v>2781</v>
      </c>
      <c r="T187" s="35">
        <v>9</v>
      </c>
      <c r="U187" s="35">
        <v>2791</v>
      </c>
      <c r="V187" s="35">
        <v>10</v>
      </c>
      <c r="W187" s="35">
        <v>2801</v>
      </c>
      <c r="X187" s="35">
        <v>10</v>
      </c>
      <c r="Y187" s="35">
        <v>2815</v>
      </c>
      <c r="Z187" s="35">
        <v>14</v>
      </c>
      <c r="AA187" s="35">
        <v>2830</v>
      </c>
      <c r="AB187" s="35">
        <v>15</v>
      </c>
      <c r="AC187" s="35">
        <v>15</v>
      </c>
      <c r="AD187" s="35">
        <v>0</v>
      </c>
      <c r="AE187" s="35">
        <v>0</v>
      </c>
      <c r="AG187" s="35">
        <v>3</v>
      </c>
      <c r="AH187" s="35">
        <v>0</v>
      </c>
      <c r="AI187" s="35">
        <v>18</v>
      </c>
    </row>
    <row r="188" spans="1:35" ht="15.75" customHeight="1" x14ac:dyDescent="0.35">
      <c r="A188" s="35">
        <v>189</v>
      </c>
      <c r="B188" s="35" t="s">
        <v>258</v>
      </c>
      <c r="C188" s="35" t="s">
        <v>248</v>
      </c>
      <c r="D188" s="35">
        <v>10</v>
      </c>
      <c r="E188" s="35">
        <v>1634</v>
      </c>
      <c r="F188" s="35">
        <v>22</v>
      </c>
      <c r="G188" s="35">
        <v>1656</v>
      </c>
      <c r="H188" s="35">
        <v>40</v>
      </c>
      <c r="I188" s="35">
        <v>1696</v>
      </c>
      <c r="J188" s="35">
        <v>32</v>
      </c>
      <c r="K188" s="35">
        <v>1728</v>
      </c>
      <c r="L188" s="35">
        <v>28</v>
      </c>
      <c r="M188" s="35">
        <v>1756</v>
      </c>
      <c r="N188" s="35">
        <v>30</v>
      </c>
      <c r="O188" s="35">
        <v>1786</v>
      </c>
      <c r="P188" s="35">
        <v>24</v>
      </c>
      <c r="Q188" s="35">
        <v>1810</v>
      </c>
      <c r="R188" s="35">
        <v>24</v>
      </c>
      <c r="S188" s="35">
        <v>1834</v>
      </c>
      <c r="T188" s="35">
        <v>24</v>
      </c>
      <c r="U188" s="35">
        <v>1859</v>
      </c>
      <c r="V188" s="35">
        <v>25</v>
      </c>
      <c r="W188" s="35">
        <v>1882</v>
      </c>
      <c r="X188" s="35">
        <v>23</v>
      </c>
      <c r="Y188" s="35">
        <v>1907</v>
      </c>
      <c r="Z188" s="35">
        <v>25</v>
      </c>
      <c r="AA188" s="35">
        <v>1923</v>
      </c>
      <c r="AB188" s="35">
        <v>16</v>
      </c>
      <c r="AC188" s="35">
        <v>16</v>
      </c>
      <c r="AD188" s="35">
        <v>0</v>
      </c>
      <c r="AE188" s="35">
        <v>0</v>
      </c>
      <c r="AG188" s="35">
        <v>3</v>
      </c>
      <c r="AH188" s="35">
        <v>0</v>
      </c>
      <c r="AI188" s="35">
        <v>19</v>
      </c>
    </row>
    <row r="189" spans="1:35" ht="15.75" customHeight="1" x14ac:dyDescent="0.35">
      <c r="A189" s="35">
        <v>190</v>
      </c>
      <c r="B189" s="35" t="s">
        <v>259</v>
      </c>
      <c r="C189" s="35" t="s">
        <v>248</v>
      </c>
      <c r="D189" s="35">
        <v>11</v>
      </c>
      <c r="E189" s="35">
        <v>1122</v>
      </c>
      <c r="F189" s="35">
        <v>14</v>
      </c>
      <c r="G189" s="35">
        <v>1136</v>
      </c>
      <c r="H189" s="35">
        <v>15</v>
      </c>
      <c r="I189" s="35">
        <v>1151</v>
      </c>
      <c r="J189" s="35">
        <v>13</v>
      </c>
      <c r="K189" s="35">
        <v>1164</v>
      </c>
      <c r="L189" s="35">
        <v>13</v>
      </c>
      <c r="M189" s="35">
        <v>1177</v>
      </c>
      <c r="N189" s="35">
        <v>13</v>
      </c>
      <c r="O189" s="35">
        <v>1190</v>
      </c>
      <c r="P189" s="35">
        <v>12</v>
      </c>
      <c r="Q189" s="35">
        <v>1202</v>
      </c>
      <c r="R189" s="35">
        <v>12</v>
      </c>
      <c r="S189" s="35">
        <v>1212</v>
      </c>
      <c r="T189" s="35">
        <v>10</v>
      </c>
      <c r="U189" s="35">
        <v>1224</v>
      </c>
      <c r="V189" s="35">
        <v>12</v>
      </c>
      <c r="W189" s="35">
        <v>1236</v>
      </c>
      <c r="X189" s="35">
        <v>12</v>
      </c>
      <c r="Y189" s="35">
        <v>1247</v>
      </c>
      <c r="Z189" s="35">
        <v>11</v>
      </c>
      <c r="AA189" s="35">
        <v>1258</v>
      </c>
      <c r="AB189" s="35">
        <v>11</v>
      </c>
      <c r="AC189" s="35">
        <v>11</v>
      </c>
      <c r="AD189" s="35">
        <v>0</v>
      </c>
      <c r="AE189" s="35">
        <v>0</v>
      </c>
      <c r="AG189" s="35">
        <v>3</v>
      </c>
      <c r="AH189" s="35">
        <v>20</v>
      </c>
      <c r="AI189" s="35">
        <v>34</v>
      </c>
    </row>
    <row r="190" spans="1:35" ht="15.75" customHeight="1" x14ac:dyDescent="0.35">
      <c r="A190" s="35">
        <v>191</v>
      </c>
      <c r="B190" s="35" t="s">
        <v>260</v>
      </c>
      <c r="C190" s="35" t="s">
        <v>248</v>
      </c>
      <c r="D190" s="35">
        <v>12</v>
      </c>
      <c r="E190" s="35">
        <v>616</v>
      </c>
      <c r="F190" s="35">
        <v>1</v>
      </c>
      <c r="G190" s="35">
        <v>617</v>
      </c>
      <c r="H190" s="35">
        <v>4</v>
      </c>
      <c r="I190" s="35">
        <v>621</v>
      </c>
      <c r="J190" s="35">
        <v>5</v>
      </c>
      <c r="K190" s="35">
        <v>626</v>
      </c>
      <c r="L190" s="35">
        <v>3</v>
      </c>
      <c r="M190" s="35">
        <v>629</v>
      </c>
      <c r="N190" s="35">
        <v>2</v>
      </c>
      <c r="O190" s="35">
        <v>631</v>
      </c>
      <c r="P190" s="35">
        <v>2</v>
      </c>
      <c r="Q190" s="35">
        <v>633</v>
      </c>
      <c r="R190" s="35">
        <v>2</v>
      </c>
      <c r="S190" s="35">
        <v>634</v>
      </c>
      <c r="T190" s="35">
        <v>1</v>
      </c>
      <c r="U190" s="35">
        <v>636</v>
      </c>
      <c r="V190" s="35">
        <v>2</v>
      </c>
      <c r="W190" s="35">
        <v>636</v>
      </c>
      <c r="X190" s="35">
        <v>0</v>
      </c>
      <c r="Y190" s="35">
        <v>637</v>
      </c>
      <c r="Z190" s="35">
        <v>1</v>
      </c>
      <c r="AA190" s="35">
        <v>638</v>
      </c>
      <c r="AB190" s="35">
        <v>1</v>
      </c>
      <c r="AC190" s="35">
        <v>5</v>
      </c>
      <c r="AD190" s="35">
        <v>0</v>
      </c>
      <c r="AE190" s="35">
        <v>0</v>
      </c>
      <c r="AG190" s="35">
        <v>3</v>
      </c>
      <c r="AH190" s="35">
        <v>20</v>
      </c>
      <c r="AI190" s="35">
        <v>28</v>
      </c>
    </row>
    <row r="191" spans="1:35" ht="15.75" customHeight="1" x14ac:dyDescent="0.35">
      <c r="A191" s="35">
        <v>193</v>
      </c>
      <c r="B191" s="35" t="s">
        <v>263</v>
      </c>
      <c r="C191" s="35" t="s">
        <v>264</v>
      </c>
      <c r="D191" s="35">
        <v>1</v>
      </c>
      <c r="E191" s="35">
        <v>2007</v>
      </c>
      <c r="F191" s="35">
        <v>26</v>
      </c>
      <c r="G191" s="35">
        <v>2033</v>
      </c>
      <c r="H191" s="35">
        <v>9</v>
      </c>
      <c r="I191" s="35">
        <v>2042</v>
      </c>
      <c r="J191" s="35">
        <v>10</v>
      </c>
      <c r="K191" s="35">
        <v>2052</v>
      </c>
      <c r="L191" s="35">
        <v>9</v>
      </c>
      <c r="M191" s="35">
        <v>2061</v>
      </c>
      <c r="N191" s="35">
        <v>17</v>
      </c>
      <c r="O191" s="35">
        <v>2078</v>
      </c>
      <c r="P191" s="35">
        <v>11</v>
      </c>
      <c r="Q191" s="35">
        <v>2089</v>
      </c>
      <c r="R191" s="35">
        <v>11</v>
      </c>
      <c r="S191" s="35">
        <v>2093</v>
      </c>
      <c r="T191" s="35">
        <v>4</v>
      </c>
      <c r="U191" s="35">
        <v>2100</v>
      </c>
      <c r="V191" s="35">
        <v>7</v>
      </c>
      <c r="W191" s="35">
        <v>2104</v>
      </c>
      <c r="X191" s="35">
        <v>4</v>
      </c>
      <c r="Y191" s="35">
        <v>2114</v>
      </c>
      <c r="Z191" s="35">
        <v>10</v>
      </c>
      <c r="AA191" s="35">
        <v>2123</v>
      </c>
      <c r="AB191" s="35">
        <v>9</v>
      </c>
      <c r="AC191" s="35">
        <v>9</v>
      </c>
      <c r="AD191" s="35">
        <v>0</v>
      </c>
      <c r="AE191" s="35">
        <v>0</v>
      </c>
      <c r="AG191" s="35">
        <v>3</v>
      </c>
      <c r="AH191" s="35">
        <v>0</v>
      </c>
      <c r="AI191" s="35">
        <v>12</v>
      </c>
    </row>
    <row r="192" spans="1:35" ht="15.75" customHeight="1" x14ac:dyDescent="0.35">
      <c r="A192" s="35">
        <v>194</v>
      </c>
      <c r="B192" s="35" t="s">
        <v>265</v>
      </c>
      <c r="C192" s="35" t="s">
        <v>264</v>
      </c>
      <c r="D192" s="35">
        <v>2</v>
      </c>
      <c r="E192" s="35">
        <v>2142</v>
      </c>
      <c r="F192" s="35">
        <v>14</v>
      </c>
      <c r="G192" s="35">
        <v>2156</v>
      </c>
      <c r="H192" s="35">
        <v>13</v>
      </c>
      <c r="I192" s="35">
        <v>2169</v>
      </c>
      <c r="J192" s="35">
        <v>12</v>
      </c>
      <c r="K192" s="35">
        <v>2181</v>
      </c>
      <c r="L192" s="35">
        <v>14</v>
      </c>
      <c r="M192" s="35">
        <v>2195</v>
      </c>
      <c r="N192" s="35">
        <v>11</v>
      </c>
      <c r="O192" s="35">
        <v>2206</v>
      </c>
      <c r="P192" s="35">
        <v>10</v>
      </c>
      <c r="Q192" s="35">
        <v>2216</v>
      </c>
      <c r="R192" s="35">
        <v>10</v>
      </c>
      <c r="S192" s="35">
        <v>2227</v>
      </c>
      <c r="T192" s="35">
        <v>11</v>
      </c>
      <c r="U192" s="35">
        <v>2236</v>
      </c>
      <c r="V192" s="35">
        <v>9</v>
      </c>
      <c r="W192" s="35">
        <v>2250</v>
      </c>
      <c r="X192" s="35">
        <v>14</v>
      </c>
      <c r="Y192" s="35">
        <v>2259</v>
      </c>
      <c r="Z192" s="35">
        <v>9</v>
      </c>
      <c r="AA192" s="35">
        <v>2268</v>
      </c>
      <c r="AB192" s="35">
        <v>9</v>
      </c>
      <c r="AC192" s="35">
        <v>9</v>
      </c>
      <c r="AD192" s="35">
        <v>0</v>
      </c>
      <c r="AE192" s="35">
        <v>0</v>
      </c>
      <c r="AG192" s="35">
        <v>3</v>
      </c>
      <c r="AH192" s="35">
        <v>0</v>
      </c>
      <c r="AI192" s="35">
        <v>12</v>
      </c>
    </row>
    <row r="193" spans="1:35" ht="15.75" customHeight="1" x14ac:dyDescent="0.35">
      <c r="A193" s="35">
        <v>195</v>
      </c>
      <c r="B193" s="35" t="s">
        <v>266</v>
      </c>
      <c r="C193" s="35" t="s">
        <v>264</v>
      </c>
      <c r="D193" s="35">
        <v>3</v>
      </c>
      <c r="E193" s="35">
        <v>3004</v>
      </c>
      <c r="F193" s="35">
        <v>4</v>
      </c>
      <c r="G193" s="35">
        <v>3008</v>
      </c>
      <c r="H193" s="35">
        <v>3</v>
      </c>
      <c r="I193" s="35">
        <v>3011</v>
      </c>
      <c r="J193" s="35">
        <v>4</v>
      </c>
      <c r="K193" s="35">
        <v>3015</v>
      </c>
      <c r="L193" s="35">
        <v>3</v>
      </c>
      <c r="M193" s="35">
        <v>3018</v>
      </c>
      <c r="N193" s="35">
        <v>6</v>
      </c>
      <c r="O193" s="35">
        <v>3024</v>
      </c>
      <c r="P193" s="35">
        <v>1</v>
      </c>
      <c r="Q193" s="35">
        <v>3025</v>
      </c>
      <c r="R193" s="35">
        <v>1</v>
      </c>
      <c r="S193" s="35">
        <v>0</v>
      </c>
      <c r="T193" s="35">
        <v>2</v>
      </c>
      <c r="U193" s="35">
        <v>2</v>
      </c>
      <c r="V193" s="35">
        <v>2</v>
      </c>
      <c r="W193" s="35">
        <v>9</v>
      </c>
      <c r="X193" s="35">
        <v>7</v>
      </c>
      <c r="Y193" s="35">
        <v>13</v>
      </c>
      <c r="Z193" s="35">
        <v>4</v>
      </c>
      <c r="AA193" s="35">
        <v>22</v>
      </c>
      <c r="AB193" s="35">
        <v>9</v>
      </c>
      <c r="AC193" s="35">
        <v>9</v>
      </c>
      <c r="AD193" s="35">
        <v>0</v>
      </c>
      <c r="AE193" s="35">
        <v>0</v>
      </c>
      <c r="AG193" s="35">
        <v>3</v>
      </c>
      <c r="AH193" s="35">
        <v>0</v>
      </c>
      <c r="AI193" s="35">
        <v>12</v>
      </c>
    </row>
    <row r="194" spans="1:35" ht="15.75" customHeight="1" x14ac:dyDescent="0.35">
      <c r="A194" s="35">
        <v>196</v>
      </c>
      <c r="B194" s="35" t="s">
        <v>267</v>
      </c>
      <c r="C194" s="35" t="s">
        <v>264</v>
      </c>
      <c r="D194" s="35">
        <v>4</v>
      </c>
      <c r="E194" s="35">
        <v>2761</v>
      </c>
      <c r="F194" s="35">
        <v>22</v>
      </c>
      <c r="G194" s="35">
        <v>2783</v>
      </c>
      <c r="H194" s="35">
        <v>26</v>
      </c>
      <c r="I194" s="35">
        <v>2809</v>
      </c>
      <c r="J194" s="35">
        <v>27</v>
      </c>
      <c r="K194" s="35">
        <v>2836</v>
      </c>
      <c r="L194" s="35">
        <v>27</v>
      </c>
      <c r="M194" s="35">
        <v>2863</v>
      </c>
      <c r="N194" s="35">
        <v>22</v>
      </c>
      <c r="O194" s="35">
        <v>2885</v>
      </c>
      <c r="P194" s="35">
        <v>25</v>
      </c>
      <c r="Q194" s="35">
        <v>2910</v>
      </c>
      <c r="R194" s="35">
        <v>25</v>
      </c>
      <c r="S194" s="35">
        <v>2934</v>
      </c>
      <c r="T194" s="35">
        <v>24</v>
      </c>
      <c r="U194" s="35">
        <v>2962</v>
      </c>
      <c r="V194" s="35">
        <v>28</v>
      </c>
      <c r="W194" s="35">
        <v>2989</v>
      </c>
      <c r="X194" s="35">
        <v>27</v>
      </c>
      <c r="Y194" s="35">
        <v>3016</v>
      </c>
      <c r="Z194" s="35">
        <v>27</v>
      </c>
      <c r="AA194" s="35">
        <v>3041</v>
      </c>
      <c r="AB194" s="35">
        <v>25</v>
      </c>
      <c r="AC194" s="35">
        <v>25</v>
      </c>
      <c r="AD194" s="35">
        <v>0</v>
      </c>
      <c r="AE194" s="35">
        <v>0</v>
      </c>
      <c r="AG194" s="35">
        <v>3</v>
      </c>
      <c r="AH194" s="35">
        <v>0</v>
      </c>
      <c r="AI194" s="35">
        <v>28</v>
      </c>
    </row>
    <row r="195" spans="1:35" ht="15.75" customHeight="1" x14ac:dyDescent="0.35">
      <c r="A195" s="35">
        <v>197</v>
      </c>
      <c r="B195" s="35" t="s">
        <v>268</v>
      </c>
      <c r="C195" s="35" t="s">
        <v>264</v>
      </c>
      <c r="D195" s="35">
        <v>6</v>
      </c>
      <c r="E195" s="35">
        <v>3164</v>
      </c>
      <c r="F195" s="35">
        <v>22</v>
      </c>
      <c r="G195" s="35">
        <v>3186</v>
      </c>
      <c r="H195" s="35">
        <v>26</v>
      </c>
      <c r="I195" s="35">
        <v>3212</v>
      </c>
      <c r="J195" s="35">
        <v>23</v>
      </c>
      <c r="K195" s="35">
        <v>3235</v>
      </c>
      <c r="L195" s="35">
        <v>22</v>
      </c>
      <c r="M195" s="35">
        <v>3257</v>
      </c>
      <c r="N195" s="35">
        <v>25</v>
      </c>
      <c r="O195" s="35">
        <v>3282</v>
      </c>
      <c r="P195" s="35">
        <v>19</v>
      </c>
      <c r="Q195" s="35">
        <v>3301</v>
      </c>
      <c r="R195" s="35">
        <v>19</v>
      </c>
      <c r="S195" s="35">
        <v>3321</v>
      </c>
      <c r="T195" s="35">
        <v>20</v>
      </c>
      <c r="U195" s="35">
        <v>3338</v>
      </c>
      <c r="V195" s="35">
        <v>17</v>
      </c>
      <c r="W195" s="35">
        <v>3354</v>
      </c>
      <c r="X195" s="35">
        <v>16</v>
      </c>
      <c r="Y195" s="35">
        <v>3371</v>
      </c>
      <c r="Z195" s="35">
        <v>17</v>
      </c>
      <c r="AA195" s="35">
        <v>3388</v>
      </c>
      <c r="AB195" s="35">
        <v>17</v>
      </c>
      <c r="AC195" s="35">
        <v>17</v>
      </c>
      <c r="AD195" s="35">
        <v>0</v>
      </c>
      <c r="AE195" s="35">
        <v>0</v>
      </c>
      <c r="AG195" s="35">
        <v>3</v>
      </c>
      <c r="AH195" s="35">
        <v>0</v>
      </c>
      <c r="AI195" s="35">
        <v>20</v>
      </c>
    </row>
    <row r="196" spans="1:35" ht="15.75" customHeight="1" x14ac:dyDescent="0.35">
      <c r="A196" s="35">
        <v>198</v>
      </c>
      <c r="B196" s="35" t="s">
        <v>269</v>
      </c>
      <c r="C196" s="35" t="s">
        <v>264</v>
      </c>
      <c r="D196" s="35">
        <v>7</v>
      </c>
      <c r="E196" s="35">
        <v>1743</v>
      </c>
      <c r="F196" s="35">
        <v>10</v>
      </c>
      <c r="G196" s="35">
        <v>1753</v>
      </c>
      <c r="H196" s="35">
        <v>1</v>
      </c>
      <c r="I196" s="35">
        <v>1754</v>
      </c>
      <c r="J196" s="35">
        <v>5</v>
      </c>
      <c r="K196" s="35">
        <v>1759</v>
      </c>
      <c r="L196" s="35">
        <v>14</v>
      </c>
      <c r="M196" s="35">
        <v>1773</v>
      </c>
      <c r="N196" s="35">
        <v>21</v>
      </c>
      <c r="O196" s="35">
        <v>1794</v>
      </c>
      <c r="P196" s="35">
        <v>17</v>
      </c>
      <c r="Q196" s="35">
        <v>1811</v>
      </c>
      <c r="R196" s="35">
        <v>17</v>
      </c>
      <c r="S196" s="35">
        <v>1832</v>
      </c>
      <c r="T196" s="35">
        <v>21</v>
      </c>
      <c r="U196" s="35">
        <v>1846</v>
      </c>
      <c r="V196" s="35">
        <v>14</v>
      </c>
      <c r="W196" s="35">
        <v>1858</v>
      </c>
      <c r="X196" s="35">
        <v>12</v>
      </c>
      <c r="Y196" s="35">
        <v>1867</v>
      </c>
      <c r="Z196" s="35">
        <v>9</v>
      </c>
      <c r="AA196" s="35">
        <v>1878</v>
      </c>
      <c r="AB196" s="35">
        <v>11</v>
      </c>
      <c r="AC196" s="35">
        <v>11</v>
      </c>
      <c r="AD196" s="35">
        <v>0</v>
      </c>
      <c r="AE196" s="35">
        <v>0</v>
      </c>
      <c r="AG196" s="35">
        <v>3</v>
      </c>
      <c r="AH196" s="35">
        <v>0</v>
      </c>
      <c r="AI196" s="35">
        <v>14</v>
      </c>
    </row>
    <row r="197" spans="1:35" ht="15.75" customHeight="1" x14ac:dyDescent="0.35">
      <c r="A197" s="35">
        <v>199</v>
      </c>
      <c r="B197" s="35" t="s">
        <v>270</v>
      </c>
      <c r="C197" s="35" t="s">
        <v>264</v>
      </c>
      <c r="D197" s="35">
        <v>8</v>
      </c>
      <c r="E197" s="35">
        <v>1167</v>
      </c>
      <c r="F197" s="35">
        <v>6</v>
      </c>
      <c r="G197" s="35">
        <v>1173</v>
      </c>
      <c r="H197" s="35">
        <v>8</v>
      </c>
      <c r="I197" s="35">
        <v>1181</v>
      </c>
      <c r="J197" s="35">
        <v>4</v>
      </c>
      <c r="K197" s="35">
        <v>1185</v>
      </c>
      <c r="L197" s="35">
        <v>4</v>
      </c>
      <c r="M197" s="35">
        <v>1189</v>
      </c>
      <c r="N197" s="35">
        <v>2</v>
      </c>
      <c r="O197" s="35">
        <v>1191</v>
      </c>
      <c r="P197" s="35">
        <v>2</v>
      </c>
      <c r="Q197" s="35">
        <v>1193</v>
      </c>
      <c r="R197" s="35">
        <v>2</v>
      </c>
      <c r="S197" s="35">
        <v>1194</v>
      </c>
      <c r="T197" s="35">
        <v>1</v>
      </c>
      <c r="U197" s="35">
        <v>1196</v>
      </c>
      <c r="V197" s="35">
        <v>2</v>
      </c>
      <c r="W197" s="35">
        <v>1199</v>
      </c>
      <c r="X197" s="35">
        <v>3</v>
      </c>
      <c r="Y197" s="35">
        <v>1205</v>
      </c>
      <c r="Z197" s="35">
        <v>6</v>
      </c>
      <c r="AA197" s="35">
        <v>1210</v>
      </c>
      <c r="AB197" s="35">
        <v>5</v>
      </c>
      <c r="AC197" s="35">
        <v>5</v>
      </c>
      <c r="AD197" s="35">
        <v>0</v>
      </c>
      <c r="AE197" s="35">
        <v>0</v>
      </c>
      <c r="AG197" s="35">
        <v>3</v>
      </c>
      <c r="AH197" s="35">
        <v>0</v>
      </c>
      <c r="AI197" s="35">
        <v>8</v>
      </c>
    </row>
    <row r="198" spans="1:35" ht="15.75" customHeight="1" x14ac:dyDescent="0.35">
      <c r="A198" s="35">
        <v>200</v>
      </c>
      <c r="B198" s="35" t="s">
        <v>272</v>
      </c>
      <c r="C198" s="35" t="s">
        <v>264</v>
      </c>
      <c r="D198" s="35">
        <v>9</v>
      </c>
      <c r="E198" s="35">
        <v>1403</v>
      </c>
      <c r="F198" s="35">
        <v>10</v>
      </c>
      <c r="G198" s="35">
        <v>1413</v>
      </c>
      <c r="H198" s="35">
        <v>16</v>
      </c>
      <c r="I198" s="35">
        <v>1429</v>
      </c>
      <c r="J198" s="35">
        <v>12</v>
      </c>
      <c r="K198" s="35">
        <v>1441</v>
      </c>
      <c r="L198" s="35">
        <v>12</v>
      </c>
      <c r="M198" s="35">
        <v>1453</v>
      </c>
      <c r="N198" s="35">
        <v>10</v>
      </c>
      <c r="O198" s="35">
        <v>1463</v>
      </c>
      <c r="P198" s="35">
        <v>8</v>
      </c>
      <c r="Q198" s="35">
        <v>1471</v>
      </c>
      <c r="R198" s="35">
        <v>8</v>
      </c>
      <c r="S198" s="35">
        <v>1479</v>
      </c>
      <c r="T198" s="35">
        <v>8</v>
      </c>
      <c r="U198" s="35">
        <v>1485</v>
      </c>
      <c r="V198" s="35">
        <v>6</v>
      </c>
      <c r="W198" s="35">
        <v>1491</v>
      </c>
      <c r="X198" s="35">
        <v>6</v>
      </c>
      <c r="Y198" s="35">
        <v>1499</v>
      </c>
      <c r="Z198" s="35">
        <v>8</v>
      </c>
      <c r="AA198" s="35">
        <v>1508</v>
      </c>
      <c r="AB198" s="35">
        <v>9</v>
      </c>
      <c r="AC198" s="35">
        <v>9</v>
      </c>
      <c r="AD198" s="35">
        <v>0</v>
      </c>
      <c r="AE198" s="35">
        <v>0</v>
      </c>
      <c r="AG198" s="35">
        <v>3</v>
      </c>
      <c r="AH198" s="35">
        <v>0</v>
      </c>
      <c r="AI198" s="35">
        <v>12</v>
      </c>
    </row>
    <row r="199" spans="1:35" ht="15.75" customHeight="1" x14ac:dyDescent="0.35">
      <c r="A199" s="35">
        <v>201</v>
      </c>
      <c r="B199" s="35" t="s">
        <v>274</v>
      </c>
      <c r="C199" s="35" t="s">
        <v>264</v>
      </c>
      <c r="D199" s="35">
        <v>10</v>
      </c>
      <c r="E199" s="35">
        <v>2366</v>
      </c>
      <c r="F199" s="35">
        <v>10</v>
      </c>
      <c r="G199" s="35">
        <v>2376</v>
      </c>
      <c r="H199" s="35">
        <v>14</v>
      </c>
      <c r="I199" s="35">
        <v>2390</v>
      </c>
      <c r="J199" s="35">
        <v>11</v>
      </c>
      <c r="K199" s="35">
        <v>2401</v>
      </c>
      <c r="L199" s="35">
        <v>16</v>
      </c>
      <c r="M199" s="35">
        <v>2417</v>
      </c>
      <c r="N199" s="35">
        <v>10</v>
      </c>
      <c r="O199" s="35">
        <v>2427</v>
      </c>
      <c r="P199" s="35">
        <v>10</v>
      </c>
      <c r="Q199" s="35">
        <v>2437</v>
      </c>
      <c r="R199" s="35">
        <v>10</v>
      </c>
      <c r="S199" s="35">
        <v>2445</v>
      </c>
      <c r="T199" s="35">
        <v>8</v>
      </c>
      <c r="U199" s="35">
        <v>2453</v>
      </c>
      <c r="V199" s="35">
        <v>8</v>
      </c>
      <c r="W199" s="35">
        <v>2457</v>
      </c>
      <c r="X199" s="35">
        <v>4</v>
      </c>
      <c r="Y199" s="35">
        <v>2462</v>
      </c>
      <c r="Z199" s="35">
        <v>5</v>
      </c>
      <c r="AA199" s="35">
        <v>2469</v>
      </c>
      <c r="AB199" s="35">
        <v>7</v>
      </c>
      <c r="AC199" s="35">
        <v>7</v>
      </c>
      <c r="AD199" s="35">
        <v>0</v>
      </c>
      <c r="AE199" s="35">
        <v>0</v>
      </c>
      <c r="AG199" s="35">
        <v>3</v>
      </c>
      <c r="AH199" s="35">
        <v>0</v>
      </c>
      <c r="AI199" s="35">
        <v>10</v>
      </c>
    </row>
    <row r="200" spans="1:35" ht="15.75" customHeight="1" x14ac:dyDescent="0.35">
      <c r="A200" s="35">
        <v>202</v>
      </c>
      <c r="B200" s="35" t="s">
        <v>275</v>
      </c>
      <c r="C200" s="35" t="s">
        <v>264</v>
      </c>
      <c r="D200" s="35">
        <v>11</v>
      </c>
      <c r="E200" s="35">
        <v>662</v>
      </c>
      <c r="F200" s="35">
        <v>20</v>
      </c>
      <c r="G200" s="35">
        <v>682</v>
      </c>
      <c r="H200" s="35">
        <v>21</v>
      </c>
      <c r="I200" s="35">
        <v>703</v>
      </c>
      <c r="J200" s="35">
        <v>18</v>
      </c>
      <c r="K200" s="35">
        <v>721</v>
      </c>
      <c r="L200" s="35">
        <v>18</v>
      </c>
      <c r="M200" s="35">
        <v>739</v>
      </c>
      <c r="N200" s="35">
        <v>17</v>
      </c>
      <c r="O200" s="35">
        <v>756</v>
      </c>
      <c r="P200" s="35">
        <v>15</v>
      </c>
      <c r="Q200" s="35">
        <v>771</v>
      </c>
      <c r="R200" s="35">
        <v>15</v>
      </c>
      <c r="S200" s="35">
        <v>784</v>
      </c>
      <c r="T200" s="35">
        <v>13</v>
      </c>
      <c r="U200" s="35">
        <v>797</v>
      </c>
      <c r="V200" s="35">
        <v>13</v>
      </c>
      <c r="W200" s="35">
        <v>810</v>
      </c>
      <c r="X200" s="35">
        <v>13</v>
      </c>
      <c r="Y200" s="35">
        <v>822</v>
      </c>
      <c r="Z200" s="35">
        <v>12</v>
      </c>
      <c r="AA200" s="35">
        <v>836</v>
      </c>
      <c r="AB200" s="35">
        <v>14</v>
      </c>
      <c r="AC200" s="35">
        <v>14</v>
      </c>
      <c r="AD200" s="35">
        <v>15</v>
      </c>
      <c r="AE200" s="35">
        <v>0</v>
      </c>
      <c r="AG200" s="35">
        <v>3</v>
      </c>
      <c r="AH200" s="35">
        <v>0</v>
      </c>
      <c r="AI200" s="35">
        <v>32</v>
      </c>
    </row>
    <row r="201" spans="1:35" ht="15.75" customHeight="1" x14ac:dyDescent="0.35">
      <c r="A201" s="35">
        <v>203</v>
      </c>
      <c r="B201" s="35" t="s">
        <v>276</v>
      </c>
      <c r="C201" s="35" t="s">
        <v>264</v>
      </c>
      <c r="D201" s="35">
        <v>12</v>
      </c>
      <c r="E201" s="35">
        <v>4239</v>
      </c>
      <c r="F201" s="35">
        <v>45</v>
      </c>
      <c r="G201" s="35">
        <v>4284</v>
      </c>
      <c r="H201" s="35">
        <v>40</v>
      </c>
      <c r="I201" s="35">
        <v>4324</v>
      </c>
      <c r="J201" s="35">
        <v>35</v>
      </c>
      <c r="K201" s="35">
        <v>4359</v>
      </c>
      <c r="L201" s="35">
        <v>34</v>
      </c>
      <c r="M201" s="35">
        <v>4393</v>
      </c>
      <c r="N201" s="35">
        <v>31</v>
      </c>
      <c r="O201" s="35">
        <v>4424</v>
      </c>
      <c r="P201" s="35">
        <v>26</v>
      </c>
      <c r="Q201" s="35">
        <v>4450</v>
      </c>
      <c r="R201" s="35">
        <v>26</v>
      </c>
      <c r="S201" s="35">
        <v>0</v>
      </c>
      <c r="T201" s="35">
        <v>25</v>
      </c>
      <c r="U201" s="35">
        <v>22</v>
      </c>
      <c r="V201" s="35">
        <v>22</v>
      </c>
      <c r="W201" s="35">
        <v>50</v>
      </c>
      <c r="X201" s="35">
        <v>28</v>
      </c>
      <c r="Y201" s="35">
        <v>83</v>
      </c>
      <c r="Z201" s="35">
        <v>33</v>
      </c>
      <c r="AA201" s="35">
        <v>118</v>
      </c>
      <c r="AB201" s="35">
        <v>35</v>
      </c>
      <c r="AC201" s="35">
        <v>35</v>
      </c>
      <c r="AD201" s="35">
        <v>36</v>
      </c>
      <c r="AE201" s="35">
        <v>0</v>
      </c>
      <c r="AG201" s="35">
        <v>3</v>
      </c>
      <c r="AH201" s="35">
        <v>0</v>
      </c>
      <c r="AI201" s="35">
        <v>74</v>
      </c>
    </row>
    <row r="202" spans="1:35" ht="15.75" customHeight="1" x14ac:dyDescent="0.35">
      <c r="A202" s="35">
        <v>204</v>
      </c>
      <c r="B202" s="35" t="s">
        <v>277</v>
      </c>
      <c r="C202" s="35" t="s">
        <v>264</v>
      </c>
      <c r="D202" s="35">
        <v>13</v>
      </c>
      <c r="E202" s="35">
        <v>1085</v>
      </c>
      <c r="F202" s="35">
        <v>14</v>
      </c>
      <c r="G202" s="35">
        <v>1099</v>
      </c>
      <c r="H202" s="35">
        <v>15</v>
      </c>
      <c r="I202" s="35">
        <v>1114</v>
      </c>
      <c r="J202" s="35">
        <v>12</v>
      </c>
      <c r="K202" s="35">
        <v>1126</v>
      </c>
      <c r="L202" s="35">
        <v>7</v>
      </c>
      <c r="M202" s="35">
        <v>1133</v>
      </c>
      <c r="N202" s="35">
        <v>5</v>
      </c>
      <c r="O202" s="35">
        <v>1138</v>
      </c>
      <c r="P202" s="35">
        <v>8</v>
      </c>
      <c r="Q202" s="35">
        <v>1146</v>
      </c>
      <c r="R202" s="35">
        <v>8</v>
      </c>
      <c r="S202" s="35">
        <v>1154</v>
      </c>
      <c r="T202" s="35">
        <v>8</v>
      </c>
      <c r="U202" s="35">
        <v>1162</v>
      </c>
      <c r="V202" s="35">
        <v>8</v>
      </c>
      <c r="W202" s="35">
        <v>1168</v>
      </c>
      <c r="X202" s="35">
        <v>6</v>
      </c>
      <c r="Y202" s="35">
        <v>1176</v>
      </c>
      <c r="Z202" s="35">
        <v>8</v>
      </c>
      <c r="AA202" s="35">
        <v>1184</v>
      </c>
      <c r="AB202" s="35">
        <v>8</v>
      </c>
      <c r="AC202" s="35">
        <v>8</v>
      </c>
      <c r="AD202" s="35">
        <v>0</v>
      </c>
      <c r="AE202" s="35">
        <v>0</v>
      </c>
      <c r="AG202" s="35">
        <v>3</v>
      </c>
      <c r="AH202" s="35">
        <v>0</v>
      </c>
      <c r="AI202" s="35">
        <v>11</v>
      </c>
    </row>
    <row r="203" spans="1:35" ht="15.75" customHeight="1" x14ac:dyDescent="0.35">
      <c r="A203" s="35">
        <v>205</v>
      </c>
      <c r="B203" s="35" t="s">
        <v>278</v>
      </c>
      <c r="C203" s="35" t="s">
        <v>264</v>
      </c>
      <c r="D203" s="35">
        <v>14</v>
      </c>
      <c r="E203" s="35">
        <v>829</v>
      </c>
      <c r="F203" s="35">
        <v>22</v>
      </c>
      <c r="G203" s="35">
        <v>851</v>
      </c>
      <c r="H203" s="35">
        <v>17</v>
      </c>
      <c r="I203" s="35">
        <v>868</v>
      </c>
      <c r="J203" s="35">
        <v>18</v>
      </c>
      <c r="K203" s="35">
        <v>886</v>
      </c>
      <c r="L203" s="35">
        <v>29</v>
      </c>
      <c r="M203" s="35">
        <v>915</v>
      </c>
      <c r="N203" s="35">
        <v>12</v>
      </c>
      <c r="O203" s="35">
        <v>927</v>
      </c>
      <c r="P203" s="35">
        <v>18</v>
      </c>
      <c r="Q203" s="35">
        <v>945</v>
      </c>
      <c r="R203" s="35">
        <v>18</v>
      </c>
      <c r="S203" s="35">
        <v>963</v>
      </c>
      <c r="T203" s="35">
        <v>18</v>
      </c>
      <c r="U203" s="35">
        <v>983</v>
      </c>
      <c r="V203" s="35">
        <v>20</v>
      </c>
      <c r="W203" s="35">
        <v>1033</v>
      </c>
      <c r="X203" s="35">
        <v>50</v>
      </c>
      <c r="Y203" s="35">
        <v>0</v>
      </c>
      <c r="Z203" s="35">
        <v>0</v>
      </c>
      <c r="AA203" s="35">
        <v>19</v>
      </c>
      <c r="AB203" s="35">
        <v>19</v>
      </c>
      <c r="AC203" s="35">
        <v>19</v>
      </c>
      <c r="AD203" s="35">
        <v>0</v>
      </c>
      <c r="AE203" s="35">
        <v>0</v>
      </c>
      <c r="AF203" s="35">
        <v>65</v>
      </c>
      <c r="AG203" s="35">
        <v>3</v>
      </c>
      <c r="AH203" s="35">
        <v>0</v>
      </c>
      <c r="AI203" s="35">
        <v>87</v>
      </c>
    </row>
    <row r="204" spans="1:35" ht="15.75" customHeight="1" x14ac:dyDescent="0.35">
      <c r="A204" s="35">
        <v>206</v>
      </c>
      <c r="B204" s="35" t="s">
        <v>280</v>
      </c>
      <c r="C204" s="35" t="s">
        <v>264</v>
      </c>
      <c r="D204" s="35">
        <v>15</v>
      </c>
      <c r="E204" s="35">
        <v>1661</v>
      </c>
      <c r="F204" s="35">
        <v>18</v>
      </c>
      <c r="G204" s="35">
        <v>1679</v>
      </c>
      <c r="H204" s="35">
        <v>25</v>
      </c>
      <c r="I204" s="35">
        <v>1704</v>
      </c>
      <c r="J204" s="35">
        <v>22</v>
      </c>
      <c r="K204" s="35">
        <v>1726</v>
      </c>
      <c r="L204" s="35">
        <v>18</v>
      </c>
      <c r="M204" s="35">
        <v>1744</v>
      </c>
      <c r="N204" s="35">
        <v>16</v>
      </c>
      <c r="O204" s="35">
        <v>1760</v>
      </c>
      <c r="P204" s="35">
        <v>13</v>
      </c>
      <c r="Q204" s="35">
        <v>1773</v>
      </c>
      <c r="R204" s="35">
        <v>13</v>
      </c>
      <c r="S204" s="35">
        <v>0</v>
      </c>
      <c r="T204" s="35">
        <v>27</v>
      </c>
      <c r="U204" s="35">
        <v>15</v>
      </c>
      <c r="V204" s="35">
        <v>15</v>
      </c>
      <c r="W204" s="35">
        <v>35</v>
      </c>
      <c r="X204" s="35">
        <v>20</v>
      </c>
      <c r="Y204" s="35">
        <v>48</v>
      </c>
      <c r="Z204" s="35">
        <v>13</v>
      </c>
      <c r="AA204" s="35">
        <v>68</v>
      </c>
      <c r="AB204" s="35">
        <v>20</v>
      </c>
      <c r="AC204" s="35">
        <v>20</v>
      </c>
      <c r="AD204" s="35">
        <v>0</v>
      </c>
      <c r="AE204" s="35">
        <v>0</v>
      </c>
      <c r="AG204" s="35">
        <v>3</v>
      </c>
      <c r="AH204" s="35">
        <v>0</v>
      </c>
      <c r="AI204" s="35">
        <v>23</v>
      </c>
    </row>
    <row r="205" spans="1:35" ht="15.75" customHeight="1" x14ac:dyDescent="0.35">
      <c r="A205" s="35">
        <v>207</v>
      </c>
      <c r="B205" s="35" t="s">
        <v>282</v>
      </c>
      <c r="C205" s="35" t="s">
        <v>264</v>
      </c>
      <c r="D205" s="35">
        <v>17</v>
      </c>
      <c r="E205" s="35">
        <v>2033</v>
      </c>
      <c r="F205" s="35">
        <v>11</v>
      </c>
      <c r="G205" s="35">
        <v>2044</v>
      </c>
      <c r="H205" s="35">
        <v>12</v>
      </c>
      <c r="I205" s="35">
        <v>2056</v>
      </c>
      <c r="J205" s="35">
        <v>11</v>
      </c>
      <c r="K205" s="35">
        <v>2067</v>
      </c>
      <c r="L205" s="35">
        <v>12</v>
      </c>
      <c r="M205" s="35">
        <v>2079</v>
      </c>
      <c r="N205" s="35">
        <v>11</v>
      </c>
      <c r="O205" s="35">
        <v>2090</v>
      </c>
      <c r="P205" s="35">
        <v>10</v>
      </c>
      <c r="Q205" s="35">
        <v>2100</v>
      </c>
      <c r="R205" s="35">
        <v>10</v>
      </c>
      <c r="S205" s="35">
        <v>2109</v>
      </c>
      <c r="T205" s="35">
        <v>9</v>
      </c>
      <c r="U205" s="35">
        <v>2118</v>
      </c>
      <c r="V205" s="35">
        <v>9</v>
      </c>
      <c r="W205" s="35">
        <v>2129</v>
      </c>
      <c r="X205" s="35">
        <v>11</v>
      </c>
      <c r="Y205" s="35">
        <v>2141</v>
      </c>
      <c r="Z205" s="35">
        <v>12</v>
      </c>
      <c r="AA205" s="35">
        <v>2152</v>
      </c>
      <c r="AB205" s="35">
        <v>11</v>
      </c>
      <c r="AC205" s="35">
        <v>11</v>
      </c>
      <c r="AD205" s="35">
        <v>0</v>
      </c>
      <c r="AE205" s="35">
        <v>0</v>
      </c>
      <c r="AG205" s="35">
        <v>3</v>
      </c>
      <c r="AH205" s="35">
        <v>0</v>
      </c>
      <c r="AI205" s="35">
        <v>14</v>
      </c>
    </row>
    <row r="206" spans="1:35" ht="15.75" customHeight="1" x14ac:dyDescent="0.35">
      <c r="A206" s="35">
        <v>208</v>
      </c>
      <c r="B206" s="35" t="s">
        <v>283</v>
      </c>
      <c r="C206" s="35" t="s">
        <v>284</v>
      </c>
      <c r="D206" s="35">
        <v>1</v>
      </c>
      <c r="E206" s="35">
        <v>2499</v>
      </c>
      <c r="F206" s="35">
        <v>11</v>
      </c>
      <c r="G206" s="35">
        <v>2510</v>
      </c>
      <c r="H206" s="35">
        <v>8</v>
      </c>
      <c r="I206" s="35">
        <v>2518</v>
      </c>
      <c r="J206" s="35">
        <v>10</v>
      </c>
      <c r="K206" s="35">
        <v>2528</v>
      </c>
      <c r="L206" s="35">
        <v>8</v>
      </c>
      <c r="M206" s="35">
        <v>2536</v>
      </c>
      <c r="N206" s="35">
        <v>8</v>
      </c>
      <c r="O206" s="35">
        <v>2544</v>
      </c>
      <c r="P206" s="35">
        <v>7</v>
      </c>
      <c r="Q206" s="35">
        <v>2551</v>
      </c>
      <c r="R206" s="35">
        <v>7</v>
      </c>
      <c r="S206" s="35">
        <v>2558</v>
      </c>
      <c r="T206" s="35">
        <v>7</v>
      </c>
      <c r="U206" s="35">
        <v>2563</v>
      </c>
      <c r="V206" s="35">
        <v>5</v>
      </c>
      <c r="W206" s="35">
        <v>2570</v>
      </c>
      <c r="X206" s="35">
        <v>7</v>
      </c>
      <c r="Y206" s="35">
        <v>2581</v>
      </c>
      <c r="Z206" s="35">
        <v>11</v>
      </c>
      <c r="AA206" s="35">
        <v>2590</v>
      </c>
      <c r="AB206" s="35">
        <v>9</v>
      </c>
      <c r="AC206" s="35">
        <v>9</v>
      </c>
      <c r="AD206" s="35">
        <v>0</v>
      </c>
      <c r="AE206" s="35">
        <v>0</v>
      </c>
      <c r="AG206" s="35">
        <v>3</v>
      </c>
      <c r="AH206" s="35">
        <v>0</v>
      </c>
      <c r="AI206" s="35">
        <v>12</v>
      </c>
    </row>
    <row r="207" spans="1:35" ht="15.75" customHeight="1" x14ac:dyDescent="0.35">
      <c r="A207" s="35">
        <v>209</v>
      </c>
      <c r="B207" s="35" t="s">
        <v>285</v>
      </c>
      <c r="C207" s="35" t="s">
        <v>284</v>
      </c>
      <c r="D207" s="35">
        <v>2</v>
      </c>
      <c r="E207" s="35">
        <v>3774</v>
      </c>
      <c r="F207" s="35">
        <v>22</v>
      </c>
      <c r="G207" s="35">
        <v>3796</v>
      </c>
      <c r="H207" s="35">
        <v>26</v>
      </c>
      <c r="I207" s="35">
        <v>3822</v>
      </c>
      <c r="J207" s="35">
        <v>27</v>
      </c>
      <c r="K207" s="35">
        <v>3849</v>
      </c>
      <c r="L207" s="35">
        <v>23</v>
      </c>
      <c r="M207" s="35">
        <v>3872</v>
      </c>
      <c r="N207" s="35">
        <v>24</v>
      </c>
      <c r="O207" s="35">
        <v>3896</v>
      </c>
      <c r="P207" s="35">
        <v>22</v>
      </c>
      <c r="Q207" s="35">
        <v>3918</v>
      </c>
      <c r="R207" s="35">
        <v>22</v>
      </c>
      <c r="S207" s="35">
        <v>3937</v>
      </c>
      <c r="T207" s="35">
        <v>19</v>
      </c>
      <c r="U207" s="35">
        <v>3959</v>
      </c>
      <c r="V207" s="35">
        <v>22</v>
      </c>
      <c r="W207" s="35">
        <v>3979</v>
      </c>
      <c r="X207" s="35">
        <v>20</v>
      </c>
      <c r="Y207" s="35">
        <v>3996</v>
      </c>
      <c r="Z207" s="35">
        <v>17</v>
      </c>
      <c r="AA207" s="35">
        <v>4014</v>
      </c>
      <c r="AB207" s="35">
        <v>18</v>
      </c>
      <c r="AC207" s="35">
        <v>18</v>
      </c>
      <c r="AD207" s="35">
        <v>0</v>
      </c>
      <c r="AE207" s="35">
        <v>0</v>
      </c>
      <c r="AG207" s="35">
        <v>3</v>
      </c>
      <c r="AH207" s="35">
        <v>0</v>
      </c>
      <c r="AI207" s="35">
        <v>21</v>
      </c>
    </row>
    <row r="208" spans="1:35" ht="15.75" customHeight="1" x14ac:dyDescent="0.35">
      <c r="A208" s="35">
        <v>210</v>
      </c>
      <c r="B208" s="35" t="s">
        <v>286</v>
      </c>
      <c r="C208" s="35" t="s">
        <v>284</v>
      </c>
      <c r="D208" s="35">
        <v>3</v>
      </c>
      <c r="E208" s="35">
        <v>2835</v>
      </c>
      <c r="F208" s="35">
        <v>23</v>
      </c>
      <c r="G208" s="35">
        <v>2858</v>
      </c>
      <c r="H208" s="35">
        <v>22</v>
      </c>
      <c r="I208" s="35">
        <v>2880</v>
      </c>
      <c r="J208" s="35">
        <v>11</v>
      </c>
      <c r="K208" s="35">
        <v>2891</v>
      </c>
      <c r="L208" s="35">
        <v>10</v>
      </c>
      <c r="M208" s="35">
        <v>2901</v>
      </c>
      <c r="N208" s="35">
        <v>8</v>
      </c>
      <c r="O208" s="35">
        <v>2909</v>
      </c>
      <c r="P208" s="35">
        <v>11</v>
      </c>
      <c r="Q208" s="35">
        <v>2920</v>
      </c>
      <c r="R208" s="35">
        <v>11</v>
      </c>
      <c r="S208" s="35">
        <v>2927</v>
      </c>
      <c r="T208" s="35">
        <v>7</v>
      </c>
      <c r="U208" s="35">
        <v>2943</v>
      </c>
      <c r="V208" s="35">
        <v>16</v>
      </c>
      <c r="W208" s="35">
        <v>2953</v>
      </c>
      <c r="X208" s="35">
        <v>10</v>
      </c>
      <c r="Y208" s="35">
        <v>2975</v>
      </c>
      <c r="Z208" s="35">
        <v>22</v>
      </c>
      <c r="AA208" s="35">
        <v>2998</v>
      </c>
      <c r="AB208" s="35">
        <v>23</v>
      </c>
      <c r="AC208" s="35">
        <v>23</v>
      </c>
      <c r="AD208" s="35">
        <v>0</v>
      </c>
      <c r="AE208" s="35">
        <v>0</v>
      </c>
      <c r="AG208" s="35">
        <v>3</v>
      </c>
      <c r="AH208" s="35">
        <v>20</v>
      </c>
      <c r="AI208" s="35">
        <v>46</v>
      </c>
    </row>
    <row r="209" spans="1:35" ht="15.75" customHeight="1" x14ac:dyDescent="0.35">
      <c r="A209" s="35">
        <v>211</v>
      </c>
      <c r="B209" s="35" t="s">
        <v>287</v>
      </c>
      <c r="C209" s="35" t="s">
        <v>284</v>
      </c>
      <c r="D209" s="35">
        <v>4</v>
      </c>
      <c r="E209" s="35">
        <v>2273</v>
      </c>
      <c r="F209" s="35">
        <v>12</v>
      </c>
      <c r="G209" s="35">
        <v>2285</v>
      </c>
      <c r="H209" s="35">
        <v>12</v>
      </c>
      <c r="I209" s="35">
        <v>2297</v>
      </c>
      <c r="J209" s="35">
        <v>14</v>
      </c>
      <c r="K209" s="35">
        <v>2311</v>
      </c>
      <c r="L209" s="35">
        <v>11</v>
      </c>
      <c r="M209" s="35">
        <v>2322</v>
      </c>
      <c r="N209" s="35">
        <v>33</v>
      </c>
      <c r="O209" s="35">
        <v>2335</v>
      </c>
      <c r="P209" s="35">
        <v>9</v>
      </c>
      <c r="Q209" s="35">
        <v>2344</v>
      </c>
      <c r="R209" s="35">
        <v>9</v>
      </c>
      <c r="S209" s="35">
        <v>2353</v>
      </c>
      <c r="T209" s="35">
        <v>9</v>
      </c>
      <c r="U209" s="35">
        <v>2364</v>
      </c>
      <c r="V209" s="35">
        <v>11</v>
      </c>
      <c r="W209" s="35">
        <v>2376</v>
      </c>
      <c r="X209" s="35">
        <v>12</v>
      </c>
      <c r="Y209" s="35">
        <v>2386</v>
      </c>
      <c r="Z209" s="35">
        <v>10</v>
      </c>
      <c r="AA209" s="35">
        <v>2399</v>
      </c>
      <c r="AB209" s="35">
        <v>13</v>
      </c>
      <c r="AC209" s="35">
        <v>13</v>
      </c>
      <c r="AD209" s="35">
        <v>0</v>
      </c>
      <c r="AE209" s="35">
        <v>0</v>
      </c>
      <c r="AG209" s="35">
        <v>3</v>
      </c>
      <c r="AH209" s="35">
        <v>0</v>
      </c>
      <c r="AI209" s="35">
        <v>16</v>
      </c>
    </row>
    <row r="210" spans="1:35" ht="15.75" customHeight="1" x14ac:dyDescent="0.35">
      <c r="A210" s="35">
        <v>212</v>
      </c>
      <c r="B210" s="35" t="s">
        <v>288</v>
      </c>
      <c r="C210" s="35" t="s">
        <v>284</v>
      </c>
      <c r="D210" s="35">
        <v>5</v>
      </c>
      <c r="E210" s="35">
        <v>212</v>
      </c>
      <c r="F210" s="35">
        <v>7</v>
      </c>
      <c r="G210" s="35">
        <v>219</v>
      </c>
      <c r="H210" s="35">
        <v>7</v>
      </c>
      <c r="I210" s="35">
        <v>226</v>
      </c>
      <c r="J210" s="35">
        <v>7</v>
      </c>
      <c r="K210" s="35">
        <v>233</v>
      </c>
      <c r="L210" s="35">
        <v>7</v>
      </c>
      <c r="M210" s="35">
        <v>240</v>
      </c>
      <c r="N210" s="35">
        <v>5</v>
      </c>
      <c r="O210" s="35">
        <v>245</v>
      </c>
      <c r="P210" s="35">
        <v>5</v>
      </c>
      <c r="Q210" s="35">
        <v>250</v>
      </c>
      <c r="R210" s="35">
        <v>5</v>
      </c>
      <c r="S210" s="35">
        <v>252</v>
      </c>
      <c r="T210" s="35">
        <v>2</v>
      </c>
      <c r="U210" s="35">
        <v>256</v>
      </c>
      <c r="V210" s="35">
        <v>4</v>
      </c>
      <c r="W210" s="35">
        <v>261</v>
      </c>
      <c r="X210" s="35">
        <v>5</v>
      </c>
      <c r="Y210" s="35">
        <v>265</v>
      </c>
      <c r="Z210" s="35">
        <v>4</v>
      </c>
      <c r="AA210" s="35">
        <v>270</v>
      </c>
      <c r="AB210" s="35">
        <v>5</v>
      </c>
      <c r="AC210" s="35">
        <v>5</v>
      </c>
      <c r="AD210" s="35">
        <v>0</v>
      </c>
      <c r="AE210" s="35">
        <v>0</v>
      </c>
      <c r="AG210" s="35">
        <v>3</v>
      </c>
      <c r="AH210" s="35">
        <v>0</v>
      </c>
      <c r="AI210" s="35">
        <v>8</v>
      </c>
    </row>
    <row r="211" spans="1:35" ht="15.75" customHeight="1" x14ac:dyDescent="0.35">
      <c r="A211" s="35">
        <v>213</v>
      </c>
      <c r="B211" s="35" t="s">
        <v>289</v>
      </c>
      <c r="C211" s="35" t="s">
        <v>284</v>
      </c>
      <c r="D211" s="35">
        <v>6</v>
      </c>
      <c r="E211" s="35">
        <v>3442</v>
      </c>
      <c r="F211" s="35">
        <v>19</v>
      </c>
      <c r="G211" s="35">
        <v>3461</v>
      </c>
      <c r="H211" s="35">
        <v>11</v>
      </c>
      <c r="I211" s="35">
        <v>3472</v>
      </c>
      <c r="J211" s="35">
        <v>15</v>
      </c>
      <c r="K211" s="35">
        <v>3487</v>
      </c>
      <c r="L211" s="35">
        <v>10</v>
      </c>
      <c r="M211" s="35">
        <v>3497</v>
      </c>
      <c r="N211" s="35">
        <v>10</v>
      </c>
      <c r="O211" s="35">
        <v>3507</v>
      </c>
      <c r="P211" s="35">
        <v>11</v>
      </c>
      <c r="Q211" s="35">
        <v>3518</v>
      </c>
      <c r="R211" s="35">
        <v>11</v>
      </c>
      <c r="S211" s="35">
        <v>3525</v>
      </c>
      <c r="T211" s="35">
        <v>7</v>
      </c>
      <c r="U211" s="35">
        <v>3534</v>
      </c>
      <c r="V211" s="35">
        <v>9</v>
      </c>
      <c r="W211" s="35">
        <v>3545</v>
      </c>
      <c r="X211" s="35">
        <v>11</v>
      </c>
      <c r="Y211" s="35">
        <v>3555</v>
      </c>
      <c r="Z211" s="35">
        <v>10</v>
      </c>
      <c r="AA211" s="35">
        <v>3565</v>
      </c>
      <c r="AB211" s="35">
        <v>10</v>
      </c>
      <c r="AC211" s="35">
        <v>10</v>
      </c>
      <c r="AD211" s="35">
        <v>13</v>
      </c>
      <c r="AE211" s="35">
        <v>0</v>
      </c>
      <c r="AG211" s="35">
        <v>3</v>
      </c>
      <c r="AH211" s="35">
        <v>0</v>
      </c>
      <c r="AI211" s="35">
        <v>26</v>
      </c>
    </row>
    <row r="212" spans="1:35" ht="15.75" customHeight="1" x14ac:dyDescent="0.35">
      <c r="A212" s="35">
        <v>214</v>
      </c>
      <c r="B212" s="35" t="s">
        <v>290</v>
      </c>
      <c r="C212" s="35" t="s">
        <v>284</v>
      </c>
      <c r="D212" s="35">
        <v>7</v>
      </c>
      <c r="E212" s="35">
        <v>2167</v>
      </c>
      <c r="F212" s="35">
        <v>8</v>
      </c>
      <c r="G212" s="35">
        <v>2175</v>
      </c>
      <c r="H212" s="35">
        <v>8</v>
      </c>
      <c r="I212" s="35">
        <v>2183</v>
      </c>
      <c r="J212" s="35">
        <v>7</v>
      </c>
      <c r="K212" s="35">
        <v>2190</v>
      </c>
      <c r="L212" s="35">
        <v>8</v>
      </c>
      <c r="M212" s="35">
        <v>2198</v>
      </c>
      <c r="N212" s="35">
        <v>6</v>
      </c>
      <c r="O212" s="35">
        <v>2204</v>
      </c>
      <c r="P212" s="35">
        <v>5</v>
      </c>
      <c r="Q212" s="35">
        <v>2209</v>
      </c>
      <c r="R212" s="35">
        <v>5</v>
      </c>
      <c r="S212" s="35">
        <v>2209</v>
      </c>
      <c r="T212" s="35">
        <v>0</v>
      </c>
      <c r="U212" s="35">
        <v>2213</v>
      </c>
      <c r="V212" s="35">
        <v>4</v>
      </c>
      <c r="W212" s="35">
        <v>2220</v>
      </c>
      <c r="X212" s="35">
        <v>7</v>
      </c>
      <c r="Y212" s="35">
        <v>2225</v>
      </c>
      <c r="Z212" s="35">
        <v>5</v>
      </c>
      <c r="AA212" s="35">
        <v>2232</v>
      </c>
      <c r="AB212" s="35">
        <v>7</v>
      </c>
      <c r="AC212" s="35">
        <v>7</v>
      </c>
      <c r="AD212" s="35">
        <v>0</v>
      </c>
      <c r="AE212" s="35">
        <v>0</v>
      </c>
      <c r="AG212" s="35">
        <v>3</v>
      </c>
      <c r="AH212" s="35">
        <v>0</v>
      </c>
      <c r="AI212" s="35">
        <v>10</v>
      </c>
    </row>
    <row r="213" spans="1:35" ht="15.75" customHeight="1" x14ac:dyDescent="0.35">
      <c r="A213" s="35">
        <v>215</v>
      </c>
      <c r="B213" s="35" t="s">
        <v>291</v>
      </c>
      <c r="C213" s="35" t="s">
        <v>284</v>
      </c>
      <c r="D213" s="35">
        <v>8</v>
      </c>
      <c r="E213" s="35">
        <v>1989</v>
      </c>
      <c r="F213" s="35">
        <v>32</v>
      </c>
      <c r="G213" s="35">
        <v>2021</v>
      </c>
      <c r="H213" s="35">
        <v>15</v>
      </c>
      <c r="I213" s="35">
        <v>2036</v>
      </c>
      <c r="J213" s="35">
        <v>15</v>
      </c>
      <c r="K213" s="35">
        <v>2051</v>
      </c>
      <c r="L213" s="35">
        <v>10</v>
      </c>
      <c r="M213" s="35">
        <v>2061</v>
      </c>
      <c r="N213" s="35">
        <v>9</v>
      </c>
      <c r="O213" s="35">
        <v>2070</v>
      </c>
      <c r="P213" s="35">
        <v>9</v>
      </c>
      <c r="Q213" s="35">
        <v>2079</v>
      </c>
      <c r="R213" s="35">
        <v>9</v>
      </c>
      <c r="S213" s="35">
        <v>2087</v>
      </c>
      <c r="T213" s="35">
        <v>8</v>
      </c>
      <c r="U213" s="35">
        <v>2098</v>
      </c>
      <c r="V213" s="35">
        <v>11</v>
      </c>
      <c r="W213" s="35">
        <v>2107</v>
      </c>
      <c r="X213" s="35">
        <v>9</v>
      </c>
      <c r="Y213" s="35">
        <v>2122</v>
      </c>
      <c r="Z213" s="35">
        <v>15</v>
      </c>
      <c r="AA213" s="35">
        <v>2136</v>
      </c>
      <c r="AB213" s="35">
        <v>14</v>
      </c>
      <c r="AC213" s="35">
        <v>14</v>
      </c>
      <c r="AD213" s="35">
        <v>0</v>
      </c>
      <c r="AE213" s="35">
        <v>0</v>
      </c>
      <c r="AG213" s="35">
        <v>3</v>
      </c>
      <c r="AH213" s="35">
        <v>0</v>
      </c>
      <c r="AI213" s="35">
        <v>17</v>
      </c>
    </row>
    <row r="214" spans="1:35" ht="15.75" customHeight="1" x14ac:dyDescent="0.35">
      <c r="A214" s="35">
        <v>216</v>
      </c>
      <c r="B214" s="35" t="s">
        <v>292</v>
      </c>
      <c r="C214" s="35" t="s">
        <v>284</v>
      </c>
      <c r="D214" s="35">
        <v>10</v>
      </c>
      <c r="E214" s="35">
        <v>781</v>
      </c>
      <c r="F214" s="35">
        <v>9</v>
      </c>
      <c r="G214" s="35">
        <v>790</v>
      </c>
      <c r="H214" s="35">
        <v>9</v>
      </c>
      <c r="I214" s="35">
        <v>799</v>
      </c>
      <c r="J214" s="35">
        <v>9</v>
      </c>
      <c r="K214" s="35">
        <v>800</v>
      </c>
      <c r="L214" s="35">
        <v>0</v>
      </c>
      <c r="M214" s="35">
        <v>800</v>
      </c>
      <c r="N214" s="35">
        <v>8</v>
      </c>
      <c r="O214" s="35">
        <v>808</v>
      </c>
      <c r="P214" s="35">
        <v>9</v>
      </c>
      <c r="Q214" s="35">
        <v>817</v>
      </c>
      <c r="R214" s="35">
        <v>9</v>
      </c>
      <c r="S214" s="35">
        <v>820</v>
      </c>
      <c r="T214" s="35">
        <v>3</v>
      </c>
      <c r="U214" s="35">
        <v>827</v>
      </c>
      <c r="V214" s="35">
        <v>7</v>
      </c>
      <c r="W214" s="35">
        <v>831</v>
      </c>
      <c r="X214" s="35">
        <v>4</v>
      </c>
      <c r="Y214" s="35">
        <v>842</v>
      </c>
      <c r="Z214" s="35">
        <v>11</v>
      </c>
      <c r="AA214" s="35">
        <v>849</v>
      </c>
      <c r="AB214" s="35">
        <v>7</v>
      </c>
      <c r="AC214" s="35">
        <v>7</v>
      </c>
      <c r="AD214" s="35">
        <v>0</v>
      </c>
      <c r="AE214" s="35">
        <v>0</v>
      </c>
      <c r="AG214" s="35">
        <v>3</v>
      </c>
      <c r="AH214" s="35">
        <v>0</v>
      </c>
      <c r="AI214" s="35">
        <v>10</v>
      </c>
    </row>
    <row r="215" spans="1:35" ht="15.75" customHeight="1" x14ac:dyDescent="0.35">
      <c r="A215" s="35">
        <v>217</v>
      </c>
      <c r="B215" s="35" t="s">
        <v>293</v>
      </c>
      <c r="C215" s="35" t="s">
        <v>284</v>
      </c>
      <c r="D215" s="35">
        <v>11</v>
      </c>
      <c r="E215" s="35">
        <v>1511</v>
      </c>
      <c r="F215" s="35">
        <v>10</v>
      </c>
      <c r="G215" s="35">
        <v>1521</v>
      </c>
      <c r="H215" s="35">
        <v>13</v>
      </c>
      <c r="I215" s="35">
        <v>1534</v>
      </c>
      <c r="J215" s="35">
        <v>11</v>
      </c>
      <c r="K215" s="35">
        <v>1545</v>
      </c>
      <c r="L215" s="35">
        <v>9</v>
      </c>
      <c r="M215" s="35">
        <v>1554</v>
      </c>
      <c r="N215" s="35">
        <v>10</v>
      </c>
      <c r="O215" s="35">
        <v>1564</v>
      </c>
      <c r="P215" s="35">
        <v>10</v>
      </c>
      <c r="Q215" s="35">
        <v>1574</v>
      </c>
      <c r="R215" s="35">
        <v>10</v>
      </c>
      <c r="S215" s="35">
        <v>1581</v>
      </c>
      <c r="T215" s="35">
        <v>7</v>
      </c>
      <c r="U215" s="35">
        <v>1588</v>
      </c>
      <c r="V215" s="35">
        <v>7</v>
      </c>
      <c r="W215" s="35">
        <v>1594</v>
      </c>
      <c r="X215" s="35">
        <v>6</v>
      </c>
      <c r="Y215" s="35">
        <v>1601</v>
      </c>
      <c r="Z215" s="35">
        <v>7</v>
      </c>
      <c r="AA215" s="35">
        <v>1611</v>
      </c>
      <c r="AB215" s="35">
        <v>10</v>
      </c>
      <c r="AC215" s="35">
        <v>10</v>
      </c>
      <c r="AD215" s="35">
        <v>0</v>
      </c>
      <c r="AE215" s="35">
        <v>0</v>
      </c>
      <c r="AG215" s="35">
        <v>3</v>
      </c>
      <c r="AH215" s="35">
        <v>0</v>
      </c>
      <c r="AI215" s="35">
        <v>13</v>
      </c>
    </row>
    <row r="216" spans="1:35" ht="15.75" customHeight="1" x14ac:dyDescent="0.35">
      <c r="A216" s="35">
        <v>218</v>
      </c>
      <c r="B216" s="35" t="s">
        <v>294</v>
      </c>
      <c r="C216" s="35" t="s">
        <v>284</v>
      </c>
      <c r="D216" s="35">
        <v>12</v>
      </c>
      <c r="E216" s="35">
        <v>4254</v>
      </c>
      <c r="F216" s="35">
        <v>32</v>
      </c>
      <c r="G216" s="35">
        <v>4286</v>
      </c>
      <c r="H216" s="35">
        <v>19</v>
      </c>
      <c r="I216" s="35">
        <v>4305</v>
      </c>
      <c r="J216" s="35">
        <v>15</v>
      </c>
      <c r="K216" s="35">
        <v>4320</v>
      </c>
      <c r="L216" s="35">
        <v>16</v>
      </c>
      <c r="M216" s="35">
        <v>4336</v>
      </c>
      <c r="N216" s="35">
        <v>17</v>
      </c>
      <c r="O216" s="35">
        <v>4353</v>
      </c>
      <c r="P216" s="35">
        <v>17</v>
      </c>
      <c r="Q216" s="35">
        <v>4370</v>
      </c>
      <c r="R216" s="35">
        <v>17</v>
      </c>
      <c r="S216" s="35">
        <v>4383</v>
      </c>
      <c r="T216" s="35">
        <v>13</v>
      </c>
      <c r="U216" s="35">
        <v>4401</v>
      </c>
      <c r="V216" s="35">
        <v>18</v>
      </c>
      <c r="W216" s="35">
        <v>4418</v>
      </c>
      <c r="X216" s="35">
        <v>17</v>
      </c>
      <c r="Y216" s="35">
        <v>4435</v>
      </c>
      <c r="Z216" s="35">
        <v>17</v>
      </c>
      <c r="AA216" s="35">
        <v>4453</v>
      </c>
      <c r="AB216" s="35">
        <v>18</v>
      </c>
      <c r="AC216" s="35">
        <v>18</v>
      </c>
      <c r="AD216" s="35">
        <v>0</v>
      </c>
      <c r="AE216" s="35">
        <v>0</v>
      </c>
      <c r="AG216" s="35">
        <v>3</v>
      </c>
      <c r="AH216" s="35">
        <v>0</v>
      </c>
      <c r="AI216" s="35">
        <v>21</v>
      </c>
    </row>
    <row r="217" spans="1:35" ht="15.75" customHeight="1" x14ac:dyDescent="0.35">
      <c r="A217" s="35">
        <v>219</v>
      </c>
      <c r="B217" s="35" t="s">
        <v>296</v>
      </c>
      <c r="C217" s="35" t="s">
        <v>284</v>
      </c>
      <c r="D217" s="35">
        <v>13</v>
      </c>
      <c r="E217" s="35">
        <v>1149</v>
      </c>
      <c r="F217" s="35">
        <v>19</v>
      </c>
      <c r="G217" s="35">
        <v>1168</v>
      </c>
      <c r="H217" s="35">
        <v>12</v>
      </c>
      <c r="I217" s="35">
        <v>1180</v>
      </c>
      <c r="J217" s="35">
        <v>13</v>
      </c>
      <c r="K217" s="35">
        <v>1193</v>
      </c>
      <c r="L217" s="35">
        <v>14</v>
      </c>
      <c r="M217" s="35">
        <v>1207</v>
      </c>
      <c r="N217" s="35">
        <v>10</v>
      </c>
      <c r="O217" s="35">
        <v>1217</v>
      </c>
      <c r="P217" s="35">
        <v>8</v>
      </c>
      <c r="Q217" s="35">
        <v>1225</v>
      </c>
      <c r="R217" s="35">
        <v>8</v>
      </c>
      <c r="S217" s="35">
        <v>1231</v>
      </c>
      <c r="T217" s="35">
        <v>6</v>
      </c>
      <c r="U217" s="35">
        <v>1238</v>
      </c>
      <c r="V217" s="35">
        <v>7</v>
      </c>
      <c r="W217" s="35">
        <v>1249</v>
      </c>
      <c r="X217" s="35">
        <v>11</v>
      </c>
      <c r="Y217" s="35">
        <v>1257</v>
      </c>
      <c r="Z217" s="35">
        <v>8</v>
      </c>
      <c r="AA217" s="35">
        <v>1267</v>
      </c>
      <c r="AB217" s="35">
        <v>10</v>
      </c>
      <c r="AC217" s="35">
        <v>10</v>
      </c>
      <c r="AD217" s="35">
        <v>0</v>
      </c>
      <c r="AE217" s="35">
        <v>0</v>
      </c>
      <c r="AG217" s="35">
        <v>3</v>
      </c>
      <c r="AH217" s="35">
        <v>0</v>
      </c>
      <c r="AI217" s="35">
        <v>13</v>
      </c>
    </row>
    <row r="218" spans="1:35" ht="15.75" customHeight="1" x14ac:dyDescent="0.35">
      <c r="A218" s="35">
        <v>220</v>
      </c>
      <c r="B218" s="35" t="s">
        <v>297</v>
      </c>
      <c r="C218" s="35" t="s">
        <v>284</v>
      </c>
      <c r="D218" s="35">
        <v>14</v>
      </c>
      <c r="E218" s="35">
        <v>3963</v>
      </c>
      <c r="F218" s="35">
        <v>26</v>
      </c>
      <c r="G218" s="35">
        <v>3989</v>
      </c>
      <c r="H218" s="35">
        <v>23</v>
      </c>
      <c r="I218" s="35">
        <v>4012</v>
      </c>
      <c r="J218" s="35">
        <v>26</v>
      </c>
      <c r="K218" s="35">
        <v>4038</v>
      </c>
      <c r="L218" s="35">
        <v>23</v>
      </c>
      <c r="M218" s="35">
        <v>4061</v>
      </c>
      <c r="N218" s="35">
        <v>21</v>
      </c>
      <c r="O218" s="35">
        <v>4082</v>
      </c>
      <c r="P218" s="35">
        <v>21</v>
      </c>
      <c r="Q218" s="35">
        <v>4103</v>
      </c>
      <c r="R218" s="35">
        <v>21</v>
      </c>
      <c r="S218" s="35">
        <v>4120</v>
      </c>
      <c r="T218" s="35">
        <v>17</v>
      </c>
      <c r="U218" s="35">
        <v>4139</v>
      </c>
      <c r="V218" s="35">
        <v>19</v>
      </c>
      <c r="W218" s="35">
        <v>4161</v>
      </c>
      <c r="X218" s="35">
        <v>22</v>
      </c>
      <c r="Y218" s="35">
        <v>4181</v>
      </c>
      <c r="Z218" s="35">
        <v>20</v>
      </c>
      <c r="AA218" s="35">
        <v>4201</v>
      </c>
      <c r="AB218" s="35">
        <v>20</v>
      </c>
      <c r="AC218" s="35">
        <v>20</v>
      </c>
      <c r="AD218" s="35">
        <v>0</v>
      </c>
      <c r="AE218" s="35">
        <v>0</v>
      </c>
      <c r="AG218" s="35">
        <v>3</v>
      </c>
      <c r="AH218" s="35">
        <v>0</v>
      </c>
      <c r="AI218" s="35">
        <v>23</v>
      </c>
    </row>
    <row r="219" spans="1:35" ht="15.75" customHeight="1" x14ac:dyDescent="0.35">
      <c r="A219" s="35">
        <v>221</v>
      </c>
      <c r="B219" s="35" t="s">
        <v>298</v>
      </c>
      <c r="C219" s="35" t="s">
        <v>284</v>
      </c>
      <c r="D219" s="35">
        <v>15</v>
      </c>
      <c r="E219" s="35">
        <v>2175</v>
      </c>
      <c r="F219" s="35">
        <v>11</v>
      </c>
      <c r="G219" s="35">
        <v>2186</v>
      </c>
      <c r="H219" s="35">
        <v>10</v>
      </c>
      <c r="I219" s="35">
        <v>2196</v>
      </c>
      <c r="J219" s="35">
        <v>12</v>
      </c>
      <c r="K219" s="35">
        <v>2208</v>
      </c>
      <c r="L219" s="35">
        <v>10</v>
      </c>
      <c r="M219" s="35">
        <v>2218</v>
      </c>
      <c r="N219" s="35">
        <v>10</v>
      </c>
      <c r="O219" s="35">
        <v>2228</v>
      </c>
      <c r="P219" s="35">
        <v>10</v>
      </c>
      <c r="Q219" s="35">
        <v>2238</v>
      </c>
      <c r="R219" s="35">
        <v>10</v>
      </c>
      <c r="S219" s="35">
        <v>2243</v>
      </c>
      <c r="T219" s="35">
        <v>5</v>
      </c>
      <c r="U219" s="35">
        <v>2251</v>
      </c>
      <c r="V219" s="35">
        <v>8</v>
      </c>
      <c r="W219" s="35">
        <v>2258</v>
      </c>
      <c r="X219" s="35">
        <v>7</v>
      </c>
      <c r="Y219" s="35">
        <v>2266</v>
      </c>
      <c r="Z219" s="35">
        <v>8</v>
      </c>
      <c r="AA219" s="35">
        <v>2275</v>
      </c>
      <c r="AB219" s="35">
        <v>9</v>
      </c>
      <c r="AC219" s="35">
        <v>9</v>
      </c>
      <c r="AD219" s="35">
        <v>0</v>
      </c>
      <c r="AE219" s="35">
        <v>0</v>
      </c>
      <c r="AG219" s="35">
        <v>3</v>
      </c>
      <c r="AH219" s="35">
        <v>0</v>
      </c>
      <c r="AI219" s="35">
        <v>12</v>
      </c>
    </row>
    <row r="220" spans="1:35" ht="15.75" customHeight="1" x14ac:dyDescent="0.35">
      <c r="A220" s="35">
        <v>222</v>
      </c>
      <c r="B220" s="35" t="s">
        <v>299</v>
      </c>
      <c r="C220" s="35" t="s">
        <v>300</v>
      </c>
      <c r="D220" s="35">
        <v>1</v>
      </c>
      <c r="E220" s="35">
        <v>2554</v>
      </c>
      <c r="F220" s="35">
        <v>21</v>
      </c>
      <c r="G220" s="35">
        <v>2575</v>
      </c>
      <c r="H220" s="35">
        <v>30</v>
      </c>
      <c r="I220" s="35">
        <v>2605</v>
      </c>
      <c r="J220" s="35">
        <v>22</v>
      </c>
      <c r="K220" s="35">
        <v>2627</v>
      </c>
      <c r="L220" s="35">
        <v>21</v>
      </c>
      <c r="M220" s="35">
        <v>2648</v>
      </c>
      <c r="N220" s="35">
        <v>24</v>
      </c>
      <c r="O220" s="35">
        <v>2672</v>
      </c>
      <c r="P220" s="35">
        <v>20</v>
      </c>
      <c r="Q220" s="35">
        <v>2692</v>
      </c>
      <c r="R220" s="35">
        <v>20</v>
      </c>
      <c r="S220" s="35">
        <v>2711</v>
      </c>
      <c r="T220" s="35">
        <v>19</v>
      </c>
      <c r="U220" s="35">
        <v>2731</v>
      </c>
      <c r="V220" s="35">
        <v>20</v>
      </c>
      <c r="W220" s="35">
        <v>2750</v>
      </c>
      <c r="X220" s="35">
        <v>19</v>
      </c>
      <c r="Y220" s="35">
        <v>2771</v>
      </c>
      <c r="Z220" s="35">
        <v>21</v>
      </c>
      <c r="AA220" s="35">
        <v>2790</v>
      </c>
      <c r="AB220" s="35">
        <v>19</v>
      </c>
      <c r="AC220" s="35">
        <v>19</v>
      </c>
      <c r="AD220" s="35">
        <v>0</v>
      </c>
      <c r="AE220" s="35">
        <v>0</v>
      </c>
      <c r="AG220" s="35">
        <v>3</v>
      </c>
      <c r="AH220" s="35">
        <v>0</v>
      </c>
      <c r="AI220" s="35">
        <v>22</v>
      </c>
    </row>
    <row r="221" spans="1:35" ht="15.75" customHeight="1" x14ac:dyDescent="0.35">
      <c r="A221" s="35">
        <v>223</v>
      </c>
      <c r="B221" s="35" t="s">
        <v>301</v>
      </c>
      <c r="C221" s="35" t="s">
        <v>300</v>
      </c>
      <c r="D221" s="35">
        <v>2</v>
      </c>
      <c r="E221" s="35">
        <v>2665</v>
      </c>
      <c r="F221" s="35">
        <v>11</v>
      </c>
      <c r="G221" s="35">
        <v>2676</v>
      </c>
      <c r="H221" s="35">
        <v>13</v>
      </c>
      <c r="I221" s="35">
        <v>2689</v>
      </c>
      <c r="J221" s="35">
        <v>14</v>
      </c>
      <c r="K221" s="35">
        <v>2703</v>
      </c>
      <c r="L221" s="35">
        <v>8</v>
      </c>
      <c r="M221" s="35">
        <v>2711</v>
      </c>
      <c r="N221" s="35">
        <v>11</v>
      </c>
      <c r="O221" s="35">
        <v>2722</v>
      </c>
      <c r="P221" s="35">
        <v>8</v>
      </c>
      <c r="Q221" s="35">
        <v>2730</v>
      </c>
      <c r="R221" s="35">
        <v>8</v>
      </c>
      <c r="S221" s="35">
        <v>2911</v>
      </c>
      <c r="T221" s="35">
        <v>181</v>
      </c>
      <c r="U221" s="35">
        <v>2921</v>
      </c>
      <c r="V221" s="35">
        <v>10</v>
      </c>
      <c r="W221" s="35">
        <v>2928</v>
      </c>
      <c r="X221" s="35">
        <v>7</v>
      </c>
      <c r="Y221" s="35">
        <v>2936</v>
      </c>
      <c r="Z221" s="35">
        <v>8</v>
      </c>
      <c r="AA221" s="35">
        <v>2948</v>
      </c>
      <c r="AB221" s="35">
        <v>12</v>
      </c>
      <c r="AC221" s="35">
        <v>12</v>
      </c>
      <c r="AD221" s="35">
        <v>0</v>
      </c>
      <c r="AE221" s="35">
        <v>0</v>
      </c>
      <c r="AG221" s="35">
        <v>3</v>
      </c>
      <c r="AH221" s="35">
        <v>0</v>
      </c>
      <c r="AI221" s="35">
        <v>15</v>
      </c>
    </row>
    <row r="222" spans="1:35" ht="15.75" customHeight="1" x14ac:dyDescent="0.35">
      <c r="A222" s="35">
        <v>224</v>
      </c>
      <c r="B222" s="35" t="s">
        <v>302</v>
      </c>
      <c r="C222" s="35" t="s">
        <v>300</v>
      </c>
      <c r="D222" s="35">
        <v>3</v>
      </c>
      <c r="E222" s="35">
        <v>1111</v>
      </c>
      <c r="F222" s="35">
        <v>6</v>
      </c>
      <c r="G222" s="35">
        <v>1117</v>
      </c>
      <c r="H222" s="35">
        <v>4</v>
      </c>
      <c r="I222" s="35">
        <v>1121</v>
      </c>
      <c r="J222" s="35">
        <v>3</v>
      </c>
      <c r="K222" s="35">
        <v>1124</v>
      </c>
      <c r="L222" s="35">
        <v>4</v>
      </c>
      <c r="M222" s="35">
        <v>1128</v>
      </c>
      <c r="N222" s="35">
        <v>1</v>
      </c>
      <c r="O222" s="35">
        <v>1129</v>
      </c>
      <c r="P222" s="35">
        <v>2</v>
      </c>
      <c r="Q222" s="35">
        <v>1131</v>
      </c>
      <c r="R222" s="35">
        <v>2</v>
      </c>
      <c r="S222" s="35">
        <v>1133</v>
      </c>
      <c r="T222" s="35">
        <v>2</v>
      </c>
      <c r="U222" s="35">
        <v>1135</v>
      </c>
      <c r="V222" s="35">
        <v>2</v>
      </c>
      <c r="W222" s="35">
        <v>1137</v>
      </c>
      <c r="X222" s="35">
        <v>2</v>
      </c>
      <c r="Y222" s="35">
        <v>1139</v>
      </c>
      <c r="Z222" s="35">
        <v>2</v>
      </c>
      <c r="AA222" s="35">
        <v>1142</v>
      </c>
      <c r="AB222" s="35">
        <v>3</v>
      </c>
      <c r="AC222" s="35">
        <v>5</v>
      </c>
      <c r="AD222" s="35">
        <v>0</v>
      </c>
      <c r="AE222" s="35">
        <v>0</v>
      </c>
      <c r="AG222" s="35">
        <v>3</v>
      </c>
      <c r="AH222" s="35">
        <v>0</v>
      </c>
      <c r="AI222" s="35">
        <v>8</v>
      </c>
    </row>
    <row r="223" spans="1:35" ht="15.75" customHeight="1" x14ac:dyDescent="0.35">
      <c r="A223" s="35">
        <v>225</v>
      </c>
      <c r="B223" s="35" t="s">
        <v>303</v>
      </c>
      <c r="C223" s="35" t="s">
        <v>300</v>
      </c>
      <c r="D223" s="35">
        <v>4</v>
      </c>
      <c r="E223" s="35">
        <v>2784</v>
      </c>
      <c r="F223" s="35">
        <v>8</v>
      </c>
      <c r="G223" s="35">
        <v>2792</v>
      </c>
      <c r="H223" s="35">
        <v>9</v>
      </c>
      <c r="I223" s="35">
        <v>2801</v>
      </c>
      <c r="J223" s="35">
        <v>11</v>
      </c>
      <c r="K223" s="35">
        <v>2812</v>
      </c>
      <c r="L223" s="35">
        <v>10</v>
      </c>
      <c r="M223" s="35">
        <v>2822</v>
      </c>
      <c r="N223" s="35">
        <v>9</v>
      </c>
      <c r="O223" s="35">
        <v>2831</v>
      </c>
      <c r="P223" s="35">
        <v>1</v>
      </c>
      <c r="Q223" s="35">
        <v>2832</v>
      </c>
      <c r="R223" s="35">
        <v>1</v>
      </c>
      <c r="S223" s="35">
        <v>2838</v>
      </c>
      <c r="T223" s="35">
        <v>6</v>
      </c>
      <c r="U223" s="35">
        <v>2856</v>
      </c>
      <c r="V223" s="35">
        <v>18</v>
      </c>
      <c r="W223" s="35">
        <v>2862</v>
      </c>
      <c r="X223" s="35">
        <v>6</v>
      </c>
      <c r="Y223" s="35">
        <v>2870</v>
      </c>
      <c r="Z223" s="35">
        <v>8</v>
      </c>
      <c r="AA223" s="35">
        <v>2878</v>
      </c>
      <c r="AB223" s="35">
        <v>8</v>
      </c>
      <c r="AC223" s="35">
        <v>8</v>
      </c>
      <c r="AD223" s="35">
        <v>0</v>
      </c>
      <c r="AE223" s="35">
        <v>0</v>
      </c>
      <c r="AG223" s="35">
        <v>3</v>
      </c>
      <c r="AH223" s="35">
        <v>0</v>
      </c>
      <c r="AI223" s="35">
        <v>11</v>
      </c>
    </row>
    <row r="224" spans="1:35" ht="15.75" customHeight="1" x14ac:dyDescent="0.35">
      <c r="A224" s="35">
        <v>226</v>
      </c>
      <c r="B224" s="35" t="s">
        <v>304</v>
      </c>
      <c r="C224" s="35" t="s">
        <v>300</v>
      </c>
      <c r="D224" s="35">
        <v>5</v>
      </c>
      <c r="E224" s="35">
        <v>1000</v>
      </c>
      <c r="F224" s="35">
        <v>10</v>
      </c>
      <c r="G224" s="35">
        <v>1010</v>
      </c>
      <c r="H224" s="35">
        <v>298</v>
      </c>
      <c r="I224" s="35">
        <v>1308</v>
      </c>
      <c r="J224" s="35">
        <v>0</v>
      </c>
      <c r="K224" s="35">
        <v>0</v>
      </c>
      <c r="L224" s="35">
        <v>12</v>
      </c>
      <c r="M224" s="35">
        <v>12</v>
      </c>
      <c r="N224" s="35">
        <v>13</v>
      </c>
      <c r="O224" s="35">
        <v>25</v>
      </c>
      <c r="P224" s="35">
        <v>11</v>
      </c>
      <c r="Q224" s="35">
        <v>36</v>
      </c>
      <c r="R224" s="35">
        <v>11</v>
      </c>
      <c r="S224" s="35">
        <v>45</v>
      </c>
      <c r="T224" s="35">
        <v>9</v>
      </c>
      <c r="U224" s="35">
        <v>53</v>
      </c>
      <c r="V224" s="35">
        <v>8</v>
      </c>
      <c r="W224" s="35">
        <v>69</v>
      </c>
      <c r="X224" s="35">
        <v>16</v>
      </c>
      <c r="Y224" s="35">
        <v>81</v>
      </c>
      <c r="Z224" s="35">
        <v>12</v>
      </c>
      <c r="AA224" s="35">
        <v>93</v>
      </c>
      <c r="AB224" s="35">
        <v>12</v>
      </c>
      <c r="AC224" s="35">
        <v>12</v>
      </c>
      <c r="AD224" s="35">
        <v>0</v>
      </c>
      <c r="AE224" s="35">
        <v>0</v>
      </c>
      <c r="AG224" s="35">
        <v>3</v>
      </c>
      <c r="AH224" s="35">
        <v>0</v>
      </c>
      <c r="AI224" s="35">
        <v>15</v>
      </c>
    </row>
    <row r="225" spans="1:35" ht="15.75" customHeight="1" x14ac:dyDescent="0.35">
      <c r="A225" s="35">
        <v>227</v>
      </c>
      <c r="B225" s="35" t="s">
        <v>648</v>
      </c>
      <c r="C225" s="35" t="s">
        <v>300</v>
      </c>
      <c r="D225" s="35">
        <v>6</v>
      </c>
      <c r="E225" s="35">
        <v>3540</v>
      </c>
      <c r="F225" s="35">
        <v>24</v>
      </c>
      <c r="G225" s="35">
        <v>3564</v>
      </c>
      <c r="H225" s="35">
        <v>18</v>
      </c>
      <c r="I225" s="35">
        <v>3582</v>
      </c>
      <c r="J225" s="35">
        <v>20</v>
      </c>
      <c r="K225" s="35">
        <v>3602</v>
      </c>
      <c r="L225" s="35">
        <v>18</v>
      </c>
      <c r="M225" s="35">
        <v>3620</v>
      </c>
      <c r="N225" s="35">
        <v>15</v>
      </c>
      <c r="O225" s="35">
        <v>3635</v>
      </c>
      <c r="P225" s="35">
        <v>15</v>
      </c>
      <c r="Q225" s="35">
        <v>3650</v>
      </c>
      <c r="R225" s="35">
        <v>15</v>
      </c>
      <c r="S225" s="35">
        <v>3662</v>
      </c>
      <c r="T225" s="35">
        <v>12</v>
      </c>
      <c r="U225" s="35">
        <v>3675</v>
      </c>
      <c r="V225" s="35">
        <v>13</v>
      </c>
      <c r="W225" s="35">
        <v>3692</v>
      </c>
      <c r="X225" s="35">
        <v>17</v>
      </c>
      <c r="Y225" s="35">
        <v>3707</v>
      </c>
      <c r="Z225" s="35">
        <v>15</v>
      </c>
      <c r="AA225" s="35">
        <v>3723</v>
      </c>
      <c r="AB225" s="35">
        <v>16</v>
      </c>
      <c r="AC225" s="35">
        <v>16</v>
      </c>
      <c r="AD225" s="35">
        <v>0</v>
      </c>
      <c r="AE225" s="35">
        <v>0</v>
      </c>
      <c r="AG225" s="35">
        <v>3</v>
      </c>
      <c r="AH225" s="35">
        <v>0</v>
      </c>
      <c r="AI225" s="35">
        <v>19</v>
      </c>
    </row>
    <row r="226" spans="1:35" ht="15.75" customHeight="1" x14ac:dyDescent="0.35">
      <c r="A226" s="35">
        <v>228</v>
      </c>
      <c r="B226" s="35" t="s">
        <v>306</v>
      </c>
      <c r="C226" s="35" t="s">
        <v>300</v>
      </c>
      <c r="D226" s="35">
        <v>7</v>
      </c>
      <c r="E226" s="35">
        <v>349</v>
      </c>
      <c r="F226" s="35">
        <v>12</v>
      </c>
      <c r="G226" s="35">
        <v>361</v>
      </c>
      <c r="H226" s="35">
        <v>18</v>
      </c>
      <c r="I226" s="35">
        <v>379</v>
      </c>
      <c r="J226" s="35">
        <v>13</v>
      </c>
      <c r="K226" s="35">
        <v>392</v>
      </c>
      <c r="L226" s="35">
        <v>12</v>
      </c>
      <c r="M226" s="35">
        <v>404</v>
      </c>
      <c r="N226" s="35">
        <v>14</v>
      </c>
      <c r="O226" s="35">
        <v>418</v>
      </c>
      <c r="P226" s="35">
        <v>12</v>
      </c>
      <c r="Q226" s="35">
        <v>430</v>
      </c>
      <c r="R226" s="35">
        <v>12</v>
      </c>
      <c r="S226" s="35">
        <v>440</v>
      </c>
      <c r="T226" s="35">
        <v>10</v>
      </c>
      <c r="U226" s="35">
        <v>452</v>
      </c>
      <c r="V226" s="35">
        <v>12</v>
      </c>
      <c r="W226" s="35">
        <v>462</v>
      </c>
      <c r="X226" s="35">
        <v>10</v>
      </c>
      <c r="Y226" s="35">
        <v>474</v>
      </c>
      <c r="Z226" s="35">
        <v>12</v>
      </c>
      <c r="AA226" s="35">
        <v>485</v>
      </c>
      <c r="AB226" s="35">
        <v>11</v>
      </c>
      <c r="AC226" s="35">
        <v>11</v>
      </c>
      <c r="AD226" s="35">
        <v>0</v>
      </c>
      <c r="AE226" s="35">
        <v>0</v>
      </c>
      <c r="AG226" s="35">
        <v>3</v>
      </c>
      <c r="AH226" s="35">
        <v>0</v>
      </c>
      <c r="AI226" s="35">
        <v>14</v>
      </c>
    </row>
    <row r="227" spans="1:35" ht="15.75" customHeight="1" x14ac:dyDescent="0.35">
      <c r="A227" s="35">
        <v>229</v>
      </c>
      <c r="B227" s="35" t="s">
        <v>307</v>
      </c>
      <c r="C227" s="35" t="s">
        <v>300</v>
      </c>
      <c r="D227" s="35">
        <v>8</v>
      </c>
      <c r="E227" s="35">
        <v>3408</v>
      </c>
      <c r="F227" s="35">
        <v>18</v>
      </c>
      <c r="G227" s="35">
        <v>3426</v>
      </c>
      <c r="H227" s="35">
        <v>12</v>
      </c>
      <c r="I227" s="35">
        <v>3438</v>
      </c>
      <c r="J227" s="35">
        <v>46</v>
      </c>
      <c r="K227" s="35">
        <v>3484</v>
      </c>
      <c r="L227" s="35">
        <v>13</v>
      </c>
      <c r="M227" s="35">
        <v>3497</v>
      </c>
      <c r="N227" s="35">
        <v>14</v>
      </c>
      <c r="O227" s="35">
        <v>3511</v>
      </c>
      <c r="P227" s="35">
        <v>14</v>
      </c>
      <c r="Q227" s="35">
        <v>3525</v>
      </c>
      <c r="R227" s="35">
        <v>14</v>
      </c>
      <c r="S227" s="35">
        <v>3537</v>
      </c>
      <c r="T227" s="35">
        <v>12</v>
      </c>
      <c r="U227" s="35">
        <v>3551</v>
      </c>
      <c r="V227" s="35">
        <v>14</v>
      </c>
      <c r="W227" s="35">
        <v>3564</v>
      </c>
      <c r="X227" s="35">
        <v>13</v>
      </c>
      <c r="Y227" s="35">
        <v>3576</v>
      </c>
      <c r="Z227" s="35">
        <v>12</v>
      </c>
      <c r="AA227" s="35">
        <v>3589</v>
      </c>
      <c r="AB227" s="35">
        <v>13</v>
      </c>
      <c r="AC227" s="35">
        <v>13</v>
      </c>
      <c r="AD227" s="35">
        <v>0</v>
      </c>
      <c r="AE227" s="35">
        <v>0</v>
      </c>
      <c r="AG227" s="35">
        <v>3</v>
      </c>
      <c r="AH227" s="35">
        <v>0</v>
      </c>
      <c r="AI227" s="35">
        <v>16</v>
      </c>
    </row>
    <row r="228" spans="1:35" ht="15.75" customHeight="1" x14ac:dyDescent="0.35">
      <c r="A228" s="35">
        <v>230</v>
      </c>
      <c r="B228" s="35" t="s">
        <v>308</v>
      </c>
      <c r="C228" s="35" t="s">
        <v>300</v>
      </c>
      <c r="D228" s="35">
        <v>9</v>
      </c>
      <c r="E228" s="35">
        <v>947</v>
      </c>
      <c r="F228" s="35">
        <v>1</v>
      </c>
      <c r="G228" s="35">
        <v>948</v>
      </c>
      <c r="H228" s="35">
        <v>1</v>
      </c>
      <c r="I228" s="35">
        <v>949</v>
      </c>
      <c r="J228" s="35">
        <v>1</v>
      </c>
      <c r="K228" s="35">
        <v>950</v>
      </c>
      <c r="L228" s="35">
        <v>1</v>
      </c>
      <c r="M228" s="35">
        <v>951</v>
      </c>
      <c r="N228" s="35">
        <v>0</v>
      </c>
      <c r="O228" s="35">
        <v>951</v>
      </c>
      <c r="P228" s="35">
        <v>0</v>
      </c>
      <c r="Q228" s="35">
        <v>951</v>
      </c>
      <c r="R228" s="35">
        <v>0</v>
      </c>
      <c r="S228" s="35">
        <v>951</v>
      </c>
      <c r="T228" s="35">
        <v>0</v>
      </c>
      <c r="U228" s="35">
        <v>952</v>
      </c>
      <c r="V228" s="35">
        <v>1</v>
      </c>
      <c r="W228" s="35">
        <v>952</v>
      </c>
      <c r="X228" s="35">
        <v>0</v>
      </c>
      <c r="Y228" s="35">
        <v>952</v>
      </c>
      <c r="Z228" s="35">
        <v>0</v>
      </c>
      <c r="AA228" s="35">
        <v>952</v>
      </c>
      <c r="AB228" s="35">
        <v>0</v>
      </c>
      <c r="AC228" s="35">
        <v>5</v>
      </c>
      <c r="AD228" s="35">
        <v>8</v>
      </c>
      <c r="AE228" s="35">
        <v>0</v>
      </c>
      <c r="AG228" s="35">
        <v>3</v>
      </c>
      <c r="AH228" s="35">
        <v>20</v>
      </c>
      <c r="AI228" s="35">
        <v>36</v>
      </c>
    </row>
    <row r="229" spans="1:35" ht="15.75" customHeight="1" x14ac:dyDescent="0.35">
      <c r="A229" s="35">
        <v>231</v>
      </c>
      <c r="B229" s="35" t="s">
        <v>309</v>
      </c>
      <c r="C229" s="35" t="s">
        <v>300</v>
      </c>
      <c r="D229" s="35">
        <v>10</v>
      </c>
      <c r="E229" s="35">
        <v>815</v>
      </c>
      <c r="F229" s="35">
        <v>17</v>
      </c>
      <c r="G229" s="35">
        <v>832</v>
      </c>
      <c r="H229" s="35">
        <v>12</v>
      </c>
      <c r="I229" s="35">
        <v>844</v>
      </c>
      <c r="J229" s="35">
        <v>13</v>
      </c>
      <c r="K229" s="35">
        <v>857</v>
      </c>
      <c r="L229" s="35">
        <v>13</v>
      </c>
      <c r="M229" s="35">
        <v>870</v>
      </c>
      <c r="N229" s="35">
        <v>10</v>
      </c>
      <c r="O229" s="35">
        <v>880</v>
      </c>
      <c r="P229" s="35">
        <v>9</v>
      </c>
      <c r="Q229" s="35">
        <v>889</v>
      </c>
      <c r="R229" s="35">
        <v>9</v>
      </c>
      <c r="S229" s="35">
        <v>897</v>
      </c>
      <c r="T229" s="35">
        <v>8</v>
      </c>
      <c r="U229" s="35">
        <v>905</v>
      </c>
      <c r="V229" s="35">
        <v>8</v>
      </c>
      <c r="W229" s="35">
        <v>913</v>
      </c>
      <c r="X229" s="35">
        <v>8</v>
      </c>
      <c r="Y229" s="35">
        <v>921</v>
      </c>
      <c r="Z229" s="35">
        <v>8</v>
      </c>
      <c r="AA229" s="35">
        <v>931</v>
      </c>
      <c r="AB229" s="35">
        <v>10</v>
      </c>
      <c r="AC229" s="35">
        <v>10</v>
      </c>
      <c r="AD229" s="35">
        <v>0</v>
      </c>
      <c r="AE229" s="35">
        <v>0</v>
      </c>
      <c r="AG229" s="35">
        <v>3</v>
      </c>
      <c r="AH229" s="35">
        <v>0</v>
      </c>
      <c r="AI229" s="35">
        <v>13</v>
      </c>
    </row>
    <row r="230" spans="1:35" ht="15.75" customHeight="1" x14ac:dyDescent="0.35">
      <c r="A230" s="35">
        <v>232</v>
      </c>
      <c r="B230" s="35" t="s">
        <v>310</v>
      </c>
      <c r="C230" s="35" t="s">
        <v>300</v>
      </c>
      <c r="D230" s="35">
        <v>11</v>
      </c>
      <c r="E230" s="35">
        <v>790</v>
      </c>
      <c r="F230" s="35">
        <v>1</v>
      </c>
      <c r="G230" s="35">
        <v>791</v>
      </c>
      <c r="H230" s="35">
        <v>0</v>
      </c>
      <c r="I230" s="35">
        <v>791</v>
      </c>
      <c r="J230" s="35">
        <v>0</v>
      </c>
      <c r="K230" s="35">
        <v>791</v>
      </c>
      <c r="L230" s="35">
        <v>0</v>
      </c>
      <c r="M230" s="35">
        <v>791</v>
      </c>
      <c r="N230" s="35">
        <v>2</v>
      </c>
      <c r="O230" s="35">
        <v>793</v>
      </c>
      <c r="P230" s="35">
        <v>1</v>
      </c>
      <c r="Q230" s="35">
        <v>794</v>
      </c>
      <c r="R230" s="35">
        <v>1</v>
      </c>
      <c r="S230" s="35">
        <v>795</v>
      </c>
      <c r="T230" s="35">
        <v>1</v>
      </c>
      <c r="U230" s="35">
        <v>798</v>
      </c>
      <c r="V230" s="35">
        <v>3</v>
      </c>
      <c r="W230" s="35">
        <v>799</v>
      </c>
      <c r="X230" s="35">
        <v>1</v>
      </c>
      <c r="Y230" s="35">
        <v>801</v>
      </c>
      <c r="Z230" s="35">
        <v>2</v>
      </c>
      <c r="AA230" s="35">
        <v>802</v>
      </c>
      <c r="AB230" s="35">
        <v>1</v>
      </c>
      <c r="AC230" s="35">
        <v>5</v>
      </c>
      <c r="AD230" s="35">
        <v>0</v>
      </c>
      <c r="AE230" s="35">
        <v>0</v>
      </c>
      <c r="AG230" s="35">
        <v>3</v>
      </c>
      <c r="AH230" s="35">
        <v>20</v>
      </c>
      <c r="AI230" s="35">
        <v>28</v>
      </c>
    </row>
    <row r="231" spans="1:35" ht="15.75" customHeight="1" x14ac:dyDescent="0.35">
      <c r="A231" s="35">
        <v>233</v>
      </c>
      <c r="B231" s="35" t="s">
        <v>311</v>
      </c>
      <c r="C231" s="35" t="s">
        <v>300</v>
      </c>
      <c r="D231" s="35">
        <v>13</v>
      </c>
      <c r="E231" s="35">
        <v>3687</v>
      </c>
      <c r="F231" s="35">
        <v>12</v>
      </c>
      <c r="G231" s="35">
        <v>3699</v>
      </c>
      <c r="H231" s="35">
        <v>9</v>
      </c>
      <c r="I231" s="35">
        <v>3708</v>
      </c>
      <c r="J231" s="35">
        <v>6</v>
      </c>
      <c r="K231" s="35">
        <v>3714</v>
      </c>
      <c r="L231" s="35">
        <v>9</v>
      </c>
      <c r="M231" s="35">
        <v>3723</v>
      </c>
      <c r="N231" s="35">
        <v>9</v>
      </c>
      <c r="O231" s="35">
        <v>9</v>
      </c>
      <c r="P231" s="35">
        <v>-2</v>
      </c>
      <c r="Q231" s="35">
        <v>7</v>
      </c>
      <c r="R231" s="35">
        <v>-2</v>
      </c>
      <c r="S231" s="35">
        <v>12</v>
      </c>
      <c r="T231" s="35">
        <v>5</v>
      </c>
      <c r="U231" s="35">
        <v>20</v>
      </c>
      <c r="V231" s="35">
        <v>8</v>
      </c>
      <c r="W231" s="35">
        <v>35</v>
      </c>
      <c r="X231" s="35">
        <v>15</v>
      </c>
      <c r="Y231" s="35">
        <v>41</v>
      </c>
      <c r="Z231" s="35">
        <v>6</v>
      </c>
      <c r="AA231" s="35">
        <v>48</v>
      </c>
      <c r="AB231" s="35">
        <v>7</v>
      </c>
      <c r="AC231" s="35">
        <v>7</v>
      </c>
      <c r="AD231" s="35">
        <v>0</v>
      </c>
      <c r="AE231" s="35">
        <v>0</v>
      </c>
      <c r="AG231" s="35">
        <v>3</v>
      </c>
      <c r="AH231" s="35">
        <v>0</v>
      </c>
      <c r="AI231" s="35">
        <v>10</v>
      </c>
    </row>
    <row r="232" spans="1:35" ht="15.75" customHeight="1" x14ac:dyDescent="0.35">
      <c r="A232" s="35">
        <v>234</v>
      </c>
      <c r="B232" s="35" t="s">
        <v>312</v>
      </c>
      <c r="C232" s="35" t="s">
        <v>300</v>
      </c>
      <c r="D232" s="35">
        <v>14</v>
      </c>
      <c r="E232" s="35">
        <v>1711</v>
      </c>
      <c r="F232" s="35">
        <v>10</v>
      </c>
      <c r="G232" s="35">
        <v>1721</v>
      </c>
      <c r="H232" s="35">
        <v>9</v>
      </c>
      <c r="I232" s="35">
        <v>1730</v>
      </c>
      <c r="J232" s="35">
        <v>5</v>
      </c>
      <c r="K232" s="35">
        <v>1735</v>
      </c>
      <c r="L232" s="35">
        <v>12</v>
      </c>
      <c r="M232" s="35">
        <v>1747</v>
      </c>
      <c r="N232" s="35">
        <v>10</v>
      </c>
      <c r="O232" s="35">
        <v>1757</v>
      </c>
      <c r="P232" s="35">
        <v>11</v>
      </c>
      <c r="Q232" s="35">
        <v>1768</v>
      </c>
      <c r="R232" s="35">
        <v>11</v>
      </c>
      <c r="S232" s="35">
        <v>1774</v>
      </c>
      <c r="T232" s="35">
        <v>6</v>
      </c>
      <c r="U232" s="35">
        <v>1782</v>
      </c>
      <c r="V232" s="35">
        <v>8</v>
      </c>
      <c r="W232" s="35">
        <v>1790</v>
      </c>
      <c r="X232" s="35">
        <v>8</v>
      </c>
      <c r="Y232" s="35">
        <v>1797</v>
      </c>
      <c r="Z232" s="35">
        <v>7</v>
      </c>
      <c r="AA232" s="35">
        <v>1808</v>
      </c>
      <c r="AB232" s="35">
        <v>11</v>
      </c>
      <c r="AC232" s="35">
        <v>11</v>
      </c>
      <c r="AD232" s="35">
        <v>0</v>
      </c>
      <c r="AE232" s="35">
        <v>0</v>
      </c>
      <c r="AG232" s="35">
        <v>3</v>
      </c>
      <c r="AH232" s="35">
        <v>0</v>
      </c>
      <c r="AI232" s="35">
        <v>14</v>
      </c>
    </row>
    <row r="233" spans="1:35" ht="15.75" customHeight="1" x14ac:dyDescent="0.35">
      <c r="A233" s="35">
        <v>235</v>
      </c>
      <c r="B233" s="35" t="s">
        <v>313</v>
      </c>
      <c r="C233" s="35" t="s">
        <v>300</v>
      </c>
      <c r="D233" s="35">
        <v>15</v>
      </c>
      <c r="E233" s="35">
        <v>8</v>
      </c>
      <c r="F233" s="35">
        <v>1</v>
      </c>
      <c r="G233" s="35">
        <v>9</v>
      </c>
      <c r="H233" s="35">
        <v>1</v>
      </c>
      <c r="I233" s="35">
        <v>10</v>
      </c>
      <c r="J233" s="35">
        <v>4</v>
      </c>
      <c r="K233" s="35">
        <v>14</v>
      </c>
      <c r="L233" s="35">
        <v>4</v>
      </c>
      <c r="M233" s="35">
        <v>18</v>
      </c>
      <c r="N233" s="35">
        <v>2</v>
      </c>
      <c r="O233" s="35">
        <v>20</v>
      </c>
      <c r="P233" s="35">
        <v>0</v>
      </c>
      <c r="Q233" s="35">
        <v>20</v>
      </c>
      <c r="R233" s="35">
        <v>0</v>
      </c>
      <c r="S233" s="35">
        <v>21</v>
      </c>
      <c r="T233" s="35">
        <v>1</v>
      </c>
      <c r="U233" s="35">
        <v>22</v>
      </c>
      <c r="V233" s="35">
        <v>1</v>
      </c>
      <c r="W233" s="35">
        <v>26</v>
      </c>
      <c r="X233" s="35">
        <v>4</v>
      </c>
      <c r="Y233" s="35">
        <v>29</v>
      </c>
      <c r="Z233" s="35">
        <v>3</v>
      </c>
      <c r="AA233" s="35">
        <v>32</v>
      </c>
      <c r="AB233" s="35">
        <v>3</v>
      </c>
      <c r="AC233" s="35">
        <v>5</v>
      </c>
      <c r="AD233" s="35">
        <v>0</v>
      </c>
      <c r="AE233" s="35">
        <v>0</v>
      </c>
      <c r="AG233" s="35">
        <v>3</v>
      </c>
      <c r="AH233" s="35">
        <v>0</v>
      </c>
      <c r="AI233" s="35">
        <v>8</v>
      </c>
    </row>
    <row r="234" spans="1:35" ht="15.75" customHeight="1" x14ac:dyDescent="0.35">
      <c r="A234" s="35">
        <v>236</v>
      </c>
      <c r="B234" s="35" t="s">
        <v>649</v>
      </c>
      <c r="C234" s="35" t="s">
        <v>300</v>
      </c>
      <c r="D234" s="35">
        <v>18</v>
      </c>
      <c r="E234" s="35">
        <v>2341</v>
      </c>
      <c r="F234" s="35">
        <v>17</v>
      </c>
      <c r="G234" s="35">
        <v>2358</v>
      </c>
      <c r="H234" s="35">
        <v>19</v>
      </c>
      <c r="I234" s="35">
        <v>2377</v>
      </c>
      <c r="J234" s="35">
        <v>15</v>
      </c>
      <c r="K234" s="35">
        <v>2392</v>
      </c>
      <c r="L234" s="35">
        <v>16</v>
      </c>
      <c r="M234" s="35">
        <v>2408</v>
      </c>
      <c r="N234" s="35">
        <v>13</v>
      </c>
      <c r="O234" s="35">
        <v>2421</v>
      </c>
      <c r="P234" s="35">
        <v>8</v>
      </c>
      <c r="Q234" s="35">
        <v>2429</v>
      </c>
      <c r="R234" s="35">
        <v>8</v>
      </c>
      <c r="S234" s="35">
        <v>2440</v>
      </c>
      <c r="T234" s="35">
        <v>11</v>
      </c>
      <c r="U234" s="35">
        <v>2448</v>
      </c>
      <c r="V234" s="35">
        <v>8</v>
      </c>
      <c r="W234" s="35">
        <v>2459</v>
      </c>
      <c r="X234" s="35">
        <v>11</v>
      </c>
      <c r="Y234" s="35">
        <v>2469</v>
      </c>
      <c r="Z234" s="35">
        <v>10</v>
      </c>
      <c r="AA234" s="35">
        <v>2479</v>
      </c>
      <c r="AB234" s="35">
        <v>10</v>
      </c>
      <c r="AC234" s="35">
        <v>10</v>
      </c>
      <c r="AD234" s="35">
        <v>0</v>
      </c>
      <c r="AE234" s="35">
        <v>0</v>
      </c>
      <c r="AG234" s="35">
        <v>3</v>
      </c>
      <c r="AH234" s="35">
        <v>0</v>
      </c>
      <c r="AI234" s="35">
        <v>13</v>
      </c>
    </row>
    <row r="235" spans="1:35" ht="15.75" customHeight="1" x14ac:dyDescent="0.35">
      <c r="A235" s="35">
        <v>237</v>
      </c>
      <c r="B235" s="35" t="s">
        <v>317</v>
      </c>
      <c r="C235" s="35" t="s">
        <v>300</v>
      </c>
      <c r="D235" s="35">
        <v>19</v>
      </c>
      <c r="E235" s="35">
        <v>2283</v>
      </c>
      <c r="F235" s="35">
        <v>17</v>
      </c>
      <c r="G235" s="35">
        <v>2300</v>
      </c>
      <c r="H235" s="35">
        <v>19</v>
      </c>
      <c r="I235" s="35">
        <v>2319</v>
      </c>
      <c r="J235" s="35">
        <v>19</v>
      </c>
      <c r="K235" s="35">
        <v>2338</v>
      </c>
      <c r="L235" s="35">
        <v>18</v>
      </c>
      <c r="M235" s="35">
        <v>2356</v>
      </c>
      <c r="N235" s="35">
        <v>16</v>
      </c>
      <c r="O235" s="35">
        <v>2372</v>
      </c>
      <c r="P235" s="35">
        <v>15</v>
      </c>
      <c r="Q235" s="35">
        <v>2387</v>
      </c>
      <c r="R235" s="35">
        <v>15</v>
      </c>
      <c r="S235" s="35">
        <v>2401</v>
      </c>
      <c r="T235" s="35">
        <v>14</v>
      </c>
      <c r="U235" s="35">
        <v>2418</v>
      </c>
      <c r="V235" s="35">
        <v>17</v>
      </c>
      <c r="W235" s="35">
        <v>2435</v>
      </c>
      <c r="X235" s="35">
        <v>17</v>
      </c>
      <c r="Y235" s="35">
        <v>2451</v>
      </c>
      <c r="Z235" s="35">
        <v>16</v>
      </c>
      <c r="AA235" s="35">
        <v>2472</v>
      </c>
      <c r="AB235" s="35">
        <v>21</v>
      </c>
      <c r="AC235" s="35">
        <v>21</v>
      </c>
      <c r="AD235" s="35">
        <v>0</v>
      </c>
      <c r="AE235" s="35">
        <v>0</v>
      </c>
      <c r="AG235" s="35">
        <v>3</v>
      </c>
      <c r="AH235" s="35">
        <v>0</v>
      </c>
      <c r="AI235" s="35">
        <v>24</v>
      </c>
    </row>
    <row r="236" spans="1:35" ht="15.75" customHeight="1" x14ac:dyDescent="0.35">
      <c r="A236" s="35">
        <v>238</v>
      </c>
      <c r="B236" s="35" t="s">
        <v>318</v>
      </c>
      <c r="C236" s="35" t="s">
        <v>300</v>
      </c>
      <c r="D236" s="35">
        <v>20</v>
      </c>
      <c r="E236" s="35">
        <v>1752</v>
      </c>
      <c r="F236" s="35">
        <v>20</v>
      </c>
      <c r="G236" s="35">
        <v>1772</v>
      </c>
      <c r="H236" s="35">
        <v>22</v>
      </c>
      <c r="I236" s="35">
        <v>1794</v>
      </c>
      <c r="J236" s="35">
        <v>20</v>
      </c>
      <c r="K236" s="35">
        <v>1814</v>
      </c>
      <c r="L236" s="35">
        <v>17</v>
      </c>
      <c r="M236" s="35">
        <v>1831</v>
      </c>
      <c r="N236" s="35">
        <v>18</v>
      </c>
      <c r="O236" s="35">
        <v>1849</v>
      </c>
      <c r="P236" s="35">
        <v>16</v>
      </c>
      <c r="Q236" s="35">
        <v>1865</v>
      </c>
      <c r="R236" s="35">
        <v>16</v>
      </c>
      <c r="S236" s="35">
        <v>1878</v>
      </c>
      <c r="T236" s="35">
        <v>13</v>
      </c>
      <c r="U236" s="35">
        <v>1895</v>
      </c>
      <c r="V236" s="35">
        <v>17</v>
      </c>
      <c r="W236" s="35">
        <v>1914</v>
      </c>
      <c r="X236" s="35">
        <v>19</v>
      </c>
      <c r="Y236" s="35">
        <v>1931</v>
      </c>
      <c r="Z236" s="35">
        <v>17</v>
      </c>
      <c r="AA236" s="35">
        <v>1950</v>
      </c>
      <c r="AB236" s="35">
        <v>19</v>
      </c>
      <c r="AC236" s="35">
        <v>19</v>
      </c>
      <c r="AD236" s="35">
        <v>0</v>
      </c>
      <c r="AE236" s="35">
        <v>0</v>
      </c>
      <c r="AG236" s="35">
        <v>3</v>
      </c>
      <c r="AH236" s="35">
        <v>0</v>
      </c>
      <c r="AI236" s="35">
        <v>22</v>
      </c>
    </row>
    <row r="237" spans="1:35" ht="15.75" customHeight="1" x14ac:dyDescent="0.35">
      <c r="A237" s="35">
        <v>239</v>
      </c>
      <c r="B237" s="35" t="s">
        <v>319</v>
      </c>
      <c r="C237" s="35" t="s">
        <v>300</v>
      </c>
      <c r="D237" s="35">
        <v>21</v>
      </c>
      <c r="E237" s="35">
        <v>3149</v>
      </c>
      <c r="F237" s="35">
        <v>21</v>
      </c>
      <c r="G237" s="35">
        <v>3170</v>
      </c>
      <c r="H237" s="35">
        <v>22</v>
      </c>
      <c r="I237" s="35">
        <v>3192</v>
      </c>
      <c r="J237" s="35">
        <v>22</v>
      </c>
      <c r="K237" s="35">
        <v>3214</v>
      </c>
      <c r="L237" s="35">
        <v>20</v>
      </c>
      <c r="M237" s="35">
        <v>3234</v>
      </c>
      <c r="N237" s="35">
        <v>19</v>
      </c>
      <c r="O237" s="35">
        <v>3253</v>
      </c>
      <c r="P237" s="35">
        <v>18</v>
      </c>
      <c r="Q237" s="35">
        <v>3271</v>
      </c>
      <c r="R237" s="35">
        <v>18</v>
      </c>
      <c r="S237" s="35">
        <v>3287</v>
      </c>
      <c r="T237" s="35">
        <v>16</v>
      </c>
      <c r="U237" s="35">
        <v>3303</v>
      </c>
      <c r="V237" s="35">
        <v>16</v>
      </c>
      <c r="W237" s="35">
        <v>3323</v>
      </c>
      <c r="X237" s="35">
        <v>20</v>
      </c>
      <c r="Y237" s="35">
        <v>3343</v>
      </c>
      <c r="Z237" s="35">
        <v>20</v>
      </c>
      <c r="AA237" s="35">
        <v>3366</v>
      </c>
      <c r="AB237" s="35">
        <v>23</v>
      </c>
      <c r="AC237" s="35">
        <v>23</v>
      </c>
      <c r="AD237" s="35">
        <v>0</v>
      </c>
      <c r="AE237" s="35">
        <v>0</v>
      </c>
      <c r="AG237" s="35">
        <v>3</v>
      </c>
      <c r="AH237" s="35">
        <v>0</v>
      </c>
      <c r="AI237" s="35">
        <v>26</v>
      </c>
    </row>
    <row r="238" spans="1:35" ht="15.75" customHeight="1" x14ac:dyDescent="0.35">
      <c r="A238" s="35">
        <v>240</v>
      </c>
      <c r="B238" s="35" t="s">
        <v>320</v>
      </c>
      <c r="C238" s="35" t="s">
        <v>300</v>
      </c>
      <c r="D238" s="35">
        <v>22</v>
      </c>
      <c r="E238" s="35">
        <v>3370</v>
      </c>
      <c r="F238" s="35">
        <v>14</v>
      </c>
      <c r="G238" s="35">
        <v>3384</v>
      </c>
      <c r="H238" s="35">
        <v>13</v>
      </c>
      <c r="I238" s="35">
        <v>3397</v>
      </c>
      <c r="J238" s="35">
        <v>19</v>
      </c>
      <c r="K238" s="35">
        <v>3416</v>
      </c>
      <c r="L238" s="35">
        <v>18</v>
      </c>
      <c r="M238" s="35">
        <v>3434</v>
      </c>
      <c r="N238" s="35">
        <v>15</v>
      </c>
      <c r="O238" s="35">
        <v>3449</v>
      </c>
      <c r="P238" s="35">
        <v>22</v>
      </c>
      <c r="Q238" s="35">
        <v>3471</v>
      </c>
      <c r="R238" s="35">
        <v>22</v>
      </c>
      <c r="S238" s="35">
        <v>3499</v>
      </c>
      <c r="T238" s="35">
        <v>28</v>
      </c>
      <c r="U238" s="35">
        <v>3534</v>
      </c>
      <c r="V238" s="35">
        <v>35</v>
      </c>
      <c r="W238" s="35">
        <v>3565</v>
      </c>
      <c r="X238" s="35">
        <v>31</v>
      </c>
      <c r="Y238" s="35">
        <v>3586</v>
      </c>
      <c r="Z238" s="35">
        <v>21</v>
      </c>
      <c r="AA238" s="35">
        <v>3605</v>
      </c>
      <c r="AB238" s="35">
        <v>19</v>
      </c>
      <c r="AC238" s="35">
        <v>19</v>
      </c>
      <c r="AD238" s="35">
        <v>0</v>
      </c>
      <c r="AE238" s="35">
        <v>0</v>
      </c>
      <c r="AG238" s="35">
        <v>3</v>
      </c>
      <c r="AH238" s="35">
        <v>0</v>
      </c>
      <c r="AI238" s="35">
        <v>22</v>
      </c>
    </row>
    <row r="239" spans="1:35" ht="15.75" customHeight="1" x14ac:dyDescent="0.35">
      <c r="A239" s="35">
        <v>241</v>
      </c>
      <c r="B239" s="35" t="s">
        <v>321</v>
      </c>
      <c r="C239" s="35" t="s">
        <v>71</v>
      </c>
      <c r="D239" s="35">
        <v>1</v>
      </c>
      <c r="E239" s="35">
        <v>1824</v>
      </c>
      <c r="F239" s="35">
        <v>18</v>
      </c>
      <c r="G239" s="35">
        <v>1842</v>
      </c>
      <c r="H239" s="35">
        <v>16</v>
      </c>
      <c r="I239" s="35">
        <v>1858</v>
      </c>
      <c r="J239" s="35">
        <v>14</v>
      </c>
      <c r="K239" s="35">
        <v>1872</v>
      </c>
      <c r="L239" s="35">
        <v>15</v>
      </c>
      <c r="M239" s="35">
        <v>1887</v>
      </c>
      <c r="N239" s="35">
        <v>14</v>
      </c>
      <c r="O239" s="35">
        <v>1901</v>
      </c>
      <c r="P239" s="35">
        <v>17</v>
      </c>
      <c r="Q239" s="35">
        <v>1918</v>
      </c>
      <c r="R239" s="35">
        <v>17</v>
      </c>
      <c r="S239" s="35">
        <v>1931</v>
      </c>
      <c r="T239" s="35">
        <v>13</v>
      </c>
      <c r="U239" s="35">
        <v>1945</v>
      </c>
      <c r="V239" s="35">
        <v>14</v>
      </c>
      <c r="W239" s="35">
        <v>1958</v>
      </c>
      <c r="X239" s="35">
        <v>13</v>
      </c>
      <c r="Y239" s="35">
        <v>1974</v>
      </c>
      <c r="Z239" s="35">
        <v>16</v>
      </c>
      <c r="AA239" s="35">
        <v>1982</v>
      </c>
      <c r="AB239" s="35">
        <v>8</v>
      </c>
      <c r="AC239" s="35">
        <v>8</v>
      </c>
      <c r="AD239" s="35">
        <v>0</v>
      </c>
      <c r="AE239" s="35">
        <v>0</v>
      </c>
      <c r="AG239" s="35">
        <v>3</v>
      </c>
      <c r="AH239" s="35">
        <v>20</v>
      </c>
      <c r="AI239" s="35">
        <v>31</v>
      </c>
    </row>
    <row r="240" spans="1:35" ht="15.75" customHeight="1" x14ac:dyDescent="0.35">
      <c r="A240" s="35">
        <v>242</v>
      </c>
      <c r="B240" s="35" t="s">
        <v>322</v>
      </c>
      <c r="C240" s="35" t="s">
        <v>71</v>
      </c>
      <c r="D240" s="35">
        <v>2</v>
      </c>
      <c r="E240" s="35">
        <v>3587</v>
      </c>
      <c r="F240" s="35">
        <v>32</v>
      </c>
      <c r="G240" s="35">
        <v>3619</v>
      </c>
      <c r="H240" s="35">
        <v>32</v>
      </c>
      <c r="I240" s="35">
        <v>3651</v>
      </c>
      <c r="J240" s="35">
        <v>27</v>
      </c>
      <c r="K240" s="35">
        <v>3678</v>
      </c>
      <c r="L240" s="35">
        <v>21</v>
      </c>
      <c r="M240" s="35">
        <v>3699</v>
      </c>
      <c r="N240" s="35">
        <v>31</v>
      </c>
      <c r="O240" s="35">
        <v>3730</v>
      </c>
      <c r="P240" s="35">
        <v>21</v>
      </c>
      <c r="Q240" s="35">
        <v>3751</v>
      </c>
      <c r="R240" s="35">
        <v>21</v>
      </c>
      <c r="S240" s="35">
        <v>3766</v>
      </c>
      <c r="T240" s="35">
        <v>15</v>
      </c>
      <c r="U240" s="35">
        <v>3786</v>
      </c>
      <c r="V240" s="35">
        <v>20</v>
      </c>
      <c r="W240" s="35">
        <v>3807</v>
      </c>
      <c r="X240" s="35">
        <v>21</v>
      </c>
      <c r="Y240" s="35">
        <v>3828</v>
      </c>
      <c r="Z240" s="35">
        <v>21</v>
      </c>
      <c r="AA240" s="35">
        <v>3854</v>
      </c>
      <c r="AB240" s="35">
        <v>26</v>
      </c>
      <c r="AC240" s="35">
        <v>26</v>
      </c>
      <c r="AD240" s="35">
        <v>0</v>
      </c>
      <c r="AE240" s="35">
        <v>0</v>
      </c>
      <c r="AG240" s="35">
        <v>3</v>
      </c>
      <c r="AH240" s="35">
        <v>0</v>
      </c>
      <c r="AI240" s="35">
        <v>29</v>
      </c>
    </row>
    <row r="241" spans="1:35" ht="15.75" customHeight="1" x14ac:dyDescent="0.35">
      <c r="A241" s="35">
        <v>243</v>
      </c>
      <c r="B241" s="35" t="s">
        <v>323</v>
      </c>
      <c r="C241" s="35" t="s">
        <v>71</v>
      </c>
      <c r="D241" s="35">
        <v>3</v>
      </c>
      <c r="E241" s="35">
        <v>1281</v>
      </c>
      <c r="F241" s="35">
        <v>6</v>
      </c>
      <c r="G241" s="35">
        <v>1287</v>
      </c>
      <c r="H241" s="35">
        <v>6</v>
      </c>
      <c r="I241" s="35">
        <v>1293</v>
      </c>
      <c r="J241" s="35">
        <v>8</v>
      </c>
      <c r="K241" s="35">
        <v>1301</v>
      </c>
      <c r="L241" s="35">
        <v>6</v>
      </c>
      <c r="M241" s="35">
        <v>1307</v>
      </c>
      <c r="N241" s="35">
        <v>5</v>
      </c>
      <c r="O241" s="35">
        <v>1312</v>
      </c>
      <c r="P241" s="35">
        <v>7</v>
      </c>
      <c r="Q241" s="35">
        <v>1319</v>
      </c>
      <c r="R241" s="35">
        <v>7</v>
      </c>
      <c r="S241" s="35">
        <v>1324</v>
      </c>
      <c r="T241" s="35">
        <v>5</v>
      </c>
      <c r="U241" s="35">
        <v>0</v>
      </c>
      <c r="V241" s="35">
        <v>5</v>
      </c>
      <c r="W241" s="35">
        <v>1334</v>
      </c>
      <c r="X241" s="35">
        <v>13</v>
      </c>
      <c r="Y241" s="35">
        <v>1335</v>
      </c>
      <c r="Z241" s="35">
        <v>1</v>
      </c>
      <c r="AA241" s="35">
        <v>1341</v>
      </c>
      <c r="AB241" s="35">
        <v>6</v>
      </c>
      <c r="AC241" s="35">
        <v>6</v>
      </c>
      <c r="AD241" s="35">
        <v>0</v>
      </c>
      <c r="AE241" s="35">
        <v>0</v>
      </c>
      <c r="AG241" s="35">
        <v>3</v>
      </c>
      <c r="AH241" s="35">
        <v>0</v>
      </c>
      <c r="AI241" s="35">
        <v>9</v>
      </c>
    </row>
    <row r="242" spans="1:35" ht="15.75" customHeight="1" x14ac:dyDescent="0.35">
      <c r="A242" s="35">
        <v>244</v>
      </c>
      <c r="B242" s="35" t="s">
        <v>324</v>
      </c>
      <c r="C242" s="35" t="s">
        <v>71</v>
      </c>
      <c r="D242" s="35">
        <v>4</v>
      </c>
      <c r="E242" s="35">
        <v>21</v>
      </c>
      <c r="F242" s="35">
        <v>5</v>
      </c>
      <c r="G242" s="35">
        <v>26</v>
      </c>
      <c r="H242" s="35">
        <v>2</v>
      </c>
      <c r="I242" s="35">
        <v>28</v>
      </c>
      <c r="J242" s="35">
        <v>2</v>
      </c>
      <c r="K242" s="35">
        <v>30</v>
      </c>
      <c r="L242" s="35">
        <v>0</v>
      </c>
      <c r="M242" s="35">
        <v>30</v>
      </c>
      <c r="N242" s="35">
        <v>0</v>
      </c>
      <c r="O242" s="35">
        <v>30</v>
      </c>
      <c r="P242" s="35">
        <v>0</v>
      </c>
      <c r="Q242" s="35">
        <v>30</v>
      </c>
      <c r="R242" s="35">
        <v>0</v>
      </c>
      <c r="S242" s="35">
        <v>30</v>
      </c>
      <c r="T242" s="35">
        <v>0</v>
      </c>
      <c r="U242" s="35">
        <v>31</v>
      </c>
      <c r="V242" s="35">
        <v>1</v>
      </c>
      <c r="W242" s="35">
        <v>39</v>
      </c>
      <c r="X242" s="35">
        <v>8</v>
      </c>
      <c r="Y242" s="35">
        <v>45</v>
      </c>
      <c r="Z242" s="35">
        <v>6</v>
      </c>
      <c r="AA242" s="35">
        <v>48</v>
      </c>
      <c r="AB242" s="35">
        <v>3</v>
      </c>
      <c r="AC242" s="35">
        <v>5</v>
      </c>
      <c r="AD242" s="35">
        <v>0</v>
      </c>
      <c r="AE242" s="35">
        <v>0</v>
      </c>
      <c r="AG242" s="35">
        <v>3</v>
      </c>
      <c r="AH242" s="35">
        <v>0</v>
      </c>
      <c r="AI242" s="35">
        <v>8</v>
      </c>
    </row>
    <row r="243" spans="1:35" ht="15.75" customHeight="1" x14ac:dyDescent="0.35">
      <c r="A243" s="35">
        <v>245</v>
      </c>
      <c r="B243" s="35" t="s">
        <v>325</v>
      </c>
      <c r="C243" s="35" t="s">
        <v>71</v>
      </c>
      <c r="D243" s="35">
        <v>5</v>
      </c>
      <c r="E243" s="35">
        <v>54</v>
      </c>
      <c r="F243" s="35">
        <v>33</v>
      </c>
      <c r="G243" s="35">
        <v>87</v>
      </c>
      <c r="H243" s="35">
        <v>30</v>
      </c>
      <c r="I243" s="35">
        <v>117</v>
      </c>
      <c r="J243" s="35">
        <v>31</v>
      </c>
      <c r="K243" s="35">
        <v>148</v>
      </c>
      <c r="L243" s="35">
        <v>31</v>
      </c>
      <c r="M243" s="35">
        <v>179</v>
      </c>
      <c r="N243" s="35">
        <v>26</v>
      </c>
      <c r="O243" s="35">
        <v>205</v>
      </c>
      <c r="P243" s="35">
        <v>25</v>
      </c>
      <c r="Q243" s="35">
        <v>230</v>
      </c>
      <c r="R243" s="35">
        <v>25</v>
      </c>
      <c r="S243" s="35">
        <v>253</v>
      </c>
      <c r="T243" s="35">
        <v>23</v>
      </c>
      <c r="U243" s="35">
        <v>277</v>
      </c>
      <c r="V243" s="35">
        <v>24</v>
      </c>
      <c r="W243" s="35">
        <v>303</v>
      </c>
      <c r="X243" s="35">
        <v>26</v>
      </c>
      <c r="Y243" s="35">
        <v>328</v>
      </c>
      <c r="Z243" s="35">
        <v>25</v>
      </c>
      <c r="AA243" s="35">
        <v>352</v>
      </c>
      <c r="AB243" s="35">
        <v>24</v>
      </c>
      <c r="AC243" s="35">
        <v>24</v>
      </c>
      <c r="AD243" s="35">
        <v>0</v>
      </c>
      <c r="AE243" s="35">
        <v>0</v>
      </c>
      <c r="AG243" s="35">
        <v>3</v>
      </c>
      <c r="AH243" s="35">
        <v>20</v>
      </c>
      <c r="AI243" s="35">
        <v>47</v>
      </c>
    </row>
    <row r="244" spans="1:35" ht="15.75" customHeight="1" x14ac:dyDescent="0.35">
      <c r="A244" s="35">
        <v>246</v>
      </c>
      <c r="B244" s="35" t="s">
        <v>326</v>
      </c>
      <c r="C244" s="35" t="s">
        <v>327</v>
      </c>
      <c r="D244" s="35">
        <v>1</v>
      </c>
      <c r="E244" s="35">
        <v>1345</v>
      </c>
      <c r="F244" s="35">
        <v>8</v>
      </c>
      <c r="G244" s="35">
        <v>1353</v>
      </c>
      <c r="H244" s="35">
        <v>9</v>
      </c>
      <c r="I244" s="35">
        <v>1362</v>
      </c>
      <c r="J244" s="35">
        <v>7</v>
      </c>
      <c r="K244" s="35">
        <v>1369</v>
      </c>
      <c r="L244" s="35">
        <v>9</v>
      </c>
      <c r="M244" s="35">
        <v>1378</v>
      </c>
      <c r="N244" s="35">
        <v>8</v>
      </c>
      <c r="O244" s="35">
        <v>1386</v>
      </c>
      <c r="P244" s="35">
        <v>7</v>
      </c>
      <c r="Q244" s="35">
        <v>1393</v>
      </c>
      <c r="R244" s="35">
        <v>7</v>
      </c>
      <c r="S244" s="35">
        <v>1397</v>
      </c>
      <c r="T244" s="35">
        <v>4</v>
      </c>
      <c r="U244" s="35">
        <v>1402</v>
      </c>
      <c r="V244" s="35">
        <v>5</v>
      </c>
      <c r="W244" s="35">
        <v>1407</v>
      </c>
      <c r="X244" s="35">
        <v>5</v>
      </c>
      <c r="Y244" s="35">
        <v>1414</v>
      </c>
      <c r="Z244" s="35">
        <v>7</v>
      </c>
      <c r="AA244" s="35">
        <v>1422</v>
      </c>
      <c r="AB244" s="35">
        <v>8</v>
      </c>
      <c r="AC244" s="35">
        <v>8</v>
      </c>
      <c r="AD244" s="35">
        <v>0</v>
      </c>
      <c r="AE244" s="35">
        <v>0</v>
      </c>
      <c r="AG244" s="35">
        <v>3</v>
      </c>
      <c r="AH244" s="35">
        <v>0</v>
      </c>
      <c r="AI244" s="35">
        <v>11</v>
      </c>
    </row>
    <row r="245" spans="1:35" ht="15.75" customHeight="1" x14ac:dyDescent="0.35">
      <c r="A245" s="35">
        <v>247</v>
      </c>
      <c r="B245" s="35" t="s">
        <v>328</v>
      </c>
      <c r="C245" s="35" t="s">
        <v>327</v>
      </c>
      <c r="D245" s="35">
        <v>2</v>
      </c>
      <c r="E245" s="35">
        <v>2225</v>
      </c>
      <c r="F245" s="35">
        <v>12</v>
      </c>
      <c r="G245" s="35">
        <v>2237</v>
      </c>
      <c r="H245" s="35">
        <v>11</v>
      </c>
      <c r="I245" s="35">
        <v>2248</v>
      </c>
      <c r="J245" s="35">
        <v>12</v>
      </c>
      <c r="K245" s="35">
        <v>2260</v>
      </c>
      <c r="L245" s="35">
        <v>14</v>
      </c>
      <c r="M245" s="35">
        <v>2274</v>
      </c>
      <c r="N245" s="35">
        <v>13</v>
      </c>
      <c r="O245" s="35">
        <v>2287</v>
      </c>
      <c r="P245" s="35">
        <v>11</v>
      </c>
      <c r="Q245" s="35">
        <v>2298</v>
      </c>
      <c r="R245" s="35">
        <v>11</v>
      </c>
      <c r="S245" s="35">
        <v>2307</v>
      </c>
      <c r="T245" s="35">
        <v>9</v>
      </c>
      <c r="U245" s="35">
        <v>2314</v>
      </c>
      <c r="V245" s="35">
        <v>7</v>
      </c>
      <c r="W245" s="35">
        <v>2322</v>
      </c>
      <c r="X245" s="35">
        <v>8</v>
      </c>
      <c r="Y245" s="35">
        <v>2331</v>
      </c>
      <c r="Z245" s="35">
        <v>9</v>
      </c>
      <c r="AA245" s="35">
        <v>2340</v>
      </c>
      <c r="AB245" s="35">
        <v>9</v>
      </c>
      <c r="AC245" s="35">
        <v>9</v>
      </c>
      <c r="AD245" s="35">
        <v>0</v>
      </c>
      <c r="AE245" s="35">
        <v>0</v>
      </c>
      <c r="AG245" s="35">
        <v>3</v>
      </c>
      <c r="AH245" s="35">
        <v>0</v>
      </c>
      <c r="AI245" s="35">
        <v>12</v>
      </c>
    </row>
    <row r="246" spans="1:35" ht="15.75" customHeight="1" x14ac:dyDescent="0.35">
      <c r="A246" s="35">
        <v>248</v>
      </c>
      <c r="B246" s="35" t="s">
        <v>329</v>
      </c>
      <c r="C246" s="35" t="s">
        <v>327</v>
      </c>
      <c r="D246" s="35">
        <v>3</v>
      </c>
      <c r="E246" s="35">
        <v>1630</v>
      </c>
      <c r="F246" s="35">
        <v>9</v>
      </c>
      <c r="G246" s="35">
        <v>1639</v>
      </c>
      <c r="H246" s="35">
        <v>8</v>
      </c>
      <c r="I246" s="35">
        <v>1647</v>
      </c>
      <c r="J246" s="35">
        <v>7</v>
      </c>
      <c r="K246" s="35">
        <v>1654</v>
      </c>
      <c r="L246" s="35">
        <v>7</v>
      </c>
      <c r="M246" s="35">
        <v>1661</v>
      </c>
      <c r="N246" s="35">
        <v>6</v>
      </c>
      <c r="O246" s="35">
        <v>1667</v>
      </c>
      <c r="P246" s="35">
        <v>5</v>
      </c>
      <c r="Q246" s="35">
        <v>1672</v>
      </c>
      <c r="R246" s="35">
        <v>5</v>
      </c>
      <c r="S246" s="35">
        <v>1676</v>
      </c>
      <c r="T246" s="35">
        <v>4</v>
      </c>
      <c r="U246" s="35">
        <v>1679</v>
      </c>
      <c r="V246" s="35">
        <v>3</v>
      </c>
      <c r="W246" s="35">
        <v>1683</v>
      </c>
      <c r="X246" s="35">
        <v>4</v>
      </c>
      <c r="Y246" s="35">
        <v>1688</v>
      </c>
      <c r="Z246" s="35">
        <v>5</v>
      </c>
      <c r="AA246" s="35">
        <v>1695</v>
      </c>
      <c r="AB246" s="35">
        <v>7</v>
      </c>
      <c r="AC246" s="35">
        <v>7</v>
      </c>
      <c r="AD246" s="35">
        <v>0</v>
      </c>
      <c r="AE246" s="35">
        <v>0</v>
      </c>
      <c r="AG246" s="35">
        <v>3</v>
      </c>
      <c r="AH246" s="35">
        <v>20</v>
      </c>
      <c r="AI246" s="35">
        <v>30</v>
      </c>
    </row>
    <row r="247" spans="1:35" ht="15.75" customHeight="1" x14ac:dyDescent="0.35">
      <c r="A247" s="35">
        <v>249</v>
      </c>
      <c r="B247" s="35" t="s">
        <v>330</v>
      </c>
      <c r="C247" s="35" t="s">
        <v>327</v>
      </c>
      <c r="D247" s="35">
        <v>4</v>
      </c>
      <c r="E247" s="35">
        <v>1528</v>
      </c>
      <c r="F247" s="35">
        <v>12</v>
      </c>
      <c r="G247" s="35">
        <v>1540</v>
      </c>
      <c r="H247" s="35">
        <v>4</v>
      </c>
      <c r="I247" s="35">
        <v>1544</v>
      </c>
      <c r="J247" s="35">
        <v>1</v>
      </c>
      <c r="K247" s="35">
        <v>1545</v>
      </c>
      <c r="L247" s="35">
        <v>2</v>
      </c>
      <c r="M247" s="35">
        <v>1547</v>
      </c>
      <c r="N247" s="35">
        <v>0</v>
      </c>
      <c r="O247" s="35">
        <v>1547</v>
      </c>
      <c r="P247" s="35">
        <v>-1</v>
      </c>
      <c r="Q247" s="35">
        <v>1546</v>
      </c>
      <c r="R247" s="35">
        <v>-1</v>
      </c>
      <c r="S247" s="35">
        <v>1546</v>
      </c>
      <c r="T247" s="35">
        <v>0</v>
      </c>
      <c r="U247" s="35">
        <v>1546</v>
      </c>
      <c r="V247" s="35">
        <v>0</v>
      </c>
      <c r="W247" s="35">
        <v>1548</v>
      </c>
      <c r="X247" s="35">
        <v>2</v>
      </c>
      <c r="Y247" s="35">
        <v>1556</v>
      </c>
      <c r="Z247" s="35">
        <v>8</v>
      </c>
      <c r="AA247" s="35">
        <v>1564</v>
      </c>
      <c r="AB247" s="35">
        <v>8</v>
      </c>
      <c r="AC247" s="35">
        <v>8</v>
      </c>
      <c r="AD247" s="35">
        <v>0</v>
      </c>
      <c r="AE247" s="35">
        <v>0</v>
      </c>
      <c r="AG247" s="35">
        <v>3</v>
      </c>
      <c r="AH247" s="35">
        <v>0</v>
      </c>
      <c r="AI247" s="35">
        <v>11</v>
      </c>
    </row>
    <row r="248" spans="1:35" ht="15.75" customHeight="1" x14ac:dyDescent="0.35">
      <c r="A248" s="35">
        <v>250</v>
      </c>
      <c r="B248" s="35" t="s">
        <v>331</v>
      </c>
      <c r="C248" s="35" t="s">
        <v>327</v>
      </c>
      <c r="D248" s="35">
        <v>5</v>
      </c>
      <c r="E248" s="35">
        <v>574</v>
      </c>
      <c r="F248" s="35">
        <v>3</v>
      </c>
      <c r="G248" s="35">
        <v>577</v>
      </c>
      <c r="H248" s="35">
        <v>5</v>
      </c>
      <c r="I248" s="35">
        <v>582</v>
      </c>
      <c r="J248" s="35">
        <v>4</v>
      </c>
      <c r="K248" s="35">
        <v>586</v>
      </c>
      <c r="L248" s="35">
        <v>3</v>
      </c>
      <c r="M248" s="35">
        <v>589</v>
      </c>
      <c r="N248" s="35">
        <v>4</v>
      </c>
      <c r="O248" s="35">
        <v>593</v>
      </c>
      <c r="P248" s="35">
        <v>3</v>
      </c>
      <c r="Q248" s="35">
        <v>596</v>
      </c>
      <c r="R248" s="35">
        <v>3</v>
      </c>
      <c r="S248" s="35">
        <v>597</v>
      </c>
      <c r="T248" s="35">
        <v>1</v>
      </c>
      <c r="U248" s="35">
        <v>599</v>
      </c>
      <c r="V248" s="35">
        <v>2</v>
      </c>
      <c r="W248" s="35">
        <v>603</v>
      </c>
      <c r="X248" s="35">
        <v>4</v>
      </c>
      <c r="Y248" s="35">
        <v>607</v>
      </c>
      <c r="Z248" s="35">
        <v>4</v>
      </c>
      <c r="AA248" s="35">
        <v>610</v>
      </c>
      <c r="AB248" s="35">
        <v>3</v>
      </c>
      <c r="AC248" s="35">
        <v>5</v>
      </c>
      <c r="AD248" s="35">
        <v>0</v>
      </c>
      <c r="AE248" s="35">
        <v>0</v>
      </c>
      <c r="AG248" s="35">
        <v>3</v>
      </c>
      <c r="AH248" s="35">
        <v>0</v>
      </c>
      <c r="AI248" s="35">
        <v>8</v>
      </c>
    </row>
    <row r="249" spans="1:35" ht="15.75" customHeight="1" x14ac:dyDescent="0.35">
      <c r="A249" s="35">
        <v>251</v>
      </c>
      <c r="B249" s="35" t="s">
        <v>332</v>
      </c>
      <c r="C249" s="35" t="s">
        <v>327</v>
      </c>
      <c r="D249" s="35">
        <v>6</v>
      </c>
      <c r="E249" s="35">
        <v>757</v>
      </c>
      <c r="F249" s="35">
        <v>6</v>
      </c>
      <c r="G249" s="35">
        <v>763</v>
      </c>
      <c r="H249" s="35">
        <v>5</v>
      </c>
      <c r="I249" s="35">
        <v>768</v>
      </c>
      <c r="J249" s="35">
        <v>4</v>
      </c>
      <c r="K249" s="35">
        <v>772</v>
      </c>
      <c r="L249" s="35">
        <v>6</v>
      </c>
      <c r="M249" s="35">
        <v>778</v>
      </c>
      <c r="N249" s="35">
        <v>6</v>
      </c>
      <c r="O249" s="35">
        <v>784</v>
      </c>
      <c r="P249" s="35">
        <v>6</v>
      </c>
      <c r="Q249" s="35">
        <v>790</v>
      </c>
      <c r="R249" s="35">
        <v>6</v>
      </c>
      <c r="S249" s="35">
        <v>796</v>
      </c>
      <c r="T249" s="35">
        <v>6</v>
      </c>
      <c r="U249" s="35">
        <v>803</v>
      </c>
      <c r="V249" s="35">
        <v>7</v>
      </c>
      <c r="W249" s="35">
        <v>809</v>
      </c>
      <c r="X249" s="35">
        <v>6</v>
      </c>
      <c r="Y249" s="35">
        <v>815</v>
      </c>
      <c r="Z249" s="35">
        <v>6</v>
      </c>
      <c r="AA249" s="35">
        <v>823</v>
      </c>
      <c r="AB249" s="35">
        <v>8</v>
      </c>
      <c r="AC249" s="35">
        <v>8</v>
      </c>
      <c r="AD249" s="35">
        <v>0</v>
      </c>
      <c r="AE249" s="35">
        <v>0</v>
      </c>
      <c r="AG249" s="35">
        <v>3</v>
      </c>
      <c r="AH249" s="35">
        <v>0</v>
      </c>
      <c r="AI249" s="35">
        <v>11</v>
      </c>
    </row>
    <row r="250" spans="1:35" ht="15.75" customHeight="1" x14ac:dyDescent="0.35">
      <c r="A250" s="35">
        <v>252</v>
      </c>
      <c r="B250" s="35" t="s">
        <v>333</v>
      </c>
      <c r="C250" s="35" t="s">
        <v>327</v>
      </c>
      <c r="D250" s="35">
        <v>7</v>
      </c>
      <c r="E250" s="35">
        <v>114</v>
      </c>
      <c r="F250" s="35">
        <v>5</v>
      </c>
      <c r="G250" s="35">
        <v>119</v>
      </c>
      <c r="H250" s="35">
        <v>1</v>
      </c>
      <c r="I250" s="35">
        <v>120</v>
      </c>
      <c r="J250" s="35">
        <v>5</v>
      </c>
      <c r="K250" s="35">
        <v>125</v>
      </c>
      <c r="L250" s="35">
        <v>4</v>
      </c>
      <c r="M250" s="35">
        <v>129</v>
      </c>
      <c r="N250" s="35">
        <v>1</v>
      </c>
      <c r="O250" s="35">
        <v>130</v>
      </c>
      <c r="P250" s="35">
        <v>0</v>
      </c>
      <c r="Q250" s="35">
        <v>130</v>
      </c>
      <c r="R250" s="35">
        <v>0</v>
      </c>
      <c r="S250" s="35">
        <v>130</v>
      </c>
      <c r="T250" s="35">
        <v>0</v>
      </c>
      <c r="U250" s="35">
        <v>130</v>
      </c>
      <c r="V250" s="35">
        <v>0</v>
      </c>
      <c r="W250" s="35">
        <v>130</v>
      </c>
      <c r="X250" s="35">
        <v>0</v>
      </c>
      <c r="Y250" s="35">
        <v>131</v>
      </c>
      <c r="Z250" s="35">
        <v>1</v>
      </c>
      <c r="AA250" s="35">
        <v>132</v>
      </c>
      <c r="AB250" s="35">
        <v>1</v>
      </c>
      <c r="AC250" s="35">
        <v>5</v>
      </c>
      <c r="AD250" s="35">
        <v>0</v>
      </c>
      <c r="AE250" s="35">
        <v>0</v>
      </c>
      <c r="AG250" s="35">
        <v>3</v>
      </c>
      <c r="AH250" s="35">
        <v>20</v>
      </c>
      <c r="AI250" s="35">
        <v>28</v>
      </c>
    </row>
    <row r="251" spans="1:35" ht="15.75" customHeight="1" x14ac:dyDescent="0.35">
      <c r="A251" s="35">
        <v>253</v>
      </c>
      <c r="B251" s="35" t="s">
        <v>334</v>
      </c>
      <c r="C251" s="35" t="s">
        <v>327</v>
      </c>
      <c r="D251" s="35">
        <v>8</v>
      </c>
      <c r="E251" s="35">
        <v>1769</v>
      </c>
      <c r="F251" s="35">
        <v>9</v>
      </c>
      <c r="G251" s="35">
        <v>1778</v>
      </c>
      <c r="H251" s="35">
        <v>8</v>
      </c>
      <c r="I251" s="35">
        <v>1786</v>
      </c>
      <c r="J251" s="35">
        <v>6</v>
      </c>
      <c r="K251" s="35">
        <v>1792</v>
      </c>
      <c r="L251" s="35">
        <v>10</v>
      </c>
      <c r="M251" s="35">
        <v>1802</v>
      </c>
      <c r="N251" s="35">
        <v>9</v>
      </c>
      <c r="O251" s="35">
        <v>1811</v>
      </c>
      <c r="P251" s="35">
        <v>6</v>
      </c>
      <c r="Q251" s="35">
        <v>1817</v>
      </c>
      <c r="R251" s="35">
        <v>6</v>
      </c>
      <c r="S251" s="35">
        <v>1825</v>
      </c>
      <c r="T251" s="35">
        <v>8</v>
      </c>
      <c r="U251" s="35">
        <v>1833</v>
      </c>
      <c r="V251" s="35">
        <v>8</v>
      </c>
      <c r="W251" s="35">
        <v>1839</v>
      </c>
      <c r="X251" s="35">
        <v>6</v>
      </c>
      <c r="Y251" s="35">
        <v>1845</v>
      </c>
      <c r="Z251" s="35">
        <v>6</v>
      </c>
      <c r="AA251" s="35">
        <v>1849</v>
      </c>
      <c r="AB251" s="35">
        <v>4</v>
      </c>
      <c r="AC251" s="35">
        <v>5</v>
      </c>
      <c r="AD251" s="35">
        <v>0</v>
      </c>
      <c r="AE251" s="35">
        <v>0</v>
      </c>
      <c r="AG251" s="35">
        <v>3</v>
      </c>
      <c r="AH251" s="35">
        <v>0</v>
      </c>
      <c r="AI251" s="35">
        <v>8</v>
      </c>
    </row>
    <row r="252" spans="1:35" ht="15.75" customHeight="1" x14ac:dyDescent="0.35">
      <c r="A252" s="35">
        <v>254</v>
      </c>
      <c r="B252" s="35" t="s">
        <v>315</v>
      </c>
      <c r="C252" s="35" t="s">
        <v>327</v>
      </c>
      <c r="D252" s="35">
        <v>9</v>
      </c>
      <c r="E252" s="35">
        <v>2334</v>
      </c>
      <c r="F252" s="35">
        <v>30</v>
      </c>
      <c r="G252" s="35">
        <v>2364</v>
      </c>
      <c r="H252" s="35">
        <v>27</v>
      </c>
      <c r="I252" s="35">
        <v>2391</v>
      </c>
      <c r="J252" s="35">
        <v>25</v>
      </c>
      <c r="K252" s="35">
        <v>2416</v>
      </c>
      <c r="L252" s="35">
        <v>23</v>
      </c>
      <c r="M252" s="35">
        <v>2439</v>
      </c>
      <c r="N252" s="35">
        <v>22</v>
      </c>
      <c r="O252" s="35">
        <v>2461</v>
      </c>
      <c r="P252" s="35">
        <v>18</v>
      </c>
      <c r="Q252" s="35">
        <v>2479</v>
      </c>
      <c r="R252" s="35">
        <v>18</v>
      </c>
      <c r="S252" s="35">
        <v>2494</v>
      </c>
      <c r="T252" s="35">
        <v>15</v>
      </c>
      <c r="U252" s="35">
        <v>2509</v>
      </c>
      <c r="V252" s="35">
        <v>15</v>
      </c>
      <c r="W252" s="35">
        <v>2525</v>
      </c>
      <c r="X252" s="35">
        <v>16</v>
      </c>
      <c r="Y252" s="35">
        <v>2543</v>
      </c>
      <c r="Z252" s="35">
        <v>18</v>
      </c>
      <c r="AA252" s="35">
        <v>2563</v>
      </c>
      <c r="AB252" s="35">
        <v>20</v>
      </c>
      <c r="AC252" s="35">
        <v>20</v>
      </c>
      <c r="AD252" s="35">
        <v>0</v>
      </c>
      <c r="AE252" s="35">
        <v>0</v>
      </c>
      <c r="AG252" s="35">
        <v>3</v>
      </c>
      <c r="AH252" s="35">
        <v>0</v>
      </c>
      <c r="AI252" s="35">
        <v>23</v>
      </c>
    </row>
    <row r="253" spans="1:35" ht="15.75" customHeight="1" x14ac:dyDescent="0.35">
      <c r="A253" s="35">
        <v>255</v>
      </c>
      <c r="B253" s="35" t="s">
        <v>335</v>
      </c>
      <c r="C253" s="35" t="s">
        <v>327</v>
      </c>
      <c r="D253" s="35">
        <v>10</v>
      </c>
      <c r="E253" s="35">
        <v>822</v>
      </c>
      <c r="F253" s="35">
        <v>14</v>
      </c>
      <c r="G253" s="35">
        <v>836</v>
      </c>
      <c r="H253" s="35">
        <v>21</v>
      </c>
      <c r="I253" s="35">
        <v>857</v>
      </c>
      <c r="J253" s="35">
        <v>21</v>
      </c>
      <c r="K253" s="35">
        <v>878</v>
      </c>
      <c r="L253" s="35">
        <v>19</v>
      </c>
      <c r="M253" s="35">
        <v>897</v>
      </c>
      <c r="N253" s="35">
        <v>16</v>
      </c>
      <c r="O253" s="35">
        <v>913</v>
      </c>
      <c r="P253" s="35">
        <v>12</v>
      </c>
      <c r="Q253" s="35">
        <v>925</v>
      </c>
      <c r="R253" s="35">
        <v>12</v>
      </c>
      <c r="S253" s="35">
        <v>936</v>
      </c>
      <c r="T253" s="35">
        <v>11</v>
      </c>
      <c r="U253" s="35">
        <v>948</v>
      </c>
      <c r="V253" s="35">
        <v>12</v>
      </c>
      <c r="W253" s="35">
        <v>960</v>
      </c>
      <c r="X253" s="35">
        <v>12</v>
      </c>
      <c r="Y253" s="35">
        <v>974</v>
      </c>
      <c r="Z253" s="35">
        <v>14</v>
      </c>
      <c r="AA253" s="35">
        <v>987</v>
      </c>
      <c r="AB253" s="35">
        <v>13</v>
      </c>
      <c r="AC253" s="35">
        <v>13</v>
      </c>
      <c r="AD253" s="35">
        <v>0</v>
      </c>
      <c r="AE253" s="35">
        <v>0</v>
      </c>
      <c r="AG253" s="35">
        <v>3</v>
      </c>
      <c r="AH253" s="35">
        <v>0</v>
      </c>
      <c r="AI253" s="35">
        <v>16</v>
      </c>
    </row>
    <row r="254" spans="1:35" ht="15.75" customHeight="1" x14ac:dyDescent="0.35">
      <c r="A254" s="35">
        <v>256</v>
      </c>
      <c r="B254" s="35" t="s">
        <v>336</v>
      </c>
      <c r="C254" s="35" t="s">
        <v>327</v>
      </c>
      <c r="D254" s="35">
        <v>11</v>
      </c>
      <c r="E254" s="35">
        <v>139</v>
      </c>
      <c r="F254" s="35">
        <v>5</v>
      </c>
      <c r="G254" s="35">
        <v>144</v>
      </c>
      <c r="H254" s="35">
        <v>4</v>
      </c>
      <c r="I254" s="35">
        <v>148</v>
      </c>
      <c r="J254" s="35">
        <v>4</v>
      </c>
      <c r="K254" s="35">
        <v>152</v>
      </c>
      <c r="L254" s="35">
        <v>4</v>
      </c>
      <c r="M254" s="35">
        <v>156</v>
      </c>
      <c r="N254" s="35">
        <v>2</v>
      </c>
      <c r="O254" s="35">
        <v>158</v>
      </c>
      <c r="P254" s="35">
        <v>7</v>
      </c>
      <c r="Q254" s="35">
        <v>165</v>
      </c>
      <c r="R254" s="35">
        <v>7</v>
      </c>
      <c r="S254" s="35">
        <v>167</v>
      </c>
      <c r="T254" s="35">
        <v>2</v>
      </c>
      <c r="U254" s="35">
        <v>169</v>
      </c>
      <c r="V254" s="35">
        <v>2</v>
      </c>
      <c r="W254" s="35">
        <v>171</v>
      </c>
      <c r="X254" s="35">
        <v>2</v>
      </c>
      <c r="Y254" s="35">
        <v>176</v>
      </c>
      <c r="Z254" s="35">
        <v>5</v>
      </c>
      <c r="AA254" s="35">
        <v>184</v>
      </c>
      <c r="AB254" s="35">
        <v>8</v>
      </c>
      <c r="AC254" s="35">
        <v>8</v>
      </c>
      <c r="AD254" s="35">
        <v>0</v>
      </c>
      <c r="AE254" s="35">
        <v>0</v>
      </c>
      <c r="AG254" s="35">
        <v>3</v>
      </c>
      <c r="AH254" s="35">
        <v>0</v>
      </c>
      <c r="AI254" s="35">
        <v>11</v>
      </c>
    </row>
    <row r="255" spans="1:35" ht="15.75" customHeight="1" x14ac:dyDescent="0.35">
      <c r="A255" s="35">
        <v>257</v>
      </c>
      <c r="B255" s="35" t="s">
        <v>337</v>
      </c>
      <c r="C255" s="35" t="s">
        <v>327</v>
      </c>
      <c r="D255" s="35">
        <v>12</v>
      </c>
      <c r="E255" s="35">
        <v>1692</v>
      </c>
      <c r="F255" s="35">
        <v>6</v>
      </c>
      <c r="G255" s="35">
        <v>1698</v>
      </c>
      <c r="H255" s="35">
        <v>8</v>
      </c>
      <c r="I255" s="35">
        <v>1706</v>
      </c>
      <c r="J255" s="35">
        <v>6</v>
      </c>
      <c r="K255" s="35">
        <v>1712</v>
      </c>
      <c r="L255" s="35">
        <v>5</v>
      </c>
      <c r="M255" s="35">
        <v>1717</v>
      </c>
      <c r="N255" s="35">
        <v>7</v>
      </c>
      <c r="O255" s="35">
        <v>1724</v>
      </c>
      <c r="P255" s="35">
        <v>6</v>
      </c>
      <c r="Q255" s="35">
        <v>1730</v>
      </c>
      <c r="R255" s="35">
        <v>6</v>
      </c>
      <c r="S255" s="35">
        <v>1735</v>
      </c>
      <c r="T255" s="35">
        <v>5</v>
      </c>
      <c r="U255" s="35">
        <v>1740</v>
      </c>
      <c r="V255" s="35">
        <v>5</v>
      </c>
      <c r="W255" s="35">
        <v>1744</v>
      </c>
      <c r="X255" s="35">
        <v>4</v>
      </c>
      <c r="Y255" s="35">
        <v>1750</v>
      </c>
      <c r="Z255" s="35">
        <v>6</v>
      </c>
      <c r="AA255" s="35">
        <v>1772</v>
      </c>
      <c r="AB255" s="35">
        <v>22</v>
      </c>
      <c r="AC255" s="35">
        <v>22</v>
      </c>
      <c r="AD255" s="35">
        <v>0</v>
      </c>
      <c r="AE255" s="35">
        <v>0</v>
      </c>
      <c r="AG255" s="35">
        <v>3</v>
      </c>
      <c r="AH255" s="35">
        <v>0</v>
      </c>
      <c r="AI255" s="35">
        <v>25</v>
      </c>
    </row>
    <row r="256" spans="1:35" ht="15.75" customHeight="1" x14ac:dyDescent="0.35">
      <c r="A256" s="35">
        <v>258</v>
      </c>
      <c r="B256" s="35" t="s">
        <v>339</v>
      </c>
      <c r="C256" s="35" t="s">
        <v>327</v>
      </c>
      <c r="D256" s="35">
        <v>13</v>
      </c>
      <c r="E256" s="35">
        <v>2295</v>
      </c>
      <c r="F256" s="35">
        <v>16</v>
      </c>
      <c r="G256" s="35">
        <v>2311</v>
      </c>
      <c r="H256" s="35">
        <v>20</v>
      </c>
      <c r="I256" s="35">
        <v>2331</v>
      </c>
      <c r="J256" s="35">
        <v>13</v>
      </c>
      <c r="K256" s="35">
        <v>2344</v>
      </c>
      <c r="L256" s="35">
        <v>12</v>
      </c>
      <c r="M256" s="35">
        <v>2356</v>
      </c>
      <c r="N256" s="35">
        <v>10</v>
      </c>
      <c r="O256" s="35">
        <v>2366</v>
      </c>
      <c r="P256" s="35">
        <v>7</v>
      </c>
      <c r="Q256" s="35">
        <v>2373</v>
      </c>
      <c r="R256" s="35">
        <v>7</v>
      </c>
      <c r="S256" s="35">
        <v>2381</v>
      </c>
      <c r="T256" s="35">
        <v>8</v>
      </c>
      <c r="U256" s="35">
        <v>2391</v>
      </c>
      <c r="V256" s="35">
        <v>10</v>
      </c>
      <c r="W256" s="35">
        <v>2400</v>
      </c>
      <c r="X256" s="35">
        <v>9</v>
      </c>
      <c r="Y256" s="35">
        <v>2411</v>
      </c>
      <c r="Z256" s="35">
        <v>11</v>
      </c>
      <c r="AA256" s="35">
        <v>2422</v>
      </c>
      <c r="AB256" s="35">
        <v>11</v>
      </c>
      <c r="AC256" s="35">
        <v>11</v>
      </c>
      <c r="AD256" s="35">
        <v>0</v>
      </c>
      <c r="AE256" s="35">
        <v>0</v>
      </c>
      <c r="AG256" s="35">
        <v>3</v>
      </c>
      <c r="AH256" s="35">
        <v>0</v>
      </c>
      <c r="AI256" s="35">
        <v>14</v>
      </c>
    </row>
    <row r="257" spans="1:35" ht="15.75" customHeight="1" x14ac:dyDescent="0.35">
      <c r="A257" s="35">
        <v>259</v>
      </c>
      <c r="B257" s="35" t="s">
        <v>340</v>
      </c>
      <c r="C257" s="35" t="s">
        <v>327</v>
      </c>
      <c r="D257" s="35">
        <v>14</v>
      </c>
      <c r="E257" s="35">
        <v>432</v>
      </c>
      <c r="F257" s="35">
        <v>21</v>
      </c>
      <c r="G257" s="35">
        <v>453</v>
      </c>
      <c r="H257" s="35">
        <v>8</v>
      </c>
      <c r="I257" s="35">
        <v>461</v>
      </c>
      <c r="J257" s="35">
        <v>7</v>
      </c>
      <c r="K257" s="35">
        <v>468</v>
      </c>
      <c r="L257" s="35">
        <v>10</v>
      </c>
      <c r="M257" s="35">
        <v>478</v>
      </c>
      <c r="N257" s="35">
        <v>18</v>
      </c>
      <c r="O257" s="35">
        <v>496</v>
      </c>
      <c r="P257" s="35">
        <v>3</v>
      </c>
      <c r="Q257" s="35">
        <v>499</v>
      </c>
      <c r="R257" s="35">
        <v>3</v>
      </c>
      <c r="S257" s="35">
        <v>502</v>
      </c>
      <c r="T257" s="35">
        <v>3</v>
      </c>
      <c r="U257" s="35">
        <v>505</v>
      </c>
      <c r="V257" s="35">
        <v>3</v>
      </c>
      <c r="W257" s="35">
        <v>508</v>
      </c>
      <c r="X257" s="35">
        <v>3</v>
      </c>
      <c r="Y257" s="35">
        <v>512</v>
      </c>
      <c r="Z257" s="35">
        <v>4</v>
      </c>
      <c r="AA257" s="35">
        <v>517</v>
      </c>
      <c r="AB257" s="35">
        <v>5</v>
      </c>
      <c r="AC257" s="35">
        <v>5</v>
      </c>
      <c r="AD257" s="35">
        <v>0</v>
      </c>
      <c r="AE257" s="35">
        <v>0</v>
      </c>
      <c r="AG257" s="35">
        <v>3</v>
      </c>
      <c r="AH257" s="35">
        <v>0</v>
      </c>
      <c r="AI257" s="35">
        <v>8</v>
      </c>
    </row>
    <row r="258" spans="1:35" ht="15.75" customHeight="1" x14ac:dyDescent="0.35">
      <c r="A258" s="35">
        <v>260</v>
      </c>
      <c r="B258" s="35" t="s">
        <v>341</v>
      </c>
      <c r="C258" s="35" t="s">
        <v>327</v>
      </c>
      <c r="D258" s="35">
        <v>15</v>
      </c>
      <c r="E258" s="35">
        <v>586</v>
      </c>
      <c r="F258" s="35">
        <v>11</v>
      </c>
      <c r="G258" s="35">
        <v>597</v>
      </c>
      <c r="H258" s="35">
        <v>11</v>
      </c>
      <c r="I258" s="35">
        <v>608</v>
      </c>
      <c r="J258" s="35">
        <v>13</v>
      </c>
      <c r="K258" s="35">
        <v>621</v>
      </c>
      <c r="L258" s="35">
        <v>11</v>
      </c>
      <c r="M258" s="35">
        <v>632</v>
      </c>
      <c r="N258" s="35">
        <v>13</v>
      </c>
      <c r="O258" s="35">
        <v>645</v>
      </c>
      <c r="P258" s="35">
        <v>14</v>
      </c>
      <c r="Q258" s="35">
        <v>659</v>
      </c>
      <c r="R258" s="35">
        <v>14</v>
      </c>
      <c r="S258" s="35">
        <v>670</v>
      </c>
      <c r="T258" s="35">
        <v>11</v>
      </c>
      <c r="U258" s="35">
        <v>690</v>
      </c>
      <c r="V258" s="35">
        <v>20</v>
      </c>
      <c r="W258" s="35">
        <v>709</v>
      </c>
      <c r="X258" s="35">
        <v>19</v>
      </c>
      <c r="Y258" s="35">
        <v>727</v>
      </c>
      <c r="Z258" s="35">
        <v>18</v>
      </c>
      <c r="AA258" s="35">
        <v>745</v>
      </c>
      <c r="AB258" s="35">
        <v>18</v>
      </c>
      <c r="AC258" s="35">
        <v>18</v>
      </c>
      <c r="AD258" s="35">
        <v>0</v>
      </c>
      <c r="AE258" s="35">
        <v>0</v>
      </c>
      <c r="AG258" s="35">
        <v>3</v>
      </c>
      <c r="AH258" s="35">
        <v>20</v>
      </c>
      <c r="AI258" s="35">
        <v>41</v>
      </c>
    </row>
    <row r="259" spans="1:35" ht="15.75" customHeight="1" x14ac:dyDescent="0.35">
      <c r="A259" s="35">
        <v>261</v>
      </c>
      <c r="B259" s="35" t="s">
        <v>342</v>
      </c>
      <c r="C259" s="35" t="s">
        <v>327</v>
      </c>
      <c r="D259" s="35">
        <v>16</v>
      </c>
      <c r="E259" s="35">
        <v>357</v>
      </c>
      <c r="F259" s="35">
        <v>1</v>
      </c>
      <c r="G259" s="35">
        <v>358</v>
      </c>
      <c r="H259" s="35">
        <v>2</v>
      </c>
      <c r="I259" s="35">
        <v>360</v>
      </c>
      <c r="J259" s="35">
        <v>21</v>
      </c>
      <c r="K259" s="35">
        <v>381</v>
      </c>
      <c r="L259" s="35">
        <v>5</v>
      </c>
      <c r="M259" s="35">
        <v>386</v>
      </c>
      <c r="N259" s="35">
        <v>3</v>
      </c>
      <c r="O259" s="35">
        <v>389</v>
      </c>
      <c r="P259" s="35">
        <v>2</v>
      </c>
      <c r="Q259" s="35">
        <v>391</v>
      </c>
      <c r="R259" s="35">
        <v>2</v>
      </c>
      <c r="S259" s="35">
        <v>393</v>
      </c>
      <c r="T259" s="35">
        <v>2</v>
      </c>
      <c r="U259" s="35">
        <v>396</v>
      </c>
      <c r="V259" s="35">
        <v>3</v>
      </c>
      <c r="W259" s="35">
        <v>398</v>
      </c>
      <c r="X259" s="35">
        <v>2</v>
      </c>
      <c r="Y259" s="35">
        <v>433</v>
      </c>
      <c r="Z259" s="35">
        <v>35</v>
      </c>
      <c r="AA259" s="35">
        <v>434</v>
      </c>
      <c r="AB259" s="35">
        <v>1</v>
      </c>
      <c r="AC259" s="35">
        <v>5</v>
      </c>
      <c r="AD259" s="35">
        <v>0</v>
      </c>
      <c r="AE259" s="35">
        <v>0</v>
      </c>
      <c r="AG259" s="35">
        <v>3</v>
      </c>
      <c r="AH259" s="35">
        <v>0</v>
      </c>
      <c r="AI259" s="35">
        <v>8</v>
      </c>
    </row>
    <row r="260" spans="1:35" ht="15.75" customHeight="1" x14ac:dyDescent="0.35">
      <c r="A260" s="35">
        <v>262</v>
      </c>
      <c r="B260" s="35" t="s">
        <v>294</v>
      </c>
      <c r="C260" s="35" t="s">
        <v>327</v>
      </c>
      <c r="D260" s="35">
        <v>17</v>
      </c>
      <c r="E260" s="35">
        <v>1249</v>
      </c>
      <c r="F260" s="35">
        <v>2</v>
      </c>
      <c r="G260" s="35">
        <v>1251</v>
      </c>
      <c r="H260" s="35">
        <v>2</v>
      </c>
      <c r="I260" s="35">
        <v>1253</v>
      </c>
      <c r="J260" s="35">
        <v>2</v>
      </c>
      <c r="K260" s="35">
        <v>1255</v>
      </c>
      <c r="L260" s="35">
        <v>2</v>
      </c>
      <c r="M260" s="35">
        <v>1257</v>
      </c>
      <c r="N260" s="35">
        <v>3</v>
      </c>
      <c r="O260" s="35">
        <v>1260</v>
      </c>
      <c r="P260" s="35">
        <v>3</v>
      </c>
      <c r="Q260" s="35">
        <v>1263</v>
      </c>
      <c r="R260" s="35">
        <v>3</v>
      </c>
      <c r="S260" s="35">
        <v>1265</v>
      </c>
      <c r="T260" s="35">
        <v>2</v>
      </c>
      <c r="U260" s="35">
        <v>1269</v>
      </c>
      <c r="V260" s="35">
        <v>4</v>
      </c>
      <c r="W260" s="35">
        <v>1271</v>
      </c>
      <c r="X260" s="35">
        <v>2</v>
      </c>
      <c r="Y260" s="35">
        <v>1277</v>
      </c>
      <c r="Z260" s="35">
        <v>6</v>
      </c>
      <c r="AA260" s="35">
        <v>1280</v>
      </c>
      <c r="AB260" s="35">
        <v>3</v>
      </c>
      <c r="AC260" s="35">
        <v>5</v>
      </c>
      <c r="AD260" s="35">
        <v>0</v>
      </c>
      <c r="AE260" s="35">
        <v>0</v>
      </c>
      <c r="AG260" s="35">
        <v>3</v>
      </c>
      <c r="AH260" s="35">
        <v>20</v>
      </c>
      <c r="AI260" s="35">
        <v>28</v>
      </c>
    </row>
    <row r="261" spans="1:35" ht="15.75" customHeight="1" x14ac:dyDescent="0.35">
      <c r="A261" s="35">
        <v>263</v>
      </c>
      <c r="B261" s="35" t="s">
        <v>343</v>
      </c>
      <c r="C261" s="35" t="s">
        <v>327</v>
      </c>
      <c r="D261" s="35">
        <v>18</v>
      </c>
      <c r="E261" s="35">
        <v>180</v>
      </c>
      <c r="F261" s="35">
        <v>10</v>
      </c>
      <c r="G261" s="35">
        <v>190</v>
      </c>
      <c r="H261" s="35">
        <v>5</v>
      </c>
      <c r="I261" s="35">
        <v>195</v>
      </c>
      <c r="J261" s="35">
        <v>8</v>
      </c>
      <c r="K261" s="35">
        <v>203</v>
      </c>
      <c r="L261" s="35">
        <v>5</v>
      </c>
      <c r="M261" s="35">
        <v>208</v>
      </c>
      <c r="N261" s="35">
        <v>6</v>
      </c>
      <c r="O261" s="35">
        <v>214</v>
      </c>
      <c r="P261" s="35">
        <v>5</v>
      </c>
      <c r="Q261" s="35">
        <v>219</v>
      </c>
      <c r="R261" s="35">
        <v>5</v>
      </c>
      <c r="S261" s="35">
        <v>224</v>
      </c>
      <c r="T261" s="35">
        <v>5</v>
      </c>
      <c r="U261" s="35">
        <v>228</v>
      </c>
      <c r="V261" s="35">
        <v>4</v>
      </c>
      <c r="W261" s="35">
        <v>233</v>
      </c>
      <c r="X261" s="35">
        <v>5</v>
      </c>
      <c r="Y261" s="35">
        <v>237</v>
      </c>
      <c r="Z261" s="35">
        <v>4</v>
      </c>
      <c r="AA261" s="35">
        <v>243</v>
      </c>
      <c r="AB261" s="35">
        <v>6</v>
      </c>
      <c r="AC261" s="35">
        <v>6</v>
      </c>
      <c r="AD261" s="35">
        <v>8</v>
      </c>
      <c r="AE261" s="35">
        <v>0</v>
      </c>
      <c r="AG261" s="35">
        <v>3</v>
      </c>
      <c r="AH261" s="35">
        <v>0</v>
      </c>
      <c r="AI261" s="35">
        <v>17</v>
      </c>
    </row>
    <row r="262" spans="1:35" ht="15.75" customHeight="1" x14ac:dyDescent="0.35">
      <c r="A262" s="35">
        <v>264</v>
      </c>
      <c r="B262" s="35" t="s">
        <v>344</v>
      </c>
      <c r="C262" s="35" t="s">
        <v>327</v>
      </c>
      <c r="D262" s="35">
        <v>19</v>
      </c>
      <c r="E262" s="35">
        <v>2189</v>
      </c>
      <c r="F262" s="35">
        <v>13</v>
      </c>
      <c r="G262" s="35">
        <v>2202</v>
      </c>
      <c r="H262" s="35">
        <v>11</v>
      </c>
      <c r="I262" s="35">
        <v>2213</v>
      </c>
      <c r="J262" s="35">
        <v>9</v>
      </c>
      <c r="K262" s="35">
        <v>2222</v>
      </c>
      <c r="L262" s="35">
        <v>9</v>
      </c>
      <c r="M262" s="35">
        <v>2231</v>
      </c>
      <c r="N262" s="35">
        <v>12</v>
      </c>
      <c r="O262" s="35">
        <v>2243</v>
      </c>
      <c r="P262" s="35">
        <v>8</v>
      </c>
      <c r="Q262" s="35">
        <v>2251</v>
      </c>
      <c r="R262" s="35">
        <v>8</v>
      </c>
      <c r="S262" s="35">
        <v>2258</v>
      </c>
      <c r="T262" s="35">
        <v>7</v>
      </c>
      <c r="U262" s="35">
        <v>2265</v>
      </c>
      <c r="V262" s="35">
        <v>7</v>
      </c>
      <c r="W262" s="35">
        <v>2271</v>
      </c>
      <c r="X262" s="35">
        <v>6</v>
      </c>
      <c r="Y262" s="35">
        <v>2277</v>
      </c>
      <c r="Z262" s="35">
        <v>6</v>
      </c>
      <c r="AA262" s="35">
        <v>2283</v>
      </c>
      <c r="AB262" s="35">
        <v>6</v>
      </c>
      <c r="AC262" s="35">
        <v>6</v>
      </c>
      <c r="AD262" s="35">
        <v>0</v>
      </c>
      <c r="AE262" s="35">
        <v>0</v>
      </c>
      <c r="AG262" s="35">
        <v>3</v>
      </c>
      <c r="AH262" s="35">
        <v>0</v>
      </c>
      <c r="AI262" s="35">
        <v>9</v>
      </c>
    </row>
    <row r="263" spans="1:35" ht="15.75" customHeight="1" x14ac:dyDescent="0.35">
      <c r="A263" s="35">
        <v>265</v>
      </c>
      <c r="B263" s="35" t="s">
        <v>345</v>
      </c>
      <c r="C263" s="35" t="s">
        <v>327</v>
      </c>
      <c r="D263" s="35">
        <v>20</v>
      </c>
      <c r="E263" s="35">
        <v>2222</v>
      </c>
      <c r="F263" s="35">
        <v>30</v>
      </c>
      <c r="G263" s="35">
        <v>2252</v>
      </c>
      <c r="H263" s="35">
        <v>28</v>
      </c>
      <c r="I263" s="35">
        <v>2280</v>
      </c>
      <c r="J263" s="35">
        <v>17</v>
      </c>
      <c r="K263" s="35">
        <v>2297</v>
      </c>
      <c r="L263" s="35">
        <v>10</v>
      </c>
      <c r="M263" s="35">
        <v>2307</v>
      </c>
      <c r="N263" s="35">
        <v>11</v>
      </c>
      <c r="O263" s="35">
        <v>2318</v>
      </c>
      <c r="P263" s="35">
        <v>14</v>
      </c>
      <c r="Q263" s="35">
        <v>2332</v>
      </c>
      <c r="R263" s="35">
        <v>14</v>
      </c>
      <c r="S263" s="35">
        <v>2339</v>
      </c>
      <c r="T263" s="35">
        <v>7</v>
      </c>
      <c r="U263" s="35">
        <v>2347</v>
      </c>
      <c r="V263" s="35">
        <v>8</v>
      </c>
      <c r="W263" s="35">
        <v>2354</v>
      </c>
      <c r="X263" s="35">
        <v>7</v>
      </c>
      <c r="Y263" s="35">
        <v>2366</v>
      </c>
      <c r="Z263" s="35">
        <v>12</v>
      </c>
      <c r="AA263" s="35">
        <v>2377</v>
      </c>
      <c r="AB263" s="35">
        <v>11</v>
      </c>
      <c r="AC263" s="35">
        <v>11</v>
      </c>
      <c r="AD263" s="35">
        <v>0</v>
      </c>
      <c r="AE263" s="35">
        <v>0</v>
      </c>
      <c r="AG263" s="35">
        <v>3</v>
      </c>
      <c r="AH263" s="35">
        <v>0</v>
      </c>
      <c r="AI263" s="35">
        <v>14</v>
      </c>
    </row>
    <row r="264" spans="1:35" ht="15.75" customHeight="1" x14ac:dyDescent="0.35">
      <c r="A264" s="35">
        <v>266</v>
      </c>
      <c r="B264" s="35" t="s">
        <v>346</v>
      </c>
      <c r="C264" s="35" t="s">
        <v>327</v>
      </c>
      <c r="D264" s="35">
        <v>21</v>
      </c>
      <c r="E264" s="35">
        <v>686</v>
      </c>
      <c r="F264" s="35">
        <v>29</v>
      </c>
      <c r="G264" s="35">
        <v>715</v>
      </c>
      <c r="H264" s="35">
        <v>26</v>
      </c>
      <c r="I264" s="35">
        <v>741</v>
      </c>
      <c r="J264" s="35">
        <v>30</v>
      </c>
      <c r="K264" s="35">
        <v>771</v>
      </c>
      <c r="L264" s="35">
        <v>13</v>
      </c>
      <c r="M264" s="35">
        <v>784</v>
      </c>
      <c r="N264" s="35">
        <v>14</v>
      </c>
      <c r="O264" s="35">
        <v>798</v>
      </c>
      <c r="P264" s="35">
        <v>20</v>
      </c>
      <c r="Q264" s="35">
        <v>818</v>
      </c>
      <c r="R264" s="35">
        <v>20</v>
      </c>
      <c r="S264" s="35">
        <v>830</v>
      </c>
      <c r="T264" s="35">
        <v>12</v>
      </c>
      <c r="U264" s="35">
        <v>845</v>
      </c>
      <c r="V264" s="35">
        <v>15</v>
      </c>
      <c r="W264" s="35">
        <v>875</v>
      </c>
      <c r="X264" s="35">
        <v>30</v>
      </c>
      <c r="Y264" s="35">
        <v>876</v>
      </c>
      <c r="Z264" s="35">
        <v>1</v>
      </c>
      <c r="AA264" s="35">
        <v>890</v>
      </c>
      <c r="AB264" s="35">
        <v>14</v>
      </c>
      <c r="AC264" s="35">
        <v>14</v>
      </c>
      <c r="AD264" s="35">
        <v>0</v>
      </c>
      <c r="AE264" s="35">
        <v>0</v>
      </c>
      <c r="AG264" s="35">
        <v>3</v>
      </c>
      <c r="AH264" s="35">
        <v>0</v>
      </c>
      <c r="AI264" s="35">
        <v>17</v>
      </c>
    </row>
    <row r="265" spans="1:35" ht="15.75" customHeight="1" x14ac:dyDescent="0.35">
      <c r="A265" s="35">
        <v>267</v>
      </c>
      <c r="B265" s="35" t="s">
        <v>347</v>
      </c>
      <c r="C265" s="35" t="s">
        <v>327</v>
      </c>
      <c r="D265" s="35">
        <v>22</v>
      </c>
      <c r="E265" s="35">
        <v>1004</v>
      </c>
      <c r="F265" s="35">
        <v>2</v>
      </c>
      <c r="G265" s="35">
        <v>1006</v>
      </c>
      <c r="H265" s="35">
        <v>2</v>
      </c>
      <c r="I265" s="35">
        <v>1008</v>
      </c>
      <c r="J265" s="35">
        <v>2</v>
      </c>
      <c r="K265" s="35">
        <v>1010</v>
      </c>
      <c r="L265" s="35">
        <v>1</v>
      </c>
      <c r="M265" s="35">
        <v>1011</v>
      </c>
      <c r="N265" s="35">
        <v>1</v>
      </c>
      <c r="O265" s="35">
        <v>1012</v>
      </c>
      <c r="P265" s="35">
        <v>1</v>
      </c>
      <c r="Q265" s="35">
        <v>1013</v>
      </c>
      <c r="R265" s="35">
        <v>1</v>
      </c>
      <c r="S265" s="35">
        <v>1013</v>
      </c>
      <c r="T265" s="35">
        <v>0</v>
      </c>
      <c r="U265" s="35">
        <v>1013</v>
      </c>
      <c r="V265" s="35">
        <v>0</v>
      </c>
      <c r="W265" s="35">
        <v>1013</v>
      </c>
      <c r="X265" s="35">
        <v>0</v>
      </c>
      <c r="Y265" s="35">
        <v>1016</v>
      </c>
      <c r="Z265" s="35">
        <v>3</v>
      </c>
      <c r="AA265" s="35">
        <v>1024</v>
      </c>
      <c r="AB265" s="35">
        <v>8</v>
      </c>
      <c r="AC265" s="35">
        <v>8</v>
      </c>
      <c r="AD265" s="35">
        <v>0</v>
      </c>
      <c r="AE265" s="35">
        <v>0</v>
      </c>
      <c r="AG265" s="35">
        <v>3</v>
      </c>
      <c r="AH265" s="35">
        <v>20</v>
      </c>
      <c r="AI265" s="35">
        <v>31</v>
      </c>
    </row>
    <row r="266" spans="1:35" ht="15.75" customHeight="1" x14ac:dyDescent="0.35">
      <c r="A266" s="35">
        <v>268</v>
      </c>
      <c r="B266" s="35" t="s">
        <v>650</v>
      </c>
      <c r="C266" s="35" t="s">
        <v>327</v>
      </c>
      <c r="D266" s="35">
        <v>23</v>
      </c>
      <c r="E266" s="35">
        <v>1058</v>
      </c>
      <c r="F266" s="35">
        <v>4</v>
      </c>
      <c r="G266" s="35">
        <v>1062</v>
      </c>
      <c r="H266" s="35">
        <v>6</v>
      </c>
      <c r="I266" s="35">
        <v>1068</v>
      </c>
      <c r="J266" s="35">
        <v>6</v>
      </c>
      <c r="K266" s="35">
        <v>1074</v>
      </c>
      <c r="L266" s="35">
        <v>8</v>
      </c>
      <c r="M266" s="35">
        <v>1082</v>
      </c>
      <c r="N266" s="35">
        <v>3</v>
      </c>
      <c r="O266" s="35">
        <v>3</v>
      </c>
      <c r="P266" s="35">
        <v>4</v>
      </c>
      <c r="Q266" s="35">
        <v>7</v>
      </c>
      <c r="R266" s="35">
        <v>4</v>
      </c>
      <c r="S266" s="35">
        <v>10</v>
      </c>
      <c r="T266" s="35">
        <v>3</v>
      </c>
      <c r="U266" s="35">
        <v>13</v>
      </c>
      <c r="V266" s="35">
        <v>3</v>
      </c>
      <c r="W266" s="35">
        <v>16</v>
      </c>
      <c r="X266" s="35">
        <v>3</v>
      </c>
      <c r="Y266" s="35">
        <v>20</v>
      </c>
      <c r="Z266" s="35">
        <v>4</v>
      </c>
      <c r="AA266" s="35">
        <v>23</v>
      </c>
      <c r="AB266" s="35">
        <v>3</v>
      </c>
      <c r="AC266" s="35">
        <v>5</v>
      </c>
      <c r="AD266" s="35">
        <v>0</v>
      </c>
      <c r="AE266" s="35">
        <v>0</v>
      </c>
      <c r="AG266" s="35">
        <v>3</v>
      </c>
      <c r="AH266" s="35">
        <v>0</v>
      </c>
      <c r="AI266" s="35">
        <v>8</v>
      </c>
    </row>
    <row r="267" spans="1:35" ht="15.75" customHeight="1" x14ac:dyDescent="0.35">
      <c r="A267" s="35">
        <v>269</v>
      </c>
      <c r="B267" s="35" t="s">
        <v>349</v>
      </c>
      <c r="C267" s="35" t="s">
        <v>327</v>
      </c>
      <c r="D267" s="35">
        <v>24</v>
      </c>
      <c r="E267" s="35">
        <v>123</v>
      </c>
      <c r="F267" s="35">
        <v>1</v>
      </c>
      <c r="G267" s="35">
        <v>124</v>
      </c>
      <c r="H267" s="35">
        <v>0</v>
      </c>
      <c r="I267" s="35">
        <v>124</v>
      </c>
      <c r="J267" s="35">
        <v>0</v>
      </c>
      <c r="K267" s="35">
        <v>124</v>
      </c>
      <c r="L267" s="35">
        <v>3</v>
      </c>
      <c r="M267" s="35">
        <v>127</v>
      </c>
      <c r="N267" s="35">
        <v>2</v>
      </c>
      <c r="O267" s="35">
        <v>129</v>
      </c>
      <c r="P267" s="35">
        <v>1</v>
      </c>
      <c r="Q267" s="35">
        <v>130</v>
      </c>
      <c r="R267" s="35">
        <v>1</v>
      </c>
      <c r="S267" s="35">
        <v>132</v>
      </c>
      <c r="T267" s="35">
        <v>2</v>
      </c>
      <c r="U267" s="35">
        <v>133</v>
      </c>
      <c r="V267" s="35">
        <v>1</v>
      </c>
      <c r="W267" s="35">
        <v>133</v>
      </c>
      <c r="X267" s="35">
        <v>0</v>
      </c>
      <c r="Y267" s="35">
        <v>133</v>
      </c>
      <c r="Z267" s="35">
        <v>0</v>
      </c>
      <c r="AA267" s="35">
        <v>133</v>
      </c>
      <c r="AB267" s="35">
        <v>0</v>
      </c>
      <c r="AC267" s="35">
        <v>5</v>
      </c>
      <c r="AD267" s="35">
        <v>0</v>
      </c>
      <c r="AE267" s="35">
        <v>0</v>
      </c>
      <c r="AG267" s="35">
        <v>3</v>
      </c>
      <c r="AH267" s="35">
        <v>0</v>
      </c>
      <c r="AI267" s="35">
        <v>8</v>
      </c>
    </row>
    <row r="268" spans="1:35" ht="15.75" customHeight="1" x14ac:dyDescent="0.35">
      <c r="A268" s="35">
        <v>270</v>
      </c>
      <c r="B268" s="35" t="s">
        <v>350</v>
      </c>
      <c r="C268" s="35" t="s">
        <v>327</v>
      </c>
      <c r="D268" s="35">
        <v>25</v>
      </c>
      <c r="E268" s="35">
        <v>1050</v>
      </c>
      <c r="F268" s="35">
        <v>12</v>
      </c>
      <c r="G268" s="35">
        <v>1062</v>
      </c>
      <c r="H268" s="35">
        <v>5</v>
      </c>
      <c r="I268" s="35">
        <v>1067</v>
      </c>
      <c r="J268" s="35">
        <v>8</v>
      </c>
      <c r="K268" s="35">
        <v>1075</v>
      </c>
      <c r="L268" s="35">
        <v>10</v>
      </c>
      <c r="M268" s="35">
        <v>1085</v>
      </c>
      <c r="N268" s="35">
        <v>8</v>
      </c>
      <c r="O268" s="35">
        <v>1093</v>
      </c>
      <c r="P268" s="35">
        <v>2</v>
      </c>
      <c r="Q268" s="35">
        <v>1095</v>
      </c>
      <c r="R268" s="35">
        <v>2</v>
      </c>
      <c r="S268" s="35">
        <v>1096</v>
      </c>
      <c r="T268" s="35">
        <v>1</v>
      </c>
      <c r="U268" s="35">
        <v>1096</v>
      </c>
      <c r="V268" s="35">
        <v>0</v>
      </c>
      <c r="W268" s="35">
        <v>1098</v>
      </c>
      <c r="X268" s="35">
        <v>2</v>
      </c>
      <c r="Y268" s="35">
        <v>1099</v>
      </c>
      <c r="Z268" s="35">
        <v>1</v>
      </c>
      <c r="AA268" s="35">
        <v>1101</v>
      </c>
      <c r="AB268" s="35">
        <v>2</v>
      </c>
      <c r="AC268" s="35">
        <v>5</v>
      </c>
      <c r="AD268" s="35">
        <v>0</v>
      </c>
      <c r="AE268" s="35">
        <v>0</v>
      </c>
      <c r="AG268" s="35">
        <v>3</v>
      </c>
      <c r="AH268" s="35">
        <v>0</v>
      </c>
      <c r="AI268" s="35">
        <v>8</v>
      </c>
    </row>
    <row r="269" spans="1:35" ht="15.75" customHeight="1" x14ac:dyDescent="0.35">
      <c r="A269" s="35">
        <v>271</v>
      </c>
      <c r="B269" s="35" t="s">
        <v>351</v>
      </c>
      <c r="C269" s="35" t="s">
        <v>327</v>
      </c>
      <c r="D269" s="35">
        <v>26</v>
      </c>
      <c r="E269" s="35">
        <v>619</v>
      </c>
      <c r="F269" s="35">
        <v>0</v>
      </c>
      <c r="G269" s="35">
        <v>619</v>
      </c>
      <c r="H269" s="35">
        <v>0</v>
      </c>
      <c r="I269" s="35">
        <v>619</v>
      </c>
      <c r="J269" s="35">
        <v>0</v>
      </c>
      <c r="K269" s="35">
        <v>619</v>
      </c>
      <c r="L269" s="35">
        <v>0</v>
      </c>
      <c r="M269" s="35">
        <v>619</v>
      </c>
      <c r="N269" s="35">
        <v>0</v>
      </c>
      <c r="O269" s="35">
        <v>619</v>
      </c>
      <c r="P269" s="35">
        <v>0</v>
      </c>
      <c r="Q269" s="35">
        <v>619</v>
      </c>
      <c r="R269" s="35">
        <v>0</v>
      </c>
      <c r="S269" s="35">
        <v>619</v>
      </c>
      <c r="T269" s="35">
        <v>0</v>
      </c>
      <c r="U269" s="35">
        <v>619</v>
      </c>
      <c r="V269" s="35">
        <v>0</v>
      </c>
      <c r="W269" s="35">
        <v>619</v>
      </c>
      <c r="X269" s="35">
        <v>0</v>
      </c>
      <c r="Y269" s="35">
        <v>619</v>
      </c>
      <c r="Z269" s="35">
        <v>0</v>
      </c>
      <c r="AA269" s="35">
        <v>619</v>
      </c>
      <c r="AB269" s="35">
        <v>0</v>
      </c>
      <c r="AC269" s="35">
        <v>5</v>
      </c>
      <c r="AD269" s="35">
        <v>0</v>
      </c>
      <c r="AE269" s="35">
        <v>0</v>
      </c>
      <c r="AG269" s="35">
        <v>3</v>
      </c>
      <c r="AH269" s="35">
        <v>20</v>
      </c>
      <c r="AI269" s="35">
        <v>28</v>
      </c>
    </row>
    <row r="270" spans="1:35" ht="15.75" customHeight="1" x14ac:dyDescent="0.35">
      <c r="A270" s="35">
        <v>272</v>
      </c>
      <c r="B270" s="35" t="s">
        <v>352</v>
      </c>
      <c r="C270" s="35" t="s">
        <v>327</v>
      </c>
      <c r="D270" s="35">
        <v>27</v>
      </c>
      <c r="E270" s="35">
        <v>894</v>
      </c>
      <c r="F270" s="35">
        <v>14</v>
      </c>
      <c r="G270" s="35">
        <v>908</v>
      </c>
      <c r="H270" s="35">
        <v>13</v>
      </c>
      <c r="I270" s="35">
        <v>921</v>
      </c>
      <c r="J270" s="35">
        <v>9</v>
      </c>
      <c r="K270" s="35">
        <v>930</v>
      </c>
      <c r="L270" s="35">
        <v>13</v>
      </c>
      <c r="M270" s="35">
        <v>943</v>
      </c>
      <c r="N270" s="35">
        <v>8</v>
      </c>
      <c r="O270" s="35">
        <v>951</v>
      </c>
      <c r="P270" s="35">
        <v>8</v>
      </c>
      <c r="Q270" s="35">
        <v>959</v>
      </c>
      <c r="R270" s="35">
        <v>8</v>
      </c>
      <c r="S270" s="35">
        <v>965</v>
      </c>
      <c r="T270" s="35">
        <v>6</v>
      </c>
      <c r="U270" s="35">
        <v>971</v>
      </c>
      <c r="V270" s="35">
        <v>6</v>
      </c>
      <c r="W270" s="35">
        <v>978</v>
      </c>
      <c r="X270" s="35">
        <v>7</v>
      </c>
      <c r="Y270" s="35">
        <v>988</v>
      </c>
      <c r="Z270" s="35">
        <v>10</v>
      </c>
      <c r="AA270" s="35">
        <v>997</v>
      </c>
      <c r="AB270" s="35">
        <v>9</v>
      </c>
      <c r="AC270" s="35">
        <v>9</v>
      </c>
      <c r="AD270" s="35">
        <v>0</v>
      </c>
      <c r="AE270" s="35">
        <v>0</v>
      </c>
      <c r="AG270" s="35">
        <v>3</v>
      </c>
      <c r="AH270" s="35">
        <v>0</v>
      </c>
      <c r="AI270" s="35">
        <v>12</v>
      </c>
    </row>
    <row r="271" spans="1:35" ht="15.75" customHeight="1" x14ac:dyDescent="0.35">
      <c r="A271" s="35">
        <v>273</v>
      </c>
      <c r="B271" s="35" t="s">
        <v>353</v>
      </c>
      <c r="C271" s="35" t="s">
        <v>327</v>
      </c>
      <c r="D271" s="35" t="s">
        <v>651</v>
      </c>
      <c r="E271" s="35">
        <v>30</v>
      </c>
      <c r="F271" s="35">
        <v>7</v>
      </c>
      <c r="G271" s="35">
        <v>37</v>
      </c>
      <c r="H271" s="35">
        <v>9</v>
      </c>
      <c r="I271" s="35">
        <v>46</v>
      </c>
      <c r="J271" s="35">
        <v>6</v>
      </c>
      <c r="K271" s="35">
        <v>52</v>
      </c>
      <c r="L271" s="35">
        <v>7</v>
      </c>
      <c r="M271" s="35">
        <v>59</v>
      </c>
      <c r="N271" s="35">
        <v>7</v>
      </c>
      <c r="O271" s="35">
        <v>66</v>
      </c>
      <c r="P271" s="35">
        <v>6</v>
      </c>
      <c r="Q271" s="35">
        <v>72</v>
      </c>
      <c r="R271" s="35">
        <v>6</v>
      </c>
      <c r="S271" s="35">
        <v>78</v>
      </c>
      <c r="T271" s="35">
        <v>6</v>
      </c>
      <c r="U271" s="35">
        <v>82</v>
      </c>
      <c r="V271" s="35">
        <v>4</v>
      </c>
      <c r="W271" s="35">
        <v>88</v>
      </c>
      <c r="X271" s="35">
        <v>6</v>
      </c>
      <c r="Y271" s="35">
        <v>94</v>
      </c>
      <c r="Z271" s="35">
        <v>6</v>
      </c>
      <c r="AA271" s="35">
        <v>100</v>
      </c>
      <c r="AB271" s="35">
        <v>6</v>
      </c>
      <c r="AC271" s="35">
        <v>6</v>
      </c>
      <c r="AD271" s="35">
        <v>0</v>
      </c>
      <c r="AE271" s="35">
        <v>0</v>
      </c>
      <c r="AF271" s="35">
        <v>29</v>
      </c>
      <c r="AG271" s="35">
        <v>3</v>
      </c>
      <c r="AH271" s="35">
        <v>0</v>
      </c>
      <c r="AI271" s="35">
        <v>38</v>
      </c>
    </row>
    <row r="272" spans="1:35" ht="15.75" customHeight="1" x14ac:dyDescent="0.35">
      <c r="A272" s="35">
        <v>274</v>
      </c>
      <c r="B272" s="35" t="s">
        <v>355</v>
      </c>
      <c r="C272" s="35" t="s">
        <v>327</v>
      </c>
      <c r="D272" s="35">
        <v>28</v>
      </c>
      <c r="E272" s="35">
        <v>1011</v>
      </c>
      <c r="F272" s="35">
        <v>6</v>
      </c>
      <c r="G272" s="35">
        <v>1017</v>
      </c>
      <c r="H272" s="35">
        <v>2</v>
      </c>
      <c r="I272" s="35">
        <v>1019</v>
      </c>
      <c r="J272" s="35">
        <v>3</v>
      </c>
      <c r="K272" s="35">
        <v>1022</v>
      </c>
      <c r="L272" s="35">
        <v>3</v>
      </c>
      <c r="M272" s="35">
        <v>1025</v>
      </c>
      <c r="N272" s="35">
        <v>4</v>
      </c>
      <c r="O272" s="35">
        <v>1029</v>
      </c>
      <c r="P272" s="35">
        <v>4</v>
      </c>
      <c r="Q272" s="35">
        <v>1033</v>
      </c>
      <c r="R272" s="35">
        <v>4</v>
      </c>
      <c r="S272" s="35">
        <v>1037</v>
      </c>
      <c r="T272" s="35">
        <v>4</v>
      </c>
      <c r="U272" s="35">
        <v>1039</v>
      </c>
      <c r="V272" s="35">
        <v>2</v>
      </c>
      <c r="W272" s="35">
        <v>1041</v>
      </c>
      <c r="X272" s="35">
        <v>2</v>
      </c>
      <c r="Y272" s="35">
        <v>1043</v>
      </c>
      <c r="Z272" s="35">
        <v>2</v>
      </c>
      <c r="AA272" s="35">
        <v>1045</v>
      </c>
      <c r="AB272" s="35">
        <v>2</v>
      </c>
      <c r="AC272" s="35">
        <v>5</v>
      </c>
      <c r="AD272" s="35">
        <v>0</v>
      </c>
      <c r="AE272" s="35">
        <v>0</v>
      </c>
      <c r="AG272" s="35">
        <v>3</v>
      </c>
      <c r="AH272" s="35">
        <v>20</v>
      </c>
      <c r="AI272" s="35">
        <v>28</v>
      </c>
    </row>
    <row r="273" spans="1:35" ht="15.75" customHeight="1" x14ac:dyDescent="0.35">
      <c r="A273" s="35">
        <v>275</v>
      </c>
      <c r="B273" s="35" t="s">
        <v>356</v>
      </c>
      <c r="C273" s="35" t="s">
        <v>357</v>
      </c>
      <c r="D273" s="35">
        <v>1</v>
      </c>
      <c r="E273" s="35">
        <v>2395</v>
      </c>
      <c r="F273" s="35">
        <v>13</v>
      </c>
      <c r="G273" s="35">
        <v>2408</v>
      </c>
      <c r="H273" s="35">
        <v>10</v>
      </c>
      <c r="I273" s="35">
        <v>2418</v>
      </c>
      <c r="J273" s="35">
        <v>13</v>
      </c>
      <c r="K273" s="35">
        <v>2431</v>
      </c>
      <c r="L273" s="35">
        <v>9</v>
      </c>
      <c r="M273" s="35">
        <v>2440</v>
      </c>
      <c r="N273" s="35">
        <v>9</v>
      </c>
      <c r="O273" s="35">
        <v>2449</v>
      </c>
      <c r="P273" s="35">
        <v>9</v>
      </c>
      <c r="Q273" s="35">
        <v>2458</v>
      </c>
      <c r="R273" s="35">
        <v>9</v>
      </c>
      <c r="S273" s="35">
        <v>2467</v>
      </c>
      <c r="T273" s="35">
        <v>9</v>
      </c>
      <c r="U273" s="35">
        <v>2474</v>
      </c>
      <c r="V273" s="35">
        <v>7</v>
      </c>
      <c r="W273" s="35">
        <v>2481</v>
      </c>
      <c r="X273" s="35">
        <v>7</v>
      </c>
      <c r="Y273" s="35">
        <v>2491</v>
      </c>
      <c r="Z273" s="35">
        <v>10</v>
      </c>
      <c r="AA273" s="35">
        <v>2493</v>
      </c>
      <c r="AB273" s="35">
        <v>2</v>
      </c>
      <c r="AC273" s="35">
        <v>5</v>
      </c>
      <c r="AD273" s="35">
        <v>0</v>
      </c>
      <c r="AE273" s="35">
        <v>0</v>
      </c>
      <c r="AG273" s="35">
        <v>3</v>
      </c>
      <c r="AH273" s="35">
        <v>0</v>
      </c>
      <c r="AI273" s="35">
        <v>8</v>
      </c>
    </row>
    <row r="274" spans="1:35" ht="15.75" customHeight="1" x14ac:dyDescent="0.35">
      <c r="A274" s="35">
        <v>276</v>
      </c>
      <c r="B274" s="35" t="s">
        <v>358</v>
      </c>
      <c r="C274" s="35" t="s">
        <v>357</v>
      </c>
      <c r="D274" s="35">
        <v>2</v>
      </c>
      <c r="E274" s="35">
        <v>262</v>
      </c>
      <c r="F274" s="35">
        <v>15</v>
      </c>
      <c r="G274" s="35">
        <v>277</v>
      </c>
      <c r="H274" s="35">
        <v>16</v>
      </c>
      <c r="I274" s="35">
        <v>293</v>
      </c>
      <c r="J274" s="35">
        <v>14</v>
      </c>
      <c r="K274" s="35">
        <v>307</v>
      </c>
      <c r="L274" s="35">
        <v>18</v>
      </c>
      <c r="M274" s="35">
        <v>325</v>
      </c>
      <c r="N274" s="35">
        <v>14</v>
      </c>
      <c r="O274" s="35">
        <v>339</v>
      </c>
      <c r="P274" s="35">
        <v>11</v>
      </c>
      <c r="Q274" s="35">
        <v>350</v>
      </c>
      <c r="R274" s="35">
        <v>11</v>
      </c>
      <c r="S274" s="35">
        <v>359</v>
      </c>
      <c r="T274" s="35">
        <v>9</v>
      </c>
      <c r="U274" s="35">
        <v>368</v>
      </c>
      <c r="V274" s="35">
        <v>9</v>
      </c>
      <c r="W274" s="35">
        <v>378</v>
      </c>
      <c r="X274" s="35">
        <v>10</v>
      </c>
      <c r="Y274" s="35">
        <v>390</v>
      </c>
      <c r="Z274" s="35">
        <v>12</v>
      </c>
      <c r="AA274" s="35">
        <v>402</v>
      </c>
      <c r="AB274" s="35">
        <v>12</v>
      </c>
      <c r="AC274" s="35">
        <v>12</v>
      </c>
      <c r="AD274" s="35">
        <v>0</v>
      </c>
      <c r="AE274" s="35">
        <v>0</v>
      </c>
      <c r="AG274" s="35">
        <v>3</v>
      </c>
      <c r="AH274" s="35">
        <v>20</v>
      </c>
      <c r="AI274" s="35">
        <v>35</v>
      </c>
    </row>
    <row r="275" spans="1:35" ht="15.75" customHeight="1" x14ac:dyDescent="0.35">
      <c r="A275" s="35">
        <v>277</v>
      </c>
      <c r="B275" s="35" t="s">
        <v>359</v>
      </c>
      <c r="C275" s="35" t="s">
        <v>357</v>
      </c>
      <c r="D275" s="35">
        <v>3</v>
      </c>
      <c r="E275" s="35">
        <v>2107</v>
      </c>
      <c r="F275" s="35">
        <v>28</v>
      </c>
      <c r="G275" s="35">
        <v>2135</v>
      </c>
      <c r="H275" s="35">
        <v>19</v>
      </c>
      <c r="I275" s="35">
        <v>2154</v>
      </c>
      <c r="J275" s="35">
        <v>15</v>
      </c>
      <c r="K275" s="35">
        <v>2169</v>
      </c>
      <c r="L275" s="35">
        <v>20</v>
      </c>
      <c r="M275" s="35">
        <v>2189</v>
      </c>
      <c r="N275" s="35">
        <v>18</v>
      </c>
      <c r="O275" s="35">
        <v>2207</v>
      </c>
      <c r="P275" s="35">
        <v>19</v>
      </c>
      <c r="Q275" s="35">
        <v>2226</v>
      </c>
      <c r="R275" s="35">
        <v>19</v>
      </c>
      <c r="S275" s="35">
        <v>2248</v>
      </c>
      <c r="T275" s="35">
        <v>22</v>
      </c>
      <c r="U275" s="35">
        <v>2259</v>
      </c>
      <c r="V275" s="35">
        <v>11</v>
      </c>
      <c r="W275" s="35">
        <v>2270</v>
      </c>
      <c r="X275" s="35">
        <v>11</v>
      </c>
      <c r="Y275" s="35">
        <v>2284</v>
      </c>
      <c r="Z275" s="35">
        <v>14</v>
      </c>
      <c r="AA275" s="35">
        <v>2298</v>
      </c>
      <c r="AB275" s="35">
        <v>14</v>
      </c>
      <c r="AC275" s="35">
        <v>14</v>
      </c>
      <c r="AD275" s="35">
        <v>0</v>
      </c>
      <c r="AE275" s="35">
        <v>0</v>
      </c>
      <c r="AG275" s="35">
        <v>3</v>
      </c>
      <c r="AH275" s="35">
        <v>0</v>
      </c>
      <c r="AI275" s="35">
        <v>17</v>
      </c>
    </row>
    <row r="276" spans="1:35" ht="15.75" customHeight="1" x14ac:dyDescent="0.35">
      <c r="A276" s="35">
        <v>278</v>
      </c>
      <c r="B276" s="35" t="s">
        <v>360</v>
      </c>
      <c r="C276" s="35" t="s">
        <v>357</v>
      </c>
      <c r="D276" s="35">
        <v>4</v>
      </c>
      <c r="E276" s="35">
        <v>1890</v>
      </c>
      <c r="F276" s="35">
        <v>16</v>
      </c>
      <c r="G276" s="35">
        <v>1906</v>
      </c>
      <c r="H276" s="35">
        <v>19</v>
      </c>
      <c r="I276" s="35">
        <v>1925</v>
      </c>
      <c r="J276" s="35">
        <v>17</v>
      </c>
      <c r="K276" s="35">
        <v>1942</v>
      </c>
      <c r="L276" s="35">
        <v>14</v>
      </c>
      <c r="M276" s="35">
        <v>1956</v>
      </c>
      <c r="N276" s="35">
        <v>14</v>
      </c>
      <c r="O276" s="35">
        <v>1970</v>
      </c>
      <c r="P276" s="35">
        <v>12</v>
      </c>
      <c r="Q276" s="35">
        <v>1982</v>
      </c>
      <c r="R276" s="35">
        <v>12</v>
      </c>
      <c r="S276" s="35">
        <v>1991</v>
      </c>
      <c r="T276" s="35">
        <v>9</v>
      </c>
      <c r="U276" s="35">
        <v>2007</v>
      </c>
      <c r="V276" s="35">
        <v>16</v>
      </c>
      <c r="W276" s="35">
        <v>2028</v>
      </c>
      <c r="X276" s="35">
        <v>21</v>
      </c>
      <c r="Y276" s="35">
        <v>2041</v>
      </c>
      <c r="Z276" s="35">
        <v>13</v>
      </c>
      <c r="AA276" s="35">
        <v>2056</v>
      </c>
      <c r="AB276" s="35">
        <v>15</v>
      </c>
      <c r="AC276" s="35">
        <v>15</v>
      </c>
      <c r="AD276" s="35">
        <v>0</v>
      </c>
      <c r="AE276" s="35">
        <v>0</v>
      </c>
      <c r="AG276" s="35">
        <v>3</v>
      </c>
      <c r="AH276" s="35">
        <v>0</v>
      </c>
      <c r="AI276" s="35">
        <v>18</v>
      </c>
    </row>
    <row r="277" spans="1:35" ht="15.75" customHeight="1" x14ac:dyDescent="0.35">
      <c r="A277" s="35">
        <v>279</v>
      </c>
      <c r="B277" s="35" t="s">
        <v>361</v>
      </c>
      <c r="C277" s="35" t="s">
        <v>357</v>
      </c>
      <c r="D277" s="35">
        <v>5</v>
      </c>
      <c r="E277" s="35">
        <v>10</v>
      </c>
      <c r="F277" s="35">
        <v>10</v>
      </c>
      <c r="G277" s="35">
        <v>20</v>
      </c>
      <c r="H277" s="35">
        <v>0</v>
      </c>
      <c r="I277" s="35">
        <v>20</v>
      </c>
      <c r="J277" s="35">
        <v>5</v>
      </c>
      <c r="K277" s="35">
        <v>25</v>
      </c>
      <c r="L277" s="35">
        <v>5</v>
      </c>
      <c r="M277" s="35">
        <v>30</v>
      </c>
      <c r="N277" s="35">
        <v>4</v>
      </c>
      <c r="O277" s="35">
        <v>34</v>
      </c>
      <c r="P277" s="35">
        <v>3</v>
      </c>
      <c r="Q277" s="35">
        <v>37</v>
      </c>
      <c r="R277" s="35">
        <v>3</v>
      </c>
      <c r="S277" s="35">
        <v>41</v>
      </c>
      <c r="T277" s="35">
        <v>4</v>
      </c>
      <c r="U277" s="35">
        <v>46</v>
      </c>
      <c r="V277" s="35">
        <v>5</v>
      </c>
      <c r="W277" s="35">
        <v>49</v>
      </c>
      <c r="X277" s="35">
        <v>3</v>
      </c>
      <c r="Y277" s="35">
        <v>53</v>
      </c>
      <c r="Z277" s="35">
        <v>4</v>
      </c>
      <c r="AA277" s="35">
        <v>57</v>
      </c>
      <c r="AB277" s="35">
        <v>4</v>
      </c>
      <c r="AC277" s="35">
        <v>5</v>
      </c>
      <c r="AD277" s="35">
        <v>0</v>
      </c>
      <c r="AE277" s="35">
        <v>0</v>
      </c>
      <c r="AG277" s="35">
        <v>3</v>
      </c>
      <c r="AH277" s="35">
        <v>20</v>
      </c>
      <c r="AI277" s="35">
        <v>28</v>
      </c>
    </row>
    <row r="278" spans="1:35" ht="15.75" customHeight="1" x14ac:dyDescent="0.35">
      <c r="A278" s="35">
        <v>280</v>
      </c>
      <c r="B278" s="35" t="s">
        <v>362</v>
      </c>
      <c r="C278" s="35" t="s">
        <v>357</v>
      </c>
      <c r="D278" s="35">
        <v>7</v>
      </c>
      <c r="E278" s="35">
        <v>798</v>
      </c>
      <c r="F278" s="35">
        <v>34</v>
      </c>
      <c r="G278" s="35">
        <v>832</v>
      </c>
      <c r="H278" s="35">
        <v>26</v>
      </c>
      <c r="I278" s="35">
        <v>858</v>
      </c>
      <c r="J278" s="35">
        <v>23</v>
      </c>
      <c r="K278" s="35">
        <v>881</v>
      </c>
      <c r="L278" s="35">
        <v>19</v>
      </c>
      <c r="M278" s="35">
        <v>900</v>
      </c>
      <c r="N278" s="35">
        <v>19</v>
      </c>
      <c r="O278" s="35">
        <v>919</v>
      </c>
      <c r="P278" s="35">
        <v>22</v>
      </c>
      <c r="Q278" s="35">
        <v>941</v>
      </c>
      <c r="R278" s="35">
        <v>22</v>
      </c>
      <c r="S278" s="35">
        <v>958</v>
      </c>
      <c r="T278" s="35">
        <v>17</v>
      </c>
      <c r="U278" s="35">
        <v>974</v>
      </c>
      <c r="V278" s="35">
        <v>16</v>
      </c>
      <c r="W278" s="35">
        <v>990</v>
      </c>
      <c r="X278" s="35">
        <v>16</v>
      </c>
      <c r="Y278" s="35">
        <v>1010</v>
      </c>
      <c r="Z278" s="35">
        <v>20</v>
      </c>
      <c r="AA278" s="35">
        <v>1035</v>
      </c>
      <c r="AB278" s="35">
        <v>25</v>
      </c>
      <c r="AC278" s="35">
        <v>25</v>
      </c>
      <c r="AD278" s="35">
        <v>0</v>
      </c>
      <c r="AE278" s="35">
        <v>0</v>
      </c>
      <c r="AG278" s="35">
        <v>3</v>
      </c>
      <c r="AH278" s="35">
        <v>0</v>
      </c>
      <c r="AI278" s="35">
        <v>28</v>
      </c>
    </row>
    <row r="279" spans="1:35" ht="15.75" customHeight="1" x14ac:dyDescent="0.35">
      <c r="A279" s="35">
        <v>281</v>
      </c>
      <c r="B279" s="35" t="s">
        <v>652</v>
      </c>
      <c r="C279" s="35" t="s">
        <v>357</v>
      </c>
      <c r="D279" s="35">
        <v>8</v>
      </c>
      <c r="E279" s="35">
        <v>1832</v>
      </c>
      <c r="F279" s="35">
        <v>9</v>
      </c>
      <c r="G279" s="35">
        <v>1841</v>
      </c>
      <c r="H279" s="35">
        <v>10</v>
      </c>
      <c r="I279" s="35">
        <v>1851</v>
      </c>
      <c r="J279" s="35">
        <v>7</v>
      </c>
      <c r="K279" s="35">
        <v>1858</v>
      </c>
      <c r="L279" s="35">
        <v>7</v>
      </c>
      <c r="M279" s="35">
        <v>1865</v>
      </c>
      <c r="N279" s="35">
        <v>5</v>
      </c>
      <c r="O279" s="35">
        <v>1870</v>
      </c>
      <c r="P279" s="35">
        <v>8</v>
      </c>
      <c r="Q279" s="35">
        <v>1878</v>
      </c>
      <c r="R279" s="35">
        <v>8</v>
      </c>
      <c r="S279" s="35">
        <v>1879</v>
      </c>
      <c r="T279" s="35">
        <v>1</v>
      </c>
      <c r="U279" s="35">
        <v>1883</v>
      </c>
      <c r="V279" s="35">
        <v>4</v>
      </c>
      <c r="W279" s="35">
        <v>1888</v>
      </c>
      <c r="X279" s="35">
        <v>5</v>
      </c>
      <c r="Y279" s="35">
        <v>1894</v>
      </c>
      <c r="Z279" s="35">
        <v>6</v>
      </c>
      <c r="AA279" s="35">
        <v>1900</v>
      </c>
      <c r="AB279" s="35">
        <v>6</v>
      </c>
      <c r="AC279" s="35">
        <v>6</v>
      </c>
      <c r="AD279" s="35">
        <v>0</v>
      </c>
      <c r="AE279" s="35">
        <v>0</v>
      </c>
      <c r="AG279" s="35">
        <v>3</v>
      </c>
      <c r="AH279" s="35">
        <v>0</v>
      </c>
      <c r="AI279" s="35">
        <v>9</v>
      </c>
    </row>
    <row r="280" spans="1:35" ht="15.75" customHeight="1" x14ac:dyDescent="0.35">
      <c r="A280" s="35">
        <v>282</v>
      </c>
      <c r="B280" s="35" t="s">
        <v>364</v>
      </c>
      <c r="C280" s="35" t="s">
        <v>357</v>
      </c>
      <c r="D280" s="35">
        <v>10</v>
      </c>
      <c r="E280" s="35">
        <v>560</v>
      </c>
      <c r="F280" s="35">
        <v>8</v>
      </c>
      <c r="G280" s="35">
        <v>568</v>
      </c>
      <c r="H280" s="35">
        <v>11</v>
      </c>
      <c r="I280" s="35">
        <v>579</v>
      </c>
      <c r="J280" s="35">
        <v>8</v>
      </c>
      <c r="K280" s="35">
        <v>587</v>
      </c>
      <c r="L280" s="35">
        <v>7</v>
      </c>
      <c r="M280" s="35">
        <v>594</v>
      </c>
      <c r="N280" s="35">
        <v>7</v>
      </c>
      <c r="O280" s="35">
        <v>601</v>
      </c>
      <c r="P280" s="35">
        <v>5</v>
      </c>
      <c r="Q280" s="35">
        <v>606</v>
      </c>
      <c r="R280" s="35">
        <v>5</v>
      </c>
      <c r="S280" s="35">
        <v>613</v>
      </c>
      <c r="T280" s="35">
        <v>7</v>
      </c>
      <c r="U280" s="35">
        <v>618</v>
      </c>
      <c r="V280" s="35">
        <v>5</v>
      </c>
      <c r="W280" s="35">
        <v>623</v>
      </c>
      <c r="X280" s="35">
        <v>5</v>
      </c>
      <c r="Y280" s="35">
        <v>629</v>
      </c>
      <c r="Z280" s="35">
        <v>6</v>
      </c>
      <c r="AA280" s="35">
        <v>636</v>
      </c>
      <c r="AB280" s="35">
        <v>7</v>
      </c>
      <c r="AC280" s="35">
        <v>7</v>
      </c>
      <c r="AD280" s="35">
        <v>0</v>
      </c>
      <c r="AE280" s="35">
        <v>0</v>
      </c>
      <c r="AG280" s="35">
        <v>3</v>
      </c>
      <c r="AH280" s="35">
        <v>0</v>
      </c>
      <c r="AI280" s="35">
        <v>10</v>
      </c>
    </row>
    <row r="281" spans="1:35" ht="15.75" customHeight="1" x14ac:dyDescent="0.35">
      <c r="A281" s="35">
        <v>283</v>
      </c>
      <c r="B281" s="35" t="s">
        <v>365</v>
      </c>
      <c r="C281" s="35" t="s">
        <v>357</v>
      </c>
      <c r="D281" s="35">
        <v>11</v>
      </c>
      <c r="E281" s="35">
        <v>1707</v>
      </c>
      <c r="F281" s="35">
        <v>21</v>
      </c>
      <c r="G281" s="35">
        <v>1728</v>
      </c>
      <c r="H281" s="35">
        <v>12</v>
      </c>
      <c r="I281" s="35">
        <v>1740</v>
      </c>
      <c r="J281" s="35">
        <v>6</v>
      </c>
      <c r="K281" s="35">
        <v>1746</v>
      </c>
      <c r="L281" s="35">
        <v>14</v>
      </c>
      <c r="M281" s="35">
        <v>1760</v>
      </c>
      <c r="N281" s="35">
        <v>56</v>
      </c>
      <c r="O281" s="35">
        <v>1816</v>
      </c>
      <c r="P281" s="35">
        <v>19</v>
      </c>
      <c r="Q281" s="35">
        <v>1835</v>
      </c>
      <c r="R281" s="35">
        <v>19</v>
      </c>
      <c r="S281" s="35">
        <v>1844</v>
      </c>
      <c r="T281" s="35">
        <v>9</v>
      </c>
      <c r="U281" s="35">
        <v>1847</v>
      </c>
      <c r="V281" s="35">
        <v>3</v>
      </c>
      <c r="W281" s="35">
        <v>1849</v>
      </c>
      <c r="X281" s="35">
        <v>2</v>
      </c>
      <c r="Y281" s="35">
        <v>1853</v>
      </c>
      <c r="Z281" s="35">
        <v>4</v>
      </c>
      <c r="AA281" s="35">
        <v>1855</v>
      </c>
      <c r="AB281" s="35">
        <v>2</v>
      </c>
      <c r="AC281" s="35">
        <v>5</v>
      </c>
      <c r="AD281" s="35">
        <v>0</v>
      </c>
      <c r="AE281" s="35">
        <v>0</v>
      </c>
      <c r="AG281" s="35">
        <v>3</v>
      </c>
      <c r="AH281" s="35">
        <v>20</v>
      </c>
      <c r="AI281" s="35">
        <v>28</v>
      </c>
    </row>
    <row r="282" spans="1:35" ht="15.75" customHeight="1" x14ac:dyDescent="0.35">
      <c r="A282" s="35">
        <v>284</v>
      </c>
      <c r="B282" s="35" t="s">
        <v>366</v>
      </c>
      <c r="C282" s="35" t="s">
        <v>357</v>
      </c>
      <c r="D282" s="35" t="s">
        <v>653</v>
      </c>
      <c r="E282" s="35">
        <v>71</v>
      </c>
      <c r="F282" s="35">
        <v>6</v>
      </c>
      <c r="G282" s="35">
        <v>77</v>
      </c>
      <c r="H282" s="35">
        <v>7</v>
      </c>
      <c r="I282" s="35">
        <v>84</v>
      </c>
      <c r="J282" s="35">
        <v>6</v>
      </c>
      <c r="K282" s="35">
        <v>90</v>
      </c>
      <c r="L282" s="35">
        <v>8</v>
      </c>
      <c r="M282" s="35">
        <v>98</v>
      </c>
      <c r="N282" s="35">
        <v>6</v>
      </c>
      <c r="O282" s="35">
        <v>104</v>
      </c>
      <c r="P282" s="35">
        <v>6</v>
      </c>
      <c r="Q282" s="35">
        <v>110</v>
      </c>
      <c r="R282" s="35">
        <v>6</v>
      </c>
      <c r="S282" s="35">
        <v>116</v>
      </c>
      <c r="T282" s="35">
        <v>6</v>
      </c>
      <c r="U282" s="35">
        <v>127</v>
      </c>
      <c r="V282" s="35">
        <v>11</v>
      </c>
      <c r="W282" s="35">
        <v>132</v>
      </c>
      <c r="X282" s="35">
        <v>5</v>
      </c>
      <c r="Y282" s="35">
        <v>139</v>
      </c>
      <c r="Z282" s="35">
        <v>7</v>
      </c>
      <c r="AA282" s="35">
        <v>147</v>
      </c>
      <c r="AB282" s="35">
        <v>8</v>
      </c>
      <c r="AC282" s="35">
        <v>8</v>
      </c>
      <c r="AD282" s="35">
        <v>0</v>
      </c>
      <c r="AE282" s="35">
        <v>0</v>
      </c>
      <c r="AG282" s="35">
        <v>3</v>
      </c>
      <c r="AH282" s="35">
        <v>0</v>
      </c>
      <c r="AI282" s="35">
        <v>11</v>
      </c>
    </row>
    <row r="283" spans="1:35" ht="15.75" customHeight="1" x14ac:dyDescent="0.35">
      <c r="A283" s="35">
        <v>285</v>
      </c>
      <c r="B283" s="35" t="s">
        <v>368</v>
      </c>
      <c r="C283" s="35" t="s">
        <v>357</v>
      </c>
      <c r="D283" s="35">
        <v>12</v>
      </c>
      <c r="E283" s="35">
        <v>1757</v>
      </c>
      <c r="F283" s="35">
        <v>22</v>
      </c>
      <c r="G283" s="35">
        <v>1779</v>
      </c>
      <c r="H283" s="35">
        <v>24</v>
      </c>
      <c r="I283" s="35">
        <v>1803</v>
      </c>
      <c r="J283" s="35">
        <v>20</v>
      </c>
      <c r="K283" s="35">
        <v>1823</v>
      </c>
      <c r="L283" s="35">
        <v>17</v>
      </c>
      <c r="M283" s="35">
        <v>1840</v>
      </c>
      <c r="N283" s="35">
        <v>12</v>
      </c>
      <c r="O283" s="35">
        <v>1852</v>
      </c>
      <c r="P283" s="35">
        <v>13</v>
      </c>
      <c r="Q283" s="35">
        <v>1865</v>
      </c>
      <c r="R283" s="35">
        <v>13</v>
      </c>
      <c r="S283" s="35">
        <v>1878</v>
      </c>
      <c r="T283" s="35">
        <v>13</v>
      </c>
      <c r="U283" s="35">
        <v>1893</v>
      </c>
      <c r="V283" s="35">
        <v>15</v>
      </c>
      <c r="W283" s="35">
        <v>1906</v>
      </c>
      <c r="X283" s="35">
        <v>13</v>
      </c>
      <c r="Y283" s="35">
        <v>1921</v>
      </c>
      <c r="Z283" s="35">
        <v>15</v>
      </c>
      <c r="AA283" s="35">
        <v>1939</v>
      </c>
      <c r="AB283" s="35">
        <v>18</v>
      </c>
      <c r="AC283" s="35">
        <v>18</v>
      </c>
      <c r="AD283" s="35">
        <v>18</v>
      </c>
      <c r="AE283" s="35">
        <v>0</v>
      </c>
      <c r="AG283" s="35">
        <v>3</v>
      </c>
      <c r="AH283" s="35">
        <v>0</v>
      </c>
      <c r="AI283" s="35">
        <v>39</v>
      </c>
    </row>
    <row r="284" spans="1:35" ht="15.75" customHeight="1" x14ac:dyDescent="0.35">
      <c r="A284" s="35">
        <v>286</v>
      </c>
      <c r="B284" s="35" t="s">
        <v>369</v>
      </c>
      <c r="C284" s="35" t="s">
        <v>357</v>
      </c>
      <c r="D284" s="35">
        <v>13</v>
      </c>
      <c r="E284" s="35">
        <v>1562</v>
      </c>
      <c r="F284" s="35">
        <v>8</v>
      </c>
      <c r="G284" s="35">
        <v>1570</v>
      </c>
      <c r="H284" s="35">
        <v>8</v>
      </c>
      <c r="I284" s="35">
        <v>1578</v>
      </c>
      <c r="J284" s="35">
        <v>8</v>
      </c>
      <c r="K284" s="35">
        <v>1586</v>
      </c>
      <c r="L284" s="35">
        <v>6</v>
      </c>
      <c r="M284" s="35">
        <v>1592</v>
      </c>
      <c r="N284" s="35">
        <v>6</v>
      </c>
      <c r="O284" s="35">
        <v>1598</v>
      </c>
      <c r="P284" s="35">
        <v>5</v>
      </c>
      <c r="Q284" s="35">
        <v>1603</v>
      </c>
      <c r="R284" s="35">
        <v>5</v>
      </c>
      <c r="S284" s="35">
        <v>1608</v>
      </c>
      <c r="T284" s="35">
        <v>5</v>
      </c>
      <c r="U284" s="35">
        <v>1617</v>
      </c>
      <c r="V284" s="35">
        <v>9</v>
      </c>
      <c r="W284" s="35">
        <v>1622</v>
      </c>
      <c r="X284" s="35">
        <v>5</v>
      </c>
      <c r="Y284" s="35">
        <v>1627</v>
      </c>
      <c r="Z284" s="35">
        <v>5</v>
      </c>
      <c r="AA284" s="35">
        <v>1632</v>
      </c>
      <c r="AB284" s="35">
        <v>5</v>
      </c>
      <c r="AC284" s="35">
        <v>5</v>
      </c>
      <c r="AD284" s="35">
        <v>0</v>
      </c>
      <c r="AE284" s="35">
        <v>0</v>
      </c>
      <c r="AG284" s="35">
        <v>3</v>
      </c>
      <c r="AH284" s="35">
        <v>0</v>
      </c>
      <c r="AI284" s="35">
        <v>8</v>
      </c>
    </row>
    <row r="285" spans="1:35" ht="15.75" customHeight="1" x14ac:dyDescent="0.35">
      <c r="A285" s="35">
        <v>287</v>
      </c>
      <c r="B285" s="35" t="s">
        <v>370</v>
      </c>
      <c r="C285" s="35" t="s">
        <v>357</v>
      </c>
      <c r="D285" s="35">
        <v>14</v>
      </c>
      <c r="E285" s="35">
        <v>32</v>
      </c>
      <c r="F285" s="35">
        <v>5</v>
      </c>
      <c r="G285" s="35">
        <v>37</v>
      </c>
      <c r="H285" s="35">
        <v>7</v>
      </c>
      <c r="I285" s="35">
        <v>44</v>
      </c>
      <c r="J285" s="35">
        <v>5</v>
      </c>
      <c r="K285" s="35">
        <v>49</v>
      </c>
      <c r="L285" s="35">
        <v>9</v>
      </c>
      <c r="M285" s="35">
        <v>58</v>
      </c>
      <c r="N285" s="35">
        <v>-2</v>
      </c>
      <c r="O285" s="35">
        <v>56</v>
      </c>
      <c r="P285" s="35">
        <v>4</v>
      </c>
      <c r="Q285" s="35">
        <v>60</v>
      </c>
      <c r="R285" s="35">
        <v>4</v>
      </c>
      <c r="S285" s="35">
        <v>62</v>
      </c>
      <c r="T285" s="35">
        <v>2</v>
      </c>
      <c r="U285" s="35">
        <v>65</v>
      </c>
      <c r="V285" s="35">
        <v>3</v>
      </c>
      <c r="W285" s="35">
        <v>66</v>
      </c>
      <c r="X285" s="35">
        <v>1</v>
      </c>
      <c r="Y285" s="35">
        <v>67</v>
      </c>
      <c r="Z285" s="35">
        <v>1</v>
      </c>
      <c r="AA285" s="35">
        <v>68</v>
      </c>
      <c r="AB285" s="35">
        <v>1</v>
      </c>
      <c r="AC285" s="35">
        <v>5</v>
      </c>
      <c r="AD285" s="35">
        <v>0</v>
      </c>
      <c r="AE285" s="35">
        <v>0</v>
      </c>
      <c r="AG285" s="35">
        <v>3</v>
      </c>
      <c r="AH285" s="35">
        <v>20</v>
      </c>
      <c r="AI285" s="35">
        <v>28</v>
      </c>
    </row>
    <row r="286" spans="1:35" ht="15.75" customHeight="1" x14ac:dyDescent="0.35">
      <c r="A286" s="35">
        <v>288</v>
      </c>
      <c r="B286" s="35" t="s">
        <v>371</v>
      </c>
      <c r="C286" s="35" t="s">
        <v>357</v>
      </c>
      <c r="D286" s="35">
        <v>15</v>
      </c>
      <c r="E286" s="35">
        <v>1086</v>
      </c>
      <c r="F286" s="35">
        <v>13</v>
      </c>
      <c r="G286" s="35">
        <v>1099</v>
      </c>
      <c r="H286" s="35">
        <v>15</v>
      </c>
      <c r="I286" s="35">
        <v>1114</v>
      </c>
      <c r="J286" s="35">
        <v>11</v>
      </c>
      <c r="K286" s="35">
        <v>1125</v>
      </c>
      <c r="L286" s="35">
        <v>8</v>
      </c>
      <c r="M286" s="35">
        <v>1133</v>
      </c>
      <c r="N286" s="35">
        <v>9</v>
      </c>
      <c r="O286" s="35">
        <v>1142</v>
      </c>
      <c r="P286" s="35">
        <v>2</v>
      </c>
      <c r="Q286" s="35">
        <v>1144</v>
      </c>
      <c r="R286" s="35">
        <v>2</v>
      </c>
      <c r="S286" s="35">
        <v>1145</v>
      </c>
      <c r="T286" s="35">
        <v>1</v>
      </c>
      <c r="U286" s="35">
        <v>1147</v>
      </c>
      <c r="V286" s="35">
        <v>2</v>
      </c>
      <c r="W286" s="35">
        <v>1148</v>
      </c>
      <c r="X286" s="35">
        <v>1</v>
      </c>
      <c r="Y286" s="35">
        <v>1151</v>
      </c>
      <c r="Z286" s="35">
        <v>3</v>
      </c>
      <c r="AA286" s="35">
        <v>1153</v>
      </c>
      <c r="AB286" s="35">
        <v>2</v>
      </c>
      <c r="AC286" s="35">
        <v>5</v>
      </c>
      <c r="AD286" s="35">
        <v>0</v>
      </c>
      <c r="AE286" s="35">
        <v>0</v>
      </c>
      <c r="AG286" s="35">
        <v>3</v>
      </c>
      <c r="AH286" s="35">
        <v>0</v>
      </c>
      <c r="AI286" s="35">
        <v>8</v>
      </c>
    </row>
    <row r="287" spans="1:35" ht="15.75" customHeight="1" x14ac:dyDescent="0.35">
      <c r="A287" s="35">
        <v>289</v>
      </c>
      <c r="B287" s="35" t="s">
        <v>372</v>
      </c>
      <c r="C287" s="35" t="s">
        <v>357</v>
      </c>
      <c r="D287" s="35">
        <v>17</v>
      </c>
      <c r="E287" s="35">
        <v>555</v>
      </c>
      <c r="F287" s="35">
        <v>6</v>
      </c>
      <c r="G287" s="35">
        <v>561</v>
      </c>
      <c r="H287" s="35">
        <v>6</v>
      </c>
      <c r="I287" s="35">
        <v>567</v>
      </c>
      <c r="J287" s="35">
        <v>7</v>
      </c>
      <c r="K287" s="35">
        <v>574</v>
      </c>
      <c r="L287" s="35">
        <v>6</v>
      </c>
      <c r="M287" s="35">
        <v>580</v>
      </c>
      <c r="N287" s="35">
        <v>5</v>
      </c>
      <c r="O287" s="35">
        <v>585</v>
      </c>
      <c r="P287" s="35">
        <v>5</v>
      </c>
      <c r="Q287" s="35">
        <v>590</v>
      </c>
      <c r="R287" s="35">
        <v>5</v>
      </c>
      <c r="S287" s="35">
        <v>594</v>
      </c>
      <c r="T287" s="35">
        <v>4</v>
      </c>
      <c r="U287" s="35">
        <v>598</v>
      </c>
      <c r="V287" s="35">
        <v>4</v>
      </c>
      <c r="W287" s="35">
        <v>603</v>
      </c>
      <c r="X287" s="35">
        <v>5</v>
      </c>
      <c r="Y287" s="35">
        <v>609</v>
      </c>
      <c r="Z287" s="35">
        <v>6</v>
      </c>
      <c r="AA287" s="35">
        <v>616</v>
      </c>
      <c r="AB287" s="35">
        <v>7</v>
      </c>
      <c r="AC287" s="35">
        <v>7</v>
      </c>
      <c r="AD287" s="35">
        <v>0</v>
      </c>
      <c r="AE287" s="35">
        <v>0</v>
      </c>
      <c r="AG287" s="35">
        <v>3</v>
      </c>
      <c r="AH287" s="35">
        <v>0</v>
      </c>
      <c r="AI287" s="35">
        <v>10</v>
      </c>
    </row>
    <row r="288" spans="1:35" ht="15.75" customHeight="1" x14ac:dyDescent="0.35">
      <c r="A288" s="35">
        <v>290</v>
      </c>
      <c r="B288" s="35" t="s">
        <v>373</v>
      </c>
      <c r="C288" s="35" t="s">
        <v>357</v>
      </c>
      <c r="D288" s="35">
        <v>18</v>
      </c>
      <c r="E288" s="35">
        <v>1296</v>
      </c>
      <c r="F288" s="35">
        <v>7</v>
      </c>
      <c r="G288" s="35">
        <v>1303</v>
      </c>
      <c r="H288" s="35">
        <v>8</v>
      </c>
      <c r="I288" s="35">
        <v>1311</v>
      </c>
      <c r="J288" s="35">
        <v>7</v>
      </c>
      <c r="K288" s="35">
        <v>1318</v>
      </c>
      <c r="L288" s="35">
        <v>7</v>
      </c>
      <c r="M288" s="35">
        <v>1325</v>
      </c>
      <c r="N288" s="35">
        <v>6</v>
      </c>
      <c r="O288" s="35">
        <v>1331</v>
      </c>
      <c r="P288" s="35">
        <v>4</v>
      </c>
      <c r="Q288" s="35">
        <v>1335</v>
      </c>
      <c r="R288" s="35">
        <v>4</v>
      </c>
      <c r="S288" s="35">
        <v>1337</v>
      </c>
      <c r="T288" s="35">
        <v>2</v>
      </c>
      <c r="U288" s="35">
        <v>1340</v>
      </c>
      <c r="V288" s="35">
        <v>3</v>
      </c>
      <c r="W288" s="35">
        <v>1343</v>
      </c>
      <c r="X288" s="35">
        <v>3</v>
      </c>
      <c r="Y288" s="35">
        <v>1347</v>
      </c>
      <c r="Z288" s="35">
        <v>4</v>
      </c>
      <c r="AA288" s="35">
        <v>1353</v>
      </c>
      <c r="AB288" s="35">
        <v>6</v>
      </c>
      <c r="AC288" s="35">
        <v>6</v>
      </c>
      <c r="AD288" s="35">
        <v>8</v>
      </c>
      <c r="AE288" s="35">
        <v>0</v>
      </c>
      <c r="AG288" s="35">
        <v>3</v>
      </c>
      <c r="AH288" s="35">
        <v>0</v>
      </c>
      <c r="AI288" s="35">
        <v>17</v>
      </c>
    </row>
    <row r="289" spans="1:35" ht="15.75" customHeight="1" x14ac:dyDescent="0.35">
      <c r="A289" s="35">
        <v>291</v>
      </c>
      <c r="B289" s="35" t="s">
        <v>375</v>
      </c>
      <c r="C289" s="35" t="s">
        <v>357</v>
      </c>
      <c r="D289" s="35">
        <v>19</v>
      </c>
      <c r="E289" s="35">
        <v>1869</v>
      </c>
      <c r="F289" s="35">
        <v>11</v>
      </c>
      <c r="G289" s="35">
        <v>1880</v>
      </c>
      <c r="H289" s="35">
        <v>21</v>
      </c>
      <c r="I289" s="35">
        <v>1901</v>
      </c>
      <c r="J289" s="35">
        <v>10</v>
      </c>
      <c r="K289" s="35">
        <v>1911</v>
      </c>
      <c r="L289" s="35">
        <v>7</v>
      </c>
      <c r="M289" s="35">
        <v>1918</v>
      </c>
      <c r="N289" s="35">
        <v>9</v>
      </c>
      <c r="O289" s="35">
        <v>1927</v>
      </c>
      <c r="P289" s="35">
        <v>8</v>
      </c>
      <c r="Q289" s="35">
        <v>1935</v>
      </c>
      <c r="R289" s="35">
        <v>8</v>
      </c>
      <c r="S289" s="35">
        <v>1945</v>
      </c>
      <c r="T289" s="35">
        <v>10</v>
      </c>
      <c r="U289" s="35">
        <v>1950</v>
      </c>
      <c r="V289" s="35">
        <v>5</v>
      </c>
      <c r="W289" s="35">
        <v>1957</v>
      </c>
      <c r="X289" s="35">
        <v>7</v>
      </c>
      <c r="Y289" s="35">
        <v>1965</v>
      </c>
      <c r="Z289" s="35">
        <v>8</v>
      </c>
      <c r="AA289" s="35">
        <v>1973</v>
      </c>
      <c r="AB289" s="35">
        <v>8</v>
      </c>
      <c r="AC289" s="35">
        <v>8</v>
      </c>
      <c r="AD289" s="35">
        <v>0</v>
      </c>
      <c r="AE289" s="35">
        <v>0</v>
      </c>
      <c r="AG289" s="35">
        <v>3</v>
      </c>
      <c r="AH289" s="35">
        <v>0</v>
      </c>
      <c r="AI289" s="35">
        <v>11</v>
      </c>
    </row>
    <row r="290" spans="1:35" ht="15.75" customHeight="1" x14ac:dyDescent="0.35">
      <c r="A290" s="35">
        <v>292</v>
      </c>
      <c r="B290" s="35" t="s">
        <v>376</v>
      </c>
      <c r="C290" s="35" t="s">
        <v>377</v>
      </c>
      <c r="D290" s="35">
        <v>1</v>
      </c>
      <c r="E290" s="35">
        <v>268</v>
      </c>
      <c r="F290" s="35">
        <v>2</v>
      </c>
      <c r="G290" s="35">
        <v>270</v>
      </c>
      <c r="H290" s="35">
        <v>2</v>
      </c>
      <c r="I290" s="35">
        <v>272</v>
      </c>
      <c r="J290" s="35">
        <v>1</v>
      </c>
      <c r="K290" s="35">
        <v>273</v>
      </c>
      <c r="L290" s="35">
        <v>1</v>
      </c>
      <c r="M290" s="35">
        <v>274</v>
      </c>
      <c r="N290" s="35">
        <v>2</v>
      </c>
      <c r="O290" s="35">
        <v>276</v>
      </c>
      <c r="P290" s="35">
        <v>0</v>
      </c>
      <c r="Q290" s="35">
        <v>276</v>
      </c>
      <c r="R290" s="35">
        <v>0</v>
      </c>
      <c r="S290" s="35">
        <v>276</v>
      </c>
      <c r="T290" s="35">
        <v>0</v>
      </c>
      <c r="U290" s="35">
        <v>277</v>
      </c>
      <c r="V290" s="35">
        <v>1</v>
      </c>
      <c r="W290" s="35">
        <v>278</v>
      </c>
      <c r="X290" s="35">
        <v>1</v>
      </c>
      <c r="Y290" s="35">
        <v>279</v>
      </c>
      <c r="Z290" s="35">
        <v>1</v>
      </c>
      <c r="AA290" s="35">
        <v>282</v>
      </c>
      <c r="AB290" s="35">
        <v>3</v>
      </c>
      <c r="AC290" s="35">
        <v>5</v>
      </c>
      <c r="AD290" s="35">
        <v>0</v>
      </c>
      <c r="AE290" s="35">
        <v>0</v>
      </c>
      <c r="AG290" s="35">
        <v>3</v>
      </c>
      <c r="AH290" s="35">
        <v>0</v>
      </c>
      <c r="AI290" s="35">
        <v>8</v>
      </c>
    </row>
    <row r="291" spans="1:35" ht="15.75" customHeight="1" x14ac:dyDescent="0.35">
      <c r="A291" s="35">
        <v>293</v>
      </c>
      <c r="B291" s="35" t="s">
        <v>378</v>
      </c>
      <c r="C291" s="35" t="s">
        <v>377</v>
      </c>
      <c r="D291" s="35">
        <v>2</v>
      </c>
      <c r="E291" s="35">
        <v>385</v>
      </c>
      <c r="F291" s="35">
        <v>9</v>
      </c>
      <c r="G291" s="35">
        <v>394</v>
      </c>
      <c r="H291" s="35">
        <v>11</v>
      </c>
      <c r="I291" s="35">
        <v>405</v>
      </c>
      <c r="J291" s="35">
        <v>12</v>
      </c>
      <c r="K291" s="35">
        <v>417</v>
      </c>
      <c r="L291" s="35">
        <v>12</v>
      </c>
      <c r="M291" s="35">
        <v>429</v>
      </c>
      <c r="N291" s="35">
        <v>10</v>
      </c>
      <c r="O291" s="35">
        <v>439</v>
      </c>
      <c r="P291" s="35">
        <v>16</v>
      </c>
      <c r="Q291" s="35">
        <v>455</v>
      </c>
      <c r="R291" s="35">
        <v>16</v>
      </c>
      <c r="S291" s="35">
        <v>468</v>
      </c>
      <c r="T291" s="35">
        <v>13</v>
      </c>
      <c r="U291" s="35">
        <v>484</v>
      </c>
      <c r="V291" s="35">
        <v>16</v>
      </c>
      <c r="W291" s="35">
        <v>514</v>
      </c>
      <c r="X291" s="35">
        <v>30</v>
      </c>
      <c r="Y291" s="35">
        <v>539</v>
      </c>
      <c r="Z291" s="35">
        <v>25</v>
      </c>
      <c r="AA291" s="35">
        <v>565</v>
      </c>
      <c r="AB291" s="35">
        <v>26</v>
      </c>
      <c r="AC291" s="35">
        <v>26</v>
      </c>
      <c r="AD291" s="35">
        <v>0</v>
      </c>
      <c r="AE291" s="35">
        <v>0</v>
      </c>
      <c r="AG291" s="35">
        <v>3</v>
      </c>
      <c r="AH291" s="35">
        <v>0</v>
      </c>
      <c r="AI291" s="35">
        <v>29</v>
      </c>
    </row>
    <row r="292" spans="1:35" ht="15.75" customHeight="1" x14ac:dyDescent="0.35">
      <c r="A292" s="35">
        <v>294</v>
      </c>
      <c r="B292" s="35" t="s">
        <v>379</v>
      </c>
      <c r="C292" s="35" t="s">
        <v>377</v>
      </c>
      <c r="D292" s="35">
        <v>3</v>
      </c>
      <c r="E292" s="35">
        <v>2141</v>
      </c>
      <c r="F292" s="35">
        <v>19</v>
      </c>
      <c r="G292" s="35">
        <v>2160</v>
      </c>
      <c r="H292" s="35">
        <v>11</v>
      </c>
      <c r="I292" s="35">
        <v>2171</v>
      </c>
      <c r="J292" s="35">
        <v>12</v>
      </c>
      <c r="K292" s="35">
        <v>2183</v>
      </c>
      <c r="L292" s="35">
        <v>11</v>
      </c>
      <c r="M292" s="35">
        <v>2194</v>
      </c>
      <c r="N292" s="35">
        <v>10</v>
      </c>
      <c r="O292" s="35">
        <v>2204</v>
      </c>
      <c r="P292" s="35">
        <v>12</v>
      </c>
      <c r="Q292" s="35">
        <v>2216</v>
      </c>
      <c r="R292" s="35">
        <v>12</v>
      </c>
      <c r="S292" s="35">
        <v>2224</v>
      </c>
      <c r="T292" s="35">
        <v>8</v>
      </c>
      <c r="U292" s="35">
        <v>2231</v>
      </c>
      <c r="V292" s="35">
        <v>7</v>
      </c>
      <c r="W292" s="35">
        <v>2239</v>
      </c>
      <c r="X292" s="35">
        <v>8</v>
      </c>
      <c r="Y292" s="35">
        <v>2249</v>
      </c>
      <c r="Z292" s="35">
        <v>10</v>
      </c>
      <c r="AA292" s="35">
        <v>2261</v>
      </c>
      <c r="AB292" s="35">
        <v>12</v>
      </c>
      <c r="AC292" s="35">
        <v>12</v>
      </c>
      <c r="AD292" s="35">
        <v>13</v>
      </c>
      <c r="AE292" s="35">
        <v>0</v>
      </c>
      <c r="AG292" s="35">
        <v>3</v>
      </c>
      <c r="AH292" s="35">
        <v>0</v>
      </c>
      <c r="AI292" s="35">
        <v>28</v>
      </c>
    </row>
    <row r="293" spans="1:35" ht="15.75" customHeight="1" x14ac:dyDescent="0.35">
      <c r="A293" s="35">
        <v>295</v>
      </c>
      <c r="B293" s="35" t="s">
        <v>380</v>
      </c>
      <c r="C293" s="35" t="s">
        <v>377</v>
      </c>
      <c r="D293" s="35">
        <v>5</v>
      </c>
      <c r="E293" s="35">
        <v>3126</v>
      </c>
      <c r="F293" s="35">
        <v>11</v>
      </c>
      <c r="G293" s="35">
        <v>3137</v>
      </c>
      <c r="H293" s="35">
        <v>15</v>
      </c>
      <c r="I293" s="35">
        <v>3152</v>
      </c>
      <c r="J293" s="35">
        <v>17</v>
      </c>
      <c r="K293" s="35">
        <v>3169</v>
      </c>
      <c r="L293" s="35">
        <v>20</v>
      </c>
      <c r="M293" s="35">
        <v>3189</v>
      </c>
      <c r="N293" s="35">
        <v>14</v>
      </c>
      <c r="O293" s="35">
        <v>3203</v>
      </c>
      <c r="P293" s="35">
        <v>8</v>
      </c>
      <c r="Q293" s="35">
        <v>3211</v>
      </c>
      <c r="R293" s="35">
        <v>8</v>
      </c>
      <c r="S293" s="35">
        <v>3219</v>
      </c>
      <c r="T293" s="35">
        <v>8</v>
      </c>
      <c r="U293" s="35">
        <v>3217</v>
      </c>
      <c r="V293" s="35">
        <v>8</v>
      </c>
      <c r="W293" s="35">
        <v>3233</v>
      </c>
      <c r="X293" s="35">
        <v>16</v>
      </c>
      <c r="Y293" s="35">
        <v>3243</v>
      </c>
      <c r="Z293" s="35">
        <v>10</v>
      </c>
      <c r="AA293" s="35">
        <v>3252</v>
      </c>
      <c r="AB293" s="35">
        <v>9</v>
      </c>
      <c r="AC293" s="35">
        <v>9</v>
      </c>
      <c r="AD293" s="35">
        <v>13</v>
      </c>
      <c r="AE293" s="35">
        <v>0</v>
      </c>
      <c r="AG293" s="35">
        <v>3</v>
      </c>
      <c r="AH293" s="35">
        <v>0</v>
      </c>
      <c r="AI293" s="35">
        <v>25</v>
      </c>
    </row>
    <row r="294" spans="1:35" ht="15.75" customHeight="1" x14ac:dyDescent="0.35">
      <c r="A294" s="35">
        <v>296</v>
      </c>
      <c r="B294" s="35" t="s">
        <v>381</v>
      </c>
      <c r="C294" s="35" t="s">
        <v>377</v>
      </c>
      <c r="D294" s="35">
        <v>6</v>
      </c>
      <c r="E294" s="35">
        <v>1303</v>
      </c>
      <c r="F294" s="35">
        <v>37</v>
      </c>
      <c r="G294" s="35">
        <v>1340</v>
      </c>
      <c r="H294" s="35">
        <v>43</v>
      </c>
      <c r="I294" s="35">
        <v>1383</v>
      </c>
      <c r="J294" s="35">
        <v>36</v>
      </c>
      <c r="K294" s="35">
        <v>1419</v>
      </c>
      <c r="L294" s="35">
        <v>21</v>
      </c>
      <c r="M294" s="35">
        <v>1440</v>
      </c>
      <c r="N294" s="35">
        <v>31</v>
      </c>
      <c r="O294" s="35">
        <v>1471</v>
      </c>
      <c r="P294" s="35">
        <v>19</v>
      </c>
      <c r="Q294" s="35">
        <v>1490</v>
      </c>
      <c r="R294" s="35">
        <v>19</v>
      </c>
      <c r="S294" s="35">
        <v>1508</v>
      </c>
      <c r="T294" s="35">
        <v>18</v>
      </c>
      <c r="U294" s="35">
        <v>1531</v>
      </c>
      <c r="V294" s="35">
        <v>23</v>
      </c>
      <c r="W294" s="35">
        <v>1548</v>
      </c>
      <c r="X294" s="35">
        <v>17</v>
      </c>
      <c r="Y294" s="35">
        <v>1568</v>
      </c>
      <c r="Z294" s="35">
        <v>20</v>
      </c>
      <c r="AA294" s="35">
        <v>1594</v>
      </c>
      <c r="AB294" s="35">
        <v>26</v>
      </c>
      <c r="AC294" s="35">
        <v>26</v>
      </c>
      <c r="AD294" s="35">
        <v>23</v>
      </c>
      <c r="AE294" s="35">
        <v>0</v>
      </c>
      <c r="AG294" s="35">
        <v>3</v>
      </c>
      <c r="AH294" s="35">
        <v>0</v>
      </c>
      <c r="AI294" s="35">
        <v>52</v>
      </c>
    </row>
    <row r="295" spans="1:35" ht="15.75" customHeight="1" x14ac:dyDescent="0.35">
      <c r="A295" s="35">
        <v>297</v>
      </c>
      <c r="B295" s="35" t="s">
        <v>382</v>
      </c>
      <c r="C295" s="35" t="s">
        <v>377</v>
      </c>
      <c r="D295" s="35">
        <v>7</v>
      </c>
      <c r="E295" s="35">
        <v>1192</v>
      </c>
      <c r="F295" s="35">
        <v>19</v>
      </c>
      <c r="G295" s="35">
        <v>1211</v>
      </c>
      <c r="H295" s="35">
        <v>27</v>
      </c>
      <c r="I295" s="35">
        <v>1238</v>
      </c>
      <c r="J295" s="35">
        <v>28</v>
      </c>
      <c r="K295" s="35">
        <v>1266</v>
      </c>
      <c r="L295" s="35">
        <v>22</v>
      </c>
      <c r="M295" s="35">
        <v>1288</v>
      </c>
      <c r="N295" s="35">
        <v>19</v>
      </c>
      <c r="O295" s="35">
        <v>1307</v>
      </c>
      <c r="P295" s="35">
        <v>17</v>
      </c>
      <c r="Q295" s="35">
        <v>1324</v>
      </c>
      <c r="R295" s="35">
        <v>17</v>
      </c>
      <c r="S295" s="35">
        <v>1338</v>
      </c>
      <c r="T295" s="35">
        <v>14</v>
      </c>
      <c r="U295" s="35">
        <v>1356</v>
      </c>
      <c r="V295" s="35">
        <v>18</v>
      </c>
      <c r="W295" s="35">
        <v>1372</v>
      </c>
      <c r="X295" s="35">
        <v>16</v>
      </c>
      <c r="Y295" s="35">
        <v>1388</v>
      </c>
      <c r="Z295" s="35">
        <v>16</v>
      </c>
      <c r="AA295" s="35">
        <v>1401</v>
      </c>
      <c r="AB295" s="35">
        <v>13</v>
      </c>
      <c r="AC295" s="35">
        <v>13</v>
      </c>
      <c r="AD295" s="35">
        <v>0</v>
      </c>
      <c r="AE295" s="35">
        <v>0</v>
      </c>
      <c r="AG295" s="35">
        <v>3</v>
      </c>
      <c r="AH295" s="35">
        <v>0</v>
      </c>
      <c r="AI295" s="35">
        <v>16</v>
      </c>
    </row>
    <row r="296" spans="1:35" ht="15.75" customHeight="1" x14ac:dyDescent="0.35">
      <c r="A296" s="35">
        <v>298</v>
      </c>
      <c r="B296" s="35" t="s">
        <v>383</v>
      </c>
      <c r="C296" s="35" t="s">
        <v>377</v>
      </c>
      <c r="D296" s="35">
        <v>8</v>
      </c>
      <c r="E296" s="35">
        <v>2262</v>
      </c>
      <c r="F296" s="35">
        <v>15</v>
      </c>
      <c r="G296" s="35">
        <v>2277</v>
      </c>
      <c r="H296" s="35">
        <v>15</v>
      </c>
      <c r="I296" s="35">
        <v>2292</v>
      </c>
      <c r="J296" s="35">
        <v>13</v>
      </c>
      <c r="K296" s="35">
        <v>2305</v>
      </c>
      <c r="L296" s="35">
        <v>11</v>
      </c>
      <c r="M296" s="35">
        <v>2316</v>
      </c>
      <c r="N296" s="35">
        <v>11</v>
      </c>
      <c r="O296" s="35">
        <v>2327</v>
      </c>
      <c r="P296" s="35">
        <v>10</v>
      </c>
      <c r="Q296" s="35">
        <v>2337</v>
      </c>
      <c r="R296" s="35">
        <v>10</v>
      </c>
      <c r="S296" s="35">
        <v>2346</v>
      </c>
      <c r="T296" s="35">
        <v>9</v>
      </c>
      <c r="U296" s="35">
        <v>2354</v>
      </c>
      <c r="V296" s="35">
        <v>8</v>
      </c>
      <c r="W296" s="35">
        <v>2364</v>
      </c>
      <c r="X296" s="35">
        <v>10</v>
      </c>
      <c r="Y296" s="35">
        <v>2375</v>
      </c>
      <c r="Z296" s="35">
        <v>11</v>
      </c>
      <c r="AA296" s="35">
        <v>2387</v>
      </c>
      <c r="AB296" s="35">
        <v>12</v>
      </c>
      <c r="AC296" s="35">
        <v>12</v>
      </c>
      <c r="AD296" s="35">
        <v>0</v>
      </c>
      <c r="AE296" s="35">
        <v>0</v>
      </c>
      <c r="AG296" s="35">
        <v>3</v>
      </c>
      <c r="AH296" s="35">
        <v>0</v>
      </c>
      <c r="AI296" s="35">
        <v>15</v>
      </c>
    </row>
    <row r="297" spans="1:35" ht="15.75" customHeight="1" x14ac:dyDescent="0.35">
      <c r="A297" s="35">
        <v>299</v>
      </c>
      <c r="B297" s="35" t="s">
        <v>385</v>
      </c>
      <c r="C297" s="35" t="s">
        <v>377</v>
      </c>
      <c r="D297" s="35">
        <v>9</v>
      </c>
      <c r="E297" s="35">
        <v>1955</v>
      </c>
      <c r="F297" s="35">
        <v>13</v>
      </c>
      <c r="G297" s="35">
        <v>1968</v>
      </c>
      <c r="H297" s="35">
        <v>14</v>
      </c>
      <c r="I297" s="35">
        <v>1982</v>
      </c>
      <c r="J297" s="35">
        <v>12</v>
      </c>
      <c r="K297" s="35">
        <v>1994</v>
      </c>
      <c r="L297" s="35">
        <v>11</v>
      </c>
      <c r="M297" s="35">
        <v>2005</v>
      </c>
      <c r="N297" s="35">
        <v>10</v>
      </c>
      <c r="O297" s="35">
        <v>2015</v>
      </c>
      <c r="P297" s="35">
        <v>9</v>
      </c>
      <c r="Q297" s="35">
        <v>2024</v>
      </c>
      <c r="R297" s="35">
        <v>9</v>
      </c>
      <c r="S297" s="35">
        <v>2033</v>
      </c>
      <c r="T297" s="35">
        <v>9</v>
      </c>
      <c r="U297" s="35">
        <v>2044</v>
      </c>
      <c r="V297" s="35">
        <v>11</v>
      </c>
      <c r="W297" s="35">
        <v>2055</v>
      </c>
      <c r="X297" s="35">
        <v>11</v>
      </c>
      <c r="Y297" s="35">
        <v>2066</v>
      </c>
      <c r="Z297" s="35">
        <v>11</v>
      </c>
      <c r="AA297" s="35">
        <v>2077</v>
      </c>
      <c r="AB297" s="35">
        <v>11</v>
      </c>
      <c r="AC297" s="35">
        <v>11</v>
      </c>
      <c r="AD297" s="35">
        <v>0</v>
      </c>
      <c r="AE297" s="35">
        <v>0</v>
      </c>
      <c r="AG297" s="35">
        <v>3</v>
      </c>
      <c r="AH297" s="35">
        <v>0</v>
      </c>
      <c r="AI297" s="35">
        <v>14</v>
      </c>
    </row>
    <row r="298" spans="1:35" ht="15.75" customHeight="1" x14ac:dyDescent="0.35">
      <c r="A298" s="35">
        <v>300</v>
      </c>
      <c r="B298" s="35" t="s">
        <v>386</v>
      </c>
      <c r="C298" s="35" t="s">
        <v>377</v>
      </c>
      <c r="D298" s="35">
        <v>12</v>
      </c>
      <c r="E298" s="35">
        <v>610</v>
      </c>
      <c r="F298" s="35">
        <v>16</v>
      </c>
      <c r="G298" s="35">
        <v>626</v>
      </c>
      <c r="H298" s="35">
        <v>15</v>
      </c>
      <c r="I298" s="35">
        <v>641</v>
      </c>
      <c r="J298" s="35">
        <v>18</v>
      </c>
      <c r="K298" s="35">
        <v>659</v>
      </c>
      <c r="L298" s="35">
        <v>15</v>
      </c>
      <c r="M298" s="35">
        <v>674</v>
      </c>
      <c r="N298" s="35">
        <v>14</v>
      </c>
      <c r="O298" s="35">
        <v>688</v>
      </c>
      <c r="P298" s="35">
        <v>10</v>
      </c>
      <c r="Q298" s="35">
        <v>698</v>
      </c>
      <c r="R298" s="35">
        <v>10</v>
      </c>
      <c r="S298" s="35">
        <v>709</v>
      </c>
      <c r="T298" s="35">
        <v>11</v>
      </c>
      <c r="U298" s="35">
        <v>716</v>
      </c>
      <c r="V298" s="35">
        <v>7</v>
      </c>
      <c r="W298" s="35">
        <v>724</v>
      </c>
      <c r="X298" s="35">
        <v>8</v>
      </c>
      <c r="Y298" s="35">
        <v>734</v>
      </c>
      <c r="Z298" s="35">
        <v>10</v>
      </c>
      <c r="AA298" s="35">
        <v>747</v>
      </c>
      <c r="AB298" s="35">
        <v>13</v>
      </c>
      <c r="AC298" s="35">
        <v>13</v>
      </c>
      <c r="AD298" s="35">
        <v>0</v>
      </c>
      <c r="AE298" s="35">
        <v>0</v>
      </c>
      <c r="AG298" s="35">
        <v>3</v>
      </c>
      <c r="AH298" s="35">
        <v>0</v>
      </c>
      <c r="AI298" s="35">
        <v>16</v>
      </c>
    </row>
    <row r="299" spans="1:35" ht="15.75" customHeight="1" x14ac:dyDescent="0.35">
      <c r="A299" s="35">
        <v>301</v>
      </c>
      <c r="B299" s="35" t="s">
        <v>654</v>
      </c>
      <c r="C299" s="35" t="s">
        <v>377</v>
      </c>
      <c r="D299" s="35">
        <v>13</v>
      </c>
      <c r="E299" s="35">
        <v>593</v>
      </c>
      <c r="F299" s="35">
        <v>9</v>
      </c>
      <c r="G299" s="35">
        <v>602</v>
      </c>
      <c r="H299" s="35">
        <v>12</v>
      </c>
      <c r="I299" s="35">
        <v>614</v>
      </c>
      <c r="J299" s="35">
        <v>11</v>
      </c>
      <c r="K299" s="35">
        <v>625</v>
      </c>
      <c r="L299" s="35">
        <v>9</v>
      </c>
      <c r="M299" s="35">
        <v>634</v>
      </c>
      <c r="N299" s="35">
        <v>7</v>
      </c>
      <c r="O299" s="35">
        <v>641</v>
      </c>
      <c r="P299" s="35">
        <v>6</v>
      </c>
      <c r="Q299" s="35">
        <v>647</v>
      </c>
      <c r="R299" s="35">
        <v>6</v>
      </c>
      <c r="S299" s="35">
        <v>653</v>
      </c>
      <c r="T299" s="35">
        <v>6</v>
      </c>
      <c r="U299" s="35">
        <v>661</v>
      </c>
      <c r="V299" s="35">
        <v>8</v>
      </c>
      <c r="W299" s="35">
        <v>667</v>
      </c>
      <c r="X299" s="35">
        <v>6</v>
      </c>
      <c r="Y299" s="35">
        <v>675</v>
      </c>
      <c r="Z299" s="35">
        <v>8</v>
      </c>
      <c r="AA299" s="35">
        <v>683</v>
      </c>
      <c r="AB299" s="35">
        <v>8</v>
      </c>
      <c r="AC299" s="35">
        <v>8</v>
      </c>
      <c r="AD299" s="35">
        <v>0</v>
      </c>
      <c r="AE299" s="35">
        <v>0</v>
      </c>
      <c r="AG299" s="35">
        <v>3</v>
      </c>
      <c r="AH299" s="35">
        <v>0</v>
      </c>
      <c r="AI299" s="35">
        <v>11</v>
      </c>
    </row>
    <row r="300" spans="1:35" ht="15.75" customHeight="1" x14ac:dyDescent="0.35">
      <c r="A300" s="35">
        <v>302</v>
      </c>
      <c r="B300" s="35" t="s">
        <v>388</v>
      </c>
      <c r="C300" s="35" t="s">
        <v>377</v>
      </c>
      <c r="D300" s="35">
        <v>14</v>
      </c>
      <c r="E300" s="35">
        <v>914</v>
      </c>
      <c r="F300" s="35">
        <v>11</v>
      </c>
      <c r="G300" s="35">
        <v>925</v>
      </c>
      <c r="H300" s="35">
        <v>11</v>
      </c>
      <c r="I300" s="35">
        <v>936</v>
      </c>
      <c r="J300" s="35">
        <v>9</v>
      </c>
      <c r="K300" s="35">
        <v>945</v>
      </c>
      <c r="L300" s="35">
        <v>9</v>
      </c>
      <c r="M300" s="35">
        <v>954</v>
      </c>
      <c r="N300" s="35">
        <v>7</v>
      </c>
      <c r="O300" s="35">
        <v>961</v>
      </c>
      <c r="P300" s="35">
        <v>5</v>
      </c>
      <c r="Q300" s="35">
        <v>966</v>
      </c>
      <c r="R300" s="35">
        <v>5</v>
      </c>
      <c r="S300" s="35">
        <v>971</v>
      </c>
      <c r="T300" s="35">
        <v>5</v>
      </c>
      <c r="U300" s="35">
        <v>977</v>
      </c>
      <c r="V300" s="35">
        <v>6</v>
      </c>
      <c r="W300" s="35">
        <v>982</v>
      </c>
      <c r="X300" s="35">
        <v>5</v>
      </c>
      <c r="Y300" s="35">
        <v>988</v>
      </c>
      <c r="Z300" s="35">
        <v>6</v>
      </c>
      <c r="AA300" s="35">
        <v>993</v>
      </c>
      <c r="AB300" s="35">
        <v>5</v>
      </c>
      <c r="AC300" s="35">
        <v>5</v>
      </c>
      <c r="AD300" s="35">
        <v>2</v>
      </c>
      <c r="AE300" s="35">
        <v>0</v>
      </c>
      <c r="AG300" s="35">
        <v>3</v>
      </c>
      <c r="AH300" s="35">
        <v>20</v>
      </c>
      <c r="AI300" s="35">
        <v>30</v>
      </c>
    </row>
    <row r="301" spans="1:35" ht="15.75" customHeight="1" x14ac:dyDescent="0.35">
      <c r="A301" s="35">
        <v>303</v>
      </c>
      <c r="B301" s="35" t="s">
        <v>389</v>
      </c>
      <c r="C301" s="35" t="s">
        <v>377</v>
      </c>
      <c r="D301" s="35">
        <v>15</v>
      </c>
      <c r="E301" s="35">
        <v>255</v>
      </c>
      <c r="F301" s="35">
        <v>4</v>
      </c>
      <c r="G301" s="35">
        <v>259</v>
      </c>
      <c r="H301" s="35">
        <v>3</v>
      </c>
      <c r="I301" s="35">
        <v>262</v>
      </c>
      <c r="J301" s="35">
        <v>2</v>
      </c>
      <c r="K301" s="35">
        <v>264</v>
      </c>
      <c r="L301" s="35">
        <v>3</v>
      </c>
      <c r="M301" s="35">
        <v>267</v>
      </c>
      <c r="N301" s="35">
        <v>3</v>
      </c>
      <c r="O301" s="35">
        <v>270</v>
      </c>
      <c r="P301" s="35">
        <v>3</v>
      </c>
      <c r="Q301" s="35">
        <v>273</v>
      </c>
      <c r="R301" s="35">
        <v>3</v>
      </c>
      <c r="S301" s="35">
        <v>274</v>
      </c>
      <c r="T301" s="35">
        <v>1</v>
      </c>
      <c r="U301" s="35">
        <v>276</v>
      </c>
      <c r="V301" s="35">
        <v>2</v>
      </c>
      <c r="W301" s="35">
        <v>277</v>
      </c>
      <c r="X301" s="35">
        <v>1</v>
      </c>
      <c r="Y301" s="35">
        <v>280</v>
      </c>
      <c r="Z301" s="35">
        <v>3</v>
      </c>
      <c r="AA301" s="35">
        <v>282</v>
      </c>
      <c r="AB301" s="35">
        <v>2</v>
      </c>
      <c r="AC301" s="35">
        <v>5</v>
      </c>
      <c r="AD301" s="35">
        <v>0</v>
      </c>
      <c r="AE301" s="35">
        <v>0</v>
      </c>
      <c r="AG301" s="35">
        <v>3</v>
      </c>
      <c r="AH301" s="35">
        <v>0</v>
      </c>
      <c r="AI301" s="35">
        <v>8</v>
      </c>
    </row>
    <row r="302" spans="1:35" ht="15.75" customHeight="1" x14ac:dyDescent="0.35">
      <c r="A302" s="35">
        <v>304</v>
      </c>
      <c r="B302" s="35" t="s">
        <v>390</v>
      </c>
      <c r="C302" s="35" t="s">
        <v>377</v>
      </c>
      <c r="D302" s="35">
        <v>16</v>
      </c>
      <c r="E302" s="35">
        <v>37</v>
      </c>
      <c r="F302" s="35">
        <v>2</v>
      </c>
      <c r="G302" s="35">
        <v>39</v>
      </c>
      <c r="H302" s="35">
        <v>0</v>
      </c>
      <c r="I302" s="35">
        <v>39</v>
      </c>
      <c r="J302" s="35">
        <v>4</v>
      </c>
      <c r="K302" s="35">
        <v>43</v>
      </c>
      <c r="L302" s="35">
        <v>4</v>
      </c>
      <c r="M302" s="35">
        <v>47</v>
      </c>
      <c r="N302" s="35">
        <v>4</v>
      </c>
      <c r="O302" s="35">
        <v>51</v>
      </c>
      <c r="P302" s="35">
        <v>4</v>
      </c>
      <c r="Q302" s="35">
        <v>55</v>
      </c>
      <c r="R302" s="35">
        <v>4</v>
      </c>
      <c r="S302" s="35">
        <v>59</v>
      </c>
      <c r="T302" s="35">
        <v>4</v>
      </c>
      <c r="U302" s="35">
        <v>63</v>
      </c>
      <c r="V302" s="35">
        <v>4</v>
      </c>
      <c r="W302" s="35">
        <v>67</v>
      </c>
      <c r="X302" s="35">
        <v>4</v>
      </c>
      <c r="Y302" s="35">
        <v>72</v>
      </c>
      <c r="Z302" s="35">
        <v>5</v>
      </c>
      <c r="AA302" s="35">
        <v>79</v>
      </c>
      <c r="AB302" s="35">
        <v>7</v>
      </c>
      <c r="AC302" s="35">
        <v>7</v>
      </c>
      <c r="AD302" s="35">
        <v>8</v>
      </c>
      <c r="AE302" s="35">
        <v>0</v>
      </c>
      <c r="AG302" s="35">
        <v>3</v>
      </c>
      <c r="AH302" s="35">
        <v>20</v>
      </c>
      <c r="AI302" s="35">
        <v>38</v>
      </c>
    </row>
    <row r="303" spans="1:35" ht="15.75" customHeight="1" x14ac:dyDescent="0.35">
      <c r="A303" s="35">
        <v>305</v>
      </c>
      <c r="B303" s="35" t="s">
        <v>655</v>
      </c>
      <c r="C303" s="35" t="s">
        <v>392</v>
      </c>
      <c r="D303" s="35">
        <v>1</v>
      </c>
      <c r="E303" s="35">
        <v>781</v>
      </c>
      <c r="F303" s="35">
        <v>20</v>
      </c>
      <c r="G303" s="35">
        <v>801</v>
      </c>
      <c r="H303" s="35">
        <v>-20</v>
      </c>
      <c r="I303" s="35">
        <v>781</v>
      </c>
      <c r="J303" s="35">
        <v>0</v>
      </c>
      <c r="K303" s="35">
        <v>0</v>
      </c>
      <c r="L303" s="35">
        <v>7</v>
      </c>
      <c r="M303" s="35">
        <v>7</v>
      </c>
      <c r="N303" s="35">
        <v>11</v>
      </c>
      <c r="O303" s="35">
        <v>18</v>
      </c>
      <c r="P303" s="35">
        <v>7</v>
      </c>
      <c r="Q303" s="35">
        <v>25</v>
      </c>
      <c r="R303" s="35">
        <v>7</v>
      </c>
      <c r="S303" s="35">
        <v>30</v>
      </c>
      <c r="T303" s="35">
        <v>5</v>
      </c>
      <c r="U303" s="35">
        <v>35</v>
      </c>
      <c r="V303" s="35">
        <v>5</v>
      </c>
      <c r="W303" s="35">
        <v>40</v>
      </c>
      <c r="X303" s="35">
        <v>5</v>
      </c>
      <c r="Y303" s="35">
        <v>47</v>
      </c>
      <c r="Z303" s="35">
        <v>7</v>
      </c>
      <c r="AA303" s="35">
        <v>53</v>
      </c>
      <c r="AB303" s="35">
        <v>6</v>
      </c>
      <c r="AC303" s="35">
        <v>6</v>
      </c>
      <c r="AD303" s="35">
        <v>10</v>
      </c>
      <c r="AE303" s="35">
        <v>0</v>
      </c>
      <c r="AG303" s="35">
        <v>3</v>
      </c>
      <c r="AH303" s="35">
        <v>20</v>
      </c>
      <c r="AI303" s="35">
        <v>39</v>
      </c>
    </row>
    <row r="304" spans="1:35" ht="15.75" customHeight="1" x14ac:dyDescent="0.35">
      <c r="A304" s="35">
        <v>306</v>
      </c>
      <c r="B304" s="35" t="s">
        <v>393</v>
      </c>
      <c r="C304" s="35" t="s">
        <v>392</v>
      </c>
      <c r="D304" s="35">
        <v>2</v>
      </c>
      <c r="E304" s="35">
        <v>2128</v>
      </c>
      <c r="F304" s="35">
        <v>24</v>
      </c>
      <c r="G304" s="35">
        <v>2152</v>
      </c>
      <c r="H304" s="35">
        <v>24</v>
      </c>
      <c r="I304" s="35">
        <v>2176</v>
      </c>
      <c r="J304" s="35">
        <v>21</v>
      </c>
      <c r="K304" s="35">
        <v>2197</v>
      </c>
      <c r="L304" s="35">
        <v>17</v>
      </c>
      <c r="M304" s="35">
        <v>2214</v>
      </c>
      <c r="N304" s="35">
        <v>17</v>
      </c>
      <c r="O304" s="35">
        <v>2231</v>
      </c>
      <c r="P304" s="35">
        <v>12</v>
      </c>
      <c r="Q304" s="35">
        <v>2243</v>
      </c>
      <c r="R304" s="35">
        <v>12</v>
      </c>
      <c r="S304" s="35">
        <v>2256</v>
      </c>
      <c r="T304" s="35">
        <v>13</v>
      </c>
      <c r="U304" s="35">
        <v>2268</v>
      </c>
      <c r="V304" s="35">
        <v>12</v>
      </c>
      <c r="W304" s="35">
        <v>2285</v>
      </c>
      <c r="X304" s="35">
        <v>17</v>
      </c>
      <c r="Y304" s="35">
        <v>2299</v>
      </c>
      <c r="Z304" s="35">
        <v>14</v>
      </c>
      <c r="AA304" s="35">
        <v>2314</v>
      </c>
      <c r="AB304" s="35">
        <v>15</v>
      </c>
      <c r="AC304" s="35">
        <v>15</v>
      </c>
      <c r="AD304" s="35">
        <v>0</v>
      </c>
      <c r="AE304" s="35">
        <v>0</v>
      </c>
      <c r="AG304" s="35">
        <v>3</v>
      </c>
      <c r="AH304" s="35">
        <v>0</v>
      </c>
      <c r="AI304" s="35">
        <v>18</v>
      </c>
    </row>
    <row r="305" spans="1:35" ht="15.75" customHeight="1" x14ac:dyDescent="0.35">
      <c r="A305" s="35">
        <v>307</v>
      </c>
      <c r="B305" s="35" t="s">
        <v>394</v>
      </c>
      <c r="C305" s="35" t="s">
        <v>392</v>
      </c>
      <c r="D305" s="35">
        <v>3</v>
      </c>
      <c r="E305" s="35">
        <v>1800</v>
      </c>
      <c r="F305" s="35">
        <v>7</v>
      </c>
      <c r="G305" s="35">
        <v>1807</v>
      </c>
      <c r="H305" s="35">
        <v>369</v>
      </c>
      <c r="I305" s="35">
        <v>2176</v>
      </c>
      <c r="J305" s="35">
        <v>0</v>
      </c>
      <c r="K305" s="35">
        <v>0</v>
      </c>
      <c r="L305" s="35">
        <v>5</v>
      </c>
      <c r="M305" s="35">
        <v>5</v>
      </c>
      <c r="N305" s="35">
        <v>3</v>
      </c>
      <c r="O305" s="35">
        <v>8</v>
      </c>
      <c r="P305" s="35">
        <v>1</v>
      </c>
      <c r="Q305" s="35">
        <v>9</v>
      </c>
      <c r="R305" s="35">
        <v>1</v>
      </c>
      <c r="S305" s="35">
        <v>12</v>
      </c>
      <c r="T305" s="35">
        <v>3</v>
      </c>
      <c r="U305" s="35">
        <v>15</v>
      </c>
      <c r="V305" s="35">
        <v>3</v>
      </c>
      <c r="W305" s="35">
        <v>17</v>
      </c>
      <c r="X305" s="35">
        <v>2</v>
      </c>
      <c r="Y305" s="35">
        <v>20</v>
      </c>
      <c r="Z305" s="35">
        <v>3</v>
      </c>
      <c r="AA305" s="35">
        <v>25</v>
      </c>
      <c r="AB305" s="35">
        <v>5</v>
      </c>
      <c r="AC305" s="35">
        <v>5</v>
      </c>
      <c r="AD305" s="35">
        <v>0</v>
      </c>
      <c r="AE305" s="35">
        <v>0</v>
      </c>
      <c r="AG305" s="35">
        <v>3</v>
      </c>
      <c r="AH305" s="35">
        <v>20</v>
      </c>
      <c r="AI305" s="35">
        <v>28</v>
      </c>
    </row>
    <row r="306" spans="1:35" ht="15.75" customHeight="1" x14ac:dyDescent="0.35">
      <c r="A306" s="35">
        <v>308</v>
      </c>
      <c r="B306" s="35" t="s">
        <v>395</v>
      </c>
      <c r="C306" s="35" t="s">
        <v>392</v>
      </c>
      <c r="D306" s="35">
        <v>4</v>
      </c>
      <c r="E306" s="35">
        <v>570</v>
      </c>
      <c r="F306" s="35">
        <v>9</v>
      </c>
      <c r="G306" s="35">
        <v>579</v>
      </c>
      <c r="H306" s="35">
        <v>8</v>
      </c>
      <c r="I306" s="35">
        <v>587</v>
      </c>
      <c r="J306" s="35">
        <v>8</v>
      </c>
      <c r="K306" s="35">
        <v>595</v>
      </c>
      <c r="L306" s="35">
        <v>9</v>
      </c>
      <c r="M306" s="35">
        <v>604</v>
      </c>
      <c r="N306" s="35">
        <v>10</v>
      </c>
      <c r="O306" s="35">
        <v>614</v>
      </c>
      <c r="P306" s="35">
        <v>8</v>
      </c>
      <c r="Q306" s="35">
        <v>622</v>
      </c>
      <c r="R306" s="35">
        <v>8</v>
      </c>
      <c r="S306" s="35">
        <v>629</v>
      </c>
      <c r="T306" s="35">
        <v>7</v>
      </c>
      <c r="U306" s="35">
        <v>636</v>
      </c>
      <c r="V306" s="35">
        <v>7</v>
      </c>
      <c r="W306" s="35">
        <v>642</v>
      </c>
      <c r="X306" s="35">
        <v>6</v>
      </c>
      <c r="Y306" s="35">
        <v>648</v>
      </c>
      <c r="Z306" s="35">
        <v>6</v>
      </c>
      <c r="AA306" s="35">
        <v>655</v>
      </c>
      <c r="AB306" s="35">
        <v>7</v>
      </c>
      <c r="AC306" s="35">
        <v>7</v>
      </c>
      <c r="AD306" s="35">
        <v>0</v>
      </c>
      <c r="AE306" s="35">
        <v>0</v>
      </c>
      <c r="AG306" s="35">
        <v>3</v>
      </c>
      <c r="AH306" s="35">
        <v>20</v>
      </c>
      <c r="AI306" s="35">
        <v>30</v>
      </c>
    </row>
    <row r="307" spans="1:35" ht="15.75" customHeight="1" x14ac:dyDescent="0.35">
      <c r="A307" s="35">
        <v>309</v>
      </c>
      <c r="B307" s="35" t="s">
        <v>396</v>
      </c>
      <c r="C307" s="35" t="s">
        <v>392</v>
      </c>
      <c r="D307" s="35">
        <v>5</v>
      </c>
      <c r="E307" s="35">
        <v>364</v>
      </c>
      <c r="F307" s="35">
        <v>21</v>
      </c>
      <c r="G307" s="35">
        <v>385</v>
      </c>
      <c r="H307" s="35">
        <v>28</v>
      </c>
      <c r="I307" s="35">
        <v>413</v>
      </c>
      <c r="J307" s="35">
        <v>5</v>
      </c>
      <c r="K307" s="35">
        <v>418</v>
      </c>
      <c r="L307" s="35">
        <v>1</v>
      </c>
      <c r="M307" s="35">
        <v>419</v>
      </c>
      <c r="N307" s="35">
        <v>2</v>
      </c>
      <c r="O307" s="35">
        <v>421</v>
      </c>
      <c r="P307" s="35">
        <v>2</v>
      </c>
      <c r="Q307" s="35">
        <v>423</v>
      </c>
      <c r="R307" s="35">
        <v>2</v>
      </c>
      <c r="S307" s="35">
        <v>425</v>
      </c>
      <c r="T307" s="35">
        <v>2</v>
      </c>
      <c r="U307" s="35">
        <v>426</v>
      </c>
      <c r="V307" s="35">
        <v>1</v>
      </c>
      <c r="W307" s="35">
        <v>429</v>
      </c>
      <c r="X307" s="35">
        <v>3</v>
      </c>
      <c r="Y307" s="35">
        <v>431</v>
      </c>
      <c r="Z307" s="35">
        <v>2</v>
      </c>
      <c r="AA307" s="35">
        <v>433</v>
      </c>
      <c r="AB307" s="35">
        <v>2</v>
      </c>
      <c r="AC307" s="35">
        <v>5</v>
      </c>
      <c r="AD307" s="35">
        <v>8</v>
      </c>
      <c r="AE307" s="35">
        <v>0</v>
      </c>
      <c r="AG307" s="35">
        <v>3</v>
      </c>
      <c r="AH307" s="35">
        <v>0</v>
      </c>
      <c r="AI307" s="35">
        <v>16</v>
      </c>
    </row>
    <row r="308" spans="1:35" ht="15.75" customHeight="1" x14ac:dyDescent="0.35">
      <c r="A308" s="35">
        <v>310</v>
      </c>
      <c r="B308" s="35" t="s">
        <v>397</v>
      </c>
      <c r="C308" s="35" t="s">
        <v>392</v>
      </c>
      <c r="D308" s="35">
        <v>7</v>
      </c>
      <c r="E308" s="35">
        <v>2763</v>
      </c>
      <c r="F308" s="35">
        <v>20</v>
      </c>
      <c r="G308" s="35">
        <v>2783</v>
      </c>
      <c r="H308" s="35">
        <v>-20</v>
      </c>
      <c r="I308" s="35">
        <v>2763</v>
      </c>
      <c r="J308" s="35">
        <v>0</v>
      </c>
      <c r="K308" s="35">
        <v>0</v>
      </c>
      <c r="L308" s="35">
        <v>14</v>
      </c>
      <c r="M308" s="35">
        <v>14</v>
      </c>
      <c r="N308" s="35">
        <v>11</v>
      </c>
      <c r="O308" s="35">
        <v>25</v>
      </c>
      <c r="P308" s="35">
        <v>9</v>
      </c>
      <c r="Q308" s="35">
        <v>34</v>
      </c>
      <c r="R308" s="35">
        <v>9</v>
      </c>
      <c r="S308" s="35">
        <v>43</v>
      </c>
      <c r="T308" s="35">
        <v>9</v>
      </c>
      <c r="U308" s="35">
        <v>53</v>
      </c>
      <c r="V308" s="35">
        <v>10</v>
      </c>
      <c r="W308" s="35">
        <v>64</v>
      </c>
      <c r="X308" s="35">
        <v>11</v>
      </c>
      <c r="Y308" s="35">
        <v>72</v>
      </c>
      <c r="Z308" s="35">
        <v>8</v>
      </c>
      <c r="AA308" s="35">
        <v>81</v>
      </c>
      <c r="AB308" s="35">
        <v>9</v>
      </c>
      <c r="AC308" s="35">
        <v>9</v>
      </c>
      <c r="AD308" s="35">
        <v>11</v>
      </c>
      <c r="AE308" s="35">
        <v>0</v>
      </c>
      <c r="AG308" s="35">
        <v>3</v>
      </c>
      <c r="AH308" s="35">
        <v>0</v>
      </c>
      <c r="AI308" s="35">
        <v>23</v>
      </c>
    </row>
    <row r="309" spans="1:35" ht="15.75" customHeight="1" x14ac:dyDescent="0.35">
      <c r="A309" s="35">
        <v>311</v>
      </c>
      <c r="B309" s="35" t="s">
        <v>398</v>
      </c>
      <c r="C309" s="35" t="s">
        <v>392</v>
      </c>
      <c r="D309" s="35">
        <v>8</v>
      </c>
      <c r="E309" s="35">
        <v>1790</v>
      </c>
      <c r="F309" s="35">
        <v>14</v>
      </c>
      <c r="G309" s="35">
        <v>1804</v>
      </c>
      <c r="H309" s="35">
        <v>11</v>
      </c>
      <c r="I309" s="35">
        <v>1815</v>
      </c>
      <c r="J309" s="35">
        <v>13</v>
      </c>
      <c r="K309" s="35">
        <v>1828</v>
      </c>
      <c r="L309" s="35">
        <v>14</v>
      </c>
      <c r="M309" s="35">
        <v>1842</v>
      </c>
      <c r="N309" s="35">
        <v>11</v>
      </c>
      <c r="O309" s="35">
        <v>1853</v>
      </c>
      <c r="P309" s="35">
        <v>8</v>
      </c>
      <c r="Q309" s="35">
        <v>1861</v>
      </c>
      <c r="R309" s="35">
        <v>8</v>
      </c>
      <c r="S309" s="35">
        <v>1868</v>
      </c>
      <c r="T309" s="35">
        <v>7</v>
      </c>
      <c r="U309" s="35">
        <v>1875</v>
      </c>
      <c r="V309" s="35">
        <v>7</v>
      </c>
      <c r="W309" s="35">
        <v>1885</v>
      </c>
      <c r="X309" s="35">
        <v>10</v>
      </c>
      <c r="Y309" s="35">
        <v>1894</v>
      </c>
      <c r="Z309" s="35">
        <v>9</v>
      </c>
      <c r="AA309" s="35">
        <v>1903</v>
      </c>
      <c r="AB309" s="35">
        <v>9</v>
      </c>
      <c r="AC309" s="35">
        <v>9</v>
      </c>
      <c r="AD309" s="35">
        <v>0</v>
      </c>
      <c r="AE309" s="35">
        <v>0</v>
      </c>
      <c r="AG309" s="35">
        <v>3</v>
      </c>
      <c r="AH309" s="35">
        <v>0</v>
      </c>
      <c r="AI309" s="35">
        <v>12</v>
      </c>
    </row>
    <row r="310" spans="1:35" ht="15.75" customHeight="1" x14ac:dyDescent="0.35">
      <c r="A310" s="35">
        <v>312</v>
      </c>
      <c r="B310" s="35" t="s">
        <v>399</v>
      </c>
      <c r="C310" s="35" t="s">
        <v>400</v>
      </c>
      <c r="D310" s="35">
        <v>1</v>
      </c>
      <c r="E310" s="35">
        <v>154</v>
      </c>
      <c r="F310" s="35">
        <v>29</v>
      </c>
      <c r="G310" s="35">
        <v>183</v>
      </c>
      <c r="H310" s="35">
        <v>30</v>
      </c>
      <c r="I310" s="35">
        <v>213</v>
      </c>
      <c r="J310" s="35">
        <v>27</v>
      </c>
      <c r="K310" s="35">
        <v>240</v>
      </c>
      <c r="L310" s="35">
        <v>23</v>
      </c>
      <c r="M310" s="35">
        <v>263</v>
      </c>
      <c r="N310" s="35">
        <v>18</v>
      </c>
      <c r="O310" s="35">
        <v>281</v>
      </c>
      <c r="P310" s="35">
        <v>21</v>
      </c>
      <c r="Q310" s="35">
        <v>302</v>
      </c>
      <c r="R310" s="35">
        <v>21</v>
      </c>
      <c r="S310" s="35">
        <v>318</v>
      </c>
      <c r="T310" s="35">
        <v>16</v>
      </c>
      <c r="U310" s="35">
        <v>334</v>
      </c>
      <c r="V310" s="35">
        <v>16</v>
      </c>
      <c r="W310" s="35">
        <v>349</v>
      </c>
      <c r="X310" s="35">
        <v>15</v>
      </c>
      <c r="Y310" s="35">
        <v>368</v>
      </c>
      <c r="Z310" s="35">
        <v>19</v>
      </c>
      <c r="AA310" s="35">
        <v>388</v>
      </c>
      <c r="AB310" s="35">
        <v>20</v>
      </c>
      <c r="AC310" s="35">
        <v>20</v>
      </c>
      <c r="AD310" s="35">
        <v>0</v>
      </c>
      <c r="AE310" s="35">
        <v>0</v>
      </c>
      <c r="AG310" s="35">
        <v>3</v>
      </c>
      <c r="AH310" s="35">
        <v>20</v>
      </c>
      <c r="AI310" s="35">
        <v>43</v>
      </c>
    </row>
    <row r="311" spans="1:35" ht="15.75" customHeight="1" x14ac:dyDescent="0.35">
      <c r="A311" s="35">
        <v>313</v>
      </c>
      <c r="B311" s="35" t="s">
        <v>401</v>
      </c>
      <c r="C311" s="35" t="s">
        <v>400</v>
      </c>
      <c r="D311" s="35">
        <v>2</v>
      </c>
      <c r="E311" s="35">
        <v>1504</v>
      </c>
      <c r="F311" s="35">
        <v>28</v>
      </c>
      <c r="G311" s="35">
        <v>1532</v>
      </c>
      <c r="H311" s="35">
        <v>26</v>
      </c>
      <c r="I311" s="35">
        <v>1558</v>
      </c>
      <c r="J311" s="35">
        <v>25</v>
      </c>
      <c r="K311" s="35">
        <v>1583</v>
      </c>
      <c r="L311" s="35">
        <v>28</v>
      </c>
      <c r="M311" s="35">
        <v>1611</v>
      </c>
      <c r="N311" s="35">
        <v>26</v>
      </c>
      <c r="O311" s="35">
        <v>1637</v>
      </c>
      <c r="P311" s="35">
        <v>17</v>
      </c>
      <c r="Q311" s="35">
        <v>1654</v>
      </c>
      <c r="R311" s="35">
        <v>17</v>
      </c>
      <c r="S311" s="35">
        <v>1672</v>
      </c>
      <c r="T311" s="35">
        <v>18</v>
      </c>
      <c r="U311" s="35">
        <v>1686</v>
      </c>
      <c r="V311" s="35">
        <v>14</v>
      </c>
      <c r="W311" s="35">
        <v>1706</v>
      </c>
      <c r="X311" s="35">
        <v>20</v>
      </c>
      <c r="Y311" s="35">
        <v>1730</v>
      </c>
      <c r="Z311" s="35">
        <v>24</v>
      </c>
      <c r="AA311" s="35">
        <v>1750</v>
      </c>
      <c r="AB311" s="35">
        <v>20</v>
      </c>
      <c r="AC311" s="35">
        <v>20</v>
      </c>
      <c r="AD311" s="35">
        <v>0</v>
      </c>
      <c r="AE311" s="35">
        <v>0</v>
      </c>
      <c r="AG311" s="35">
        <v>3</v>
      </c>
      <c r="AH311" s="35">
        <v>20</v>
      </c>
      <c r="AI311" s="35">
        <v>43</v>
      </c>
    </row>
    <row r="312" spans="1:35" ht="15.75" customHeight="1" x14ac:dyDescent="0.35">
      <c r="A312" s="35">
        <v>314</v>
      </c>
      <c r="B312" s="35" t="s">
        <v>402</v>
      </c>
      <c r="C312" s="35" t="s">
        <v>400</v>
      </c>
      <c r="D312" s="35">
        <v>3</v>
      </c>
      <c r="E312" s="35">
        <v>1365</v>
      </c>
      <c r="F312" s="35">
        <v>10</v>
      </c>
      <c r="G312" s="35">
        <v>1375</v>
      </c>
      <c r="H312" s="35">
        <v>12</v>
      </c>
      <c r="I312" s="35">
        <v>1387</v>
      </c>
      <c r="J312" s="35">
        <v>10</v>
      </c>
      <c r="K312" s="35">
        <v>1397</v>
      </c>
      <c r="L312" s="35">
        <v>10</v>
      </c>
      <c r="M312" s="35">
        <v>1407</v>
      </c>
      <c r="N312" s="35">
        <v>8</v>
      </c>
      <c r="O312" s="35">
        <v>1415</v>
      </c>
      <c r="P312" s="35">
        <v>9</v>
      </c>
      <c r="Q312" s="35">
        <v>1424</v>
      </c>
      <c r="R312" s="35">
        <v>9</v>
      </c>
      <c r="S312" s="35">
        <v>1431</v>
      </c>
      <c r="T312" s="35">
        <v>7</v>
      </c>
      <c r="U312" s="35">
        <v>1437</v>
      </c>
      <c r="V312" s="35">
        <v>6</v>
      </c>
      <c r="W312" s="35">
        <v>1445</v>
      </c>
      <c r="X312" s="35">
        <v>8</v>
      </c>
      <c r="Y312" s="35">
        <v>1453</v>
      </c>
      <c r="Z312" s="35">
        <v>8</v>
      </c>
      <c r="AA312" s="35">
        <v>1463</v>
      </c>
      <c r="AB312" s="35">
        <v>10</v>
      </c>
      <c r="AC312" s="35">
        <v>10</v>
      </c>
      <c r="AD312" s="35">
        <v>0</v>
      </c>
      <c r="AE312" s="35">
        <v>0</v>
      </c>
      <c r="AG312" s="35">
        <v>3</v>
      </c>
      <c r="AH312" s="35">
        <v>0</v>
      </c>
      <c r="AI312" s="35">
        <v>13</v>
      </c>
    </row>
    <row r="313" spans="1:35" ht="15.75" customHeight="1" x14ac:dyDescent="0.35">
      <c r="A313" s="35">
        <v>315</v>
      </c>
      <c r="B313" s="35" t="s">
        <v>403</v>
      </c>
      <c r="C313" s="35" t="s">
        <v>400</v>
      </c>
      <c r="D313" s="35">
        <v>4</v>
      </c>
      <c r="E313" s="35">
        <v>3136</v>
      </c>
      <c r="F313" s="35">
        <v>21</v>
      </c>
      <c r="G313" s="35">
        <v>3157</v>
      </c>
      <c r="H313" s="35">
        <v>19</v>
      </c>
      <c r="I313" s="35">
        <v>3176</v>
      </c>
      <c r="J313" s="35">
        <v>24</v>
      </c>
      <c r="K313" s="35">
        <v>3200</v>
      </c>
      <c r="L313" s="35">
        <v>28</v>
      </c>
      <c r="M313" s="35">
        <v>3228</v>
      </c>
      <c r="N313" s="35">
        <v>23</v>
      </c>
      <c r="O313" s="35">
        <v>3251</v>
      </c>
      <c r="P313" s="35">
        <v>20</v>
      </c>
      <c r="Q313" s="35">
        <v>3271</v>
      </c>
      <c r="R313" s="35">
        <v>20</v>
      </c>
      <c r="S313" s="35">
        <v>3285</v>
      </c>
      <c r="T313" s="35">
        <v>14</v>
      </c>
      <c r="U313" s="35">
        <v>3305</v>
      </c>
      <c r="V313" s="35">
        <v>20</v>
      </c>
      <c r="W313" s="35">
        <v>3324</v>
      </c>
      <c r="X313" s="35">
        <v>19</v>
      </c>
      <c r="Y313" s="35">
        <v>3344</v>
      </c>
      <c r="Z313" s="35">
        <v>20</v>
      </c>
      <c r="AA313" s="35">
        <v>3363</v>
      </c>
      <c r="AB313" s="35">
        <v>19</v>
      </c>
      <c r="AC313" s="35">
        <v>19</v>
      </c>
      <c r="AD313" s="35">
        <v>0</v>
      </c>
      <c r="AE313" s="35">
        <v>0</v>
      </c>
      <c r="AG313" s="35">
        <v>3</v>
      </c>
      <c r="AH313" s="35">
        <v>0</v>
      </c>
      <c r="AI313" s="35">
        <v>22</v>
      </c>
    </row>
    <row r="314" spans="1:35" ht="15.75" customHeight="1" x14ac:dyDescent="0.35">
      <c r="A314" s="35">
        <v>316</v>
      </c>
      <c r="B314" s="35" t="s">
        <v>404</v>
      </c>
      <c r="C314" s="35" t="s">
        <v>400</v>
      </c>
      <c r="D314" s="35">
        <v>5</v>
      </c>
      <c r="E314" s="35">
        <v>1766</v>
      </c>
      <c r="F314" s="35">
        <v>23</v>
      </c>
      <c r="G314" s="35">
        <v>1789</v>
      </c>
      <c r="H314" s="35">
        <v>25</v>
      </c>
      <c r="I314" s="35">
        <v>1814</v>
      </c>
      <c r="J314" s="35">
        <v>24</v>
      </c>
      <c r="K314" s="35">
        <v>1838</v>
      </c>
      <c r="L314" s="35">
        <v>24</v>
      </c>
      <c r="M314" s="35">
        <v>1862</v>
      </c>
      <c r="N314" s="35">
        <v>21</v>
      </c>
      <c r="O314" s="35">
        <v>1883</v>
      </c>
      <c r="P314" s="35">
        <v>13</v>
      </c>
      <c r="Q314" s="35">
        <v>1896</v>
      </c>
      <c r="R314" s="35">
        <v>13</v>
      </c>
      <c r="S314" s="35">
        <v>1910</v>
      </c>
      <c r="T314" s="35">
        <v>14</v>
      </c>
      <c r="U314" s="35">
        <v>1923</v>
      </c>
      <c r="V314" s="35">
        <v>13</v>
      </c>
      <c r="W314" s="35">
        <v>1937</v>
      </c>
      <c r="X314" s="35">
        <v>14</v>
      </c>
      <c r="Y314" s="35">
        <v>1950</v>
      </c>
      <c r="Z314" s="35">
        <v>13</v>
      </c>
      <c r="AA314" s="35">
        <v>1966</v>
      </c>
      <c r="AB314" s="35">
        <v>16</v>
      </c>
      <c r="AC314" s="35">
        <v>16</v>
      </c>
      <c r="AD314" s="35">
        <v>0</v>
      </c>
      <c r="AE314" s="35">
        <v>0</v>
      </c>
      <c r="AG314" s="35">
        <v>3</v>
      </c>
      <c r="AH314" s="35">
        <v>0</v>
      </c>
      <c r="AI314" s="35">
        <v>19</v>
      </c>
    </row>
    <row r="315" spans="1:35" ht="15.75" customHeight="1" x14ac:dyDescent="0.35">
      <c r="A315" s="35">
        <v>317</v>
      </c>
      <c r="B315" s="35" t="s">
        <v>405</v>
      </c>
      <c r="C315" s="35" t="s">
        <v>400</v>
      </c>
      <c r="D315" s="35">
        <v>7</v>
      </c>
      <c r="E315" s="35">
        <v>145</v>
      </c>
      <c r="F315" s="35">
        <v>2</v>
      </c>
      <c r="G315" s="35">
        <v>147</v>
      </c>
      <c r="H315" s="35">
        <v>1</v>
      </c>
      <c r="I315" s="35">
        <v>148</v>
      </c>
      <c r="J315" s="35">
        <v>2</v>
      </c>
      <c r="K315" s="35">
        <v>150</v>
      </c>
      <c r="L315" s="35">
        <v>2</v>
      </c>
      <c r="M315" s="35">
        <v>152</v>
      </c>
      <c r="N315" s="35">
        <v>0</v>
      </c>
      <c r="O315" s="35">
        <v>152</v>
      </c>
      <c r="P315" s="35">
        <v>1</v>
      </c>
      <c r="Q315" s="35">
        <v>153</v>
      </c>
      <c r="R315" s="35">
        <v>1</v>
      </c>
      <c r="S315" s="35">
        <v>154</v>
      </c>
      <c r="T315" s="35">
        <v>1</v>
      </c>
      <c r="U315" s="35">
        <v>155</v>
      </c>
      <c r="V315" s="35">
        <v>1</v>
      </c>
      <c r="W315" s="35">
        <v>155</v>
      </c>
      <c r="X315" s="35">
        <v>0</v>
      </c>
      <c r="Y315" s="35">
        <v>157</v>
      </c>
      <c r="Z315" s="35">
        <v>2</v>
      </c>
      <c r="AA315" s="35">
        <v>160</v>
      </c>
      <c r="AB315" s="35">
        <v>3</v>
      </c>
      <c r="AC315" s="35">
        <v>5</v>
      </c>
      <c r="AD315" s="35">
        <v>0</v>
      </c>
      <c r="AE315" s="35">
        <v>0</v>
      </c>
      <c r="AG315" s="35">
        <v>3</v>
      </c>
      <c r="AH315" s="35">
        <v>20</v>
      </c>
      <c r="AI315" s="35">
        <v>28</v>
      </c>
    </row>
    <row r="316" spans="1:35" ht="15.75" customHeight="1" x14ac:dyDescent="0.35">
      <c r="A316" s="35">
        <v>318</v>
      </c>
      <c r="B316" s="35" t="s">
        <v>406</v>
      </c>
      <c r="C316" s="35" t="s">
        <v>400</v>
      </c>
      <c r="D316" s="35">
        <v>8</v>
      </c>
      <c r="E316" s="35">
        <v>325</v>
      </c>
      <c r="F316" s="35">
        <v>1</v>
      </c>
      <c r="G316" s="35">
        <v>326</v>
      </c>
      <c r="H316" s="35">
        <v>0</v>
      </c>
      <c r="I316" s="35">
        <v>326</v>
      </c>
      <c r="J316" s="35">
        <v>1</v>
      </c>
      <c r="K316" s="35">
        <v>327</v>
      </c>
      <c r="L316" s="35">
        <v>0</v>
      </c>
      <c r="M316" s="35">
        <v>327</v>
      </c>
      <c r="N316" s="35">
        <v>1</v>
      </c>
      <c r="O316" s="35">
        <v>328</v>
      </c>
      <c r="P316" s="35">
        <v>0</v>
      </c>
      <c r="Q316" s="35">
        <v>328</v>
      </c>
      <c r="R316" s="35">
        <v>0</v>
      </c>
      <c r="S316" s="35">
        <v>328</v>
      </c>
      <c r="T316" s="35">
        <v>0</v>
      </c>
      <c r="U316" s="35">
        <v>328</v>
      </c>
      <c r="V316" s="35">
        <v>0</v>
      </c>
      <c r="W316" s="35">
        <v>335</v>
      </c>
      <c r="X316" s="35">
        <v>7</v>
      </c>
      <c r="Y316" s="35">
        <v>335</v>
      </c>
      <c r="Z316" s="35">
        <v>0</v>
      </c>
      <c r="AA316" s="35">
        <v>335</v>
      </c>
      <c r="AB316" s="35">
        <v>0</v>
      </c>
      <c r="AC316" s="35">
        <v>5</v>
      </c>
      <c r="AD316" s="35">
        <v>0</v>
      </c>
      <c r="AE316" s="35">
        <v>0</v>
      </c>
      <c r="AG316" s="35">
        <v>3</v>
      </c>
      <c r="AH316" s="35">
        <v>0</v>
      </c>
      <c r="AI316" s="35">
        <v>8</v>
      </c>
    </row>
    <row r="317" spans="1:35" ht="15.75" customHeight="1" x14ac:dyDescent="0.35">
      <c r="A317" s="35">
        <v>319</v>
      </c>
      <c r="B317" s="35" t="s">
        <v>407</v>
      </c>
      <c r="C317" s="35" t="s">
        <v>400</v>
      </c>
      <c r="D317" s="35">
        <v>9</v>
      </c>
      <c r="E317" s="35">
        <v>638</v>
      </c>
      <c r="F317" s="35">
        <v>11</v>
      </c>
      <c r="G317" s="35">
        <v>649</v>
      </c>
      <c r="H317" s="35">
        <v>13</v>
      </c>
      <c r="I317" s="35">
        <v>662</v>
      </c>
      <c r="J317" s="35">
        <v>12</v>
      </c>
      <c r="K317" s="35">
        <v>674</v>
      </c>
      <c r="L317" s="35">
        <v>12</v>
      </c>
      <c r="M317" s="35">
        <v>686</v>
      </c>
      <c r="N317" s="35">
        <v>10</v>
      </c>
      <c r="O317" s="35">
        <v>696</v>
      </c>
      <c r="P317" s="35">
        <v>8</v>
      </c>
      <c r="Q317" s="35">
        <v>704</v>
      </c>
      <c r="R317" s="35">
        <v>8</v>
      </c>
      <c r="S317" s="35">
        <v>710</v>
      </c>
      <c r="T317" s="35">
        <v>6</v>
      </c>
      <c r="U317" s="35">
        <v>715</v>
      </c>
      <c r="V317" s="35">
        <v>5</v>
      </c>
      <c r="W317" s="35">
        <v>720</v>
      </c>
      <c r="X317" s="35">
        <v>5</v>
      </c>
      <c r="Y317" s="35">
        <v>724</v>
      </c>
      <c r="Z317" s="35">
        <v>4</v>
      </c>
      <c r="AA317" s="35">
        <v>729</v>
      </c>
      <c r="AB317" s="35">
        <v>5</v>
      </c>
      <c r="AC317" s="35">
        <v>5</v>
      </c>
      <c r="AD317" s="35">
        <v>0</v>
      </c>
      <c r="AE317" s="35">
        <v>0</v>
      </c>
      <c r="AG317" s="35">
        <v>3</v>
      </c>
      <c r="AH317" s="35">
        <v>0</v>
      </c>
      <c r="AI317" s="35">
        <v>8</v>
      </c>
    </row>
    <row r="318" spans="1:35" ht="15.75" customHeight="1" x14ac:dyDescent="0.35">
      <c r="A318" s="35">
        <v>320</v>
      </c>
      <c r="B318" s="35" t="s">
        <v>408</v>
      </c>
      <c r="C318" s="35" t="s">
        <v>400</v>
      </c>
      <c r="D318" s="35">
        <v>10</v>
      </c>
      <c r="E318" s="35">
        <v>1696</v>
      </c>
      <c r="F318" s="35">
        <v>6</v>
      </c>
      <c r="G318" s="35">
        <v>1702</v>
      </c>
      <c r="H318" s="35">
        <v>9</v>
      </c>
      <c r="I318" s="35">
        <v>1711</v>
      </c>
      <c r="J318" s="35">
        <v>4</v>
      </c>
      <c r="K318" s="35">
        <v>1715</v>
      </c>
      <c r="L318" s="35">
        <v>5</v>
      </c>
      <c r="M318" s="35">
        <v>1720</v>
      </c>
      <c r="N318" s="35">
        <v>4</v>
      </c>
      <c r="O318" s="35">
        <v>1724</v>
      </c>
      <c r="P318" s="35">
        <v>4</v>
      </c>
      <c r="Q318" s="35">
        <v>1728</v>
      </c>
      <c r="R318" s="35">
        <v>4</v>
      </c>
      <c r="S318" s="35">
        <v>1731</v>
      </c>
      <c r="T318" s="35">
        <v>3</v>
      </c>
      <c r="U318" s="35">
        <v>1734</v>
      </c>
      <c r="V318" s="35">
        <v>3</v>
      </c>
      <c r="W318" s="35">
        <v>1737</v>
      </c>
      <c r="X318" s="35">
        <v>3</v>
      </c>
      <c r="Y318" s="35">
        <v>1740</v>
      </c>
      <c r="Z318" s="35">
        <v>3</v>
      </c>
      <c r="AA318" s="35">
        <v>1743</v>
      </c>
      <c r="AB318" s="35">
        <v>3</v>
      </c>
      <c r="AC318" s="35">
        <v>5</v>
      </c>
      <c r="AD318" s="35">
        <v>0</v>
      </c>
      <c r="AE318" s="35">
        <v>0</v>
      </c>
      <c r="AG318" s="35">
        <v>3</v>
      </c>
      <c r="AH318" s="35">
        <v>0</v>
      </c>
      <c r="AI318" s="35">
        <v>8</v>
      </c>
    </row>
    <row r="319" spans="1:35" ht="15.75" customHeight="1" x14ac:dyDescent="0.35">
      <c r="A319" s="35">
        <v>321</v>
      </c>
      <c r="B319" s="35" t="s">
        <v>409</v>
      </c>
      <c r="C319" s="35" t="s">
        <v>400</v>
      </c>
      <c r="D319" s="35">
        <v>11</v>
      </c>
      <c r="E319" s="35">
        <v>1184</v>
      </c>
      <c r="F319" s="35">
        <v>7</v>
      </c>
      <c r="G319" s="35">
        <v>1191</v>
      </c>
      <c r="H319" s="35">
        <v>8</v>
      </c>
      <c r="I319" s="35">
        <v>1199</v>
      </c>
      <c r="J319" s="35">
        <v>11</v>
      </c>
      <c r="K319" s="35">
        <v>1210</v>
      </c>
      <c r="L319" s="35">
        <v>11</v>
      </c>
      <c r="M319" s="35">
        <v>1221</v>
      </c>
      <c r="N319" s="35">
        <v>13</v>
      </c>
      <c r="O319" s="35">
        <v>1234</v>
      </c>
      <c r="P319" s="35">
        <v>12</v>
      </c>
      <c r="Q319" s="35">
        <v>1246</v>
      </c>
      <c r="R319" s="35">
        <v>12</v>
      </c>
      <c r="S319" s="35">
        <v>1252</v>
      </c>
      <c r="T319" s="35">
        <v>6</v>
      </c>
      <c r="U319" s="35">
        <v>1260</v>
      </c>
      <c r="V319" s="35">
        <v>8</v>
      </c>
      <c r="W319" s="35">
        <v>1268</v>
      </c>
      <c r="X319" s="35">
        <v>8</v>
      </c>
      <c r="Y319" s="35">
        <v>1273</v>
      </c>
      <c r="Z319" s="35">
        <v>5</v>
      </c>
      <c r="AA319" s="35">
        <v>1287</v>
      </c>
      <c r="AB319" s="35">
        <v>14</v>
      </c>
      <c r="AC319" s="35">
        <v>14</v>
      </c>
      <c r="AD319" s="35">
        <v>0</v>
      </c>
      <c r="AE319" s="35">
        <v>0</v>
      </c>
      <c r="AG319" s="35">
        <v>3</v>
      </c>
      <c r="AH319" s="35">
        <v>0</v>
      </c>
      <c r="AI319" s="35">
        <v>17</v>
      </c>
    </row>
    <row r="320" spans="1:35" ht="15.75" customHeight="1" x14ac:dyDescent="0.35">
      <c r="A320" s="35">
        <v>322</v>
      </c>
      <c r="B320" s="35" t="s">
        <v>410</v>
      </c>
      <c r="C320" s="35" t="s">
        <v>400</v>
      </c>
      <c r="D320" s="35">
        <v>12</v>
      </c>
      <c r="E320" s="35">
        <v>30</v>
      </c>
      <c r="F320" s="35">
        <v>2</v>
      </c>
      <c r="G320" s="35">
        <v>32</v>
      </c>
      <c r="H320" s="35">
        <v>2</v>
      </c>
      <c r="I320" s="35">
        <v>34</v>
      </c>
      <c r="J320" s="35">
        <v>5</v>
      </c>
      <c r="K320" s="35">
        <v>39</v>
      </c>
      <c r="L320" s="35">
        <v>8</v>
      </c>
      <c r="M320" s="35">
        <v>47</v>
      </c>
      <c r="N320" s="35">
        <v>1</v>
      </c>
      <c r="O320" s="35">
        <v>48</v>
      </c>
      <c r="P320" s="35">
        <v>1</v>
      </c>
      <c r="Q320" s="35">
        <v>49</v>
      </c>
      <c r="R320" s="35">
        <v>1</v>
      </c>
      <c r="S320" s="35">
        <v>49</v>
      </c>
      <c r="T320" s="35">
        <v>0</v>
      </c>
      <c r="U320" s="35">
        <v>49</v>
      </c>
      <c r="V320" s="35">
        <v>0</v>
      </c>
      <c r="W320" s="35">
        <v>50</v>
      </c>
      <c r="X320" s="35">
        <v>1</v>
      </c>
      <c r="Y320" s="35">
        <v>50</v>
      </c>
      <c r="Z320" s="35">
        <v>0</v>
      </c>
      <c r="AA320" s="35">
        <v>51</v>
      </c>
      <c r="AB320" s="35">
        <v>1</v>
      </c>
      <c r="AC320" s="35">
        <v>5</v>
      </c>
      <c r="AD320" s="35">
        <v>0</v>
      </c>
      <c r="AE320" s="35">
        <v>0</v>
      </c>
      <c r="AG320" s="35">
        <v>3</v>
      </c>
      <c r="AH320" s="35">
        <v>0</v>
      </c>
      <c r="AI320" s="35">
        <v>8</v>
      </c>
    </row>
    <row r="321" spans="1:35" ht="15.75" customHeight="1" x14ac:dyDescent="0.35">
      <c r="A321" s="35">
        <v>323</v>
      </c>
      <c r="B321" s="35" t="s">
        <v>411</v>
      </c>
      <c r="C321" s="35" t="s">
        <v>400</v>
      </c>
      <c r="D321" s="35">
        <v>13</v>
      </c>
      <c r="E321" s="35">
        <v>4129</v>
      </c>
      <c r="F321" s="35">
        <v>17</v>
      </c>
      <c r="G321" s="35">
        <v>4146</v>
      </c>
      <c r="H321" s="35">
        <v>17</v>
      </c>
      <c r="I321" s="35">
        <v>4163</v>
      </c>
      <c r="J321" s="35">
        <v>15</v>
      </c>
      <c r="K321" s="35">
        <v>4178</v>
      </c>
      <c r="L321" s="35">
        <v>13</v>
      </c>
      <c r="M321" s="35">
        <v>4191</v>
      </c>
      <c r="N321" s="35">
        <v>11</v>
      </c>
      <c r="O321" s="35">
        <v>4202</v>
      </c>
      <c r="P321" s="35">
        <v>9</v>
      </c>
      <c r="Q321" s="35">
        <v>4211</v>
      </c>
      <c r="R321" s="35">
        <v>9</v>
      </c>
      <c r="S321" s="35">
        <v>4221</v>
      </c>
      <c r="T321" s="35">
        <v>10</v>
      </c>
      <c r="U321" s="35">
        <v>4233</v>
      </c>
      <c r="V321" s="35">
        <v>12</v>
      </c>
      <c r="W321" s="35">
        <v>4241</v>
      </c>
      <c r="X321" s="35">
        <v>8</v>
      </c>
      <c r="Y321" s="35">
        <v>4254</v>
      </c>
      <c r="Z321" s="35">
        <v>13</v>
      </c>
      <c r="AA321" s="35">
        <v>4268</v>
      </c>
      <c r="AB321" s="35">
        <v>14</v>
      </c>
      <c r="AC321" s="35">
        <v>14</v>
      </c>
      <c r="AD321" s="35">
        <v>0</v>
      </c>
      <c r="AE321" s="35">
        <v>0</v>
      </c>
      <c r="AG321" s="35">
        <v>3</v>
      </c>
      <c r="AH321" s="35">
        <v>20</v>
      </c>
      <c r="AI321" s="35">
        <v>37</v>
      </c>
    </row>
    <row r="322" spans="1:35" ht="15.75" customHeight="1" x14ac:dyDescent="0.35">
      <c r="A322" s="35">
        <v>324</v>
      </c>
      <c r="B322" s="35" t="s">
        <v>412</v>
      </c>
      <c r="C322" s="35" t="s">
        <v>400</v>
      </c>
      <c r="D322" s="35">
        <v>15</v>
      </c>
      <c r="E322" s="35">
        <v>1348</v>
      </c>
      <c r="F322" s="35">
        <v>8</v>
      </c>
      <c r="G322" s="35">
        <v>1356</v>
      </c>
      <c r="H322" s="35">
        <v>8</v>
      </c>
      <c r="I322" s="35">
        <v>1364</v>
      </c>
      <c r="J322" s="35">
        <v>8</v>
      </c>
      <c r="K322" s="35">
        <v>1372</v>
      </c>
      <c r="L322" s="35">
        <v>6</v>
      </c>
      <c r="M322" s="35">
        <v>1378</v>
      </c>
      <c r="N322" s="35">
        <v>5</v>
      </c>
      <c r="O322" s="35">
        <v>1383</v>
      </c>
      <c r="P322" s="35">
        <v>5</v>
      </c>
      <c r="Q322" s="35">
        <v>1388</v>
      </c>
      <c r="R322" s="35">
        <v>5</v>
      </c>
      <c r="S322" s="35">
        <v>1394</v>
      </c>
      <c r="T322" s="35">
        <v>6</v>
      </c>
      <c r="U322" s="35">
        <v>1400</v>
      </c>
      <c r="V322" s="35">
        <v>6</v>
      </c>
      <c r="W322" s="35">
        <v>1407</v>
      </c>
      <c r="X322" s="35">
        <v>7</v>
      </c>
      <c r="Y322" s="35">
        <v>1412</v>
      </c>
      <c r="Z322" s="35">
        <v>5</v>
      </c>
      <c r="AA322" s="35">
        <v>1418</v>
      </c>
      <c r="AB322" s="35">
        <v>6</v>
      </c>
      <c r="AC322" s="35">
        <v>6</v>
      </c>
      <c r="AD322" s="35">
        <v>0</v>
      </c>
      <c r="AE322" s="35">
        <v>0</v>
      </c>
      <c r="AG322" s="35">
        <v>3</v>
      </c>
      <c r="AH322" s="35">
        <v>0</v>
      </c>
      <c r="AI322" s="35">
        <v>9</v>
      </c>
    </row>
    <row r="323" spans="1:35" ht="15.75" customHeight="1" x14ac:dyDescent="0.35">
      <c r="A323" s="35">
        <v>325</v>
      </c>
      <c r="B323" s="35" t="s">
        <v>413</v>
      </c>
      <c r="C323" s="35" t="s">
        <v>414</v>
      </c>
      <c r="D323" s="35">
        <v>1</v>
      </c>
      <c r="E323" s="35">
        <v>2335</v>
      </c>
      <c r="F323" s="35">
        <v>15</v>
      </c>
      <c r="G323" s="35">
        <v>2350</v>
      </c>
      <c r="H323" s="35">
        <v>22</v>
      </c>
      <c r="I323" s="35">
        <v>2372</v>
      </c>
      <c r="J323" s="35">
        <v>18</v>
      </c>
      <c r="K323" s="35">
        <v>2390</v>
      </c>
      <c r="L323" s="35">
        <v>11</v>
      </c>
      <c r="M323" s="35">
        <v>2401</v>
      </c>
      <c r="N323" s="35">
        <v>15</v>
      </c>
      <c r="O323" s="35">
        <v>2416</v>
      </c>
      <c r="P323" s="35">
        <v>11</v>
      </c>
      <c r="Q323" s="35">
        <v>2427</v>
      </c>
      <c r="R323" s="35">
        <v>11</v>
      </c>
      <c r="S323" s="35">
        <v>2436</v>
      </c>
      <c r="T323" s="35">
        <v>9</v>
      </c>
      <c r="U323" s="35">
        <v>2447</v>
      </c>
      <c r="V323" s="35">
        <v>11</v>
      </c>
      <c r="W323" s="35">
        <v>2455</v>
      </c>
      <c r="X323" s="35">
        <v>8</v>
      </c>
      <c r="Y323" s="35">
        <v>2466</v>
      </c>
      <c r="Z323" s="35">
        <v>11</v>
      </c>
      <c r="AA323" s="35">
        <v>2479</v>
      </c>
      <c r="AB323" s="35">
        <v>13</v>
      </c>
      <c r="AC323" s="35">
        <v>13</v>
      </c>
      <c r="AD323" s="35">
        <v>0</v>
      </c>
      <c r="AE323" s="35">
        <v>0</v>
      </c>
      <c r="AG323" s="35">
        <v>3</v>
      </c>
      <c r="AH323" s="35">
        <v>0</v>
      </c>
      <c r="AI323" s="35">
        <v>16</v>
      </c>
    </row>
    <row r="324" spans="1:35" ht="15.75" customHeight="1" x14ac:dyDescent="0.35">
      <c r="A324" s="35">
        <v>326</v>
      </c>
      <c r="B324" s="35" t="s">
        <v>415</v>
      </c>
      <c r="C324" s="35" t="s">
        <v>414</v>
      </c>
      <c r="D324" s="35">
        <v>3</v>
      </c>
      <c r="E324" s="35">
        <v>45</v>
      </c>
      <c r="F324" s="35">
        <v>8</v>
      </c>
      <c r="G324" s="35">
        <v>53</v>
      </c>
      <c r="H324" s="35">
        <v>8</v>
      </c>
      <c r="I324" s="35">
        <v>61</v>
      </c>
      <c r="J324" s="35">
        <v>8</v>
      </c>
      <c r="K324" s="35">
        <v>69</v>
      </c>
      <c r="L324" s="35">
        <v>6</v>
      </c>
      <c r="M324" s="35">
        <v>75</v>
      </c>
      <c r="N324" s="35">
        <v>7</v>
      </c>
      <c r="O324" s="35">
        <v>82</v>
      </c>
      <c r="P324" s="35">
        <v>1</v>
      </c>
      <c r="Q324" s="35">
        <v>83</v>
      </c>
      <c r="R324" s="35">
        <v>1</v>
      </c>
      <c r="S324" s="35">
        <v>86</v>
      </c>
      <c r="T324" s="35">
        <v>3</v>
      </c>
      <c r="U324" s="35">
        <v>90</v>
      </c>
      <c r="V324" s="35">
        <v>4</v>
      </c>
      <c r="W324" s="35">
        <v>94</v>
      </c>
      <c r="X324" s="35">
        <v>4</v>
      </c>
      <c r="Y324" s="35">
        <v>98</v>
      </c>
      <c r="Z324" s="35">
        <v>4</v>
      </c>
      <c r="AA324" s="35">
        <v>102</v>
      </c>
      <c r="AB324" s="35">
        <v>4</v>
      </c>
      <c r="AC324" s="35">
        <v>5</v>
      </c>
      <c r="AD324" s="35">
        <v>0</v>
      </c>
      <c r="AE324" s="35">
        <v>0</v>
      </c>
      <c r="AG324" s="35">
        <v>3</v>
      </c>
      <c r="AH324" s="35">
        <v>0</v>
      </c>
      <c r="AI324" s="35">
        <v>8</v>
      </c>
    </row>
    <row r="325" spans="1:35" ht="15.75" customHeight="1" x14ac:dyDescent="0.35">
      <c r="A325" s="35">
        <v>327</v>
      </c>
      <c r="B325" s="35" t="s">
        <v>416</v>
      </c>
      <c r="C325" s="35" t="s">
        <v>414</v>
      </c>
      <c r="D325" s="35">
        <v>4</v>
      </c>
      <c r="E325" s="35">
        <v>1147</v>
      </c>
      <c r="F325" s="35">
        <v>9</v>
      </c>
      <c r="G325" s="35">
        <v>1156</v>
      </c>
      <c r="H325" s="35">
        <v>10</v>
      </c>
      <c r="I325" s="35">
        <v>1166</v>
      </c>
      <c r="J325" s="35">
        <v>10</v>
      </c>
      <c r="K325" s="35">
        <v>1176</v>
      </c>
      <c r="L325" s="35">
        <v>8</v>
      </c>
      <c r="M325" s="35">
        <v>1184</v>
      </c>
      <c r="N325" s="35">
        <v>18</v>
      </c>
      <c r="O325" s="35">
        <v>1202</v>
      </c>
      <c r="P325" s="35">
        <v>5</v>
      </c>
      <c r="Q325" s="35">
        <v>1207</v>
      </c>
      <c r="R325" s="35">
        <v>5</v>
      </c>
      <c r="S325" s="35">
        <v>1211</v>
      </c>
      <c r="T325" s="35">
        <v>4</v>
      </c>
      <c r="U325" s="35">
        <v>1235</v>
      </c>
      <c r="V325" s="35">
        <v>24</v>
      </c>
      <c r="W325" s="35">
        <v>1241</v>
      </c>
      <c r="X325" s="35">
        <v>6</v>
      </c>
      <c r="Y325" s="35">
        <v>1248</v>
      </c>
      <c r="Z325" s="35">
        <v>7</v>
      </c>
      <c r="AA325" s="35">
        <v>1254</v>
      </c>
      <c r="AB325" s="35">
        <v>6</v>
      </c>
      <c r="AC325" s="35">
        <v>6</v>
      </c>
      <c r="AD325" s="35">
        <v>10</v>
      </c>
      <c r="AE325" s="35">
        <v>0</v>
      </c>
      <c r="AG325" s="35">
        <v>3</v>
      </c>
      <c r="AH325" s="35">
        <v>0</v>
      </c>
      <c r="AI325" s="35">
        <v>19</v>
      </c>
    </row>
    <row r="326" spans="1:35" ht="15.75" customHeight="1" x14ac:dyDescent="0.35">
      <c r="A326" s="35">
        <v>328</v>
      </c>
      <c r="B326" s="35" t="s">
        <v>417</v>
      </c>
      <c r="C326" s="35" t="s">
        <v>414</v>
      </c>
      <c r="D326" s="35">
        <v>5</v>
      </c>
      <c r="E326" s="35">
        <v>375</v>
      </c>
      <c r="F326" s="35">
        <v>0</v>
      </c>
      <c r="G326" s="35">
        <v>375</v>
      </c>
      <c r="H326" s="35">
        <v>0</v>
      </c>
      <c r="I326" s="35">
        <v>375</v>
      </c>
      <c r="J326" s="35">
        <v>0</v>
      </c>
      <c r="K326" s="35">
        <v>375</v>
      </c>
      <c r="L326" s="35">
        <v>0</v>
      </c>
      <c r="M326" s="35">
        <v>375</v>
      </c>
      <c r="N326" s="35">
        <v>0</v>
      </c>
      <c r="O326" s="35">
        <v>375</v>
      </c>
      <c r="P326" s="35">
        <v>-3</v>
      </c>
      <c r="Q326" s="35">
        <v>372</v>
      </c>
      <c r="R326" s="35">
        <v>-3</v>
      </c>
      <c r="S326" s="35">
        <v>372</v>
      </c>
      <c r="T326" s="35">
        <v>0</v>
      </c>
      <c r="U326" s="35">
        <v>372</v>
      </c>
      <c r="V326" s="35">
        <v>0</v>
      </c>
      <c r="W326" s="35">
        <v>372</v>
      </c>
      <c r="X326" s="35">
        <v>0</v>
      </c>
      <c r="Y326" s="35">
        <v>372</v>
      </c>
      <c r="Z326" s="35">
        <v>0</v>
      </c>
      <c r="AA326" s="35">
        <v>372</v>
      </c>
      <c r="AB326" s="35">
        <v>0</v>
      </c>
      <c r="AC326" s="35">
        <v>5</v>
      </c>
      <c r="AD326" s="35">
        <v>0</v>
      </c>
      <c r="AE326" s="35">
        <v>0</v>
      </c>
      <c r="AG326" s="35">
        <v>3</v>
      </c>
      <c r="AH326" s="35">
        <v>0</v>
      </c>
      <c r="AI326" s="35">
        <v>8</v>
      </c>
    </row>
    <row r="327" spans="1:35" ht="15.75" customHeight="1" x14ac:dyDescent="0.35">
      <c r="A327" s="35">
        <v>329</v>
      </c>
      <c r="B327" s="35" t="s">
        <v>418</v>
      </c>
      <c r="C327" s="35" t="s">
        <v>414</v>
      </c>
      <c r="D327" s="35">
        <v>6</v>
      </c>
      <c r="E327" s="35">
        <v>2836</v>
      </c>
      <c r="F327" s="35">
        <v>18</v>
      </c>
      <c r="G327" s="35">
        <v>2854</v>
      </c>
      <c r="H327" s="35">
        <v>20</v>
      </c>
      <c r="I327" s="35">
        <v>2874</v>
      </c>
      <c r="J327" s="35">
        <v>13</v>
      </c>
      <c r="K327" s="35">
        <v>2887</v>
      </c>
      <c r="L327" s="35">
        <v>20</v>
      </c>
      <c r="M327" s="35">
        <v>2907</v>
      </c>
      <c r="N327" s="35">
        <v>11</v>
      </c>
      <c r="O327" s="35">
        <v>2918</v>
      </c>
      <c r="P327" s="35">
        <v>15</v>
      </c>
      <c r="Q327" s="35">
        <v>2933</v>
      </c>
      <c r="R327" s="35">
        <v>15</v>
      </c>
      <c r="S327" s="35">
        <v>2939</v>
      </c>
      <c r="T327" s="35">
        <v>6</v>
      </c>
      <c r="U327" s="35">
        <v>2947</v>
      </c>
      <c r="V327" s="35">
        <v>8</v>
      </c>
      <c r="W327" s="35">
        <v>2968</v>
      </c>
      <c r="X327" s="35">
        <v>21</v>
      </c>
      <c r="Y327" s="35">
        <v>2986</v>
      </c>
      <c r="Z327" s="35">
        <v>18</v>
      </c>
      <c r="AA327" s="35">
        <v>2998</v>
      </c>
      <c r="AB327" s="35">
        <v>12</v>
      </c>
      <c r="AC327" s="35">
        <v>12</v>
      </c>
      <c r="AD327" s="35">
        <v>21</v>
      </c>
      <c r="AE327" s="35">
        <v>0</v>
      </c>
      <c r="AG327" s="35">
        <v>3</v>
      </c>
      <c r="AH327" s="35">
        <v>0</v>
      </c>
      <c r="AI327" s="35">
        <v>36</v>
      </c>
    </row>
    <row r="328" spans="1:35" ht="15.75" customHeight="1" x14ac:dyDescent="0.35">
      <c r="A328" s="35">
        <v>330</v>
      </c>
      <c r="B328" s="35" t="s">
        <v>419</v>
      </c>
      <c r="C328" s="35" t="s">
        <v>414</v>
      </c>
      <c r="D328" s="35">
        <v>7</v>
      </c>
      <c r="E328" s="35">
        <v>3139</v>
      </c>
      <c r="F328" s="35">
        <v>18</v>
      </c>
      <c r="G328" s="35">
        <v>3157</v>
      </c>
      <c r="H328" s="35">
        <v>18</v>
      </c>
      <c r="I328" s="35">
        <v>3175</v>
      </c>
      <c r="J328" s="35">
        <v>17</v>
      </c>
      <c r="K328" s="35">
        <v>3192</v>
      </c>
      <c r="L328" s="35">
        <v>19</v>
      </c>
      <c r="M328" s="35">
        <v>3211</v>
      </c>
      <c r="N328" s="35">
        <v>15</v>
      </c>
      <c r="O328" s="35">
        <v>3226</v>
      </c>
      <c r="P328" s="35">
        <v>16</v>
      </c>
      <c r="Q328" s="35">
        <v>3242</v>
      </c>
      <c r="R328" s="35">
        <v>16</v>
      </c>
      <c r="S328" s="35">
        <v>3253</v>
      </c>
      <c r="T328" s="35">
        <v>11</v>
      </c>
      <c r="U328" s="35">
        <v>3267</v>
      </c>
      <c r="V328" s="35">
        <v>14</v>
      </c>
      <c r="W328" s="35">
        <v>3278</v>
      </c>
      <c r="X328" s="35">
        <v>11</v>
      </c>
      <c r="Y328" s="35">
        <v>3291</v>
      </c>
      <c r="Z328" s="35">
        <v>13</v>
      </c>
      <c r="AA328" s="35">
        <v>3306</v>
      </c>
      <c r="AB328" s="35">
        <v>15</v>
      </c>
      <c r="AC328" s="35">
        <v>15</v>
      </c>
      <c r="AD328" s="35">
        <v>0</v>
      </c>
      <c r="AE328" s="35">
        <v>0</v>
      </c>
      <c r="AG328" s="35">
        <v>3</v>
      </c>
      <c r="AH328" s="35">
        <v>0</v>
      </c>
      <c r="AI328" s="35">
        <v>18</v>
      </c>
    </row>
    <row r="329" spans="1:35" ht="15.75" customHeight="1" x14ac:dyDescent="0.35">
      <c r="A329" s="35">
        <v>331</v>
      </c>
      <c r="B329" s="35" t="s">
        <v>420</v>
      </c>
      <c r="C329" s="35" t="s">
        <v>414</v>
      </c>
      <c r="D329" s="35">
        <v>8</v>
      </c>
      <c r="E329" s="35">
        <v>2049</v>
      </c>
      <c r="F329" s="35">
        <v>6</v>
      </c>
      <c r="G329" s="35">
        <v>2055</v>
      </c>
      <c r="H329" s="35">
        <v>9</v>
      </c>
      <c r="I329" s="35">
        <v>2064</v>
      </c>
      <c r="J329" s="35">
        <v>5</v>
      </c>
      <c r="K329" s="35">
        <v>2069</v>
      </c>
      <c r="L329" s="35">
        <v>5</v>
      </c>
      <c r="M329" s="35">
        <v>2074</v>
      </c>
      <c r="N329" s="35">
        <v>6</v>
      </c>
      <c r="O329" s="35">
        <v>2080</v>
      </c>
      <c r="P329" s="35">
        <v>2</v>
      </c>
      <c r="Q329" s="35">
        <v>2082</v>
      </c>
      <c r="R329" s="35">
        <v>2</v>
      </c>
      <c r="S329" s="35">
        <v>2084</v>
      </c>
      <c r="T329" s="35">
        <v>2</v>
      </c>
      <c r="U329" s="35">
        <v>2085</v>
      </c>
      <c r="V329" s="35">
        <v>1</v>
      </c>
      <c r="W329" s="35">
        <v>2087</v>
      </c>
      <c r="X329" s="35">
        <v>2</v>
      </c>
      <c r="Y329" s="35">
        <v>2090</v>
      </c>
      <c r="Z329" s="35">
        <v>3</v>
      </c>
      <c r="AA329" s="35">
        <v>2096</v>
      </c>
      <c r="AB329" s="35">
        <v>6</v>
      </c>
      <c r="AC329" s="35">
        <v>6</v>
      </c>
      <c r="AD329" s="35">
        <v>0</v>
      </c>
      <c r="AE329" s="35">
        <v>0</v>
      </c>
      <c r="AG329" s="35">
        <v>3</v>
      </c>
      <c r="AH329" s="35">
        <v>0</v>
      </c>
      <c r="AI329" s="35">
        <v>9</v>
      </c>
    </row>
    <row r="330" spans="1:35" ht="15.75" customHeight="1" x14ac:dyDescent="0.35">
      <c r="A330" s="35">
        <v>332</v>
      </c>
      <c r="B330" s="35" t="s">
        <v>421</v>
      </c>
      <c r="C330" s="35" t="s">
        <v>414</v>
      </c>
      <c r="D330" s="35">
        <v>9</v>
      </c>
      <c r="E330" s="35">
        <v>601</v>
      </c>
      <c r="F330" s="35">
        <v>0</v>
      </c>
      <c r="G330" s="35">
        <v>601</v>
      </c>
      <c r="H330" s="35">
        <v>0</v>
      </c>
      <c r="I330" s="35">
        <v>601</v>
      </c>
      <c r="J330" s="35">
        <v>0</v>
      </c>
      <c r="K330" s="35">
        <v>601</v>
      </c>
      <c r="L330" s="35">
        <v>0</v>
      </c>
      <c r="M330" s="35">
        <v>601</v>
      </c>
      <c r="N330" s="35">
        <v>0</v>
      </c>
      <c r="O330" s="35">
        <v>601</v>
      </c>
      <c r="P330" s="35">
        <v>0</v>
      </c>
      <c r="Q330" s="35">
        <v>601</v>
      </c>
      <c r="R330" s="35">
        <v>0</v>
      </c>
      <c r="S330" s="35">
        <v>601</v>
      </c>
      <c r="T330" s="35">
        <v>0</v>
      </c>
      <c r="U330" s="35">
        <v>601</v>
      </c>
      <c r="V330" s="35">
        <v>0</v>
      </c>
      <c r="W330" s="35">
        <v>601</v>
      </c>
      <c r="X330" s="35">
        <v>0</v>
      </c>
      <c r="Y330" s="35">
        <v>601</v>
      </c>
      <c r="Z330" s="35">
        <v>0</v>
      </c>
      <c r="AA330" s="35">
        <v>601</v>
      </c>
      <c r="AB330" s="35">
        <v>0</v>
      </c>
      <c r="AC330" s="35">
        <v>5</v>
      </c>
      <c r="AD330" s="35">
        <v>32</v>
      </c>
      <c r="AE330" s="35">
        <v>40</v>
      </c>
      <c r="AG330" s="35">
        <v>3</v>
      </c>
      <c r="AH330" s="35">
        <v>40</v>
      </c>
      <c r="AI330" s="35">
        <v>120</v>
      </c>
    </row>
    <row r="331" spans="1:35" ht="15.75" customHeight="1" x14ac:dyDescent="0.35">
      <c r="A331" s="35">
        <v>333</v>
      </c>
      <c r="B331" s="35" t="s">
        <v>422</v>
      </c>
      <c r="C331" s="35" t="s">
        <v>414</v>
      </c>
      <c r="D331" s="35">
        <v>10</v>
      </c>
      <c r="E331" s="35">
        <v>2525</v>
      </c>
      <c r="F331" s="35">
        <v>32</v>
      </c>
      <c r="G331" s="35">
        <v>2557</v>
      </c>
      <c r="H331" s="35">
        <v>42</v>
      </c>
      <c r="I331" s="35">
        <v>2599</v>
      </c>
      <c r="J331" s="35">
        <v>30</v>
      </c>
      <c r="K331" s="35">
        <v>2629</v>
      </c>
      <c r="L331" s="35">
        <v>24</v>
      </c>
      <c r="M331" s="35">
        <v>2653</v>
      </c>
      <c r="N331" s="35">
        <v>23</v>
      </c>
      <c r="O331" s="35">
        <v>2676</v>
      </c>
      <c r="P331" s="35">
        <v>22</v>
      </c>
      <c r="Q331" s="35">
        <v>2698</v>
      </c>
      <c r="R331" s="35">
        <v>22</v>
      </c>
      <c r="S331" s="35">
        <v>2720</v>
      </c>
      <c r="T331" s="35">
        <v>22</v>
      </c>
      <c r="U331" s="35">
        <v>2742</v>
      </c>
      <c r="V331" s="35">
        <v>22</v>
      </c>
      <c r="W331" s="35">
        <v>2763</v>
      </c>
      <c r="X331" s="35">
        <v>21</v>
      </c>
      <c r="Y331" s="35">
        <v>2786</v>
      </c>
      <c r="Z331" s="35">
        <v>23</v>
      </c>
      <c r="AA331" s="35">
        <v>2816</v>
      </c>
      <c r="AB331" s="35">
        <v>30</v>
      </c>
      <c r="AC331" s="35">
        <v>30</v>
      </c>
      <c r="AD331" s="35">
        <v>26</v>
      </c>
      <c r="AE331" s="35">
        <v>0</v>
      </c>
      <c r="AG331" s="35">
        <v>3</v>
      </c>
      <c r="AH331" s="35">
        <v>0</v>
      </c>
      <c r="AI331" s="35">
        <v>59</v>
      </c>
    </row>
    <row r="332" spans="1:35" ht="15.75" customHeight="1" x14ac:dyDescent="0.35">
      <c r="A332" s="35">
        <v>334</v>
      </c>
      <c r="B332" s="35" t="s">
        <v>423</v>
      </c>
      <c r="C332" s="35" t="s">
        <v>414</v>
      </c>
      <c r="D332" s="35">
        <v>11</v>
      </c>
      <c r="E332" s="35">
        <v>380</v>
      </c>
      <c r="F332" s="35">
        <v>6</v>
      </c>
      <c r="G332" s="35">
        <v>386</v>
      </c>
      <c r="H332" s="35">
        <v>6</v>
      </c>
      <c r="I332" s="35">
        <v>392</v>
      </c>
      <c r="J332" s="35">
        <v>4</v>
      </c>
      <c r="K332" s="35">
        <v>396</v>
      </c>
      <c r="L332" s="35">
        <v>5</v>
      </c>
      <c r="M332" s="35">
        <v>401</v>
      </c>
      <c r="N332" s="35">
        <v>4</v>
      </c>
      <c r="O332" s="35">
        <v>405</v>
      </c>
      <c r="P332" s="35">
        <v>3</v>
      </c>
      <c r="Q332" s="35">
        <v>408</v>
      </c>
      <c r="R332" s="35">
        <v>3</v>
      </c>
      <c r="S332" s="35">
        <v>410</v>
      </c>
      <c r="T332" s="35">
        <v>2</v>
      </c>
      <c r="U332" s="35">
        <v>413</v>
      </c>
      <c r="V332" s="35">
        <v>3</v>
      </c>
      <c r="W332" s="35">
        <v>416</v>
      </c>
      <c r="X332" s="35">
        <v>3</v>
      </c>
      <c r="Y332" s="35">
        <v>421</v>
      </c>
      <c r="Z332" s="35">
        <v>5</v>
      </c>
      <c r="AA332" s="35">
        <v>425</v>
      </c>
      <c r="AB332" s="35">
        <v>4</v>
      </c>
      <c r="AC332" s="35">
        <v>5</v>
      </c>
      <c r="AD332" s="35">
        <v>0</v>
      </c>
      <c r="AE332" s="35">
        <v>0</v>
      </c>
      <c r="AG332" s="35">
        <v>3</v>
      </c>
      <c r="AH332" s="35">
        <v>0</v>
      </c>
      <c r="AI332" s="35">
        <v>8</v>
      </c>
    </row>
    <row r="333" spans="1:35" ht="15.75" customHeight="1" x14ac:dyDescent="0.35">
      <c r="A333" s="35">
        <v>335</v>
      </c>
      <c r="B333" s="35" t="s">
        <v>424</v>
      </c>
      <c r="C333" s="35" t="s">
        <v>414</v>
      </c>
      <c r="D333" s="35">
        <v>13</v>
      </c>
      <c r="E333" s="35">
        <v>987</v>
      </c>
      <c r="F333" s="35">
        <v>0</v>
      </c>
      <c r="G333" s="35">
        <v>987</v>
      </c>
      <c r="H333" s="35">
        <v>0</v>
      </c>
      <c r="I333" s="35">
        <v>987</v>
      </c>
      <c r="J333" s="35">
        <v>0</v>
      </c>
      <c r="K333" s="35">
        <v>987</v>
      </c>
      <c r="L333" s="35">
        <v>0</v>
      </c>
      <c r="M333" s="35">
        <v>987</v>
      </c>
      <c r="N333" s="35">
        <v>0</v>
      </c>
      <c r="O333" s="35">
        <v>987</v>
      </c>
      <c r="P333" s="35">
        <v>0</v>
      </c>
      <c r="Q333" s="35">
        <v>987</v>
      </c>
      <c r="R333" s="35">
        <v>0</v>
      </c>
      <c r="S333" s="35">
        <v>987</v>
      </c>
      <c r="T333" s="35">
        <v>0</v>
      </c>
      <c r="U333" s="35">
        <v>987</v>
      </c>
      <c r="V333" s="35">
        <v>0</v>
      </c>
      <c r="W333" s="35">
        <v>987</v>
      </c>
      <c r="X333" s="35">
        <v>0</v>
      </c>
      <c r="Y333" s="35">
        <v>987</v>
      </c>
      <c r="Z333" s="35">
        <v>0</v>
      </c>
      <c r="AA333" s="35">
        <v>987</v>
      </c>
      <c r="AB333" s="35">
        <v>0</v>
      </c>
      <c r="AC333" s="35">
        <v>5</v>
      </c>
      <c r="AD333" s="35">
        <v>32</v>
      </c>
      <c r="AE333" s="35">
        <v>40</v>
      </c>
      <c r="AG333" s="35">
        <v>3</v>
      </c>
      <c r="AH333" s="35">
        <v>40</v>
      </c>
      <c r="AI333" s="35">
        <v>120</v>
      </c>
    </row>
    <row r="334" spans="1:35" ht="15.75" customHeight="1" x14ac:dyDescent="0.35">
      <c r="A334" s="35">
        <v>336</v>
      </c>
      <c r="B334" s="35" t="s">
        <v>425</v>
      </c>
      <c r="C334" s="35" t="s">
        <v>414</v>
      </c>
      <c r="D334" s="35">
        <v>14</v>
      </c>
      <c r="E334" s="35">
        <v>1406</v>
      </c>
      <c r="F334" s="35">
        <v>15</v>
      </c>
      <c r="G334" s="35">
        <v>1421</v>
      </c>
      <c r="H334" s="35">
        <v>22</v>
      </c>
      <c r="I334" s="35">
        <v>1443</v>
      </c>
      <c r="J334" s="35">
        <v>18</v>
      </c>
      <c r="K334" s="35">
        <v>1461</v>
      </c>
      <c r="L334" s="35">
        <v>19</v>
      </c>
      <c r="M334" s="35">
        <v>1480</v>
      </c>
      <c r="N334" s="35">
        <v>20</v>
      </c>
      <c r="O334" s="35">
        <v>1500</v>
      </c>
      <c r="P334" s="35">
        <v>13</v>
      </c>
      <c r="Q334" s="35">
        <v>1513</v>
      </c>
      <c r="R334" s="35">
        <v>13</v>
      </c>
      <c r="S334" s="35">
        <v>1527</v>
      </c>
      <c r="T334" s="35">
        <v>14</v>
      </c>
      <c r="U334" s="35">
        <v>1542</v>
      </c>
      <c r="V334" s="35">
        <v>15</v>
      </c>
      <c r="W334" s="35">
        <v>1561</v>
      </c>
      <c r="X334" s="35">
        <v>19</v>
      </c>
      <c r="Y334" s="35">
        <v>1585</v>
      </c>
      <c r="Z334" s="35">
        <v>24</v>
      </c>
      <c r="AA334" s="35">
        <v>1614</v>
      </c>
      <c r="AB334" s="35">
        <v>29</v>
      </c>
      <c r="AC334" s="35">
        <v>29</v>
      </c>
      <c r="AD334" s="35">
        <v>0</v>
      </c>
      <c r="AE334" s="35">
        <v>0</v>
      </c>
      <c r="AG334" s="35">
        <v>3</v>
      </c>
      <c r="AH334" s="35">
        <v>20</v>
      </c>
      <c r="AI334" s="35">
        <v>52</v>
      </c>
    </row>
    <row r="335" spans="1:35" ht="15.75" customHeight="1" x14ac:dyDescent="0.35">
      <c r="A335" s="35">
        <v>337</v>
      </c>
      <c r="B335" s="35" t="s">
        <v>426</v>
      </c>
      <c r="C335" s="35" t="s">
        <v>414</v>
      </c>
      <c r="D335" s="35">
        <v>15</v>
      </c>
      <c r="E335" s="35">
        <v>290</v>
      </c>
      <c r="F335" s="35">
        <v>4</v>
      </c>
      <c r="G335" s="35">
        <v>294</v>
      </c>
      <c r="H335" s="35">
        <v>2</v>
      </c>
      <c r="I335" s="35">
        <v>296</v>
      </c>
      <c r="J335" s="35">
        <v>3</v>
      </c>
      <c r="K335" s="35">
        <v>299</v>
      </c>
      <c r="L335" s="35">
        <v>2</v>
      </c>
      <c r="M335" s="35">
        <v>301</v>
      </c>
      <c r="N335" s="35">
        <v>5</v>
      </c>
      <c r="O335" s="35">
        <v>306</v>
      </c>
      <c r="P335" s="35">
        <v>3</v>
      </c>
      <c r="Q335" s="35">
        <v>309</v>
      </c>
      <c r="R335" s="35">
        <v>3</v>
      </c>
      <c r="S335" s="35">
        <v>309</v>
      </c>
      <c r="T335" s="35">
        <v>0</v>
      </c>
      <c r="U335" s="35">
        <v>309</v>
      </c>
      <c r="V335" s="35">
        <v>0</v>
      </c>
      <c r="W335" s="35">
        <v>310</v>
      </c>
      <c r="X335" s="35">
        <v>1</v>
      </c>
      <c r="Y335" s="35">
        <v>311</v>
      </c>
      <c r="Z335" s="35">
        <v>1</v>
      </c>
      <c r="AA335" s="35">
        <v>313</v>
      </c>
      <c r="AB335" s="35">
        <v>2</v>
      </c>
      <c r="AC335" s="35">
        <v>5</v>
      </c>
      <c r="AD335" s="35">
        <v>0</v>
      </c>
      <c r="AE335" s="35">
        <v>0</v>
      </c>
      <c r="AG335" s="35">
        <v>3</v>
      </c>
      <c r="AH335" s="35">
        <v>0</v>
      </c>
      <c r="AI335" s="35">
        <v>8</v>
      </c>
    </row>
    <row r="336" spans="1:35" ht="15.75" customHeight="1" x14ac:dyDescent="0.35">
      <c r="A336" s="35">
        <v>338</v>
      </c>
      <c r="B336" s="35" t="s">
        <v>427</v>
      </c>
      <c r="C336" s="35" t="s">
        <v>414</v>
      </c>
      <c r="D336" s="35">
        <v>16</v>
      </c>
      <c r="E336" s="35">
        <v>1017</v>
      </c>
      <c r="F336" s="35">
        <v>15</v>
      </c>
      <c r="G336" s="35">
        <v>1032</v>
      </c>
      <c r="H336" s="35">
        <v>18</v>
      </c>
      <c r="I336" s="35">
        <v>1050</v>
      </c>
      <c r="J336" s="35">
        <v>22</v>
      </c>
      <c r="K336" s="35">
        <v>1072</v>
      </c>
      <c r="L336" s="35">
        <v>18</v>
      </c>
      <c r="M336" s="35">
        <v>1090</v>
      </c>
      <c r="N336" s="35">
        <v>13</v>
      </c>
      <c r="O336" s="35">
        <v>1103</v>
      </c>
      <c r="P336" s="35">
        <v>10</v>
      </c>
      <c r="Q336" s="35">
        <v>1113</v>
      </c>
      <c r="R336" s="35">
        <v>10</v>
      </c>
      <c r="S336" s="35">
        <v>1117</v>
      </c>
      <c r="T336" s="35">
        <v>4</v>
      </c>
      <c r="U336" s="35">
        <v>1124</v>
      </c>
      <c r="V336" s="35">
        <v>7</v>
      </c>
      <c r="W336" s="35">
        <v>1131</v>
      </c>
      <c r="X336" s="35">
        <v>7</v>
      </c>
      <c r="Y336" s="35">
        <v>1137</v>
      </c>
      <c r="Z336" s="35">
        <v>6</v>
      </c>
      <c r="AA336" s="35">
        <v>1141</v>
      </c>
      <c r="AB336" s="35">
        <v>4</v>
      </c>
      <c r="AC336" s="35">
        <v>5</v>
      </c>
      <c r="AD336" s="35">
        <v>0</v>
      </c>
      <c r="AE336" s="35">
        <v>0</v>
      </c>
      <c r="AG336" s="35">
        <v>3</v>
      </c>
      <c r="AH336" s="35">
        <v>20</v>
      </c>
      <c r="AI336" s="35">
        <v>28</v>
      </c>
    </row>
    <row r="337" spans="1:35" ht="15.75" customHeight="1" x14ac:dyDescent="0.35">
      <c r="A337" s="35">
        <v>339</v>
      </c>
      <c r="B337" s="35" t="s">
        <v>428</v>
      </c>
      <c r="C337" s="35" t="s">
        <v>414</v>
      </c>
      <c r="D337" s="35">
        <v>17</v>
      </c>
      <c r="E337" s="35">
        <v>2398</v>
      </c>
      <c r="F337" s="35">
        <v>2</v>
      </c>
      <c r="G337" s="35">
        <v>2400</v>
      </c>
      <c r="H337" s="35">
        <v>1</v>
      </c>
      <c r="I337" s="35">
        <v>2401</v>
      </c>
      <c r="J337" s="35">
        <v>1</v>
      </c>
      <c r="K337" s="35">
        <v>2402</v>
      </c>
      <c r="L337" s="35">
        <v>0</v>
      </c>
      <c r="M337" s="35">
        <v>2402</v>
      </c>
      <c r="N337" s="35">
        <v>0</v>
      </c>
      <c r="O337" s="35">
        <v>2402</v>
      </c>
      <c r="P337" s="35">
        <v>1</v>
      </c>
      <c r="Q337" s="35">
        <v>2403</v>
      </c>
      <c r="R337" s="35">
        <v>1</v>
      </c>
      <c r="S337" s="35">
        <v>2403</v>
      </c>
      <c r="T337" s="35">
        <v>0</v>
      </c>
      <c r="U337" s="35">
        <v>2403</v>
      </c>
      <c r="V337" s="35">
        <v>0</v>
      </c>
      <c r="W337" s="35">
        <v>2403</v>
      </c>
      <c r="X337" s="35">
        <v>0</v>
      </c>
      <c r="Y337" s="35">
        <v>2403</v>
      </c>
      <c r="Z337" s="35">
        <v>0</v>
      </c>
      <c r="AA337" s="35">
        <v>2403</v>
      </c>
      <c r="AB337" s="35">
        <v>0</v>
      </c>
      <c r="AC337" s="35">
        <v>5</v>
      </c>
      <c r="AD337" s="35">
        <v>24</v>
      </c>
      <c r="AE337" s="35">
        <v>40</v>
      </c>
      <c r="AG337" s="35">
        <v>3</v>
      </c>
      <c r="AH337" s="35">
        <v>40</v>
      </c>
      <c r="AI337" s="35">
        <v>112</v>
      </c>
    </row>
    <row r="338" spans="1:35" ht="15.75" customHeight="1" x14ac:dyDescent="0.35">
      <c r="A338" s="35">
        <v>340</v>
      </c>
      <c r="B338" s="35" t="s">
        <v>429</v>
      </c>
      <c r="C338" s="35" t="s">
        <v>414</v>
      </c>
      <c r="D338" s="35">
        <v>18</v>
      </c>
      <c r="E338" s="35">
        <v>1404</v>
      </c>
      <c r="F338" s="35">
        <v>14</v>
      </c>
      <c r="G338" s="35">
        <v>1418</v>
      </c>
      <c r="H338" s="35">
        <v>17</v>
      </c>
      <c r="I338" s="35">
        <v>1435</v>
      </c>
      <c r="J338" s="35">
        <v>13</v>
      </c>
      <c r="K338" s="35">
        <v>1448</v>
      </c>
      <c r="L338" s="35">
        <v>11</v>
      </c>
      <c r="M338" s="35">
        <v>1459</v>
      </c>
      <c r="N338" s="35">
        <v>9</v>
      </c>
      <c r="O338" s="35">
        <v>1468</v>
      </c>
      <c r="P338" s="35">
        <v>13</v>
      </c>
      <c r="Q338" s="35">
        <v>1481</v>
      </c>
      <c r="R338" s="35">
        <v>13</v>
      </c>
      <c r="S338" s="35">
        <v>1494</v>
      </c>
      <c r="T338" s="35">
        <v>13</v>
      </c>
      <c r="U338" s="35">
        <v>1506</v>
      </c>
      <c r="V338" s="35">
        <v>12</v>
      </c>
      <c r="W338" s="35">
        <v>1517</v>
      </c>
      <c r="X338" s="35">
        <v>11</v>
      </c>
      <c r="Y338" s="35">
        <v>1533</v>
      </c>
      <c r="Z338" s="35">
        <v>16</v>
      </c>
      <c r="AA338" s="35">
        <v>1548</v>
      </c>
      <c r="AB338" s="35">
        <v>15</v>
      </c>
      <c r="AC338" s="35">
        <v>15</v>
      </c>
      <c r="AD338" s="35">
        <v>0</v>
      </c>
      <c r="AE338" s="35">
        <v>0</v>
      </c>
      <c r="AG338" s="35">
        <v>3</v>
      </c>
      <c r="AH338" s="35">
        <v>20</v>
      </c>
      <c r="AI338" s="35">
        <v>38</v>
      </c>
    </row>
    <row r="339" spans="1:35" ht="15.75" customHeight="1" x14ac:dyDescent="0.35">
      <c r="A339" s="35">
        <v>341</v>
      </c>
      <c r="B339" s="35" t="s">
        <v>430</v>
      </c>
      <c r="C339" s="35" t="s">
        <v>414</v>
      </c>
      <c r="D339" s="35">
        <v>19</v>
      </c>
      <c r="E339" s="35">
        <v>1129</v>
      </c>
      <c r="F339" s="35">
        <v>25</v>
      </c>
      <c r="G339" s="35">
        <v>1154</v>
      </c>
      <c r="H339" s="35">
        <v>-25</v>
      </c>
      <c r="I339" s="35">
        <v>1129</v>
      </c>
      <c r="J339" s="35">
        <v>0</v>
      </c>
      <c r="K339" s="35">
        <v>0</v>
      </c>
      <c r="L339" s="35">
        <v>27</v>
      </c>
      <c r="M339" s="35">
        <v>27</v>
      </c>
      <c r="N339" s="35">
        <v>17</v>
      </c>
      <c r="O339" s="35">
        <v>44</v>
      </c>
      <c r="P339" s="35">
        <v>13</v>
      </c>
      <c r="Q339" s="35">
        <v>57</v>
      </c>
      <c r="R339" s="35">
        <v>13</v>
      </c>
      <c r="S339" s="35">
        <v>71</v>
      </c>
      <c r="T339" s="35">
        <v>14</v>
      </c>
      <c r="U339" s="35">
        <v>84</v>
      </c>
      <c r="V339" s="35">
        <v>13</v>
      </c>
      <c r="W339" s="35">
        <v>96</v>
      </c>
      <c r="X339" s="35">
        <v>12</v>
      </c>
      <c r="Y339" s="35">
        <v>113</v>
      </c>
      <c r="Z339" s="35">
        <v>17</v>
      </c>
      <c r="AA339" s="35">
        <v>130</v>
      </c>
      <c r="AB339" s="35">
        <v>17</v>
      </c>
      <c r="AC339" s="35">
        <v>17</v>
      </c>
      <c r="AD339" s="35">
        <v>0</v>
      </c>
      <c r="AE339" s="35">
        <v>0</v>
      </c>
      <c r="AG339" s="35">
        <v>3</v>
      </c>
      <c r="AH339" s="35">
        <v>20</v>
      </c>
      <c r="AI339" s="35">
        <v>40</v>
      </c>
    </row>
    <row r="340" spans="1:35" ht="15.75" customHeight="1" x14ac:dyDescent="0.35">
      <c r="A340" s="35">
        <v>342</v>
      </c>
      <c r="B340" s="35" t="s">
        <v>431</v>
      </c>
      <c r="C340" s="35" t="s">
        <v>414</v>
      </c>
      <c r="D340" s="35">
        <v>20</v>
      </c>
      <c r="E340" s="35">
        <v>284</v>
      </c>
      <c r="F340" s="35">
        <v>6</v>
      </c>
      <c r="G340" s="35">
        <v>290</v>
      </c>
      <c r="H340" s="35">
        <v>4</v>
      </c>
      <c r="I340" s="35">
        <v>294</v>
      </c>
      <c r="J340" s="35">
        <v>3</v>
      </c>
      <c r="K340" s="35">
        <v>297</v>
      </c>
      <c r="L340" s="35">
        <v>3</v>
      </c>
      <c r="M340" s="35">
        <v>300</v>
      </c>
      <c r="N340" s="35">
        <v>2</v>
      </c>
      <c r="O340" s="35">
        <v>302</v>
      </c>
      <c r="P340" s="35">
        <v>3</v>
      </c>
      <c r="Q340" s="35">
        <v>305</v>
      </c>
      <c r="R340" s="35">
        <v>3</v>
      </c>
      <c r="S340" s="35">
        <v>307</v>
      </c>
      <c r="T340" s="35">
        <v>2</v>
      </c>
      <c r="U340" s="35">
        <v>311</v>
      </c>
      <c r="V340" s="35">
        <v>4</v>
      </c>
      <c r="W340" s="35">
        <v>332</v>
      </c>
      <c r="X340" s="35">
        <v>21</v>
      </c>
      <c r="Y340" s="35">
        <v>339</v>
      </c>
      <c r="Z340" s="35">
        <v>7</v>
      </c>
      <c r="AA340" s="35">
        <v>345</v>
      </c>
      <c r="AB340" s="35">
        <v>6</v>
      </c>
      <c r="AC340" s="35">
        <v>6</v>
      </c>
      <c r="AD340" s="35">
        <v>0</v>
      </c>
      <c r="AE340" s="35">
        <v>0</v>
      </c>
      <c r="AG340" s="35">
        <v>3</v>
      </c>
      <c r="AH340" s="35">
        <v>0</v>
      </c>
      <c r="AI340" s="35">
        <v>9</v>
      </c>
    </row>
    <row r="341" spans="1:35" ht="15.75" customHeight="1" x14ac:dyDescent="0.35">
      <c r="A341" s="35">
        <v>343</v>
      </c>
      <c r="B341" s="35" t="s">
        <v>432</v>
      </c>
      <c r="C341" s="35" t="s">
        <v>433</v>
      </c>
      <c r="D341" s="35">
        <v>1</v>
      </c>
      <c r="E341" s="35">
        <v>1934</v>
      </c>
      <c r="F341" s="35">
        <v>11</v>
      </c>
      <c r="G341" s="35">
        <v>1945</v>
      </c>
      <c r="H341" s="35">
        <v>18</v>
      </c>
      <c r="I341" s="35">
        <v>1963</v>
      </c>
      <c r="J341" s="35">
        <v>16</v>
      </c>
      <c r="K341" s="35">
        <v>1979</v>
      </c>
      <c r="L341" s="35">
        <v>11</v>
      </c>
      <c r="M341" s="35">
        <v>1990</v>
      </c>
      <c r="N341" s="35">
        <v>13</v>
      </c>
      <c r="O341" s="35">
        <v>2003</v>
      </c>
      <c r="P341" s="35">
        <v>10</v>
      </c>
      <c r="Q341" s="35">
        <v>2013</v>
      </c>
      <c r="R341" s="35">
        <v>10</v>
      </c>
      <c r="S341" s="35">
        <v>2019</v>
      </c>
      <c r="T341" s="35">
        <v>6</v>
      </c>
      <c r="U341" s="35">
        <v>2027</v>
      </c>
      <c r="V341" s="35">
        <v>8</v>
      </c>
      <c r="W341" s="35">
        <v>2034</v>
      </c>
      <c r="X341" s="35">
        <v>7</v>
      </c>
      <c r="Y341" s="35">
        <v>2043</v>
      </c>
      <c r="Z341" s="35">
        <v>9</v>
      </c>
      <c r="AA341" s="35">
        <v>2051</v>
      </c>
      <c r="AB341" s="35">
        <v>8</v>
      </c>
      <c r="AC341" s="35">
        <v>8</v>
      </c>
      <c r="AD341" s="35">
        <v>0</v>
      </c>
      <c r="AE341" s="35">
        <v>0</v>
      </c>
      <c r="AG341" s="35">
        <v>3</v>
      </c>
      <c r="AH341" s="35">
        <v>0</v>
      </c>
      <c r="AI341" s="35">
        <v>11</v>
      </c>
    </row>
    <row r="342" spans="1:35" ht="15.75" customHeight="1" x14ac:dyDescent="0.35">
      <c r="A342" s="35">
        <v>344</v>
      </c>
      <c r="B342" s="35" t="s">
        <v>434</v>
      </c>
      <c r="C342" s="35" t="s">
        <v>433</v>
      </c>
      <c r="D342" s="35">
        <v>2</v>
      </c>
      <c r="E342" s="35">
        <v>248</v>
      </c>
      <c r="F342" s="35">
        <v>5</v>
      </c>
      <c r="G342" s="35">
        <v>253</v>
      </c>
      <c r="H342" s="35">
        <v>4</v>
      </c>
      <c r="I342" s="35">
        <v>257</v>
      </c>
      <c r="J342" s="35">
        <v>6</v>
      </c>
      <c r="K342" s="35">
        <v>263</v>
      </c>
      <c r="L342" s="35">
        <v>6</v>
      </c>
      <c r="M342" s="35">
        <v>269</v>
      </c>
      <c r="N342" s="35">
        <v>5</v>
      </c>
      <c r="O342" s="35">
        <v>274</v>
      </c>
      <c r="P342" s="35">
        <v>9</v>
      </c>
      <c r="Q342" s="35">
        <v>283</v>
      </c>
      <c r="R342" s="35">
        <v>9</v>
      </c>
      <c r="S342" s="35">
        <v>289</v>
      </c>
      <c r="T342" s="35">
        <v>6</v>
      </c>
      <c r="U342" s="35">
        <v>295</v>
      </c>
      <c r="V342" s="35">
        <v>6</v>
      </c>
      <c r="W342" s="35">
        <v>299</v>
      </c>
      <c r="X342" s="35">
        <v>4</v>
      </c>
      <c r="Y342" s="35">
        <v>303</v>
      </c>
      <c r="Z342" s="35">
        <v>4</v>
      </c>
      <c r="AA342" s="35">
        <v>307</v>
      </c>
      <c r="AB342" s="35">
        <v>4</v>
      </c>
      <c r="AC342" s="35">
        <v>5</v>
      </c>
      <c r="AD342" s="35">
        <v>0</v>
      </c>
      <c r="AE342" s="35">
        <v>0</v>
      </c>
      <c r="AG342" s="35">
        <v>3</v>
      </c>
      <c r="AH342" s="35">
        <v>0</v>
      </c>
      <c r="AI342" s="35">
        <v>8</v>
      </c>
    </row>
    <row r="343" spans="1:35" ht="15.75" customHeight="1" x14ac:dyDescent="0.35">
      <c r="A343" s="35">
        <v>345</v>
      </c>
      <c r="B343" s="35" t="s">
        <v>435</v>
      </c>
      <c r="C343" s="35" t="s">
        <v>433</v>
      </c>
      <c r="D343" s="35">
        <v>3</v>
      </c>
      <c r="E343" s="35">
        <v>865</v>
      </c>
      <c r="F343" s="35">
        <v>7</v>
      </c>
      <c r="G343" s="35">
        <v>872</v>
      </c>
      <c r="H343" s="35">
        <v>8</v>
      </c>
      <c r="I343" s="35">
        <v>880</v>
      </c>
      <c r="J343" s="35">
        <v>5</v>
      </c>
      <c r="K343" s="35">
        <v>885</v>
      </c>
      <c r="L343" s="35">
        <v>7</v>
      </c>
      <c r="M343" s="35">
        <v>892</v>
      </c>
      <c r="N343" s="35">
        <v>6</v>
      </c>
      <c r="O343" s="35">
        <v>898</v>
      </c>
      <c r="P343" s="35">
        <v>7</v>
      </c>
      <c r="Q343" s="35">
        <v>905</v>
      </c>
      <c r="R343" s="35">
        <v>7</v>
      </c>
      <c r="S343" s="35">
        <v>918</v>
      </c>
      <c r="T343" s="35">
        <v>13</v>
      </c>
      <c r="U343" s="35">
        <v>922</v>
      </c>
      <c r="V343" s="35">
        <v>4</v>
      </c>
      <c r="W343" s="35">
        <v>927</v>
      </c>
      <c r="X343" s="35">
        <v>5</v>
      </c>
      <c r="Y343" s="35">
        <v>932</v>
      </c>
      <c r="Z343" s="35">
        <v>5</v>
      </c>
      <c r="AA343" s="35">
        <v>938</v>
      </c>
      <c r="AB343" s="35">
        <v>6</v>
      </c>
      <c r="AC343" s="35">
        <v>6</v>
      </c>
      <c r="AD343" s="35">
        <v>0</v>
      </c>
      <c r="AE343" s="35">
        <v>0</v>
      </c>
      <c r="AG343" s="35">
        <v>3</v>
      </c>
      <c r="AH343" s="35">
        <v>0</v>
      </c>
      <c r="AI343" s="35">
        <v>9</v>
      </c>
    </row>
    <row r="344" spans="1:35" ht="15.75" customHeight="1" x14ac:dyDescent="0.35">
      <c r="A344" s="35">
        <v>346</v>
      </c>
      <c r="B344" s="35" t="s">
        <v>436</v>
      </c>
      <c r="C344" s="35" t="s">
        <v>433</v>
      </c>
      <c r="D344" s="35">
        <v>4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5</v>
      </c>
      <c r="M344" s="35">
        <v>5</v>
      </c>
      <c r="N344" s="35">
        <v>-4</v>
      </c>
      <c r="O344" s="35">
        <v>1</v>
      </c>
      <c r="P344" s="35">
        <v>0</v>
      </c>
      <c r="Q344" s="35">
        <v>1</v>
      </c>
      <c r="R344" s="35">
        <v>0</v>
      </c>
      <c r="S344" s="35">
        <v>1</v>
      </c>
      <c r="T344" s="35">
        <v>0</v>
      </c>
      <c r="U344" s="35">
        <v>0</v>
      </c>
      <c r="V344" s="35">
        <v>0</v>
      </c>
      <c r="W344" s="35">
        <v>0</v>
      </c>
      <c r="X344" s="35">
        <v>0</v>
      </c>
      <c r="Y344" s="35">
        <v>1</v>
      </c>
      <c r="Z344" s="35">
        <v>1</v>
      </c>
      <c r="AA344" s="35">
        <v>2</v>
      </c>
      <c r="AB344" s="35">
        <v>1</v>
      </c>
      <c r="AC344" s="35">
        <v>5</v>
      </c>
      <c r="AD344" s="35">
        <v>0</v>
      </c>
      <c r="AE344" s="35">
        <v>0</v>
      </c>
      <c r="AG344" s="35">
        <v>3</v>
      </c>
      <c r="AH344" s="35">
        <v>20</v>
      </c>
      <c r="AI344" s="35">
        <v>28</v>
      </c>
    </row>
    <row r="345" spans="1:35" ht="15.75" customHeight="1" x14ac:dyDescent="0.35">
      <c r="A345" s="35">
        <v>347</v>
      </c>
      <c r="B345" s="35" t="s">
        <v>437</v>
      </c>
      <c r="C345" s="35" t="s">
        <v>433</v>
      </c>
      <c r="D345" s="35">
        <v>5</v>
      </c>
      <c r="E345" s="35">
        <v>7019</v>
      </c>
      <c r="F345" s="35">
        <v>6</v>
      </c>
      <c r="G345" s="35">
        <v>7025</v>
      </c>
      <c r="H345" s="35">
        <v>6</v>
      </c>
      <c r="I345" s="35">
        <v>7031</v>
      </c>
      <c r="J345" s="35">
        <v>3</v>
      </c>
      <c r="K345" s="35">
        <v>7034</v>
      </c>
      <c r="L345" s="35">
        <v>16</v>
      </c>
      <c r="M345" s="35">
        <v>7050</v>
      </c>
      <c r="N345" s="35">
        <v>6</v>
      </c>
      <c r="O345" s="35">
        <v>7056</v>
      </c>
      <c r="P345" s="35">
        <v>7</v>
      </c>
      <c r="Q345" s="35">
        <v>7063</v>
      </c>
      <c r="R345" s="35">
        <v>7</v>
      </c>
      <c r="S345" s="35">
        <v>7071</v>
      </c>
      <c r="T345" s="35">
        <v>8</v>
      </c>
      <c r="U345" s="35">
        <v>7083</v>
      </c>
      <c r="V345" s="35">
        <v>12</v>
      </c>
      <c r="W345" s="35">
        <v>7101</v>
      </c>
      <c r="X345" s="35">
        <v>18</v>
      </c>
      <c r="Y345" s="35">
        <v>7107</v>
      </c>
      <c r="Z345" s="35">
        <v>6</v>
      </c>
      <c r="AA345" s="35">
        <v>7111</v>
      </c>
      <c r="AB345" s="35">
        <v>4</v>
      </c>
      <c r="AC345" s="35">
        <v>5</v>
      </c>
      <c r="AD345" s="35">
        <v>0</v>
      </c>
      <c r="AE345" s="35">
        <v>0</v>
      </c>
      <c r="AG345" s="35">
        <v>3</v>
      </c>
      <c r="AH345" s="35">
        <v>0</v>
      </c>
      <c r="AI345" s="35">
        <v>8</v>
      </c>
    </row>
    <row r="346" spans="1:35" ht="15.75" customHeight="1" x14ac:dyDescent="0.35">
      <c r="A346" s="35">
        <v>348</v>
      </c>
      <c r="B346" s="35" t="s">
        <v>438</v>
      </c>
      <c r="C346" s="35" t="s">
        <v>433</v>
      </c>
      <c r="D346" s="35">
        <v>6</v>
      </c>
      <c r="E346" s="35">
        <v>1361</v>
      </c>
      <c r="F346" s="35">
        <v>8</v>
      </c>
      <c r="G346" s="35">
        <v>1369</v>
      </c>
      <c r="H346" s="35">
        <v>8</v>
      </c>
      <c r="I346" s="35">
        <v>1377</v>
      </c>
      <c r="J346" s="35">
        <v>6</v>
      </c>
      <c r="K346" s="35">
        <v>1383</v>
      </c>
      <c r="L346" s="35">
        <v>6</v>
      </c>
      <c r="M346" s="35">
        <v>1389</v>
      </c>
      <c r="N346" s="35">
        <v>7</v>
      </c>
      <c r="O346" s="35">
        <v>1396</v>
      </c>
      <c r="P346" s="35">
        <v>6</v>
      </c>
      <c r="Q346" s="35">
        <v>1402</v>
      </c>
      <c r="R346" s="35">
        <v>6</v>
      </c>
      <c r="S346" s="35">
        <v>1406</v>
      </c>
      <c r="T346" s="35">
        <v>4</v>
      </c>
      <c r="U346" s="35">
        <v>1410</v>
      </c>
      <c r="V346" s="35">
        <v>4</v>
      </c>
      <c r="W346" s="35">
        <v>1415</v>
      </c>
      <c r="X346" s="35">
        <v>5</v>
      </c>
      <c r="Y346" s="35">
        <v>1420</v>
      </c>
      <c r="Z346" s="35">
        <v>5</v>
      </c>
      <c r="AA346" s="35">
        <v>1425</v>
      </c>
      <c r="AB346" s="35">
        <v>5</v>
      </c>
      <c r="AC346" s="35">
        <v>5</v>
      </c>
      <c r="AD346" s="35">
        <v>0</v>
      </c>
      <c r="AE346" s="35">
        <v>0</v>
      </c>
      <c r="AG346" s="35">
        <v>3</v>
      </c>
      <c r="AH346" s="35">
        <v>0</v>
      </c>
      <c r="AI346" s="35">
        <v>8</v>
      </c>
    </row>
    <row r="347" spans="1:35" ht="15.75" customHeight="1" x14ac:dyDescent="0.35">
      <c r="A347" s="35">
        <v>349</v>
      </c>
      <c r="B347" s="35" t="s">
        <v>439</v>
      </c>
      <c r="C347" s="35" t="s">
        <v>440</v>
      </c>
      <c r="D347" s="35">
        <v>1</v>
      </c>
      <c r="E347" s="35">
        <v>774</v>
      </c>
      <c r="F347" s="35">
        <v>23</v>
      </c>
      <c r="G347" s="35">
        <v>797</v>
      </c>
      <c r="H347" s="35">
        <v>25</v>
      </c>
      <c r="I347" s="35">
        <v>822</v>
      </c>
      <c r="J347" s="35">
        <v>24</v>
      </c>
      <c r="K347" s="35">
        <v>846</v>
      </c>
      <c r="L347" s="35">
        <v>19</v>
      </c>
      <c r="M347" s="35">
        <v>865</v>
      </c>
      <c r="N347" s="35">
        <v>14</v>
      </c>
      <c r="O347" s="35">
        <v>879</v>
      </c>
      <c r="P347" s="35">
        <v>15</v>
      </c>
      <c r="Q347" s="35">
        <v>894</v>
      </c>
      <c r="R347" s="35">
        <v>15</v>
      </c>
      <c r="S347" s="35">
        <v>907</v>
      </c>
      <c r="T347" s="35">
        <v>13</v>
      </c>
      <c r="U347" s="35">
        <v>918</v>
      </c>
      <c r="V347" s="35">
        <v>11</v>
      </c>
      <c r="W347" s="35">
        <v>931</v>
      </c>
      <c r="X347" s="35">
        <v>13</v>
      </c>
      <c r="Y347" s="35">
        <v>944</v>
      </c>
      <c r="Z347" s="35">
        <v>13</v>
      </c>
      <c r="AA347" s="35">
        <v>962</v>
      </c>
      <c r="AB347" s="35">
        <v>18</v>
      </c>
      <c r="AC347" s="35">
        <v>18</v>
      </c>
      <c r="AD347" s="35">
        <v>0</v>
      </c>
      <c r="AE347" s="35">
        <v>0</v>
      </c>
      <c r="AG347" s="35">
        <v>3</v>
      </c>
      <c r="AH347" s="35">
        <v>0</v>
      </c>
      <c r="AI347" s="35">
        <v>21</v>
      </c>
    </row>
    <row r="348" spans="1:35" ht="15.75" customHeight="1" x14ac:dyDescent="0.35">
      <c r="A348" s="35">
        <v>350</v>
      </c>
      <c r="B348" s="35" t="s">
        <v>441</v>
      </c>
      <c r="C348" s="35" t="s">
        <v>440</v>
      </c>
      <c r="D348" s="35">
        <v>2</v>
      </c>
      <c r="E348" s="35">
        <v>10</v>
      </c>
      <c r="F348" s="35">
        <v>1</v>
      </c>
      <c r="G348" s="35">
        <v>11</v>
      </c>
      <c r="H348" s="35">
        <v>1</v>
      </c>
      <c r="I348" s="35">
        <v>12</v>
      </c>
      <c r="J348" s="35">
        <v>0</v>
      </c>
      <c r="K348" s="35">
        <v>12</v>
      </c>
      <c r="L348" s="35">
        <v>1</v>
      </c>
      <c r="M348" s="35">
        <v>13</v>
      </c>
      <c r="N348" s="35">
        <v>1</v>
      </c>
      <c r="O348" s="35">
        <v>14</v>
      </c>
      <c r="P348" s="35">
        <v>0</v>
      </c>
      <c r="Q348" s="35">
        <v>14</v>
      </c>
      <c r="R348" s="35">
        <v>0</v>
      </c>
      <c r="S348" s="35">
        <v>14</v>
      </c>
      <c r="T348" s="35">
        <v>0</v>
      </c>
      <c r="U348" s="35">
        <v>15</v>
      </c>
      <c r="V348" s="35">
        <v>1</v>
      </c>
      <c r="W348" s="35">
        <v>16</v>
      </c>
      <c r="X348" s="35">
        <v>1</v>
      </c>
      <c r="Y348" s="35">
        <v>16</v>
      </c>
      <c r="Z348" s="35">
        <v>0</v>
      </c>
      <c r="AA348" s="35">
        <v>17</v>
      </c>
      <c r="AB348" s="35">
        <v>1</v>
      </c>
      <c r="AC348" s="35">
        <v>5</v>
      </c>
      <c r="AD348" s="35">
        <v>0</v>
      </c>
      <c r="AE348" s="35">
        <v>0</v>
      </c>
      <c r="AG348" s="35">
        <v>3</v>
      </c>
      <c r="AH348" s="35">
        <v>0</v>
      </c>
      <c r="AI348" s="35">
        <v>8</v>
      </c>
    </row>
    <row r="349" spans="1:35" ht="15.75" customHeight="1" x14ac:dyDescent="0.35">
      <c r="A349" s="35">
        <v>351</v>
      </c>
      <c r="B349" s="35" t="s">
        <v>443</v>
      </c>
      <c r="C349" s="35" t="s">
        <v>440</v>
      </c>
      <c r="D349" s="35">
        <v>3</v>
      </c>
      <c r="E349" s="35">
        <v>239</v>
      </c>
      <c r="F349" s="35">
        <v>10</v>
      </c>
      <c r="G349" s="35">
        <v>249</v>
      </c>
      <c r="H349" s="35">
        <v>-10</v>
      </c>
      <c r="I349" s="35">
        <v>239</v>
      </c>
      <c r="J349" s="35">
        <v>0</v>
      </c>
      <c r="K349" s="35">
        <v>0</v>
      </c>
      <c r="L349" s="35">
        <v>2</v>
      </c>
      <c r="M349" s="35">
        <v>2</v>
      </c>
      <c r="N349" s="35">
        <v>3</v>
      </c>
      <c r="O349" s="35">
        <v>5</v>
      </c>
      <c r="P349" s="35">
        <v>1</v>
      </c>
      <c r="Q349" s="35">
        <v>6</v>
      </c>
      <c r="R349" s="35">
        <v>1</v>
      </c>
      <c r="S349" s="35">
        <v>7</v>
      </c>
      <c r="T349" s="35">
        <v>1</v>
      </c>
      <c r="U349" s="35">
        <v>7</v>
      </c>
      <c r="V349" s="35">
        <v>0</v>
      </c>
      <c r="W349" s="35">
        <v>9</v>
      </c>
      <c r="X349" s="35">
        <v>2</v>
      </c>
      <c r="Y349" s="35">
        <v>9</v>
      </c>
      <c r="Z349" s="35">
        <v>0</v>
      </c>
      <c r="AA349" s="35">
        <v>10</v>
      </c>
      <c r="AB349" s="35">
        <v>1</v>
      </c>
      <c r="AC349" s="35">
        <v>5</v>
      </c>
      <c r="AD349" s="35">
        <v>0</v>
      </c>
      <c r="AE349" s="35">
        <v>0</v>
      </c>
      <c r="AG349" s="35">
        <v>3</v>
      </c>
      <c r="AH349" s="35">
        <v>0</v>
      </c>
      <c r="AI349" s="35">
        <v>8</v>
      </c>
    </row>
    <row r="350" spans="1:35" ht="15.75" customHeight="1" x14ac:dyDescent="0.35">
      <c r="A350" s="35">
        <v>352</v>
      </c>
      <c r="B350" s="35" t="s">
        <v>444</v>
      </c>
      <c r="C350" s="35" t="s">
        <v>440</v>
      </c>
      <c r="D350" s="35">
        <v>4</v>
      </c>
      <c r="E350" s="35">
        <v>184</v>
      </c>
      <c r="F350" s="35">
        <v>9</v>
      </c>
      <c r="G350" s="35">
        <v>193</v>
      </c>
      <c r="H350" s="35">
        <v>9</v>
      </c>
      <c r="I350" s="35">
        <v>202</v>
      </c>
      <c r="J350" s="35">
        <v>8</v>
      </c>
      <c r="K350" s="35">
        <v>210</v>
      </c>
      <c r="L350" s="35">
        <v>4</v>
      </c>
      <c r="M350" s="35">
        <v>214</v>
      </c>
      <c r="N350" s="35">
        <v>3</v>
      </c>
      <c r="O350" s="35">
        <v>217</v>
      </c>
      <c r="P350" s="35">
        <v>2</v>
      </c>
      <c r="Q350" s="35">
        <v>219</v>
      </c>
      <c r="R350" s="35">
        <v>2</v>
      </c>
      <c r="S350" s="35">
        <v>222</v>
      </c>
      <c r="T350" s="35">
        <v>3</v>
      </c>
      <c r="U350" s="35">
        <v>224</v>
      </c>
      <c r="V350" s="35">
        <v>2</v>
      </c>
      <c r="W350" s="35">
        <v>227</v>
      </c>
      <c r="X350" s="35">
        <v>3</v>
      </c>
      <c r="Y350" s="35">
        <v>229</v>
      </c>
      <c r="Z350" s="35">
        <v>2</v>
      </c>
      <c r="AA350" s="35">
        <v>232</v>
      </c>
      <c r="AB350" s="35">
        <v>3</v>
      </c>
      <c r="AC350" s="35">
        <v>5</v>
      </c>
      <c r="AD350" s="35">
        <v>0</v>
      </c>
      <c r="AE350" s="35">
        <v>0</v>
      </c>
      <c r="AG350" s="35">
        <v>3</v>
      </c>
      <c r="AH350" s="35">
        <v>0</v>
      </c>
      <c r="AI350" s="35">
        <v>8</v>
      </c>
    </row>
    <row r="351" spans="1:35" ht="15.75" customHeight="1" x14ac:dyDescent="0.35">
      <c r="A351" s="35">
        <v>353</v>
      </c>
      <c r="B351" s="35" t="s">
        <v>445</v>
      </c>
      <c r="C351" s="35" t="s">
        <v>440</v>
      </c>
      <c r="D351" s="35">
        <v>5</v>
      </c>
      <c r="E351" s="35">
        <v>712</v>
      </c>
      <c r="F351" s="35">
        <v>9</v>
      </c>
      <c r="G351" s="35">
        <v>721</v>
      </c>
      <c r="H351" s="35">
        <v>6</v>
      </c>
      <c r="I351" s="35">
        <v>727</v>
      </c>
      <c r="J351" s="35">
        <v>6</v>
      </c>
      <c r="K351" s="35">
        <v>733</v>
      </c>
      <c r="L351" s="35">
        <v>12</v>
      </c>
      <c r="M351" s="35">
        <v>745</v>
      </c>
      <c r="N351" s="35">
        <v>11</v>
      </c>
      <c r="O351" s="35">
        <v>756</v>
      </c>
      <c r="P351" s="35">
        <v>9</v>
      </c>
      <c r="Q351" s="35">
        <v>765</v>
      </c>
      <c r="R351" s="35">
        <v>9</v>
      </c>
      <c r="S351" s="35">
        <v>774</v>
      </c>
      <c r="T351" s="35">
        <v>9</v>
      </c>
      <c r="U351" s="35">
        <v>781</v>
      </c>
      <c r="V351" s="35">
        <v>7</v>
      </c>
      <c r="W351" s="35">
        <v>794</v>
      </c>
      <c r="X351" s="35">
        <v>13</v>
      </c>
      <c r="Y351" s="35">
        <v>806</v>
      </c>
      <c r="Z351" s="35">
        <v>12</v>
      </c>
      <c r="AA351" s="35">
        <v>821</v>
      </c>
      <c r="AB351" s="35">
        <v>15</v>
      </c>
      <c r="AC351" s="35">
        <v>15</v>
      </c>
      <c r="AD351" s="35">
        <v>0</v>
      </c>
      <c r="AE351" s="35">
        <v>0</v>
      </c>
      <c r="AG351" s="35">
        <v>3</v>
      </c>
      <c r="AH351" s="35">
        <v>0</v>
      </c>
      <c r="AI351" s="35">
        <v>18</v>
      </c>
    </row>
    <row r="352" spans="1:35" ht="15.75" customHeight="1" x14ac:dyDescent="0.35">
      <c r="A352" s="35">
        <v>354</v>
      </c>
      <c r="B352" s="35" t="s">
        <v>446</v>
      </c>
      <c r="C352" s="35" t="s">
        <v>440</v>
      </c>
      <c r="D352" s="35">
        <v>6</v>
      </c>
      <c r="E352" s="35">
        <v>1803</v>
      </c>
      <c r="F352" s="35">
        <v>10</v>
      </c>
      <c r="G352" s="35">
        <v>1813</v>
      </c>
      <c r="H352" s="35">
        <v>12</v>
      </c>
      <c r="I352" s="35">
        <v>1825</v>
      </c>
      <c r="J352" s="35">
        <v>8</v>
      </c>
      <c r="K352" s="35">
        <v>1833</v>
      </c>
      <c r="L352" s="35">
        <v>8</v>
      </c>
      <c r="M352" s="35">
        <v>1841</v>
      </c>
      <c r="N352" s="35">
        <v>7</v>
      </c>
      <c r="O352" s="35">
        <v>1848</v>
      </c>
      <c r="P352" s="35">
        <v>8</v>
      </c>
      <c r="Q352" s="35">
        <v>1856</v>
      </c>
      <c r="R352" s="35">
        <v>8</v>
      </c>
      <c r="S352" s="35">
        <v>1862</v>
      </c>
      <c r="T352" s="35">
        <v>6</v>
      </c>
      <c r="U352" s="35">
        <v>1869</v>
      </c>
      <c r="V352" s="35">
        <v>7</v>
      </c>
      <c r="W352" s="35">
        <v>1876</v>
      </c>
      <c r="X352" s="35">
        <v>7</v>
      </c>
      <c r="Y352" s="35">
        <v>1882</v>
      </c>
      <c r="Z352" s="35">
        <v>6</v>
      </c>
      <c r="AA352" s="35">
        <v>1890</v>
      </c>
      <c r="AB352" s="35">
        <v>8</v>
      </c>
      <c r="AC352" s="35">
        <v>8</v>
      </c>
      <c r="AD352" s="35">
        <v>0</v>
      </c>
      <c r="AE352" s="35">
        <v>0</v>
      </c>
      <c r="AG352" s="35">
        <v>3</v>
      </c>
      <c r="AH352" s="35">
        <v>0</v>
      </c>
      <c r="AI352" s="35">
        <v>11</v>
      </c>
    </row>
    <row r="353" spans="1:35" ht="15.75" customHeight="1" x14ac:dyDescent="0.35">
      <c r="A353" s="35">
        <v>355</v>
      </c>
      <c r="B353" s="35" t="s">
        <v>656</v>
      </c>
      <c r="C353" s="35" t="s">
        <v>440</v>
      </c>
      <c r="D353" s="35">
        <v>7</v>
      </c>
      <c r="E353" s="35">
        <v>932</v>
      </c>
      <c r="F353" s="35">
        <v>6</v>
      </c>
      <c r="G353" s="35">
        <v>938</v>
      </c>
      <c r="H353" s="35">
        <v>10</v>
      </c>
      <c r="I353" s="35">
        <v>948</v>
      </c>
      <c r="J353" s="35">
        <v>9</v>
      </c>
      <c r="K353" s="35">
        <v>957</v>
      </c>
      <c r="L353" s="35">
        <v>8</v>
      </c>
      <c r="M353" s="35">
        <v>965</v>
      </c>
      <c r="N353" s="35">
        <v>10</v>
      </c>
      <c r="O353" s="35">
        <v>975</v>
      </c>
      <c r="P353" s="35">
        <v>7</v>
      </c>
      <c r="Q353" s="35">
        <v>982</v>
      </c>
      <c r="R353" s="35">
        <v>7</v>
      </c>
      <c r="S353" s="35">
        <v>986</v>
      </c>
      <c r="T353" s="35">
        <v>4</v>
      </c>
      <c r="U353" s="35">
        <v>993</v>
      </c>
      <c r="V353" s="35">
        <v>7</v>
      </c>
      <c r="W353" s="35">
        <v>997</v>
      </c>
      <c r="X353" s="35">
        <v>4</v>
      </c>
      <c r="Y353" s="35">
        <v>1005</v>
      </c>
      <c r="Z353" s="35">
        <v>8</v>
      </c>
      <c r="AA353" s="35">
        <v>1013</v>
      </c>
      <c r="AB353" s="35">
        <v>8</v>
      </c>
      <c r="AC353" s="35">
        <v>8</v>
      </c>
      <c r="AD353" s="35">
        <v>0</v>
      </c>
      <c r="AE353" s="35">
        <v>0</v>
      </c>
      <c r="AG353" s="35">
        <v>3</v>
      </c>
      <c r="AH353" s="35">
        <v>0</v>
      </c>
      <c r="AI353" s="35">
        <v>11</v>
      </c>
    </row>
    <row r="354" spans="1:35" ht="15.75" customHeight="1" x14ac:dyDescent="0.35">
      <c r="A354" s="35">
        <v>356</v>
      </c>
      <c r="B354" s="35" t="s">
        <v>448</v>
      </c>
      <c r="C354" s="35" t="s">
        <v>440</v>
      </c>
      <c r="D354" s="35">
        <v>8</v>
      </c>
      <c r="E354" s="35">
        <v>502</v>
      </c>
      <c r="F354" s="35">
        <v>0</v>
      </c>
      <c r="G354" s="35">
        <v>502</v>
      </c>
      <c r="H354" s="35">
        <v>1</v>
      </c>
      <c r="I354" s="35">
        <v>503</v>
      </c>
      <c r="J354" s="35">
        <v>0</v>
      </c>
      <c r="K354" s="35">
        <v>503</v>
      </c>
      <c r="L354" s="35">
        <v>0</v>
      </c>
      <c r="M354" s="35">
        <v>503</v>
      </c>
      <c r="N354" s="35">
        <v>0</v>
      </c>
      <c r="O354" s="35">
        <v>503</v>
      </c>
      <c r="P354" s="35">
        <v>0</v>
      </c>
      <c r="Q354" s="35">
        <v>503</v>
      </c>
      <c r="R354" s="35">
        <v>0</v>
      </c>
      <c r="S354" s="35">
        <v>503</v>
      </c>
      <c r="T354" s="35">
        <v>0</v>
      </c>
      <c r="U354" s="35">
        <v>503</v>
      </c>
      <c r="V354" s="35">
        <v>0</v>
      </c>
      <c r="W354" s="35">
        <v>503</v>
      </c>
      <c r="X354" s="35">
        <v>0</v>
      </c>
      <c r="Y354" s="35">
        <v>504</v>
      </c>
      <c r="Z354" s="35">
        <v>1</v>
      </c>
      <c r="AA354" s="35">
        <v>507</v>
      </c>
      <c r="AB354" s="35">
        <v>3</v>
      </c>
      <c r="AC354" s="35">
        <v>5</v>
      </c>
      <c r="AD354" s="35">
        <v>0</v>
      </c>
      <c r="AE354" s="35">
        <v>0</v>
      </c>
      <c r="AG354" s="35">
        <v>3</v>
      </c>
      <c r="AH354" s="35">
        <v>20</v>
      </c>
      <c r="AI354" s="35">
        <v>28</v>
      </c>
    </row>
    <row r="355" spans="1:35" ht="15.75" customHeight="1" x14ac:dyDescent="0.35">
      <c r="A355" s="35">
        <v>357</v>
      </c>
      <c r="B355" s="35" t="s">
        <v>449</v>
      </c>
      <c r="C355" s="35" t="s">
        <v>440</v>
      </c>
      <c r="D355" s="35">
        <v>9</v>
      </c>
      <c r="E355" s="35">
        <v>768</v>
      </c>
      <c r="F355" s="35">
        <v>26</v>
      </c>
      <c r="G355" s="35">
        <v>794</v>
      </c>
      <c r="H355" s="35">
        <v>37</v>
      </c>
      <c r="I355" s="35">
        <v>831</v>
      </c>
      <c r="J355" s="35">
        <v>8</v>
      </c>
      <c r="K355" s="35">
        <v>839</v>
      </c>
      <c r="L355" s="35">
        <v>7</v>
      </c>
      <c r="M355" s="35">
        <v>846</v>
      </c>
      <c r="N355" s="35">
        <v>6</v>
      </c>
      <c r="O355" s="35">
        <v>852</v>
      </c>
      <c r="P355" s="35">
        <v>3</v>
      </c>
      <c r="Q355" s="35">
        <v>855</v>
      </c>
      <c r="R355" s="35">
        <v>3</v>
      </c>
      <c r="S355" s="35">
        <v>856</v>
      </c>
      <c r="T355" s="35">
        <v>1</v>
      </c>
      <c r="U355" s="35">
        <v>861</v>
      </c>
      <c r="V355" s="35">
        <v>5</v>
      </c>
      <c r="W355" s="35">
        <v>865</v>
      </c>
      <c r="X355" s="35">
        <v>4</v>
      </c>
      <c r="Y355" s="35">
        <v>869</v>
      </c>
      <c r="Z355" s="35">
        <v>4</v>
      </c>
      <c r="AA355" s="35">
        <v>873</v>
      </c>
      <c r="AB355" s="35">
        <v>4</v>
      </c>
      <c r="AC355" s="35">
        <v>5</v>
      </c>
      <c r="AD355" s="35">
        <v>0</v>
      </c>
      <c r="AE355" s="35">
        <v>0</v>
      </c>
      <c r="AG355" s="35">
        <v>3</v>
      </c>
      <c r="AH355" s="35">
        <v>20</v>
      </c>
      <c r="AI355" s="35">
        <v>28</v>
      </c>
    </row>
    <row r="356" spans="1:35" ht="15.75" customHeight="1" x14ac:dyDescent="0.35">
      <c r="A356" s="35">
        <v>358</v>
      </c>
      <c r="B356" s="35" t="s">
        <v>450</v>
      </c>
      <c r="C356" s="35" t="s">
        <v>440</v>
      </c>
      <c r="D356" s="35">
        <v>10</v>
      </c>
      <c r="E356" s="35">
        <v>1993</v>
      </c>
      <c r="F356" s="35">
        <v>17</v>
      </c>
      <c r="G356" s="35">
        <v>2010</v>
      </c>
      <c r="H356" s="35">
        <v>20</v>
      </c>
      <c r="I356" s="35">
        <v>2030</v>
      </c>
      <c r="J356" s="35">
        <v>18</v>
      </c>
      <c r="K356" s="35">
        <v>2048</v>
      </c>
      <c r="L356" s="35">
        <v>22</v>
      </c>
      <c r="M356" s="35">
        <v>2070</v>
      </c>
      <c r="N356" s="35">
        <v>29</v>
      </c>
      <c r="O356" s="35">
        <v>2099</v>
      </c>
      <c r="P356" s="35">
        <v>19</v>
      </c>
      <c r="Q356" s="35">
        <v>2118</v>
      </c>
      <c r="R356" s="35">
        <v>19</v>
      </c>
      <c r="S356" s="35">
        <v>2132</v>
      </c>
      <c r="T356" s="35">
        <v>14</v>
      </c>
      <c r="U356" s="35">
        <v>2147</v>
      </c>
      <c r="V356" s="35">
        <v>15</v>
      </c>
      <c r="W356" s="35">
        <v>2164</v>
      </c>
      <c r="X356" s="35">
        <v>17</v>
      </c>
      <c r="Y356" s="35">
        <v>2178</v>
      </c>
      <c r="Z356" s="35">
        <v>14</v>
      </c>
      <c r="AA356" s="35">
        <v>2192</v>
      </c>
      <c r="AB356" s="35">
        <v>14</v>
      </c>
      <c r="AC356" s="35">
        <v>14</v>
      </c>
      <c r="AD356" s="35">
        <v>0</v>
      </c>
      <c r="AE356" s="35">
        <v>0</v>
      </c>
      <c r="AG356" s="35">
        <v>3</v>
      </c>
      <c r="AH356" s="35">
        <v>0</v>
      </c>
      <c r="AI356" s="35">
        <v>17</v>
      </c>
    </row>
    <row r="357" spans="1:35" ht="15.75" customHeight="1" x14ac:dyDescent="0.35">
      <c r="A357" s="35">
        <v>359</v>
      </c>
      <c r="B357" s="35" t="s">
        <v>451</v>
      </c>
      <c r="C357" s="35" t="s">
        <v>440</v>
      </c>
      <c r="D357" s="35">
        <v>11</v>
      </c>
      <c r="E357" s="35">
        <v>1228</v>
      </c>
      <c r="F357" s="35">
        <v>10</v>
      </c>
      <c r="G357" s="35">
        <v>1238</v>
      </c>
      <c r="H357" s="35">
        <v>9</v>
      </c>
      <c r="I357" s="35">
        <v>1247</v>
      </c>
      <c r="J357" s="35">
        <v>8</v>
      </c>
      <c r="K357" s="35">
        <v>1255</v>
      </c>
      <c r="L357" s="35">
        <v>9</v>
      </c>
      <c r="M357" s="35">
        <v>1264</v>
      </c>
      <c r="N357" s="35">
        <v>20</v>
      </c>
      <c r="O357" s="35">
        <v>1284</v>
      </c>
      <c r="P357" s="35">
        <v>13</v>
      </c>
      <c r="Q357" s="35">
        <v>1297</v>
      </c>
      <c r="R357" s="35">
        <v>13</v>
      </c>
      <c r="S357" s="35">
        <v>1312</v>
      </c>
      <c r="T357" s="35">
        <v>15</v>
      </c>
      <c r="U357" s="35">
        <v>1321</v>
      </c>
      <c r="V357" s="35">
        <v>9</v>
      </c>
      <c r="W357" s="35">
        <v>1327</v>
      </c>
      <c r="X357" s="35">
        <v>6</v>
      </c>
      <c r="Y357" s="35">
        <v>1334</v>
      </c>
      <c r="Z357" s="35">
        <v>7</v>
      </c>
      <c r="AA357" s="35">
        <v>1340</v>
      </c>
      <c r="AB357" s="35">
        <v>6</v>
      </c>
      <c r="AC357" s="35">
        <v>6</v>
      </c>
      <c r="AD357" s="35">
        <v>0</v>
      </c>
      <c r="AE357" s="35">
        <v>0</v>
      </c>
      <c r="AG357" s="35">
        <v>3</v>
      </c>
      <c r="AH357" s="35">
        <v>0</v>
      </c>
      <c r="AI357" s="35">
        <v>9</v>
      </c>
    </row>
    <row r="358" spans="1:35" ht="15.75" customHeight="1" x14ac:dyDescent="0.35">
      <c r="A358" s="35">
        <v>360</v>
      </c>
      <c r="B358" s="35" t="s">
        <v>452</v>
      </c>
      <c r="C358" s="35" t="s">
        <v>440</v>
      </c>
      <c r="D358" s="35">
        <v>12</v>
      </c>
      <c r="E358" s="35">
        <v>1930</v>
      </c>
      <c r="F358" s="35">
        <v>20</v>
      </c>
      <c r="G358" s="35">
        <v>1950</v>
      </c>
      <c r="H358" s="35">
        <v>23</v>
      </c>
      <c r="I358" s="35">
        <v>1973</v>
      </c>
      <c r="J358" s="35">
        <v>23</v>
      </c>
      <c r="K358" s="35">
        <v>1996</v>
      </c>
      <c r="L358" s="35">
        <v>22</v>
      </c>
      <c r="M358" s="35">
        <v>2018</v>
      </c>
      <c r="N358" s="35">
        <v>14</v>
      </c>
      <c r="O358" s="35">
        <v>2032</v>
      </c>
      <c r="P358" s="35">
        <v>14</v>
      </c>
      <c r="Q358" s="35">
        <v>2046</v>
      </c>
      <c r="R358" s="35">
        <v>14</v>
      </c>
      <c r="S358" s="35">
        <v>2058</v>
      </c>
      <c r="T358" s="35">
        <v>12</v>
      </c>
      <c r="U358" s="35">
        <v>2075</v>
      </c>
      <c r="V358" s="35">
        <v>17</v>
      </c>
      <c r="W358" s="35">
        <v>2109</v>
      </c>
      <c r="X358" s="35">
        <v>34</v>
      </c>
      <c r="Y358" s="35">
        <v>2127</v>
      </c>
      <c r="Z358" s="35">
        <v>18</v>
      </c>
      <c r="AA358" s="35">
        <v>2140</v>
      </c>
      <c r="AB358" s="35">
        <v>13</v>
      </c>
      <c r="AC358" s="35">
        <v>13</v>
      </c>
      <c r="AD358" s="35">
        <v>0</v>
      </c>
      <c r="AE358" s="35">
        <v>0</v>
      </c>
      <c r="AG358" s="35">
        <v>3</v>
      </c>
      <c r="AH358" s="35">
        <v>0</v>
      </c>
      <c r="AI358" s="35">
        <v>16</v>
      </c>
    </row>
    <row r="359" spans="1:35" ht="15.75" customHeight="1" x14ac:dyDescent="0.35">
      <c r="A359" s="35">
        <v>361</v>
      </c>
      <c r="B359" s="35" t="s">
        <v>453</v>
      </c>
      <c r="C359" s="35" t="s">
        <v>440</v>
      </c>
      <c r="D359" s="35">
        <v>13</v>
      </c>
      <c r="E359" s="35">
        <v>1917</v>
      </c>
      <c r="F359" s="35">
        <v>8</v>
      </c>
      <c r="G359" s="35">
        <v>1925</v>
      </c>
      <c r="H359" s="35">
        <v>2</v>
      </c>
      <c r="I359" s="35">
        <v>1927</v>
      </c>
      <c r="J359" s="35">
        <v>7</v>
      </c>
      <c r="K359" s="35">
        <v>1934</v>
      </c>
      <c r="L359" s="35">
        <v>8</v>
      </c>
      <c r="M359" s="35">
        <v>1942</v>
      </c>
      <c r="N359" s="35">
        <v>11</v>
      </c>
      <c r="O359" s="35">
        <v>1953</v>
      </c>
      <c r="P359" s="35">
        <v>10</v>
      </c>
      <c r="Q359" s="35">
        <v>1963</v>
      </c>
      <c r="R359" s="35">
        <v>10</v>
      </c>
      <c r="S359" s="35">
        <v>1972</v>
      </c>
      <c r="T359" s="35">
        <v>9</v>
      </c>
      <c r="U359" s="35">
        <v>1982</v>
      </c>
      <c r="V359" s="35">
        <v>10</v>
      </c>
      <c r="W359" s="35">
        <v>1990</v>
      </c>
      <c r="X359" s="35">
        <v>8</v>
      </c>
      <c r="Y359" s="35">
        <v>1998</v>
      </c>
      <c r="Z359" s="35">
        <v>8</v>
      </c>
      <c r="AA359" s="35">
        <v>2007</v>
      </c>
      <c r="AB359" s="35">
        <v>9</v>
      </c>
      <c r="AC359" s="35">
        <v>9</v>
      </c>
      <c r="AD359" s="35">
        <v>0</v>
      </c>
      <c r="AE359" s="35">
        <v>0</v>
      </c>
      <c r="AG359" s="35">
        <v>3</v>
      </c>
      <c r="AH359" s="35">
        <v>0</v>
      </c>
      <c r="AI359" s="35">
        <v>12</v>
      </c>
    </row>
    <row r="360" spans="1:35" ht="15.75" customHeight="1" x14ac:dyDescent="0.35">
      <c r="A360" s="35">
        <v>362</v>
      </c>
      <c r="B360" s="35" t="s">
        <v>454</v>
      </c>
      <c r="C360" s="35" t="s">
        <v>440</v>
      </c>
      <c r="D360" s="35">
        <v>14</v>
      </c>
      <c r="E360" s="35">
        <v>215</v>
      </c>
      <c r="F360" s="35">
        <v>1</v>
      </c>
      <c r="G360" s="35">
        <v>216</v>
      </c>
      <c r="H360" s="35">
        <v>1</v>
      </c>
      <c r="I360" s="35">
        <v>217</v>
      </c>
      <c r="J360" s="35">
        <v>1</v>
      </c>
      <c r="K360" s="35">
        <v>218</v>
      </c>
      <c r="L360" s="35">
        <v>1</v>
      </c>
      <c r="M360" s="35">
        <v>219</v>
      </c>
      <c r="N360" s="35">
        <v>1</v>
      </c>
      <c r="O360" s="35">
        <v>220</v>
      </c>
      <c r="P360" s="35">
        <v>0</v>
      </c>
      <c r="Q360" s="35">
        <v>220</v>
      </c>
      <c r="R360" s="35">
        <v>0</v>
      </c>
      <c r="S360" s="35">
        <v>220</v>
      </c>
      <c r="T360" s="35">
        <v>0</v>
      </c>
      <c r="U360" s="35">
        <v>220</v>
      </c>
      <c r="V360" s="35">
        <v>0</v>
      </c>
      <c r="W360" s="35">
        <v>220</v>
      </c>
      <c r="X360" s="35">
        <v>0</v>
      </c>
      <c r="Y360" s="35">
        <v>220</v>
      </c>
      <c r="Z360" s="35">
        <v>0</v>
      </c>
      <c r="AA360" s="35">
        <v>220</v>
      </c>
      <c r="AB360" s="35">
        <v>0</v>
      </c>
      <c r="AC360" s="35">
        <v>5</v>
      </c>
      <c r="AD360" s="35">
        <v>0</v>
      </c>
      <c r="AE360" s="35">
        <v>0</v>
      </c>
      <c r="AG360" s="35">
        <v>3</v>
      </c>
      <c r="AH360" s="35">
        <v>20</v>
      </c>
      <c r="AI360" s="35">
        <v>28</v>
      </c>
    </row>
    <row r="361" spans="1:35" ht="15.75" customHeight="1" x14ac:dyDescent="0.35">
      <c r="A361" s="35">
        <v>363</v>
      </c>
      <c r="B361" s="35" t="s">
        <v>455</v>
      </c>
      <c r="C361" s="35" t="s">
        <v>440</v>
      </c>
      <c r="D361" s="35">
        <v>15</v>
      </c>
      <c r="E361" s="35">
        <v>789</v>
      </c>
      <c r="F361" s="35">
        <v>1</v>
      </c>
      <c r="G361" s="35">
        <v>790</v>
      </c>
      <c r="H361" s="35">
        <v>6</v>
      </c>
      <c r="I361" s="35">
        <v>796</v>
      </c>
      <c r="J361" s="35">
        <v>8</v>
      </c>
      <c r="K361" s="35">
        <v>804</v>
      </c>
      <c r="L361" s="35">
        <v>10</v>
      </c>
      <c r="M361" s="35">
        <v>814</v>
      </c>
      <c r="N361" s="35">
        <v>8</v>
      </c>
      <c r="O361" s="35">
        <v>822</v>
      </c>
      <c r="P361" s="35">
        <v>8</v>
      </c>
      <c r="Q361" s="35">
        <v>830</v>
      </c>
      <c r="R361" s="35">
        <v>8</v>
      </c>
      <c r="S361" s="35">
        <v>836</v>
      </c>
      <c r="T361" s="35">
        <v>6</v>
      </c>
      <c r="U361" s="35">
        <v>842</v>
      </c>
      <c r="V361" s="35">
        <v>6</v>
      </c>
      <c r="W361" s="35">
        <v>847</v>
      </c>
      <c r="X361" s="35">
        <v>5</v>
      </c>
      <c r="Y361" s="35">
        <v>852</v>
      </c>
      <c r="Z361" s="35">
        <v>5</v>
      </c>
      <c r="AA361" s="35">
        <v>859</v>
      </c>
      <c r="AB361" s="35">
        <v>7</v>
      </c>
      <c r="AC361" s="35">
        <v>7</v>
      </c>
      <c r="AD361" s="35">
        <v>0</v>
      </c>
      <c r="AE361" s="35">
        <v>0</v>
      </c>
      <c r="AG361" s="35">
        <v>3</v>
      </c>
      <c r="AH361" s="35">
        <v>0</v>
      </c>
      <c r="AI361" s="35">
        <v>10</v>
      </c>
    </row>
    <row r="362" spans="1:35" ht="15.75" customHeight="1" x14ac:dyDescent="0.35">
      <c r="A362" s="35">
        <v>364</v>
      </c>
      <c r="B362" s="35" t="s">
        <v>456</v>
      </c>
      <c r="C362" s="35" t="s">
        <v>440</v>
      </c>
      <c r="D362" s="35">
        <v>16</v>
      </c>
      <c r="E362" s="35">
        <v>398</v>
      </c>
      <c r="F362" s="35">
        <v>2</v>
      </c>
      <c r="G362" s="35">
        <v>400</v>
      </c>
      <c r="H362" s="35">
        <v>4</v>
      </c>
      <c r="I362" s="35">
        <v>404</v>
      </c>
      <c r="J362" s="35">
        <v>2</v>
      </c>
      <c r="K362" s="35">
        <v>406</v>
      </c>
      <c r="L362" s="35">
        <v>4</v>
      </c>
      <c r="M362" s="35">
        <v>410</v>
      </c>
      <c r="N362" s="35">
        <v>5</v>
      </c>
      <c r="O362" s="35">
        <v>415</v>
      </c>
      <c r="P362" s="35">
        <v>4</v>
      </c>
      <c r="Q362" s="35">
        <v>419</v>
      </c>
      <c r="R362" s="35">
        <v>4</v>
      </c>
      <c r="S362" s="35">
        <v>422</v>
      </c>
      <c r="T362" s="35">
        <v>3</v>
      </c>
      <c r="U362" s="35">
        <v>423</v>
      </c>
      <c r="V362" s="35">
        <v>1</v>
      </c>
      <c r="W362" s="35">
        <v>423</v>
      </c>
      <c r="X362" s="35">
        <v>0</v>
      </c>
      <c r="Y362" s="35">
        <v>423</v>
      </c>
      <c r="Z362" s="35">
        <v>0</v>
      </c>
      <c r="AA362" s="35">
        <v>423</v>
      </c>
      <c r="AB362" s="35">
        <v>0</v>
      </c>
      <c r="AC362" s="35">
        <v>5</v>
      </c>
      <c r="AD362" s="35">
        <v>0</v>
      </c>
      <c r="AE362" s="35">
        <v>0</v>
      </c>
      <c r="AG362" s="35">
        <v>3</v>
      </c>
      <c r="AH362" s="35">
        <v>0</v>
      </c>
      <c r="AI362" s="35">
        <v>8</v>
      </c>
    </row>
    <row r="363" spans="1:35" ht="15.75" customHeight="1" x14ac:dyDescent="0.35">
      <c r="A363" s="35">
        <v>365</v>
      </c>
      <c r="B363" s="35" t="s">
        <v>457</v>
      </c>
      <c r="C363" s="35" t="s">
        <v>458</v>
      </c>
      <c r="D363" s="35">
        <v>1</v>
      </c>
      <c r="E363" s="35">
        <v>22</v>
      </c>
      <c r="F363" s="35">
        <v>0</v>
      </c>
      <c r="G363" s="35">
        <v>22</v>
      </c>
      <c r="H363" s="35">
        <v>0</v>
      </c>
      <c r="I363" s="35">
        <v>22</v>
      </c>
      <c r="J363" s="35">
        <v>0</v>
      </c>
      <c r="K363" s="35">
        <v>22</v>
      </c>
      <c r="L363" s="35">
        <v>0</v>
      </c>
      <c r="M363" s="35">
        <v>22</v>
      </c>
      <c r="N363" s="35">
        <v>0</v>
      </c>
      <c r="O363" s="35">
        <v>22</v>
      </c>
      <c r="P363" s="35">
        <v>0</v>
      </c>
      <c r="Q363" s="35">
        <v>22</v>
      </c>
      <c r="R363" s="35">
        <v>0</v>
      </c>
      <c r="S363" s="35">
        <v>22</v>
      </c>
      <c r="T363" s="35">
        <v>0</v>
      </c>
      <c r="U363" s="35">
        <v>22</v>
      </c>
      <c r="V363" s="35">
        <v>0</v>
      </c>
      <c r="W363" s="35">
        <v>22</v>
      </c>
      <c r="X363" s="35">
        <v>0</v>
      </c>
      <c r="Y363" s="35">
        <v>23</v>
      </c>
      <c r="Z363" s="35">
        <v>1</v>
      </c>
      <c r="AA363" s="35">
        <v>23</v>
      </c>
      <c r="AB363" s="35">
        <v>0</v>
      </c>
      <c r="AC363" s="35">
        <v>5</v>
      </c>
      <c r="AD363" s="35">
        <v>0</v>
      </c>
      <c r="AE363" s="35">
        <v>0</v>
      </c>
      <c r="AG363" s="35">
        <v>3</v>
      </c>
      <c r="AH363" s="35">
        <v>0</v>
      </c>
      <c r="AI363" s="35">
        <v>8</v>
      </c>
    </row>
    <row r="364" spans="1:35" ht="15.75" customHeight="1" x14ac:dyDescent="0.35">
      <c r="A364" s="35">
        <v>366</v>
      </c>
      <c r="B364" s="35" t="s">
        <v>459</v>
      </c>
      <c r="C364" s="35" t="s">
        <v>458</v>
      </c>
      <c r="D364" s="35">
        <v>2</v>
      </c>
      <c r="E364" s="35">
        <v>2</v>
      </c>
      <c r="F364" s="35">
        <v>0</v>
      </c>
      <c r="G364" s="35">
        <v>2</v>
      </c>
      <c r="H364" s="35">
        <v>0</v>
      </c>
      <c r="I364" s="35">
        <v>2</v>
      </c>
      <c r="J364" s="35">
        <v>0</v>
      </c>
      <c r="K364" s="35">
        <v>2</v>
      </c>
      <c r="L364" s="35">
        <v>0</v>
      </c>
      <c r="M364" s="35">
        <v>2</v>
      </c>
      <c r="N364" s="35">
        <v>1</v>
      </c>
      <c r="O364" s="35">
        <v>3</v>
      </c>
      <c r="P364" s="35">
        <v>0</v>
      </c>
      <c r="Q364" s="35">
        <v>3</v>
      </c>
      <c r="R364" s="35">
        <v>0</v>
      </c>
      <c r="S364" s="35">
        <v>3</v>
      </c>
      <c r="T364" s="35">
        <v>0</v>
      </c>
      <c r="U364" s="35">
        <v>3</v>
      </c>
      <c r="V364" s="35">
        <v>0</v>
      </c>
      <c r="W364" s="35">
        <v>3</v>
      </c>
      <c r="X364" s="35">
        <v>0</v>
      </c>
      <c r="Y364" s="35">
        <v>4</v>
      </c>
      <c r="Z364" s="35">
        <v>1</v>
      </c>
      <c r="AA364" s="35">
        <v>4</v>
      </c>
      <c r="AB364" s="35">
        <v>0</v>
      </c>
      <c r="AC364" s="35">
        <v>5</v>
      </c>
      <c r="AD364" s="35">
        <v>0</v>
      </c>
      <c r="AE364" s="35">
        <v>0</v>
      </c>
      <c r="AG364" s="35">
        <v>3</v>
      </c>
      <c r="AH364" s="35">
        <v>20</v>
      </c>
      <c r="AI364" s="35">
        <v>28</v>
      </c>
    </row>
    <row r="365" spans="1:35" ht="15.75" customHeight="1" x14ac:dyDescent="0.35">
      <c r="A365" s="35">
        <v>367</v>
      </c>
      <c r="B365" s="35" t="s">
        <v>460</v>
      </c>
      <c r="C365" s="35" t="s">
        <v>458</v>
      </c>
      <c r="D365" s="35">
        <v>3</v>
      </c>
      <c r="E365" s="35">
        <v>661</v>
      </c>
      <c r="F365" s="35">
        <v>3</v>
      </c>
      <c r="G365" s="35">
        <v>664</v>
      </c>
      <c r="H365" s="35">
        <v>4</v>
      </c>
      <c r="I365" s="35">
        <v>668</v>
      </c>
      <c r="J365" s="35">
        <v>4</v>
      </c>
      <c r="K365" s="35">
        <v>672</v>
      </c>
      <c r="L365" s="35">
        <v>3</v>
      </c>
      <c r="M365" s="35">
        <v>675</v>
      </c>
      <c r="N365" s="35">
        <v>3</v>
      </c>
      <c r="O365" s="35">
        <v>678</v>
      </c>
      <c r="P365" s="35">
        <v>3</v>
      </c>
      <c r="Q365" s="35">
        <v>681</v>
      </c>
      <c r="R365" s="35">
        <v>3</v>
      </c>
      <c r="S365" s="35">
        <v>683</v>
      </c>
      <c r="T365" s="35">
        <v>2</v>
      </c>
      <c r="U365" s="35">
        <v>686</v>
      </c>
      <c r="V365" s="35">
        <v>3</v>
      </c>
      <c r="W365" s="35">
        <v>687</v>
      </c>
      <c r="X365" s="35">
        <v>1</v>
      </c>
      <c r="Y365" s="35">
        <v>694</v>
      </c>
      <c r="Z365" s="35">
        <v>7</v>
      </c>
      <c r="AA365" s="35">
        <v>696</v>
      </c>
      <c r="AB365" s="35">
        <v>2</v>
      </c>
      <c r="AC365" s="35">
        <v>5</v>
      </c>
      <c r="AD365" s="35">
        <v>0</v>
      </c>
      <c r="AE365" s="35">
        <v>0</v>
      </c>
      <c r="AG365" s="35">
        <v>3</v>
      </c>
      <c r="AH365" s="35">
        <v>0</v>
      </c>
      <c r="AI365" s="35">
        <v>8</v>
      </c>
    </row>
    <row r="366" spans="1:35" ht="15.75" customHeight="1" x14ac:dyDescent="0.35">
      <c r="A366" s="35">
        <v>368</v>
      </c>
      <c r="B366" s="35" t="s">
        <v>461</v>
      </c>
      <c r="C366" s="35" t="s">
        <v>458</v>
      </c>
      <c r="D366" s="35">
        <v>4</v>
      </c>
      <c r="E366" s="35">
        <v>1709</v>
      </c>
      <c r="F366" s="35">
        <v>19</v>
      </c>
      <c r="G366" s="35">
        <v>1728</v>
      </c>
      <c r="H366" s="35">
        <v>18</v>
      </c>
      <c r="I366" s="35">
        <v>1746</v>
      </c>
      <c r="J366" s="35">
        <v>22</v>
      </c>
      <c r="K366" s="35">
        <v>1768</v>
      </c>
      <c r="L366" s="35">
        <v>22</v>
      </c>
      <c r="M366" s="35">
        <v>1790</v>
      </c>
      <c r="N366" s="35">
        <v>16</v>
      </c>
      <c r="O366" s="35">
        <v>1806</v>
      </c>
      <c r="P366" s="35">
        <v>8</v>
      </c>
      <c r="Q366" s="35">
        <v>1814</v>
      </c>
      <c r="R366" s="35">
        <v>8</v>
      </c>
      <c r="S366" s="35">
        <v>1822</v>
      </c>
      <c r="T366" s="35">
        <v>8</v>
      </c>
      <c r="U366" s="35">
        <v>1832</v>
      </c>
      <c r="V366" s="35">
        <v>10</v>
      </c>
      <c r="W366" s="35">
        <v>1844</v>
      </c>
      <c r="X366" s="35">
        <v>12</v>
      </c>
      <c r="Y366" s="35">
        <v>1863</v>
      </c>
      <c r="Z366" s="35">
        <v>19</v>
      </c>
      <c r="AA366" s="35">
        <v>1880</v>
      </c>
      <c r="AB366" s="35">
        <v>17</v>
      </c>
      <c r="AC366" s="35">
        <v>17</v>
      </c>
      <c r="AD366" s="35">
        <v>0</v>
      </c>
      <c r="AE366" s="35">
        <v>0</v>
      </c>
      <c r="AG366" s="35">
        <v>3</v>
      </c>
      <c r="AH366" s="35">
        <v>20</v>
      </c>
      <c r="AI366" s="35">
        <v>40</v>
      </c>
    </row>
    <row r="367" spans="1:35" ht="15.75" customHeight="1" x14ac:dyDescent="0.35">
      <c r="A367" s="35">
        <v>369</v>
      </c>
      <c r="B367" s="35" t="s">
        <v>462</v>
      </c>
      <c r="C367" s="35" t="s">
        <v>458</v>
      </c>
      <c r="D367" s="35">
        <v>5</v>
      </c>
      <c r="E367" s="35">
        <v>927</v>
      </c>
      <c r="F367" s="35">
        <v>7</v>
      </c>
      <c r="G367" s="35">
        <v>934</v>
      </c>
      <c r="H367" s="35">
        <v>0</v>
      </c>
      <c r="I367" s="35">
        <v>934</v>
      </c>
      <c r="J367" s="35">
        <v>7</v>
      </c>
      <c r="K367" s="35">
        <v>941</v>
      </c>
      <c r="L367" s="35">
        <v>4</v>
      </c>
      <c r="M367" s="35">
        <v>945</v>
      </c>
      <c r="N367" s="35">
        <v>3</v>
      </c>
      <c r="O367" s="35">
        <v>948</v>
      </c>
      <c r="P367" s="35">
        <v>2</v>
      </c>
      <c r="Q367" s="35">
        <v>950</v>
      </c>
      <c r="R367" s="35">
        <v>2</v>
      </c>
      <c r="S367" s="35">
        <v>951</v>
      </c>
      <c r="T367" s="35">
        <v>5</v>
      </c>
      <c r="U367" s="35">
        <v>952</v>
      </c>
      <c r="V367" s="35">
        <v>1</v>
      </c>
      <c r="W367" s="35">
        <v>952</v>
      </c>
      <c r="X367" s="35">
        <v>0</v>
      </c>
      <c r="Y367" s="35">
        <v>953</v>
      </c>
      <c r="Z367" s="35">
        <v>1</v>
      </c>
      <c r="AA367" s="35">
        <v>956</v>
      </c>
      <c r="AB367" s="35">
        <v>3</v>
      </c>
      <c r="AC367" s="35">
        <v>5</v>
      </c>
      <c r="AD367" s="35">
        <v>0</v>
      </c>
      <c r="AE367" s="35">
        <v>0</v>
      </c>
      <c r="AG367" s="35">
        <v>3</v>
      </c>
      <c r="AH367" s="35">
        <v>20</v>
      </c>
      <c r="AI367" s="35">
        <v>28</v>
      </c>
    </row>
    <row r="368" spans="1:35" ht="15.75" customHeight="1" x14ac:dyDescent="0.35">
      <c r="A368" s="35">
        <v>370</v>
      </c>
      <c r="B368" s="35" t="s">
        <v>464</v>
      </c>
      <c r="C368" s="35" t="s">
        <v>458</v>
      </c>
      <c r="D368" s="35">
        <v>6</v>
      </c>
      <c r="E368" s="35">
        <v>1406</v>
      </c>
      <c r="F368" s="35">
        <v>6</v>
      </c>
      <c r="G368" s="35">
        <v>1412</v>
      </c>
      <c r="H368" s="35">
        <v>4</v>
      </c>
      <c r="I368" s="35">
        <v>1416</v>
      </c>
      <c r="J368" s="35">
        <v>6</v>
      </c>
      <c r="K368" s="35">
        <v>1422</v>
      </c>
      <c r="L368" s="35">
        <v>6</v>
      </c>
      <c r="M368" s="35">
        <v>1428</v>
      </c>
      <c r="N368" s="35">
        <v>4</v>
      </c>
      <c r="O368" s="35">
        <v>1432</v>
      </c>
      <c r="P368" s="35">
        <v>3</v>
      </c>
      <c r="Q368" s="35">
        <v>1435</v>
      </c>
      <c r="R368" s="35">
        <v>3</v>
      </c>
      <c r="S368" s="35">
        <v>1436</v>
      </c>
      <c r="T368" s="35">
        <v>1</v>
      </c>
      <c r="U368" s="35">
        <v>1437</v>
      </c>
      <c r="V368" s="35">
        <v>1</v>
      </c>
      <c r="W368" s="35">
        <v>1438</v>
      </c>
      <c r="X368" s="35">
        <v>1</v>
      </c>
      <c r="Y368" s="35">
        <v>1440</v>
      </c>
      <c r="Z368" s="35">
        <v>2</v>
      </c>
      <c r="AA368" s="35">
        <v>1443</v>
      </c>
      <c r="AB368" s="35">
        <v>3</v>
      </c>
      <c r="AC368" s="35">
        <v>5</v>
      </c>
      <c r="AD368" s="35">
        <v>0</v>
      </c>
      <c r="AE368" s="35">
        <v>0</v>
      </c>
      <c r="AG368" s="35">
        <v>3</v>
      </c>
      <c r="AH368" s="35">
        <v>0</v>
      </c>
      <c r="AI368" s="35">
        <v>8</v>
      </c>
    </row>
    <row r="369" spans="1:35" ht="15.75" customHeight="1" x14ac:dyDescent="0.35">
      <c r="A369" s="35">
        <v>371</v>
      </c>
      <c r="B369" s="35" t="s">
        <v>466</v>
      </c>
      <c r="C369" s="35" t="s">
        <v>458</v>
      </c>
      <c r="D369" s="35">
        <v>7</v>
      </c>
      <c r="E369" s="35">
        <v>251</v>
      </c>
      <c r="F369" s="35">
        <v>6</v>
      </c>
      <c r="G369" s="35">
        <v>257</v>
      </c>
      <c r="H369" s="35">
        <v>3</v>
      </c>
      <c r="I369" s="35">
        <v>260</v>
      </c>
      <c r="J369" s="35">
        <v>3</v>
      </c>
      <c r="K369" s="35">
        <v>263</v>
      </c>
      <c r="L369" s="35">
        <v>5</v>
      </c>
      <c r="M369" s="35">
        <v>268</v>
      </c>
      <c r="N369" s="35">
        <v>4</v>
      </c>
      <c r="O369" s="35">
        <v>272</v>
      </c>
      <c r="P369" s="35">
        <v>3</v>
      </c>
      <c r="Q369" s="35">
        <v>275</v>
      </c>
      <c r="R369" s="35">
        <v>3</v>
      </c>
      <c r="S369" s="35">
        <v>276</v>
      </c>
      <c r="T369" s="35">
        <v>1</v>
      </c>
      <c r="U369" s="35">
        <v>279</v>
      </c>
      <c r="V369" s="35">
        <v>3</v>
      </c>
      <c r="W369" s="35">
        <v>281</v>
      </c>
      <c r="X369" s="35">
        <v>2</v>
      </c>
      <c r="Y369" s="35">
        <v>284</v>
      </c>
      <c r="Z369" s="35">
        <v>3</v>
      </c>
      <c r="AA369" s="35">
        <v>288</v>
      </c>
      <c r="AB369" s="35">
        <v>4</v>
      </c>
      <c r="AC369" s="35">
        <v>5</v>
      </c>
      <c r="AD369" s="35">
        <v>0</v>
      </c>
      <c r="AE369" s="35">
        <v>0</v>
      </c>
      <c r="AG369" s="35">
        <v>3</v>
      </c>
      <c r="AH369" s="35">
        <v>0</v>
      </c>
      <c r="AI369" s="35">
        <v>8</v>
      </c>
    </row>
    <row r="370" spans="1:35" ht="15.75" customHeight="1" x14ac:dyDescent="0.35">
      <c r="A370" s="35">
        <v>372</v>
      </c>
      <c r="B370" s="35" t="s">
        <v>467</v>
      </c>
      <c r="C370" s="35" t="s">
        <v>458</v>
      </c>
      <c r="D370" s="35">
        <v>9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5</v>
      </c>
      <c r="M370" s="35">
        <v>5</v>
      </c>
      <c r="N370" s="35">
        <v>-4</v>
      </c>
      <c r="O370" s="35">
        <v>1</v>
      </c>
      <c r="P370" s="35">
        <v>0</v>
      </c>
      <c r="Q370" s="35">
        <v>1</v>
      </c>
      <c r="R370" s="35">
        <v>0</v>
      </c>
      <c r="S370" s="35">
        <v>1</v>
      </c>
      <c r="T370" s="35">
        <v>0</v>
      </c>
      <c r="U370" s="35">
        <v>0</v>
      </c>
      <c r="V370" s="35">
        <v>0</v>
      </c>
      <c r="W370" s="35">
        <v>0</v>
      </c>
      <c r="X370" s="35">
        <v>0</v>
      </c>
      <c r="Y370" s="35">
        <v>0</v>
      </c>
      <c r="Z370" s="35">
        <v>0</v>
      </c>
      <c r="AA370" s="35">
        <v>0</v>
      </c>
      <c r="AB370" s="35">
        <v>0</v>
      </c>
      <c r="AC370" s="35">
        <v>5</v>
      </c>
      <c r="AD370" s="35">
        <v>0</v>
      </c>
      <c r="AE370" s="35">
        <v>0</v>
      </c>
      <c r="AG370" s="35">
        <v>3</v>
      </c>
      <c r="AH370" s="35">
        <v>20</v>
      </c>
      <c r="AI370" s="35">
        <v>28</v>
      </c>
    </row>
    <row r="371" spans="1:35" ht="15.75" customHeight="1" x14ac:dyDescent="0.35">
      <c r="A371" s="35">
        <v>373</v>
      </c>
      <c r="B371" s="35" t="s">
        <v>468</v>
      </c>
      <c r="C371" s="35" t="s">
        <v>458</v>
      </c>
      <c r="D371" s="35">
        <v>13</v>
      </c>
      <c r="E371" s="35">
        <v>452</v>
      </c>
      <c r="F371" s="35">
        <v>14</v>
      </c>
      <c r="G371" s="35">
        <v>466</v>
      </c>
      <c r="H371" s="35">
        <v>15</v>
      </c>
      <c r="I371" s="35">
        <v>481</v>
      </c>
      <c r="J371" s="35">
        <v>11</v>
      </c>
      <c r="K371" s="35">
        <v>492</v>
      </c>
      <c r="L371" s="35">
        <v>11</v>
      </c>
      <c r="M371" s="35">
        <v>503</v>
      </c>
      <c r="N371" s="35">
        <v>6</v>
      </c>
      <c r="O371" s="35">
        <v>509</v>
      </c>
      <c r="P371" s="35">
        <v>3</v>
      </c>
      <c r="Q371" s="35">
        <v>512</v>
      </c>
      <c r="R371" s="35">
        <v>3</v>
      </c>
      <c r="S371" s="35">
        <v>515</v>
      </c>
      <c r="T371" s="35">
        <v>3</v>
      </c>
      <c r="U371" s="35">
        <v>517</v>
      </c>
      <c r="V371" s="35">
        <v>2</v>
      </c>
      <c r="W371" s="35">
        <v>523</v>
      </c>
      <c r="X371" s="35">
        <v>6</v>
      </c>
      <c r="Y371" s="35">
        <v>532</v>
      </c>
      <c r="Z371" s="35">
        <v>9</v>
      </c>
      <c r="AA371" s="35">
        <v>543</v>
      </c>
      <c r="AB371" s="35">
        <v>11</v>
      </c>
      <c r="AC371" s="35">
        <v>11</v>
      </c>
      <c r="AD371" s="35">
        <v>0</v>
      </c>
      <c r="AE371" s="35">
        <v>0</v>
      </c>
      <c r="AG371" s="35">
        <v>3</v>
      </c>
      <c r="AH371" s="35">
        <v>0</v>
      </c>
      <c r="AI371" s="35">
        <v>14</v>
      </c>
    </row>
    <row r="372" spans="1:35" ht="15.75" customHeight="1" x14ac:dyDescent="0.35">
      <c r="A372" s="35">
        <v>374</v>
      </c>
      <c r="B372" s="35" t="s">
        <v>469</v>
      </c>
      <c r="C372" s="35" t="s">
        <v>458</v>
      </c>
      <c r="D372" s="35">
        <v>14</v>
      </c>
      <c r="E372" s="35">
        <v>76</v>
      </c>
      <c r="F372" s="35">
        <v>0</v>
      </c>
      <c r="G372" s="35">
        <v>76</v>
      </c>
      <c r="H372" s="35">
        <v>0</v>
      </c>
      <c r="I372" s="35">
        <v>76</v>
      </c>
      <c r="J372" s="35">
        <v>0</v>
      </c>
      <c r="K372" s="35">
        <v>76</v>
      </c>
      <c r="L372" s="35">
        <v>0</v>
      </c>
      <c r="M372" s="35">
        <v>76</v>
      </c>
      <c r="N372" s="35">
        <v>0</v>
      </c>
      <c r="O372" s="35">
        <v>70</v>
      </c>
      <c r="P372" s="35">
        <v>-1</v>
      </c>
      <c r="Q372" s="35">
        <v>69</v>
      </c>
      <c r="R372" s="35">
        <v>-1</v>
      </c>
      <c r="S372" s="35">
        <v>69</v>
      </c>
      <c r="T372" s="35">
        <v>0</v>
      </c>
      <c r="U372" s="35">
        <v>69</v>
      </c>
      <c r="V372" s="35">
        <v>0</v>
      </c>
      <c r="W372" s="35">
        <v>69</v>
      </c>
      <c r="X372" s="35">
        <v>0</v>
      </c>
      <c r="Y372" s="35">
        <v>69</v>
      </c>
      <c r="Z372" s="35">
        <v>0</v>
      </c>
      <c r="AA372" s="35">
        <v>69</v>
      </c>
      <c r="AB372" s="35">
        <v>0</v>
      </c>
      <c r="AC372" s="35">
        <v>5</v>
      </c>
      <c r="AD372" s="35">
        <v>0</v>
      </c>
      <c r="AE372" s="35">
        <v>0</v>
      </c>
      <c r="AG372" s="35">
        <v>3</v>
      </c>
      <c r="AH372" s="35">
        <v>0</v>
      </c>
      <c r="AI372" s="35">
        <v>8</v>
      </c>
    </row>
    <row r="373" spans="1:35" ht="15.75" customHeight="1" x14ac:dyDescent="0.35">
      <c r="A373" s="35">
        <v>375</v>
      </c>
      <c r="B373" s="35" t="s">
        <v>470</v>
      </c>
      <c r="C373" s="35" t="s">
        <v>458</v>
      </c>
      <c r="D373" s="35">
        <v>16</v>
      </c>
      <c r="E373" s="35">
        <v>3306</v>
      </c>
      <c r="F373" s="35">
        <v>12</v>
      </c>
      <c r="G373" s="35">
        <v>3318</v>
      </c>
      <c r="H373" s="35">
        <v>12</v>
      </c>
      <c r="I373" s="35">
        <v>3330</v>
      </c>
      <c r="J373" s="35">
        <v>12</v>
      </c>
      <c r="K373" s="35">
        <v>3342</v>
      </c>
      <c r="L373" s="35">
        <v>11</v>
      </c>
      <c r="M373" s="35">
        <v>3353</v>
      </c>
      <c r="N373" s="35">
        <v>9</v>
      </c>
      <c r="O373" s="35">
        <v>3362</v>
      </c>
      <c r="P373" s="35">
        <v>7</v>
      </c>
      <c r="Q373" s="35">
        <v>3369</v>
      </c>
      <c r="R373" s="35">
        <v>7</v>
      </c>
      <c r="S373" s="35">
        <v>3380</v>
      </c>
      <c r="T373" s="35">
        <v>11</v>
      </c>
      <c r="U373" s="35">
        <v>3393</v>
      </c>
      <c r="V373" s="35">
        <v>13</v>
      </c>
      <c r="W373" s="35">
        <v>3406</v>
      </c>
      <c r="X373" s="35">
        <v>13</v>
      </c>
      <c r="Y373" s="35">
        <v>3419</v>
      </c>
      <c r="Z373" s="35">
        <v>13</v>
      </c>
      <c r="AA373" s="35">
        <v>3437</v>
      </c>
      <c r="AB373" s="35">
        <v>18</v>
      </c>
      <c r="AC373" s="35">
        <v>18</v>
      </c>
      <c r="AD373" s="35">
        <v>0</v>
      </c>
      <c r="AE373" s="35">
        <v>0</v>
      </c>
      <c r="AG373" s="35">
        <v>3</v>
      </c>
      <c r="AH373" s="35">
        <v>0</v>
      </c>
      <c r="AI373" s="35">
        <v>21</v>
      </c>
    </row>
    <row r="374" spans="1:35" ht="15.75" customHeight="1" x14ac:dyDescent="0.35">
      <c r="A374" s="35">
        <v>376</v>
      </c>
      <c r="B374" s="35" t="s">
        <v>471</v>
      </c>
      <c r="C374" s="35" t="s">
        <v>458</v>
      </c>
      <c r="D374" s="35">
        <v>17</v>
      </c>
      <c r="E374" s="35">
        <v>1948</v>
      </c>
      <c r="F374" s="35">
        <v>16</v>
      </c>
      <c r="G374" s="35">
        <v>1964</v>
      </c>
      <c r="H374" s="35">
        <v>19</v>
      </c>
      <c r="I374" s="35">
        <v>1983</v>
      </c>
      <c r="J374" s="35">
        <v>14</v>
      </c>
      <c r="K374" s="35">
        <v>1997</v>
      </c>
      <c r="L374" s="35">
        <v>18</v>
      </c>
      <c r="M374" s="35">
        <v>2015</v>
      </c>
      <c r="N374" s="35">
        <v>13</v>
      </c>
      <c r="O374" s="35">
        <v>2028</v>
      </c>
      <c r="P374" s="35">
        <v>12</v>
      </c>
      <c r="Q374" s="35">
        <v>2040</v>
      </c>
      <c r="R374" s="35">
        <v>12</v>
      </c>
      <c r="S374" s="35">
        <v>2053</v>
      </c>
      <c r="T374" s="35">
        <v>13</v>
      </c>
      <c r="U374" s="35">
        <v>2064</v>
      </c>
      <c r="V374" s="35">
        <v>11</v>
      </c>
      <c r="W374" s="35">
        <v>2072</v>
      </c>
      <c r="X374" s="35">
        <v>8</v>
      </c>
      <c r="Y374" s="35">
        <v>2082</v>
      </c>
      <c r="Z374" s="35">
        <v>10</v>
      </c>
      <c r="AA374" s="35">
        <v>2091</v>
      </c>
      <c r="AB374" s="35">
        <v>9</v>
      </c>
      <c r="AC374" s="35">
        <v>9</v>
      </c>
      <c r="AD374" s="35">
        <v>13</v>
      </c>
      <c r="AE374" s="35">
        <v>0</v>
      </c>
      <c r="AG374" s="35">
        <v>3</v>
      </c>
      <c r="AH374" s="35">
        <v>20</v>
      </c>
      <c r="AI374" s="35">
        <v>45</v>
      </c>
    </row>
    <row r="375" spans="1:35" ht="15.75" customHeight="1" x14ac:dyDescent="0.35">
      <c r="A375" s="35">
        <v>377</v>
      </c>
      <c r="B375" s="35" t="s">
        <v>472</v>
      </c>
      <c r="C375" s="35" t="s">
        <v>458</v>
      </c>
      <c r="D375" s="35">
        <v>19</v>
      </c>
      <c r="E375" s="35">
        <v>1957</v>
      </c>
      <c r="F375" s="35">
        <v>15</v>
      </c>
      <c r="G375" s="35">
        <v>1972</v>
      </c>
      <c r="H375" s="35">
        <v>17</v>
      </c>
      <c r="I375" s="35">
        <v>1989</v>
      </c>
      <c r="J375" s="35">
        <v>15</v>
      </c>
      <c r="K375" s="35">
        <v>2004</v>
      </c>
      <c r="L375" s="35">
        <v>17</v>
      </c>
      <c r="M375" s="35">
        <v>2021</v>
      </c>
      <c r="N375" s="35">
        <v>15</v>
      </c>
      <c r="O375" s="35">
        <v>2036</v>
      </c>
      <c r="P375" s="35">
        <v>10</v>
      </c>
      <c r="Q375" s="35">
        <v>2046</v>
      </c>
      <c r="R375" s="35">
        <v>10</v>
      </c>
      <c r="S375" s="35">
        <v>2055</v>
      </c>
      <c r="T375" s="35">
        <v>9</v>
      </c>
      <c r="U375" s="35">
        <v>2066</v>
      </c>
      <c r="V375" s="35">
        <v>11</v>
      </c>
      <c r="W375" s="35">
        <v>2075</v>
      </c>
      <c r="X375" s="35">
        <v>9</v>
      </c>
      <c r="Y375" s="35">
        <v>2087</v>
      </c>
      <c r="Z375" s="35">
        <v>12</v>
      </c>
      <c r="AA375" s="35">
        <v>2099</v>
      </c>
      <c r="AB375" s="35">
        <v>12</v>
      </c>
      <c r="AC375" s="35">
        <v>12</v>
      </c>
      <c r="AD375" s="35">
        <v>0</v>
      </c>
      <c r="AE375" s="35">
        <v>0</v>
      </c>
      <c r="AG375" s="35">
        <v>3</v>
      </c>
      <c r="AH375" s="35">
        <v>0</v>
      </c>
      <c r="AI375" s="35">
        <v>15</v>
      </c>
    </row>
    <row r="376" spans="1:35" ht="15.75" customHeight="1" x14ac:dyDescent="0.35">
      <c r="A376" s="35">
        <v>378</v>
      </c>
      <c r="B376" s="35" t="s">
        <v>473</v>
      </c>
      <c r="C376" s="35" t="s">
        <v>458</v>
      </c>
      <c r="D376" s="35">
        <v>20</v>
      </c>
      <c r="E376" s="35">
        <v>667</v>
      </c>
      <c r="F376" s="35">
        <v>20</v>
      </c>
      <c r="G376" s="35">
        <v>687</v>
      </c>
      <c r="H376" s="35">
        <v>22</v>
      </c>
      <c r="I376" s="35">
        <v>709</v>
      </c>
      <c r="J376" s="35">
        <v>14</v>
      </c>
      <c r="K376" s="35">
        <v>723</v>
      </c>
      <c r="L376" s="35">
        <v>18</v>
      </c>
      <c r="M376" s="35">
        <v>741</v>
      </c>
      <c r="N376" s="35">
        <v>25</v>
      </c>
      <c r="O376" s="35">
        <v>766</v>
      </c>
      <c r="P376" s="35">
        <v>17</v>
      </c>
      <c r="Q376" s="35">
        <v>783</v>
      </c>
      <c r="R376" s="35">
        <v>17</v>
      </c>
      <c r="S376" s="35">
        <v>805</v>
      </c>
      <c r="T376" s="35">
        <v>22</v>
      </c>
      <c r="U376" s="35">
        <v>824</v>
      </c>
      <c r="V376" s="35">
        <v>19</v>
      </c>
      <c r="W376" s="35">
        <v>837</v>
      </c>
      <c r="X376" s="35">
        <v>13</v>
      </c>
      <c r="Y376" s="35">
        <v>858</v>
      </c>
      <c r="Z376" s="35">
        <v>21</v>
      </c>
      <c r="AA376" s="35">
        <v>874</v>
      </c>
      <c r="AB376" s="35">
        <v>16</v>
      </c>
      <c r="AC376" s="35">
        <v>16</v>
      </c>
      <c r="AD376" s="35">
        <v>0</v>
      </c>
      <c r="AE376" s="35">
        <v>0</v>
      </c>
      <c r="AG376" s="35">
        <v>3</v>
      </c>
      <c r="AH376" s="35">
        <v>20</v>
      </c>
      <c r="AI376" s="35">
        <v>39</v>
      </c>
    </row>
    <row r="377" spans="1:35" ht="15.75" customHeight="1" x14ac:dyDescent="0.35">
      <c r="A377" s="35">
        <v>379</v>
      </c>
      <c r="B377" s="35" t="s">
        <v>474</v>
      </c>
      <c r="C377" s="35" t="s">
        <v>475</v>
      </c>
      <c r="D377" s="35">
        <v>1</v>
      </c>
      <c r="E377" s="35">
        <v>1689</v>
      </c>
      <c r="F377" s="35">
        <v>10</v>
      </c>
      <c r="G377" s="35">
        <v>1699</v>
      </c>
      <c r="H377" s="35">
        <v>10</v>
      </c>
      <c r="I377" s="35">
        <v>1709</v>
      </c>
      <c r="J377" s="35">
        <v>8</v>
      </c>
      <c r="K377" s="35">
        <v>1717</v>
      </c>
      <c r="L377" s="35">
        <v>9</v>
      </c>
      <c r="M377" s="35">
        <v>1726</v>
      </c>
      <c r="N377" s="35">
        <v>2</v>
      </c>
      <c r="O377" s="35">
        <v>1728</v>
      </c>
      <c r="P377" s="35">
        <v>0</v>
      </c>
      <c r="Q377" s="35">
        <v>0</v>
      </c>
      <c r="R377" s="35">
        <v>-1728</v>
      </c>
      <c r="S377" s="35">
        <v>3</v>
      </c>
      <c r="T377" s="35">
        <v>3</v>
      </c>
      <c r="U377" s="35">
        <v>12</v>
      </c>
      <c r="V377" s="35">
        <v>9</v>
      </c>
      <c r="W377" s="35">
        <v>19</v>
      </c>
      <c r="X377" s="35">
        <v>7</v>
      </c>
      <c r="Y377" s="35">
        <v>28</v>
      </c>
      <c r="Z377" s="35">
        <v>9</v>
      </c>
      <c r="AA377" s="35">
        <v>38</v>
      </c>
      <c r="AB377" s="35">
        <v>10</v>
      </c>
      <c r="AC377" s="35">
        <v>10</v>
      </c>
      <c r="AD377" s="35">
        <v>0</v>
      </c>
      <c r="AE377" s="35">
        <v>0</v>
      </c>
      <c r="AG377" s="35">
        <v>3</v>
      </c>
      <c r="AH377" s="35">
        <v>0</v>
      </c>
      <c r="AI377" s="35">
        <v>13</v>
      </c>
    </row>
    <row r="378" spans="1:35" ht="15.75" customHeight="1" x14ac:dyDescent="0.35">
      <c r="A378" s="35">
        <v>380</v>
      </c>
      <c r="B378" s="35" t="s">
        <v>476</v>
      </c>
      <c r="C378" s="35" t="s">
        <v>475</v>
      </c>
      <c r="D378" s="35">
        <v>2</v>
      </c>
      <c r="E378" s="35">
        <v>1209</v>
      </c>
      <c r="F378" s="35">
        <v>28</v>
      </c>
      <c r="G378" s="35">
        <v>1237</v>
      </c>
      <c r="H378" s="35">
        <v>33</v>
      </c>
      <c r="I378" s="35">
        <v>1270</v>
      </c>
      <c r="J378" s="35">
        <v>22</v>
      </c>
      <c r="K378" s="35">
        <v>1292</v>
      </c>
      <c r="L378" s="35">
        <v>25</v>
      </c>
      <c r="M378" s="35">
        <v>1317</v>
      </c>
      <c r="N378" s="35">
        <v>30</v>
      </c>
      <c r="O378" s="35">
        <v>1347</v>
      </c>
      <c r="P378" s="35">
        <v>17</v>
      </c>
      <c r="Q378" s="35">
        <v>1364</v>
      </c>
      <c r="R378" s="35">
        <v>17</v>
      </c>
      <c r="S378" s="35">
        <v>1378</v>
      </c>
      <c r="T378" s="35">
        <v>14</v>
      </c>
      <c r="U378" s="35">
        <v>1393</v>
      </c>
      <c r="V378" s="35">
        <v>15</v>
      </c>
      <c r="W378" s="35">
        <v>1406</v>
      </c>
      <c r="X378" s="35">
        <v>13</v>
      </c>
      <c r="Y378" s="35">
        <v>1419</v>
      </c>
      <c r="Z378" s="35">
        <v>13</v>
      </c>
      <c r="AA378" s="35">
        <v>1438</v>
      </c>
      <c r="AB378" s="35">
        <v>19</v>
      </c>
      <c r="AC378" s="35">
        <v>19</v>
      </c>
      <c r="AD378" s="35">
        <v>0</v>
      </c>
      <c r="AE378" s="35">
        <v>0</v>
      </c>
      <c r="AG378" s="35">
        <v>3</v>
      </c>
      <c r="AH378" s="35">
        <v>0</v>
      </c>
      <c r="AI378" s="35">
        <v>22</v>
      </c>
    </row>
    <row r="379" spans="1:35" ht="15.75" customHeight="1" x14ac:dyDescent="0.35">
      <c r="A379" s="35">
        <v>381</v>
      </c>
      <c r="B379" s="35" t="s">
        <v>477</v>
      </c>
      <c r="C379" s="35" t="s">
        <v>475</v>
      </c>
      <c r="D379" s="35">
        <v>3</v>
      </c>
      <c r="E379" s="35">
        <v>414</v>
      </c>
      <c r="F379" s="35">
        <v>16</v>
      </c>
      <c r="G379" s="35">
        <v>430</v>
      </c>
      <c r="H379" s="35">
        <v>15</v>
      </c>
      <c r="I379" s="35">
        <v>445</v>
      </c>
      <c r="J379" s="35">
        <v>12</v>
      </c>
      <c r="K379" s="35">
        <v>457</v>
      </c>
      <c r="L379" s="35">
        <v>15</v>
      </c>
      <c r="M379" s="35">
        <v>472</v>
      </c>
      <c r="N379" s="35">
        <v>12</v>
      </c>
      <c r="O379" s="35">
        <v>484</v>
      </c>
      <c r="P379" s="35">
        <v>12</v>
      </c>
      <c r="Q379" s="35">
        <v>496</v>
      </c>
      <c r="R379" s="35">
        <v>12</v>
      </c>
      <c r="S379" s="35">
        <v>507</v>
      </c>
      <c r="T379" s="35">
        <v>11</v>
      </c>
      <c r="U379" s="35">
        <v>518</v>
      </c>
      <c r="V379" s="35">
        <v>11</v>
      </c>
      <c r="W379" s="35">
        <v>529</v>
      </c>
      <c r="X379" s="35">
        <v>11</v>
      </c>
      <c r="Y379" s="35">
        <v>541</v>
      </c>
      <c r="Z379" s="35">
        <v>12</v>
      </c>
      <c r="AA379" s="35">
        <v>555</v>
      </c>
      <c r="AB379" s="35">
        <v>14</v>
      </c>
      <c r="AC379" s="35">
        <v>14</v>
      </c>
      <c r="AD379" s="35">
        <v>0</v>
      </c>
      <c r="AE379" s="35">
        <v>0</v>
      </c>
      <c r="AG379" s="35">
        <v>3</v>
      </c>
      <c r="AH379" s="35">
        <v>0</v>
      </c>
      <c r="AI379" s="35">
        <v>17</v>
      </c>
    </row>
    <row r="380" spans="1:35" ht="15.75" customHeight="1" x14ac:dyDescent="0.35">
      <c r="A380" s="35">
        <v>382</v>
      </c>
      <c r="B380" s="35" t="s">
        <v>478</v>
      </c>
      <c r="C380" s="35" t="s">
        <v>475</v>
      </c>
      <c r="D380" s="35">
        <v>4</v>
      </c>
      <c r="E380" s="35">
        <v>2865</v>
      </c>
      <c r="F380" s="35">
        <v>28</v>
      </c>
      <c r="G380" s="35">
        <v>2893</v>
      </c>
      <c r="H380" s="35">
        <v>30</v>
      </c>
      <c r="I380" s="35">
        <v>2923</v>
      </c>
      <c r="J380" s="35">
        <v>24</v>
      </c>
      <c r="K380" s="35">
        <v>2947</v>
      </c>
      <c r="L380" s="35">
        <v>21</v>
      </c>
      <c r="M380" s="35">
        <v>2968</v>
      </c>
      <c r="N380" s="35">
        <v>23</v>
      </c>
      <c r="O380" s="35">
        <v>2991</v>
      </c>
      <c r="P380" s="35">
        <v>19</v>
      </c>
      <c r="Q380" s="35">
        <v>3010</v>
      </c>
      <c r="R380" s="35">
        <v>19</v>
      </c>
      <c r="S380" s="35">
        <v>3023</v>
      </c>
      <c r="T380" s="35">
        <v>13</v>
      </c>
      <c r="U380" s="35">
        <v>3038</v>
      </c>
      <c r="V380" s="35">
        <v>15</v>
      </c>
      <c r="W380" s="35">
        <v>3052</v>
      </c>
      <c r="X380" s="35">
        <v>14</v>
      </c>
      <c r="Y380" s="35">
        <v>3065</v>
      </c>
      <c r="Z380" s="35">
        <v>13</v>
      </c>
      <c r="AA380" s="35">
        <v>3081</v>
      </c>
      <c r="AB380" s="35">
        <v>16</v>
      </c>
      <c r="AC380" s="35">
        <v>16</v>
      </c>
      <c r="AD380" s="35">
        <v>0</v>
      </c>
      <c r="AE380" s="35">
        <v>0</v>
      </c>
      <c r="AG380" s="35">
        <v>3</v>
      </c>
      <c r="AH380" s="35">
        <v>0</v>
      </c>
      <c r="AI380" s="35">
        <v>19</v>
      </c>
    </row>
    <row r="381" spans="1:35" ht="15.75" customHeight="1" x14ac:dyDescent="0.35">
      <c r="A381" s="35">
        <v>383</v>
      </c>
      <c r="B381" s="35" t="s">
        <v>479</v>
      </c>
      <c r="C381" s="35" t="s">
        <v>475</v>
      </c>
      <c r="D381" s="35">
        <v>6</v>
      </c>
      <c r="E381" s="35">
        <v>2067</v>
      </c>
      <c r="F381" s="35">
        <v>26</v>
      </c>
      <c r="G381" s="35">
        <v>2093</v>
      </c>
      <c r="H381" s="35">
        <v>30</v>
      </c>
      <c r="I381" s="35">
        <v>2123</v>
      </c>
      <c r="J381" s="35">
        <v>27</v>
      </c>
      <c r="K381" s="35">
        <v>2150</v>
      </c>
      <c r="L381" s="35">
        <v>24</v>
      </c>
      <c r="M381" s="35">
        <v>2174</v>
      </c>
      <c r="N381" s="35">
        <v>25</v>
      </c>
      <c r="O381" s="35">
        <v>2199</v>
      </c>
      <c r="P381" s="35">
        <v>19</v>
      </c>
      <c r="Q381" s="35">
        <v>2218</v>
      </c>
      <c r="R381" s="35">
        <v>19</v>
      </c>
      <c r="S381" s="35">
        <v>2235</v>
      </c>
      <c r="T381" s="35">
        <v>17</v>
      </c>
      <c r="U381" s="35">
        <v>2253</v>
      </c>
      <c r="V381" s="35">
        <v>18</v>
      </c>
      <c r="W381" s="35">
        <v>2270</v>
      </c>
      <c r="X381" s="35">
        <v>17</v>
      </c>
      <c r="Y381" s="35">
        <v>2286</v>
      </c>
      <c r="Z381" s="35">
        <v>16</v>
      </c>
      <c r="AA381" s="35">
        <v>2303</v>
      </c>
      <c r="AB381" s="35">
        <v>17</v>
      </c>
      <c r="AC381" s="35">
        <v>17</v>
      </c>
      <c r="AD381" s="35">
        <v>19</v>
      </c>
      <c r="AE381" s="35">
        <v>0</v>
      </c>
      <c r="AG381" s="35">
        <v>3</v>
      </c>
      <c r="AH381" s="35">
        <v>0</v>
      </c>
      <c r="AI381" s="35">
        <v>39</v>
      </c>
    </row>
    <row r="382" spans="1:35" ht="15.75" customHeight="1" x14ac:dyDescent="0.35">
      <c r="A382" s="35">
        <v>384</v>
      </c>
      <c r="B382" s="35" t="s">
        <v>480</v>
      </c>
      <c r="C382" s="35" t="s">
        <v>475</v>
      </c>
      <c r="D382" s="35">
        <v>9</v>
      </c>
      <c r="E382" s="35">
        <v>264</v>
      </c>
      <c r="F382" s="35">
        <v>19</v>
      </c>
      <c r="G382" s="35">
        <v>283</v>
      </c>
      <c r="H382" s="35">
        <v>23</v>
      </c>
      <c r="I382" s="35">
        <v>306</v>
      </c>
      <c r="J382" s="35">
        <v>19</v>
      </c>
      <c r="K382" s="35">
        <v>325</v>
      </c>
      <c r="L382" s="35">
        <v>18</v>
      </c>
      <c r="M382" s="35">
        <v>343</v>
      </c>
      <c r="N382" s="35">
        <v>13</v>
      </c>
      <c r="O382" s="35">
        <v>356</v>
      </c>
      <c r="P382" s="35">
        <v>13</v>
      </c>
      <c r="Q382" s="35">
        <v>369</v>
      </c>
      <c r="R382" s="35">
        <v>13</v>
      </c>
      <c r="S382" s="35">
        <v>378</v>
      </c>
      <c r="T382" s="35">
        <v>9</v>
      </c>
      <c r="U382" s="35">
        <v>389</v>
      </c>
      <c r="V382" s="35">
        <v>11</v>
      </c>
      <c r="W382" s="35">
        <v>400</v>
      </c>
      <c r="X382" s="35">
        <v>11</v>
      </c>
      <c r="Y382" s="35">
        <v>416</v>
      </c>
      <c r="Z382" s="35">
        <v>16</v>
      </c>
      <c r="AA382" s="35">
        <v>431</v>
      </c>
      <c r="AB382" s="35">
        <v>15</v>
      </c>
      <c r="AC382" s="35">
        <v>15</v>
      </c>
      <c r="AD382" s="35">
        <v>-11</v>
      </c>
      <c r="AE382" s="35">
        <v>0</v>
      </c>
      <c r="AG382" s="35">
        <v>3</v>
      </c>
      <c r="AH382" s="35">
        <v>0</v>
      </c>
      <c r="AI382" s="35">
        <v>7</v>
      </c>
    </row>
    <row r="383" spans="1:35" ht="15.75" customHeight="1" x14ac:dyDescent="0.35">
      <c r="A383" s="35">
        <v>385</v>
      </c>
      <c r="B383" s="35" t="s">
        <v>481</v>
      </c>
      <c r="C383" s="35" t="s">
        <v>475</v>
      </c>
      <c r="D383" s="35">
        <v>10</v>
      </c>
      <c r="E383" s="35">
        <v>167</v>
      </c>
      <c r="F383" s="35">
        <v>8</v>
      </c>
      <c r="G383" s="35">
        <v>175</v>
      </c>
      <c r="H383" s="35">
        <v>6</v>
      </c>
      <c r="I383" s="35">
        <v>181</v>
      </c>
      <c r="J383" s="35">
        <v>9</v>
      </c>
      <c r="K383" s="35">
        <v>190</v>
      </c>
      <c r="L383" s="35">
        <v>34</v>
      </c>
      <c r="M383" s="35">
        <v>224</v>
      </c>
      <c r="N383" s="35">
        <v>22</v>
      </c>
      <c r="O383" s="35">
        <v>246</v>
      </c>
      <c r="P383" s="35">
        <v>7</v>
      </c>
      <c r="Q383" s="35">
        <v>253</v>
      </c>
      <c r="R383" s="35">
        <v>7</v>
      </c>
      <c r="S383" s="35">
        <v>257</v>
      </c>
      <c r="T383" s="35">
        <v>4</v>
      </c>
      <c r="U383" s="35">
        <v>264</v>
      </c>
      <c r="V383" s="35">
        <v>7</v>
      </c>
      <c r="W383" s="35">
        <v>268</v>
      </c>
      <c r="X383" s="35">
        <v>4</v>
      </c>
      <c r="Y383" s="35">
        <v>280</v>
      </c>
      <c r="Z383" s="35">
        <v>12</v>
      </c>
      <c r="AA383" s="35">
        <v>291</v>
      </c>
      <c r="AB383" s="35">
        <v>11</v>
      </c>
      <c r="AC383" s="35">
        <v>11</v>
      </c>
      <c r="AD383" s="35">
        <v>0</v>
      </c>
      <c r="AE383" s="35">
        <v>0</v>
      </c>
      <c r="AG383" s="35">
        <v>3</v>
      </c>
      <c r="AH383" s="35">
        <v>0</v>
      </c>
      <c r="AI383" s="35">
        <v>14</v>
      </c>
    </row>
    <row r="384" spans="1:35" ht="15.75" customHeight="1" x14ac:dyDescent="0.35">
      <c r="A384" s="35">
        <v>386</v>
      </c>
      <c r="B384" s="35" t="s">
        <v>482</v>
      </c>
      <c r="C384" s="35" t="s">
        <v>475</v>
      </c>
      <c r="D384" s="35">
        <v>11</v>
      </c>
      <c r="E384" s="35">
        <v>14</v>
      </c>
      <c r="F384" s="35">
        <v>3</v>
      </c>
      <c r="G384" s="35">
        <v>17</v>
      </c>
      <c r="H384" s="35">
        <v>3</v>
      </c>
      <c r="I384" s="35">
        <v>20</v>
      </c>
      <c r="J384" s="35">
        <v>1</v>
      </c>
      <c r="K384" s="35">
        <v>21</v>
      </c>
      <c r="L384" s="35">
        <v>4</v>
      </c>
      <c r="M384" s="35">
        <v>25</v>
      </c>
      <c r="N384" s="35">
        <v>8</v>
      </c>
      <c r="O384" s="35">
        <v>33</v>
      </c>
      <c r="P384" s="35">
        <v>3</v>
      </c>
      <c r="Q384" s="35">
        <v>36</v>
      </c>
      <c r="R384" s="35">
        <v>3</v>
      </c>
      <c r="S384" s="35">
        <v>38</v>
      </c>
      <c r="T384" s="35">
        <v>2</v>
      </c>
      <c r="U384" s="35">
        <v>39</v>
      </c>
      <c r="V384" s="35">
        <v>1</v>
      </c>
      <c r="W384" s="35">
        <v>40</v>
      </c>
      <c r="X384" s="35">
        <v>1</v>
      </c>
      <c r="Y384" s="35">
        <v>41</v>
      </c>
      <c r="Z384" s="35">
        <v>1</v>
      </c>
      <c r="AA384" s="35">
        <v>43</v>
      </c>
      <c r="AB384" s="35">
        <v>2</v>
      </c>
      <c r="AC384" s="35">
        <v>5</v>
      </c>
      <c r="AD384" s="35">
        <v>0</v>
      </c>
      <c r="AE384" s="35">
        <v>0</v>
      </c>
      <c r="AG384" s="35">
        <v>3</v>
      </c>
      <c r="AH384" s="35">
        <v>0</v>
      </c>
      <c r="AI384" s="35">
        <v>8</v>
      </c>
    </row>
    <row r="385" spans="1:35" ht="15.75" customHeight="1" x14ac:dyDescent="0.35">
      <c r="A385" s="35">
        <v>387</v>
      </c>
      <c r="B385" s="35" t="s">
        <v>484</v>
      </c>
      <c r="C385" s="35" t="s">
        <v>475</v>
      </c>
      <c r="D385" s="35">
        <v>12</v>
      </c>
      <c r="E385" s="35">
        <v>959</v>
      </c>
      <c r="F385" s="35">
        <v>11</v>
      </c>
      <c r="G385" s="35">
        <v>970</v>
      </c>
      <c r="H385" s="35">
        <v>12</v>
      </c>
      <c r="I385" s="35">
        <v>982</v>
      </c>
      <c r="J385" s="35">
        <v>12</v>
      </c>
      <c r="K385" s="35">
        <v>994</v>
      </c>
      <c r="L385" s="35">
        <v>8</v>
      </c>
      <c r="M385" s="35">
        <v>1002</v>
      </c>
      <c r="N385" s="35">
        <v>7</v>
      </c>
      <c r="O385" s="35">
        <v>1009</v>
      </c>
      <c r="P385" s="35">
        <v>4</v>
      </c>
      <c r="Q385" s="35">
        <v>1013</v>
      </c>
      <c r="R385" s="35">
        <v>4</v>
      </c>
      <c r="S385" s="35">
        <v>1017</v>
      </c>
      <c r="T385" s="35">
        <v>4</v>
      </c>
      <c r="U385" s="35">
        <v>1024</v>
      </c>
      <c r="V385" s="35">
        <v>7</v>
      </c>
      <c r="W385" s="35">
        <v>1030</v>
      </c>
      <c r="X385" s="35">
        <v>6</v>
      </c>
      <c r="Y385" s="35">
        <v>1044</v>
      </c>
      <c r="Z385" s="35">
        <v>14</v>
      </c>
      <c r="AA385" s="35">
        <v>1051</v>
      </c>
      <c r="AB385" s="35">
        <v>7</v>
      </c>
      <c r="AC385" s="35">
        <v>7</v>
      </c>
      <c r="AD385" s="35">
        <v>0</v>
      </c>
      <c r="AE385" s="35">
        <v>0</v>
      </c>
      <c r="AG385" s="35">
        <v>3</v>
      </c>
      <c r="AH385" s="35">
        <v>0</v>
      </c>
      <c r="AI385" s="35">
        <v>10</v>
      </c>
    </row>
    <row r="386" spans="1:35" ht="15.75" customHeight="1" x14ac:dyDescent="0.35">
      <c r="A386" s="35">
        <v>388</v>
      </c>
      <c r="B386" s="35" t="s">
        <v>485</v>
      </c>
      <c r="C386" s="35" t="s">
        <v>475</v>
      </c>
      <c r="D386" s="35">
        <v>13</v>
      </c>
      <c r="E386" s="35">
        <v>715</v>
      </c>
      <c r="F386" s="35">
        <v>14</v>
      </c>
      <c r="G386" s="35">
        <v>729</v>
      </c>
      <c r="H386" s="35">
        <v>14</v>
      </c>
      <c r="I386" s="35">
        <v>743</v>
      </c>
      <c r="J386" s="35">
        <v>14</v>
      </c>
      <c r="K386" s="35">
        <v>757</v>
      </c>
      <c r="L386" s="35">
        <v>19</v>
      </c>
      <c r="M386" s="35">
        <v>776</v>
      </c>
      <c r="N386" s="35">
        <v>11</v>
      </c>
      <c r="O386" s="35">
        <v>787</v>
      </c>
      <c r="P386" s="35">
        <v>11</v>
      </c>
      <c r="Q386" s="35">
        <v>798</v>
      </c>
      <c r="R386" s="35">
        <v>11</v>
      </c>
      <c r="S386" s="35">
        <v>808</v>
      </c>
      <c r="T386" s="35">
        <v>10</v>
      </c>
      <c r="U386" s="35">
        <v>817</v>
      </c>
      <c r="V386" s="35">
        <v>9</v>
      </c>
      <c r="W386" s="35">
        <v>827</v>
      </c>
      <c r="X386" s="35">
        <v>10</v>
      </c>
      <c r="Y386" s="35">
        <v>837</v>
      </c>
      <c r="Z386" s="35">
        <v>10</v>
      </c>
      <c r="AA386" s="35">
        <v>844</v>
      </c>
      <c r="AB386" s="35">
        <v>7</v>
      </c>
      <c r="AC386" s="35">
        <v>7</v>
      </c>
      <c r="AD386" s="35">
        <v>0</v>
      </c>
      <c r="AE386" s="35">
        <v>0</v>
      </c>
      <c r="AG386" s="35">
        <v>3</v>
      </c>
      <c r="AH386" s="35">
        <v>0</v>
      </c>
      <c r="AI386" s="35">
        <v>10</v>
      </c>
    </row>
    <row r="387" spans="1:35" ht="15.75" customHeight="1" x14ac:dyDescent="0.35">
      <c r="A387" s="35">
        <v>389</v>
      </c>
      <c r="B387" s="35" t="s">
        <v>486</v>
      </c>
      <c r="C387" s="35" t="s">
        <v>475</v>
      </c>
      <c r="D387" s="35">
        <v>14</v>
      </c>
      <c r="E387" s="35">
        <v>1037</v>
      </c>
      <c r="F387" s="35">
        <v>13</v>
      </c>
      <c r="G387" s="35">
        <v>1050</v>
      </c>
      <c r="H387" s="35">
        <v>12</v>
      </c>
      <c r="I387" s="35">
        <v>1062</v>
      </c>
      <c r="J387" s="35">
        <v>10</v>
      </c>
      <c r="K387" s="35">
        <v>1072</v>
      </c>
      <c r="L387" s="35">
        <v>9</v>
      </c>
      <c r="M387" s="35">
        <v>1081</v>
      </c>
      <c r="N387" s="35">
        <v>9</v>
      </c>
      <c r="O387" s="35">
        <v>1090</v>
      </c>
      <c r="P387" s="35">
        <v>8</v>
      </c>
      <c r="Q387" s="35">
        <v>1098</v>
      </c>
      <c r="R387" s="35">
        <v>8</v>
      </c>
      <c r="S387" s="35">
        <v>0</v>
      </c>
      <c r="T387" s="35">
        <v>7</v>
      </c>
      <c r="U387" s="35">
        <v>5</v>
      </c>
      <c r="V387" s="35">
        <v>5</v>
      </c>
      <c r="W387" s="35">
        <v>12</v>
      </c>
      <c r="X387" s="35">
        <v>7</v>
      </c>
      <c r="Y387" s="35">
        <v>20</v>
      </c>
      <c r="Z387" s="35">
        <v>8</v>
      </c>
      <c r="AA387" s="35">
        <v>30</v>
      </c>
      <c r="AB387" s="35">
        <v>10</v>
      </c>
      <c r="AC387" s="35">
        <v>10</v>
      </c>
      <c r="AD387" s="35">
        <v>0</v>
      </c>
      <c r="AE387" s="35">
        <v>0</v>
      </c>
      <c r="AF387" s="35">
        <v>44</v>
      </c>
      <c r="AG387" s="35">
        <v>3</v>
      </c>
      <c r="AH387" s="35">
        <v>20</v>
      </c>
      <c r="AI387" s="35">
        <v>77</v>
      </c>
    </row>
    <row r="388" spans="1:35" ht="15.75" customHeight="1" x14ac:dyDescent="0.35">
      <c r="A388" s="35">
        <v>390</v>
      </c>
      <c r="B388" s="35" t="s">
        <v>487</v>
      </c>
      <c r="C388" s="35" t="s">
        <v>475</v>
      </c>
      <c r="D388" s="35">
        <v>17</v>
      </c>
      <c r="E388" s="35">
        <v>1172</v>
      </c>
      <c r="F388" s="35">
        <v>7</v>
      </c>
      <c r="G388" s="35">
        <v>1179</v>
      </c>
      <c r="H388" s="35">
        <v>9</v>
      </c>
      <c r="I388" s="35">
        <v>1188</v>
      </c>
      <c r="J388" s="35">
        <v>6</v>
      </c>
      <c r="K388" s="35">
        <v>1194</v>
      </c>
      <c r="L388" s="35">
        <v>8</v>
      </c>
      <c r="M388" s="35">
        <v>1202</v>
      </c>
      <c r="N388" s="35">
        <v>6</v>
      </c>
      <c r="O388" s="35">
        <v>1208</v>
      </c>
      <c r="P388" s="35">
        <v>5</v>
      </c>
      <c r="Q388" s="35">
        <v>1213</v>
      </c>
      <c r="R388" s="35">
        <v>5</v>
      </c>
      <c r="S388" s="35">
        <v>1218</v>
      </c>
      <c r="T388" s="35">
        <v>5</v>
      </c>
      <c r="U388" s="35">
        <v>1223</v>
      </c>
      <c r="V388" s="35">
        <v>5</v>
      </c>
      <c r="W388" s="35">
        <v>1229</v>
      </c>
      <c r="X388" s="35">
        <v>6</v>
      </c>
      <c r="Y388" s="35">
        <v>1236</v>
      </c>
      <c r="Z388" s="35">
        <v>7</v>
      </c>
      <c r="AA388" s="35">
        <v>1241</v>
      </c>
      <c r="AB388" s="35">
        <v>5</v>
      </c>
      <c r="AC388" s="35">
        <v>5</v>
      </c>
      <c r="AD388" s="35">
        <v>0</v>
      </c>
      <c r="AE388" s="35">
        <v>0</v>
      </c>
      <c r="AG388" s="35">
        <v>3</v>
      </c>
      <c r="AH388" s="35">
        <v>0</v>
      </c>
      <c r="AI388" s="35">
        <v>8</v>
      </c>
    </row>
    <row r="389" spans="1:35" ht="15.75" customHeight="1" x14ac:dyDescent="0.35">
      <c r="A389" s="35">
        <v>391</v>
      </c>
      <c r="B389" s="35" t="s">
        <v>489</v>
      </c>
      <c r="C389" s="35" t="s">
        <v>475</v>
      </c>
      <c r="D389" s="35">
        <v>31</v>
      </c>
      <c r="E389" s="35">
        <v>35</v>
      </c>
      <c r="F389" s="35">
        <v>2</v>
      </c>
      <c r="G389" s="35">
        <v>37</v>
      </c>
      <c r="H389" s="35">
        <v>0</v>
      </c>
      <c r="I389" s="35">
        <v>37</v>
      </c>
      <c r="J389" s="35">
        <v>0</v>
      </c>
      <c r="K389" s="35">
        <v>37</v>
      </c>
      <c r="L389" s="35">
        <v>0</v>
      </c>
      <c r="M389" s="35">
        <v>37</v>
      </c>
      <c r="N389" s="35">
        <v>1</v>
      </c>
      <c r="O389" s="35">
        <v>38</v>
      </c>
      <c r="P389" s="35">
        <v>3</v>
      </c>
      <c r="Q389" s="35">
        <v>41</v>
      </c>
      <c r="R389" s="35">
        <v>3</v>
      </c>
      <c r="S389" s="35">
        <v>43</v>
      </c>
      <c r="T389" s="35">
        <v>2</v>
      </c>
      <c r="U389" s="35">
        <v>46</v>
      </c>
      <c r="V389" s="35">
        <v>3</v>
      </c>
      <c r="W389" s="35">
        <v>46</v>
      </c>
      <c r="X389" s="35">
        <v>0</v>
      </c>
      <c r="Y389" s="35">
        <v>46</v>
      </c>
      <c r="Z389" s="35">
        <v>0</v>
      </c>
      <c r="AA389" s="35">
        <v>46</v>
      </c>
      <c r="AB389" s="35">
        <v>0</v>
      </c>
      <c r="AC389" s="35">
        <v>5</v>
      </c>
      <c r="AD389" s="35">
        <v>16</v>
      </c>
      <c r="AE389" s="35">
        <v>40</v>
      </c>
      <c r="AG389" s="35">
        <v>3</v>
      </c>
      <c r="AH389" s="35">
        <v>40</v>
      </c>
      <c r="AI389" s="35">
        <v>104</v>
      </c>
    </row>
    <row r="390" spans="1:35" ht="15.75" customHeight="1" x14ac:dyDescent="0.35">
      <c r="A390" s="35">
        <v>392</v>
      </c>
      <c r="B390" s="35" t="s">
        <v>490</v>
      </c>
      <c r="C390" s="35" t="s">
        <v>475</v>
      </c>
      <c r="D390" s="35">
        <v>32</v>
      </c>
      <c r="E390" s="35">
        <v>197</v>
      </c>
      <c r="F390" s="35">
        <v>4</v>
      </c>
      <c r="G390" s="35">
        <v>201</v>
      </c>
      <c r="H390" s="35">
        <v>4</v>
      </c>
      <c r="I390" s="35">
        <v>205</v>
      </c>
      <c r="J390" s="35">
        <v>4</v>
      </c>
      <c r="K390" s="35">
        <v>209</v>
      </c>
      <c r="L390" s="35">
        <v>4</v>
      </c>
      <c r="M390" s="35">
        <v>213</v>
      </c>
      <c r="N390" s="35">
        <v>3</v>
      </c>
      <c r="O390" s="35">
        <v>216</v>
      </c>
      <c r="P390" s="35">
        <v>4</v>
      </c>
      <c r="Q390" s="35">
        <v>220</v>
      </c>
      <c r="R390" s="35">
        <v>4</v>
      </c>
      <c r="S390" s="35">
        <v>223</v>
      </c>
      <c r="T390" s="35">
        <v>3</v>
      </c>
      <c r="U390" s="35">
        <v>226</v>
      </c>
      <c r="V390" s="35">
        <v>3</v>
      </c>
      <c r="W390" s="35">
        <v>228</v>
      </c>
      <c r="X390" s="35">
        <v>2</v>
      </c>
      <c r="Y390" s="35">
        <v>229</v>
      </c>
      <c r="Z390" s="35">
        <v>1</v>
      </c>
      <c r="AA390" s="35">
        <v>232</v>
      </c>
      <c r="AB390" s="35">
        <v>3</v>
      </c>
      <c r="AC390" s="35">
        <v>5</v>
      </c>
      <c r="AD390" s="35">
        <v>0</v>
      </c>
      <c r="AE390" s="35">
        <v>0</v>
      </c>
      <c r="AG390" s="35">
        <v>3</v>
      </c>
      <c r="AH390" s="35">
        <v>0</v>
      </c>
      <c r="AI390" s="35">
        <v>8</v>
      </c>
    </row>
    <row r="391" spans="1:35" ht="15.75" customHeight="1" x14ac:dyDescent="0.35">
      <c r="A391" s="35">
        <v>393</v>
      </c>
      <c r="B391" s="35" t="s">
        <v>491</v>
      </c>
      <c r="C391" s="35" t="s">
        <v>475</v>
      </c>
      <c r="D391" s="35">
        <v>33</v>
      </c>
      <c r="E391" s="35">
        <v>617</v>
      </c>
      <c r="F391" s="35">
        <v>12</v>
      </c>
      <c r="G391" s="35">
        <v>629</v>
      </c>
      <c r="H391" s="35">
        <v>12</v>
      </c>
      <c r="I391" s="35">
        <v>641</v>
      </c>
      <c r="J391" s="35">
        <v>12</v>
      </c>
      <c r="K391" s="35">
        <v>653</v>
      </c>
      <c r="L391" s="35">
        <v>15</v>
      </c>
      <c r="M391" s="35">
        <v>668</v>
      </c>
      <c r="N391" s="35">
        <v>12</v>
      </c>
      <c r="O391" s="35">
        <v>680</v>
      </c>
      <c r="P391" s="35">
        <v>8</v>
      </c>
      <c r="Q391" s="35">
        <v>688</v>
      </c>
      <c r="R391" s="35">
        <v>8</v>
      </c>
      <c r="S391" s="35">
        <v>695</v>
      </c>
      <c r="T391" s="35">
        <v>7</v>
      </c>
      <c r="U391" s="35">
        <v>702</v>
      </c>
      <c r="V391" s="35">
        <v>7</v>
      </c>
      <c r="W391" s="35">
        <v>708</v>
      </c>
      <c r="X391" s="35">
        <v>6</v>
      </c>
      <c r="Y391" s="35">
        <v>716</v>
      </c>
      <c r="Z391" s="35">
        <v>8</v>
      </c>
      <c r="AA391" s="35">
        <v>725</v>
      </c>
      <c r="AB391" s="35">
        <v>9</v>
      </c>
      <c r="AC391" s="35">
        <v>9</v>
      </c>
      <c r="AD391" s="35">
        <v>0</v>
      </c>
      <c r="AE391" s="35">
        <v>0</v>
      </c>
      <c r="AG391" s="35">
        <v>3</v>
      </c>
      <c r="AH391" s="35">
        <v>20</v>
      </c>
      <c r="AI391" s="35">
        <v>32</v>
      </c>
    </row>
    <row r="392" spans="1:35" ht="15.75" customHeight="1" x14ac:dyDescent="0.35">
      <c r="A392" s="35">
        <v>394</v>
      </c>
      <c r="B392" s="35" t="s">
        <v>492</v>
      </c>
      <c r="C392" s="35" t="s">
        <v>475</v>
      </c>
      <c r="D392" s="35">
        <v>34</v>
      </c>
      <c r="E392" s="35">
        <v>105</v>
      </c>
      <c r="F392" s="35">
        <v>12</v>
      </c>
      <c r="G392" s="35">
        <v>117</v>
      </c>
      <c r="H392" s="35">
        <v>7</v>
      </c>
      <c r="I392" s="35">
        <v>124</v>
      </c>
      <c r="J392" s="35">
        <v>4</v>
      </c>
      <c r="K392" s="35">
        <v>128</v>
      </c>
      <c r="L392" s="35">
        <v>4</v>
      </c>
      <c r="M392" s="35">
        <v>132</v>
      </c>
      <c r="N392" s="35">
        <v>3</v>
      </c>
      <c r="O392" s="35">
        <v>135</v>
      </c>
      <c r="P392" s="35">
        <v>4</v>
      </c>
      <c r="Q392" s="35">
        <v>139</v>
      </c>
      <c r="R392" s="35">
        <v>4</v>
      </c>
      <c r="S392" s="35">
        <v>142</v>
      </c>
      <c r="T392" s="35">
        <v>3</v>
      </c>
      <c r="U392" s="35">
        <v>147</v>
      </c>
      <c r="V392" s="35">
        <v>5</v>
      </c>
      <c r="W392" s="35">
        <v>154</v>
      </c>
      <c r="X392" s="35">
        <v>7</v>
      </c>
      <c r="Y392" s="35">
        <v>158</v>
      </c>
      <c r="Z392" s="35">
        <v>4</v>
      </c>
      <c r="AA392" s="35">
        <v>164</v>
      </c>
      <c r="AB392" s="35">
        <v>6</v>
      </c>
      <c r="AC392" s="35">
        <v>6</v>
      </c>
      <c r="AD392" s="35">
        <v>0</v>
      </c>
      <c r="AE392" s="35">
        <v>0</v>
      </c>
      <c r="AG392" s="35">
        <v>3</v>
      </c>
      <c r="AH392" s="35">
        <v>0</v>
      </c>
      <c r="AI392" s="35">
        <v>9</v>
      </c>
    </row>
    <row r="393" spans="1:35" ht="15.75" customHeight="1" x14ac:dyDescent="0.35">
      <c r="A393" s="35">
        <v>395</v>
      </c>
      <c r="B393" s="35" t="s">
        <v>488</v>
      </c>
      <c r="C393" s="35" t="s">
        <v>475</v>
      </c>
      <c r="D393" s="35">
        <v>35</v>
      </c>
      <c r="W393" s="35">
        <v>0</v>
      </c>
      <c r="X393" s="35">
        <v>0</v>
      </c>
      <c r="Y393" s="35">
        <v>0</v>
      </c>
      <c r="Z393" s="35">
        <v>0</v>
      </c>
      <c r="AA393" s="35">
        <v>3</v>
      </c>
      <c r="AB393" s="35">
        <v>3</v>
      </c>
      <c r="AC393" s="35">
        <v>5</v>
      </c>
      <c r="AD393" s="35">
        <v>8</v>
      </c>
      <c r="AE393" s="35">
        <v>0</v>
      </c>
      <c r="AG393" s="35">
        <v>3</v>
      </c>
      <c r="AH393" s="35">
        <v>20</v>
      </c>
      <c r="AI393" s="35">
        <v>36</v>
      </c>
    </row>
    <row r="394" spans="1:35" ht="15.75" customHeight="1" x14ac:dyDescent="0.35">
      <c r="A394" s="35">
        <v>396</v>
      </c>
      <c r="B394" s="35" t="s">
        <v>493</v>
      </c>
      <c r="C394" s="35" t="s">
        <v>494</v>
      </c>
      <c r="D394" s="35">
        <v>1</v>
      </c>
      <c r="E394" s="35">
        <v>1418</v>
      </c>
      <c r="F394" s="35">
        <v>9</v>
      </c>
      <c r="G394" s="35">
        <v>1427</v>
      </c>
      <c r="H394" s="35">
        <v>9</v>
      </c>
      <c r="I394" s="35">
        <v>1436</v>
      </c>
      <c r="J394" s="35">
        <v>7</v>
      </c>
      <c r="K394" s="35">
        <v>1443</v>
      </c>
      <c r="L394" s="35">
        <v>8</v>
      </c>
      <c r="M394" s="35">
        <v>1451</v>
      </c>
      <c r="N394" s="35">
        <v>7</v>
      </c>
      <c r="O394" s="35">
        <v>1458</v>
      </c>
      <c r="P394" s="35">
        <v>9</v>
      </c>
      <c r="Q394" s="35">
        <v>1467</v>
      </c>
      <c r="R394" s="35">
        <v>9</v>
      </c>
      <c r="S394" s="35">
        <v>1473</v>
      </c>
      <c r="T394" s="35">
        <v>6</v>
      </c>
      <c r="U394" s="35">
        <v>1479</v>
      </c>
      <c r="V394" s="35">
        <v>6</v>
      </c>
      <c r="W394" s="35">
        <v>1485</v>
      </c>
      <c r="X394" s="35">
        <v>6</v>
      </c>
      <c r="Y394" s="35">
        <v>1493</v>
      </c>
      <c r="Z394" s="35">
        <v>8</v>
      </c>
      <c r="AA394" s="35">
        <v>1501</v>
      </c>
      <c r="AB394" s="35">
        <v>8</v>
      </c>
      <c r="AC394" s="35">
        <v>8</v>
      </c>
      <c r="AD394" s="35">
        <v>0</v>
      </c>
      <c r="AE394" s="35">
        <v>0</v>
      </c>
      <c r="AG394" s="35">
        <v>3</v>
      </c>
      <c r="AH394" s="35">
        <v>0</v>
      </c>
      <c r="AI394" s="35">
        <v>11</v>
      </c>
    </row>
    <row r="395" spans="1:35" ht="15.75" customHeight="1" x14ac:dyDescent="0.35">
      <c r="A395" s="35">
        <v>397</v>
      </c>
      <c r="B395" s="35" t="s">
        <v>495</v>
      </c>
      <c r="C395" s="35" t="s">
        <v>494</v>
      </c>
      <c r="D395" s="35">
        <v>2</v>
      </c>
      <c r="E395" s="35">
        <v>2</v>
      </c>
      <c r="F395" s="35">
        <v>0</v>
      </c>
      <c r="G395" s="35">
        <v>2</v>
      </c>
      <c r="H395" s="35">
        <v>0</v>
      </c>
      <c r="I395" s="35">
        <v>2</v>
      </c>
      <c r="J395" s="35">
        <v>0</v>
      </c>
      <c r="K395" s="35">
        <v>2</v>
      </c>
      <c r="L395" s="35">
        <v>0</v>
      </c>
      <c r="M395" s="35">
        <v>2</v>
      </c>
      <c r="N395" s="35">
        <v>8</v>
      </c>
      <c r="O395" s="35">
        <v>10</v>
      </c>
      <c r="P395" s="35">
        <v>5</v>
      </c>
      <c r="Q395" s="35">
        <v>15</v>
      </c>
      <c r="R395" s="35">
        <v>5</v>
      </c>
      <c r="S395" s="35">
        <v>16</v>
      </c>
      <c r="T395" s="35">
        <v>1</v>
      </c>
      <c r="U395" s="35">
        <v>17</v>
      </c>
      <c r="V395" s="35">
        <v>1</v>
      </c>
      <c r="W395" s="35">
        <v>18</v>
      </c>
      <c r="X395" s="35">
        <v>1</v>
      </c>
      <c r="Y395" s="35">
        <v>18</v>
      </c>
      <c r="Z395" s="35">
        <v>0</v>
      </c>
      <c r="AA395" s="35">
        <v>18</v>
      </c>
      <c r="AB395" s="35">
        <v>0</v>
      </c>
      <c r="AC395" s="35">
        <v>5</v>
      </c>
      <c r="AD395" s="35">
        <v>0</v>
      </c>
      <c r="AE395" s="35">
        <v>0</v>
      </c>
      <c r="AG395" s="35">
        <v>3</v>
      </c>
      <c r="AH395" s="35">
        <v>0</v>
      </c>
      <c r="AI395" s="35">
        <v>8</v>
      </c>
    </row>
    <row r="396" spans="1:35" ht="15.75" customHeight="1" x14ac:dyDescent="0.35">
      <c r="A396" s="35">
        <v>398</v>
      </c>
      <c r="B396" s="35" t="s">
        <v>498</v>
      </c>
      <c r="C396" s="35" t="s">
        <v>494</v>
      </c>
      <c r="D396" s="35">
        <v>5</v>
      </c>
      <c r="E396" s="35">
        <v>166</v>
      </c>
      <c r="F396" s="35">
        <v>0</v>
      </c>
      <c r="G396" s="35">
        <v>166</v>
      </c>
      <c r="H396" s="35">
        <v>8</v>
      </c>
      <c r="I396" s="35">
        <v>174</v>
      </c>
      <c r="J396" s="35">
        <v>12</v>
      </c>
      <c r="K396" s="35">
        <v>186</v>
      </c>
      <c r="L396" s="35">
        <v>14</v>
      </c>
      <c r="M396" s="35">
        <v>200</v>
      </c>
      <c r="N396" s="35">
        <v>8</v>
      </c>
      <c r="O396" s="35">
        <v>208</v>
      </c>
      <c r="P396" s="35">
        <v>8</v>
      </c>
      <c r="Q396" s="35">
        <v>216</v>
      </c>
      <c r="R396" s="35">
        <v>8</v>
      </c>
      <c r="S396" s="35">
        <v>221</v>
      </c>
      <c r="T396" s="35">
        <v>5</v>
      </c>
      <c r="U396" s="35">
        <v>228</v>
      </c>
      <c r="V396" s="35">
        <v>7</v>
      </c>
      <c r="W396" s="35">
        <v>234</v>
      </c>
      <c r="X396" s="35">
        <v>6</v>
      </c>
      <c r="Y396" s="35">
        <v>241</v>
      </c>
      <c r="Z396" s="35">
        <v>7</v>
      </c>
      <c r="AA396" s="35">
        <v>248</v>
      </c>
      <c r="AB396" s="35">
        <v>7</v>
      </c>
      <c r="AC396" s="35">
        <v>7</v>
      </c>
      <c r="AD396" s="35">
        <v>0</v>
      </c>
      <c r="AE396" s="35">
        <v>0</v>
      </c>
      <c r="AG396" s="35">
        <v>3</v>
      </c>
      <c r="AH396" s="35">
        <v>20</v>
      </c>
      <c r="AI396" s="35">
        <v>30</v>
      </c>
    </row>
    <row r="397" spans="1:35" ht="15.75" customHeight="1" x14ac:dyDescent="0.35">
      <c r="A397" s="35">
        <v>399</v>
      </c>
      <c r="B397" s="35" t="s">
        <v>499</v>
      </c>
      <c r="C397" s="35" t="s">
        <v>494</v>
      </c>
      <c r="D397" s="35">
        <v>6</v>
      </c>
      <c r="E397" s="35">
        <v>1125</v>
      </c>
      <c r="F397" s="35">
        <v>17</v>
      </c>
      <c r="G397" s="35">
        <v>1142</v>
      </c>
      <c r="H397" s="35">
        <v>15</v>
      </c>
      <c r="I397" s="35">
        <v>1157</v>
      </c>
      <c r="J397" s="35">
        <v>3</v>
      </c>
      <c r="K397" s="35">
        <v>1160</v>
      </c>
      <c r="L397" s="35">
        <v>2</v>
      </c>
      <c r="M397" s="35">
        <v>1162</v>
      </c>
      <c r="N397" s="35">
        <v>2</v>
      </c>
      <c r="O397" s="35">
        <v>1164</v>
      </c>
      <c r="P397" s="35">
        <v>2</v>
      </c>
      <c r="Q397" s="35">
        <v>1166</v>
      </c>
      <c r="R397" s="35">
        <v>2</v>
      </c>
      <c r="S397" s="35">
        <v>1168</v>
      </c>
      <c r="T397" s="35">
        <v>2</v>
      </c>
      <c r="U397" s="35">
        <v>1172</v>
      </c>
      <c r="V397" s="35">
        <v>4</v>
      </c>
      <c r="W397" s="35">
        <v>1174</v>
      </c>
      <c r="X397" s="35">
        <v>2</v>
      </c>
      <c r="Y397" s="35">
        <v>1176</v>
      </c>
      <c r="Z397" s="35">
        <v>2</v>
      </c>
      <c r="AA397" s="35">
        <v>1177</v>
      </c>
      <c r="AB397" s="35">
        <v>1</v>
      </c>
      <c r="AC397" s="35">
        <v>5</v>
      </c>
      <c r="AD397" s="35">
        <v>0</v>
      </c>
      <c r="AE397" s="35">
        <v>0</v>
      </c>
      <c r="AG397" s="35">
        <v>3</v>
      </c>
      <c r="AH397" s="35">
        <v>0</v>
      </c>
      <c r="AI397" s="35">
        <v>8</v>
      </c>
    </row>
    <row r="398" spans="1:35" ht="15.75" customHeight="1" x14ac:dyDescent="0.35">
      <c r="A398" s="35">
        <v>400</v>
      </c>
      <c r="B398" s="35" t="s">
        <v>500</v>
      </c>
      <c r="C398" s="35" t="s">
        <v>494</v>
      </c>
      <c r="D398" s="35">
        <v>8</v>
      </c>
      <c r="E398" s="35">
        <v>798</v>
      </c>
      <c r="F398" s="35">
        <v>20</v>
      </c>
      <c r="G398" s="35">
        <v>818</v>
      </c>
      <c r="H398" s="35">
        <v>18</v>
      </c>
      <c r="I398" s="35">
        <v>836</v>
      </c>
      <c r="J398" s="35">
        <v>15</v>
      </c>
      <c r="K398" s="35">
        <v>851</v>
      </c>
      <c r="L398" s="35">
        <v>15</v>
      </c>
      <c r="M398" s="35">
        <v>866</v>
      </c>
      <c r="N398" s="35">
        <v>13</v>
      </c>
      <c r="O398" s="35">
        <v>879</v>
      </c>
      <c r="P398" s="35">
        <v>16</v>
      </c>
      <c r="Q398" s="35">
        <v>895</v>
      </c>
      <c r="R398" s="35">
        <v>16</v>
      </c>
      <c r="S398" s="35">
        <v>909</v>
      </c>
      <c r="T398" s="35">
        <v>14</v>
      </c>
      <c r="U398" s="35">
        <v>922</v>
      </c>
      <c r="V398" s="35">
        <v>13</v>
      </c>
      <c r="W398" s="35">
        <v>936</v>
      </c>
      <c r="X398" s="35">
        <v>14</v>
      </c>
      <c r="Y398" s="35">
        <v>949</v>
      </c>
      <c r="Z398" s="35">
        <v>13</v>
      </c>
      <c r="AA398" s="35">
        <v>963</v>
      </c>
      <c r="AB398" s="35">
        <v>14</v>
      </c>
      <c r="AC398" s="35">
        <v>14</v>
      </c>
      <c r="AD398" s="35">
        <v>16</v>
      </c>
      <c r="AE398" s="35">
        <v>0</v>
      </c>
      <c r="AG398" s="35">
        <v>3</v>
      </c>
      <c r="AH398" s="35">
        <v>0</v>
      </c>
      <c r="AI398" s="35">
        <v>33</v>
      </c>
    </row>
    <row r="399" spans="1:35" ht="15.75" customHeight="1" x14ac:dyDescent="0.35">
      <c r="A399" s="35">
        <v>401</v>
      </c>
      <c r="B399" s="35" t="s">
        <v>501</v>
      </c>
      <c r="C399" s="35" t="s">
        <v>494</v>
      </c>
      <c r="D399" s="35">
        <v>9</v>
      </c>
      <c r="E399" s="35">
        <v>729</v>
      </c>
      <c r="F399" s="35">
        <v>14</v>
      </c>
      <c r="G399" s="35">
        <v>743</v>
      </c>
      <c r="H399" s="35">
        <v>15</v>
      </c>
      <c r="I399" s="35">
        <v>758</v>
      </c>
      <c r="J399" s="35">
        <v>12</v>
      </c>
      <c r="K399" s="35">
        <v>770</v>
      </c>
      <c r="L399" s="35">
        <v>19</v>
      </c>
      <c r="M399" s="35">
        <v>789</v>
      </c>
      <c r="N399" s="35">
        <v>4</v>
      </c>
      <c r="O399" s="35">
        <v>793</v>
      </c>
      <c r="P399" s="35">
        <v>9</v>
      </c>
      <c r="Q399" s="35">
        <v>802</v>
      </c>
      <c r="R399" s="35">
        <v>9</v>
      </c>
      <c r="S399" s="35">
        <v>808</v>
      </c>
      <c r="T399" s="35">
        <v>6</v>
      </c>
      <c r="U399" s="35">
        <v>817</v>
      </c>
      <c r="V399" s="35">
        <v>9</v>
      </c>
      <c r="W399" s="35">
        <v>823</v>
      </c>
      <c r="X399" s="35">
        <v>6</v>
      </c>
      <c r="Y399" s="35">
        <v>830</v>
      </c>
      <c r="Z399" s="35">
        <v>7</v>
      </c>
      <c r="AA399" s="35">
        <v>839</v>
      </c>
      <c r="AB399" s="35">
        <v>9</v>
      </c>
      <c r="AC399" s="35">
        <v>9</v>
      </c>
      <c r="AD399" s="35">
        <v>0</v>
      </c>
      <c r="AE399" s="35">
        <v>0</v>
      </c>
      <c r="AG399" s="35">
        <v>3</v>
      </c>
      <c r="AH399" s="35">
        <v>20</v>
      </c>
      <c r="AI399" s="35">
        <v>32</v>
      </c>
    </row>
    <row r="400" spans="1:35" ht="15.75" customHeight="1" x14ac:dyDescent="0.35">
      <c r="A400" s="35">
        <v>402</v>
      </c>
      <c r="B400" s="35" t="s">
        <v>502</v>
      </c>
      <c r="C400" s="35" t="s">
        <v>503</v>
      </c>
      <c r="D400" s="35">
        <v>2</v>
      </c>
      <c r="E400" s="35">
        <v>1272</v>
      </c>
      <c r="F400" s="35">
        <v>13</v>
      </c>
      <c r="G400" s="35">
        <v>1285</v>
      </c>
      <c r="H400" s="35">
        <v>13</v>
      </c>
      <c r="I400" s="35">
        <v>1298</v>
      </c>
      <c r="J400" s="35">
        <v>13</v>
      </c>
      <c r="K400" s="35">
        <v>1311</v>
      </c>
      <c r="L400" s="35">
        <v>9</v>
      </c>
      <c r="M400" s="35">
        <v>1320</v>
      </c>
      <c r="N400" s="35">
        <v>10</v>
      </c>
      <c r="O400" s="35">
        <v>1330</v>
      </c>
      <c r="P400" s="35">
        <v>10</v>
      </c>
      <c r="Q400" s="35">
        <v>1340</v>
      </c>
      <c r="R400" s="35">
        <v>10</v>
      </c>
      <c r="S400" s="35">
        <v>1347</v>
      </c>
      <c r="T400" s="35">
        <v>7</v>
      </c>
      <c r="U400" s="35">
        <v>1355</v>
      </c>
      <c r="V400" s="35">
        <v>8</v>
      </c>
      <c r="W400" s="35">
        <v>1363</v>
      </c>
      <c r="X400" s="35">
        <v>8</v>
      </c>
      <c r="Y400" s="35">
        <v>1371</v>
      </c>
      <c r="Z400" s="35">
        <v>8</v>
      </c>
      <c r="AA400" s="35">
        <v>1380</v>
      </c>
      <c r="AB400" s="35">
        <v>9</v>
      </c>
      <c r="AC400" s="35">
        <v>9</v>
      </c>
      <c r="AD400" s="35">
        <v>0</v>
      </c>
      <c r="AE400" s="35">
        <v>0</v>
      </c>
      <c r="AG400" s="35">
        <v>3</v>
      </c>
      <c r="AH400" s="35">
        <v>20</v>
      </c>
      <c r="AI400" s="35">
        <v>32</v>
      </c>
    </row>
    <row r="401" spans="1:35" ht="15.75" customHeight="1" x14ac:dyDescent="0.35">
      <c r="A401" s="35">
        <v>403</v>
      </c>
      <c r="B401" s="35" t="s">
        <v>504</v>
      </c>
      <c r="C401" s="35" t="s">
        <v>503</v>
      </c>
      <c r="D401" s="35">
        <v>3</v>
      </c>
      <c r="E401" s="35">
        <v>236</v>
      </c>
      <c r="F401" s="35">
        <v>9</v>
      </c>
      <c r="G401" s="35">
        <v>245</v>
      </c>
      <c r="H401" s="35">
        <v>9</v>
      </c>
      <c r="I401" s="35">
        <v>254</v>
      </c>
      <c r="J401" s="35">
        <v>10</v>
      </c>
      <c r="K401" s="35">
        <v>264</v>
      </c>
      <c r="L401" s="35">
        <v>8</v>
      </c>
      <c r="M401" s="35">
        <v>272</v>
      </c>
      <c r="N401" s="35">
        <v>10</v>
      </c>
      <c r="O401" s="35">
        <v>282</v>
      </c>
      <c r="P401" s="35">
        <v>8</v>
      </c>
      <c r="Q401" s="35">
        <v>290</v>
      </c>
      <c r="R401" s="35">
        <v>8</v>
      </c>
      <c r="S401" s="35">
        <v>299</v>
      </c>
      <c r="T401" s="35">
        <v>9</v>
      </c>
      <c r="U401" s="35">
        <v>308</v>
      </c>
      <c r="V401" s="35">
        <v>9</v>
      </c>
      <c r="W401" s="35">
        <v>320</v>
      </c>
      <c r="X401" s="35">
        <v>12</v>
      </c>
      <c r="Y401" s="35">
        <v>329</v>
      </c>
      <c r="Z401" s="35">
        <v>9</v>
      </c>
      <c r="AA401" s="35">
        <v>338</v>
      </c>
      <c r="AB401" s="35">
        <v>9</v>
      </c>
      <c r="AC401" s="35">
        <v>9</v>
      </c>
      <c r="AD401" s="35">
        <v>0</v>
      </c>
      <c r="AE401" s="35">
        <v>0</v>
      </c>
      <c r="AG401" s="35">
        <v>3</v>
      </c>
      <c r="AH401" s="35">
        <v>20</v>
      </c>
      <c r="AI401" s="35">
        <v>32</v>
      </c>
    </row>
    <row r="402" spans="1:35" ht="15.75" customHeight="1" x14ac:dyDescent="0.35">
      <c r="A402" s="35">
        <v>404</v>
      </c>
      <c r="B402" s="35" t="s">
        <v>505</v>
      </c>
      <c r="C402" s="35" t="s">
        <v>503</v>
      </c>
      <c r="D402" s="35">
        <v>4</v>
      </c>
      <c r="E402" s="35">
        <v>1837</v>
      </c>
      <c r="F402" s="35">
        <v>5</v>
      </c>
      <c r="G402" s="35">
        <v>1842</v>
      </c>
      <c r="H402" s="35">
        <v>5</v>
      </c>
      <c r="I402" s="35">
        <v>1847</v>
      </c>
      <c r="J402" s="35">
        <v>6</v>
      </c>
      <c r="K402" s="35">
        <v>1853</v>
      </c>
      <c r="L402" s="35">
        <v>6</v>
      </c>
      <c r="M402" s="35">
        <v>1859</v>
      </c>
      <c r="N402" s="35">
        <v>4</v>
      </c>
      <c r="O402" s="35">
        <v>1863</v>
      </c>
      <c r="P402" s="35">
        <v>5</v>
      </c>
      <c r="Q402" s="35">
        <v>1868</v>
      </c>
      <c r="R402" s="35">
        <v>5</v>
      </c>
      <c r="S402" s="35">
        <v>1878</v>
      </c>
      <c r="T402" s="35">
        <v>10</v>
      </c>
      <c r="U402" s="35">
        <v>1883</v>
      </c>
      <c r="V402" s="35">
        <v>5</v>
      </c>
      <c r="W402" s="35">
        <v>1888</v>
      </c>
      <c r="X402" s="35">
        <v>5</v>
      </c>
      <c r="Y402" s="35">
        <v>1892</v>
      </c>
      <c r="Z402" s="35">
        <v>4</v>
      </c>
      <c r="AA402" s="35">
        <v>1897</v>
      </c>
      <c r="AB402" s="35">
        <v>5</v>
      </c>
      <c r="AC402" s="35">
        <v>5</v>
      </c>
      <c r="AD402" s="35">
        <v>0</v>
      </c>
      <c r="AE402" s="35">
        <v>0</v>
      </c>
      <c r="AG402" s="35">
        <v>3</v>
      </c>
      <c r="AH402" s="35">
        <v>20</v>
      </c>
      <c r="AI402" s="35">
        <v>28</v>
      </c>
    </row>
    <row r="403" spans="1:35" ht="15.75" customHeight="1" x14ac:dyDescent="0.35">
      <c r="A403" s="35">
        <v>405</v>
      </c>
      <c r="B403" s="35" t="s">
        <v>506</v>
      </c>
      <c r="C403" s="35" t="s">
        <v>503</v>
      </c>
      <c r="D403" s="35">
        <v>5</v>
      </c>
      <c r="E403" s="35">
        <v>1144</v>
      </c>
      <c r="F403" s="35">
        <v>3</v>
      </c>
      <c r="G403" s="35">
        <v>1147</v>
      </c>
      <c r="H403" s="35">
        <v>4</v>
      </c>
      <c r="I403" s="35">
        <v>1151</v>
      </c>
      <c r="J403" s="35">
        <v>2</v>
      </c>
      <c r="K403" s="35">
        <v>1153</v>
      </c>
      <c r="L403" s="35">
        <v>5</v>
      </c>
      <c r="M403" s="35">
        <v>1158</v>
      </c>
      <c r="N403" s="35">
        <v>4</v>
      </c>
      <c r="O403" s="35">
        <v>1162</v>
      </c>
      <c r="P403" s="35">
        <v>4</v>
      </c>
      <c r="Q403" s="35">
        <v>1166</v>
      </c>
      <c r="R403" s="35">
        <v>4</v>
      </c>
      <c r="S403" s="35">
        <v>1170</v>
      </c>
      <c r="T403" s="35">
        <v>4</v>
      </c>
      <c r="U403" s="35">
        <v>1168</v>
      </c>
      <c r="V403" s="35">
        <v>0</v>
      </c>
      <c r="W403" s="35">
        <v>1170</v>
      </c>
      <c r="X403" s="35">
        <v>2</v>
      </c>
      <c r="Y403" s="35">
        <v>1173</v>
      </c>
      <c r="Z403" s="35">
        <v>3</v>
      </c>
      <c r="AA403" s="35">
        <v>1177</v>
      </c>
      <c r="AB403" s="35">
        <v>4</v>
      </c>
      <c r="AC403" s="35">
        <v>5</v>
      </c>
      <c r="AD403" s="35">
        <v>0</v>
      </c>
      <c r="AE403" s="35">
        <v>0</v>
      </c>
      <c r="AG403" s="35">
        <v>3</v>
      </c>
      <c r="AH403" s="35">
        <v>0</v>
      </c>
      <c r="AI403" s="35">
        <v>8</v>
      </c>
    </row>
    <row r="404" spans="1:35" ht="15.75" customHeight="1" x14ac:dyDescent="0.35">
      <c r="A404" s="35">
        <v>406</v>
      </c>
      <c r="B404" s="35" t="s">
        <v>657</v>
      </c>
      <c r="C404" s="35" t="s">
        <v>503</v>
      </c>
      <c r="D404" s="35">
        <v>6</v>
      </c>
      <c r="K404" s="35">
        <v>0</v>
      </c>
      <c r="L404" s="35">
        <v>0</v>
      </c>
      <c r="M404" s="35">
        <v>0</v>
      </c>
      <c r="N404" s="35">
        <v>1</v>
      </c>
      <c r="O404" s="35">
        <v>1</v>
      </c>
      <c r="P404" s="35">
        <v>0</v>
      </c>
      <c r="Q404" s="35">
        <v>1</v>
      </c>
      <c r="R404" s="35">
        <v>0</v>
      </c>
      <c r="S404" s="35">
        <v>1</v>
      </c>
      <c r="T404" s="35">
        <v>0</v>
      </c>
      <c r="U404" s="35">
        <v>0</v>
      </c>
      <c r="V404" s="35">
        <v>0</v>
      </c>
      <c r="W404" s="35">
        <v>0</v>
      </c>
      <c r="X404" s="35">
        <v>0</v>
      </c>
      <c r="Y404" s="35">
        <v>0</v>
      </c>
      <c r="Z404" s="35">
        <v>0</v>
      </c>
      <c r="AA404" s="35">
        <v>0</v>
      </c>
      <c r="AB404" s="35">
        <v>0</v>
      </c>
      <c r="AC404" s="35">
        <v>5</v>
      </c>
      <c r="AD404" s="35">
        <v>32</v>
      </c>
      <c r="AE404" s="35">
        <v>40</v>
      </c>
      <c r="AF404" s="35">
        <v>100</v>
      </c>
      <c r="AG404" s="35">
        <v>3</v>
      </c>
      <c r="AH404" s="35">
        <v>40</v>
      </c>
      <c r="AI404" s="35">
        <v>220</v>
      </c>
    </row>
    <row r="405" spans="1:35" ht="15.75" customHeight="1" x14ac:dyDescent="0.35">
      <c r="A405" s="35">
        <v>407</v>
      </c>
      <c r="B405" s="35" t="s">
        <v>509</v>
      </c>
      <c r="C405" s="35" t="s">
        <v>503</v>
      </c>
      <c r="D405" s="35">
        <v>7</v>
      </c>
      <c r="E405" s="35">
        <v>799</v>
      </c>
      <c r="F405" s="35">
        <v>8</v>
      </c>
      <c r="G405" s="35">
        <v>807</v>
      </c>
      <c r="H405" s="35">
        <v>8</v>
      </c>
      <c r="I405" s="35">
        <v>815</v>
      </c>
      <c r="J405" s="35">
        <v>9</v>
      </c>
      <c r="K405" s="35">
        <v>824</v>
      </c>
      <c r="L405" s="35">
        <v>8</v>
      </c>
      <c r="M405" s="35">
        <v>832</v>
      </c>
      <c r="N405" s="35">
        <v>10</v>
      </c>
      <c r="O405" s="35">
        <v>842</v>
      </c>
      <c r="P405" s="35">
        <v>8</v>
      </c>
      <c r="Q405" s="35">
        <v>850</v>
      </c>
      <c r="R405" s="35">
        <v>8</v>
      </c>
      <c r="S405" s="35">
        <v>858</v>
      </c>
      <c r="T405" s="35">
        <v>8</v>
      </c>
      <c r="U405" s="35">
        <v>873</v>
      </c>
      <c r="V405" s="35">
        <v>15</v>
      </c>
      <c r="W405" s="35">
        <v>886</v>
      </c>
      <c r="X405" s="35">
        <v>13</v>
      </c>
      <c r="Y405" s="35">
        <v>894</v>
      </c>
      <c r="Z405" s="35">
        <v>8</v>
      </c>
      <c r="AA405" s="35">
        <v>902</v>
      </c>
      <c r="AB405" s="35">
        <v>8</v>
      </c>
      <c r="AC405" s="35">
        <v>8</v>
      </c>
      <c r="AD405" s="35">
        <v>0</v>
      </c>
      <c r="AE405" s="35">
        <v>0</v>
      </c>
      <c r="AG405" s="35">
        <v>3</v>
      </c>
      <c r="AH405" s="35">
        <v>20</v>
      </c>
      <c r="AI405" s="35">
        <v>31</v>
      </c>
    </row>
    <row r="406" spans="1:35" ht="15.75" customHeight="1" x14ac:dyDescent="0.35">
      <c r="A406" s="35">
        <v>408</v>
      </c>
      <c r="B406" s="35" t="s">
        <v>510</v>
      </c>
      <c r="C406" s="35" t="s">
        <v>503</v>
      </c>
      <c r="D406" s="35">
        <v>8</v>
      </c>
      <c r="E406" s="35">
        <v>151</v>
      </c>
      <c r="F406" s="35">
        <v>12</v>
      </c>
      <c r="G406" s="35">
        <v>163</v>
      </c>
      <c r="H406" s="35">
        <v>11</v>
      </c>
      <c r="I406" s="35">
        <v>174</v>
      </c>
      <c r="J406" s="35">
        <v>8</v>
      </c>
      <c r="K406" s="35">
        <v>182</v>
      </c>
      <c r="L406" s="35">
        <v>11</v>
      </c>
      <c r="M406" s="35">
        <v>193</v>
      </c>
      <c r="N406" s="35">
        <v>8</v>
      </c>
      <c r="O406" s="35">
        <v>201</v>
      </c>
      <c r="P406" s="35">
        <v>9</v>
      </c>
      <c r="Q406" s="35">
        <v>210</v>
      </c>
      <c r="R406" s="35">
        <v>9</v>
      </c>
      <c r="S406" s="35">
        <v>219</v>
      </c>
      <c r="T406" s="35">
        <v>9</v>
      </c>
      <c r="U406" s="35">
        <v>227</v>
      </c>
      <c r="V406" s="35">
        <v>8</v>
      </c>
      <c r="W406" s="35">
        <v>235</v>
      </c>
      <c r="X406" s="35">
        <v>8</v>
      </c>
      <c r="Y406" s="35">
        <v>243</v>
      </c>
      <c r="Z406" s="35">
        <v>8</v>
      </c>
      <c r="AA406" s="35">
        <v>250</v>
      </c>
      <c r="AB406" s="35">
        <v>7</v>
      </c>
      <c r="AC406" s="35">
        <v>7</v>
      </c>
      <c r="AD406" s="35">
        <v>0</v>
      </c>
      <c r="AE406" s="35">
        <v>0</v>
      </c>
      <c r="AG406" s="35">
        <v>3</v>
      </c>
      <c r="AH406" s="35">
        <v>0</v>
      </c>
      <c r="AI406" s="35">
        <v>10</v>
      </c>
    </row>
    <row r="407" spans="1:35" ht="15.75" customHeight="1" x14ac:dyDescent="0.35">
      <c r="A407" s="35">
        <v>409</v>
      </c>
      <c r="B407" s="35" t="s">
        <v>511</v>
      </c>
      <c r="C407" s="35" t="s">
        <v>503</v>
      </c>
      <c r="D407" s="35">
        <v>9</v>
      </c>
      <c r="E407" s="35">
        <v>358</v>
      </c>
      <c r="F407" s="35">
        <v>6</v>
      </c>
      <c r="G407" s="35">
        <v>364</v>
      </c>
      <c r="H407" s="35">
        <v>8</v>
      </c>
      <c r="I407" s="35">
        <v>372</v>
      </c>
      <c r="J407" s="35">
        <v>7</v>
      </c>
      <c r="K407" s="35">
        <v>379</v>
      </c>
      <c r="L407" s="35">
        <v>6</v>
      </c>
      <c r="M407" s="35">
        <v>385</v>
      </c>
      <c r="N407" s="35">
        <v>6</v>
      </c>
      <c r="O407" s="35">
        <v>391</v>
      </c>
      <c r="P407" s="35">
        <v>2</v>
      </c>
      <c r="Q407" s="35">
        <v>393</v>
      </c>
      <c r="R407" s="35">
        <v>2</v>
      </c>
      <c r="S407" s="35">
        <v>393</v>
      </c>
      <c r="T407" s="35">
        <v>0</v>
      </c>
      <c r="U407" s="35">
        <v>400</v>
      </c>
      <c r="V407" s="35">
        <v>7</v>
      </c>
      <c r="W407" s="35">
        <v>403</v>
      </c>
      <c r="X407" s="35">
        <v>3</v>
      </c>
      <c r="Y407" s="35">
        <v>407</v>
      </c>
      <c r="Z407" s="35">
        <v>4</v>
      </c>
      <c r="AA407" s="35">
        <v>411</v>
      </c>
      <c r="AB407" s="35">
        <v>4</v>
      </c>
      <c r="AC407" s="35">
        <v>5</v>
      </c>
      <c r="AD407" s="35">
        <v>8</v>
      </c>
      <c r="AE407" s="35">
        <v>0</v>
      </c>
      <c r="AG407" s="35">
        <v>3</v>
      </c>
      <c r="AH407" s="35">
        <v>0</v>
      </c>
      <c r="AI407" s="35">
        <v>16</v>
      </c>
    </row>
    <row r="408" spans="1:35" ht="15.75" customHeight="1" x14ac:dyDescent="0.35">
      <c r="A408" s="35">
        <v>410</v>
      </c>
      <c r="B408" s="35" t="s">
        <v>512</v>
      </c>
      <c r="C408" s="35" t="s">
        <v>503</v>
      </c>
      <c r="D408" s="35">
        <v>11</v>
      </c>
      <c r="E408" s="35">
        <v>1073</v>
      </c>
      <c r="F408" s="35">
        <v>8</v>
      </c>
      <c r="G408" s="35">
        <v>1081</v>
      </c>
      <c r="H408" s="35">
        <v>11</v>
      </c>
      <c r="I408" s="35">
        <v>1092</v>
      </c>
      <c r="J408" s="35">
        <v>11</v>
      </c>
      <c r="K408" s="35">
        <v>1103</v>
      </c>
      <c r="L408" s="35">
        <v>13</v>
      </c>
      <c r="M408" s="35">
        <v>1116</v>
      </c>
      <c r="N408" s="35">
        <v>10</v>
      </c>
      <c r="O408" s="35">
        <v>1126</v>
      </c>
      <c r="P408" s="35">
        <v>12</v>
      </c>
      <c r="Q408" s="35">
        <v>1138</v>
      </c>
      <c r="R408" s="35">
        <v>12</v>
      </c>
      <c r="S408" s="35">
        <v>1153</v>
      </c>
      <c r="T408" s="35">
        <v>15</v>
      </c>
      <c r="U408" s="35">
        <v>1170</v>
      </c>
      <c r="V408" s="35">
        <v>17</v>
      </c>
      <c r="W408" s="35">
        <v>1184</v>
      </c>
      <c r="X408" s="35">
        <v>14</v>
      </c>
      <c r="Y408" s="35">
        <v>1198</v>
      </c>
      <c r="Z408" s="35">
        <v>14</v>
      </c>
      <c r="AA408" s="35">
        <v>1211</v>
      </c>
      <c r="AB408" s="35">
        <v>13</v>
      </c>
      <c r="AC408" s="35">
        <v>13</v>
      </c>
      <c r="AD408" s="35">
        <v>0</v>
      </c>
      <c r="AE408" s="35">
        <v>0</v>
      </c>
      <c r="AG408" s="35">
        <v>3</v>
      </c>
      <c r="AH408" s="35">
        <v>0</v>
      </c>
      <c r="AI408" s="35">
        <v>16</v>
      </c>
    </row>
    <row r="409" spans="1:35" ht="15.75" customHeight="1" x14ac:dyDescent="0.35">
      <c r="A409" s="35">
        <v>411</v>
      </c>
      <c r="B409" s="35" t="s">
        <v>513</v>
      </c>
      <c r="C409" s="35" t="s">
        <v>503</v>
      </c>
      <c r="D409" s="35">
        <v>12</v>
      </c>
      <c r="E409" s="35">
        <v>56</v>
      </c>
      <c r="F409" s="35">
        <v>1</v>
      </c>
      <c r="G409" s="35">
        <v>57</v>
      </c>
      <c r="H409" s="35">
        <v>2</v>
      </c>
      <c r="I409" s="35">
        <v>59</v>
      </c>
      <c r="J409" s="35">
        <v>1</v>
      </c>
      <c r="K409" s="35">
        <v>60</v>
      </c>
      <c r="L409" s="35">
        <v>0</v>
      </c>
      <c r="M409" s="35">
        <v>60</v>
      </c>
      <c r="N409" s="35">
        <v>0</v>
      </c>
      <c r="O409" s="35">
        <v>60</v>
      </c>
      <c r="P409" s="35">
        <v>1</v>
      </c>
      <c r="Q409" s="35">
        <v>61</v>
      </c>
      <c r="R409" s="35">
        <v>1</v>
      </c>
      <c r="S409" s="35">
        <v>61</v>
      </c>
      <c r="T409" s="35">
        <v>0</v>
      </c>
      <c r="U409" s="35">
        <v>61</v>
      </c>
      <c r="V409" s="35">
        <v>0</v>
      </c>
      <c r="W409" s="35">
        <v>61</v>
      </c>
      <c r="X409" s="35">
        <v>0</v>
      </c>
      <c r="Y409" s="35">
        <v>61</v>
      </c>
      <c r="Z409" s="35">
        <v>0</v>
      </c>
      <c r="AA409" s="35">
        <v>62</v>
      </c>
      <c r="AB409" s="35">
        <v>1</v>
      </c>
      <c r="AC409" s="35">
        <v>5</v>
      </c>
      <c r="AD409" s="35">
        <v>8</v>
      </c>
      <c r="AE409" s="35">
        <v>0</v>
      </c>
      <c r="AG409" s="35">
        <v>3</v>
      </c>
      <c r="AH409" s="35">
        <v>20</v>
      </c>
      <c r="AI409" s="35">
        <v>36</v>
      </c>
    </row>
    <row r="410" spans="1:35" ht="15.75" customHeight="1" x14ac:dyDescent="0.35">
      <c r="A410" s="35">
        <v>412</v>
      </c>
      <c r="B410" s="35" t="s">
        <v>515</v>
      </c>
      <c r="C410" s="35" t="s">
        <v>503</v>
      </c>
      <c r="D410" s="35">
        <v>13</v>
      </c>
      <c r="E410" s="35">
        <v>450</v>
      </c>
      <c r="F410" s="35">
        <v>4</v>
      </c>
      <c r="G410" s="35">
        <v>454</v>
      </c>
      <c r="H410" s="35">
        <v>8</v>
      </c>
      <c r="I410" s="35">
        <v>462</v>
      </c>
      <c r="J410" s="35">
        <v>1</v>
      </c>
      <c r="K410" s="35">
        <v>463</v>
      </c>
      <c r="L410" s="35">
        <v>4</v>
      </c>
      <c r="M410" s="35">
        <v>467</v>
      </c>
      <c r="N410" s="35">
        <v>4</v>
      </c>
      <c r="O410" s="35">
        <v>471</v>
      </c>
      <c r="P410" s="35">
        <v>4</v>
      </c>
      <c r="Q410" s="35">
        <v>475</v>
      </c>
      <c r="R410" s="35">
        <v>4</v>
      </c>
      <c r="S410" s="35">
        <v>480</v>
      </c>
      <c r="T410" s="35">
        <v>5</v>
      </c>
      <c r="U410" s="35">
        <v>488</v>
      </c>
      <c r="V410" s="35">
        <v>8</v>
      </c>
      <c r="W410" s="35">
        <v>495</v>
      </c>
      <c r="X410" s="35">
        <v>7</v>
      </c>
      <c r="Y410" s="35">
        <v>501</v>
      </c>
      <c r="Z410" s="35">
        <v>6</v>
      </c>
      <c r="AA410" s="35">
        <v>507</v>
      </c>
      <c r="AB410" s="35">
        <v>6</v>
      </c>
      <c r="AC410" s="35">
        <v>6</v>
      </c>
      <c r="AD410" s="35">
        <v>0</v>
      </c>
      <c r="AE410" s="35">
        <v>0</v>
      </c>
      <c r="AG410" s="35">
        <v>3</v>
      </c>
      <c r="AH410" s="35">
        <v>0</v>
      </c>
      <c r="AI410" s="35">
        <v>9</v>
      </c>
    </row>
    <row r="411" spans="1:35" ht="15.75" customHeight="1" x14ac:dyDescent="0.35">
      <c r="A411" s="35">
        <v>413</v>
      </c>
      <c r="B411" s="35" t="s">
        <v>516</v>
      </c>
      <c r="C411" s="35" t="s">
        <v>503</v>
      </c>
      <c r="D411" s="35">
        <v>14</v>
      </c>
      <c r="E411" s="35">
        <v>931</v>
      </c>
      <c r="F411" s="35">
        <v>10</v>
      </c>
      <c r="G411" s="35">
        <v>941</v>
      </c>
      <c r="H411" s="35">
        <v>9</v>
      </c>
      <c r="I411" s="35">
        <v>950</v>
      </c>
      <c r="J411" s="35">
        <v>13</v>
      </c>
      <c r="K411" s="35">
        <v>963</v>
      </c>
      <c r="L411" s="35">
        <v>10</v>
      </c>
      <c r="M411" s="35">
        <v>973</v>
      </c>
      <c r="N411" s="35">
        <v>10</v>
      </c>
      <c r="O411" s="35">
        <v>983</v>
      </c>
      <c r="P411" s="35">
        <v>27</v>
      </c>
      <c r="Q411" s="35">
        <v>1010</v>
      </c>
      <c r="R411" s="35">
        <v>27</v>
      </c>
      <c r="S411" s="35">
        <v>1023</v>
      </c>
      <c r="T411" s="35">
        <v>13</v>
      </c>
      <c r="U411" s="35">
        <v>1030</v>
      </c>
      <c r="V411" s="35">
        <v>7</v>
      </c>
      <c r="W411" s="35">
        <v>1039</v>
      </c>
      <c r="X411" s="35">
        <v>9</v>
      </c>
      <c r="Y411" s="35">
        <v>1047</v>
      </c>
      <c r="Z411" s="35">
        <v>8</v>
      </c>
      <c r="AA411" s="35">
        <v>1053</v>
      </c>
      <c r="AB411" s="35">
        <v>6</v>
      </c>
      <c r="AC411" s="35">
        <v>6</v>
      </c>
      <c r="AD411" s="35">
        <v>0</v>
      </c>
      <c r="AE411" s="35">
        <v>0</v>
      </c>
      <c r="AG411" s="35">
        <v>3</v>
      </c>
      <c r="AH411" s="35">
        <v>20</v>
      </c>
      <c r="AI411" s="35">
        <v>29</v>
      </c>
    </row>
    <row r="412" spans="1:35" ht="15.75" customHeight="1" x14ac:dyDescent="0.35">
      <c r="A412" s="35">
        <v>414</v>
      </c>
      <c r="B412" s="35" t="s">
        <v>517</v>
      </c>
      <c r="C412" s="35" t="s">
        <v>503</v>
      </c>
      <c r="D412" s="35">
        <v>15</v>
      </c>
      <c r="E412" s="35">
        <v>1308</v>
      </c>
      <c r="F412" s="35">
        <v>10</v>
      </c>
      <c r="G412" s="35">
        <v>1318</v>
      </c>
      <c r="H412" s="35">
        <v>11</v>
      </c>
      <c r="I412" s="35">
        <v>1329</v>
      </c>
      <c r="J412" s="35">
        <v>7</v>
      </c>
      <c r="K412" s="35">
        <v>1336</v>
      </c>
      <c r="L412" s="35">
        <v>9</v>
      </c>
      <c r="M412" s="35">
        <v>1345</v>
      </c>
      <c r="N412" s="35">
        <v>7</v>
      </c>
      <c r="O412" s="35">
        <v>1352</v>
      </c>
      <c r="P412" s="35">
        <v>6</v>
      </c>
      <c r="Q412" s="35">
        <v>1358</v>
      </c>
      <c r="R412" s="35">
        <v>6</v>
      </c>
      <c r="S412" s="35">
        <v>1362</v>
      </c>
      <c r="T412" s="35">
        <v>4</v>
      </c>
      <c r="U412" s="35">
        <v>1366</v>
      </c>
      <c r="V412" s="35">
        <v>4</v>
      </c>
      <c r="W412" s="35">
        <v>1372</v>
      </c>
      <c r="X412" s="35">
        <v>6</v>
      </c>
      <c r="Y412" s="35">
        <v>1380</v>
      </c>
      <c r="Z412" s="35">
        <v>8</v>
      </c>
      <c r="AA412" s="35">
        <v>1389</v>
      </c>
      <c r="AB412" s="35">
        <v>9</v>
      </c>
      <c r="AC412" s="35">
        <v>9</v>
      </c>
      <c r="AD412" s="35">
        <v>11</v>
      </c>
      <c r="AE412" s="35">
        <v>0</v>
      </c>
      <c r="AG412" s="35">
        <v>3</v>
      </c>
      <c r="AH412" s="35">
        <v>20</v>
      </c>
      <c r="AI412" s="35">
        <v>43</v>
      </c>
    </row>
    <row r="413" spans="1:35" ht="15.75" customHeight="1" x14ac:dyDescent="0.35">
      <c r="A413" s="35">
        <v>415</v>
      </c>
      <c r="B413" s="35" t="s">
        <v>518</v>
      </c>
      <c r="C413" s="35" t="s">
        <v>503</v>
      </c>
      <c r="D413" s="35">
        <v>16</v>
      </c>
      <c r="E413" s="35">
        <v>1730</v>
      </c>
      <c r="F413" s="35">
        <v>16</v>
      </c>
      <c r="G413" s="35">
        <v>1746</v>
      </c>
      <c r="H413" s="35">
        <v>16</v>
      </c>
      <c r="I413" s="35">
        <v>1762</v>
      </c>
      <c r="J413" s="35">
        <v>13</v>
      </c>
      <c r="K413" s="35">
        <v>1775</v>
      </c>
      <c r="L413" s="35">
        <v>12</v>
      </c>
      <c r="M413" s="35">
        <v>1787</v>
      </c>
      <c r="N413" s="35">
        <v>14</v>
      </c>
      <c r="O413" s="35">
        <v>1801</v>
      </c>
      <c r="P413" s="35">
        <v>9</v>
      </c>
      <c r="Q413" s="35">
        <v>1810</v>
      </c>
      <c r="R413" s="35">
        <v>9</v>
      </c>
      <c r="S413" s="35">
        <v>1817</v>
      </c>
      <c r="T413" s="35">
        <v>68</v>
      </c>
      <c r="U413" s="35">
        <v>1825</v>
      </c>
      <c r="V413" s="35">
        <v>8</v>
      </c>
      <c r="W413" s="35">
        <v>1840</v>
      </c>
      <c r="X413" s="35">
        <v>15</v>
      </c>
      <c r="Y413" s="35">
        <v>1858</v>
      </c>
      <c r="Z413" s="35">
        <v>18</v>
      </c>
      <c r="AA413" s="35">
        <v>1876</v>
      </c>
      <c r="AB413" s="35">
        <v>18</v>
      </c>
      <c r="AC413" s="35">
        <v>18</v>
      </c>
      <c r="AD413" s="35">
        <v>0</v>
      </c>
      <c r="AE413" s="35">
        <v>0</v>
      </c>
      <c r="AG413" s="35">
        <v>3</v>
      </c>
      <c r="AH413" s="35">
        <v>0</v>
      </c>
      <c r="AI413" s="35">
        <v>21</v>
      </c>
    </row>
    <row r="414" spans="1:35" ht="15.75" customHeight="1" x14ac:dyDescent="0.35">
      <c r="A414" s="35">
        <v>416</v>
      </c>
      <c r="B414" s="35" t="s">
        <v>519</v>
      </c>
      <c r="C414" s="35" t="s">
        <v>503</v>
      </c>
      <c r="D414" s="35">
        <v>17</v>
      </c>
      <c r="E414" s="35">
        <v>1431</v>
      </c>
      <c r="F414" s="35">
        <v>11</v>
      </c>
      <c r="G414" s="35">
        <v>1442</v>
      </c>
      <c r="H414" s="35">
        <v>10</v>
      </c>
      <c r="I414" s="35">
        <v>1452</v>
      </c>
      <c r="J414" s="35">
        <v>5</v>
      </c>
      <c r="K414" s="35">
        <v>1457</v>
      </c>
      <c r="L414" s="35">
        <v>7</v>
      </c>
      <c r="M414" s="35">
        <v>1464</v>
      </c>
      <c r="N414" s="35">
        <v>7</v>
      </c>
      <c r="O414" s="35">
        <v>1471</v>
      </c>
      <c r="P414" s="35">
        <v>25</v>
      </c>
      <c r="Q414" s="35">
        <v>1496</v>
      </c>
      <c r="R414" s="35">
        <v>25</v>
      </c>
      <c r="S414" s="35">
        <v>1508</v>
      </c>
      <c r="T414" s="35">
        <v>12</v>
      </c>
      <c r="U414" s="35">
        <v>1521</v>
      </c>
      <c r="V414" s="35">
        <v>13</v>
      </c>
      <c r="W414" s="35">
        <v>1537</v>
      </c>
      <c r="X414" s="35">
        <v>16</v>
      </c>
      <c r="Y414" s="35">
        <v>1553</v>
      </c>
      <c r="Z414" s="35">
        <v>16</v>
      </c>
      <c r="AA414" s="35">
        <v>1569</v>
      </c>
      <c r="AB414" s="35">
        <v>16</v>
      </c>
      <c r="AC414" s="35">
        <v>16</v>
      </c>
      <c r="AD414" s="35">
        <v>0</v>
      </c>
      <c r="AE414" s="35">
        <v>0</v>
      </c>
      <c r="AG414" s="35">
        <v>3</v>
      </c>
      <c r="AH414" s="35">
        <v>0</v>
      </c>
      <c r="AI414" s="35">
        <v>19</v>
      </c>
    </row>
    <row r="415" spans="1:35" ht="15.75" customHeight="1" x14ac:dyDescent="0.35">
      <c r="A415" s="35">
        <v>417</v>
      </c>
      <c r="B415" s="35" t="s">
        <v>520</v>
      </c>
      <c r="C415" s="35" t="s">
        <v>503</v>
      </c>
      <c r="D415" s="35">
        <v>18</v>
      </c>
      <c r="W415" s="35">
        <v>0</v>
      </c>
      <c r="X415" s="35">
        <v>0</v>
      </c>
      <c r="Y415" s="35">
        <v>4</v>
      </c>
      <c r="Z415" s="35">
        <v>4</v>
      </c>
      <c r="AA415" s="35">
        <v>9</v>
      </c>
      <c r="AB415" s="35">
        <v>5</v>
      </c>
      <c r="AC415" s="35">
        <v>5</v>
      </c>
      <c r="AD415" s="35">
        <v>0</v>
      </c>
      <c r="AE415" s="35">
        <v>0</v>
      </c>
      <c r="AG415" s="35">
        <v>3</v>
      </c>
      <c r="AH415" s="35">
        <v>0</v>
      </c>
      <c r="AI415" s="35">
        <v>8</v>
      </c>
    </row>
    <row r="416" spans="1:35" ht="15.75" customHeight="1" x14ac:dyDescent="0.35">
      <c r="A416" s="35">
        <v>418</v>
      </c>
      <c r="B416" s="35" t="s">
        <v>521</v>
      </c>
      <c r="C416" s="35" t="s">
        <v>522</v>
      </c>
      <c r="D416" s="35">
        <v>1</v>
      </c>
      <c r="E416" s="35">
        <v>414</v>
      </c>
      <c r="F416" s="35">
        <v>4</v>
      </c>
      <c r="G416" s="35">
        <v>418</v>
      </c>
      <c r="H416" s="35">
        <v>4</v>
      </c>
      <c r="I416" s="35">
        <v>422</v>
      </c>
      <c r="J416" s="35">
        <v>5</v>
      </c>
      <c r="K416" s="35">
        <v>427</v>
      </c>
      <c r="L416" s="35">
        <v>4</v>
      </c>
      <c r="M416" s="35">
        <v>431</v>
      </c>
      <c r="N416" s="35">
        <v>5</v>
      </c>
      <c r="O416" s="35">
        <v>436</v>
      </c>
      <c r="P416" s="35">
        <v>3</v>
      </c>
      <c r="Q416" s="35">
        <v>439</v>
      </c>
      <c r="R416" s="35">
        <v>3</v>
      </c>
      <c r="S416" s="35">
        <v>442</v>
      </c>
      <c r="T416" s="35">
        <v>3</v>
      </c>
      <c r="U416" s="35">
        <v>444</v>
      </c>
      <c r="V416" s="35">
        <v>2</v>
      </c>
      <c r="W416" s="35">
        <v>448</v>
      </c>
      <c r="X416" s="35">
        <v>4</v>
      </c>
      <c r="Y416" s="35">
        <v>449</v>
      </c>
      <c r="Z416" s="35">
        <v>1</v>
      </c>
      <c r="AA416" s="35">
        <v>451</v>
      </c>
      <c r="AB416" s="35">
        <v>2</v>
      </c>
      <c r="AC416" s="35">
        <v>5</v>
      </c>
      <c r="AD416" s="35">
        <v>0</v>
      </c>
      <c r="AE416" s="35">
        <v>0</v>
      </c>
      <c r="AG416" s="35">
        <v>3</v>
      </c>
      <c r="AH416" s="35">
        <v>0</v>
      </c>
      <c r="AI416" s="35">
        <v>8</v>
      </c>
    </row>
    <row r="417" spans="1:35" ht="15.75" customHeight="1" x14ac:dyDescent="0.35">
      <c r="A417" s="35">
        <v>419</v>
      </c>
      <c r="B417" s="35" t="s">
        <v>523</v>
      </c>
      <c r="C417" s="35" t="s">
        <v>522</v>
      </c>
      <c r="D417" s="35">
        <v>2</v>
      </c>
      <c r="E417" s="35">
        <v>689</v>
      </c>
      <c r="F417" s="35">
        <v>7</v>
      </c>
      <c r="G417" s="35">
        <v>696</v>
      </c>
      <c r="H417" s="35">
        <v>7</v>
      </c>
      <c r="I417" s="35">
        <v>703</v>
      </c>
      <c r="J417" s="35">
        <v>8</v>
      </c>
      <c r="K417" s="35">
        <v>711</v>
      </c>
      <c r="L417" s="35">
        <v>18</v>
      </c>
      <c r="M417" s="35">
        <v>729</v>
      </c>
      <c r="N417" s="35">
        <v>8</v>
      </c>
      <c r="O417" s="35">
        <v>737</v>
      </c>
      <c r="P417" s="35">
        <v>5</v>
      </c>
      <c r="Q417" s="35">
        <v>742</v>
      </c>
      <c r="R417" s="35">
        <v>5</v>
      </c>
      <c r="S417" s="35">
        <v>750</v>
      </c>
      <c r="T417" s="35">
        <v>8</v>
      </c>
      <c r="U417" s="35">
        <v>762</v>
      </c>
      <c r="V417" s="35">
        <v>12</v>
      </c>
      <c r="W417" s="35">
        <v>770</v>
      </c>
      <c r="X417" s="35">
        <v>8</v>
      </c>
      <c r="Y417" s="35">
        <v>779</v>
      </c>
      <c r="Z417" s="35">
        <v>9</v>
      </c>
      <c r="AA417" s="35">
        <v>783</v>
      </c>
      <c r="AB417" s="35">
        <v>4</v>
      </c>
      <c r="AC417" s="35">
        <v>5</v>
      </c>
      <c r="AD417" s="35">
        <v>0</v>
      </c>
      <c r="AE417" s="35">
        <v>0</v>
      </c>
      <c r="AG417" s="35">
        <v>3</v>
      </c>
      <c r="AH417" s="35">
        <v>20</v>
      </c>
      <c r="AI417" s="35">
        <v>28</v>
      </c>
    </row>
    <row r="418" spans="1:35" ht="15.75" customHeight="1" x14ac:dyDescent="0.35">
      <c r="A418" s="35">
        <v>420</v>
      </c>
      <c r="B418" s="35" t="s">
        <v>524</v>
      </c>
      <c r="C418" s="35" t="s">
        <v>522</v>
      </c>
      <c r="D418" s="35">
        <v>3</v>
      </c>
      <c r="E418" s="35">
        <v>6059</v>
      </c>
      <c r="F418" s="35">
        <v>50</v>
      </c>
      <c r="G418" s="35">
        <v>6109</v>
      </c>
      <c r="H418" s="35">
        <v>61</v>
      </c>
      <c r="I418" s="35">
        <v>6170</v>
      </c>
      <c r="J418" s="35">
        <v>60</v>
      </c>
      <c r="K418" s="35">
        <v>6230</v>
      </c>
      <c r="L418" s="35">
        <v>49</v>
      </c>
      <c r="M418" s="35">
        <v>6279</v>
      </c>
      <c r="N418" s="35">
        <v>44</v>
      </c>
      <c r="O418" s="35">
        <v>6323</v>
      </c>
      <c r="P418" s="35">
        <v>53</v>
      </c>
      <c r="Q418" s="35">
        <v>6376</v>
      </c>
      <c r="R418" s="35">
        <v>53</v>
      </c>
      <c r="S418" s="35">
        <v>6433</v>
      </c>
      <c r="T418" s="35">
        <v>57</v>
      </c>
      <c r="U418" s="35">
        <v>6488</v>
      </c>
      <c r="V418" s="35">
        <v>55</v>
      </c>
      <c r="W418" s="35">
        <v>6540</v>
      </c>
      <c r="X418" s="35">
        <v>52</v>
      </c>
      <c r="Y418" s="35">
        <v>6604</v>
      </c>
      <c r="Z418" s="35">
        <v>64</v>
      </c>
      <c r="AA418" s="35">
        <v>6684</v>
      </c>
      <c r="AB418" s="35">
        <v>80</v>
      </c>
      <c r="AC418" s="35">
        <v>160</v>
      </c>
      <c r="AD418" s="35">
        <v>0</v>
      </c>
      <c r="AE418" s="35">
        <v>0</v>
      </c>
      <c r="AG418" s="35">
        <v>3</v>
      </c>
      <c r="AH418" s="35">
        <v>0</v>
      </c>
      <c r="AI418" s="35">
        <v>163</v>
      </c>
    </row>
    <row r="419" spans="1:35" ht="15.75" customHeight="1" x14ac:dyDescent="0.35">
      <c r="A419" s="35">
        <v>421</v>
      </c>
      <c r="B419" s="35" t="s">
        <v>525</v>
      </c>
      <c r="C419" s="35" t="s">
        <v>522</v>
      </c>
      <c r="D419" s="35">
        <v>4</v>
      </c>
      <c r="K419" s="35">
        <v>0</v>
      </c>
      <c r="L419" s="35">
        <v>11</v>
      </c>
      <c r="M419" s="35">
        <v>11</v>
      </c>
      <c r="N419" s="35">
        <v>6</v>
      </c>
      <c r="O419" s="35">
        <v>17</v>
      </c>
      <c r="P419" s="35">
        <v>9</v>
      </c>
      <c r="Q419" s="35">
        <v>26</v>
      </c>
      <c r="R419" s="35">
        <v>9</v>
      </c>
      <c r="S419" s="35">
        <v>32</v>
      </c>
      <c r="T419" s="35">
        <v>6</v>
      </c>
      <c r="U419" s="35">
        <v>41</v>
      </c>
      <c r="V419" s="35">
        <v>9</v>
      </c>
      <c r="W419" s="35">
        <v>50</v>
      </c>
      <c r="X419" s="35">
        <v>9</v>
      </c>
      <c r="Y419" s="35">
        <v>59</v>
      </c>
      <c r="Z419" s="35">
        <v>9</v>
      </c>
      <c r="AA419" s="35">
        <v>67</v>
      </c>
      <c r="AB419" s="35">
        <v>8</v>
      </c>
      <c r="AC419" s="35">
        <v>8</v>
      </c>
      <c r="AD419" s="35">
        <v>0</v>
      </c>
      <c r="AE419" s="35">
        <v>0</v>
      </c>
      <c r="AG419" s="35">
        <v>3</v>
      </c>
      <c r="AH419" s="35">
        <v>20</v>
      </c>
      <c r="AI419" s="35">
        <v>31</v>
      </c>
    </row>
    <row r="420" spans="1:35" ht="15.75" customHeight="1" x14ac:dyDescent="0.35">
      <c r="A420" s="35">
        <v>422</v>
      </c>
      <c r="B420" s="35" t="s">
        <v>526</v>
      </c>
      <c r="C420" s="35" t="s">
        <v>522</v>
      </c>
      <c r="D420" s="35">
        <v>5</v>
      </c>
      <c r="E420" s="35">
        <v>918</v>
      </c>
      <c r="F420" s="35">
        <v>6</v>
      </c>
      <c r="G420" s="35">
        <v>924</v>
      </c>
      <c r="H420" s="35">
        <v>6</v>
      </c>
      <c r="I420" s="35">
        <v>930</v>
      </c>
      <c r="J420" s="35">
        <v>6</v>
      </c>
      <c r="K420" s="35">
        <v>936</v>
      </c>
      <c r="L420" s="35">
        <v>5</v>
      </c>
      <c r="M420" s="35">
        <v>941</v>
      </c>
      <c r="N420" s="35">
        <v>6</v>
      </c>
      <c r="O420" s="35">
        <v>947</v>
      </c>
      <c r="P420" s="35">
        <v>4</v>
      </c>
      <c r="Q420" s="35">
        <v>951</v>
      </c>
      <c r="R420" s="35">
        <v>4</v>
      </c>
      <c r="S420" s="35">
        <v>956</v>
      </c>
      <c r="T420" s="35">
        <v>5</v>
      </c>
      <c r="U420" s="35">
        <v>963</v>
      </c>
      <c r="V420" s="35">
        <v>7</v>
      </c>
      <c r="W420" s="35">
        <v>968</v>
      </c>
      <c r="X420" s="35">
        <v>5</v>
      </c>
      <c r="Y420" s="35">
        <v>974</v>
      </c>
      <c r="Z420" s="35">
        <v>6</v>
      </c>
      <c r="AA420" s="35">
        <v>979</v>
      </c>
      <c r="AB420" s="35">
        <v>5</v>
      </c>
      <c r="AC420" s="35">
        <v>5</v>
      </c>
      <c r="AD420" s="35">
        <v>0</v>
      </c>
      <c r="AE420" s="35">
        <v>0</v>
      </c>
      <c r="AG420" s="35">
        <v>3</v>
      </c>
      <c r="AH420" s="35">
        <v>20</v>
      </c>
      <c r="AI420" s="35">
        <v>28</v>
      </c>
    </row>
    <row r="421" spans="1:35" ht="15.75" customHeight="1" x14ac:dyDescent="0.35">
      <c r="A421" s="35">
        <v>423</v>
      </c>
      <c r="B421" s="35" t="s">
        <v>527</v>
      </c>
      <c r="C421" s="35" t="s">
        <v>522</v>
      </c>
      <c r="D421" s="35">
        <v>6</v>
      </c>
      <c r="E421" s="35">
        <v>980</v>
      </c>
      <c r="F421" s="35">
        <v>10</v>
      </c>
      <c r="G421" s="35">
        <v>990</v>
      </c>
      <c r="H421" s="35">
        <v>9</v>
      </c>
      <c r="I421" s="35">
        <v>999</v>
      </c>
      <c r="J421" s="35">
        <v>8</v>
      </c>
      <c r="K421" s="35">
        <v>1007</v>
      </c>
      <c r="L421" s="35">
        <v>7</v>
      </c>
      <c r="M421" s="35">
        <v>1014</v>
      </c>
      <c r="N421" s="35">
        <v>4</v>
      </c>
      <c r="O421" s="35">
        <v>1018</v>
      </c>
      <c r="P421" s="35">
        <v>8</v>
      </c>
      <c r="Q421" s="35">
        <v>1026</v>
      </c>
      <c r="R421" s="35">
        <v>8</v>
      </c>
      <c r="S421" s="35">
        <v>1036</v>
      </c>
      <c r="T421" s="35">
        <v>10</v>
      </c>
      <c r="U421" s="35">
        <v>1045</v>
      </c>
      <c r="V421" s="35">
        <v>9</v>
      </c>
      <c r="W421" s="35">
        <v>1054</v>
      </c>
      <c r="X421" s="35">
        <v>9</v>
      </c>
      <c r="Y421" s="35">
        <v>1063</v>
      </c>
      <c r="Z421" s="35">
        <v>9</v>
      </c>
      <c r="AA421" s="35">
        <v>1071</v>
      </c>
      <c r="AB421" s="35">
        <v>8</v>
      </c>
      <c r="AC421" s="35">
        <v>8</v>
      </c>
      <c r="AD421" s="35">
        <v>0</v>
      </c>
      <c r="AE421" s="35">
        <v>0</v>
      </c>
      <c r="AG421" s="35">
        <v>3</v>
      </c>
      <c r="AH421" s="35">
        <v>0</v>
      </c>
      <c r="AI421" s="35">
        <v>11</v>
      </c>
    </row>
    <row r="422" spans="1:35" ht="15.75" customHeight="1" x14ac:dyDescent="0.35">
      <c r="A422" s="35">
        <v>424</v>
      </c>
      <c r="B422" s="35" t="s">
        <v>528</v>
      </c>
      <c r="C422" s="35" t="s">
        <v>522</v>
      </c>
      <c r="D422" s="35">
        <v>7</v>
      </c>
      <c r="E422" s="35">
        <v>98</v>
      </c>
      <c r="F422" s="35">
        <v>4</v>
      </c>
      <c r="G422" s="35">
        <v>102</v>
      </c>
      <c r="H422" s="35">
        <v>5</v>
      </c>
      <c r="I422" s="35">
        <v>107</v>
      </c>
      <c r="J422" s="35">
        <v>4</v>
      </c>
      <c r="K422" s="35">
        <v>111</v>
      </c>
      <c r="L422" s="35">
        <v>6</v>
      </c>
      <c r="M422" s="35">
        <v>117</v>
      </c>
      <c r="N422" s="35">
        <v>5</v>
      </c>
      <c r="O422" s="35">
        <v>122</v>
      </c>
      <c r="P422" s="35">
        <v>5</v>
      </c>
      <c r="Q422" s="35">
        <v>127</v>
      </c>
      <c r="R422" s="35">
        <v>5</v>
      </c>
      <c r="S422" s="35">
        <v>134</v>
      </c>
      <c r="T422" s="35">
        <v>7</v>
      </c>
      <c r="U422" s="35">
        <v>138</v>
      </c>
      <c r="V422" s="35">
        <v>4</v>
      </c>
      <c r="W422" s="35">
        <v>143</v>
      </c>
      <c r="X422" s="35">
        <v>5</v>
      </c>
      <c r="Y422" s="35">
        <v>149</v>
      </c>
      <c r="Z422" s="35">
        <v>6</v>
      </c>
      <c r="AA422" s="35">
        <v>155</v>
      </c>
      <c r="AB422" s="35">
        <v>6</v>
      </c>
      <c r="AC422" s="35">
        <v>6</v>
      </c>
      <c r="AD422" s="35">
        <v>0</v>
      </c>
      <c r="AE422" s="35">
        <v>0</v>
      </c>
      <c r="AG422" s="35">
        <v>3</v>
      </c>
      <c r="AH422" s="35">
        <v>0</v>
      </c>
      <c r="AI422" s="35">
        <v>9</v>
      </c>
    </row>
    <row r="423" spans="1:35" ht="15.75" customHeight="1" x14ac:dyDescent="0.35">
      <c r="A423" s="35">
        <v>425</v>
      </c>
      <c r="B423" s="35" t="s">
        <v>529</v>
      </c>
      <c r="C423" s="35" t="s">
        <v>522</v>
      </c>
      <c r="D423" s="35">
        <v>8</v>
      </c>
      <c r="E423" s="35">
        <v>262</v>
      </c>
      <c r="F423" s="35">
        <v>5</v>
      </c>
      <c r="G423" s="35">
        <v>267</v>
      </c>
      <c r="H423" s="35">
        <v>10</v>
      </c>
      <c r="I423" s="35">
        <v>277</v>
      </c>
      <c r="J423" s="35">
        <v>8</v>
      </c>
      <c r="K423" s="35">
        <v>285</v>
      </c>
      <c r="L423" s="35">
        <v>10</v>
      </c>
      <c r="M423" s="35">
        <v>295</v>
      </c>
      <c r="N423" s="35">
        <v>5</v>
      </c>
      <c r="O423" s="35">
        <v>300</v>
      </c>
      <c r="P423" s="35">
        <v>8</v>
      </c>
      <c r="Q423" s="35">
        <v>308</v>
      </c>
      <c r="R423" s="35">
        <v>8</v>
      </c>
      <c r="S423" s="35">
        <v>314</v>
      </c>
      <c r="T423" s="35">
        <v>6</v>
      </c>
      <c r="U423" s="35">
        <v>321</v>
      </c>
      <c r="V423" s="35">
        <v>7</v>
      </c>
      <c r="W423" s="35">
        <v>326</v>
      </c>
      <c r="X423" s="35">
        <v>5</v>
      </c>
      <c r="Y423" s="35">
        <v>338</v>
      </c>
      <c r="Z423" s="35">
        <v>12</v>
      </c>
      <c r="AA423" s="35">
        <v>346</v>
      </c>
      <c r="AB423" s="35">
        <v>8</v>
      </c>
      <c r="AC423" s="35">
        <v>8</v>
      </c>
      <c r="AD423" s="35">
        <v>0</v>
      </c>
      <c r="AE423" s="35">
        <v>0</v>
      </c>
      <c r="AG423" s="35">
        <v>3</v>
      </c>
      <c r="AH423" s="35">
        <v>40</v>
      </c>
      <c r="AI423" s="35">
        <v>51</v>
      </c>
    </row>
    <row r="424" spans="1:35" ht="15.75" customHeight="1" x14ac:dyDescent="0.35">
      <c r="A424" s="35">
        <v>426</v>
      </c>
      <c r="B424" s="35" t="s">
        <v>530</v>
      </c>
      <c r="C424" s="35" t="s">
        <v>522</v>
      </c>
      <c r="D424" s="35">
        <v>11</v>
      </c>
      <c r="E424" s="35">
        <v>1936</v>
      </c>
      <c r="F424" s="35">
        <v>3</v>
      </c>
      <c r="G424" s="35">
        <v>1939</v>
      </c>
      <c r="H424" s="35">
        <v>-2</v>
      </c>
      <c r="I424" s="35">
        <v>1937</v>
      </c>
      <c r="J424" s="35">
        <v>1</v>
      </c>
      <c r="K424" s="35">
        <v>1938</v>
      </c>
      <c r="L424" s="35">
        <v>4</v>
      </c>
      <c r="M424" s="35">
        <v>1942</v>
      </c>
      <c r="N424" s="35">
        <v>4</v>
      </c>
      <c r="O424" s="35">
        <v>1946</v>
      </c>
      <c r="P424" s="35">
        <v>2</v>
      </c>
      <c r="Q424" s="35">
        <v>1948</v>
      </c>
      <c r="R424" s="35">
        <v>2</v>
      </c>
      <c r="S424" s="35">
        <v>1952</v>
      </c>
      <c r="T424" s="35">
        <v>4</v>
      </c>
      <c r="U424" s="35">
        <v>1955</v>
      </c>
      <c r="V424" s="35">
        <v>3</v>
      </c>
      <c r="W424" s="35">
        <v>1958</v>
      </c>
      <c r="X424" s="35">
        <v>3</v>
      </c>
      <c r="Y424" s="35">
        <v>1960</v>
      </c>
      <c r="Z424" s="35">
        <v>2</v>
      </c>
      <c r="AA424" s="35">
        <v>1963</v>
      </c>
      <c r="AB424" s="35">
        <v>3</v>
      </c>
      <c r="AC424" s="35">
        <v>5</v>
      </c>
      <c r="AD424" s="35">
        <v>0</v>
      </c>
      <c r="AE424" s="35">
        <v>0</v>
      </c>
      <c r="AG424" s="35">
        <v>3</v>
      </c>
      <c r="AH424" s="35">
        <v>0</v>
      </c>
      <c r="AI424" s="35">
        <v>8</v>
      </c>
    </row>
    <row r="425" spans="1:35" ht="15.75" customHeight="1" x14ac:dyDescent="0.35">
      <c r="A425" s="35">
        <v>427</v>
      </c>
      <c r="B425" s="35" t="s">
        <v>532</v>
      </c>
      <c r="C425" s="35" t="s">
        <v>522</v>
      </c>
      <c r="D425" s="35">
        <v>13</v>
      </c>
      <c r="Y425" s="35">
        <v>5</v>
      </c>
      <c r="Z425" s="35">
        <v>0</v>
      </c>
      <c r="AA425" s="35">
        <v>39</v>
      </c>
      <c r="AB425" s="35">
        <v>34</v>
      </c>
      <c r="AC425" s="35">
        <v>34</v>
      </c>
      <c r="AD425" s="35">
        <v>0</v>
      </c>
      <c r="AE425" s="35">
        <v>0</v>
      </c>
      <c r="AG425" s="35">
        <v>3</v>
      </c>
      <c r="AH425" s="35">
        <v>0</v>
      </c>
      <c r="AI425" s="35">
        <v>37</v>
      </c>
    </row>
    <row r="426" spans="1:35" ht="15.75" customHeight="1" x14ac:dyDescent="0.35">
      <c r="A426" s="35">
        <v>428</v>
      </c>
      <c r="B426" s="35" t="s">
        <v>533</v>
      </c>
      <c r="C426" s="35" t="s">
        <v>534</v>
      </c>
      <c r="D426" s="35">
        <v>3</v>
      </c>
      <c r="E426" s="35">
        <v>1452</v>
      </c>
      <c r="F426" s="35">
        <v>15</v>
      </c>
      <c r="G426" s="35">
        <v>1467</v>
      </c>
      <c r="H426" s="35">
        <v>15</v>
      </c>
      <c r="I426" s="35">
        <v>1482</v>
      </c>
      <c r="J426" s="35">
        <v>13</v>
      </c>
      <c r="K426" s="35">
        <v>1495</v>
      </c>
      <c r="L426" s="35">
        <v>13</v>
      </c>
      <c r="M426" s="35">
        <v>1508</v>
      </c>
      <c r="N426" s="35">
        <v>13</v>
      </c>
      <c r="O426" s="35">
        <v>1521</v>
      </c>
      <c r="P426" s="35">
        <v>7</v>
      </c>
      <c r="Q426" s="35">
        <v>1528</v>
      </c>
      <c r="R426" s="35">
        <v>7</v>
      </c>
      <c r="S426" s="35">
        <v>1534</v>
      </c>
      <c r="T426" s="35">
        <v>6</v>
      </c>
      <c r="U426" s="35">
        <v>1539</v>
      </c>
      <c r="V426" s="35">
        <v>5</v>
      </c>
      <c r="W426" s="35">
        <v>1549</v>
      </c>
      <c r="X426" s="35">
        <v>10</v>
      </c>
      <c r="Y426" s="35">
        <v>1558</v>
      </c>
      <c r="Z426" s="35">
        <v>9</v>
      </c>
      <c r="AA426" s="35">
        <v>1568</v>
      </c>
      <c r="AB426" s="35">
        <v>10</v>
      </c>
      <c r="AC426" s="35">
        <v>10</v>
      </c>
      <c r="AD426" s="35">
        <v>0</v>
      </c>
      <c r="AE426" s="35">
        <v>0</v>
      </c>
      <c r="AG426" s="35">
        <v>3</v>
      </c>
      <c r="AH426" s="35">
        <v>0</v>
      </c>
      <c r="AI426" s="35">
        <v>13</v>
      </c>
    </row>
    <row r="427" spans="1:35" ht="15.75" customHeight="1" x14ac:dyDescent="0.35">
      <c r="A427" s="35">
        <v>429</v>
      </c>
      <c r="B427" s="35" t="s">
        <v>536</v>
      </c>
      <c r="C427" s="35" t="s">
        <v>534</v>
      </c>
      <c r="D427" s="35">
        <v>4</v>
      </c>
      <c r="E427" s="35">
        <v>1198</v>
      </c>
      <c r="F427" s="35">
        <v>18</v>
      </c>
      <c r="G427" s="35">
        <v>1216</v>
      </c>
      <c r="H427" s="35">
        <v>19</v>
      </c>
      <c r="I427" s="35">
        <v>1235</v>
      </c>
      <c r="J427" s="35">
        <v>13</v>
      </c>
      <c r="K427" s="35">
        <v>1248</v>
      </c>
      <c r="L427" s="35">
        <v>13</v>
      </c>
      <c r="M427" s="35">
        <v>1261</v>
      </c>
      <c r="N427" s="35">
        <v>14</v>
      </c>
      <c r="O427" s="35">
        <v>1275</v>
      </c>
      <c r="P427" s="35">
        <v>12</v>
      </c>
      <c r="Q427" s="35">
        <v>1287</v>
      </c>
      <c r="R427" s="35">
        <v>12</v>
      </c>
      <c r="S427" s="35">
        <v>1296</v>
      </c>
      <c r="T427" s="35">
        <v>9</v>
      </c>
      <c r="U427" s="35">
        <v>1300</v>
      </c>
      <c r="V427" s="35">
        <v>4</v>
      </c>
      <c r="W427" s="35">
        <v>1322</v>
      </c>
      <c r="X427" s="35">
        <v>22</v>
      </c>
      <c r="Y427" s="35">
        <v>1332</v>
      </c>
      <c r="Z427" s="35">
        <v>10</v>
      </c>
      <c r="AA427" s="35">
        <v>1344</v>
      </c>
      <c r="AB427" s="35">
        <v>12</v>
      </c>
      <c r="AC427" s="35">
        <v>12</v>
      </c>
      <c r="AD427" s="35">
        <v>0</v>
      </c>
      <c r="AE427" s="35">
        <v>0</v>
      </c>
      <c r="AG427" s="35">
        <v>3</v>
      </c>
      <c r="AH427" s="35">
        <v>0</v>
      </c>
      <c r="AI427" s="35">
        <v>15</v>
      </c>
    </row>
    <row r="428" spans="1:35" ht="15.75" customHeight="1" x14ac:dyDescent="0.35">
      <c r="A428" s="35">
        <v>430</v>
      </c>
      <c r="B428" s="35" t="s">
        <v>537</v>
      </c>
      <c r="C428" s="35" t="s">
        <v>534</v>
      </c>
      <c r="D428" s="35">
        <v>5</v>
      </c>
      <c r="E428" s="35">
        <v>1314</v>
      </c>
      <c r="F428" s="35">
        <v>12</v>
      </c>
      <c r="G428" s="35">
        <v>1326</v>
      </c>
      <c r="H428" s="35">
        <v>11</v>
      </c>
      <c r="I428" s="35">
        <v>1337</v>
      </c>
      <c r="J428" s="35">
        <v>10</v>
      </c>
      <c r="K428" s="35">
        <v>1347</v>
      </c>
      <c r="L428" s="35">
        <v>10</v>
      </c>
      <c r="M428" s="35">
        <v>1357</v>
      </c>
      <c r="N428" s="35">
        <v>9</v>
      </c>
      <c r="O428" s="35">
        <v>1366</v>
      </c>
      <c r="P428" s="35">
        <v>8</v>
      </c>
      <c r="Q428" s="35">
        <v>1374</v>
      </c>
      <c r="R428" s="35">
        <v>8</v>
      </c>
      <c r="S428" s="35">
        <v>1381</v>
      </c>
      <c r="T428" s="35">
        <v>7</v>
      </c>
      <c r="U428" s="35">
        <v>1385</v>
      </c>
      <c r="V428" s="35">
        <v>4</v>
      </c>
      <c r="W428" s="35">
        <v>1396</v>
      </c>
      <c r="X428" s="35">
        <v>11</v>
      </c>
      <c r="Y428" s="35">
        <v>1404</v>
      </c>
      <c r="Z428" s="35">
        <v>8</v>
      </c>
      <c r="AA428" s="35">
        <v>1412</v>
      </c>
      <c r="AB428" s="35">
        <v>8</v>
      </c>
      <c r="AC428" s="35">
        <v>8</v>
      </c>
      <c r="AD428" s="35">
        <v>0</v>
      </c>
      <c r="AE428" s="35">
        <v>0</v>
      </c>
      <c r="AG428" s="35">
        <v>3</v>
      </c>
      <c r="AH428" s="35">
        <v>20</v>
      </c>
      <c r="AI428" s="35">
        <v>31</v>
      </c>
    </row>
    <row r="429" spans="1:35" ht="15.75" customHeight="1" x14ac:dyDescent="0.35">
      <c r="A429" s="35">
        <v>431</v>
      </c>
      <c r="B429" s="35" t="s">
        <v>538</v>
      </c>
      <c r="C429" s="35" t="s">
        <v>534</v>
      </c>
      <c r="D429" s="35">
        <v>6</v>
      </c>
      <c r="E429" s="35">
        <v>857</v>
      </c>
      <c r="F429" s="35">
        <v>10</v>
      </c>
      <c r="G429" s="35">
        <v>867</v>
      </c>
      <c r="H429" s="35">
        <v>10</v>
      </c>
      <c r="I429" s="35">
        <v>877</v>
      </c>
      <c r="J429" s="35">
        <v>7</v>
      </c>
      <c r="K429" s="35">
        <v>884</v>
      </c>
      <c r="L429" s="35">
        <v>10</v>
      </c>
      <c r="M429" s="35">
        <v>894</v>
      </c>
      <c r="N429" s="35">
        <v>9</v>
      </c>
      <c r="O429" s="35">
        <v>903</v>
      </c>
      <c r="P429" s="35">
        <v>10</v>
      </c>
      <c r="Q429" s="35">
        <v>913</v>
      </c>
      <c r="R429" s="35">
        <v>10</v>
      </c>
      <c r="S429" s="35">
        <v>921</v>
      </c>
      <c r="T429" s="35">
        <v>8</v>
      </c>
      <c r="U429" s="35">
        <v>929</v>
      </c>
      <c r="V429" s="35">
        <v>8</v>
      </c>
      <c r="W429" s="35">
        <v>937</v>
      </c>
      <c r="X429" s="35">
        <v>8</v>
      </c>
      <c r="Y429" s="35">
        <v>947</v>
      </c>
      <c r="Z429" s="35">
        <v>10</v>
      </c>
      <c r="AA429" s="35">
        <v>956</v>
      </c>
      <c r="AB429" s="35">
        <v>9</v>
      </c>
      <c r="AC429" s="35">
        <v>9</v>
      </c>
      <c r="AD429" s="35">
        <v>13</v>
      </c>
      <c r="AE429" s="35">
        <v>0</v>
      </c>
      <c r="AG429" s="35">
        <v>3</v>
      </c>
      <c r="AH429" s="35">
        <v>20</v>
      </c>
      <c r="AI429" s="35">
        <v>45</v>
      </c>
    </row>
    <row r="430" spans="1:35" ht="15.75" customHeight="1" x14ac:dyDescent="0.35">
      <c r="A430" s="35">
        <v>432</v>
      </c>
      <c r="B430" s="35" t="s">
        <v>539</v>
      </c>
      <c r="C430" s="35" t="s">
        <v>534</v>
      </c>
      <c r="D430" s="35">
        <v>8</v>
      </c>
      <c r="E430" s="35">
        <v>1334</v>
      </c>
      <c r="F430" s="35">
        <v>26</v>
      </c>
      <c r="G430" s="35">
        <v>1360</v>
      </c>
      <c r="H430" s="35">
        <v>28</v>
      </c>
      <c r="I430" s="35">
        <v>1388</v>
      </c>
      <c r="J430" s="35">
        <v>16</v>
      </c>
      <c r="K430" s="35">
        <v>1404</v>
      </c>
      <c r="L430" s="35">
        <v>13</v>
      </c>
      <c r="M430" s="35">
        <v>1417</v>
      </c>
      <c r="N430" s="35">
        <v>16</v>
      </c>
      <c r="O430" s="35">
        <v>1433</v>
      </c>
      <c r="P430" s="35">
        <v>15</v>
      </c>
      <c r="Q430" s="35">
        <v>1448</v>
      </c>
      <c r="R430" s="35">
        <v>15</v>
      </c>
      <c r="S430" s="35">
        <v>1458</v>
      </c>
      <c r="T430" s="35">
        <v>10</v>
      </c>
      <c r="U430" s="35">
        <v>1470</v>
      </c>
      <c r="V430" s="35">
        <v>12</v>
      </c>
      <c r="W430" s="35">
        <v>1482</v>
      </c>
      <c r="X430" s="35">
        <v>12</v>
      </c>
      <c r="Y430" s="35">
        <v>1495</v>
      </c>
      <c r="Z430" s="35">
        <v>13</v>
      </c>
      <c r="AA430" s="35">
        <v>1508</v>
      </c>
      <c r="AB430" s="35">
        <v>13</v>
      </c>
      <c r="AC430" s="35">
        <v>13</v>
      </c>
      <c r="AD430" s="35">
        <v>16</v>
      </c>
      <c r="AE430" s="35">
        <v>0</v>
      </c>
      <c r="AG430" s="35">
        <v>3</v>
      </c>
      <c r="AH430" s="35">
        <v>20</v>
      </c>
      <c r="AI430" s="35">
        <v>52</v>
      </c>
    </row>
    <row r="431" spans="1:35" ht="15.75" customHeight="1" x14ac:dyDescent="0.35">
      <c r="A431" s="35">
        <v>433</v>
      </c>
      <c r="B431" s="35" t="s">
        <v>540</v>
      </c>
      <c r="C431" s="35" t="s">
        <v>534</v>
      </c>
      <c r="D431" s="35">
        <v>9</v>
      </c>
      <c r="E431" s="35">
        <v>1334</v>
      </c>
      <c r="F431" s="35">
        <v>13</v>
      </c>
      <c r="G431" s="35">
        <v>1347</v>
      </c>
      <c r="H431" s="35">
        <v>14</v>
      </c>
      <c r="I431" s="35">
        <v>1361</v>
      </c>
      <c r="J431" s="35">
        <v>12</v>
      </c>
      <c r="K431" s="35">
        <v>1373</v>
      </c>
      <c r="L431" s="35">
        <v>14</v>
      </c>
      <c r="M431" s="35">
        <v>1387</v>
      </c>
      <c r="N431" s="35">
        <v>13</v>
      </c>
      <c r="O431" s="35">
        <v>1400</v>
      </c>
      <c r="P431" s="35">
        <v>15</v>
      </c>
      <c r="Q431" s="35">
        <v>1415</v>
      </c>
      <c r="R431" s="35">
        <v>15</v>
      </c>
      <c r="S431" s="35">
        <v>1429</v>
      </c>
      <c r="T431" s="35">
        <v>14</v>
      </c>
      <c r="U431" s="35">
        <v>1437</v>
      </c>
      <c r="V431" s="35">
        <v>8</v>
      </c>
      <c r="W431" s="35">
        <v>1447</v>
      </c>
      <c r="X431" s="35">
        <v>10</v>
      </c>
      <c r="Y431" s="35">
        <v>1454</v>
      </c>
      <c r="Z431" s="35">
        <v>7</v>
      </c>
      <c r="AA431" s="35">
        <v>1467</v>
      </c>
      <c r="AB431" s="35">
        <v>13</v>
      </c>
      <c r="AC431" s="35">
        <v>13</v>
      </c>
      <c r="AD431" s="35">
        <v>0</v>
      </c>
      <c r="AE431" s="35">
        <v>0</v>
      </c>
      <c r="AG431" s="35">
        <v>3</v>
      </c>
      <c r="AH431" s="35">
        <v>0</v>
      </c>
      <c r="AI431" s="35">
        <v>16</v>
      </c>
    </row>
    <row r="432" spans="1:35" ht="15.75" customHeight="1" x14ac:dyDescent="0.35">
      <c r="A432" s="35">
        <v>434</v>
      </c>
      <c r="B432" s="35" t="s">
        <v>541</v>
      </c>
      <c r="C432" s="35" t="s">
        <v>534</v>
      </c>
      <c r="D432" s="35">
        <v>10</v>
      </c>
      <c r="E432" s="35">
        <v>1245</v>
      </c>
      <c r="F432" s="35">
        <v>9</v>
      </c>
      <c r="G432" s="35">
        <v>1254</v>
      </c>
      <c r="H432" s="35">
        <v>110</v>
      </c>
      <c r="I432" s="35">
        <v>1364</v>
      </c>
      <c r="J432" s="35">
        <v>10</v>
      </c>
      <c r="K432" s="35">
        <v>1374</v>
      </c>
      <c r="L432" s="35">
        <v>10</v>
      </c>
      <c r="M432" s="35">
        <v>1384</v>
      </c>
      <c r="N432" s="35">
        <v>7</v>
      </c>
      <c r="O432" s="35">
        <v>1391</v>
      </c>
      <c r="P432" s="35">
        <v>7</v>
      </c>
      <c r="Q432" s="35">
        <v>1398</v>
      </c>
      <c r="R432" s="35">
        <v>7</v>
      </c>
      <c r="S432" s="35">
        <v>1406</v>
      </c>
      <c r="T432" s="35">
        <v>8</v>
      </c>
      <c r="U432" s="35">
        <v>1412</v>
      </c>
      <c r="V432" s="35">
        <v>6</v>
      </c>
      <c r="W432" s="35">
        <v>1418</v>
      </c>
      <c r="X432" s="35">
        <v>6</v>
      </c>
      <c r="Y432" s="35">
        <v>1429</v>
      </c>
      <c r="Z432" s="35">
        <v>11</v>
      </c>
      <c r="AA432" s="35">
        <v>1438</v>
      </c>
      <c r="AB432" s="35">
        <v>9</v>
      </c>
      <c r="AC432" s="35">
        <v>9</v>
      </c>
      <c r="AD432" s="35">
        <v>0</v>
      </c>
      <c r="AE432" s="35">
        <v>0</v>
      </c>
      <c r="AG432" s="35">
        <v>3</v>
      </c>
      <c r="AH432" s="35">
        <v>0</v>
      </c>
      <c r="AI432" s="35">
        <v>12</v>
      </c>
    </row>
    <row r="433" spans="1:35" ht="15.75" customHeight="1" x14ac:dyDescent="0.35">
      <c r="A433" s="35">
        <v>435</v>
      </c>
      <c r="B433" s="35" t="s">
        <v>542</v>
      </c>
      <c r="C433" s="35" t="s">
        <v>534</v>
      </c>
      <c r="D433" s="35">
        <v>11</v>
      </c>
      <c r="E433" s="35">
        <v>438</v>
      </c>
      <c r="F433" s="35">
        <v>6</v>
      </c>
      <c r="G433" s="35">
        <v>444</v>
      </c>
      <c r="H433" s="35">
        <v>19</v>
      </c>
      <c r="I433" s="35">
        <v>463</v>
      </c>
      <c r="J433" s="35">
        <v>16</v>
      </c>
      <c r="K433" s="35">
        <v>479</v>
      </c>
      <c r="L433" s="35">
        <v>12</v>
      </c>
      <c r="M433" s="35">
        <v>491</v>
      </c>
      <c r="N433" s="35">
        <v>11</v>
      </c>
      <c r="O433" s="35">
        <v>502</v>
      </c>
      <c r="P433" s="35">
        <v>7</v>
      </c>
      <c r="Q433" s="35">
        <v>509</v>
      </c>
      <c r="R433" s="35">
        <v>7</v>
      </c>
      <c r="S433" s="35">
        <v>517</v>
      </c>
      <c r="T433" s="35">
        <v>8</v>
      </c>
      <c r="U433" s="35">
        <v>523</v>
      </c>
      <c r="V433" s="35">
        <v>6</v>
      </c>
      <c r="W433" s="35">
        <v>530</v>
      </c>
      <c r="X433" s="35">
        <v>7</v>
      </c>
      <c r="Y433" s="35">
        <v>541</v>
      </c>
      <c r="Z433" s="35">
        <v>11</v>
      </c>
      <c r="AA433" s="35">
        <v>549</v>
      </c>
      <c r="AB433" s="35">
        <v>8</v>
      </c>
      <c r="AC433" s="35">
        <v>8</v>
      </c>
      <c r="AD433" s="35">
        <v>14</v>
      </c>
      <c r="AE433" s="35">
        <v>0</v>
      </c>
      <c r="AG433" s="35">
        <v>3</v>
      </c>
      <c r="AH433" s="35">
        <v>0</v>
      </c>
      <c r="AI433" s="35">
        <v>25</v>
      </c>
    </row>
    <row r="434" spans="1:35" ht="15.75" customHeight="1" x14ac:dyDescent="0.35">
      <c r="A434" s="35">
        <v>436</v>
      </c>
      <c r="B434" s="35" t="s">
        <v>457</v>
      </c>
      <c r="C434" s="35" t="s">
        <v>534</v>
      </c>
      <c r="D434" s="35">
        <v>12</v>
      </c>
      <c r="E434" s="35">
        <v>2265</v>
      </c>
      <c r="F434" s="35">
        <v>2</v>
      </c>
      <c r="G434" s="35">
        <v>2267</v>
      </c>
      <c r="H434" s="35">
        <v>5</v>
      </c>
      <c r="I434" s="35">
        <v>2272</v>
      </c>
      <c r="J434" s="35">
        <v>1</v>
      </c>
      <c r="K434" s="35">
        <v>0</v>
      </c>
      <c r="L434" s="35">
        <v>2</v>
      </c>
      <c r="M434" s="35">
        <v>2</v>
      </c>
      <c r="N434" s="35">
        <v>4</v>
      </c>
      <c r="O434" s="35">
        <v>6</v>
      </c>
      <c r="P434" s="35">
        <v>5</v>
      </c>
      <c r="Q434" s="35">
        <v>11</v>
      </c>
      <c r="R434" s="35">
        <v>5</v>
      </c>
      <c r="S434" s="35">
        <v>13</v>
      </c>
      <c r="T434" s="35">
        <v>2</v>
      </c>
      <c r="U434" s="35">
        <v>18</v>
      </c>
      <c r="V434" s="35">
        <v>5</v>
      </c>
      <c r="W434" s="35">
        <v>23</v>
      </c>
      <c r="X434" s="35">
        <v>5</v>
      </c>
      <c r="Y434" s="35">
        <v>46</v>
      </c>
      <c r="Z434" s="35">
        <v>23</v>
      </c>
      <c r="AA434" s="35">
        <v>50</v>
      </c>
      <c r="AB434" s="35">
        <v>4</v>
      </c>
      <c r="AC434" s="35">
        <v>5</v>
      </c>
      <c r="AD434" s="35">
        <v>0</v>
      </c>
      <c r="AE434" s="35">
        <v>0</v>
      </c>
      <c r="AG434" s="35">
        <v>3</v>
      </c>
      <c r="AH434" s="35">
        <v>0</v>
      </c>
      <c r="AI434" s="35">
        <v>8</v>
      </c>
    </row>
    <row r="435" spans="1:35" ht="15.75" customHeight="1" x14ac:dyDescent="0.35">
      <c r="A435" s="35">
        <v>437</v>
      </c>
      <c r="B435" s="35" t="s">
        <v>543</v>
      </c>
      <c r="C435" s="35" t="s">
        <v>534</v>
      </c>
      <c r="D435" s="35">
        <v>13</v>
      </c>
      <c r="E435" s="35">
        <v>2421</v>
      </c>
      <c r="F435" s="35">
        <v>12</v>
      </c>
      <c r="G435" s="35">
        <v>2433</v>
      </c>
      <c r="H435" s="35">
        <v>32</v>
      </c>
      <c r="I435" s="35">
        <v>2465</v>
      </c>
      <c r="J435" s="35">
        <v>34</v>
      </c>
      <c r="K435" s="35">
        <v>2499</v>
      </c>
      <c r="L435" s="35">
        <v>15</v>
      </c>
      <c r="M435" s="35">
        <v>2514</v>
      </c>
      <c r="N435" s="35">
        <v>-2</v>
      </c>
      <c r="O435" s="35">
        <v>2512</v>
      </c>
      <c r="P435" s="35">
        <v>4</v>
      </c>
      <c r="Q435" s="35">
        <v>2516</v>
      </c>
      <c r="R435" s="35">
        <v>4</v>
      </c>
      <c r="S435" s="35">
        <v>2518</v>
      </c>
      <c r="T435" s="35">
        <v>2</v>
      </c>
      <c r="U435" s="35">
        <v>2529</v>
      </c>
      <c r="V435" s="35">
        <v>11</v>
      </c>
      <c r="W435" s="35">
        <v>2537</v>
      </c>
      <c r="X435" s="35">
        <v>8</v>
      </c>
      <c r="Y435" s="35">
        <v>2537</v>
      </c>
      <c r="Z435" s="35">
        <v>0</v>
      </c>
      <c r="AA435" s="35">
        <v>2538</v>
      </c>
      <c r="AB435" s="35">
        <v>1</v>
      </c>
      <c r="AC435" s="35">
        <v>5</v>
      </c>
      <c r="AD435" s="35">
        <v>0</v>
      </c>
      <c r="AE435" s="35">
        <v>0</v>
      </c>
      <c r="AG435" s="35">
        <v>3</v>
      </c>
      <c r="AH435" s="35">
        <v>0</v>
      </c>
      <c r="AI435" s="35">
        <v>8</v>
      </c>
    </row>
    <row r="436" spans="1:35" ht="15.75" customHeight="1" x14ac:dyDescent="0.35">
      <c r="A436" s="35">
        <v>438</v>
      </c>
      <c r="B436" s="35" t="s">
        <v>544</v>
      </c>
      <c r="C436" s="35" t="s">
        <v>534</v>
      </c>
      <c r="D436" s="35">
        <v>14</v>
      </c>
      <c r="E436" s="35">
        <v>110</v>
      </c>
      <c r="F436" s="35">
        <v>0</v>
      </c>
      <c r="G436" s="35">
        <v>110</v>
      </c>
      <c r="H436" s="35">
        <v>0</v>
      </c>
      <c r="I436" s="35">
        <v>110</v>
      </c>
      <c r="J436" s="35">
        <v>0</v>
      </c>
      <c r="K436" s="35">
        <v>110</v>
      </c>
      <c r="L436" s="35">
        <v>0</v>
      </c>
      <c r="M436" s="35">
        <v>110</v>
      </c>
      <c r="N436" s="35">
        <v>0</v>
      </c>
      <c r="O436" s="35">
        <v>110</v>
      </c>
      <c r="P436" s="35">
        <v>0</v>
      </c>
      <c r="Q436" s="35">
        <v>110</v>
      </c>
      <c r="R436" s="35">
        <v>0</v>
      </c>
      <c r="S436" s="35">
        <v>110</v>
      </c>
      <c r="T436" s="35">
        <v>0</v>
      </c>
      <c r="U436" s="35">
        <v>110</v>
      </c>
      <c r="V436" s="35">
        <v>0</v>
      </c>
      <c r="W436" s="35">
        <v>110</v>
      </c>
      <c r="X436" s="35">
        <v>0</v>
      </c>
      <c r="Y436" s="35">
        <v>110</v>
      </c>
      <c r="Z436" s="35">
        <v>0</v>
      </c>
      <c r="AA436" s="35">
        <v>110</v>
      </c>
      <c r="AB436" s="35">
        <v>0</v>
      </c>
      <c r="AC436" s="35">
        <v>5</v>
      </c>
      <c r="AD436" s="35">
        <v>0</v>
      </c>
      <c r="AE436" s="35">
        <v>0</v>
      </c>
      <c r="AG436" s="35">
        <v>3</v>
      </c>
      <c r="AH436" s="35">
        <v>0</v>
      </c>
      <c r="AI436" s="35">
        <v>8</v>
      </c>
    </row>
    <row r="437" spans="1:35" ht="15.75" customHeight="1" x14ac:dyDescent="0.35">
      <c r="A437" s="35">
        <v>439</v>
      </c>
      <c r="B437" s="35" t="s">
        <v>547</v>
      </c>
      <c r="C437" s="35" t="s">
        <v>546</v>
      </c>
      <c r="D437" s="35">
        <v>2</v>
      </c>
      <c r="R437" s="35">
        <v>0</v>
      </c>
      <c r="S437" s="35">
        <v>0</v>
      </c>
      <c r="T437" s="35">
        <v>0</v>
      </c>
      <c r="U437" s="35">
        <v>0</v>
      </c>
      <c r="V437" s="35">
        <v>0</v>
      </c>
      <c r="W437" s="35">
        <v>0</v>
      </c>
      <c r="X437" s="35">
        <v>0</v>
      </c>
      <c r="Y437" s="35">
        <v>0</v>
      </c>
      <c r="Z437" s="35">
        <v>0</v>
      </c>
      <c r="AA437" s="35">
        <v>0</v>
      </c>
      <c r="AB437" s="35">
        <v>0</v>
      </c>
      <c r="AC437" s="35">
        <v>5</v>
      </c>
      <c r="AD437" s="35">
        <v>0</v>
      </c>
      <c r="AE437" s="35">
        <v>0</v>
      </c>
      <c r="AG437" s="35">
        <v>3</v>
      </c>
      <c r="AH437" s="35">
        <v>20</v>
      </c>
      <c r="AI437" s="35">
        <v>28</v>
      </c>
    </row>
    <row r="438" spans="1:35" ht="15.75" customHeight="1" x14ac:dyDescent="0.35">
      <c r="A438" s="35">
        <v>440</v>
      </c>
      <c r="B438" s="35" t="s">
        <v>548</v>
      </c>
      <c r="C438" s="35" t="s">
        <v>546</v>
      </c>
      <c r="D438" s="35">
        <v>3</v>
      </c>
      <c r="E438" s="35">
        <v>312</v>
      </c>
      <c r="F438" s="35">
        <v>6</v>
      </c>
      <c r="G438" s="35">
        <v>318</v>
      </c>
      <c r="H438" s="35">
        <v>6</v>
      </c>
      <c r="I438" s="35">
        <v>324</v>
      </c>
      <c r="J438" s="35">
        <v>6</v>
      </c>
      <c r="K438" s="35">
        <v>330</v>
      </c>
      <c r="L438" s="35">
        <v>11</v>
      </c>
      <c r="M438" s="35">
        <v>341</v>
      </c>
      <c r="N438" s="35">
        <v>4</v>
      </c>
      <c r="O438" s="35">
        <v>345</v>
      </c>
      <c r="P438" s="35">
        <v>3</v>
      </c>
      <c r="Q438" s="35">
        <v>348</v>
      </c>
      <c r="R438" s="35">
        <v>3</v>
      </c>
      <c r="S438" s="35">
        <v>351</v>
      </c>
      <c r="T438" s="35">
        <v>3</v>
      </c>
      <c r="U438" s="35">
        <v>354</v>
      </c>
      <c r="V438" s="35">
        <v>3</v>
      </c>
      <c r="W438" s="35">
        <v>356</v>
      </c>
      <c r="X438" s="35">
        <v>2</v>
      </c>
      <c r="Y438" s="35">
        <v>362</v>
      </c>
      <c r="Z438" s="35">
        <v>6</v>
      </c>
      <c r="AA438" s="35">
        <v>366</v>
      </c>
      <c r="AB438" s="35">
        <v>4</v>
      </c>
      <c r="AC438" s="35">
        <v>5</v>
      </c>
      <c r="AD438" s="35">
        <v>0</v>
      </c>
      <c r="AE438" s="35">
        <v>0</v>
      </c>
      <c r="AG438" s="35">
        <v>3</v>
      </c>
      <c r="AH438" s="35">
        <v>0</v>
      </c>
      <c r="AI438" s="35">
        <v>8</v>
      </c>
    </row>
    <row r="439" spans="1:35" ht="15.75" customHeight="1" x14ac:dyDescent="0.35">
      <c r="A439" s="35">
        <v>441</v>
      </c>
      <c r="B439" s="35" t="s">
        <v>549</v>
      </c>
      <c r="C439" s="35" t="s">
        <v>546</v>
      </c>
      <c r="D439" s="35">
        <v>4</v>
      </c>
      <c r="E439" s="35">
        <v>297</v>
      </c>
      <c r="F439" s="35">
        <v>1</v>
      </c>
      <c r="G439" s="35">
        <v>298</v>
      </c>
      <c r="H439" s="35">
        <v>2</v>
      </c>
      <c r="I439" s="35">
        <v>300</v>
      </c>
      <c r="J439" s="35">
        <v>24</v>
      </c>
      <c r="K439" s="35">
        <v>324</v>
      </c>
      <c r="L439" s="35">
        <v>1</v>
      </c>
      <c r="M439" s="35">
        <v>325</v>
      </c>
      <c r="N439" s="35">
        <v>3</v>
      </c>
      <c r="O439" s="35">
        <v>328</v>
      </c>
      <c r="P439" s="35">
        <v>1</v>
      </c>
      <c r="Q439" s="35">
        <v>329</v>
      </c>
      <c r="R439" s="35">
        <v>1</v>
      </c>
      <c r="S439" s="35">
        <v>379</v>
      </c>
      <c r="T439" s="35">
        <v>50</v>
      </c>
      <c r="U439" s="35">
        <v>380</v>
      </c>
      <c r="V439" s="35">
        <v>1</v>
      </c>
      <c r="W439" s="35">
        <v>382</v>
      </c>
      <c r="X439" s="35">
        <v>2</v>
      </c>
      <c r="Y439" s="35">
        <v>382</v>
      </c>
      <c r="Z439" s="35">
        <v>0</v>
      </c>
      <c r="AA439" s="35">
        <v>384</v>
      </c>
      <c r="AB439" s="35">
        <v>2</v>
      </c>
      <c r="AC439" s="35">
        <v>5</v>
      </c>
      <c r="AD439" s="35">
        <v>0</v>
      </c>
      <c r="AE439" s="35">
        <v>0</v>
      </c>
      <c r="AG439" s="35">
        <v>3</v>
      </c>
      <c r="AH439" s="35">
        <v>20</v>
      </c>
      <c r="AI439" s="35">
        <v>28</v>
      </c>
    </row>
    <row r="440" spans="1:35" ht="15.75" customHeight="1" x14ac:dyDescent="0.35">
      <c r="A440" s="35">
        <v>442</v>
      </c>
      <c r="B440" s="35" t="s">
        <v>550</v>
      </c>
      <c r="C440" s="35" t="s">
        <v>546</v>
      </c>
      <c r="D440" s="35">
        <v>5</v>
      </c>
      <c r="E440" s="35">
        <v>3192</v>
      </c>
      <c r="F440" s="35">
        <v>8</v>
      </c>
      <c r="G440" s="35">
        <v>3200</v>
      </c>
      <c r="H440" s="35">
        <v>10</v>
      </c>
      <c r="I440" s="35">
        <v>3210</v>
      </c>
      <c r="J440" s="35">
        <v>8</v>
      </c>
      <c r="K440" s="35">
        <v>3218</v>
      </c>
      <c r="L440" s="35">
        <v>9</v>
      </c>
      <c r="M440" s="35">
        <v>3227</v>
      </c>
      <c r="N440" s="35">
        <v>7</v>
      </c>
      <c r="O440" s="35">
        <v>3234</v>
      </c>
      <c r="P440" s="35">
        <v>6</v>
      </c>
      <c r="Q440" s="35">
        <v>3240</v>
      </c>
      <c r="R440" s="35">
        <v>6</v>
      </c>
      <c r="S440" s="35">
        <v>3245</v>
      </c>
      <c r="T440" s="35">
        <v>5</v>
      </c>
      <c r="U440" s="35">
        <v>3250</v>
      </c>
      <c r="V440" s="35">
        <v>5</v>
      </c>
      <c r="W440" s="35">
        <v>3255</v>
      </c>
      <c r="X440" s="35">
        <v>5</v>
      </c>
      <c r="Y440" s="35">
        <v>3260</v>
      </c>
      <c r="Z440" s="35">
        <v>5</v>
      </c>
      <c r="AA440" s="35">
        <v>3266</v>
      </c>
      <c r="AB440" s="35">
        <v>6</v>
      </c>
      <c r="AC440" s="35">
        <v>6</v>
      </c>
      <c r="AD440" s="35">
        <v>0</v>
      </c>
      <c r="AE440" s="35">
        <v>0</v>
      </c>
      <c r="AG440" s="35">
        <v>3</v>
      </c>
      <c r="AH440" s="35">
        <v>0</v>
      </c>
      <c r="AI440" s="35">
        <v>9</v>
      </c>
    </row>
    <row r="441" spans="1:35" ht="15.75" customHeight="1" x14ac:dyDescent="0.35">
      <c r="A441" s="35">
        <v>443</v>
      </c>
      <c r="B441" s="35" t="s">
        <v>551</v>
      </c>
      <c r="C441" s="35" t="s">
        <v>546</v>
      </c>
      <c r="D441" s="35">
        <v>6</v>
      </c>
      <c r="E441" s="35">
        <v>813</v>
      </c>
      <c r="F441" s="35">
        <v>2</v>
      </c>
      <c r="G441" s="35">
        <v>815</v>
      </c>
      <c r="H441" s="35">
        <v>4</v>
      </c>
      <c r="I441" s="35">
        <v>819</v>
      </c>
      <c r="J441" s="35">
        <v>2</v>
      </c>
      <c r="K441" s="35">
        <v>821</v>
      </c>
      <c r="L441" s="35">
        <v>3</v>
      </c>
      <c r="M441" s="35">
        <v>824</v>
      </c>
      <c r="N441" s="35">
        <v>4</v>
      </c>
      <c r="O441" s="35">
        <v>828</v>
      </c>
      <c r="P441" s="35">
        <v>3</v>
      </c>
      <c r="Q441" s="35">
        <v>831</v>
      </c>
      <c r="R441" s="35">
        <v>3</v>
      </c>
      <c r="S441" s="35">
        <v>832</v>
      </c>
      <c r="T441" s="35">
        <v>1</v>
      </c>
      <c r="U441" s="35">
        <v>833</v>
      </c>
      <c r="V441" s="35">
        <v>1</v>
      </c>
      <c r="W441" s="35">
        <v>836</v>
      </c>
      <c r="X441" s="35">
        <v>3</v>
      </c>
      <c r="Y441" s="35">
        <v>840</v>
      </c>
      <c r="Z441" s="35">
        <v>4</v>
      </c>
      <c r="AA441" s="35">
        <v>844</v>
      </c>
      <c r="AB441" s="35">
        <v>4</v>
      </c>
      <c r="AC441" s="35">
        <v>5</v>
      </c>
      <c r="AD441" s="35">
        <v>0</v>
      </c>
      <c r="AE441" s="35">
        <v>0</v>
      </c>
      <c r="AG441" s="35">
        <v>3</v>
      </c>
      <c r="AH441" s="35">
        <v>20</v>
      </c>
      <c r="AI441" s="35">
        <v>28</v>
      </c>
    </row>
    <row r="442" spans="1:35" ht="15.75" customHeight="1" x14ac:dyDescent="0.35">
      <c r="A442" s="35">
        <v>444</v>
      </c>
      <c r="B442" s="35" t="s">
        <v>552</v>
      </c>
      <c r="C442" s="35" t="s">
        <v>546</v>
      </c>
      <c r="D442" s="35">
        <v>7</v>
      </c>
      <c r="E442" s="35">
        <v>545</v>
      </c>
      <c r="F442" s="35">
        <v>12</v>
      </c>
      <c r="G442" s="35">
        <v>557</v>
      </c>
      <c r="H442" s="35">
        <v>15</v>
      </c>
      <c r="I442" s="35">
        <v>572</v>
      </c>
      <c r="J442" s="35">
        <v>21</v>
      </c>
      <c r="K442" s="35">
        <v>593</v>
      </c>
      <c r="L442" s="35">
        <v>26</v>
      </c>
      <c r="M442" s="35">
        <v>619</v>
      </c>
      <c r="N442" s="35">
        <v>24</v>
      </c>
      <c r="O442" s="35">
        <v>643</v>
      </c>
      <c r="P442" s="35">
        <v>18</v>
      </c>
      <c r="Q442" s="35">
        <v>661</v>
      </c>
      <c r="R442" s="35">
        <v>18</v>
      </c>
      <c r="S442" s="35">
        <v>0</v>
      </c>
      <c r="T442" s="35">
        <v>7</v>
      </c>
      <c r="U442" s="35">
        <v>2</v>
      </c>
      <c r="V442" s="35">
        <v>2</v>
      </c>
      <c r="W442" s="35">
        <v>9</v>
      </c>
      <c r="X442" s="35">
        <v>7</v>
      </c>
      <c r="Y442" s="35">
        <v>18</v>
      </c>
      <c r="Z442" s="35">
        <v>9</v>
      </c>
      <c r="AA442" s="35">
        <v>25</v>
      </c>
      <c r="AB442" s="35">
        <v>7</v>
      </c>
      <c r="AC442" s="35">
        <v>7</v>
      </c>
      <c r="AD442" s="35">
        <v>0</v>
      </c>
      <c r="AE442" s="35">
        <v>0</v>
      </c>
      <c r="AG442" s="35">
        <v>3</v>
      </c>
      <c r="AH442" s="35">
        <v>20</v>
      </c>
      <c r="AI442" s="35">
        <v>30</v>
      </c>
    </row>
    <row r="443" spans="1:35" ht="15.75" customHeight="1" x14ac:dyDescent="0.35">
      <c r="A443" s="35">
        <v>445</v>
      </c>
      <c r="B443" s="35" t="s">
        <v>554</v>
      </c>
      <c r="C443" s="35" t="s">
        <v>546</v>
      </c>
      <c r="D443" s="35">
        <v>8</v>
      </c>
      <c r="E443" s="35">
        <v>178</v>
      </c>
      <c r="F443" s="35">
        <v>16</v>
      </c>
      <c r="G443" s="35">
        <v>194</v>
      </c>
      <c r="H443" s="35">
        <v>13</v>
      </c>
      <c r="I443" s="35">
        <v>207</v>
      </c>
      <c r="J443" s="35">
        <v>14</v>
      </c>
      <c r="K443" s="35">
        <v>221</v>
      </c>
      <c r="L443" s="35">
        <v>13</v>
      </c>
      <c r="M443" s="35">
        <v>234</v>
      </c>
      <c r="N443" s="35">
        <v>11</v>
      </c>
      <c r="O443" s="35">
        <v>245</v>
      </c>
      <c r="P443" s="35">
        <v>11</v>
      </c>
      <c r="Q443" s="35">
        <v>256</v>
      </c>
      <c r="R443" s="35">
        <v>11</v>
      </c>
      <c r="S443" s="35">
        <v>266</v>
      </c>
      <c r="T443" s="35">
        <v>10</v>
      </c>
      <c r="U443" s="35">
        <v>275</v>
      </c>
      <c r="V443" s="35">
        <v>9</v>
      </c>
      <c r="W443" s="35">
        <v>284</v>
      </c>
      <c r="X443" s="35">
        <v>9</v>
      </c>
      <c r="Y443" s="35">
        <v>295</v>
      </c>
      <c r="Z443" s="35">
        <v>11</v>
      </c>
      <c r="AA443" s="35">
        <v>309</v>
      </c>
      <c r="AB443" s="35">
        <v>14</v>
      </c>
      <c r="AC443" s="35">
        <v>14</v>
      </c>
      <c r="AD443" s="35">
        <v>14</v>
      </c>
      <c r="AE443" s="35">
        <v>0</v>
      </c>
      <c r="AG443" s="35">
        <v>3</v>
      </c>
      <c r="AH443" s="35">
        <v>0</v>
      </c>
      <c r="AI443" s="35">
        <v>31</v>
      </c>
    </row>
    <row r="444" spans="1:35" ht="15.75" customHeight="1" x14ac:dyDescent="0.35">
      <c r="A444" s="35">
        <v>446</v>
      </c>
      <c r="B444" s="35" t="s">
        <v>545</v>
      </c>
      <c r="C444" s="35" t="s">
        <v>546</v>
      </c>
      <c r="D444" s="35">
        <v>11</v>
      </c>
      <c r="E444" s="35">
        <v>1673</v>
      </c>
      <c r="F444" s="35">
        <v>10</v>
      </c>
      <c r="G444" s="35">
        <v>1683</v>
      </c>
      <c r="H444" s="35">
        <v>9</v>
      </c>
      <c r="I444" s="35">
        <v>1692</v>
      </c>
      <c r="J444" s="35">
        <v>9</v>
      </c>
      <c r="K444" s="35">
        <v>1701</v>
      </c>
      <c r="L444" s="35">
        <v>9</v>
      </c>
      <c r="M444" s="35">
        <v>1710</v>
      </c>
      <c r="N444" s="35">
        <v>7</v>
      </c>
      <c r="O444" s="35">
        <v>1717</v>
      </c>
      <c r="P444" s="35">
        <v>8</v>
      </c>
      <c r="Q444" s="35">
        <v>1725</v>
      </c>
      <c r="R444" s="35">
        <v>8</v>
      </c>
      <c r="S444" s="35">
        <v>1730</v>
      </c>
      <c r="T444" s="35">
        <v>5</v>
      </c>
      <c r="U444" s="35">
        <v>1736</v>
      </c>
      <c r="V444" s="35">
        <v>6</v>
      </c>
      <c r="W444" s="35">
        <v>1742</v>
      </c>
      <c r="X444" s="35">
        <v>6</v>
      </c>
      <c r="Y444" s="35">
        <v>1751</v>
      </c>
      <c r="Z444" s="35">
        <v>9</v>
      </c>
      <c r="AA444" s="35">
        <v>1761</v>
      </c>
      <c r="AB444" s="35">
        <v>10</v>
      </c>
      <c r="AC444" s="35">
        <v>10</v>
      </c>
      <c r="AD444" s="35">
        <v>0</v>
      </c>
      <c r="AE444" s="35">
        <v>0</v>
      </c>
      <c r="AG444" s="35">
        <v>3</v>
      </c>
      <c r="AH444" s="35">
        <v>20</v>
      </c>
      <c r="AI444" s="35">
        <v>33</v>
      </c>
    </row>
    <row r="445" spans="1:35" ht="15.75" customHeight="1" x14ac:dyDescent="0.35">
      <c r="A445" s="35">
        <v>447</v>
      </c>
      <c r="B445" s="35" t="s">
        <v>555</v>
      </c>
      <c r="C445" s="35" t="s">
        <v>546</v>
      </c>
      <c r="D445" s="35">
        <v>13</v>
      </c>
      <c r="E445" s="35">
        <v>297</v>
      </c>
      <c r="F445" s="35">
        <v>9</v>
      </c>
      <c r="G445" s="35">
        <v>306</v>
      </c>
      <c r="H445" s="35">
        <v>10</v>
      </c>
      <c r="I445" s="35">
        <v>316</v>
      </c>
      <c r="J445" s="35">
        <v>8</v>
      </c>
      <c r="K445" s="35">
        <v>324</v>
      </c>
      <c r="L445" s="35">
        <v>8</v>
      </c>
      <c r="M445" s="35">
        <v>332</v>
      </c>
      <c r="N445" s="35">
        <v>8</v>
      </c>
      <c r="O445" s="35">
        <v>340</v>
      </c>
      <c r="P445" s="35">
        <v>8</v>
      </c>
      <c r="Q445" s="35">
        <v>348</v>
      </c>
      <c r="R445" s="35">
        <v>8</v>
      </c>
      <c r="S445" s="35">
        <v>354</v>
      </c>
      <c r="T445" s="35">
        <v>6</v>
      </c>
      <c r="U445" s="35">
        <v>362</v>
      </c>
      <c r="V445" s="35">
        <v>8</v>
      </c>
      <c r="W445" s="35">
        <v>373</v>
      </c>
      <c r="X445" s="35">
        <v>11</v>
      </c>
      <c r="Y445" s="35">
        <v>382</v>
      </c>
      <c r="Z445" s="35">
        <v>9</v>
      </c>
      <c r="AA445" s="35">
        <v>390</v>
      </c>
      <c r="AB445" s="35">
        <v>8</v>
      </c>
      <c r="AC445" s="35">
        <v>8</v>
      </c>
      <c r="AD445" s="35">
        <v>0</v>
      </c>
      <c r="AE445" s="35">
        <v>0</v>
      </c>
      <c r="AG445" s="35">
        <v>3</v>
      </c>
      <c r="AH445" s="35">
        <v>0</v>
      </c>
      <c r="AI445" s="35">
        <v>11</v>
      </c>
    </row>
    <row r="446" spans="1:35" ht="15.75" customHeight="1" x14ac:dyDescent="0.35">
      <c r="A446" s="35">
        <v>448</v>
      </c>
      <c r="B446" s="35" t="s">
        <v>556</v>
      </c>
      <c r="C446" s="35" t="s">
        <v>546</v>
      </c>
      <c r="D446" s="35">
        <v>14</v>
      </c>
      <c r="E446" s="35">
        <v>573</v>
      </c>
      <c r="F446" s="35">
        <v>6</v>
      </c>
      <c r="G446" s="35">
        <v>579</v>
      </c>
      <c r="H446" s="35">
        <v>7</v>
      </c>
      <c r="I446" s="35">
        <v>586</v>
      </c>
      <c r="J446" s="35">
        <v>7</v>
      </c>
      <c r="K446" s="35">
        <v>593</v>
      </c>
      <c r="L446" s="35">
        <v>5</v>
      </c>
      <c r="M446" s="35">
        <v>598</v>
      </c>
      <c r="N446" s="35">
        <v>3</v>
      </c>
      <c r="O446" s="35">
        <v>601</v>
      </c>
      <c r="P446" s="35">
        <v>2</v>
      </c>
      <c r="Q446" s="35">
        <v>603</v>
      </c>
      <c r="R446" s="35">
        <v>2</v>
      </c>
      <c r="S446" s="35">
        <v>607</v>
      </c>
      <c r="T446" s="35">
        <v>4</v>
      </c>
      <c r="U446" s="35">
        <v>609</v>
      </c>
      <c r="V446" s="35">
        <v>2</v>
      </c>
      <c r="W446" s="35">
        <v>612</v>
      </c>
      <c r="X446" s="35">
        <v>3</v>
      </c>
      <c r="Y446" s="35">
        <v>615</v>
      </c>
      <c r="Z446" s="35">
        <v>3</v>
      </c>
      <c r="AA446" s="35">
        <v>618</v>
      </c>
      <c r="AB446" s="35">
        <v>3</v>
      </c>
      <c r="AC446" s="35">
        <v>5</v>
      </c>
      <c r="AD446" s="35">
        <v>0</v>
      </c>
      <c r="AE446" s="35">
        <v>0</v>
      </c>
      <c r="AG446" s="35">
        <v>3</v>
      </c>
      <c r="AH446" s="35">
        <v>20</v>
      </c>
      <c r="AI446" s="35">
        <v>28</v>
      </c>
    </row>
    <row r="447" spans="1:35" ht="15.75" customHeight="1" x14ac:dyDescent="0.35">
      <c r="A447" s="35">
        <v>449</v>
      </c>
      <c r="B447" s="35" t="s">
        <v>557</v>
      </c>
      <c r="C447" s="35" t="s">
        <v>546</v>
      </c>
      <c r="D447" s="35">
        <v>15</v>
      </c>
      <c r="E447" s="35">
        <v>19</v>
      </c>
      <c r="F447" s="35">
        <v>7</v>
      </c>
      <c r="G447" s="35">
        <v>26</v>
      </c>
      <c r="H447" s="35">
        <v>8</v>
      </c>
      <c r="I447" s="35">
        <v>34</v>
      </c>
      <c r="J447" s="35">
        <v>6</v>
      </c>
      <c r="K447" s="35">
        <v>40</v>
      </c>
      <c r="L447" s="35">
        <v>7</v>
      </c>
      <c r="M447" s="35">
        <v>47</v>
      </c>
      <c r="N447" s="35">
        <v>5</v>
      </c>
      <c r="O447" s="35">
        <v>52</v>
      </c>
      <c r="P447" s="35">
        <v>4</v>
      </c>
      <c r="Q447" s="35">
        <v>56</v>
      </c>
      <c r="R447" s="35">
        <v>4</v>
      </c>
      <c r="S447" s="35">
        <v>61</v>
      </c>
      <c r="T447" s="35">
        <v>5</v>
      </c>
      <c r="U447" s="35">
        <v>64</v>
      </c>
      <c r="V447" s="35">
        <v>3</v>
      </c>
      <c r="W447" s="35">
        <v>67</v>
      </c>
      <c r="X447" s="35">
        <v>3</v>
      </c>
      <c r="Y447" s="35">
        <v>71</v>
      </c>
      <c r="Z447" s="35">
        <v>4</v>
      </c>
      <c r="AA447" s="35">
        <v>76</v>
      </c>
      <c r="AB447" s="35">
        <v>5</v>
      </c>
      <c r="AC447" s="35">
        <v>5</v>
      </c>
      <c r="AD447" s="35">
        <v>0</v>
      </c>
      <c r="AE447" s="35">
        <v>0</v>
      </c>
      <c r="AG447" s="35">
        <v>3</v>
      </c>
      <c r="AH447" s="35">
        <v>0</v>
      </c>
      <c r="AI447" s="35">
        <v>8</v>
      </c>
    </row>
    <row r="448" spans="1:35" ht="15.75" customHeight="1" x14ac:dyDescent="0.35">
      <c r="A448" s="35">
        <v>450</v>
      </c>
      <c r="B448" s="35" t="s">
        <v>558</v>
      </c>
      <c r="C448" s="35" t="s">
        <v>546</v>
      </c>
      <c r="D448" s="35">
        <v>16</v>
      </c>
      <c r="E448" s="35">
        <v>567</v>
      </c>
      <c r="F448" s="35">
        <v>16</v>
      </c>
      <c r="G448" s="35">
        <v>583</v>
      </c>
      <c r="H448" s="35">
        <v>14</v>
      </c>
      <c r="I448" s="35">
        <v>597</v>
      </c>
      <c r="J448" s="35">
        <v>15</v>
      </c>
      <c r="K448" s="35">
        <v>612</v>
      </c>
      <c r="L448" s="35">
        <v>15</v>
      </c>
      <c r="M448" s="35">
        <v>627</v>
      </c>
      <c r="N448" s="35">
        <v>14</v>
      </c>
      <c r="O448" s="35">
        <v>641</v>
      </c>
      <c r="P448" s="35">
        <v>12</v>
      </c>
      <c r="Q448" s="35">
        <v>653</v>
      </c>
      <c r="R448" s="35">
        <v>12</v>
      </c>
      <c r="S448" s="35">
        <v>663</v>
      </c>
      <c r="T448" s="35">
        <v>10</v>
      </c>
      <c r="U448" s="35">
        <v>675</v>
      </c>
      <c r="V448" s="35">
        <v>12</v>
      </c>
      <c r="W448" s="35">
        <v>687</v>
      </c>
      <c r="X448" s="35">
        <v>12</v>
      </c>
      <c r="Y448" s="35">
        <v>698</v>
      </c>
      <c r="Z448" s="35">
        <v>11</v>
      </c>
      <c r="AA448" s="35">
        <v>710</v>
      </c>
      <c r="AB448" s="35">
        <v>12</v>
      </c>
      <c r="AC448" s="35">
        <v>12</v>
      </c>
      <c r="AD448" s="35">
        <v>6</v>
      </c>
      <c r="AE448" s="35">
        <v>0</v>
      </c>
      <c r="AG448" s="35">
        <v>3</v>
      </c>
      <c r="AH448" s="35">
        <v>20</v>
      </c>
      <c r="AI448" s="35">
        <v>41</v>
      </c>
    </row>
    <row r="449" spans="1:35" ht="15.75" customHeight="1" x14ac:dyDescent="0.35">
      <c r="A449" s="35">
        <v>451</v>
      </c>
      <c r="B449" s="35" t="s">
        <v>560</v>
      </c>
      <c r="C449" s="35" t="s">
        <v>546</v>
      </c>
      <c r="D449" s="35">
        <v>17</v>
      </c>
      <c r="E449" s="35">
        <v>228</v>
      </c>
      <c r="F449" s="35">
        <v>7</v>
      </c>
      <c r="G449" s="35">
        <v>235</v>
      </c>
      <c r="H449" s="35">
        <v>9</v>
      </c>
      <c r="I449" s="35">
        <v>244</v>
      </c>
      <c r="J449" s="35">
        <v>7</v>
      </c>
      <c r="K449" s="35">
        <v>251</v>
      </c>
      <c r="L449" s="35">
        <v>8</v>
      </c>
      <c r="M449" s="35">
        <v>259</v>
      </c>
      <c r="N449" s="35">
        <v>6</v>
      </c>
      <c r="O449" s="35">
        <v>265</v>
      </c>
      <c r="P449" s="35">
        <v>6</v>
      </c>
      <c r="Q449" s="35">
        <v>271</v>
      </c>
      <c r="R449" s="35">
        <v>6</v>
      </c>
      <c r="S449" s="35">
        <v>277</v>
      </c>
      <c r="T449" s="35">
        <v>6</v>
      </c>
      <c r="U449" s="35">
        <v>281</v>
      </c>
      <c r="V449" s="35">
        <v>4</v>
      </c>
      <c r="W449" s="35">
        <v>287</v>
      </c>
      <c r="X449" s="35">
        <v>6</v>
      </c>
      <c r="Y449" s="35">
        <v>294</v>
      </c>
      <c r="Z449" s="35">
        <v>7</v>
      </c>
      <c r="AA449" s="35">
        <v>300</v>
      </c>
      <c r="AB449" s="35">
        <v>6</v>
      </c>
      <c r="AC449" s="35">
        <v>6</v>
      </c>
      <c r="AD449" s="35">
        <v>10</v>
      </c>
      <c r="AE449" s="35">
        <v>0</v>
      </c>
      <c r="AG449" s="35">
        <v>3</v>
      </c>
      <c r="AH449" s="35">
        <v>20</v>
      </c>
      <c r="AI449" s="35">
        <v>39</v>
      </c>
    </row>
    <row r="450" spans="1:35" ht="15.75" customHeight="1" x14ac:dyDescent="0.35">
      <c r="A450" s="35">
        <v>452</v>
      </c>
      <c r="B450" s="35" t="s">
        <v>562</v>
      </c>
      <c r="C450" s="35" t="s">
        <v>563</v>
      </c>
      <c r="D450" s="35">
        <v>1</v>
      </c>
      <c r="E450" s="35">
        <v>154</v>
      </c>
      <c r="F450" s="35">
        <v>1</v>
      </c>
      <c r="G450" s="35">
        <v>155</v>
      </c>
      <c r="H450" s="35">
        <v>1</v>
      </c>
      <c r="I450" s="35">
        <v>156</v>
      </c>
      <c r="J450" s="35">
        <v>1</v>
      </c>
      <c r="K450" s="35">
        <v>157</v>
      </c>
      <c r="L450" s="35">
        <v>1</v>
      </c>
      <c r="M450" s="35">
        <v>158</v>
      </c>
      <c r="N450" s="35">
        <v>1</v>
      </c>
      <c r="O450" s="35">
        <v>159</v>
      </c>
      <c r="P450" s="35">
        <v>0</v>
      </c>
      <c r="Q450" s="35">
        <v>159</v>
      </c>
      <c r="R450" s="35">
        <v>0</v>
      </c>
      <c r="S450" s="35">
        <v>160</v>
      </c>
      <c r="T450" s="35">
        <v>1</v>
      </c>
      <c r="U450" s="35">
        <v>160</v>
      </c>
      <c r="V450" s="35">
        <v>0</v>
      </c>
      <c r="W450" s="35">
        <v>160</v>
      </c>
      <c r="X450" s="35">
        <v>0</v>
      </c>
      <c r="Y450" s="35">
        <v>161</v>
      </c>
      <c r="Z450" s="35">
        <v>1</v>
      </c>
      <c r="AA450" s="35">
        <v>162</v>
      </c>
      <c r="AB450" s="35">
        <v>1</v>
      </c>
      <c r="AC450" s="35">
        <v>5</v>
      </c>
      <c r="AD450" s="35">
        <v>8</v>
      </c>
      <c r="AE450" s="35">
        <v>0</v>
      </c>
      <c r="AG450" s="35">
        <v>3</v>
      </c>
      <c r="AH450" s="35">
        <v>20</v>
      </c>
      <c r="AI450" s="35">
        <v>36</v>
      </c>
    </row>
    <row r="451" spans="1:35" ht="15.75" customHeight="1" x14ac:dyDescent="0.35">
      <c r="A451" s="35">
        <v>453</v>
      </c>
      <c r="B451" s="35" t="s">
        <v>564</v>
      </c>
      <c r="C451" s="35" t="s">
        <v>563</v>
      </c>
      <c r="D451" s="35">
        <v>2</v>
      </c>
      <c r="E451" s="35">
        <v>36</v>
      </c>
      <c r="F451" s="35">
        <v>1</v>
      </c>
      <c r="G451" s="35">
        <v>37</v>
      </c>
      <c r="H451" s="35">
        <v>0</v>
      </c>
      <c r="I451" s="35">
        <v>37</v>
      </c>
      <c r="J451" s="35">
        <v>1</v>
      </c>
      <c r="K451" s="35">
        <v>38</v>
      </c>
      <c r="L451" s="35">
        <v>1</v>
      </c>
      <c r="M451" s="35">
        <v>39</v>
      </c>
      <c r="N451" s="35">
        <v>0</v>
      </c>
      <c r="O451" s="35">
        <v>39</v>
      </c>
      <c r="P451" s="35">
        <v>0</v>
      </c>
      <c r="Q451" s="35">
        <v>39</v>
      </c>
      <c r="R451" s="35">
        <v>0</v>
      </c>
      <c r="S451" s="35">
        <v>39</v>
      </c>
      <c r="T451" s="35">
        <v>0</v>
      </c>
      <c r="U451" s="35">
        <v>39</v>
      </c>
      <c r="V451" s="35">
        <v>0</v>
      </c>
      <c r="W451" s="35">
        <v>39</v>
      </c>
      <c r="X451" s="35">
        <v>0</v>
      </c>
      <c r="Y451" s="35">
        <v>39</v>
      </c>
      <c r="Z451" s="35">
        <v>0</v>
      </c>
      <c r="AA451" s="35">
        <v>39</v>
      </c>
      <c r="AB451" s="35">
        <v>0</v>
      </c>
      <c r="AC451" s="35">
        <v>5</v>
      </c>
      <c r="AD451" s="35">
        <v>0</v>
      </c>
      <c r="AE451" s="35">
        <v>0</v>
      </c>
      <c r="AG451" s="35">
        <v>3</v>
      </c>
      <c r="AH451" s="35">
        <v>20</v>
      </c>
      <c r="AI451" s="35">
        <v>28</v>
      </c>
    </row>
    <row r="452" spans="1:35" ht="15.75" customHeight="1" x14ac:dyDescent="0.35">
      <c r="A452" s="35">
        <v>454</v>
      </c>
      <c r="B452" s="35" t="s">
        <v>565</v>
      </c>
      <c r="C452" s="35" t="s">
        <v>563</v>
      </c>
      <c r="D452" s="35">
        <v>3</v>
      </c>
      <c r="E452" s="35">
        <v>531</v>
      </c>
      <c r="F452" s="35">
        <v>3</v>
      </c>
      <c r="G452" s="35">
        <v>534</v>
      </c>
      <c r="H452" s="35">
        <v>3</v>
      </c>
      <c r="I452" s="35">
        <v>537</v>
      </c>
      <c r="J452" s="35">
        <v>3</v>
      </c>
      <c r="K452" s="35">
        <v>540</v>
      </c>
      <c r="L452" s="35">
        <v>3</v>
      </c>
      <c r="M452" s="35">
        <v>543</v>
      </c>
      <c r="N452" s="35">
        <v>2</v>
      </c>
      <c r="O452" s="35">
        <v>545</v>
      </c>
      <c r="P452" s="35">
        <v>1</v>
      </c>
      <c r="Q452" s="35">
        <v>546</v>
      </c>
      <c r="R452" s="35">
        <v>1</v>
      </c>
      <c r="S452" s="35">
        <v>548</v>
      </c>
      <c r="T452" s="35">
        <v>2</v>
      </c>
      <c r="U452" s="35">
        <v>549</v>
      </c>
      <c r="V452" s="35">
        <v>1</v>
      </c>
      <c r="W452" s="35">
        <v>550</v>
      </c>
      <c r="X452" s="35">
        <v>1</v>
      </c>
      <c r="Y452" s="35">
        <v>553</v>
      </c>
      <c r="Z452" s="35">
        <v>3</v>
      </c>
      <c r="AA452" s="35">
        <v>555</v>
      </c>
      <c r="AB452" s="35">
        <v>2</v>
      </c>
      <c r="AC452" s="35">
        <v>5</v>
      </c>
      <c r="AD452" s="35">
        <v>0</v>
      </c>
      <c r="AE452" s="35">
        <v>0</v>
      </c>
      <c r="AG452" s="35">
        <v>3</v>
      </c>
      <c r="AH452" s="35">
        <v>0</v>
      </c>
      <c r="AI452" s="35">
        <v>8</v>
      </c>
    </row>
    <row r="453" spans="1:35" ht="15.75" customHeight="1" x14ac:dyDescent="0.35">
      <c r="A453" s="35">
        <v>455</v>
      </c>
      <c r="B453" s="35" t="s">
        <v>566</v>
      </c>
      <c r="C453" s="35" t="s">
        <v>563</v>
      </c>
      <c r="D453" s="35">
        <v>4</v>
      </c>
      <c r="E453" s="35">
        <v>1660</v>
      </c>
      <c r="F453" s="35">
        <v>0</v>
      </c>
      <c r="G453" s="35">
        <v>1660</v>
      </c>
      <c r="H453" s="35">
        <v>0</v>
      </c>
      <c r="I453" s="35">
        <v>1660</v>
      </c>
      <c r="J453" s="35">
        <v>0</v>
      </c>
      <c r="K453" s="35">
        <v>1660</v>
      </c>
      <c r="L453" s="35">
        <v>0</v>
      </c>
      <c r="M453" s="35">
        <v>1660</v>
      </c>
      <c r="N453" s="35">
        <v>0</v>
      </c>
      <c r="O453" s="35">
        <v>1660</v>
      </c>
      <c r="P453" s="35">
        <v>0</v>
      </c>
      <c r="Q453" s="35">
        <v>1660</v>
      </c>
      <c r="R453" s="35">
        <v>0</v>
      </c>
      <c r="S453" s="35">
        <v>1660</v>
      </c>
      <c r="T453" s="35">
        <v>0</v>
      </c>
      <c r="U453" s="35">
        <v>1660</v>
      </c>
      <c r="V453" s="35">
        <v>0</v>
      </c>
      <c r="W453" s="35">
        <v>1660</v>
      </c>
      <c r="X453" s="35">
        <v>0</v>
      </c>
      <c r="Y453" s="35">
        <v>1660</v>
      </c>
      <c r="Z453" s="35">
        <v>0</v>
      </c>
      <c r="AA453" s="35">
        <v>1660</v>
      </c>
      <c r="AB453" s="35">
        <v>0</v>
      </c>
      <c r="AC453" s="35">
        <v>5</v>
      </c>
      <c r="AD453" s="35">
        <v>0</v>
      </c>
      <c r="AE453" s="35">
        <v>0</v>
      </c>
      <c r="AG453" s="35">
        <v>3</v>
      </c>
      <c r="AH453" s="35">
        <v>0</v>
      </c>
      <c r="AI453" s="35">
        <v>8</v>
      </c>
    </row>
    <row r="454" spans="1:35" ht="15.75" customHeight="1" x14ac:dyDescent="0.35">
      <c r="A454" s="35">
        <v>456</v>
      </c>
      <c r="B454" s="35" t="s">
        <v>567</v>
      </c>
      <c r="C454" s="35" t="s">
        <v>563</v>
      </c>
      <c r="D454" s="35">
        <v>5</v>
      </c>
      <c r="E454" s="35">
        <v>36</v>
      </c>
      <c r="F454" s="35">
        <v>1</v>
      </c>
      <c r="G454" s="35">
        <v>37</v>
      </c>
      <c r="H454" s="35">
        <v>719</v>
      </c>
      <c r="I454" s="35">
        <v>756</v>
      </c>
      <c r="J454" s="35">
        <v>7</v>
      </c>
      <c r="K454" s="35">
        <v>763</v>
      </c>
      <c r="L454" s="35">
        <v>6</v>
      </c>
      <c r="M454" s="35">
        <v>769</v>
      </c>
      <c r="N454" s="35">
        <v>5</v>
      </c>
      <c r="O454" s="35">
        <v>774</v>
      </c>
      <c r="P454" s="35">
        <v>5</v>
      </c>
      <c r="Q454" s="35">
        <v>779</v>
      </c>
      <c r="R454" s="35">
        <v>5</v>
      </c>
      <c r="S454" s="35">
        <v>784</v>
      </c>
      <c r="T454" s="35">
        <v>5</v>
      </c>
      <c r="U454" s="35">
        <v>789</v>
      </c>
      <c r="V454" s="35">
        <v>5</v>
      </c>
      <c r="W454" s="35">
        <v>793</v>
      </c>
      <c r="X454" s="35">
        <v>4</v>
      </c>
      <c r="Y454" s="35">
        <v>801</v>
      </c>
      <c r="Z454" s="35">
        <v>8</v>
      </c>
      <c r="AA454" s="35">
        <v>806</v>
      </c>
      <c r="AB454" s="35">
        <v>5</v>
      </c>
      <c r="AC454" s="35">
        <v>5</v>
      </c>
      <c r="AD454" s="35">
        <v>0</v>
      </c>
      <c r="AE454" s="35">
        <v>0</v>
      </c>
      <c r="AG454" s="35">
        <v>3</v>
      </c>
      <c r="AH454" s="35">
        <v>20</v>
      </c>
      <c r="AI454" s="35">
        <v>28</v>
      </c>
    </row>
    <row r="455" spans="1:35" ht="15.75" customHeight="1" x14ac:dyDescent="0.35">
      <c r="A455" s="35">
        <v>457</v>
      </c>
      <c r="B455" s="35" t="s">
        <v>568</v>
      </c>
      <c r="C455" s="35" t="s">
        <v>563</v>
      </c>
      <c r="D455" s="35">
        <v>6</v>
      </c>
      <c r="E455" s="35">
        <v>172</v>
      </c>
      <c r="F455" s="35">
        <v>3</v>
      </c>
      <c r="G455" s="35">
        <v>175</v>
      </c>
      <c r="H455" s="35">
        <v>5</v>
      </c>
      <c r="I455" s="35">
        <v>180</v>
      </c>
      <c r="J455" s="35">
        <v>2</v>
      </c>
      <c r="K455" s="35">
        <v>182</v>
      </c>
      <c r="L455" s="35">
        <v>3</v>
      </c>
      <c r="M455" s="35">
        <v>185</v>
      </c>
      <c r="N455" s="35">
        <v>3</v>
      </c>
      <c r="O455" s="35">
        <v>188</v>
      </c>
      <c r="P455" s="35">
        <v>3</v>
      </c>
      <c r="Q455" s="35">
        <v>191</v>
      </c>
      <c r="R455" s="35">
        <v>3</v>
      </c>
      <c r="S455" s="35">
        <v>193</v>
      </c>
      <c r="T455" s="35">
        <v>2</v>
      </c>
      <c r="U455" s="35">
        <v>195</v>
      </c>
      <c r="V455" s="35">
        <v>2</v>
      </c>
      <c r="W455" s="35">
        <v>198</v>
      </c>
      <c r="X455" s="35">
        <v>3</v>
      </c>
      <c r="Y455" s="35">
        <v>201</v>
      </c>
      <c r="Z455" s="35">
        <v>3</v>
      </c>
      <c r="AA455" s="35">
        <v>203</v>
      </c>
      <c r="AB455" s="35">
        <v>2</v>
      </c>
      <c r="AC455" s="35">
        <v>5</v>
      </c>
      <c r="AD455" s="35">
        <v>0</v>
      </c>
      <c r="AE455" s="35">
        <v>0</v>
      </c>
      <c r="AG455" s="35">
        <v>3</v>
      </c>
      <c r="AH455" s="35">
        <v>0</v>
      </c>
      <c r="AI455" s="35">
        <v>8</v>
      </c>
    </row>
    <row r="456" spans="1:35" ht="15.75" customHeight="1" x14ac:dyDescent="0.35">
      <c r="A456" s="35">
        <v>458</v>
      </c>
      <c r="B456" s="35" t="s">
        <v>569</v>
      </c>
      <c r="C456" s="35" t="s">
        <v>570</v>
      </c>
      <c r="D456" s="35">
        <v>1</v>
      </c>
      <c r="E456" s="35">
        <v>663</v>
      </c>
      <c r="F456" s="35">
        <v>21</v>
      </c>
      <c r="G456" s="35">
        <v>684</v>
      </c>
      <c r="H456" s="35">
        <v>21</v>
      </c>
      <c r="I456" s="35">
        <v>705</v>
      </c>
      <c r="J456" s="35">
        <v>20</v>
      </c>
      <c r="K456" s="35">
        <v>725</v>
      </c>
      <c r="L456" s="35">
        <v>15</v>
      </c>
      <c r="M456" s="35">
        <v>740</v>
      </c>
      <c r="N456" s="35">
        <v>13</v>
      </c>
      <c r="O456" s="35">
        <v>753</v>
      </c>
      <c r="P456" s="35">
        <v>13</v>
      </c>
      <c r="Q456" s="35">
        <v>766</v>
      </c>
      <c r="R456" s="35">
        <v>13</v>
      </c>
      <c r="S456" s="35">
        <v>777</v>
      </c>
      <c r="T456" s="35">
        <v>11</v>
      </c>
      <c r="U456" s="35">
        <v>787</v>
      </c>
      <c r="V456" s="35">
        <v>10</v>
      </c>
      <c r="W456" s="35">
        <v>797</v>
      </c>
      <c r="X456" s="35">
        <v>10</v>
      </c>
      <c r="Y456" s="35">
        <v>810</v>
      </c>
      <c r="Z456" s="35">
        <v>13</v>
      </c>
      <c r="AA456" s="35">
        <v>819</v>
      </c>
      <c r="AB456" s="35">
        <v>9</v>
      </c>
      <c r="AC456" s="35">
        <v>9</v>
      </c>
      <c r="AD456" s="35">
        <v>0</v>
      </c>
      <c r="AE456" s="35">
        <v>0</v>
      </c>
      <c r="AG456" s="35">
        <v>3</v>
      </c>
      <c r="AH456" s="35">
        <v>0</v>
      </c>
      <c r="AI456" s="35">
        <v>12</v>
      </c>
    </row>
    <row r="457" spans="1:35" ht="15.75" customHeight="1" x14ac:dyDescent="0.35">
      <c r="A457" s="35">
        <v>459</v>
      </c>
      <c r="B457" s="35" t="s">
        <v>571</v>
      </c>
      <c r="C457" s="35" t="s">
        <v>570</v>
      </c>
      <c r="D457" s="35">
        <v>3</v>
      </c>
      <c r="G457" s="35">
        <v>0</v>
      </c>
      <c r="H457" s="35">
        <v>0</v>
      </c>
      <c r="I457" s="35">
        <v>0</v>
      </c>
      <c r="J457" s="35">
        <v>0</v>
      </c>
      <c r="K457" s="35">
        <v>0</v>
      </c>
      <c r="L457" s="35">
        <v>5</v>
      </c>
      <c r="M457" s="35">
        <v>5</v>
      </c>
      <c r="N457" s="35">
        <v>0</v>
      </c>
      <c r="O457" s="35">
        <v>5</v>
      </c>
      <c r="P457" s="35">
        <v>-4</v>
      </c>
      <c r="Q457" s="35">
        <v>1</v>
      </c>
      <c r="R457" s="35">
        <v>-4</v>
      </c>
      <c r="S457" s="35">
        <v>1</v>
      </c>
      <c r="T457" s="35">
        <v>0</v>
      </c>
      <c r="U457" s="35">
        <v>0</v>
      </c>
      <c r="V457" s="35">
        <v>0</v>
      </c>
      <c r="W457" s="35">
        <v>0</v>
      </c>
      <c r="X457" s="35">
        <v>0</v>
      </c>
      <c r="Y457" s="35">
        <v>0</v>
      </c>
      <c r="Z457" s="35">
        <v>0</v>
      </c>
      <c r="AA457" s="35">
        <v>4</v>
      </c>
      <c r="AB457" s="35">
        <v>4</v>
      </c>
      <c r="AC457" s="35">
        <v>5</v>
      </c>
      <c r="AD457" s="35">
        <v>0</v>
      </c>
      <c r="AE457" s="35">
        <v>0</v>
      </c>
      <c r="AG457" s="35">
        <v>3</v>
      </c>
      <c r="AH457" s="35">
        <v>0</v>
      </c>
      <c r="AI457" s="35">
        <v>8</v>
      </c>
    </row>
    <row r="458" spans="1:35" ht="15.75" customHeight="1" x14ac:dyDescent="0.35">
      <c r="A458" s="35">
        <v>460</v>
      </c>
      <c r="B458" s="35" t="s">
        <v>572</v>
      </c>
      <c r="C458" s="35" t="s">
        <v>570</v>
      </c>
      <c r="D458" s="35">
        <v>4</v>
      </c>
      <c r="E458" s="35">
        <v>700</v>
      </c>
      <c r="F458" s="35">
        <v>7</v>
      </c>
      <c r="G458" s="35">
        <v>707</v>
      </c>
      <c r="H458" s="35">
        <v>5</v>
      </c>
      <c r="I458" s="35">
        <v>712</v>
      </c>
      <c r="J458" s="35">
        <v>8</v>
      </c>
      <c r="K458" s="35">
        <v>720</v>
      </c>
      <c r="L458" s="35">
        <v>14</v>
      </c>
      <c r="M458" s="35">
        <v>734</v>
      </c>
      <c r="N458" s="35">
        <v>12</v>
      </c>
      <c r="O458" s="35">
        <v>746</v>
      </c>
      <c r="P458" s="35">
        <v>8</v>
      </c>
      <c r="Q458" s="35">
        <v>754</v>
      </c>
      <c r="R458" s="35">
        <v>8</v>
      </c>
      <c r="S458" s="35">
        <v>768</v>
      </c>
      <c r="T458" s="35">
        <v>14</v>
      </c>
      <c r="U458" s="35">
        <v>785</v>
      </c>
      <c r="V458" s="35">
        <v>17</v>
      </c>
      <c r="W458" s="35">
        <v>797</v>
      </c>
      <c r="X458" s="35">
        <v>12</v>
      </c>
      <c r="Y458" s="35">
        <v>806</v>
      </c>
      <c r="Z458" s="35">
        <v>9</v>
      </c>
      <c r="AA458" s="35">
        <v>819</v>
      </c>
      <c r="AB458" s="35">
        <v>13</v>
      </c>
      <c r="AC458" s="35">
        <v>13</v>
      </c>
      <c r="AD458" s="35">
        <v>0</v>
      </c>
      <c r="AE458" s="35">
        <v>0</v>
      </c>
      <c r="AG458" s="35">
        <v>3</v>
      </c>
      <c r="AH458" s="35">
        <v>0</v>
      </c>
      <c r="AI458" s="35">
        <v>16</v>
      </c>
    </row>
    <row r="459" spans="1:35" ht="15.75" customHeight="1" x14ac:dyDescent="0.35">
      <c r="A459" s="35">
        <v>461</v>
      </c>
      <c r="B459" s="35" t="s">
        <v>573</v>
      </c>
      <c r="C459" s="35" t="s">
        <v>570</v>
      </c>
      <c r="D459" s="35">
        <v>6</v>
      </c>
      <c r="E459" s="35">
        <v>0</v>
      </c>
      <c r="F459" s="35">
        <v>0</v>
      </c>
      <c r="G459" s="35">
        <v>0</v>
      </c>
      <c r="H459" s="35">
        <v>0</v>
      </c>
      <c r="I459" s="35">
        <v>0</v>
      </c>
      <c r="J459" s="35">
        <v>0</v>
      </c>
      <c r="K459" s="35">
        <v>0</v>
      </c>
      <c r="L459" s="35">
        <v>5</v>
      </c>
      <c r="M459" s="35">
        <v>5</v>
      </c>
      <c r="N459" s="35">
        <v>-4</v>
      </c>
      <c r="O459" s="35">
        <v>1</v>
      </c>
      <c r="P459" s="35">
        <v>0</v>
      </c>
      <c r="Q459" s="35">
        <v>1</v>
      </c>
      <c r="R459" s="35">
        <v>0</v>
      </c>
      <c r="S459" s="35">
        <v>1</v>
      </c>
      <c r="T459" s="35">
        <v>0</v>
      </c>
      <c r="U459" s="35">
        <v>0</v>
      </c>
      <c r="V459" s="35">
        <v>0</v>
      </c>
      <c r="W459" s="35">
        <v>0</v>
      </c>
      <c r="X459" s="35">
        <v>0</v>
      </c>
      <c r="Y459" s="35">
        <v>0</v>
      </c>
      <c r="Z459" s="35">
        <v>0</v>
      </c>
      <c r="AA459" s="35">
        <v>0</v>
      </c>
      <c r="AB459" s="35">
        <v>0</v>
      </c>
      <c r="AC459" s="35">
        <v>5</v>
      </c>
      <c r="AD459" s="35">
        <v>24</v>
      </c>
      <c r="AE459" s="35">
        <v>40</v>
      </c>
      <c r="AF459" s="35">
        <v>100</v>
      </c>
      <c r="AG459" s="35">
        <v>3</v>
      </c>
      <c r="AH459" s="35">
        <v>40</v>
      </c>
      <c r="AI459" s="35">
        <v>212</v>
      </c>
    </row>
    <row r="460" spans="1:35" ht="15.75" customHeight="1" x14ac:dyDescent="0.35">
      <c r="A460" s="35">
        <v>462</v>
      </c>
      <c r="B460" s="35" t="s">
        <v>574</v>
      </c>
      <c r="C460" s="35" t="s">
        <v>570</v>
      </c>
      <c r="D460" s="35">
        <v>7</v>
      </c>
      <c r="E460" s="35">
        <v>65</v>
      </c>
      <c r="F460" s="35">
        <v>10</v>
      </c>
      <c r="G460" s="35">
        <v>75</v>
      </c>
      <c r="H460" s="35">
        <v>9</v>
      </c>
      <c r="I460" s="35">
        <v>84</v>
      </c>
      <c r="J460" s="35">
        <v>12</v>
      </c>
      <c r="K460" s="35">
        <v>96</v>
      </c>
      <c r="L460" s="35">
        <v>11</v>
      </c>
      <c r="M460" s="35">
        <v>107</v>
      </c>
      <c r="N460" s="35">
        <v>8</v>
      </c>
      <c r="O460" s="35">
        <v>115</v>
      </c>
      <c r="P460" s="35">
        <v>7</v>
      </c>
      <c r="Q460" s="35">
        <v>122</v>
      </c>
      <c r="R460" s="35">
        <v>7</v>
      </c>
      <c r="S460" s="35">
        <v>131</v>
      </c>
      <c r="T460" s="35">
        <v>9</v>
      </c>
      <c r="U460" s="35">
        <v>137</v>
      </c>
      <c r="V460" s="35">
        <v>6</v>
      </c>
      <c r="W460" s="35">
        <v>145</v>
      </c>
      <c r="X460" s="35">
        <v>8</v>
      </c>
      <c r="Y460" s="35">
        <v>155</v>
      </c>
      <c r="Z460" s="35">
        <v>10</v>
      </c>
      <c r="AA460" s="35">
        <v>165</v>
      </c>
      <c r="AB460" s="35">
        <v>10</v>
      </c>
      <c r="AC460" s="35">
        <v>10</v>
      </c>
      <c r="AD460" s="35">
        <v>0</v>
      </c>
      <c r="AE460" s="35">
        <v>0</v>
      </c>
      <c r="AF460" s="35">
        <v>100</v>
      </c>
      <c r="AG460" s="35">
        <v>3</v>
      </c>
      <c r="AH460" s="35">
        <v>0</v>
      </c>
      <c r="AI460" s="35">
        <v>113</v>
      </c>
    </row>
    <row r="461" spans="1:35" ht="15.75" customHeight="1" x14ac:dyDescent="0.35">
      <c r="A461" s="35">
        <v>463</v>
      </c>
      <c r="B461" s="35" t="s">
        <v>575</v>
      </c>
      <c r="C461" s="35" t="s">
        <v>570</v>
      </c>
      <c r="D461" s="35">
        <v>8</v>
      </c>
      <c r="E461" s="35">
        <v>126</v>
      </c>
      <c r="F461" s="35">
        <v>2</v>
      </c>
      <c r="G461" s="35">
        <v>128</v>
      </c>
      <c r="H461" s="35">
        <v>4</v>
      </c>
      <c r="I461" s="35">
        <v>132</v>
      </c>
      <c r="J461" s="35">
        <v>8</v>
      </c>
      <c r="K461" s="35">
        <v>140</v>
      </c>
      <c r="L461" s="35">
        <v>4</v>
      </c>
      <c r="M461" s="35">
        <v>144</v>
      </c>
      <c r="N461" s="35">
        <v>8</v>
      </c>
      <c r="O461" s="35">
        <v>152</v>
      </c>
      <c r="P461" s="35">
        <v>4</v>
      </c>
      <c r="Q461" s="35">
        <v>156</v>
      </c>
      <c r="R461" s="35">
        <v>4</v>
      </c>
      <c r="S461" s="35">
        <v>161</v>
      </c>
      <c r="T461" s="35">
        <v>5</v>
      </c>
      <c r="U461" s="35">
        <v>167</v>
      </c>
      <c r="V461" s="35">
        <v>6</v>
      </c>
      <c r="W461" s="35">
        <v>185</v>
      </c>
      <c r="X461" s="35">
        <v>18</v>
      </c>
      <c r="Y461" s="35">
        <v>200</v>
      </c>
      <c r="Z461" s="35">
        <v>15</v>
      </c>
      <c r="AA461" s="35">
        <v>222</v>
      </c>
      <c r="AB461" s="35">
        <v>22</v>
      </c>
      <c r="AC461" s="35">
        <v>22</v>
      </c>
      <c r="AD461" s="35">
        <v>0</v>
      </c>
      <c r="AE461" s="35">
        <v>0</v>
      </c>
      <c r="AG461" s="35">
        <v>3</v>
      </c>
      <c r="AH461" s="35">
        <v>0</v>
      </c>
      <c r="AI461" s="35">
        <v>25</v>
      </c>
    </row>
    <row r="462" spans="1:35" ht="15.75" customHeight="1" x14ac:dyDescent="0.35">
      <c r="A462" s="35">
        <v>464</v>
      </c>
      <c r="B462" s="35" t="s">
        <v>577</v>
      </c>
      <c r="C462" s="35" t="s">
        <v>578</v>
      </c>
      <c r="D462" s="35">
        <v>1</v>
      </c>
      <c r="E462" s="35">
        <v>144</v>
      </c>
      <c r="F462" s="35">
        <v>4</v>
      </c>
      <c r="G462" s="35">
        <v>148</v>
      </c>
      <c r="H462" s="35">
        <v>5</v>
      </c>
      <c r="I462" s="35">
        <v>153</v>
      </c>
      <c r="J462" s="35">
        <v>7</v>
      </c>
      <c r="K462" s="35">
        <v>160</v>
      </c>
      <c r="L462" s="35">
        <v>4</v>
      </c>
      <c r="M462" s="35">
        <v>164</v>
      </c>
      <c r="N462" s="35">
        <v>4</v>
      </c>
      <c r="O462" s="35">
        <v>168</v>
      </c>
      <c r="P462" s="35">
        <v>3</v>
      </c>
      <c r="Q462" s="35">
        <v>171</v>
      </c>
      <c r="R462" s="35">
        <v>3</v>
      </c>
      <c r="S462" s="35">
        <v>175</v>
      </c>
      <c r="T462" s="35">
        <v>4</v>
      </c>
      <c r="U462" s="35">
        <v>177</v>
      </c>
      <c r="V462" s="35">
        <v>2</v>
      </c>
      <c r="W462" s="35">
        <v>180</v>
      </c>
      <c r="X462" s="35">
        <v>3</v>
      </c>
      <c r="Y462" s="35">
        <v>182</v>
      </c>
      <c r="Z462" s="35">
        <v>2</v>
      </c>
      <c r="AA462" s="35">
        <v>187</v>
      </c>
      <c r="AB462" s="35">
        <v>5</v>
      </c>
      <c r="AC462" s="35">
        <v>5</v>
      </c>
      <c r="AD462" s="35">
        <v>0</v>
      </c>
      <c r="AE462" s="35">
        <v>0</v>
      </c>
      <c r="AG462" s="35">
        <v>3</v>
      </c>
      <c r="AH462" s="35">
        <v>0</v>
      </c>
      <c r="AI462" s="35">
        <v>8</v>
      </c>
    </row>
    <row r="463" spans="1:35" ht="15.75" customHeight="1" x14ac:dyDescent="0.35">
      <c r="A463" s="35">
        <v>465</v>
      </c>
      <c r="B463" s="35" t="s">
        <v>579</v>
      </c>
      <c r="C463" s="35" t="s">
        <v>578</v>
      </c>
      <c r="D463" s="35">
        <v>2</v>
      </c>
      <c r="E463" s="35">
        <v>754</v>
      </c>
      <c r="F463" s="35">
        <v>3</v>
      </c>
      <c r="G463" s="35">
        <v>757</v>
      </c>
      <c r="H463" s="35">
        <v>4</v>
      </c>
      <c r="I463" s="35">
        <v>761</v>
      </c>
      <c r="J463" s="35">
        <v>3</v>
      </c>
      <c r="K463" s="35">
        <v>764</v>
      </c>
      <c r="L463" s="35">
        <v>25</v>
      </c>
      <c r="M463" s="35">
        <v>789</v>
      </c>
      <c r="N463" s="35">
        <v>2</v>
      </c>
      <c r="O463" s="35">
        <v>791</v>
      </c>
      <c r="P463" s="35">
        <v>2</v>
      </c>
      <c r="Q463" s="35">
        <v>793</v>
      </c>
      <c r="R463" s="35">
        <v>2</v>
      </c>
      <c r="S463" s="35">
        <v>794</v>
      </c>
      <c r="T463" s="35">
        <v>1</v>
      </c>
      <c r="U463" s="35">
        <v>796</v>
      </c>
      <c r="V463" s="35">
        <v>2</v>
      </c>
      <c r="W463" s="35">
        <v>798</v>
      </c>
      <c r="X463" s="35">
        <v>2</v>
      </c>
      <c r="Y463" s="35">
        <v>799</v>
      </c>
      <c r="Z463" s="35">
        <v>1</v>
      </c>
      <c r="AA463" s="35">
        <v>799</v>
      </c>
      <c r="AB463" s="35">
        <v>0</v>
      </c>
      <c r="AC463" s="35">
        <v>5</v>
      </c>
      <c r="AD463" s="35">
        <v>0</v>
      </c>
      <c r="AE463" s="35">
        <v>0</v>
      </c>
      <c r="AG463" s="35">
        <v>3</v>
      </c>
      <c r="AH463" s="35">
        <v>0</v>
      </c>
      <c r="AI463" s="35">
        <v>8</v>
      </c>
    </row>
    <row r="464" spans="1:35" ht="15.75" customHeight="1" x14ac:dyDescent="0.35">
      <c r="A464" s="35">
        <v>466</v>
      </c>
      <c r="B464" s="35" t="s">
        <v>580</v>
      </c>
      <c r="C464" s="35" t="s">
        <v>578</v>
      </c>
      <c r="D464" s="35">
        <v>4</v>
      </c>
      <c r="E464" s="35">
        <v>1056</v>
      </c>
      <c r="F464" s="35">
        <v>16</v>
      </c>
      <c r="G464" s="35">
        <v>1072</v>
      </c>
      <c r="H464" s="35">
        <v>14</v>
      </c>
      <c r="I464" s="35">
        <v>1086</v>
      </c>
      <c r="J464" s="35">
        <v>11</v>
      </c>
      <c r="K464" s="35">
        <v>1097</v>
      </c>
      <c r="L464" s="35">
        <v>15</v>
      </c>
      <c r="M464" s="35">
        <v>1112</v>
      </c>
      <c r="N464" s="35">
        <v>9</v>
      </c>
      <c r="O464" s="35">
        <v>1121</v>
      </c>
      <c r="P464" s="35">
        <v>0</v>
      </c>
      <c r="Q464" s="35">
        <v>1121</v>
      </c>
      <c r="R464" s="35">
        <v>0</v>
      </c>
      <c r="S464" s="35">
        <v>1126</v>
      </c>
      <c r="T464" s="35">
        <v>5</v>
      </c>
      <c r="U464" s="35">
        <v>1132</v>
      </c>
      <c r="V464" s="35">
        <v>6</v>
      </c>
      <c r="W464" s="35">
        <v>1140</v>
      </c>
      <c r="X464" s="35">
        <v>8</v>
      </c>
      <c r="Y464" s="35">
        <v>1167</v>
      </c>
      <c r="Z464" s="35">
        <v>27</v>
      </c>
      <c r="AA464" s="35">
        <v>1232</v>
      </c>
      <c r="AB464" s="35">
        <v>65</v>
      </c>
      <c r="AC464" s="35">
        <v>65</v>
      </c>
      <c r="AD464" s="35">
        <v>30</v>
      </c>
      <c r="AE464" s="35">
        <v>0</v>
      </c>
      <c r="AG464" s="35">
        <v>3</v>
      </c>
      <c r="AH464" s="35">
        <v>0</v>
      </c>
      <c r="AI464" s="35">
        <v>98</v>
      </c>
    </row>
    <row r="465" spans="1:35" ht="15.75" customHeight="1" x14ac:dyDescent="0.35">
      <c r="A465" s="35">
        <v>467</v>
      </c>
      <c r="B465" s="35" t="s">
        <v>581</v>
      </c>
      <c r="C465" s="35" t="s">
        <v>578</v>
      </c>
      <c r="D465" s="35">
        <v>6</v>
      </c>
      <c r="E465" s="35">
        <v>153</v>
      </c>
      <c r="F465" s="35">
        <v>8</v>
      </c>
      <c r="G465" s="35">
        <v>161</v>
      </c>
      <c r="H465" s="35">
        <v>8</v>
      </c>
      <c r="I465" s="35">
        <v>169</v>
      </c>
      <c r="J465" s="35">
        <v>9</v>
      </c>
      <c r="K465" s="35">
        <v>178</v>
      </c>
      <c r="L465" s="35">
        <v>8</v>
      </c>
      <c r="M465" s="35">
        <v>186</v>
      </c>
      <c r="N465" s="35">
        <v>9</v>
      </c>
      <c r="O465" s="35">
        <v>195</v>
      </c>
      <c r="P465" s="35">
        <v>6</v>
      </c>
      <c r="Q465" s="35">
        <v>201</v>
      </c>
      <c r="R465" s="35">
        <v>6</v>
      </c>
      <c r="S465" s="35">
        <v>206</v>
      </c>
      <c r="T465" s="35">
        <v>5</v>
      </c>
      <c r="U465" s="35">
        <v>211</v>
      </c>
      <c r="V465" s="35">
        <v>5</v>
      </c>
      <c r="W465" s="35">
        <v>217</v>
      </c>
      <c r="X465" s="35">
        <v>6</v>
      </c>
      <c r="Y465" s="35">
        <v>223</v>
      </c>
      <c r="Z465" s="35">
        <v>6</v>
      </c>
      <c r="AA465" s="35">
        <v>229</v>
      </c>
      <c r="AB465" s="35">
        <v>6</v>
      </c>
      <c r="AC465" s="35">
        <v>6</v>
      </c>
      <c r="AD465" s="35">
        <v>9</v>
      </c>
      <c r="AE465" s="35">
        <v>0</v>
      </c>
      <c r="AG465" s="35">
        <v>3</v>
      </c>
      <c r="AH465" s="35">
        <v>0</v>
      </c>
      <c r="AI465" s="35">
        <v>18</v>
      </c>
    </row>
    <row r="466" spans="1:35" ht="15.75" customHeight="1" x14ac:dyDescent="0.35">
      <c r="A466" s="35">
        <v>468</v>
      </c>
      <c r="B466" s="35" t="s">
        <v>582</v>
      </c>
      <c r="C466" s="35" t="s">
        <v>578</v>
      </c>
      <c r="D466" s="35">
        <v>7</v>
      </c>
      <c r="W466" s="35">
        <v>0</v>
      </c>
      <c r="X466" s="35">
        <v>0</v>
      </c>
      <c r="Y466" s="35">
        <v>8</v>
      </c>
      <c r="Z466" s="35">
        <v>8</v>
      </c>
      <c r="AA466" s="35">
        <v>14</v>
      </c>
      <c r="AB466" s="35">
        <v>6</v>
      </c>
      <c r="AC466" s="35">
        <v>6</v>
      </c>
      <c r="AD466" s="35">
        <v>0</v>
      </c>
      <c r="AE466" s="35">
        <v>0</v>
      </c>
      <c r="AF466" s="35">
        <v>100</v>
      </c>
      <c r="AG466" s="35">
        <v>3</v>
      </c>
      <c r="AH466" s="35">
        <v>0</v>
      </c>
      <c r="AI466" s="35">
        <v>109</v>
      </c>
    </row>
    <row r="467" spans="1:35" ht="15.75" customHeight="1" x14ac:dyDescent="0.35">
      <c r="A467" s="35">
        <v>469</v>
      </c>
      <c r="B467" s="35" t="s">
        <v>583</v>
      </c>
      <c r="C467" s="35" t="s">
        <v>578</v>
      </c>
      <c r="D467" s="35">
        <v>8</v>
      </c>
      <c r="E467" s="35">
        <v>1031</v>
      </c>
      <c r="F467" s="35">
        <v>24</v>
      </c>
      <c r="G467" s="35">
        <v>1055</v>
      </c>
      <c r="H467" s="35">
        <v>33</v>
      </c>
      <c r="I467" s="35">
        <v>1088</v>
      </c>
      <c r="J467" s="35">
        <v>24</v>
      </c>
      <c r="K467" s="35">
        <v>1112</v>
      </c>
      <c r="L467" s="35">
        <v>29</v>
      </c>
      <c r="M467" s="35">
        <v>1141</v>
      </c>
      <c r="N467" s="35">
        <v>23</v>
      </c>
      <c r="O467" s="35">
        <v>1164</v>
      </c>
      <c r="P467" s="35">
        <v>32</v>
      </c>
      <c r="Q467" s="35">
        <v>1196</v>
      </c>
      <c r="R467" s="35">
        <v>32</v>
      </c>
      <c r="S467" s="35">
        <v>1214</v>
      </c>
      <c r="T467" s="35">
        <v>18</v>
      </c>
      <c r="U467" s="35">
        <v>1242</v>
      </c>
      <c r="V467" s="35">
        <v>28</v>
      </c>
      <c r="W467" s="35">
        <v>1274</v>
      </c>
      <c r="X467" s="35">
        <v>32</v>
      </c>
      <c r="Y467" s="35">
        <v>1301</v>
      </c>
      <c r="Z467" s="35">
        <v>27</v>
      </c>
      <c r="AA467" s="35">
        <v>1321</v>
      </c>
      <c r="AB467" s="35">
        <v>20</v>
      </c>
      <c r="AC467" s="35">
        <v>20</v>
      </c>
      <c r="AD467" s="35">
        <v>0</v>
      </c>
      <c r="AE467" s="35">
        <v>0</v>
      </c>
      <c r="AG467" s="35">
        <v>3</v>
      </c>
      <c r="AH467" s="35">
        <v>0</v>
      </c>
      <c r="AI467" s="35">
        <v>23</v>
      </c>
    </row>
    <row r="468" spans="1:35" ht="15.75" customHeight="1" x14ac:dyDescent="0.35">
      <c r="A468" s="35">
        <v>470</v>
      </c>
      <c r="B468" s="35" t="s">
        <v>584</v>
      </c>
      <c r="C468" s="35" t="s">
        <v>578</v>
      </c>
      <c r="D468" s="35">
        <v>9</v>
      </c>
      <c r="E468" s="35">
        <v>38</v>
      </c>
      <c r="F468" s="35">
        <v>5</v>
      </c>
      <c r="G468" s="35">
        <v>43</v>
      </c>
      <c r="H468" s="35">
        <v>7</v>
      </c>
      <c r="I468" s="35">
        <v>50</v>
      </c>
      <c r="J468" s="35">
        <v>4</v>
      </c>
      <c r="K468" s="35">
        <v>54</v>
      </c>
      <c r="L468" s="35">
        <v>5</v>
      </c>
      <c r="M468" s="35">
        <v>59</v>
      </c>
      <c r="N468" s="35">
        <v>5</v>
      </c>
      <c r="O468" s="35">
        <v>64</v>
      </c>
      <c r="P468" s="35">
        <v>1</v>
      </c>
      <c r="Q468" s="35">
        <v>65</v>
      </c>
      <c r="R468" s="35">
        <v>1</v>
      </c>
      <c r="S468" s="35">
        <v>68</v>
      </c>
      <c r="T468" s="35">
        <v>3</v>
      </c>
      <c r="U468" s="35">
        <v>70</v>
      </c>
      <c r="V468" s="35">
        <v>2</v>
      </c>
      <c r="W468" s="35">
        <v>72</v>
      </c>
      <c r="X468" s="35">
        <v>2</v>
      </c>
      <c r="Y468" s="35">
        <v>75</v>
      </c>
      <c r="Z468" s="35">
        <v>3</v>
      </c>
      <c r="AA468" s="35">
        <v>78</v>
      </c>
      <c r="AB468" s="35">
        <v>3</v>
      </c>
      <c r="AC468" s="35">
        <v>5</v>
      </c>
      <c r="AD468" s="35">
        <v>0</v>
      </c>
      <c r="AE468" s="35">
        <v>0</v>
      </c>
      <c r="AG468" s="35">
        <v>3</v>
      </c>
      <c r="AH468" s="35">
        <v>0</v>
      </c>
      <c r="AI468" s="35">
        <v>8</v>
      </c>
    </row>
    <row r="469" spans="1:35" ht="15.75" customHeight="1" x14ac:dyDescent="0.35">
      <c r="A469" s="35">
        <v>471</v>
      </c>
      <c r="B469" s="35" t="s">
        <v>585</v>
      </c>
      <c r="C469" s="35" t="s">
        <v>578</v>
      </c>
      <c r="D469" s="35">
        <v>10</v>
      </c>
      <c r="E469" s="35">
        <v>795</v>
      </c>
      <c r="F469" s="35">
        <v>7</v>
      </c>
      <c r="G469" s="35">
        <v>802</v>
      </c>
      <c r="H469" s="35">
        <v>9</v>
      </c>
      <c r="I469" s="35">
        <v>811</v>
      </c>
      <c r="J469" s="35">
        <v>6</v>
      </c>
      <c r="K469" s="35">
        <v>817</v>
      </c>
      <c r="L469" s="35">
        <v>7</v>
      </c>
      <c r="M469" s="35">
        <v>824</v>
      </c>
      <c r="N469" s="35">
        <v>5</v>
      </c>
      <c r="O469" s="35">
        <v>829</v>
      </c>
      <c r="P469" s="35">
        <v>7</v>
      </c>
      <c r="Q469" s="35">
        <v>836</v>
      </c>
      <c r="R469" s="35">
        <v>7</v>
      </c>
      <c r="S469" s="35">
        <v>841</v>
      </c>
      <c r="T469" s="35">
        <v>5</v>
      </c>
      <c r="U469" s="35">
        <v>848</v>
      </c>
      <c r="V469" s="35">
        <v>7</v>
      </c>
      <c r="W469" s="35">
        <v>853</v>
      </c>
      <c r="X469" s="35">
        <v>5</v>
      </c>
      <c r="Y469" s="35">
        <v>858</v>
      </c>
      <c r="Z469" s="35">
        <v>5</v>
      </c>
      <c r="AA469" s="35">
        <v>864</v>
      </c>
      <c r="AB469" s="35">
        <v>6</v>
      </c>
      <c r="AC469" s="35">
        <v>6</v>
      </c>
      <c r="AD469" s="35">
        <v>0</v>
      </c>
      <c r="AE469" s="35">
        <v>0</v>
      </c>
      <c r="AG469" s="35">
        <v>3</v>
      </c>
      <c r="AH469" s="35">
        <v>0</v>
      </c>
      <c r="AI469" s="35">
        <v>9</v>
      </c>
    </row>
    <row r="470" spans="1:35" ht="15.75" customHeight="1" x14ac:dyDescent="0.35">
      <c r="A470" s="35">
        <v>472</v>
      </c>
      <c r="B470" s="35" t="s">
        <v>586</v>
      </c>
      <c r="C470" s="35" t="s">
        <v>578</v>
      </c>
      <c r="D470" s="35">
        <v>11</v>
      </c>
      <c r="E470" s="35">
        <v>20</v>
      </c>
      <c r="F470" s="35">
        <v>1</v>
      </c>
      <c r="G470" s="35">
        <v>21</v>
      </c>
      <c r="H470" s="35">
        <v>1</v>
      </c>
      <c r="I470" s="35">
        <v>22</v>
      </c>
      <c r="J470" s="35">
        <v>2</v>
      </c>
      <c r="K470" s="35">
        <v>24</v>
      </c>
      <c r="L470" s="35">
        <v>1</v>
      </c>
      <c r="M470" s="35">
        <v>25</v>
      </c>
      <c r="N470" s="35">
        <v>2</v>
      </c>
      <c r="O470" s="35">
        <v>27</v>
      </c>
      <c r="P470" s="35">
        <v>2</v>
      </c>
      <c r="Q470" s="35">
        <v>29</v>
      </c>
      <c r="R470" s="35">
        <v>2</v>
      </c>
      <c r="S470" s="35">
        <v>30</v>
      </c>
      <c r="T470" s="35">
        <v>1</v>
      </c>
      <c r="U470" s="35">
        <v>32</v>
      </c>
      <c r="V470" s="35">
        <v>2</v>
      </c>
      <c r="W470" s="35">
        <v>35</v>
      </c>
      <c r="X470" s="35">
        <v>3</v>
      </c>
      <c r="Y470" s="35">
        <v>39</v>
      </c>
      <c r="Z470" s="35">
        <v>4</v>
      </c>
      <c r="AA470" s="35">
        <v>44</v>
      </c>
      <c r="AB470" s="35">
        <v>5</v>
      </c>
      <c r="AC470" s="35">
        <v>5</v>
      </c>
      <c r="AD470" s="35">
        <v>8</v>
      </c>
      <c r="AE470" s="35">
        <v>0</v>
      </c>
      <c r="AF470" s="35">
        <v>100</v>
      </c>
      <c r="AG470" s="35">
        <v>3</v>
      </c>
      <c r="AH470" s="35">
        <v>0</v>
      </c>
      <c r="AI470" s="35">
        <v>116</v>
      </c>
    </row>
    <row r="471" spans="1:35" ht="15.75" customHeight="1" x14ac:dyDescent="0.35">
      <c r="A471" s="35">
        <v>473</v>
      </c>
      <c r="B471" s="35" t="s">
        <v>587</v>
      </c>
      <c r="C471" s="35" t="s">
        <v>578</v>
      </c>
      <c r="D471" s="35">
        <v>13</v>
      </c>
      <c r="E471" s="35">
        <v>189</v>
      </c>
      <c r="F471" s="35">
        <v>2</v>
      </c>
      <c r="G471" s="35">
        <v>191</v>
      </c>
      <c r="H471" s="35">
        <v>3</v>
      </c>
      <c r="I471" s="35">
        <v>194</v>
      </c>
      <c r="J471" s="35">
        <v>2</v>
      </c>
      <c r="K471" s="35">
        <v>196</v>
      </c>
      <c r="L471" s="35">
        <v>2</v>
      </c>
      <c r="M471" s="35">
        <v>198</v>
      </c>
      <c r="N471" s="35">
        <v>3</v>
      </c>
      <c r="O471" s="35">
        <v>201</v>
      </c>
      <c r="P471" s="35">
        <v>2</v>
      </c>
      <c r="Q471" s="35">
        <v>203</v>
      </c>
      <c r="R471" s="35">
        <v>2</v>
      </c>
      <c r="S471" s="35">
        <v>204</v>
      </c>
      <c r="T471" s="35">
        <v>1</v>
      </c>
      <c r="U471" s="35">
        <v>206</v>
      </c>
      <c r="V471" s="35">
        <v>2</v>
      </c>
      <c r="W471" s="35">
        <v>208</v>
      </c>
      <c r="X471" s="35">
        <v>2</v>
      </c>
      <c r="Y471" s="35">
        <v>210</v>
      </c>
      <c r="Z471" s="35">
        <v>2</v>
      </c>
      <c r="AA471" s="35">
        <v>213</v>
      </c>
      <c r="AB471" s="35">
        <v>3</v>
      </c>
      <c r="AC471" s="35">
        <v>5</v>
      </c>
      <c r="AD471" s="35">
        <v>0</v>
      </c>
      <c r="AE471" s="35">
        <v>0</v>
      </c>
      <c r="AG471" s="35">
        <v>3</v>
      </c>
      <c r="AH471" s="35">
        <v>0</v>
      </c>
      <c r="AI471" s="35">
        <v>8</v>
      </c>
    </row>
    <row r="472" spans="1:35" ht="15.75" customHeight="1" x14ac:dyDescent="0.35">
      <c r="A472" s="35">
        <v>474</v>
      </c>
      <c r="B472" s="35" t="s">
        <v>658</v>
      </c>
      <c r="C472" s="35" t="s">
        <v>589</v>
      </c>
      <c r="D472" s="35">
        <v>1</v>
      </c>
      <c r="E472" s="35">
        <v>30</v>
      </c>
      <c r="F472" s="35">
        <v>2</v>
      </c>
      <c r="G472" s="35">
        <v>32</v>
      </c>
      <c r="H472" s="35">
        <v>4</v>
      </c>
      <c r="I472" s="35">
        <v>36</v>
      </c>
      <c r="J472" s="35">
        <v>4</v>
      </c>
      <c r="K472" s="35">
        <v>40</v>
      </c>
      <c r="L472" s="35">
        <v>5</v>
      </c>
      <c r="M472" s="35">
        <v>45</v>
      </c>
      <c r="N472" s="35">
        <v>1</v>
      </c>
      <c r="O472" s="35">
        <v>46</v>
      </c>
      <c r="P472" s="35">
        <v>3</v>
      </c>
      <c r="Q472" s="35">
        <v>49</v>
      </c>
      <c r="R472" s="35">
        <v>3</v>
      </c>
      <c r="S472" s="35">
        <v>51</v>
      </c>
      <c r="T472" s="35">
        <v>2</v>
      </c>
      <c r="U472" s="35">
        <v>54</v>
      </c>
      <c r="V472" s="35">
        <v>3</v>
      </c>
      <c r="W472" s="35">
        <v>56</v>
      </c>
      <c r="X472" s="35">
        <v>2</v>
      </c>
      <c r="Y472" s="35">
        <v>58</v>
      </c>
      <c r="Z472" s="35">
        <v>2</v>
      </c>
      <c r="AA472" s="35">
        <v>61</v>
      </c>
      <c r="AB472" s="35">
        <v>3</v>
      </c>
      <c r="AC472" s="35">
        <v>5</v>
      </c>
      <c r="AD472" s="35">
        <v>8</v>
      </c>
      <c r="AE472" s="35">
        <v>0</v>
      </c>
      <c r="AG472" s="35">
        <v>3</v>
      </c>
      <c r="AH472" s="35">
        <v>0</v>
      </c>
      <c r="AI472" s="35">
        <v>16</v>
      </c>
    </row>
    <row r="473" spans="1:35" ht="15.75" customHeight="1" x14ac:dyDescent="0.35">
      <c r="A473" s="35">
        <v>475</v>
      </c>
      <c r="B473" s="35" t="s">
        <v>590</v>
      </c>
      <c r="C473" s="35" t="s">
        <v>589</v>
      </c>
      <c r="D473" s="35">
        <v>2</v>
      </c>
      <c r="E473" s="35">
        <v>438</v>
      </c>
      <c r="F473" s="35">
        <v>17</v>
      </c>
      <c r="G473" s="35">
        <v>455</v>
      </c>
      <c r="H473" s="35">
        <v>0</v>
      </c>
      <c r="I473" s="35">
        <v>455</v>
      </c>
      <c r="J473" s="35">
        <v>8</v>
      </c>
      <c r="K473" s="35">
        <v>463</v>
      </c>
      <c r="L473" s="35">
        <v>8</v>
      </c>
      <c r="M473" s="35">
        <v>471</v>
      </c>
      <c r="N473" s="35">
        <v>9</v>
      </c>
      <c r="O473" s="35">
        <v>480</v>
      </c>
      <c r="P473" s="35">
        <v>6</v>
      </c>
      <c r="Q473" s="35">
        <v>486</v>
      </c>
      <c r="R473" s="35">
        <v>6</v>
      </c>
      <c r="S473" s="35">
        <v>491</v>
      </c>
      <c r="T473" s="35">
        <v>5</v>
      </c>
      <c r="U473" s="35">
        <v>496</v>
      </c>
      <c r="V473" s="35">
        <v>5</v>
      </c>
      <c r="W473" s="35">
        <v>501</v>
      </c>
      <c r="X473" s="35">
        <v>5</v>
      </c>
      <c r="Y473" s="35">
        <v>507</v>
      </c>
      <c r="Z473" s="35">
        <v>6</v>
      </c>
      <c r="AA473" s="35">
        <v>514</v>
      </c>
      <c r="AB473" s="35">
        <v>7</v>
      </c>
      <c r="AC473" s="35">
        <v>7</v>
      </c>
      <c r="AD473" s="35">
        <v>0</v>
      </c>
      <c r="AE473" s="35">
        <v>0</v>
      </c>
      <c r="AG473" s="35">
        <v>3</v>
      </c>
      <c r="AH473" s="35">
        <v>0</v>
      </c>
      <c r="AI473" s="35">
        <v>10</v>
      </c>
    </row>
    <row r="474" spans="1:35" ht="15.75" customHeight="1" x14ac:dyDescent="0.35">
      <c r="A474" s="35">
        <v>476</v>
      </c>
      <c r="B474" s="35" t="s">
        <v>591</v>
      </c>
      <c r="C474" s="35" t="s">
        <v>589</v>
      </c>
      <c r="D474" s="35">
        <v>3</v>
      </c>
      <c r="E474" s="35">
        <v>695</v>
      </c>
      <c r="F474" s="35">
        <v>7</v>
      </c>
      <c r="G474" s="35">
        <v>702</v>
      </c>
      <c r="H474" s="35">
        <v>9</v>
      </c>
      <c r="I474" s="35">
        <v>711</v>
      </c>
      <c r="J474" s="35">
        <v>6</v>
      </c>
      <c r="K474" s="35">
        <v>717</v>
      </c>
      <c r="L474" s="35">
        <v>8</v>
      </c>
      <c r="M474" s="35">
        <v>725</v>
      </c>
      <c r="N474" s="35">
        <v>7</v>
      </c>
      <c r="O474" s="35">
        <v>732</v>
      </c>
      <c r="P474" s="35">
        <v>4</v>
      </c>
      <c r="Q474" s="35">
        <v>736</v>
      </c>
      <c r="R474" s="35">
        <v>4</v>
      </c>
      <c r="S474" s="35">
        <v>743</v>
      </c>
      <c r="T474" s="35">
        <v>7</v>
      </c>
      <c r="U474" s="35">
        <v>746</v>
      </c>
      <c r="V474" s="35">
        <v>3</v>
      </c>
      <c r="W474" s="35">
        <v>753</v>
      </c>
      <c r="X474" s="35">
        <v>7</v>
      </c>
      <c r="Y474" s="35">
        <v>759</v>
      </c>
      <c r="Z474" s="35">
        <v>6</v>
      </c>
      <c r="AA474" s="35">
        <v>763</v>
      </c>
      <c r="AB474" s="35">
        <v>4</v>
      </c>
      <c r="AC474" s="35">
        <v>5</v>
      </c>
      <c r="AD474" s="35">
        <v>0</v>
      </c>
      <c r="AE474" s="35">
        <v>0</v>
      </c>
      <c r="AG474" s="35">
        <v>3</v>
      </c>
      <c r="AH474" s="35">
        <v>0</v>
      </c>
      <c r="AI474" s="35">
        <v>8</v>
      </c>
    </row>
    <row r="475" spans="1:35" ht="15.75" customHeight="1" x14ac:dyDescent="0.35">
      <c r="A475" s="35">
        <v>477</v>
      </c>
      <c r="B475" s="35" t="s">
        <v>592</v>
      </c>
      <c r="C475" s="35" t="s">
        <v>589</v>
      </c>
      <c r="D475" s="35">
        <v>4</v>
      </c>
      <c r="E475" s="35">
        <v>865</v>
      </c>
      <c r="F475" s="35">
        <v>11</v>
      </c>
      <c r="G475" s="35">
        <v>876</v>
      </c>
      <c r="H475" s="35">
        <v>15</v>
      </c>
      <c r="I475" s="35">
        <v>891</v>
      </c>
      <c r="J475" s="35">
        <v>12</v>
      </c>
      <c r="K475" s="35">
        <v>903</v>
      </c>
      <c r="L475" s="35">
        <v>12</v>
      </c>
      <c r="M475" s="35">
        <v>915</v>
      </c>
      <c r="N475" s="35">
        <v>8</v>
      </c>
      <c r="O475" s="35">
        <v>923</v>
      </c>
      <c r="P475" s="35">
        <v>7</v>
      </c>
      <c r="Q475" s="35">
        <v>930</v>
      </c>
      <c r="R475" s="35">
        <v>7</v>
      </c>
      <c r="S475" s="35">
        <v>936</v>
      </c>
      <c r="T475" s="35">
        <v>6</v>
      </c>
      <c r="U475" s="35">
        <v>940</v>
      </c>
      <c r="V475" s="35">
        <v>4</v>
      </c>
      <c r="W475" s="35">
        <v>944</v>
      </c>
      <c r="X475" s="35">
        <v>4</v>
      </c>
      <c r="Y475" s="35">
        <v>948</v>
      </c>
      <c r="Z475" s="35">
        <v>4</v>
      </c>
      <c r="AA475" s="35">
        <v>956</v>
      </c>
      <c r="AB475" s="35">
        <v>8</v>
      </c>
      <c r="AC475" s="35">
        <v>8</v>
      </c>
      <c r="AD475" s="35">
        <v>0</v>
      </c>
      <c r="AE475" s="35">
        <v>0</v>
      </c>
      <c r="AG475" s="35">
        <v>3</v>
      </c>
      <c r="AH475" s="35">
        <v>0</v>
      </c>
      <c r="AI475" s="35">
        <v>11</v>
      </c>
    </row>
    <row r="476" spans="1:35" ht="15.75" customHeight="1" x14ac:dyDescent="0.35">
      <c r="A476" s="35">
        <v>478</v>
      </c>
      <c r="B476" s="35" t="s">
        <v>593</v>
      </c>
      <c r="C476" s="35" t="s">
        <v>589</v>
      </c>
      <c r="D476" s="35">
        <v>5</v>
      </c>
      <c r="E476" s="35">
        <v>660</v>
      </c>
      <c r="F476" s="35">
        <v>15</v>
      </c>
      <c r="G476" s="35">
        <v>675</v>
      </c>
      <c r="H476" s="35">
        <v>12</v>
      </c>
      <c r="I476" s="35">
        <v>687</v>
      </c>
      <c r="J476" s="35">
        <v>13</v>
      </c>
      <c r="K476" s="35">
        <v>700</v>
      </c>
      <c r="L476" s="35">
        <v>13</v>
      </c>
      <c r="M476" s="35">
        <v>713</v>
      </c>
      <c r="N476" s="35">
        <v>19</v>
      </c>
      <c r="O476" s="35">
        <v>732</v>
      </c>
      <c r="P476" s="35">
        <v>8</v>
      </c>
      <c r="Q476" s="35">
        <v>740</v>
      </c>
      <c r="R476" s="35">
        <v>8</v>
      </c>
      <c r="S476" s="35">
        <v>748</v>
      </c>
      <c r="T476" s="35">
        <v>8</v>
      </c>
      <c r="U476" s="35">
        <v>762</v>
      </c>
      <c r="V476" s="35">
        <v>14</v>
      </c>
      <c r="W476" s="35">
        <v>773</v>
      </c>
      <c r="X476" s="35">
        <v>11</v>
      </c>
      <c r="Y476" s="35">
        <v>779</v>
      </c>
      <c r="Z476" s="35">
        <v>6</v>
      </c>
      <c r="AA476" s="35">
        <v>787</v>
      </c>
      <c r="AB476" s="35">
        <v>8</v>
      </c>
      <c r="AC476" s="35">
        <v>8</v>
      </c>
      <c r="AD476" s="35">
        <v>0</v>
      </c>
      <c r="AE476" s="35">
        <v>0</v>
      </c>
      <c r="AG476" s="35">
        <v>3</v>
      </c>
      <c r="AH476" s="35">
        <v>0</v>
      </c>
      <c r="AI476" s="35">
        <v>11</v>
      </c>
    </row>
    <row r="477" spans="1:35" ht="15.75" customHeight="1" x14ac:dyDescent="0.35">
      <c r="A477" s="35">
        <v>479</v>
      </c>
      <c r="B477" s="35" t="s">
        <v>594</v>
      </c>
      <c r="C477" s="35" t="s">
        <v>595</v>
      </c>
      <c r="D477" s="35">
        <v>1</v>
      </c>
      <c r="E477" s="35">
        <v>26</v>
      </c>
      <c r="F477" s="35">
        <v>0</v>
      </c>
      <c r="G477" s="35">
        <v>26</v>
      </c>
      <c r="H477" s="35">
        <v>0</v>
      </c>
      <c r="I477" s="35">
        <v>26</v>
      </c>
      <c r="J477" s="35">
        <v>0</v>
      </c>
      <c r="K477" s="35">
        <v>26</v>
      </c>
      <c r="L477" s="35">
        <v>0</v>
      </c>
      <c r="M477" s="35">
        <v>26</v>
      </c>
      <c r="N477" s="35">
        <v>0</v>
      </c>
      <c r="O477" s="35">
        <v>26</v>
      </c>
      <c r="P477" s="35">
        <v>0</v>
      </c>
      <c r="Q477" s="35">
        <v>26</v>
      </c>
      <c r="R477" s="35">
        <v>0</v>
      </c>
      <c r="S477" s="35">
        <v>26</v>
      </c>
      <c r="T477" s="35">
        <v>0</v>
      </c>
      <c r="U477" s="35">
        <v>26</v>
      </c>
      <c r="V477" s="35">
        <v>0</v>
      </c>
      <c r="W477" s="35">
        <v>26</v>
      </c>
      <c r="X477" s="35">
        <v>0</v>
      </c>
      <c r="Y477" s="35">
        <v>27</v>
      </c>
      <c r="Z477" s="35">
        <v>1</v>
      </c>
      <c r="AA477" s="35">
        <v>27</v>
      </c>
      <c r="AB477" s="35">
        <v>0</v>
      </c>
      <c r="AC477" s="35">
        <v>5</v>
      </c>
      <c r="AD477" s="35">
        <v>0</v>
      </c>
      <c r="AE477" s="35">
        <v>0</v>
      </c>
      <c r="AG477" s="35">
        <v>3</v>
      </c>
      <c r="AH477" s="35">
        <v>0</v>
      </c>
      <c r="AI477" s="35">
        <v>8</v>
      </c>
    </row>
    <row r="478" spans="1:35" ht="15.75" customHeight="1" x14ac:dyDescent="0.35">
      <c r="A478" s="35">
        <v>480</v>
      </c>
      <c r="B478" s="35" t="s">
        <v>596</v>
      </c>
      <c r="C478" s="35" t="s">
        <v>595</v>
      </c>
      <c r="D478" s="35">
        <v>3</v>
      </c>
      <c r="E478" s="35">
        <v>160</v>
      </c>
      <c r="F478" s="35">
        <v>6</v>
      </c>
      <c r="G478" s="35">
        <v>166</v>
      </c>
      <c r="H478" s="35">
        <v>10</v>
      </c>
      <c r="I478" s="35">
        <v>176</v>
      </c>
      <c r="J478" s="35">
        <v>7</v>
      </c>
      <c r="K478" s="35">
        <v>183</v>
      </c>
      <c r="L478" s="35">
        <v>7</v>
      </c>
      <c r="M478" s="35">
        <v>190</v>
      </c>
      <c r="N478" s="35">
        <v>9</v>
      </c>
      <c r="O478" s="35">
        <v>199</v>
      </c>
      <c r="P478" s="35">
        <v>6</v>
      </c>
      <c r="Q478" s="35">
        <v>205</v>
      </c>
      <c r="R478" s="35">
        <v>6</v>
      </c>
      <c r="S478" s="35">
        <v>211</v>
      </c>
      <c r="T478" s="35">
        <v>6</v>
      </c>
      <c r="U478" s="35">
        <v>216</v>
      </c>
      <c r="V478" s="35">
        <v>5</v>
      </c>
      <c r="W478" s="35">
        <v>221</v>
      </c>
      <c r="X478" s="35">
        <v>5</v>
      </c>
      <c r="Y478" s="35">
        <v>227</v>
      </c>
      <c r="Z478" s="35">
        <v>6</v>
      </c>
      <c r="AA478" s="35">
        <v>233</v>
      </c>
      <c r="AB478" s="35">
        <v>6</v>
      </c>
      <c r="AC478" s="35">
        <v>6</v>
      </c>
      <c r="AD478" s="35">
        <v>0</v>
      </c>
      <c r="AE478" s="35">
        <v>0</v>
      </c>
      <c r="AG478" s="35">
        <v>3</v>
      </c>
      <c r="AH478" s="35">
        <v>0</v>
      </c>
      <c r="AI478" s="35">
        <v>9</v>
      </c>
    </row>
    <row r="479" spans="1:35" ht="15.75" customHeight="1" x14ac:dyDescent="0.35">
      <c r="A479" s="35">
        <v>481</v>
      </c>
      <c r="B479" s="35" t="s">
        <v>659</v>
      </c>
      <c r="C479" s="35" t="s">
        <v>595</v>
      </c>
      <c r="D479" s="35">
        <v>5</v>
      </c>
      <c r="E479" s="35">
        <v>308</v>
      </c>
      <c r="F479" s="35">
        <v>6</v>
      </c>
      <c r="G479" s="35">
        <v>314</v>
      </c>
      <c r="H479" s="35">
        <v>9</v>
      </c>
      <c r="I479" s="35">
        <v>323</v>
      </c>
      <c r="J479" s="35">
        <v>9</v>
      </c>
      <c r="K479" s="35">
        <v>332</v>
      </c>
      <c r="L479" s="35">
        <v>7</v>
      </c>
      <c r="M479" s="35">
        <v>339</v>
      </c>
      <c r="N479" s="35">
        <v>8</v>
      </c>
      <c r="O479" s="35">
        <v>347</v>
      </c>
      <c r="P479" s="35">
        <v>6</v>
      </c>
      <c r="Q479" s="35">
        <v>353</v>
      </c>
      <c r="R479" s="35">
        <v>6</v>
      </c>
      <c r="S479" s="35">
        <v>362</v>
      </c>
      <c r="T479" s="35">
        <v>9</v>
      </c>
      <c r="U479" s="35">
        <v>367</v>
      </c>
      <c r="V479" s="35">
        <v>5</v>
      </c>
      <c r="W479" s="35">
        <v>374</v>
      </c>
      <c r="X479" s="35">
        <v>7</v>
      </c>
      <c r="Y479" s="35">
        <v>379</v>
      </c>
      <c r="Z479" s="35">
        <v>5</v>
      </c>
      <c r="AA479" s="35">
        <v>386</v>
      </c>
      <c r="AB479" s="35">
        <v>7</v>
      </c>
      <c r="AC479" s="35">
        <v>7</v>
      </c>
      <c r="AD479" s="35">
        <v>0</v>
      </c>
      <c r="AE479" s="35">
        <v>0</v>
      </c>
      <c r="AG479" s="35">
        <v>3</v>
      </c>
      <c r="AH479" s="35">
        <v>20</v>
      </c>
      <c r="AI479" s="35">
        <v>30</v>
      </c>
    </row>
    <row r="480" spans="1:35" ht="15.75" customHeight="1" x14ac:dyDescent="0.35">
      <c r="A480" s="35">
        <v>482</v>
      </c>
      <c r="B480" s="35" t="s">
        <v>598</v>
      </c>
      <c r="C480" s="35" t="s">
        <v>595</v>
      </c>
      <c r="D480" s="35">
        <v>6</v>
      </c>
      <c r="E480" s="35">
        <v>134</v>
      </c>
      <c r="F480" s="35">
        <v>3</v>
      </c>
      <c r="G480" s="35">
        <v>137</v>
      </c>
      <c r="H480" s="35">
        <v>0</v>
      </c>
      <c r="I480" s="35">
        <v>137</v>
      </c>
      <c r="J480" s="35">
        <v>0</v>
      </c>
      <c r="K480" s="35">
        <v>137</v>
      </c>
      <c r="L480" s="35">
        <v>0</v>
      </c>
      <c r="M480" s="35">
        <v>137</v>
      </c>
      <c r="N480" s="35">
        <v>0</v>
      </c>
      <c r="O480" s="35">
        <v>137</v>
      </c>
      <c r="P480" s="35">
        <v>0</v>
      </c>
      <c r="Q480" s="35">
        <v>137</v>
      </c>
      <c r="R480" s="35">
        <v>0</v>
      </c>
      <c r="S480" s="35">
        <v>138</v>
      </c>
      <c r="T480" s="35">
        <v>1</v>
      </c>
      <c r="U480" s="35">
        <v>140</v>
      </c>
      <c r="V480" s="35">
        <v>2</v>
      </c>
      <c r="W480" s="35">
        <v>144</v>
      </c>
      <c r="X480" s="35">
        <v>4</v>
      </c>
      <c r="Y480" s="35">
        <v>148</v>
      </c>
      <c r="Z480" s="35">
        <v>4</v>
      </c>
      <c r="AA480" s="35">
        <v>150</v>
      </c>
      <c r="AB480" s="35">
        <v>2</v>
      </c>
      <c r="AC480" s="35">
        <v>5</v>
      </c>
      <c r="AD480" s="35">
        <v>0</v>
      </c>
      <c r="AE480" s="35">
        <v>0</v>
      </c>
      <c r="AG480" s="35">
        <v>3</v>
      </c>
      <c r="AH480" s="35">
        <v>0</v>
      </c>
      <c r="AI480" s="35">
        <v>8</v>
      </c>
    </row>
    <row r="481" spans="1:35" ht="15.75" customHeight="1" x14ac:dyDescent="0.35">
      <c r="A481" s="35">
        <v>483</v>
      </c>
      <c r="B481" s="35" t="s">
        <v>599</v>
      </c>
      <c r="C481" s="35" t="s">
        <v>595</v>
      </c>
      <c r="D481" s="35">
        <v>7</v>
      </c>
      <c r="E481" s="35">
        <v>245</v>
      </c>
      <c r="F481" s="35">
        <v>9</v>
      </c>
      <c r="G481" s="35">
        <v>254</v>
      </c>
      <c r="H481" s="35">
        <v>8</v>
      </c>
      <c r="I481" s="35">
        <v>262</v>
      </c>
      <c r="J481" s="35">
        <v>6</v>
      </c>
      <c r="K481" s="35">
        <v>268</v>
      </c>
      <c r="L481" s="35">
        <v>7</v>
      </c>
      <c r="M481" s="35">
        <v>275</v>
      </c>
      <c r="N481" s="35">
        <v>7</v>
      </c>
      <c r="O481" s="35">
        <v>282</v>
      </c>
      <c r="P481" s="35">
        <v>6</v>
      </c>
      <c r="Q481" s="35">
        <v>288</v>
      </c>
      <c r="R481" s="35">
        <v>6</v>
      </c>
      <c r="S481" s="35">
        <v>295</v>
      </c>
      <c r="T481" s="35">
        <v>7</v>
      </c>
      <c r="U481" s="35">
        <v>303</v>
      </c>
      <c r="V481" s="35">
        <v>8</v>
      </c>
      <c r="W481" s="35">
        <v>304</v>
      </c>
      <c r="X481" s="35">
        <v>1</v>
      </c>
      <c r="Y481" s="35">
        <v>319</v>
      </c>
      <c r="Z481" s="35">
        <v>15</v>
      </c>
      <c r="AA481" s="35">
        <v>327</v>
      </c>
      <c r="AB481" s="35">
        <v>8</v>
      </c>
      <c r="AC481" s="35">
        <v>8</v>
      </c>
      <c r="AD481" s="35">
        <v>0</v>
      </c>
      <c r="AE481" s="35">
        <v>0</v>
      </c>
      <c r="AG481" s="35">
        <v>3</v>
      </c>
      <c r="AH481" s="35">
        <v>0</v>
      </c>
      <c r="AI481" s="35">
        <v>11</v>
      </c>
    </row>
    <row r="482" spans="1:35" ht="15.75" customHeight="1" x14ac:dyDescent="0.35">
      <c r="A482" s="35">
        <v>484</v>
      </c>
      <c r="B482" s="35" t="s">
        <v>660</v>
      </c>
      <c r="C482" s="35" t="s">
        <v>595</v>
      </c>
      <c r="D482" s="35">
        <v>8</v>
      </c>
      <c r="E482" s="35">
        <v>62</v>
      </c>
      <c r="F482" s="35">
        <v>1</v>
      </c>
      <c r="G482" s="35">
        <v>63</v>
      </c>
      <c r="H482" s="35">
        <v>0</v>
      </c>
      <c r="I482" s="35">
        <v>63</v>
      </c>
      <c r="J482" s="35">
        <v>0</v>
      </c>
      <c r="K482" s="35">
        <v>63</v>
      </c>
      <c r="L482" s="35">
        <v>0</v>
      </c>
      <c r="M482" s="35">
        <v>63</v>
      </c>
      <c r="N482" s="35">
        <v>0</v>
      </c>
      <c r="O482" s="35">
        <v>63</v>
      </c>
      <c r="P482" s="35">
        <v>0</v>
      </c>
      <c r="Q482" s="35">
        <v>63</v>
      </c>
      <c r="R482" s="35">
        <v>0</v>
      </c>
      <c r="S482" s="35">
        <v>66</v>
      </c>
      <c r="T482" s="35">
        <v>3</v>
      </c>
      <c r="U482" s="35">
        <v>66</v>
      </c>
      <c r="V482" s="35">
        <v>0</v>
      </c>
      <c r="W482" s="35">
        <v>66</v>
      </c>
      <c r="X482" s="35">
        <v>0</v>
      </c>
      <c r="Y482" s="35">
        <v>81</v>
      </c>
      <c r="Z482" s="35">
        <v>15</v>
      </c>
      <c r="AA482" s="35">
        <v>84</v>
      </c>
      <c r="AB482" s="35">
        <v>3</v>
      </c>
      <c r="AC482" s="35">
        <v>5</v>
      </c>
      <c r="AD482" s="35">
        <v>0</v>
      </c>
      <c r="AE482" s="35">
        <v>0</v>
      </c>
      <c r="AG482" s="35">
        <v>3</v>
      </c>
      <c r="AH482" s="35">
        <v>0</v>
      </c>
      <c r="AI482" s="35">
        <v>8</v>
      </c>
    </row>
    <row r="483" spans="1:35" ht="15.75" customHeight="1" x14ac:dyDescent="0.35">
      <c r="A483" s="35">
        <v>485</v>
      </c>
      <c r="B483" s="35" t="s">
        <v>601</v>
      </c>
      <c r="C483" s="35" t="s">
        <v>595</v>
      </c>
      <c r="D483" s="35">
        <v>10</v>
      </c>
      <c r="E483" s="35">
        <v>279</v>
      </c>
      <c r="F483" s="35">
        <v>6</v>
      </c>
      <c r="G483" s="35">
        <v>285</v>
      </c>
      <c r="H483" s="35">
        <v>6</v>
      </c>
      <c r="I483" s="35">
        <v>291</v>
      </c>
      <c r="J483" s="35">
        <v>7</v>
      </c>
      <c r="K483" s="35">
        <v>298</v>
      </c>
      <c r="L483" s="35">
        <v>3</v>
      </c>
      <c r="M483" s="35">
        <v>301</v>
      </c>
      <c r="N483" s="35">
        <v>4</v>
      </c>
      <c r="O483" s="35">
        <v>305</v>
      </c>
      <c r="P483" s="35">
        <v>4</v>
      </c>
      <c r="Q483" s="35">
        <v>309</v>
      </c>
      <c r="R483" s="35">
        <v>4</v>
      </c>
      <c r="S483" s="35">
        <v>311</v>
      </c>
      <c r="T483" s="35">
        <v>2</v>
      </c>
      <c r="U483" s="35">
        <v>315</v>
      </c>
      <c r="V483" s="35">
        <v>4</v>
      </c>
      <c r="W483" s="35">
        <v>317</v>
      </c>
      <c r="X483" s="35">
        <v>2</v>
      </c>
      <c r="Y483" s="35">
        <v>321</v>
      </c>
      <c r="Z483" s="35">
        <v>4</v>
      </c>
      <c r="AA483" s="35">
        <v>323</v>
      </c>
      <c r="AB483" s="35">
        <v>2</v>
      </c>
      <c r="AC483" s="35">
        <v>5</v>
      </c>
      <c r="AD483" s="35">
        <v>8</v>
      </c>
      <c r="AE483" s="35">
        <v>0</v>
      </c>
      <c r="AG483" s="35">
        <v>3</v>
      </c>
      <c r="AH483" s="35">
        <v>0</v>
      </c>
      <c r="AI483" s="35">
        <v>16</v>
      </c>
    </row>
    <row r="484" spans="1:35" ht="15.75" customHeight="1" x14ac:dyDescent="0.35">
      <c r="A484" s="35">
        <v>486</v>
      </c>
      <c r="B484" s="35" t="s">
        <v>603</v>
      </c>
      <c r="C484" s="35" t="s">
        <v>595</v>
      </c>
      <c r="D484" s="35">
        <v>11</v>
      </c>
      <c r="E484" s="35">
        <v>481</v>
      </c>
      <c r="F484" s="35">
        <v>7</v>
      </c>
      <c r="G484" s="35">
        <v>488</v>
      </c>
      <c r="H484" s="35">
        <v>9</v>
      </c>
      <c r="I484" s="35">
        <v>497</v>
      </c>
      <c r="J484" s="35">
        <v>6</v>
      </c>
      <c r="K484" s="35">
        <v>503</v>
      </c>
      <c r="L484" s="35">
        <v>6</v>
      </c>
      <c r="M484" s="35">
        <v>509</v>
      </c>
      <c r="N484" s="35">
        <v>4</v>
      </c>
      <c r="O484" s="35">
        <v>513</v>
      </c>
      <c r="P484" s="35">
        <v>5</v>
      </c>
      <c r="Q484" s="35">
        <v>518</v>
      </c>
      <c r="R484" s="35">
        <v>5</v>
      </c>
      <c r="S484" s="35">
        <v>522</v>
      </c>
      <c r="T484" s="35">
        <v>4</v>
      </c>
      <c r="U484" s="35">
        <v>526</v>
      </c>
      <c r="V484" s="35">
        <v>4</v>
      </c>
      <c r="W484" s="35">
        <v>534</v>
      </c>
      <c r="X484" s="35">
        <v>8</v>
      </c>
      <c r="Y484" s="35">
        <v>538</v>
      </c>
      <c r="Z484" s="35">
        <v>4</v>
      </c>
      <c r="AA484" s="35">
        <v>543</v>
      </c>
      <c r="AB484" s="35">
        <v>5</v>
      </c>
      <c r="AC484" s="35">
        <v>5</v>
      </c>
      <c r="AD484" s="35">
        <v>0</v>
      </c>
      <c r="AE484" s="35">
        <v>0</v>
      </c>
      <c r="AG484" s="35">
        <v>3</v>
      </c>
      <c r="AH484" s="35">
        <v>0</v>
      </c>
      <c r="AI484" s="35">
        <v>8</v>
      </c>
    </row>
    <row r="485" spans="1:35" ht="15.75" customHeight="1" x14ac:dyDescent="0.35">
      <c r="A485" s="35">
        <v>487</v>
      </c>
      <c r="B485" s="35" t="s">
        <v>604</v>
      </c>
      <c r="C485" s="35" t="s">
        <v>595</v>
      </c>
      <c r="D485" s="35">
        <v>12</v>
      </c>
      <c r="E485" s="35">
        <v>444</v>
      </c>
      <c r="F485" s="35">
        <v>11</v>
      </c>
      <c r="G485" s="35">
        <v>455</v>
      </c>
      <c r="H485" s="35">
        <v>14</v>
      </c>
      <c r="I485" s="35">
        <v>469</v>
      </c>
      <c r="J485" s="35">
        <v>12</v>
      </c>
      <c r="K485" s="35">
        <v>481</v>
      </c>
      <c r="L485" s="35">
        <v>14</v>
      </c>
      <c r="M485" s="35">
        <v>495</v>
      </c>
      <c r="N485" s="35">
        <v>10</v>
      </c>
      <c r="O485" s="35">
        <v>505</v>
      </c>
      <c r="P485" s="35">
        <v>10</v>
      </c>
      <c r="Q485" s="35">
        <v>515</v>
      </c>
      <c r="R485" s="35">
        <v>10</v>
      </c>
      <c r="S485" s="35">
        <v>524</v>
      </c>
      <c r="T485" s="35">
        <v>9</v>
      </c>
      <c r="U485" s="35">
        <v>535</v>
      </c>
      <c r="V485" s="35">
        <v>11</v>
      </c>
      <c r="W485" s="35">
        <v>544</v>
      </c>
      <c r="X485" s="35">
        <v>9</v>
      </c>
      <c r="Y485" s="35">
        <v>556</v>
      </c>
      <c r="Z485" s="35">
        <v>12</v>
      </c>
      <c r="AA485" s="35">
        <v>566</v>
      </c>
      <c r="AB485" s="35">
        <v>10</v>
      </c>
      <c r="AC485" s="35">
        <v>10</v>
      </c>
      <c r="AD485" s="35">
        <v>0</v>
      </c>
      <c r="AE485" s="35">
        <v>0</v>
      </c>
      <c r="AG485" s="35">
        <v>3</v>
      </c>
      <c r="AH485" s="35">
        <v>0</v>
      </c>
      <c r="AI485" s="35">
        <v>13</v>
      </c>
    </row>
    <row r="486" spans="1:35" ht="15.75" customHeight="1" x14ac:dyDescent="0.35">
      <c r="A486" s="35">
        <v>488</v>
      </c>
      <c r="B486" s="35" t="s">
        <v>605</v>
      </c>
      <c r="C486" s="35" t="s">
        <v>595</v>
      </c>
      <c r="D486" s="35">
        <v>13</v>
      </c>
      <c r="E486" s="35">
        <v>50</v>
      </c>
      <c r="F486" s="35">
        <v>6</v>
      </c>
      <c r="G486" s="35">
        <v>56</v>
      </c>
      <c r="H486" s="35">
        <v>23</v>
      </c>
      <c r="I486" s="35">
        <v>79</v>
      </c>
      <c r="J486" s="35">
        <v>20</v>
      </c>
      <c r="K486" s="35">
        <v>99</v>
      </c>
      <c r="L486" s="35">
        <v>3</v>
      </c>
      <c r="M486" s="35">
        <v>102</v>
      </c>
      <c r="N486" s="35">
        <v>22</v>
      </c>
      <c r="O486" s="35">
        <v>124</v>
      </c>
      <c r="P486" s="35">
        <v>23</v>
      </c>
      <c r="Q486" s="35">
        <v>147</v>
      </c>
      <c r="R486" s="35">
        <v>23</v>
      </c>
      <c r="S486" s="35">
        <v>154</v>
      </c>
      <c r="T486" s="35">
        <v>7</v>
      </c>
      <c r="U486" s="35">
        <v>154</v>
      </c>
      <c r="V486" s="35">
        <v>0</v>
      </c>
      <c r="W486" s="35">
        <v>154</v>
      </c>
      <c r="X486" s="35">
        <v>0</v>
      </c>
      <c r="Y486" s="35">
        <v>154</v>
      </c>
      <c r="Z486" s="35">
        <v>0</v>
      </c>
      <c r="AA486" s="35">
        <v>154</v>
      </c>
      <c r="AB486" s="35">
        <v>0</v>
      </c>
      <c r="AC486" s="35">
        <v>5</v>
      </c>
      <c r="AD486" s="35">
        <v>0</v>
      </c>
      <c r="AE486" s="35">
        <v>0</v>
      </c>
      <c r="AG486" s="35">
        <v>3</v>
      </c>
      <c r="AH486" s="35">
        <v>0</v>
      </c>
      <c r="AI486" s="35">
        <v>8</v>
      </c>
    </row>
    <row r="487" spans="1:35" ht="15.75" customHeight="1" x14ac:dyDescent="0.35">
      <c r="A487" s="35">
        <v>489</v>
      </c>
      <c r="B487" s="35" t="s">
        <v>606</v>
      </c>
      <c r="C487" s="35" t="s">
        <v>595</v>
      </c>
      <c r="D487" s="35">
        <v>15</v>
      </c>
      <c r="E487" s="35">
        <v>410</v>
      </c>
      <c r="F487" s="35">
        <v>11</v>
      </c>
      <c r="G487" s="35">
        <v>421</v>
      </c>
      <c r="H487" s="35">
        <v>15</v>
      </c>
      <c r="I487" s="35">
        <v>436</v>
      </c>
      <c r="J487" s="35">
        <v>11</v>
      </c>
      <c r="K487" s="35">
        <v>447</v>
      </c>
      <c r="L487" s="35">
        <v>12</v>
      </c>
      <c r="M487" s="35">
        <v>459</v>
      </c>
      <c r="N487" s="35">
        <v>11</v>
      </c>
      <c r="O487" s="35">
        <v>470</v>
      </c>
      <c r="P487" s="35">
        <v>9</v>
      </c>
      <c r="Q487" s="35">
        <v>479</v>
      </c>
      <c r="R487" s="35">
        <v>9</v>
      </c>
      <c r="S487" s="35">
        <v>487</v>
      </c>
      <c r="T487" s="35">
        <v>8</v>
      </c>
      <c r="U487" s="35">
        <v>495</v>
      </c>
      <c r="V487" s="35">
        <v>8</v>
      </c>
      <c r="W487" s="35">
        <v>505</v>
      </c>
      <c r="X487" s="35">
        <v>10</v>
      </c>
      <c r="Y487" s="35">
        <v>515</v>
      </c>
      <c r="Z487" s="35">
        <v>10</v>
      </c>
      <c r="AA487" s="35">
        <v>519</v>
      </c>
      <c r="AB487" s="35">
        <v>4</v>
      </c>
      <c r="AC487" s="35">
        <v>5</v>
      </c>
      <c r="AD487" s="35">
        <v>13</v>
      </c>
      <c r="AE487" s="35">
        <v>0</v>
      </c>
      <c r="AG487" s="35">
        <v>3</v>
      </c>
      <c r="AH487" s="35">
        <v>0</v>
      </c>
      <c r="AI487" s="35">
        <v>21</v>
      </c>
    </row>
    <row r="488" spans="1:35" ht="15.75" customHeight="1" x14ac:dyDescent="0.35">
      <c r="A488" s="35">
        <v>490</v>
      </c>
      <c r="B488" s="35" t="s">
        <v>607</v>
      </c>
      <c r="C488" s="35" t="s">
        <v>595</v>
      </c>
      <c r="D488" s="35">
        <v>16</v>
      </c>
      <c r="E488" s="35">
        <v>7</v>
      </c>
      <c r="F488" s="35">
        <v>2</v>
      </c>
      <c r="G488" s="35">
        <v>9</v>
      </c>
      <c r="H488" s="35">
        <v>1</v>
      </c>
      <c r="I488" s="35">
        <v>10</v>
      </c>
      <c r="J488" s="35">
        <v>1</v>
      </c>
      <c r="K488" s="35">
        <v>11</v>
      </c>
      <c r="L488" s="35">
        <v>1</v>
      </c>
      <c r="M488" s="35">
        <v>12</v>
      </c>
      <c r="N488" s="35">
        <v>1</v>
      </c>
      <c r="O488" s="35">
        <v>13</v>
      </c>
      <c r="P488" s="35">
        <v>1</v>
      </c>
      <c r="Q488" s="35">
        <v>14</v>
      </c>
      <c r="R488" s="35">
        <v>1</v>
      </c>
      <c r="S488" s="35">
        <v>14</v>
      </c>
      <c r="T488" s="35">
        <v>0</v>
      </c>
      <c r="U488" s="35">
        <v>14</v>
      </c>
      <c r="V488" s="35">
        <v>0</v>
      </c>
      <c r="W488" s="35">
        <v>15</v>
      </c>
      <c r="X488" s="35">
        <v>1</v>
      </c>
      <c r="Y488" s="35">
        <v>15</v>
      </c>
      <c r="Z488" s="35">
        <v>0</v>
      </c>
      <c r="AA488" s="35">
        <v>15</v>
      </c>
      <c r="AB488" s="35">
        <v>0</v>
      </c>
      <c r="AC488" s="35">
        <v>5</v>
      </c>
      <c r="AD488" s="35">
        <v>0</v>
      </c>
      <c r="AE488" s="35">
        <v>0</v>
      </c>
      <c r="AG488" s="35">
        <v>3</v>
      </c>
      <c r="AH488" s="35">
        <v>0</v>
      </c>
      <c r="AI488" s="35">
        <v>8</v>
      </c>
    </row>
    <row r="489" spans="1:35" ht="15.75" customHeight="1" x14ac:dyDescent="0.35">
      <c r="A489" s="35">
        <v>491</v>
      </c>
      <c r="B489" s="35" t="s">
        <v>608</v>
      </c>
      <c r="C489" s="35" t="s">
        <v>595</v>
      </c>
      <c r="D489" s="35">
        <v>35</v>
      </c>
      <c r="E489" s="35">
        <v>26</v>
      </c>
      <c r="F489" s="35">
        <v>12</v>
      </c>
      <c r="G489" s="35">
        <v>38</v>
      </c>
      <c r="H489" s="35">
        <v>9</v>
      </c>
      <c r="I489" s="35">
        <v>47</v>
      </c>
      <c r="J489" s="35">
        <v>12</v>
      </c>
      <c r="K489" s="35">
        <v>59</v>
      </c>
      <c r="L489" s="35">
        <v>12</v>
      </c>
      <c r="M489" s="35">
        <v>71</v>
      </c>
      <c r="N489" s="35">
        <v>4</v>
      </c>
      <c r="O489" s="35">
        <v>75</v>
      </c>
      <c r="P489" s="35">
        <v>5</v>
      </c>
      <c r="Q489" s="35">
        <v>80</v>
      </c>
      <c r="R489" s="35">
        <v>5</v>
      </c>
      <c r="S489" s="35">
        <v>84</v>
      </c>
      <c r="T489" s="35">
        <v>4</v>
      </c>
      <c r="U489" s="35">
        <v>88</v>
      </c>
      <c r="V489" s="35">
        <v>4</v>
      </c>
      <c r="W489" s="35">
        <v>93</v>
      </c>
      <c r="X489" s="35">
        <v>5</v>
      </c>
      <c r="Y489" s="35">
        <v>98</v>
      </c>
      <c r="Z489" s="35">
        <v>5</v>
      </c>
      <c r="AA489" s="35">
        <v>104</v>
      </c>
      <c r="AB489" s="35">
        <v>6</v>
      </c>
      <c r="AC489" s="35">
        <v>6</v>
      </c>
      <c r="AD489" s="35">
        <v>0</v>
      </c>
      <c r="AE489" s="35">
        <v>0</v>
      </c>
      <c r="AF489" s="35">
        <v>100</v>
      </c>
      <c r="AG489" s="35">
        <v>3</v>
      </c>
      <c r="AH489" s="35">
        <v>20</v>
      </c>
      <c r="AI489" s="35">
        <v>129</v>
      </c>
    </row>
    <row r="490" spans="1:35" ht="15.75" customHeight="1" x14ac:dyDescent="0.35"/>
    <row r="491" spans="1:35" ht="15.75" customHeight="1" x14ac:dyDescent="0.35"/>
    <row r="492" spans="1:35" ht="15.75" customHeight="1" x14ac:dyDescent="0.35"/>
    <row r="493" spans="1:35" ht="15.75" customHeight="1" x14ac:dyDescent="0.35"/>
    <row r="494" spans="1:35" ht="15.75" customHeight="1" x14ac:dyDescent="0.35"/>
    <row r="495" spans="1:35" ht="15.75" customHeight="1" x14ac:dyDescent="0.35"/>
    <row r="496" spans="1:35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Cobranza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2026-06-06T23:00:56Z</dcterms:modified>
</cp:coreProperties>
</file>