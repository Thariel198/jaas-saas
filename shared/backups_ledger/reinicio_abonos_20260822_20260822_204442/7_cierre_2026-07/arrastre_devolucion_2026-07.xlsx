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7_cierre\archivo\2026-07\"/>
    </mc:Choice>
  </mc:AlternateContent>
  <xr:revisionPtr revIDLastSave="0" documentId="13_ncr:1_{70454DD3-3C90-455D-ABE0-8E232ECC16E9}" xr6:coauthVersionLast="47" xr6:coauthVersionMax="47" xr10:uidLastSave="{00000000-0000-0000-0000-000000000000}"/>
  <bookViews>
    <workbookView xWindow="-27090" yWindow="615" windowWidth="14610" windowHeight="15585" xr2:uid="{00000000-000D-0000-FFFF-FFFF00000000}"/>
  </bookViews>
  <sheets>
    <sheet name="arrastre_devolucion_2026-07" sheetId="1" r:id="rId1"/>
  </sheets>
  <definedNames>
    <definedName name="_xlnm._FilterDatabase" localSheetId="0" hidden="1">'arrastre_devolucion_2026-07'!$G$2:$M$25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<sst xmlns="http://schemas.openxmlformats.org/spreadsheetml/2006/main" count="185" uniqueCount="110">
  <si>
    <t>¿Quién es?</t>
  </si>
  <si>
    <t>¿Cuánto sobra?</t>
  </si>
  <si>
    <t>¿De qué mes?</t>
  </si>
  <si>
    <t>¿Cómo ubicarlo?</t>
  </si>
  <si>
    <t>¿Revisado?</t>
  </si>
  <si>
    <t>MZ</t>
  </si>
  <si>
    <t>LT</t>
  </si>
  <si>
    <t>NOMBRE</t>
  </si>
  <si>
    <t>monto</t>
  </si>
  <si>
    <t>MES_ANO_ORIGEN</t>
  </si>
  <si>
    <t>REFERENCIA</t>
  </si>
  <si>
    <t>COMENTARIO</t>
  </si>
  <si>
    <t>REVISION</t>
  </si>
  <si>
    <t>ESTADO</t>
  </si>
  <si>
    <t>B</t>
  </si>
  <si>
    <t>20</t>
  </si>
  <si>
    <t>JANET FERNANDEZ MINAYA</t>
  </si>
  <si>
    <t>2026-07</t>
  </si>
  <si>
    <t>mesa_4 / Wagner Trujillo / 05/07/2026</t>
  </si>
  <si>
    <t>Cancelo convenio y medidor. Saldo 8</t>
  </si>
  <si>
    <t>Convenio/instalacion, no exceso de agua. Registrado en obligaciones/inputs/SEGUMIENTO INSTALACIONES Y CAMBIO DE MEDIDORES.xlsx hoja NUEVAS INSTALACIONES: DEUDA POR INSTALACION=1250, PAGADO previo=967. Se anoto el pago de julio (20) en la columna 2026-07-01. SALDO restante de instalacion=263 (deuda aparte, no relacionada a este exceso). Predio antes registrado como B-29, ya corregido a B-20 en la fuente.</t>
  </si>
  <si>
    <t>resuelto</t>
  </si>
  <si>
    <t>C</t>
  </si>
  <si>
    <t>5</t>
  </si>
  <si>
    <t>AGAPITO PRINCIPE SALINAS</t>
  </si>
  <si>
    <t>mesa_3 / Maximo Encarnacion / 04/07/2026</t>
  </si>
  <si>
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</si>
  <si>
    <t>13</t>
  </si>
  <si>
    <t>IRMA HUAÑAHUI LOPEZ</t>
  </si>
  <si>
    <t>Irma Huanahui L. / S/58 / 07/07/2026 10:23:16 · Irma Huanahui L. / S/15 / 07/07/2026 10:15:12</t>
  </si>
  <si>
    <t>m.z.c.lt.13 · mz.lt11</t>
  </si>
  <si>
    <t>S/50 tanque (aportes_tanque_manuales.xlsx) + S/15 era de K-11 (reidentificacion.xlsx, aplicado 2026-08). No queda exceso real de Irma.</t>
  </si>
  <si>
    <t>35</t>
  </si>
  <si>
    <t>ANALY QUINECHE MORANTE</t>
  </si>
  <si>
    <t>PLIN - ANALI QUINECHE / S/300 / 18/06/2026 21:01:29</t>
  </si>
  <si>
    <t>nan</t>
  </si>
  <si>
    <t>Los S/300 (PLIN, 18/06/2026) son 100% CONVENIO INSTALACION - coincide exacto con DEUDA POR INSTALACION=300 / SALDO=300 en 'SEGUMIENTO INSTALACIONES...xlsx' hoja INSTALACIONES ANTERIOR DIRECTIV, fila Analy Quineche. No es exceso de agua. Su agua+acuerdos de julio (94) sigue pendiente por separado, sin relacion con este pago.</t>
  </si>
  <si>
    <t>43</t>
  </si>
  <si>
    <t>JANET EVARISTO COCHACHIN</t>
  </si>
  <si>
    <t>Janet Eva* / S/36 / 21/06/2026 12:08:29</t>
  </si>
  <si>
    <t>MZ C lote 43</t>
  </si>
  <si>
    <t>Convenio/instalacion, no exceso de agua. Registrado en obligaciones/inputs/SEGUMIENTO INSTALACIONES Y CAMBIO DE MEDIDORES.xlsx hoja NUEVAS INSTALACIONES: DEUDA POR INSTALACION=910, PAGADO previo=564. Se anoto el pago de julio (12) en la columna 2026-07-01. SALDO restante de instalacion=334 (deuda aparte, no relacionada a este exceso). Predio antes registrado como C-45, ya corregido a C-43 en la fuente.</t>
  </si>
  <si>
    <t>D</t>
  </si>
  <si>
    <t>19</t>
  </si>
  <si>
    <t>FELIPE DOMINGO VENTURO CAPCHA</t>
  </si>
  <si>
    <t>F</t>
  </si>
  <si>
    <t>8</t>
  </si>
  <si>
    <t>GUDELIA ELIZABETH MIRANDA VEGA</t>
  </si>
  <si>
    <t>mesa_4 / Wagner Trujillo / 04/07/2026</t>
  </si>
  <si>
    <t>Correccion medidor</t>
  </si>
  <si>
    <t>14</t>
  </si>
  <si>
    <t>RODRIGO PODESTA ROSAS</t>
  </si>
  <si>
    <t>mesa_3 / Maximo Encarnacion / 04/07/2026 · Dedicacion Gar* / S/68 / 04/07/2026 20:44:23</t>
  </si>
  <si>
    <t>Se dividio su Yape en efectivo y yape para que cuadre con la segregacion del reporte del banco. · Cobro d maximo</t>
  </si>
  <si>
    <t>Bug de formula Saldo en shared/genesis_inputs/medidor_saldo.xlsx (no restaba el pago de Abril-2026 al calcular el Saldo de convenio medidor) - la boleta de julio cobro de mas exactamente ese monto. Caso particular: el pago de Abril-2026 de este predio fue S/50 (dos cuotas en un solo pago, cubriendo marzo atrasado + abril), no S/25 como la mayoria - por eso el exceso es 50 y no 25. Old_Saldo=75, New_Saldo=25, diff=50 exacto. Corregido y boleta reimpresa el 05/07/2026 (ver 3_boletas/correcciones.py, lista de 109 reimpresiones). Usuario pago la boleta vieja y no reclamo.</t>
  </si>
  <si>
    <t>H</t>
  </si>
  <si>
    <t>11</t>
  </si>
  <si>
    <t>ALEJANDRO LOPEZ ZORRILLA</t>
  </si>
  <si>
    <t>Pago ultimo mes medidor</t>
  </si>
  <si>
    <t>12</t>
  </si>
  <si>
    <t>GODOFREDO VASQUEZ LOAYSA</t>
  </si>
  <si>
    <t>mesa_1 / Wilder Trujillo Rosales / 04/07/2026</t>
  </si>
  <si>
    <t>Esta al dia</t>
  </si>
  <si>
    <t>I</t>
  </si>
  <si>
    <t>17</t>
  </si>
  <si>
    <t>JULIA BARRERA GARCILAZO</t>
  </si>
  <si>
    <t>Revizar lectura de medidor</t>
  </si>
  <si>
    <t>K</t>
  </si>
  <si>
    <t>SAMUEL LLAMA LUNA</t>
  </si>
  <si>
    <t>mesa_1 / Wilder Trujillo Rosales / 05/07/2026 · Samuel Lla* / S/16 / 30/06/2026 21:17:07</t>
  </si>
  <si>
    <t>yape 16 + efectivo 12 · nan</t>
  </si>
  <si>
    <t>L</t>
  </si>
  <si>
    <t>DONATA SAMARITANO CERNA</t>
  </si>
  <si>
    <t>M</t>
  </si>
  <si>
    <t>MAGDA MARIA BLAS MORALES</t>
  </si>
  <si>
    <t>mesa_3 / Maximo Encarnacion / 05/07/2026</t>
  </si>
  <si>
    <t>15</t>
  </si>
  <si>
    <t>FELICIANA REQUEZ PAJUELO</t>
  </si>
  <si>
    <t>Cambiar la multa de G1-M15</t>
  </si>
  <si>
    <t>Reidentificacion: M-15 pago S/28 (mesa_1, Wilder Trujillo, 04/07/2026) pero debia solo S/8 (consumo+mantenimiento). Los S/20 sobrantes son de G-1 (mismo cobrador/dia, error de mesa) - ver shared/reidentificacion.xlsx fila 3, MZ_ORIGEN=M-15 -&gt; MZ_CORRECTO=G-1, CONCEPTO_DESTINO=MULTA. El overlay ya aplica el credito en G-1 al correr 5_cobranza; M-15 no necesita nada mas, la plata esta contabilizada. Pendiente de diseno anotado en estado_cuenta/README.md (reasignar_abono sobre abono partido, caso SALDO_A_FAVOR parcial).</t>
  </si>
  <si>
    <t>O</t>
  </si>
  <si>
    <t>EPIFANIO ESCUDERO LOPEZ</t>
  </si>
  <si>
    <t>mesa_3 / Maximo Encarnacion / 04/07/2026 · mesa_3 / Maximo Encarnacion / 05/07/2026</t>
  </si>
  <si>
    <t xml:space="preserve"> · </t>
  </si>
  <si>
    <t>SIMONA GASPAR OLORTEGUI DE MONTALVO</t>
  </si>
  <si>
    <t>Bernarda Mon* / S/34 / 05/07/2026 18:27:07</t>
  </si>
  <si>
    <t>Usuario : Simona Gaspar Olortegui de Montalvo Mz:O</t>
  </si>
  <si>
    <t>25</t>
  </si>
  <si>
    <t>FELICITA ROSALES PABLO</t>
  </si>
  <si>
    <t>mesa_4 / Wagner Trujillo / 04/07/2026 · Felicitas Ros* / S/40 / 06/07/2026 09:45:41</t>
  </si>
  <si>
    <t>Corregir convenio medidor · Mz O Lt. 25 felicitas rosales pablo</t>
  </si>
  <si>
    <t>Exceso puro S/33, sin componente de medidor. Convenio ya saldado en junio (seguimiento_pueblo: CARGO 50 -&gt; PAGO 25 -&gt; AJUSTE -25 el 04/07/2026, correccion_formula_abril_O_25 -&gt; SALDO=0). Boleta de julio pedia 15 (solo agua, Convenio=0 correcto, no es hueco de genesis). Pago 48 (8 mesa_4/Wagner Trujillo 04/07 + 40 yape Felicitas Ros* 06/07) sin deuda real que lo absorba. Ella pidio "Corregir convenio medidor" (comentario mesa) pero el ajuste ya lo habia resuelto el mismo dia - no le queda nada pendiente de medidor.</t>
  </si>
  <si>
    <t>P</t>
  </si>
  <si>
    <t>6</t>
  </si>
  <si>
    <t>FLOR VALDIVIA MILLA</t>
  </si>
  <si>
    <t>Se puso el exeso en seguimiento instalacion y medidores.</t>
  </si>
  <si>
    <t>T</t>
  </si>
  <si>
    <t>3</t>
  </si>
  <si>
    <t>FREDY JIMENEZ MONTALVO</t>
  </si>
  <si>
    <t>mesa_1 / Wilder Trujillo Rosales / 05/07/2026 · Wilder Tru* / S/10 / 07/07/2026 11:16:49</t>
  </si>
  <si>
    <t xml:space="preserve"> · nan</t>
  </si>
  <si>
    <t>F1</t>
  </si>
  <si>
    <t>EFRAIN CANDACHO HUARAC</t>
  </si>
  <si>
    <t>mesa_1 / Wilder Trujillo Rosales / 04/07/2026 · Carla Lun* / S/68 / 07/07/2026 07:43:04</t>
  </si>
  <si>
    <t>Mi lote es F1-7. Todos mis titulos estan con F1-7. · F1 lote 6</t>
  </si>
  <si>
    <t>Exceso puro - pago dos veces. Mesa_1 (04/07) cubrio su deuda real de F1-6 (34: consumo+mant+acuerdos). Yape separado (07/07, S/68, mensaje "F1 lote 6") sin deuda que cubrir - excede completo, no hay division parcial. Sin relacion con el reclamo de titularidad ("Mi lote es F1-7", ver comentario) - ese es tema de padron (0_padron), no afecta el calculo de este exceso: la deuda que cubrio ya fue la de F1-6 tal cual esta en la planilla vigente.</t>
  </si>
  <si>
    <t>MARIA ELIZABETH SILVA SOSA</t>
  </si>
  <si>
    <t>mesa_1 / Wilder Trujillo Rosales / 05/07/2026</t>
  </si>
  <si>
    <t>Pague todo medidor este mes.</t>
  </si>
  <si>
    <t>Convenio/instalacion, no exceso de agua. Registrado en obligaciones/inputs/SEGUMIENTO INSTALACIONES Y CAMBIO DE MEDIDORES.xlsx hoja INSTALACIONES ANTERIOR DIRECTIV: DEUDA POR INSTALACION=950, pago de julio (100) ya anotado en su columna. SALDO restante de instalacion=676 (deuda aparte, no relacionada a este exceso).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</si>
</sst>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10" x14ac:knownFonts="1">
    <font>
      <sz val="11"/>
      <color theme="1"/>
      <name val="Calibri"/>
      <family val="2"/>
      <scheme val="minor"/>
    </font>
    <font>
      <b/>
      <sz val="8"/>
      <color rgb="FF1D4ED8"/>
      <name val="Arial"/>
    </font>
    <font>
      <b/>
      <sz val="8"/>
      <color rgb="FF065F46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sz val="9"/>
      <color rgb="FF1D4ED8"/>
      <name val="Consolas"/>
    </font>
    <font>
      <sz val="9"/>
      <color rgb="FF333333"/>
      <name val="Arial"/>
    </font>
    <font>
      <b/>
      <sz val="9"/>
      <color rgb="FF1D4ED8"/>
      <name val="Consolas"/>
    </font>
    <font>
      <sz val="9"/>
      <color rgb="FF555555"/>
      <name val="Arial"/>
    </font>
    <font>
      <sz val="9"/>
      <color rgb="FF065F46"/>
      <name val="Arial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5F9FF"/>
      </patternFill>
    </fill>
    <fill>
      <patternFill patternType="solid">
        <fgColor rgb="FFF9FAFB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2" xfId="0" applyFill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5"/>
  <sheetViews>
    <sheetView tabSelected="1" topLeftCell="D1" workbookViewId="0">
      <pane ySplit="2" topLeftCell="A3" activePane="bottomLeft" state="frozen"/>
      <selection pane="bottomLeft" activeCell="G40" sqref="G40"/>
    </sheetView>
  </sheetViews>
  <sheetFormatPr baseColWidth="10" defaultColWidth="8.7265625" defaultRowHeight="14.5" x14ac:dyDescent="0.35"/>
  <cols>
    <col min="1" max="2" width="6" customWidth="1"/>
    <col min="3" max="3" width="26" customWidth="1"/>
    <col min="4" max="4" width="0.81640625" customWidth="1"/>
    <col min="5" max="5" width="12" customWidth="1"/>
    <col min="6" max="6" width="0.81640625" customWidth="1"/>
    <col min="7" max="7" width="16" customWidth="1"/>
    <col min="8" max="8" width="0.81640625" customWidth="1"/>
    <col min="9" max="9" width="32" customWidth="1"/>
    <col min="10" max="10" width="28" customWidth="1"/>
    <col min="11" max="11" width="0.81640625" customWidth="1"/>
    <col min="12" max="12" width="32" customWidth="1"/>
    <col min="13" max="13" width="16" customWidth="1"/>
  </cols>
  <sheetData>
    <row r="1" spans="1:13" ht="18" customHeight="1" x14ac:dyDescent="0.35">
      <c r="A1" s="11" t="s">
        <v>0</v>
      </c>
      <c r="B1" s="12"/>
      <c r="C1" s="13"/>
      <c r="D1" s="1"/>
      <c r="E1" s="11" t="s">
        <v>1</v>
      </c>
      <c r="F1" s="1"/>
      <c r="G1" s="11" t="s">
        <v>2</v>
      </c>
      <c r="H1" s="1"/>
      <c r="I1" s="11" t="s">
        <v>3</v>
      </c>
      <c r="J1" s="13"/>
      <c r="K1" s="1"/>
      <c r="L1" s="14" t="s">
        <v>4</v>
      </c>
      <c r="M1" s="13"/>
    </row>
    <row r="2" spans="1:13" ht="22" customHeight="1" x14ac:dyDescent="0.35">
      <c r="A2" s="2" t="s">
        <v>5</v>
      </c>
      <c r="B2" s="2" t="s">
        <v>6</v>
      </c>
      <c r="C2" s="2" t="s">
        <v>7</v>
      </c>
      <c r="D2" s="1"/>
      <c r="E2" s="2" t="s">
        <v>8</v>
      </c>
      <c r="F2" s="1"/>
      <c r="G2" s="2" t="s">
        <v>9</v>
      </c>
      <c r="H2" s="1"/>
      <c r="I2" s="2" t="s">
        <v>10</v>
      </c>
      <c r="J2" s="2" t="s">
        <v>11</v>
      </c>
      <c r="K2" s="1"/>
      <c r="L2" s="3" t="s">
        <v>12</v>
      </c>
      <c r="M2" s="3" t="s">
        <v>13</v>
      </c>
    </row>
    <row r="3" spans="1:13" ht="17" hidden="1" customHeight="1" x14ac:dyDescent="0.35">
      <c r="A3" s="4" t="s">
        <v>14</v>
      </c>
      <c r="B3" s="4" t="s">
        <v>15</v>
      </c>
      <c r="C3" s="5" t="s">
        <v>16</v>
      </c>
      <c r="D3" s="1"/>
      <c r="E3" s="6">
        <v>20</v>
      </c>
      <c r="F3" s="1"/>
      <c r="G3" s="4" t="s">
        <v>17</v>
      </c>
      <c r="H3" s="1"/>
      <c r="I3" s="7" t="s">
        <v>18</v>
      </c>
      <c r="J3" s="8" t="s">
        <v>19</v>
      </c>
      <c r="K3" s="1"/>
      <c r="L3" s="9" t="s">
        <v>20</v>
      </c>
      <c r="M3" s="9" t="s">
        <v>21</v>
      </c>
    </row>
    <row r="4" spans="1:13" ht="17" hidden="1" customHeight="1" x14ac:dyDescent="0.35">
      <c r="A4" s="4" t="s">
        <v>22</v>
      </c>
      <c r="B4" s="4" t="s">
        <v>23</v>
      </c>
      <c r="C4" s="5" t="s">
        <v>24</v>
      </c>
      <c r="D4" s="1"/>
      <c r="E4" s="6">
        <v>25</v>
      </c>
      <c r="F4" s="1"/>
      <c r="G4" s="4" t="s">
        <v>17</v>
      </c>
      <c r="H4" s="1"/>
      <c r="I4" s="7" t="s">
        <v>25</v>
      </c>
      <c r="J4" s="8"/>
      <c r="K4" s="1"/>
      <c r="L4" s="9" t="s">
        <v>26</v>
      </c>
      <c r="M4" s="9" t="s">
        <v>21</v>
      </c>
    </row>
    <row r="5" spans="1:13" ht="17" hidden="1" customHeight="1" x14ac:dyDescent="0.35">
      <c r="A5" s="4" t="s">
        <v>22</v>
      </c>
      <c r="B5" s="4" t="s">
        <v>27</v>
      </c>
      <c r="C5" s="5" t="s">
        <v>28</v>
      </c>
      <c r="D5" s="1"/>
      <c r="E5" s="6">
        <v>65</v>
      </c>
      <c r="F5" s="1"/>
      <c r="G5" s="4" t="s">
        <v>17</v>
      </c>
      <c r="H5" s="1"/>
      <c r="I5" s="7" t="s">
        <v>29</v>
      </c>
      <c r="J5" s="8" t="s">
        <v>30</v>
      </c>
      <c r="K5" s="1"/>
      <c r="L5" s="10" t="s">
        <v>31</v>
      </c>
      <c r="M5" s="10" t="s">
        <v>21</v>
      </c>
    </row>
    <row r="6" spans="1:13" ht="17" hidden="1" customHeight="1" x14ac:dyDescent="0.35">
      <c r="A6" s="4" t="s">
        <v>22</v>
      </c>
      <c r="B6" s="4" t="s">
        <v>32</v>
      </c>
      <c r="C6" s="5" t="s">
        <v>33</v>
      </c>
      <c r="D6" s="1"/>
      <c r="E6" s="6">
        <v>206</v>
      </c>
      <c r="F6" s="1"/>
      <c r="G6" s="4" t="s">
        <v>17</v>
      </c>
      <c r="H6" s="1"/>
      <c r="I6" s="7" t="s">
        <v>34</v>
      </c>
      <c r="J6" s="8" t="s">
        <v>35</v>
      </c>
      <c r="K6" s="1"/>
      <c r="L6" s="9" t="s">
        <v>36</v>
      </c>
      <c r="M6" s="9" t="s">
        <v>21</v>
      </c>
    </row>
    <row r="7" spans="1:13" ht="17" hidden="1" customHeight="1" x14ac:dyDescent="0.35">
      <c r="A7" s="4" t="s">
        <v>22</v>
      </c>
      <c r="B7" s="4" t="s">
        <v>37</v>
      </c>
      <c r="C7" s="5" t="s">
        <v>38</v>
      </c>
      <c r="D7" s="1"/>
      <c r="E7" s="6">
        <v>12</v>
      </c>
      <c r="F7" s="1"/>
      <c r="G7" s="4" t="s">
        <v>17</v>
      </c>
      <c r="H7" s="1"/>
      <c r="I7" s="7" t="s">
        <v>39</v>
      </c>
      <c r="J7" s="8" t="s">
        <v>40</v>
      </c>
      <c r="K7" s="1"/>
      <c r="L7" s="9" t="s">
        <v>41</v>
      </c>
      <c r="M7" s="9" t="s">
        <v>21</v>
      </c>
    </row>
    <row r="8" spans="1:13" ht="17" hidden="1" customHeight="1" x14ac:dyDescent="0.35">
      <c r="A8" s="4" t="s">
        <v>42</v>
      </c>
      <c r="B8" s="4" t="s">
        <v>43</v>
      </c>
      <c r="C8" s="5" t="s">
        <v>44</v>
      </c>
      <c r="D8" s="1"/>
      <c r="E8" s="6">
        <v>25</v>
      </c>
      <c r="F8" s="1"/>
      <c r="G8" s="4" t="s">
        <v>17</v>
      </c>
      <c r="H8" s="1"/>
      <c r="I8" s="7" t="s">
        <v>25</v>
      </c>
      <c r="J8" s="8"/>
      <c r="K8" s="1"/>
      <c r="L8" s="9" t="s">
        <v>26</v>
      </c>
      <c r="M8" s="9" t="s">
        <v>21</v>
      </c>
    </row>
    <row r="9" spans="1:13" ht="17" hidden="1" customHeight="1" x14ac:dyDescent="0.35">
      <c r="A9" s="4" t="s">
        <v>45</v>
      </c>
      <c r="B9" s="4" t="s">
        <v>46</v>
      </c>
      <c r="C9" s="5" t="s">
        <v>47</v>
      </c>
      <c r="D9" s="1"/>
      <c r="E9" s="6">
        <v>25</v>
      </c>
      <c r="F9" s="1"/>
      <c r="G9" s="4" t="s">
        <v>17</v>
      </c>
      <c r="H9" s="1"/>
      <c r="I9" s="7" t="s">
        <v>48</v>
      </c>
      <c r="J9" s="8" t="s">
        <v>49</v>
      </c>
      <c r="K9" s="1"/>
      <c r="L9" s="9" t="s">
        <v>26</v>
      </c>
      <c r="M9" s="9" t="s">
        <v>21</v>
      </c>
    </row>
    <row r="10" spans="1:13" ht="17" hidden="1" customHeight="1" x14ac:dyDescent="0.35">
      <c r="A10" s="4" t="s">
        <v>45</v>
      </c>
      <c r="B10" s="4" t="s">
        <v>50</v>
      </c>
      <c r="C10" s="5" t="s">
        <v>51</v>
      </c>
      <c r="D10" s="1"/>
      <c r="E10" s="6">
        <v>50</v>
      </c>
      <c r="F10" s="1"/>
      <c r="G10" s="4" t="s">
        <v>17</v>
      </c>
      <c r="H10" s="1"/>
      <c r="I10" s="7" t="s">
        <v>52</v>
      </c>
      <c r="J10" s="8" t="s">
        <v>53</v>
      </c>
      <c r="K10" s="1"/>
      <c r="L10" s="9" t="s">
        <v>54</v>
      </c>
      <c r="M10" s="9" t="s">
        <v>21</v>
      </c>
    </row>
    <row r="11" spans="1:13" ht="17" hidden="1" customHeight="1" x14ac:dyDescent="0.35">
      <c r="A11" s="4" t="s">
        <v>55</v>
      </c>
      <c r="B11" s="4" t="s">
        <v>56</v>
      </c>
      <c r="C11" s="5" t="s">
        <v>57</v>
      </c>
      <c r="D11" s="1"/>
      <c r="E11" s="6">
        <v>25</v>
      </c>
      <c r="F11" s="1"/>
      <c r="G11" s="4" t="s">
        <v>17</v>
      </c>
      <c r="H11" s="1"/>
      <c r="I11" s="7" t="s">
        <v>48</v>
      </c>
      <c r="J11" s="8" t="s">
        <v>58</v>
      </c>
      <c r="K11" s="1"/>
      <c r="L11" s="9" t="s">
        <v>26</v>
      </c>
      <c r="M11" s="9" t="s">
        <v>21</v>
      </c>
    </row>
    <row r="12" spans="1:13" ht="17" hidden="1" customHeight="1" x14ac:dyDescent="0.35">
      <c r="A12" s="4" t="s">
        <v>55</v>
      </c>
      <c r="B12" s="4" t="s">
        <v>59</v>
      </c>
      <c r="C12" s="5" t="s">
        <v>60</v>
      </c>
      <c r="D12" s="1"/>
      <c r="E12" s="6">
        <v>25</v>
      </c>
      <c r="F12" s="1"/>
      <c r="G12" s="4" t="s">
        <v>17</v>
      </c>
      <c r="H12" s="1"/>
      <c r="I12" s="7" t="s">
        <v>61</v>
      </c>
      <c r="J12" s="8" t="s">
        <v>62</v>
      </c>
      <c r="K12" s="1"/>
      <c r="L12" s="9" t="s">
        <v>26</v>
      </c>
      <c r="M12" s="9" t="s">
        <v>21</v>
      </c>
    </row>
    <row r="13" spans="1:13" ht="17" hidden="1" customHeight="1" x14ac:dyDescent="0.35">
      <c r="A13" s="4" t="s">
        <v>63</v>
      </c>
      <c r="B13" s="4" t="s">
        <v>64</v>
      </c>
      <c r="C13" s="5" t="s">
        <v>65</v>
      </c>
      <c r="D13" s="1"/>
      <c r="E13" s="6">
        <v>25</v>
      </c>
      <c r="F13" s="1"/>
      <c r="G13" s="4" t="s">
        <v>17</v>
      </c>
      <c r="H13" s="1"/>
      <c r="I13" s="7" t="s">
        <v>48</v>
      </c>
      <c r="J13" s="8" t="s">
        <v>66</v>
      </c>
      <c r="K13" s="1"/>
      <c r="L13" s="9" t="s">
        <v>26</v>
      </c>
      <c r="M13" s="9" t="s">
        <v>21</v>
      </c>
    </row>
    <row r="14" spans="1:13" ht="17" customHeight="1" x14ac:dyDescent="0.35">
      <c r="A14" s="4" t="s">
        <v>67</v>
      </c>
      <c r="B14" s="4" t="s">
        <v>50</v>
      </c>
      <c r="C14" s="5" t="s">
        <v>68</v>
      </c>
      <c r="D14" s="1"/>
      <c r="E14" s="6">
        <v>16</v>
      </c>
      <c r="F14" s="1"/>
      <c r="G14" s="4" t="s">
        <v>17</v>
      </c>
      <c r="H14" s="1"/>
      <c r="I14" s="7" t="s">
        <v>69</v>
      </c>
      <c r="J14" s="8" t="s">
        <v>70</v>
      </c>
      <c r="K14" s="1"/>
      <c r="L14" s="10"/>
      <c r="M14" s="10"/>
    </row>
    <row r="15" spans="1:13" ht="17" hidden="1" customHeight="1" x14ac:dyDescent="0.35">
      <c r="A15" s="4" t="s">
        <v>71</v>
      </c>
      <c r="B15" s="4" t="s">
        <v>59</v>
      </c>
      <c r="C15" s="5" t="s">
        <v>72</v>
      </c>
      <c r="D15" s="1"/>
      <c r="E15" s="6">
        <v>25</v>
      </c>
      <c r="F15" s="1"/>
      <c r="G15" s="4" t="s">
        <v>17</v>
      </c>
      <c r="H15" s="1"/>
      <c r="I15" s="7" t="s">
        <v>25</v>
      </c>
      <c r="J15" s="8"/>
      <c r="K15" s="1"/>
      <c r="L15" s="9" t="s">
        <v>26</v>
      </c>
      <c r="M15" s="9" t="s">
        <v>21</v>
      </c>
    </row>
    <row r="16" spans="1:13" ht="17" hidden="1" customHeight="1" x14ac:dyDescent="0.35">
      <c r="A16" s="4" t="s">
        <v>73</v>
      </c>
      <c r="B16" s="4" t="s">
        <v>50</v>
      </c>
      <c r="C16" s="5" t="s">
        <v>74</v>
      </c>
      <c r="D16" s="1"/>
      <c r="E16" s="6">
        <v>25</v>
      </c>
      <c r="F16" s="1"/>
      <c r="G16" s="4" t="s">
        <v>17</v>
      </c>
      <c r="H16" s="1"/>
      <c r="I16" s="7" t="s">
        <v>75</v>
      </c>
      <c r="J16" s="8"/>
      <c r="K16" s="1"/>
      <c r="L16" s="9" t="s">
        <v>26</v>
      </c>
      <c r="M16" s="9" t="s">
        <v>21</v>
      </c>
    </row>
    <row r="17" spans="1:13" ht="17" hidden="1" customHeight="1" x14ac:dyDescent="0.35">
      <c r="A17" s="4" t="s">
        <v>73</v>
      </c>
      <c r="B17" s="4" t="s">
        <v>76</v>
      </c>
      <c r="C17" s="5" t="s">
        <v>77</v>
      </c>
      <c r="D17" s="1"/>
      <c r="E17" s="6">
        <v>20</v>
      </c>
      <c r="F17" s="1"/>
      <c r="G17" s="4" t="s">
        <v>17</v>
      </c>
      <c r="H17" s="1"/>
      <c r="I17" s="7" t="s">
        <v>61</v>
      </c>
      <c r="J17" s="8" t="s">
        <v>78</v>
      </c>
      <c r="K17" s="1"/>
      <c r="L17" s="9" t="s">
        <v>79</v>
      </c>
      <c r="M17" s="9" t="s">
        <v>21</v>
      </c>
    </row>
    <row r="18" spans="1:13" ht="17" customHeight="1" x14ac:dyDescent="0.35">
      <c r="A18" s="4" t="s">
        <v>80</v>
      </c>
      <c r="B18" s="4" t="s">
        <v>56</v>
      </c>
      <c r="C18" s="5" t="s">
        <v>81</v>
      </c>
      <c r="D18" s="1"/>
      <c r="E18" s="6">
        <v>16</v>
      </c>
      <c r="F18" s="1"/>
      <c r="G18" s="4" t="s">
        <v>17</v>
      </c>
      <c r="H18" s="1"/>
      <c r="I18" s="7" t="s">
        <v>82</v>
      </c>
      <c r="J18" s="8" t="s">
        <v>83</v>
      </c>
      <c r="K18" s="1"/>
      <c r="L18" s="10"/>
      <c r="M18" s="10"/>
    </row>
    <row r="19" spans="1:13" ht="17" hidden="1" customHeight="1" x14ac:dyDescent="0.35">
      <c r="A19" s="4" t="s">
        <v>80</v>
      </c>
      <c r="B19" s="4" t="s">
        <v>64</v>
      </c>
      <c r="C19" s="5" t="s">
        <v>72</v>
      </c>
      <c r="D19" s="1"/>
      <c r="E19" s="6">
        <v>25</v>
      </c>
      <c r="F19" s="1"/>
      <c r="G19" s="4" t="s">
        <v>17</v>
      </c>
      <c r="H19" s="1"/>
      <c r="I19" s="7" t="s">
        <v>25</v>
      </c>
      <c r="J19" s="8"/>
      <c r="K19" s="1"/>
      <c r="L19" s="9" t="s">
        <v>26</v>
      </c>
      <c r="M19" s="9" t="s">
        <v>21</v>
      </c>
    </row>
    <row r="20" spans="1:13" ht="17" hidden="1" customHeight="1" x14ac:dyDescent="0.35">
      <c r="A20" s="4" t="s">
        <v>80</v>
      </c>
      <c r="B20" s="4" t="s">
        <v>43</v>
      </c>
      <c r="C20" s="5" t="s">
        <v>84</v>
      </c>
      <c r="D20" s="1"/>
      <c r="E20" s="6">
        <v>25</v>
      </c>
      <c r="F20" s="1"/>
      <c r="G20" s="4" t="s">
        <v>17</v>
      </c>
      <c r="H20" s="1"/>
      <c r="I20" s="7" t="s">
        <v>85</v>
      </c>
      <c r="J20" s="8" t="s">
        <v>86</v>
      </c>
      <c r="K20" s="1"/>
      <c r="L20" s="9" t="s">
        <v>26</v>
      </c>
      <c r="M20" s="9" t="s">
        <v>21</v>
      </c>
    </row>
    <row r="21" spans="1:13" ht="17" hidden="1" customHeight="1" x14ac:dyDescent="0.35">
      <c r="A21" s="4" t="s">
        <v>80</v>
      </c>
      <c r="B21" s="4" t="s">
        <v>87</v>
      </c>
      <c r="C21" s="5" t="s">
        <v>88</v>
      </c>
      <c r="D21" s="1"/>
      <c r="E21" s="6">
        <v>33</v>
      </c>
      <c r="F21" s="1"/>
      <c r="G21" s="4" t="s">
        <v>17</v>
      </c>
      <c r="H21" s="1"/>
      <c r="I21" s="7" t="s">
        <v>89</v>
      </c>
      <c r="J21" s="8" t="s">
        <v>90</v>
      </c>
      <c r="K21" s="1"/>
      <c r="L21" s="9" t="s">
        <v>91</v>
      </c>
      <c r="M21" s="9" t="s">
        <v>21</v>
      </c>
    </row>
    <row r="22" spans="1:13" ht="17" hidden="1" customHeight="1" x14ac:dyDescent="0.35">
      <c r="A22" s="4" t="s">
        <v>92</v>
      </c>
      <c r="B22" s="4" t="s">
        <v>93</v>
      </c>
      <c r="C22" s="5" t="s">
        <v>94</v>
      </c>
      <c r="D22" s="1"/>
      <c r="E22" s="6">
        <v>292</v>
      </c>
      <c r="F22" s="1"/>
      <c r="G22" s="4" t="s">
        <v>17</v>
      </c>
      <c r="H22" s="1"/>
      <c r="I22" s="7"/>
      <c r="J22" s="8"/>
      <c r="K22" s="1"/>
      <c r="L22" s="9" t="s">
        <v>95</v>
      </c>
      <c r="M22" s="9" t="s">
        <v>21</v>
      </c>
    </row>
    <row r="23" spans="1:13" ht="17" customHeight="1" x14ac:dyDescent="0.35">
      <c r="A23" s="4" t="s">
        <v>96</v>
      </c>
      <c r="B23" s="4" t="s">
        <v>97</v>
      </c>
      <c r="C23" s="5" t="s">
        <v>98</v>
      </c>
      <c r="D23" s="1"/>
      <c r="E23" s="6">
        <v>10</v>
      </c>
      <c r="F23" s="1"/>
      <c r="G23" s="4" t="s">
        <v>17</v>
      </c>
      <c r="H23" s="1"/>
      <c r="I23" s="7" t="s">
        <v>99</v>
      </c>
      <c r="J23" s="8" t="s">
        <v>100</v>
      </c>
      <c r="K23" s="1"/>
      <c r="L23" s="10"/>
      <c r="M23" s="10"/>
    </row>
    <row r="24" spans="1:13" ht="17" hidden="1" customHeight="1" x14ac:dyDescent="0.35">
      <c r="A24" s="4" t="s">
        <v>101</v>
      </c>
      <c r="B24" s="4" t="s">
        <v>93</v>
      </c>
      <c r="C24" s="5" t="s">
        <v>102</v>
      </c>
      <c r="D24" s="1"/>
      <c r="E24" s="6">
        <v>68</v>
      </c>
      <c r="F24" s="1"/>
      <c r="G24" s="4" t="s">
        <v>17</v>
      </c>
      <c r="H24" s="1"/>
      <c r="I24" s="7" t="s">
        <v>103</v>
      </c>
      <c r="J24" s="8" t="s">
        <v>104</v>
      </c>
      <c r="K24" s="1"/>
      <c r="L24" s="9" t="s">
        <v>105</v>
      </c>
      <c r="M24" s="9" t="s">
        <v>21</v>
      </c>
    </row>
    <row r="25" spans="1:13" ht="17" hidden="1" customHeight="1" x14ac:dyDescent="0.35">
      <c r="A25" s="4" t="s">
        <v>101</v>
      </c>
      <c r="B25" s="4" t="s">
        <v>56</v>
      </c>
      <c r="C25" s="5" t="s">
        <v>106</v>
      </c>
      <c r="D25" s="1"/>
      <c r="E25" s="6">
        <v>25</v>
      </c>
      <c r="F25" s="1"/>
      <c r="G25" s="4" t="s">
        <v>17</v>
      </c>
      <c r="H25" s="1"/>
      <c r="I25" s="7" t="s">
        <v>107</v>
      </c>
      <c r="J25" s="8" t="s">
        <v>108</v>
      </c>
      <c r="K25" s="1"/>
      <c r="L25" s="9" t="s">
        <v>109</v>
      </c>
      <c r="M25" s="9" t="s">
        <v>21</v>
      </c>
    </row>
  </sheetData>
  <autoFilter ref="G2:M25" xr:uid="{00000000-0001-0000-0000-000000000000}">
    <filterColumn colId="6">
      <filters blank="1"/>
    </filterColumn>
  </autoFilter>
  <mergeCells count="5">
    <mergeCell ref="A1:C1"/>
    <mergeCell ref="L1:M1"/>
    <mergeCell ref="G1"/>
    <mergeCell ref="E1"/>
    <mergeCell ref="I1:J1"/>
  </mergeCells>
  <dataValidations count="1">
    <dataValidation type="list" allowBlank="1" sqref="M3:M25" xr:uid="{00000000-0002-0000-0000-000000000000}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arrastre_devolucion_2026-07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2026-07-26T20:28:28Z</dcterms:created>
  <dcterms:modified xsi:type="dcterms:W3CDTF">2026-08-10T17:37:00Z</dcterms:modified>
</cp:coreProperties>
</file>