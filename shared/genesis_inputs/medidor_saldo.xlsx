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Downloads\Base de datos\"/>
    </mc:Choice>
  </mc:AlternateContent>
  <xr:revisionPtr revIDLastSave="0" documentId="13_ncr:1_{DDA0D9DF-DCA3-4611-87A3-A2BDEA85D4E8}" xr6:coauthVersionLast="47" xr6:coauthVersionMax="47" xr10:uidLastSave="{00000000-0000-0000-0000-000000000000}"/>
  <bookViews>
    <workbookView xWindow="-28920" yWindow="-120" windowWidth="29040" windowHeight="15720" firstSheet="3" activeTab="6" xr2:uid="{00000000-000D-0000-FFFF-FFFF00000000}"/>
  </bookViews>
  <sheets>
    <sheet name="Cobranza" sheetId="1" r:id="rId1"/>
    <sheet name="INGRESOS Y EGRESOS" sheetId="2" r:id="rId2"/>
    <sheet name="Techado" sheetId="3" r:id="rId3"/>
    <sheet name="Yape por MZ" sheetId="4" r:id="rId4"/>
    <sheet name="Reporte" sheetId="5" r:id="rId5"/>
    <sheet name="Efectivo" sheetId="6" r:id="rId6"/>
    <sheet name="Cobro medidores" sheetId="7" r:id="rId7"/>
    <sheet name="Deuda faena" sheetId="8" r:id="rId8"/>
    <sheet name="Corte" sheetId="9" r:id="rId9"/>
    <sheet name="Nota" sheetId="10" r:id="rId10"/>
    <sheet name="PLANILLA" sheetId="11" state="hidden" r:id="rId11"/>
  </sheets>
  <definedNames>
    <definedName name="_xlnm._FilterDatabase" localSheetId="0" hidden="1">Cobranza!$A$1:$AG$501</definedName>
    <definedName name="_xlnm._FilterDatabase" localSheetId="6" hidden="1">'Cobro medidores'!$A$1:$R$155</definedName>
    <definedName name="_xlnm._FilterDatabase" localSheetId="8" hidden="1">Corte!$A$1:$H$14</definedName>
    <definedName name="_xlnm._FilterDatabase" localSheetId="5" hidden="1">Efectivo!$A$1:$G$121</definedName>
    <definedName name="_xlnm._FilterDatabase" localSheetId="4" hidden="1">Reporte!$A$1:$N$343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Ni98EhKNL83wDLrj3StEvMa+GqaYl9YjyGqMPGe+Pmw="/>
    </ext>
  </extLst>
</workbook>
</file>

<file path=xl/calcChain.xml><?xml version="1.0" encoding="utf-8"?>
<calcChain xmlns="http://schemas.openxmlformats.org/spreadsheetml/2006/main">
  <c r="N102" i="7" l="1"/>
  <c r="H14" i="9"/>
  <c r="H13" i="9"/>
  <c r="H12" i="9"/>
  <c r="H11" i="9"/>
  <c r="H10" i="9"/>
  <c r="H9" i="9"/>
  <c r="H8" i="9"/>
  <c r="H7" i="9"/>
  <c r="H6" i="9"/>
  <c r="H5" i="9"/>
  <c r="H4" i="9"/>
  <c r="H3" i="9"/>
  <c r="H16" i="9" s="1"/>
  <c r="H2" i="9"/>
  <c r="O157" i="7"/>
  <c r="L157" i="7"/>
  <c r="J157" i="7"/>
  <c r="I157" i="7"/>
  <c r="H157" i="7"/>
  <c r="E157" i="7"/>
  <c r="R155" i="7"/>
  <c r="Q155" i="7"/>
  <c r="K155" i="7"/>
  <c r="N155" i="7" s="1"/>
  <c r="R154" i="7"/>
  <c r="Q154" i="7"/>
  <c r="K154" i="7"/>
  <c r="N154" i="7" s="1"/>
  <c r="R153" i="7"/>
  <c r="Q153" i="7"/>
  <c r="K153" i="7"/>
  <c r="N153" i="7" s="1"/>
  <c r="R152" i="7"/>
  <c r="Q152" i="7"/>
  <c r="K152" i="7"/>
  <c r="R151" i="7"/>
  <c r="Q151" i="7"/>
  <c r="K151" i="7"/>
  <c r="N151" i="7" s="1"/>
  <c r="R150" i="7"/>
  <c r="Q150" i="7"/>
  <c r="K150" i="7"/>
  <c r="N150" i="7" s="1"/>
  <c r="R149" i="7"/>
  <c r="Q149" i="7"/>
  <c r="K149" i="7"/>
  <c r="N149" i="7" s="1"/>
  <c r="R148" i="7"/>
  <c r="Q148" i="7"/>
  <c r="K148" i="7"/>
  <c r="N148" i="7" s="1"/>
  <c r="R147" i="7"/>
  <c r="Q147" i="7"/>
  <c r="K147" i="7"/>
  <c r="N147" i="7" s="1"/>
  <c r="R146" i="7"/>
  <c r="Q146" i="7"/>
  <c r="K146" i="7"/>
  <c r="N146" i="7" s="1"/>
  <c r="R145" i="7"/>
  <c r="Q145" i="7"/>
  <c r="K145" i="7"/>
  <c r="N145" i="7" s="1"/>
  <c r="R144" i="7"/>
  <c r="Q144" i="7"/>
  <c r="K144" i="7"/>
  <c r="N144" i="7" s="1"/>
  <c r="R143" i="7"/>
  <c r="Q143" i="7"/>
  <c r="K143" i="7"/>
  <c r="N143" i="7" s="1"/>
  <c r="R142" i="7"/>
  <c r="Q142" i="7"/>
  <c r="K142" i="7"/>
  <c r="N142" i="7" s="1"/>
  <c r="R141" i="7"/>
  <c r="Q141" i="7"/>
  <c r="K141" i="7"/>
  <c r="N141" i="7" s="1"/>
  <c r="R140" i="7"/>
  <c r="Q140" i="7"/>
  <c r="K140" i="7"/>
  <c r="N140" i="7" s="1"/>
  <c r="R139" i="7"/>
  <c r="Q139" i="7"/>
  <c r="K139" i="7"/>
  <c r="N139" i="7" s="1"/>
  <c r="R138" i="7"/>
  <c r="Q138" i="7"/>
  <c r="K138" i="7"/>
  <c r="N138" i="7" s="1"/>
  <c r="R137" i="7"/>
  <c r="Q137" i="7"/>
  <c r="K137" i="7"/>
  <c r="N137" i="7" s="1"/>
  <c r="R136" i="7"/>
  <c r="Q136" i="7"/>
  <c r="K136" i="7"/>
  <c r="N136" i="7" s="1"/>
  <c r="R135" i="7"/>
  <c r="Q135" i="7"/>
  <c r="K135" i="7"/>
  <c r="N135" i="7" s="1"/>
  <c r="R134" i="7"/>
  <c r="Q134" i="7"/>
  <c r="K134" i="7"/>
  <c r="N134" i="7" s="1"/>
  <c r="R133" i="7"/>
  <c r="Q133" i="7"/>
  <c r="K133" i="7"/>
  <c r="N133" i="7" s="1"/>
  <c r="R132" i="7"/>
  <c r="Q132" i="7"/>
  <c r="K132" i="7"/>
  <c r="N132" i="7" s="1"/>
  <c r="R131" i="7"/>
  <c r="Q131" i="7"/>
  <c r="K131" i="7"/>
  <c r="N131" i="7" s="1"/>
  <c r="R130" i="7"/>
  <c r="Q130" i="7"/>
  <c r="K130" i="7"/>
  <c r="N130" i="7" s="1"/>
  <c r="R129" i="7"/>
  <c r="Q129" i="7"/>
  <c r="K129" i="7"/>
  <c r="N129" i="7" s="1"/>
  <c r="R128" i="7"/>
  <c r="Q128" i="7"/>
  <c r="K128" i="7"/>
  <c r="N128" i="7" s="1"/>
  <c r="R127" i="7"/>
  <c r="Q127" i="7"/>
  <c r="K127" i="7"/>
  <c r="N127" i="7" s="1"/>
  <c r="R126" i="7"/>
  <c r="Q126" i="7"/>
  <c r="K126" i="7"/>
  <c r="N126" i="7" s="1"/>
  <c r="R125" i="7"/>
  <c r="Q125" i="7"/>
  <c r="K125" i="7"/>
  <c r="N125" i="7" s="1"/>
  <c r="R124" i="7"/>
  <c r="Q124" i="7"/>
  <c r="K124" i="7"/>
  <c r="N124" i="7" s="1"/>
  <c r="R123" i="7"/>
  <c r="Q123" i="7"/>
  <c r="K123" i="7"/>
  <c r="N123" i="7" s="1"/>
  <c r="R122" i="7"/>
  <c r="Q122" i="7"/>
  <c r="K122" i="7"/>
  <c r="N122" i="7" s="1"/>
  <c r="R121" i="7"/>
  <c r="Q121" i="7"/>
  <c r="K121" i="7"/>
  <c r="N121" i="7" s="1"/>
  <c r="R120" i="7"/>
  <c r="Q120" i="7"/>
  <c r="K120" i="7"/>
  <c r="N120" i="7" s="1"/>
  <c r="R119" i="7"/>
  <c r="Q119" i="7"/>
  <c r="K119" i="7"/>
  <c r="N119" i="7" s="1"/>
  <c r="R118" i="7"/>
  <c r="Q118" i="7"/>
  <c r="K118" i="7"/>
  <c r="N118" i="7" s="1"/>
  <c r="R117" i="7"/>
  <c r="Q117" i="7"/>
  <c r="K117" i="7"/>
  <c r="N117" i="7" s="1"/>
  <c r="R116" i="7"/>
  <c r="Q116" i="7"/>
  <c r="K116" i="7"/>
  <c r="N116" i="7" s="1"/>
  <c r="R115" i="7"/>
  <c r="Q115" i="7"/>
  <c r="K115" i="7"/>
  <c r="N115" i="7" s="1"/>
  <c r="R114" i="7"/>
  <c r="Q114" i="7"/>
  <c r="K114" i="7"/>
  <c r="N114" i="7" s="1"/>
  <c r="R113" i="7"/>
  <c r="Q113" i="7"/>
  <c r="K113" i="7"/>
  <c r="N113" i="7" s="1"/>
  <c r="R112" i="7"/>
  <c r="Q112" i="7"/>
  <c r="K112" i="7"/>
  <c r="N112" i="7" s="1"/>
  <c r="R111" i="7"/>
  <c r="Q111" i="7"/>
  <c r="K111" i="7"/>
  <c r="N111" i="7" s="1"/>
  <c r="R110" i="7"/>
  <c r="Q110" i="7"/>
  <c r="K110" i="7"/>
  <c r="N110" i="7" s="1"/>
  <c r="R109" i="7"/>
  <c r="Q109" i="7"/>
  <c r="K109" i="7"/>
  <c r="N109" i="7" s="1"/>
  <c r="R108" i="7"/>
  <c r="Q108" i="7"/>
  <c r="K108" i="7"/>
  <c r="N108" i="7" s="1"/>
  <c r="R107" i="7"/>
  <c r="Q107" i="7"/>
  <c r="K107" i="7"/>
  <c r="N107" i="7" s="1"/>
  <c r="R106" i="7"/>
  <c r="Q106" i="7"/>
  <c r="K106" i="7"/>
  <c r="N106" i="7" s="1"/>
  <c r="R105" i="7"/>
  <c r="Q105" i="7"/>
  <c r="K105" i="7"/>
  <c r="N105" i="7" s="1"/>
  <c r="R104" i="7"/>
  <c r="Q104" i="7"/>
  <c r="K104" i="7"/>
  <c r="N104" i="7" s="1"/>
  <c r="R103" i="7"/>
  <c r="Q103" i="7"/>
  <c r="K103" i="7"/>
  <c r="N103" i="7" s="1"/>
  <c r="R101" i="7"/>
  <c r="Q101" i="7"/>
  <c r="K101" i="7"/>
  <c r="N101" i="7" s="1"/>
  <c r="R100" i="7"/>
  <c r="Q100" i="7"/>
  <c r="K100" i="7"/>
  <c r="N100" i="7" s="1"/>
  <c r="R99" i="7"/>
  <c r="Q99" i="7"/>
  <c r="K99" i="7"/>
  <c r="N99" i="7" s="1"/>
  <c r="R98" i="7"/>
  <c r="Q98" i="7"/>
  <c r="K98" i="7"/>
  <c r="N98" i="7" s="1"/>
  <c r="R97" i="7"/>
  <c r="Q97" i="7"/>
  <c r="K97" i="7"/>
  <c r="N97" i="7" s="1"/>
  <c r="R96" i="7"/>
  <c r="Q96" i="7"/>
  <c r="K96" i="7"/>
  <c r="N96" i="7" s="1"/>
  <c r="R95" i="7"/>
  <c r="Q95" i="7"/>
  <c r="K95" i="7"/>
  <c r="N95" i="7" s="1"/>
  <c r="R94" i="7"/>
  <c r="Q94" i="7"/>
  <c r="K94" i="7"/>
  <c r="N94" i="7" s="1"/>
  <c r="R93" i="7"/>
  <c r="Q93" i="7"/>
  <c r="K93" i="7"/>
  <c r="N93" i="7" s="1"/>
  <c r="R92" i="7"/>
  <c r="Q92" i="7"/>
  <c r="K92" i="7"/>
  <c r="N92" i="7" s="1"/>
  <c r="R91" i="7"/>
  <c r="Q91" i="7"/>
  <c r="K91" i="7"/>
  <c r="N91" i="7" s="1"/>
  <c r="R90" i="7"/>
  <c r="Q90" i="7"/>
  <c r="K90" i="7"/>
  <c r="N90" i="7" s="1"/>
  <c r="R89" i="7"/>
  <c r="Q89" i="7"/>
  <c r="K89" i="7"/>
  <c r="N89" i="7" s="1"/>
  <c r="R88" i="7"/>
  <c r="Q88" i="7"/>
  <c r="K88" i="7"/>
  <c r="N88" i="7" s="1"/>
  <c r="R87" i="7"/>
  <c r="Q87" i="7"/>
  <c r="K87" i="7"/>
  <c r="N87" i="7" s="1"/>
  <c r="R86" i="7"/>
  <c r="Q86" i="7"/>
  <c r="K86" i="7"/>
  <c r="N86" i="7" s="1"/>
  <c r="R85" i="7"/>
  <c r="Q85" i="7"/>
  <c r="K85" i="7"/>
  <c r="N85" i="7" s="1"/>
  <c r="R84" i="7"/>
  <c r="Q84" i="7"/>
  <c r="K84" i="7"/>
  <c r="N84" i="7" s="1"/>
  <c r="R83" i="7"/>
  <c r="Q83" i="7"/>
  <c r="K83" i="7"/>
  <c r="N83" i="7" s="1"/>
  <c r="R82" i="7"/>
  <c r="Q82" i="7"/>
  <c r="K82" i="7"/>
  <c r="N82" i="7" s="1"/>
  <c r="R81" i="7"/>
  <c r="Q81" i="7"/>
  <c r="K81" i="7"/>
  <c r="N81" i="7" s="1"/>
  <c r="R80" i="7"/>
  <c r="Q80" i="7"/>
  <c r="K80" i="7"/>
  <c r="N80" i="7" s="1"/>
  <c r="R79" i="7"/>
  <c r="Q79" i="7"/>
  <c r="K79" i="7"/>
  <c r="N79" i="7" s="1"/>
  <c r="R78" i="7"/>
  <c r="Q78" i="7"/>
  <c r="K78" i="7"/>
  <c r="N78" i="7" s="1"/>
  <c r="R77" i="7"/>
  <c r="Q77" i="7"/>
  <c r="K77" i="7"/>
  <c r="N77" i="7" s="1"/>
  <c r="R76" i="7"/>
  <c r="Q76" i="7"/>
  <c r="K76" i="7"/>
  <c r="N76" i="7" s="1"/>
  <c r="R75" i="7"/>
  <c r="Q75" i="7"/>
  <c r="K75" i="7"/>
  <c r="N75" i="7" s="1"/>
  <c r="R74" i="7"/>
  <c r="Q74" i="7"/>
  <c r="K74" i="7"/>
  <c r="N74" i="7" s="1"/>
  <c r="R73" i="7"/>
  <c r="Q73" i="7"/>
  <c r="K73" i="7"/>
  <c r="N73" i="7" s="1"/>
  <c r="R72" i="7"/>
  <c r="Q72" i="7"/>
  <c r="K72" i="7"/>
  <c r="N72" i="7" s="1"/>
  <c r="R71" i="7"/>
  <c r="Q71" i="7"/>
  <c r="K71" i="7"/>
  <c r="N71" i="7" s="1"/>
  <c r="R70" i="7"/>
  <c r="Q70" i="7"/>
  <c r="K70" i="7"/>
  <c r="N70" i="7" s="1"/>
  <c r="R69" i="7"/>
  <c r="Q69" i="7"/>
  <c r="K69" i="7"/>
  <c r="N69" i="7" s="1"/>
  <c r="R68" i="7"/>
  <c r="Q68" i="7"/>
  <c r="K68" i="7"/>
  <c r="N68" i="7" s="1"/>
  <c r="R67" i="7"/>
  <c r="Q67" i="7"/>
  <c r="K67" i="7"/>
  <c r="N67" i="7" s="1"/>
  <c r="R66" i="7"/>
  <c r="Q66" i="7"/>
  <c r="K66" i="7"/>
  <c r="N66" i="7" s="1"/>
  <c r="R65" i="7"/>
  <c r="Q65" i="7"/>
  <c r="K65" i="7"/>
  <c r="N65" i="7" s="1"/>
  <c r="R64" i="7"/>
  <c r="Q64" i="7"/>
  <c r="K64" i="7"/>
  <c r="N64" i="7" s="1"/>
  <c r="R63" i="7"/>
  <c r="Q63" i="7"/>
  <c r="K63" i="7"/>
  <c r="N63" i="7" s="1"/>
  <c r="R62" i="7"/>
  <c r="Q62" i="7"/>
  <c r="K62" i="7"/>
  <c r="N62" i="7" s="1"/>
  <c r="R61" i="7"/>
  <c r="Q61" i="7"/>
  <c r="K61" i="7"/>
  <c r="N61" i="7" s="1"/>
  <c r="R60" i="7"/>
  <c r="Q60" i="7"/>
  <c r="K60" i="7"/>
  <c r="N60" i="7" s="1"/>
  <c r="R59" i="7"/>
  <c r="Q59" i="7"/>
  <c r="K59" i="7"/>
  <c r="N59" i="7" s="1"/>
  <c r="R58" i="7"/>
  <c r="Q58" i="7"/>
  <c r="K58" i="7"/>
  <c r="N58" i="7" s="1"/>
  <c r="R57" i="7"/>
  <c r="Q57" i="7"/>
  <c r="K57" i="7"/>
  <c r="N57" i="7" s="1"/>
  <c r="R56" i="7"/>
  <c r="Q56" i="7"/>
  <c r="K56" i="7"/>
  <c r="N56" i="7" s="1"/>
  <c r="R55" i="7"/>
  <c r="Q55" i="7"/>
  <c r="K55" i="7"/>
  <c r="N55" i="7" s="1"/>
  <c r="R54" i="7"/>
  <c r="Q54" i="7"/>
  <c r="K54" i="7"/>
  <c r="N54" i="7" s="1"/>
  <c r="R53" i="7"/>
  <c r="Q53" i="7"/>
  <c r="K53" i="7"/>
  <c r="N53" i="7" s="1"/>
  <c r="R52" i="7"/>
  <c r="Q52" i="7"/>
  <c r="K52" i="7"/>
  <c r="N52" i="7" s="1"/>
  <c r="R51" i="7"/>
  <c r="Q51" i="7"/>
  <c r="K51" i="7"/>
  <c r="N51" i="7" s="1"/>
  <c r="R50" i="7"/>
  <c r="Q50" i="7"/>
  <c r="K50" i="7"/>
  <c r="N50" i="7" s="1"/>
  <c r="R49" i="7"/>
  <c r="Q49" i="7"/>
  <c r="K49" i="7"/>
  <c r="N49" i="7" s="1"/>
  <c r="R48" i="7"/>
  <c r="Q48" i="7"/>
  <c r="K48" i="7"/>
  <c r="N48" i="7" s="1"/>
  <c r="R47" i="7"/>
  <c r="Q47" i="7"/>
  <c r="K47" i="7"/>
  <c r="N47" i="7" s="1"/>
  <c r="R46" i="7"/>
  <c r="Q46" i="7"/>
  <c r="K46" i="7"/>
  <c r="N46" i="7" s="1"/>
  <c r="R45" i="7"/>
  <c r="Q45" i="7"/>
  <c r="K45" i="7"/>
  <c r="N45" i="7" s="1"/>
  <c r="R44" i="7"/>
  <c r="Q44" i="7"/>
  <c r="K44" i="7"/>
  <c r="N44" i="7" s="1"/>
  <c r="R43" i="7"/>
  <c r="Q43" i="7"/>
  <c r="K43" i="7"/>
  <c r="N43" i="7" s="1"/>
  <c r="R42" i="7"/>
  <c r="Q42" i="7"/>
  <c r="K42" i="7"/>
  <c r="N42" i="7" s="1"/>
  <c r="R41" i="7"/>
  <c r="Q41" i="7"/>
  <c r="K41" i="7"/>
  <c r="N41" i="7" s="1"/>
  <c r="R40" i="7"/>
  <c r="Q40" i="7"/>
  <c r="K40" i="7"/>
  <c r="N40" i="7" s="1"/>
  <c r="R39" i="7"/>
  <c r="Q39" i="7"/>
  <c r="K39" i="7"/>
  <c r="N39" i="7" s="1"/>
  <c r="R38" i="7"/>
  <c r="Q38" i="7"/>
  <c r="K38" i="7"/>
  <c r="N38" i="7" s="1"/>
  <c r="R37" i="7"/>
  <c r="Q37" i="7"/>
  <c r="K37" i="7"/>
  <c r="N37" i="7" s="1"/>
  <c r="R36" i="7"/>
  <c r="Q36" i="7"/>
  <c r="K36" i="7"/>
  <c r="N36" i="7" s="1"/>
  <c r="R35" i="7"/>
  <c r="Q35" i="7"/>
  <c r="K35" i="7"/>
  <c r="N35" i="7" s="1"/>
  <c r="R34" i="7"/>
  <c r="Q34" i="7"/>
  <c r="K34" i="7"/>
  <c r="N34" i="7" s="1"/>
  <c r="R33" i="7"/>
  <c r="Q33" i="7"/>
  <c r="K33" i="7"/>
  <c r="N33" i="7" s="1"/>
  <c r="R32" i="7"/>
  <c r="Q32" i="7"/>
  <c r="K32" i="7"/>
  <c r="N32" i="7" s="1"/>
  <c r="R31" i="7"/>
  <c r="Q31" i="7"/>
  <c r="K31" i="7"/>
  <c r="N31" i="7" s="1"/>
  <c r="R30" i="7"/>
  <c r="Q30" i="7"/>
  <c r="K30" i="7"/>
  <c r="N30" i="7" s="1"/>
  <c r="R29" i="7"/>
  <c r="Q29" i="7"/>
  <c r="K29" i="7"/>
  <c r="N29" i="7" s="1"/>
  <c r="R28" i="7"/>
  <c r="Q28" i="7"/>
  <c r="K28" i="7"/>
  <c r="N28" i="7" s="1"/>
  <c r="R27" i="7"/>
  <c r="Q27" i="7"/>
  <c r="K27" i="7"/>
  <c r="N27" i="7" s="1"/>
  <c r="R26" i="7"/>
  <c r="Q26" i="7"/>
  <c r="K26" i="7"/>
  <c r="N26" i="7" s="1"/>
  <c r="R25" i="7"/>
  <c r="Q25" i="7"/>
  <c r="K25" i="7"/>
  <c r="N25" i="7" s="1"/>
  <c r="R24" i="7"/>
  <c r="Q24" i="7"/>
  <c r="K24" i="7"/>
  <c r="N24" i="7" s="1"/>
  <c r="R23" i="7"/>
  <c r="Q23" i="7"/>
  <c r="K23" i="7"/>
  <c r="N23" i="7" s="1"/>
  <c r="R22" i="7"/>
  <c r="Q22" i="7"/>
  <c r="K22" i="7"/>
  <c r="N22" i="7" s="1"/>
  <c r="R21" i="7"/>
  <c r="Q21" i="7"/>
  <c r="K21" i="7"/>
  <c r="N21" i="7" s="1"/>
  <c r="R20" i="7"/>
  <c r="Q20" i="7"/>
  <c r="K20" i="7"/>
  <c r="N20" i="7" s="1"/>
  <c r="R19" i="7"/>
  <c r="Q19" i="7"/>
  <c r="K19" i="7"/>
  <c r="N19" i="7" s="1"/>
  <c r="R18" i="7"/>
  <c r="Q18" i="7"/>
  <c r="K18" i="7"/>
  <c r="N18" i="7" s="1"/>
  <c r="R17" i="7"/>
  <c r="Q17" i="7"/>
  <c r="K17" i="7"/>
  <c r="N17" i="7" s="1"/>
  <c r="R16" i="7"/>
  <c r="Q16" i="7"/>
  <c r="K16" i="7"/>
  <c r="N16" i="7" s="1"/>
  <c r="R15" i="7"/>
  <c r="Q15" i="7"/>
  <c r="K15" i="7"/>
  <c r="N15" i="7" s="1"/>
  <c r="R14" i="7"/>
  <c r="Q14" i="7"/>
  <c r="K14" i="7"/>
  <c r="N14" i="7" s="1"/>
  <c r="R13" i="7"/>
  <c r="Q13" i="7"/>
  <c r="K13" i="7"/>
  <c r="N13" i="7" s="1"/>
  <c r="R12" i="7"/>
  <c r="Q12" i="7"/>
  <c r="K12" i="7"/>
  <c r="N12" i="7" s="1"/>
  <c r="R11" i="7"/>
  <c r="Q11" i="7"/>
  <c r="K11" i="7"/>
  <c r="N11" i="7" s="1"/>
  <c r="R10" i="7"/>
  <c r="Q10" i="7"/>
  <c r="K10" i="7"/>
  <c r="N10" i="7" s="1"/>
  <c r="R9" i="7"/>
  <c r="Q9" i="7"/>
  <c r="K9" i="7"/>
  <c r="N9" i="7" s="1"/>
  <c r="R8" i="7"/>
  <c r="Q8" i="7"/>
  <c r="K8" i="7"/>
  <c r="N8" i="7" s="1"/>
  <c r="R7" i="7"/>
  <c r="Q7" i="7"/>
  <c r="K7" i="7"/>
  <c r="N7" i="7" s="1"/>
  <c r="R6" i="7"/>
  <c r="Q6" i="7"/>
  <c r="K6" i="7"/>
  <c r="N6" i="7" s="1"/>
  <c r="R5" i="7"/>
  <c r="Q5" i="7"/>
  <c r="K5" i="7"/>
  <c r="N5" i="7" s="1"/>
  <c r="R4" i="7"/>
  <c r="Q4" i="7"/>
  <c r="K4" i="7"/>
  <c r="N4" i="7" s="1"/>
  <c r="R3" i="7"/>
  <c r="Q3" i="7"/>
  <c r="K3" i="7"/>
  <c r="N3" i="7" s="1"/>
  <c r="R2" i="7"/>
  <c r="Q2" i="7"/>
  <c r="K2" i="7"/>
  <c r="N2" i="7" s="1"/>
  <c r="K123" i="6"/>
  <c r="C123" i="6"/>
  <c r="L121" i="6"/>
  <c r="E121" i="6"/>
  <c r="D121" i="6"/>
  <c r="L120" i="6"/>
  <c r="E120" i="6"/>
  <c r="D120" i="6"/>
  <c r="L119" i="6"/>
  <c r="E119" i="6"/>
  <c r="D119" i="6"/>
  <c r="L118" i="6"/>
  <c r="E118" i="6"/>
  <c r="D118" i="6"/>
  <c r="L117" i="6"/>
  <c r="E117" i="6"/>
  <c r="D117" i="6"/>
  <c r="L116" i="6"/>
  <c r="E116" i="6"/>
  <c r="D116" i="6"/>
  <c r="L115" i="6"/>
  <c r="E115" i="6"/>
  <c r="D115" i="6"/>
  <c r="L114" i="6"/>
  <c r="E114" i="6"/>
  <c r="D114" i="6"/>
  <c r="L113" i="6"/>
  <c r="E113" i="6"/>
  <c r="D113" i="6"/>
  <c r="L112" i="6"/>
  <c r="E112" i="6"/>
  <c r="D112" i="6"/>
  <c r="L111" i="6"/>
  <c r="L110" i="6"/>
  <c r="E110" i="6"/>
  <c r="D110" i="6"/>
  <c r="L109" i="6"/>
  <c r="E109" i="6"/>
  <c r="D109" i="6"/>
  <c r="L108" i="6"/>
  <c r="E108" i="6"/>
  <c r="D108" i="6"/>
  <c r="L107" i="6"/>
  <c r="E107" i="6"/>
  <c r="D107" i="6"/>
  <c r="L106" i="6"/>
  <c r="E106" i="6"/>
  <c r="D106" i="6"/>
  <c r="L105" i="6"/>
  <c r="E105" i="6"/>
  <c r="D105" i="6"/>
  <c r="L104" i="6"/>
  <c r="E104" i="6"/>
  <c r="D104" i="6"/>
  <c r="L103" i="6"/>
  <c r="E103" i="6"/>
  <c r="D103" i="6"/>
  <c r="L102" i="6"/>
  <c r="E102" i="6"/>
  <c r="D102" i="6"/>
  <c r="L101" i="6"/>
  <c r="E101" i="6"/>
  <c r="D101" i="6"/>
  <c r="L100" i="6"/>
  <c r="E100" i="6"/>
  <c r="D100" i="6"/>
  <c r="L99" i="6"/>
  <c r="E99" i="6"/>
  <c r="D99" i="6"/>
  <c r="L98" i="6"/>
  <c r="E98" i="6"/>
  <c r="D98" i="6"/>
  <c r="L97" i="6"/>
  <c r="E97" i="6"/>
  <c r="D97" i="6"/>
  <c r="L96" i="6"/>
  <c r="E96" i="6"/>
  <c r="D96" i="6"/>
  <c r="L95" i="6"/>
  <c r="E95" i="6"/>
  <c r="D95" i="6"/>
  <c r="L94" i="6"/>
  <c r="E94" i="6"/>
  <c r="D94" i="6"/>
  <c r="L93" i="6"/>
  <c r="E93" i="6"/>
  <c r="D93" i="6"/>
  <c r="L92" i="6"/>
  <c r="E92" i="6"/>
  <c r="D92" i="6"/>
  <c r="L91" i="6"/>
  <c r="E91" i="6"/>
  <c r="D91" i="6"/>
  <c r="L90" i="6"/>
  <c r="E90" i="6"/>
  <c r="D90" i="6"/>
  <c r="L89" i="6"/>
  <c r="E89" i="6"/>
  <c r="D89" i="6"/>
  <c r="L88" i="6"/>
  <c r="E88" i="6"/>
  <c r="D88" i="6"/>
  <c r="L87" i="6"/>
  <c r="E87" i="6"/>
  <c r="D87" i="6"/>
  <c r="L86" i="6"/>
  <c r="E86" i="6"/>
  <c r="D86" i="6"/>
  <c r="L85" i="6"/>
  <c r="E85" i="6"/>
  <c r="D85" i="6"/>
  <c r="L84" i="6"/>
  <c r="E84" i="6"/>
  <c r="D84" i="6"/>
  <c r="L83" i="6"/>
  <c r="E83" i="6"/>
  <c r="D83" i="6"/>
  <c r="L82" i="6"/>
  <c r="E82" i="6"/>
  <c r="D82" i="6"/>
  <c r="L81" i="6"/>
  <c r="E81" i="6"/>
  <c r="D81" i="6"/>
  <c r="L80" i="6"/>
  <c r="E80" i="6"/>
  <c r="D80" i="6"/>
  <c r="L79" i="6"/>
  <c r="E79" i="6"/>
  <c r="D79" i="6"/>
  <c r="L78" i="6"/>
  <c r="E78" i="6"/>
  <c r="D78" i="6"/>
  <c r="L77" i="6"/>
  <c r="E77" i="6"/>
  <c r="D77" i="6"/>
  <c r="L76" i="6"/>
  <c r="E76" i="6"/>
  <c r="D76" i="6"/>
  <c r="L75" i="6"/>
  <c r="E75" i="6"/>
  <c r="D75" i="6"/>
  <c r="L74" i="6"/>
  <c r="E74" i="6"/>
  <c r="D74" i="6"/>
  <c r="L73" i="6"/>
  <c r="E73" i="6"/>
  <c r="D73" i="6"/>
  <c r="L72" i="6"/>
  <c r="E72" i="6"/>
  <c r="D72" i="6"/>
  <c r="L71" i="6"/>
  <c r="E71" i="6"/>
  <c r="D71" i="6"/>
  <c r="L70" i="6"/>
  <c r="E70" i="6"/>
  <c r="D70" i="6"/>
  <c r="L69" i="6"/>
  <c r="E69" i="6"/>
  <c r="D69" i="6"/>
  <c r="L68" i="6"/>
  <c r="E68" i="6"/>
  <c r="D68" i="6"/>
  <c r="L67" i="6"/>
  <c r="E67" i="6"/>
  <c r="D67" i="6"/>
  <c r="L66" i="6"/>
  <c r="E66" i="6"/>
  <c r="D66" i="6"/>
  <c r="L65" i="6"/>
  <c r="E65" i="6"/>
  <c r="D65" i="6"/>
  <c r="L64" i="6"/>
  <c r="E64" i="6"/>
  <c r="D64" i="6"/>
  <c r="L63" i="6"/>
  <c r="E63" i="6"/>
  <c r="D63" i="6"/>
  <c r="L62" i="6"/>
  <c r="E62" i="6"/>
  <c r="D62" i="6"/>
  <c r="L61" i="6"/>
  <c r="E61" i="6"/>
  <c r="D61" i="6"/>
  <c r="L60" i="6"/>
  <c r="E60" i="6"/>
  <c r="D60" i="6"/>
  <c r="L59" i="6"/>
  <c r="E59" i="6"/>
  <c r="D59" i="6"/>
  <c r="L58" i="6"/>
  <c r="E58" i="6"/>
  <c r="D58" i="6"/>
  <c r="L57" i="6"/>
  <c r="E57" i="6"/>
  <c r="D57" i="6"/>
  <c r="L56" i="6"/>
  <c r="L55" i="6"/>
  <c r="E55" i="6"/>
  <c r="D55" i="6"/>
  <c r="L54" i="6"/>
  <c r="E54" i="6"/>
  <c r="D54" i="6"/>
  <c r="L53" i="6"/>
  <c r="E53" i="6"/>
  <c r="D53" i="6"/>
  <c r="L52" i="6"/>
  <c r="E52" i="6"/>
  <c r="D52" i="6"/>
  <c r="L51" i="6"/>
  <c r="E51" i="6"/>
  <c r="D51" i="6"/>
  <c r="L50" i="6"/>
  <c r="E50" i="6"/>
  <c r="D50" i="6"/>
  <c r="L49" i="6"/>
  <c r="E49" i="6"/>
  <c r="D49" i="6"/>
  <c r="L48" i="6"/>
  <c r="E48" i="6"/>
  <c r="D48" i="6"/>
  <c r="L47" i="6"/>
  <c r="E47" i="6"/>
  <c r="D47" i="6"/>
  <c r="L46" i="6"/>
  <c r="E46" i="6"/>
  <c r="D46" i="6"/>
  <c r="L45" i="6"/>
  <c r="E45" i="6"/>
  <c r="D45" i="6"/>
  <c r="L44" i="6"/>
  <c r="E44" i="6"/>
  <c r="D44" i="6"/>
  <c r="L43" i="6"/>
  <c r="E43" i="6"/>
  <c r="D43" i="6"/>
  <c r="L42" i="6"/>
  <c r="E42" i="6"/>
  <c r="D42" i="6"/>
  <c r="L41" i="6"/>
  <c r="E41" i="6"/>
  <c r="D41" i="6"/>
  <c r="L40" i="6"/>
  <c r="E40" i="6"/>
  <c r="D40" i="6"/>
  <c r="L39" i="6"/>
  <c r="E39" i="6"/>
  <c r="D39" i="6"/>
  <c r="L38" i="6"/>
  <c r="E38" i="6"/>
  <c r="D38" i="6"/>
  <c r="L37" i="6"/>
  <c r="E37" i="6"/>
  <c r="D37" i="6"/>
  <c r="L36" i="6"/>
  <c r="E36" i="6"/>
  <c r="D36" i="6"/>
  <c r="L35" i="6"/>
  <c r="E35" i="6"/>
  <c r="D35" i="6"/>
  <c r="L34" i="6"/>
  <c r="E34" i="6"/>
  <c r="D34" i="6"/>
  <c r="L33" i="6"/>
  <c r="E33" i="6"/>
  <c r="D33" i="6"/>
  <c r="L32" i="6"/>
  <c r="E32" i="6"/>
  <c r="D32" i="6"/>
  <c r="L31" i="6"/>
  <c r="E31" i="6"/>
  <c r="D31" i="6"/>
  <c r="L30" i="6"/>
  <c r="E30" i="6"/>
  <c r="D30" i="6"/>
  <c r="L29" i="6"/>
  <c r="E29" i="6"/>
  <c r="D29" i="6"/>
  <c r="L28" i="6"/>
  <c r="E28" i="6"/>
  <c r="D28" i="6"/>
  <c r="L27" i="6"/>
  <c r="E27" i="6"/>
  <c r="D27" i="6"/>
  <c r="L26" i="6"/>
  <c r="E26" i="6"/>
  <c r="D26" i="6"/>
  <c r="L25" i="6"/>
  <c r="E25" i="6"/>
  <c r="D25" i="6"/>
  <c r="L24" i="6"/>
  <c r="E24" i="6"/>
  <c r="D24" i="6"/>
  <c r="L23" i="6"/>
  <c r="E23" i="6"/>
  <c r="D23" i="6"/>
  <c r="L22" i="6"/>
  <c r="E22" i="6"/>
  <c r="D22" i="6"/>
  <c r="L21" i="6"/>
  <c r="E21" i="6"/>
  <c r="D21" i="6"/>
  <c r="L20" i="6"/>
  <c r="E20" i="6"/>
  <c r="D20" i="6"/>
  <c r="L19" i="6"/>
  <c r="E19" i="6"/>
  <c r="D19" i="6"/>
  <c r="L18" i="6"/>
  <c r="E18" i="6"/>
  <c r="D18" i="6"/>
  <c r="L17" i="6"/>
  <c r="E17" i="6"/>
  <c r="D17" i="6"/>
  <c r="L16" i="6"/>
  <c r="E16" i="6"/>
  <c r="D16" i="6"/>
  <c r="L15" i="6"/>
  <c r="E15" i="6"/>
  <c r="D15" i="6"/>
  <c r="L14" i="6"/>
  <c r="E14" i="6"/>
  <c r="D14" i="6"/>
  <c r="L13" i="6"/>
  <c r="E13" i="6"/>
  <c r="D13" i="6"/>
  <c r="L12" i="6"/>
  <c r="E12" i="6"/>
  <c r="D12" i="6"/>
  <c r="L11" i="6"/>
  <c r="E11" i="6"/>
  <c r="D11" i="6"/>
  <c r="L10" i="6"/>
  <c r="E10" i="6"/>
  <c r="D10" i="6"/>
  <c r="L9" i="6"/>
  <c r="E9" i="6"/>
  <c r="D9" i="6"/>
  <c r="L8" i="6"/>
  <c r="E8" i="6"/>
  <c r="D8" i="6"/>
  <c r="L7" i="6"/>
  <c r="E7" i="6"/>
  <c r="D7" i="6"/>
  <c r="L6" i="6"/>
  <c r="E6" i="6"/>
  <c r="D6" i="6"/>
  <c r="O5" i="6"/>
  <c r="L5" i="6"/>
  <c r="E5" i="6"/>
  <c r="D5" i="6"/>
  <c r="L4" i="6"/>
  <c r="E4" i="6"/>
  <c r="D4" i="6"/>
  <c r="L3" i="6"/>
  <c r="E3" i="6"/>
  <c r="D3" i="6"/>
  <c r="L2" i="6"/>
  <c r="E2" i="6"/>
  <c r="D2" i="6"/>
  <c r="N343" i="5"/>
  <c r="M343" i="5"/>
  <c r="L343" i="5"/>
  <c r="K343" i="5"/>
  <c r="H343" i="5"/>
  <c r="E343" i="5"/>
  <c r="N342" i="5"/>
  <c r="M342" i="5"/>
  <c r="L342" i="5"/>
  <c r="K342" i="5"/>
  <c r="H342" i="5"/>
  <c r="E342" i="5"/>
  <c r="N341" i="5"/>
  <c r="M341" i="5"/>
  <c r="L341" i="5"/>
  <c r="K341" i="5"/>
  <c r="H341" i="5"/>
  <c r="E341" i="5"/>
  <c r="N340" i="5"/>
  <c r="M340" i="5"/>
  <c r="L340" i="5"/>
  <c r="K340" i="5"/>
  <c r="H340" i="5"/>
  <c r="E340" i="5"/>
  <c r="N339" i="5"/>
  <c r="M339" i="5"/>
  <c r="L339" i="5"/>
  <c r="K339" i="5"/>
  <c r="H339" i="5"/>
  <c r="E339" i="5"/>
  <c r="N338" i="5"/>
  <c r="M338" i="5"/>
  <c r="L338" i="5"/>
  <c r="K338" i="5"/>
  <c r="H338" i="5"/>
  <c r="E338" i="5"/>
  <c r="N337" i="5"/>
  <c r="M337" i="5"/>
  <c r="L337" i="5"/>
  <c r="K337" i="5"/>
  <c r="H337" i="5"/>
  <c r="E337" i="5"/>
  <c r="N336" i="5"/>
  <c r="M336" i="5"/>
  <c r="L336" i="5"/>
  <c r="K336" i="5"/>
  <c r="H336" i="5"/>
  <c r="E336" i="5"/>
  <c r="N335" i="5"/>
  <c r="M335" i="5"/>
  <c r="L335" i="5"/>
  <c r="K335" i="5"/>
  <c r="H335" i="5"/>
  <c r="E335" i="5"/>
  <c r="N334" i="5"/>
  <c r="M334" i="5"/>
  <c r="L334" i="5"/>
  <c r="K334" i="5"/>
  <c r="H334" i="5"/>
  <c r="E334" i="5"/>
  <c r="N333" i="5"/>
  <c r="M333" i="5"/>
  <c r="L333" i="5"/>
  <c r="K333" i="5"/>
  <c r="H333" i="5"/>
  <c r="E333" i="5"/>
  <c r="N332" i="5"/>
  <c r="M332" i="5"/>
  <c r="L332" i="5"/>
  <c r="K332" i="5"/>
  <c r="H332" i="5"/>
  <c r="E332" i="5"/>
  <c r="N331" i="5"/>
  <c r="M331" i="5"/>
  <c r="L331" i="5"/>
  <c r="K331" i="5"/>
  <c r="H331" i="5"/>
  <c r="E331" i="5"/>
  <c r="N330" i="5"/>
  <c r="M330" i="5"/>
  <c r="L330" i="5"/>
  <c r="K330" i="5"/>
  <c r="H330" i="5"/>
  <c r="E330" i="5"/>
  <c r="N329" i="5"/>
  <c r="M329" i="5"/>
  <c r="L329" i="5"/>
  <c r="K329" i="5"/>
  <c r="H329" i="5"/>
  <c r="E329" i="5"/>
  <c r="N328" i="5"/>
  <c r="M328" i="5"/>
  <c r="L328" i="5"/>
  <c r="K328" i="5"/>
  <c r="H328" i="5"/>
  <c r="E328" i="5"/>
  <c r="N327" i="5"/>
  <c r="M327" i="5"/>
  <c r="L327" i="5"/>
  <c r="K327" i="5"/>
  <c r="H327" i="5"/>
  <c r="E327" i="5"/>
  <c r="N326" i="5"/>
  <c r="M326" i="5"/>
  <c r="L326" i="5"/>
  <c r="K326" i="5"/>
  <c r="H326" i="5"/>
  <c r="E326" i="5"/>
  <c r="N325" i="5"/>
  <c r="M325" i="5"/>
  <c r="L325" i="5"/>
  <c r="K325" i="5"/>
  <c r="H325" i="5"/>
  <c r="E325" i="5"/>
  <c r="N324" i="5"/>
  <c r="M324" i="5"/>
  <c r="L324" i="5"/>
  <c r="K324" i="5"/>
  <c r="H324" i="5"/>
  <c r="E324" i="5"/>
  <c r="N323" i="5"/>
  <c r="M323" i="5"/>
  <c r="L323" i="5"/>
  <c r="K323" i="5"/>
  <c r="H323" i="5"/>
  <c r="E323" i="5"/>
  <c r="N322" i="5"/>
  <c r="M322" i="5"/>
  <c r="L322" i="5"/>
  <c r="K322" i="5"/>
  <c r="H322" i="5"/>
  <c r="E322" i="5"/>
  <c r="N321" i="5"/>
  <c r="M321" i="5"/>
  <c r="L321" i="5"/>
  <c r="K321" i="5"/>
  <c r="H321" i="5"/>
  <c r="E321" i="5"/>
  <c r="N320" i="5"/>
  <c r="M320" i="5"/>
  <c r="L320" i="5"/>
  <c r="K320" i="5"/>
  <c r="H320" i="5"/>
  <c r="E320" i="5"/>
  <c r="N319" i="5"/>
  <c r="M319" i="5"/>
  <c r="L319" i="5"/>
  <c r="K319" i="5"/>
  <c r="H319" i="5"/>
  <c r="E319" i="5"/>
  <c r="N318" i="5"/>
  <c r="M318" i="5"/>
  <c r="L318" i="5"/>
  <c r="K318" i="5"/>
  <c r="H318" i="5"/>
  <c r="E318" i="5"/>
  <c r="N317" i="5"/>
  <c r="M317" i="5"/>
  <c r="L317" i="5"/>
  <c r="K317" i="5"/>
  <c r="H317" i="5"/>
  <c r="E317" i="5"/>
  <c r="N316" i="5"/>
  <c r="M316" i="5"/>
  <c r="L316" i="5"/>
  <c r="K316" i="5"/>
  <c r="H316" i="5"/>
  <c r="E316" i="5"/>
  <c r="N315" i="5"/>
  <c r="M315" i="5"/>
  <c r="L315" i="5"/>
  <c r="K315" i="5"/>
  <c r="H315" i="5"/>
  <c r="E315" i="5"/>
  <c r="N314" i="5"/>
  <c r="M314" i="5"/>
  <c r="L314" i="5"/>
  <c r="K314" i="5"/>
  <c r="H314" i="5"/>
  <c r="E314" i="5"/>
  <c r="N313" i="5"/>
  <c r="M313" i="5"/>
  <c r="L313" i="5"/>
  <c r="K313" i="5"/>
  <c r="H313" i="5"/>
  <c r="E313" i="5"/>
  <c r="N312" i="5"/>
  <c r="M312" i="5"/>
  <c r="L312" i="5"/>
  <c r="K312" i="5"/>
  <c r="H312" i="5"/>
  <c r="E312" i="5"/>
  <c r="N311" i="5"/>
  <c r="M311" i="5"/>
  <c r="L311" i="5"/>
  <c r="K311" i="5"/>
  <c r="H311" i="5"/>
  <c r="E311" i="5"/>
  <c r="N310" i="5"/>
  <c r="M310" i="5"/>
  <c r="L310" i="5"/>
  <c r="K310" i="5"/>
  <c r="H310" i="5"/>
  <c r="E310" i="5"/>
  <c r="N309" i="5"/>
  <c r="M309" i="5"/>
  <c r="L309" i="5"/>
  <c r="K309" i="5"/>
  <c r="H309" i="5"/>
  <c r="E309" i="5"/>
  <c r="N308" i="5"/>
  <c r="M308" i="5"/>
  <c r="L308" i="5"/>
  <c r="K308" i="5"/>
  <c r="H308" i="5"/>
  <c r="E308" i="5"/>
  <c r="N307" i="5"/>
  <c r="M307" i="5"/>
  <c r="L307" i="5"/>
  <c r="K307" i="5"/>
  <c r="H307" i="5"/>
  <c r="E307" i="5"/>
  <c r="N306" i="5"/>
  <c r="M306" i="5"/>
  <c r="L306" i="5"/>
  <c r="K306" i="5"/>
  <c r="H306" i="5"/>
  <c r="E306" i="5"/>
  <c r="N305" i="5"/>
  <c r="M305" i="5"/>
  <c r="L305" i="5"/>
  <c r="K305" i="5"/>
  <c r="H305" i="5"/>
  <c r="E305" i="5"/>
  <c r="N304" i="5"/>
  <c r="M304" i="5"/>
  <c r="L304" i="5"/>
  <c r="K304" i="5"/>
  <c r="H304" i="5"/>
  <c r="E304" i="5"/>
  <c r="N303" i="5"/>
  <c r="M303" i="5"/>
  <c r="L303" i="5"/>
  <c r="K303" i="5"/>
  <c r="H303" i="5"/>
  <c r="E303" i="5"/>
  <c r="N302" i="5"/>
  <c r="M302" i="5"/>
  <c r="L302" i="5"/>
  <c r="K302" i="5"/>
  <c r="H302" i="5"/>
  <c r="E302" i="5"/>
  <c r="N301" i="5"/>
  <c r="M301" i="5"/>
  <c r="L301" i="5"/>
  <c r="K301" i="5"/>
  <c r="H301" i="5"/>
  <c r="E301" i="5"/>
  <c r="N300" i="5"/>
  <c r="M300" i="5"/>
  <c r="L300" i="5"/>
  <c r="K300" i="5"/>
  <c r="H300" i="5"/>
  <c r="E300" i="5"/>
  <c r="N299" i="5"/>
  <c r="M299" i="5"/>
  <c r="L299" i="5"/>
  <c r="K299" i="5"/>
  <c r="H299" i="5"/>
  <c r="E299" i="5"/>
  <c r="N298" i="5"/>
  <c r="M298" i="5"/>
  <c r="L298" i="5"/>
  <c r="K298" i="5"/>
  <c r="H298" i="5"/>
  <c r="E298" i="5"/>
  <c r="N297" i="5"/>
  <c r="M297" i="5"/>
  <c r="L297" i="5"/>
  <c r="K297" i="5"/>
  <c r="H297" i="5"/>
  <c r="E297" i="5"/>
  <c r="N296" i="5"/>
  <c r="M296" i="5"/>
  <c r="L296" i="5"/>
  <c r="K296" i="5"/>
  <c r="H296" i="5"/>
  <c r="E296" i="5"/>
  <c r="N295" i="5"/>
  <c r="M295" i="5"/>
  <c r="L295" i="5"/>
  <c r="K295" i="5"/>
  <c r="H295" i="5"/>
  <c r="E295" i="5"/>
  <c r="N294" i="5"/>
  <c r="M294" i="5"/>
  <c r="L294" i="5"/>
  <c r="K294" i="5"/>
  <c r="H294" i="5"/>
  <c r="E294" i="5"/>
  <c r="N293" i="5"/>
  <c r="M293" i="5"/>
  <c r="L293" i="5"/>
  <c r="K293" i="5"/>
  <c r="H293" i="5"/>
  <c r="E293" i="5"/>
  <c r="N292" i="5"/>
  <c r="M292" i="5"/>
  <c r="L292" i="5"/>
  <c r="K292" i="5"/>
  <c r="H292" i="5"/>
  <c r="E292" i="5"/>
  <c r="N291" i="5"/>
  <c r="M291" i="5"/>
  <c r="L291" i="5"/>
  <c r="K291" i="5"/>
  <c r="H291" i="5"/>
  <c r="E291" i="5"/>
  <c r="N290" i="5"/>
  <c r="M290" i="5"/>
  <c r="L290" i="5"/>
  <c r="K290" i="5"/>
  <c r="H290" i="5"/>
  <c r="E290" i="5"/>
  <c r="N289" i="5"/>
  <c r="M289" i="5"/>
  <c r="L289" i="5"/>
  <c r="K289" i="5"/>
  <c r="H289" i="5"/>
  <c r="E289" i="5"/>
  <c r="N288" i="5"/>
  <c r="M288" i="5"/>
  <c r="L288" i="5"/>
  <c r="K288" i="5"/>
  <c r="H288" i="5"/>
  <c r="E288" i="5"/>
  <c r="N287" i="5"/>
  <c r="M287" i="5"/>
  <c r="L287" i="5"/>
  <c r="K287" i="5"/>
  <c r="H287" i="5"/>
  <c r="E287" i="5"/>
  <c r="N286" i="5"/>
  <c r="M286" i="5"/>
  <c r="L286" i="5"/>
  <c r="K286" i="5"/>
  <c r="H286" i="5"/>
  <c r="E286" i="5"/>
  <c r="N285" i="5"/>
  <c r="M285" i="5"/>
  <c r="L285" i="5"/>
  <c r="K285" i="5"/>
  <c r="H285" i="5"/>
  <c r="E285" i="5"/>
  <c r="N284" i="5"/>
  <c r="M284" i="5"/>
  <c r="L284" i="5"/>
  <c r="K284" i="5"/>
  <c r="H284" i="5"/>
  <c r="E284" i="5"/>
  <c r="N283" i="5"/>
  <c r="M283" i="5"/>
  <c r="L283" i="5"/>
  <c r="K283" i="5"/>
  <c r="H283" i="5"/>
  <c r="E283" i="5"/>
  <c r="N282" i="5"/>
  <c r="M282" i="5"/>
  <c r="L282" i="5"/>
  <c r="K282" i="5"/>
  <c r="H282" i="5"/>
  <c r="E282" i="5"/>
  <c r="N281" i="5"/>
  <c r="M281" i="5"/>
  <c r="L281" i="5"/>
  <c r="K281" i="5"/>
  <c r="H281" i="5"/>
  <c r="E281" i="5"/>
  <c r="N280" i="5"/>
  <c r="M280" i="5"/>
  <c r="L280" i="5"/>
  <c r="K280" i="5"/>
  <c r="H280" i="5"/>
  <c r="E280" i="5"/>
  <c r="N279" i="5"/>
  <c r="M279" i="5"/>
  <c r="L279" i="5"/>
  <c r="K279" i="5"/>
  <c r="H279" i="5"/>
  <c r="E279" i="5"/>
  <c r="N278" i="5"/>
  <c r="M278" i="5"/>
  <c r="L278" i="5"/>
  <c r="K278" i="5"/>
  <c r="H278" i="5"/>
  <c r="E278" i="5"/>
  <c r="N277" i="5"/>
  <c r="M277" i="5"/>
  <c r="L277" i="5"/>
  <c r="K277" i="5"/>
  <c r="H277" i="5"/>
  <c r="E277" i="5"/>
  <c r="N276" i="5"/>
  <c r="M276" i="5"/>
  <c r="L276" i="5"/>
  <c r="K276" i="5"/>
  <c r="H276" i="5"/>
  <c r="E276" i="5"/>
  <c r="N275" i="5"/>
  <c r="M275" i="5"/>
  <c r="L275" i="5"/>
  <c r="K275" i="5"/>
  <c r="H275" i="5"/>
  <c r="E275" i="5"/>
  <c r="N274" i="5"/>
  <c r="M274" i="5"/>
  <c r="L274" i="5"/>
  <c r="K274" i="5"/>
  <c r="H274" i="5"/>
  <c r="E274" i="5"/>
  <c r="N273" i="5"/>
  <c r="M273" i="5"/>
  <c r="L273" i="5"/>
  <c r="K273" i="5"/>
  <c r="H273" i="5"/>
  <c r="E273" i="5"/>
  <c r="N272" i="5"/>
  <c r="M272" i="5"/>
  <c r="L272" i="5"/>
  <c r="K272" i="5"/>
  <c r="H272" i="5"/>
  <c r="E272" i="5"/>
  <c r="N271" i="5"/>
  <c r="M271" i="5"/>
  <c r="L271" i="5"/>
  <c r="K271" i="5"/>
  <c r="H271" i="5"/>
  <c r="E271" i="5"/>
  <c r="N270" i="5"/>
  <c r="M270" i="5"/>
  <c r="L270" i="5"/>
  <c r="K270" i="5"/>
  <c r="H270" i="5"/>
  <c r="E270" i="5"/>
  <c r="N269" i="5"/>
  <c r="M269" i="5"/>
  <c r="L269" i="5"/>
  <c r="K269" i="5"/>
  <c r="H269" i="5"/>
  <c r="E269" i="5"/>
  <c r="N268" i="5"/>
  <c r="M268" i="5"/>
  <c r="L268" i="5"/>
  <c r="K268" i="5"/>
  <c r="H268" i="5"/>
  <c r="E268" i="5"/>
  <c r="N267" i="5"/>
  <c r="M267" i="5"/>
  <c r="L267" i="5"/>
  <c r="K267" i="5"/>
  <c r="H267" i="5"/>
  <c r="E267" i="5"/>
  <c r="N266" i="5"/>
  <c r="M266" i="5"/>
  <c r="L266" i="5"/>
  <c r="K266" i="5"/>
  <c r="H266" i="5"/>
  <c r="E266" i="5"/>
  <c r="N265" i="5"/>
  <c r="M265" i="5"/>
  <c r="L265" i="5"/>
  <c r="K265" i="5"/>
  <c r="H265" i="5"/>
  <c r="E265" i="5"/>
  <c r="N264" i="5"/>
  <c r="M264" i="5"/>
  <c r="L264" i="5"/>
  <c r="K264" i="5"/>
  <c r="H264" i="5"/>
  <c r="E264" i="5"/>
  <c r="N263" i="5"/>
  <c r="M263" i="5"/>
  <c r="L263" i="5"/>
  <c r="K263" i="5"/>
  <c r="H263" i="5"/>
  <c r="E263" i="5"/>
  <c r="N262" i="5"/>
  <c r="M262" i="5"/>
  <c r="L262" i="5"/>
  <c r="K262" i="5"/>
  <c r="H262" i="5"/>
  <c r="E262" i="5"/>
  <c r="N261" i="5"/>
  <c r="M261" i="5"/>
  <c r="L261" i="5"/>
  <c r="K261" i="5"/>
  <c r="H261" i="5"/>
  <c r="E261" i="5"/>
  <c r="N260" i="5"/>
  <c r="M260" i="5"/>
  <c r="L260" i="5"/>
  <c r="K260" i="5"/>
  <c r="H260" i="5"/>
  <c r="E260" i="5"/>
  <c r="N259" i="5"/>
  <c r="M259" i="5"/>
  <c r="L259" i="5"/>
  <c r="K259" i="5"/>
  <c r="H259" i="5"/>
  <c r="E259" i="5"/>
  <c r="N258" i="5"/>
  <c r="M258" i="5"/>
  <c r="L258" i="5"/>
  <c r="K258" i="5"/>
  <c r="H258" i="5"/>
  <c r="E258" i="5"/>
  <c r="N257" i="5"/>
  <c r="M257" i="5"/>
  <c r="L257" i="5"/>
  <c r="K257" i="5"/>
  <c r="H257" i="5"/>
  <c r="E257" i="5"/>
  <c r="N256" i="5"/>
  <c r="M256" i="5"/>
  <c r="L256" i="5"/>
  <c r="K256" i="5"/>
  <c r="H256" i="5"/>
  <c r="E256" i="5"/>
  <c r="N255" i="5"/>
  <c r="M255" i="5"/>
  <c r="L255" i="5"/>
  <c r="K255" i="5"/>
  <c r="H255" i="5"/>
  <c r="E255" i="5"/>
  <c r="N254" i="5"/>
  <c r="M254" i="5"/>
  <c r="L254" i="5"/>
  <c r="K254" i="5"/>
  <c r="H254" i="5"/>
  <c r="E254" i="5"/>
  <c r="N253" i="5"/>
  <c r="M253" i="5"/>
  <c r="L253" i="5"/>
  <c r="K253" i="5"/>
  <c r="H253" i="5"/>
  <c r="E253" i="5"/>
  <c r="N252" i="5"/>
  <c r="M252" i="5"/>
  <c r="L252" i="5"/>
  <c r="K252" i="5"/>
  <c r="H252" i="5"/>
  <c r="E252" i="5"/>
  <c r="N251" i="5"/>
  <c r="M251" i="5"/>
  <c r="L251" i="5"/>
  <c r="K251" i="5"/>
  <c r="H251" i="5"/>
  <c r="E251" i="5"/>
  <c r="N250" i="5"/>
  <c r="M250" i="5"/>
  <c r="L250" i="5"/>
  <c r="K250" i="5"/>
  <c r="H250" i="5"/>
  <c r="E250" i="5"/>
  <c r="N249" i="5"/>
  <c r="M249" i="5"/>
  <c r="L249" i="5"/>
  <c r="K249" i="5"/>
  <c r="H249" i="5"/>
  <c r="E249" i="5"/>
  <c r="N248" i="5"/>
  <c r="M248" i="5"/>
  <c r="L248" i="5"/>
  <c r="K248" i="5"/>
  <c r="H248" i="5"/>
  <c r="E248" i="5"/>
  <c r="N247" i="5"/>
  <c r="M247" i="5"/>
  <c r="L247" i="5"/>
  <c r="K247" i="5"/>
  <c r="H247" i="5"/>
  <c r="E247" i="5"/>
  <c r="N246" i="5"/>
  <c r="M246" i="5"/>
  <c r="L246" i="5"/>
  <c r="K246" i="5"/>
  <c r="H246" i="5"/>
  <c r="E246" i="5"/>
  <c r="N245" i="5"/>
  <c r="M245" i="5"/>
  <c r="L245" i="5"/>
  <c r="K245" i="5"/>
  <c r="H245" i="5"/>
  <c r="E245" i="5"/>
  <c r="N244" i="5"/>
  <c r="M244" i="5"/>
  <c r="L244" i="5"/>
  <c r="K244" i="5"/>
  <c r="H244" i="5"/>
  <c r="E244" i="5"/>
  <c r="N243" i="5"/>
  <c r="M243" i="5"/>
  <c r="L243" i="5"/>
  <c r="K243" i="5"/>
  <c r="H243" i="5"/>
  <c r="E243" i="5"/>
  <c r="N242" i="5"/>
  <c r="M242" i="5"/>
  <c r="L242" i="5"/>
  <c r="K242" i="5"/>
  <c r="H242" i="5"/>
  <c r="E242" i="5"/>
  <c r="N241" i="5"/>
  <c r="M241" i="5"/>
  <c r="L241" i="5"/>
  <c r="K241" i="5"/>
  <c r="H241" i="5"/>
  <c r="E241" i="5"/>
  <c r="N240" i="5"/>
  <c r="M240" i="5"/>
  <c r="L240" i="5"/>
  <c r="K240" i="5"/>
  <c r="H240" i="5"/>
  <c r="E240" i="5"/>
  <c r="N239" i="5"/>
  <c r="M239" i="5"/>
  <c r="L239" i="5"/>
  <c r="K239" i="5"/>
  <c r="H239" i="5"/>
  <c r="E239" i="5"/>
  <c r="N238" i="5"/>
  <c r="M238" i="5"/>
  <c r="L238" i="5"/>
  <c r="K238" i="5"/>
  <c r="H238" i="5"/>
  <c r="E238" i="5"/>
  <c r="N237" i="5"/>
  <c r="M237" i="5"/>
  <c r="L237" i="5"/>
  <c r="K237" i="5"/>
  <c r="H237" i="5"/>
  <c r="E237" i="5"/>
  <c r="N236" i="5"/>
  <c r="M236" i="5"/>
  <c r="L236" i="5"/>
  <c r="K236" i="5"/>
  <c r="H236" i="5"/>
  <c r="E236" i="5"/>
  <c r="N235" i="5"/>
  <c r="M235" i="5"/>
  <c r="L235" i="5"/>
  <c r="K235" i="5"/>
  <c r="H235" i="5"/>
  <c r="E235" i="5"/>
  <c r="N234" i="5"/>
  <c r="M234" i="5"/>
  <c r="L234" i="5"/>
  <c r="K234" i="5"/>
  <c r="H234" i="5"/>
  <c r="E234" i="5"/>
  <c r="N233" i="5"/>
  <c r="M233" i="5"/>
  <c r="L233" i="5"/>
  <c r="K233" i="5"/>
  <c r="H233" i="5"/>
  <c r="E233" i="5"/>
  <c r="N232" i="5"/>
  <c r="M232" i="5"/>
  <c r="L232" i="5"/>
  <c r="K232" i="5"/>
  <c r="H232" i="5"/>
  <c r="E232" i="5"/>
  <c r="N231" i="5"/>
  <c r="M231" i="5"/>
  <c r="L231" i="5"/>
  <c r="K231" i="5"/>
  <c r="H231" i="5"/>
  <c r="E231" i="5"/>
  <c r="N230" i="5"/>
  <c r="M230" i="5"/>
  <c r="L230" i="5"/>
  <c r="K230" i="5"/>
  <c r="H230" i="5"/>
  <c r="E230" i="5"/>
  <c r="N229" i="5"/>
  <c r="M229" i="5"/>
  <c r="L229" i="5"/>
  <c r="K229" i="5"/>
  <c r="H229" i="5"/>
  <c r="E229" i="5"/>
  <c r="N228" i="5"/>
  <c r="M228" i="5"/>
  <c r="L228" i="5"/>
  <c r="K228" i="5"/>
  <c r="H228" i="5"/>
  <c r="E228" i="5"/>
  <c r="N227" i="5"/>
  <c r="M227" i="5"/>
  <c r="L227" i="5"/>
  <c r="K227" i="5"/>
  <c r="H227" i="5"/>
  <c r="E227" i="5"/>
  <c r="N226" i="5"/>
  <c r="M226" i="5"/>
  <c r="L226" i="5"/>
  <c r="K226" i="5"/>
  <c r="H226" i="5"/>
  <c r="E226" i="5"/>
  <c r="N225" i="5"/>
  <c r="M225" i="5"/>
  <c r="L225" i="5"/>
  <c r="K225" i="5"/>
  <c r="H225" i="5"/>
  <c r="E225" i="5"/>
  <c r="N224" i="5"/>
  <c r="M224" i="5"/>
  <c r="L224" i="5"/>
  <c r="K224" i="5"/>
  <c r="H224" i="5"/>
  <c r="E224" i="5"/>
  <c r="N223" i="5"/>
  <c r="M223" i="5"/>
  <c r="L223" i="5"/>
  <c r="K223" i="5"/>
  <c r="H223" i="5"/>
  <c r="E223" i="5"/>
  <c r="N222" i="5"/>
  <c r="M222" i="5"/>
  <c r="L222" i="5"/>
  <c r="K222" i="5"/>
  <c r="H222" i="5"/>
  <c r="E222" i="5"/>
  <c r="N221" i="5"/>
  <c r="M221" i="5"/>
  <c r="L221" i="5"/>
  <c r="K221" i="5"/>
  <c r="H221" i="5"/>
  <c r="E221" i="5"/>
  <c r="N220" i="5"/>
  <c r="M220" i="5"/>
  <c r="L220" i="5"/>
  <c r="K220" i="5"/>
  <c r="H220" i="5"/>
  <c r="E220" i="5"/>
  <c r="N219" i="5"/>
  <c r="M219" i="5"/>
  <c r="L219" i="5"/>
  <c r="K219" i="5"/>
  <c r="H219" i="5"/>
  <c r="E219" i="5"/>
  <c r="N218" i="5"/>
  <c r="M218" i="5"/>
  <c r="L218" i="5"/>
  <c r="K218" i="5"/>
  <c r="H218" i="5"/>
  <c r="E218" i="5"/>
  <c r="N217" i="5"/>
  <c r="M217" i="5"/>
  <c r="L217" i="5"/>
  <c r="K217" i="5"/>
  <c r="H217" i="5"/>
  <c r="E217" i="5"/>
  <c r="N216" i="5"/>
  <c r="M216" i="5"/>
  <c r="L216" i="5"/>
  <c r="K216" i="5"/>
  <c r="H216" i="5"/>
  <c r="E216" i="5"/>
  <c r="N215" i="5"/>
  <c r="M215" i="5"/>
  <c r="L215" i="5"/>
  <c r="K215" i="5"/>
  <c r="H215" i="5"/>
  <c r="E215" i="5"/>
  <c r="N214" i="5"/>
  <c r="M214" i="5"/>
  <c r="L214" i="5"/>
  <c r="K214" i="5"/>
  <c r="H214" i="5"/>
  <c r="E214" i="5"/>
  <c r="N213" i="5"/>
  <c r="M213" i="5"/>
  <c r="L213" i="5"/>
  <c r="K213" i="5"/>
  <c r="H213" i="5"/>
  <c r="E213" i="5"/>
  <c r="N212" i="5"/>
  <c r="M212" i="5"/>
  <c r="L212" i="5"/>
  <c r="K212" i="5"/>
  <c r="H212" i="5"/>
  <c r="E212" i="5"/>
  <c r="N211" i="5"/>
  <c r="M211" i="5"/>
  <c r="L211" i="5"/>
  <c r="K211" i="5"/>
  <c r="H211" i="5"/>
  <c r="E211" i="5"/>
  <c r="N210" i="5"/>
  <c r="M210" i="5"/>
  <c r="L210" i="5"/>
  <c r="K210" i="5"/>
  <c r="H210" i="5"/>
  <c r="E210" i="5"/>
  <c r="N209" i="5"/>
  <c r="M209" i="5"/>
  <c r="L209" i="5"/>
  <c r="K209" i="5"/>
  <c r="H209" i="5"/>
  <c r="E209" i="5"/>
  <c r="N208" i="5"/>
  <c r="M208" i="5"/>
  <c r="L208" i="5"/>
  <c r="K208" i="5"/>
  <c r="H208" i="5"/>
  <c r="E208" i="5"/>
  <c r="N207" i="5"/>
  <c r="M207" i="5"/>
  <c r="L207" i="5"/>
  <c r="K207" i="5"/>
  <c r="H207" i="5"/>
  <c r="E207" i="5"/>
  <c r="N206" i="5"/>
  <c r="M206" i="5"/>
  <c r="L206" i="5"/>
  <c r="K206" i="5"/>
  <c r="H206" i="5"/>
  <c r="E206" i="5"/>
  <c r="N205" i="5"/>
  <c r="M205" i="5"/>
  <c r="L205" i="5"/>
  <c r="K205" i="5"/>
  <c r="H205" i="5"/>
  <c r="E205" i="5"/>
  <c r="N204" i="5"/>
  <c r="M204" i="5"/>
  <c r="L204" i="5"/>
  <c r="K204" i="5"/>
  <c r="H204" i="5"/>
  <c r="E204" i="5"/>
  <c r="N203" i="5"/>
  <c r="M203" i="5"/>
  <c r="L203" i="5"/>
  <c r="K203" i="5"/>
  <c r="H203" i="5"/>
  <c r="E203" i="5"/>
  <c r="N202" i="5"/>
  <c r="M202" i="5"/>
  <c r="L202" i="5"/>
  <c r="K202" i="5"/>
  <c r="H202" i="5"/>
  <c r="E202" i="5"/>
  <c r="N201" i="5"/>
  <c r="M201" i="5"/>
  <c r="L201" i="5"/>
  <c r="K201" i="5"/>
  <c r="H201" i="5"/>
  <c r="E201" i="5"/>
  <c r="N200" i="5"/>
  <c r="M200" i="5"/>
  <c r="L200" i="5"/>
  <c r="K200" i="5"/>
  <c r="H200" i="5"/>
  <c r="E200" i="5"/>
  <c r="N199" i="5"/>
  <c r="M199" i="5"/>
  <c r="L199" i="5"/>
  <c r="K199" i="5"/>
  <c r="H199" i="5"/>
  <c r="E199" i="5"/>
  <c r="N198" i="5"/>
  <c r="M198" i="5"/>
  <c r="L198" i="5"/>
  <c r="K198" i="5"/>
  <c r="H198" i="5"/>
  <c r="E198" i="5"/>
  <c r="N197" i="5"/>
  <c r="M197" i="5"/>
  <c r="L197" i="5"/>
  <c r="K197" i="5"/>
  <c r="H197" i="5"/>
  <c r="E197" i="5"/>
  <c r="N196" i="5"/>
  <c r="M196" i="5"/>
  <c r="L196" i="5"/>
  <c r="K196" i="5"/>
  <c r="H196" i="5"/>
  <c r="E196" i="5"/>
  <c r="N195" i="5"/>
  <c r="M195" i="5"/>
  <c r="L195" i="5"/>
  <c r="K195" i="5"/>
  <c r="H195" i="5"/>
  <c r="N194" i="5"/>
  <c r="M194" i="5"/>
  <c r="L194" i="5"/>
  <c r="K194" i="5"/>
  <c r="H194" i="5"/>
  <c r="N193" i="5"/>
  <c r="M193" i="5"/>
  <c r="L193" i="5"/>
  <c r="K193" i="5"/>
  <c r="H193" i="5"/>
  <c r="N192" i="5"/>
  <c r="M192" i="5"/>
  <c r="L192" i="5"/>
  <c r="K192" i="5"/>
  <c r="H192" i="5"/>
  <c r="H191" i="5"/>
  <c r="N190" i="5"/>
  <c r="M190" i="5"/>
  <c r="L190" i="5"/>
  <c r="K190" i="5"/>
  <c r="H190" i="5"/>
  <c r="N189" i="5"/>
  <c r="M189" i="5"/>
  <c r="L189" i="5"/>
  <c r="K189" i="5"/>
  <c r="H189" i="5"/>
  <c r="E189" i="5"/>
  <c r="N188" i="5"/>
  <c r="M188" i="5"/>
  <c r="L188" i="5"/>
  <c r="K188" i="5"/>
  <c r="H188" i="5"/>
  <c r="E188" i="5"/>
  <c r="N187" i="5"/>
  <c r="M187" i="5"/>
  <c r="L187" i="5"/>
  <c r="K187" i="5"/>
  <c r="H187" i="5"/>
  <c r="E187" i="5"/>
  <c r="N186" i="5"/>
  <c r="M186" i="5"/>
  <c r="L186" i="5"/>
  <c r="K186" i="5"/>
  <c r="H186" i="5"/>
  <c r="E186" i="5"/>
  <c r="N185" i="5"/>
  <c r="M185" i="5"/>
  <c r="L185" i="5"/>
  <c r="K185" i="5"/>
  <c r="H185" i="5"/>
  <c r="E185" i="5"/>
  <c r="N184" i="5"/>
  <c r="M184" i="5"/>
  <c r="L184" i="5"/>
  <c r="K184" i="5"/>
  <c r="H184" i="5"/>
  <c r="E184" i="5"/>
  <c r="N183" i="5"/>
  <c r="M183" i="5"/>
  <c r="L183" i="5"/>
  <c r="K183" i="5"/>
  <c r="H183" i="5"/>
  <c r="E183" i="5"/>
  <c r="N182" i="5"/>
  <c r="M182" i="5"/>
  <c r="L182" i="5"/>
  <c r="K182" i="5"/>
  <c r="H182" i="5"/>
  <c r="E182" i="5"/>
  <c r="N181" i="5"/>
  <c r="M181" i="5"/>
  <c r="L181" i="5"/>
  <c r="K181" i="5"/>
  <c r="H181" i="5"/>
  <c r="E181" i="5"/>
  <c r="N180" i="5"/>
  <c r="M180" i="5"/>
  <c r="L180" i="5"/>
  <c r="K180" i="5"/>
  <c r="H180" i="5"/>
  <c r="E180" i="5"/>
  <c r="N179" i="5"/>
  <c r="M179" i="5"/>
  <c r="L179" i="5"/>
  <c r="K179" i="5"/>
  <c r="H179" i="5"/>
  <c r="E179" i="5"/>
  <c r="N178" i="5"/>
  <c r="M178" i="5"/>
  <c r="L178" i="5"/>
  <c r="K178" i="5"/>
  <c r="H178" i="5"/>
  <c r="E178" i="5"/>
  <c r="N177" i="5"/>
  <c r="M177" i="5"/>
  <c r="L177" i="5"/>
  <c r="K177" i="5"/>
  <c r="H177" i="5"/>
  <c r="E177" i="5"/>
  <c r="N176" i="5"/>
  <c r="M176" i="5"/>
  <c r="L176" i="5"/>
  <c r="K176" i="5"/>
  <c r="H176" i="5"/>
  <c r="E176" i="5"/>
  <c r="N175" i="5"/>
  <c r="M175" i="5"/>
  <c r="L175" i="5"/>
  <c r="K175" i="5"/>
  <c r="H175" i="5"/>
  <c r="E175" i="5"/>
  <c r="N174" i="5"/>
  <c r="M174" i="5"/>
  <c r="L174" i="5"/>
  <c r="K174" i="5"/>
  <c r="H174" i="5"/>
  <c r="E174" i="5"/>
  <c r="N173" i="5"/>
  <c r="M173" i="5"/>
  <c r="L173" i="5"/>
  <c r="K173" i="5"/>
  <c r="H173" i="5"/>
  <c r="E173" i="5"/>
  <c r="N172" i="5"/>
  <c r="M172" i="5"/>
  <c r="L172" i="5"/>
  <c r="K172" i="5"/>
  <c r="H172" i="5"/>
  <c r="E172" i="5"/>
  <c r="N171" i="5"/>
  <c r="M171" i="5"/>
  <c r="L171" i="5"/>
  <c r="K171" i="5"/>
  <c r="H171" i="5"/>
  <c r="E171" i="5"/>
  <c r="N170" i="5"/>
  <c r="M170" i="5"/>
  <c r="L170" i="5"/>
  <c r="K170" i="5"/>
  <c r="H170" i="5"/>
  <c r="E170" i="5"/>
  <c r="N169" i="5"/>
  <c r="M169" i="5"/>
  <c r="L169" i="5"/>
  <c r="K169" i="5"/>
  <c r="H169" i="5"/>
  <c r="E169" i="5"/>
  <c r="N168" i="5"/>
  <c r="M168" i="5"/>
  <c r="L168" i="5"/>
  <c r="K168" i="5"/>
  <c r="H168" i="5"/>
  <c r="E168" i="5"/>
  <c r="N167" i="5"/>
  <c r="M167" i="5"/>
  <c r="L167" i="5"/>
  <c r="K167" i="5"/>
  <c r="H167" i="5"/>
  <c r="E167" i="5"/>
  <c r="N166" i="5"/>
  <c r="M166" i="5"/>
  <c r="L166" i="5"/>
  <c r="K166" i="5"/>
  <c r="H166" i="5"/>
  <c r="E166" i="5"/>
  <c r="N165" i="5"/>
  <c r="M165" i="5"/>
  <c r="L165" i="5"/>
  <c r="K165" i="5"/>
  <c r="H165" i="5"/>
  <c r="E165" i="5"/>
  <c r="N164" i="5"/>
  <c r="M164" i="5"/>
  <c r="L164" i="5"/>
  <c r="K164" i="5"/>
  <c r="H164" i="5"/>
  <c r="E164" i="5"/>
  <c r="N163" i="5"/>
  <c r="M163" i="5"/>
  <c r="L163" i="5"/>
  <c r="K163" i="5"/>
  <c r="H163" i="5"/>
  <c r="E163" i="5"/>
  <c r="N162" i="5"/>
  <c r="M162" i="5"/>
  <c r="L162" i="5"/>
  <c r="K162" i="5"/>
  <c r="H162" i="5"/>
  <c r="E162" i="5"/>
  <c r="N161" i="5"/>
  <c r="M161" i="5"/>
  <c r="L161" i="5"/>
  <c r="K161" i="5"/>
  <c r="H161" i="5"/>
  <c r="E161" i="5"/>
  <c r="N160" i="5"/>
  <c r="M160" i="5"/>
  <c r="L160" i="5"/>
  <c r="K160" i="5"/>
  <c r="H160" i="5"/>
  <c r="E160" i="5"/>
  <c r="N159" i="5"/>
  <c r="M159" i="5"/>
  <c r="L159" i="5"/>
  <c r="K159" i="5"/>
  <c r="H159" i="5"/>
  <c r="E159" i="5"/>
  <c r="N158" i="5"/>
  <c r="M158" i="5"/>
  <c r="L158" i="5"/>
  <c r="K158" i="5"/>
  <c r="H158" i="5"/>
  <c r="E158" i="5"/>
  <c r="N157" i="5"/>
  <c r="M157" i="5"/>
  <c r="L157" i="5"/>
  <c r="K157" i="5"/>
  <c r="H157" i="5"/>
  <c r="E157" i="5"/>
  <c r="N156" i="5"/>
  <c r="M156" i="5"/>
  <c r="L156" i="5"/>
  <c r="K156" i="5"/>
  <c r="H156" i="5"/>
  <c r="E156" i="5"/>
  <c r="N155" i="5"/>
  <c r="M155" i="5"/>
  <c r="L155" i="5"/>
  <c r="K155" i="5"/>
  <c r="H155" i="5"/>
  <c r="E155" i="5"/>
  <c r="N154" i="5"/>
  <c r="M154" i="5"/>
  <c r="L154" i="5"/>
  <c r="K154" i="5"/>
  <c r="H154" i="5"/>
  <c r="E154" i="5"/>
  <c r="N153" i="5"/>
  <c r="M153" i="5"/>
  <c r="L153" i="5"/>
  <c r="K153" i="5"/>
  <c r="H153" i="5"/>
  <c r="E153" i="5"/>
  <c r="N152" i="5"/>
  <c r="M152" i="5"/>
  <c r="L152" i="5"/>
  <c r="K152" i="5"/>
  <c r="H152" i="5"/>
  <c r="E152" i="5"/>
  <c r="N151" i="5"/>
  <c r="M151" i="5"/>
  <c r="L151" i="5"/>
  <c r="K151" i="5"/>
  <c r="H151" i="5"/>
  <c r="E151" i="5"/>
  <c r="N150" i="5"/>
  <c r="M150" i="5"/>
  <c r="L150" i="5"/>
  <c r="K150" i="5"/>
  <c r="H150" i="5"/>
  <c r="E150" i="5"/>
  <c r="N149" i="5"/>
  <c r="M149" i="5"/>
  <c r="L149" i="5"/>
  <c r="K149" i="5"/>
  <c r="H149" i="5"/>
  <c r="E149" i="5"/>
  <c r="N148" i="5"/>
  <c r="M148" i="5"/>
  <c r="L148" i="5"/>
  <c r="K148" i="5"/>
  <c r="H148" i="5"/>
  <c r="E148" i="5"/>
  <c r="N147" i="5"/>
  <c r="M147" i="5"/>
  <c r="L147" i="5"/>
  <c r="K147" i="5"/>
  <c r="E147" i="5"/>
  <c r="N146" i="5"/>
  <c r="M146" i="5"/>
  <c r="L146" i="5"/>
  <c r="K146" i="5"/>
  <c r="H146" i="5"/>
  <c r="E146" i="5"/>
  <c r="N145" i="5"/>
  <c r="M145" i="5"/>
  <c r="L145" i="5"/>
  <c r="K145" i="5"/>
  <c r="H145" i="5"/>
  <c r="E145" i="5"/>
  <c r="N144" i="5"/>
  <c r="M144" i="5"/>
  <c r="L144" i="5"/>
  <c r="K144" i="5"/>
  <c r="H144" i="5"/>
  <c r="E144" i="5"/>
  <c r="N143" i="5"/>
  <c r="M143" i="5"/>
  <c r="L143" i="5"/>
  <c r="K143" i="5"/>
  <c r="H143" i="5"/>
  <c r="E143" i="5"/>
  <c r="N142" i="5"/>
  <c r="M142" i="5"/>
  <c r="L142" i="5"/>
  <c r="K142" i="5"/>
  <c r="H142" i="5"/>
  <c r="E142" i="5"/>
  <c r="N141" i="5"/>
  <c r="M141" i="5"/>
  <c r="L141" i="5"/>
  <c r="K141" i="5"/>
  <c r="H141" i="5"/>
  <c r="E141" i="5"/>
  <c r="N140" i="5"/>
  <c r="M140" i="5"/>
  <c r="L140" i="5"/>
  <c r="K140" i="5"/>
  <c r="H140" i="5"/>
  <c r="E140" i="5"/>
  <c r="N139" i="5"/>
  <c r="M139" i="5"/>
  <c r="L139" i="5"/>
  <c r="K139" i="5"/>
  <c r="H139" i="5"/>
  <c r="E139" i="5"/>
  <c r="N138" i="5"/>
  <c r="M138" i="5"/>
  <c r="L138" i="5"/>
  <c r="K138" i="5"/>
  <c r="H138" i="5"/>
  <c r="E138" i="5"/>
  <c r="N137" i="5"/>
  <c r="M137" i="5"/>
  <c r="L137" i="5"/>
  <c r="K137" i="5"/>
  <c r="H137" i="5"/>
  <c r="E137" i="5"/>
  <c r="N136" i="5"/>
  <c r="M136" i="5"/>
  <c r="L136" i="5"/>
  <c r="K136" i="5"/>
  <c r="H136" i="5"/>
  <c r="E136" i="5"/>
  <c r="N135" i="5"/>
  <c r="M135" i="5"/>
  <c r="L135" i="5"/>
  <c r="K135" i="5"/>
  <c r="H135" i="5"/>
  <c r="E135" i="5"/>
  <c r="N134" i="5"/>
  <c r="M134" i="5"/>
  <c r="L134" i="5"/>
  <c r="K134" i="5"/>
  <c r="H134" i="5"/>
  <c r="E134" i="5"/>
  <c r="N133" i="5"/>
  <c r="M133" i="5"/>
  <c r="L133" i="5"/>
  <c r="K133" i="5"/>
  <c r="H133" i="5"/>
  <c r="E133" i="5"/>
  <c r="N132" i="5"/>
  <c r="M132" i="5"/>
  <c r="L132" i="5"/>
  <c r="K132" i="5"/>
  <c r="H132" i="5"/>
  <c r="E132" i="5"/>
  <c r="N131" i="5"/>
  <c r="M131" i="5"/>
  <c r="L131" i="5"/>
  <c r="K131" i="5"/>
  <c r="H131" i="5"/>
  <c r="E131" i="5"/>
  <c r="N130" i="5"/>
  <c r="M130" i="5"/>
  <c r="L130" i="5"/>
  <c r="K130" i="5"/>
  <c r="H130" i="5"/>
  <c r="E130" i="5"/>
  <c r="N129" i="5"/>
  <c r="M129" i="5"/>
  <c r="L129" i="5"/>
  <c r="K129" i="5"/>
  <c r="H129" i="5"/>
  <c r="E129" i="5"/>
  <c r="N128" i="5"/>
  <c r="M128" i="5"/>
  <c r="L128" i="5"/>
  <c r="K128" i="5"/>
  <c r="H128" i="5"/>
  <c r="E128" i="5"/>
  <c r="N127" i="5"/>
  <c r="M127" i="5"/>
  <c r="L127" i="5"/>
  <c r="K127" i="5"/>
  <c r="H127" i="5"/>
  <c r="E127" i="5"/>
  <c r="N126" i="5"/>
  <c r="M126" i="5"/>
  <c r="L126" i="5"/>
  <c r="K126" i="5"/>
  <c r="H126" i="5"/>
  <c r="E126" i="5"/>
  <c r="N125" i="5"/>
  <c r="M125" i="5"/>
  <c r="L125" i="5"/>
  <c r="K125" i="5"/>
  <c r="H125" i="5"/>
  <c r="E125" i="5"/>
  <c r="N124" i="5"/>
  <c r="M124" i="5"/>
  <c r="L124" i="5"/>
  <c r="K124" i="5"/>
  <c r="H124" i="5"/>
  <c r="E124" i="5"/>
  <c r="N123" i="5"/>
  <c r="M123" i="5"/>
  <c r="L123" i="5"/>
  <c r="K123" i="5"/>
  <c r="H123" i="5"/>
  <c r="E123" i="5"/>
  <c r="N122" i="5"/>
  <c r="M122" i="5"/>
  <c r="L122" i="5"/>
  <c r="K122" i="5"/>
  <c r="H122" i="5"/>
  <c r="E122" i="5"/>
  <c r="N121" i="5"/>
  <c r="M121" i="5"/>
  <c r="L121" i="5"/>
  <c r="K121" i="5"/>
  <c r="H121" i="5"/>
  <c r="E121" i="5"/>
  <c r="N120" i="5"/>
  <c r="M120" i="5"/>
  <c r="L120" i="5"/>
  <c r="K120" i="5"/>
  <c r="H120" i="5"/>
  <c r="E120" i="5"/>
  <c r="N119" i="5"/>
  <c r="M119" i="5"/>
  <c r="L119" i="5"/>
  <c r="K119" i="5"/>
  <c r="H119" i="5"/>
  <c r="E119" i="5"/>
  <c r="N118" i="5"/>
  <c r="M118" i="5"/>
  <c r="L118" i="5"/>
  <c r="K118" i="5"/>
  <c r="H118" i="5"/>
  <c r="E118" i="5"/>
  <c r="N117" i="5"/>
  <c r="M117" i="5"/>
  <c r="L117" i="5"/>
  <c r="K117" i="5"/>
  <c r="H117" i="5"/>
  <c r="E117" i="5"/>
  <c r="N116" i="5"/>
  <c r="M116" i="5"/>
  <c r="L116" i="5"/>
  <c r="K116" i="5"/>
  <c r="H116" i="5"/>
  <c r="E116" i="5"/>
  <c r="N115" i="5"/>
  <c r="M115" i="5"/>
  <c r="L115" i="5"/>
  <c r="K115" i="5"/>
  <c r="H115" i="5"/>
  <c r="E115" i="5"/>
  <c r="N114" i="5"/>
  <c r="M114" i="5"/>
  <c r="L114" i="5"/>
  <c r="K114" i="5"/>
  <c r="H114" i="5"/>
  <c r="E114" i="5"/>
  <c r="N113" i="5"/>
  <c r="M113" i="5"/>
  <c r="L113" i="5"/>
  <c r="K113" i="5"/>
  <c r="H113" i="5"/>
  <c r="E113" i="5"/>
  <c r="N112" i="5"/>
  <c r="M112" i="5"/>
  <c r="L112" i="5"/>
  <c r="K112" i="5"/>
  <c r="H112" i="5"/>
  <c r="E112" i="5"/>
  <c r="N111" i="5"/>
  <c r="M111" i="5"/>
  <c r="L111" i="5"/>
  <c r="K111" i="5"/>
  <c r="H111" i="5"/>
  <c r="E111" i="5"/>
  <c r="N110" i="5"/>
  <c r="M110" i="5"/>
  <c r="L110" i="5"/>
  <c r="K110" i="5"/>
  <c r="H110" i="5"/>
  <c r="E110" i="5"/>
  <c r="N109" i="5"/>
  <c r="M109" i="5"/>
  <c r="L109" i="5"/>
  <c r="K109" i="5"/>
  <c r="H109" i="5"/>
  <c r="E109" i="5"/>
  <c r="N108" i="5"/>
  <c r="M108" i="5"/>
  <c r="L108" i="5"/>
  <c r="K108" i="5"/>
  <c r="H108" i="5"/>
  <c r="E108" i="5"/>
  <c r="N107" i="5"/>
  <c r="M107" i="5"/>
  <c r="L107" i="5"/>
  <c r="K107" i="5"/>
  <c r="H107" i="5"/>
  <c r="E107" i="5"/>
  <c r="N106" i="5"/>
  <c r="M106" i="5"/>
  <c r="L106" i="5"/>
  <c r="K106" i="5"/>
  <c r="H106" i="5"/>
  <c r="E106" i="5"/>
  <c r="N105" i="5"/>
  <c r="M105" i="5"/>
  <c r="L105" i="5"/>
  <c r="K105" i="5"/>
  <c r="H105" i="5"/>
  <c r="E105" i="5"/>
  <c r="N104" i="5"/>
  <c r="M104" i="5"/>
  <c r="L104" i="5"/>
  <c r="K104" i="5"/>
  <c r="H104" i="5"/>
  <c r="E104" i="5"/>
  <c r="N103" i="5"/>
  <c r="M103" i="5"/>
  <c r="L103" i="5"/>
  <c r="K103" i="5"/>
  <c r="H103" i="5"/>
  <c r="E103" i="5"/>
  <c r="N102" i="5"/>
  <c r="M102" i="5"/>
  <c r="L102" i="5"/>
  <c r="K102" i="5"/>
  <c r="H102" i="5"/>
  <c r="E102" i="5"/>
  <c r="N101" i="5"/>
  <c r="M101" i="5"/>
  <c r="L101" i="5"/>
  <c r="K101" i="5"/>
  <c r="H101" i="5"/>
  <c r="E101" i="5"/>
  <c r="N100" i="5"/>
  <c r="M100" i="5"/>
  <c r="L100" i="5"/>
  <c r="K100" i="5"/>
  <c r="H100" i="5"/>
  <c r="E100" i="5"/>
  <c r="N99" i="5"/>
  <c r="M99" i="5"/>
  <c r="L99" i="5"/>
  <c r="K99" i="5"/>
  <c r="H99" i="5"/>
  <c r="E99" i="5"/>
  <c r="N98" i="5"/>
  <c r="M98" i="5"/>
  <c r="L98" i="5"/>
  <c r="K98" i="5"/>
  <c r="H98" i="5"/>
  <c r="E98" i="5"/>
  <c r="N97" i="5"/>
  <c r="M97" i="5"/>
  <c r="L97" i="5"/>
  <c r="K97" i="5"/>
  <c r="H97" i="5"/>
  <c r="E97" i="5"/>
  <c r="N96" i="5"/>
  <c r="M96" i="5"/>
  <c r="L96" i="5"/>
  <c r="K96" i="5"/>
  <c r="H96" i="5"/>
  <c r="E96" i="5"/>
  <c r="N95" i="5"/>
  <c r="M95" i="5"/>
  <c r="L95" i="5"/>
  <c r="K95" i="5"/>
  <c r="H95" i="5"/>
  <c r="E95" i="5"/>
  <c r="N94" i="5"/>
  <c r="M94" i="5"/>
  <c r="L94" i="5"/>
  <c r="K94" i="5"/>
  <c r="H94" i="5"/>
  <c r="E94" i="5"/>
  <c r="N93" i="5"/>
  <c r="M93" i="5"/>
  <c r="L93" i="5"/>
  <c r="K93" i="5"/>
  <c r="H93" i="5"/>
  <c r="E93" i="5"/>
  <c r="N92" i="5"/>
  <c r="M92" i="5"/>
  <c r="L92" i="5"/>
  <c r="K92" i="5"/>
  <c r="H92" i="5"/>
  <c r="E92" i="5"/>
  <c r="N91" i="5"/>
  <c r="M91" i="5"/>
  <c r="L91" i="5"/>
  <c r="K91" i="5"/>
  <c r="H91" i="5"/>
  <c r="E91" i="5"/>
  <c r="N90" i="5"/>
  <c r="M90" i="5"/>
  <c r="L90" i="5"/>
  <c r="K90" i="5"/>
  <c r="H90" i="5"/>
  <c r="E90" i="5"/>
  <c r="N89" i="5"/>
  <c r="M89" i="5"/>
  <c r="L89" i="5"/>
  <c r="K89" i="5"/>
  <c r="H89" i="5"/>
  <c r="E89" i="5"/>
  <c r="N88" i="5"/>
  <c r="M88" i="5"/>
  <c r="L88" i="5"/>
  <c r="K88" i="5"/>
  <c r="H88" i="5"/>
  <c r="E88" i="5"/>
  <c r="N87" i="5"/>
  <c r="M87" i="5"/>
  <c r="L87" i="5"/>
  <c r="K87" i="5"/>
  <c r="H87" i="5"/>
  <c r="E87" i="5"/>
  <c r="N86" i="5"/>
  <c r="M86" i="5"/>
  <c r="L86" i="5"/>
  <c r="K86" i="5"/>
  <c r="H86" i="5"/>
  <c r="E86" i="5"/>
  <c r="N85" i="5"/>
  <c r="M85" i="5"/>
  <c r="L85" i="5"/>
  <c r="K85" i="5"/>
  <c r="H85" i="5"/>
  <c r="E85" i="5"/>
  <c r="N84" i="5"/>
  <c r="M84" i="5"/>
  <c r="L84" i="5"/>
  <c r="K84" i="5"/>
  <c r="H84" i="5"/>
  <c r="E84" i="5"/>
  <c r="N83" i="5"/>
  <c r="M83" i="5"/>
  <c r="L83" i="5"/>
  <c r="K83" i="5"/>
  <c r="H83" i="5"/>
  <c r="E83" i="5"/>
  <c r="N82" i="5"/>
  <c r="M82" i="5"/>
  <c r="L82" i="5"/>
  <c r="K82" i="5"/>
  <c r="H82" i="5"/>
  <c r="E82" i="5"/>
  <c r="N81" i="5"/>
  <c r="M81" i="5"/>
  <c r="L81" i="5"/>
  <c r="K81" i="5"/>
  <c r="H81" i="5"/>
  <c r="E81" i="5"/>
  <c r="N80" i="5"/>
  <c r="M80" i="5"/>
  <c r="L80" i="5"/>
  <c r="K80" i="5"/>
  <c r="H80" i="5"/>
  <c r="E80" i="5"/>
  <c r="N79" i="5"/>
  <c r="M79" i="5"/>
  <c r="L79" i="5"/>
  <c r="K79" i="5"/>
  <c r="H79" i="5"/>
  <c r="E79" i="5"/>
  <c r="N78" i="5"/>
  <c r="M78" i="5"/>
  <c r="L78" i="5"/>
  <c r="K78" i="5"/>
  <c r="H78" i="5"/>
  <c r="E78" i="5"/>
  <c r="N77" i="5"/>
  <c r="M77" i="5"/>
  <c r="L77" i="5"/>
  <c r="K77" i="5"/>
  <c r="H77" i="5"/>
  <c r="E77" i="5"/>
  <c r="N76" i="5"/>
  <c r="M76" i="5"/>
  <c r="L76" i="5"/>
  <c r="K76" i="5"/>
  <c r="H76" i="5"/>
  <c r="E76" i="5"/>
  <c r="N75" i="5"/>
  <c r="M75" i="5"/>
  <c r="L75" i="5"/>
  <c r="K75" i="5"/>
  <c r="H75" i="5"/>
  <c r="E75" i="5"/>
  <c r="N74" i="5"/>
  <c r="M74" i="5"/>
  <c r="L74" i="5"/>
  <c r="K74" i="5"/>
  <c r="H74" i="5"/>
  <c r="E74" i="5"/>
  <c r="N73" i="5"/>
  <c r="M73" i="5"/>
  <c r="L73" i="5"/>
  <c r="K73" i="5"/>
  <c r="H73" i="5"/>
  <c r="E73" i="5"/>
  <c r="N72" i="5"/>
  <c r="M72" i="5"/>
  <c r="L72" i="5"/>
  <c r="K72" i="5"/>
  <c r="H72" i="5"/>
  <c r="E72" i="5"/>
  <c r="N71" i="5"/>
  <c r="M71" i="5"/>
  <c r="L71" i="5"/>
  <c r="K71" i="5"/>
  <c r="H71" i="5"/>
  <c r="E71" i="5"/>
  <c r="N70" i="5"/>
  <c r="M70" i="5"/>
  <c r="L70" i="5"/>
  <c r="K70" i="5"/>
  <c r="H70" i="5"/>
  <c r="E70" i="5"/>
  <c r="N69" i="5"/>
  <c r="M69" i="5"/>
  <c r="L69" i="5"/>
  <c r="K69" i="5"/>
  <c r="H69" i="5"/>
  <c r="E69" i="5"/>
  <c r="N68" i="5"/>
  <c r="M68" i="5"/>
  <c r="L68" i="5"/>
  <c r="K68" i="5"/>
  <c r="H68" i="5"/>
  <c r="E68" i="5"/>
  <c r="N67" i="5"/>
  <c r="M67" i="5"/>
  <c r="L67" i="5"/>
  <c r="K67" i="5"/>
  <c r="H67" i="5"/>
  <c r="E67" i="5"/>
  <c r="N66" i="5"/>
  <c r="M66" i="5"/>
  <c r="L66" i="5"/>
  <c r="K66" i="5"/>
  <c r="H66" i="5"/>
  <c r="E66" i="5"/>
  <c r="N65" i="5"/>
  <c r="M65" i="5"/>
  <c r="L65" i="5"/>
  <c r="K65" i="5"/>
  <c r="H65" i="5"/>
  <c r="E65" i="5"/>
  <c r="N64" i="5"/>
  <c r="M64" i="5"/>
  <c r="L64" i="5"/>
  <c r="K64" i="5"/>
  <c r="H64" i="5"/>
  <c r="E64" i="5"/>
  <c r="N63" i="5"/>
  <c r="M63" i="5"/>
  <c r="L63" i="5"/>
  <c r="K63" i="5"/>
  <c r="H63" i="5"/>
  <c r="E63" i="5"/>
  <c r="N62" i="5"/>
  <c r="M62" i="5"/>
  <c r="L62" i="5"/>
  <c r="K62" i="5"/>
  <c r="H62" i="5"/>
  <c r="E62" i="5"/>
  <c r="N61" i="5"/>
  <c r="M61" i="5"/>
  <c r="L61" i="5"/>
  <c r="K61" i="5"/>
  <c r="H61" i="5"/>
  <c r="E61" i="5"/>
  <c r="N60" i="5"/>
  <c r="M60" i="5"/>
  <c r="L60" i="5"/>
  <c r="K60" i="5"/>
  <c r="H60" i="5"/>
  <c r="E60" i="5"/>
  <c r="N59" i="5"/>
  <c r="M59" i="5"/>
  <c r="L59" i="5"/>
  <c r="K59" i="5"/>
  <c r="H59" i="5"/>
  <c r="E59" i="5"/>
  <c r="N58" i="5"/>
  <c r="M58" i="5"/>
  <c r="L58" i="5"/>
  <c r="K58" i="5"/>
  <c r="H58" i="5"/>
  <c r="E58" i="5"/>
  <c r="N57" i="5"/>
  <c r="M57" i="5"/>
  <c r="L57" i="5"/>
  <c r="K57" i="5"/>
  <c r="H57" i="5"/>
  <c r="E57" i="5"/>
  <c r="N56" i="5"/>
  <c r="M56" i="5"/>
  <c r="L56" i="5"/>
  <c r="K56" i="5"/>
  <c r="H56" i="5"/>
  <c r="E56" i="5"/>
  <c r="N55" i="5"/>
  <c r="M55" i="5"/>
  <c r="L55" i="5"/>
  <c r="K55" i="5"/>
  <c r="H55" i="5"/>
  <c r="E55" i="5"/>
  <c r="N54" i="5"/>
  <c r="M54" i="5"/>
  <c r="L54" i="5"/>
  <c r="K54" i="5"/>
  <c r="H54" i="5"/>
  <c r="E54" i="5"/>
  <c r="N53" i="5"/>
  <c r="M53" i="5"/>
  <c r="L53" i="5"/>
  <c r="K53" i="5"/>
  <c r="H53" i="5"/>
  <c r="E53" i="5"/>
  <c r="N52" i="5"/>
  <c r="M52" i="5"/>
  <c r="L52" i="5"/>
  <c r="K52" i="5"/>
  <c r="H52" i="5"/>
  <c r="E52" i="5"/>
  <c r="N51" i="5"/>
  <c r="M51" i="5"/>
  <c r="L51" i="5"/>
  <c r="K51" i="5"/>
  <c r="H51" i="5"/>
  <c r="E51" i="5"/>
  <c r="N50" i="5"/>
  <c r="M50" i="5"/>
  <c r="L50" i="5"/>
  <c r="K50" i="5"/>
  <c r="H50" i="5"/>
  <c r="E50" i="5"/>
  <c r="N49" i="5"/>
  <c r="M49" i="5"/>
  <c r="L49" i="5"/>
  <c r="K49" i="5"/>
  <c r="H49" i="5"/>
  <c r="E49" i="5"/>
  <c r="N48" i="5"/>
  <c r="M48" i="5"/>
  <c r="L48" i="5"/>
  <c r="K48" i="5"/>
  <c r="H48" i="5"/>
  <c r="E48" i="5"/>
  <c r="N47" i="5"/>
  <c r="M47" i="5"/>
  <c r="L47" i="5"/>
  <c r="K47" i="5"/>
  <c r="H47" i="5"/>
  <c r="E47" i="5"/>
  <c r="N46" i="5"/>
  <c r="M46" i="5"/>
  <c r="L46" i="5"/>
  <c r="K46" i="5"/>
  <c r="H46" i="5"/>
  <c r="E46" i="5"/>
  <c r="N45" i="5"/>
  <c r="M45" i="5"/>
  <c r="L45" i="5"/>
  <c r="K45" i="5"/>
  <c r="H45" i="5"/>
  <c r="E45" i="5"/>
  <c r="N44" i="5"/>
  <c r="M44" i="5"/>
  <c r="L44" i="5"/>
  <c r="K44" i="5"/>
  <c r="H44" i="5"/>
  <c r="E44" i="5"/>
  <c r="N43" i="5"/>
  <c r="M43" i="5"/>
  <c r="L43" i="5"/>
  <c r="K43" i="5"/>
  <c r="H43" i="5"/>
  <c r="E43" i="5"/>
  <c r="N42" i="5"/>
  <c r="M42" i="5"/>
  <c r="L42" i="5"/>
  <c r="K42" i="5"/>
  <c r="H42" i="5"/>
  <c r="E42" i="5"/>
  <c r="N41" i="5"/>
  <c r="M41" i="5"/>
  <c r="L41" i="5"/>
  <c r="K41" i="5"/>
  <c r="H41" i="5"/>
  <c r="E41" i="5"/>
  <c r="N40" i="5"/>
  <c r="M40" i="5"/>
  <c r="L40" i="5"/>
  <c r="K40" i="5"/>
  <c r="H40" i="5"/>
  <c r="E40" i="5"/>
  <c r="N39" i="5"/>
  <c r="M39" i="5"/>
  <c r="L39" i="5"/>
  <c r="K39" i="5"/>
  <c r="H39" i="5"/>
  <c r="E39" i="5"/>
  <c r="N38" i="5"/>
  <c r="M38" i="5"/>
  <c r="L38" i="5"/>
  <c r="K38" i="5"/>
  <c r="H38" i="5"/>
  <c r="E38" i="5"/>
  <c r="N37" i="5"/>
  <c r="M37" i="5"/>
  <c r="L37" i="5"/>
  <c r="K37" i="5"/>
  <c r="H37" i="5"/>
  <c r="E37" i="5"/>
  <c r="N36" i="5"/>
  <c r="M36" i="5"/>
  <c r="L36" i="5"/>
  <c r="K36" i="5"/>
  <c r="H36" i="5"/>
  <c r="E36" i="5"/>
  <c r="N35" i="5"/>
  <c r="M35" i="5"/>
  <c r="L35" i="5"/>
  <c r="K35" i="5"/>
  <c r="H35" i="5"/>
  <c r="E35" i="5"/>
  <c r="N34" i="5"/>
  <c r="M34" i="5"/>
  <c r="L34" i="5"/>
  <c r="K34" i="5"/>
  <c r="H34" i="5"/>
  <c r="E34" i="5"/>
  <c r="N33" i="5"/>
  <c r="M33" i="5"/>
  <c r="L33" i="5"/>
  <c r="K33" i="5"/>
  <c r="H33" i="5"/>
  <c r="E33" i="5"/>
  <c r="N32" i="5"/>
  <c r="M32" i="5"/>
  <c r="L32" i="5"/>
  <c r="K32" i="5"/>
  <c r="H32" i="5"/>
  <c r="E32" i="5"/>
  <c r="N31" i="5"/>
  <c r="M31" i="5"/>
  <c r="L31" i="5"/>
  <c r="K31" i="5"/>
  <c r="H31" i="5"/>
  <c r="E31" i="5"/>
  <c r="N30" i="5"/>
  <c r="M30" i="5"/>
  <c r="L30" i="5"/>
  <c r="K30" i="5"/>
  <c r="H30" i="5"/>
  <c r="E30" i="5"/>
  <c r="N29" i="5"/>
  <c r="M29" i="5"/>
  <c r="L29" i="5"/>
  <c r="K29" i="5"/>
  <c r="H29" i="5"/>
  <c r="E29" i="5"/>
  <c r="N28" i="5"/>
  <c r="M28" i="5"/>
  <c r="L28" i="5"/>
  <c r="K28" i="5"/>
  <c r="H28" i="5"/>
  <c r="E28" i="5"/>
  <c r="N27" i="5"/>
  <c r="M27" i="5"/>
  <c r="L27" i="5"/>
  <c r="K27" i="5"/>
  <c r="H27" i="5"/>
  <c r="E27" i="5"/>
  <c r="N26" i="5"/>
  <c r="M26" i="5"/>
  <c r="L26" i="5"/>
  <c r="K26" i="5"/>
  <c r="H26" i="5"/>
  <c r="E26" i="5"/>
  <c r="N25" i="5"/>
  <c r="M25" i="5"/>
  <c r="L25" i="5"/>
  <c r="K25" i="5"/>
  <c r="H25" i="5"/>
  <c r="E25" i="5"/>
  <c r="N24" i="5"/>
  <c r="M24" i="5"/>
  <c r="L24" i="5"/>
  <c r="K24" i="5"/>
  <c r="H24" i="5"/>
  <c r="E24" i="5"/>
  <c r="N23" i="5"/>
  <c r="M23" i="5"/>
  <c r="L23" i="5"/>
  <c r="K23" i="5"/>
  <c r="H23" i="5"/>
  <c r="E23" i="5"/>
  <c r="N22" i="5"/>
  <c r="M22" i="5"/>
  <c r="L22" i="5"/>
  <c r="K22" i="5"/>
  <c r="H22" i="5"/>
  <c r="E22" i="5"/>
  <c r="N21" i="5"/>
  <c r="M21" i="5"/>
  <c r="L21" i="5"/>
  <c r="K21" i="5"/>
  <c r="H21" i="5"/>
  <c r="E21" i="5"/>
  <c r="N20" i="5"/>
  <c r="M20" i="5"/>
  <c r="L20" i="5"/>
  <c r="K20" i="5"/>
  <c r="H20" i="5"/>
  <c r="E20" i="5"/>
  <c r="N19" i="5"/>
  <c r="M19" i="5"/>
  <c r="L19" i="5"/>
  <c r="K19" i="5"/>
  <c r="H19" i="5"/>
  <c r="E19" i="5"/>
  <c r="N18" i="5"/>
  <c r="M18" i="5"/>
  <c r="L18" i="5"/>
  <c r="K18" i="5"/>
  <c r="H18" i="5"/>
  <c r="E18" i="5"/>
  <c r="N17" i="5"/>
  <c r="M17" i="5"/>
  <c r="L17" i="5"/>
  <c r="K17" i="5"/>
  <c r="H17" i="5"/>
  <c r="E17" i="5"/>
  <c r="N16" i="5"/>
  <c r="M16" i="5"/>
  <c r="L16" i="5"/>
  <c r="K16" i="5"/>
  <c r="H16" i="5"/>
  <c r="E16" i="5"/>
  <c r="N15" i="5"/>
  <c r="M15" i="5"/>
  <c r="L15" i="5"/>
  <c r="K15" i="5"/>
  <c r="E15" i="5"/>
  <c r="N14" i="5"/>
  <c r="M14" i="5"/>
  <c r="L14" i="5"/>
  <c r="K14" i="5"/>
  <c r="H14" i="5"/>
  <c r="E14" i="5"/>
  <c r="N13" i="5"/>
  <c r="M13" i="5"/>
  <c r="L13" i="5"/>
  <c r="K13" i="5"/>
  <c r="H13" i="5"/>
  <c r="E13" i="5"/>
  <c r="N12" i="5"/>
  <c r="M12" i="5"/>
  <c r="L12" i="5"/>
  <c r="K12" i="5"/>
  <c r="H12" i="5"/>
  <c r="E12" i="5"/>
  <c r="N11" i="5"/>
  <c r="M11" i="5"/>
  <c r="L11" i="5"/>
  <c r="K11" i="5"/>
  <c r="H11" i="5"/>
  <c r="E11" i="5"/>
  <c r="N10" i="5"/>
  <c r="M10" i="5"/>
  <c r="L10" i="5"/>
  <c r="K10" i="5"/>
  <c r="H10" i="5"/>
  <c r="E10" i="5"/>
  <c r="N9" i="5"/>
  <c r="M9" i="5"/>
  <c r="L9" i="5"/>
  <c r="K9" i="5"/>
  <c r="H9" i="5"/>
  <c r="E9" i="5"/>
  <c r="N8" i="5"/>
  <c r="M8" i="5"/>
  <c r="L8" i="5"/>
  <c r="K8" i="5"/>
  <c r="H8" i="5"/>
  <c r="E8" i="5"/>
  <c r="N7" i="5"/>
  <c r="M7" i="5"/>
  <c r="L7" i="5"/>
  <c r="K7" i="5"/>
  <c r="H7" i="5"/>
  <c r="E7" i="5"/>
  <c r="N6" i="5"/>
  <c r="M6" i="5"/>
  <c r="L6" i="5"/>
  <c r="K6" i="5"/>
  <c r="H6" i="5"/>
  <c r="E6" i="5"/>
  <c r="N5" i="5"/>
  <c r="M5" i="5"/>
  <c r="L5" i="5"/>
  <c r="K5" i="5"/>
  <c r="H5" i="5"/>
  <c r="E5" i="5"/>
  <c r="N4" i="5"/>
  <c r="M4" i="5"/>
  <c r="L4" i="5"/>
  <c r="K4" i="5"/>
  <c r="H4" i="5"/>
  <c r="E4" i="5"/>
  <c r="N3" i="5"/>
  <c r="M3" i="5"/>
  <c r="L3" i="5"/>
  <c r="K3" i="5"/>
  <c r="E3" i="5"/>
  <c r="N2" i="5"/>
  <c r="M2" i="5"/>
  <c r="L2" i="5"/>
  <c r="K2" i="5"/>
  <c r="E2" i="5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C81" i="4" s="1"/>
  <c r="B50" i="4"/>
  <c r="C49" i="4"/>
  <c r="B49" i="4"/>
  <c r="C48" i="4"/>
  <c r="B48" i="4"/>
  <c r="C47" i="4"/>
  <c r="B47" i="4"/>
  <c r="C46" i="4"/>
  <c r="B46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K27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O502" i="1"/>
  <c r="AG501" i="1"/>
  <c r="AF501" i="1"/>
  <c r="AD501" i="1"/>
  <c r="V501" i="1"/>
  <c r="U501" i="1"/>
  <c r="T501" i="1"/>
  <c r="AE501" i="1" s="1"/>
  <c r="AG500" i="1"/>
  <c r="AF500" i="1"/>
  <c r="AD500" i="1"/>
  <c r="AB500" i="1"/>
  <c r="V500" i="1"/>
  <c r="U500" i="1"/>
  <c r="T500" i="1"/>
  <c r="AE500" i="1" s="1"/>
  <c r="AG499" i="1"/>
  <c r="AF499" i="1"/>
  <c r="AD499" i="1"/>
  <c r="AB499" i="1"/>
  <c r="V499" i="1"/>
  <c r="U499" i="1"/>
  <c r="T499" i="1"/>
  <c r="AE499" i="1" s="1"/>
  <c r="AG498" i="1"/>
  <c r="AF498" i="1"/>
  <c r="AD498" i="1"/>
  <c r="AB498" i="1"/>
  <c r="V498" i="1"/>
  <c r="U498" i="1"/>
  <c r="T498" i="1"/>
  <c r="AE498" i="1" s="1"/>
  <c r="AG497" i="1"/>
  <c r="AF497" i="1"/>
  <c r="AD497" i="1"/>
  <c r="AC497" i="1"/>
  <c r="AB497" i="1"/>
  <c r="V497" i="1"/>
  <c r="U497" i="1"/>
  <c r="T497" i="1"/>
  <c r="AE497" i="1" s="1"/>
  <c r="AG496" i="1"/>
  <c r="AF496" i="1"/>
  <c r="AE496" i="1"/>
  <c r="AD496" i="1"/>
  <c r="AC496" i="1"/>
  <c r="AB496" i="1"/>
  <c r="V496" i="1"/>
  <c r="U496" i="1"/>
  <c r="T496" i="1"/>
  <c r="AG495" i="1"/>
  <c r="AF495" i="1"/>
  <c r="AD495" i="1"/>
  <c r="AC495" i="1"/>
  <c r="AB495" i="1"/>
  <c r="V495" i="1"/>
  <c r="U495" i="1"/>
  <c r="T495" i="1"/>
  <c r="AE495" i="1" s="1"/>
  <c r="AG494" i="1"/>
  <c r="AF494" i="1"/>
  <c r="AE494" i="1"/>
  <c r="AD494" i="1"/>
  <c r="AC494" i="1"/>
  <c r="AB494" i="1"/>
  <c r="V494" i="1"/>
  <c r="U494" i="1"/>
  <c r="T494" i="1"/>
  <c r="AG493" i="1"/>
  <c r="AF493" i="1"/>
  <c r="AD493" i="1"/>
  <c r="AC493" i="1"/>
  <c r="AB493" i="1"/>
  <c r="V493" i="1"/>
  <c r="U493" i="1"/>
  <c r="T493" i="1"/>
  <c r="AE493" i="1" s="1"/>
  <c r="AG492" i="1"/>
  <c r="AF492" i="1"/>
  <c r="AE492" i="1"/>
  <c r="AD492" i="1"/>
  <c r="AC492" i="1"/>
  <c r="AB492" i="1"/>
  <c r="V492" i="1"/>
  <c r="U492" i="1"/>
  <c r="T492" i="1"/>
  <c r="AG491" i="1"/>
  <c r="AF491" i="1"/>
  <c r="AE491" i="1"/>
  <c r="AD491" i="1"/>
  <c r="AC491" i="1"/>
  <c r="AB491" i="1"/>
  <c r="V491" i="1"/>
  <c r="U491" i="1"/>
  <c r="T491" i="1"/>
  <c r="AG490" i="1"/>
  <c r="AF490" i="1"/>
  <c r="AD490" i="1"/>
  <c r="AC490" i="1"/>
  <c r="AB490" i="1"/>
  <c r="V490" i="1"/>
  <c r="U490" i="1"/>
  <c r="T490" i="1"/>
  <c r="AE490" i="1" s="1"/>
  <c r="AG489" i="1"/>
  <c r="AF489" i="1"/>
  <c r="AD489" i="1"/>
  <c r="AC489" i="1"/>
  <c r="AB489" i="1"/>
  <c r="V489" i="1"/>
  <c r="U489" i="1"/>
  <c r="T489" i="1"/>
  <c r="AE489" i="1" s="1"/>
  <c r="AG488" i="1"/>
  <c r="AF488" i="1"/>
  <c r="AD488" i="1"/>
  <c r="AC488" i="1"/>
  <c r="AB488" i="1"/>
  <c r="V488" i="1"/>
  <c r="U488" i="1"/>
  <c r="T488" i="1"/>
  <c r="AE488" i="1" s="1"/>
  <c r="AG487" i="1"/>
  <c r="AF487" i="1"/>
  <c r="AD487" i="1"/>
  <c r="AC487" i="1"/>
  <c r="AB487" i="1"/>
  <c r="V487" i="1"/>
  <c r="U487" i="1"/>
  <c r="T487" i="1"/>
  <c r="AE487" i="1" s="1"/>
  <c r="AG486" i="1"/>
  <c r="AF486" i="1"/>
  <c r="AD486" i="1"/>
  <c r="AC486" i="1"/>
  <c r="AB486" i="1"/>
  <c r="V486" i="1"/>
  <c r="U486" i="1"/>
  <c r="T486" i="1"/>
  <c r="AE486" i="1" s="1"/>
  <c r="AG485" i="1"/>
  <c r="AF485" i="1"/>
  <c r="AE485" i="1"/>
  <c r="AD485" i="1"/>
  <c r="AC485" i="1"/>
  <c r="AB485" i="1"/>
  <c r="V485" i="1"/>
  <c r="U485" i="1"/>
  <c r="T485" i="1"/>
  <c r="AG484" i="1"/>
  <c r="AF484" i="1"/>
  <c r="AD484" i="1"/>
  <c r="AC484" i="1"/>
  <c r="AB484" i="1"/>
  <c r="V484" i="1"/>
  <c r="U484" i="1"/>
  <c r="T484" i="1"/>
  <c r="AE484" i="1" s="1"/>
  <c r="AG483" i="1"/>
  <c r="AF483" i="1"/>
  <c r="AD483" i="1"/>
  <c r="AC483" i="1"/>
  <c r="AB483" i="1"/>
  <c r="V483" i="1"/>
  <c r="U483" i="1"/>
  <c r="T483" i="1"/>
  <c r="AE483" i="1" s="1"/>
  <c r="AG482" i="1"/>
  <c r="AF482" i="1"/>
  <c r="AD482" i="1"/>
  <c r="AC482" i="1"/>
  <c r="AB482" i="1"/>
  <c r="V482" i="1"/>
  <c r="U482" i="1"/>
  <c r="T482" i="1"/>
  <c r="AE482" i="1" s="1"/>
  <c r="AG481" i="1"/>
  <c r="AF481" i="1"/>
  <c r="AE481" i="1"/>
  <c r="AC481" i="1"/>
  <c r="AB481" i="1"/>
  <c r="V481" i="1"/>
  <c r="U481" i="1"/>
  <c r="T481" i="1"/>
  <c r="AD481" i="1" s="1"/>
  <c r="AG480" i="1"/>
  <c r="AF480" i="1"/>
  <c r="AD480" i="1"/>
  <c r="AC480" i="1"/>
  <c r="AB480" i="1"/>
  <c r="V480" i="1"/>
  <c r="U480" i="1"/>
  <c r="T480" i="1"/>
  <c r="AE480" i="1" s="1"/>
  <c r="AG479" i="1"/>
  <c r="AF479" i="1"/>
  <c r="AE479" i="1"/>
  <c r="AC479" i="1"/>
  <c r="AB479" i="1"/>
  <c r="V479" i="1"/>
  <c r="U479" i="1"/>
  <c r="T479" i="1"/>
  <c r="AD479" i="1" s="1"/>
  <c r="AG478" i="1"/>
  <c r="AF478" i="1"/>
  <c r="AD478" i="1"/>
  <c r="AC478" i="1"/>
  <c r="AB478" i="1"/>
  <c r="V478" i="1"/>
  <c r="U478" i="1"/>
  <c r="T478" i="1"/>
  <c r="AE478" i="1" s="1"/>
  <c r="AG477" i="1"/>
  <c r="AF477" i="1"/>
  <c r="AD477" i="1"/>
  <c r="AC477" i="1"/>
  <c r="AB477" i="1"/>
  <c r="V477" i="1"/>
  <c r="U477" i="1"/>
  <c r="T477" i="1"/>
  <c r="AE477" i="1" s="1"/>
  <c r="AG476" i="1"/>
  <c r="AF476" i="1"/>
  <c r="AE476" i="1"/>
  <c r="AD476" i="1"/>
  <c r="AC476" i="1"/>
  <c r="AB476" i="1"/>
  <c r="V476" i="1"/>
  <c r="U476" i="1"/>
  <c r="T476" i="1"/>
  <c r="AG475" i="1"/>
  <c r="AF475" i="1"/>
  <c r="AE475" i="1"/>
  <c r="AD475" i="1"/>
  <c r="AC475" i="1"/>
  <c r="AB475" i="1"/>
  <c r="V475" i="1"/>
  <c r="U475" i="1"/>
  <c r="T475" i="1"/>
  <c r="AG474" i="1"/>
  <c r="AF474" i="1"/>
  <c r="AD474" i="1"/>
  <c r="AC474" i="1"/>
  <c r="AB474" i="1"/>
  <c r="V474" i="1"/>
  <c r="U474" i="1"/>
  <c r="T474" i="1"/>
  <c r="AE474" i="1" s="1"/>
  <c r="AG473" i="1"/>
  <c r="AF473" i="1"/>
  <c r="AE473" i="1"/>
  <c r="AD473" i="1"/>
  <c r="AC473" i="1"/>
  <c r="AB473" i="1"/>
  <c r="V473" i="1"/>
  <c r="U473" i="1"/>
  <c r="T473" i="1"/>
  <c r="AG472" i="1"/>
  <c r="AF472" i="1"/>
  <c r="AE472" i="1"/>
  <c r="AC472" i="1"/>
  <c r="AB472" i="1"/>
  <c r="V472" i="1"/>
  <c r="U472" i="1"/>
  <c r="T472" i="1"/>
  <c r="AD472" i="1" s="1"/>
  <c r="AG471" i="1"/>
  <c r="AF471" i="1"/>
  <c r="AD471" i="1"/>
  <c r="AC471" i="1"/>
  <c r="AB471" i="1"/>
  <c r="V471" i="1"/>
  <c r="U471" i="1"/>
  <c r="T471" i="1"/>
  <c r="AE471" i="1" s="1"/>
  <c r="AG470" i="1"/>
  <c r="AF470" i="1"/>
  <c r="AD470" i="1"/>
  <c r="AC470" i="1"/>
  <c r="AB470" i="1"/>
  <c r="V470" i="1"/>
  <c r="U470" i="1"/>
  <c r="T470" i="1"/>
  <c r="AE470" i="1" s="1"/>
  <c r="AG469" i="1"/>
  <c r="AF469" i="1"/>
  <c r="AE469" i="1"/>
  <c r="AD469" i="1"/>
  <c r="AC469" i="1"/>
  <c r="AB469" i="1"/>
  <c r="V469" i="1"/>
  <c r="U469" i="1"/>
  <c r="T469" i="1"/>
  <c r="AG468" i="1"/>
  <c r="AF468" i="1"/>
  <c r="AD468" i="1"/>
  <c r="AC468" i="1"/>
  <c r="AB468" i="1"/>
  <c r="V468" i="1"/>
  <c r="U468" i="1"/>
  <c r="T468" i="1"/>
  <c r="AE468" i="1" s="1"/>
  <c r="AG467" i="1"/>
  <c r="AF467" i="1"/>
  <c r="AD467" i="1"/>
  <c r="AC467" i="1"/>
  <c r="AB467" i="1"/>
  <c r="V467" i="1"/>
  <c r="U467" i="1"/>
  <c r="T467" i="1"/>
  <c r="AE467" i="1" s="1"/>
  <c r="AG466" i="1"/>
  <c r="AF466" i="1"/>
  <c r="AD466" i="1"/>
  <c r="AC466" i="1"/>
  <c r="AB466" i="1"/>
  <c r="V466" i="1"/>
  <c r="U466" i="1"/>
  <c r="T466" i="1"/>
  <c r="AE466" i="1" s="1"/>
  <c r="AG465" i="1"/>
  <c r="AF465" i="1"/>
  <c r="AD465" i="1"/>
  <c r="AC465" i="1"/>
  <c r="AB465" i="1"/>
  <c r="V465" i="1"/>
  <c r="U465" i="1"/>
  <c r="T465" i="1"/>
  <c r="AE465" i="1" s="1"/>
  <c r="AG464" i="1"/>
  <c r="AF464" i="1"/>
  <c r="AE464" i="1"/>
  <c r="AD464" i="1"/>
  <c r="AC464" i="1"/>
  <c r="AB464" i="1"/>
  <c r="V464" i="1"/>
  <c r="U464" i="1"/>
  <c r="T464" i="1"/>
  <c r="AG463" i="1"/>
  <c r="AF463" i="1"/>
  <c r="AE463" i="1"/>
  <c r="AC463" i="1"/>
  <c r="AB463" i="1"/>
  <c r="V463" i="1"/>
  <c r="U463" i="1"/>
  <c r="T463" i="1"/>
  <c r="AD463" i="1" s="1"/>
  <c r="AG462" i="1"/>
  <c r="AF462" i="1"/>
  <c r="AD462" i="1"/>
  <c r="AC462" i="1"/>
  <c r="AB462" i="1"/>
  <c r="V462" i="1"/>
  <c r="U462" i="1"/>
  <c r="T462" i="1"/>
  <c r="AE462" i="1" s="1"/>
  <c r="AG461" i="1"/>
  <c r="AF461" i="1"/>
  <c r="AD461" i="1"/>
  <c r="AC461" i="1"/>
  <c r="AB461" i="1"/>
  <c r="V461" i="1"/>
  <c r="U461" i="1"/>
  <c r="T461" i="1"/>
  <c r="AE461" i="1" s="1"/>
  <c r="AG460" i="1"/>
  <c r="AF460" i="1"/>
  <c r="AE460" i="1"/>
  <c r="AD460" i="1"/>
  <c r="AC460" i="1"/>
  <c r="AB460" i="1"/>
  <c r="V460" i="1"/>
  <c r="U460" i="1"/>
  <c r="T460" i="1"/>
  <c r="AG459" i="1"/>
  <c r="AF459" i="1"/>
  <c r="AE459" i="1"/>
  <c r="AD459" i="1"/>
  <c r="AC459" i="1"/>
  <c r="AB459" i="1"/>
  <c r="V459" i="1"/>
  <c r="U459" i="1"/>
  <c r="T459" i="1"/>
  <c r="AG458" i="1"/>
  <c r="AF458" i="1"/>
  <c r="AE458" i="1"/>
  <c r="AD458" i="1"/>
  <c r="AC458" i="1"/>
  <c r="AB458" i="1"/>
  <c r="V458" i="1"/>
  <c r="U458" i="1"/>
  <c r="T458" i="1"/>
  <c r="AG457" i="1"/>
  <c r="AF457" i="1"/>
  <c r="AD457" i="1"/>
  <c r="AC457" i="1"/>
  <c r="AB457" i="1"/>
  <c r="V457" i="1"/>
  <c r="U457" i="1"/>
  <c r="T457" i="1"/>
  <c r="AE457" i="1" s="1"/>
  <c r="AG456" i="1"/>
  <c r="AF456" i="1"/>
  <c r="AE456" i="1"/>
  <c r="AD456" i="1"/>
  <c r="AC456" i="1"/>
  <c r="AB456" i="1"/>
  <c r="V456" i="1"/>
  <c r="U456" i="1"/>
  <c r="T456" i="1"/>
  <c r="AG455" i="1"/>
  <c r="AF455" i="1"/>
  <c r="AE455" i="1"/>
  <c r="AD455" i="1"/>
  <c r="AC455" i="1"/>
  <c r="AB455" i="1"/>
  <c r="V455" i="1"/>
  <c r="U455" i="1"/>
  <c r="T455" i="1"/>
  <c r="AG454" i="1"/>
  <c r="AF454" i="1"/>
  <c r="AD454" i="1"/>
  <c r="AC454" i="1"/>
  <c r="AB454" i="1"/>
  <c r="V454" i="1"/>
  <c r="U454" i="1"/>
  <c r="T454" i="1"/>
  <c r="AE454" i="1" s="1"/>
  <c r="AG453" i="1"/>
  <c r="AF453" i="1"/>
  <c r="AD453" i="1"/>
  <c r="AC453" i="1"/>
  <c r="AB453" i="1"/>
  <c r="V453" i="1"/>
  <c r="U453" i="1"/>
  <c r="T453" i="1"/>
  <c r="AE453" i="1" s="1"/>
  <c r="AG452" i="1"/>
  <c r="AF452" i="1"/>
  <c r="AD452" i="1"/>
  <c r="AC452" i="1"/>
  <c r="AB452" i="1"/>
  <c r="V452" i="1"/>
  <c r="U452" i="1"/>
  <c r="T452" i="1"/>
  <c r="AE452" i="1" s="1"/>
  <c r="AG451" i="1"/>
  <c r="AF451" i="1"/>
  <c r="AD451" i="1"/>
  <c r="AC451" i="1"/>
  <c r="AB451" i="1"/>
  <c r="V451" i="1"/>
  <c r="U451" i="1"/>
  <c r="T451" i="1"/>
  <c r="AE451" i="1" s="1"/>
  <c r="AG450" i="1"/>
  <c r="AF450" i="1"/>
  <c r="AE450" i="1"/>
  <c r="AD450" i="1"/>
  <c r="AC450" i="1"/>
  <c r="AB450" i="1"/>
  <c r="V450" i="1"/>
  <c r="U450" i="1"/>
  <c r="T450" i="1"/>
  <c r="AG449" i="1"/>
  <c r="AF449" i="1"/>
  <c r="AE449" i="1"/>
  <c r="AD449" i="1"/>
  <c r="AC449" i="1"/>
  <c r="AB449" i="1"/>
  <c r="V449" i="1"/>
  <c r="U449" i="1"/>
  <c r="T449" i="1"/>
  <c r="AG448" i="1"/>
  <c r="AF448" i="1"/>
  <c r="AE448" i="1"/>
  <c r="AD448" i="1"/>
  <c r="AC448" i="1"/>
  <c r="AB448" i="1"/>
  <c r="V448" i="1"/>
  <c r="U448" i="1"/>
  <c r="T448" i="1"/>
  <c r="AG447" i="1"/>
  <c r="AF447" i="1"/>
  <c r="AE447" i="1"/>
  <c r="AD447" i="1"/>
  <c r="AC447" i="1"/>
  <c r="AB447" i="1"/>
  <c r="V447" i="1"/>
  <c r="U447" i="1"/>
  <c r="T447" i="1"/>
  <c r="AG446" i="1"/>
  <c r="AF446" i="1"/>
  <c r="AD446" i="1"/>
  <c r="AC446" i="1"/>
  <c r="AB446" i="1"/>
  <c r="V446" i="1"/>
  <c r="U446" i="1"/>
  <c r="T446" i="1"/>
  <c r="AE446" i="1" s="1"/>
  <c r="AG445" i="1"/>
  <c r="AF445" i="1"/>
  <c r="AD445" i="1"/>
  <c r="AC445" i="1"/>
  <c r="AB445" i="1"/>
  <c r="V445" i="1"/>
  <c r="U445" i="1"/>
  <c r="T445" i="1"/>
  <c r="AE445" i="1" s="1"/>
  <c r="AG444" i="1"/>
  <c r="AF444" i="1"/>
  <c r="AE444" i="1"/>
  <c r="AD444" i="1"/>
  <c r="AC444" i="1"/>
  <c r="AB444" i="1"/>
  <c r="V444" i="1"/>
  <c r="U444" i="1"/>
  <c r="T444" i="1"/>
  <c r="AG443" i="1"/>
  <c r="AF443" i="1"/>
  <c r="AD443" i="1"/>
  <c r="AC443" i="1"/>
  <c r="AB443" i="1"/>
  <c r="V443" i="1"/>
  <c r="U443" i="1"/>
  <c r="T443" i="1"/>
  <c r="AE443" i="1" s="1"/>
  <c r="AG442" i="1"/>
  <c r="AF442" i="1"/>
  <c r="AE442" i="1"/>
  <c r="AD442" i="1"/>
  <c r="AC442" i="1"/>
  <c r="AB442" i="1"/>
  <c r="V442" i="1"/>
  <c r="U442" i="1"/>
  <c r="T442" i="1"/>
  <c r="AG441" i="1"/>
  <c r="AF441" i="1"/>
  <c r="AD441" i="1"/>
  <c r="AC441" i="1"/>
  <c r="AB441" i="1"/>
  <c r="V441" i="1"/>
  <c r="U441" i="1"/>
  <c r="T441" i="1"/>
  <c r="AE441" i="1" s="1"/>
  <c r="AG440" i="1"/>
  <c r="AF440" i="1"/>
  <c r="AE440" i="1"/>
  <c r="AD440" i="1"/>
  <c r="AC440" i="1"/>
  <c r="AB440" i="1"/>
  <c r="V440" i="1"/>
  <c r="U440" i="1"/>
  <c r="T440" i="1"/>
  <c r="AG439" i="1"/>
  <c r="AF439" i="1"/>
  <c r="AD439" i="1"/>
  <c r="AC439" i="1"/>
  <c r="AB439" i="1"/>
  <c r="V439" i="1"/>
  <c r="U439" i="1"/>
  <c r="T439" i="1"/>
  <c r="AE439" i="1" s="1"/>
  <c r="AG438" i="1"/>
  <c r="AF438" i="1"/>
  <c r="AE438" i="1"/>
  <c r="AD438" i="1"/>
  <c r="AC438" i="1"/>
  <c r="AB438" i="1"/>
  <c r="V438" i="1"/>
  <c r="U438" i="1"/>
  <c r="T438" i="1"/>
  <c r="AG437" i="1"/>
  <c r="AF437" i="1"/>
  <c r="AE437" i="1"/>
  <c r="AD437" i="1"/>
  <c r="AC437" i="1"/>
  <c r="AB437" i="1"/>
  <c r="V437" i="1"/>
  <c r="U437" i="1"/>
  <c r="T437" i="1"/>
  <c r="AG436" i="1"/>
  <c r="AF436" i="1"/>
  <c r="AD436" i="1"/>
  <c r="AC436" i="1"/>
  <c r="AB436" i="1"/>
  <c r="V436" i="1"/>
  <c r="U436" i="1"/>
  <c r="T436" i="1"/>
  <c r="AE436" i="1" s="1"/>
  <c r="AG435" i="1"/>
  <c r="AF435" i="1"/>
  <c r="AE435" i="1"/>
  <c r="AC435" i="1"/>
  <c r="AB435" i="1"/>
  <c r="V435" i="1"/>
  <c r="U435" i="1"/>
  <c r="T435" i="1"/>
  <c r="AD435" i="1" s="1"/>
  <c r="AG434" i="1"/>
  <c r="AF434" i="1"/>
  <c r="AE434" i="1"/>
  <c r="AC434" i="1"/>
  <c r="AB434" i="1"/>
  <c r="V434" i="1"/>
  <c r="U434" i="1"/>
  <c r="T434" i="1"/>
  <c r="AD434" i="1" s="1"/>
  <c r="AG433" i="1"/>
  <c r="AF433" i="1"/>
  <c r="AE433" i="1"/>
  <c r="AD433" i="1"/>
  <c r="AC433" i="1"/>
  <c r="AB433" i="1"/>
  <c r="V433" i="1"/>
  <c r="U433" i="1"/>
  <c r="T433" i="1"/>
  <c r="AG432" i="1"/>
  <c r="AF432" i="1"/>
  <c r="AE432" i="1"/>
  <c r="AC432" i="1"/>
  <c r="AB432" i="1"/>
  <c r="V432" i="1"/>
  <c r="U432" i="1"/>
  <c r="T432" i="1"/>
  <c r="AD432" i="1" s="1"/>
  <c r="AG431" i="1"/>
  <c r="AF431" i="1"/>
  <c r="AD431" i="1"/>
  <c r="AC431" i="1"/>
  <c r="AB431" i="1"/>
  <c r="V431" i="1"/>
  <c r="U431" i="1"/>
  <c r="T431" i="1"/>
  <c r="AE431" i="1" s="1"/>
  <c r="AG430" i="1"/>
  <c r="AF430" i="1"/>
  <c r="AD430" i="1"/>
  <c r="AC430" i="1"/>
  <c r="AB430" i="1"/>
  <c r="V430" i="1"/>
  <c r="U430" i="1"/>
  <c r="T430" i="1"/>
  <c r="AE430" i="1" s="1"/>
  <c r="AG429" i="1"/>
  <c r="AF429" i="1"/>
  <c r="AD429" i="1"/>
  <c r="AC429" i="1"/>
  <c r="AB429" i="1"/>
  <c r="V429" i="1"/>
  <c r="U429" i="1"/>
  <c r="T429" i="1"/>
  <c r="AE429" i="1" s="1"/>
  <c r="AG428" i="1"/>
  <c r="AF428" i="1"/>
  <c r="AD428" i="1"/>
  <c r="AC428" i="1"/>
  <c r="AB428" i="1"/>
  <c r="V428" i="1"/>
  <c r="U428" i="1"/>
  <c r="T428" i="1"/>
  <c r="AE428" i="1" s="1"/>
  <c r="AG427" i="1"/>
  <c r="AF427" i="1"/>
  <c r="AE427" i="1"/>
  <c r="AC427" i="1"/>
  <c r="AB427" i="1"/>
  <c r="V427" i="1"/>
  <c r="U427" i="1"/>
  <c r="T427" i="1"/>
  <c r="AD427" i="1" s="1"/>
  <c r="AG426" i="1"/>
  <c r="AF426" i="1"/>
  <c r="AE426" i="1"/>
  <c r="AC426" i="1"/>
  <c r="AB426" i="1"/>
  <c r="V426" i="1"/>
  <c r="U426" i="1"/>
  <c r="T426" i="1"/>
  <c r="AD426" i="1" s="1"/>
  <c r="AG425" i="1"/>
  <c r="AF425" i="1"/>
  <c r="AE425" i="1"/>
  <c r="AC425" i="1"/>
  <c r="AB425" i="1"/>
  <c r="V425" i="1"/>
  <c r="U425" i="1"/>
  <c r="T425" i="1"/>
  <c r="AD425" i="1" s="1"/>
  <c r="AG424" i="1"/>
  <c r="AF424" i="1"/>
  <c r="AE424" i="1"/>
  <c r="AD424" i="1"/>
  <c r="AC424" i="1"/>
  <c r="AB424" i="1"/>
  <c r="V424" i="1"/>
  <c r="U424" i="1"/>
  <c r="T424" i="1"/>
  <c r="AG423" i="1"/>
  <c r="AF423" i="1"/>
  <c r="AE423" i="1"/>
  <c r="AD423" i="1"/>
  <c r="AC423" i="1"/>
  <c r="AB423" i="1"/>
  <c r="V423" i="1"/>
  <c r="U423" i="1"/>
  <c r="T423" i="1"/>
  <c r="AG422" i="1"/>
  <c r="AF422" i="1"/>
  <c r="AE422" i="1"/>
  <c r="AD422" i="1"/>
  <c r="AC422" i="1"/>
  <c r="AB422" i="1"/>
  <c r="V422" i="1"/>
  <c r="U422" i="1"/>
  <c r="T422" i="1"/>
  <c r="AG421" i="1"/>
  <c r="AF421" i="1"/>
  <c r="AE421" i="1"/>
  <c r="AD421" i="1"/>
  <c r="AC421" i="1"/>
  <c r="AB421" i="1"/>
  <c r="V421" i="1"/>
  <c r="U421" i="1"/>
  <c r="T421" i="1"/>
  <c r="AG420" i="1"/>
  <c r="AF420" i="1"/>
  <c r="AE420" i="1"/>
  <c r="AD420" i="1"/>
  <c r="AC420" i="1"/>
  <c r="AB420" i="1"/>
  <c r="V420" i="1"/>
  <c r="U420" i="1"/>
  <c r="T420" i="1"/>
  <c r="AG419" i="1"/>
  <c r="AF419" i="1"/>
  <c r="AE419" i="1"/>
  <c r="AD419" i="1"/>
  <c r="AC419" i="1"/>
  <c r="AB419" i="1"/>
  <c r="V419" i="1"/>
  <c r="U419" i="1"/>
  <c r="T419" i="1"/>
  <c r="AG418" i="1"/>
  <c r="AF418" i="1"/>
  <c r="AD418" i="1"/>
  <c r="AC418" i="1"/>
  <c r="AB418" i="1"/>
  <c r="V418" i="1"/>
  <c r="U418" i="1"/>
  <c r="T418" i="1"/>
  <c r="AE418" i="1" s="1"/>
  <c r="AG417" i="1"/>
  <c r="AF417" i="1"/>
  <c r="AE417" i="1"/>
  <c r="AD417" i="1"/>
  <c r="AC417" i="1"/>
  <c r="AB417" i="1"/>
  <c r="V417" i="1"/>
  <c r="U417" i="1"/>
  <c r="T417" i="1"/>
  <c r="AG416" i="1"/>
  <c r="AF416" i="1"/>
  <c r="AE416" i="1"/>
  <c r="AD416" i="1"/>
  <c r="AC416" i="1"/>
  <c r="AB416" i="1"/>
  <c r="V416" i="1"/>
  <c r="U416" i="1"/>
  <c r="T416" i="1"/>
  <c r="AG415" i="1"/>
  <c r="AF415" i="1"/>
  <c r="AD415" i="1"/>
  <c r="AC415" i="1"/>
  <c r="AB415" i="1"/>
  <c r="V415" i="1"/>
  <c r="U415" i="1"/>
  <c r="T415" i="1"/>
  <c r="AE415" i="1" s="1"/>
  <c r="AG414" i="1"/>
  <c r="AF414" i="1"/>
  <c r="AE414" i="1"/>
  <c r="AD414" i="1"/>
  <c r="AC414" i="1"/>
  <c r="AB414" i="1"/>
  <c r="V414" i="1"/>
  <c r="U414" i="1"/>
  <c r="T414" i="1"/>
  <c r="AG413" i="1"/>
  <c r="AF413" i="1"/>
  <c r="AE413" i="1"/>
  <c r="AD413" i="1"/>
  <c r="AC413" i="1"/>
  <c r="AB413" i="1"/>
  <c r="V413" i="1"/>
  <c r="U413" i="1"/>
  <c r="T413" i="1"/>
  <c r="AG412" i="1"/>
  <c r="AF412" i="1"/>
  <c r="AE412" i="1"/>
  <c r="AD412" i="1"/>
  <c r="AC412" i="1"/>
  <c r="AB412" i="1"/>
  <c r="V412" i="1"/>
  <c r="U412" i="1"/>
  <c r="T412" i="1"/>
  <c r="AG411" i="1"/>
  <c r="AF411" i="1"/>
  <c r="AD411" i="1"/>
  <c r="AC411" i="1"/>
  <c r="AB411" i="1"/>
  <c r="V411" i="1"/>
  <c r="U411" i="1"/>
  <c r="T411" i="1"/>
  <c r="AE411" i="1" s="1"/>
  <c r="AG410" i="1"/>
  <c r="AF410" i="1"/>
  <c r="AD410" i="1"/>
  <c r="AC410" i="1"/>
  <c r="AB410" i="1"/>
  <c r="V410" i="1"/>
  <c r="U410" i="1"/>
  <c r="T410" i="1"/>
  <c r="AE410" i="1" s="1"/>
  <c r="AG409" i="1"/>
  <c r="AF409" i="1"/>
  <c r="AE409" i="1"/>
  <c r="AD409" i="1"/>
  <c r="AC409" i="1"/>
  <c r="AB409" i="1"/>
  <c r="V409" i="1"/>
  <c r="U409" i="1"/>
  <c r="T409" i="1"/>
  <c r="AG408" i="1"/>
  <c r="AF408" i="1"/>
  <c r="AD408" i="1"/>
  <c r="AC408" i="1"/>
  <c r="AB408" i="1"/>
  <c r="V408" i="1"/>
  <c r="U408" i="1"/>
  <c r="T408" i="1"/>
  <c r="AE408" i="1" s="1"/>
  <c r="AG407" i="1"/>
  <c r="AF407" i="1"/>
  <c r="AD407" i="1"/>
  <c r="AC407" i="1"/>
  <c r="AB407" i="1"/>
  <c r="V407" i="1"/>
  <c r="U407" i="1"/>
  <c r="T407" i="1"/>
  <c r="AE407" i="1" s="1"/>
  <c r="AG406" i="1"/>
  <c r="AF406" i="1"/>
  <c r="AD406" i="1"/>
  <c r="AC406" i="1"/>
  <c r="AB406" i="1"/>
  <c r="V406" i="1"/>
  <c r="U406" i="1"/>
  <c r="T406" i="1"/>
  <c r="AE406" i="1" s="1"/>
  <c r="AG405" i="1"/>
  <c r="AF405" i="1"/>
  <c r="AE405" i="1"/>
  <c r="AC405" i="1"/>
  <c r="AB405" i="1"/>
  <c r="V405" i="1"/>
  <c r="U405" i="1"/>
  <c r="T405" i="1"/>
  <c r="AD405" i="1" s="1"/>
  <c r="AG404" i="1"/>
  <c r="AF404" i="1"/>
  <c r="AD404" i="1"/>
  <c r="AC404" i="1"/>
  <c r="AB404" i="1"/>
  <c r="V404" i="1"/>
  <c r="U404" i="1"/>
  <c r="T404" i="1"/>
  <c r="AE404" i="1" s="1"/>
  <c r="AG403" i="1"/>
  <c r="AF403" i="1"/>
  <c r="AE403" i="1"/>
  <c r="AC403" i="1"/>
  <c r="AB403" i="1"/>
  <c r="V403" i="1"/>
  <c r="U403" i="1"/>
  <c r="T403" i="1"/>
  <c r="AD403" i="1" s="1"/>
  <c r="AG402" i="1"/>
  <c r="AF402" i="1"/>
  <c r="AD402" i="1"/>
  <c r="AC402" i="1"/>
  <c r="AB402" i="1"/>
  <c r="V402" i="1"/>
  <c r="U402" i="1"/>
  <c r="T402" i="1"/>
  <c r="AE402" i="1" s="1"/>
  <c r="AG401" i="1"/>
  <c r="AF401" i="1"/>
  <c r="AE401" i="1"/>
  <c r="AD401" i="1"/>
  <c r="AC401" i="1"/>
  <c r="AB401" i="1"/>
  <c r="V401" i="1"/>
  <c r="U401" i="1"/>
  <c r="T401" i="1"/>
  <c r="AG400" i="1"/>
  <c r="AF400" i="1"/>
  <c r="AE400" i="1"/>
  <c r="AD400" i="1"/>
  <c r="AC400" i="1"/>
  <c r="AB400" i="1"/>
  <c r="V400" i="1"/>
  <c r="U400" i="1"/>
  <c r="T400" i="1"/>
  <c r="AG399" i="1"/>
  <c r="AF399" i="1"/>
  <c r="AD399" i="1"/>
  <c r="AC399" i="1"/>
  <c r="AB399" i="1"/>
  <c r="V399" i="1"/>
  <c r="U399" i="1"/>
  <c r="T399" i="1"/>
  <c r="AE399" i="1" s="1"/>
  <c r="AG398" i="1"/>
  <c r="AF398" i="1"/>
  <c r="AD398" i="1"/>
  <c r="AC398" i="1"/>
  <c r="AB398" i="1"/>
  <c r="V398" i="1"/>
  <c r="U398" i="1"/>
  <c r="T398" i="1"/>
  <c r="AE398" i="1" s="1"/>
  <c r="AG397" i="1"/>
  <c r="AF397" i="1"/>
  <c r="AE397" i="1"/>
  <c r="AD397" i="1"/>
  <c r="AC397" i="1"/>
  <c r="AB397" i="1"/>
  <c r="V397" i="1"/>
  <c r="U397" i="1"/>
  <c r="T397" i="1"/>
  <c r="AG396" i="1"/>
  <c r="AF396" i="1"/>
  <c r="AE396" i="1"/>
  <c r="AD396" i="1"/>
  <c r="AC396" i="1"/>
  <c r="AB396" i="1"/>
  <c r="V396" i="1"/>
  <c r="U396" i="1"/>
  <c r="T396" i="1"/>
  <c r="AG395" i="1"/>
  <c r="AF395" i="1"/>
  <c r="AD395" i="1"/>
  <c r="AB395" i="1"/>
  <c r="V395" i="1"/>
  <c r="U395" i="1"/>
  <c r="T395" i="1"/>
  <c r="AE395" i="1" s="1"/>
  <c r="AG394" i="1"/>
  <c r="AF394" i="1"/>
  <c r="AD394" i="1"/>
  <c r="AC394" i="1"/>
  <c r="AB394" i="1"/>
  <c r="V394" i="1"/>
  <c r="U394" i="1"/>
  <c r="T394" i="1"/>
  <c r="AE394" i="1" s="1"/>
  <c r="AG393" i="1"/>
  <c r="AF393" i="1"/>
  <c r="AE393" i="1"/>
  <c r="AC393" i="1"/>
  <c r="AB393" i="1"/>
  <c r="V393" i="1"/>
  <c r="U393" i="1"/>
  <c r="T393" i="1"/>
  <c r="AD393" i="1" s="1"/>
  <c r="AG392" i="1"/>
  <c r="AF392" i="1"/>
  <c r="AE392" i="1"/>
  <c r="AD392" i="1"/>
  <c r="AC392" i="1"/>
  <c r="AB392" i="1"/>
  <c r="V392" i="1"/>
  <c r="U392" i="1"/>
  <c r="T392" i="1"/>
  <c r="AG391" i="1"/>
  <c r="AF391" i="1"/>
  <c r="AD391" i="1"/>
  <c r="AC391" i="1"/>
  <c r="AB391" i="1"/>
  <c r="V391" i="1"/>
  <c r="U391" i="1"/>
  <c r="T391" i="1"/>
  <c r="AE391" i="1" s="1"/>
  <c r="AG390" i="1"/>
  <c r="AF390" i="1"/>
  <c r="AD390" i="1"/>
  <c r="AC390" i="1"/>
  <c r="AB390" i="1"/>
  <c r="V390" i="1"/>
  <c r="U390" i="1"/>
  <c r="T390" i="1"/>
  <c r="AE390" i="1" s="1"/>
  <c r="AG389" i="1"/>
  <c r="AF389" i="1"/>
  <c r="AD389" i="1"/>
  <c r="AC389" i="1"/>
  <c r="AB389" i="1"/>
  <c r="V389" i="1"/>
  <c r="U389" i="1"/>
  <c r="T389" i="1"/>
  <c r="AE389" i="1" s="1"/>
  <c r="AG388" i="1"/>
  <c r="AF388" i="1"/>
  <c r="AE388" i="1"/>
  <c r="AD388" i="1"/>
  <c r="AC388" i="1"/>
  <c r="AB388" i="1"/>
  <c r="V388" i="1"/>
  <c r="U388" i="1"/>
  <c r="T388" i="1"/>
  <c r="AG387" i="1"/>
  <c r="AF387" i="1"/>
  <c r="AE387" i="1"/>
  <c r="AD387" i="1"/>
  <c r="AC387" i="1"/>
  <c r="AB387" i="1"/>
  <c r="V387" i="1"/>
  <c r="U387" i="1"/>
  <c r="T387" i="1"/>
  <c r="AG386" i="1"/>
  <c r="AF386" i="1"/>
  <c r="AE386" i="1"/>
  <c r="AD386" i="1"/>
  <c r="AC386" i="1"/>
  <c r="AB386" i="1"/>
  <c r="V386" i="1"/>
  <c r="U386" i="1"/>
  <c r="T386" i="1"/>
  <c r="AG385" i="1"/>
  <c r="AF385" i="1"/>
  <c r="AE385" i="1"/>
  <c r="AD385" i="1"/>
  <c r="AC385" i="1"/>
  <c r="AB385" i="1"/>
  <c r="V385" i="1"/>
  <c r="U385" i="1"/>
  <c r="T385" i="1"/>
  <c r="AG384" i="1"/>
  <c r="AF384" i="1"/>
  <c r="AD384" i="1"/>
  <c r="AC384" i="1"/>
  <c r="AB384" i="1"/>
  <c r="V384" i="1"/>
  <c r="U384" i="1"/>
  <c r="T384" i="1"/>
  <c r="AE384" i="1" s="1"/>
  <c r="AG383" i="1"/>
  <c r="AF383" i="1"/>
  <c r="AD383" i="1"/>
  <c r="AC383" i="1"/>
  <c r="AB383" i="1"/>
  <c r="V383" i="1"/>
  <c r="U383" i="1"/>
  <c r="T383" i="1"/>
  <c r="AE383" i="1" s="1"/>
  <c r="AG382" i="1"/>
  <c r="AF382" i="1"/>
  <c r="AE382" i="1"/>
  <c r="AD382" i="1"/>
  <c r="AC382" i="1"/>
  <c r="AB382" i="1"/>
  <c r="V382" i="1"/>
  <c r="U382" i="1"/>
  <c r="T382" i="1"/>
  <c r="AG381" i="1"/>
  <c r="AF381" i="1"/>
  <c r="AD381" i="1"/>
  <c r="AC381" i="1"/>
  <c r="AB381" i="1"/>
  <c r="V381" i="1"/>
  <c r="U381" i="1"/>
  <c r="T381" i="1"/>
  <c r="AE381" i="1" s="1"/>
  <c r="AG380" i="1"/>
  <c r="AF380" i="1"/>
  <c r="AD380" i="1"/>
  <c r="AC380" i="1"/>
  <c r="AB380" i="1"/>
  <c r="V380" i="1"/>
  <c r="U380" i="1"/>
  <c r="T380" i="1"/>
  <c r="AE380" i="1" s="1"/>
  <c r="AG379" i="1"/>
  <c r="AF379" i="1"/>
  <c r="AD379" i="1"/>
  <c r="AC379" i="1"/>
  <c r="AB379" i="1"/>
  <c r="V379" i="1"/>
  <c r="U379" i="1"/>
  <c r="T379" i="1"/>
  <c r="AE379" i="1" s="1"/>
  <c r="AG378" i="1"/>
  <c r="AF378" i="1"/>
  <c r="AE378" i="1"/>
  <c r="AD378" i="1"/>
  <c r="AC378" i="1"/>
  <c r="AB378" i="1"/>
  <c r="V378" i="1"/>
  <c r="U378" i="1"/>
  <c r="T378" i="1"/>
  <c r="AG377" i="1"/>
  <c r="AF377" i="1"/>
  <c r="AE377" i="1"/>
  <c r="AD377" i="1"/>
  <c r="AC377" i="1"/>
  <c r="AB377" i="1"/>
  <c r="V377" i="1"/>
  <c r="U377" i="1"/>
  <c r="T377" i="1"/>
  <c r="AG376" i="1"/>
  <c r="AF376" i="1"/>
  <c r="AE376" i="1"/>
  <c r="AD376" i="1"/>
  <c r="AC376" i="1"/>
  <c r="AB376" i="1"/>
  <c r="V376" i="1"/>
  <c r="U376" i="1"/>
  <c r="T376" i="1"/>
  <c r="AG375" i="1"/>
  <c r="AF375" i="1"/>
  <c r="AE375" i="1"/>
  <c r="AC375" i="1"/>
  <c r="AB375" i="1"/>
  <c r="V375" i="1"/>
  <c r="U375" i="1"/>
  <c r="T375" i="1"/>
  <c r="AD375" i="1" s="1"/>
  <c r="AG374" i="1"/>
  <c r="AF374" i="1"/>
  <c r="AD374" i="1"/>
  <c r="AC374" i="1"/>
  <c r="AB374" i="1"/>
  <c r="V374" i="1"/>
  <c r="U374" i="1"/>
  <c r="T374" i="1"/>
  <c r="AE374" i="1" s="1"/>
  <c r="AG373" i="1"/>
  <c r="AF373" i="1"/>
  <c r="AD373" i="1"/>
  <c r="AC373" i="1"/>
  <c r="AB373" i="1"/>
  <c r="V373" i="1"/>
  <c r="U373" i="1"/>
  <c r="T373" i="1"/>
  <c r="AE373" i="1" s="1"/>
  <c r="AG372" i="1"/>
  <c r="AF372" i="1"/>
  <c r="AD372" i="1"/>
  <c r="AC372" i="1"/>
  <c r="AB372" i="1"/>
  <c r="V372" i="1"/>
  <c r="U372" i="1"/>
  <c r="T372" i="1"/>
  <c r="AE372" i="1" s="1"/>
  <c r="AG371" i="1"/>
  <c r="AF371" i="1"/>
  <c r="AD371" i="1"/>
  <c r="AC371" i="1"/>
  <c r="AB371" i="1"/>
  <c r="V371" i="1"/>
  <c r="U371" i="1"/>
  <c r="T371" i="1"/>
  <c r="AE371" i="1" s="1"/>
  <c r="AG370" i="1"/>
  <c r="AF370" i="1"/>
  <c r="AE370" i="1"/>
  <c r="AD370" i="1"/>
  <c r="AC370" i="1"/>
  <c r="AB370" i="1"/>
  <c r="V370" i="1"/>
  <c r="U370" i="1"/>
  <c r="T370" i="1"/>
  <c r="AG369" i="1"/>
  <c r="AF369" i="1"/>
  <c r="AD369" i="1"/>
  <c r="AC369" i="1"/>
  <c r="AB369" i="1"/>
  <c r="V369" i="1"/>
  <c r="U369" i="1"/>
  <c r="T369" i="1"/>
  <c r="AE369" i="1" s="1"/>
  <c r="AG368" i="1"/>
  <c r="AF368" i="1"/>
  <c r="AE368" i="1"/>
  <c r="AD368" i="1"/>
  <c r="AC368" i="1"/>
  <c r="AB368" i="1"/>
  <c r="V368" i="1"/>
  <c r="U368" i="1"/>
  <c r="T368" i="1"/>
  <c r="AG367" i="1"/>
  <c r="AF367" i="1"/>
  <c r="AE367" i="1"/>
  <c r="AD367" i="1"/>
  <c r="AC367" i="1"/>
  <c r="AB367" i="1"/>
  <c r="V367" i="1"/>
  <c r="U367" i="1"/>
  <c r="T367" i="1"/>
  <c r="AG366" i="1"/>
  <c r="AF366" i="1"/>
  <c r="AD366" i="1"/>
  <c r="AC366" i="1"/>
  <c r="AB366" i="1"/>
  <c r="V366" i="1"/>
  <c r="U366" i="1"/>
  <c r="T366" i="1"/>
  <c r="AE366" i="1" s="1"/>
  <c r="AG365" i="1"/>
  <c r="AF365" i="1"/>
  <c r="AE365" i="1"/>
  <c r="AD365" i="1"/>
  <c r="AC365" i="1"/>
  <c r="AB365" i="1"/>
  <c r="V365" i="1"/>
  <c r="U365" i="1"/>
  <c r="T365" i="1"/>
  <c r="AG364" i="1"/>
  <c r="AF364" i="1"/>
  <c r="AD364" i="1"/>
  <c r="AC364" i="1"/>
  <c r="AB364" i="1"/>
  <c r="V364" i="1"/>
  <c r="U364" i="1"/>
  <c r="T364" i="1"/>
  <c r="AE364" i="1" s="1"/>
  <c r="AG363" i="1"/>
  <c r="AF363" i="1"/>
  <c r="AE363" i="1"/>
  <c r="AD363" i="1"/>
  <c r="AC363" i="1"/>
  <c r="AB363" i="1"/>
  <c r="V363" i="1"/>
  <c r="U363" i="1"/>
  <c r="T363" i="1"/>
  <c r="AG362" i="1"/>
  <c r="AF362" i="1"/>
  <c r="AE362" i="1"/>
  <c r="AD362" i="1"/>
  <c r="AC362" i="1"/>
  <c r="AB362" i="1"/>
  <c r="V362" i="1"/>
  <c r="U362" i="1"/>
  <c r="T362" i="1"/>
  <c r="AG361" i="1"/>
  <c r="AF361" i="1"/>
  <c r="AD361" i="1"/>
  <c r="AC361" i="1"/>
  <c r="AB361" i="1"/>
  <c r="V361" i="1"/>
  <c r="U361" i="1"/>
  <c r="T361" i="1"/>
  <c r="AE361" i="1" s="1"/>
  <c r="AG360" i="1"/>
  <c r="AF360" i="1"/>
  <c r="AD360" i="1"/>
  <c r="AC360" i="1"/>
  <c r="AB360" i="1"/>
  <c r="V360" i="1"/>
  <c r="U360" i="1"/>
  <c r="T360" i="1"/>
  <c r="AE360" i="1" s="1"/>
  <c r="AG359" i="1"/>
  <c r="AF359" i="1"/>
  <c r="AD359" i="1"/>
  <c r="AC359" i="1"/>
  <c r="AB359" i="1"/>
  <c r="V359" i="1"/>
  <c r="U359" i="1"/>
  <c r="T359" i="1"/>
  <c r="AE359" i="1" s="1"/>
  <c r="AG358" i="1"/>
  <c r="AF358" i="1"/>
  <c r="AE358" i="1"/>
  <c r="AC358" i="1"/>
  <c r="AB358" i="1"/>
  <c r="V358" i="1"/>
  <c r="U358" i="1"/>
  <c r="T358" i="1"/>
  <c r="AD358" i="1" s="1"/>
  <c r="AG357" i="1"/>
  <c r="AF357" i="1"/>
  <c r="AE357" i="1"/>
  <c r="AD357" i="1"/>
  <c r="AC357" i="1"/>
  <c r="AB357" i="1"/>
  <c r="V357" i="1"/>
  <c r="U357" i="1"/>
  <c r="T357" i="1"/>
  <c r="AG356" i="1"/>
  <c r="AF356" i="1"/>
  <c r="AD356" i="1"/>
  <c r="AC356" i="1"/>
  <c r="AB356" i="1"/>
  <c r="V356" i="1"/>
  <c r="U356" i="1"/>
  <c r="T356" i="1"/>
  <c r="AE356" i="1" s="1"/>
  <c r="AG355" i="1"/>
  <c r="AF355" i="1"/>
  <c r="AD355" i="1"/>
  <c r="AC355" i="1"/>
  <c r="AB355" i="1"/>
  <c r="V355" i="1"/>
  <c r="U355" i="1"/>
  <c r="T355" i="1"/>
  <c r="AE355" i="1" s="1"/>
  <c r="AG354" i="1"/>
  <c r="AF354" i="1"/>
  <c r="AD354" i="1"/>
  <c r="AC354" i="1"/>
  <c r="AB354" i="1"/>
  <c r="V354" i="1"/>
  <c r="U354" i="1"/>
  <c r="T354" i="1"/>
  <c r="AE354" i="1" s="1"/>
  <c r="AG353" i="1"/>
  <c r="AF353" i="1"/>
  <c r="AD353" i="1"/>
  <c r="AC353" i="1"/>
  <c r="AB353" i="1"/>
  <c r="V353" i="1"/>
  <c r="U353" i="1"/>
  <c r="T353" i="1"/>
  <c r="AE353" i="1" s="1"/>
  <c r="AG352" i="1"/>
  <c r="AF352" i="1"/>
  <c r="AD352" i="1"/>
  <c r="AC352" i="1"/>
  <c r="AB352" i="1"/>
  <c r="V352" i="1"/>
  <c r="U352" i="1"/>
  <c r="T352" i="1"/>
  <c r="AE352" i="1" s="1"/>
  <c r="AG351" i="1"/>
  <c r="AF351" i="1"/>
  <c r="AE351" i="1"/>
  <c r="AD351" i="1"/>
  <c r="AC351" i="1"/>
  <c r="AB351" i="1"/>
  <c r="V351" i="1"/>
  <c r="U351" i="1"/>
  <c r="T351" i="1"/>
  <c r="AG350" i="1"/>
  <c r="AF350" i="1"/>
  <c r="AE350" i="1"/>
  <c r="AD350" i="1"/>
  <c r="AC350" i="1"/>
  <c r="AB350" i="1"/>
  <c r="V350" i="1"/>
  <c r="U350" i="1"/>
  <c r="T350" i="1"/>
  <c r="AG349" i="1"/>
  <c r="AF349" i="1"/>
  <c r="AE349" i="1"/>
  <c r="AC349" i="1"/>
  <c r="AB349" i="1"/>
  <c r="V349" i="1"/>
  <c r="U349" i="1"/>
  <c r="T349" i="1"/>
  <c r="AD349" i="1" s="1"/>
  <c r="AG348" i="1"/>
  <c r="AF348" i="1"/>
  <c r="AD348" i="1"/>
  <c r="AC348" i="1"/>
  <c r="AB348" i="1"/>
  <c r="V348" i="1"/>
  <c r="U348" i="1"/>
  <c r="T348" i="1"/>
  <c r="AE348" i="1" s="1"/>
  <c r="AG347" i="1"/>
  <c r="AF347" i="1"/>
  <c r="AD347" i="1"/>
  <c r="AC347" i="1"/>
  <c r="AB347" i="1"/>
  <c r="V347" i="1"/>
  <c r="U347" i="1"/>
  <c r="T347" i="1"/>
  <c r="AE347" i="1" s="1"/>
  <c r="AG346" i="1"/>
  <c r="AF346" i="1"/>
  <c r="AD346" i="1"/>
  <c r="AC346" i="1"/>
  <c r="AB346" i="1"/>
  <c r="V346" i="1"/>
  <c r="U346" i="1"/>
  <c r="T346" i="1"/>
  <c r="AE346" i="1" s="1"/>
  <c r="AG345" i="1"/>
  <c r="AF345" i="1"/>
  <c r="AD345" i="1"/>
  <c r="AC345" i="1"/>
  <c r="AB345" i="1"/>
  <c r="V345" i="1"/>
  <c r="U345" i="1"/>
  <c r="T345" i="1"/>
  <c r="AE345" i="1" s="1"/>
  <c r="AG344" i="1"/>
  <c r="AF344" i="1"/>
  <c r="AE344" i="1"/>
  <c r="AD344" i="1"/>
  <c r="AC344" i="1"/>
  <c r="AB344" i="1"/>
  <c r="V344" i="1"/>
  <c r="U344" i="1"/>
  <c r="T344" i="1"/>
  <c r="AG343" i="1"/>
  <c r="AF343" i="1"/>
  <c r="AE343" i="1"/>
  <c r="AD343" i="1"/>
  <c r="AC343" i="1"/>
  <c r="AB343" i="1"/>
  <c r="V343" i="1"/>
  <c r="U343" i="1"/>
  <c r="T343" i="1"/>
  <c r="AG342" i="1"/>
  <c r="AF342" i="1"/>
  <c r="AD342" i="1"/>
  <c r="AB342" i="1"/>
  <c r="V342" i="1"/>
  <c r="U342" i="1"/>
  <c r="T342" i="1"/>
  <c r="AE342" i="1" s="1"/>
  <c r="AG341" i="1"/>
  <c r="AF341" i="1"/>
  <c r="AE341" i="1"/>
  <c r="AC341" i="1"/>
  <c r="AB341" i="1"/>
  <c r="V341" i="1"/>
  <c r="U341" i="1"/>
  <c r="T341" i="1"/>
  <c r="AD341" i="1" s="1"/>
  <c r="AG340" i="1"/>
  <c r="AF340" i="1"/>
  <c r="AD340" i="1"/>
  <c r="AC340" i="1"/>
  <c r="AB340" i="1"/>
  <c r="V340" i="1"/>
  <c r="U340" i="1"/>
  <c r="T340" i="1"/>
  <c r="AE340" i="1" s="1"/>
  <c r="AG339" i="1"/>
  <c r="AF339" i="1"/>
  <c r="AE339" i="1"/>
  <c r="AD339" i="1"/>
  <c r="AC339" i="1"/>
  <c r="AB339" i="1"/>
  <c r="V339" i="1"/>
  <c r="U339" i="1"/>
  <c r="T339" i="1"/>
  <c r="AG338" i="1"/>
  <c r="AF338" i="1"/>
  <c r="AD338" i="1"/>
  <c r="AC338" i="1"/>
  <c r="AB338" i="1"/>
  <c r="V338" i="1"/>
  <c r="U338" i="1"/>
  <c r="T338" i="1"/>
  <c r="AE338" i="1" s="1"/>
  <c r="AG337" i="1"/>
  <c r="AF337" i="1"/>
  <c r="AE337" i="1"/>
  <c r="AD337" i="1"/>
  <c r="AC337" i="1"/>
  <c r="AB337" i="1"/>
  <c r="V337" i="1"/>
  <c r="U337" i="1"/>
  <c r="T337" i="1"/>
  <c r="AG336" i="1"/>
  <c r="AF336" i="1"/>
  <c r="AD336" i="1"/>
  <c r="AC336" i="1"/>
  <c r="AB336" i="1"/>
  <c r="V336" i="1"/>
  <c r="U336" i="1"/>
  <c r="T336" i="1"/>
  <c r="AE336" i="1" s="1"/>
  <c r="AG335" i="1"/>
  <c r="AF335" i="1"/>
  <c r="AD335" i="1"/>
  <c r="AB335" i="1"/>
  <c r="V335" i="1"/>
  <c r="U335" i="1"/>
  <c r="T335" i="1"/>
  <c r="AE335" i="1" s="1"/>
  <c r="AG334" i="1"/>
  <c r="AF334" i="1"/>
  <c r="AD334" i="1"/>
  <c r="AC334" i="1"/>
  <c r="AB334" i="1"/>
  <c r="V334" i="1"/>
  <c r="U334" i="1"/>
  <c r="T334" i="1"/>
  <c r="AE334" i="1" s="1"/>
  <c r="AG333" i="1"/>
  <c r="AF333" i="1"/>
  <c r="AE333" i="1"/>
  <c r="AD333" i="1"/>
  <c r="AC333" i="1"/>
  <c r="AB333" i="1"/>
  <c r="V333" i="1"/>
  <c r="U333" i="1"/>
  <c r="T333" i="1"/>
  <c r="AG332" i="1"/>
  <c r="AF332" i="1"/>
  <c r="AE332" i="1"/>
  <c r="AD332" i="1"/>
  <c r="AC332" i="1"/>
  <c r="AB332" i="1"/>
  <c r="V332" i="1"/>
  <c r="U332" i="1"/>
  <c r="T332" i="1"/>
  <c r="AG331" i="1"/>
  <c r="AF331" i="1"/>
  <c r="AE331" i="1"/>
  <c r="AD331" i="1"/>
  <c r="AC331" i="1"/>
  <c r="AB331" i="1"/>
  <c r="V331" i="1"/>
  <c r="U331" i="1"/>
  <c r="T331" i="1"/>
  <c r="AG330" i="1"/>
  <c r="AF330" i="1"/>
  <c r="AE330" i="1"/>
  <c r="AD330" i="1"/>
  <c r="AC330" i="1"/>
  <c r="AB330" i="1"/>
  <c r="V330" i="1"/>
  <c r="U330" i="1"/>
  <c r="T330" i="1"/>
  <c r="AG329" i="1"/>
  <c r="AF329" i="1"/>
  <c r="AE329" i="1"/>
  <c r="AD329" i="1"/>
  <c r="AC329" i="1"/>
  <c r="AB329" i="1"/>
  <c r="V329" i="1"/>
  <c r="U329" i="1"/>
  <c r="T329" i="1"/>
  <c r="AG328" i="1"/>
  <c r="AF328" i="1"/>
  <c r="AE328" i="1"/>
  <c r="AC328" i="1"/>
  <c r="AB328" i="1"/>
  <c r="V328" i="1"/>
  <c r="U328" i="1"/>
  <c r="T328" i="1"/>
  <c r="AD328" i="1" s="1"/>
  <c r="AG327" i="1"/>
  <c r="AF327" i="1"/>
  <c r="AE327" i="1"/>
  <c r="AC327" i="1"/>
  <c r="AB327" i="1"/>
  <c r="V327" i="1"/>
  <c r="U327" i="1"/>
  <c r="T327" i="1"/>
  <c r="AD327" i="1" s="1"/>
  <c r="AG326" i="1"/>
  <c r="AF326" i="1"/>
  <c r="AD326" i="1"/>
  <c r="AC326" i="1"/>
  <c r="AB326" i="1"/>
  <c r="V326" i="1"/>
  <c r="U326" i="1"/>
  <c r="T326" i="1"/>
  <c r="AE326" i="1" s="1"/>
  <c r="AG325" i="1"/>
  <c r="AF325" i="1"/>
  <c r="AD325" i="1"/>
  <c r="AC325" i="1"/>
  <c r="AB325" i="1"/>
  <c r="V325" i="1"/>
  <c r="U325" i="1"/>
  <c r="T325" i="1"/>
  <c r="AE325" i="1" s="1"/>
  <c r="AG324" i="1"/>
  <c r="AF324" i="1"/>
  <c r="AD324" i="1"/>
  <c r="AC324" i="1"/>
  <c r="AB324" i="1"/>
  <c r="V324" i="1"/>
  <c r="U324" i="1"/>
  <c r="T324" i="1"/>
  <c r="AE324" i="1" s="1"/>
  <c r="AG323" i="1"/>
  <c r="AF323" i="1"/>
  <c r="AD323" i="1"/>
  <c r="AC323" i="1"/>
  <c r="AB323" i="1"/>
  <c r="V323" i="1"/>
  <c r="U323" i="1"/>
  <c r="T323" i="1"/>
  <c r="AE323" i="1" s="1"/>
  <c r="AG322" i="1"/>
  <c r="AF322" i="1"/>
  <c r="AE322" i="1"/>
  <c r="AC322" i="1"/>
  <c r="AB322" i="1"/>
  <c r="V322" i="1"/>
  <c r="U322" i="1"/>
  <c r="T322" i="1"/>
  <c r="AD322" i="1" s="1"/>
  <c r="AG321" i="1"/>
  <c r="AF321" i="1"/>
  <c r="AE321" i="1"/>
  <c r="AD321" i="1"/>
  <c r="AC321" i="1"/>
  <c r="AB321" i="1"/>
  <c r="V321" i="1"/>
  <c r="U321" i="1"/>
  <c r="T321" i="1"/>
  <c r="AG320" i="1"/>
  <c r="AF320" i="1"/>
  <c r="AE320" i="1"/>
  <c r="AD320" i="1"/>
  <c r="AC320" i="1"/>
  <c r="AB320" i="1"/>
  <c r="V320" i="1"/>
  <c r="U320" i="1"/>
  <c r="T320" i="1"/>
  <c r="AG319" i="1"/>
  <c r="AF319" i="1"/>
  <c r="AD319" i="1"/>
  <c r="AC319" i="1"/>
  <c r="AB319" i="1"/>
  <c r="V319" i="1"/>
  <c r="U319" i="1"/>
  <c r="T319" i="1"/>
  <c r="AE319" i="1" s="1"/>
  <c r="AG318" i="1"/>
  <c r="AF318" i="1"/>
  <c r="AD318" i="1"/>
  <c r="AC318" i="1"/>
  <c r="AB318" i="1"/>
  <c r="V318" i="1"/>
  <c r="U318" i="1"/>
  <c r="T318" i="1"/>
  <c r="AE318" i="1" s="1"/>
  <c r="AG317" i="1"/>
  <c r="AF317" i="1"/>
  <c r="AE317" i="1"/>
  <c r="AD317" i="1"/>
  <c r="AC317" i="1"/>
  <c r="AB317" i="1"/>
  <c r="V317" i="1"/>
  <c r="U317" i="1"/>
  <c r="T317" i="1"/>
  <c r="AG316" i="1"/>
  <c r="AF316" i="1"/>
  <c r="AE316" i="1"/>
  <c r="AD316" i="1"/>
  <c r="AC316" i="1"/>
  <c r="AB316" i="1"/>
  <c r="V316" i="1"/>
  <c r="U316" i="1"/>
  <c r="T316" i="1"/>
  <c r="AG315" i="1"/>
  <c r="AF315" i="1"/>
  <c r="AE315" i="1"/>
  <c r="AD315" i="1"/>
  <c r="AC315" i="1"/>
  <c r="AB315" i="1"/>
  <c r="V315" i="1"/>
  <c r="U315" i="1"/>
  <c r="T315" i="1"/>
  <c r="AG314" i="1"/>
  <c r="AF314" i="1"/>
  <c r="AD314" i="1"/>
  <c r="AC314" i="1"/>
  <c r="AB314" i="1"/>
  <c r="V314" i="1"/>
  <c r="U314" i="1"/>
  <c r="T314" i="1"/>
  <c r="AE314" i="1" s="1"/>
  <c r="AG313" i="1"/>
  <c r="AF313" i="1"/>
  <c r="AD313" i="1"/>
  <c r="AC313" i="1"/>
  <c r="AB313" i="1"/>
  <c r="V313" i="1"/>
  <c r="U313" i="1"/>
  <c r="T313" i="1"/>
  <c r="AE313" i="1" s="1"/>
  <c r="AG312" i="1"/>
  <c r="AF312" i="1"/>
  <c r="AE312" i="1"/>
  <c r="AD312" i="1"/>
  <c r="AC312" i="1"/>
  <c r="AB312" i="1"/>
  <c r="V312" i="1"/>
  <c r="U312" i="1"/>
  <c r="T312" i="1"/>
  <c r="AG311" i="1"/>
  <c r="AF311" i="1"/>
  <c r="AD311" i="1"/>
  <c r="AC311" i="1"/>
  <c r="AB311" i="1"/>
  <c r="V311" i="1"/>
  <c r="U311" i="1"/>
  <c r="T311" i="1"/>
  <c r="AE311" i="1" s="1"/>
  <c r="AG310" i="1"/>
  <c r="AF310" i="1"/>
  <c r="AD310" i="1"/>
  <c r="AC310" i="1"/>
  <c r="AB310" i="1"/>
  <c r="V310" i="1"/>
  <c r="U310" i="1"/>
  <c r="T310" i="1"/>
  <c r="AE310" i="1" s="1"/>
  <c r="AG309" i="1"/>
  <c r="AF309" i="1"/>
  <c r="AE309" i="1"/>
  <c r="AD309" i="1"/>
  <c r="AC309" i="1"/>
  <c r="AB309" i="1"/>
  <c r="V309" i="1"/>
  <c r="U309" i="1"/>
  <c r="T309" i="1"/>
  <c r="AG308" i="1"/>
  <c r="AF308" i="1"/>
  <c r="AE308" i="1"/>
  <c r="AC308" i="1"/>
  <c r="AB308" i="1"/>
  <c r="V308" i="1"/>
  <c r="U308" i="1"/>
  <c r="T308" i="1"/>
  <c r="AD308" i="1" s="1"/>
  <c r="AG307" i="1"/>
  <c r="AF307" i="1"/>
  <c r="AE307" i="1"/>
  <c r="AD307" i="1"/>
  <c r="AC307" i="1"/>
  <c r="AB307" i="1"/>
  <c r="V307" i="1"/>
  <c r="U307" i="1"/>
  <c r="T307" i="1"/>
  <c r="AG306" i="1"/>
  <c r="AF306" i="1"/>
  <c r="AD306" i="1"/>
  <c r="AC306" i="1"/>
  <c r="AB306" i="1"/>
  <c r="V306" i="1"/>
  <c r="U306" i="1"/>
  <c r="T306" i="1"/>
  <c r="AE306" i="1" s="1"/>
  <c r="AG305" i="1"/>
  <c r="AF305" i="1"/>
  <c r="AE305" i="1"/>
  <c r="AD305" i="1"/>
  <c r="AC305" i="1"/>
  <c r="AB305" i="1"/>
  <c r="V305" i="1"/>
  <c r="U305" i="1"/>
  <c r="T305" i="1"/>
  <c r="AG304" i="1"/>
  <c r="AF304" i="1"/>
  <c r="AE304" i="1"/>
  <c r="AD304" i="1"/>
  <c r="AC304" i="1"/>
  <c r="AB304" i="1"/>
  <c r="V304" i="1"/>
  <c r="U304" i="1"/>
  <c r="T304" i="1"/>
  <c r="AG303" i="1"/>
  <c r="AF303" i="1"/>
  <c r="AE303" i="1"/>
  <c r="AC303" i="1"/>
  <c r="AB303" i="1"/>
  <c r="V303" i="1"/>
  <c r="U303" i="1"/>
  <c r="T303" i="1"/>
  <c r="AD303" i="1" s="1"/>
  <c r="AG302" i="1"/>
  <c r="AF302" i="1"/>
  <c r="AE302" i="1"/>
  <c r="AD302" i="1"/>
  <c r="AC302" i="1"/>
  <c r="AB302" i="1"/>
  <c r="V302" i="1"/>
  <c r="U302" i="1"/>
  <c r="T302" i="1"/>
  <c r="AG301" i="1"/>
  <c r="AF301" i="1"/>
  <c r="AE301" i="1"/>
  <c r="AD301" i="1"/>
  <c r="AC301" i="1"/>
  <c r="AB301" i="1"/>
  <c r="V301" i="1"/>
  <c r="U301" i="1"/>
  <c r="T301" i="1"/>
  <c r="AG300" i="1"/>
  <c r="AF300" i="1"/>
  <c r="AD300" i="1"/>
  <c r="AC300" i="1"/>
  <c r="AB300" i="1"/>
  <c r="V300" i="1"/>
  <c r="U300" i="1"/>
  <c r="T300" i="1"/>
  <c r="AE300" i="1" s="1"/>
  <c r="AG299" i="1"/>
  <c r="AF299" i="1"/>
  <c r="AD299" i="1"/>
  <c r="AC299" i="1"/>
  <c r="AB299" i="1"/>
  <c r="V299" i="1"/>
  <c r="U299" i="1"/>
  <c r="T299" i="1"/>
  <c r="AE299" i="1" s="1"/>
  <c r="AG298" i="1"/>
  <c r="AF298" i="1"/>
  <c r="AD298" i="1"/>
  <c r="AC298" i="1"/>
  <c r="AB298" i="1"/>
  <c r="V298" i="1"/>
  <c r="U298" i="1"/>
  <c r="T298" i="1"/>
  <c r="AE298" i="1" s="1"/>
  <c r="AG297" i="1"/>
  <c r="AF297" i="1"/>
  <c r="AE297" i="1"/>
  <c r="AD297" i="1"/>
  <c r="AC297" i="1"/>
  <c r="AB297" i="1"/>
  <c r="V297" i="1"/>
  <c r="U297" i="1"/>
  <c r="T297" i="1"/>
  <c r="AG296" i="1"/>
  <c r="AF296" i="1"/>
  <c r="AE296" i="1"/>
  <c r="AD296" i="1"/>
  <c r="AC296" i="1"/>
  <c r="AB296" i="1"/>
  <c r="V296" i="1"/>
  <c r="U296" i="1"/>
  <c r="T296" i="1"/>
  <c r="AG295" i="1"/>
  <c r="AF295" i="1"/>
  <c r="AD295" i="1"/>
  <c r="AC295" i="1"/>
  <c r="AB295" i="1"/>
  <c r="V295" i="1"/>
  <c r="U295" i="1"/>
  <c r="T295" i="1"/>
  <c r="AE295" i="1" s="1"/>
  <c r="AG294" i="1"/>
  <c r="AF294" i="1"/>
  <c r="AE294" i="1"/>
  <c r="AD294" i="1"/>
  <c r="AC294" i="1"/>
  <c r="AB294" i="1"/>
  <c r="V294" i="1"/>
  <c r="U294" i="1"/>
  <c r="T294" i="1"/>
  <c r="AG293" i="1"/>
  <c r="AF293" i="1"/>
  <c r="AE293" i="1"/>
  <c r="AD293" i="1"/>
  <c r="AC293" i="1"/>
  <c r="AB293" i="1"/>
  <c r="V293" i="1"/>
  <c r="U293" i="1"/>
  <c r="T293" i="1"/>
  <c r="AG292" i="1"/>
  <c r="AF292" i="1"/>
  <c r="AE292" i="1"/>
  <c r="AC292" i="1"/>
  <c r="AB292" i="1"/>
  <c r="V292" i="1"/>
  <c r="U292" i="1"/>
  <c r="T292" i="1"/>
  <c r="AD292" i="1" s="1"/>
  <c r="AG291" i="1"/>
  <c r="AF291" i="1"/>
  <c r="AE291" i="1"/>
  <c r="AC291" i="1"/>
  <c r="AB291" i="1"/>
  <c r="V291" i="1"/>
  <c r="U291" i="1"/>
  <c r="T291" i="1"/>
  <c r="AD291" i="1" s="1"/>
  <c r="AG290" i="1"/>
  <c r="AF290" i="1"/>
  <c r="AE290" i="1"/>
  <c r="AD290" i="1"/>
  <c r="AC290" i="1"/>
  <c r="AB290" i="1"/>
  <c r="V290" i="1"/>
  <c r="U290" i="1"/>
  <c r="T290" i="1"/>
  <c r="AG289" i="1"/>
  <c r="AF289" i="1"/>
  <c r="AD289" i="1"/>
  <c r="AC289" i="1"/>
  <c r="AB289" i="1"/>
  <c r="V289" i="1"/>
  <c r="U289" i="1"/>
  <c r="T289" i="1"/>
  <c r="AE289" i="1" s="1"/>
  <c r="AG288" i="1"/>
  <c r="AF288" i="1"/>
  <c r="AD288" i="1"/>
  <c r="AC288" i="1"/>
  <c r="AB288" i="1"/>
  <c r="V288" i="1"/>
  <c r="U288" i="1"/>
  <c r="T288" i="1"/>
  <c r="AE288" i="1" s="1"/>
  <c r="AG287" i="1"/>
  <c r="AF287" i="1"/>
  <c r="AD287" i="1"/>
  <c r="AC287" i="1"/>
  <c r="AB287" i="1"/>
  <c r="V287" i="1"/>
  <c r="U287" i="1"/>
  <c r="T287" i="1"/>
  <c r="AE287" i="1" s="1"/>
  <c r="AG286" i="1"/>
  <c r="AF286" i="1"/>
  <c r="AD286" i="1"/>
  <c r="AC286" i="1"/>
  <c r="AB286" i="1"/>
  <c r="V286" i="1"/>
  <c r="U286" i="1"/>
  <c r="T286" i="1"/>
  <c r="AE286" i="1" s="1"/>
  <c r="AG285" i="1"/>
  <c r="AF285" i="1"/>
  <c r="AE285" i="1"/>
  <c r="AD285" i="1"/>
  <c r="AC285" i="1"/>
  <c r="AB285" i="1"/>
  <c r="V285" i="1"/>
  <c r="U285" i="1"/>
  <c r="T285" i="1"/>
  <c r="AG284" i="1"/>
  <c r="AF284" i="1"/>
  <c r="AD284" i="1"/>
  <c r="AC284" i="1"/>
  <c r="AB284" i="1"/>
  <c r="V284" i="1"/>
  <c r="U284" i="1"/>
  <c r="T284" i="1"/>
  <c r="AE284" i="1" s="1"/>
  <c r="AG283" i="1"/>
  <c r="AF283" i="1"/>
  <c r="AE283" i="1"/>
  <c r="AD283" i="1"/>
  <c r="AC283" i="1"/>
  <c r="AB283" i="1"/>
  <c r="V283" i="1"/>
  <c r="U283" i="1"/>
  <c r="T283" i="1"/>
  <c r="AG282" i="1"/>
  <c r="AF282" i="1"/>
  <c r="AD282" i="1"/>
  <c r="AC282" i="1"/>
  <c r="AB282" i="1"/>
  <c r="V282" i="1"/>
  <c r="U282" i="1"/>
  <c r="T282" i="1"/>
  <c r="AE282" i="1" s="1"/>
  <c r="AG281" i="1"/>
  <c r="AF281" i="1"/>
  <c r="AE281" i="1"/>
  <c r="AD281" i="1"/>
  <c r="AC281" i="1"/>
  <c r="AB281" i="1"/>
  <c r="V281" i="1"/>
  <c r="U281" i="1"/>
  <c r="T281" i="1"/>
  <c r="AG280" i="1"/>
  <c r="AF280" i="1"/>
  <c r="AE280" i="1"/>
  <c r="AC280" i="1"/>
  <c r="AB280" i="1"/>
  <c r="V280" i="1"/>
  <c r="U280" i="1"/>
  <c r="T280" i="1"/>
  <c r="AD280" i="1" s="1"/>
  <c r="AG279" i="1"/>
  <c r="AF279" i="1"/>
  <c r="AE279" i="1"/>
  <c r="AC279" i="1"/>
  <c r="AB279" i="1"/>
  <c r="V279" i="1"/>
  <c r="U279" i="1"/>
  <c r="T279" i="1"/>
  <c r="AD279" i="1" s="1"/>
  <c r="AG278" i="1"/>
  <c r="AF278" i="1"/>
  <c r="AE278" i="1"/>
  <c r="AD278" i="1"/>
  <c r="AC278" i="1"/>
  <c r="AB278" i="1"/>
  <c r="V278" i="1"/>
  <c r="U278" i="1"/>
  <c r="T278" i="1"/>
  <c r="AG277" i="1"/>
  <c r="AF277" i="1"/>
  <c r="AE277" i="1"/>
  <c r="AD277" i="1"/>
  <c r="AC277" i="1"/>
  <c r="AB277" i="1"/>
  <c r="V277" i="1"/>
  <c r="U277" i="1"/>
  <c r="T277" i="1"/>
  <c r="AG276" i="1"/>
  <c r="AF276" i="1"/>
  <c r="AE276" i="1"/>
  <c r="AC276" i="1"/>
  <c r="AB276" i="1"/>
  <c r="V276" i="1"/>
  <c r="U276" i="1"/>
  <c r="T276" i="1"/>
  <c r="AD276" i="1" s="1"/>
  <c r="AG275" i="1"/>
  <c r="AF275" i="1"/>
  <c r="AD275" i="1"/>
  <c r="AC275" i="1"/>
  <c r="AB275" i="1"/>
  <c r="V275" i="1"/>
  <c r="U275" i="1"/>
  <c r="T275" i="1"/>
  <c r="AE275" i="1" s="1"/>
  <c r="AG274" i="1"/>
  <c r="AF274" i="1"/>
  <c r="AE274" i="1"/>
  <c r="AD274" i="1"/>
  <c r="AC274" i="1"/>
  <c r="AB274" i="1"/>
  <c r="V274" i="1"/>
  <c r="U274" i="1"/>
  <c r="T274" i="1"/>
  <c r="AG273" i="1"/>
  <c r="AF273" i="1"/>
  <c r="AE273" i="1"/>
  <c r="AD273" i="1"/>
  <c r="AC273" i="1"/>
  <c r="AB273" i="1"/>
  <c r="V273" i="1"/>
  <c r="U273" i="1"/>
  <c r="T273" i="1"/>
  <c r="AG272" i="1"/>
  <c r="AF272" i="1"/>
  <c r="AD272" i="1"/>
  <c r="AC272" i="1"/>
  <c r="AB272" i="1"/>
  <c r="V272" i="1"/>
  <c r="U272" i="1"/>
  <c r="T272" i="1"/>
  <c r="AE272" i="1" s="1"/>
  <c r="AG271" i="1"/>
  <c r="AF271" i="1"/>
  <c r="AD271" i="1"/>
  <c r="AC271" i="1"/>
  <c r="AB271" i="1"/>
  <c r="V271" i="1"/>
  <c r="U271" i="1"/>
  <c r="T271" i="1"/>
  <c r="AE271" i="1" s="1"/>
  <c r="AG270" i="1"/>
  <c r="AF270" i="1"/>
  <c r="AD270" i="1"/>
  <c r="AC270" i="1"/>
  <c r="AB270" i="1"/>
  <c r="V270" i="1"/>
  <c r="U270" i="1"/>
  <c r="T270" i="1"/>
  <c r="AE270" i="1" s="1"/>
  <c r="AG269" i="1"/>
  <c r="AF269" i="1"/>
  <c r="AE269" i="1"/>
  <c r="AD269" i="1"/>
  <c r="AC269" i="1"/>
  <c r="AB269" i="1"/>
  <c r="V269" i="1"/>
  <c r="U269" i="1"/>
  <c r="T269" i="1"/>
  <c r="AG268" i="1"/>
  <c r="AF268" i="1"/>
  <c r="AE268" i="1"/>
  <c r="AD268" i="1"/>
  <c r="AC268" i="1"/>
  <c r="AB268" i="1"/>
  <c r="V268" i="1"/>
  <c r="U268" i="1"/>
  <c r="T268" i="1"/>
  <c r="AG267" i="1"/>
  <c r="AF267" i="1"/>
  <c r="AE267" i="1"/>
  <c r="AD267" i="1"/>
  <c r="AC267" i="1"/>
  <c r="AB267" i="1"/>
  <c r="V267" i="1"/>
  <c r="U267" i="1"/>
  <c r="T267" i="1"/>
  <c r="AG266" i="1"/>
  <c r="AF266" i="1"/>
  <c r="AD266" i="1"/>
  <c r="AC266" i="1"/>
  <c r="AB266" i="1"/>
  <c r="V266" i="1"/>
  <c r="U266" i="1"/>
  <c r="T266" i="1"/>
  <c r="AE266" i="1" s="1"/>
  <c r="AG265" i="1"/>
  <c r="AF265" i="1"/>
  <c r="AD265" i="1"/>
  <c r="AC265" i="1"/>
  <c r="AB265" i="1"/>
  <c r="V265" i="1"/>
  <c r="U265" i="1"/>
  <c r="T265" i="1"/>
  <c r="AE265" i="1" s="1"/>
  <c r="AG264" i="1"/>
  <c r="AF264" i="1"/>
  <c r="AE264" i="1"/>
  <c r="AC264" i="1"/>
  <c r="AB264" i="1"/>
  <c r="V264" i="1"/>
  <c r="U264" i="1"/>
  <c r="T264" i="1"/>
  <c r="AD264" i="1" s="1"/>
  <c r="AG263" i="1"/>
  <c r="AF263" i="1"/>
  <c r="AE263" i="1"/>
  <c r="AC263" i="1"/>
  <c r="AB263" i="1"/>
  <c r="V263" i="1"/>
  <c r="U263" i="1"/>
  <c r="T263" i="1"/>
  <c r="AD263" i="1" s="1"/>
  <c r="AG262" i="1"/>
  <c r="AF262" i="1"/>
  <c r="AE262" i="1"/>
  <c r="AC262" i="1"/>
  <c r="AB262" i="1"/>
  <c r="V262" i="1"/>
  <c r="U262" i="1"/>
  <c r="T262" i="1"/>
  <c r="AD262" i="1" s="1"/>
  <c r="AG261" i="1"/>
  <c r="AF261" i="1"/>
  <c r="AE261" i="1"/>
  <c r="AC261" i="1"/>
  <c r="AB261" i="1"/>
  <c r="V261" i="1"/>
  <c r="U261" i="1"/>
  <c r="T261" i="1"/>
  <c r="AD261" i="1" s="1"/>
  <c r="AG260" i="1"/>
  <c r="AF260" i="1"/>
  <c r="AD260" i="1"/>
  <c r="AC260" i="1"/>
  <c r="AB260" i="1"/>
  <c r="V260" i="1"/>
  <c r="U260" i="1"/>
  <c r="T260" i="1"/>
  <c r="AE260" i="1" s="1"/>
  <c r="AG259" i="1"/>
  <c r="AF259" i="1"/>
  <c r="AE259" i="1"/>
  <c r="AD259" i="1"/>
  <c r="AC259" i="1"/>
  <c r="AB259" i="1"/>
  <c r="V259" i="1"/>
  <c r="U259" i="1"/>
  <c r="T259" i="1"/>
  <c r="AG258" i="1"/>
  <c r="AF258" i="1"/>
  <c r="AD258" i="1"/>
  <c r="AC258" i="1"/>
  <c r="AB258" i="1"/>
  <c r="V258" i="1"/>
  <c r="U258" i="1"/>
  <c r="T258" i="1"/>
  <c r="AE258" i="1" s="1"/>
  <c r="AG257" i="1"/>
  <c r="AF257" i="1"/>
  <c r="AD257" i="1"/>
  <c r="AC257" i="1"/>
  <c r="AB257" i="1"/>
  <c r="V257" i="1"/>
  <c r="U257" i="1"/>
  <c r="T257" i="1"/>
  <c r="AE257" i="1" s="1"/>
  <c r="AG256" i="1"/>
  <c r="AF256" i="1"/>
  <c r="AD256" i="1"/>
  <c r="AC256" i="1"/>
  <c r="AB256" i="1"/>
  <c r="V256" i="1"/>
  <c r="U256" i="1"/>
  <c r="T256" i="1"/>
  <c r="AE256" i="1" s="1"/>
  <c r="AG255" i="1"/>
  <c r="AF255" i="1"/>
  <c r="AE255" i="1"/>
  <c r="AC255" i="1"/>
  <c r="AB255" i="1"/>
  <c r="V255" i="1"/>
  <c r="U255" i="1"/>
  <c r="T255" i="1"/>
  <c r="AD255" i="1" s="1"/>
  <c r="AG254" i="1"/>
  <c r="AF254" i="1"/>
  <c r="AE254" i="1"/>
  <c r="AD254" i="1"/>
  <c r="AC254" i="1"/>
  <c r="AB254" i="1"/>
  <c r="V254" i="1"/>
  <c r="U254" i="1"/>
  <c r="T254" i="1"/>
  <c r="AG253" i="1"/>
  <c r="AF253" i="1"/>
  <c r="AE253" i="1"/>
  <c r="AD253" i="1"/>
  <c r="AC253" i="1"/>
  <c r="AB253" i="1"/>
  <c r="V253" i="1"/>
  <c r="U253" i="1"/>
  <c r="T253" i="1"/>
  <c r="AG252" i="1"/>
  <c r="AF252" i="1"/>
  <c r="AE252" i="1"/>
  <c r="AD252" i="1"/>
  <c r="AC252" i="1"/>
  <c r="AB252" i="1"/>
  <c r="V252" i="1"/>
  <c r="U252" i="1"/>
  <c r="T252" i="1"/>
  <c r="AG251" i="1"/>
  <c r="AF251" i="1"/>
  <c r="AE251" i="1"/>
  <c r="AD251" i="1"/>
  <c r="AC251" i="1"/>
  <c r="AB251" i="1"/>
  <c r="V251" i="1"/>
  <c r="U251" i="1"/>
  <c r="T251" i="1"/>
  <c r="AG250" i="1"/>
  <c r="AF250" i="1"/>
  <c r="AD250" i="1"/>
  <c r="AC250" i="1"/>
  <c r="AB250" i="1"/>
  <c r="V250" i="1"/>
  <c r="U250" i="1"/>
  <c r="T250" i="1"/>
  <c r="AE250" i="1" s="1"/>
  <c r="AG249" i="1"/>
  <c r="AF249" i="1"/>
  <c r="AE249" i="1"/>
  <c r="AC249" i="1"/>
  <c r="AB249" i="1"/>
  <c r="V249" i="1"/>
  <c r="U249" i="1"/>
  <c r="T249" i="1"/>
  <c r="AD249" i="1" s="1"/>
  <c r="AG248" i="1"/>
  <c r="AF248" i="1"/>
  <c r="AE248" i="1"/>
  <c r="AC248" i="1"/>
  <c r="AB248" i="1"/>
  <c r="V248" i="1"/>
  <c r="U248" i="1"/>
  <c r="T248" i="1"/>
  <c r="AD248" i="1" s="1"/>
  <c r="AG247" i="1"/>
  <c r="AF247" i="1"/>
  <c r="AE247" i="1"/>
  <c r="AC247" i="1"/>
  <c r="AB247" i="1"/>
  <c r="V247" i="1"/>
  <c r="U247" i="1"/>
  <c r="T247" i="1"/>
  <c r="AD247" i="1" s="1"/>
  <c r="AG246" i="1"/>
  <c r="AF246" i="1"/>
  <c r="AE246" i="1"/>
  <c r="AD246" i="1"/>
  <c r="AC246" i="1"/>
  <c r="AB246" i="1"/>
  <c r="V246" i="1"/>
  <c r="U246" i="1"/>
  <c r="T246" i="1"/>
  <c r="AG245" i="1"/>
  <c r="AF245" i="1"/>
  <c r="AE245" i="1"/>
  <c r="AD245" i="1"/>
  <c r="AC245" i="1"/>
  <c r="AB245" i="1"/>
  <c r="V245" i="1"/>
  <c r="U245" i="1"/>
  <c r="T245" i="1"/>
  <c r="AG244" i="1"/>
  <c r="AF244" i="1"/>
  <c r="AD244" i="1"/>
  <c r="AC244" i="1"/>
  <c r="AB244" i="1"/>
  <c r="V244" i="1"/>
  <c r="U244" i="1"/>
  <c r="T244" i="1"/>
  <c r="AE244" i="1" s="1"/>
  <c r="AG243" i="1"/>
  <c r="AF243" i="1"/>
  <c r="AE243" i="1"/>
  <c r="AD243" i="1"/>
  <c r="AC243" i="1"/>
  <c r="AB243" i="1"/>
  <c r="V243" i="1"/>
  <c r="U243" i="1"/>
  <c r="T243" i="1"/>
  <c r="AG242" i="1"/>
  <c r="AF242" i="1"/>
  <c r="AE242" i="1"/>
  <c r="AD242" i="1"/>
  <c r="AC242" i="1"/>
  <c r="AB242" i="1"/>
  <c r="V242" i="1"/>
  <c r="U242" i="1"/>
  <c r="T242" i="1"/>
  <c r="AG241" i="1"/>
  <c r="AF241" i="1"/>
  <c r="AE241" i="1"/>
  <c r="AD241" i="1"/>
  <c r="AC241" i="1"/>
  <c r="AB241" i="1"/>
  <c r="V241" i="1"/>
  <c r="U241" i="1"/>
  <c r="T241" i="1"/>
  <c r="AG240" i="1"/>
  <c r="AF240" i="1"/>
  <c r="AE240" i="1"/>
  <c r="AD240" i="1"/>
  <c r="AC240" i="1"/>
  <c r="AB240" i="1"/>
  <c r="V240" i="1"/>
  <c r="U240" i="1"/>
  <c r="T240" i="1"/>
  <c r="AG239" i="1"/>
  <c r="AF239" i="1"/>
  <c r="AD239" i="1"/>
  <c r="AC239" i="1"/>
  <c r="AB239" i="1"/>
  <c r="V239" i="1"/>
  <c r="U239" i="1"/>
  <c r="T239" i="1"/>
  <c r="AE239" i="1" s="1"/>
  <c r="AG238" i="1"/>
  <c r="AF238" i="1"/>
  <c r="AE238" i="1"/>
  <c r="AC238" i="1"/>
  <c r="AB238" i="1"/>
  <c r="V238" i="1"/>
  <c r="U238" i="1"/>
  <c r="T238" i="1"/>
  <c r="AD238" i="1" s="1"/>
  <c r="AG237" i="1"/>
  <c r="AF237" i="1"/>
  <c r="AD237" i="1"/>
  <c r="AC237" i="1"/>
  <c r="AB237" i="1"/>
  <c r="V237" i="1"/>
  <c r="U237" i="1"/>
  <c r="T237" i="1"/>
  <c r="AE237" i="1" s="1"/>
  <c r="AG236" i="1"/>
  <c r="AF236" i="1"/>
  <c r="AD236" i="1"/>
  <c r="AC236" i="1"/>
  <c r="AB236" i="1"/>
  <c r="V236" i="1"/>
  <c r="U236" i="1"/>
  <c r="T236" i="1"/>
  <c r="AE236" i="1" s="1"/>
  <c r="AG235" i="1"/>
  <c r="AF235" i="1"/>
  <c r="AD235" i="1"/>
  <c r="AC235" i="1"/>
  <c r="AB235" i="1"/>
  <c r="V235" i="1"/>
  <c r="U235" i="1"/>
  <c r="T235" i="1"/>
  <c r="AE235" i="1" s="1"/>
  <c r="AG234" i="1"/>
  <c r="AF234" i="1"/>
  <c r="AE234" i="1"/>
  <c r="AD234" i="1"/>
  <c r="AC234" i="1"/>
  <c r="AB234" i="1"/>
  <c r="V234" i="1"/>
  <c r="U234" i="1"/>
  <c r="T234" i="1"/>
  <c r="AG233" i="1"/>
  <c r="AF233" i="1"/>
  <c r="AE233" i="1"/>
  <c r="AD233" i="1"/>
  <c r="AC233" i="1"/>
  <c r="AB233" i="1"/>
  <c r="V233" i="1"/>
  <c r="U233" i="1"/>
  <c r="T233" i="1"/>
  <c r="AG232" i="1"/>
  <c r="AF232" i="1"/>
  <c r="AE232" i="1"/>
  <c r="AC232" i="1"/>
  <c r="AB232" i="1"/>
  <c r="V232" i="1"/>
  <c r="U232" i="1"/>
  <c r="T232" i="1"/>
  <c r="AD232" i="1" s="1"/>
  <c r="AG231" i="1"/>
  <c r="AF231" i="1"/>
  <c r="AE231" i="1"/>
  <c r="AD231" i="1"/>
  <c r="AC231" i="1"/>
  <c r="AB231" i="1"/>
  <c r="V231" i="1"/>
  <c r="U231" i="1"/>
  <c r="T231" i="1"/>
  <c r="AG230" i="1"/>
  <c r="AF230" i="1"/>
  <c r="AD230" i="1"/>
  <c r="AC230" i="1"/>
  <c r="AB230" i="1"/>
  <c r="V230" i="1"/>
  <c r="U230" i="1"/>
  <c r="T230" i="1"/>
  <c r="AE230" i="1" s="1"/>
  <c r="AG229" i="1"/>
  <c r="AF229" i="1"/>
  <c r="AE229" i="1"/>
  <c r="AD229" i="1"/>
  <c r="AC229" i="1"/>
  <c r="AB229" i="1"/>
  <c r="V229" i="1"/>
  <c r="U229" i="1"/>
  <c r="T229" i="1"/>
  <c r="AG228" i="1"/>
  <c r="AF228" i="1"/>
  <c r="AE228" i="1"/>
  <c r="AC228" i="1"/>
  <c r="AB228" i="1"/>
  <c r="V228" i="1"/>
  <c r="U228" i="1"/>
  <c r="T228" i="1"/>
  <c r="AD228" i="1" s="1"/>
  <c r="AG227" i="1"/>
  <c r="AF227" i="1"/>
  <c r="AE227" i="1"/>
  <c r="AD227" i="1"/>
  <c r="AC227" i="1"/>
  <c r="AB227" i="1"/>
  <c r="V227" i="1"/>
  <c r="U227" i="1"/>
  <c r="T227" i="1"/>
  <c r="AG226" i="1"/>
  <c r="AF226" i="1"/>
  <c r="AD226" i="1"/>
  <c r="AC226" i="1"/>
  <c r="AB226" i="1"/>
  <c r="V226" i="1"/>
  <c r="U226" i="1"/>
  <c r="T226" i="1"/>
  <c r="AE226" i="1" s="1"/>
  <c r="AG225" i="1"/>
  <c r="AF225" i="1"/>
  <c r="AE225" i="1"/>
  <c r="AD225" i="1"/>
  <c r="AC225" i="1"/>
  <c r="AB225" i="1"/>
  <c r="V225" i="1"/>
  <c r="U225" i="1"/>
  <c r="T225" i="1"/>
  <c r="AG224" i="1"/>
  <c r="AF224" i="1"/>
  <c r="AE224" i="1"/>
  <c r="AD224" i="1"/>
  <c r="AC224" i="1"/>
  <c r="AB224" i="1"/>
  <c r="V224" i="1"/>
  <c r="U224" i="1"/>
  <c r="T224" i="1"/>
  <c r="AG223" i="1"/>
  <c r="AF223" i="1"/>
  <c r="AD223" i="1"/>
  <c r="AC223" i="1"/>
  <c r="AB223" i="1"/>
  <c r="V223" i="1"/>
  <c r="U223" i="1"/>
  <c r="T223" i="1"/>
  <c r="AE223" i="1" s="1"/>
  <c r="AG222" i="1"/>
  <c r="AF222" i="1"/>
  <c r="AD222" i="1"/>
  <c r="AC222" i="1"/>
  <c r="AB222" i="1"/>
  <c r="V222" i="1"/>
  <c r="U222" i="1"/>
  <c r="T222" i="1"/>
  <c r="AE222" i="1" s="1"/>
  <c r="AG221" i="1"/>
  <c r="AF221" i="1"/>
  <c r="AE221" i="1"/>
  <c r="AC221" i="1"/>
  <c r="AB221" i="1"/>
  <c r="V221" i="1"/>
  <c r="U221" i="1"/>
  <c r="T221" i="1"/>
  <c r="AD221" i="1" s="1"/>
  <c r="AG220" i="1"/>
  <c r="AF220" i="1"/>
  <c r="AE220" i="1"/>
  <c r="AC220" i="1"/>
  <c r="AB220" i="1"/>
  <c r="V220" i="1"/>
  <c r="U220" i="1"/>
  <c r="T220" i="1"/>
  <c r="AD220" i="1" s="1"/>
  <c r="AG219" i="1"/>
  <c r="AF219" i="1"/>
  <c r="AD219" i="1"/>
  <c r="AC219" i="1"/>
  <c r="AB219" i="1"/>
  <c r="V219" i="1"/>
  <c r="U219" i="1"/>
  <c r="T219" i="1"/>
  <c r="AE219" i="1" s="1"/>
  <c r="AG218" i="1"/>
  <c r="AF218" i="1"/>
  <c r="AD218" i="1"/>
  <c r="AC218" i="1"/>
  <c r="AB218" i="1"/>
  <c r="V218" i="1"/>
  <c r="U218" i="1"/>
  <c r="T218" i="1"/>
  <c r="AE218" i="1" s="1"/>
  <c r="AG217" i="1"/>
  <c r="AF217" i="1"/>
  <c r="AD217" i="1"/>
  <c r="AC217" i="1"/>
  <c r="AB217" i="1"/>
  <c r="V217" i="1"/>
  <c r="U217" i="1"/>
  <c r="T217" i="1"/>
  <c r="AE217" i="1" s="1"/>
  <c r="AG216" i="1"/>
  <c r="AF216" i="1"/>
  <c r="AE216" i="1"/>
  <c r="AD216" i="1"/>
  <c r="AC216" i="1"/>
  <c r="AB216" i="1"/>
  <c r="V216" i="1"/>
  <c r="U216" i="1"/>
  <c r="T216" i="1"/>
  <c r="AG215" i="1"/>
  <c r="AF215" i="1"/>
  <c r="AE215" i="1"/>
  <c r="AD215" i="1"/>
  <c r="AC215" i="1"/>
  <c r="AB215" i="1"/>
  <c r="V215" i="1"/>
  <c r="U215" i="1"/>
  <c r="T215" i="1"/>
  <c r="AG214" i="1"/>
  <c r="AF214" i="1"/>
  <c r="AE214" i="1"/>
  <c r="AD214" i="1"/>
  <c r="AC214" i="1"/>
  <c r="AB214" i="1"/>
  <c r="V214" i="1"/>
  <c r="U214" i="1"/>
  <c r="T214" i="1"/>
  <c r="AG213" i="1"/>
  <c r="AF213" i="1"/>
  <c r="AE213" i="1"/>
  <c r="AD213" i="1"/>
  <c r="AC213" i="1"/>
  <c r="AB213" i="1"/>
  <c r="V213" i="1"/>
  <c r="U213" i="1"/>
  <c r="T213" i="1"/>
  <c r="AG212" i="1"/>
  <c r="AF212" i="1"/>
  <c r="AD212" i="1"/>
  <c r="AC212" i="1"/>
  <c r="AB212" i="1"/>
  <c r="V212" i="1"/>
  <c r="U212" i="1"/>
  <c r="T212" i="1"/>
  <c r="AE212" i="1" s="1"/>
  <c r="AG211" i="1"/>
  <c r="AF211" i="1"/>
  <c r="AD211" i="1"/>
  <c r="AC211" i="1"/>
  <c r="AB211" i="1"/>
  <c r="V211" i="1"/>
  <c r="U211" i="1"/>
  <c r="T211" i="1"/>
  <c r="AE211" i="1" s="1"/>
  <c r="AG210" i="1"/>
  <c r="AF210" i="1"/>
  <c r="AD210" i="1"/>
  <c r="AC210" i="1"/>
  <c r="AB210" i="1"/>
  <c r="V210" i="1"/>
  <c r="U210" i="1"/>
  <c r="T210" i="1"/>
  <c r="AE210" i="1" s="1"/>
  <c r="AG209" i="1"/>
  <c r="AF209" i="1"/>
  <c r="AD209" i="1"/>
  <c r="AC209" i="1"/>
  <c r="AB209" i="1"/>
  <c r="V209" i="1"/>
  <c r="U209" i="1"/>
  <c r="T209" i="1"/>
  <c r="AE209" i="1" s="1"/>
  <c r="AG208" i="1"/>
  <c r="AF208" i="1"/>
  <c r="AE208" i="1"/>
  <c r="AD208" i="1"/>
  <c r="AC208" i="1"/>
  <c r="AB208" i="1"/>
  <c r="V208" i="1"/>
  <c r="U208" i="1"/>
  <c r="T208" i="1"/>
  <c r="AG207" i="1"/>
  <c r="AF207" i="1"/>
  <c r="AD207" i="1"/>
  <c r="AC207" i="1"/>
  <c r="AB207" i="1"/>
  <c r="V207" i="1"/>
  <c r="U207" i="1"/>
  <c r="T207" i="1"/>
  <c r="AE207" i="1" s="1"/>
  <c r="AG206" i="1"/>
  <c r="AF206" i="1"/>
  <c r="AE206" i="1"/>
  <c r="AD206" i="1"/>
  <c r="AC206" i="1"/>
  <c r="AB206" i="1"/>
  <c r="V206" i="1"/>
  <c r="U206" i="1"/>
  <c r="T206" i="1"/>
  <c r="AG205" i="1"/>
  <c r="AF205" i="1"/>
  <c r="AD205" i="1"/>
  <c r="AC205" i="1"/>
  <c r="AB205" i="1"/>
  <c r="V205" i="1"/>
  <c r="U205" i="1"/>
  <c r="T205" i="1"/>
  <c r="AE205" i="1" s="1"/>
  <c r="AG204" i="1"/>
  <c r="AF204" i="1"/>
  <c r="AD204" i="1"/>
  <c r="AC204" i="1"/>
  <c r="AB204" i="1"/>
  <c r="V204" i="1"/>
  <c r="U204" i="1"/>
  <c r="T204" i="1"/>
  <c r="AE204" i="1" s="1"/>
  <c r="AG203" i="1"/>
  <c r="AF203" i="1"/>
  <c r="AE203" i="1"/>
  <c r="AC203" i="1"/>
  <c r="AB203" i="1"/>
  <c r="V203" i="1"/>
  <c r="U203" i="1"/>
  <c r="T203" i="1"/>
  <c r="AD203" i="1" s="1"/>
  <c r="AG202" i="1"/>
  <c r="AF202" i="1"/>
  <c r="AE202" i="1"/>
  <c r="AC202" i="1"/>
  <c r="AB202" i="1"/>
  <c r="V202" i="1"/>
  <c r="U202" i="1"/>
  <c r="T202" i="1"/>
  <c r="AD202" i="1" s="1"/>
  <c r="AG201" i="1"/>
  <c r="AF201" i="1"/>
  <c r="AD201" i="1"/>
  <c r="AC201" i="1"/>
  <c r="AB201" i="1"/>
  <c r="V201" i="1"/>
  <c r="U201" i="1"/>
  <c r="T201" i="1"/>
  <c r="AE201" i="1" s="1"/>
  <c r="AG200" i="1"/>
  <c r="AF200" i="1"/>
  <c r="AD200" i="1"/>
  <c r="AC200" i="1"/>
  <c r="AB200" i="1"/>
  <c r="V200" i="1"/>
  <c r="U200" i="1"/>
  <c r="T200" i="1"/>
  <c r="AE200" i="1" s="1"/>
  <c r="AG199" i="1"/>
  <c r="AF199" i="1"/>
  <c r="AD199" i="1"/>
  <c r="AC199" i="1"/>
  <c r="AB199" i="1"/>
  <c r="V199" i="1"/>
  <c r="U199" i="1"/>
  <c r="T199" i="1"/>
  <c r="AE199" i="1" s="1"/>
  <c r="AG198" i="1"/>
  <c r="AF198" i="1"/>
  <c r="AE198" i="1"/>
  <c r="AD198" i="1"/>
  <c r="AC198" i="1"/>
  <c r="AB198" i="1"/>
  <c r="V198" i="1"/>
  <c r="U198" i="1"/>
  <c r="T198" i="1"/>
  <c r="AG197" i="1"/>
  <c r="AF197" i="1"/>
  <c r="AE197" i="1"/>
  <c r="AD197" i="1"/>
  <c r="AC197" i="1"/>
  <c r="AB197" i="1"/>
  <c r="V197" i="1"/>
  <c r="U197" i="1"/>
  <c r="T197" i="1"/>
  <c r="AG196" i="1"/>
  <c r="AF196" i="1"/>
  <c r="AE196" i="1"/>
  <c r="AD196" i="1"/>
  <c r="AC196" i="1"/>
  <c r="AB196" i="1"/>
  <c r="V196" i="1"/>
  <c r="U196" i="1"/>
  <c r="T196" i="1"/>
  <c r="AG195" i="1"/>
  <c r="AF195" i="1"/>
  <c r="AE195" i="1"/>
  <c r="AD195" i="1"/>
  <c r="AC195" i="1"/>
  <c r="AB195" i="1"/>
  <c r="V195" i="1"/>
  <c r="U195" i="1"/>
  <c r="T195" i="1"/>
  <c r="AG194" i="1"/>
  <c r="AF194" i="1"/>
  <c r="AE194" i="1"/>
  <c r="AC194" i="1"/>
  <c r="AB194" i="1"/>
  <c r="V194" i="1"/>
  <c r="U194" i="1"/>
  <c r="T194" i="1"/>
  <c r="AD194" i="1" s="1"/>
  <c r="AG193" i="1"/>
  <c r="AF193" i="1"/>
  <c r="AE193" i="1"/>
  <c r="AC193" i="1"/>
  <c r="AB193" i="1"/>
  <c r="V193" i="1"/>
  <c r="U193" i="1"/>
  <c r="T193" i="1"/>
  <c r="AD193" i="1" s="1"/>
  <c r="AG192" i="1"/>
  <c r="AF192" i="1"/>
  <c r="AD192" i="1"/>
  <c r="AC192" i="1"/>
  <c r="AB192" i="1"/>
  <c r="V192" i="1"/>
  <c r="U192" i="1"/>
  <c r="T192" i="1"/>
  <c r="AE192" i="1" s="1"/>
  <c r="AG191" i="1"/>
  <c r="AF191" i="1"/>
  <c r="AE191" i="1"/>
  <c r="AC191" i="1"/>
  <c r="AB191" i="1"/>
  <c r="V191" i="1"/>
  <c r="U191" i="1"/>
  <c r="T191" i="1"/>
  <c r="AD191" i="1" s="1"/>
  <c r="AG190" i="1"/>
  <c r="AF190" i="1"/>
  <c r="AE190" i="1"/>
  <c r="AD190" i="1"/>
  <c r="AC190" i="1"/>
  <c r="AB190" i="1"/>
  <c r="V190" i="1"/>
  <c r="U190" i="1"/>
  <c r="T190" i="1"/>
  <c r="AG189" i="1"/>
  <c r="AF189" i="1"/>
  <c r="AE189" i="1"/>
  <c r="AD189" i="1"/>
  <c r="AC189" i="1"/>
  <c r="AB189" i="1"/>
  <c r="V189" i="1"/>
  <c r="U189" i="1"/>
  <c r="T189" i="1"/>
  <c r="AG188" i="1"/>
  <c r="AF188" i="1"/>
  <c r="AE188" i="1"/>
  <c r="AD188" i="1"/>
  <c r="AC188" i="1"/>
  <c r="AB188" i="1"/>
  <c r="V188" i="1"/>
  <c r="U188" i="1"/>
  <c r="T188" i="1"/>
  <c r="AG187" i="1"/>
  <c r="AF187" i="1"/>
  <c r="AD187" i="1"/>
  <c r="AC187" i="1"/>
  <c r="AB187" i="1"/>
  <c r="V187" i="1"/>
  <c r="U187" i="1"/>
  <c r="T187" i="1"/>
  <c r="AE187" i="1" s="1"/>
  <c r="AG186" i="1"/>
  <c r="AF186" i="1"/>
  <c r="AD186" i="1"/>
  <c r="AC186" i="1"/>
  <c r="AB186" i="1"/>
  <c r="V186" i="1"/>
  <c r="U186" i="1"/>
  <c r="T186" i="1"/>
  <c r="AE186" i="1" s="1"/>
  <c r="AG185" i="1"/>
  <c r="AF185" i="1"/>
  <c r="AE185" i="1"/>
  <c r="AD185" i="1"/>
  <c r="AC185" i="1"/>
  <c r="AB185" i="1"/>
  <c r="V185" i="1"/>
  <c r="U185" i="1"/>
  <c r="T185" i="1"/>
  <c r="AG184" i="1"/>
  <c r="AF184" i="1"/>
  <c r="AD184" i="1"/>
  <c r="AC184" i="1"/>
  <c r="AB184" i="1"/>
  <c r="V184" i="1"/>
  <c r="U184" i="1"/>
  <c r="T184" i="1"/>
  <c r="AE184" i="1" s="1"/>
  <c r="AG183" i="1"/>
  <c r="AF183" i="1"/>
  <c r="AE183" i="1"/>
  <c r="AD183" i="1"/>
  <c r="AC183" i="1"/>
  <c r="AB183" i="1"/>
  <c r="V183" i="1"/>
  <c r="U183" i="1"/>
  <c r="T183" i="1"/>
  <c r="AG182" i="1"/>
  <c r="AF182" i="1"/>
  <c r="AE182" i="1"/>
  <c r="AD182" i="1"/>
  <c r="AC182" i="1"/>
  <c r="AB182" i="1"/>
  <c r="V182" i="1"/>
  <c r="U182" i="1"/>
  <c r="T182" i="1"/>
  <c r="AG181" i="1"/>
  <c r="AF181" i="1"/>
  <c r="AE181" i="1"/>
  <c r="AD181" i="1"/>
  <c r="AC181" i="1"/>
  <c r="AB181" i="1"/>
  <c r="V181" i="1"/>
  <c r="U181" i="1"/>
  <c r="T181" i="1"/>
  <c r="AG180" i="1"/>
  <c r="AF180" i="1"/>
  <c r="AE180" i="1"/>
  <c r="AD180" i="1"/>
  <c r="AC180" i="1"/>
  <c r="AB180" i="1"/>
  <c r="V180" i="1"/>
  <c r="U180" i="1"/>
  <c r="T180" i="1"/>
  <c r="AG179" i="1"/>
  <c r="AF179" i="1"/>
  <c r="AD179" i="1"/>
  <c r="AC179" i="1"/>
  <c r="AB179" i="1"/>
  <c r="V179" i="1"/>
  <c r="U179" i="1"/>
  <c r="T179" i="1"/>
  <c r="AE179" i="1" s="1"/>
  <c r="AG178" i="1"/>
  <c r="AF178" i="1"/>
  <c r="AD178" i="1"/>
  <c r="AC178" i="1"/>
  <c r="AB178" i="1"/>
  <c r="V178" i="1"/>
  <c r="U178" i="1"/>
  <c r="T178" i="1"/>
  <c r="AE178" i="1" s="1"/>
  <c r="AG177" i="1"/>
  <c r="AF177" i="1"/>
  <c r="AE177" i="1"/>
  <c r="AD177" i="1"/>
  <c r="AC177" i="1"/>
  <c r="AB177" i="1"/>
  <c r="V177" i="1"/>
  <c r="U177" i="1"/>
  <c r="T177" i="1"/>
  <c r="AG176" i="1"/>
  <c r="AF176" i="1"/>
  <c r="AE176" i="1"/>
  <c r="AC176" i="1"/>
  <c r="AB176" i="1"/>
  <c r="V176" i="1"/>
  <c r="U176" i="1"/>
  <c r="T176" i="1"/>
  <c r="AD176" i="1" s="1"/>
  <c r="AG175" i="1"/>
  <c r="AF175" i="1"/>
  <c r="AD175" i="1"/>
  <c r="AC175" i="1"/>
  <c r="AB175" i="1"/>
  <c r="V175" i="1"/>
  <c r="U175" i="1"/>
  <c r="T175" i="1"/>
  <c r="AE175" i="1" s="1"/>
  <c r="AG174" i="1"/>
  <c r="AF174" i="1"/>
  <c r="AD174" i="1"/>
  <c r="AC174" i="1"/>
  <c r="AB174" i="1"/>
  <c r="V174" i="1"/>
  <c r="U174" i="1"/>
  <c r="T174" i="1"/>
  <c r="AE174" i="1" s="1"/>
  <c r="AG173" i="1"/>
  <c r="AF173" i="1"/>
  <c r="AD173" i="1"/>
  <c r="AC173" i="1"/>
  <c r="AB173" i="1"/>
  <c r="V173" i="1"/>
  <c r="U173" i="1"/>
  <c r="T173" i="1"/>
  <c r="AE173" i="1" s="1"/>
  <c r="AG172" i="1"/>
  <c r="AF172" i="1"/>
  <c r="AD172" i="1"/>
  <c r="AC172" i="1"/>
  <c r="AB172" i="1"/>
  <c r="V172" i="1"/>
  <c r="U172" i="1"/>
  <c r="T172" i="1"/>
  <c r="AE172" i="1" s="1"/>
  <c r="AG171" i="1"/>
  <c r="AF171" i="1"/>
  <c r="AE171" i="1"/>
  <c r="AD171" i="1"/>
  <c r="AC171" i="1"/>
  <c r="AB171" i="1"/>
  <c r="V171" i="1"/>
  <c r="U171" i="1"/>
  <c r="T171" i="1"/>
  <c r="AG170" i="1"/>
  <c r="AF170" i="1"/>
  <c r="AD170" i="1"/>
  <c r="AC170" i="1"/>
  <c r="AB170" i="1"/>
  <c r="V170" i="1"/>
  <c r="U170" i="1"/>
  <c r="T170" i="1"/>
  <c r="AE170" i="1" s="1"/>
  <c r="AG169" i="1"/>
  <c r="AF169" i="1"/>
  <c r="AE169" i="1"/>
  <c r="AD169" i="1"/>
  <c r="AC169" i="1"/>
  <c r="AB169" i="1"/>
  <c r="V169" i="1"/>
  <c r="U169" i="1"/>
  <c r="T169" i="1"/>
  <c r="AG168" i="1"/>
  <c r="AF168" i="1"/>
  <c r="AD168" i="1"/>
  <c r="AC168" i="1"/>
  <c r="AB168" i="1"/>
  <c r="V168" i="1"/>
  <c r="U168" i="1"/>
  <c r="T168" i="1"/>
  <c r="AE168" i="1" s="1"/>
  <c r="AG167" i="1"/>
  <c r="AF167" i="1"/>
  <c r="AD167" i="1"/>
  <c r="AC167" i="1"/>
  <c r="AB167" i="1"/>
  <c r="V167" i="1"/>
  <c r="U167" i="1"/>
  <c r="T167" i="1"/>
  <c r="AE167" i="1" s="1"/>
  <c r="AG166" i="1"/>
  <c r="AF166" i="1"/>
  <c r="AE166" i="1"/>
  <c r="AC166" i="1"/>
  <c r="AB166" i="1"/>
  <c r="V166" i="1"/>
  <c r="U166" i="1"/>
  <c r="T166" i="1"/>
  <c r="AD166" i="1" s="1"/>
  <c r="AG165" i="1"/>
  <c r="AF165" i="1"/>
  <c r="AE165" i="1"/>
  <c r="AD165" i="1"/>
  <c r="AC165" i="1"/>
  <c r="AB165" i="1"/>
  <c r="V165" i="1"/>
  <c r="U165" i="1"/>
  <c r="T165" i="1"/>
  <c r="AG164" i="1"/>
  <c r="AF164" i="1"/>
  <c r="AE164" i="1"/>
  <c r="AC164" i="1"/>
  <c r="AB164" i="1"/>
  <c r="V164" i="1"/>
  <c r="U164" i="1"/>
  <c r="T164" i="1"/>
  <c r="AD164" i="1" s="1"/>
  <c r="AG163" i="1"/>
  <c r="AF163" i="1"/>
  <c r="AE163" i="1"/>
  <c r="AD163" i="1"/>
  <c r="AC163" i="1"/>
  <c r="AB163" i="1"/>
  <c r="V163" i="1"/>
  <c r="U163" i="1"/>
  <c r="T163" i="1"/>
  <c r="AG162" i="1"/>
  <c r="AF162" i="1"/>
  <c r="AE162" i="1"/>
  <c r="AD162" i="1"/>
  <c r="AC162" i="1"/>
  <c r="AB162" i="1"/>
  <c r="V162" i="1"/>
  <c r="U162" i="1"/>
  <c r="T162" i="1"/>
  <c r="AG161" i="1"/>
  <c r="AF161" i="1"/>
  <c r="AE161" i="1"/>
  <c r="AD161" i="1"/>
  <c r="AC161" i="1"/>
  <c r="AB161" i="1"/>
  <c r="V161" i="1"/>
  <c r="U161" i="1"/>
  <c r="T161" i="1"/>
  <c r="AG160" i="1"/>
  <c r="AF160" i="1"/>
  <c r="AE160" i="1"/>
  <c r="AC160" i="1"/>
  <c r="AB160" i="1"/>
  <c r="V160" i="1"/>
  <c r="U160" i="1"/>
  <c r="T160" i="1"/>
  <c r="AD160" i="1" s="1"/>
  <c r="AG159" i="1"/>
  <c r="AF159" i="1"/>
  <c r="AE159" i="1"/>
  <c r="AC159" i="1"/>
  <c r="AB159" i="1"/>
  <c r="V159" i="1"/>
  <c r="U159" i="1"/>
  <c r="T159" i="1"/>
  <c r="AD159" i="1" s="1"/>
  <c r="AG158" i="1"/>
  <c r="AF158" i="1"/>
  <c r="AD158" i="1"/>
  <c r="AC158" i="1"/>
  <c r="AB158" i="1"/>
  <c r="V158" i="1"/>
  <c r="U158" i="1"/>
  <c r="T158" i="1"/>
  <c r="AE158" i="1" s="1"/>
  <c r="AG157" i="1"/>
  <c r="AF157" i="1"/>
  <c r="AE157" i="1"/>
  <c r="AD157" i="1"/>
  <c r="AC157" i="1"/>
  <c r="AB157" i="1"/>
  <c r="V157" i="1"/>
  <c r="U157" i="1"/>
  <c r="T157" i="1"/>
  <c r="AG156" i="1"/>
  <c r="AF156" i="1"/>
  <c r="AD156" i="1"/>
  <c r="AC156" i="1"/>
  <c r="AB156" i="1"/>
  <c r="V156" i="1"/>
  <c r="U156" i="1"/>
  <c r="T156" i="1"/>
  <c r="AE156" i="1" s="1"/>
  <c r="AG155" i="1"/>
  <c r="AF155" i="1"/>
  <c r="AE155" i="1"/>
  <c r="AC155" i="1"/>
  <c r="AB155" i="1"/>
  <c r="V155" i="1"/>
  <c r="U155" i="1"/>
  <c r="T155" i="1"/>
  <c r="AD155" i="1" s="1"/>
  <c r="AG154" i="1"/>
  <c r="AF154" i="1"/>
  <c r="AE154" i="1"/>
  <c r="AD154" i="1"/>
  <c r="AC154" i="1"/>
  <c r="AB154" i="1"/>
  <c r="V154" i="1"/>
  <c r="U154" i="1"/>
  <c r="T154" i="1"/>
  <c r="AG153" i="1"/>
  <c r="AF153" i="1"/>
  <c r="AE153" i="1"/>
  <c r="AD153" i="1"/>
  <c r="AC153" i="1"/>
  <c r="AB153" i="1"/>
  <c r="V153" i="1"/>
  <c r="U153" i="1"/>
  <c r="T153" i="1"/>
  <c r="AG152" i="1"/>
  <c r="AF152" i="1"/>
  <c r="AE152" i="1"/>
  <c r="AC152" i="1"/>
  <c r="AB152" i="1"/>
  <c r="V152" i="1"/>
  <c r="U152" i="1"/>
  <c r="T152" i="1"/>
  <c r="AD152" i="1" s="1"/>
  <c r="AG151" i="1"/>
  <c r="AF151" i="1"/>
  <c r="AD151" i="1"/>
  <c r="AC151" i="1"/>
  <c r="AB151" i="1"/>
  <c r="V151" i="1"/>
  <c r="U151" i="1"/>
  <c r="T151" i="1"/>
  <c r="AE151" i="1" s="1"/>
  <c r="AG150" i="1"/>
  <c r="AF150" i="1"/>
  <c r="AE150" i="1"/>
  <c r="AD150" i="1"/>
  <c r="AC150" i="1"/>
  <c r="AB150" i="1"/>
  <c r="V150" i="1"/>
  <c r="U150" i="1"/>
  <c r="T150" i="1"/>
  <c r="AG149" i="1"/>
  <c r="AF149" i="1"/>
  <c r="AE149" i="1"/>
  <c r="AD149" i="1"/>
  <c r="AC149" i="1"/>
  <c r="AB149" i="1"/>
  <c r="V149" i="1"/>
  <c r="U149" i="1"/>
  <c r="T149" i="1"/>
  <c r="AG148" i="1"/>
  <c r="AF148" i="1"/>
  <c r="AD148" i="1"/>
  <c r="AC148" i="1"/>
  <c r="AB148" i="1"/>
  <c r="V148" i="1"/>
  <c r="U148" i="1"/>
  <c r="T148" i="1"/>
  <c r="AE148" i="1" s="1"/>
  <c r="AG147" i="1"/>
  <c r="AF147" i="1"/>
  <c r="AE147" i="1"/>
  <c r="AD147" i="1"/>
  <c r="AC147" i="1"/>
  <c r="AB147" i="1"/>
  <c r="V147" i="1"/>
  <c r="U147" i="1"/>
  <c r="T147" i="1"/>
  <c r="AG146" i="1"/>
  <c r="AF146" i="1"/>
  <c r="AE146" i="1"/>
  <c r="AC146" i="1"/>
  <c r="AB146" i="1"/>
  <c r="V146" i="1"/>
  <c r="U146" i="1"/>
  <c r="T146" i="1"/>
  <c r="AD146" i="1" s="1"/>
  <c r="AG145" i="1"/>
  <c r="AF145" i="1"/>
  <c r="AE145" i="1"/>
  <c r="AC145" i="1"/>
  <c r="AB145" i="1"/>
  <c r="V145" i="1"/>
  <c r="U145" i="1"/>
  <c r="T145" i="1"/>
  <c r="AD145" i="1" s="1"/>
  <c r="AG144" i="1"/>
  <c r="AF144" i="1"/>
  <c r="AE144" i="1"/>
  <c r="AC144" i="1"/>
  <c r="AB144" i="1"/>
  <c r="V144" i="1"/>
  <c r="U144" i="1"/>
  <c r="T144" i="1"/>
  <c r="AD144" i="1" s="1"/>
  <c r="AG143" i="1"/>
  <c r="AF143" i="1"/>
  <c r="AD143" i="1"/>
  <c r="AC143" i="1"/>
  <c r="AB143" i="1"/>
  <c r="V143" i="1"/>
  <c r="U143" i="1"/>
  <c r="T143" i="1"/>
  <c r="AE143" i="1" s="1"/>
  <c r="AG142" i="1"/>
  <c r="AF142" i="1"/>
  <c r="AE142" i="1"/>
  <c r="AD142" i="1"/>
  <c r="AC142" i="1"/>
  <c r="AB142" i="1"/>
  <c r="V142" i="1"/>
  <c r="U142" i="1"/>
  <c r="T142" i="1"/>
  <c r="AG141" i="1"/>
  <c r="AF141" i="1"/>
  <c r="AD141" i="1"/>
  <c r="AC141" i="1"/>
  <c r="AB141" i="1"/>
  <c r="V141" i="1"/>
  <c r="U141" i="1"/>
  <c r="T141" i="1"/>
  <c r="AE141" i="1" s="1"/>
  <c r="AG140" i="1"/>
  <c r="AF140" i="1"/>
  <c r="AE140" i="1"/>
  <c r="AD140" i="1"/>
  <c r="AC140" i="1"/>
  <c r="AB140" i="1"/>
  <c r="V140" i="1"/>
  <c r="U140" i="1"/>
  <c r="T140" i="1"/>
  <c r="AG139" i="1"/>
  <c r="AF139" i="1"/>
  <c r="AE139" i="1"/>
  <c r="AD139" i="1"/>
  <c r="AC139" i="1"/>
  <c r="AB139" i="1"/>
  <c r="V139" i="1"/>
  <c r="U139" i="1"/>
  <c r="T139" i="1"/>
  <c r="AG138" i="1"/>
  <c r="AF138" i="1"/>
  <c r="AD138" i="1"/>
  <c r="AC138" i="1"/>
  <c r="AB138" i="1"/>
  <c r="V138" i="1"/>
  <c r="U138" i="1"/>
  <c r="T138" i="1"/>
  <c r="AE138" i="1" s="1"/>
  <c r="AG137" i="1"/>
  <c r="AF137" i="1"/>
  <c r="AE137" i="1"/>
  <c r="AC137" i="1"/>
  <c r="AB137" i="1"/>
  <c r="V137" i="1"/>
  <c r="U137" i="1"/>
  <c r="T137" i="1"/>
  <c r="AD137" i="1" s="1"/>
  <c r="AG136" i="1"/>
  <c r="AF136" i="1"/>
  <c r="AE136" i="1"/>
  <c r="AC136" i="1"/>
  <c r="AB136" i="1"/>
  <c r="V136" i="1"/>
  <c r="U136" i="1"/>
  <c r="T136" i="1"/>
  <c r="AD136" i="1" s="1"/>
  <c r="AG135" i="1"/>
  <c r="AF135" i="1"/>
  <c r="AE135" i="1"/>
  <c r="AC135" i="1"/>
  <c r="AB135" i="1"/>
  <c r="V135" i="1"/>
  <c r="U135" i="1"/>
  <c r="T135" i="1"/>
  <c r="AD135" i="1" s="1"/>
  <c r="AG134" i="1"/>
  <c r="AF134" i="1"/>
  <c r="AD134" i="1"/>
  <c r="AC134" i="1"/>
  <c r="AB134" i="1"/>
  <c r="V134" i="1"/>
  <c r="U134" i="1"/>
  <c r="T134" i="1"/>
  <c r="AE134" i="1" s="1"/>
  <c r="AG133" i="1"/>
  <c r="AF133" i="1"/>
  <c r="AE133" i="1"/>
  <c r="AD133" i="1"/>
  <c r="AC133" i="1"/>
  <c r="AB133" i="1"/>
  <c r="V133" i="1"/>
  <c r="U133" i="1"/>
  <c r="T133" i="1"/>
  <c r="AG132" i="1"/>
  <c r="AF132" i="1"/>
  <c r="AE132" i="1"/>
  <c r="AD132" i="1"/>
  <c r="AC132" i="1"/>
  <c r="AB132" i="1"/>
  <c r="V132" i="1"/>
  <c r="U132" i="1"/>
  <c r="T132" i="1"/>
  <c r="AG131" i="1"/>
  <c r="AF131" i="1"/>
  <c r="AE131" i="1"/>
  <c r="AD131" i="1"/>
  <c r="AC131" i="1"/>
  <c r="AB131" i="1"/>
  <c r="V131" i="1"/>
  <c r="U131" i="1"/>
  <c r="T131" i="1"/>
  <c r="AG130" i="1"/>
  <c r="AF130" i="1"/>
  <c r="AE130" i="1"/>
  <c r="AD130" i="1"/>
  <c r="AC130" i="1"/>
  <c r="AB130" i="1"/>
  <c r="V130" i="1"/>
  <c r="U130" i="1"/>
  <c r="T130" i="1"/>
  <c r="AG129" i="1"/>
  <c r="AF129" i="1"/>
  <c r="AD129" i="1"/>
  <c r="AC129" i="1"/>
  <c r="AB129" i="1"/>
  <c r="V129" i="1"/>
  <c r="U129" i="1"/>
  <c r="T129" i="1"/>
  <c r="AE129" i="1" s="1"/>
  <c r="AG128" i="1"/>
  <c r="AF128" i="1"/>
  <c r="AE128" i="1"/>
  <c r="AC128" i="1"/>
  <c r="AB128" i="1"/>
  <c r="V128" i="1"/>
  <c r="U128" i="1"/>
  <c r="T128" i="1"/>
  <c r="AD128" i="1" s="1"/>
  <c r="AG127" i="1"/>
  <c r="AF127" i="1"/>
  <c r="AE127" i="1"/>
  <c r="AC127" i="1"/>
  <c r="AB127" i="1"/>
  <c r="V127" i="1"/>
  <c r="U127" i="1"/>
  <c r="T127" i="1"/>
  <c r="AD127" i="1" s="1"/>
  <c r="AG126" i="1"/>
  <c r="AF126" i="1"/>
  <c r="AE126" i="1"/>
  <c r="AD126" i="1"/>
  <c r="AC126" i="1"/>
  <c r="AB126" i="1"/>
  <c r="V126" i="1"/>
  <c r="U126" i="1"/>
  <c r="T126" i="1"/>
  <c r="AG125" i="1"/>
  <c r="AF125" i="1"/>
  <c r="AE125" i="1"/>
  <c r="AC125" i="1"/>
  <c r="AB125" i="1"/>
  <c r="V125" i="1"/>
  <c r="U125" i="1"/>
  <c r="T125" i="1"/>
  <c r="AD125" i="1" s="1"/>
  <c r="AG124" i="1"/>
  <c r="AF124" i="1"/>
  <c r="AE124" i="1"/>
  <c r="AD124" i="1"/>
  <c r="AC124" i="1"/>
  <c r="AB124" i="1"/>
  <c r="V124" i="1"/>
  <c r="U124" i="1"/>
  <c r="T124" i="1"/>
  <c r="AG123" i="1"/>
  <c r="AF123" i="1"/>
  <c r="AE123" i="1"/>
  <c r="AD123" i="1"/>
  <c r="AC123" i="1"/>
  <c r="AB123" i="1"/>
  <c r="V123" i="1"/>
  <c r="U123" i="1"/>
  <c r="T123" i="1"/>
  <c r="AG122" i="1"/>
  <c r="AF122" i="1"/>
  <c r="AE122" i="1"/>
  <c r="AD122" i="1"/>
  <c r="AC122" i="1"/>
  <c r="AB122" i="1"/>
  <c r="V122" i="1"/>
  <c r="U122" i="1"/>
  <c r="T122" i="1"/>
  <c r="AG121" i="1"/>
  <c r="AF121" i="1"/>
  <c r="AE121" i="1"/>
  <c r="AD121" i="1"/>
  <c r="AC121" i="1"/>
  <c r="AB121" i="1"/>
  <c r="V121" i="1"/>
  <c r="U121" i="1"/>
  <c r="T121" i="1"/>
  <c r="AG120" i="1"/>
  <c r="AF120" i="1"/>
  <c r="AE120" i="1"/>
  <c r="AD120" i="1"/>
  <c r="AC120" i="1"/>
  <c r="AB120" i="1"/>
  <c r="V120" i="1"/>
  <c r="U120" i="1"/>
  <c r="T120" i="1"/>
  <c r="AG119" i="1"/>
  <c r="AF119" i="1"/>
  <c r="AD119" i="1"/>
  <c r="AC119" i="1"/>
  <c r="AB119" i="1"/>
  <c r="V119" i="1"/>
  <c r="U119" i="1"/>
  <c r="T119" i="1"/>
  <c r="AE119" i="1" s="1"/>
  <c r="AG118" i="1"/>
  <c r="AF118" i="1"/>
  <c r="AE118" i="1"/>
  <c r="AC118" i="1"/>
  <c r="AB118" i="1"/>
  <c r="V118" i="1"/>
  <c r="U118" i="1"/>
  <c r="T118" i="1"/>
  <c r="AD118" i="1" s="1"/>
  <c r="AG117" i="1"/>
  <c r="AF117" i="1"/>
  <c r="AE117" i="1"/>
  <c r="AD117" i="1"/>
  <c r="AC117" i="1"/>
  <c r="AB117" i="1"/>
  <c r="V117" i="1"/>
  <c r="U117" i="1"/>
  <c r="T117" i="1"/>
  <c r="AG116" i="1"/>
  <c r="AF116" i="1"/>
  <c r="AD116" i="1"/>
  <c r="AC116" i="1"/>
  <c r="AB116" i="1"/>
  <c r="V116" i="1"/>
  <c r="U116" i="1"/>
  <c r="T116" i="1"/>
  <c r="AE116" i="1" s="1"/>
  <c r="AG115" i="1"/>
  <c r="AF115" i="1"/>
  <c r="AE115" i="1"/>
  <c r="AD115" i="1"/>
  <c r="AC115" i="1"/>
  <c r="AB115" i="1"/>
  <c r="V115" i="1"/>
  <c r="U115" i="1"/>
  <c r="T115" i="1"/>
  <c r="AG114" i="1"/>
  <c r="AF114" i="1"/>
  <c r="AE114" i="1"/>
  <c r="AD114" i="1"/>
  <c r="AC114" i="1"/>
  <c r="AB114" i="1"/>
  <c r="V114" i="1"/>
  <c r="U114" i="1"/>
  <c r="T114" i="1"/>
  <c r="AG113" i="1"/>
  <c r="AF113" i="1"/>
  <c r="AD113" i="1"/>
  <c r="AC113" i="1"/>
  <c r="AB113" i="1"/>
  <c r="V113" i="1"/>
  <c r="U113" i="1"/>
  <c r="T113" i="1"/>
  <c r="AE113" i="1" s="1"/>
  <c r="AG112" i="1"/>
  <c r="AF112" i="1"/>
  <c r="AD112" i="1"/>
  <c r="AC112" i="1"/>
  <c r="AB112" i="1"/>
  <c r="V112" i="1"/>
  <c r="U112" i="1"/>
  <c r="T112" i="1"/>
  <c r="AE112" i="1" s="1"/>
  <c r="AG111" i="1"/>
  <c r="AF111" i="1"/>
  <c r="AD111" i="1"/>
  <c r="AC111" i="1"/>
  <c r="AB111" i="1"/>
  <c r="V111" i="1"/>
  <c r="U111" i="1"/>
  <c r="T111" i="1"/>
  <c r="AE111" i="1" s="1"/>
  <c r="AG110" i="1"/>
  <c r="AF110" i="1"/>
  <c r="AD110" i="1"/>
  <c r="AC110" i="1"/>
  <c r="AB110" i="1"/>
  <c r="V110" i="1"/>
  <c r="U110" i="1"/>
  <c r="T110" i="1"/>
  <c r="AE110" i="1" s="1"/>
  <c r="AG109" i="1"/>
  <c r="AF109" i="1"/>
  <c r="AE109" i="1"/>
  <c r="AC109" i="1"/>
  <c r="AB109" i="1"/>
  <c r="V109" i="1"/>
  <c r="U109" i="1"/>
  <c r="T109" i="1"/>
  <c r="AD109" i="1" s="1"/>
  <c r="AG108" i="1"/>
  <c r="AF108" i="1"/>
  <c r="AD108" i="1"/>
  <c r="AC108" i="1"/>
  <c r="AB108" i="1"/>
  <c r="V108" i="1"/>
  <c r="U108" i="1"/>
  <c r="T108" i="1"/>
  <c r="AE108" i="1" s="1"/>
  <c r="AG107" i="1"/>
  <c r="AF107" i="1"/>
  <c r="AD107" i="1"/>
  <c r="AC107" i="1"/>
  <c r="AB107" i="1"/>
  <c r="V107" i="1"/>
  <c r="U107" i="1"/>
  <c r="T107" i="1"/>
  <c r="AE107" i="1" s="1"/>
  <c r="AG106" i="1"/>
  <c r="AF106" i="1"/>
  <c r="AE106" i="1"/>
  <c r="AD106" i="1"/>
  <c r="AC106" i="1"/>
  <c r="AB106" i="1"/>
  <c r="V106" i="1"/>
  <c r="U106" i="1"/>
  <c r="T106" i="1"/>
  <c r="AG105" i="1"/>
  <c r="AF105" i="1"/>
  <c r="AE105" i="1"/>
  <c r="AD105" i="1"/>
  <c r="AC105" i="1"/>
  <c r="AB105" i="1"/>
  <c r="V105" i="1"/>
  <c r="U105" i="1"/>
  <c r="T105" i="1"/>
  <c r="AG104" i="1"/>
  <c r="AF104" i="1"/>
  <c r="AE104" i="1"/>
  <c r="AD104" i="1"/>
  <c r="AC104" i="1"/>
  <c r="AB104" i="1"/>
  <c r="V104" i="1"/>
  <c r="U104" i="1"/>
  <c r="T104" i="1"/>
  <c r="AG103" i="1"/>
  <c r="AF103" i="1"/>
  <c r="AD103" i="1"/>
  <c r="AC103" i="1"/>
  <c r="AB103" i="1"/>
  <c r="V103" i="1"/>
  <c r="U103" i="1"/>
  <c r="T103" i="1"/>
  <c r="AE103" i="1" s="1"/>
  <c r="AG102" i="1"/>
  <c r="AF102" i="1"/>
  <c r="AD102" i="1"/>
  <c r="AC102" i="1"/>
  <c r="AB102" i="1"/>
  <c r="V102" i="1"/>
  <c r="U102" i="1"/>
  <c r="T102" i="1"/>
  <c r="AE102" i="1" s="1"/>
  <c r="AG101" i="1"/>
  <c r="AF101" i="1"/>
  <c r="AE101" i="1"/>
  <c r="AC101" i="1"/>
  <c r="AB101" i="1"/>
  <c r="V101" i="1"/>
  <c r="U101" i="1"/>
  <c r="T101" i="1"/>
  <c r="AD101" i="1" s="1"/>
  <c r="AG100" i="1"/>
  <c r="AF100" i="1"/>
  <c r="AD100" i="1"/>
  <c r="AC100" i="1"/>
  <c r="AB100" i="1"/>
  <c r="V100" i="1"/>
  <c r="U100" i="1"/>
  <c r="T100" i="1"/>
  <c r="AE100" i="1" s="1"/>
  <c r="AG99" i="1"/>
  <c r="AF99" i="1"/>
  <c r="AD99" i="1"/>
  <c r="AC99" i="1"/>
  <c r="AB99" i="1"/>
  <c r="V99" i="1"/>
  <c r="U99" i="1"/>
  <c r="T99" i="1"/>
  <c r="AE99" i="1" s="1"/>
  <c r="AG98" i="1"/>
  <c r="AF98" i="1"/>
  <c r="AE98" i="1"/>
  <c r="AC98" i="1"/>
  <c r="AB98" i="1"/>
  <c r="V98" i="1"/>
  <c r="U98" i="1"/>
  <c r="T98" i="1"/>
  <c r="AD98" i="1" s="1"/>
  <c r="AG97" i="1"/>
  <c r="AF97" i="1"/>
  <c r="AE97" i="1"/>
  <c r="AC97" i="1"/>
  <c r="AB97" i="1"/>
  <c r="V97" i="1"/>
  <c r="U97" i="1"/>
  <c r="T97" i="1"/>
  <c r="AD97" i="1" s="1"/>
  <c r="AG96" i="1"/>
  <c r="AF96" i="1"/>
  <c r="AE96" i="1"/>
  <c r="AC96" i="1"/>
  <c r="AB96" i="1"/>
  <c r="V96" i="1"/>
  <c r="U96" i="1"/>
  <c r="T96" i="1"/>
  <c r="AD96" i="1" s="1"/>
  <c r="AG95" i="1"/>
  <c r="AF95" i="1"/>
  <c r="AE95" i="1"/>
  <c r="AC95" i="1"/>
  <c r="AB95" i="1"/>
  <c r="V95" i="1"/>
  <c r="U95" i="1"/>
  <c r="T95" i="1"/>
  <c r="AD95" i="1" s="1"/>
  <c r="AG94" i="1"/>
  <c r="AF94" i="1"/>
  <c r="AD94" i="1"/>
  <c r="AC94" i="1"/>
  <c r="AB94" i="1"/>
  <c r="V94" i="1"/>
  <c r="U94" i="1"/>
  <c r="T94" i="1"/>
  <c r="AE94" i="1" s="1"/>
  <c r="AG93" i="1"/>
  <c r="AF93" i="1"/>
  <c r="AE93" i="1"/>
  <c r="AD93" i="1"/>
  <c r="AC93" i="1"/>
  <c r="AB93" i="1"/>
  <c r="V93" i="1"/>
  <c r="U93" i="1"/>
  <c r="T93" i="1"/>
  <c r="AG92" i="1"/>
  <c r="AF92" i="1"/>
  <c r="AD92" i="1"/>
  <c r="AC92" i="1"/>
  <c r="AB92" i="1"/>
  <c r="V92" i="1"/>
  <c r="U92" i="1"/>
  <c r="T92" i="1"/>
  <c r="AE92" i="1" s="1"/>
  <c r="AG91" i="1"/>
  <c r="AF91" i="1"/>
  <c r="AD91" i="1"/>
  <c r="AC91" i="1"/>
  <c r="AB91" i="1"/>
  <c r="V91" i="1"/>
  <c r="U91" i="1"/>
  <c r="T91" i="1"/>
  <c r="AE91" i="1" s="1"/>
  <c r="AG90" i="1"/>
  <c r="AF90" i="1"/>
  <c r="AE90" i="1"/>
  <c r="AD90" i="1"/>
  <c r="AC90" i="1"/>
  <c r="AB90" i="1"/>
  <c r="V90" i="1"/>
  <c r="U90" i="1"/>
  <c r="T90" i="1"/>
  <c r="AG89" i="1"/>
  <c r="AF89" i="1"/>
  <c r="AE89" i="1"/>
  <c r="AC89" i="1"/>
  <c r="AB89" i="1"/>
  <c r="V89" i="1"/>
  <c r="U89" i="1"/>
  <c r="T89" i="1"/>
  <c r="AD89" i="1" s="1"/>
  <c r="AG88" i="1"/>
  <c r="AF88" i="1"/>
  <c r="AE88" i="1"/>
  <c r="AD88" i="1"/>
  <c r="AC88" i="1"/>
  <c r="AB88" i="1"/>
  <c r="V88" i="1"/>
  <c r="U88" i="1"/>
  <c r="T88" i="1"/>
  <c r="AG87" i="1"/>
  <c r="AF87" i="1"/>
  <c r="AD87" i="1"/>
  <c r="AC87" i="1"/>
  <c r="AB87" i="1"/>
  <c r="V87" i="1"/>
  <c r="U87" i="1"/>
  <c r="T87" i="1"/>
  <c r="AE87" i="1" s="1"/>
  <c r="AG86" i="1"/>
  <c r="AF86" i="1"/>
  <c r="AD86" i="1"/>
  <c r="AC86" i="1"/>
  <c r="AB86" i="1"/>
  <c r="V86" i="1"/>
  <c r="U86" i="1"/>
  <c r="T86" i="1"/>
  <c r="AE86" i="1" s="1"/>
  <c r="AG85" i="1"/>
  <c r="AF85" i="1"/>
  <c r="AE85" i="1"/>
  <c r="AD85" i="1"/>
  <c r="AC85" i="1"/>
  <c r="AB85" i="1"/>
  <c r="V85" i="1"/>
  <c r="U85" i="1"/>
  <c r="T85" i="1"/>
  <c r="AG84" i="1"/>
  <c r="AF84" i="1"/>
  <c r="AE84" i="1"/>
  <c r="AC84" i="1"/>
  <c r="AB84" i="1"/>
  <c r="V84" i="1"/>
  <c r="U84" i="1"/>
  <c r="T84" i="1"/>
  <c r="AD84" i="1" s="1"/>
  <c r="AG83" i="1"/>
  <c r="AF83" i="1"/>
  <c r="AD83" i="1"/>
  <c r="AC83" i="1"/>
  <c r="AB83" i="1"/>
  <c r="V83" i="1"/>
  <c r="U83" i="1"/>
  <c r="T83" i="1"/>
  <c r="AE83" i="1" s="1"/>
  <c r="AG82" i="1"/>
  <c r="AF82" i="1"/>
  <c r="AE82" i="1"/>
  <c r="AC82" i="1"/>
  <c r="AB82" i="1"/>
  <c r="V82" i="1"/>
  <c r="U82" i="1"/>
  <c r="T82" i="1"/>
  <c r="AD82" i="1" s="1"/>
  <c r="AG81" i="1"/>
  <c r="AF81" i="1"/>
  <c r="AD81" i="1"/>
  <c r="AC81" i="1"/>
  <c r="AB81" i="1"/>
  <c r="V81" i="1"/>
  <c r="U81" i="1"/>
  <c r="T81" i="1"/>
  <c r="AE81" i="1" s="1"/>
  <c r="AG80" i="1"/>
  <c r="AF80" i="1"/>
  <c r="AD80" i="1"/>
  <c r="AC80" i="1"/>
  <c r="AB80" i="1"/>
  <c r="V80" i="1"/>
  <c r="U80" i="1"/>
  <c r="T80" i="1"/>
  <c r="AE80" i="1" s="1"/>
  <c r="AG79" i="1"/>
  <c r="AF79" i="1"/>
  <c r="AE79" i="1"/>
  <c r="AD79" i="1"/>
  <c r="AC79" i="1"/>
  <c r="AB79" i="1"/>
  <c r="V79" i="1"/>
  <c r="U79" i="1"/>
  <c r="T79" i="1"/>
  <c r="AG78" i="1"/>
  <c r="AF78" i="1"/>
  <c r="AD78" i="1"/>
  <c r="AC78" i="1"/>
  <c r="AB78" i="1"/>
  <c r="V78" i="1"/>
  <c r="U78" i="1"/>
  <c r="T78" i="1"/>
  <c r="AE78" i="1" s="1"/>
  <c r="AG77" i="1"/>
  <c r="AF77" i="1"/>
  <c r="AE77" i="1"/>
  <c r="AD77" i="1"/>
  <c r="AC77" i="1"/>
  <c r="AB77" i="1"/>
  <c r="V77" i="1"/>
  <c r="U77" i="1"/>
  <c r="T77" i="1"/>
  <c r="AG76" i="1"/>
  <c r="AF76" i="1"/>
  <c r="AE76" i="1"/>
  <c r="AD76" i="1"/>
  <c r="AC76" i="1"/>
  <c r="AB76" i="1"/>
  <c r="V76" i="1"/>
  <c r="U76" i="1"/>
  <c r="T76" i="1"/>
  <c r="AG75" i="1"/>
  <c r="AF75" i="1"/>
  <c r="AE75" i="1"/>
  <c r="AD75" i="1"/>
  <c r="AC75" i="1"/>
  <c r="AB75" i="1"/>
  <c r="V75" i="1"/>
  <c r="U75" i="1"/>
  <c r="T75" i="1"/>
  <c r="AG74" i="1"/>
  <c r="AF74" i="1"/>
  <c r="AD74" i="1"/>
  <c r="AC74" i="1"/>
  <c r="AB74" i="1"/>
  <c r="V74" i="1"/>
  <c r="U74" i="1"/>
  <c r="T74" i="1"/>
  <c r="AE74" i="1" s="1"/>
  <c r="AG73" i="1"/>
  <c r="AF73" i="1"/>
  <c r="AD73" i="1"/>
  <c r="AC73" i="1"/>
  <c r="AB73" i="1"/>
  <c r="V73" i="1"/>
  <c r="U73" i="1"/>
  <c r="T73" i="1"/>
  <c r="AE73" i="1" s="1"/>
  <c r="AG72" i="1"/>
  <c r="AF72" i="1"/>
  <c r="AD72" i="1"/>
  <c r="AC72" i="1"/>
  <c r="AB72" i="1"/>
  <c r="V72" i="1"/>
  <c r="U72" i="1"/>
  <c r="T72" i="1"/>
  <c r="AE72" i="1" s="1"/>
  <c r="AG71" i="1"/>
  <c r="AF71" i="1"/>
  <c r="AE71" i="1"/>
  <c r="AD71" i="1"/>
  <c r="AC71" i="1"/>
  <c r="AB71" i="1"/>
  <c r="V71" i="1"/>
  <c r="U71" i="1"/>
  <c r="T71" i="1"/>
  <c r="AG70" i="1"/>
  <c r="AF70" i="1"/>
  <c r="AE70" i="1"/>
  <c r="AC70" i="1"/>
  <c r="AB70" i="1"/>
  <c r="V70" i="1"/>
  <c r="U70" i="1"/>
  <c r="T70" i="1"/>
  <c r="AD70" i="1" s="1"/>
  <c r="AG69" i="1"/>
  <c r="AF69" i="1"/>
  <c r="AE69" i="1"/>
  <c r="AC69" i="1"/>
  <c r="AB69" i="1"/>
  <c r="V69" i="1"/>
  <c r="U69" i="1"/>
  <c r="T69" i="1"/>
  <c r="AD69" i="1" s="1"/>
  <c r="AG68" i="1"/>
  <c r="AF68" i="1"/>
  <c r="AD68" i="1"/>
  <c r="AC68" i="1"/>
  <c r="AB68" i="1"/>
  <c r="V68" i="1"/>
  <c r="U68" i="1"/>
  <c r="T68" i="1"/>
  <c r="AE68" i="1" s="1"/>
  <c r="AG67" i="1"/>
  <c r="AF67" i="1"/>
  <c r="AE67" i="1"/>
  <c r="AD67" i="1"/>
  <c r="AC67" i="1"/>
  <c r="AB67" i="1"/>
  <c r="V67" i="1"/>
  <c r="U67" i="1"/>
  <c r="T67" i="1"/>
  <c r="AG66" i="1"/>
  <c r="AF66" i="1"/>
  <c r="AE66" i="1"/>
  <c r="AD66" i="1"/>
  <c r="AC66" i="1"/>
  <c r="AB66" i="1"/>
  <c r="V66" i="1"/>
  <c r="U66" i="1"/>
  <c r="T66" i="1"/>
  <c r="AG65" i="1"/>
  <c r="AF65" i="1"/>
  <c r="AE65" i="1"/>
  <c r="AD65" i="1"/>
  <c r="AC65" i="1"/>
  <c r="AB65" i="1"/>
  <c r="V65" i="1"/>
  <c r="U65" i="1"/>
  <c r="T65" i="1"/>
  <c r="AG64" i="1"/>
  <c r="AF64" i="1"/>
  <c r="AE64" i="1"/>
  <c r="AD64" i="1"/>
  <c r="AC64" i="1"/>
  <c r="AB64" i="1"/>
  <c r="V64" i="1"/>
  <c r="U64" i="1"/>
  <c r="T64" i="1"/>
  <c r="AG63" i="1"/>
  <c r="AF63" i="1"/>
  <c r="AD63" i="1"/>
  <c r="AC63" i="1"/>
  <c r="AB63" i="1"/>
  <c r="V63" i="1"/>
  <c r="U63" i="1"/>
  <c r="T63" i="1"/>
  <c r="AE63" i="1" s="1"/>
  <c r="AG62" i="1"/>
  <c r="AF62" i="1"/>
  <c r="AE62" i="1"/>
  <c r="AD62" i="1"/>
  <c r="AC62" i="1"/>
  <c r="AB62" i="1"/>
  <c r="V62" i="1"/>
  <c r="U62" i="1"/>
  <c r="T62" i="1"/>
  <c r="AG61" i="1"/>
  <c r="AF61" i="1"/>
  <c r="AD61" i="1"/>
  <c r="AC61" i="1"/>
  <c r="AB61" i="1"/>
  <c r="V61" i="1"/>
  <c r="U61" i="1"/>
  <c r="T61" i="1"/>
  <c r="AE61" i="1" s="1"/>
  <c r="AG60" i="1"/>
  <c r="AF60" i="1"/>
  <c r="AD60" i="1"/>
  <c r="AC60" i="1"/>
  <c r="AB60" i="1"/>
  <c r="V60" i="1"/>
  <c r="U60" i="1"/>
  <c r="T60" i="1"/>
  <c r="AE60" i="1" s="1"/>
  <c r="AG59" i="1"/>
  <c r="AF59" i="1"/>
  <c r="AD59" i="1"/>
  <c r="AC59" i="1"/>
  <c r="AB59" i="1"/>
  <c r="V59" i="1"/>
  <c r="U59" i="1"/>
  <c r="T59" i="1"/>
  <c r="AE59" i="1" s="1"/>
  <c r="AG58" i="1"/>
  <c r="AF58" i="1"/>
  <c r="AE58" i="1"/>
  <c r="AC58" i="1"/>
  <c r="AB58" i="1"/>
  <c r="V58" i="1"/>
  <c r="U58" i="1"/>
  <c r="T58" i="1"/>
  <c r="AD58" i="1" s="1"/>
  <c r="AG57" i="1"/>
  <c r="AF57" i="1"/>
  <c r="AE57" i="1"/>
  <c r="AC57" i="1"/>
  <c r="AB57" i="1"/>
  <c r="V57" i="1"/>
  <c r="U57" i="1"/>
  <c r="T57" i="1"/>
  <c r="AD57" i="1" s="1"/>
  <c r="AG56" i="1"/>
  <c r="AF56" i="1"/>
  <c r="AE56" i="1"/>
  <c r="AC56" i="1"/>
  <c r="AB56" i="1"/>
  <c r="V56" i="1"/>
  <c r="U56" i="1"/>
  <c r="T56" i="1"/>
  <c r="AD56" i="1" s="1"/>
  <c r="AG55" i="1"/>
  <c r="AF55" i="1"/>
  <c r="AD55" i="1"/>
  <c r="AC55" i="1"/>
  <c r="AB55" i="1"/>
  <c r="V55" i="1"/>
  <c r="U55" i="1"/>
  <c r="T55" i="1"/>
  <c r="AE55" i="1" s="1"/>
  <c r="AG54" i="1"/>
  <c r="AF54" i="1"/>
  <c r="AE54" i="1"/>
  <c r="AD54" i="1"/>
  <c r="AC54" i="1"/>
  <c r="AB54" i="1"/>
  <c r="V54" i="1"/>
  <c r="U54" i="1"/>
  <c r="T54" i="1"/>
  <c r="AG53" i="1"/>
  <c r="AF53" i="1"/>
  <c r="AE53" i="1"/>
  <c r="AD53" i="1"/>
  <c r="AC53" i="1"/>
  <c r="AB53" i="1"/>
  <c r="V53" i="1"/>
  <c r="U53" i="1"/>
  <c r="T53" i="1"/>
  <c r="AG52" i="1"/>
  <c r="AF52" i="1"/>
  <c r="AE52" i="1"/>
  <c r="AC52" i="1"/>
  <c r="AB52" i="1"/>
  <c r="V52" i="1"/>
  <c r="U52" i="1"/>
  <c r="T52" i="1"/>
  <c r="AD52" i="1" s="1"/>
  <c r="AG51" i="1"/>
  <c r="AF51" i="1"/>
  <c r="AE51" i="1"/>
  <c r="AC51" i="1"/>
  <c r="AB51" i="1"/>
  <c r="V51" i="1"/>
  <c r="U51" i="1"/>
  <c r="T51" i="1"/>
  <c r="AD51" i="1" s="1"/>
  <c r="AG50" i="1"/>
  <c r="AF50" i="1"/>
  <c r="AE50" i="1"/>
  <c r="AD50" i="1"/>
  <c r="AC50" i="1"/>
  <c r="AB50" i="1"/>
  <c r="V50" i="1"/>
  <c r="U50" i="1"/>
  <c r="T50" i="1"/>
  <c r="AG49" i="1"/>
  <c r="AF49" i="1"/>
  <c r="AE49" i="1"/>
  <c r="AD49" i="1"/>
  <c r="AC49" i="1"/>
  <c r="AB49" i="1"/>
  <c r="V49" i="1"/>
  <c r="U49" i="1"/>
  <c r="T49" i="1"/>
  <c r="AG48" i="1"/>
  <c r="AF48" i="1"/>
  <c r="AE48" i="1"/>
  <c r="AD48" i="1"/>
  <c r="AC48" i="1"/>
  <c r="AB48" i="1"/>
  <c r="V48" i="1"/>
  <c r="U48" i="1"/>
  <c r="T48" i="1"/>
  <c r="AG47" i="1"/>
  <c r="AF47" i="1"/>
  <c r="AD47" i="1"/>
  <c r="AC47" i="1"/>
  <c r="AB47" i="1"/>
  <c r="V47" i="1"/>
  <c r="U47" i="1"/>
  <c r="T47" i="1"/>
  <c r="AE47" i="1" s="1"/>
  <c r="AG46" i="1"/>
  <c r="AF46" i="1"/>
  <c r="AE46" i="1"/>
  <c r="AC46" i="1"/>
  <c r="AB46" i="1"/>
  <c r="V46" i="1"/>
  <c r="U46" i="1"/>
  <c r="T46" i="1"/>
  <c r="AD46" i="1" s="1"/>
  <c r="AG45" i="1"/>
  <c r="AF45" i="1"/>
  <c r="AD45" i="1"/>
  <c r="AC45" i="1"/>
  <c r="AB45" i="1"/>
  <c r="V45" i="1"/>
  <c r="U45" i="1"/>
  <c r="T45" i="1"/>
  <c r="AE45" i="1" s="1"/>
  <c r="AG44" i="1"/>
  <c r="AF44" i="1"/>
  <c r="AD44" i="1"/>
  <c r="AC44" i="1"/>
  <c r="AB44" i="1"/>
  <c r="V44" i="1"/>
  <c r="U44" i="1"/>
  <c r="T44" i="1"/>
  <c r="AE44" i="1" s="1"/>
  <c r="AG43" i="1"/>
  <c r="AF43" i="1"/>
  <c r="AE43" i="1"/>
  <c r="AD43" i="1"/>
  <c r="AC43" i="1"/>
  <c r="AB43" i="1"/>
  <c r="V43" i="1"/>
  <c r="U43" i="1"/>
  <c r="T43" i="1"/>
  <c r="AG42" i="1"/>
  <c r="AF42" i="1"/>
  <c r="AE42" i="1"/>
  <c r="AD42" i="1"/>
  <c r="AC42" i="1"/>
  <c r="AB42" i="1"/>
  <c r="V42" i="1"/>
  <c r="U42" i="1"/>
  <c r="T42" i="1"/>
  <c r="AG41" i="1"/>
  <c r="AF41" i="1"/>
  <c r="AE41" i="1"/>
  <c r="AD41" i="1"/>
  <c r="AC41" i="1"/>
  <c r="AB41" i="1"/>
  <c r="V41" i="1"/>
  <c r="U41" i="1"/>
  <c r="T41" i="1"/>
  <c r="AG40" i="1"/>
  <c r="AF40" i="1"/>
  <c r="AE40" i="1"/>
  <c r="AD40" i="1"/>
  <c r="AC40" i="1"/>
  <c r="AB40" i="1"/>
  <c r="V40" i="1"/>
  <c r="U40" i="1"/>
  <c r="T40" i="1"/>
  <c r="AG39" i="1"/>
  <c r="AF39" i="1"/>
  <c r="AE39" i="1"/>
  <c r="AD39" i="1"/>
  <c r="AC39" i="1"/>
  <c r="AB39" i="1"/>
  <c r="V39" i="1"/>
  <c r="U39" i="1"/>
  <c r="T39" i="1"/>
  <c r="AG38" i="1"/>
  <c r="AF38" i="1"/>
  <c r="AE38" i="1"/>
  <c r="AD38" i="1"/>
  <c r="AC38" i="1"/>
  <c r="AB38" i="1"/>
  <c r="V38" i="1"/>
  <c r="U38" i="1"/>
  <c r="T38" i="1"/>
  <c r="AG37" i="1"/>
  <c r="AF37" i="1"/>
  <c r="AE37" i="1"/>
  <c r="AC37" i="1"/>
  <c r="AB37" i="1"/>
  <c r="V37" i="1"/>
  <c r="U37" i="1"/>
  <c r="T37" i="1"/>
  <c r="AD37" i="1" s="1"/>
  <c r="AG36" i="1"/>
  <c r="AF36" i="1"/>
  <c r="AE36" i="1"/>
  <c r="AC36" i="1"/>
  <c r="AB36" i="1"/>
  <c r="V36" i="1"/>
  <c r="U36" i="1"/>
  <c r="T36" i="1"/>
  <c r="AD36" i="1" s="1"/>
  <c r="AG35" i="1"/>
  <c r="AF35" i="1"/>
  <c r="AD35" i="1"/>
  <c r="AC35" i="1"/>
  <c r="AB35" i="1"/>
  <c r="V35" i="1"/>
  <c r="U35" i="1"/>
  <c r="T35" i="1"/>
  <c r="AE35" i="1" s="1"/>
  <c r="AG34" i="1"/>
  <c r="AF34" i="1"/>
  <c r="AE34" i="1"/>
  <c r="AD34" i="1"/>
  <c r="AC34" i="1"/>
  <c r="AB34" i="1"/>
  <c r="V34" i="1"/>
  <c r="U34" i="1"/>
  <c r="T34" i="1"/>
  <c r="AG33" i="1"/>
  <c r="AF33" i="1"/>
  <c r="AE33" i="1"/>
  <c r="AD33" i="1"/>
  <c r="AC33" i="1"/>
  <c r="AB33" i="1"/>
  <c r="V33" i="1"/>
  <c r="U33" i="1"/>
  <c r="T33" i="1"/>
  <c r="AG32" i="1"/>
  <c r="AF32" i="1"/>
  <c r="AD32" i="1"/>
  <c r="AC32" i="1"/>
  <c r="AB32" i="1"/>
  <c r="V32" i="1"/>
  <c r="U32" i="1"/>
  <c r="T32" i="1"/>
  <c r="AE32" i="1" s="1"/>
  <c r="AG31" i="1"/>
  <c r="AF31" i="1"/>
  <c r="AE31" i="1"/>
  <c r="AC31" i="1"/>
  <c r="AB31" i="1"/>
  <c r="V31" i="1"/>
  <c r="U31" i="1"/>
  <c r="T31" i="1"/>
  <c r="AD31" i="1" s="1"/>
  <c r="AG30" i="1"/>
  <c r="AF30" i="1"/>
  <c r="AD30" i="1"/>
  <c r="AC30" i="1"/>
  <c r="AB30" i="1"/>
  <c r="V30" i="1"/>
  <c r="U30" i="1"/>
  <c r="T30" i="1"/>
  <c r="AE30" i="1" s="1"/>
  <c r="AG29" i="1"/>
  <c r="AF29" i="1"/>
  <c r="AE29" i="1"/>
  <c r="AD29" i="1"/>
  <c r="AC29" i="1"/>
  <c r="AB29" i="1"/>
  <c r="V29" i="1"/>
  <c r="U29" i="1"/>
  <c r="T29" i="1"/>
  <c r="AG28" i="1"/>
  <c r="AF28" i="1"/>
  <c r="AD28" i="1"/>
  <c r="AC28" i="1"/>
  <c r="AB28" i="1"/>
  <c r="V28" i="1"/>
  <c r="U28" i="1"/>
  <c r="T28" i="1"/>
  <c r="AE28" i="1" s="1"/>
  <c r="AG27" i="1"/>
  <c r="AF27" i="1"/>
  <c r="AD27" i="1"/>
  <c r="AC27" i="1"/>
  <c r="AB27" i="1"/>
  <c r="V27" i="1"/>
  <c r="U27" i="1"/>
  <c r="T27" i="1"/>
  <c r="AE27" i="1" s="1"/>
  <c r="AG26" i="1"/>
  <c r="AF26" i="1"/>
  <c r="AE26" i="1"/>
  <c r="AD26" i="1"/>
  <c r="AC26" i="1"/>
  <c r="AB26" i="1"/>
  <c r="V26" i="1"/>
  <c r="U26" i="1"/>
  <c r="T26" i="1"/>
  <c r="AG25" i="1"/>
  <c r="AF25" i="1"/>
  <c r="AE25" i="1"/>
  <c r="AD25" i="1"/>
  <c r="AC25" i="1"/>
  <c r="AB25" i="1"/>
  <c r="V25" i="1"/>
  <c r="U25" i="1"/>
  <c r="T25" i="1"/>
  <c r="AG24" i="1"/>
  <c r="AF24" i="1"/>
  <c r="AE24" i="1"/>
  <c r="AD24" i="1"/>
  <c r="AC24" i="1"/>
  <c r="AB24" i="1"/>
  <c r="V24" i="1"/>
  <c r="U24" i="1"/>
  <c r="T24" i="1"/>
  <c r="AG23" i="1"/>
  <c r="AF23" i="1"/>
  <c r="AE23" i="1"/>
  <c r="AC23" i="1"/>
  <c r="AB23" i="1"/>
  <c r="V23" i="1"/>
  <c r="U23" i="1"/>
  <c r="T23" i="1"/>
  <c r="AD23" i="1" s="1"/>
  <c r="AG22" i="1"/>
  <c r="AF22" i="1"/>
  <c r="AE22" i="1"/>
  <c r="AC22" i="1"/>
  <c r="AB22" i="1"/>
  <c r="V22" i="1"/>
  <c r="U22" i="1"/>
  <c r="T22" i="1"/>
  <c r="AD22" i="1" s="1"/>
  <c r="AG21" i="1"/>
  <c r="AF21" i="1"/>
  <c r="AE21" i="1"/>
  <c r="AD21" i="1"/>
  <c r="AC21" i="1"/>
  <c r="AB21" i="1"/>
  <c r="V21" i="1"/>
  <c r="U21" i="1"/>
  <c r="T21" i="1"/>
  <c r="AG20" i="1"/>
  <c r="AF20" i="1"/>
  <c r="AD20" i="1"/>
  <c r="AC20" i="1"/>
  <c r="AB20" i="1"/>
  <c r="V20" i="1"/>
  <c r="U20" i="1"/>
  <c r="T20" i="1"/>
  <c r="AE20" i="1" s="1"/>
  <c r="AG19" i="1"/>
  <c r="AF19" i="1"/>
  <c r="AD19" i="1"/>
  <c r="AC19" i="1"/>
  <c r="AB19" i="1"/>
  <c r="V19" i="1"/>
  <c r="U19" i="1"/>
  <c r="T19" i="1"/>
  <c r="AE19" i="1" s="1"/>
  <c r="AG18" i="1"/>
  <c r="AF18" i="1"/>
  <c r="AE18" i="1"/>
  <c r="AD18" i="1"/>
  <c r="AC18" i="1"/>
  <c r="AB18" i="1"/>
  <c r="V18" i="1"/>
  <c r="U18" i="1"/>
  <c r="T18" i="1"/>
  <c r="AG17" i="1"/>
  <c r="AF17" i="1"/>
  <c r="AD17" i="1"/>
  <c r="AC17" i="1"/>
  <c r="AB17" i="1"/>
  <c r="V17" i="1"/>
  <c r="U17" i="1"/>
  <c r="T17" i="1"/>
  <c r="AE17" i="1" s="1"/>
  <c r="AG16" i="1"/>
  <c r="AF16" i="1"/>
  <c r="AE16" i="1"/>
  <c r="AD16" i="1"/>
  <c r="AC16" i="1"/>
  <c r="AB16" i="1"/>
  <c r="V16" i="1"/>
  <c r="U16" i="1"/>
  <c r="T16" i="1"/>
  <c r="AG15" i="1"/>
  <c r="AF15" i="1"/>
  <c r="AE15" i="1"/>
  <c r="AC15" i="1"/>
  <c r="AB15" i="1"/>
  <c r="V15" i="1"/>
  <c r="U15" i="1"/>
  <c r="T15" i="1"/>
  <c r="AD15" i="1" s="1"/>
  <c r="AG14" i="1"/>
  <c r="AF14" i="1"/>
  <c r="AD14" i="1"/>
  <c r="AC14" i="1"/>
  <c r="AB14" i="1"/>
  <c r="V14" i="1"/>
  <c r="U14" i="1"/>
  <c r="T14" i="1"/>
  <c r="AE14" i="1" s="1"/>
  <c r="AG13" i="1"/>
  <c r="AF13" i="1"/>
  <c r="AE13" i="1"/>
  <c r="AD13" i="1"/>
  <c r="AC13" i="1"/>
  <c r="AB13" i="1"/>
  <c r="V13" i="1"/>
  <c r="U13" i="1"/>
  <c r="T13" i="1"/>
  <c r="AG12" i="1"/>
  <c r="AF12" i="1"/>
  <c r="AD12" i="1"/>
  <c r="AC12" i="1"/>
  <c r="AB12" i="1"/>
  <c r="V12" i="1"/>
  <c r="U12" i="1"/>
  <c r="T12" i="1"/>
  <c r="AE12" i="1" s="1"/>
  <c r="AG11" i="1"/>
  <c r="AF11" i="1"/>
  <c r="AE11" i="1"/>
  <c r="AD11" i="1"/>
  <c r="AC11" i="1"/>
  <c r="AB11" i="1"/>
  <c r="V11" i="1"/>
  <c r="U11" i="1"/>
  <c r="T11" i="1"/>
  <c r="AG10" i="1"/>
  <c r="AF10" i="1"/>
  <c r="AE10" i="1"/>
  <c r="AD10" i="1"/>
  <c r="AC10" i="1"/>
  <c r="AB10" i="1"/>
  <c r="V10" i="1"/>
  <c r="U10" i="1"/>
  <c r="T10" i="1"/>
  <c r="AG9" i="1"/>
  <c r="AF9" i="1"/>
  <c r="AE9" i="1"/>
  <c r="AD9" i="1"/>
  <c r="AC9" i="1"/>
  <c r="AB9" i="1"/>
  <c r="V9" i="1"/>
  <c r="U9" i="1"/>
  <c r="T9" i="1"/>
  <c r="AG8" i="1"/>
  <c r="AF8" i="1"/>
  <c r="AD8" i="1"/>
  <c r="AC8" i="1"/>
  <c r="AB8" i="1"/>
  <c r="V8" i="1"/>
  <c r="U8" i="1"/>
  <c r="T8" i="1"/>
  <c r="AE8" i="1" s="1"/>
  <c r="AG7" i="1"/>
  <c r="AF7" i="1"/>
  <c r="AD7" i="1"/>
  <c r="AC7" i="1"/>
  <c r="AB7" i="1"/>
  <c r="V7" i="1"/>
  <c r="U7" i="1"/>
  <c r="T7" i="1"/>
  <c r="AE7" i="1" s="1"/>
  <c r="AG6" i="1"/>
  <c r="AF6" i="1"/>
  <c r="AE6" i="1"/>
  <c r="AC6" i="1"/>
  <c r="AB6" i="1"/>
  <c r="V6" i="1"/>
  <c r="U6" i="1"/>
  <c r="T6" i="1"/>
  <c r="AD6" i="1" s="1"/>
  <c r="AG5" i="1"/>
  <c r="AF5" i="1"/>
  <c r="AD5" i="1"/>
  <c r="AC5" i="1"/>
  <c r="AB5" i="1"/>
  <c r="V5" i="1"/>
  <c r="U5" i="1"/>
  <c r="T5" i="1"/>
  <c r="AE5" i="1" s="1"/>
  <c r="AG4" i="1"/>
  <c r="AF4" i="1"/>
  <c r="AD4" i="1"/>
  <c r="AC4" i="1"/>
  <c r="AB4" i="1"/>
  <c r="V4" i="1"/>
  <c r="U4" i="1"/>
  <c r="T4" i="1"/>
  <c r="AE4" i="1" s="1"/>
  <c r="AG3" i="1"/>
  <c r="AF3" i="1"/>
  <c r="AE3" i="1"/>
  <c r="AD3" i="1"/>
  <c r="AC3" i="1"/>
  <c r="AB3" i="1"/>
  <c r="V3" i="1"/>
  <c r="U3" i="1"/>
  <c r="T3" i="1"/>
  <c r="AG2" i="1"/>
  <c r="AF2" i="1"/>
  <c r="AE2" i="1"/>
  <c r="AD2" i="1"/>
  <c r="AC2" i="1"/>
  <c r="AB2" i="1"/>
  <c r="V2" i="1"/>
  <c r="U2" i="1"/>
  <c r="T2" i="1"/>
  <c r="C119" i="4" l="1"/>
  <c r="C107" i="4"/>
  <c r="C95" i="4"/>
  <c r="C113" i="4"/>
  <c r="C117" i="4"/>
  <c r="C115" i="4"/>
  <c r="C90" i="4"/>
  <c r="C116" i="4"/>
  <c r="C121" i="4"/>
  <c r="C114" i="4"/>
  <c r="K157" i="7"/>
  <c r="C108" i="4"/>
  <c r="C91" i="4"/>
  <c r="C112" i="4"/>
  <c r="D46" i="4"/>
  <c r="E46" i="4" s="1"/>
  <c r="D6" i="4"/>
  <c r="G6" i="4" s="1"/>
  <c r="C96" i="4"/>
  <c r="C102" i="4"/>
  <c r="C98" i="4"/>
  <c r="C103" i="4"/>
  <c r="C92" i="4"/>
  <c r="C104" i="4"/>
  <c r="C99" i="4"/>
  <c r="C88" i="4"/>
  <c r="C94" i="4"/>
  <c r="C106" i="4"/>
  <c r="C100" i="4"/>
  <c r="AE503" i="1"/>
  <c r="C4" i="2" s="1"/>
  <c r="C20" i="2" s="1"/>
  <c r="C22" i="2" s="1"/>
  <c r="D47" i="4"/>
  <c r="G47" i="4" s="1"/>
  <c r="D101" i="4"/>
  <c r="D121" i="4"/>
  <c r="D107" i="4"/>
  <c r="D99" i="4"/>
  <c r="D91" i="4"/>
  <c r="D112" i="4"/>
  <c r="D102" i="4"/>
  <c r="D94" i="4"/>
  <c r="D117" i="4"/>
  <c r="D115" i="4"/>
  <c r="D108" i="4"/>
  <c r="D100" i="4"/>
  <c r="D92" i="4"/>
  <c r="D113" i="4"/>
  <c r="D103" i="4"/>
  <c r="D95" i="4"/>
  <c r="D106" i="4"/>
  <c r="D98" i="4"/>
  <c r="D90" i="4"/>
  <c r="D4" i="4"/>
  <c r="D22" i="4"/>
  <c r="D34" i="4"/>
  <c r="D14" i="4"/>
  <c r="D12" i="4"/>
  <c r="G12" i="4" s="1"/>
  <c r="D5" i="4"/>
  <c r="D7" i="4"/>
  <c r="D23" i="4"/>
  <c r="D13" i="4"/>
  <c r="D64" i="4"/>
  <c r="AD503" i="1"/>
  <c r="G4" i="2" s="1"/>
  <c r="G20" i="2" s="1"/>
  <c r="G22" i="2" s="1"/>
  <c r="D15" i="4"/>
  <c r="D74" i="4"/>
  <c r="G74" i="4" s="1"/>
  <c r="D66" i="4"/>
  <c r="G66" i="4" s="1"/>
  <c r="D58" i="4"/>
  <c r="G58" i="4" s="1"/>
  <c r="D50" i="4"/>
  <c r="G50" i="4" s="1"/>
  <c r="D77" i="4"/>
  <c r="D69" i="4"/>
  <c r="D61" i="4"/>
  <c r="D53" i="4"/>
  <c r="D75" i="4"/>
  <c r="G75" i="4" s="1"/>
  <c r="D67" i="4"/>
  <c r="G67" i="4" s="1"/>
  <c r="D59" i="4"/>
  <c r="G59" i="4" s="1"/>
  <c r="D51" i="4"/>
  <c r="G51" i="4" s="1"/>
  <c r="D78" i="4"/>
  <c r="D73" i="4"/>
  <c r="D65" i="4"/>
  <c r="D57" i="4"/>
  <c r="D49" i="4"/>
  <c r="D62" i="4"/>
  <c r="D54" i="4"/>
  <c r="D70" i="4"/>
  <c r="D68" i="4"/>
  <c r="D71" i="4"/>
  <c r="G71" i="4" s="1"/>
  <c r="D97" i="4"/>
  <c r="D120" i="4"/>
  <c r="D48" i="4"/>
  <c r="D109" i="4"/>
  <c r="D55" i="4"/>
  <c r="G55" i="4" s="1"/>
  <c r="D72" i="4"/>
  <c r="D79" i="4"/>
  <c r="G79" i="4" s="1"/>
  <c r="D110" i="4"/>
  <c r="D52" i="4"/>
  <c r="D30" i="4"/>
  <c r="G30" i="4" s="1"/>
  <c r="D27" i="4"/>
  <c r="G27" i="4" s="1"/>
  <c r="D19" i="4"/>
  <c r="G19" i="4" s="1"/>
  <c r="D11" i="4"/>
  <c r="G11" i="4" s="1"/>
  <c r="D33" i="4"/>
  <c r="D36" i="4"/>
  <c r="D28" i="4"/>
  <c r="D25" i="4"/>
  <c r="D17" i="4"/>
  <c r="D9" i="4"/>
  <c r="G9" i="4" s="1"/>
  <c r="D31" i="4"/>
  <c r="G31" i="4" s="1"/>
  <c r="D20" i="4"/>
  <c r="G20" i="4" s="1"/>
  <c r="D37" i="4"/>
  <c r="D29" i="4"/>
  <c r="D26" i="4"/>
  <c r="D18" i="4"/>
  <c r="D10" i="4"/>
  <c r="G10" i="4" s="1"/>
  <c r="D32" i="4"/>
  <c r="D21" i="4"/>
  <c r="D35" i="4"/>
  <c r="G35" i="4" s="1"/>
  <c r="D24" i="4"/>
  <c r="D16" i="4"/>
  <c r="D8" i="4"/>
  <c r="E12" i="4"/>
  <c r="D76" i="4"/>
  <c r="D93" i="4"/>
  <c r="D105" i="4"/>
  <c r="E19" i="4"/>
  <c r="D56" i="4"/>
  <c r="C39" i="4"/>
  <c r="E4" i="4"/>
  <c r="D60" i="4"/>
  <c r="D63" i="4"/>
  <c r="G63" i="4" s="1"/>
  <c r="D89" i="4"/>
  <c r="D118" i="4"/>
  <c r="D88" i="4"/>
  <c r="C93" i="4"/>
  <c r="D96" i="4"/>
  <c r="C101" i="4"/>
  <c r="D104" i="4"/>
  <c r="C109" i="4"/>
  <c r="D111" i="4"/>
  <c r="D114" i="4"/>
  <c r="D116" i="4"/>
  <c r="C118" i="4"/>
  <c r="C111" i="4"/>
  <c r="C120" i="4"/>
  <c r="C89" i="4"/>
  <c r="C97" i="4"/>
  <c r="C105" i="4"/>
  <c r="C110" i="4"/>
  <c r="D119" i="4"/>
  <c r="E345" i="5"/>
  <c r="N152" i="7"/>
  <c r="N157" i="7" s="1"/>
  <c r="E66" i="4" l="1"/>
  <c r="E58" i="4"/>
  <c r="E79" i="4"/>
  <c r="G46" i="4"/>
  <c r="E67" i="4"/>
  <c r="C123" i="4"/>
  <c r="E51" i="4"/>
  <c r="E50" i="4"/>
  <c r="E75" i="4"/>
  <c r="E74" i="4"/>
  <c r="E71" i="4"/>
  <c r="E47" i="4"/>
  <c r="E55" i="4"/>
  <c r="E6" i="4"/>
  <c r="G24" i="4"/>
  <c r="E24" i="4"/>
  <c r="G37" i="4"/>
  <c r="E37" i="4"/>
  <c r="E33" i="4"/>
  <c r="G33" i="4"/>
  <c r="G78" i="4"/>
  <c r="E78" i="4"/>
  <c r="E77" i="4"/>
  <c r="G77" i="4"/>
  <c r="E9" i="4"/>
  <c r="E14" i="4"/>
  <c r="G14" i="4"/>
  <c r="G98" i="4"/>
  <c r="E98" i="4"/>
  <c r="G115" i="4"/>
  <c r="E115" i="4"/>
  <c r="G121" i="4"/>
  <c r="E121" i="4"/>
  <c r="G48" i="4"/>
  <c r="E48" i="4"/>
  <c r="G70" i="4"/>
  <c r="E70" i="4"/>
  <c r="G34" i="4"/>
  <c r="E34" i="4"/>
  <c r="G106" i="4"/>
  <c r="E106" i="4"/>
  <c r="G117" i="4"/>
  <c r="E117" i="4"/>
  <c r="E20" i="4"/>
  <c r="G96" i="4"/>
  <c r="E96" i="4"/>
  <c r="G93" i="4"/>
  <c r="E93" i="4"/>
  <c r="E21" i="4"/>
  <c r="G21" i="4"/>
  <c r="G54" i="4"/>
  <c r="E54" i="4"/>
  <c r="E63" i="4"/>
  <c r="E22" i="4"/>
  <c r="G22" i="4"/>
  <c r="G95" i="4"/>
  <c r="E95" i="4"/>
  <c r="E94" i="4"/>
  <c r="G94" i="4"/>
  <c r="G101" i="4"/>
  <c r="E101" i="4"/>
  <c r="E60" i="4"/>
  <c r="G60" i="4"/>
  <c r="G105" i="4"/>
  <c r="E105" i="4"/>
  <c r="E114" i="4"/>
  <c r="G114" i="4"/>
  <c r="E32" i="4"/>
  <c r="G32" i="4"/>
  <c r="G120" i="4"/>
  <c r="E120" i="4"/>
  <c r="G62" i="4"/>
  <c r="E62" i="4"/>
  <c r="E13" i="4"/>
  <c r="G13" i="4"/>
  <c r="D39" i="4"/>
  <c r="E40" i="4" s="1"/>
  <c r="G4" i="4"/>
  <c r="G103" i="4"/>
  <c r="E103" i="4"/>
  <c r="E102" i="4"/>
  <c r="G102" i="4"/>
  <c r="E76" i="4"/>
  <c r="G76" i="4"/>
  <c r="G111" i="4"/>
  <c r="E111" i="4"/>
  <c r="G118" i="4"/>
  <c r="E118" i="4"/>
  <c r="E59" i="4"/>
  <c r="G17" i="4"/>
  <c r="E17" i="4"/>
  <c r="E30" i="4"/>
  <c r="G97" i="4"/>
  <c r="E97" i="4"/>
  <c r="G49" i="4"/>
  <c r="E49" i="4"/>
  <c r="G23" i="4"/>
  <c r="E23" i="4"/>
  <c r="G113" i="4"/>
  <c r="E113" i="4"/>
  <c r="E112" i="4"/>
  <c r="G112" i="4"/>
  <c r="G72" i="4"/>
  <c r="E72" i="4"/>
  <c r="G119" i="4"/>
  <c r="E119" i="4"/>
  <c r="G116" i="4"/>
  <c r="E116" i="4"/>
  <c r="D123" i="4"/>
  <c r="G88" i="4"/>
  <c r="E88" i="4"/>
  <c r="G56" i="4"/>
  <c r="E56" i="4"/>
  <c r="G18" i="4"/>
  <c r="E18" i="4"/>
  <c r="G25" i="4"/>
  <c r="E25" i="4"/>
  <c r="E52" i="4"/>
  <c r="G52" i="4"/>
  <c r="E27" i="4"/>
  <c r="G57" i="4"/>
  <c r="E57" i="4"/>
  <c r="E53" i="4"/>
  <c r="G53" i="4"/>
  <c r="G15" i="4"/>
  <c r="E15" i="4"/>
  <c r="G7" i="4"/>
  <c r="E7" i="4"/>
  <c r="E35" i="4"/>
  <c r="G92" i="4"/>
  <c r="E92" i="4"/>
  <c r="G91" i="4"/>
  <c r="E91" i="4"/>
  <c r="D81" i="4"/>
  <c r="E11" i="4"/>
  <c r="G89" i="4"/>
  <c r="E89" i="4"/>
  <c r="G104" i="4"/>
  <c r="E104" i="4"/>
  <c r="E31" i="4"/>
  <c r="G8" i="4"/>
  <c r="E8" i="4"/>
  <c r="G26" i="4"/>
  <c r="E26" i="4"/>
  <c r="G28" i="4"/>
  <c r="E28" i="4"/>
  <c r="G110" i="4"/>
  <c r="E110" i="4"/>
  <c r="G109" i="4"/>
  <c r="E109" i="4"/>
  <c r="G65" i="4"/>
  <c r="E65" i="4"/>
  <c r="E61" i="4"/>
  <c r="G61" i="4"/>
  <c r="E5" i="4"/>
  <c r="E39" i="4" s="1"/>
  <c r="G5" i="4"/>
  <c r="E10" i="4"/>
  <c r="G100" i="4"/>
  <c r="E100" i="4"/>
  <c r="G99" i="4"/>
  <c r="E99" i="4"/>
  <c r="G16" i="4"/>
  <c r="E16" i="4"/>
  <c r="G29" i="4"/>
  <c r="E29" i="4"/>
  <c r="G36" i="4"/>
  <c r="E36" i="4"/>
  <c r="E68" i="4"/>
  <c r="G68" i="4"/>
  <c r="G73" i="4"/>
  <c r="E73" i="4"/>
  <c r="E69" i="4"/>
  <c r="G69" i="4"/>
  <c r="G64" i="4"/>
  <c r="E64" i="4"/>
  <c r="G90" i="4"/>
  <c r="E90" i="4"/>
  <c r="G108" i="4"/>
  <c r="E108" i="4"/>
  <c r="G107" i="4"/>
  <c r="E107" i="4"/>
  <c r="E81" i="4" l="1"/>
  <c r="E123" i="4"/>
  <c r="D12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ID#AAABzz7aybE
wagner trujillo mendoza    (2025-10-07 22:39:23)
Lo que se recaudo ese dia le restamos el execo y deusda</t>
        </r>
      </text>
    </comment>
    <comment ref="B11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ID#AAAB3kTQq4k
wilder trujillo rosales    (2026-03-20 14:15:22)
Esta entrada de Yape es de un usuario que esta actualizando el servicio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BtN7LyARS9s9GQgk5UaNnNoYdw=="/>
    </ext>
  </extLst>
</comments>
</file>

<file path=xl/sharedStrings.xml><?xml version="1.0" encoding="utf-8"?>
<sst xmlns="http://schemas.openxmlformats.org/spreadsheetml/2006/main" count="5913" uniqueCount="2765">
  <si>
    <t>nª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</si>
  <si>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</si>
  <si>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</si>
  <si>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</si>
  <si>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</si>
  <si>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</si>
  <si>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</si>
  <si>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</si>
  <si>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</si>
  <si>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Marcacion altual</t>
  </si>
  <si>
    <t>M3</t>
  </si>
  <si>
    <t>Total mes actual</t>
  </si>
  <si>
    <t>MES ANTERIOR</t>
  </si>
  <si>
    <t>Corte y reconexion</t>
  </si>
  <si>
    <t>Convenio</t>
  </si>
  <si>
    <t>Mantenimiento</t>
  </si>
  <si>
    <t>Multa (faena + reunión)</t>
  </si>
  <si>
    <t>Devoluciones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</si>
  <si>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</si>
  <si>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</si>
  <si>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</si>
  <si>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</si>
  <si>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</si>
  <si>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</si>
  <si>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</si>
  <si>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</si>
  <si>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</si>
  <si>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</si>
  <si>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</si>
  <si>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</si>
  <si>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</si>
  <si>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</si>
  <si>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</si>
  <si>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</si>
  <si>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</si>
  <si>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c</t>
  </si>
  <si>
    <t>y</t>
  </si>
  <si>
    <t>Debe 0. 75 esta en el efectivo</t>
  </si>
  <si>
    <t>ROSA AURORA ROCA VIDAL</t>
  </si>
  <si>
    <t>LINDA PAJUELO COCHACHIN</t>
  </si>
  <si>
    <t>YOLANDA ESPINOZA JAIMES</t>
  </si>
  <si>
    <t>Debe 15 mes anterior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</si>
  <si>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</si>
  <si>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</si>
  <si>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</si>
  <si>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</si>
  <si>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</si>
  <si>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</si>
  <si>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</si>
  <si>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</si>
  <si>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</si>
  <si>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Debe 48. Corte reconexion 40, mes anterior 8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</si>
  <si>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</si>
  <si>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</si>
  <si>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</si>
  <si>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</si>
  <si>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</si>
  <si>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</si>
  <si>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</si>
  <si>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</si>
  <si>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Debe 30. Faena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</si>
  <si>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</si>
  <si>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</si>
  <si>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</si>
  <si>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</si>
  <si>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</si>
  <si>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</si>
  <si>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</si>
  <si>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Debe 20. Corte y reconexion</t>
  </si>
  <si>
    <t>SALOME AGUSTINA DIAZ VARGAS</t>
  </si>
  <si>
    <t>MELISSA ISABEL PILLACA GARCIA</t>
  </si>
  <si>
    <t>ELEUTERIA DOMITILA PARIAMACHI DE PAZ</t>
  </si>
  <si>
    <t>LUZ DINA MIRAVAL HUERTA</t>
  </si>
  <si>
    <t>Debe 40. Corte y reconexion</t>
  </si>
  <si>
    <t>CLETO TENORIO MORI</t>
  </si>
  <si>
    <t>CAMILA HIDALGO</t>
  </si>
  <si>
    <t>Debe 20. Corte y reconexion.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</si>
  <si>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</si>
  <si>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</si>
  <si>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</si>
  <si>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</si>
  <si>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</si>
  <si>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</si>
  <si>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</si>
  <si>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</si>
  <si>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</si>
  <si>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</si>
  <si>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</si>
  <si>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</si>
  <si>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</si>
  <si>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</si>
  <si>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</si>
  <si>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</si>
  <si>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</si>
  <si>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</si>
  <si>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</si>
  <si>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Debe15. mes anterior</t>
  </si>
  <si>
    <t>JULIO RIOS BLAS</t>
  </si>
  <si>
    <t>MARTHA MASIAS CASIHUAMAN DE TERAN</t>
  </si>
  <si>
    <t>Estamos viendo</t>
  </si>
  <si>
    <t>MARCELINO VALLADARES TRUJILLO</t>
  </si>
  <si>
    <t>ANTONIO VALLADARES DOMINGUEZ</t>
  </si>
  <si>
    <t>Debe 3. Mantenimiento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</si>
  <si>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</si>
  <si>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</si>
  <si>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</si>
  <si>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</si>
  <si>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</si>
  <si>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</si>
  <si>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</si>
  <si>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</si>
  <si>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Debe 8. Mes anterior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</si>
  <si>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</si>
  <si>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</si>
  <si>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</si>
  <si>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</si>
  <si>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</si>
  <si>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</si>
  <si>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</si>
  <si>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</si>
  <si>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</si>
  <si>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</si>
  <si>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</si>
  <si>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</si>
  <si>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</si>
  <si>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</si>
  <si>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</si>
  <si>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</si>
  <si>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</si>
  <si>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</si>
  <si>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</si>
  <si>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</si>
  <si>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</si>
  <si>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</si>
  <si>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Debe 19. Corte y reconexion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</si>
  <si>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</si>
  <si>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</si>
  <si>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</si>
  <si>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</si>
  <si>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</si>
  <si>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</si>
  <si>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</si>
  <si>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</si>
  <si>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</si>
  <si>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</si>
  <si>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</si>
  <si>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</si>
  <si>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</si>
  <si>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</si>
  <si>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</si>
  <si>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</si>
  <si>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</si>
  <si>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</si>
  <si>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</si>
  <si>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</si>
  <si>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</si>
  <si>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</si>
  <si>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</si>
  <si>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</si>
  <si>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</si>
  <si>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</si>
  <si>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</si>
  <si>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</si>
  <si>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</si>
  <si>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</si>
  <si>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</si>
  <si>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</si>
  <si>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</si>
  <si>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</si>
  <si>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</si>
  <si>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</si>
  <si>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</si>
  <si>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</si>
  <si>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</si>
  <si>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</si>
  <si>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</si>
  <si>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</si>
  <si>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</si>
  <si>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</si>
  <si>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</si>
  <si>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</si>
  <si>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</si>
  <si>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</si>
  <si>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</si>
  <si>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</si>
  <si>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</si>
  <si>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</si>
  <si>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</si>
  <si>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</si>
  <si>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</si>
  <si>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</si>
  <si>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</si>
  <si>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</si>
  <si>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</si>
  <si>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</si>
  <si>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</si>
  <si>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</si>
  <si>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</si>
  <si>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</si>
  <si>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</si>
  <si>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</si>
  <si>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</si>
  <si>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</si>
  <si>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</si>
  <si>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</si>
  <si>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</si>
  <si>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</si>
  <si>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</si>
  <si>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</si>
  <si>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</si>
  <si>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</si>
  <si>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</si>
  <si>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</si>
  <si>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</si>
  <si>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</si>
  <si>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</si>
  <si>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</si>
  <si>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</si>
  <si>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</si>
  <si>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</si>
  <si>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</si>
  <si>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</si>
  <si>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</si>
  <si>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</si>
  <si>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</si>
  <si>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</si>
  <si>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</si>
  <si>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</si>
  <si>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</si>
  <si>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</si>
  <si>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</si>
  <si>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</si>
  <si>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</si>
  <si>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</si>
  <si>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</si>
  <si>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</si>
  <si>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</si>
  <si>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Debe 1. Mantenimiento</t>
  </si>
  <si>
    <t>ROSA CARDENAS ALVARADO</t>
  </si>
  <si>
    <t>Investigando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</si>
  <si>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</si>
  <si>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</si>
  <si>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</si>
  <si>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</si>
  <si>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</si>
  <si>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</si>
  <si>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</si>
  <si>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</si>
  <si>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</si>
  <si>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</si>
  <si>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</si>
  <si>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</si>
  <si>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</si>
  <si>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</si>
  <si>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Debe 15. Mes anterior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</si>
  <si>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</si>
  <si>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</si>
  <si>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</si>
  <si>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</si>
  <si>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</si>
  <si>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</si>
  <si>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</si>
  <si>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</si>
  <si>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</si>
  <si>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</si>
  <si>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EXONERADO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</si>
  <si>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</si>
  <si>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</si>
  <si>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</si>
  <si>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</si>
  <si>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</si>
  <si>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</si>
  <si>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</si>
  <si>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</si>
  <si>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</si>
  <si>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</si>
  <si>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</si>
  <si>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</si>
  <si>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</si>
  <si>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</si>
  <si>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</si>
  <si>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Debe 2. Mantenimietno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</si>
  <si>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</si>
  <si>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</si>
  <si>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</si>
  <si>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</si>
  <si>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</si>
  <si>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</si>
  <si>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</si>
  <si>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</si>
  <si>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</si>
  <si>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</si>
  <si>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</si>
  <si>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</si>
  <si>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</si>
  <si>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</si>
  <si>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</si>
  <si>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</si>
  <si>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</si>
  <si>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</si>
  <si>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</si>
  <si>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</si>
  <si>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Posible error de pago hay 2 pagos a m3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</si>
  <si>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</si>
  <si>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</si>
  <si>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</si>
  <si>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</si>
  <si>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</si>
  <si>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</si>
  <si>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</si>
  <si>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</si>
  <si>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</si>
  <si>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</si>
  <si>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</si>
  <si>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</si>
  <si>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</si>
  <si>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</si>
  <si>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</si>
  <si>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</si>
  <si>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</si>
  <si>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</si>
  <si>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</si>
  <si>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</si>
  <si>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</si>
  <si>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</si>
  <si>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</si>
  <si>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</si>
  <si>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</si>
  <si>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</si>
  <si>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</si>
  <si>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</si>
  <si>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</si>
  <si>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</si>
  <si>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</si>
  <si>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</si>
  <si>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</si>
  <si>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</si>
  <si>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</si>
  <si>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</si>
  <si>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</si>
  <si>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</si>
  <si>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</si>
  <si>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Debe 2. Mantenimiento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</si>
  <si>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</si>
  <si>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</si>
  <si>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</si>
  <si>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</si>
  <si>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</si>
  <si>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</si>
  <si>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</si>
  <si>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</si>
  <si>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</si>
  <si>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</si>
  <si>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</si>
  <si>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</si>
  <si>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</si>
  <si>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</si>
  <si>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</si>
  <si>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</si>
  <si>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</si>
  <si>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</si>
  <si>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</si>
  <si>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</si>
  <si>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</si>
  <si>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</si>
  <si>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</si>
  <si>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No se ledebe nada. Debia 21 de aqui le cobro algo. Se le sumo a mes actual</t>
  </si>
  <si>
    <t>JULIA ROSALES CULLA</t>
  </si>
  <si>
    <t>11A</t>
  </si>
  <si>
    <t>Se le debe 8 yapio d emas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</si>
  <si>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</si>
  <si>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</si>
  <si>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</si>
  <si>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</si>
  <si>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</si>
  <si>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</si>
  <si>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</si>
  <si>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</si>
  <si>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</si>
  <si>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</si>
  <si>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</si>
  <si>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</si>
  <si>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</si>
  <si>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</si>
  <si>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</si>
  <si>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</si>
  <si>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</si>
  <si>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Solo a ella se le cobrara 20. Por acuerdo.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</si>
  <si>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</si>
  <si>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</si>
  <si>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</si>
  <si>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</si>
  <si>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</si>
  <si>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</si>
  <si>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</si>
  <si>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</si>
  <si>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</si>
  <si>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</si>
  <si>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</si>
  <si>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</si>
  <si>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</si>
  <si>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</si>
  <si>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</si>
  <si>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</si>
  <si>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</si>
  <si>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</si>
  <si>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</si>
  <si>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</si>
  <si>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</si>
  <si>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</si>
  <si>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</si>
  <si>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</si>
  <si>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</si>
  <si>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</si>
  <si>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</si>
  <si>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</si>
  <si>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</si>
  <si>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</si>
  <si>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</si>
  <si>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</si>
  <si>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</si>
  <si>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</si>
  <si>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</si>
  <si>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</si>
  <si>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</si>
  <si>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</si>
  <si>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</si>
  <si>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</si>
  <si>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</si>
  <si>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</si>
  <si>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</si>
  <si>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</si>
  <si>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</si>
  <si>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</si>
  <si>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</si>
  <si>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</si>
  <si>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</si>
  <si>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</si>
  <si>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</si>
  <si>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</si>
  <si>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</si>
  <si>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</si>
  <si>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</si>
  <si>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</si>
  <si>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</si>
  <si>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</si>
  <si>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</si>
  <si>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</si>
  <si>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</si>
  <si>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</si>
  <si>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</si>
  <si>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</si>
  <si>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</si>
  <si>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</si>
  <si>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</si>
  <si>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</si>
  <si>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</si>
  <si>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</si>
  <si>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</si>
  <si>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</si>
  <si>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</si>
  <si>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</si>
  <si>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</si>
  <si>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</si>
  <si>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</si>
  <si>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</si>
  <si>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</si>
  <si>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</si>
  <si>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</si>
  <si>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</si>
  <si>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</si>
  <si>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</si>
  <si>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</si>
  <si>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</si>
  <si>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</si>
  <si>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</si>
  <si>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</si>
  <si>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</si>
  <si>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</si>
  <si>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</si>
  <si>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</si>
  <si>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</si>
  <si>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</si>
  <si>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</si>
  <si>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Se le debe 8 yapio de mas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</si>
  <si>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</si>
  <si>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</si>
  <si>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</si>
  <si>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</si>
  <si>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</si>
  <si>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</si>
  <si>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</si>
  <si>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</si>
  <si>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</si>
  <si>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</si>
  <si>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</si>
  <si>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Pago de mas posible error de pago.</t>
  </si>
  <si>
    <t>BELISARIO MORALES HERRERA</t>
  </si>
  <si>
    <t>Debe 27. Mes anterior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</si>
  <si>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</si>
  <si>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</si>
  <si>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</si>
  <si>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</si>
  <si>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</si>
  <si>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</si>
  <si>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</si>
  <si>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</si>
  <si>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</si>
  <si>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</si>
  <si>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</si>
  <si>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</si>
  <si>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</si>
  <si>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</si>
  <si>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</si>
  <si>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</si>
  <si>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</si>
  <si>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</si>
  <si>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</si>
  <si>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</si>
  <si>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</si>
  <si>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</si>
  <si>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</si>
  <si>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</si>
  <si>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</si>
  <si>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</si>
  <si>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</si>
  <si>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</si>
  <si>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Esta viendo.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</si>
  <si>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</si>
  <si>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</si>
  <si>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</si>
  <si>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</si>
  <si>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</si>
  <si>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</si>
  <si>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</si>
  <si>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</si>
  <si>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Debo 3. Mantenimiento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</si>
  <si>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</si>
  <si>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</si>
  <si>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</si>
  <si>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</si>
  <si>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</si>
  <si>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</si>
  <si>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</si>
  <si>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</si>
  <si>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</si>
  <si>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</si>
  <si>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</si>
  <si>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</si>
  <si>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</si>
  <si>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</si>
  <si>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</si>
  <si>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</si>
  <si>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</si>
  <si>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</si>
  <si>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</si>
  <si>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Error de pago. Va a hacer devolucion.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</si>
  <si>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</si>
  <si>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</si>
  <si>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</si>
  <si>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</si>
  <si>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</si>
  <si>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</si>
  <si>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</si>
  <si>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</si>
  <si>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</si>
  <si>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</si>
  <si>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</si>
  <si>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</si>
  <si>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</si>
  <si>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</si>
  <si>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</si>
  <si>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</si>
  <si>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</si>
  <si>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</si>
  <si>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</si>
  <si>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</si>
  <si>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</si>
  <si>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</si>
  <si>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</si>
  <si>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</si>
  <si>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</si>
  <si>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</si>
  <si>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</si>
  <si>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</si>
  <si>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</si>
  <si>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</si>
  <si>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</si>
  <si>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</si>
  <si>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</si>
  <si>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</si>
  <si>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</si>
  <si>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</si>
  <si>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</si>
  <si>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</si>
  <si>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</si>
  <si>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</si>
  <si>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</si>
  <si>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</si>
  <si>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Debo 20. Corte y reconexion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</si>
  <si>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</si>
  <si>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</si>
  <si>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</si>
  <si>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</si>
  <si>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</si>
  <si>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</si>
  <si>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</si>
  <si>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</si>
  <si>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36</t>
  </si>
  <si>
    <t>484</t>
  </si>
  <si>
    <t>491</t>
  </si>
  <si>
    <t>7</t>
  </si>
  <si>
    <t>MONEDEROS</t>
  </si>
  <si>
    <t>EFECTIVO</t>
  </si>
  <si>
    <t>AGUA</t>
  </si>
  <si>
    <t>FECHA</t>
  </si>
  <si>
    <t>CONCEPTO</t>
  </si>
  <si>
    <t>MONTO</t>
  </si>
  <si>
    <t>JANET</t>
  </si>
  <si>
    <t>RECAUDADO PLANILLA</t>
  </si>
  <si>
    <t>Yape blanco</t>
  </si>
  <si>
    <t>Dinero que es del efectivo de planilla</t>
  </si>
  <si>
    <t>Dinero que esta en el Yape Planilla</t>
  </si>
  <si>
    <t>Entrada de Yape</t>
  </si>
  <si>
    <t>Salida Yape</t>
  </si>
  <si>
    <t>SALDO</t>
  </si>
  <si>
    <t>Yanet tiene yape Este mes</t>
  </si>
  <si>
    <t>Yanet tiene efectivo</t>
  </si>
  <si>
    <t>Sobra o falta</t>
  </si>
  <si>
    <t>NOTA</t>
  </si>
  <si>
    <t>G21 sobra dinero. Se espera su dueño</t>
  </si>
  <si>
    <t>Nª</t>
  </si>
  <si>
    <t>NOMBRE</t>
  </si>
  <si>
    <t>Yape por Manzana</t>
  </si>
  <si>
    <t>Mnz</t>
  </si>
  <si>
    <t>Reporte Yape-M</t>
  </si>
  <si>
    <t>Planilla-A</t>
  </si>
  <si>
    <t>Saldos</t>
  </si>
  <si>
    <t>La diferencia entre:</t>
  </si>
  <si>
    <t>Conclusion</t>
  </si>
  <si>
    <t>Es producto al dinero que sobro el mes anterior</t>
  </si>
  <si>
    <t>Y qu este mes se le devolvio al usuario</t>
  </si>
  <si>
    <t>Efectivo por Manzana</t>
  </si>
  <si>
    <t>Efectivo-M</t>
  </si>
  <si>
    <t>A1. Esta en el yape. Dice que ya pago 25 anteriormente y no debe convenio.</t>
  </si>
  <si>
    <t>Z16. Esta en el yape</t>
  </si>
  <si>
    <t>Medidor por Manzana</t>
  </si>
  <si>
    <t>Cobro medidor</t>
  </si>
  <si>
    <t>Planilla</t>
  </si>
  <si>
    <t>F1-11(50). Convenio</t>
  </si>
  <si>
    <r>
      <rPr>
        <b/>
        <sz val="12"/>
        <color rgb="FFFFFFFF"/>
        <rFont val="SansSerif"/>
      </rPr>
      <t>Tipo de Transacción</t>
    </r>
  </si>
  <si>
    <r>
      <rPr>
        <b/>
        <sz val="12"/>
        <color rgb="FFFFFFFF"/>
        <rFont val="SansSerif"/>
      </rPr>
      <t>Origen</t>
    </r>
  </si>
  <si>
    <r>
      <rPr>
        <b/>
        <sz val="12"/>
        <color rgb="FFFFFFFF"/>
        <rFont val="SansSerif"/>
      </rPr>
      <t>Destino</t>
    </r>
  </si>
  <si>
    <r>
      <rPr>
        <b/>
        <sz val="12"/>
        <color rgb="FFFFFFFF"/>
        <rFont val="SansSerif"/>
      </rPr>
      <t>Monto</t>
    </r>
  </si>
  <si>
    <t>Valor</t>
  </si>
  <si>
    <t>mz</t>
  </si>
  <si>
    <t>lt</t>
  </si>
  <si>
    <t>Llave</t>
  </si>
  <si>
    <r>
      <rPr>
        <b/>
        <sz val="12"/>
        <color rgb="FFFFFFFF"/>
        <rFont val="SansSerif"/>
      </rPr>
      <t>Mensaje</t>
    </r>
  </si>
  <si>
    <r>
      <rPr>
        <b/>
        <sz val="12"/>
        <color rgb="FFFFFFFF"/>
        <rFont val="SansSerif"/>
      </rPr>
      <t>Fecha de operación</t>
    </r>
  </si>
  <si>
    <t>Año</t>
  </si>
  <si>
    <t>Mes</t>
  </si>
  <si>
    <t>Dia</t>
  </si>
  <si>
    <t>Hora</t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</si>
  <si>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</si>
  <si>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</si>
  <si>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</si>
  <si>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171.00</t>
    </r>
  </si>
  <si>
    <r>
      <rPr>
        <sz val="12"/>
        <color theme="1"/>
        <rFont val="SansSerif"/>
      </rPr>
      <t>compra de cloro</t>
    </r>
  </si>
  <si>
    <r>
      <rPr>
        <sz val="12"/>
        <color theme="1"/>
        <rFont val="SansSerif"/>
      </rPr>
      <t>09/05/2026 12:35:32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</si>
  <si>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</si>
  <si>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</si>
  <si>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Wilder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</si>
  <si>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</si>
  <si>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apoyo de la jass</t>
    </r>
  </si>
  <si>
    <r>
      <rPr>
        <sz val="12"/>
        <color theme="1"/>
        <rFont val="SansSerif"/>
      </rPr>
      <t>09/05/2026 11:39:20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</si>
  <si>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</si>
  <si>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</si>
  <si>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</si>
  <si>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</si>
  <si>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t>blanco</t>
  </si>
  <si>
    <r>
      <rPr>
        <sz val="12"/>
        <color theme="1"/>
        <rFont val="SansSerif"/>
      </rPr>
      <t>08/05/2026 10:35:55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</si>
  <si>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</si>
  <si>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</si>
  <si>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</si>
  <si>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</si>
  <si>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08/05/2026 10:35:18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</si>
  <si>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</si>
  <si>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Violeta Cau*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</si>
  <si>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</si>
  <si>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</si>
  <si>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D lote 9</t>
    </r>
  </si>
  <si>
    <r>
      <rPr>
        <sz val="12"/>
        <color theme="1"/>
        <rFont val="SansSerif"/>
      </rPr>
      <t>08/05/2026 10:06:11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</si>
  <si>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</si>
  <si>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Adolfo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</si>
  <si>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</si>
  <si>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</si>
  <si>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 xml:space="preserve">Adolfo Rosario Rojas, MZ.1, Lt. 16 de los dos meses </t>
    </r>
  </si>
  <si>
    <r>
      <rPr>
        <sz val="12"/>
        <color theme="1"/>
        <rFont val="SansSerif"/>
      </rPr>
      <t>08/05/2026 08:20:08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</si>
  <si>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</si>
  <si>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Camile Hid*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</si>
  <si>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</si>
  <si>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</si>
  <si>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07/05/2026 18:05:28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</si>
  <si>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</si>
  <si>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Vilma Norma Celestino Villafana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</si>
  <si>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</si>
  <si>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</si>
  <si>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07/05/2026 13:17:23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</si>
  <si>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</si>
  <si>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</si>
  <si>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</si>
  <si>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63.00</t>
    </r>
  </si>
  <si>
    <r>
      <rPr>
        <sz val="12"/>
        <color theme="1"/>
        <rFont val="SansSerif"/>
      </rPr>
      <t>06/05/2026 21:37:25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</si>
  <si>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</si>
  <si>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Victor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</si>
  <si>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</si>
  <si>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65.00</t>
    </r>
  </si>
  <si>
    <r>
      <rPr>
        <sz val="12"/>
        <color theme="1"/>
        <rFont val="SansSerif"/>
      </rPr>
      <t>06/05/2026 21:20:42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</si>
  <si>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</si>
  <si>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Jessica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</si>
  <si>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</si>
  <si>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</si>
  <si>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MZ.Q LT 12</t>
    </r>
  </si>
  <si>
    <r>
      <rPr>
        <sz val="12"/>
        <color theme="1"/>
        <rFont val="SansSerif"/>
      </rPr>
      <t>06/05/2026 15:55:48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</si>
  <si>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</si>
  <si>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Rosmery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</si>
  <si>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</si>
  <si>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</si>
  <si>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mz.b lt.12 rosmery sanchez</t>
    </r>
  </si>
  <si>
    <r>
      <rPr>
        <sz val="12"/>
        <color theme="1"/>
        <rFont val="SansSerif"/>
      </rPr>
      <t>06/05/2026 14:50:50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</si>
  <si>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</si>
  <si>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Leslye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</si>
  <si>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</si>
  <si>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</si>
  <si>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</si>
  <si>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06/05/2026 11:34:56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</si>
  <si>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</si>
  <si>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</si>
  <si>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Juana Coc*</t>
    </r>
  </si>
  <si>
    <r>
      <rPr>
        <sz val="12"/>
        <color theme="1"/>
        <rFont val="SansSerif"/>
      </rPr>
      <t>95.00</t>
    </r>
  </si>
  <si>
    <r>
      <rPr>
        <sz val="12"/>
        <color theme="1"/>
        <rFont val="SansSerif"/>
      </rPr>
      <t>compartir en la posta (supervisión)</t>
    </r>
  </si>
  <si>
    <r>
      <rPr>
        <sz val="12"/>
        <color theme="1"/>
        <rFont val="SansSerif"/>
      </rPr>
      <t>06/05/2026 07:24:35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</si>
  <si>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</si>
  <si>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</si>
  <si>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</si>
  <si>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</si>
  <si>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MARIA ROSITA HUACANCA HUAROMA ( Mz L Lt 13 )</t>
    </r>
  </si>
  <si>
    <r>
      <rPr>
        <sz val="12"/>
        <color theme="1"/>
        <rFont val="SansSerif"/>
      </rPr>
      <t>05/05/2026 17:59:10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</si>
  <si>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</si>
  <si>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Leslye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</si>
  <si>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</si>
  <si>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</si>
  <si>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</si>
  <si>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05/05/2026 17:37:37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</si>
  <si>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</si>
  <si>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</si>
  <si>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</si>
  <si>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</si>
  <si>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Miguel Ángel romero valladares MZ T lote 19</t>
    </r>
  </si>
  <si>
    <r>
      <rPr>
        <sz val="12"/>
        <color theme="1"/>
        <rFont val="SansSerif"/>
      </rPr>
      <t>05/05/2026 16:42:49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</si>
  <si>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</si>
  <si>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Elizabeth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</si>
  <si>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</si>
  <si>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</si>
  <si>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yolanda Espinoza JAIMES</t>
    </r>
  </si>
  <si>
    <r>
      <rPr>
        <sz val="12"/>
        <color theme="1"/>
        <rFont val="SansSerif"/>
      </rPr>
      <t>05/05/2026 16:35:28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</si>
  <si>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</si>
  <si>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</si>
  <si>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</si>
  <si>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</si>
  <si>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t xml:space="preserve">pago de agua, usuario Alejandro Melgarejo. Mz A Lt </t>
  </si>
  <si>
    <r>
      <rPr>
        <sz val="12"/>
        <color theme="1"/>
        <rFont val="SansSerif"/>
      </rPr>
      <t>05/05/2026 15:40:40</t>
    </r>
  </si>
  <si>
    <t>TE PAGÓ</t>
  </si>
  <si>
    <t>Erika Amb*</t>
  </si>
  <si>
    <t>Janet Vil*</t>
  </si>
  <si>
    <t>10.00</t>
  </si>
  <si>
    <r>
      <rPr>
        <sz val="12"/>
        <color theme="1"/>
        <rFont val="SansSerif"/>
      </rPr>
      <t>Mz.A1 lt .8</t>
    </r>
  </si>
  <si>
    <r>
      <rPr>
        <sz val="12"/>
        <color theme="1"/>
        <rFont val="SansSerif"/>
      </rPr>
      <t>05/05/2026 07:51:48</t>
    </r>
  </si>
  <si>
    <t>Milagros Sig*</t>
  </si>
  <si>
    <t>16.00</t>
  </si>
  <si>
    <r>
      <rPr>
        <sz val="12"/>
        <color theme="1"/>
        <rFont val="SansSerif"/>
      </rPr>
      <t>04/05/2026 16:32:03</t>
    </r>
  </si>
  <si>
    <t>Luis Rio*</t>
  </si>
  <si>
    <t>42.00</t>
  </si>
  <si>
    <r>
      <rPr>
        <sz val="12"/>
        <color theme="1"/>
        <rFont val="SansSerif"/>
      </rPr>
      <t>mz C lote 14</t>
    </r>
  </si>
  <si>
    <r>
      <rPr>
        <sz val="12"/>
        <color theme="1"/>
        <rFont val="SansSerif"/>
      </rPr>
      <t>04/05/2026 09:59:15</t>
    </r>
  </si>
  <si>
    <t>Junior Tru*</t>
  </si>
  <si>
    <t>20.00</t>
  </si>
  <si>
    <r>
      <rPr>
        <sz val="12"/>
        <color theme="1"/>
        <rFont val="SansSerif"/>
      </rPr>
      <t>Mz. V lt. 9 Norma vega</t>
    </r>
  </si>
  <si>
    <r>
      <rPr>
        <sz val="12"/>
        <color theme="1"/>
        <rFont val="SansSerif"/>
      </rPr>
      <t>04/05/2026 09:46:00</t>
    </r>
  </si>
  <si>
    <t>Jessica Mor*</t>
  </si>
  <si>
    <t>43.00</t>
  </si>
  <si>
    <r>
      <rPr>
        <sz val="12"/>
        <color theme="1"/>
        <rFont val="SansSerif"/>
      </rPr>
      <t>04/05/2026 08:33:12</t>
    </r>
  </si>
  <si>
    <t>BCP - MONTALVO JULCA FABIAN FELIPE</t>
  </si>
  <si>
    <t>110.00</t>
  </si>
  <si>
    <r>
      <rPr>
        <sz val="12"/>
        <color theme="1"/>
        <rFont val="SansSerif"/>
      </rPr>
      <t>Calle Bolognesi Mz. K LT.15</t>
    </r>
  </si>
  <si>
    <r>
      <rPr>
        <sz val="12"/>
        <color theme="1"/>
        <rFont val="SansSerif"/>
      </rPr>
      <t>04/05/2026 06:56:43</t>
    </r>
  </si>
  <si>
    <t>Eloy Sig*</t>
  </si>
  <si>
    <t>50.00</t>
  </si>
  <si>
    <r>
      <rPr>
        <sz val="12"/>
        <color theme="1"/>
        <rFont val="SansSerif"/>
      </rPr>
      <t>eloy sigueñas ugarte mz: L lote:10</t>
    </r>
  </si>
  <si>
    <r>
      <rPr>
        <sz val="12"/>
        <color theme="1"/>
        <rFont val="SansSerif"/>
      </rPr>
      <t>03/05/2026 21:24:26</t>
    </r>
  </si>
  <si>
    <t>Alberto Rod*</t>
  </si>
  <si>
    <t>41.00</t>
  </si>
  <si>
    <r>
      <rPr>
        <sz val="12"/>
        <color theme="1"/>
        <rFont val="SansSerif"/>
      </rPr>
      <t>Mz H lote9 Clemente Rodriguez Rojas</t>
    </r>
  </si>
  <si>
    <r>
      <rPr>
        <sz val="12"/>
        <color theme="1"/>
        <rFont val="SansSerif"/>
      </rPr>
      <t>03/05/2026 20:44:22</t>
    </r>
  </si>
  <si>
    <t>Melissa Pil*</t>
  </si>
  <si>
    <t>19.00</t>
  </si>
  <si>
    <r>
      <rPr>
        <sz val="12"/>
        <color theme="1"/>
        <rFont val="SansSerif"/>
      </rPr>
      <t>MZB LT15 Melissa Pillaca</t>
    </r>
  </si>
  <si>
    <r>
      <rPr>
        <sz val="12"/>
        <color theme="1"/>
        <rFont val="SansSerif"/>
      </rPr>
      <t>03/05/2026 20:03:26</t>
    </r>
  </si>
  <si>
    <t>Ditmar Dia*</t>
  </si>
  <si>
    <t>25.00</t>
  </si>
  <si>
    <r>
      <rPr>
        <sz val="12"/>
        <color theme="1"/>
        <rFont val="SansSerif"/>
      </rPr>
      <t>MZ. S lote 02 Miriam Diaz</t>
    </r>
  </si>
  <si>
    <r>
      <rPr>
        <sz val="12"/>
        <color theme="1"/>
        <rFont val="SansSerif"/>
      </rPr>
      <t>03/05/2026 19:40:34</t>
    </r>
  </si>
  <si>
    <t>Ani Cru*</t>
  </si>
  <si>
    <t>8.00</t>
  </si>
  <si>
    <r>
      <rPr>
        <sz val="12"/>
        <color theme="1"/>
        <rFont val="SansSerif"/>
      </rPr>
      <t>mz F1_lote 2</t>
    </r>
  </si>
  <si>
    <r>
      <rPr>
        <sz val="12"/>
        <color theme="1"/>
        <rFont val="SansSerif"/>
      </rPr>
      <t>03/05/2026 18:56:56</t>
    </r>
  </si>
  <si>
    <t>Pool Cal*</t>
  </si>
  <si>
    <r>
      <rPr>
        <sz val="12"/>
        <color theme="1"/>
        <rFont val="SansSerif"/>
      </rPr>
      <t>Elami Azucena Ulloa olivo MZ: D1 LT:2</t>
    </r>
  </si>
  <si>
    <r>
      <rPr>
        <sz val="12"/>
        <color theme="1"/>
        <rFont val="SansSerif"/>
      </rPr>
      <t>03/05/2026 18:44:29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</si>
  <si>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</si>
  <si>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Magda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</si>
  <si>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</si>
  <si>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</si>
  <si>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M lote 14</t>
    </r>
  </si>
  <si>
    <r>
      <rPr>
        <sz val="12"/>
        <color theme="1"/>
        <rFont val="SansSerif"/>
      </rPr>
      <t>03/05/2026 16:15:51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</si>
  <si>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</si>
  <si>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</si>
  <si>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</si>
  <si>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</si>
  <si>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 8 Solorzano Melgarejo Walter</t>
    </r>
  </si>
  <si>
    <r>
      <rPr>
        <sz val="12"/>
        <color theme="1"/>
        <rFont val="SansSerif"/>
      </rPr>
      <t>03/05/2026 16:09:12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</si>
  <si>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</si>
  <si>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Walter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</si>
  <si>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</si>
  <si>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</si>
  <si>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i 13 solorzano estrada julio</t>
    </r>
  </si>
  <si>
    <r>
      <rPr>
        <sz val="12"/>
        <color theme="1"/>
        <rFont val="SansSerif"/>
      </rPr>
      <t>03/05/2026 16:07:30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</si>
  <si>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</si>
  <si>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</si>
  <si>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</si>
  <si>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</si>
  <si>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V lt 2</t>
    </r>
  </si>
  <si>
    <r>
      <rPr>
        <sz val="12"/>
        <color theme="1"/>
        <rFont val="SansSerif"/>
      </rPr>
      <t>03/05/2026 15:26:55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</si>
  <si>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</si>
  <si>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</si>
  <si>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</si>
  <si>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</si>
  <si>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C1 lt 15</t>
    </r>
  </si>
  <si>
    <r>
      <rPr>
        <sz val="12"/>
        <color theme="1"/>
        <rFont val="SansSerif"/>
      </rPr>
      <t>03/05/2026 15:26:18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</si>
  <si>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</si>
  <si>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</si>
  <si>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</si>
  <si>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</si>
  <si>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lt 1</t>
    </r>
  </si>
  <si>
    <r>
      <rPr>
        <sz val="12"/>
        <color theme="1"/>
        <rFont val="SansSerif"/>
      </rPr>
      <t>03/05/2026 15:25:05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</si>
  <si>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</si>
  <si>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</si>
  <si>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</si>
  <si>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79.00</t>
    </r>
  </si>
  <si>
    <r>
      <rPr>
        <sz val="12"/>
        <color theme="1"/>
        <rFont val="SansSerif"/>
      </rPr>
      <t>mz C Lt 16</t>
    </r>
  </si>
  <si>
    <r>
      <rPr>
        <sz val="12"/>
        <color theme="1"/>
        <rFont val="SansSerif"/>
      </rPr>
      <t>03/05/2026 15:24:12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</si>
  <si>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</si>
  <si>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</si>
  <si>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</si>
  <si>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</si>
  <si>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R lt 5</t>
    </r>
  </si>
  <si>
    <r>
      <rPr>
        <sz val="12"/>
        <color theme="1"/>
        <rFont val="SansSerif"/>
      </rPr>
      <t>03/05/2026 15:22:21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</si>
  <si>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</si>
  <si>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Saul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</si>
  <si>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</si>
  <si>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</si>
  <si>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 xml:space="preserve">Mz Y Lt 5 (recibo de agua: marzo - abril)Judith </t>
    </r>
  </si>
  <si>
    <r>
      <rPr>
        <sz val="12"/>
        <color theme="1"/>
        <rFont val="SansSerif"/>
      </rPr>
      <t>03/05/2026 15:07:52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</si>
  <si>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</si>
  <si>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Mercedes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</si>
  <si>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</si>
  <si>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</si>
  <si>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t la 1 Mercedes de la cruz</t>
    </r>
  </si>
  <si>
    <r>
      <rPr>
        <sz val="12"/>
        <color theme="1"/>
        <rFont val="SansSerif"/>
      </rPr>
      <t>03/05/2026 12:30:29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</si>
  <si>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</si>
  <si>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</si>
  <si>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</si>
  <si>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</si>
  <si>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T Lt 18</t>
    </r>
  </si>
  <si>
    <r>
      <rPr>
        <sz val="12"/>
        <color theme="1"/>
        <rFont val="SansSerif"/>
      </rPr>
      <t>03/05/2026 09:30:52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</si>
  <si>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</si>
  <si>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Giulianna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</si>
  <si>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</si>
  <si>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59.00</t>
    </r>
  </si>
  <si>
    <r>
      <rPr>
        <sz val="12"/>
        <color theme="1"/>
        <rFont val="SansSerif"/>
      </rPr>
      <t>de consumo y medidor mz.G lote 17 Carlos sigueñas</t>
    </r>
  </si>
  <si>
    <r>
      <rPr>
        <sz val="12"/>
        <color theme="1"/>
        <rFont val="SansSerif"/>
      </rPr>
      <t>03/05/2026 06:31:26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</si>
  <si>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</si>
  <si>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GRICEL DE LA CRUZ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</si>
  <si>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</si>
  <si>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</si>
  <si>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03/05/2026 05:45:29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</si>
  <si>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</si>
  <si>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Giovanna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</si>
  <si>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</si>
  <si>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</si>
  <si>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03/05/2026 00:07:56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</si>
  <si>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</si>
  <si>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</si>
  <si>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</si>
  <si>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</si>
  <si>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02/05/2026 23:08:41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</si>
  <si>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</si>
  <si>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Deysi Stefany Venturo Rosales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</si>
  <si>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</si>
  <si>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</si>
  <si>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02/05/2026 23:02:47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</si>
  <si>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</si>
  <si>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</si>
  <si>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</si>
  <si>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</si>
  <si>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x lote 32</t>
    </r>
  </si>
  <si>
    <r>
      <rPr>
        <sz val="12"/>
        <color theme="1"/>
        <rFont val="SansSerif"/>
      </rPr>
      <t>02/05/2026 22:59:05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</si>
  <si>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</si>
  <si>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</si>
  <si>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</si>
  <si>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</si>
  <si>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H1 lote 11</t>
    </r>
  </si>
  <si>
    <r>
      <rPr>
        <sz val="12"/>
        <color theme="1"/>
        <rFont val="SansSerif"/>
      </rPr>
      <t>02/05/2026 22:07:36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</si>
  <si>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</si>
  <si>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Wendy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</si>
  <si>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</si>
  <si>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</si>
  <si>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>Av. los Angeles Mz. G lote 2</t>
    </r>
  </si>
  <si>
    <r>
      <rPr>
        <sz val="12"/>
        <color theme="1"/>
        <rFont val="SansSerif"/>
      </rPr>
      <t>02/05/2026 22:04:28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</si>
  <si>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</si>
  <si>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Josie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</si>
  <si>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</si>
  <si>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59.00</t>
    </r>
  </si>
  <si>
    <r>
      <rPr>
        <sz val="12"/>
        <color theme="1"/>
        <rFont val="SansSerif"/>
      </rPr>
      <t>mz p lt 8</t>
    </r>
  </si>
  <si>
    <r>
      <rPr>
        <sz val="12"/>
        <color theme="1"/>
        <rFont val="SansSerif"/>
      </rPr>
      <t>02/05/2026 21:43:58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</si>
  <si>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</si>
  <si>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Gilberto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</si>
  <si>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</si>
  <si>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</si>
  <si>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G1 lt 1 Gilberto Luis meza</t>
    </r>
  </si>
  <si>
    <r>
      <rPr>
        <sz val="12"/>
        <color theme="1"/>
        <rFont val="SansSerif"/>
      </rPr>
      <t>02/05/2026 20:59:54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</si>
  <si>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</si>
  <si>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Erika Aya*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</si>
  <si>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</si>
  <si>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</si>
  <si>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Teófilo Ayala Mz"F" Lt05</t>
    </r>
  </si>
  <si>
    <r>
      <rPr>
        <sz val="12"/>
        <color theme="1"/>
        <rFont val="SansSerif"/>
      </rPr>
      <t>02/05/2026 20:45:32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</si>
  <si>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</si>
  <si>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</si>
  <si>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</si>
  <si>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</si>
  <si>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Manzana X Lote 11</t>
    </r>
  </si>
  <si>
    <r>
      <rPr>
        <sz val="12"/>
        <color theme="1"/>
        <rFont val="SansSerif"/>
      </rPr>
      <t>02/05/2026 20:35:19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</si>
  <si>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</si>
  <si>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Pas*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</si>
  <si>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</si>
  <si>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</si>
  <si>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02/05/2026 20:28:28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</si>
  <si>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</si>
  <si>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</si>
  <si>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</si>
  <si>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</si>
  <si>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Diego mayo samaritano mz Z lt 7</t>
    </r>
  </si>
  <si>
    <r>
      <rPr>
        <sz val="12"/>
        <color theme="1"/>
        <rFont val="SansSerif"/>
      </rPr>
      <t>02/05/2026 20:20:24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</si>
  <si>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</si>
  <si>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Marleny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</si>
  <si>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</si>
  <si>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</si>
  <si>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marleny samaritano h.mz h1lt 16</t>
    </r>
  </si>
  <si>
    <r>
      <rPr>
        <sz val="12"/>
        <color theme="1"/>
        <rFont val="SansSerif"/>
      </rPr>
      <t>02/05/2026 20:18:59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</si>
  <si>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</si>
  <si>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</si>
  <si>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</si>
  <si>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</si>
  <si>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Diana Jara Trujillo. Mz.C Lt.6</t>
    </r>
  </si>
  <si>
    <r>
      <rPr>
        <sz val="12"/>
        <color theme="1"/>
        <rFont val="SansSerif"/>
      </rPr>
      <t>02/05/2026 20:15:55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</si>
  <si>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</si>
  <si>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Cecilia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</si>
  <si>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</si>
  <si>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</si>
  <si>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ortencia Flavia cabracancha Carrera mz:w.  lt:17</t>
    </r>
  </si>
  <si>
    <r>
      <rPr>
        <sz val="12"/>
        <color theme="1"/>
        <rFont val="SansSerif"/>
      </rPr>
      <t>02/05/2026 20:07:18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</si>
  <si>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</si>
  <si>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</si>
  <si>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</si>
  <si>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</si>
  <si>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MzG Lt 15  Bernardo  Aguilar  Huaman</t>
    </r>
  </si>
  <si>
    <r>
      <rPr>
        <sz val="12"/>
        <color theme="1"/>
        <rFont val="SansSerif"/>
      </rPr>
      <t>02/05/2026 19:55:36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</si>
  <si>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</si>
  <si>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ELIAS AGAPITO SALES BLAS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</si>
  <si>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</si>
  <si>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</si>
  <si>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02/05/2026 19:54:37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</si>
  <si>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</si>
  <si>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Bau*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</si>
  <si>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</si>
  <si>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</si>
  <si>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02/05/2026 19:54:19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</si>
  <si>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</si>
  <si>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Nidia Est*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</si>
  <si>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</si>
  <si>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</si>
  <si>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V - LT 11 / MARISOL BLAS BARRERA</t>
    </r>
  </si>
  <si>
    <r>
      <rPr>
        <sz val="12"/>
        <color theme="1"/>
        <rFont val="SansSerif"/>
      </rPr>
      <t>02/05/2026 19:49:19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</si>
  <si>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</si>
  <si>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Fiorela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</si>
  <si>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</si>
  <si>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</si>
  <si>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 xml:space="preserve">PAGO DE AGUA.    Usuario: MARGARITA SAAVEDRA </t>
    </r>
  </si>
  <si>
    <r>
      <rPr>
        <sz val="12"/>
        <color theme="1"/>
        <rFont val="SansSerif"/>
      </rPr>
      <t>02/05/2026 19:45:25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</si>
  <si>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</si>
  <si>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Carlos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</si>
  <si>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</si>
  <si>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</si>
  <si>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Mz L Lte 4 Delia Huamansupa Perez</t>
    </r>
  </si>
  <si>
    <r>
      <rPr>
        <sz val="12"/>
        <color theme="1"/>
        <rFont val="SansSerif"/>
      </rPr>
      <t>02/05/2026 19:45:06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</si>
  <si>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</si>
  <si>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Yony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</si>
  <si>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</si>
  <si>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</si>
  <si>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Mzna V Lote 01</t>
    </r>
  </si>
  <si>
    <r>
      <rPr>
        <sz val="12"/>
        <color theme="1"/>
        <rFont val="SansSerif"/>
      </rPr>
      <t>02/05/2026 19:44:28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</si>
  <si>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</si>
  <si>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Anguie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</si>
  <si>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</si>
  <si>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</si>
  <si>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Mz. M Lt. 19</t>
    </r>
  </si>
  <si>
    <r>
      <rPr>
        <sz val="12"/>
        <color theme="1"/>
        <rFont val="SansSerif"/>
      </rPr>
      <t>02/05/2026 19:43:23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</si>
  <si>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</si>
  <si>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</si>
  <si>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</si>
  <si>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</si>
  <si>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MZ. T lote 4. José palmadera</t>
    </r>
  </si>
  <si>
    <r>
      <rPr>
        <sz val="12"/>
        <color theme="1"/>
        <rFont val="SansSerif"/>
      </rPr>
      <t>02/05/2026 19:39:42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</si>
  <si>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</si>
  <si>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Mariza Vid*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</si>
  <si>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</si>
  <si>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</si>
  <si>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Av Jorge Chaves mz-p lote 3</t>
    </r>
  </si>
  <si>
    <r>
      <rPr>
        <sz val="12"/>
        <color theme="1"/>
        <rFont val="SansSerif"/>
      </rPr>
      <t>02/05/2026 19:38:45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</si>
  <si>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</si>
  <si>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</si>
  <si>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</si>
  <si>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</si>
  <si>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FELIX VELASQUEZ LOPEZ MZ E LOTE 4</t>
    </r>
  </si>
  <si>
    <r>
      <rPr>
        <sz val="12"/>
        <color theme="1"/>
        <rFont val="SansSerif"/>
      </rPr>
      <t>02/05/2026 19:33:40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</si>
  <si>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</si>
  <si>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</si>
  <si>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</si>
  <si>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</si>
  <si>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Juan Pinedo Bedon    Mz .O Lt .15</t>
    </r>
  </si>
  <si>
    <r>
      <rPr>
        <sz val="12"/>
        <color theme="1"/>
        <rFont val="SansSerif"/>
      </rPr>
      <t>02/05/2026 19:28:34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</si>
  <si>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</si>
  <si>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Katerin Pat*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</si>
  <si>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</si>
  <si>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</si>
  <si>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Francisca Clara Huayta  MZ : V Lt:12</t>
    </r>
  </si>
  <si>
    <r>
      <rPr>
        <sz val="12"/>
        <color theme="1"/>
        <rFont val="SansSerif"/>
      </rPr>
      <t>02/05/2026 19:19:18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</si>
  <si>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</si>
  <si>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</si>
  <si>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</si>
  <si>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</si>
  <si>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S Lt 10</t>
    </r>
  </si>
  <si>
    <r>
      <rPr>
        <sz val="12"/>
        <color theme="1"/>
        <rFont val="SansSerif"/>
      </rPr>
      <t>02/05/2026 19:17:42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</si>
  <si>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</si>
  <si>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Mac*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</si>
  <si>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</si>
  <si>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</si>
  <si>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 t lt 10</t>
    </r>
  </si>
  <si>
    <r>
      <rPr>
        <sz val="12"/>
        <color theme="1"/>
        <rFont val="SansSerif"/>
      </rPr>
      <t>02/05/2026 19:14:36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</si>
  <si>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</si>
  <si>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Estela Cap*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</si>
  <si>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</si>
  <si>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</si>
  <si>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02/05/2026 19:12:56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</si>
  <si>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</si>
  <si>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Salome Dia*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</si>
  <si>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</si>
  <si>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</si>
  <si>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Salome agustina Mz. B lt 13</t>
    </r>
  </si>
  <si>
    <r>
      <rPr>
        <sz val="12"/>
        <color theme="1"/>
        <rFont val="SansSerif"/>
      </rPr>
      <t>02/05/2026 19:12:51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</si>
  <si>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</si>
  <si>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Marisol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</si>
  <si>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</si>
  <si>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</si>
  <si>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Renato Albornoz Sigueñas  Mzn.W Lt.5</t>
    </r>
  </si>
  <si>
    <r>
      <rPr>
        <sz val="12"/>
        <color theme="1"/>
        <rFont val="SansSerif"/>
      </rPr>
      <t>02/05/2026 19:11:00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</si>
  <si>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</si>
  <si>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</si>
  <si>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</si>
  <si>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</si>
  <si>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Carmen Mercedes Melchor Albornoz MZ:V LT:8</t>
    </r>
  </si>
  <si>
    <r>
      <rPr>
        <sz val="12"/>
        <color theme="1"/>
        <rFont val="SansSerif"/>
      </rPr>
      <t>02/05/2026 19:06:54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</si>
  <si>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</si>
  <si>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Dedicacion Gar*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</si>
  <si>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</si>
  <si>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80.00</t>
    </r>
  </si>
  <si>
    <r>
      <rPr>
        <sz val="12"/>
        <color theme="1"/>
        <rFont val="SansSerif"/>
      </rPr>
      <t>MZQ LT 6</t>
    </r>
  </si>
  <si>
    <r>
      <rPr>
        <sz val="12"/>
        <color theme="1"/>
        <rFont val="SansSerif"/>
      </rPr>
      <t>02/05/2026 19:05:43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</si>
  <si>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</si>
  <si>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YESSICA PAOLA SOCOLA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</si>
  <si>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</si>
  <si>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</si>
  <si>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02/05/2026 19:05:17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</si>
  <si>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</si>
  <si>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</si>
  <si>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</si>
  <si>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</si>
  <si>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Mz.C1 Lt.1</t>
    </r>
  </si>
  <si>
    <r>
      <rPr>
        <sz val="12"/>
        <color theme="1"/>
        <rFont val="SansSerif"/>
      </rPr>
      <t>02/05/2026 19:05:01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</si>
  <si>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</si>
  <si>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Nelson Cos*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</si>
  <si>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</si>
  <si>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</si>
  <si>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02/05/2026 19:02:55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</si>
  <si>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</si>
  <si>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Diego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</si>
  <si>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</si>
  <si>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</si>
  <si>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A1 Lt.12(Diego Lopez Muñoz)</t>
    </r>
  </si>
  <si>
    <r>
      <rPr>
        <sz val="12"/>
        <color theme="1"/>
        <rFont val="SansSerif"/>
      </rPr>
      <t>02/05/2026 19:01:25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</si>
  <si>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</si>
  <si>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</si>
  <si>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</si>
  <si>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</si>
  <si>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o lt 7</t>
    </r>
  </si>
  <si>
    <r>
      <rPr>
        <sz val="12"/>
        <color theme="1"/>
        <rFont val="SansSerif"/>
      </rPr>
      <t>02/05/2026 19:00:36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</si>
  <si>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</si>
  <si>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</si>
  <si>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</si>
  <si>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</si>
  <si>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o lt 27</t>
    </r>
  </si>
  <si>
    <r>
      <rPr>
        <sz val="12"/>
        <color theme="1"/>
        <rFont val="SansSerif"/>
      </rPr>
      <t>02/05/2026 18:59:50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</si>
  <si>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</si>
  <si>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</si>
  <si>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</si>
  <si>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</si>
  <si>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o lt6</t>
    </r>
  </si>
  <si>
    <r>
      <rPr>
        <sz val="12"/>
        <color theme="1"/>
        <rFont val="SansSerif"/>
      </rPr>
      <t>02/05/2026 18:59:23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</si>
  <si>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</si>
  <si>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Norma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</si>
  <si>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</si>
  <si>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</si>
  <si>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02/05/2026 18:53:24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</si>
  <si>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</si>
  <si>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Bertha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</si>
  <si>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</si>
  <si>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</si>
  <si>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Mz.x lote 3 bertha gastar peña</t>
    </r>
  </si>
  <si>
    <r>
      <rPr>
        <sz val="12"/>
        <color theme="1"/>
        <rFont val="SansSerif"/>
      </rPr>
      <t>02/05/2026 18:52:31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</si>
  <si>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</si>
  <si>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</si>
  <si>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</si>
  <si>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</si>
  <si>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"X" lt.21 (ruddy Blas)</t>
    </r>
  </si>
  <si>
    <r>
      <rPr>
        <sz val="12"/>
        <color theme="1"/>
        <rFont val="SansSerif"/>
      </rPr>
      <t>02/05/2026 18:42:38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</si>
  <si>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</si>
  <si>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Giannella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</si>
  <si>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</si>
  <si>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</si>
  <si>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ROMAN LOZANO MINAYA MZ "H" LOTE 21</t>
    </r>
  </si>
  <si>
    <r>
      <rPr>
        <sz val="12"/>
        <color theme="1"/>
        <rFont val="SansSerif"/>
      </rPr>
      <t>02/05/2026 18:41:39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</si>
  <si>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</si>
  <si>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Ruddy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</si>
  <si>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</si>
  <si>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</si>
  <si>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 "P" Lt.19 (Leoncio Blas )</t>
    </r>
  </si>
  <si>
    <r>
      <rPr>
        <sz val="12"/>
        <color theme="1"/>
        <rFont val="SansSerif"/>
      </rPr>
      <t>02/05/2026 18:41:21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</si>
  <si>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</si>
  <si>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</si>
  <si>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</si>
  <si>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</si>
  <si>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MZ. E. LT. 13.</t>
    </r>
  </si>
  <si>
    <r>
      <rPr>
        <sz val="12"/>
        <color theme="1"/>
        <rFont val="SansSerif"/>
      </rPr>
      <t>02/05/2026 18:40:46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</si>
  <si>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</si>
  <si>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Rimenita Mun*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</si>
  <si>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</si>
  <si>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</si>
  <si>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19. LT  19.  MERCADO</t>
    </r>
  </si>
  <si>
    <r>
      <rPr>
        <sz val="12"/>
        <color theme="1"/>
        <rFont val="SansSerif"/>
      </rPr>
      <t>02/05/2026 18:39:22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</si>
  <si>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</si>
  <si>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Ruth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</si>
  <si>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</si>
  <si>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90.00</t>
    </r>
  </si>
  <si>
    <r>
      <rPr>
        <sz val="12"/>
        <color theme="1"/>
        <rFont val="SansSerif"/>
      </rPr>
      <t>02/05/2026 18:37:28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</si>
  <si>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</si>
  <si>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Alan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</si>
  <si>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</si>
  <si>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</si>
  <si>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L lote 1 micaela bastidas   ELENA CASPA DÍAS</t>
    </r>
  </si>
  <si>
    <r>
      <rPr>
        <sz val="12"/>
        <color theme="1"/>
        <rFont val="SansSerif"/>
      </rPr>
      <t>02/05/2026 18:33:17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</si>
  <si>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</si>
  <si>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Cristopher Gon*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</si>
  <si>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</si>
  <si>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</si>
  <si>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>02/05/2026 18:27:59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</si>
  <si>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</si>
  <si>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</si>
  <si>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</si>
  <si>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</si>
  <si>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Mz:Y. Lote  9</t>
    </r>
  </si>
  <si>
    <r>
      <rPr>
        <sz val="12"/>
        <color theme="1"/>
        <rFont val="SansSerif"/>
      </rPr>
      <t>02/05/2026 18:20:42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</si>
  <si>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</si>
  <si>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Eugenia Esc*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</si>
  <si>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</si>
  <si>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</si>
  <si>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Eugenia escudero solano c1</t>
    </r>
  </si>
  <si>
    <r>
      <rPr>
        <sz val="12"/>
        <color theme="1"/>
        <rFont val="SansSerif"/>
      </rPr>
      <t>02/05/2026 18:18:22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</si>
  <si>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</si>
  <si>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</si>
  <si>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</si>
  <si>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</si>
  <si>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.M. Lt .17</t>
    </r>
  </si>
  <si>
    <r>
      <rPr>
        <sz val="12"/>
        <color theme="1"/>
        <rFont val="SansSerif"/>
      </rPr>
      <t>02/05/2026 18:16:29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</si>
  <si>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</si>
  <si>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Thalia Lau*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</si>
  <si>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</si>
  <si>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132.00</t>
    </r>
  </si>
  <si>
    <r>
      <rPr>
        <sz val="12"/>
        <color theme="1"/>
        <rFont val="SansSerif"/>
      </rPr>
      <t>manzana F lote 7</t>
    </r>
  </si>
  <si>
    <r>
      <rPr>
        <sz val="12"/>
        <color theme="1"/>
        <rFont val="SansSerif"/>
      </rPr>
      <t>02/05/2026 18:16:10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</si>
  <si>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</si>
  <si>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Fatima Pim*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</si>
  <si>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</si>
  <si>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</si>
  <si>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manzana p lote 17 Mauricia duran  Valladares</t>
    </r>
  </si>
  <si>
    <r>
      <rPr>
        <sz val="12"/>
        <color theme="1"/>
        <rFont val="SansSerif"/>
      </rPr>
      <t>02/05/2026 18:15:27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</si>
  <si>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</si>
  <si>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</si>
  <si>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</si>
  <si>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</si>
  <si>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.O  Lt 9</t>
    </r>
  </si>
  <si>
    <r>
      <rPr>
        <sz val="12"/>
        <color theme="1"/>
        <rFont val="SansSerif"/>
      </rPr>
      <t>02/05/2026 18:15:19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</si>
  <si>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</si>
  <si>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</si>
  <si>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</si>
  <si>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50.00</t>
    </r>
  </si>
  <si>
    <r>
      <rPr>
        <sz val="12"/>
        <color theme="1"/>
        <rFont val="SansSerif"/>
      </rPr>
      <t>Mz F lote 9</t>
    </r>
  </si>
  <si>
    <r>
      <rPr>
        <sz val="12"/>
        <color theme="1"/>
        <rFont val="SansSerif"/>
      </rPr>
      <t>02/05/2026 18:12:55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</si>
  <si>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</si>
  <si>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</si>
  <si>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</si>
  <si>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</si>
  <si>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Mz.c lote 26</t>
    </r>
  </si>
  <si>
    <r>
      <rPr>
        <sz val="12"/>
        <color theme="1"/>
        <rFont val="SansSerif"/>
      </rPr>
      <t>02/05/2026 18:10:51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</si>
  <si>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</si>
  <si>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Brigida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</si>
  <si>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</si>
  <si>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</si>
  <si>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02/05/2026 18:07:03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</si>
  <si>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</si>
  <si>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</si>
  <si>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</si>
  <si>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</si>
  <si>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Mz.c lote 20</t>
    </r>
  </si>
  <si>
    <r>
      <rPr>
        <sz val="12"/>
        <color theme="1"/>
        <rFont val="SansSerif"/>
      </rPr>
      <t>02/05/2026 18:00:22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</si>
  <si>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</si>
  <si>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Silvia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</si>
  <si>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</si>
  <si>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</si>
  <si>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02/05/2026 17:59:50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</si>
  <si>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</si>
  <si>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</si>
  <si>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</si>
  <si>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</si>
  <si>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Mzc. lote 20</t>
    </r>
  </si>
  <si>
    <r>
      <rPr>
        <sz val="12"/>
        <color theme="1"/>
        <rFont val="SansSerif"/>
      </rPr>
      <t>02/05/2026 17:58:35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</si>
  <si>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</si>
  <si>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Maryori Rey*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</si>
  <si>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</si>
  <si>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</si>
  <si>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Mz.c lote 27</t>
    </r>
  </si>
  <si>
    <r>
      <rPr>
        <sz val="12"/>
        <color theme="1"/>
        <rFont val="SansSerif"/>
      </rPr>
      <t>02/05/2026 17:57:19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</si>
  <si>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</si>
  <si>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Josue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</si>
  <si>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</si>
  <si>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</si>
  <si>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t>c1</t>
  </si>
  <si>
    <r>
      <rPr>
        <sz val="12"/>
        <color theme="1"/>
        <rFont val="SansSerif"/>
      </rPr>
      <t>Mz. C1 Lt. 8</t>
    </r>
  </si>
  <si>
    <r>
      <rPr>
        <sz val="12"/>
        <color theme="1"/>
        <rFont val="SansSerif"/>
      </rPr>
      <t>02/05/2026 17:55:25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</si>
  <si>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</si>
  <si>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Eleuteria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</si>
  <si>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</si>
  <si>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</si>
  <si>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Eleuteria Libia Pajuelo Atanacio Mz I Lt2</t>
    </r>
  </si>
  <si>
    <r>
      <rPr>
        <sz val="12"/>
        <color theme="1"/>
        <rFont val="SansSerif"/>
      </rPr>
      <t>02/05/2026 17:48:53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</si>
  <si>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</si>
  <si>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Charli Flo*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</si>
  <si>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</si>
  <si>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</si>
  <si>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m.z L.16</t>
    </r>
  </si>
  <si>
    <r>
      <rPr>
        <sz val="12"/>
        <color theme="1"/>
        <rFont val="SansSerif"/>
      </rPr>
      <t>02/05/2026 17:48:33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</si>
  <si>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</si>
  <si>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</si>
  <si>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</si>
  <si>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</si>
  <si>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Mz: D1 - Lt: 3 (Margarita Criollo)</t>
    </r>
  </si>
  <si>
    <r>
      <rPr>
        <sz val="12"/>
        <color theme="1"/>
        <rFont val="SansSerif"/>
      </rPr>
      <t>02/05/2026 17:41:15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</si>
  <si>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</si>
  <si>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Llitech Moy*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</si>
  <si>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</si>
  <si>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</si>
  <si>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Mz: i - Lote: 4 (MOYA DURAND)</t>
    </r>
  </si>
  <si>
    <r>
      <rPr>
        <sz val="12"/>
        <color theme="1"/>
        <rFont val="SansSerif"/>
      </rPr>
      <t>02/05/2026 17:40:40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</si>
  <si>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</si>
  <si>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Aderlin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</si>
  <si>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</si>
  <si>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</si>
  <si>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Mz H1 Lt15 Patricia tarazona carbajal</t>
    </r>
  </si>
  <si>
    <r>
      <rPr>
        <sz val="12"/>
        <color theme="1"/>
        <rFont val="SansSerif"/>
      </rPr>
      <t>02/05/2026 17:36:30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</si>
  <si>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</si>
  <si>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</si>
  <si>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</si>
  <si>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</si>
  <si>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i lote 14  Roberto Nieto Huerta</t>
    </r>
  </si>
  <si>
    <r>
      <rPr>
        <sz val="12"/>
        <color theme="1"/>
        <rFont val="SansSerif"/>
      </rPr>
      <t>02/05/2026 17:26:50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</si>
  <si>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</si>
  <si>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Gisela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</si>
  <si>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</si>
  <si>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</si>
  <si>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Mz:X Lt:33. Melendez Julca Nena</t>
    </r>
  </si>
  <si>
    <r>
      <rPr>
        <sz val="12"/>
        <color theme="1"/>
        <rFont val="SansSerif"/>
      </rPr>
      <t>02/05/2026 17:26:09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</si>
  <si>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</si>
  <si>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Beatriz Ase*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</si>
  <si>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</si>
  <si>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</si>
  <si>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Servicio de agua - Mz  V Lt. 7 - David Castillo Moreno</t>
    </r>
  </si>
  <si>
    <r>
      <rPr>
        <sz val="12"/>
        <color theme="1"/>
        <rFont val="SansSerif"/>
      </rPr>
      <t>02/05/2026 17:20:14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</si>
  <si>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</si>
  <si>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</si>
  <si>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</si>
  <si>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</si>
  <si>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MZ.0 LT.8</t>
    </r>
  </si>
  <si>
    <r>
      <rPr>
        <sz val="12"/>
        <color theme="1"/>
        <rFont val="SansSerif"/>
      </rPr>
      <t>02/05/2026 17:15:34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</si>
  <si>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</si>
  <si>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Washington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</si>
  <si>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</si>
  <si>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</si>
  <si>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t>MZ A1 LT 5. Es A1-6</t>
  </si>
  <si>
    <r>
      <rPr>
        <sz val="12"/>
        <color theme="1"/>
        <rFont val="SansSerif"/>
      </rPr>
      <t>02/05/2026 17:08:34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</si>
  <si>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</si>
  <si>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Renee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</si>
  <si>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</si>
  <si>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</si>
  <si>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Johnny Salomón  Niño Ortiz(Mz E1 lote 1)</t>
    </r>
  </si>
  <si>
    <r>
      <rPr>
        <sz val="12"/>
        <color theme="1"/>
        <rFont val="SansSerif"/>
      </rPr>
      <t>02/05/2026 17:06:00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</si>
  <si>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</si>
  <si>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</si>
  <si>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</si>
  <si>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</si>
  <si>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Usuario: Simona Olortegui De Montalvo   MZ. O LT. 19</t>
    </r>
  </si>
  <si>
    <r>
      <rPr>
        <sz val="12"/>
        <color theme="1"/>
        <rFont val="SansSerif"/>
      </rPr>
      <t>02/05/2026 17:00:18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</si>
  <si>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</si>
  <si>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Mario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</si>
  <si>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</si>
  <si>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108.00</t>
    </r>
  </si>
  <si>
    <r>
      <rPr>
        <sz val="12"/>
        <color theme="1"/>
        <rFont val="SansSerif"/>
      </rPr>
      <t>PEDRO PALMADERA MZ.H LT.7</t>
    </r>
  </si>
  <si>
    <r>
      <rPr>
        <sz val="12"/>
        <color theme="1"/>
        <rFont val="SansSerif"/>
      </rPr>
      <t>02/05/2026 16:55:51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</si>
  <si>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</si>
  <si>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Bernarda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</si>
  <si>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</si>
  <si>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29.00</t>
    </r>
  </si>
  <si>
    <r>
      <rPr>
        <sz val="12"/>
        <color theme="1"/>
        <rFont val="SansSerif"/>
      </rPr>
      <t>Usuario :Apolonio Durand.     MZ. O LT. 18</t>
    </r>
  </si>
  <si>
    <r>
      <rPr>
        <sz val="12"/>
        <color theme="1"/>
        <rFont val="SansSerif"/>
      </rPr>
      <t>02/05/2026 16:54:48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</si>
  <si>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</si>
  <si>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Boris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</si>
  <si>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</si>
  <si>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</si>
  <si>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MZ R L1</t>
    </r>
  </si>
  <si>
    <r>
      <rPr>
        <sz val="12"/>
        <color theme="1"/>
        <rFont val="SansSerif"/>
      </rPr>
      <t>02/05/2026 16:48:14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</si>
  <si>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</si>
  <si>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Olinda Asc*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</si>
  <si>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</si>
  <si>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</si>
  <si>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16:37:45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</si>
  <si>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</si>
  <si>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Delia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</si>
  <si>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</si>
  <si>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</si>
  <si>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y Lt 1</t>
    </r>
  </si>
  <si>
    <r>
      <rPr>
        <sz val="12"/>
        <color theme="1"/>
        <rFont val="SansSerif"/>
      </rPr>
      <t>02/05/2026 16:33:51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</si>
  <si>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</si>
  <si>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Anais Utr*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</si>
  <si>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</si>
  <si>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</si>
  <si>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B lote 1 bacilo Utrilla</t>
    </r>
  </si>
  <si>
    <r>
      <rPr>
        <sz val="12"/>
        <color theme="1"/>
        <rFont val="SansSerif"/>
      </rPr>
      <t>02/05/2026 16:32:36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</si>
  <si>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</si>
  <si>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Adelina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</si>
  <si>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</si>
  <si>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</si>
  <si>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 xml:space="preserve">pago de dos meses de agua y convenio.liria pariamachi </t>
    </r>
  </si>
  <si>
    <r>
      <rPr>
        <sz val="12"/>
        <color theme="1"/>
        <rFont val="SansSerif"/>
      </rPr>
      <t>02/05/2026 16:28:34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</si>
  <si>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</si>
  <si>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Carla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</si>
  <si>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</si>
  <si>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</si>
  <si>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Manzana f1 lote 6</t>
    </r>
  </si>
  <si>
    <r>
      <rPr>
        <sz val="12"/>
        <color theme="1"/>
        <rFont val="SansSerif"/>
      </rPr>
      <t>02/05/2026 16:21:50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</si>
  <si>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</si>
  <si>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</si>
  <si>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</si>
  <si>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</si>
  <si>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mzn s lt 3 vanessa milla cruz</t>
    </r>
  </si>
  <si>
    <r>
      <rPr>
        <sz val="12"/>
        <color theme="1"/>
        <rFont val="SansSerif"/>
      </rPr>
      <t>02/05/2026 16:16:30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</si>
  <si>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</si>
  <si>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Vanessa Mil*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</si>
  <si>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</si>
  <si>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</si>
  <si>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mzn o lt 20  Julia cruz saavedra</t>
    </r>
  </si>
  <si>
    <r>
      <rPr>
        <sz val="12"/>
        <color theme="1"/>
        <rFont val="SansSerif"/>
      </rPr>
      <t>02/05/2026 16:14:30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</si>
  <si>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</si>
  <si>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Felipe Ort*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</si>
  <si>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</si>
  <si>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</si>
  <si>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02/05/2026 16:13:17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</si>
  <si>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</si>
  <si>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Cad*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</si>
  <si>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</si>
  <si>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</si>
  <si>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E1 lote 7 calle Maná sector 2</t>
    </r>
  </si>
  <si>
    <r>
      <rPr>
        <sz val="12"/>
        <color theme="1"/>
        <rFont val="SansSerif"/>
      </rPr>
      <t>02/05/2026 16:09:48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</si>
  <si>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</si>
  <si>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Maryuri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</si>
  <si>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</si>
  <si>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</si>
  <si>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Maryuri zapata Martinez Mz H1 Lt 6</t>
    </r>
  </si>
  <si>
    <r>
      <rPr>
        <sz val="12"/>
        <color theme="1"/>
        <rFont val="SansSerif"/>
      </rPr>
      <t>02/05/2026 16:08:00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</si>
  <si>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</si>
  <si>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SILVA KONG LUIS ALBERTO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</si>
  <si>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</si>
  <si>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</si>
  <si>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MzC1 lt6</t>
    </r>
  </si>
  <si>
    <r>
      <rPr>
        <sz val="12"/>
        <color theme="1"/>
        <rFont val="SansSerif"/>
      </rPr>
      <t>02/05/2026 16:03:20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</si>
  <si>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</si>
  <si>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</si>
  <si>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</si>
  <si>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66.00</t>
    </r>
  </si>
  <si>
    <r>
      <rPr>
        <sz val="12"/>
        <color theme="1"/>
        <rFont val="SansSerif"/>
      </rPr>
      <t>Víctor José ortega de la cruz mz k lt. 06</t>
    </r>
  </si>
  <si>
    <r>
      <rPr>
        <sz val="12"/>
        <color theme="1"/>
        <rFont val="SansSerif"/>
      </rPr>
      <t>02/05/2026 15:58:33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</si>
  <si>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</si>
  <si>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</si>
  <si>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</si>
  <si>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</si>
  <si>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A lote 7</t>
    </r>
  </si>
  <si>
    <r>
      <rPr>
        <sz val="12"/>
        <color theme="1"/>
        <rFont val="SansSerif"/>
      </rPr>
      <t>02/05/2026 15:57:56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</si>
  <si>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</si>
  <si>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Junior Alexis Murillo Lozano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</si>
  <si>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</si>
  <si>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</si>
  <si>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02/05/2026 15:42:55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</si>
  <si>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</si>
  <si>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Cca*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</si>
  <si>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</si>
  <si>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</si>
  <si>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02/05/2026 15:35:40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</si>
  <si>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</si>
  <si>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Mayra Jar*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</si>
  <si>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</si>
  <si>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209.00</t>
    </r>
  </si>
  <si>
    <r>
      <rPr>
        <sz val="12"/>
        <color theme="1"/>
        <rFont val="SansSerif"/>
      </rPr>
      <t>MZ.D.    LT.7</t>
    </r>
  </si>
  <si>
    <r>
      <rPr>
        <sz val="12"/>
        <color theme="1"/>
        <rFont val="SansSerif"/>
      </rPr>
      <t>02/05/2026 15:35:27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</si>
  <si>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</si>
  <si>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Rivet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</si>
  <si>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</si>
  <si>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</si>
  <si>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T Lt 11</t>
    </r>
  </si>
  <si>
    <r>
      <rPr>
        <sz val="12"/>
        <color theme="1"/>
        <rFont val="SansSerif"/>
      </rPr>
      <t>02/05/2026 15:17:10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</si>
  <si>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</si>
  <si>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Jimm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</si>
  <si>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</si>
  <si>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</si>
  <si>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de agua Mz H1 Lote 8 - Jimm Zapata periodo 2026-</t>
    </r>
  </si>
  <si>
    <r>
      <rPr>
        <sz val="12"/>
        <color theme="1"/>
        <rFont val="SansSerif"/>
      </rPr>
      <t>02/05/2026 15:14:17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</si>
  <si>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</si>
  <si>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Lizbet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</si>
  <si>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</si>
  <si>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</si>
  <si>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H1. Lt 5 Villanueva</t>
    </r>
  </si>
  <si>
    <r>
      <rPr>
        <sz val="12"/>
        <color theme="1"/>
        <rFont val="SansSerif"/>
      </rPr>
      <t>02/05/2026 15:12:02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</si>
  <si>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</si>
  <si>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</si>
  <si>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</si>
  <si>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</si>
  <si>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 xml:space="preserve">pago de agua Mz A1 Lote 7 - Alan García Zorrilla - periodo </t>
    </r>
  </si>
  <si>
    <r>
      <rPr>
        <sz val="12"/>
        <color theme="1"/>
        <rFont val="SansSerif"/>
      </rPr>
      <t>02/05/2026 15:10:16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</si>
  <si>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</si>
  <si>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</si>
  <si>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</si>
  <si>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</si>
  <si>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</si>
  <si>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02/05/2026 15:08:18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</si>
  <si>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</si>
  <si>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Jose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</si>
  <si>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</si>
  <si>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</si>
  <si>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pago de agua Mz u lote 1 - José Zapata periodo 2026-04</t>
    </r>
  </si>
  <si>
    <r>
      <rPr>
        <sz val="12"/>
        <color theme="1"/>
        <rFont val="SansSerif"/>
      </rPr>
      <t>02/05/2026 15:08:00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</si>
  <si>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</si>
  <si>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</si>
  <si>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</si>
  <si>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</si>
  <si>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BERNARDINO GAMARRA.  Mz.  S  Lt. 11</t>
    </r>
  </si>
  <si>
    <r>
      <rPr>
        <sz val="12"/>
        <color theme="1"/>
        <rFont val="SansSerif"/>
      </rPr>
      <t>02/05/2026 15:06:18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</si>
  <si>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</si>
  <si>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Bernardino Gam*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</si>
  <si>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</si>
  <si>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</si>
  <si>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IGLESIA MMM.  Mz. V.  Lt. 3</t>
    </r>
  </si>
  <si>
    <r>
      <rPr>
        <sz val="12"/>
        <color theme="1"/>
        <rFont val="SansSerif"/>
      </rPr>
      <t>02/05/2026 15:05:10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</si>
  <si>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</si>
  <si>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</si>
  <si>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</si>
  <si>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</si>
  <si>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 xml:space="preserve">pago por consumo de agua mz "p"lt 5 _ Andrés Romero </t>
    </r>
  </si>
  <si>
    <r>
      <rPr>
        <sz val="12"/>
        <color theme="1"/>
        <rFont val="SansSerif"/>
      </rPr>
      <t>02/05/2026 15:02:26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</si>
  <si>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</si>
  <si>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</si>
  <si>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</si>
  <si>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</si>
  <si>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 xml:space="preserve">pagó por consumo de agua mz "p" lt 10 _ ciria Escudero </t>
    </r>
  </si>
  <si>
    <r>
      <rPr>
        <sz val="12"/>
        <color theme="1"/>
        <rFont val="SansSerif"/>
      </rPr>
      <t>02/05/2026 15:00:53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</si>
  <si>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</si>
  <si>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Matilde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</si>
  <si>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</si>
  <si>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</si>
  <si>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14:56:37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</si>
  <si>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</si>
  <si>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Azucena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</si>
  <si>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</si>
  <si>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</si>
  <si>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B1 LT 9</t>
    </r>
  </si>
  <si>
    <r>
      <rPr>
        <sz val="12"/>
        <color theme="1"/>
        <rFont val="SansSerif"/>
      </rPr>
      <t>02/05/2026 14:38:17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</si>
  <si>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</si>
  <si>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Elio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</si>
  <si>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</si>
  <si>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</si>
  <si>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>Manzana F lote 14 Rodrigo Podestad</t>
    </r>
  </si>
  <si>
    <r>
      <rPr>
        <sz val="12"/>
        <color theme="1"/>
        <rFont val="SansSerif"/>
      </rPr>
      <t>02/05/2026 14:37:32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</si>
  <si>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</si>
  <si>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Onita Pon*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</si>
  <si>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</si>
  <si>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</si>
  <si>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Mz D1 lt. 6 onita ponte Eguizabal</t>
    </r>
  </si>
  <si>
    <r>
      <rPr>
        <sz val="12"/>
        <color theme="1"/>
        <rFont val="SansSerif"/>
      </rPr>
      <t>02/05/2026 14:36:17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</si>
  <si>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</si>
  <si>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Nemecio Ave*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</si>
  <si>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</si>
  <si>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</si>
  <si>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Mz.f1.Lt.1</t>
    </r>
  </si>
  <si>
    <r>
      <rPr>
        <sz val="12"/>
        <color theme="1"/>
        <rFont val="SansSerif"/>
      </rPr>
      <t>02/05/2026 14:06:07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</si>
  <si>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</si>
  <si>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Vilma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</si>
  <si>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</si>
  <si>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</si>
  <si>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I LT 5 pablo rosario quispe</t>
    </r>
  </si>
  <si>
    <r>
      <rPr>
        <sz val="12"/>
        <color theme="1"/>
        <rFont val="SansSerif"/>
      </rPr>
      <t>02/05/2026 14:04:15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</si>
  <si>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</si>
  <si>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</si>
  <si>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</si>
  <si>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</si>
  <si>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MZv LT6</t>
    </r>
  </si>
  <si>
    <r>
      <rPr>
        <sz val="12"/>
        <color theme="1"/>
        <rFont val="SansSerif"/>
      </rPr>
      <t>02/05/2026 13:58:00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</si>
  <si>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</si>
  <si>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Pac*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</si>
  <si>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</si>
  <si>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</si>
  <si>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hola janet aca esta del agua de la sra isabel cardenas MZ </t>
    </r>
  </si>
  <si>
    <r>
      <rPr>
        <sz val="12"/>
        <color theme="1"/>
        <rFont val="SansSerif"/>
      </rPr>
      <t>02/05/2026 13:54:17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</si>
  <si>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</si>
  <si>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Lidia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</si>
  <si>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</si>
  <si>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</si>
  <si>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02/05/2026 13:48:05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</si>
  <si>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</si>
  <si>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</si>
  <si>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</si>
  <si>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</si>
  <si>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B1 LT 14</t>
    </r>
  </si>
  <si>
    <r>
      <rPr>
        <sz val="12"/>
        <color theme="1"/>
        <rFont val="SansSerif"/>
      </rPr>
      <t>02/05/2026 13:46:32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</si>
  <si>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</si>
  <si>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</si>
  <si>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</si>
  <si>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</si>
  <si>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MZ B1 LT 13</t>
    </r>
  </si>
  <si>
    <r>
      <rPr>
        <sz val="12"/>
        <color theme="1"/>
        <rFont val="SansSerif"/>
      </rPr>
      <t>02/05/2026 13:45:43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</si>
  <si>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</si>
  <si>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</si>
  <si>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</si>
  <si>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</si>
  <si>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 A LT 1</t>
    </r>
  </si>
  <si>
    <r>
      <rPr>
        <sz val="12"/>
        <color theme="1"/>
        <rFont val="SansSerif"/>
      </rPr>
      <t>02/05/2026 13:45:01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</si>
  <si>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</si>
  <si>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</si>
  <si>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</si>
  <si>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</si>
  <si>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M LT 5</t>
    </r>
  </si>
  <si>
    <r>
      <rPr>
        <sz val="12"/>
        <color theme="1"/>
        <rFont val="SansSerif"/>
      </rPr>
      <t>02/05/2026 13:44:21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</si>
  <si>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</si>
  <si>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Juana May*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</si>
  <si>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</si>
  <si>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</si>
  <si>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h lt 10</t>
    </r>
  </si>
  <si>
    <r>
      <rPr>
        <sz val="12"/>
        <color theme="1"/>
        <rFont val="SansSerif"/>
      </rPr>
      <t>02/05/2026 13:43:38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</si>
  <si>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</si>
  <si>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Juliana Med*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</si>
  <si>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</si>
  <si>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</si>
  <si>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02/05/2026 13:31:48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</si>
  <si>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</si>
  <si>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Vilma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</si>
  <si>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</si>
  <si>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91.00</t>
    </r>
  </si>
  <si>
    <r>
      <rPr>
        <sz val="12"/>
        <color theme="1"/>
        <rFont val="SansSerif"/>
      </rPr>
      <t xml:space="preserve">41+50=91 eso de las 3 cuotas que faltaba cancelar </t>
    </r>
  </si>
  <si>
    <r>
      <rPr>
        <sz val="12"/>
        <color theme="1"/>
        <rFont val="SansSerif"/>
      </rPr>
      <t>02/05/2026 13:29:40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</si>
  <si>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</si>
  <si>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Clemente Pal*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</si>
  <si>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</si>
  <si>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</si>
  <si>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MZ.T lote 7 Roberto palmadera milla</t>
    </r>
  </si>
  <si>
    <r>
      <rPr>
        <sz val="12"/>
        <color theme="1"/>
        <rFont val="SansSerif"/>
      </rPr>
      <t>02/05/2026 13:06:23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</si>
  <si>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</si>
  <si>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ANGELICA STHEFANY JARA GOMEZ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</si>
  <si>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</si>
  <si>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87.00</t>
    </r>
  </si>
  <si>
    <r>
      <rPr>
        <sz val="12"/>
        <color theme="1"/>
        <rFont val="SansSerif"/>
      </rPr>
      <t>02/05/2026 12:49:52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</si>
  <si>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</si>
  <si>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Nilson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</si>
  <si>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</si>
  <si>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</si>
  <si>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miguel melendez julca Mz.T Lt 8</t>
    </r>
  </si>
  <si>
    <r>
      <rPr>
        <sz val="12"/>
        <color theme="1"/>
        <rFont val="SansSerif"/>
      </rPr>
      <t>02/05/2026 12:03:55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</si>
  <si>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</si>
  <si>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Lucia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</si>
  <si>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</si>
  <si>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</si>
  <si>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ALEJANDRO MORENO ROSALES Mz "X" Lt. 34</t>
    </r>
  </si>
  <si>
    <r>
      <rPr>
        <sz val="12"/>
        <color theme="1"/>
        <rFont val="SansSerif"/>
      </rPr>
      <t>02/05/2026 12:01:59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</si>
  <si>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</si>
  <si>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Zenofia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</si>
  <si>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</si>
  <si>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</si>
  <si>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02/05/2026 11:34:31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</si>
  <si>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</si>
  <si>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</si>
  <si>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</si>
  <si>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</si>
  <si>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Y Lt. 2 Marili Regalado Chinchay</t>
    </r>
  </si>
  <si>
    <r>
      <rPr>
        <sz val="12"/>
        <color theme="1"/>
        <rFont val="SansSerif"/>
      </rPr>
      <t>02/05/2026 11:23:46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</si>
  <si>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</si>
  <si>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Marcelo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</si>
  <si>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</si>
  <si>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</si>
  <si>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02/05/2026 11:22:08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</si>
  <si>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</si>
  <si>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Marili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</si>
  <si>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</si>
  <si>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</si>
  <si>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 xml:space="preserve">Mz. G Lt. 4 Natalia Chinchay. Pago de mi consumo de </t>
    </r>
  </si>
  <si>
    <r>
      <rPr>
        <sz val="12"/>
        <color theme="1"/>
        <rFont val="SansSerif"/>
      </rPr>
      <t>02/05/2026 11:22:04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</si>
  <si>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</si>
  <si>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Beisy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</si>
  <si>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</si>
  <si>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</si>
  <si>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 K  Lt. 7</t>
    </r>
  </si>
  <si>
    <r>
      <rPr>
        <sz val="12"/>
        <color theme="1"/>
        <rFont val="SansSerif"/>
      </rPr>
      <t>02/05/2026 11:16:10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</si>
  <si>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</si>
  <si>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Albina Cal*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</si>
  <si>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</si>
  <si>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</si>
  <si>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MZ:U lote:6 milagros medrano calvo</t>
    </r>
  </si>
  <si>
    <r>
      <rPr>
        <sz val="12"/>
        <color theme="1"/>
        <rFont val="SansSerif"/>
      </rPr>
      <t>02/05/2026 10:55:30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</si>
  <si>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</si>
  <si>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Albina Cal*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</si>
  <si>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</si>
  <si>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</si>
  <si>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MZ:0 lote:1 alvina calvo</t>
    </r>
  </si>
  <si>
    <r>
      <rPr>
        <sz val="12"/>
        <color theme="1"/>
        <rFont val="SansSerif"/>
      </rPr>
      <t>02/05/2026 10:54:18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</si>
  <si>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</si>
  <si>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Esteban Gue*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</si>
  <si>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</si>
  <si>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49.00</t>
    </r>
  </si>
  <si>
    <r>
      <rPr>
        <sz val="12"/>
        <color theme="1"/>
        <rFont val="SansSerif"/>
      </rPr>
      <t xml:space="preserve">nesecito mis recibos de pago del convenio del campo </t>
    </r>
  </si>
  <si>
    <r>
      <rPr>
        <sz val="12"/>
        <color theme="1"/>
        <rFont val="SansSerif"/>
      </rPr>
      <t>02/05/2026 10:53:08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</si>
  <si>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</si>
  <si>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Raquel Avi*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</si>
  <si>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</si>
  <si>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</si>
  <si>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G lt 3 Raquel Avila</t>
    </r>
  </si>
  <si>
    <r>
      <rPr>
        <sz val="12"/>
        <color theme="1"/>
        <rFont val="SansSerif"/>
      </rPr>
      <t>02/05/2026 10:35:23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</si>
  <si>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</si>
  <si>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Lizzet Cor*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</si>
  <si>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</si>
  <si>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</si>
  <si>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Luis Gerardo Saavedra Saavedra  Mz D, Lt 18</t>
    </r>
  </si>
  <si>
    <r>
      <rPr>
        <sz val="12"/>
        <color theme="1"/>
        <rFont val="SansSerif"/>
      </rPr>
      <t>02/05/2026 10:30:31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</si>
  <si>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</si>
  <si>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Nelly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</si>
  <si>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</si>
  <si>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</si>
  <si>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 xml:space="preserve">pago de consumo de agua de 2 meses    Aurelio De la </t>
    </r>
  </si>
  <si>
    <r>
      <rPr>
        <sz val="12"/>
        <color theme="1"/>
        <rFont val="SansSerif"/>
      </rPr>
      <t>02/05/2026 10:25:11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</si>
  <si>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</si>
  <si>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Abner Arq*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</si>
  <si>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</si>
  <si>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</si>
  <si>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02/05/2026 10:21:57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</si>
  <si>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</si>
  <si>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</si>
  <si>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</si>
  <si>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</si>
  <si>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Mz. C   Lt. 11</t>
    </r>
  </si>
  <si>
    <r>
      <rPr>
        <sz val="12"/>
        <color theme="1"/>
        <rFont val="SansSerif"/>
      </rPr>
      <t>02/05/2026 09:57:33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</si>
  <si>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</si>
  <si>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Angel Cab*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</si>
  <si>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</si>
  <si>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</si>
  <si>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 U LT 3 Marcelina Gomez Bonifacio</t>
    </r>
  </si>
  <si>
    <r>
      <rPr>
        <sz val="12"/>
        <color theme="1"/>
        <rFont val="SansSerif"/>
      </rPr>
      <t>02/05/2026 09:45:21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</si>
  <si>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</si>
  <si>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Jorge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</si>
  <si>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</si>
  <si>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</si>
  <si>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Mz.:T Lt 15</t>
    </r>
  </si>
  <si>
    <r>
      <rPr>
        <sz val="12"/>
        <color theme="1"/>
        <rFont val="SansSerif"/>
      </rPr>
      <t>02/05/2026 09:37:16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</si>
  <si>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</si>
  <si>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Veg*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</si>
  <si>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</si>
  <si>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</si>
  <si>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pago de recibo de agua. Mz E1 Lte 8. Julio Vega Cerda</t>
    </r>
  </si>
  <si>
    <r>
      <rPr>
        <sz val="12"/>
        <color theme="1"/>
        <rFont val="SansSerif"/>
      </rPr>
      <t>02/05/2026 09:29:23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</si>
  <si>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</si>
  <si>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David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</si>
  <si>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</si>
  <si>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</si>
  <si>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 N LT 5</t>
    </r>
  </si>
  <si>
    <r>
      <rPr>
        <sz val="12"/>
        <color theme="1"/>
        <rFont val="SansSerif"/>
      </rPr>
      <t>02/05/2026 09:26:24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</si>
  <si>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</si>
  <si>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Alex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</si>
  <si>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</si>
  <si>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</si>
  <si>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 xml:space="preserve">MAGNA ABREGO ISIDRO MZ. XLT. 14, 13 SOLES, </t>
    </r>
  </si>
  <si>
    <r>
      <rPr>
        <sz val="12"/>
        <color theme="1"/>
        <rFont val="SansSerif"/>
      </rPr>
      <t>02/05/2026 09:12:40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</si>
  <si>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</si>
  <si>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Alex Sol*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</si>
  <si>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</si>
  <si>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</si>
  <si>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</si>
  <si>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</si>
  <si>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</si>
  <si>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MzE Lt7, MzP Lt 11A y MzM Lt18 ( Julia Rosales)</t>
    </r>
  </si>
  <si>
    <t>02/05/2026 09:02:50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</si>
  <si>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</si>
  <si>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William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</si>
  <si>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</si>
  <si>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</si>
  <si>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MzE Lt7, MzP Lt 11A y MzM Lt18 ( Julia Rosales)</t>
    </r>
  </si>
  <si>
    <r>
      <rPr>
        <sz val="12"/>
        <color theme="1"/>
        <rFont val="SansSerif"/>
      </rPr>
      <t>02/05/2026 09:02:49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</si>
  <si>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</si>
  <si>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</si>
  <si>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</si>
  <si>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t>Mz K 3 y 4</t>
  </si>
  <si>
    <t>02/05/2026 08:58:09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</si>
  <si>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</si>
  <si>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</si>
  <si>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</si>
  <si>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63.00</t>
    </r>
  </si>
  <si>
    <r>
      <rPr>
        <sz val="12"/>
        <color theme="1"/>
        <rFont val="SansSerif"/>
      </rPr>
      <t>Mz K 3 y 4</t>
    </r>
  </si>
  <si>
    <r>
      <rPr>
        <sz val="12"/>
        <color theme="1"/>
        <rFont val="SansSerif"/>
      </rPr>
      <t>02/05/2026 08:58:08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</si>
  <si>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</si>
  <si>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Joshelyn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</si>
  <si>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</si>
  <si>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</si>
  <si>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02/05/2026 08:34:41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</si>
  <si>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</si>
  <si>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Elizabeth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</si>
  <si>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</si>
  <si>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</si>
  <si>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 j Lt 10 Segundo Broncano d paz</t>
    </r>
  </si>
  <si>
    <r>
      <rPr>
        <sz val="12"/>
        <color theme="1"/>
        <rFont val="SansSerif"/>
      </rPr>
      <t>02/05/2026 08:29:31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</si>
  <si>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</si>
  <si>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Luz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</si>
  <si>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</si>
  <si>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</si>
  <si>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mzF1  lt10</t>
    </r>
  </si>
  <si>
    <r>
      <rPr>
        <sz val="12"/>
        <color theme="1"/>
        <rFont val="SansSerif"/>
      </rPr>
      <t>02/05/2026 08:25:48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</si>
  <si>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</si>
  <si>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</si>
  <si>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</si>
  <si>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</si>
  <si>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C LTE. 34</t>
    </r>
  </si>
  <si>
    <r>
      <rPr>
        <sz val="12"/>
        <color theme="1"/>
        <rFont val="SansSerif"/>
      </rPr>
      <t>02/05/2026 08:25:07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</si>
  <si>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</si>
  <si>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Eber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</si>
  <si>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</si>
  <si>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109.00</t>
    </r>
  </si>
  <si>
    <r>
      <rPr>
        <sz val="12"/>
        <color theme="1"/>
        <rFont val="SansSerif"/>
      </rPr>
      <t>Mz. C LTE. 28</t>
    </r>
  </si>
  <si>
    <r>
      <rPr>
        <sz val="12"/>
        <color theme="1"/>
        <rFont val="SansSerif"/>
      </rPr>
      <t>02/05/2026 08:24:23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</si>
  <si>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</si>
  <si>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</si>
  <si>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</si>
  <si>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</si>
  <si>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MZ. w lt.19</t>
    </r>
  </si>
  <si>
    <r>
      <rPr>
        <sz val="12"/>
        <color theme="1"/>
        <rFont val="SansSerif"/>
      </rPr>
      <t>02/05/2026 08:17:01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</si>
  <si>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</si>
  <si>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</si>
  <si>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</si>
  <si>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</si>
  <si>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Edgar Agustín  Mz.B1 Lt.04</t>
    </r>
  </si>
  <si>
    <r>
      <rPr>
        <sz val="12"/>
        <color theme="1"/>
        <rFont val="SansSerif"/>
      </rPr>
      <t>02/05/2026 08:07:05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</si>
  <si>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</si>
  <si>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Vicki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</si>
  <si>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</si>
  <si>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</si>
  <si>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 w lote 4</t>
    </r>
  </si>
  <si>
    <r>
      <rPr>
        <sz val="12"/>
        <color theme="1"/>
        <rFont val="SansSerif"/>
      </rPr>
      <t>02/05/2026 08:02:01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</si>
  <si>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</si>
  <si>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Elmer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</si>
  <si>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</si>
  <si>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</si>
  <si>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02/05/2026 08:00:03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</si>
  <si>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</si>
  <si>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Alida Mod*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</si>
  <si>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</si>
  <si>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</si>
  <si>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Mz.D Lt.03</t>
    </r>
  </si>
  <si>
    <r>
      <rPr>
        <sz val="12"/>
        <color theme="1"/>
        <rFont val="SansSerif"/>
      </rPr>
      <t>02/05/2026 07:55:39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</si>
  <si>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</si>
  <si>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Melina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</si>
  <si>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</si>
  <si>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35.00</t>
    </r>
  </si>
  <si>
    <r>
      <rPr>
        <sz val="12"/>
        <color theme="1"/>
        <rFont val="SansSerif"/>
      </rPr>
      <t>Mz B lote 4 - Melina Juarez</t>
    </r>
  </si>
  <si>
    <r>
      <rPr>
        <sz val="12"/>
        <color theme="1"/>
        <rFont val="SansSerif"/>
      </rPr>
      <t>02/05/2026 07:53:45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</si>
  <si>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</si>
  <si>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Gom*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</si>
  <si>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</si>
  <si>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</si>
  <si>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MZ E lt 6.  luis Gómez</t>
    </r>
  </si>
  <si>
    <r>
      <rPr>
        <sz val="12"/>
        <color theme="1"/>
        <rFont val="SansSerif"/>
      </rPr>
      <t>02/05/2026 07:50:41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</si>
  <si>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</si>
  <si>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Bar*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</si>
  <si>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</si>
  <si>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37.00</t>
    </r>
  </si>
  <si>
    <r>
      <rPr>
        <sz val="12"/>
        <color theme="1"/>
        <rFont val="SansSerif"/>
      </rPr>
      <t>mz  i lt 17</t>
    </r>
  </si>
  <si>
    <r>
      <rPr>
        <sz val="12"/>
        <color theme="1"/>
        <rFont val="SansSerif"/>
      </rPr>
      <t>02/05/2026 07:45:50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</si>
  <si>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</si>
  <si>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Alejandro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</si>
  <si>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</si>
  <si>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</si>
  <si>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mz H lote 8</t>
    </r>
  </si>
  <si>
    <r>
      <rPr>
        <sz val="12"/>
        <color theme="1"/>
        <rFont val="SansSerif"/>
      </rPr>
      <t>02/05/2026 07:45:41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</si>
  <si>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</si>
  <si>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Yicson Zap*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</si>
  <si>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</si>
  <si>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</si>
  <si>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MZ.h1 lt7 yicson zapata Martínez</t>
    </r>
  </si>
  <si>
    <r>
      <rPr>
        <sz val="12"/>
        <color theme="1"/>
        <rFont val="SansSerif"/>
      </rPr>
      <t>02/05/2026 07:43:47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</si>
  <si>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</si>
  <si>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Yolanda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</si>
  <si>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</si>
  <si>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</si>
  <si>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mzB1 lote 11 nilda sales  blas</t>
    </r>
  </si>
  <si>
    <r>
      <rPr>
        <sz val="12"/>
        <color theme="1"/>
        <rFont val="SansSerif"/>
      </rPr>
      <t>02/05/2026 07:42:04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</si>
  <si>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</si>
  <si>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Lourdes Soc*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</si>
  <si>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</si>
  <si>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</si>
  <si>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Máx W lote 14</t>
    </r>
  </si>
  <si>
    <r>
      <rPr>
        <sz val="12"/>
        <color theme="1"/>
        <rFont val="SansSerif"/>
      </rPr>
      <t>02/05/2026 07:34:15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</si>
  <si>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</si>
  <si>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</si>
  <si>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</si>
  <si>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58.00</t>
    </r>
  </si>
  <si>
    <r>
      <rPr>
        <sz val="12"/>
        <color theme="1"/>
        <rFont val="SansSerif"/>
      </rPr>
      <t>MZ B. LT. 6</t>
    </r>
  </si>
  <si>
    <r>
      <rPr>
        <sz val="12"/>
        <color theme="1"/>
        <rFont val="SansSerif"/>
      </rPr>
      <t>02/05/2026 07:25:57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</si>
  <si>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</si>
  <si>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</si>
  <si>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</si>
  <si>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</si>
  <si>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Mz. Q LT.16 Judith Luis peña</t>
    </r>
  </si>
  <si>
    <r>
      <rPr>
        <sz val="12"/>
        <color theme="1"/>
        <rFont val="SansSerif"/>
      </rPr>
      <t>02/05/2026 07:24:20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</si>
  <si>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</si>
  <si>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Yonel Sal*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</si>
  <si>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</si>
  <si>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</si>
  <si>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02/05/2026 07:22:05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</si>
  <si>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</si>
  <si>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Elma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</si>
  <si>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</si>
  <si>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</si>
  <si>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02/05/2026 07:11:43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</si>
  <si>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</si>
  <si>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Jacinto Mat*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</si>
  <si>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</si>
  <si>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</si>
  <si>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  G1  LT  2</t>
    </r>
  </si>
  <si>
    <r>
      <rPr>
        <sz val="12"/>
        <color theme="1"/>
        <rFont val="SansSerif"/>
      </rPr>
      <t>02/05/2026 06:53:31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</si>
  <si>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</si>
  <si>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Saa*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</si>
  <si>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</si>
  <si>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</si>
  <si>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Mz Z  Lt 2 javier Espinoza Fernandez</t>
    </r>
  </si>
  <si>
    <r>
      <rPr>
        <sz val="12"/>
        <color theme="1"/>
        <rFont val="SansSerif"/>
      </rPr>
      <t>02/05/2026 05:37:34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</si>
  <si>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</si>
  <si>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JACOME NORABUENA JESUS ELVIRO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</si>
  <si>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</si>
  <si>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</si>
  <si>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 xml:space="preserve">MARIA NORABUENA ESPADA    Mz C  Lt 36    N.recibo  </t>
    </r>
  </si>
  <si>
    <r>
      <rPr>
        <sz val="12"/>
        <color theme="1"/>
        <rFont val="SansSerif"/>
      </rPr>
      <t>01/05/2026 22:10:44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</si>
  <si>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</si>
  <si>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</si>
  <si>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</si>
  <si>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62.00</t>
    </r>
  </si>
  <si>
    <r>
      <rPr>
        <sz val="12"/>
        <color theme="1"/>
        <rFont val="SansSerif"/>
      </rPr>
      <t>odilon cerna romero Mz.C Lt.1</t>
    </r>
  </si>
  <si>
    <r>
      <rPr>
        <sz val="12"/>
        <color theme="1"/>
        <rFont val="SansSerif"/>
      </rPr>
      <t>01/05/2026 19:38:56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</si>
  <si>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</si>
  <si>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Renan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</si>
  <si>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</si>
  <si>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</si>
  <si>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Sonia cerna melgarejo Mz.C Lt.30</t>
    </r>
  </si>
  <si>
    <r>
      <rPr>
        <sz val="12"/>
        <color theme="1"/>
        <rFont val="SansSerif"/>
      </rPr>
      <t>01/05/2026 19:37:58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</si>
  <si>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</si>
  <si>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</si>
  <si>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</si>
  <si>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</si>
  <si>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Q Lt. 9</t>
    </r>
  </si>
  <si>
    <r>
      <rPr>
        <sz val="12"/>
        <color theme="1"/>
        <rFont val="SansSerif"/>
      </rPr>
      <t>01/05/2026 19:19:02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</si>
  <si>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</si>
  <si>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</si>
  <si>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</si>
  <si>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</si>
  <si>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LUCIA MORENO ROSALES  Mz.S  Lt.9</t>
    </r>
  </si>
  <si>
    <r>
      <rPr>
        <sz val="12"/>
        <color theme="1"/>
        <rFont val="SansSerif"/>
      </rPr>
      <t>01/05/2026 19:10:23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</si>
  <si>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</si>
  <si>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</si>
  <si>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</si>
  <si>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</si>
  <si>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FREDY JIMÉNEZ MONTALVO Mz. T Lt. 3</t>
    </r>
  </si>
  <si>
    <r>
      <rPr>
        <sz val="12"/>
        <color theme="1"/>
        <rFont val="SansSerif"/>
      </rPr>
      <t>01/05/2026 19:06:09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</si>
  <si>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</si>
  <si>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Macedonio Rap*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</si>
  <si>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</si>
  <si>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</si>
  <si>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manzana J lote 5</t>
    </r>
  </si>
  <si>
    <r>
      <rPr>
        <sz val="12"/>
        <color theme="1"/>
        <rFont val="SansSerif"/>
      </rPr>
      <t>01/05/2026 19:04:57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</si>
  <si>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</si>
  <si>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Pablo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</si>
  <si>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</si>
  <si>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</si>
  <si>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Pablo Romero Garcilazo MzQ lote 3 segunda etapa</t>
    </r>
  </si>
  <si>
    <r>
      <rPr>
        <sz val="12"/>
        <color theme="1"/>
        <rFont val="SansSerif"/>
      </rPr>
      <t>01/05/2026 18:51:16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</si>
  <si>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</si>
  <si>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Clever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</si>
  <si>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</si>
  <si>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</si>
  <si>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de Clever López Trujillo mz. v lt13</t>
    </r>
  </si>
  <si>
    <r>
      <rPr>
        <sz val="12"/>
        <color theme="1"/>
        <rFont val="SansSerif"/>
      </rPr>
      <t>01/05/2026 18:36:58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</si>
  <si>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</si>
  <si>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Andres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</si>
  <si>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</si>
  <si>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</si>
  <si>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c1 lt 13</t>
    </r>
  </si>
  <si>
    <r>
      <rPr>
        <sz val="12"/>
        <color theme="1"/>
        <rFont val="SansSerif"/>
      </rPr>
      <t>01/05/2026 18:34:58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</si>
  <si>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</si>
  <si>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Cleysi Sig*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</si>
  <si>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</si>
  <si>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19.00</t>
    </r>
  </si>
  <si>
    <r>
      <rPr>
        <sz val="12"/>
        <color theme="1"/>
        <rFont val="SansSerif"/>
      </rPr>
      <t>recibo agua juan saavedra Mz E lote 14_B</t>
    </r>
  </si>
  <si>
    <r>
      <rPr>
        <sz val="12"/>
        <color theme="1"/>
        <rFont val="SansSerif"/>
      </rPr>
      <t>01/05/2026 18:31:50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</si>
  <si>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</si>
  <si>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Eloy Ram*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</si>
  <si>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</si>
  <si>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</si>
  <si>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Mz.G Lt 23 Hipólito Ramírez centeno</t>
    </r>
  </si>
  <si>
    <r>
      <rPr>
        <sz val="12"/>
        <color theme="1"/>
        <rFont val="SansSerif"/>
      </rPr>
      <t>01/05/2026 18:31:48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</si>
  <si>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</si>
  <si>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Naisa Lun*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</si>
  <si>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</si>
  <si>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</si>
  <si>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01/05/2026 18:11:05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</si>
  <si>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</si>
  <si>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</si>
  <si>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</si>
  <si>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</si>
  <si>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Q Lt.13</t>
    </r>
  </si>
  <si>
    <r>
      <rPr>
        <sz val="12"/>
        <color theme="1"/>
        <rFont val="SansSerif"/>
      </rPr>
      <t>01/05/2026 17:54:51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</si>
  <si>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</si>
  <si>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Edwin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</si>
  <si>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</si>
  <si>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</si>
  <si>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t>Mz. E1 Lt. 14 (equivocado es 4 no 14)</t>
  </si>
  <si>
    <r>
      <rPr>
        <sz val="12"/>
        <color theme="1"/>
        <rFont val="SansSerif"/>
      </rPr>
      <t>01/05/2026 17:52:26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</si>
  <si>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</si>
  <si>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Mizuki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</si>
  <si>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</si>
  <si>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27.00</t>
    </r>
  </si>
  <si>
    <r>
      <rPr>
        <sz val="12"/>
        <color theme="1"/>
        <rFont val="SansSerif"/>
      </rPr>
      <t>MB1 LT6</t>
    </r>
  </si>
  <si>
    <r>
      <rPr>
        <sz val="12"/>
        <color theme="1"/>
        <rFont val="SansSerif"/>
      </rPr>
      <t>01/05/2026 17:50:27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</si>
  <si>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</si>
  <si>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Yomer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</si>
  <si>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</si>
  <si>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</si>
  <si>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MZ.k lt.13.          Rubén Luis Garcilazo</t>
    </r>
  </si>
  <si>
    <r>
      <rPr>
        <sz val="12"/>
        <color theme="1"/>
        <rFont val="SansSerif"/>
      </rPr>
      <t>01/05/2026 17:15:00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</si>
  <si>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</si>
  <si>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Percy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</si>
  <si>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</si>
  <si>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52.00</t>
    </r>
  </si>
  <si>
    <r>
      <rPr>
        <sz val="12"/>
        <color theme="1"/>
        <rFont val="SansSerif"/>
      </rPr>
      <t>MZ G LT 14</t>
    </r>
  </si>
  <si>
    <r>
      <rPr>
        <sz val="12"/>
        <color theme="1"/>
        <rFont val="SansSerif"/>
      </rPr>
      <t>01/05/2026 16:37:29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</si>
  <si>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</si>
  <si>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</si>
  <si>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</si>
  <si>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</si>
  <si>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01/05/2026 15:18:07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</si>
  <si>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</si>
  <si>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</si>
  <si>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</si>
  <si>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</si>
  <si>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01/05/2026 15:17:04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</si>
  <si>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</si>
  <si>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</si>
  <si>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</si>
  <si>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</si>
  <si>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01/05/2026 15:16:04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</si>
  <si>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</si>
  <si>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YASNINA NELLY JAIMES TRUJILLO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</si>
  <si>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</si>
  <si>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</si>
  <si>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01/05/2026 15:14:59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</si>
  <si>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</si>
  <si>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Beltran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</si>
  <si>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</si>
  <si>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24.00</t>
    </r>
  </si>
  <si>
    <r>
      <rPr>
        <sz val="12"/>
        <color theme="1"/>
        <rFont val="SansSerif"/>
      </rPr>
      <t>Mz C lt 31</t>
    </r>
  </si>
  <si>
    <r>
      <rPr>
        <sz val="12"/>
        <color theme="1"/>
        <rFont val="SansSerif"/>
      </rPr>
      <t>01/05/2026 15:04:10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</si>
  <si>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</si>
  <si>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Francisco Acu*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</si>
  <si>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</si>
  <si>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</si>
  <si>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01/05/2026 14:39:58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</si>
  <si>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</si>
  <si>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VICTOR EDUARDO HEREDIA ESPINOZA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</si>
  <si>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</si>
  <si>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</si>
  <si>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01/05/2026 14:30:15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</si>
  <si>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</si>
  <si>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</si>
  <si>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</si>
  <si>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</si>
  <si>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</si>
  <si>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01/05/2026 14:10:16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</si>
  <si>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</si>
  <si>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</si>
  <si>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</si>
  <si>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</si>
  <si>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F . Lt 10  Herminio Lucero Trujillano</t>
    </r>
  </si>
  <si>
    <r>
      <rPr>
        <sz val="12"/>
        <color theme="1"/>
        <rFont val="SansSerif"/>
      </rPr>
      <t>01/05/2026 13:43:06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</si>
  <si>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</si>
  <si>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VENTURO CAPCHA FELIPE DOMINGO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</si>
  <si>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</si>
  <si>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</si>
  <si>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01/05/2026 12:57:33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</si>
  <si>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</si>
  <si>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WILSON PATRICIO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</si>
  <si>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</si>
  <si>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</si>
  <si>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01/05/2026 12:40:36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</si>
  <si>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</si>
  <si>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CADILLO VENTURO DINA NICETA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</si>
  <si>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</si>
  <si>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</si>
  <si>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01/05/2026 12:26:54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</si>
  <si>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</si>
  <si>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Porfirio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</si>
  <si>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</si>
  <si>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</si>
  <si>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Mz.C Lt.9-C (SONIA MORENO CASTILLEJO)</t>
    </r>
  </si>
  <si>
    <r>
      <rPr>
        <sz val="12"/>
        <color theme="1"/>
        <rFont val="SansSerif"/>
      </rPr>
      <t>01/05/2026 12:15:12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</si>
  <si>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</si>
  <si>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</si>
  <si>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</si>
  <si>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42.00</t>
    </r>
  </si>
  <si>
    <r>
      <rPr>
        <sz val="12"/>
        <color theme="1"/>
        <rFont val="SansSerif"/>
      </rPr>
      <t>Manzana I Lote 11</t>
    </r>
  </si>
  <si>
    <r>
      <rPr>
        <sz val="12"/>
        <color theme="1"/>
        <rFont val="SansSerif"/>
      </rPr>
      <t>01/05/2026 12:07:47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</si>
  <si>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</si>
  <si>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</si>
  <si>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</si>
  <si>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64.00</t>
    </r>
  </si>
  <si>
    <r>
      <rPr>
        <sz val="12"/>
        <color theme="1"/>
        <rFont val="SansSerif"/>
      </rPr>
      <t>mz d lt 17</t>
    </r>
  </si>
  <si>
    <r>
      <rPr>
        <sz val="12"/>
        <color theme="1"/>
        <rFont val="SansSerif"/>
      </rPr>
      <t>01/05/2026 11:56:37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</si>
  <si>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</si>
  <si>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Flora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</si>
  <si>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</si>
  <si>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</si>
  <si>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Mz.R Lt.4 (FLORA CASTILLEJO VENTURO)</t>
    </r>
  </si>
  <si>
    <r>
      <rPr>
        <sz val="12"/>
        <color theme="1"/>
        <rFont val="SansSerif"/>
      </rPr>
      <t>01/05/2026 11:56:30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</si>
  <si>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</si>
  <si>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</si>
  <si>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</si>
  <si>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</si>
  <si>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MzS   Lt15   Nancy Moreno Torres</t>
    </r>
  </si>
  <si>
    <r>
      <rPr>
        <sz val="12"/>
        <color theme="1"/>
        <rFont val="SansSerif"/>
      </rPr>
      <t>01/05/2026 11:43:49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</si>
  <si>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</si>
  <si>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Abigail Gas*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</si>
  <si>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</si>
  <si>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</si>
  <si>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mz. F lote.3.B</t>
    </r>
  </si>
  <si>
    <r>
      <rPr>
        <sz val="12"/>
        <color theme="1"/>
        <rFont val="SansSerif"/>
      </rPr>
      <t>01/05/2026 11:38:46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</si>
  <si>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</si>
  <si>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Grabiela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</si>
  <si>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</si>
  <si>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46.00</t>
    </r>
  </si>
  <si>
    <r>
      <rPr>
        <sz val="12"/>
        <color theme="1"/>
        <rFont val="SansSerif"/>
      </rPr>
      <t>TEOFILA FERNANDEZ REYES MZ E LT 12</t>
    </r>
  </si>
  <si>
    <r>
      <rPr>
        <sz val="12"/>
        <color theme="1"/>
        <rFont val="SansSerif"/>
      </rPr>
      <t>01/05/2026 11:34:51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</si>
  <si>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</si>
  <si>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Rudi Roc*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</si>
  <si>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</si>
  <si>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23.00</t>
    </r>
  </si>
  <si>
    <r>
      <rPr>
        <sz val="12"/>
        <color theme="1"/>
        <rFont val="SansSerif"/>
      </rPr>
      <t>Julián roca Valencia mz w Lt16</t>
    </r>
  </si>
  <si>
    <r>
      <rPr>
        <sz val="12"/>
        <color theme="1"/>
        <rFont val="SansSerif"/>
      </rPr>
      <t>01/05/2026 11:31:04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</si>
  <si>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</si>
  <si>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</si>
  <si>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</si>
  <si>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53.00</t>
    </r>
  </si>
  <si>
    <r>
      <rPr>
        <sz val="12"/>
        <color theme="1"/>
        <rFont val="SansSerif"/>
      </rPr>
      <t xml:space="preserve">pago del recibo 16607 de la Mz. L Lte 02 Alejandro Julca </t>
    </r>
  </si>
  <si>
    <r>
      <rPr>
        <sz val="12"/>
        <color theme="1"/>
        <rFont val="SansSerif"/>
      </rPr>
      <t>01/05/2026 11:19:09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</si>
  <si>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</si>
  <si>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Jul*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</si>
  <si>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</si>
  <si>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</si>
  <si>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pago del recibo 16742 de la mz T Lte.20 Maria Julca Rios</t>
    </r>
  </si>
  <si>
    <r>
      <rPr>
        <sz val="12"/>
        <color theme="1"/>
        <rFont val="SansSerif"/>
      </rPr>
      <t>01/05/2026 11:17:07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</si>
  <si>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</si>
  <si>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Nicolasa Bal*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</si>
  <si>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</si>
  <si>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16.50</t>
    </r>
  </si>
  <si>
    <r>
      <rPr>
        <sz val="12"/>
        <color theme="1"/>
        <rFont val="SansSerif"/>
      </rPr>
      <t>Mz.  T  LT.  13</t>
    </r>
  </si>
  <si>
    <r>
      <rPr>
        <sz val="12"/>
        <color theme="1"/>
        <rFont val="SansSerif"/>
      </rPr>
      <t>01/05/2026 11:00:57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</si>
  <si>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</si>
  <si>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</si>
  <si>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</si>
  <si>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</si>
  <si>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G1 Lt.4 Rossana samaritano</t>
    </r>
  </si>
  <si>
    <r>
      <rPr>
        <sz val="12"/>
        <color theme="1"/>
        <rFont val="SansSerif"/>
      </rPr>
      <t>01/05/2026 10:56:06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</si>
  <si>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</si>
  <si>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Linda Paj*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</si>
  <si>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</si>
  <si>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</si>
  <si>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MzA Lote 3</t>
    </r>
  </si>
  <si>
    <r>
      <rPr>
        <sz val="12"/>
        <color theme="1"/>
        <rFont val="SansSerif"/>
      </rPr>
      <t>01/05/2026 10:48:44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</si>
  <si>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</si>
  <si>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Efrain Can*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</si>
  <si>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</si>
  <si>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11.00</t>
    </r>
  </si>
  <si>
    <r>
      <rPr>
        <sz val="12"/>
        <color theme="1"/>
        <rFont val="SansSerif"/>
      </rPr>
      <t>Mz.F1. Lt.7 Efraín Candacho Huarac</t>
    </r>
  </si>
  <si>
    <r>
      <rPr>
        <sz val="12"/>
        <color theme="1"/>
        <rFont val="SansSerif"/>
      </rPr>
      <t>01/05/2026 10:21:22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</si>
  <si>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</si>
  <si>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Jesica Oli*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</si>
  <si>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</si>
  <si>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</si>
  <si>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01/05/2026 10:17:29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</si>
  <si>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</si>
  <si>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Edita Rom*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</si>
  <si>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</si>
  <si>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</si>
  <si>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 C Lt 33 (Edita Romero Mayo)</t>
    </r>
  </si>
  <si>
    <r>
      <rPr>
        <sz val="12"/>
        <color theme="1"/>
        <rFont val="SansSerif"/>
      </rPr>
      <t>01/05/2026 10:14:14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</si>
  <si>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</si>
  <si>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GARRIDO CERNA YASMIN BONNIE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</si>
  <si>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</si>
  <si>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</si>
  <si>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Consumo de agua Haydee Cerna Neyra ,Mz Y LT 8</t>
    </r>
  </si>
  <si>
    <r>
      <rPr>
        <sz val="12"/>
        <color theme="1"/>
        <rFont val="SansSerif"/>
      </rPr>
      <t>01/05/2026 09:27:11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</si>
  <si>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</si>
  <si>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Liliana Req*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</si>
  <si>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</si>
  <si>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21.00</t>
    </r>
  </si>
  <si>
    <r>
      <rPr>
        <sz val="12"/>
        <color theme="1"/>
        <rFont val="SansSerif"/>
      </rPr>
      <t>mz d lt 12</t>
    </r>
  </si>
  <si>
    <r>
      <rPr>
        <sz val="12"/>
        <color theme="1"/>
        <rFont val="SansSerif"/>
      </rPr>
      <t>01/05/2026 08:04:19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</si>
  <si>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</si>
  <si>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Fredy Jim*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</si>
  <si>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</si>
  <si>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</si>
  <si>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RUFINA FRANCISCO JIMENEZ Mz. P Lt.15</t>
    </r>
  </si>
  <si>
    <r>
      <rPr>
        <sz val="12"/>
        <color theme="1"/>
        <rFont val="SansSerif"/>
      </rPr>
      <t>30/04/2026 20:34:17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</si>
  <si>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</si>
  <si>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Marycielo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</si>
  <si>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</si>
  <si>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</si>
  <si>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Ana María Espinoza Fernández Mz.U Lt.4</t>
    </r>
  </si>
  <si>
    <r>
      <rPr>
        <sz val="12"/>
        <color theme="1"/>
        <rFont val="SansSerif"/>
      </rPr>
      <t>30/04/2026 20:27:31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</si>
  <si>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</si>
  <si>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Yesica Esp*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</si>
  <si>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</si>
  <si>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</si>
  <si>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Mz:W lote 02 yesica Espinoza Fernández.</t>
    </r>
  </si>
  <si>
    <r>
      <rPr>
        <sz val="12"/>
        <color theme="1"/>
        <rFont val="SansSerif"/>
      </rPr>
      <t>30/04/2026 20:23:39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</si>
  <si>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</si>
  <si>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Noemi Pol*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</si>
  <si>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</si>
  <si>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25.00</t>
    </r>
  </si>
  <si>
    <r>
      <rPr>
        <sz val="12"/>
        <color theme="1"/>
        <rFont val="SansSerif"/>
      </rPr>
      <t>Mz-z / L-18</t>
    </r>
  </si>
  <si>
    <r>
      <rPr>
        <sz val="12"/>
        <color theme="1"/>
        <rFont val="SansSerif"/>
      </rPr>
      <t>30/04/2026 19:20:20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</si>
  <si>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</si>
  <si>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Levid Car*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</si>
  <si>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</si>
  <si>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</si>
  <si>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u Lt 5</t>
    </r>
  </si>
  <si>
    <r>
      <rPr>
        <sz val="12"/>
        <color theme="1"/>
        <rFont val="SansSerif"/>
      </rPr>
      <t>30/04/2026 19:10:44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</si>
  <si>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</si>
  <si>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Teresa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</si>
  <si>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</si>
  <si>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</si>
  <si>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30/04/2026 18:11:34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</si>
  <si>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</si>
  <si>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Johan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</si>
  <si>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</si>
  <si>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</si>
  <si>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MZ, B1-LT.3--Johan Rodriguez Flores</t>
    </r>
  </si>
  <si>
    <r>
      <rPr>
        <sz val="12"/>
        <color theme="1"/>
        <rFont val="SansSerif"/>
      </rPr>
      <t>30/04/2026 15:07:46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</si>
  <si>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</si>
  <si>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</si>
  <si>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</si>
  <si>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</si>
  <si>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 M. Lt 6</t>
    </r>
  </si>
  <si>
    <r>
      <rPr>
        <sz val="12"/>
        <color theme="1"/>
        <rFont val="SansSerif"/>
      </rPr>
      <t>30/04/2026 12:31:53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</si>
  <si>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</si>
  <si>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Gra*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</si>
  <si>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</si>
  <si>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</si>
  <si>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H1. Lt. 13</t>
    </r>
  </si>
  <si>
    <r>
      <rPr>
        <sz val="12"/>
        <color theme="1"/>
        <rFont val="SansSerif"/>
      </rPr>
      <t>30/04/2026 12:29:24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</si>
  <si>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</si>
  <si>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Christian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</si>
  <si>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</si>
  <si>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72.00</t>
    </r>
  </si>
  <si>
    <r>
      <rPr>
        <sz val="12"/>
        <color theme="1"/>
        <rFont val="SansSerif"/>
      </rPr>
      <t>Julio Nieto Ortiz Mz.H- Lt 17.</t>
    </r>
  </si>
  <si>
    <r>
      <rPr>
        <sz val="12"/>
        <color theme="1"/>
        <rFont val="SansSerif"/>
      </rPr>
      <t>30/04/2026 12:12:06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</si>
  <si>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</si>
  <si>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Herlinda Ang*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</si>
  <si>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</si>
  <si>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</si>
  <si>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Jacinta amez aguirre. MZ. T LT 6</t>
    </r>
  </si>
  <si>
    <r>
      <rPr>
        <sz val="12"/>
        <color theme="1"/>
        <rFont val="SansSerif"/>
      </rPr>
      <t>30/04/2026 11:25:02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</si>
  <si>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</si>
  <si>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Honorata Her*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</si>
  <si>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</si>
  <si>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</si>
  <si>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julio cesar cabello romero Mz Q Lt 2</t>
    </r>
  </si>
  <si>
    <r>
      <rPr>
        <sz val="12"/>
        <color theme="1"/>
        <rFont val="SansSerif"/>
      </rPr>
      <t>30/04/2026 10:10:15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</si>
  <si>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</si>
  <si>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</si>
  <si>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</si>
  <si>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</si>
  <si>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julio príncipe mz D lote 4</t>
    </r>
  </si>
  <si>
    <r>
      <rPr>
        <sz val="12"/>
        <color theme="1"/>
        <rFont val="SansSerif"/>
      </rPr>
      <t>30/04/2026 07:19:39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</si>
  <si>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</si>
  <si>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Dante Mez*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</si>
  <si>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</si>
  <si>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26.00</t>
    </r>
  </si>
  <si>
    <r>
      <rPr>
        <sz val="12"/>
        <color theme="1"/>
        <rFont val="SansSerif"/>
      </rPr>
      <t>Mz H1 LT 12</t>
    </r>
  </si>
  <si>
    <r>
      <rPr>
        <sz val="12"/>
        <color theme="1"/>
        <rFont val="SansSerif"/>
      </rPr>
      <t>30/04/2026 06:44:03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</si>
  <si>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</si>
  <si>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Jenny Lin*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</si>
  <si>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</si>
  <si>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48.00</t>
    </r>
  </si>
  <si>
    <r>
      <rPr>
        <sz val="12"/>
        <color theme="1"/>
        <rFont val="SansSerif"/>
      </rPr>
      <t>Mz.C1l.7</t>
    </r>
  </si>
  <si>
    <r>
      <rPr>
        <sz val="12"/>
        <color theme="1"/>
        <rFont val="SansSerif"/>
      </rPr>
      <t>29/04/2026 20:42:40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</si>
  <si>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</si>
  <si>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Rossana Sam*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</si>
  <si>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</si>
  <si>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</si>
  <si>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G1 Lt. 5 Jhon Robert samaritano Heredia</t>
    </r>
  </si>
  <si>
    <r>
      <rPr>
        <sz val="12"/>
        <color theme="1"/>
        <rFont val="SansSerif"/>
      </rPr>
      <t>29/04/2026 20:40:16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</si>
  <si>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</si>
  <si>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Rosa Tol*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</si>
  <si>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</si>
  <si>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</si>
  <si>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>29/04/2026 19:57:27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</si>
  <si>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</si>
  <si>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Ever Cer*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</si>
  <si>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</si>
  <si>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</si>
  <si>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MZ.C1.LT.15</t>
    </r>
  </si>
  <si>
    <r>
      <rPr>
        <sz val="12"/>
        <color theme="1"/>
        <rFont val="SansSerif"/>
      </rPr>
      <t>29/04/2026 18:47:15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</si>
  <si>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</si>
  <si>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Nancy Mon*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</si>
  <si>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</si>
  <si>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10.00</t>
    </r>
  </si>
  <si>
    <r>
      <rPr>
        <sz val="12"/>
        <color theme="1"/>
        <rFont val="SansSerif"/>
      </rPr>
      <t>Tito Cosme castillejo Mz.H1.Lt 36</t>
    </r>
  </si>
  <si>
    <r>
      <rPr>
        <sz val="12"/>
        <color theme="1"/>
        <rFont val="SansSerif"/>
      </rPr>
      <t>29/04/2026 17:44:18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</si>
  <si>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</si>
  <si>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KALU ENERGY MOTORS S.A.C.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</si>
  <si>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</si>
  <si>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51.00</t>
    </r>
  </si>
  <si>
    <r>
      <rPr>
        <sz val="12"/>
        <color theme="1"/>
        <rFont val="SansSerif"/>
      </rPr>
      <t>agapito príncipe salinas Mz C lt 5</t>
    </r>
  </si>
  <si>
    <r>
      <rPr>
        <sz val="12"/>
        <color theme="1"/>
        <rFont val="SansSerif"/>
      </rPr>
      <t>29/04/2026 17:22:30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</si>
  <si>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</si>
  <si>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</si>
  <si>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</si>
  <si>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</si>
  <si>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usuario ciriaco Morales Lopez mz H lt 15</t>
    </r>
  </si>
  <si>
    <r>
      <rPr>
        <sz val="12"/>
        <color theme="1"/>
        <rFont val="SansSerif"/>
      </rPr>
      <t>29/04/2026 16:46:23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</si>
  <si>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</si>
  <si>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Judy Mor*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</si>
  <si>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</si>
  <si>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45.00</t>
    </r>
  </si>
  <si>
    <r>
      <rPr>
        <sz val="12"/>
        <color theme="1"/>
        <rFont val="SansSerif"/>
      </rPr>
      <t>usuario Ramos saturnino Mendoza mz I lt 3</t>
    </r>
  </si>
  <si>
    <r>
      <rPr>
        <sz val="12"/>
        <color theme="1"/>
        <rFont val="SansSerif"/>
      </rPr>
      <t>29/04/2026 15:47:16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</si>
  <si>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</si>
  <si>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Flor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</si>
  <si>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</si>
  <si>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</si>
  <si>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MZ .W LT. 3  julio Echeverría</t>
    </r>
  </si>
  <si>
    <r>
      <rPr>
        <sz val="12"/>
        <color theme="1"/>
        <rFont val="SansSerif"/>
      </rPr>
      <t>29/04/2026 15:20:33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</si>
  <si>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</si>
  <si>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BCP - VELASQUEZ ROMERO GERALDINE MISIEL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</si>
  <si>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</si>
  <si>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77.00</t>
    </r>
  </si>
  <si>
    <r>
      <rPr>
        <sz val="12"/>
        <color theme="1"/>
        <rFont val="SansSerif"/>
      </rPr>
      <t>Mz G Lt 13</t>
    </r>
  </si>
  <si>
    <r>
      <rPr>
        <sz val="12"/>
        <color theme="1"/>
        <rFont val="SansSerif"/>
      </rPr>
      <t>29/04/2026 11:57:08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</si>
  <si>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</si>
  <si>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PLIN - Blanca Luz Rafaele Ochoa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</si>
  <si>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</si>
  <si>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15.00</t>
    </r>
  </si>
  <si>
    <r>
      <rPr>
        <sz val="12"/>
        <color theme="1"/>
        <rFont val="SansSerif"/>
      </rPr>
      <t>29/04/2026 11:14:30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</si>
  <si>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</si>
  <si>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Felicitas Ros*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</si>
  <si>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</si>
  <si>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33.00</t>
    </r>
  </si>
  <si>
    <r>
      <rPr>
        <sz val="12"/>
        <color theme="1"/>
        <rFont val="SansSerif"/>
      </rPr>
      <t>MzO Lt25</t>
    </r>
  </si>
  <si>
    <r>
      <rPr>
        <sz val="12"/>
        <color theme="1"/>
        <rFont val="SansSerif"/>
      </rPr>
      <t>29/04/2026 10:34:58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</si>
  <si>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</si>
  <si>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</si>
  <si>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</si>
  <si>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</si>
  <si>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 c lt 13</t>
    </r>
  </si>
  <si>
    <r>
      <rPr>
        <sz val="12"/>
        <color theme="1"/>
        <rFont val="SansSerif"/>
      </rPr>
      <t>29/04/2026 10:18:17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</si>
  <si>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</si>
  <si>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Felix Poz*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</si>
  <si>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</si>
  <si>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</si>
  <si>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ALT 11 felix pozo</t>
    </r>
  </si>
  <si>
    <r>
      <rPr>
        <sz val="12"/>
        <color theme="1"/>
        <rFont val="SansSerif"/>
      </rPr>
      <t>29/04/2026 10:06:38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</si>
  <si>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</si>
  <si>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Irma Huanahui L.</t>
    </r>
  </si>
  <si>
    <r>
      <rPr>
        <sz val="12"/>
        <color theme="1"/>
        <rFont val="SansSerif"/>
      </rPr>
      <t>Janet Villanueva A.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</si>
  <si>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</si>
  <si>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 k lt 11 Martina morales rios</t>
    </r>
  </si>
  <si>
    <r>
      <rPr>
        <sz val="12"/>
        <color theme="1"/>
        <rFont val="SansSerif"/>
      </rPr>
      <t>29/04/2026 10:05:53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</si>
  <si>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</si>
  <si>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</si>
  <si>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</si>
  <si>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</si>
  <si>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 I lt 15 Teresa Romero</t>
    </r>
  </si>
  <si>
    <r>
      <rPr>
        <sz val="12"/>
        <color theme="1"/>
        <rFont val="SansSerif"/>
      </rPr>
      <t>29/04/2026 08:18:41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</si>
  <si>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</si>
  <si>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Yumila Hue*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</si>
  <si>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</si>
  <si>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17.00</t>
    </r>
  </si>
  <si>
    <r>
      <rPr>
        <sz val="12"/>
        <color theme="1"/>
        <rFont val="SansSerif"/>
      </rPr>
      <t>Mz M lote 13 rosa juana Minaya villanueva</t>
    </r>
  </si>
  <si>
    <r>
      <rPr>
        <sz val="12"/>
        <color theme="1"/>
        <rFont val="SansSerif"/>
      </rPr>
      <t>28/04/2026 21:42:46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</si>
  <si>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</si>
  <si>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</si>
  <si>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</si>
  <si>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</si>
  <si>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Javier MELGAREJO CASTILLO.                    Mz. O   Lt. 21</t>
    </r>
  </si>
  <si>
    <r>
      <rPr>
        <sz val="12"/>
        <color theme="1"/>
        <rFont val="SansSerif"/>
      </rPr>
      <t>28/04/2026 20:26:37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</si>
  <si>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</si>
  <si>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Javier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</si>
  <si>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</si>
  <si>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55.00</t>
    </r>
  </si>
  <si>
    <r>
      <rPr>
        <sz val="12"/>
        <color theme="1"/>
        <rFont val="SansSerif"/>
      </rPr>
      <t>Tereza LOPEZ SAMARITANO.                  Mz. O    Lt. 22</t>
    </r>
  </si>
  <si>
    <r>
      <rPr>
        <sz val="12"/>
        <color theme="1"/>
        <rFont val="SansSerif"/>
      </rPr>
      <t>28/04/2026 20:24:35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</si>
  <si>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</si>
  <si>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Coc*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</si>
  <si>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</si>
  <si>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</si>
  <si>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 H  L1</t>
    </r>
  </si>
  <si>
    <r>
      <rPr>
        <sz val="12"/>
        <color theme="1"/>
        <rFont val="SansSerif"/>
      </rPr>
      <t>28/04/2026 20:02:39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</si>
  <si>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</si>
  <si>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Gudelia Mir*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</si>
  <si>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</si>
  <si>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</si>
  <si>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mz F.  lt .8</t>
    </r>
  </si>
  <si>
    <r>
      <rPr>
        <sz val="12"/>
        <color theme="1"/>
        <rFont val="SansSerif"/>
      </rPr>
      <t>28/04/2026 18:27:08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</si>
  <si>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</si>
  <si>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Julio Rio*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</si>
  <si>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</si>
  <si>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</si>
  <si>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Julio Ríos Blas  mz.c.lt.15</t>
    </r>
  </si>
  <si>
    <r>
      <rPr>
        <sz val="12"/>
        <color theme="1"/>
        <rFont val="SansSerif"/>
      </rPr>
      <t>28/04/2026 18:22:01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</si>
  <si>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</si>
  <si>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</si>
  <si>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</si>
  <si>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</si>
  <si>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28/04/2026 18:07:07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</si>
  <si>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</si>
  <si>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Tito Oso*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</si>
  <si>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</si>
  <si>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12.00</t>
    </r>
  </si>
  <si>
    <r>
      <rPr>
        <sz val="12"/>
        <color theme="1"/>
        <rFont val="SansSerif"/>
      </rPr>
      <t>Tito Osorio mz.X lt.1</t>
    </r>
  </si>
  <si>
    <r>
      <rPr>
        <sz val="12"/>
        <color theme="1"/>
        <rFont val="SansSerif"/>
      </rPr>
      <t>28/04/2026 17:53:27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</si>
  <si>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</si>
  <si>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Sandra Del*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</si>
  <si>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</si>
  <si>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</si>
  <si>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Alberto chinchay pariamachi mza.a1 lote 5</t>
    </r>
  </si>
  <si>
    <r>
      <rPr>
        <sz val="12"/>
        <color theme="1"/>
        <rFont val="SansSerif"/>
      </rPr>
      <t>28/04/2026 17:07:34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</si>
  <si>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</si>
  <si>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Alberto Lop*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</si>
  <si>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</si>
  <si>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43.00</t>
    </r>
  </si>
  <si>
    <r>
      <rPr>
        <sz val="12"/>
        <color theme="1"/>
        <rFont val="SansSerif"/>
      </rPr>
      <t>Haydee Rimac Alberto  Mz.J. Lt.7</t>
    </r>
  </si>
  <si>
    <r>
      <rPr>
        <sz val="12"/>
        <color theme="1"/>
        <rFont val="SansSerif"/>
      </rPr>
      <t>28/04/2026 17:04:45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</si>
  <si>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</si>
  <si>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</si>
  <si>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</si>
  <si>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</si>
  <si>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z lt 4  Etapa 2</t>
    </r>
  </si>
  <si>
    <r>
      <rPr>
        <sz val="12"/>
        <color theme="1"/>
        <rFont val="SansSerif"/>
      </rPr>
      <t>28/04/2026 17:04:11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</si>
  <si>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</si>
  <si>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Hellen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</si>
  <si>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</si>
  <si>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</si>
  <si>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AGUSTINA CALDAS MZ "L" LT "15"</t>
    </r>
  </si>
  <si>
    <r>
      <rPr>
        <sz val="12"/>
        <color theme="1"/>
        <rFont val="SansSerif"/>
      </rPr>
      <t>28/04/2026 15:16:41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</si>
  <si>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</si>
  <si>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Hugo Taf*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</si>
  <si>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</si>
  <si>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9.00</t>
    </r>
  </si>
  <si>
    <r>
      <rPr>
        <sz val="12"/>
        <color theme="1"/>
        <rFont val="SansSerif"/>
      </rPr>
      <t xml:space="preserve">Buenas tardes  ahí  pago  mi  recibo  Mz M lote  16 calle </t>
    </r>
  </si>
  <si>
    <r>
      <rPr>
        <sz val="12"/>
        <color theme="1"/>
        <rFont val="SansSerif"/>
      </rPr>
      <t>28/04/2026 14:05:20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</si>
  <si>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</si>
  <si>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Sven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</si>
  <si>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</si>
  <si>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</si>
  <si>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mz.B1 Lt.8 deonicia coraquillo valerio</t>
    </r>
  </si>
  <si>
    <r>
      <rPr>
        <sz val="12"/>
        <color theme="1"/>
        <rFont val="SansSerif"/>
      </rPr>
      <t>28/04/2026 13:49:57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</si>
  <si>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</si>
  <si>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Martha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</si>
  <si>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</si>
  <si>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</si>
  <si>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Mz. Z LT 3 MARTHA BACILIO</t>
    </r>
  </si>
  <si>
    <r>
      <rPr>
        <sz val="12"/>
        <color theme="1"/>
        <rFont val="SansSerif"/>
      </rPr>
      <t>28/04/2026 11:30:06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</si>
  <si>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</si>
  <si>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Carmen Val*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</si>
  <si>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</si>
  <si>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</si>
  <si>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Pago de servicio de agua Mz E Lt 3</t>
    </r>
  </si>
  <si>
    <r>
      <rPr>
        <sz val="12"/>
        <color theme="1"/>
        <rFont val="SansSerif"/>
      </rPr>
      <t>28/04/2026 10:33:52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</si>
  <si>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</si>
  <si>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Sonia Mas*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</si>
  <si>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</si>
  <si>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14.00</t>
    </r>
  </si>
  <si>
    <r>
      <rPr>
        <sz val="12"/>
        <color theme="1"/>
        <rFont val="SansSerif"/>
      </rPr>
      <t>M.Z V.LT.16 SONIA MASIAS</t>
    </r>
  </si>
  <si>
    <r>
      <rPr>
        <sz val="12"/>
        <color theme="1"/>
        <rFont val="SansSerif"/>
      </rPr>
      <t>28/04/2026 09:54:03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</si>
  <si>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</si>
  <si>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Julia Jua*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</si>
  <si>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</si>
  <si>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54.00</t>
    </r>
  </si>
  <si>
    <r>
      <rPr>
        <sz val="12"/>
        <color theme="1"/>
        <rFont val="SansSerif"/>
      </rPr>
      <t xml:space="preserve">Esteban Reyes Sánchez Mz A Lote 06 +3ra cuota de </t>
    </r>
  </si>
  <si>
    <r>
      <rPr>
        <sz val="12"/>
        <color theme="1"/>
        <rFont val="SansSerif"/>
      </rPr>
      <t>28/04/2026 08:50:04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</si>
  <si>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</si>
  <si>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</si>
  <si>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</si>
  <si>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57.00</t>
    </r>
  </si>
  <si>
    <r>
      <rPr>
        <sz val="12"/>
        <color theme="1"/>
        <rFont val="SansSerif"/>
      </rPr>
      <t>Mz L.  Lt 8.  Ana Rodríguez</t>
    </r>
  </si>
  <si>
    <r>
      <rPr>
        <sz val="12"/>
        <color theme="1"/>
        <rFont val="SansSerif"/>
      </rPr>
      <t>28/04/2026 08:35:42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</si>
  <si>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</si>
  <si>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Hector Agu*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</si>
  <si>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</si>
  <si>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31.00</t>
    </r>
  </si>
  <si>
    <r>
      <rPr>
        <sz val="12"/>
        <color theme="1"/>
        <rFont val="SansSerif"/>
      </rPr>
      <t>28/04/2026 08:32:32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</si>
  <si>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</si>
  <si>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</si>
  <si>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Lilia Tor*</t>
    </r>
  </si>
  <si>
    <r>
      <rPr>
        <sz val="12"/>
        <color theme="1"/>
        <rFont val="SansSerif"/>
      </rPr>
      <t>12.50</t>
    </r>
  </si>
  <si>
    <r>
      <rPr>
        <sz val="12"/>
        <color theme="1"/>
        <rFont val="SansSerif"/>
      </rPr>
      <t>impresión de recibos</t>
    </r>
  </si>
  <si>
    <r>
      <rPr>
        <sz val="12"/>
        <color theme="1"/>
        <rFont val="SansSerif"/>
      </rPr>
      <t>27/04/2026 08:12:21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</si>
  <si>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</si>
  <si>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</si>
  <si>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Dedicacion Gar*</t>
    </r>
  </si>
  <si>
    <r>
      <rPr>
        <sz val="12"/>
        <color theme="1"/>
        <rFont val="SansSerif"/>
      </rPr>
      <t>82.00</t>
    </r>
  </si>
  <si>
    <r>
      <rPr>
        <sz val="12"/>
        <color theme="1"/>
        <rFont val="SansSerif"/>
      </rPr>
      <t xml:space="preserve">gaseosas y panes día de faena(cementerio tanque </t>
    </r>
  </si>
  <si>
    <r>
      <rPr>
        <sz val="12"/>
        <color theme="1"/>
        <rFont val="SansSerif"/>
      </rPr>
      <t>26/04/2026 20:33:00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</si>
  <si>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</si>
  <si>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</si>
  <si>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</si>
  <si>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</si>
  <si>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16</t>
    </r>
  </si>
  <si>
    <r>
      <rPr>
        <sz val="12"/>
        <color theme="1"/>
        <rFont val="SansSerif"/>
      </rPr>
      <t>25/04/2026 09:59:46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</si>
  <si>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</si>
  <si>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</si>
  <si>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</si>
  <si>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</si>
  <si>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15</t>
    </r>
  </si>
  <si>
    <r>
      <rPr>
        <sz val="12"/>
        <color theme="1"/>
        <rFont val="SansSerif"/>
      </rPr>
      <t>25/04/2026 09:58:51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</si>
  <si>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</si>
  <si>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</si>
  <si>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</si>
  <si>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</si>
  <si>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14</t>
    </r>
  </si>
  <si>
    <r>
      <rPr>
        <sz val="12"/>
        <color theme="1"/>
        <rFont val="SansSerif"/>
      </rPr>
      <t>25/04/2026 09:58:00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</si>
  <si>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</si>
  <si>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</si>
  <si>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</si>
  <si>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</si>
  <si>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13</t>
    </r>
  </si>
  <si>
    <r>
      <rPr>
        <sz val="12"/>
        <color theme="1"/>
        <rFont val="SansSerif"/>
      </rPr>
      <t>25/04/2026 09:57:21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</si>
  <si>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</si>
  <si>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</si>
  <si>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</si>
  <si>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</si>
  <si>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11</t>
    </r>
  </si>
  <si>
    <r>
      <rPr>
        <sz val="12"/>
        <color theme="1"/>
        <rFont val="SansSerif"/>
      </rPr>
      <t>24/04/2026 12:21:28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</si>
  <si>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</si>
  <si>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</si>
  <si>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</si>
  <si>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</si>
  <si>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11</t>
    </r>
  </si>
  <si>
    <r>
      <rPr>
        <sz val="12"/>
        <color theme="1"/>
        <rFont val="SansSerif"/>
      </rPr>
      <t>24/04/2026 12:20:52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</si>
  <si>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</si>
  <si>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</si>
  <si>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</si>
  <si>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</si>
  <si>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10</t>
    </r>
  </si>
  <si>
    <r>
      <rPr>
        <sz val="12"/>
        <color theme="1"/>
        <rFont val="SansSerif"/>
      </rPr>
      <t>24/04/2026 12:20:00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</si>
  <si>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</si>
  <si>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</si>
  <si>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</si>
  <si>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</si>
  <si>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9</t>
    </r>
  </si>
  <si>
    <r>
      <rPr>
        <sz val="12"/>
        <color theme="1"/>
        <rFont val="SansSerif"/>
      </rPr>
      <t>24/04/2026 12:19:16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</si>
  <si>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</si>
  <si>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</si>
  <si>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Rosmery Riv*</t>
    </r>
  </si>
  <si>
    <r>
      <rPr>
        <sz val="12"/>
        <color theme="1"/>
        <rFont val="SansSerif"/>
      </rPr>
      <t>90.00</t>
    </r>
  </si>
  <si>
    <r>
      <rPr>
        <sz val="12"/>
        <color theme="1"/>
        <rFont val="SansSerif"/>
      </rPr>
      <t>efectivo</t>
    </r>
  </si>
  <si>
    <r>
      <rPr>
        <sz val="12"/>
        <color theme="1"/>
        <rFont val="SansSerif"/>
      </rPr>
      <t>23/04/2026 13:19:47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</si>
  <si>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</si>
  <si>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</si>
  <si>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</si>
  <si>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115.00</t>
    </r>
  </si>
  <si>
    <r>
      <rPr>
        <sz val="12"/>
        <color theme="1"/>
        <rFont val="SansSerif"/>
      </rPr>
      <t>cena de directivos después de la reunión</t>
    </r>
  </si>
  <si>
    <r>
      <rPr>
        <sz val="12"/>
        <color theme="1"/>
        <rFont val="SansSerif"/>
      </rPr>
      <t>20/04/2026 10:59:44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</si>
  <si>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</si>
  <si>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</si>
  <si>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</si>
  <si>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</si>
  <si>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depósito 8</t>
    </r>
  </si>
  <si>
    <r>
      <rPr>
        <sz val="12"/>
        <color theme="1"/>
        <rFont val="SansSerif"/>
      </rPr>
      <t>20/04/2026 10:39:40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</si>
  <si>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</si>
  <si>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</si>
  <si>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</si>
  <si>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</si>
  <si>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7</t>
    </r>
  </si>
  <si>
    <r>
      <rPr>
        <sz val="12"/>
        <color theme="1"/>
        <rFont val="SansSerif"/>
      </rPr>
      <t>20/04/2026 10:37:22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</si>
  <si>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</si>
  <si>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</si>
  <si>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</si>
  <si>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</si>
  <si>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6</t>
    </r>
  </si>
  <si>
    <r>
      <rPr>
        <sz val="12"/>
        <color theme="1"/>
        <rFont val="SansSerif"/>
      </rPr>
      <t>20/04/2026 10:36:29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</si>
  <si>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</si>
  <si>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</si>
  <si>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</si>
  <si>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</si>
  <si>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5</t>
    </r>
  </si>
  <si>
    <r>
      <rPr>
        <sz val="12"/>
        <color theme="1"/>
        <rFont val="SansSerif"/>
      </rPr>
      <t>20/04/2026 10:35:55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</si>
  <si>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</si>
  <si>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</si>
  <si>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</si>
  <si>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150.00</t>
    </r>
  </si>
  <si>
    <t>Rosa coronado</t>
  </si>
  <si>
    <r>
      <rPr>
        <sz val="12"/>
        <color theme="1"/>
        <rFont val="SansSerif"/>
      </rPr>
      <t>devolución Rosa Coronado a cuenta saldo JASS</t>
    </r>
  </si>
  <si>
    <r>
      <rPr>
        <sz val="12"/>
        <color theme="1"/>
        <rFont val="SansSerif"/>
      </rPr>
      <t>19/04/2026 15:08:20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</si>
  <si>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</si>
  <si>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</si>
  <si>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</si>
  <si>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</si>
  <si>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4</t>
    </r>
  </si>
  <si>
    <r>
      <rPr>
        <sz val="12"/>
        <color theme="1"/>
        <rFont val="SansSerif"/>
      </rPr>
      <t>18/04/2026 08:47:23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</si>
  <si>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</si>
  <si>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</si>
  <si>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</si>
  <si>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</si>
  <si>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3</t>
    </r>
  </si>
  <si>
    <r>
      <rPr>
        <sz val="12"/>
        <color theme="1"/>
        <rFont val="SansSerif"/>
      </rPr>
      <t>18/04/2026 08:46:51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</si>
  <si>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</si>
  <si>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</si>
  <si>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</si>
  <si>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</si>
  <si>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2</t>
    </r>
  </si>
  <si>
    <r>
      <rPr>
        <sz val="12"/>
        <color theme="1"/>
        <rFont val="SansSerif"/>
      </rPr>
      <t>18/04/2026 08:46:16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</si>
  <si>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</si>
  <si>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</si>
  <si>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</si>
  <si>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</si>
  <si>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depósito 1</t>
    </r>
  </si>
  <si>
    <r>
      <rPr>
        <sz val="12"/>
        <color theme="1"/>
        <rFont val="SansSerif"/>
      </rPr>
      <t>18/04/2026 08:45:48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</si>
  <si>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</si>
  <si>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</si>
  <si>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Mi número</t>
    </r>
  </si>
  <si>
    <r>
      <rPr>
        <sz val="12"/>
        <color theme="1"/>
        <rFont val="SansSerif"/>
      </rPr>
      <t>6.00</t>
    </r>
  </si>
  <si>
    <r>
      <rPr>
        <sz val="12"/>
        <color theme="1"/>
        <rFont val="SansSerif"/>
      </rPr>
      <t>Claro</t>
    </r>
  </si>
  <si>
    <r>
      <rPr>
        <sz val="12"/>
        <color theme="1"/>
        <rFont val="SansSerif"/>
      </rPr>
      <t>17/04/2026 13:08:47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</si>
  <si>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</si>
  <si>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</si>
  <si>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Silvia Sol*</t>
    </r>
  </si>
  <si>
    <r>
      <rPr>
        <sz val="12"/>
        <color theme="1"/>
        <rFont val="SansSerif"/>
      </rPr>
      <t>70.00</t>
    </r>
  </si>
  <si>
    <r>
      <rPr>
        <sz val="12"/>
        <color theme="1"/>
        <rFont val="SansSerif"/>
      </rPr>
      <t>cena por medición de lotes y reparto de citaciones</t>
    </r>
  </si>
  <si>
    <r>
      <rPr>
        <sz val="12"/>
        <color theme="1"/>
        <rFont val="SansSerif"/>
      </rPr>
      <t>15/04/2026 17:36:04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</si>
  <si>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</si>
  <si>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</si>
  <si>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</si>
  <si>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</si>
  <si>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</si>
  <si>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14/04/2026 21:37:20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</si>
  <si>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</si>
  <si>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Keimy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</si>
  <si>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</si>
  <si>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</si>
  <si>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14/04/2026 19:01:18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</si>
  <si>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</si>
  <si>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</si>
  <si>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Silvia Sol*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</si>
  <si>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</si>
  <si>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13/04/2026 21:14:14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</si>
  <si>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</si>
  <si>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</si>
  <si>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</si>
  <si>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12.40</t>
    </r>
  </si>
  <si>
    <r>
      <rPr>
        <sz val="12"/>
        <color theme="1"/>
        <rFont val="SansSerif"/>
      </rPr>
      <t>devolución de recibos del marzo</t>
    </r>
  </si>
  <si>
    <r>
      <rPr>
        <sz val="12"/>
        <color theme="1"/>
        <rFont val="SansSerif"/>
      </rPr>
      <t>10/04/2026 00:34:52</t>
    </r>
  </si>
  <si>
    <t>Yasmina</t>
  </si>
  <si>
    <t>w7</t>
  </si>
  <si>
    <t>k10</t>
  </si>
  <si>
    <t>w13</t>
  </si>
  <si>
    <t>e1-3</t>
  </si>
  <si>
    <t>Mz</t>
  </si>
  <si>
    <t>Lt</t>
  </si>
  <si>
    <t>Monto</t>
  </si>
  <si>
    <t>Comparar</t>
  </si>
  <si>
    <t>Comparar2</t>
  </si>
  <si>
    <t>Yo puse L2 pero es N2 monto exacto</t>
  </si>
  <si>
    <t>Efectivo antes del cobro</t>
  </si>
  <si>
    <t>75 medidor</t>
  </si>
  <si>
    <t>75 Medidor</t>
  </si>
  <si>
    <t>Verificar mes anterior (5)</t>
  </si>
  <si>
    <t>20 Medidor</t>
  </si>
  <si>
    <t>consumo + medidor</t>
  </si>
  <si>
    <t>100 Medidor</t>
  </si>
  <si>
    <t>Ya canceló medidor</t>
  </si>
  <si>
    <t>Consumo Wag anterior S/9</t>
  </si>
  <si>
    <t>Consumo Wag anterior S/8</t>
  </si>
  <si>
    <t>Coñvenio 50 + Consumo 20</t>
  </si>
  <si>
    <t>Ya pagó 20 soles efectivo. Dice que JAIME pagó medidor. Pago consumo medidor debe consumo 20. Dice que el operario leyó mal.</t>
  </si>
  <si>
    <t>Anterior Wag 20, Medidor</t>
  </si>
  <si>
    <t>Verificar lectura</t>
  </si>
  <si>
    <t>26 + 50</t>
  </si>
  <si>
    <t>Se cambio 27 por 23</t>
  </si>
  <si>
    <t>Va a yapear consumo</t>
  </si>
  <si>
    <t>26 + 50 Medidor</t>
  </si>
  <si>
    <t>paga medidor 75</t>
  </si>
  <si>
    <t>Pago antes de cobro</t>
  </si>
  <si>
    <t>Verificar</t>
  </si>
  <si>
    <t>YAPE</t>
  </si>
  <si>
    <t>medidor</t>
  </si>
  <si>
    <t>Yo puse S-12-8. Es S-8-8 por sobrante</t>
  </si>
  <si>
    <t>Janet dice que pagó (corte a tico)</t>
  </si>
  <si>
    <t>[Tachado]</t>
  </si>
  <si>
    <t>yapeara</t>
  </si>
  <si>
    <t>2 meses consumo + 50 medidor</t>
  </si>
  <si>
    <t>2 meses consumo + 50 Medidor</t>
  </si>
  <si>
    <t>23 + 75 medidor</t>
  </si>
  <si>
    <t>Yo puse P5. Es T5 por montos</t>
  </si>
  <si>
    <t>Antes de cobro</t>
  </si>
  <si>
    <t xml:space="preserve">                     </t>
  </si>
  <si>
    <t>Terminó convenio</t>
  </si>
  <si>
    <t>Termina convenio</t>
  </si>
  <si>
    <t>Pago consumo 8 soles anterior</t>
  </si>
  <si>
    <t>Pago consumo efectivo (14) preguntar Jaime</t>
  </si>
  <si>
    <t>Efectivo Wag 8</t>
  </si>
  <si>
    <t>Efectivo Wag 14</t>
  </si>
  <si>
    <t>20+50</t>
  </si>
  <si>
    <t>Consumo 20 + Convenio 50</t>
  </si>
  <si>
    <t>Verificar ya pagó efectivo mes pasado</t>
  </si>
  <si>
    <t>Arreglos pagó 8 siempre cada mes</t>
  </si>
  <si>
    <t>despues pago corte +19+40</t>
  </si>
  <si>
    <t>antes</t>
  </si>
  <si>
    <t>pago antes de cobro</t>
  </si>
  <si>
    <t>Usuario</t>
  </si>
  <si>
    <t>Marcacion Actual</t>
  </si>
  <si>
    <t>Deuda</t>
  </si>
  <si>
    <t>Saldo</t>
  </si>
  <si>
    <t>Contador</t>
  </si>
  <si>
    <t>Llave2</t>
  </si>
  <si>
    <t>ESTEBAN REYES</t>
  </si>
  <si>
    <t>ADELAN/EFEC</t>
  </si>
  <si>
    <t>MARTHA MASIA</t>
  </si>
  <si>
    <t>EFCTIVO</t>
  </si>
  <si>
    <t>EFECTICO</t>
  </si>
  <si>
    <t xml:space="preserve">O </t>
  </si>
  <si>
    <t>Se le exonera 50 por medidor</t>
  </si>
  <si>
    <t>ALEJANDRO</t>
  </si>
  <si>
    <t>1</t>
  </si>
  <si>
    <t>Nombres</t>
  </si>
  <si>
    <t>Faena</t>
  </si>
  <si>
    <t>DEBE</t>
  </si>
  <si>
    <t>PAGO</t>
  </si>
  <si>
    <t>CORTE Y RECONEXION</t>
  </si>
  <si>
    <t>w2</t>
  </si>
  <si>
    <t>ya pago convenio preguntar</t>
  </si>
  <si>
    <t>ITEM</t>
  </si>
  <si>
    <t>MARCACIÓN</t>
  </si>
  <si>
    <t>m3</t>
  </si>
  <si>
    <t xml:space="preserve">MARCACIÓN </t>
  </si>
  <si>
    <t xml:space="preserve">MARCACION </t>
  </si>
  <si>
    <t>MARCACION</t>
  </si>
  <si>
    <t>Corte y reconexión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</si>
  <si>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</si>
  <si>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</si>
  <si>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</si>
  <si>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</si>
  <si>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</si>
  <si>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</si>
  <si>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</si>
  <si>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</si>
  <si>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</si>
  <si>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</si>
  <si>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</si>
  <si>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</si>
  <si>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</si>
  <si>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</si>
  <si>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</si>
  <si>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</si>
  <si>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</si>
  <si>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</si>
  <si>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</si>
  <si>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</si>
  <si>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</si>
  <si>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</si>
  <si>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</si>
  <si>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</si>
  <si>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</si>
  <si>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</si>
  <si>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</si>
  <si>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</si>
  <si>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</si>
  <si>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</si>
  <si>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</si>
  <si>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</si>
  <si>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</si>
  <si>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</si>
  <si>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</si>
  <si>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</si>
  <si>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</si>
  <si>
    <t>Febrero-2026</t>
  </si>
  <si>
    <t>Marzo-2026</t>
  </si>
  <si>
    <t>Abril-2026</t>
  </si>
  <si>
    <t>Mayo-2026</t>
  </si>
  <si>
    <t>Diciembre-2025</t>
  </si>
  <si>
    <t>Enero-2025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</si>
</sst>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yyyy\-mm\-dd"/>
    <numFmt numFmtId="166" formatCode="_-&quot;S/&quot;\ * #,##0.00_-;\-&quot;S/&quot;\ * #,##0.00_-;_-&quot;S/&quot;\ * &quot;-&quot;??_-;_-@"/>
  </numFmts>
  <fonts count="20">
    <font>
      <sz val="11"/>
      <color theme="1"/>
      <name val="Calibri"/>
      <scheme val="minor"/>
    </font>
    <font>
      <b/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sz val="11"/>
      <color theme="1"/>
      <name val="Calibri"/>
    </font>
    <font>
      <sz val="11"/>
      <color rgb="FFFFFFFF"/>
      <name val="Calibri"/>
    </font>
    <font>
      <sz val="11"/>
      <name val="Calibri"/>
    </font>
    <font>
      <b/>
      <sz val="11"/>
      <color theme="1"/>
      <name val="Calibri"/>
    </font>
    <font>
      <b/>
      <sz val="12"/>
      <color rgb="FFFFFFFF"/>
      <name val="SansSerif"/>
    </font>
    <font>
      <b/>
      <sz val="12"/>
      <color rgb="FFFFFFFF"/>
      <name val="Arial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b/>
      <sz val="11"/>
      <color rgb="FF1F1F1F"/>
      <name val="Google Sans"/>
    </font>
    <font>
      <sz val="11"/>
      <color rgb="FF1F1F1F"/>
      <name val="Google Sans"/>
    </font>
    <font>
      <b/>
      <sz val="11"/>
      <color theme="1"/>
      <name val="Roboto"/>
    </font>
    <font>
      <sz val="11"/>
      <color rgb="FF434343"/>
      <name val="Roboto"/>
    </font>
    <font>
      <b/>
      <sz val="11"/>
      <color theme="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2C2044"/>
        <bgColor rgb="FF2C2044"/>
      </patternFill>
    </fill>
    <fill>
      <patternFill patternType="solid">
        <fgColor rgb="FF9BBB59"/>
        <bgColor rgb="FF9BBB59"/>
      </patternFill>
    </fill>
    <fill>
      <patternFill patternType="solid">
        <fgColor rgb="FF356854"/>
        <bgColor rgb="FF356854"/>
      </patternFill>
    </fill>
    <fill>
      <patternFill patternType="solid">
        <fgColor rgb="FF7F7F7F"/>
        <bgColor rgb="FF7F7F7F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/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284E3F"/>
      </left>
      <right/>
      <top/>
      <bottom/>
      <diagonal/>
    </border>
  </borders>
  <cellStyleXfs count="1">
    <xf numFmtId="0" fontId="0" fillId="0" borderId="0"/>
  </cellStyleXfs>
  <cellXfs count="22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right"/>
    </xf>
    <xf numFmtId="0" fontId="3" fillId="2" borderId="0" xfId="0" applyFont="1" applyFill="1" applyAlignment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right"/>
    </xf>
    <xf numFmtId="0" fontId="3" fillId="3" borderId="0" xfId="0" applyFont="1" applyFill="1" applyAlignment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/>
    <xf numFmtId="0" fontId="3" fillId="6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3" borderId="0" xfId="0" applyFont="1" applyFill="1" applyAlignment="1">
      <alignment vertical="center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3" fillId="5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 applyAlignment="1"/>
    <xf numFmtId="0" fontId="6" fillId="5" borderId="0" xfId="0" applyFont="1" applyFill="1"/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0" fontId="5" fillId="0" borderId="0" xfId="0" applyFont="1" applyAlignment="1">
      <alignment horizontal="right"/>
    </xf>
    <xf numFmtId="14" fontId="3" fillId="0" borderId="0" xfId="0" applyNumberFormat="1" applyFont="1"/>
    <xf numFmtId="0" fontId="3" fillId="2" borderId="1" xfId="0" applyFont="1" applyFill="1" applyBorder="1"/>
    <xf numFmtId="164" fontId="3" fillId="2" borderId="1" xfId="0" applyNumberFormat="1" applyFont="1" applyFill="1" applyBorder="1" applyAlignment="1"/>
    <xf numFmtId="14" fontId="3" fillId="2" borderId="1" xfId="0" applyNumberFormat="1" applyFont="1" applyFill="1" applyBorder="1"/>
    <xf numFmtId="164" fontId="3" fillId="0" borderId="0" xfId="0" applyNumberFormat="1" applyFont="1"/>
    <xf numFmtId="0" fontId="3" fillId="2" borderId="1" xfId="0" applyFont="1" applyFill="1" applyBorder="1" applyAlignment="1"/>
    <xf numFmtId="164" fontId="3" fillId="0" borderId="0" xfId="0" applyNumberFormat="1" applyFont="1" applyAlignment="1">
      <alignment vertical="center"/>
    </xf>
    <xf numFmtId="164" fontId="3" fillId="2" borderId="1" xfId="0" applyNumberFormat="1" applyFont="1" applyFill="1" applyBorder="1"/>
    <xf numFmtId="0" fontId="3" fillId="0" borderId="0" xfId="0" applyFont="1" applyAlignment="1">
      <alignment vertical="center"/>
    </xf>
    <xf numFmtId="164" fontId="3" fillId="5" borderId="1" xfId="0" applyNumberFormat="1" applyFont="1" applyFill="1" applyBorder="1"/>
    <xf numFmtId="0" fontId="3" fillId="6" borderId="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2" xfId="0" applyFont="1" applyBorder="1"/>
    <xf numFmtId="0" fontId="9" fillId="0" borderId="0" xfId="0" applyFont="1"/>
    <xf numFmtId="0" fontId="3" fillId="0" borderId="2" xfId="0" applyFont="1" applyBorder="1"/>
    <xf numFmtId="0" fontId="3" fillId="5" borderId="2" xfId="0" applyFont="1" applyFill="1" applyBorder="1"/>
    <xf numFmtId="0" fontId="3" fillId="8" borderId="2" xfId="0" applyFont="1" applyFill="1" applyBorder="1"/>
    <xf numFmtId="0" fontId="9" fillId="5" borderId="0" xfId="0" applyFont="1" applyFill="1"/>
    <xf numFmtId="0" fontId="3" fillId="9" borderId="0" xfId="0" applyFont="1" applyFill="1"/>
    <xf numFmtId="0" fontId="10" fillId="10" borderId="11" xfId="0" applyFont="1" applyFill="1" applyBorder="1" applyAlignment="1">
      <alignment horizontal="center" wrapText="1"/>
    </xf>
    <xf numFmtId="0" fontId="11" fillId="10" borderId="11" xfId="0" applyFont="1" applyFill="1" applyBorder="1" applyAlignment="1">
      <alignment horizontal="center" wrapText="1"/>
    </xf>
    <xf numFmtId="0" fontId="10" fillId="10" borderId="0" xfId="0" applyFont="1" applyFill="1" applyAlignment="1">
      <alignment horizontal="center" wrapText="1"/>
    </xf>
    <xf numFmtId="49" fontId="10" fillId="10" borderId="0" xfId="0" applyNumberFormat="1" applyFont="1" applyFill="1" applyAlignment="1">
      <alignment horizontal="center" wrapText="1"/>
    </xf>
    <xf numFmtId="49" fontId="11" fillId="10" borderId="0" xfId="0" applyNumberFormat="1" applyFont="1" applyFill="1" applyAlignment="1">
      <alignment horizontal="center" wrapText="1"/>
    </xf>
    <xf numFmtId="0" fontId="12" fillId="2" borderId="1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6" fillId="2" borderId="0" xfId="0" applyFont="1" applyFill="1"/>
    <xf numFmtId="0" fontId="3" fillId="2" borderId="11" xfId="0" applyFont="1" applyFill="1" applyBorder="1"/>
    <xf numFmtId="0" fontId="12" fillId="5" borderId="11" xfId="0" applyFont="1" applyFill="1" applyBorder="1" applyAlignment="1">
      <alignment horizontal="center" wrapText="1"/>
    </xf>
    <xf numFmtId="0" fontId="13" fillId="5" borderId="11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12" fillId="5" borderId="12" xfId="0" applyFont="1" applyFill="1" applyBorder="1" applyAlignment="1">
      <alignment horizontal="center" wrapText="1"/>
    </xf>
    <xf numFmtId="0" fontId="12" fillId="2" borderId="12" xfId="0" applyFont="1" applyFill="1" applyBorder="1" applyAlignment="1">
      <alignment horizontal="center" wrapText="1"/>
    </xf>
    <xf numFmtId="0" fontId="14" fillId="5" borderId="0" xfId="0" applyFont="1" applyFill="1" applyAlignment="1">
      <alignment horizontal="center" wrapText="1"/>
    </xf>
    <xf numFmtId="0" fontId="1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wrapText="1"/>
    </xf>
    <xf numFmtId="0" fontId="3" fillId="2" borderId="11" xfId="0" applyFont="1" applyFill="1" applyBorder="1" applyAlignment="1"/>
    <xf numFmtId="0" fontId="13" fillId="11" borderId="11" xfId="0" applyFont="1" applyFill="1" applyBorder="1" applyAlignment="1">
      <alignment horizontal="center" wrapText="1"/>
    </xf>
    <xf numFmtId="0" fontId="12" fillId="11" borderId="11" xfId="0" applyFont="1" applyFill="1" applyBorder="1" applyAlignment="1">
      <alignment horizontal="center" wrapText="1"/>
    </xf>
    <xf numFmtId="0" fontId="3" fillId="11" borderId="11" xfId="0" applyFont="1" applyFill="1" applyBorder="1"/>
    <xf numFmtId="0" fontId="13" fillId="11" borderId="11" xfId="0" applyFont="1" applyFill="1" applyBorder="1" applyAlignment="1">
      <alignment horizontal="center" wrapText="1"/>
    </xf>
    <xf numFmtId="0" fontId="12" fillId="2" borderId="13" xfId="0" applyFont="1" applyFill="1" applyBorder="1" applyAlignment="1">
      <alignment horizontal="center" wrapText="1"/>
    </xf>
    <xf numFmtId="0" fontId="12" fillId="2" borderId="14" xfId="0" applyFont="1" applyFill="1" applyBorder="1" applyAlignment="1">
      <alignment horizontal="center" wrapText="1"/>
    </xf>
    <xf numFmtId="0" fontId="13" fillId="2" borderId="13" xfId="0" applyFont="1" applyFill="1" applyBorder="1" applyAlignment="1">
      <alignment horizontal="center" wrapText="1"/>
    </xf>
    <xf numFmtId="0" fontId="3" fillId="2" borderId="13" xfId="0" applyFont="1" applyFill="1" applyBorder="1"/>
    <xf numFmtId="0" fontId="3" fillId="2" borderId="0" xfId="0" applyFont="1" applyFill="1"/>
    <xf numFmtId="0" fontId="3" fillId="2" borderId="0" xfId="0" applyFont="1" applyFill="1" applyAlignment="1"/>
    <xf numFmtId="0" fontId="15" fillId="6" borderId="0" xfId="0" applyFont="1" applyFill="1"/>
    <xf numFmtId="0" fontId="16" fillId="0" borderId="0" xfId="0" applyFont="1" applyAlignment="1"/>
    <xf numFmtId="0" fontId="1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16" fillId="0" borderId="0" xfId="0" applyFont="1"/>
    <xf numFmtId="165" fontId="16" fillId="0" borderId="0" xfId="0" applyNumberFormat="1" applyFont="1"/>
    <xf numFmtId="0" fontId="16" fillId="5" borderId="0" xfId="0" applyFont="1" applyFill="1" applyAlignment="1"/>
    <xf numFmtId="0" fontId="16" fillId="5" borderId="0" xfId="0" applyFont="1" applyFill="1" applyAlignment="1">
      <alignment horizontal="right"/>
    </xf>
    <xf numFmtId="0" fontId="6" fillId="5" borderId="0" xfId="0" applyFont="1" applyFill="1" applyAlignment="1">
      <alignment vertical="center"/>
    </xf>
    <xf numFmtId="0" fontId="16" fillId="5" borderId="0" xfId="0" applyFont="1" applyFill="1"/>
    <xf numFmtId="165" fontId="16" fillId="5" borderId="0" xfId="0" applyNumberFormat="1" applyFont="1" applyFill="1"/>
    <xf numFmtId="0" fontId="16" fillId="4" borderId="0" xfId="0" applyFont="1" applyFill="1" applyAlignment="1"/>
    <xf numFmtId="0" fontId="16" fillId="4" borderId="0" xfId="0" applyFont="1" applyFill="1" applyAlignment="1">
      <alignment horizontal="right"/>
    </xf>
    <xf numFmtId="0" fontId="6" fillId="4" borderId="0" xfId="0" applyFont="1" applyFill="1" applyAlignment="1">
      <alignment vertical="center"/>
    </xf>
    <xf numFmtId="0" fontId="16" fillId="4" borderId="0" xfId="0" applyFont="1" applyFill="1"/>
    <xf numFmtId="165" fontId="16" fillId="4" borderId="0" xfId="0" applyNumberFormat="1" applyFont="1" applyFill="1"/>
    <xf numFmtId="0" fontId="6" fillId="4" borderId="0" xfId="0" applyFont="1" applyFill="1"/>
    <xf numFmtId="0" fontId="2" fillId="12" borderId="0" xfId="0" applyFont="1" applyFill="1" applyAlignment="1">
      <alignment horizontal="left" vertical="center"/>
    </xf>
    <xf numFmtId="0" fontId="17" fillId="12" borderId="0" xfId="0" applyFont="1" applyFill="1" applyAlignment="1">
      <alignment horizontal="left" vertical="center"/>
    </xf>
    <xf numFmtId="49" fontId="2" fillId="12" borderId="0" xfId="0" applyNumberFormat="1" applyFont="1" applyFill="1" applyAlignment="1">
      <alignment horizontal="left" vertical="center"/>
    </xf>
    <xf numFmtId="49" fontId="2" fillId="12" borderId="0" xfId="0" applyNumberFormat="1" applyFont="1" applyFill="1" applyAlignment="1">
      <alignment horizontal="left" vertical="center"/>
    </xf>
    <xf numFmtId="49" fontId="17" fillId="12" borderId="0" xfId="0" applyNumberFormat="1" applyFont="1" applyFill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16" xfId="0" applyFont="1" applyFill="1" applyBorder="1" applyAlignment="1">
      <alignment horizontal="right" vertical="center"/>
    </xf>
    <xf numFmtId="0" fontId="3" fillId="2" borderId="16" xfId="0" applyFont="1" applyFill="1" applyBorder="1" applyAlignment="1">
      <alignment horizontal="right" vertical="center"/>
    </xf>
    <xf numFmtId="166" fontId="3" fillId="2" borderId="16" xfId="0" applyNumberFormat="1" applyFont="1" applyFill="1" applyBorder="1" applyAlignment="1">
      <alignment horizontal="right" vertical="center"/>
    </xf>
    <xf numFmtId="166" fontId="3" fillId="2" borderId="16" xfId="0" applyNumberFormat="1" applyFont="1" applyFill="1" applyBorder="1" applyAlignment="1">
      <alignment vertical="center"/>
    </xf>
    <xf numFmtId="4" fontId="3" fillId="2" borderId="16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18" fillId="3" borderId="18" xfId="0" applyFont="1" applyFill="1" applyBorder="1" applyAlignment="1">
      <alignment vertical="center"/>
    </xf>
    <xf numFmtId="0" fontId="18" fillId="3" borderId="18" xfId="0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right" vertical="center"/>
    </xf>
    <xf numFmtId="166" fontId="3" fillId="3" borderId="18" xfId="0" applyNumberFormat="1" applyFont="1" applyFill="1" applyBorder="1" applyAlignment="1">
      <alignment horizontal="right" vertical="center"/>
    </xf>
    <xf numFmtId="166" fontId="3" fillId="3" borderId="18" xfId="0" applyNumberFormat="1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horizontal="right" vertical="center"/>
    </xf>
    <xf numFmtId="4" fontId="3" fillId="3" borderId="16" xfId="0" applyNumberFormat="1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3" fillId="3" borderId="21" xfId="0" applyFont="1" applyFill="1" applyBorder="1" applyAlignment="1">
      <alignment vertical="center"/>
    </xf>
    <xf numFmtId="0" fontId="3" fillId="3" borderId="16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18" fillId="3" borderId="20" xfId="0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2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0" fontId="18" fillId="3" borderId="16" xfId="0" applyFont="1" applyFill="1" applyBorder="1" applyAlignment="1">
      <alignment vertical="center"/>
    </xf>
    <xf numFmtId="0" fontId="18" fillId="3" borderId="16" xfId="0" applyFont="1" applyFill="1" applyBorder="1" applyAlignment="1">
      <alignment horizontal="right" vertical="center"/>
    </xf>
    <xf numFmtId="0" fontId="3" fillId="2" borderId="20" xfId="0" applyFont="1" applyFill="1" applyBorder="1" applyAlignment="1">
      <alignment vertical="center"/>
    </xf>
    <xf numFmtId="0" fontId="18" fillId="2" borderId="18" xfId="0" applyFont="1" applyFill="1" applyBorder="1" applyAlignment="1">
      <alignment vertical="center"/>
    </xf>
    <xf numFmtId="0" fontId="18" fillId="2" borderId="18" xfId="0" applyFont="1" applyFill="1" applyBorder="1" applyAlignment="1">
      <alignment horizontal="right" vertical="center"/>
    </xf>
    <xf numFmtId="166" fontId="3" fillId="2" borderId="18" xfId="0" applyNumberFormat="1" applyFont="1" applyFill="1" applyBorder="1" applyAlignment="1">
      <alignment horizontal="right" vertical="center"/>
    </xf>
    <xf numFmtId="166" fontId="3" fillId="2" borderId="1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right" vertical="center"/>
    </xf>
    <xf numFmtId="0" fontId="3" fillId="2" borderId="18" xfId="0" applyFont="1" applyFill="1" applyBorder="1" applyAlignment="1">
      <alignment horizontal="right" vertical="center"/>
    </xf>
    <xf numFmtId="0" fontId="18" fillId="2" borderId="20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166" fontId="3" fillId="3" borderId="16" xfId="0" applyNumberFormat="1" applyFont="1" applyFill="1" applyBorder="1" applyAlignment="1">
      <alignment horizontal="right" vertical="center"/>
    </xf>
    <xf numFmtId="0" fontId="3" fillId="2" borderId="22" xfId="0" applyFont="1" applyFill="1" applyBorder="1" applyAlignment="1">
      <alignment vertical="center"/>
    </xf>
    <xf numFmtId="0" fontId="3" fillId="3" borderId="23" xfId="0" applyFont="1" applyFill="1" applyBorder="1" applyAlignment="1">
      <alignment vertical="center"/>
    </xf>
    <xf numFmtId="166" fontId="3" fillId="3" borderId="18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0" fontId="18" fillId="2" borderId="15" xfId="0" applyFont="1" applyFill="1" applyBorder="1" applyAlignment="1">
      <alignment vertical="center"/>
    </xf>
    <xf numFmtId="4" fontId="3" fillId="2" borderId="16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vertical="center"/>
    </xf>
    <xf numFmtId="4" fontId="3" fillId="2" borderId="0" xfId="0" applyNumberFormat="1" applyFont="1" applyFill="1" applyAlignment="1">
      <alignment vertical="center"/>
    </xf>
    <xf numFmtId="0" fontId="18" fillId="3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0" fontId="3" fillId="3" borderId="24" xfId="0" applyFont="1" applyFill="1" applyBorder="1" applyAlignment="1">
      <alignment vertical="center"/>
    </xf>
    <xf numFmtId="166" fontId="3" fillId="3" borderId="25" xfId="0" applyNumberFormat="1" applyFont="1" applyFill="1" applyBorder="1" applyAlignment="1">
      <alignment horizontal="right" vertical="center"/>
    </xf>
    <xf numFmtId="0" fontId="3" fillId="3" borderId="26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8" xfId="0" applyFont="1" applyFill="1" applyBorder="1" applyAlignment="1"/>
    <xf numFmtId="0" fontId="3" fillId="2" borderId="29" xfId="0" applyFont="1" applyFill="1" applyBorder="1" applyAlignment="1"/>
    <xf numFmtId="0" fontId="3" fillId="5" borderId="1" xfId="0" applyFont="1" applyFill="1" applyBorder="1" applyAlignment="1"/>
    <xf numFmtId="0" fontId="3" fillId="5" borderId="1" xfId="0" applyFont="1" applyFill="1" applyBorder="1" applyAlignment="1">
      <alignment horizontal="right"/>
    </xf>
    <xf numFmtId="0" fontId="3" fillId="5" borderId="0" xfId="0" applyFont="1" applyFill="1" applyAlignment="1"/>
    <xf numFmtId="166" fontId="3" fillId="2" borderId="0" xfId="0" applyNumberFormat="1" applyFont="1" applyFill="1" applyAlignment="1"/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1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/>
    </xf>
    <xf numFmtId="0" fontId="3" fillId="3" borderId="0" xfId="0" applyFont="1" applyFill="1" applyAlignment="1"/>
    <xf numFmtId="0" fontId="3" fillId="2" borderId="0" xfId="0" applyFont="1" applyFill="1" applyAlignment="1">
      <alignment horizontal="right"/>
    </xf>
    <xf numFmtId="0" fontId="3" fillId="2" borderId="0" xfId="0" applyFont="1" applyFill="1" applyAlignment="1"/>
    <xf numFmtId="0" fontId="19" fillId="13" borderId="1" xfId="0" applyFont="1" applyFill="1" applyBorder="1"/>
    <xf numFmtId="0" fontId="7" fillId="7" borderId="3" xfId="0" applyFont="1" applyFill="1" applyBorder="1" applyAlignment="1">
      <alignment horizontal="center"/>
    </xf>
    <xf numFmtId="0" fontId="8" fillId="0" borderId="4" xfId="0" applyFont="1" applyBorder="1"/>
    <xf numFmtId="0" fontId="2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3" fillId="3" borderId="30" xfId="0" applyFont="1" applyFill="1" applyBorder="1" applyAlignment="1">
      <alignment vertical="center"/>
    </xf>
    <xf numFmtId="0" fontId="18" fillId="3" borderId="29" xfId="0" applyFont="1" applyFill="1" applyBorder="1" applyAlignment="1">
      <alignment vertical="center"/>
    </xf>
    <xf numFmtId="0" fontId="18" fillId="3" borderId="29" xfId="0" applyFont="1" applyFill="1" applyBorder="1" applyAlignment="1">
      <alignment horizontal="right" vertical="center"/>
    </xf>
    <xf numFmtId="0" fontId="3" fillId="3" borderId="29" xfId="0" applyFont="1" applyFill="1" applyBorder="1" applyAlignment="1">
      <alignment horizontal="right" vertical="center"/>
    </xf>
    <xf numFmtId="166" fontId="3" fillId="3" borderId="29" xfId="0" applyNumberFormat="1" applyFont="1" applyFill="1" applyBorder="1" applyAlignment="1">
      <alignment horizontal="right" vertical="center"/>
    </xf>
    <xf numFmtId="166" fontId="3" fillId="3" borderId="29" xfId="0" applyNumberFormat="1" applyFont="1" applyFill="1" applyBorder="1" applyAlignment="1">
      <alignment vertical="center"/>
    </xf>
    <xf numFmtId="0" fontId="3" fillId="3" borderId="29" xfId="0" applyFont="1" applyFill="1" applyBorder="1" applyAlignment="1">
      <alignment vertical="center"/>
    </xf>
    <xf numFmtId="166" fontId="3" fillId="2" borderId="29" xfId="0" applyNumberFormat="1" applyFont="1" applyFill="1" applyBorder="1" applyAlignment="1">
      <alignment horizontal="right" vertical="center"/>
    </xf>
    <xf numFmtId="0" fontId="3" fillId="5" borderId="29" xfId="0" applyFont="1" applyFill="1" applyBorder="1" applyAlignment="1">
      <alignment horizontal="right"/>
    </xf>
  </cellXfs>
  <cellStyles count="1">
    <cellStyle name="Normal" xfId="0" builtinId="0"/>
  </cellStyles>
  <dxfs count="14">
    <dxf>
      <fill>
        <patternFill patternType="solid">
          <fgColor theme="7"/>
          <bgColor theme="7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obranza-style" pivot="0" count="4" xr9:uid="{00000000-0011-0000-FFFF-FFFF00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Techado-style" pivot="0" count="2" xr9:uid="{00000000-0011-0000-FFFF-FFFF01000000}">
      <tableStyleElement type="firstRowStripe" dxfId="9"/>
      <tableStyleElement type="secondRowStripe" dxfId="8"/>
    </tableStyle>
    <tableStyle name="Deuda faena-style" pivot="0" count="3" xr9:uid="{00000000-0011-0000-FFFF-FFFF02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A1:AG501">
  <autoFilter ref="A1:AG501" xr:uid="{00000000-0009-0000-0100-000001000000}">
    <filterColumn colId="2">
      <filters>
        <filter val="L"/>
      </filters>
    </filterColumn>
  </autoFilter>
  <tableColumns count="33">
    <tableColumn id="1" xr3:uid="{00000000-0010-0000-0000-000001000000}" name="nª"/>
    <tableColumn id="2" xr3:uid="{00000000-0010-0000-0000-000002000000}" name="NOMBRES"/>
    <tableColumn id="3" xr3:uid="{00000000-0010-0000-0000-000003000000}" name="MZ"/>
    <tableColumn id="4" xr3:uid="{00000000-0010-0000-0000-000004000000}" name="LT"/>
    <tableColumn id="5" xr3:uid="{00000000-0010-0000-0000-000005000000}" name="TIPO_x000a_CONVENIO"/>
    <tableColumn id="6" xr3:uid="{00000000-0010-0000-0000-000006000000}" name="MAYOR 65"/>
    <tableColumn id="7" xr3:uid="{00000000-0010-0000-0000-000007000000}" name="NO COBRO"/>
    <tableColumn id="8" xr3:uid="{00000000-0010-0000-0000-000008000000}" name="Costo x m3"/>
    <tableColumn id="9" xr3:uid="{00000000-0010-0000-0000-000009000000}" name="Marcación anterior"/>
    <tableColumn id="10" xr3:uid="{00000000-0010-0000-0000-00000A000000}" name="Marcacion altual"/>
    <tableColumn id="11" xr3:uid="{00000000-0010-0000-0000-00000B000000}" name="M3"/>
    <tableColumn id="12" xr3:uid="{00000000-0010-0000-0000-00000C000000}" name="Total mes actual"/>
    <tableColumn id="13" xr3:uid="{00000000-0010-0000-0000-00000D000000}" name="MES ANTERIOR"/>
    <tableColumn id="14" xr3:uid="{00000000-0010-0000-0000-00000E000000}" name="Corte y reconexion"/>
    <tableColumn id="15" xr3:uid="{00000000-0010-0000-0000-00000F000000}" name="Convenio"/>
    <tableColumn id="16" xr3:uid="{00000000-0010-0000-0000-000010000000}" name="Mantenimiento"/>
    <tableColumn id="17" xr3:uid="{00000000-0010-0000-0000-000011000000}" name="Multa (faena + reunión)"/>
    <tableColumn id="18" xr3:uid="{00000000-0010-0000-0000-000012000000}" name="Devoluciones"/>
    <tableColumn id="19" xr3:uid="{00000000-0010-0000-0000-000013000000}" name="Ajuste"/>
    <tableColumn id="20" xr3:uid="{00000000-0010-0000-0000-000014000000}" name="Total"/>
    <tableColumn id="21" xr3:uid="{00000000-0010-0000-0000-000015000000}" name="Yape rep"/>
    <tableColumn id="22" xr3:uid="{00000000-0010-0000-0000-000016000000}" name="Monto Efectivo"/>
    <tableColumn id="23" xr3:uid="{00000000-0010-0000-0000-000017000000}" name="Estado"/>
    <tableColumn id="24" xr3:uid="{00000000-0010-0000-0000-000018000000}" name="Fecha"/>
    <tableColumn id="25" xr3:uid="{00000000-0010-0000-0000-000019000000}" name="Medio"/>
    <tableColumn id="26" xr3:uid="{00000000-0010-0000-0000-00001A000000}" name="Comentario"/>
    <tableColumn id="27" xr3:uid="{00000000-0010-0000-0000-00001B000000}" name="Estado del servicio"/>
    <tableColumn id="28" xr3:uid="{00000000-0010-0000-0000-00001C000000}" name="corte por consumo"/>
    <tableColumn id="29" xr3:uid="{00000000-0010-0000-0000-00001D000000}" name="Corte por faena"/>
    <tableColumn id="30" xr3:uid="{00000000-0010-0000-0000-00001E000000}" name="Efectivo"/>
    <tableColumn id="31" xr3:uid="{00000000-0010-0000-0000-00001F000000}" name="Yape"/>
    <tableColumn id="32" xr3:uid="{00000000-0010-0000-0000-000020000000}" name="Llave1"/>
    <tableColumn id="33" xr3:uid="{00000000-0010-0000-0000-000021000000}" name="LLAVE (Mz, Lt)"/>
  </tableColumns>
  <tableStyleInfo name="Cobranz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E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Techad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1:E10">
  <tableColumns count="5">
    <tableColumn id="1" xr3:uid="{00000000-0010-0000-0200-000001000000}" name="1"/>
    <tableColumn id="2" xr3:uid="{00000000-0010-0000-0200-000002000000}" name="Nombres"/>
    <tableColumn id="3" xr3:uid="{00000000-0010-0000-0200-000003000000}" name="MZ"/>
    <tableColumn id="4" xr3:uid="{00000000-0010-0000-0200-000004000000}" name="LT"/>
    <tableColumn id="5" xr3:uid="{00000000-0010-0000-0200-000005000000}" name="Faena"/>
  </tableColumns>
  <tableStyleInfo name="Deuda faen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1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521" sqref="C521"/>
    </sheetView>
  </sheetViews>
  <sheetFormatPr baseColWidth="10" defaultColWidth="14.453125" defaultRowHeight="15" customHeight="1"/>
  <cols>
    <col min="1" max="1" width="10.7265625" customWidth="1"/>
    <col min="2" max="2" width="43.81640625" customWidth="1"/>
    <col min="3" max="3" width="10.26953125" customWidth="1"/>
    <col min="4" max="4" width="8" customWidth="1"/>
    <col min="5" max="5" width="16.08984375" customWidth="1"/>
    <col min="6" max="6" width="15.453125" customWidth="1"/>
    <col min="7" max="8" width="15.81640625" customWidth="1"/>
    <col min="9" max="9" width="22.81640625" customWidth="1"/>
    <col min="10" max="10" width="20.81640625" customWidth="1"/>
    <col min="11" max="11" width="9.08984375" customWidth="1"/>
    <col min="12" max="12" width="20.453125" customWidth="1"/>
    <col min="13" max="13" width="19.54296875" customWidth="1"/>
    <col min="14" max="14" width="22.54296875" customWidth="1"/>
    <col min="16" max="16" width="19.81640625" customWidth="1"/>
    <col min="17" max="17" width="26.81640625" customWidth="1"/>
    <col min="18" max="18" width="17.7265625" customWidth="1"/>
    <col min="19" max="19" width="11.7265625" customWidth="1"/>
    <col min="20" max="20" width="10.54296875" customWidth="1"/>
    <col min="21" max="21" width="10.81640625" customWidth="1"/>
    <col min="22" max="22" width="10.54296875" customWidth="1"/>
    <col min="23" max="23" width="10.26953125" customWidth="1"/>
    <col min="24" max="24" width="13.453125" customWidth="1"/>
    <col min="25" max="25" width="12" customWidth="1"/>
    <col min="26" max="26" width="67.26953125" customWidth="1"/>
    <col min="27" max="27" width="22.453125" customWidth="1"/>
    <col min="28" max="28" width="22.81640625" customWidth="1"/>
    <col min="29" max="29" width="19.81640625" customWidth="1"/>
    <col min="30" max="30" width="13.08984375" customWidth="1"/>
    <col min="31" max="31" width="10.453125" customWidth="1"/>
    <col min="32" max="32" width="16.08984375" customWidth="1"/>
    <col min="33" max="35" width="18.54296875" customWidth="1"/>
  </cols>
  <sheetData>
    <row r="1" spans="1:35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6" t="s">
        <v>32</v>
      </c>
      <c r="AH1" s="7"/>
      <c r="AI1" s="7"/>
    </row>
    <row r="2" spans="1:35" ht="22.5" hidden="1" customHeight="1">
      <c r="A2" s="8">
        <v>1</v>
      </c>
      <c r="B2" s="9" t="s">
        <v>33</v>
      </c>
      <c r="C2" s="9" t="s">
        <v>34</v>
      </c>
      <c r="D2" s="10">
        <v>1</v>
      </c>
      <c r="E2" s="11"/>
      <c r="F2" s="11"/>
      <c r="G2" s="11"/>
      <c r="H2" s="12">
        <v>1</v>
      </c>
      <c r="I2" s="10">
        <v>11</v>
      </c>
      <c r="J2" s="10">
        <v>19</v>
      </c>
      <c r="K2" s="10">
        <v>8</v>
      </c>
      <c r="L2" s="10">
        <v>8</v>
      </c>
      <c r="M2" s="10">
        <v>0</v>
      </c>
      <c r="N2" s="10">
        <v>0</v>
      </c>
      <c r="O2" s="10">
        <v>75</v>
      </c>
      <c r="P2" s="10">
        <v>3</v>
      </c>
      <c r="Q2" s="10">
        <v>0</v>
      </c>
      <c r="R2" s="12"/>
      <c r="S2" s="13"/>
      <c r="T2" s="13">
        <f t="shared" ref="T2:T501" si="0">SUM(L2:S2)</f>
        <v>86</v>
      </c>
      <c r="U2" s="11">
        <f ca="1">IFERROR(__xludf.DUMMYFUNCTION("IFERROR(
  SUM(
    FILTER(
      Reporte!$E:$E, 
      REGEXMATCH(Reporte!$A:$A, ""(?i)(TE PAGÓ|PAGASTE)""), 
      Reporte!$H:$H &amp; """" = AG2 &amp; """"
    )
  ), 
  0
)"),11)</f>
        <v>11</v>
      </c>
      <c r="V2" s="11">
        <f ca="1">IFERROR(__xludf.DUMMYFUNCTION("IFERROR(
  SUM(
    FILTER(
      Efectivo!$C:$C, 
      Efectivo!$D:$D &amp; """" = AG2 &amp; """"
    )
  ), 
  0
)"),75)</f>
        <v>75</v>
      </c>
      <c r="W2" s="11" t="s">
        <v>35</v>
      </c>
      <c r="X2" s="11"/>
      <c r="Y2" s="11" t="s">
        <v>36</v>
      </c>
      <c r="Z2" s="11" t="s">
        <v>37</v>
      </c>
      <c r="AA2" s="11"/>
      <c r="AB2" s="11" t="str">
        <f t="shared" ref="AB2:AB500" si="1">IF(AND(L2&gt;0, M2&gt;=8, NOT(OR(W2="C", W2="c"))), "CORTE", "")</f>
        <v/>
      </c>
      <c r="AC2" s="11" t="str">
        <f t="shared" ref="AC2:AC334" si="2">IF(
   OR(
     AND(Q2&gt;0, OR(W2="C", W2="c"), S2&lt;0),
     AND(Q2&gt;0, W2="")
   ),
   "CORTE",
   ""
)</f>
        <v/>
      </c>
      <c r="AD2" s="11">
        <f t="shared" ref="AD2:AD501" si="3">IF(AND(LEN(W2)&gt;0,LEN(Y2)=0),T2,0)</f>
        <v>0</v>
      </c>
      <c r="AE2" s="11">
        <f t="shared" ref="AE2:AE501" si="4">IF(AND(LEN(W2)&gt;0,TRIM(Y2)="Y"),T2,0)</f>
        <v>86</v>
      </c>
      <c r="AF2" s="11" t="str">
        <f t="shared" ref="AF2:AF501" si="5">TRIM(UPPER(C2))</f>
        <v>A</v>
      </c>
      <c r="AG2" s="11" t="str">
        <f t="shared" ref="AG2:AG501" si="6">TRIM(UPPER(C2)) &amp; "-" &amp; TRIM(UPPER(D2))</f>
        <v>A-1</v>
      </c>
      <c r="AH2" s="14"/>
      <c r="AI2" s="14"/>
    </row>
    <row r="3" spans="1:35" ht="22.5" hidden="1" customHeight="1">
      <c r="A3" s="15">
        <v>2</v>
      </c>
      <c r="B3" s="16" t="s">
        <v>38</v>
      </c>
      <c r="C3" s="16" t="s">
        <v>34</v>
      </c>
      <c r="D3" s="17">
        <v>2</v>
      </c>
      <c r="E3" s="18"/>
      <c r="F3" s="18"/>
      <c r="G3" s="18"/>
      <c r="H3" s="19">
        <v>1</v>
      </c>
      <c r="I3" s="17">
        <v>2703</v>
      </c>
      <c r="J3" s="17">
        <v>2723</v>
      </c>
      <c r="K3" s="17">
        <v>20</v>
      </c>
      <c r="L3" s="17">
        <v>20</v>
      </c>
      <c r="M3" s="17">
        <v>0</v>
      </c>
      <c r="N3" s="17">
        <v>0</v>
      </c>
      <c r="O3" s="17">
        <v>0</v>
      </c>
      <c r="P3" s="17">
        <v>3</v>
      </c>
      <c r="Q3" s="17">
        <v>0</v>
      </c>
      <c r="R3" s="19"/>
      <c r="S3" s="20"/>
      <c r="T3" s="13">
        <f t="shared" si="0"/>
        <v>23</v>
      </c>
      <c r="U3" s="18">
        <f ca="1">IFERROR(__xludf.DUMMYFUNCTION("IFERROR(
  SUM(
    FILTER(
      Reporte!$E:$E, 
      REGEXMATCH(Reporte!$A:$A, ""(?i)(TE PAGÓ|PAGASTE)""), 
      Reporte!$H:$H &amp; """" = AG3 &amp; """"
    )
  ), 
  0
)"),0)</f>
        <v>0</v>
      </c>
      <c r="V3" s="18">
        <f ca="1">IFERROR(__xludf.DUMMYFUNCTION("IFERROR(
  SUM(
    FILTER(
      Efectivo!$C:$C, 
      Efectivo!$D:$D &amp; """" = AG3 &amp; """"
    )
  ), 
  0
)"),0)</f>
        <v>0</v>
      </c>
      <c r="W3" s="18"/>
      <c r="X3" s="18"/>
      <c r="Y3" s="18"/>
      <c r="Z3" s="18"/>
      <c r="AA3" s="18"/>
      <c r="AB3" s="18" t="str">
        <f t="shared" si="1"/>
        <v/>
      </c>
      <c r="AC3" s="18" t="str">
        <f t="shared" si="2"/>
        <v/>
      </c>
      <c r="AD3" s="11">
        <f t="shared" si="3"/>
        <v>0</v>
      </c>
      <c r="AE3" s="11">
        <f t="shared" si="4"/>
        <v>0</v>
      </c>
      <c r="AF3" s="18" t="str">
        <f t="shared" si="5"/>
        <v>A</v>
      </c>
      <c r="AG3" s="18" t="str">
        <f t="shared" si="6"/>
        <v>A-2</v>
      </c>
      <c r="AH3" s="21"/>
      <c r="AI3" s="21"/>
    </row>
    <row r="4" spans="1:35" ht="22.5" hidden="1" customHeight="1">
      <c r="A4" s="8">
        <v>3</v>
      </c>
      <c r="B4" s="9" t="s">
        <v>39</v>
      </c>
      <c r="C4" s="9" t="s">
        <v>34</v>
      </c>
      <c r="D4" s="10">
        <v>3</v>
      </c>
      <c r="E4" s="11"/>
      <c r="F4" s="11"/>
      <c r="G4" s="11"/>
      <c r="H4" s="12">
        <v>1</v>
      </c>
      <c r="I4" s="10">
        <v>22</v>
      </c>
      <c r="J4" s="10">
        <v>22</v>
      </c>
      <c r="K4" s="10">
        <v>5</v>
      </c>
      <c r="L4" s="10">
        <v>5</v>
      </c>
      <c r="M4" s="10">
        <v>0</v>
      </c>
      <c r="N4" s="10">
        <v>0</v>
      </c>
      <c r="O4" s="10">
        <v>0</v>
      </c>
      <c r="P4" s="10">
        <v>3</v>
      </c>
      <c r="Q4" s="10">
        <v>0</v>
      </c>
      <c r="R4" s="12"/>
      <c r="S4" s="13"/>
      <c r="T4" s="13">
        <f t="shared" si="0"/>
        <v>8</v>
      </c>
      <c r="U4" s="11">
        <f ca="1">IFERROR(__xludf.DUMMYFUNCTION("IFERROR(
  SUM(
    FILTER(
      Reporte!$E:$E, 
      REGEXMATCH(Reporte!$A:$A, ""(?i)(TE PAGÓ|PAGASTE)""), 
      Reporte!$H:$H &amp; """" = AG4 &amp; """"
    )
  ), 
  0
)"),8)</f>
        <v>8</v>
      </c>
      <c r="V4" s="11">
        <f ca="1">IFERROR(__xludf.DUMMYFUNCTION("IFERROR(
  SUM(
    FILTER(
      Efectivo!$C:$C, 
      Efectivo!$D:$D &amp; """" = AG4 &amp; """"
    )
  ), 
  0
)"),0)</f>
        <v>0</v>
      </c>
      <c r="W4" s="11" t="s">
        <v>35</v>
      </c>
      <c r="X4" s="11"/>
      <c r="Y4" s="11" t="s">
        <v>36</v>
      </c>
      <c r="Z4" s="11"/>
      <c r="AA4" s="11"/>
      <c r="AB4" s="11" t="str">
        <f t="shared" si="1"/>
        <v/>
      </c>
      <c r="AC4" s="11" t="str">
        <f t="shared" si="2"/>
        <v/>
      </c>
      <c r="AD4" s="11">
        <f t="shared" si="3"/>
        <v>0</v>
      </c>
      <c r="AE4" s="11">
        <f t="shared" si="4"/>
        <v>8</v>
      </c>
      <c r="AF4" s="11" t="str">
        <f t="shared" si="5"/>
        <v>A</v>
      </c>
      <c r="AG4" s="11" t="str">
        <f t="shared" si="6"/>
        <v>A-3</v>
      </c>
      <c r="AH4" s="14"/>
      <c r="AI4" s="14"/>
    </row>
    <row r="5" spans="1:35" ht="22.5" hidden="1" customHeight="1">
      <c r="A5" s="15">
        <v>4</v>
      </c>
      <c r="B5" s="16" t="s">
        <v>40</v>
      </c>
      <c r="C5" s="16" t="s">
        <v>34</v>
      </c>
      <c r="D5" s="17">
        <v>4</v>
      </c>
      <c r="E5" s="18"/>
      <c r="F5" s="18"/>
      <c r="G5" s="18"/>
      <c r="H5" s="19">
        <v>1</v>
      </c>
      <c r="I5" s="17">
        <v>2</v>
      </c>
      <c r="J5" s="17">
        <v>2</v>
      </c>
      <c r="K5" s="17">
        <v>5</v>
      </c>
      <c r="L5" s="17"/>
      <c r="M5" s="17"/>
      <c r="N5" s="22">
        <v>40</v>
      </c>
      <c r="O5" s="17">
        <v>0</v>
      </c>
      <c r="P5" s="17">
        <v>1</v>
      </c>
      <c r="Q5" s="17">
        <v>0</v>
      </c>
      <c r="R5" s="19"/>
      <c r="S5" s="20"/>
      <c r="T5" s="13">
        <f t="shared" si="0"/>
        <v>41</v>
      </c>
      <c r="U5" s="18">
        <f ca="1">IFERROR(__xludf.DUMMYFUNCTION("IFERROR(
  SUM(
    FILTER(
      Reporte!$E:$E, 
      REGEXMATCH(Reporte!$A:$A, ""(?i)(TE PAGÓ|PAGASTE)""), 
      Reporte!$H:$H &amp; """" = AG5 &amp; """"
    )
  ), 
  0
)"),41)</f>
        <v>41</v>
      </c>
      <c r="V5" s="18">
        <f ca="1">IFERROR(__xludf.DUMMYFUNCTION("IFERROR(
  SUM(
    FILTER(
      Efectivo!$C:$C, 
      Efectivo!$D:$D &amp; """" = AG5 &amp; """"
    )
  ), 
  0
)"),0)</f>
        <v>0</v>
      </c>
      <c r="W5" s="18" t="s">
        <v>35</v>
      </c>
      <c r="X5" s="18"/>
      <c r="Y5" s="18" t="s">
        <v>36</v>
      </c>
      <c r="Z5" s="18" t="s">
        <v>41</v>
      </c>
      <c r="AA5" s="18"/>
      <c r="AB5" s="18" t="str">
        <f t="shared" si="1"/>
        <v/>
      </c>
      <c r="AC5" s="18" t="str">
        <f t="shared" si="2"/>
        <v/>
      </c>
      <c r="AD5" s="11">
        <f t="shared" si="3"/>
        <v>0</v>
      </c>
      <c r="AE5" s="11">
        <f t="shared" si="4"/>
        <v>41</v>
      </c>
      <c r="AF5" s="18" t="str">
        <f t="shared" si="5"/>
        <v>A</v>
      </c>
      <c r="AG5" s="18" t="str">
        <f t="shared" si="6"/>
        <v>A-4</v>
      </c>
      <c r="AH5" s="21"/>
      <c r="AI5" s="21"/>
    </row>
    <row r="6" spans="1:35" ht="22.5" hidden="1" customHeight="1">
      <c r="A6" s="8">
        <v>5</v>
      </c>
      <c r="B6" s="9" t="s">
        <v>42</v>
      </c>
      <c r="C6" s="9" t="s">
        <v>34</v>
      </c>
      <c r="D6" s="10">
        <v>5</v>
      </c>
      <c r="E6" s="11"/>
      <c r="F6" s="11"/>
      <c r="G6" s="11"/>
      <c r="H6" s="12">
        <v>1</v>
      </c>
      <c r="I6" s="10">
        <v>16</v>
      </c>
      <c r="J6" s="10">
        <v>32</v>
      </c>
      <c r="K6" s="10">
        <v>16</v>
      </c>
      <c r="L6" s="10">
        <v>16</v>
      </c>
      <c r="M6" s="10">
        <v>0</v>
      </c>
      <c r="N6" s="10">
        <v>0</v>
      </c>
      <c r="O6" s="10">
        <v>25</v>
      </c>
      <c r="P6" s="10">
        <v>3</v>
      </c>
      <c r="Q6" s="10">
        <v>0</v>
      </c>
      <c r="R6" s="12"/>
      <c r="S6" s="13"/>
      <c r="T6" s="13">
        <f t="shared" si="0"/>
        <v>44</v>
      </c>
      <c r="U6" s="11">
        <f ca="1">IFERROR(__xludf.DUMMYFUNCTION("IFERROR(
  SUM(
    FILTER(
      Reporte!$E:$E, 
      REGEXMATCH(Reporte!$A:$A, ""(?i)(TE PAGÓ|PAGASTE)""), 
      Reporte!$H:$H &amp; """" = AG6 &amp; """"
    )
  ), 
  0
)"),0)</f>
        <v>0</v>
      </c>
      <c r="V6" s="11">
        <f ca="1">IFERROR(__xludf.DUMMYFUNCTION("IFERROR(
  SUM(
    FILTER(
      Efectivo!$C:$C, 
      Efectivo!$D:$D &amp; """" = AG6 &amp; """"
    )
  ), 
  0
)"),44)</f>
        <v>44</v>
      </c>
      <c r="W6" s="11" t="s">
        <v>35</v>
      </c>
      <c r="X6" s="11"/>
      <c r="Y6" s="11"/>
      <c r="Z6" s="11"/>
      <c r="AA6" s="11"/>
      <c r="AB6" s="11" t="str">
        <f t="shared" si="1"/>
        <v/>
      </c>
      <c r="AC6" s="11" t="str">
        <f t="shared" si="2"/>
        <v/>
      </c>
      <c r="AD6" s="11">
        <f t="shared" si="3"/>
        <v>44</v>
      </c>
      <c r="AE6" s="11">
        <f t="shared" si="4"/>
        <v>0</v>
      </c>
      <c r="AF6" s="11" t="str">
        <f t="shared" si="5"/>
        <v>A</v>
      </c>
      <c r="AG6" s="11" t="str">
        <f t="shared" si="6"/>
        <v>A-5</v>
      </c>
      <c r="AH6" s="14"/>
      <c r="AI6" s="14"/>
    </row>
    <row r="7" spans="1:35" ht="22.5" hidden="1" customHeight="1">
      <c r="A7" s="15">
        <v>6</v>
      </c>
      <c r="B7" s="16" t="s">
        <v>43</v>
      </c>
      <c r="C7" s="16" t="s">
        <v>34</v>
      </c>
      <c r="D7" s="17">
        <v>6</v>
      </c>
      <c r="E7" s="18"/>
      <c r="F7" s="18"/>
      <c r="G7" s="18"/>
      <c r="H7" s="19">
        <v>1</v>
      </c>
      <c r="I7" s="17">
        <v>26</v>
      </c>
      <c r="J7" s="17">
        <v>52</v>
      </c>
      <c r="K7" s="17">
        <v>26</v>
      </c>
      <c r="L7" s="17">
        <v>26</v>
      </c>
      <c r="M7" s="17">
        <v>0</v>
      </c>
      <c r="N7" s="17">
        <v>0</v>
      </c>
      <c r="O7" s="17">
        <v>25</v>
      </c>
      <c r="P7" s="17">
        <v>3</v>
      </c>
      <c r="Q7" s="17">
        <v>0</v>
      </c>
      <c r="R7" s="19"/>
      <c r="S7" s="20"/>
      <c r="T7" s="13">
        <f t="shared" si="0"/>
        <v>54</v>
      </c>
      <c r="U7" s="18">
        <f ca="1">IFERROR(__xludf.DUMMYFUNCTION("IFERROR(
  SUM(
    FILTER(
      Reporte!$E:$E, 
      REGEXMATCH(Reporte!$A:$A, ""(?i)(TE PAGÓ|PAGASTE)""), 
      Reporte!$H:$H &amp; """" = AG7 &amp; """"
    )
  ), 
  0
)"),54)</f>
        <v>54</v>
      </c>
      <c r="V7" s="18">
        <f ca="1">IFERROR(__xludf.DUMMYFUNCTION("IFERROR(
  SUM(
    FILTER(
      Efectivo!$C:$C, 
      Efectivo!$D:$D &amp; """" = AG7 &amp; """"
    )
  ), 
  0
)"),0)</f>
        <v>0</v>
      </c>
      <c r="W7" s="18" t="s">
        <v>35</v>
      </c>
      <c r="X7" s="18"/>
      <c r="Y7" s="18" t="s">
        <v>36</v>
      </c>
      <c r="Z7" s="18"/>
      <c r="AA7" s="18"/>
      <c r="AB7" s="18" t="str">
        <f t="shared" si="1"/>
        <v/>
      </c>
      <c r="AC7" s="18" t="str">
        <f t="shared" si="2"/>
        <v/>
      </c>
      <c r="AD7" s="11">
        <f t="shared" si="3"/>
        <v>0</v>
      </c>
      <c r="AE7" s="11">
        <f t="shared" si="4"/>
        <v>54</v>
      </c>
      <c r="AF7" s="18" t="str">
        <f t="shared" si="5"/>
        <v>A</v>
      </c>
      <c r="AG7" s="18" t="str">
        <f t="shared" si="6"/>
        <v>A-6</v>
      </c>
      <c r="AH7" s="21"/>
      <c r="AI7" s="21"/>
    </row>
    <row r="8" spans="1:35" ht="22.5" hidden="1" customHeight="1">
      <c r="A8" s="8">
        <v>7</v>
      </c>
      <c r="B8" s="9" t="s">
        <v>44</v>
      </c>
      <c r="C8" s="9" t="s">
        <v>34</v>
      </c>
      <c r="D8" s="10">
        <v>7</v>
      </c>
      <c r="E8" s="11"/>
      <c r="F8" s="11"/>
      <c r="G8" s="11"/>
      <c r="H8" s="12">
        <v>1</v>
      </c>
      <c r="I8" s="10">
        <v>1766</v>
      </c>
      <c r="J8" s="10">
        <v>1777</v>
      </c>
      <c r="K8" s="10">
        <v>11</v>
      </c>
      <c r="L8" s="10">
        <v>11</v>
      </c>
      <c r="M8" s="10">
        <v>0</v>
      </c>
      <c r="N8" s="10">
        <v>0</v>
      </c>
      <c r="O8" s="10">
        <v>0</v>
      </c>
      <c r="P8" s="10">
        <v>3</v>
      </c>
      <c r="Q8" s="10">
        <v>0</v>
      </c>
      <c r="R8" s="12"/>
      <c r="S8" s="13"/>
      <c r="T8" s="13">
        <f t="shared" si="0"/>
        <v>14</v>
      </c>
      <c r="U8" s="11">
        <f ca="1">IFERROR(__xludf.DUMMYFUNCTION("IFERROR(
  SUM(
    FILTER(
      Reporte!$E:$E, 
      REGEXMATCH(Reporte!$A:$A, ""(?i)(TE PAGÓ|PAGASTE)""), 
      Reporte!$H:$H &amp; """" = AG8 &amp; """"
    )
  ), 
  0
)"),14)</f>
        <v>14</v>
      </c>
      <c r="V8" s="11">
        <f ca="1">IFERROR(__xludf.DUMMYFUNCTION("IFERROR(
  SUM(
    FILTER(
      Efectivo!$C:$C, 
      Efectivo!$D:$D &amp; """" = AG8 &amp; """"
    )
  ), 
  0
)"),0)</f>
        <v>0</v>
      </c>
      <c r="W8" s="11" t="s">
        <v>35</v>
      </c>
      <c r="X8" s="11"/>
      <c r="Y8" s="11" t="s">
        <v>36</v>
      </c>
      <c r="Z8" s="11"/>
      <c r="AA8" s="11"/>
      <c r="AB8" s="11" t="str">
        <f t="shared" si="1"/>
        <v/>
      </c>
      <c r="AC8" s="11" t="str">
        <f t="shared" si="2"/>
        <v/>
      </c>
      <c r="AD8" s="11">
        <f t="shared" si="3"/>
        <v>0</v>
      </c>
      <c r="AE8" s="11">
        <f t="shared" si="4"/>
        <v>14</v>
      </c>
      <c r="AF8" s="11" t="str">
        <f t="shared" si="5"/>
        <v>A</v>
      </c>
      <c r="AG8" s="11" t="str">
        <f t="shared" si="6"/>
        <v>A-7</v>
      </c>
      <c r="AH8" s="14"/>
      <c r="AI8" s="14"/>
    </row>
    <row r="9" spans="1:35" ht="22.5" hidden="1" customHeight="1">
      <c r="A9" s="15">
        <v>8</v>
      </c>
      <c r="B9" s="16" t="s">
        <v>45</v>
      </c>
      <c r="C9" s="16" t="s">
        <v>34</v>
      </c>
      <c r="D9" s="17">
        <v>8</v>
      </c>
      <c r="E9" s="18"/>
      <c r="F9" s="18"/>
      <c r="G9" s="18"/>
      <c r="H9" s="19">
        <v>1</v>
      </c>
      <c r="I9" s="17">
        <v>26</v>
      </c>
      <c r="J9" s="17">
        <v>49</v>
      </c>
      <c r="K9" s="17">
        <v>23</v>
      </c>
      <c r="L9" s="17">
        <v>23</v>
      </c>
      <c r="M9" s="17">
        <v>0</v>
      </c>
      <c r="N9" s="17">
        <v>0</v>
      </c>
      <c r="O9" s="17">
        <v>25</v>
      </c>
      <c r="P9" s="17">
        <v>3</v>
      </c>
      <c r="Q9" s="17">
        <v>0</v>
      </c>
      <c r="R9" s="19"/>
      <c r="S9" s="20"/>
      <c r="T9" s="13">
        <f t="shared" si="0"/>
        <v>51</v>
      </c>
      <c r="U9" s="18">
        <f ca="1">IFERROR(__xludf.DUMMYFUNCTION("IFERROR(
  SUM(
    FILTER(
      Reporte!$E:$E, 
      REGEXMATCH(Reporte!$A:$A, ""(?i)(TE PAGÓ|PAGASTE)""), 
      Reporte!$H:$H &amp; """" = AG9 &amp; """"
    )
  ), 
  0
)"),0)</f>
        <v>0</v>
      </c>
      <c r="V9" s="18">
        <f ca="1">IFERROR(__xludf.DUMMYFUNCTION("IFERROR(
  SUM(
    FILTER(
      Efectivo!$C:$C, 
      Efectivo!$D:$D &amp; """" = AG9 &amp; """"
    )
  ), 
  0
)"),0)</f>
        <v>0</v>
      </c>
      <c r="W9" s="18"/>
      <c r="X9" s="18"/>
      <c r="Y9" s="18"/>
      <c r="Z9" s="18"/>
      <c r="AA9" s="18"/>
      <c r="AB9" s="18" t="str">
        <f t="shared" si="1"/>
        <v/>
      </c>
      <c r="AC9" s="18" t="str">
        <f t="shared" si="2"/>
        <v/>
      </c>
      <c r="AD9" s="11">
        <f t="shared" si="3"/>
        <v>0</v>
      </c>
      <c r="AE9" s="11">
        <f t="shared" si="4"/>
        <v>0</v>
      </c>
      <c r="AF9" s="18" t="str">
        <f t="shared" si="5"/>
        <v>A</v>
      </c>
      <c r="AG9" s="18" t="str">
        <f t="shared" si="6"/>
        <v>A-8</v>
      </c>
      <c r="AH9" s="21"/>
      <c r="AI9" s="21"/>
    </row>
    <row r="10" spans="1:35" ht="13.5" hidden="1" customHeight="1">
      <c r="A10" s="8">
        <v>9</v>
      </c>
      <c r="B10" s="9" t="s">
        <v>46</v>
      </c>
      <c r="C10" s="9" t="s">
        <v>34</v>
      </c>
      <c r="D10" s="9" t="s">
        <v>47</v>
      </c>
      <c r="E10" s="11"/>
      <c r="F10" s="11"/>
      <c r="G10" s="11"/>
      <c r="H10" s="12">
        <v>1</v>
      </c>
      <c r="I10" s="10">
        <v>186</v>
      </c>
      <c r="J10" s="10">
        <v>198</v>
      </c>
      <c r="K10" s="10">
        <v>12</v>
      </c>
      <c r="L10" s="10">
        <v>12</v>
      </c>
      <c r="M10" s="10">
        <v>0</v>
      </c>
      <c r="N10" s="10">
        <v>0</v>
      </c>
      <c r="O10" s="10">
        <v>0</v>
      </c>
      <c r="P10" s="10">
        <v>3</v>
      </c>
      <c r="Q10" s="10">
        <v>0</v>
      </c>
      <c r="R10" s="12"/>
      <c r="S10" s="13"/>
      <c r="T10" s="13">
        <f t="shared" si="0"/>
        <v>15</v>
      </c>
      <c r="U10" s="11">
        <f ca="1">IFERROR(__xludf.DUMMYFUNCTION("IFERROR(
  SUM(
    FILTER(
      Reporte!$E:$E, 
      REGEXMATCH(Reporte!$A:$A, ""(?i)(TE PAGÓ|PAGASTE)""), 
      Reporte!$H:$H &amp; """" = AG10 &amp; """"
    )
  ), 
  0
)"),15)</f>
        <v>15</v>
      </c>
      <c r="V10" s="11">
        <f ca="1">IFERROR(__xludf.DUMMYFUNCTION("IFERROR(
  SUM(
    FILTER(
      Efectivo!$C:$C, 
      Efectivo!$D:$D &amp; """" = AG10 &amp; """"
    )
  ), 
  0
)"),0)</f>
        <v>0</v>
      </c>
      <c r="W10" s="11" t="s">
        <v>35</v>
      </c>
      <c r="X10" s="11"/>
      <c r="Y10" s="11" t="s">
        <v>36</v>
      </c>
      <c r="Z10" s="11"/>
      <c r="AA10" s="11"/>
      <c r="AB10" s="11" t="str">
        <f t="shared" si="1"/>
        <v/>
      </c>
      <c r="AC10" s="11" t="str">
        <f t="shared" si="2"/>
        <v/>
      </c>
      <c r="AD10" s="11">
        <f t="shared" si="3"/>
        <v>0</v>
      </c>
      <c r="AE10" s="11">
        <f t="shared" si="4"/>
        <v>15</v>
      </c>
      <c r="AF10" s="11" t="str">
        <f t="shared" si="5"/>
        <v>A</v>
      </c>
      <c r="AG10" s="11" t="str">
        <f t="shared" si="6"/>
        <v>A-8A</v>
      </c>
      <c r="AH10" s="14"/>
      <c r="AI10" s="14"/>
    </row>
    <row r="11" spans="1:35" ht="22.5" hidden="1" customHeight="1">
      <c r="A11" s="15">
        <v>10</v>
      </c>
      <c r="B11" s="16" t="s">
        <v>48</v>
      </c>
      <c r="C11" s="16" t="s">
        <v>34</v>
      </c>
      <c r="D11" s="17">
        <v>9</v>
      </c>
      <c r="E11" s="18"/>
      <c r="F11" s="18"/>
      <c r="G11" s="18"/>
      <c r="H11" s="19">
        <v>1</v>
      </c>
      <c r="I11" s="17">
        <v>2240</v>
      </c>
      <c r="J11" s="17">
        <v>2288</v>
      </c>
      <c r="K11" s="17">
        <v>48</v>
      </c>
      <c r="L11" s="17">
        <v>48</v>
      </c>
      <c r="M11" s="17">
        <v>0</v>
      </c>
      <c r="N11" s="17">
        <v>0</v>
      </c>
      <c r="O11" s="17">
        <v>0</v>
      </c>
      <c r="P11" s="17">
        <v>3</v>
      </c>
      <c r="Q11" s="17">
        <v>0</v>
      </c>
      <c r="R11" s="19"/>
      <c r="S11" s="20"/>
      <c r="T11" s="13">
        <f t="shared" si="0"/>
        <v>51</v>
      </c>
      <c r="U11" s="18">
        <f ca="1">IFERROR(__xludf.DUMMYFUNCTION("IFERROR(
  SUM(
    FILTER(
      Reporte!$E:$E, 
      REGEXMATCH(Reporte!$A:$A, ""(?i)(TE PAGÓ|PAGASTE)""), 
      Reporte!$H:$H &amp; """" = AG11 &amp; """"
    )
  ), 
  0
)"),51)</f>
        <v>51</v>
      </c>
      <c r="V11" s="18">
        <f ca="1">IFERROR(__xludf.DUMMYFUNCTION("IFERROR(
  SUM(
    FILTER(
      Efectivo!$C:$C, 
      Efectivo!$D:$D &amp; """" = AG11 &amp; """"
    )
  ), 
  0
)"),0)</f>
        <v>0</v>
      </c>
      <c r="W11" s="18" t="s">
        <v>35</v>
      </c>
      <c r="X11" s="18"/>
      <c r="Y11" s="18" t="s">
        <v>36</v>
      </c>
      <c r="Z11" s="18"/>
      <c r="AA11" s="18"/>
      <c r="AB11" s="18" t="str">
        <f t="shared" si="1"/>
        <v/>
      </c>
      <c r="AC11" s="18" t="str">
        <f t="shared" si="2"/>
        <v/>
      </c>
      <c r="AD11" s="11">
        <f t="shared" si="3"/>
        <v>0</v>
      </c>
      <c r="AE11" s="11">
        <f t="shared" si="4"/>
        <v>51</v>
      </c>
      <c r="AF11" s="18" t="str">
        <f t="shared" si="5"/>
        <v>A</v>
      </c>
      <c r="AG11" s="18" t="str">
        <f t="shared" si="6"/>
        <v>A-9</v>
      </c>
      <c r="AH11" s="21"/>
      <c r="AI11" s="21"/>
    </row>
    <row r="12" spans="1:35" ht="22.5" hidden="1" customHeight="1">
      <c r="A12" s="8">
        <v>11</v>
      </c>
      <c r="B12" s="9" t="s">
        <v>49</v>
      </c>
      <c r="C12" s="9" t="s">
        <v>34</v>
      </c>
      <c r="D12" s="10">
        <v>10</v>
      </c>
      <c r="E12" s="11"/>
      <c r="F12" s="11"/>
      <c r="G12" s="11"/>
      <c r="H12" s="12">
        <v>1</v>
      </c>
      <c r="I12" s="10">
        <v>679</v>
      </c>
      <c r="J12" s="10">
        <v>683</v>
      </c>
      <c r="K12" s="10">
        <v>5</v>
      </c>
      <c r="L12" s="10">
        <v>5</v>
      </c>
      <c r="M12" s="10">
        <v>10</v>
      </c>
      <c r="N12" s="10">
        <v>0</v>
      </c>
      <c r="O12" s="10">
        <v>0</v>
      </c>
      <c r="P12" s="10">
        <v>3</v>
      </c>
      <c r="Q12" s="10">
        <v>0</v>
      </c>
      <c r="R12" s="12"/>
      <c r="S12" s="13"/>
      <c r="T12" s="13">
        <f t="shared" si="0"/>
        <v>18</v>
      </c>
      <c r="U12" s="11">
        <f ca="1">IFERROR(__xludf.DUMMYFUNCTION("IFERROR(
  SUM(
    FILTER(
      Reporte!$E:$E, 
      REGEXMATCH(Reporte!$A:$A, ""(?i)(TE PAGÓ|PAGASTE)""), 
      Reporte!$H:$H &amp; """" = AG12 &amp; """"
    )
  ), 
  0
)"),18)</f>
        <v>18</v>
      </c>
      <c r="V12" s="11">
        <f ca="1">IFERROR(__xludf.DUMMYFUNCTION("IFERROR(
  SUM(
    FILTER(
      Efectivo!$C:$C, 
      Efectivo!$D:$D &amp; """" = AG12 &amp; """"
    )
  ), 
  0
)"),0)</f>
        <v>0</v>
      </c>
      <c r="W12" s="11" t="s">
        <v>35</v>
      </c>
      <c r="X12" s="11"/>
      <c r="Y12" s="11" t="s">
        <v>36</v>
      </c>
      <c r="Z12" s="11"/>
      <c r="AA12" s="11"/>
      <c r="AB12" s="11" t="str">
        <f t="shared" si="1"/>
        <v/>
      </c>
      <c r="AC12" s="11" t="str">
        <f t="shared" si="2"/>
        <v/>
      </c>
      <c r="AD12" s="11">
        <f t="shared" si="3"/>
        <v>0</v>
      </c>
      <c r="AE12" s="11">
        <f t="shared" si="4"/>
        <v>18</v>
      </c>
      <c r="AF12" s="11" t="str">
        <f t="shared" si="5"/>
        <v>A</v>
      </c>
      <c r="AG12" s="11" t="str">
        <f t="shared" si="6"/>
        <v>A-10</v>
      </c>
      <c r="AH12" s="14"/>
      <c r="AI12" s="14"/>
    </row>
    <row r="13" spans="1:35" ht="22.5" hidden="1" customHeight="1">
      <c r="A13" s="15">
        <v>12</v>
      </c>
      <c r="B13" s="16" t="s">
        <v>50</v>
      </c>
      <c r="C13" s="16" t="s">
        <v>34</v>
      </c>
      <c r="D13" s="17">
        <v>11</v>
      </c>
      <c r="E13" s="18"/>
      <c r="F13" s="18"/>
      <c r="G13" s="18"/>
      <c r="H13" s="19">
        <v>1</v>
      </c>
      <c r="I13" s="17">
        <v>363</v>
      </c>
      <c r="J13" s="17">
        <v>365</v>
      </c>
      <c r="K13" s="17">
        <v>5</v>
      </c>
      <c r="L13" s="17">
        <v>5</v>
      </c>
      <c r="M13" s="17">
        <v>8</v>
      </c>
      <c r="N13" s="17"/>
      <c r="O13" s="17">
        <v>0</v>
      </c>
      <c r="P13" s="17">
        <v>3</v>
      </c>
      <c r="Q13" s="17">
        <v>0</v>
      </c>
      <c r="R13" s="19"/>
      <c r="S13" s="20"/>
      <c r="T13" s="13">
        <f t="shared" si="0"/>
        <v>16</v>
      </c>
      <c r="U13" s="18">
        <f ca="1">IFERROR(__xludf.DUMMYFUNCTION("IFERROR(
  SUM(
    FILTER(
      Reporte!$E:$E, 
      REGEXMATCH(Reporte!$A:$A, ""(?i)(TE PAGÓ|PAGASTE)""), 
      Reporte!$H:$H &amp; """" = AG13 &amp; """"
    )
  ), 
  0
)"),16)</f>
        <v>16</v>
      </c>
      <c r="V13" s="18">
        <f ca="1">IFERROR(__xludf.DUMMYFUNCTION("IFERROR(
  SUM(
    FILTER(
      Efectivo!$C:$C, 
      Efectivo!$D:$D &amp; """" = AG13 &amp; """"
    )
  ), 
  0
)"),0)</f>
        <v>0</v>
      </c>
      <c r="W13" s="18" t="s">
        <v>35</v>
      </c>
      <c r="X13" s="18"/>
      <c r="Y13" s="18" t="s">
        <v>36</v>
      </c>
      <c r="Z13" s="18" t="s">
        <v>51</v>
      </c>
      <c r="AA13" s="18"/>
      <c r="AB13" s="18" t="str">
        <f t="shared" si="1"/>
        <v/>
      </c>
      <c r="AC13" s="18" t="str">
        <f t="shared" si="2"/>
        <v/>
      </c>
      <c r="AD13" s="11">
        <f t="shared" si="3"/>
        <v>0</v>
      </c>
      <c r="AE13" s="11">
        <f t="shared" si="4"/>
        <v>16</v>
      </c>
      <c r="AF13" s="18" t="str">
        <f t="shared" si="5"/>
        <v>A</v>
      </c>
      <c r="AG13" s="18" t="str">
        <f t="shared" si="6"/>
        <v>A-11</v>
      </c>
      <c r="AH13" s="21"/>
      <c r="AI13" s="21"/>
    </row>
    <row r="14" spans="1:35" ht="22.5" hidden="1" customHeight="1">
      <c r="A14" s="8">
        <v>13</v>
      </c>
      <c r="B14" s="9" t="s">
        <v>52</v>
      </c>
      <c r="C14" s="9" t="s">
        <v>53</v>
      </c>
      <c r="D14" s="10">
        <v>1</v>
      </c>
      <c r="E14" s="11"/>
      <c r="F14" s="11"/>
      <c r="G14" s="11"/>
      <c r="H14" s="12">
        <v>1</v>
      </c>
      <c r="I14" s="10">
        <v>13</v>
      </c>
      <c r="J14" s="10">
        <v>23</v>
      </c>
      <c r="K14" s="10">
        <v>10</v>
      </c>
      <c r="L14" s="10">
        <v>10</v>
      </c>
      <c r="M14" s="10">
        <v>0</v>
      </c>
      <c r="N14" s="10">
        <v>0</v>
      </c>
      <c r="O14" s="10">
        <v>0</v>
      </c>
      <c r="P14" s="10">
        <v>3</v>
      </c>
      <c r="Q14" s="10">
        <v>0</v>
      </c>
      <c r="R14" s="12"/>
      <c r="S14" s="13"/>
      <c r="T14" s="13">
        <f t="shared" si="0"/>
        <v>13</v>
      </c>
      <c r="U14" s="11">
        <f ca="1">IFERROR(__xludf.DUMMYFUNCTION("IFERROR(
  SUM(
    FILTER(
      Reporte!$E:$E, 
      REGEXMATCH(Reporte!$A:$A, ""(?i)(TE PAGÓ|PAGASTE)""), 
      Reporte!$H:$H &amp; """" = AG14 &amp; """"
    )
  ), 
  0
)"),13)</f>
        <v>13</v>
      </c>
      <c r="V14" s="11">
        <f ca="1">IFERROR(__xludf.DUMMYFUNCTION("IFERROR(
  SUM(
    FILTER(
      Efectivo!$C:$C, 
      Efectivo!$D:$D &amp; """" = AG14 &amp; """"
    )
  ), 
  0
)"),0)</f>
        <v>0</v>
      </c>
      <c r="W14" s="11" t="s">
        <v>35</v>
      </c>
      <c r="X14" s="11"/>
      <c r="Y14" s="11" t="s">
        <v>36</v>
      </c>
      <c r="Z14" s="11"/>
      <c r="AA14" s="11"/>
      <c r="AB14" s="11" t="str">
        <f t="shared" si="1"/>
        <v/>
      </c>
      <c r="AC14" s="11" t="str">
        <f t="shared" si="2"/>
        <v/>
      </c>
      <c r="AD14" s="11">
        <f t="shared" si="3"/>
        <v>0</v>
      </c>
      <c r="AE14" s="11">
        <f t="shared" si="4"/>
        <v>13</v>
      </c>
      <c r="AF14" s="11" t="str">
        <f t="shared" si="5"/>
        <v>B</v>
      </c>
      <c r="AG14" s="11" t="str">
        <f t="shared" si="6"/>
        <v>B-1</v>
      </c>
      <c r="AH14" s="14"/>
      <c r="AI14" s="14"/>
    </row>
    <row r="15" spans="1:35" ht="22.5" hidden="1" customHeight="1">
      <c r="A15" s="15">
        <v>14</v>
      </c>
      <c r="B15" s="16" t="s">
        <v>54</v>
      </c>
      <c r="C15" s="16" t="s">
        <v>53</v>
      </c>
      <c r="D15" s="17">
        <v>2</v>
      </c>
      <c r="E15" s="18"/>
      <c r="F15" s="18"/>
      <c r="G15" s="18"/>
      <c r="H15" s="19">
        <v>1</v>
      </c>
      <c r="I15" s="17">
        <v>16</v>
      </c>
      <c r="J15" s="17">
        <v>26</v>
      </c>
      <c r="K15" s="17">
        <v>10</v>
      </c>
      <c r="L15" s="17">
        <v>10</v>
      </c>
      <c r="M15" s="17">
        <v>0</v>
      </c>
      <c r="N15" s="17">
        <v>0</v>
      </c>
      <c r="O15" s="17">
        <v>25</v>
      </c>
      <c r="P15" s="17">
        <v>3</v>
      </c>
      <c r="Q15" s="17">
        <v>0</v>
      </c>
      <c r="R15" s="19"/>
      <c r="S15" s="20"/>
      <c r="T15" s="13">
        <f t="shared" si="0"/>
        <v>38</v>
      </c>
      <c r="U15" s="18">
        <f ca="1">IFERROR(__xludf.DUMMYFUNCTION("IFERROR(
  SUM(
    FILTER(
      Reporte!$E:$E, 
      REGEXMATCH(Reporte!$A:$A, ""(?i)(TE PAGÓ|PAGASTE)""), 
      Reporte!$H:$H &amp; """" = AG15 &amp; """"
    )
  ), 
  0
)"),0)</f>
        <v>0</v>
      </c>
      <c r="V15" s="18">
        <f ca="1">IFERROR(__xludf.DUMMYFUNCTION("IFERROR(
  SUM(
    FILTER(
      Efectivo!$C:$C, 
      Efectivo!$D:$D &amp; """" = AG15 &amp; """"
    )
  ), 
  0
)"),38)</f>
        <v>38</v>
      </c>
      <c r="W15" s="18" t="s">
        <v>35</v>
      </c>
      <c r="X15" s="18"/>
      <c r="Y15" s="18"/>
      <c r="Z15" s="18"/>
      <c r="AA15" s="18"/>
      <c r="AB15" s="18" t="str">
        <f t="shared" si="1"/>
        <v/>
      </c>
      <c r="AC15" s="18" t="str">
        <f t="shared" si="2"/>
        <v/>
      </c>
      <c r="AD15" s="11">
        <f t="shared" si="3"/>
        <v>38</v>
      </c>
      <c r="AE15" s="11">
        <f t="shared" si="4"/>
        <v>0</v>
      </c>
      <c r="AF15" s="18" t="str">
        <f t="shared" si="5"/>
        <v>B</v>
      </c>
      <c r="AG15" s="18" t="str">
        <f t="shared" si="6"/>
        <v>B-2</v>
      </c>
      <c r="AH15" s="21"/>
      <c r="AI15" s="21"/>
    </row>
    <row r="16" spans="1:35" ht="22.5" hidden="1" customHeight="1">
      <c r="A16" s="8">
        <v>15</v>
      </c>
      <c r="B16" s="9" t="s">
        <v>55</v>
      </c>
      <c r="C16" s="9" t="s">
        <v>53</v>
      </c>
      <c r="D16" s="10">
        <v>3</v>
      </c>
      <c r="E16" s="11"/>
      <c r="F16" s="11"/>
      <c r="G16" s="11"/>
      <c r="H16" s="12">
        <v>1</v>
      </c>
      <c r="I16" s="10">
        <v>837</v>
      </c>
      <c r="J16" s="10">
        <v>846</v>
      </c>
      <c r="K16" s="10">
        <v>9</v>
      </c>
      <c r="L16" s="10">
        <v>9</v>
      </c>
      <c r="M16" s="10">
        <v>0</v>
      </c>
      <c r="N16" s="10">
        <v>0</v>
      </c>
      <c r="O16" s="10">
        <v>0</v>
      </c>
      <c r="P16" s="10">
        <v>3</v>
      </c>
      <c r="Q16" s="10">
        <v>0</v>
      </c>
      <c r="R16" s="12"/>
      <c r="S16" s="13"/>
      <c r="T16" s="13">
        <f t="shared" si="0"/>
        <v>12</v>
      </c>
      <c r="U16" s="11">
        <f ca="1">IFERROR(__xludf.DUMMYFUNCTION("IFERROR(
  SUM(
    FILTER(
      Reporte!$E:$E, 
      REGEXMATCH(Reporte!$A:$A, ""(?i)(TE PAGÓ|PAGASTE)""), 
      Reporte!$H:$H &amp; """" = AG16 &amp; """"
    )
  ), 
  0
)"),0)</f>
        <v>0</v>
      </c>
      <c r="V16" s="11">
        <f ca="1">IFERROR(__xludf.DUMMYFUNCTION("IFERROR(
  SUM(
    FILTER(
      Efectivo!$C:$C, 
      Efectivo!$D:$D &amp; """" = AG16 &amp; """"
    )
  ), 
  0
)"),12)</f>
        <v>12</v>
      </c>
      <c r="W16" s="11" t="s">
        <v>35</v>
      </c>
      <c r="X16" s="11"/>
      <c r="Y16" s="11"/>
      <c r="Z16" s="11"/>
      <c r="AA16" s="11"/>
      <c r="AB16" s="11" t="str">
        <f t="shared" si="1"/>
        <v/>
      </c>
      <c r="AC16" s="11" t="str">
        <f t="shared" si="2"/>
        <v/>
      </c>
      <c r="AD16" s="11">
        <f t="shared" si="3"/>
        <v>12</v>
      </c>
      <c r="AE16" s="11">
        <f t="shared" si="4"/>
        <v>0</v>
      </c>
      <c r="AF16" s="11" t="str">
        <f t="shared" si="5"/>
        <v>B</v>
      </c>
      <c r="AG16" s="11" t="str">
        <f t="shared" si="6"/>
        <v>B-3</v>
      </c>
      <c r="AH16" s="14"/>
      <c r="AI16" s="14"/>
    </row>
    <row r="17" spans="1:35" ht="22.5" hidden="1" customHeight="1">
      <c r="A17" s="15">
        <v>16</v>
      </c>
      <c r="B17" s="16" t="s">
        <v>56</v>
      </c>
      <c r="C17" s="16" t="s">
        <v>53</v>
      </c>
      <c r="D17" s="17">
        <v>4</v>
      </c>
      <c r="E17" s="18"/>
      <c r="F17" s="18"/>
      <c r="G17" s="18"/>
      <c r="H17" s="19">
        <v>1</v>
      </c>
      <c r="I17" s="17">
        <v>641</v>
      </c>
      <c r="J17" s="17">
        <v>655</v>
      </c>
      <c r="K17" s="17">
        <v>14</v>
      </c>
      <c r="L17" s="17">
        <v>14</v>
      </c>
      <c r="M17" s="17">
        <v>18</v>
      </c>
      <c r="N17" s="17">
        <v>0</v>
      </c>
      <c r="O17" s="17">
        <v>0</v>
      </c>
      <c r="P17" s="17">
        <v>3</v>
      </c>
      <c r="Q17" s="17">
        <v>0</v>
      </c>
      <c r="R17" s="19"/>
      <c r="S17" s="20"/>
      <c r="T17" s="13">
        <f t="shared" si="0"/>
        <v>35</v>
      </c>
      <c r="U17" s="18">
        <f ca="1">IFERROR(__xludf.DUMMYFUNCTION("IFERROR(
  SUM(
    FILTER(
      Reporte!$E:$E, 
      REGEXMATCH(Reporte!$A:$A, ""(?i)(TE PAGÓ|PAGASTE)""), 
      Reporte!$H:$H &amp; """" = AG17 &amp; """"
    )
  ), 
  0
)"),35)</f>
        <v>35</v>
      </c>
      <c r="V17" s="18">
        <f ca="1">IFERROR(__xludf.DUMMYFUNCTION("IFERROR(
  SUM(
    FILTER(
      Efectivo!$C:$C, 
      Efectivo!$D:$D &amp; """" = AG17 &amp; """"
    )
  ), 
  0
)"),0)</f>
        <v>0</v>
      </c>
      <c r="W17" s="18" t="s">
        <v>35</v>
      </c>
      <c r="X17" s="18"/>
      <c r="Y17" s="18" t="s">
        <v>36</v>
      </c>
      <c r="Z17" s="18"/>
      <c r="AA17" s="18"/>
      <c r="AB17" s="18" t="str">
        <f t="shared" si="1"/>
        <v/>
      </c>
      <c r="AC17" s="18" t="str">
        <f t="shared" si="2"/>
        <v/>
      </c>
      <c r="AD17" s="11">
        <f t="shared" si="3"/>
        <v>0</v>
      </c>
      <c r="AE17" s="11">
        <f t="shared" si="4"/>
        <v>35</v>
      </c>
      <c r="AF17" s="18" t="str">
        <f t="shared" si="5"/>
        <v>B</v>
      </c>
      <c r="AG17" s="18" t="str">
        <f t="shared" si="6"/>
        <v>B-4</v>
      </c>
      <c r="AH17" s="21"/>
      <c r="AI17" s="21"/>
    </row>
    <row r="18" spans="1:35" ht="22.5" hidden="1" customHeight="1">
      <c r="A18" s="8">
        <v>17</v>
      </c>
      <c r="B18" s="9" t="s">
        <v>57</v>
      </c>
      <c r="C18" s="9" t="s">
        <v>53</v>
      </c>
      <c r="D18" s="10">
        <v>5</v>
      </c>
      <c r="E18" s="11"/>
      <c r="F18" s="11"/>
      <c r="G18" s="11"/>
      <c r="H18" s="12">
        <v>1</v>
      </c>
      <c r="I18" s="10">
        <v>59</v>
      </c>
      <c r="J18" s="10">
        <v>100</v>
      </c>
      <c r="K18" s="10">
        <v>41</v>
      </c>
      <c r="L18" s="10">
        <v>41</v>
      </c>
      <c r="M18" s="10">
        <v>39</v>
      </c>
      <c r="N18" s="10">
        <v>0</v>
      </c>
      <c r="O18" s="10">
        <v>25</v>
      </c>
      <c r="P18" s="10">
        <v>3</v>
      </c>
      <c r="Q18" s="10">
        <v>0</v>
      </c>
      <c r="R18" s="12"/>
      <c r="S18" s="13"/>
      <c r="T18" s="13">
        <f t="shared" si="0"/>
        <v>108</v>
      </c>
      <c r="U18" s="11">
        <f ca="1">IFERROR(__xludf.DUMMYFUNCTION("IFERROR(
  SUM(
    FILTER(
      Reporte!$E:$E, 
      REGEXMATCH(Reporte!$A:$A, ""(?i)(TE PAGÓ|PAGASTE)""), 
      Reporte!$H:$H &amp; """" = AG18 &amp; """"
    )
  ), 
  0
)"),0)</f>
        <v>0</v>
      </c>
      <c r="V18" s="11">
        <f ca="1">IFERROR(__xludf.DUMMYFUNCTION("IFERROR(
  SUM(
    FILTER(
      Efectivo!$C:$C, 
      Efectivo!$D:$D &amp; """" = AG18 &amp; """"
    )
  ), 
  0
)"),108)</f>
        <v>108</v>
      </c>
      <c r="W18" s="11" t="s">
        <v>35</v>
      </c>
      <c r="X18" s="11"/>
      <c r="Y18" s="11"/>
      <c r="Z18" s="11"/>
      <c r="AA18" s="11"/>
      <c r="AB18" s="11" t="str">
        <f t="shared" si="1"/>
        <v/>
      </c>
      <c r="AC18" s="11" t="str">
        <f t="shared" si="2"/>
        <v/>
      </c>
      <c r="AD18" s="11">
        <f t="shared" si="3"/>
        <v>108</v>
      </c>
      <c r="AE18" s="11">
        <f t="shared" si="4"/>
        <v>0</v>
      </c>
      <c r="AF18" s="11" t="str">
        <f t="shared" si="5"/>
        <v>B</v>
      </c>
      <c r="AG18" s="11" t="str">
        <f t="shared" si="6"/>
        <v>B-5</v>
      </c>
      <c r="AH18" s="14"/>
      <c r="AI18" s="14"/>
    </row>
    <row r="19" spans="1:35" ht="22.5" hidden="1" customHeight="1">
      <c r="A19" s="15">
        <v>18</v>
      </c>
      <c r="B19" s="16" t="s">
        <v>58</v>
      </c>
      <c r="C19" s="16" t="s">
        <v>53</v>
      </c>
      <c r="D19" s="17">
        <v>6</v>
      </c>
      <c r="E19" s="18"/>
      <c r="F19" s="18"/>
      <c r="G19" s="18"/>
      <c r="H19" s="19">
        <v>1</v>
      </c>
      <c r="I19" s="17">
        <v>32</v>
      </c>
      <c r="J19" s="17">
        <v>62</v>
      </c>
      <c r="K19" s="17">
        <v>30</v>
      </c>
      <c r="L19" s="17">
        <v>30</v>
      </c>
      <c r="M19" s="17">
        <v>0</v>
      </c>
      <c r="N19" s="17">
        <v>0</v>
      </c>
      <c r="O19" s="17">
        <v>25</v>
      </c>
      <c r="P19" s="17">
        <v>3</v>
      </c>
      <c r="Q19" s="17">
        <v>0</v>
      </c>
      <c r="R19" s="19"/>
      <c r="S19" s="20"/>
      <c r="T19" s="13">
        <f t="shared" si="0"/>
        <v>58</v>
      </c>
      <c r="U19" s="18">
        <f ca="1">IFERROR(__xludf.DUMMYFUNCTION("IFERROR(
  SUM(
    FILTER(
      Reporte!$E:$E, 
      REGEXMATCH(Reporte!$A:$A, ""(?i)(TE PAGÓ|PAGASTE)""), 
      Reporte!$H:$H &amp; """" = AG19 &amp; """"
    )
  ), 
  0
)"),58)</f>
        <v>58</v>
      </c>
      <c r="V19" s="18">
        <f ca="1">IFERROR(__xludf.DUMMYFUNCTION("IFERROR(
  SUM(
    FILTER(
      Efectivo!$C:$C, 
      Efectivo!$D:$D &amp; """" = AG19 &amp; """"
    )
  ), 
  0
)"),0)</f>
        <v>0</v>
      </c>
      <c r="W19" s="18" t="s">
        <v>35</v>
      </c>
      <c r="X19" s="18"/>
      <c r="Y19" s="18" t="s">
        <v>36</v>
      </c>
      <c r="Z19" s="18"/>
      <c r="AA19" s="18"/>
      <c r="AB19" s="18" t="str">
        <f t="shared" si="1"/>
        <v/>
      </c>
      <c r="AC19" s="18" t="str">
        <f t="shared" si="2"/>
        <v/>
      </c>
      <c r="AD19" s="11">
        <f t="shared" si="3"/>
        <v>0</v>
      </c>
      <c r="AE19" s="11">
        <f t="shared" si="4"/>
        <v>58</v>
      </c>
      <c r="AF19" s="18" t="str">
        <f t="shared" si="5"/>
        <v>B</v>
      </c>
      <c r="AG19" s="18" t="str">
        <f t="shared" si="6"/>
        <v>B-6</v>
      </c>
      <c r="AH19" s="21"/>
      <c r="AI19" s="21"/>
    </row>
    <row r="20" spans="1:35" ht="22.5" hidden="1" customHeight="1">
      <c r="A20" s="8">
        <v>19</v>
      </c>
      <c r="B20" s="9" t="s">
        <v>59</v>
      </c>
      <c r="C20" s="9" t="s">
        <v>53</v>
      </c>
      <c r="D20" s="10">
        <v>7</v>
      </c>
      <c r="E20" s="11"/>
      <c r="F20" s="11"/>
      <c r="G20" s="11"/>
      <c r="H20" s="12">
        <v>1</v>
      </c>
      <c r="I20" s="10">
        <v>52</v>
      </c>
      <c r="J20" s="10">
        <v>65</v>
      </c>
      <c r="K20" s="10">
        <v>13</v>
      </c>
      <c r="L20" s="10">
        <v>13</v>
      </c>
      <c r="M20" s="10">
        <v>17</v>
      </c>
      <c r="N20" s="10">
        <v>0</v>
      </c>
      <c r="O20" s="10">
        <v>25</v>
      </c>
      <c r="P20" s="10">
        <v>3</v>
      </c>
      <c r="Q20" s="10"/>
      <c r="R20" s="12"/>
      <c r="S20" s="13"/>
      <c r="T20" s="13">
        <f t="shared" si="0"/>
        <v>58</v>
      </c>
      <c r="U20" s="11">
        <f ca="1">IFERROR(__xludf.DUMMYFUNCTION("IFERROR(
  SUM(
    FILTER(
      Reporte!$E:$E, 
      REGEXMATCH(Reporte!$A:$A, ""(?i)(TE PAGÓ|PAGASTE)""), 
      Reporte!$H:$H &amp; """" = AG20 &amp; """"
    )
  ), 
  0
)"),58)</f>
        <v>58</v>
      </c>
      <c r="V20" s="11">
        <f ca="1">IFERROR(__xludf.DUMMYFUNCTION("IFERROR(
  SUM(
    FILTER(
      Efectivo!$C:$C, 
      Efectivo!$D:$D &amp; """" = AG20 &amp; """"
    )
  ), 
  0
)"),0)</f>
        <v>0</v>
      </c>
      <c r="W20" s="11" t="s">
        <v>35</v>
      </c>
      <c r="X20" s="11"/>
      <c r="Y20" s="11" t="s">
        <v>36</v>
      </c>
      <c r="Z20" s="11" t="s">
        <v>60</v>
      </c>
      <c r="AA20" s="11"/>
      <c r="AB20" s="11" t="str">
        <f t="shared" si="1"/>
        <v/>
      </c>
      <c r="AC20" s="11" t="str">
        <f t="shared" si="2"/>
        <v/>
      </c>
      <c r="AD20" s="11">
        <f t="shared" si="3"/>
        <v>0</v>
      </c>
      <c r="AE20" s="11">
        <f t="shared" si="4"/>
        <v>58</v>
      </c>
      <c r="AF20" s="11" t="str">
        <f t="shared" si="5"/>
        <v>B</v>
      </c>
      <c r="AG20" s="11" t="str">
        <f t="shared" si="6"/>
        <v>B-7</v>
      </c>
      <c r="AH20" s="14"/>
      <c r="AI20" s="14"/>
    </row>
    <row r="21" spans="1:35" ht="15.75" hidden="1" customHeight="1">
      <c r="A21" s="15">
        <v>20</v>
      </c>
      <c r="B21" s="16" t="s">
        <v>61</v>
      </c>
      <c r="C21" s="16" t="s">
        <v>53</v>
      </c>
      <c r="D21" s="17">
        <v>8</v>
      </c>
      <c r="E21" s="18"/>
      <c r="F21" s="18"/>
      <c r="G21" s="18"/>
      <c r="H21" s="19">
        <v>1</v>
      </c>
      <c r="I21" s="17">
        <v>21</v>
      </c>
      <c r="J21" s="17">
        <v>39</v>
      </c>
      <c r="K21" s="17">
        <v>18</v>
      </c>
      <c r="L21" s="17">
        <v>18</v>
      </c>
      <c r="M21" s="17">
        <v>0</v>
      </c>
      <c r="N21" s="17">
        <v>0</v>
      </c>
      <c r="O21" s="17">
        <v>25</v>
      </c>
      <c r="P21" s="17">
        <v>3</v>
      </c>
      <c r="Q21" s="17">
        <v>0</v>
      </c>
      <c r="R21" s="19"/>
      <c r="S21" s="20"/>
      <c r="T21" s="13">
        <f t="shared" si="0"/>
        <v>46</v>
      </c>
      <c r="U21" s="18">
        <f ca="1">IFERROR(__xludf.DUMMYFUNCTION("IFERROR(
  SUM(
    FILTER(
      Reporte!$E:$E, 
      REGEXMATCH(Reporte!$A:$A, ""(?i)(TE PAGÓ|PAGASTE)""), 
      Reporte!$H:$H &amp; """" = AG21 &amp; """"
    )
  ), 
  0
)"),0)</f>
        <v>0</v>
      </c>
      <c r="V21" s="18">
        <f ca="1">IFERROR(__xludf.DUMMYFUNCTION("IFERROR(
  SUM(
    FILTER(
      Efectivo!$C:$C, 
      Efectivo!$D:$D &amp; """" = AG21 &amp; """"
    )
  ), 
  0
)"),0)</f>
        <v>0</v>
      </c>
      <c r="W21" s="18"/>
      <c r="X21" s="18"/>
      <c r="Y21" s="18"/>
      <c r="Z21" s="18"/>
      <c r="AA21" s="18"/>
      <c r="AB21" s="18" t="str">
        <f t="shared" si="1"/>
        <v/>
      </c>
      <c r="AC21" s="18" t="str">
        <f t="shared" si="2"/>
        <v/>
      </c>
      <c r="AD21" s="11">
        <f t="shared" si="3"/>
        <v>0</v>
      </c>
      <c r="AE21" s="11">
        <f t="shared" si="4"/>
        <v>0</v>
      </c>
      <c r="AF21" s="18" t="str">
        <f t="shared" si="5"/>
        <v>B</v>
      </c>
      <c r="AG21" s="18" t="str">
        <f t="shared" si="6"/>
        <v>B-8</v>
      </c>
      <c r="AH21" s="21"/>
      <c r="AI21" s="21"/>
    </row>
    <row r="22" spans="1:35" ht="15.75" hidden="1" customHeight="1">
      <c r="A22" s="8">
        <v>21</v>
      </c>
      <c r="B22" s="9" t="s">
        <v>62</v>
      </c>
      <c r="C22" s="9" t="s">
        <v>53</v>
      </c>
      <c r="D22" s="10">
        <v>9</v>
      </c>
      <c r="E22" s="11"/>
      <c r="F22" s="12">
        <v>1</v>
      </c>
      <c r="G22" s="11"/>
      <c r="H22" s="12">
        <v>1</v>
      </c>
      <c r="I22" s="10">
        <v>72</v>
      </c>
      <c r="J22" s="10">
        <v>78</v>
      </c>
      <c r="K22" s="10">
        <v>6</v>
      </c>
      <c r="L22" s="10">
        <v>6</v>
      </c>
      <c r="M22" s="10">
        <v>10</v>
      </c>
      <c r="N22" s="22">
        <v>40</v>
      </c>
      <c r="O22" s="10">
        <v>0</v>
      </c>
      <c r="P22" s="10">
        <v>3</v>
      </c>
      <c r="Q22" s="10">
        <v>0</v>
      </c>
      <c r="R22" s="12"/>
      <c r="S22" s="13"/>
      <c r="T22" s="13">
        <f t="shared" si="0"/>
        <v>59</v>
      </c>
      <c r="U22" s="11">
        <f ca="1">IFERROR(__xludf.DUMMYFUNCTION("IFERROR(
  SUM(
    FILTER(
      Reporte!$E:$E, 
      REGEXMATCH(Reporte!$A:$A, ""(?i)(TE PAGÓ|PAGASTE)""), 
      Reporte!$H:$H &amp; """" = AG22 &amp; """"
    )
  ), 
  0
)"),0)</f>
        <v>0</v>
      </c>
      <c r="V22" s="11">
        <f ca="1">IFERROR(__xludf.DUMMYFUNCTION("IFERROR(
  SUM(
    FILTER(
      Efectivo!$C:$C, 
      Efectivo!$D:$D &amp; """" = AG22 &amp; """"
    )
  ), 
  0
)"),59)</f>
        <v>59</v>
      </c>
      <c r="W22" s="11" t="s">
        <v>35</v>
      </c>
      <c r="X22" s="11"/>
      <c r="Y22" s="11"/>
      <c r="Z22" s="11"/>
      <c r="AA22" s="11"/>
      <c r="AB22" s="11" t="str">
        <f t="shared" si="1"/>
        <v/>
      </c>
      <c r="AC22" s="11" t="str">
        <f t="shared" si="2"/>
        <v/>
      </c>
      <c r="AD22" s="11">
        <f t="shared" si="3"/>
        <v>59</v>
      </c>
      <c r="AE22" s="11">
        <f t="shared" si="4"/>
        <v>0</v>
      </c>
      <c r="AF22" s="11" t="str">
        <f t="shared" si="5"/>
        <v>B</v>
      </c>
      <c r="AG22" s="11" t="str">
        <f t="shared" si="6"/>
        <v>B-9</v>
      </c>
      <c r="AH22" s="14"/>
      <c r="AI22" s="14"/>
    </row>
    <row r="23" spans="1:35" ht="15.75" hidden="1" customHeight="1">
      <c r="A23" s="15">
        <v>22</v>
      </c>
      <c r="B23" s="16" t="s">
        <v>63</v>
      </c>
      <c r="C23" s="16" t="s">
        <v>53</v>
      </c>
      <c r="D23" s="17">
        <v>11</v>
      </c>
      <c r="E23" s="18"/>
      <c r="F23" s="18"/>
      <c r="G23" s="18"/>
      <c r="H23" s="19">
        <v>1</v>
      </c>
      <c r="I23" s="17">
        <v>26</v>
      </c>
      <c r="J23" s="17">
        <v>48</v>
      </c>
      <c r="K23" s="17">
        <v>22</v>
      </c>
      <c r="L23" s="17">
        <v>22</v>
      </c>
      <c r="M23" s="17">
        <v>19</v>
      </c>
      <c r="N23" s="17">
        <v>0</v>
      </c>
      <c r="O23" s="17">
        <v>25</v>
      </c>
      <c r="P23" s="17">
        <v>3</v>
      </c>
      <c r="Q23" s="17">
        <v>0</v>
      </c>
      <c r="R23" s="19"/>
      <c r="S23" s="20"/>
      <c r="T23" s="13">
        <f t="shared" si="0"/>
        <v>69</v>
      </c>
      <c r="U23" s="18">
        <f ca="1">IFERROR(__xludf.DUMMYFUNCTION("IFERROR(
  SUM(
    FILTER(
      Reporte!$E:$E, 
      REGEXMATCH(Reporte!$A:$A, ""(?i)(TE PAGÓ|PAGASTE)""), 
      Reporte!$H:$H &amp; """" = AG23 &amp; """"
    )
  ), 
  0
)"),0)</f>
        <v>0</v>
      </c>
      <c r="V23" s="18">
        <f ca="1">IFERROR(__xludf.DUMMYFUNCTION("IFERROR(
  SUM(
    FILTER(
      Efectivo!$C:$C, 
      Efectivo!$D:$D &amp; """" = AG23 &amp; """"
    )
  ), 
  0
)"),69)</f>
        <v>69</v>
      </c>
      <c r="W23" s="18" t="s">
        <v>35</v>
      </c>
      <c r="X23" s="18"/>
      <c r="Y23" s="18"/>
      <c r="Z23" s="18"/>
      <c r="AA23" s="18"/>
      <c r="AB23" s="18" t="str">
        <f t="shared" si="1"/>
        <v/>
      </c>
      <c r="AC23" s="18" t="str">
        <f t="shared" si="2"/>
        <v/>
      </c>
      <c r="AD23" s="11">
        <f t="shared" si="3"/>
        <v>69</v>
      </c>
      <c r="AE23" s="11">
        <f t="shared" si="4"/>
        <v>0</v>
      </c>
      <c r="AF23" s="18" t="str">
        <f t="shared" si="5"/>
        <v>B</v>
      </c>
      <c r="AG23" s="18" t="str">
        <f t="shared" si="6"/>
        <v>B-11</v>
      </c>
      <c r="AH23" s="21"/>
      <c r="AI23" s="21"/>
    </row>
    <row r="24" spans="1:35" ht="15.75" hidden="1" customHeight="1">
      <c r="A24" s="8">
        <v>23</v>
      </c>
      <c r="B24" s="9" t="s">
        <v>64</v>
      </c>
      <c r="C24" s="9" t="s">
        <v>53</v>
      </c>
      <c r="D24" s="10">
        <v>10</v>
      </c>
      <c r="E24" s="11"/>
      <c r="F24" s="11"/>
      <c r="G24" s="11"/>
      <c r="H24" s="12">
        <v>1</v>
      </c>
      <c r="I24" s="10">
        <v>399</v>
      </c>
      <c r="J24" s="10">
        <v>421</v>
      </c>
      <c r="K24" s="10">
        <v>22</v>
      </c>
      <c r="L24" s="10">
        <v>22</v>
      </c>
      <c r="M24" s="10">
        <v>0</v>
      </c>
      <c r="N24" s="10">
        <v>0</v>
      </c>
      <c r="O24" s="10">
        <v>0</v>
      </c>
      <c r="P24" s="10">
        <v>3</v>
      </c>
      <c r="Q24" s="10">
        <v>0</v>
      </c>
      <c r="R24" s="12"/>
      <c r="S24" s="13"/>
      <c r="T24" s="13">
        <f t="shared" si="0"/>
        <v>25</v>
      </c>
      <c r="U24" s="11">
        <f ca="1">IFERROR(__xludf.DUMMYFUNCTION("IFERROR(
  SUM(
    FILTER(
      Reporte!$E:$E, 
      REGEXMATCH(Reporte!$A:$A, ""(?i)(TE PAGÓ|PAGASTE)""), 
      Reporte!$H:$H &amp; """" = AG24 &amp; """"
    )
  ), 
  0
)"),0)</f>
        <v>0</v>
      </c>
      <c r="V24" s="11">
        <f ca="1">IFERROR(__xludf.DUMMYFUNCTION("IFERROR(
  SUM(
    FILTER(
      Efectivo!$C:$C, 
      Efectivo!$D:$D &amp; """" = AG24 &amp; """"
    )
  ), 
  0
)"),0)</f>
        <v>0</v>
      </c>
      <c r="W24" s="11"/>
      <c r="X24" s="11"/>
      <c r="Y24" s="11"/>
      <c r="Z24" s="11"/>
      <c r="AA24" s="11"/>
      <c r="AB24" s="11" t="str">
        <f t="shared" si="1"/>
        <v/>
      </c>
      <c r="AC24" s="11" t="str">
        <f t="shared" si="2"/>
        <v/>
      </c>
      <c r="AD24" s="11">
        <f t="shared" si="3"/>
        <v>0</v>
      </c>
      <c r="AE24" s="11">
        <f t="shared" si="4"/>
        <v>0</v>
      </c>
      <c r="AF24" s="11" t="str">
        <f t="shared" si="5"/>
        <v>B</v>
      </c>
      <c r="AG24" s="11" t="str">
        <f t="shared" si="6"/>
        <v>B-10</v>
      </c>
      <c r="AH24" s="14"/>
      <c r="AI24" s="14"/>
    </row>
    <row r="25" spans="1:35" ht="15.75" hidden="1" customHeight="1">
      <c r="A25" s="15">
        <v>24</v>
      </c>
      <c r="B25" s="16" t="s">
        <v>65</v>
      </c>
      <c r="C25" s="16" t="s">
        <v>53</v>
      </c>
      <c r="D25" s="17">
        <v>12</v>
      </c>
      <c r="E25" s="18"/>
      <c r="F25" s="18"/>
      <c r="G25" s="18"/>
      <c r="H25" s="19">
        <v>1</v>
      </c>
      <c r="I25" s="17">
        <v>9</v>
      </c>
      <c r="J25" s="17">
        <v>14</v>
      </c>
      <c r="K25" s="17">
        <v>5</v>
      </c>
      <c r="L25" s="17">
        <v>5</v>
      </c>
      <c r="M25" s="17">
        <v>0</v>
      </c>
      <c r="N25" s="17">
        <v>0</v>
      </c>
      <c r="O25" s="17">
        <v>0</v>
      </c>
      <c r="P25" s="17">
        <v>3</v>
      </c>
      <c r="Q25" s="17">
        <v>0</v>
      </c>
      <c r="R25" s="19"/>
      <c r="S25" s="20"/>
      <c r="T25" s="13">
        <f t="shared" si="0"/>
        <v>8</v>
      </c>
      <c r="U25" s="18">
        <f ca="1">IFERROR(__xludf.DUMMYFUNCTION("IFERROR(
  SUM(
    FILTER(
      Reporte!$E:$E, 
      REGEXMATCH(Reporte!$A:$A, ""(?i)(TE PAGÓ|PAGASTE)""), 
      Reporte!$H:$H &amp; """" = AG25 &amp; """"
    )
  ), 
  0
)"),0)</f>
        <v>0</v>
      </c>
      <c r="V25" s="18">
        <f ca="1">IFERROR(__xludf.DUMMYFUNCTION("IFERROR(
  SUM(
    FILTER(
      Efectivo!$C:$C, 
      Efectivo!$D:$D &amp; """" = AG25 &amp; """"
    )
  ), 
  0
)"),0)</f>
        <v>0</v>
      </c>
      <c r="W25" s="18"/>
      <c r="X25" s="18"/>
      <c r="Y25" s="18"/>
      <c r="Z25" s="18"/>
      <c r="AA25" s="18"/>
      <c r="AB25" s="18" t="str">
        <f t="shared" si="1"/>
        <v/>
      </c>
      <c r="AC25" s="18" t="str">
        <f t="shared" si="2"/>
        <v/>
      </c>
      <c r="AD25" s="11">
        <f t="shared" si="3"/>
        <v>0</v>
      </c>
      <c r="AE25" s="11">
        <f t="shared" si="4"/>
        <v>0</v>
      </c>
      <c r="AF25" s="18" t="str">
        <f t="shared" si="5"/>
        <v>B</v>
      </c>
      <c r="AG25" s="18" t="str">
        <f t="shared" si="6"/>
        <v>B-12</v>
      </c>
      <c r="AH25" s="21"/>
      <c r="AI25" s="21"/>
    </row>
    <row r="26" spans="1:35" ht="15.75" hidden="1" customHeight="1">
      <c r="A26" s="8">
        <v>25</v>
      </c>
      <c r="B26" s="9" t="s">
        <v>66</v>
      </c>
      <c r="C26" s="9" t="s">
        <v>53</v>
      </c>
      <c r="D26" s="9" t="s">
        <v>67</v>
      </c>
      <c r="E26" s="11"/>
      <c r="F26" s="11"/>
      <c r="G26" s="11"/>
      <c r="H26" s="12">
        <v>1</v>
      </c>
      <c r="I26" s="10">
        <v>365</v>
      </c>
      <c r="J26" s="10">
        <v>371</v>
      </c>
      <c r="K26" s="10">
        <v>6</v>
      </c>
      <c r="L26" s="10">
        <v>6</v>
      </c>
      <c r="M26" s="10">
        <v>9</v>
      </c>
      <c r="N26" s="22">
        <v>20</v>
      </c>
      <c r="O26" s="10">
        <v>0</v>
      </c>
      <c r="P26" s="10">
        <v>3</v>
      </c>
      <c r="Q26" s="10">
        <v>0</v>
      </c>
      <c r="R26" s="12"/>
      <c r="S26" s="13"/>
      <c r="T26" s="13">
        <f t="shared" si="0"/>
        <v>38</v>
      </c>
      <c r="U26" s="11">
        <f ca="1">IFERROR(__xludf.DUMMYFUNCTION("IFERROR(
  SUM(
    FILTER(
      Reporte!$E:$E, 
      REGEXMATCH(Reporte!$A:$A, ""(?i)(TE PAGÓ|PAGASTE)""), 
      Reporte!$H:$H &amp; """" = AG26 &amp; """"
    )
  ), 
  0
)"),38)</f>
        <v>38</v>
      </c>
      <c r="V26" s="11">
        <f ca="1">IFERROR(__xludf.DUMMYFUNCTION("IFERROR(
  SUM(
    FILTER(
      Efectivo!$C:$C, 
      Efectivo!$D:$D &amp; """" = AG26 &amp; """"
    )
  ), 
  0
)"),0)</f>
        <v>0</v>
      </c>
      <c r="W26" s="11" t="s">
        <v>35</v>
      </c>
      <c r="X26" s="11"/>
      <c r="Y26" s="11" t="s">
        <v>36</v>
      </c>
      <c r="Z26" s="11" t="s">
        <v>68</v>
      </c>
      <c r="AA26" s="11"/>
      <c r="AB26" s="11" t="str">
        <f t="shared" si="1"/>
        <v/>
      </c>
      <c r="AC26" s="11" t="str">
        <f t="shared" si="2"/>
        <v/>
      </c>
      <c r="AD26" s="11">
        <f t="shared" si="3"/>
        <v>0</v>
      </c>
      <c r="AE26" s="11">
        <f t="shared" si="4"/>
        <v>38</v>
      </c>
      <c r="AF26" s="11" t="str">
        <f t="shared" si="5"/>
        <v>B</v>
      </c>
      <c r="AG26" s="11" t="str">
        <f t="shared" si="6"/>
        <v>B-12A</v>
      </c>
      <c r="AH26" s="14"/>
      <c r="AI26" s="14"/>
    </row>
    <row r="27" spans="1:35" ht="15.75" hidden="1" customHeight="1">
      <c r="A27" s="15">
        <v>26</v>
      </c>
      <c r="B27" s="16" t="s">
        <v>69</v>
      </c>
      <c r="C27" s="16" t="s">
        <v>53</v>
      </c>
      <c r="D27" s="17">
        <v>13</v>
      </c>
      <c r="E27" s="18"/>
      <c r="F27" s="18"/>
      <c r="G27" s="18"/>
      <c r="H27" s="19">
        <v>1</v>
      </c>
      <c r="I27" s="17">
        <v>300</v>
      </c>
      <c r="J27" s="17">
        <v>306</v>
      </c>
      <c r="K27" s="17">
        <v>6</v>
      </c>
      <c r="L27" s="17">
        <v>6</v>
      </c>
      <c r="M27" s="17">
        <v>0</v>
      </c>
      <c r="N27" s="17">
        <v>0</v>
      </c>
      <c r="O27" s="17">
        <v>0</v>
      </c>
      <c r="P27" s="17">
        <v>3</v>
      </c>
      <c r="Q27" s="17">
        <v>0</v>
      </c>
      <c r="R27" s="19"/>
      <c r="S27" s="20"/>
      <c r="T27" s="13">
        <f t="shared" si="0"/>
        <v>9</v>
      </c>
      <c r="U27" s="18">
        <f ca="1">IFERROR(__xludf.DUMMYFUNCTION("IFERROR(
  SUM(
    FILTER(
      Reporte!$E:$E, 
      REGEXMATCH(Reporte!$A:$A, ""(?i)(TE PAGÓ|PAGASTE)""), 
      Reporte!$H:$H &amp; """" = AG27 &amp; """"
    )
  ), 
  0
)"),9)</f>
        <v>9</v>
      </c>
      <c r="V27" s="18">
        <f ca="1">IFERROR(__xludf.DUMMYFUNCTION("IFERROR(
  SUM(
    FILTER(
      Efectivo!$C:$C, 
      Efectivo!$D:$D &amp; """" = AG27 &amp; """"
    )
  ), 
  0
)"),0)</f>
        <v>0</v>
      </c>
      <c r="W27" s="18" t="s">
        <v>35</v>
      </c>
      <c r="X27" s="18"/>
      <c r="Y27" s="18" t="s">
        <v>36</v>
      </c>
      <c r="Z27" s="18"/>
      <c r="AA27" s="18"/>
      <c r="AB27" s="18" t="str">
        <f t="shared" si="1"/>
        <v/>
      </c>
      <c r="AC27" s="18" t="str">
        <f t="shared" si="2"/>
        <v/>
      </c>
      <c r="AD27" s="11">
        <f t="shared" si="3"/>
        <v>0</v>
      </c>
      <c r="AE27" s="11">
        <f t="shared" si="4"/>
        <v>9</v>
      </c>
      <c r="AF27" s="18" t="str">
        <f t="shared" si="5"/>
        <v>B</v>
      </c>
      <c r="AG27" s="18" t="str">
        <f t="shared" si="6"/>
        <v>B-13</v>
      </c>
      <c r="AH27" s="21"/>
      <c r="AI27" s="21"/>
    </row>
    <row r="28" spans="1:35" ht="15.75" hidden="1" customHeight="1">
      <c r="A28" s="8">
        <v>27</v>
      </c>
      <c r="B28" s="9" t="s">
        <v>70</v>
      </c>
      <c r="C28" s="9" t="s">
        <v>53</v>
      </c>
      <c r="D28" s="10">
        <v>15</v>
      </c>
      <c r="E28" s="11"/>
      <c r="F28" s="11"/>
      <c r="G28" s="11"/>
      <c r="H28" s="12">
        <v>1</v>
      </c>
      <c r="I28" s="10">
        <v>1295</v>
      </c>
      <c r="J28" s="10">
        <v>1311</v>
      </c>
      <c r="K28" s="10">
        <v>16</v>
      </c>
      <c r="L28" s="10">
        <v>16</v>
      </c>
      <c r="M28" s="10">
        <v>0</v>
      </c>
      <c r="N28" s="10">
        <v>0</v>
      </c>
      <c r="O28" s="10">
        <v>0</v>
      </c>
      <c r="P28" s="10">
        <v>3</v>
      </c>
      <c r="Q28" s="10">
        <v>0</v>
      </c>
      <c r="R28" s="12"/>
      <c r="S28" s="13"/>
      <c r="T28" s="13">
        <f t="shared" si="0"/>
        <v>19</v>
      </c>
      <c r="U28" s="11">
        <f ca="1">IFERROR(__xludf.DUMMYFUNCTION("IFERROR(
  SUM(
    FILTER(
      Reporte!$E:$E, 
      REGEXMATCH(Reporte!$A:$A, ""(?i)(TE PAGÓ|PAGASTE)""), 
      Reporte!$H:$H &amp; """" = AG28 &amp; """"
    )
  ), 
  0
)"),19)</f>
        <v>19</v>
      </c>
      <c r="V28" s="11">
        <f ca="1">IFERROR(__xludf.DUMMYFUNCTION("IFERROR(
  SUM(
    FILTER(
      Efectivo!$C:$C, 
      Efectivo!$D:$D &amp; """" = AG28 &amp; """"
    )
  ), 
  0
)"),0)</f>
        <v>0</v>
      </c>
      <c r="W28" s="11" t="s">
        <v>35</v>
      </c>
      <c r="X28" s="11"/>
      <c r="Y28" s="11" t="s">
        <v>36</v>
      </c>
      <c r="Z28" s="11"/>
      <c r="AA28" s="11"/>
      <c r="AB28" s="11" t="str">
        <f t="shared" si="1"/>
        <v/>
      </c>
      <c r="AC28" s="11" t="str">
        <f t="shared" si="2"/>
        <v/>
      </c>
      <c r="AD28" s="11">
        <f t="shared" si="3"/>
        <v>0</v>
      </c>
      <c r="AE28" s="11">
        <f t="shared" si="4"/>
        <v>19</v>
      </c>
      <c r="AF28" s="11" t="str">
        <f t="shared" si="5"/>
        <v>B</v>
      </c>
      <c r="AG28" s="11" t="str">
        <f t="shared" si="6"/>
        <v>B-15</v>
      </c>
      <c r="AH28" s="14"/>
      <c r="AI28" s="14"/>
    </row>
    <row r="29" spans="1:35" ht="15.75" hidden="1" customHeight="1">
      <c r="A29" s="15">
        <v>28</v>
      </c>
      <c r="B29" s="16" t="s">
        <v>71</v>
      </c>
      <c r="C29" s="16" t="s">
        <v>53</v>
      </c>
      <c r="D29" s="17">
        <v>16</v>
      </c>
      <c r="E29" s="18"/>
      <c r="F29" s="18"/>
      <c r="G29" s="18"/>
      <c r="H29" s="19">
        <v>1</v>
      </c>
      <c r="I29" s="17">
        <v>34</v>
      </c>
      <c r="J29" s="17">
        <v>35</v>
      </c>
      <c r="K29" s="17">
        <v>5</v>
      </c>
      <c r="L29" s="17">
        <v>5</v>
      </c>
      <c r="M29" s="17">
        <v>8</v>
      </c>
      <c r="N29" s="22">
        <v>40</v>
      </c>
      <c r="O29" s="17">
        <v>0</v>
      </c>
      <c r="P29" s="17">
        <v>3</v>
      </c>
      <c r="Q29" s="17">
        <v>0</v>
      </c>
      <c r="R29" s="19"/>
      <c r="S29" s="20"/>
      <c r="T29" s="13">
        <f t="shared" si="0"/>
        <v>56</v>
      </c>
      <c r="U29" s="18">
        <f ca="1">IFERROR(__xludf.DUMMYFUNCTION("IFERROR(
  SUM(
    FILTER(
      Reporte!$E:$E, 
      REGEXMATCH(Reporte!$A:$A, ""(?i)(TE PAGÓ|PAGASTE)""), 
      Reporte!$H:$H &amp; """" = AG29 &amp; """"
    )
  ), 
  0
)"),0)</f>
        <v>0</v>
      </c>
      <c r="V29" s="18">
        <f ca="1">IFERROR(__xludf.DUMMYFUNCTION("IFERROR(
  SUM(
    FILTER(
      Efectivo!$C:$C, 
      Efectivo!$D:$D &amp; """" = AG29 &amp; """"
    )
  ), 
  0
)"),0)</f>
        <v>0</v>
      </c>
      <c r="W29" s="18"/>
      <c r="X29" s="18"/>
      <c r="Y29" s="18"/>
      <c r="Z29" s="18"/>
      <c r="AA29" s="18"/>
      <c r="AB29" s="18" t="str">
        <f t="shared" si="1"/>
        <v>CORTE</v>
      </c>
      <c r="AC29" s="18" t="str">
        <f t="shared" si="2"/>
        <v/>
      </c>
      <c r="AD29" s="11">
        <f t="shared" si="3"/>
        <v>0</v>
      </c>
      <c r="AE29" s="11">
        <f t="shared" si="4"/>
        <v>0</v>
      </c>
      <c r="AF29" s="18" t="str">
        <f t="shared" si="5"/>
        <v>B</v>
      </c>
      <c r="AG29" s="18" t="str">
        <f t="shared" si="6"/>
        <v>B-16</v>
      </c>
      <c r="AH29" s="21"/>
      <c r="AI29" s="21"/>
    </row>
    <row r="30" spans="1:35" ht="15.75" hidden="1" customHeight="1">
      <c r="A30" s="8">
        <v>29</v>
      </c>
      <c r="B30" s="9" t="s">
        <v>72</v>
      </c>
      <c r="C30" s="9" t="s">
        <v>53</v>
      </c>
      <c r="D30" s="10">
        <v>17</v>
      </c>
      <c r="E30" s="11"/>
      <c r="F30" s="11"/>
      <c r="G30" s="11"/>
      <c r="H30" s="12">
        <v>1</v>
      </c>
      <c r="I30" s="10">
        <v>1093</v>
      </c>
      <c r="J30" s="10">
        <v>1122</v>
      </c>
      <c r="K30" s="10">
        <v>29</v>
      </c>
      <c r="L30" s="10">
        <v>29</v>
      </c>
      <c r="M30" s="10">
        <v>31</v>
      </c>
      <c r="N30" s="22"/>
      <c r="O30" s="10">
        <v>0</v>
      </c>
      <c r="P30" s="10">
        <v>3</v>
      </c>
      <c r="Q30" s="10">
        <v>0</v>
      </c>
      <c r="R30" s="12"/>
      <c r="S30" s="13"/>
      <c r="T30" s="13">
        <f t="shared" si="0"/>
        <v>63</v>
      </c>
      <c r="U30" s="11">
        <f ca="1">IFERROR(__xludf.DUMMYFUNCTION("IFERROR(
  SUM(
    FILTER(
      Reporte!$E:$E, 
      REGEXMATCH(Reporte!$A:$A, ""(?i)(TE PAGÓ|PAGASTE)""), 
      Reporte!$H:$H &amp; """" = AG30 &amp; """"
    )
  ), 
  0
)"),63)</f>
        <v>63</v>
      </c>
      <c r="V30" s="11">
        <f ca="1">IFERROR(__xludf.DUMMYFUNCTION("IFERROR(
  SUM(
    FILTER(
      Efectivo!$C:$C, 
      Efectivo!$D:$D &amp; """" = AG30 &amp; """"
    )
  ), 
  0
)"),0)</f>
        <v>0</v>
      </c>
      <c r="W30" s="11" t="s">
        <v>35</v>
      </c>
      <c r="X30" s="11"/>
      <c r="Y30" s="11" t="s">
        <v>36</v>
      </c>
      <c r="Z30" s="11" t="s">
        <v>73</v>
      </c>
      <c r="AA30" s="11"/>
      <c r="AB30" s="11" t="str">
        <f t="shared" si="1"/>
        <v/>
      </c>
      <c r="AC30" s="11" t="str">
        <f t="shared" si="2"/>
        <v/>
      </c>
      <c r="AD30" s="11">
        <f t="shared" si="3"/>
        <v>0</v>
      </c>
      <c r="AE30" s="11">
        <f t="shared" si="4"/>
        <v>63</v>
      </c>
      <c r="AF30" s="11" t="str">
        <f t="shared" si="5"/>
        <v>B</v>
      </c>
      <c r="AG30" s="11" t="str">
        <f t="shared" si="6"/>
        <v>B-17</v>
      </c>
      <c r="AH30" s="14"/>
      <c r="AI30" s="14"/>
    </row>
    <row r="31" spans="1:35" ht="15.75" hidden="1" customHeight="1">
      <c r="A31" s="15">
        <v>30</v>
      </c>
      <c r="B31" s="16" t="s">
        <v>74</v>
      </c>
      <c r="C31" s="16" t="s">
        <v>53</v>
      </c>
      <c r="D31" s="17">
        <v>18</v>
      </c>
      <c r="E31" s="18"/>
      <c r="F31" s="18"/>
      <c r="G31" s="18"/>
      <c r="H31" s="19">
        <v>1</v>
      </c>
      <c r="I31" s="17">
        <v>577</v>
      </c>
      <c r="J31" s="17">
        <v>584</v>
      </c>
      <c r="K31" s="17">
        <v>7</v>
      </c>
      <c r="L31" s="17">
        <v>7</v>
      </c>
      <c r="M31" s="17">
        <v>8</v>
      </c>
      <c r="N31" s="17">
        <v>0</v>
      </c>
      <c r="O31" s="17">
        <v>0</v>
      </c>
      <c r="P31" s="17">
        <v>3</v>
      </c>
      <c r="Q31" s="17">
        <v>0</v>
      </c>
      <c r="R31" s="19"/>
      <c r="S31" s="20"/>
      <c r="T31" s="13">
        <f t="shared" si="0"/>
        <v>18</v>
      </c>
      <c r="U31" s="18">
        <f ca="1">IFERROR(__xludf.DUMMYFUNCTION("IFERROR(
  SUM(
    FILTER(
      Reporte!$E:$E, 
      REGEXMATCH(Reporte!$A:$A, ""(?i)(TE PAGÓ|PAGASTE)""), 
      Reporte!$H:$H &amp; """" = AG31 &amp; """"
    )
  ), 
  0
)"),0)</f>
        <v>0</v>
      </c>
      <c r="V31" s="18">
        <f ca="1">IFERROR(__xludf.DUMMYFUNCTION("IFERROR(
  SUM(
    FILTER(
      Efectivo!$C:$C, 
      Efectivo!$D:$D &amp; """" = AG31 &amp; """"
    )
  ), 
  0
)"),18)</f>
        <v>18</v>
      </c>
      <c r="W31" s="18" t="s">
        <v>35</v>
      </c>
      <c r="X31" s="18"/>
      <c r="Y31" s="18"/>
      <c r="Z31" s="18"/>
      <c r="AA31" s="18"/>
      <c r="AB31" s="18" t="str">
        <f t="shared" si="1"/>
        <v/>
      </c>
      <c r="AC31" s="18" t="str">
        <f t="shared" si="2"/>
        <v/>
      </c>
      <c r="AD31" s="11">
        <f t="shared" si="3"/>
        <v>18</v>
      </c>
      <c r="AE31" s="11">
        <f t="shared" si="4"/>
        <v>0</v>
      </c>
      <c r="AF31" s="18" t="str">
        <f t="shared" si="5"/>
        <v>B</v>
      </c>
      <c r="AG31" s="18" t="str">
        <f t="shared" si="6"/>
        <v>B-18</v>
      </c>
      <c r="AH31" s="21"/>
      <c r="AI31" s="21"/>
    </row>
    <row r="32" spans="1:35" ht="15.75" hidden="1" customHeight="1">
      <c r="A32" s="8">
        <v>31</v>
      </c>
      <c r="B32" s="9" t="s">
        <v>75</v>
      </c>
      <c r="C32" s="9" t="s">
        <v>53</v>
      </c>
      <c r="D32" s="10">
        <v>21</v>
      </c>
      <c r="E32" s="11"/>
      <c r="F32" s="11"/>
      <c r="G32" s="11"/>
      <c r="H32" s="12">
        <v>1</v>
      </c>
      <c r="I32" s="10">
        <v>199</v>
      </c>
      <c r="J32" s="10">
        <v>206</v>
      </c>
      <c r="K32" s="10">
        <v>7</v>
      </c>
      <c r="L32" s="10">
        <v>7</v>
      </c>
      <c r="M32" s="10">
        <v>15</v>
      </c>
      <c r="N32" s="22">
        <v>20</v>
      </c>
      <c r="O32" s="10">
        <v>0</v>
      </c>
      <c r="P32" s="10">
        <v>3</v>
      </c>
      <c r="Q32" s="10"/>
      <c r="R32" s="12"/>
      <c r="S32" s="13"/>
      <c r="T32" s="13">
        <f t="shared" si="0"/>
        <v>45</v>
      </c>
      <c r="U32" s="11">
        <f ca="1">IFERROR(__xludf.DUMMYFUNCTION("IFERROR(
  SUM(
    FILTER(
      Reporte!$E:$E, 
      REGEXMATCH(Reporte!$A:$A, ""(?i)(TE PAGÓ|PAGASTE)""), 
      Reporte!$H:$H &amp; """" = AG32 &amp; """"
    )
  ), 
  0
)"),45)</f>
        <v>45</v>
      </c>
      <c r="V32" s="11">
        <f ca="1">IFERROR(__xludf.DUMMYFUNCTION("IFERROR(
  SUM(
    FILTER(
      Efectivo!$C:$C, 
      Efectivo!$D:$D &amp; """" = AG32 &amp; """"
    )
  ), 
  0
)"),0)</f>
        <v>0</v>
      </c>
      <c r="W32" s="11" t="s">
        <v>35</v>
      </c>
      <c r="X32" s="11"/>
      <c r="Y32" s="11" t="s">
        <v>36</v>
      </c>
      <c r="Z32" s="11" t="s">
        <v>76</v>
      </c>
      <c r="AA32" s="11"/>
      <c r="AB32" s="11" t="str">
        <f t="shared" si="1"/>
        <v/>
      </c>
      <c r="AC32" s="11" t="str">
        <f t="shared" si="2"/>
        <v/>
      </c>
      <c r="AD32" s="11">
        <f t="shared" si="3"/>
        <v>0</v>
      </c>
      <c r="AE32" s="11">
        <f t="shared" si="4"/>
        <v>45</v>
      </c>
      <c r="AF32" s="11" t="str">
        <f t="shared" si="5"/>
        <v>B</v>
      </c>
      <c r="AG32" s="11" t="str">
        <f t="shared" si="6"/>
        <v>B-21</v>
      </c>
      <c r="AH32" s="14"/>
      <c r="AI32" s="14"/>
    </row>
    <row r="33" spans="1:35" ht="15.75" hidden="1" customHeight="1">
      <c r="A33" s="8"/>
      <c r="B33" s="9"/>
      <c r="C33" s="9"/>
      <c r="D33" s="10"/>
      <c r="E33" s="11"/>
      <c r="F33" s="11"/>
      <c r="G33" s="11"/>
      <c r="H33" s="12"/>
      <c r="I33" s="10"/>
      <c r="J33" s="10"/>
      <c r="K33" s="10"/>
      <c r="L33" s="10"/>
      <c r="M33" s="10"/>
      <c r="N33" s="22"/>
      <c r="O33" s="10"/>
      <c r="P33" s="10"/>
      <c r="Q33" s="10"/>
      <c r="R33" s="12"/>
      <c r="S33" s="13"/>
      <c r="T33" s="13">
        <f t="shared" si="0"/>
        <v>0</v>
      </c>
      <c r="U33" s="11">
        <f ca="1">IFERROR(__xludf.DUMMYFUNCTION("IFERROR(
  SUM(
    FILTER(
      Reporte!$E:$E, 
      REGEXMATCH(Reporte!$A:$A, ""(?i)(TE PAGÓ|PAGASTE)""), 
      Reporte!$H:$H &amp; """" = AG33 &amp; """"
    )
  ), 
  0
)"),-8203.9)</f>
        <v>-8203.9</v>
      </c>
      <c r="V33" s="11">
        <f ca="1">IFERROR(__xludf.DUMMYFUNCTION("IFERROR(
  SUM(
    FILTER(
      Efectivo!$C:$C, 
      Efectivo!$D:$D &amp; """" = AG33 &amp; """"
    )
  ), 
  0
)"),0)</f>
        <v>0</v>
      </c>
      <c r="W33" s="11"/>
      <c r="X33" s="11"/>
      <c r="Y33" s="11"/>
      <c r="Z33" s="11"/>
      <c r="AA33" s="11"/>
      <c r="AB33" s="11" t="str">
        <f t="shared" si="1"/>
        <v/>
      </c>
      <c r="AC33" s="11" t="str">
        <f t="shared" si="2"/>
        <v/>
      </c>
      <c r="AD33" s="11">
        <f t="shared" si="3"/>
        <v>0</v>
      </c>
      <c r="AE33" s="11">
        <f t="shared" si="4"/>
        <v>0</v>
      </c>
      <c r="AF33" s="11" t="str">
        <f t="shared" si="5"/>
        <v/>
      </c>
      <c r="AG33" s="11" t="str">
        <f t="shared" si="6"/>
        <v>-</v>
      </c>
      <c r="AH33" s="21"/>
      <c r="AI33" s="21"/>
    </row>
    <row r="34" spans="1:35" ht="15.75" hidden="1" customHeight="1">
      <c r="A34" s="15">
        <v>32</v>
      </c>
      <c r="B34" s="16" t="s">
        <v>77</v>
      </c>
      <c r="C34" s="16" t="s">
        <v>53</v>
      </c>
      <c r="D34" s="17">
        <v>29</v>
      </c>
      <c r="E34" s="18" t="s">
        <v>78</v>
      </c>
      <c r="F34" s="18"/>
      <c r="G34" s="18"/>
      <c r="H34" s="19">
        <v>1</v>
      </c>
      <c r="I34" s="17">
        <v>187</v>
      </c>
      <c r="J34" s="17">
        <v>195</v>
      </c>
      <c r="K34" s="17">
        <v>8</v>
      </c>
      <c r="L34" s="17">
        <v>8</v>
      </c>
      <c r="M34" s="17">
        <v>0</v>
      </c>
      <c r="N34" s="17">
        <v>0</v>
      </c>
      <c r="O34" s="17">
        <v>283</v>
      </c>
      <c r="P34" s="17">
        <v>3</v>
      </c>
      <c r="Q34" s="17">
        <v>0</v>
      </c>
      <c r="R34" s="19"/>
      <c r="S34" s="20"/>
      <c r="T34" s="13">
        <f t="shared" si="0"/>
        <v>294</v>
      </c>
      <c r="U34" s="18">
        <f ca="1">IFERROR(__xludf.DUMMYFUNCTION("IFERROR(
  SUM(
    FILTER(
      Reporte!$E:$E, 
      REGEXMATCH(Reporte!$A:$A, ""(?i)(TE PAGÓ|PAGASTE)""), 
      Reporte!$H:$H &amp; """" = AG34 &amp; """"
    )
  ), 
  0
)"),0)</f>
        <v>0</v>
      </c>
      <c r="V34" s="18">
        <f ca="1">IFERROR(__xludf.DUMMYFUNCTION("IFERROR(
  SUM(
    FILTER(
      Efectivo!$C:$C, 
      Efectivo!$D:$D &amp; """" = AG34 &amp; """"
    )
  ), 
  0
)"),0)</f>
        <v>0</v>
      </c>
      <c r="W34" s="18"/>
      <c r="X34" s="18"/>
      <c r="Y34" s="18"/>
      <c r="Z34" s="18"/>
      <c r="AA34" s="18"/>
      <c r="AB34" s="18" t="str">
        <f t="shared" si="1"/>
        <v/>
      </c>
      <c r="AC34" s="18" t="str">
        <f t="shared" si="2"/>
        <v/>
      </c>
      <c r="AD34" s="11">
        <f t="shared" si="3"/>
        <v>0</v>
      </c>
      <c r="AE34" s="11">
        <f t="shared" si="4"/>
        <v>0</v>
      </c>
      <c r="AF34" s="18" t="str">
        <f t="shared" si="5"/>
        <v>B</v>
      </c>
      <c r="AG34" s="18" t="str">
        <f t="shared" si="6"/>
        <v>B-29</v>
      </c>
      <c r="AH34" s="14"/>
      <c r="AI34" s="14"/>
    </row>
    <row r="35" spans="1:35" ht="15.75" hidden="1" customHeight="1">
      <c r="A35" s="8">
        <v>33</v>
      </c>
      <c r="B35" s="9" t="s">
        <v>79</v>
      </c>
      <c r="C35" s="9" t="s">
        <v>80</v>
      </c>
      <c r="D35" s="10">
        <v>1</v>
      </c>
      <c r="E35" s="11"/>
      <c r="F35" s="11"/>
      <c r="G35" s="11"/>
      <c r="H35" s="12">
        <v>1</v>
      </c>
      <c r="I35" s="10">
        <v>21</v>
      </c>
      <c r="J35" s="10">
        <v>37</v>
      </c>
      <c r="K35" s="10">
        <v>16</v>
      </c>
      <c r="L35" s="10">
        <v>16</v>
      </c>
      <c r="M35" s="10">
        <v>18</v>
      </c>
      <c r="N35" s="10">
        <v>0</v>
      </c>
      <c r="O35" s="10">
        <v>25</v>
      </c>
      <c r="P35" s="10">
        <v>3</v>
      </c>
      <c r="Q35" s="10">
        <v>0</v>
      </c>
      <c r="R35" s="12"/>
      <c r="S35" s="13"/>
      <c r="T35" s="13">
        <f t="shared" si="0"/>
        <v>62</v>
      </c>
      <c r="U35" s="11">
        <f ca="1">IFERROR(__xludf.DUMMYFUNCTION("IFERROR(
  SUM(
    FILTER(
      Reporte!$E:$E, 
      REGEXMATCH(Reporte!$A:$A, ""(?i)(TE PAGÓ|PAGASTE)""), 
      Reporte!$H:$H &amp; """" = AG35 &amp; """"
    )
  ), 
  0
)"),62)</f>
        <v>62</v>
      </c>
      <c r="V35" s="11">
        <f ca="1">IFERROR(__xludf.DUMMYFUNCTION("IFERROR(
  SUM(
    FILTER(
      Efectivo!$C:$C, 
      Efectivo!$D:$D &amp; """" = AG35 &amp; """"
    )
  ), 
  0
)"),0)</f>
        <v>0</v>
      </c>
      <c r="W35" s="11" t="s">
        <v>35</v>
      </c>
      <c r="X35" s="11"/>
      <c r="Y35" s="11" t="s">
        <v>36</v>
      </c>
      <c r="Z35" s="11"/>
      <c r="AA35" s="11"/>
      <c r="AB35" s="11" t="str">
        <f t="shared" si="1"/>
        <v/>
      </c>
      <c r="AC35" s="11" t="str">
        <f t="shared" si="2"/>
        <v/>
      </c>
      <c r="AD35" s="11">
        <f t="shared" si="3"/>
        <v>0</v>
      </c>
      <c r="AE35" s="11">
        <f t="shared" si="4"/>
        <v>62</v>
      </c>
      <c r="AF35" s="11" t="str">
        <f t="shared" si="5"/>
        <v>C</v>
      </c>
      <c r="AG35" s="11" t="str">
        <f t="shared" si="6"/>
        <v>C-1</v>
      </c>
      <c r="AH35" s="21"/>
      <c r="AI35" s="21"/>
    </row>
    <row r="36" spans="1:35" ht="15.75" hidden="1" customHeight="1">
      <c r="A36" s="15">
        <v>34</v>
      </c>
      <c r="B36" s="16" t="s">
        <v>81</v>
      </c>
      <c r="C36" s="16" t="s">
        <v>80</v>
      </c>
      <c r="D36" s="17">
        <v>2</v>
      </c>
      <c r="E36" s="18"/>
      <c r="F36" s="18"/>
      <c r="G36" s="18"/>
      <c r="H36" s="19">
        <v>1</v>
      </c>
      <c r="I36" s="17">
        <v>6</v>
      </c>
      <c r="J36" s="17">
        <v>11</v>
      </c>
      <c r="K36" s="17">
        <v>5</v>
      </c>
      <c r="L36" s="17">
        <v>5</v>
      </c>
      <c r="M36" s="17">
        <v>0</v>
      </c>
      <c r="N36" s="17">
        <v>0</v>
      </c>
      <c r="O36" s="17">
        <v>25</v>
      </c>
      <c r="P36" s="17">
        <v>3</v>
      </c>
      <c r="Q36" s="17">
        <v>0</v>
      </c>
      <c r="R36" s="19"/>
      <c r="S36" s="20"/>
      <c r="T36" s="13">
        <f t="shared" si="0"/>
        <v>33</v>
      </c>
      <c r="U36" s="18">
        <f ca="1">IFERROR(__xludf.DUMMYFUNCTION("IFERROR(
  SUM(
    FILTER(
      Reporte!$E:$E, 
      REGEXMATCH(Reporte!$A:$A, ""(?i)(TE PAGÓ|PAGASTE)""), 
      Reporte!$H:$H &amp; """" = AG36 &amp; """"
    )
  ), 
  0
)"),0)</f>
        <v>0</v>
      </c>
      <c r="V36" s="18">
        <f ca="1">IFERROR(__xludf.DUMMYFUNCTION("IFERROR(
  SUM(
    FILTER(
      Efectivo!$C:$C, 
      Efectivo!$D:$D &amp; """" = AG36 &amp; """"
    )
  ), 
  0
)"),33)</f>
        <v>33</v>
      </c>
      <c r="W36" s="18" t="s">
        <v>35</v>
      </c>
      <c r="X36" s="18"/>
      <c r="Y36" s="18"/>
      <c r="Z36" s="18"/>
      <c r="AA36" s="18"/>
      <c r="AB36" s="18" t="str">
        <f t="shared" si="1"/>
        <v/>
      </c>
      <c r="AC36" s="18" t="str">
        <f t="shared" si="2"/>
        <v/>
      </c>
      <c r="AD36" s="11">
        <f t="shared" si="3"/>
        <v>33</v>
      </c>
      <c r="AE36" s="11">
        <f t="shared" si="4"/>
        <v>0</v>
      </c>
      <c r="AF36" s="18" t="str">
        <f t="shared" si="5"/>
        <v>C</v>
      </c>
      <c r="AG36" s="18" t="str">
        <f t="shared" si="6"/>
        <v>C-2</v>
      </c>
      <c r="AH36" s="14"/>
      <c r="AI36" s="14"/>
    </row>
    <row r="37" spans="1:35" ht="15.75" hidden="1" customHeight="1">
      <c r="A37" s="8">
        <v>35</v>
      </c>
      <c r="B37" s="9" t="s">
        <v>82</v>
      </c>
      <c r="C37" s="9" t="s">
        <v>80</v>
      </c>
      <c r="D37" s="10">
        <v>4</v>
      </c>
      <c r="E37" s="11"/>
      <c r="F37" s="11"/>
      <c r="G37" s="11"/>
      <c r="H37" s="12">
        <v>1</v>
      </c>
      <c r="I37" s="10">
        <v>21</v>
      </c>
      <c r="J37" s="10">
        <v>31</v>
      </c>
      <c r="K37" s="10">
        <v>10</v>
      </c>
      <c r="L37" s="10">
        <v>10</v>
      </c>
      <c r="M37" s="10">
        <v>0</v>
      </c>
      <c r="N37" s="10">
        <v>0</v>
      </c>
      <c r="O37" s="10">
        <v>25</v>
      </c>
      <c r="P37" s="10">
        <v>3</v>
      </c>
      <c r="Q37" s="10">
        <v>0</v>
      </c>
      <c r="R37" s="12"/>
      <c r="S37" s="13"/>
      <c r="T37" s="13">
        <f t="shared" si="0"/>
        <v>38</v>
      </c>
      <c r="U37" s="11">
        <f ca="1">IFERROR(__xludf.DUMMYFUNCTION("IFERROR(
  SUM(
    FILTER(
      Reporte!$E:$E, 
      REGEXMATCH(Reporte!$A:$A, ""(?i)(TE PAGÓ|PAGASTE)""), 
      Reporte!$H:$H &amp; """" = AG37 &amp; """"
    )
  ), 
  0
)"),0)</f>
        <v>0</v>
      </c>
      <c r="V37" s="11">
        <f ca="1">IFERROR(__xludf.DUMMYFUNCTION("IFERROR(
  SUM(
    FILTER(
      Efectivo!$C:$C, 
      Efectivo!$D:$D &amp; """" = AG37 &amp; """"
    )
  ), 
  0
)"),38)</f>
        <v>38</v>
      </c>
      <c r="W37" s="11" t="s">
        <v>35</v>
      </c>
      <c r="X37" s="11"/>
      <c r="Y37" s="11"/>
      <c r="Z37" s="11"/>
      <c r="AA37" s="11"/>
      <c r="AB37" s="11" t="str">
        <f t="shared" si="1"/>
        <v/>
      </c>
      <c r="AC37" s="11" t="str">
        <f t="shared" si="2"/>
        <v/>
      </c>
      <c r="AD37" s="11">
        <f t="shared" si="3"/>
        <v>38</v>
      </c>
      <c r="AE37" s="11">
        <f t="shared" si="4"/>
        <v>0</v>
      </c>
      <c r="AF37" s="11" t="str">
        <f t="shared" si="5"/>
        <v>C</v>
      </c>
      <c r="AG37" s="11" t="str">
        <f t="shared" si="6"/>
        <v>C-4</v>
      </c>
      <c r="AH37" s="21"/>
      <c r="AI37" s="21"/>
    </row>
    <row r="38" spans="1:35" ht="15.75" hidden="1" customHeight="1">
      <c r="A38" s="15">
        <v>36</v>
      </c>
      <c r="B38" s="16" t="s">
        <v>83</v>
      </c>
      <c r="C38" s="16" t="s">
        <v>80</v>
      </c>
      <c r="D38" s="17">
        <v>5</v>
      </c>
      <c r="E38" s="18"/>
      <c r="F38" s="18"/>
      <c r="G38" s="18"/>
      <c r="H38" s="19">
        <v>1</v>
      </c>
      <c r="I38" s="17">
        <v>26</v>
      </c>
      <c r="J38" s="17">
        <v>49</v>
      </c>
      <c r="K38" s="17">
        <v>23</v>
      </c>
      <c r="L38" s="17">
        <v>23</v>
      </c>
      <c r="M38" s="17">
        <v>0</v>
      </c>
      <c r="N38" s="17">
        <v>0</v>
      </c>
      <c r="O38" s="17">
        <v>25</v>
      </c>
      <c r="P38" s="17">
        <v>3</v>
      </c>
      <c r="Q38" s="17">
        <v>0</v>
      </c>
      <c r="R38" s="19"/>
      <c r="S38" s="20"/>
      <c r="T38" s="13">
        <f t="shared" si="0"/>
        <v>51</v>
      </c>
      <c r="U38" s="18">
        <f ca="1">IFERROR(__xludf.DUMMYFUNCTION("IFERROR(
  SUM(
    FILTER(
      Reporte!$E:$E, 
      REGEXMATCH(Reporte!$A:$A, ""(?i)(TE PAGÓ|PAGASTE)""), 
      Reporte!$H:$H &amp; """" = AG38 &amp; """"
    )
  ), 
  0
)"),51)</f>
        <v>51</v>
      </c>
      <c r="V38" s="18">
        <f ca="1">IFERROR(__xludf.DUMMYFUNCTION("IFERROR(
  SUM(
    FILTER(
      Efectivo!$C:$C, 
      Efectivo!$D:$D &amp; """" = AG38 &amp; """"
    )
  ), 
  0
)"),0)</f>
        <v>0</v>
      </c>
      <c r="W38" s="18" t="s">
        <v>35</v>
      </c>
      <c r="X38" s="18"/>
      <c r="Y38" s="18" t="s">
        <v>36</v>
      </c>
      <c r="Z38" s="18"/>
      <c r="AA38" s="18"/>
      <c r="AB38" s="18" t="str">
        <f t="shared" si="1"/>
        <v/>
      </c>
      <c r="AC38" s="18" t="str">
        <f t="shared" si="2"/>
        <v/>
      </c>
      <c r="AD38" s="11">
        <f t="shared" si="3"/>
        <v>0</v>
      </c>
      <c r="AE38" s="11">
        <f t="shared" si="4"/>
        <v>51</v>
      </c>
      <c r="AF38" s="18" t="str">
        <f t="shared" si="5"/>
        <v>C</v>
      </c>
      <c r="AG38" s="18" t="str">
        <f t="shared" si="6"/>
        <v>C-5</v>
      </c>
      <c r="AH38" s="14"/>
      <c r="AI38" s="14"/>
    </row>
    <row r="39" spans="1:35" ht="15.75" hidden="1" customHeight="1">
      <c r="A39" s="8">
        <v>37</v>
      </c>
      <c r="B39" s="9" t="s">
        <v>84</v>
      </c>
      <c r="C39" s="9" t="s">
        <v>80</v>
      </c>
      <c r="D39" s="10">
        <v>6</v>
      </c>
      <c r="E39" s="11"/>
      <c r="F39" s="11"/>
      <c r="G39" s="11"/>
      <c r="H39" s="12">
        <v>1</v>
      </c>
      <c r="I39" s="10">
        <v>598</v>
      </c>
      <c r="J39" s="10">
        <v>605</v>
      </c>
      <c r="K39" s="10">
        <v>7</v>
      </c>
      <c r="L39" s="10">
        <v>7</v>
      </c>
      <c r="M39" s="10">
        <v>0</v>
      </c>
      <c r="N39" s="10">
        <v>0</v>
      </c>
      <c r="O39" s="10">
        <v>0</v>
      </c>
      <c r="P39" s="10">
        <v>3</v>
      </c>
      <c r="Q39" s="10">
        <v>0</v>
      </c>
      <c r="R39" s="12"/>
      <c r="S39" s="13"/>
      <c r="T39" s="13">
        <f t="shared" si="0"/>
        <v>10</v>
      </c>
      <c r="U39" s="11">
        <f ca="1">IFERROR(__xludf.DUMMYFUNCTION("IFERROR(
  SUM(
    FILTER(
      Reporte!$E:$E, 
      REGEXMATCH(Reporte!$A:$A, ""(?i)(TE PAGÓ|PAGASTE)""), 
      Reporte!$H:$H &amp; """" = AG39 &amp; """"
    )
  ), 
  0
)"),10)</f>
        <v>10</v>
      </c>
      <c r="V39" s="11">
        <f ca="1">IFERROR(__xludf.DUMMYFUNCTION("IFERROR(
  SUM(
    FILTER(
      Efectivo!$C:$C, 
      Efectivo!$D:$D &amp; """" = AG39 &amp; """"
    )
  ), 
  0
)"),0)</f>
        <v>0</v>
      </c>
      <c r="W39" s="11" t="s">
        <v>35</v>
      </c>
      <c r="X39" s="11"/>
      <c r="Y39" s="11" t="s">
        <v>36</v>
      </c>
      <c r="Z39" s="11"/>
      <c r="AA39" s="11"/>
      <c r="AB39" s="11" t="str">
        <f t="shared" si="1"/>
        <v/>
      </c>
      <c r="AC39" s="11" t="str">
        <f t="shared" si="2"/>
        <v/>
      </c>
      <c r="AD39" s="11">
        <f t="shared" si="3"/>
        <v>0</v>
      </c>
      <c r="AE39" s="11">
        <f t="shared" si="4"/>
        <v>10</v>
      </c>
      <c r="AF39" s="11" t="str">
        <f t="shared" si="5"/>
        <v>C</v>
      </c>
      <c r="AG39" s="11" t="str">
        <f t="shared" si="6"/>
        <v>C-6</v>
      </c>
      <c r="AH39" s="21"/>
      <c r="AI39" s="21"/>
    </row>
    <row r="40" spans="1:35" ht="15.75" hidden="1" customHeight="1">
      <c r="A40" s="15">
        <v>38</v>
      </c>
      <c r="B40" s="16" t="s">
        <v>85</v>
      </c>
      <c r="C40" s="16" t="s">
        <v>80</v>
      </c>
      <c r="D40" s="17">
        <v>7</v>
      </c>
      <c r="E40" s="18"/>
      <c r="F40" s="18"/>
      <c r="G40" s="18"/>
      <c r="H40" s="19">
        <v>1</v>
      </c>
      <c r="I40" s="17">
        <v>53</v>
      </c>
      <c r="J40" s="17">
        <v>79</v>
      </c>
      <c r="K40" s="17">
        <v>26</v>
      </c>
      <c r="L40" s="17">
        <v>26</v>
      </c>
      <c r="M40" s="17">
        <v>0</v>
      </c>
      <c r="N40" s="17">
        <v>0</v>
      </c>
      <c r="O40" s="17">
        <v>25</v>
      </c>
      <c r="P40" s="17">
        <v>3</v>
      </c>
      <c r="Q40" s="17">
        <v>0</v>
      </c>
      <c r="R40" s="19"/>
      <c r="S40" s="20"/>
      <c r="T40" s="13">
        <f t="shared" si="0"/>
        <v>54</v>
      </c>
      <c r="U40" s="18">
        <f ca="1">IFERROR(__xludf.DUMMYFUNCTION("IFERROR(
  SUM(
    FILTER(
      Reporte!$E:$E, 
      REGEXMATCH(Reporte!$A:$A, ""(?i)(TE PAGÓ|PAGASTE)""), 
      Reporte!$H:$H &amp; """" = AG40 &amp; """"
    )
  ), 
  0
)"),0)</f>
        <v>0</v>
      </c>
      <c r="V40" s="18">
        <f ca="1">IFERROR(__xludf.DUMMYFUNCTION("IFERROR(
  SUM(
    FILTER(
      Efectivo!$C:$C, 
      Efectivo!$D:$D &amp; """" = AG40 &amp; """"
    )
  ), 
  0
)"),0)</f>
        <v>0</v>
      </c>
      <c r="W40" s="18"/>
      <c r="X40" s="18"/>
      <c r="Y40" s="18"/>
      <c r="Z40" s="18"/>
      <c r="AA40" s="18"/>
      <c r="AB40" s="18" t="str">
        <f t="shared" si="1"/>
        <v/>
      </c>
      <c r="AC40" s="18" t="str">
        <f t="shared" si="2"/>
        <v/>
      </c>
      <c r="AD40" s="11">
        <f t="shared" si="3"/>
        <v>0</v>
      </c>
      <c r="AE40" s="11">
        <f t="shared" si="4"/>
        <v>0</v>
      </c>
      <c r="AF40" s="18" t="str">
        <f t="shared" si="5"/>
        <v>C</v>
      </c>
      <c r="AG40" s="18" t="str">
        <f t="shared" si="6"/>
        <v>C-7</v>
      </c>
      <c r="AH40" s="14"/>
      <c r="AI40" s="14"/>
    </row>
    <row r="41" spans="1:35" ht="15.75" hidden="1" customHeight="1">
      <c r="A41" s="8">
        <v>39</v>
      </c>
      <c r="B41" s="9" t="s">
        <v>86</v>
      </c>
      <c r="C41" s="9" t="s">
        <v>80</v>
      </c>
      <c r="D41" s="10">
        <v>8</v>
      </c>
      <c r="E41" s="11"/>
      <c r="F41" s="11"/>
      <c r="G41" s="11"/>
      <c r="H41" s="12">
        <v>1</v>
      </c>
      <c r="I41" s="10">
        <v>287</v>
      </c>
      <c r="J41" s="10">
        <v>295</v>
      </c>
      <c r="K41" s="10">
        <v>8</v>
      </c>
      <c r="L41" s="10">
        <v>8</v>
      </c>
      <c r="M41" s="10">
        <v>0</v>
      </c>
      <c r="N41" s="10">
        <v>0</v>
      </c>
      <c r="O41" s="10">
        <v>0</v>
      </c>
      <c r="P41" s="10">
        <v>3</v>
      </c>
      <c r="Q41" s="10">
        <v>0</v>
      </c>
      <c r="R41" s="12"/>
      <c r="S41" s="13"/>
      <c r="T41" s="13">
        <f t="shared" si="0"/>
        <v>11</v>
      </c>
      <c r="U41" s="11">
        <f ca="1">IFERROR(__xludf.DUMMYFUNCTION("IFERROR(
  SUM(
    FILTER(
      Reporte!$E:$E, 
      REGEXMATCH(Reporte!$A:$A, ""(?i)(TE PAGÓ|PAGASTE)""), 
      Reporte!$H:$H &amp; """" = AG41 &amp; """"
    )
  ), 
  0
)"),0)</f>
        <v>0</v>
      </c>
      <c r="V41" s="11">
        <f ca="1">IFERROR(__xludf.DUMMYFUNCTION("IFERROR(
  SUM(
    FILTER(
      Efectivo!$C:$C, 
      Efectivo!$D:$D &amp; """" = AG41 &amp; """"
    )
  ), 
  0
)"),0)</f>
        <v>0</v>
      </c>
      <c r="W41" s="11"/>
      <c r="X41" s="11"/>
      <c r="Y41" s="11"/>
      <c r="Z41" s="11"/>
      <c r="AA41" s="11"/>
      <c r="AB41" s="11" t="str">
        <f t="shared" si="1"/>
        <v/>
      </c>
      <c r="AC41" s="11" t="str">
        <f t="shared" si="2"/>
        <v/>
      </c>
      <c r="AD41" s="11">
        <f t="shared" si="3"/>
        <v>0</v>
      </c>
      <c r="AE41" s="11">
        <f t="shared" si="4"/>
        <v>0</v>
      </c>
      <c r="AF41" s="11" t="str">
        <f t="shared" si="5"/>
        <v>C</v>
      </c>
      <c r="AG41" s="11" t="str">
        <f t="shared" si="6"/>
        <v>C-8</v>
      </c>
      <c r="AH41" s="21"/>
      <c r="AI41" s="21"/>
    </row>
    <row r="42" spans="1:35" ht="15.75" hidden="1" customHeight="1">
      <c r="A42" s="15">
        <v>40</v>
      </c>
      <c r="B42" s="16" t="s">
        <v>87</v>
      </c>
      <c r="C42" s="16" t="s">
        <v>80</v>
      </c>
      <c r="D42" s="16" t="s">
        <v>88</v>
      </c>
      <c r="E42" s="18"/>
      <c r="F42" s="18"/>
      <c r="G42" s="18"/>
      <c r="H42" s="19">
        <v>1</v>
      </c>
      <c r="I42" s="17">
        <v>1017</v>
      </c>
      <c r="J42" s="17">
        <v>1031</v>
      </c>
      <c r="K42" s="17">
        <v>14</v>
      </c>
      <c r="L42" s="17">
        <v>14</v>
      </c>
      <c r="M42" s="17">
        <v>0</v>
      </c>
      <c r="N42" s="17">
        <v>0</v>
      </c>
      <c r="O42" s="17">
        <v>0</v>
      </c>
      <c r="P42" s="17">
        <v>3</v>
      </c>
      <c r="Q42" s="17">
        <v>0</v>
      </c>
      <c r="R42" s="19"/>
      <c r="S42" s="20"/>
      <c r="T42" s="13">
        <f t="shared" si="0"/>
        <v>17</v>
      </c>
      <c r="U42" s="18">
        <f ca="1">IFERROR(__xludf.DUMMYFUNCTION("IFERROR(
  SUM(
    FILTER(
      Reporte!$E:$E, 
      REGEXMATCH(Reporte!$A:$A, ""(?i)(TE PAGÓ|PAGASTE)""), 
      Reporte!$H:$H &amp; """" = AG42 &amp; """"
    )
  ), 
  0
)"),0)</f>
        <v>0</v>
      </c>
      <c r="V42" s="18">
        <f ca="1">IFERROR(__xludf.DUMMYFUNCTION("IFERROR(
  SUM(
    FILTER(
      Efectivo!$C:$C, 
      Efectivo!$D:$D &amp; """" = AG42 &amp; """"
    )
  ), 
  0
)"),0)</f>
        <v>0</v>
      </c>
      <c r="W42" s="18"/>
      <c r="X42" s="18"/>
      <c r="Y42" s="18"/>
      <c r="Z42" s="18"/>
      <c r="AA42" s="18"/>
      <c r="AB42" s="18" t="str">
        <f t="shared" si="1"/>
        <v/>
      </c>
      <c r="AC42" s="18" t="str">
        <f t="shared" si="2"/>
        <v/>
      </c>
      <c r="AD42" s="11">
        <f t="shared" si="3"/>
        <v>0</v>
      </c>
      <c r="AE42" s="11">
        <f t="shared" si="4"/>
        <v>0</v>
      </c>
      <c r="AF42" s="18" t="str">
        <f t="shared" si="5"/>
        <v>C</v>
      </c>
      <c r="AG42" s="18" t="str">
        <f t="shared" si="6"/>
        <v>C-8B</v>
      </c>
      <c r="AH42" s="14"/>
      <c r="AI42" s="14"/>
    </row>
    <row r="43" spans="1:35" ht="15.75" hidden="1" customHeight="1">
      <c r="A43" s="8">
        <v>41</v>
      </c>
      <c r="B43" s="9" t="s">
        <v>89</v>
      </c>
      <c r="C43" s="9" t="s">
        <v>80</v>
      </c>
      <c r="D43" s="10">
        <v>9</v>
      </c>
      <c r="E43" s="11"/>
      <c r="F43" s="11"/>
      <c r="G43" s="11"/>
      <c r="H43" s="12">
        <v>1</v>
      </c>
      <c r="I43" s="10">
        <v>2151</v>
      </c>
      <c r="J43" s="10">
        <v>2159</v>
      </c>
      <c r="K43" s="10">
        <v>8</v>
      </c>
      <c r="L43" s="10">
        <v>8</v>
      </c>
      <c r="M43" s="10">
        <v>0</v>
      </c>
      <c r="N43" s="10">
        <v>0</v>
      </c>
      <c r="O43" s="10">
        <v>0</v>
      </c>
      <c r="P43" s="10">
        <v>3</v>
      </c>
      <c r="Q43" s="10">
        <v>0</v>
      </c>
      <c r="R43" s="12"/>
      <c r="S43" s="13"/>
      <c r="T43" s="13">
        <f t="shared" si="0"/>
        <v>11</v>
      </c>
      <c r="U43" s="11">
        <f ca="1">IFERROR(__xludf.DUMMYFUNCTION("IFERROR(
  SUM(
    FILTER(
      Reporte!$E:$E, 
      REGEXMATCH(Reporte!$A:$A, ""(?i)(TE PAGÓ|PAGASTE)""), 
      Reporte!$H:$H &amp; """" = AG43 &amp; """"
    )
  ), 
  0
)"),0)</f>
        <v>0</v>
      </c>
      <c r="V43" s="11">
        <f ca="1">IFERROR(__xludf.DUMMYFUNCTION("IFERROR(
  SUM(
    FILTER(
      Efectivo!$C:$C, 
      Efectivo!$D:$D &amp; """" = AG43 &amp; """"
    )
  ), 
  0
)"),0)</f>
        <v>0</v>
      </c>
      <c r="W43" s="11"/>
      <c r="X43" s="11"/>
      <c r="Y43" s="11"/>
      <c r="Z43" s="11"/>
      <c r="AA43" s="11"/>
      <c r="AB43" s="11" t="str">
        <f t="shared" si="1"/>
        <v/>
      </c>
      <c r="AC43" s="11" t="str">
        <f t="shared" si="2"/>
        <v/>
      </c>
      <c r="AD43" s="11">
        <f t="shared" si="3"/>
        <v>0</v>
      </c>
      <c r="AE43" s="11">
        <f t="shared" si="4"/>
        <v>0</v>
      </c>
      <c r="AF43" s="11" t="str">
        <f t="shared" si="5"/>
        <v>C</v>
      </c>
      <c r="AG43" s="11" t="str">
        <f t="shared" si="6"/>
        <v>C-9</v>
      </c>
      <c r="AH43" s="21"/>
      <c r="AI43" s="21"/>
    </row>
    <row r="44" spans="1:35" ht="15.75" hidden="1" customHeight="1">
      <c r="A44" s="15">
        <v>42</v>
      </c>
      <c r="B44" s="16" t="s">
        <v>90</v>
      </c>
      <c r="C44" s="16" t="s">
        <v>80</v>
      </c>
      <c r="D44" s="16" t="s">
        <v>91</v>
      </c>
      <c r="E44" s="18"/>
      <c r="F44" s="18"/>
      <c r="G44" s="18"/>
      <c r="H44" s="19">
        <v>1</v>
      </c>
      <c r="I44" s="17">
        <v>522</v>
      </c>
      <c r="J44" s="17">
        <v>530</v>
      </c>
      <c r="K44" s="17">
        <v>8</v>
      </c>
      <c r="L44" s="17">
        <v>8</v>
      </c>
      <c r="M44" s="17">
        <v>0</v>
      </c>
      <c r="N44" s="17">
        <v>0</v>
      </c>
      <c r="O44" s="17">
        <v>0</v>
      </c>
      <c r="P44" s="17">
        <v>3</v>
      </c>
      <c r="Q44" s="17">
        <v>0</v>
      </c>
      <c r="R44" s="19"/>
      <c r="S44" s="20"/>
      <c r="T44" s="13">
        <f t="shared" si="0"/>
        <v>11</v>
      </c>
      <c r="U44" s="18">
        <f ca="1">IFERROR(__xludf.DUMMYFUNCTION("IFERROR(
  SUM(
    FILTER(
      Reporte!$E:$E, 
      REGEXMATCH(Reporte!$A:$A, ""(?i)(TE PAGÓ|PAGASTE)""), 
      Reporte!$H:$H &amp; """" = AG44 &amp; """"
    )
  ), 
  0
)"),11)</f>
        <v>11</v>
      </c>
      <c r="V44" s="18">
        <f ca="1">IFERROR(__xludf.DUMMYFUNCTION("IFERROR(
  SUM(
    FILTER(
      Efectivo!$C:$C, 
      Efectivo!$D:$D &amp; """" = AG44 &amp; """"
    )
  ), 
  0
)"),0)</f>
        <v>0</v>
      </c>
      <c r="W44" s="18" t="s">
        <v>35</v>
      </c>
      <c r="X44" s="18"/>
      <c r="Y44" s="18" t="s">
        <v>36</v>
      </c>
      <c r="Z44" s="18"/>
      <c r="AA44" s="18"/>
      <c r="AB44" s="18" t="str">
        <f t="shared" si="1"/>
        <v/>
      </c>
      <c r="AC44" s="18" t="str">
        <f t="shared" si="2"/>
        <v/>
      </c>
      <c r="AD44" s="11">
        <f t="shared" si="3"/>
        <v>0</v>
      </c>
      <c r="AE44" s="11">
        <f t="shared" si="4"/>
        <v>11</v>
      </c>
      <c r="AF44" s="18" t="str">
        <f t="shared" si="5"/>
        <v>C</v>
      </c>
      <c r="AG44" s="18" t="str">
        <f t="shared" si="6"/>
        <v>C-9C</v>
      </c>
      <c r="AH44" s="14"/>
      <c r="AI44" s="14"/>
    </row>
    <row r="45" spans="1:35" ht="15.75" hidden="1" customHeight="1">
      <c r="A45" s="8">
        <v>43</v>
      </c>
      <c r="B45" s="9" t="s">
        <v>92</v>
      </c>
      <c r="C45" s="9" t="s">
        <v>80</v>
      </c>
      <c r="D45" s="10">
        <v>11</v>
      </c>
      <c r="E45" s="11"/>
      <c r="F45" s="11"/>
      <c r="G45" s="11"/>
      <c r="H45" s="12">
        <v>1</v>
      </c>
      <c r="I45" s="10">
        <v>851</v>
      </c>
      <c r="J45" s="10">
        <v>867</v>
      </c>
      <c r="K45" s="10">
        <v>16</v>
      </c>
      <c r="L45" s="10">
        <v>16</v>
      </c>
      <c r="M45" s="10">
        <v>0</v>
      </c>
      <c r="N45" s="10">
        <v>0</v>
      </c>
      <c r="O45" s="10">
        <v>0</v>
      </c>
      <c r="P45" s="10">
        <v>3</v>
      </c>
      <c r="Q45" s="10">
        <v>0</v>
      </c>
      <c r="R45" s="12"/>
      <c r="S45" s="13"/>
      <c r="T45" s="13">
        <f t="shared" si="0"/>
        <v>19</v>
      </c>
      <c r="U45" s="11">
        <f ca="1">IFERROR(__xludf.DUMMYFUNCTION("IFERROR(
  SUM(
    FILTER(
      Reporte!$E:$E, 
      REGEXMATCH(Reporte!$A:$A, ""(?i)(TE PAGÓ|PAGASTE)""), 
      Reporte!$H:$H &amp; """" = AG45 &amp; """"
    )
  ), 
  0
)"),19)</f>
        <v>19</v>
      </c>
      <c r="V45" s="11">
        <f ca="1">IFERROR(__xludf.DUMMYFUNCTION("IFERROR(
  SUM(
    FILTER(
      Efectivo!$C:$C, 
      Efectivo!$D:$D &amp; """" = AG45 &amp; """"
    )
  ), 
  0
)"),0)</f>
        <v>0</v>
      </c>
      <c r="W45" s="11" t="s">
        <v>35</v>
      </c>
      <c r="X45" s="11"/>
      <c r="Y45" s="11" t="s">
        <v>36</v>
      </c>
      <c r="Z45" s="11"/>
      <c r="AA45" s="11"/>
      <c r="AB45" s="11" t="str">
        <f t="shared" si="1"/>
        <v/>
      </c>
      <c r="AC45" s="11" t="str">
        <f t="shared" si="2"/>
        <v/>
      </c>
      <c r="AD45" s="11">
        <f t="shared" si="3"/>
        <v>0</v>
      </c>
      <c r="AE45" s="11">
        <f t="shared" si="4"/>
        <v>19</v>
      </c>
      <c r="AF45" s="11" t="str">
        <f t="shared" si="5"/>
        <v>C</v>
      </c>
      <c r="AG45" s="11" t="str">
        <f t="shared" si="6"/>
        <v>C-11</v>
      </c>
      <c r="AH45" s="21"/>
      <c r="AI45" s="21"/>
    </row>
    <row r="46" spans="1:35" ht="15.75" hidden="1" customHeight="1">
      <c r="A46" s="15">
        <v>44</v>
      </c>
      <c r="B46" s="16" t="s">
        <v>93</v>
      </c>
      <c r="C46" s="16" t="s">
        <v>80</v>
      </c>
      <c r="D46" s="17">
        <v>12</v>
      </c>
      <c r="E46" s="18"/>
      <c r="F46" s="18"/>
      <c r="G46" s="18"/>
      <c r="H46" s="19">
        <v>1</v>
      </c>
      <c r="I46" s="17">
        <v>1684</v>
      </c>
      <c r="J46" s="17">
        <v>1698</v>
      </c>
      <c r="K46" s="17">
        <v>14</v>
      </c>
      <c r="L46" s="17">
        <v>14</v>
      </c>
      <c r="M46" s="17">
        <v>0</v>
      </c>
      <c r="N46" s="17">
        <v>0</v>
      </c>
      <c r="O46" s="17">
        <v>0</v>
      </c>
      <c r="P46" s="17">
        <v>3</v>
      </c>
      <c r="Q46" s="17">
        <v>0</v>
      </c>
      <c r="R46" s="19"/>
      <c r="S46" s="20"/>
      <c r="T46" s="13">
        <f t="shared" si="0"/>
        <v>17</v>
      </c>
      <c r="U46" s="18">
        <f ca="1">IFERROR(__xludf.DUMMYFUNCTION("IFERROR(
  SUM(
    FILTER(
      Reporte!$E:$E, 
      REGEXMATCH(Reporte!$A:$A, ""(?i)(TE PAGÓ|PAGASTE)""), 
      Reporte!$H:$H &amp; """" = AG46 &amp; """"
    )
  ), 
  0
)"),0)</f>
        <v>0</v>
      </c>
      <c r="V46" s="18">
        <f ca="1">IFERROR(__xludf.DUMMYFUNCTION("IFERROR(
  SUM(
    FILTER(
      Efectivo!$C:$C, 
      Efectivo!$D:$D &amp; """" = AG46 &amp; """"
    )
  ), 
  0
)"),17)</f>
        <v>17</v>
      </c>
      <c r="W46" s="18" t="s">
        <v>35</v>
      </c>
      <c r="X46" s="18"/>
      <c r="Y46" s="18"/>
      <c r="Z46" s="18"/>
      <c r="AA46" s="18"/>
      <c r="AB46" s="18" t="str">
        <f t="shared" si="1"/>
        <v/>
      </c>
      <c r="AC46" s="18" t="str">
        <f t="shared" si="2"/>
        <v/>
      </c>
      <c r="AD46" s="11">
        <f t="shared" si="3"/>
        <v>17</v>
      </c>
      <c r="AE46" s="11">
        <f t="shared" si="4"/>
        <v>0</v>
      </c>
      <c r="AF46" s="18" t="str">
        <f t="shared" si="5"/>
        <v>C</v>
      </c>
      <c r="AG46" s="18" t="str">
        <f t="shared" si="6"/>
        <v>C-12</v>
      </c>
      <c r="AH46" s="14"/>
      <c r="AI46" s="14"/>
    </row>
    <row r="47" spans="1:35" ht="15.75" hidden="1" customHeight="1">
      <c r="A47" s="8">
        <v>45</v>
      </c>
      <c r="B47" s="9" t="s">
        <v>94</v>
      </c>
      <c r="C47" s="9" t="s">
        <v>80</v>
      </c>
      <c r="D47" s="10">
        <v>13</v>
      </c>
      <c r="E47" s="11"/>
      <c r="F47" s="11"/>
      <c r="G47" s="11"/>
      <c r="H47" s="12">
        <v>1</v>
      </c>
      <c r="I47" s="10">
        <v>12</v>
      </c>
      <c r="J47" s="10">
        <v>18</v>
      </c>
      <c r="K47" s="10">
        <v>6</v>
      </c>
      <c r="L47" s="10">
        <v>6</v>
      </c>
      <c r="M47" s="10">
        <v>0</v>
      </c>
      <c r="N47" s="10">
        <v>0</v>
      </c>
      <c r="O47" s="10">
        <v>25</v>
      </c>
      <c r="P47" s="10">
        <v>3</v>
      </c>
      <c r="Q47" s="10">
        <v>0</v>
      </c>
      <c r="R47" s="12"/>
      <c r="S47" s="13"/>
      <c r="T47" s="13">
        <f t="shared" si="0"/>
        <v>34</v>
      </c>
      <c r="U47" s="11">
        <f ca="1">IFERROR(__xludf.DUMMYFUNCTION("IFERROR(
  SUM(
    FILTER(
      Reporte!$E:$E, 
      REGEXMATCH(Reporte!$A:$A, ""(?i)(TE PAGÓ|PAGASTE)""), 
      Reporte!$H:$H &amp; """" = AG47 &amp; """"
    )
  ), 
  0
)"),34)</f>
        <v>34</v>
      </c>
      <c r="V47" s="11">
        <f ca="1">IFERROR(__xludf.DUMMYFUNCTION("IFERROR(
  SUM(
    FILTER(
      Efectivo!$C:$C, 
      Efectivo!$D:$D &amp; """" = AG47 &amp; """"
    )
  ), 
  0
)"),0)</f>
        <v>0</v>
      </c>
      <c r="W47" s="11" t="s">
        <v>35</v>
      </c>
      <c r="X47" s="11"/>
      <c r="Y47" s="11" t="s">
        <v>36</v>
      </c>
      <c r="Z47" s="11"/>
      <c r="AA47" s="11"/>
      <c r="AB47" s="11" t="str">
        <f t="shared" si="1"/>
        <v/>
      </c>
      <c r="AC47" s="11" t="str">
        <f t="shared" si="2"/>
        <v/>
      </c>
      <c r="AD47" s="11">
        <f t="shared" si="3"/>
        <v>0</v>
      </c>
      <c r="AE47" s="11">
        <f t="shared" si="4"/>
        <v>34</v>
      </c>
      <c r="AF47" s="11" t="str">
        <f t="shared" si="5"/>
        <v>C</v>
      </c>
      <c r="AG47" s="11" t="str">
        <f t="shared" si="6"/>
        <v>C-13</v>
      </c>
      <c r="AH47" s="21"/>
      <c r="AI47" s="21"/>
    </row>
    <row r="48" spans="1:35" ht="15.75" hidden="1" customHeight="1">
      <c r="A48" s="15">
        <v>46</v>
      </c>
      <c r="B48" s="16" t="s">
        <v>95</v>
      </c>
      <c r="C48" s="16" t="s">
        <v>80</v>
      </c>
      <c r="D48" s="17">
        <v>14</v>
      </c>
      <c r="E48" s="18"/>
      <c r="F48" s="18"/>
      <c r="G48" s="18"/>
      <c r="H48" s="19">
        <v>1</v>
      </c>
      <c r="I48" s="17">
        <v>9</v>
      </c>
      <c r="J48" s="17">
        <v>15</v>
      </c>
      <c r="K48" s="17">
        <v>6</v>
      </c>
      <c r="L48" s="23">
        <v>6</v>
      </c>
      <c r="M48" s="23">
        <v>0</v>
      </c>
      <c r="N48" s="23">
        <v>0</v>
      </c>
      <c r="O48" s="23">
        <v>33</v>
      </c>
      <c r="P48" s="23">
        <v>3</v>
      </c>
      <c r="Q48" s="17">
        <v>0</v>
      </c>
      <c r="R48" s="19"/>
      <c r="S48" s="20"/>
      <c r="T48" s="13">
        <f t="shared" si="0"/>
        <v>42</v>
      </c>
      <c r="U48" s="18">
        <f ca="1">IFERROR(__xludf.DUMMYFUNCTION("IFERROR(
  SUM(
    FILTER(
      Reporte!$E:$E, 
      REGEXMATCH(Reporte!$A:$A, ""(?i)(TE PAGÓ|PAGASTE)""), 
      Reporte!$H:$H &amp; """" = AG48 &amp; """"
    )
  ), 
  0
)"),42)</f>
        <v>42</v>
      </c>
      <c r="V48" s="18">
        <f ca="1">IFERROR(__xludf.DUMMYFUNCTION("IFERROR(
  SUM(
    FILTER(
      Efectivo!$C:$C, 
      Efectivo!$D:$D &amp; """" = AG48 &amp; """"
    )
  ), 
  0
)"),0)</f>
        <v>0</v>
      </c>
      <c r="W48" s="18" t="s">
        <v>35</v>
      </c>
      <c r="X48" s="18"/>
      <c r="Y48" s="18" t="s">
        <v>36</v>
      </c>
      <c r="Z48" s="18" t="s">
        <v>96</v>
      </c>
      <c r="AA48" s="18"/>
      <c r="AB48" s="18" t="str">
        <f t="shared" si="1"/>
        <v/>
      </c>
      <c r="AC48" s="18" t="str">
        <f t="shared" si="2"/>
        <v/>
      </c>
      <c r="AD48" s="11">
        <f t="shared" si="3"/>
        <v>0</v>
      </c>
      <c r="AE48" s="11">
        <f t="shared" si="4"/>
        <v>42</v>
      </c>
      <c r="AF48" s="18" t="str">
        <f t="shared" si="5"/>
        <v>C</v>
      </c>
      <c r="AG48" s="18" t="str">
        <f t="shared" si="6"/>
        <v>C-14</v>
      </c>
      <c r="AH48" s="14"/>
      <c r="AI48" s="14"/>
    </row>
    <row r="49" spans="1:35" ht="15.75" hidden="1" customHeight="1">
      <c r="A49" s="8">
        <v>47</v>
      </c>
      <c r="B49" s="9" t="s">
        <v>97</v>
      </c>
      <c r="C49" s="9" t="s">
        <v>80</v>
      </c>
      <c r="D49" s="10">
        <v>15</v>
      </c>
      <c r="E49" s="11"/>
      <c r="F49" s="11"/>
      <c r="G49" s="11"/>
      <c r="H49" s="12">
        <v>1</v>
      </c>
      <c r="I49" s="10">
        <v>136</v>
      </c>
      <c r="J49" s="10">
        <v>147</v>
      </c>
      <c r="K49" s="10">
        <v>11</v>
      </c>
      <c r="L49" s="10">
        <v>11</v>
      </c>
      <c r="M49" s="10">
        <v>0</v>
      </c>
      <c r="N49" s="10">
        <v>0</v>
      </c>
      <c r="O49" s="10">
        <v>0</v>
      </c>
      <c r="P49" s="10">
        <v>3</v>
      </c>
      <c r="Q49" s="10">
        <v>0</v>
      </c>
      <c r="R49" s="12"/>
      <c r="S49" s="13"/>
      <c r="T49" s="13">
        <f t="shared" si="0"/>
        <v>14</v>
      </c>
      <c r="U49" s="11">
        <f ca="1">IFERROR(__xludf.DUMMYFUNCTION("IFERROR(
  SUM(
    FILTER(
      Reporte!$E:$E, 
      REGEXMATCH(Reporte!$A:$A, ""(?i)(TE PAGÓ|PAGASTE)""), 
      Reporte!$H:$H &amp; """" = AG49 &amp; """"
    )
  ), 
  0
)"),14)</f>
        <v>14</v>
      </c>
      <c r="V49" s="11">
        <f ca="1">IFERROR(__xludf.DUMMYFUNCTION("IFERROR(
  SUM(
    FILTER(
      Efectivo!$C:$C, 
      Efectivo!$D:$D &amp; """" = AG49 &amp; """"
    )
  ), 
  0
)"),0)</f>
        <v>0</v>
      </c>
      <c r="W49" s="11" t="s">
        <v>35</v>
      </c>
      <c r="X49" s="11"/>
      <c r="Y49" s="11" t="s">
        <v>36</v>
      </c>
      <c r="Z49" s="11"/>
      <c r="AA49" s="11"/>
      <c r="AB49" s="11" t="str">
        <f t="shared" si="1"/>
        <v/>
      </c>
      <c r="AC49" s="11" t="str">
        <f t="shared" si="2"/>
        <v/>
      </c>
      <c r="AD49" s="11">
        <f t="shared" si="3"/>
        <v>0</v>
      </c>
      <c r="AE49" s="11">
        <f t="shared" si="4"/>
        <v>14</v>
      </c>
      <c r="AF49" s="11" t="str">
        <f t="shared" si="5"/>
        <v>C</v>
      </c>
      <c r="AG49" s="11" t="str">
        <f t="shared" si="6"/>
        <v>C-15</v>
      </c>
      <c r="AH49" s="21"/>
      <c r="AI49" s="21"/>
    </row>
    <row r="50" spans="1:35" ht="15.75" hidden="1" customHeight="1">
      <c r="A50" s="15">
        <v>48</v>
      </c>
      <c r="B50" s="16" t="s">
        <v>98</v>
      </c>
      <c r="C50" s="16" t="s">
        <v>80</v>
      </c>
      <c r="D50" s="17">
        <v>16</v>
      </c>
      <c r="E50" s="18"/>
      <c r="F50" s="18"/>
      <c r="G50" s="18"/>
      <c r="H50" s="19">
        <v>1</v>
      </c>
      <c r="I50" s="17">
        <v>26</v>
      </c>
      <c r="J50" s="17">
        <v>56</v>
      </c>
      <c r="K50" s="17">
        <v>30</v>
      </c>
      <c r="L50" s="17">
        <v>30</v>
      </c>
      <c r="M50" s="17">
        <v>21</v>
      </c>
      <c r="N50" s="10">
        <v>0</v>
      </c>
      <c r="O50" s="17">
        <v>25</v>
      </c>
      <c r="P50" s="17">
        <v>3</v>
      </c>
      <c r="Q50" s="17">
        <v>0</v>
      </c>
      <c r="R50" s="19"/>
      <c r="S50" s="20"/>
      <c r="T50" s="13">
        <f t="shared" si="0"/>
        <v>79</v>
      </c>
      <c r="U50" s="18">
        <f ca="1">IFERROR(__xludf.DUMMYFUNCTION("IFERROR(
  SUM(
    FILTER(
      Reporte!$E:$E, 
      REGEXMATCH(Reporte!$A:$A, ""(?i)(TE PAGÓ|PAGASTE)""), 
      Reporte!$H:$H &amp; """" = AG50 &amp; """"
    )
  ), 
  0
)"),79)</f>
        <v>79</v>
      </c>
      <c r="V50" s="18">
        <f ca="1">IFERROR(__xludf.DUMMYFUNCTION("IFERROR(
  SUM(
    FILTER(
      Efectivo!$C:$C, 
      Efectivo!$D:$D &amp; """" = AG50 &amp; """"
    )
  ), 
  0
)"),0)</f>
        <v>0</v>
      </c>
      <c r="W50" s="18" t="s">
        <v>35</v>
      </c>
      <c r="X50" s="18"/>
      <c r="Y50" s="18" t="s">
        <v>36</v>
      </c>
      <c r="Z50" s="18" t="s">
        <v>99</v>
      </c>
      <c r="AA50" s="18"/>
      <c r="AB50" s="18" t="str">
        <f t="shared" si="1"/>
        <v/>
      </c>
      <c r="AC50" s="18" t="str">
        <f t="shared" si="2"/>
        <v/>
      </c>
      <c r="AD50" s="11">
        <f t="shared" si="3"/>
        <v>0</v>
      </c>
      <c r="AE50" s="11">
        <f t="shared" si="4"/>
        <v>79</v>
      </c>
      <c r="AF50" s="18" t="str">
        <f t="shared" si="5"/>
        <v>C</v>
      </c>
      <c r="AG50" s="18" t="str">
        <f t="shared" si="6"/>
        <v>C-16</v>
      </c>
      <c r="AH50" s="14"/>
      <c r="AI50" s="14"/>
    </row>
    <row r="51" spans="1:35" ht="15.75" hidden="1" customHeight="1">
      <c r="A51" s="8">
        <v>49</v>
      </c>
      <c r="B51" s="9" t="s">
        <v>100</v>
      </c>
      <c r="C51" s="9" t="s">
        <v>80</v>
      </c>
      <c r="D51" s="10">
        <v>18</v>
      </c>
      <c r="E51" s="11"/>
      <c r="F51" s="11"/>
      <c r="G51" s="11"/>
      <c r="H51" s="12">
        <v>1</v>
      </c>
      <c r="I51" s="10">
        <v>12</v>
      </c>
      <c r="J51" s="10">
        <v>21</v>
      </c>
      <c r="K51" s="10">
        <v>9</v>
      </c>
      <c r="L51" s="10">
        <v>9</v>
      </c>
      <c r="M51" s="10">
        <v>0</v>
      </c>
      <c r="N51" s="10">
        <v>0</v>
      </c>
      <c r="O51" s="10">
        <v>25</v>
      </c>
      <c r="P51" s="10">
        <v>3</v>
      </c>
      <c r="Q51" s="10">
        <v>0</v>
      </c>
      <c r="R51" s="12"/>
      <c r="S51" s="13"/>
      <c r="T51" s="13">
        <f t="shared" si="0"/>
        <v>37</v>
      </c>
      <c r="U51" s="11">
        <f ca="1">IFERROR(__xludf.DUMMYFUNCTION("IFERROR(
  SUM(
    FILTER(
      Reporte!$E:$E, 
      REGEXMATCH(Reporte!$A:$A, ""(?i)(TE PAGÓ|PAGASTE)""), 
      Reporte!$H:$H &amp; """" = AG51 &amp; """"
    )
  ), 
  0
)"),0)</f>
        <v>0</v>
      </c>
      <c r="V51" s="11">
        <f ca="1">IFERROR(__xludf.DUMMYFUNCTION("IFERROR(
  SUM(
    FILTER(
      Efectivo!$C:$C, 
      Efectivo!$D:$D &amp; """" = AG51 &amp; """"
    )
  ), 
  0
)"),37)</f>
        <v>37</v>
      </c>
      <c r="W51" s="11" t="s">
        <v>35</v>
      </c>
      <c r="X51" s="11"/>
      <c r="Y51" s="11"/>
      <c r="Z51" s="11"/>
      <c r="AA51" s="11"/>
      <c r="AB51" s="11" t="str">
        <f t="shared" si="1"/>
        <v/>
      </c>
      <c r="AC51" s="11" t="str">
        <f t="shared" si="2"/>
        <v/>
      </c>
      <c r="AD51" s="11">
        <f t="shared" si="3"/>
        <v>37</v>
      </c>
      <c r="AE51" s="11">
        <f t="shared" si="4"/>
        <v>0</v>
      </c>
      <c r="AF51" s="11" t="str">
        <f t="shared" si="5"/>
        <v>C</v>
      </c>
      <c r="AG51" s="11" t="str">
        <f t="shared" si="6"/>
        <v>C-18</v>
      </c>
      <c r="AH51" s="21"/>
      <c r="AI51" s="21"/>
    </row>
    <row r="52" spans="1:35" ht="15.75" hidden="1" customHeight="1">
      <c r="A52" s="15">
        <v>50</v>
      </c>
      <c r="B52" s="16" t="s">
        <v>101</v>
      </c>
      <c r="C52" s="16" t="s">
        <v>80</v>
      </c>
      <c r="D52" s="17">
        <v>19</v>
      </c>
      <c r="E52" s="18"/>
      <c r="F52" s="18"/>
      <c r="G52" s="18"/>
      <c r="H52" s="19">
        <v>1</v>
      </c>
      <c r="I52" s="17">
        <v>37</v>
      </c>
      <c r="J52" s="17">
        <v>65</v>
      </c>
      <c r="K52" s="17">
        <v>28</v>
      </c>
      <c r="L52" s="17">
        <v>28</v>
      </c>
      <c r="M52" s="17">
        <v>0</v>
      </c>
      <c r="N52" s="17">
        <v>0</v>
      </c>
      <c r="O52" s="17">
        <v>3</v>
      </c>
      <c r="P52" s="17"/>
      <c r="Q52" s="17">
        <v>0</v>
      </c>
      <c r="R52" s="19"/>
      <c r="S52" s="20"/>
      <c r="T52" s="13">
        <f t="shared" si="0"/>
        <v>31</v>
      </c>
      <c r="U52" s="18">
        <f ca="1">IFERROR(__xludf.DUMMYFUNCTION("IFERROR(
  SUM(
    FILTER(
      Reporte!$E:$E, 
      REGEXMATCH(Reporte!$A:$A, ""(?i)(TE PAGÓ|PAGASTE)""), 
      Reporte!$H:$H &amp; """" = AG52 &amp; """"
    )
  ), 
  0
)"),0)</f>
        <v>0</v>
      </c>
      <c r="V52" s="18">
        <f ca="1">IFERROR(__xludf.DUMMYFUNCTION("IFERROR(
  SUM(
    FILTER(
      Efectivo!$C:$C, 
      Efectivo!$D:$D &amp; """" = AG52 &amp; """"
    )
  ), 
  0
)"),31)</f>
        <v>31</v>
      </c>
      <c r="W52" s="18" t="s">
        <v>35</v>
      </c>
      <c r="X52" s="18"/>
      <c r="Y52" s="18"/>
      <c r="Z52" s="18" t="s">
        <v>102</v>
      </c>
      <c r="AA52" s="18"/>
      <c r="AB52" s="18" t="str">
        <f t="shared" si="1"/>
        <v/>
      </c>
      <c r="AC52" s="18" t="str">
        <f t="shared" si="2"/>
        <v/>
      </c>
      <c r="AD52" s="11">
        <f t="shared" si="3"/>
        <v>31</v>
      </c>
      <c r="AE52" s="11">
        <f t="shared" si="4"/>
        <v>0</v>
      </c>
      <c r="AF52" s="18" t="str">
        <f t="shared" si="5"/>
        <v>C</v>
      </c>
      <c r="AG52" s="18" t="str">
        <f t="shared" si="6"/>
        <v>C-19</v>
      </c>
      <c r="AH52" s="14"/>
      <c r="AI52" s="14"/>
    </row>
    <row r="53" spans="1:35" ht="15.75" hidden="1" customHeight="1">
      <c r="A53" s="8">
        <v>51</v>
      </c>
      <c r="B53" s="9" t="s">
        <v>103</v>
      </c>
      <c r="C53" s="9" t="s">
        <v>80</v>
      </c>
      <c r="D53" s="10">
        <v>20</v>
      </c>
      <c r="E53" s="11"/>
      <c r="F53" s="11"/>
      <c r="G53" s="11"/>
      <c r="H53" s="12">
        <v>1</v>
      </c>
      <c r="I53" s="10">
        <v>25</v>
      </c>
      <c r="J53" s="10">
        <v>42</v>
      </c>
      <c r="K53" s="10">
        <v>17</v>
      </c>
      <c r="L53" s="10">
        <v>17</v>
      </c>
      <c r="M53" s="10">
        <v>0</v>
      </c>
      <c r="N53" s="10">
        <v>0</v>
      </c>
      <c r="O53" s="24">
        <v>25</v>
      </c>
      <c r="P53" s="24">
        <v>3</v>
      </c>
      <c r="Q53" s="10">
        <v>0</v>
      </c>
      <c r="R53" s="12"/>
      <c r="S53" s="13"/>
      <c r="T53" s="13">
        <f t="shared" si="0"/>
        <v>45</v>
      </c>
      <c r="U53" s="11">
        <f ca="1">IFERROR(__xludf.DUMMYFUNCTION("IFERROR(
  SUM(
    FILTER(
      Reporte!$E:$E, 
      REGEXMATCH(Reporte!$A:$A, ""(?i)(TE PAGÓ|PAGASTE)""), 
      Reporte!$H:$H &amp; """" = AG53 &amp; """"
    )
  ), 
  0
)"),45)</f>
        <v>45</v>
      </c>
      <c r="V53" s="11">
        <f ca="1">IFERROR(__xludf.DUMMYFUNCTION("IFERROR(
  SUM(
    FILTER(
      Efectivo!$C:$C, 
      Efectivo!$D:$D &amp; """" = AG53 &amp; """"
    )
  ), 
  0
)"),0)</f>
        <v>0</v>
      </c>
      <c r="W53" s="11" t="s">
        <v>35</v>
      </c>
      <c r="X53" s="11"/>
      <c r="Y53" s="11" t="s">
        <v>36</v>
      </c>
      <c r="Z53" s="11"/>
      <c r="AA53" s="11"/>
      <c r="AB53" s="11" t="str">
        <f t="shared" si="1"/>
        <v/>
      </c>
      <c r="AC53" s="11" t="str">
        <f t="shared" si="2"/>
        <v/>
      </c>
      <c r="AD53" s="11">
        <f t="shared" si="3"/>
        <v>0</v>
      </c>
      <c r="AE53" s="11">
        <f t="shared" si="4"/>
        <v>45</v>
      </c>
      <c r="AF53" s="11" t="str">
        <f t="shared" si="5"/>
        <v>C</v>
      </c>
      <c r="AG53" s="11" t="str">
        <f t="shared" si="6"/>
        <v>C-20</v>
      </c>
      <c r="AH53" s="21"/>
      <c r="AI53" s="21"/>
    </row>
    <row r="54" spans="1:35" ht="15.75" hidden="1" customHeight="1">
      <c r="A54" s="15">
        <v>52</v>
      </c>
      <c r="B54" s="16" t="s">
        <v>104</v>
      </c>
      <c r="C54" s="16" t="s">
        <v>80</v>
      </c>
      <c r="D54" s="17">
        <v>21</v>
      </c>
      <c r="E54" s="18"/>
      <c r="F54" s="18"/>
      <c r="G54" s="18"/>
      <c r="H54" s="19">
        <v>1</v>
      </c>
      <c r="I54" s="17">
        <v>1700</v>
      </c>
      <c r="J54" s="17">
        <v>1719</v>
      </c>
      <c r="K54" s="17">
        <v>19</v>
      </c>
      <c r="L54" s="17">
        <v>19</v>
      </c>
      <c r="M54" s="17">
        <v>27</v>
      </c>
      <c r="N54" s="17">
        <v>0</v>
      </c>
      <c r="O54" s="17">
        <v>0</v>
      </c>
      <c r="P54" s="17">
        <v>3</v>
      </c>
      <c r="Q54" s="17">
        <v>0</v>
      </c>
      <c r="R54" s="19"/>
      <c r="S54" s="20"/>
      <c r="T54" s="13">
        <f t="shared" si="0"/>
        <v>49</v>
      </c>
      <c r="U54" s="18">
        <f ca="1">IFERROR(__xludf.DUMMYFUNCTION("IFERROR(
  SUM(
    FILTER(
      Reporte!$E:$E, 
      REGEXMATCH(Reporte!$A:$A, ""(?i)(TE PAGÓ|PAGASTE)""), 
      Reporte!$H:$H &amp; """" = AG54 &amp; """"
    )
  ), 
  0
)"),0)</f>
        <v>0</v>
      </c>
      <c r="V54" s="18">
        <f ca="1">IFERROR(__xludf.DUMMYFUNCTION("IFERROR(
  SUM(
    FILTER(
      Efectivo!$C:$C, 
      Efectivo!$D:$D &amp; """" = AG54 &amp; """"
    )
  ), 
  0
)"),0)</f>
        <v>0</v>
      </c>
      <c r="W54" s="18"/>
      <c r="X54" s="18"/>
      <c r="Y54" s="18"/>
      <c r="Z54" s="18"/>
      <c r="AA54" s="18" t="s">
        <v>105</v>
      </c>
      <c r="AB54" s="18" t="str">
        <f t="shared" si="1"/>
        <v>CORTE</v>
      </c>
      <c r="AC54" s="18" t="str">
        <f t="shared" si="2"/>
        <v/>
      </c>
      <c r="AD54" s="11">
        <f t="shared" si="3"/>
        <v>0</v>
      </c>
      <c r="AE54" s="11">
        <f t="shared" si="4"/>
        <v>0</v>
      </c>
      <c r="AF54" s="18" t="str">
        <f t="shared" si="5"/>
        <v>C</v>
      </c>
      <c r="AG54" s="18" t="str">
        <f t="shared" si="6"/>
        <v>C-21</v>
      </c>
      <c r="AH54" s="14"/>
      <c r="AI54" s="14"/>
    </row>
    <row r="55" spans="1:35" ht="15.75" hidden="1" customHeight="1">
      <c r="A55" s="8">
        <v>53</v>
      </c>
      <c r="B55" s="9" t="s">
        <v>106</v>
      </c>
      <c r="C55" s="9" t="s">
        <v>80</v>
      </c>
      <c r="D55" s="10">
        <v>22</v>
      </c>
      <c r="E55" s="11"/>
      <c r="F55" s="11"/>
      <c r="G55" s="11"/>
      <c r="H55" s="12">
        <v>1</v>
      </c>
      <c r="I55" s="10">
        <v>134</v>
      </c>
      <c r="J55" s="10">
        <v>144</v>
      </c>
      <c r="K55" s="10">
        <v>10</v>
      </c>
      <c r="L55" s="10">
        <v>10</v>
      </c>
      <c r="M55" s="10">
        <v>0</v>
      </c>
      <c r="N55" s="10">
        <v>0</v>
      </c>
      <c r="O55" s="10">
        <v>0</v>
      </c>
      <c r="P55" s="10">
        <v>3</v>
      </c>
      <c r="Q55" s="10">
        <v>0</v>
      </c>
      <c r="R55" s="12"/>
      <c r="S55" s="13"/>
      <c r="T55" s="13">
        <f t="shared" si="0"/>
        <v>13</v>
      </c>
      <c r="U55" s="11">
        <f ca="1">IFERROR(__xludf.DUMMYFUNCTION("IFERROR(
  SUM(
    FILTER(
      Reporte!$E:$E, 
      REGEXMATCH(Reporte!$A:$A, ""(?i)(TE PAGÓ|PAGASTE)""), 
      Reporte!$H:$H &amp; """" = AG55 &amp; """"
    )
  ), 
  0
)"),13)</f>
        <v>13</v>
      </c>
      <c r="V55" s="11">
        <f ca="1">IFERROR(__xludf.DUMMYFUNCTION("IFERROR(
  SUM(
    FILTER(
      Efectivo!$C:$C, 
      Efectivo!$D:$D &amp; """" = AG55 &amp; """"
    )
  ), 
  0
)"),0)</f>
        <v>0</v>
      </c>
      <c r="W55" s="11" t="s">
        <v>35</v>
      </c>
      <c r="X55" s="11"/>
      <c r="Y55" s="11" t="s">
        <v>36</v>
      </c>
      <c r="Z55" s="11"/>
      <c r="AA55" s="11"/>
      <c r="AB55" s="11" t="str">
        <f t="shared" si="1"/>
        <v/>
      </c>
      <c r="AC55" s="11" t="str">
        <f t="shared" si="2"/>
        <v/>
      </c>
      <c r="AD55" s="11">
        <f t="shared" si="3"/>
        <v>0</v>
      </c>
      <c r="AE55" s="11">
        <f t="shared" si="4"/>
        <v>13</v>
      </c>
      <c r="AF55" s="11" t="str">
        <f t="shared" si="5"/>
        <v>C</v>
      </c>
      <c r="AG55" s="11" t="str">
        <f t="shared" si="6"/>
        <v>C-22</v>
      </c>
      <c r="AH55" s="21"/>
      <c r="AI55" s="21"/>
    </row>
    <row r="56" spans="1:35" ht="15.75" hidden="1" customHeight="1">
      <c r="A56" s="15">
        <v>54</v>
      </c>
      <c r="B56" s="16" t="s">
        <v>107</v>
      </c>
      <c r="C56" s="16" t="s">
        <v>80</v>
      </c>
      <c r="D56" s="17">
        <v>23</v>
      </c>
      <c r="E56" s="18"/>
      <c r="F56" s="18"/>
      <c r="G56" s="18"/>
      <c r="H56" s="19">
        <v>1</v>
      </c>
      <c r="I56" s="17">
        <v>280</v>
      </c>
      <c r="J56" s="17">
        <v>304</v>
      </c>
      <c r="K56" s="17">
        <v>24</v>
      </c>
      <c r="L56" s="17">
        <v>24</v>
      </c>
      <c r="M56" s="17">
        <v>0</v>
      </c>
      <c r="N56" s="17">
        <v>0</v>
      </c>
      <c r="O56" s="17">
        <v>0</v>
      </c>
      <c r="P56" s="17">
        <v>3</v>
      </c>
      <c r="Q56" s="17">
        <v>0</v>
      </c>
      <c r="R56" s="19"/>
      <c r="S56" s="20"/>
      <c r="T56" s="13">
        <f t="shared" si="0"/>
        <v>27</v>
      </c>
      <c r="U56" s="18">
        <f ca="1">IFERROR(__xludf.DUMMYFUNCTION("IFERROR(
  SUM(
    FILTER(
      Reporte!$E:$E, 
      REGEXMATCH(Reporte!$A:$A, ""(?i)(TE PAGÓ|PAGASTE)""), 
      Reporte!$H:$H &amp; """" = AG56 &amp; """"
    )
  ), 
  0
)"),0)</f>
        <v>0</v>
      </c>
      <c r="V56" s="18">
        <f ca="1">IFERROR(__xludf.DUMMYFUNCTION("IFERROR(
  SUM(
    FILTER(
      Efectivo!$C:$C, 
      Efectivo!$D:$D &amp; """" = AG56 &amp; """"
    )
  ), 
  0
)"),27)</f>
        <v>27</v>
      </c>
      <c r="W56" s="18" t="s">
        <v>35</v>
      </c>
      <c r="X56" s="18"/>
      <c r="Y56" s="18"/>
      <c r="Z56" s="18"/>
      <c r="AA56" s="18"/>
      <c r="AB56" s="18" t="str">
        <f t="shared" si="1"/>
        <v/>
      </c>
      <c r="AC56" s="18" t="str">
        <f t="shared" si="2"/>
        <v/>
      </c>
      <c r="AD56" s="11">
        <f t="shared" si="3"/>
        <v>27</v>
      </c>
      <c r="AE56" s="11">
        <f t="shared" si="4"/>
        <v>0</v>
      </c>
      <c r="AF56" s="18" t="str">
        <f t="shared" si="5"/>
        <v>C</v>
      </c>
      <c r="AG56" s="18" t="str">
        <f t="shared" si="6"/>
        <v>C-23</v>
      </c>
      <c r="AH56" s="14"/>
      <c r="AI56" s="14"/>
    </row>
    <row r="57" spans="1:35" ht="15.75" hidden="1" customHeight="1">
      <c r="A57" s="8">
        <v>55</v>
      </c>
      <c r="B57" s="9" t="s">
        <v>108</v>
      </c>
      <c r="C57" s="9" t="s">
        <v>80</v>
      </c>
      <c r="D57" s="10">
        <v>24</v>
      </c>
      <c r="E57" s="11"/>
      <c r="F57" s="11"/>
      <c r="G57" s="11"/>
      <c r="H57" s="12">
        <v>1</v>
      </c>
      <c r="I57" s="10">
        <v>546</v>
      </c>
      <c r="J57" s="10">
        <v>548</v>
      </c>
      <c r="K57" s="10">
        <v>5</v>
      </c>
      <c r="L57" s="10">
        <v>5</v>
      </c>
      <c r="M57" s="10">
        <v>0</v>
      </c>
      <c r="N57" s="10">
        <v>0</v>
      </c>
      <c r="O57" s="10">
        <v>0</v>
      </c>
      <c r="P57" s="10">
        <v>3</v>
      </c>
      <c r="Q57" s="10">
        <v>0</v>
      </c>
      <c r="R57" s="12"/>
      <c r="S57" s="13"/>
      <c r="T57" s="13">
        <f t="shared" si="0"/>
        <v>8</v>
      </c>
      <c r="U57" s="11">
        <f ca="1">IFERROR(__xludf.DUMMYFUNCTION("IFERROR(
  SUM(
    FILTER(
      Reporte!$E:$E, 
      REGEXMATCH(Reporte!$A:$A, ""(?i)(TE PAGÓ|PAGASTE)""), 
      Reporte!$H:$H &amp; """" = AG57 &amp; """"
    )
  ), 
  0
)"),0)</f>
        <v>0</v>
      </c>
      <c r="V57" s="11">
        <f ca="1">IFERROR(__xludf.DUMMYFUNCTION("IFERROR(
  SUM(
    FILTER(
      Efectivo!$C:$C, 
      Efectivo!$D:$D &amp; """" = AG57 &amp; """"
    )
  ), 
  0
)"),8)</f>
        <v>8</v>
      </c>
      <c r="W57" s="11" t="s">
        <v>35</v>
      </c>
      <c r="X57" s="11"/>
      <c r="Y57" s="11"/>
      <c r="Z57" s="11"/>
      <c r="AA57" s="11"/>
      <c r="AB57" s="11" t="str">
        <f t="shared" si="1"/>
        <v/>
      </c>
      <c r="AC57" s="11" t="str">
        <f t="shared" si="2"/>
        <v/>
      </c>
      <c r="AD57" s="11">
        <f t="shared" si="3"/>
        <v>8</v>
      </c>
      <c r="AE57" s="11">
        <f t="shared" si="4"/>
        <v>0</v>
      </c>
      <c r="AF57" s="11" t="str">
        <f t="shared" si="5"/>
        <v>C</v>
      </c>
      <c r="AG57" s="11" t="str">
        <f t="shared" si="6"/>
        <v>C-24</v>
      </c>
      <c r="AH57" s="21"/>
      <c r="AI57" s="21"/>
    </row>
    <row r="58" spans="1:35" ht="15.75" hidden="1" customHeight="1">
      <c r="A58" s="15">
        <v>56</v>
      </c>
      <c r="B58" s="16" t="s">
        <v>109</v>
      </c>
      <c r="C58" s="16" t="s">
        <v>80</v>
      </c>
      <c r="D58" s="17">
        <v>25</v>
      </c>
      <c r="E58" s="18"/>
      <c r="F58" s="18"/>
      <c r="G58" s="18"/>
      <c r="H58" s="19">
        <v>1</v>
      </c>
      <c r="I58" s="17">
        <v>22</v>
      </c>
      <c r="J58" s="17">
        <v>38</v>
      </c>
      <c r="K58" s="17">
        <v>16</v>
      </c>
      <c r="L58" s="17">
        <v>16</v>
      </c>
      <c r="M58" s="17">
        <v>0</v>
      </c>
      <c r="N58" s="17">
        <v>0</v>
      </c>
      <c r="O58" s="17">
        <v>25</v>
      </c>
      <c r="P58" s="17">
        <v>3</v>
      </c>
      <c r="Q58" s="17">
        <v>0</v>
      </c>
      <c r="R58" s="19"/>
      <c r="S58" s="20"/>
      <c r="T58" s="13">
        <f t="shared" si="0"/>
        <v>44</v>
      </c>
      <c r="U58" s="18">
        <f ca="1">IFERROR(__xludf.DUMMYFUNCTION("IFERROR(
  SUM(
    FILTER(
      Reporte!$E:$E, 
      REGEXMATCH(Reporte!$A:$A, ""(?i)(TE PAGÓ|PAGASTE)""), 
      Reporte!$H:$H &amp; """" = AG58 &amp; """"
    )
  ), 
  0
)"),0)</f>
        <v>0</v>
      </c>
      <c r="V58" s="18">
        <f ca="1">IFERROR(__xludf.DUMMYFUNCTION("IFERROR(
  SUM(
    FILTER(
      Efectivo!$C:$C, 
      Efectivo!$D:$D &amp; """" = AG58 &amp; """"
    )
  ), 
  0
)"),44)</f>
        <v>44</v>
      </c>
      <c r="W58" s="18" t="s">
        <v>35</v>
      </c>
      <c r="X58" s="18"/>
      <c r="Y58" s="18"/>
      <c r="Z58" s="18"/>
      <c r="AA58" s="18"/>
      <c r="AB58" s="18" t="str">
        <f t="shared" si="1"/>
        <v/>
      </c>
      <c r="AC58" s="18" t="str">
        <f t="shared" si="2"/>
        <v/>
      </c>
      <c r="AD58" s="11">
        <f t="shared" si="3"/>
        <v>44</v>
      </c>
      <c r="AE58" s="11">
        <f t="shared" si="4"/>
        <v>0</v>
      </c>
      <c r="AF58" s="18" t="str">
        <f t="shared" si="5"/>
        <v>C</v>
      </c>
      <c r="AG58" s="18" t="str">
        <f t="shared" si="6"/>
        <v>C-25</v>
      </c>
      <c r="AH58" s="14"/>
      <c r="AI58" s="14"/>
    </row>
    <row r="59" spans="1:35" ht="15.75" hidden="1" customHeight="1">
      <c r="A59" s="8">
        <v>57</v>
      </c>
      <c r="B59" s="9" t="s">
        <v>110</v>
      </c>
      <c r="C59" s="9" t="s">
        <v>80</v>
      </c>
      <c r="D59" s="10">
        <v>26</v>
      </c>
      <c r="E59" s="11"/>
      <c r="F59" s="11"/>
      <c r="G59" s="11"/>
      <c r="H59" s="12">
        <v>1</v>
      </c>
      <c r="I59" s="10">
        <v>1510</v>
      </c>
      <c r="J59" s="10">
        <v>1511</v>
      </c>
      <c r="K59" s="10">
        <v>5</v>
      </c>
      <c r="L59" s="10">
        <v>5</v>
      </c>
      <c r="M59" s="10"/>
      <c r="N59" s="10">
        <v>0</v>
      </c>
      <c r="O59" s="10">
        <v>0</v>
      </c>
      <c r="P59" s="10">
        <v>3</v>
      </c>
      <c r="Q59" s="10">
        <v>0</v>
      </c>
      <c r="R59" s="12"/>
      <c r="S59" s="13"/>
      <c r="T59" s="13">
        <f t="shared" si="0"/>
        <v>8</v>
      </c>
      <c r="U59" s="11">
        <f ca="1">IFERROR(__xludf.DUMMYFUNCTION("IFERROR(
  SUM(
    FILTER(
      Reporte!$E:$E, 
      REGEXMATCH(Reporte!$A:$A, ""(?i)(TE PAGÓ|PAGASTE)""), 
      Reporte!$H:$H &amp; """" = AG59 &amp; """"
    )
  ), 
  0
)"),8)</f>
        <v>8</v>
      </c>
      <c r="V59" s="11">
        <f ca="1">IFERROR(__xludf.DUMMYFUNCTION("IFERROR(
  SUM(
    FILTER(
      Efectivo!$C:$C, 
      Efectivo!$D:$D &amp; """" = AG59 &amp; """"
    )
  ), 
  0
)"),0)</f>
        <v>0</v>
      </c>
      <c r="W59" s="11" t="s">
        <v>35</v>
      </c>
      <c r="X59" s="11"/>
      <c r="Y59" s="11" t="s">
        <v>36</v>
      </c>
      <c r="Z59" s="11" t="s">
        <v>111</v>
      </c>
      <c r="AA59" s="11"/>
      <c r="AB59" s="11" t="str">
        <f t="shared" si="1"/>
        <v/>
      </c>
      <c r="AC59" s="11" t="str">
        <f t="shared" si="2"/>
        <v/>
      </c>
      <c r="AD59" s="11">
        <f t="shared" si="3"/>
        <v>0</v>
      </c>
      <c r="AE59" s="11">
        <f t="shared" si="4"/>
        <v>8</v>
      </c>
      <c r="AF59" s="11" t="str">
        <f t="shared" si="5"/>
        <v>C</v>
      </c>
      <c r="AG59" s="11" t="str">
        <f t="shared" si="6"/>
        <v>C-26</v>
      </c>
      <c r="AH59" s="21"/>
      <c r="AI59" s="21"/>
    </row>
    <row r="60" spans="1:35" ht="15.75" hidden="1" customHeight="1">
      <c r="A60" s="15">
        <v>58</v>
      </c>
      <c r="B60" s="16" t="s">
        <v>112</v>
      </c>
      <c r="C60" s="16" t="s">
        <v>80</v>
      </c>
      <c r="D60" s="17">
        <v>27</v>
      </c>
      <c r="E60" s="18"/>
      <c r="F60" s="18"/>
      <c r="G60" s="18"/>
      <c r="H60" s="19">
        <v>1</v>
      </c>
      <c r="I60" s="17">
        <v>256</v>
      </c>
      <c r="J60" s="17">
        <v>275</v>
      </c>
      <c r="K60" s="17">
        <v>19</v>
      </c>
      <c r="L60" s="17">
        <v>19</v>
      </c>
      <c r="M60" s="17">
        <v>0</v>
      </c>
      <c r="N60" s="17">
        <v>0</v>
      </c>
      <c r="O60" s="17">
        <v>0</v>
      </c>
      <c r="P60" s="17">
        <v>3</v>
      </c>
      <c r="Q60" s="17">
        <v>0</v>
      </c>
      <c r="R60" s="19"/>
      <c r="S60" s="20"/>
      <c r="T60" s="13">
        <f t="shared" si="0"/>
        <v>22</v>
      </c>
      <c r="U60" s="18">
        <f ca="1">IFERROR(__xludf.DUMMYFUNCTION("IFERROR(
  SUM(
    FILTER(
      Reporte!$E:$E, 
      REGEXMATCH(Reporte!$A:$A, ""(?i)(TE PAGÓ|PAGASTE)""), 
      Reporte!$H:$H &amp; """" = AG60 &amp; """"
    )
  ), 
  0
)"),22)</f>
        <v>22</v>
      </c>
      <c r="V60" s="18">
        <f ca="1">IFERROR(__xludf.DUMMYFUNCTION("IFERROR(
  SUM(
    FILTER(
      Efectivo!$C:$C, 
      Efectivo!$D:$D &amp; """" = AG60 &amp; """"
    )
  ), 
  0
)"),0)</f>
        <v>0</v>
      </c>
      <c r="W60" s="18" t="s">
        <v>35</v>
      </c>
      <c r="X60" s="18"/>
      <c r="Y60" s="18" t="s">
        <v>36</v>
      </c>
      <c r="Z60" s="18"/>
      <c r="AA60" s="18"/>
      <c r="AB60" s="18" t="str">
        <f t="shared" si="1"/>
        <v/>
      </c>
      <c r="AC60" s="18" t="str">
        <f t="shared" si="2"/>
        <v/>
      </c>
      <c r="AD60" s="11">
        <f t="shared" si="3"/>
        <v>0</v>
      </c>
      <c r="AE60" s="11">
        <f t="shared" si="4"/>
        <v>22</v>
      </c>
      <c r="AF60" s="18" t="str">
        <f t="shared" si="5"/>
        <v>C</v>
      </c>
      <c r="AG60" s="18" t="str">
        <f t="shared" si="6"/>
        <v>C-27</v>
      </c>
      <c r="AH60" s="14"/>
      <c r="AI60" s="14"/>
    </row>
    <row r="61" spans="1:35" ht="15.75" hidden="1" customHeight="1">
      <c r="A61" s="8">
        <v>59</v>
      </c>
      <c r="B61" s="9" t="s">
        <v>113</v>
      </c>
      <c r="C61" s="9" t="s">
        <v>80</v>
      </c>
      <c r="D61" s="10">
        <v>28</v>
      </c>
      <c r="E61" s="11"/>
      <c r="F61" s="11"/>
      <c r="G61" s="11"/>
      <c r="H61" s="12">
        <v>1</v>
      </c>
      <c r="I61" s="10">
        <v>10</v>
      </c>
      <c r="J61" s="10">
        <v>116</v>
      </c>
      <c r="K61" s="10">
        <v>106</v>
      </c>
      <c r="L61" s="10">
        <v>106</v>
      </c>
      <c r="M61" s="10">
        <v>0</v>
      </c>
      <c r="N61" s="10">
        <v>0</v>
      </c>
      <c r="O61" s="10">
        <v>0</v>
      </c>
      <c r="P61" s="10">
        <v>3</v>
      </c>
      <c r="Q61" s="10">
        <v>0</v>
      </c>
      <c r="R61" s="12"/>
      <c r="S61" s="13"/>
      <c r="T61" s="13">
        <f t="shared" si="0"/>
        <v>109</v>
      </c>
      <c r="U61" s="11">
        <f ca="1">IFERROR(__xludf.DUMMYFUNCTION("IFERROR(
  SUM(
    FILTER(
      Reporte!$E:$E, 
      REGEXMATCH(Reporte!$A:$A, ""(?i)(TE PAGÓ|PAGASTE)""), 
      Reporte!$H:$H &amp; """" = AG61 &amp; """"
    )
  ), 
  0
)"),109)</f>
        <v>109</v>
      </c>
      <c r="V61" s="11">
        <f ca="1">IFERROR(__xludf.DUMMYFUNCTION("IFERROR(
  SUM(
    FILTER(
      Efectivo!$C:$C, 
      Efectivo!$D:$D &amp; """" = AG61 &amp; """"
    )
  ), 
  0
)"),0)</f>
        <v>0</v>
      </c>
      <c r="W61" s="11" t="s">
        <v>35</v>
      </c>
      <c r="X61" s="11"/>
      <c r="Y61" s="11" t="s">
        <v>36</v>
      </c>
      <c r="Z61" s="11"/>
      <c r="AA61" s="11"/>
      <c r="AB61" s="11" t="str">
        <f t="shared" si="1"/>
        <v/>
      </c>
      <c r="AC61" s="11" t="str">
        <f t="shared" si="2"/>
        <v/>
      </c>
      <c r="AD61" s="11">
        <f t="shared" si="3"/>
        <v>0</v>
      </c>
      <c r="AE61" s="11">
        <f t="shared" si="4"/>
        <v>109</v>
      </c>
      <c r="AF61" s="11" t="str">
        <f t="shared" si="5"/>
        <v>C</v>
      </c>
      <c r="AG61" s="11" t="str">
        <f t="shared" si="6"/>
        <v>C-28</v>
      </c>
      <c r="AH61" s="21"/>
      <c r="AI61" s="21"/>
    </row>
    <row r="62" spans="1:35" ht="15.75" hidden="1" customHeight="1">
      <c r="A62" s="15">
        <v>60</v>
      </c>
      <c r="B62" s="16" t="s">
        <v>114</v>
      </c>
      <c r="C62" s="16" t="s">
        <v>80</v>
      </c>
      <c r="D62" s="17">
        <v>30</v>
      </c>
      <c r="E62" s="18"/>
      <c r="F62" s="18"/>
      <c r="G62" s="18"/>
      <c r="H62" s="19">
        <v>1</v>
      </c>
      <c r="I62" s="17">
        <v>3591</v>
      </c>
      <c r="J62" s="17">
        <v>3613</v>
      </c>
      <c r="K62" s="17">
        <v>22</v>
      </c>
      <c r="L62" s="17">
        <v>22</v>
      </c>
      <c r="M62" s="17">
        <v>22</v>
      </c>
      <c r="N62" s="17">
        <v>0</v>
      </c>
      <c r="O62" s="17">
        <v>0</v>
      </c>
      <c r="P62" s="17">
        <v>3</v>
      </c>
      <c r="Q62" s="17">
        <v>0</v>
      </c>
      <c r="R62" s="19"/>
      <c r="S62" s="20"/>
      <c r="T62" s="13">
        <f t="shared" si="0"/>
        <v>47</v>
      </c>
      <c r="U62" s="18">
        <f ca="1">IFERROR(__xludf.DUMMYFUNCTION("IFERROR(
  SUM(
    FILTER(
      Reporte!$E:$E, 
      REGEXMATCH(Reporte!$A:$A, ""(?i)(TE PAGÓ|PAGASTE)""), 
      Reporte!$H:$H &amp; """" = AG62 &amp; """"
    )
  ), 
  0
)"),47)</f>
        <v>47</v>
      </c>
      <c r="V62" s="18">
        <f ca="1">IFERROR(__xludf.DUMMYFUNCTION("IFERROR(
  SUM(
    FILTER(
      Efectivo!$C:$C, 
      Efectivo!$D:$D &amp; """" = AG62 &amp; """"
    )
  ), 
  0
)"),0)</f>
        <v>0</v>
      </c>
      <c r="W62" s="18" t="s">
        <v>35</v>
      </c>
      <c r="X62" s="18"/>
      <c r="Y62" s="18" t="s">
        <v>36</v>
      </c>
      <c r="Z62" s="18"/>
      <c r="AA62" s="18"/>
      <c r="AB62" s="18" t="str">
        <f t="shared" si="1"/>
        <v/>
      </c>
      <c r="AC62" s="18" t="str">
        <f t="shared" si="2"/>
        <v/>
      </c>
      <c r="AD62" s="11">
        <f t="shared" si="3"/>
        <v>0</v>
      </c>
      <c r="AE62" s="11">
        <f t="shared" si="4"/>
        <v>47</v>
      </c>
      <c r="AF62" s="18" t="str">
        <f t="shared" si="5"/>
        <v>C</v>
      </c>
      <c r="AG62" s="18" t="str">
        <f t="shared" si="6"/>
        <v>C-30</v>
      </c>
      <c r="AH62" s="14"/>
      <c r="AI62" s="14"/>
    </row>
    <row r="63" spans="1:35" ht="15.75" hidden="1" customHeight="1">
      <c r="A63" s="8">
        <v>61</v>
      </c>
      <c r="B63" s="9" t="s">
        <v>115</v>
      </c>
      <c r="C63" s="9" t="s">
        <v>80</v>
      </c>
      <c r="D63" s="10">
        <v>31</v>
      </c>
      <c r="E63" s="11"/>
      <c r="F63" s="11"/>
      <c r="G63" s="11"/>
      <c r="H63" s="12">
        <v>1</v>
      </c>
      <c r="I63" s="10">
        <v>701</v>
      </c>
      <c r="J63" s="10">
        <v>710</v>
      </c>
      <c r="K63" s="10">
        <v>9</v>
      </c>
      <c r="L63" s="10">
        <v>9</v>
      </c>
      <c r="M63" s="10">
        <v>12</v>
      </c>
      <c r="N63" s="10">
        <v>0</v>
      </c>
      <c r="O63" s="10">
        <v>0</v>
      </c>
      <c r="P63" s="10">
        <v>3</v>
      </c>
      <c r="Q63" s="10">
        <v>0</v>
      </c>
      <c r="R63" s="12"/>
      <c r="S63" s="13"/>
      <c r="T63" s="13">
        <f t="shared" si="0"/>
        <v>24</v>
      </c>
      <c r="U63" s="11">
        <f ca="1">IFERROR(__xludf.DUMMYFUNCTION("IFERROR(
  SUM(
    FILTER(
      Reporte!$E:$E, 
      REGEXMATCH(Reporte!$A:$A, ""(?i)(TE PAGÓ|PAGASTE)""), 
      Reporte!$H:$H &amp; """" = AG63 &amp; """"
    )
  ), 
  0
)"),24)</f>
        <v>24</v>
      </c>
      <c r="V63" s="11">
        <f ca="1">IFERROR(__xludf.DUMMYFUNCTION("IFERROR(
  SUM(
    FILTER(
      Efectivo!$C:$C, 
      Efectivo!$D:$D &amp; """" = AG63 &amp; """"
    )
  ), 
  0
)"),0)</f>
        <v>0</v>
      </c>
      <c r="W63" s="11" t="s">
        <v>35</v>
      </c>
      <c r="X63" s="11"/>
      <c r="Y63" s="11" t="s">
        <v>36</v>
      </c>
      <c r="Z63" s="11"/>
      <c r="AA63" s="11"/>
      <c r="AB63" s="11" t="str">
        <f t="shared" si="1"/>
        <v/>
      </c>
      <c r="AC63" s="11" t="str">
        <f t="shared" si="2"/>
        <v/>
      </c>
      <c r="AD63" s="11">
        <f t="shared" si="3"/>
        <v>0</v>
      </c>
      <c r="AE63" s="11">
        <f t="shared" si="4"/>
        <v>24</v>
      </c>
      <c r="AF63" s="11" t="str">
        <f t="shared" si="5"/>
        <v>C</v>
      </c>
      <c r="AG63" s="11" t="str">
        <f t="shared" si="6"/>
        <v>C-31</v>
      </c>
      <c r="AH63" s="21"/>
      <c r="AI63" s="21"/>
    </row>
    <row r="64" spans="1:35" ht="15.75" hidden="1" customHeight="1">
      <c r="A64" s="15">
        <v>62</v>
      </c>
      <c r="B64" s="16" t="s">
        <v>116</v>
      </c>
      <c r="C64" s="16" t="s">
        <v>80</v>
      </c>
      <c r="D64" s="17">
        <v>32</v>
      </c>
      <c r="E64" s="18"/>
      <c r="F64" s="18"/>
      <c r="G64" s="18"/>
      <c r="H64" s="19">
        <v>1</v>
      </c>
      <c r="I64" s="17">
        <v>5</v>
      </c>
      <c r="J64" s="17">
        <v>8</v>
      </c>
      <c r="K64" s="17">
        <v>5</v>
      </c>
      <c r="L64" s="17">
        <v>5</v>
      </c>
      <c r="M64" s="17">
        <v>0</v>
      </c>
      <c r="N64" s="17">
        <v>0</v>
      </c>
      <c r="O64" s="17">
        <v>25</v>
      </c>
      <c r="P64" s="17">
        <v>3</v>
      </c>
      <c r="Q64" s="17">
        <v>0</v>
      </c>
      <c r="R64" s="19"/>
      <c r="S64" s="20"/>
      <c r="T64" s="13">
        <f t="shared" si="0"/>
        <v>33</v>
      </c>
      <c r="U64" s="18">
        <f ca="1">IFERROR(__xludf.DUMMYFUNCTION("IFERROR(
  SUM(
    FILTER(
      Reporte!$E:$E, 
      REGEXMATCH(Reporte!$A:$A, ""(?i)(TE PAGÓ|PAGASTE)""), 
      Reporte!$H:$H &amp; """" = AG64 &amp; """"
    )
  ), 
  0
)"),0)</f>
        <v>0</v>
      </c>
      <c r="V64" s="18">
        <f ca="1">IFERROR(__xludf.DUMMYFUNCTION("IFERROR(
  SUM(
    FILTER(
      Efectivo!$C:$C, 
      Efectivo!$D:$D &amp; """" = AG64 &amp; """"
    )
  ), 
  0
)"),33)</f>
        <v>33</v>
      </c>
      <c r="W64" s="18" t="s">
        <v>35</v>
      </c>
      <c r="X64" s="18"/>
      <c r="Y64" s="18"/>
      <c r="Z64" s="18"/>
      <c r="AA64" s="18"/>
      <c r="AB64" s="18" t="str">
        <f t="shared" si="1"/>
        <v/>
      </c>
      <c r="AC64" s="18" t="str">
        <f t="shared" si="2"/>
        <v/>
      </c>
      <c r="AD64" s="11">
        <f t="shared" si="3"/>
        <v>33</v>
      </c>
      <c r="AE64" s="11">
        <f t="shared" si="4"/>
        <v>0</v>
      </c>
      <c r="AF64" s="18" t="str">
        <f t="shared" si="5"/>
        <v>C</v>
      </c>
      <c r="AG64" s="18" t="str">
        <f t="shared" si="6"/>
        <v>C-32</v>
      </c>
      <c r="AH64" s="14"/>
      <c r="AI64" s="14"/>
    </row>
    <row r="65" spans="1:35" ht="15.75" hidden="1" customHeight="1">
      <c r="A65" s="8">
        <v>63</v>
      </c>
      <c r="B65" s="9" t="s">
        <v>117</v>
      </c>
      <c r="C65" s="9" t="s">
        <v>80</v>
      </c>
      <c r="D65" s="10">
        <v>33</v>
      </c>
      <c r="E65" s="11"/>
      <c r="F65" s="11"/>
      <c r="G65" s="11"/>
      <c r="H65" s="12">
        <v>1</v>
      </c>
      <c r="I65" s="10">
        <v>348</v>
      </c>
      <c r="J65" s="10">
        <v>363</v>
      </c>
      <c r="K65" s="10">
        <v>15</v>
      </c>
      <c r="L65" s="10">
        <v>15</v>
      </c>
      <c r="M65" s="10">
        <v>0</v>
      </c>
      <c r="N65" s="10">
        <v>0</v>
      </c>
      <c r="O65" s="10">
        <v>0</v>
      </c>
      <c r="P65" s="10">
        <v>3</v>
      </c>
      <c r="Q65" s="10">
        <v>0</v>
      </c>
      <c r="R65" s="12"/>
      <c r="S65" s="13"/>
      <c r="T65" s="13">
        <f t="shared" si="0"/>
        <v>18</v>
      </c>
      <c r="U65" s="11">
        <f ca="1">IFERROR(__xludf.DUMMYFUNCTION("IFERROR(
  SUM(
    FILTER(
      Reporte!$E:$E, 
      REGEXMATCH(Reporte!$A:$A, ""(?i)(TE PAGÓ|PAGASTE)""), 
      Reporte!$H:$H &amp; """" = AG65 &amp; """"
    )
  ), 
  0
)"),18)</f>
        <v>18</v>
      </c>
      <c r="V65" s="11">
        <f ca="1">IFERROR(__xludf.DUMMYFUNCTION("IFERROR(
  SUM(
    FILTER(
      Efectivo!$C:$C, 
      Efectivo!$D:$D &amp; """" = AG65 &amp; """"
    )
  ), 
  0
)"),0)</f>
        <v>0</v>
      </c>
      <c r="W65" s="11" t="s">
        <v>35</v>
      </c>
      <c r="X65" s="11"/>
      <c r="Y65" s="11" t="s">
        <v>36</v>
      </c>
      <c r="Z65" s="11"/>
      <c r="AA65" s="11"/>
      <c r="AB65" s="11" t="str">
        <f t="shared" si="1"/>
        <v/>
      </c>
      <c r="AC65" s="11" t="str">
        <f t="shared" si="2"/>
        <v/>
      </c>
      <c r="AD65" s="11">
        <f t="shared" si="3"/>
        <v>0</v>
      </c>
      <c r="AE65" s="11">
        <f t="shared" si="4"/>
        <v>18</v>
      </c>
      <c r="AF65" s="11" t="str">
        <f t="shared" si="5"/>
        <v>C</v>
      </c>
      <c r="AG65" s="11" t="str">
        <f t="shared" si="6"/>
        <v>C-33</v>
      </c>
      <c r="AH65" s="21"/>
      <c r="AI65" s="21"/>
    </row>
    <row r="66" spans="1:35" ht="15.75" hidden="1" customHeight="1">
      <c r="A66" s="15">
        <v>64</v>
      </c>
      <c r="B66" s="16" t="s">
        <v>118</v>
      </c>
      <c r="C66" s="16" t="s">
        <v>80</v>
      </c>
      <c r="D66" s="17">
        <v>34</v>
      </c>
      <c r="E66" s="18" t="s">
        <v>80</v>
      </c>
      <c r="F66" s="18"/>
      <c r="G66" s="18"/>
      <c r="H66" s="19">
        <v>1</v>
      </c>
      <c r="I66" s="17">
        <v>23</v>
      </c>
      <c r="J66" s="17">
        <v>28</v>
      </c>
      <c r="K66" s="17">
        <v>5</v>
      </c>
      <c r="L66" s="17">
        <v>5</v>
      </c>
      <c r="M66" s="17">
        <v>0</v>
      </c>
      <c r="N66" s="17">
        <v>0</v>
      </c>
      <c r="O66" s="17">
        <v>0</v>
      </c>
      <c r="P66" s="17">
        <v>3</v>
      </c>
      <c r="Q66" s="17">
        <v>0</v>
      </c>
      <c r="R66" s="19"/>
      <c r="S66" s="20"/>
      <c r="T66" s="13">
        <f t="shared" si="0"/>
        <v>8</v>
      </c>
      <c r="U66" s="18">
        <f ca="1">IFERROR(__xludf.DUMMYFUNCTION("IFERROR(
  SUM(
    FILTER(
      Reporte!$E:$E, 
      REGEXMATCH(Reporte!$A:$A, ""(?i)(TE PAGÓ|PAGASTE)""), 
      Reporte!$H:$H &amp; """" = AG66 &amp; """"
    )
  ), 
  0
)"),8)</f>
        <v>8</v>
      </c>
      <c r="V66" s="18">
        <f ca="1">IFERROR(__xludf.DUMMYFUNCTION("IFERROR(
  SUM(
    FILTER(
      Efectivo!$C:$C, 
      Efectivo!$D:$D &amp; """" = AG66 &amp; """"
    )
  ), 
  0
)"),0)</f>
        <v>0</v>
      </c>
      <c r="W66" s="18" t="s">
        <v>35</v>
      </c>
      <c r="X66" s="18"/>
      <c r="Y66" s="18" t="s">
        <v>36</v>
      </c>
      <c r="Z66" s="18"/>
      <c r="AA66" s="18"/>
      <c r="AB66" s="18" t="str">
        <f t="shared" si="1"/>
        <v/>
      </c>
      <c r="AC66" s="18" t="str">
        <f t="shared" si="2"/>
        <v/>
      </c>
      <c r="AD66" s="11">
        <f t="shared" si="3"/>
        <v>0</v>
      </c>
      <c r="AE66" s="11">
        <f t="shared" si="4"/>
        <v>8</v>
      </c>
      <c r="AF66" s="18" t="str">
        <f t="shared" si="5"/>
        <v>C</v>
      </c>
      <c r="AG66" s="18" t="str">
        <f t="shared" si="6"/>
        <v>C-34</v>
      </c>
      <c r="AH66" s="14"/>
      <c r="AI66" s="14"/>
    </row>
    <row r="67" spans="1:35" ht="15.75" hidden="1" customHeight="1">
      <c r="A67" s="8">
        <v>65</v>
      </c>
      <c r="B67" s="9" t="s">
        <v>119</v>
      </c>
      <c r="C67" s="9" t="s">
        <v>80</v>
      </c>
      <c r="D67" s="10">
        <v>35</v>
      </c>
      <c r="E67" s="11"/>
      <c r="F67" s="11"/>
      <c r="G67" s="11"/>
      <c r="H67" s="12">
        <v>1</v>
      </c>
      <c r="I67" s="10">
        <v>634</v>
      </c>
      <c r="J67" s="10">
        <v>651</v>
      </c>
      <c r="K67" s="10">
        <v>17</v>
      </c>
      <c r="L67" s="10">
        <v>17</v>
      </c>
      <c r="M67" s="10">
        <v>0</v>
      </c>
      <c r="N67" s="10">
        <v>0</v>
      </c>
      <c r="O67" s="10">
        <v>300</v>
      </c>
      <c r="P67" s="10">
        <v>3</v>
      </c>
      <c r="Q67" s="10">
        <v>10</v>
      </c>
      <c r="R67" s="12"/>
      <c r="S67" s="13"/>
      <c r="T67" s="13">
        <f t="shared" si="0"/>
        <v>330</v>
      </c>
      <c r="U67" s="11">
        <f ca="1">IFERROR(__xludf.DUMMYFUNCTION("IFERROR(
  SUM(
    FILTER(
      Reporte!$E:$E, 
      REGEXMATCH(Reporte!$A:$A, ""(?i)(TE PAGÓ|PAGASTE)""), 
      Reporte!$H:$H &amp; """" = AG67 &amp; """"
    )
  ), 
  0
)"),0)</f>
        <v>0</v>
      </c>
      <c r="V67" s="11">
        <f ca="1">IFERROR(__xludf.DUMMYFUNCTION("IFERROR(
  SUM(
    FILTER(
      Efectivo!$C:$C, 
      Efectivo!$D:$D &amp; """" = AG67 &amp; """"
    )
  ), 
  0
)"),0)</f>
        <v>0</v>
      </c>
      <c r="W67" s="11"/>
      <c r="X67" s="11"/>
      <c r="Y67" s="11"/>
      <c r="Z67" s="11"/>
      <c r="AA67" s="11"/>
      <c r="AB67" s="11" t="str">
        <f t="shared" si="1"/>
        <v/>
      </c>
      <c r="AC67" s="11" t="str">
        <f t="shared" si="2"/>
        <v>CORTE</v>
      </c>
      <c r="AD67" s="11">
        <f t="shared" si="3"/>
        <v>0</v>
      </c>
      <c r="AE67" s="11">
        <f t="shared" si="4"/>
        <v>0</v>
      </c>
      <c r="AF67" s="11" t="str">
        <f t="shared" si="5"/>
        <v>C</v>
      </c>
      <c r="AG67" s="11" t="str">
        <f t="shared" si="6"/>
        <v>C-35</v>
      </c>
      <c r="AH67" s="21"/>
      <c r="AI67" s="21"/>
    </row>
    <row r="68" spans="1:35" ht="15.75" hidden="1" customHeight="1">
      <c r="A68" s="15">
        <v>66</v>
      </c>
      <c r="B68" s="16" t="s">
        <v>120</v>
      </c>
      <c r="C68" s="16" t="s">
        <v>80</v>
      </c>
      <c r="D68" s="17">
        <v>36</v>
      </c>
      <c r="E68" s="18"/>
      <c r="F68" s="18"/>
      <c r="G68" s="18"/>
      <c r="H68" s="19">
        <v>1</v>
      </c>
      <c r="I68" s="17">
        <v>271</v>
      </c>
      <c r="J68" s="17">
        <v>275</v>
      </c>
      <c r="K68" s="17">
        <v>5</v>
      </c>
      <c r="L68" s="17">
        <v>5</v>
      </c>
      <c r="M68" s="17">
        <v>0</v>
      </c>
      <c r="N68" s="17">
        <v>0</v>
      </c>
      <c r="O68" s="17">
        <v>0</v>
      </c>
      <c r="P68" s="17">
        <v>3</v>
      </c>
      <c r="Q68" s="17">
        <v>0</v>
      </c>
      <c r="R68" s="19"/>
      <c r="S68" s="20"/>
      <c r="T68" s="13">
        <f t="shared" si="0"/>
        <v>8</v>
      </c>
      <c r="U68" s="18">
        <f ca="1">IFERROR(__xludf.DUMMYFUNCTION("IFERROR(
  SUM(
    FILTER(
      Reporte!$E:$E, 
      REGEXMATCH(Reporte!$A:$A, ""(?i)(TE PAGÓ|PAGASTE)""), 
      Reporte!$H:$H &amp; """" = AG68 &amp; """"
    )
  ), 
  0
)"),8)</f>
        <v>8</v>
      </c>
      <c r="V68" s="18">
        <f ca="1">IFERROR(__xludf.DUMMYFUNCTION("IFERROR(
  SUM(
    FILTER(
      Efectivo!$C:$C, 
      Efectivo!$D:$D &amp; """" = AG68 &amp; """"
    )
  ), 
  0
)"),0)</f>
        <v>0</v>
      </c>
      <c r="W68" s="18" t="s">
        <v>35</v>
      </c>
      <c r="X68" s="18"/>
      <c r="Y68" s="18" t="s">
        <v>36</v>
      </c>
      <c r="Z68" s="18"/>
      <c r="AA68" s="18"/>
      <c r="AB68" s="18" t="str">
        <f t="shared" si="1"/>
        <v/>
      </c>
      <c r="AC68" s="18" t="str">
        <f t="shared" si="2"/>
        <v/>
      </c>
      <c r="AD68" s="11">
        <f t="shared" si="3"/>
        <v>0</v>
      </c>
      <c r="AE68" s="11">
        <f t="shared" si="4"/>
        <v>8</v>
      </c>
      <c r="AF68" s="18" t="str">
        <f t="shared" si="5"/>
        <v>C</v>
      </c>
      <c r="AG68" s="18" t="str">
        <f t="shared" si="6"/>
        <v>C-36</v>
      </c>
      <c r="AH68" s="14"/>
      <c r="AI68" s="14"/>
    </row>
    <row r="69" spans="1:35" ht="15.75" hidden="1" customHeight="1">
      <c r="A69" s="8">
        <v>67</v>
      </c>
      <c r="B69" s="9" t="s">
        <v>121</v>
      </c>
      <c r="C69" s="9" t="s">
        <v>80</v>
      </c>
      <c r="D69" s="10">
        <v>37</v>
      </c>
      <c r="E69" s="11"/>
      <c r="F69" s="11"/>
      <c r="G69" s="11"/>
      <c r="H69" s="12">
        <v>1</v>
      </c>
      <c r="I69" s="10">
        <v>296</v>
      </c>
      <c r="J69" s="10">
        <v>304</v>
      </c>
      <c r="K69" s="10">
        <v>8</v>
      </c>
      <c r="L69" s="10">
        <v>8</v>
      </c>
      <c r="M69" s="10">
        <v>0</v>
      </c>
      <c r="N69" s="10">
        <v>0</v>
      </c>
      <c r="O69" s="10">
        <v>0</v>
      </c>
      <c r="P69" s="10">
        <v>3</v>
      </c>
      <c r="Q69" s="10">
        <v>0</v>
      </c>
      <c r="R69" s="12"/>
      <c r="S69" s="13"/>
      <c r="T69" s="13">
        <f t="shared" si="0"/>
        <v>11</v>
      </c>
      <c r="U69" s="11">
        <f ca="1">IFERROR(__xludf.DUMMYFUNCTION("IFERROR(
  SUM(
    FILTER(
      Reporte!$E:$E, 
      REGEXMATCH(Reporte!$A:$A, ""(?i)(TE PAGÓ|PAGASTE)""), 
      Reporte!$H:$H &amp; """" = AG69 &amp; """"
    )
  ), 
  0
)"),0)</f>
        <v>0</v>
      </c>
      <c r="V69" s="11">
        <f ca="1">IFERROR(__xludf.DUMMYFUNCTION("IFERROR(
  SUM(
    FILTER(
      Efectivo!$C:$C, 
      Efectivo!$D:$D &amp; """" = AG69 &amp; """"
    )
  ), 
  0
)"),11)</f>
        <v>11</v>
      </c>
      <c r="W69" s="11" t="s">
        <v>35</v>
      </c>
      <c r="X69" s="11"/>
      <c r="Y69" s="11"/>
      <c r="Z69" s="11"/>
      <c r="AA69" s="11"/>
      <c r="AB69" s="11" t="str">
        <f t="shared" si="1"/>
        <v/>
      </c>
      <c r="AC69" s="11" t="str">
        <f t="shared" si="2"/>
        <v/>
      </c>
      <c r="AD69" s="11">
        <f t="shared" si="3"/>
        <v>11</v>
      </c>
      <c r="AE69" s="11">
        <f t="shared" si="4"/>
        <v>0</v>
      </c>
      <c r="AF69" s="11" t="str">
        <f t="shared" si="5"/>
        <v>C</v>
      </c>
      <c r="AG69" s="11" t="str">
        <f t="shared" si="6"/>
        <v>C-37</v>
      </c>
      <c r="AH69" s="21"/>
      <c r="AI69" s="21"/>
    </row>
    <row r="70" spans="1:35" ht="15.75" hidden="1" customHeight="1">
      <c r="A70" s="15">
        <v>68</v>
      </c>
      <c r="B70" s="16" t="s">
        <v>122</v>
      </c>
      <c r="C70" s="16" t="s">
        <v>80</v>
      </c>
      <c r="D70" s="17">
        <v>42</v>
      </c>
      <c r="E70" s="18" t="s">
        <v>78</v>
      </c>
      <c r="F70" s="18"/>
      <c r="G70" s="18"/>
      <c r="H70" s="19">
        <v>1</v>
      </c>
      <c r="I70" s="17">
        <v>327</v>
      </c>
      <c r="J70" s="17">
        <v>341</v>
      </c>
      <c r="K70" s="17">
        <v>14</v>
      </c>
      <c r="L70" s="17">
        <v>14</v>
      </c>
      <c r="M70" s="17">
        <v>18</v>
      </c>
      <c r="N70" s="17">
        <v>0</v>
      </c>
      <c r="O70" s="17">
        <v>0</v>
      </c>
      <c r="P70" s="17">
        <v>3</v>
      </c>
      <c r="Q70" s="17">
        <v>0</v>
      </c>
      <c r="R70" s="19"/>
      <c r="S70" s="20"/>
      <c r="T70" s="13">
        <f t="shared" si="0"/>
        <v>35</v>
      </c>
      <c r="U70" s="18">
        <f ca="1">IFERROR(__xludf.DUMMYFUNCTION("IFERROR(
  SUM(
    FILTER(
      Reporte!$E:$E, 
      REGEXMATCH(Reporte!$A:$A, ""(?i)(TE PAGÓ|PAGASTE)""), 
      Reporte!$H:$H &amp; """" = AG70 &amp; """"
    )
  ), 
  0
)"),0)</f>
        <v>0</v>
      </c>
      <c r="V70" s="18">
        <f ca="1">IFERROR(__xludf.DUMMYFUNCTION("IFERROR(
  SUM(
    FILTER(
      Efectivo!$C:$C, 
      Efectivo!$D:$D &amp; """" = AG70 &amp; """"
    )
  ), 
  0
)"),35)</f>
        <v>35</v>
      </c>
      <c r="W70" s="18" t="s">
        <v>35</v>
      </c>
      <c r="X70" s="18"/>
      <c r="Y70" s="18"/>
      <c r="Z70" s="18"/>
      <c r="AA70" s="18"/>
      <c r="AB70" s="18" t="str">
        <f t="shared" si="1"/>
        <v/>
      </c>
      <c r="AC70" s="18" t="str">
        <f t="shared" si="2"/>
        <v/>
      </c>
      <c r="AD70" s="11">
        <f t="shared" si="3"/>
        <v>35</v>
      </c>
      <c r="AE70" s="11">
        <f t="shared" si="4"/>
        <v>0</v>
      </c>
      <c r="AF70" s="18" t="str">
        <f t="shared" si="5"/>
        <v>C</v>
      </c>
      <c r="AG70" s="18" t="str">
        <f t="shared" si="6"/>
        <v>C-42</v>
      </c>
      <c r="AH70" s="14"/>
      <c r="AI70" s="14"/>
    </row>
    <row r="71" spans="1:35" ht="15.75" hidden="1" customHeight="1">
      <c r="A71" s="8">
        <v>69</v>
      </c>
      <c r="B71" s="9" t="s">
        <v>123</v>
      </c>
      <c r="C71" s="9" t="s">
        <v>80</v>
      </c>
      <c r="D71" s="10">
        <v>45</v>
      </c>
      <c r="E71" s="11"/>
      <c r="F71" s="11"/>
      <c r="G71" s="11"/>
      <c r="H71" s="12">
        <v>1</v>
      </c>
      <c r="I71" s="10">
        <v>0</v>
      </c>
      <c r="J71" s="10">
        <v>0</v>
      </c>
      <c r="K71" s="10">
        <v>5</v>
      </c>
      <c r="L71" s="10">
        <v>5</v>
      </c>
      <c r="M71" s="10">
        <v>0</v>
      </c>
      <c r="N71" s="10">
        <v>0</v>
      </c>
      <c r="O71" s="10">
        <v>346</v>
      </c>
      <c r="P71" s="10">
        <v>3</v>
      </c>
      <c r="Q71" s="10">
        <v>0</v>
      </c>
      <c r="R71" s="12"/>
      <c r="S71" s="13"/>
      <c r="T71" s="13">
        <f t="shared" si="0"/>
        <v>354</v>
      </c>
      <c r="U71" s="11">
        <f ca="1">IFERROR(__xludf.DUMMYFUNCTION("IFERROR(
  SUM(
    FILTER(
      Reporte!$E:$E, 
      REGEXMATCH(Reporte!$A:$A, ""(?i)(TE PAGÓ|PAGASTE)""), 
      Reporte!$H:$H &amp; """" = AG71 &amp; """"
    )
  ), 
  0
)"),0)</f>
        <v>0</v>
      </c>
      <c r="V71" s="11">
        <f ca="1">IFERROR(__xludf.DUMMYFUNCTION("IFERROR(
  SUM(
    FILTER(
      Efectivo!$C:$C, 
      Efectivo!$D:$D &amp; """" = AG71 &amp; """"
    )
  ), 
  0
)"),0)</f>
        <v>0</v>
      </c>
      <c r="W71" s="11"/>
      <c r="X71" s="11"/>
      <c r="Y71" s="11"/>
      <c r="Z71" s="11"/>
      <c r="AA71" s="11"/>
      <c r="AB71" s="11" t="str">
        <f t="shared" si="1"/>
        <v/>
      </c>
      <c r="AC71" s="11" t="str">
        <f t="shared" si="2"/>
        <v/>
      </c>
      <c r="AD71" s="11">
        <f t="shared" si="3"/>
        <v>0</v>
      </c>
      <c r="AE71" s="11">
        <f t="shared" si="4"/>
        <v>0</v>
      </c>
      <c r="AF71" s="11" t="str">
        <f t="shared" si="5"/>
        <v>C</v>
      </c>
      <c r="AG71" s="11" t="str">
        <f t="shared" si="6"/>
        <v>C-45</v>
      </c>
      <c r="AH71" s="21"/>
      <c r="AI71" s="21"/>
    </row>
    <row r="72" spans="1:35" ht="15.75" hidden="1" customHeight="1">
      <c r="A72" s="15">
        <v>70</v>
      </c>
      <c r="B72" s="16" t="s">
        <v>124</v>
      </c>
      <c r="C72" s="16" t="s">
        <v>125</v>
      </c>
      <c r="D72" s="17">
        <v>1</v>
      </c>
      <c r="E72" s="18"/>
      <c r="F72" s="18"/>
      <c r="G72" s="18"/>
      <c r="H72" s="19">
        <v>1</v>
      </c>
      <c r="I72" s="17">
        <v>13</v>
      </c>
      <c r="J72" s="17">
        <v>23</v>
      </c>
      <c r="K72" s="17">
        <v>10</v>
      </c>
      <c r="L72" s="17">
        <v>10</v>
      </c>
      <c r="M72" s="17">
        <v>0</v>
      </c>
      <c r="N72" s="17">
        <v>0</v>
      </c>
      <c r="O72" s="17">
        <v>25</v>
      </c>
      <c r="P72" s="17">
        <v>3</v>
      </c>
      <c r="Q72" s="17">
        <v>0</v>
      </c>
      <c r="R72" s="19"/>
      <c r="S72" s="20"/>
      <c r="T72" s="13">
        <f t="shared" si="0"/>
        <v>38</v>
      </c>
      <c r="U72" s="18">
        <f ca="1">IFERROR(__xludf.DUMMYFUNCTION("IFERROR(
  SUM(
    FILTER(
      Reporte!$E:$E, 
      REGEXMATCH(Reporte!$A:$A, ""(?i)(TE PAGÓ|PAGASTE)""), 
      Reporte!$H:$H &amp; """" = AG72 &amp; """"
    )
  ), 
  0
)"),38)</f>
        <v>38</v>
      </c>
      <c r="V72" s="18">
        <f ca="1">IFERROR(__xludf.DUMMYFUNCTION("IFERROR(
  SUM(
    FILTER(
      Efectivo!$C:$C, 
      Efectivo!$D:$D &amp; """" = AG72 &amp; """"
    )
  ), 
  0
)"),0)</f>
        <v>0</v>
      </c>
      <c r="W72" s="18" t="s">
        <v>35</v>
      </c>
      <c r="X72" s="18"/>
      <c r="Y72" s="18" t="s">
        <v>36</v>
      </c>
      <c r="Z72" s="18"/>
      <c r="AA72" s="18"/>
      <c r="AB72" s="18" t="str">
        <f t="shared" si="1"/>
        <v/>
      </c>
      <c r="AC72" s="18" t="str">
        <f t="shared" si="2"/>
        <v/>
      </c>
      <c r="AD72" s="11">
        <f t="shared" si="3"/>
        <v>0</v>
      </c>
      <c r="AE72" s="11">
        <f t="shared" si="4"/>
        <v>38</v>
      </c>
      <c r="AF72" s="18" t="str">
        <f t="shared" si="5"/>
        <v>D</v>
      </c>
      <c r="AG72" s="18" t="str">
        <f t="shared" si="6"/>
        <v>D-1</v>
      </c>
      <c r="AH72" s="14"/>
      <c r="AI72" s="14"/>
    </row>
    <row r="73" spans="1:35" ht="15.75" hidden="1" customHeight="1">
      <c r="A73" s="8">
        <v>71</v>
      </c>
      <c r="B73" s="9" t="s">
        <v>126</v>
      </c>
      <c r="C73" s="9" t="s">
        <v>125</v>
      </c>
      <c r="D73" s="10">
        <v>2</v>
      </c>
      <c r="E73" s="11"/>
      <c r="F73" s="11"/>
      <c r="G73" s="11"/>
      <c r="H73" s="12">
        <v>1</v>
      </c>
      <c r="I73" s="10">
        <v>2303</v>
      </c>
      <c r="J73" s="10">
        <v>2315</v>
      </c>
      <c r="K73" s="10">
        <v>12</v>
      </c>
      <c r="L73" s="10">
        <v>12</v>
      </c>
      <c r="M73" s="10">
        <v>0</v>
      </c>
      <c r="N73" s="10">
        <v>0</v>
      </c>
      <c r="O73" s="10">
        <v>0</v>
      </c>
      <c r="P73" s="10">
        <v>3</v>
      </c>
      <c r="Q73" s="10">
        <v>0</v>
      </c>
      <c r="R73" s="12"/>
      <c r="S73" s="13"/>
      <c r="T73" s="13">
        <f t="shared" si="0"/>
        <v>15</v>
      </c>
      <c r="U73" s="11">
        <f ca="1">IFERROR(__xludf.DUMMYFUNCTION("IFERROR(
  SUM(
    FILTER(
      Reporte!$E:$E, 
      REGEXMATCH(Reporte!$A:$A, ""(?i)(TE PAGÓ|PAGASTE)""), 
      Reporte!$H:$H &amp; """" = AG73 &amp; """"
    )
  ), 
  0
)"),15)</f>
        <v>15</v>
      </c>
      <c r="V73" s="11">
        <f ca="1">IFERROR(__xludf.DUMMYFUNCTION("IFERROR(
  SUM(
    FILTER(
      Efectivo!$C:$C, 
      Efectivo!$D:$D &amp; """" = AG73 &amp; """"
    )
  ), 
  0
)"),0)</f>
        <v>0</v>
      </c>
      <c r="W73" s="11" t="s">
        <v>35</v>
      </c>
      <c r="X73" s="11"/>
      <c r="Y73" s="11" t="s">
        <v>36</v>
      </c>
      <c r="Z73" s="11"/>
      <c r="AA73" s="11"/>
      <c r="AB73" s="11" t="str">
        <f t="shared" si="1"/>
        <v/>
      </c>
      <c r="AC73" s="11" t="str">
        <f t="shared" si="2"/>
        <v/>
      </c>
      <c r="AD73" s="11">
        <f t="shared" si="3"/>
        <v>0</v>
      </c>
      <c r="AE73" s="11">
        <f t="shared" si="4"/>
        <v>15</v>
      </c>
      <c r="AF73" s="11" t="str">
        <f t="shared" si="5"/>
        <v>D</v>
      </c>
      <c r="AG73" s="11" t="str">
        <f t="shared" si="6"/>
        <v>D-2</v>
      </c>
      <c r="AH73" s="21"/>
      <c r="AI73" s="21"/>
    </row>
    <row r="74" spans="1:35" ht="15.75" hidden="1" customHeight="1">
      <c r="A74" s="15">
        <v>72</v>
      </c>
      <c r="B74" s="16" t="s">
        <v>127</v>
      </c>
      <c r="C74" s="16" t="s">
        <v>125</v>
      </c>
      <c r="D74" s="17">
        <v>3</v>
      </c>
      <c r="E74" s="18"/>
      <c r="F74" s="18"/>
      <c r="G74" s="18"/>
      <c r="H74" s="19">
        <v>1</v>
      </c>
      <c r="I74" s="17">
        <v>16</v>
      </c>
      <c r="J74" s="17">
        <v>28</v>
      </c>
      <c r="K74" s="17">
        <v>12</v>
      </c>
      <c r="L74" s="17">
        <v>12</v>
      </c>
      <c r="M74" s="17">
        <v>0</v>
      </c>
      <c r="N74" s="17">
        <v>0</v>
      </c>
      <c r="O74" s="17">
        <v>25</v>
      </c>
      <c r="P74" s="17">
        <v>3</v>
      </c>
      <c r="Q74" s="17">
        <v>0</v>
      </c>
      <c r="R74" s="19"/>
      <c r="S74" s="20"/>
      <c r="T74" s="13">
        <f t="shared" si="0"/>
        <v>40</v>
      </c>
      <c r="U74" s="18">
        <f ca="1">IFERROR(__xludf.DUMMYFUNCTION("IFERROR(
  SUM(
    FILTER(
      Reporte!$E:$E, 
      REGEXMATCH(Reporte!$A:$A, ""(?i)(TE PAGÓ|PAGASTE)""), 
      Reporte!$H:$H &amp; """" = AG74 &amp; """"
    )
  ), 
  0
)"),40)</f>
        <v>40</v>
      </c>
      <c r="V74" s="18">
        <f ca="1">IFERROR(__xludf.DUMMYFUNCTION("IFERROR(
  SUM(
    FILTER(
      Efectivo!$C:$C, 
      Efectivo!$D:$D &amp; """" = AG74 &amp; """"
    )
  ), 
  0
)"),0)</f>
        <v>0</v>
      </c>
      <c r="W74" s="18" t="s">
        <v>35</v>
      </c>
      <c r="X74" s="18"/>
      <c r="Y74" s="18" t="s">
        <v>36</v>
      </c>
      <c r="Z74" s="18"/>
      <c r="AA74" s="18"/>
      <c r="AB74" s="18" t="str">
        <f t="shared" si="1"/>
        <v/>
      </c>
      <c r="AC74" s="18" t="str">
        <f t="shared" si="2"/>
        <v/>
      </c>
      <c r="AD74" s="11">
        <f t="shared" si="3"/>
        <v>0</v>
      </c>
      <c r="AE74" s="11">
        <f t="shared" si="4"/>
        <v>40</v>
      </c>
      <c r="AF74" s="18" t="str">
        <f t="shared" si="5"/>
        <v>D</v>
      </c>
      <c r="AG74" s="18" t="str">
        <f t="shared" si="6"/>
        <v>D-3</v>
      </c>
      <c r="AH74" s="14"/>
      <c r="AI74" s="14"/>
    </row>
    <row r="75" spans="1:35" ht="15.75" hidden="1" customHeight="1">
      <c r="A75" s="8">
        <v>73</v>
      </c>
      <c r="B75" s="9" t="s">
        <v>128</v>
      </c>
      <c r="C75" s="9" t="s">
        <v>125</v>
      </c>
      <c r="D75" s="10">
        <v>4</v>
      </c>
      <c r="E75" s="11"/>
      <c r="F75" s="11"/>
      <c r="G75" s="11"/>
      <c r="H75" s="12">
        <v>1</v>
      </c>
      <c r="I75" s="10">
        <v>368</v>
      </c>
      <c r="J75" s="10">
        <v>387</v>
      </c>
      <c r="K75" s="10">
        <v>19</v>
      </c>
      <c r="L75" s="10">
        <v>19</v>
      </c>
      <c r="M75" s="10">
        <v>0</v>
      </c>
      <c r="N75" s="10">
        <v>0</v>
      </c>
      <c r="O75" s="10">
        <v>0</v>
      </c>
      <c r="P75" s="10">
        <v>3</v>
      </c>
      <c r="Q75" s="10">
        <v>0</v>
      </c>
      <c r="R75" s="12"/>
      <c r="S75" s="13"/>
      <c r="T75" s="13">
        <f t="shared" si="0"/>
        <v>22</v>
      </c>
      <c r="U75" s="11">
        <f ca="1">IFERROR(__xludf.DUMMYFUNCTION("IFERROR(
  SUM(
    FILTER(
      Reporte!$E:$E, 
      REGEXMATCH(Reporte!$A:$A, ""(?i)(TE PAGÓ|PAGASTE)""), 
      Reporte!$H:$H &amp; """" = AG75 &amp; """"
    )
  ), 
  0
)"),22)</f>
        <v>22</v>
      </c>
      <c r="V75" s="11">
        <f ca="1">IFERROR(__xludf.DUMMYFUNCTION("IFERROR(
  SUM(
    FILTER(
      Efectivo!$C:$C, 
      Efectivo!$D:$D &amp; """" = AG75 &amp; """"
    )
  ), 
  0
)"),0)</f>
        <v>0</v>
      </c>
      <c r="W75" s="11" t="s">
        <v>35</v>
      </c>
      <c r="X75" s="11"/>
      <c r="Y75" s="11" t="s">
        <v>36</v>
      </c>
      <c r="Z75" s="11"/>
      <c r="AA75" s="11"/>
      <c r="AB75" s="11" t="str">
        <f t="shared" si="1"/>
        <v/>
      </c>
      <c r="AC75" s="11" t="str">
        <f t="shared" si="2"/>
        <v/>
      </c>
      <c r="AD75" s="11">
        <f t="shared" si="3"/>
        <v>0</v>
      </c>
      <c r="AE75" s="11">
        <f t="shared" si="4"/>
        <v>22</v>
      </c>
      <c r="AF75" s="11" t="str">
        <f t="shared" si="5"/>
        <v>D</v>
      </c>
      <c r="AG75" s="11" t="str">
        <f t="shared" si="6"/>
        <v>D-4</v>
      </c>
      <c r="AH75" s="21"/>
      <c r="AI75" s="21"/>
    </row>
    <row r="76" spans="1:35" ht="15.75" hidden="1" customHeight="1">
      <c r="A76" s="15">
        <v>74</v>
      </c>
      <c r="B76" s="16" t="s">
        <v>129</v>
      </c>
      <c r="C76" s="16" t="s">
        <v>125</v>
      </c>
      <c r="D76" s="17">
        <v>5</v>
      </c>
      <c r="E76" s="18"/>
      <c r="F76" s="18"/>
      <c r="G76" s="18"/>
      <c r="H76" s="19">
        <v>1</v>
      </c>
      <c r="I76" s="17">
        <v>609</v>
      </c>
      <c r="J76" s="17">
        <v>637</v>
      </c>
      <c r="K76" s="17">
        <v>28</v>
      </c>
      <c r="L76" s="17">
        <v>28</v>
      </c>
      <c r="M76" s="17">
        <v>0</v>
      </c>
      <c r="N76" s="17">
        <v>0</v>
      </c>
      <c r="O76" s="17">
        <v>0</v>
      </c>
      <c r="P76" s="17">
        <v>3</v>
      </c>
      <c r="Q76" s="17">
        <v>0</v>
      </c>
      <c r="R76" s="19"/>
      <c r="S76" s="20"/>
      <c r="T76" s="13">
        <f t="shared" si="0"/>
        <v>31</v>
      </c>
      <c r="U76" s="18">
        <f ca="1">IFERROR(__xludf.DUMMYFUNCTION("IFERROR(
  SUM(
    FILTER(
      Reporte!$E:$E, 
      REGEXMATCH(Reporte!$A:$A, ""(?i)(TE PAGÓ|PAGASTE)""), 
      Reporte!$H:$H &amp; """" = AG76 &amp; """"
    )
  ), 
  0
)"),0)</f>
        <v>0</v>
      </c>
      <c r="V76" s="18">
        <f ca="1">IFERROR(__xludf.DUMMYFUNCTION("IFERROR(
  SUM(
    FILTER(
      Efectivo!$C:$C, 
      Efectivo!$D:$D &amp; """" = AG76 &amp; """"
    )
  ), 
  0
)"),31)</f>
        <v>31</v>
      </c>
      <c r="W76" s="18" t="s">
        <v>35</v>
      </c>
      <c r="X76" s="18"/>
      <c r="Y76" s="18"/>
      <c r="Z76" s="18"/>
      <c r="AA76" s="18"/>
      <c r="AB76" s="18" t="str">
        <f t="shared" si="1"/>
        <v/>
      </c>
      <c r="AC76" s="18" t="str">
        <f t="shared" si="2"/>
        <v/>
      </c>
      <c r="AD76" s="11">
        <f t="shared" si="3"/>
        <v>31</v>
      </c>
      <c r="AE76" s="11">
        <f t="shared" si="4"/>
        <v>0</v>
      </c>
      <c r="AF76" s="18" t="str">
        <f t="shared" si="5"/>
        <v>D</v>
      </c>
      <c r="AG76" s="18" t="str">
        <f t="shared" si="6"/>
        <v>D-5</v>
      </c>
      <c r="AH76" s="14"/>
      <c r="AI76" s="14"/>
    </row>
    <row r="77" spans="1:35" ht="15.75" hidden="1" customHeight="1">
      <c r="A77" s="8">
        <v>75</v>
      </c>
      <c r="B77" s="9" t="s">
        <v>130</v>
      </c>
      <c r="C77" s="9" t="s">
        <v>125</v>
      </c>
      <c r="D77" s="10">
        <v>6</v>
      </c>
      <c r="E77" s="11"/>
      <c r="F77" s="12">
        <v>1</v>
      </c>
      <c r="G77" s="11"/>
      <c r="H77" s="12">
        <v>1</v>
      </c>
      <c r="I77" s="10">
        <v>99</v>
      </c>
      <c r="J77" s="10">
        <v>179</v>
      </c>
      <c r="K77" s="10">
        <v>80</v>
      </c>
      <c r="L77" s="10">
        <v>80</v>
      </c>
      <c r="M77" s="10">
        <v>0</v>
      </c>
      <c r="N77" s="10">
        <v>0</v>
      </c>
      <c r="O77" s="10">
        <v>25</v>
      </c>
      <c r="P77" s="10">
        <v>3</v>
      </c>
      <c r="Q77" s="10">
        <v>0</v>
      </c>
      <c r="R77" s="12"/>
      <c r="S77" s="13"/>
      <c r="T77" s="13">
        <f t="shared" si="0"/>
        <v>108</v>
      </c>
      <c r="U77" s="11">
        <f ca="1">IFERROR(__xludf.DUMMYFUNCTION("IFERROR(
  SUM(
    FILTER(
      Reporte!$E:$E, 
      REGEXMATCH(Reporte!$A:$A, ""(?i)(TE PAGÓ|PAGASTE)""), 
      Reporte!$H:$H &amp; """" = AG77 &amp; """"
    )
  ), 
  0
)"),108)</f>
        <v>108</v>
      </c>
      <c r="V77" s="11">
        <f ca="1">IFERROR(__xludf.DUMMYFUNCTION("IFERROR(
  SUM(
    FILTER(
      Efectivo!$C:$C, 
      Efectivo!$D:$D &amp; """" = AG77 &amp; """"
    )
  ), 
  0
)"),0)</f>
        <v>0</v>
      </c>
      <c r="W77" s="11" t="s">
        <v>35</v>
      </c>
      <c r="X77" s="11"/>
      <c r="Y77" s="11" t="s">
        <v>36</v>
      </c>
      <c r="Z77" s="11"/>
      <c r="AA77" s="11"/>
      <c r="AB77" s="11" t="str">
        <f t="shared" si="1"/>
        <v/>
      </c>
      <c r="AC77" s="11" t="str">
        <f t="shared" si="2"/>
        <v/>
      </c>
      <c r="AD77" s="11">
        <f t="shared" si="3"/>
        <v>0</v>
      </c>
      <c r="AE77" s="11">
        <f t="shared" si="4"/>
        <v>108</v>
      </c>
      <c r="AF77" s="11" t="str">
        <f t="shared" si="5"/>
        <v>D</v>
      </c>
      <c r="AG77" s="11" t="str">
        <f t="shared" si="6"/>
        <v>D-6</v>
      </c>
      <c r="AH77" s="21"/>
      <c r="AI77" s="21"/>
    </row>
    <row r="78" spans="1:35" ht="15.75" hidden="1" customHeight="1">
      <c r="A78" s="15">
        <v>76</v>
      </c>
      <c r="B78" s="16" t="s">
        <v>131</v>
      </c>
      <c r="C78" s="16" t="s">
        <v>125</v>
      </c>
      <c r="D78" s="17">
        <v>7</v>
      </c>
      <c r="E78" s="18"/>
      <c r="F78" s="18"/>
      <c r="G78" s="18"/>
      <c r="H78" s="19">
        <v>1</v>
      </c>
      <c r="I78" s="17">
        <v>5733</v>
      </c>
      <c r="J78" s="17">
        <v>5844</v>
      </c>
      <c r="K78" s="17">
        <v>111</v>
      </c>
      <c r="L78" s="17">
        <v>111</v>
      </c>
      <c r="M78" s="17">
        <v>95</v>
      </c>
      <c r="N78" s="17">
        <v>0</v>
      </c>
      <c r="O78" s="17">
        <v>0</v>
      </c>
      <c r="P78" s="17">
        <v>3</v>
      </c>
      <c r="Q78" s="17">
        <v>0</v>
      </c>
      <c r="R78" s="19"/>
      <c r="S78" s="20"/>
      <c r="T78" s="13">
        <f t="shared" si="0"/>
        <v>209</v>
      </c>
      <c r="U78" s="18">
        <f ca="1">IFERROR(__xludf.DUMMYFUNCTION("IFERROR(
  SUM(
    FILTER(
      Reporte!$E:$E, 
      REGEXMATCH(Reporte!$A:$A, ""(?i)(TE PAGÓ|PAGASTE)""), 
      Reporte!$H:$H &amp; """" = AG78 &amp; """"
    )
  ), 
  0
)"),209)</f>
        <v>209</v>
      </c>
      <c r="V78" s="18">
        <f ca="1">IFERROR(__xludf.DUMMYFUNCTION("IFERROR(
  SUM(
    FILTER(
      Efectivo!$C:$C, 
      Efectivo!$D:$D &amp; """" = AG78 &amp; """"
    )
  ), 
  0
)"),0)</f>
        <v>0</v>
      </c>
      <c r="W78" s="18" t="s">
        <v>35</v>
      </c>
      <c r="X78" s="18"/>
      <c r="Y78" s="18" t="s">
        <v>36</v>
      </c>
      <c r="Z78" s="18"/>
      <c r="AA78" s="18"/>
      <c r="AB78" s="18" t="str">
        <f t="shared" si="1"/>
        <v/>
      </c>
      <c r="AC78" s="18" t="str">
        <f t="shared" si="2"/>
        <v/>
      </c>
      <c r="AD78" s="11">
        <f t="shared" si="3"/>
        <v>0</v>
      </c>
      <c r="AE78" s="11">
        <f t="shared" si="4"/>
        <v>209</v>
      </c>
      <c r="AF78" s="18" t="str">
        <f t="shared" si="5"/>
        <v>D</v>
      </c>
      <c r="AG78" s="18" t="str">
        <f t="shared" si="6"/>
        <v>D-7</v>
      </c>
      <c r="AH78" s="14"/>
      <c r="AI78" s="14"/>
    </row>
    <row r="79" spans="1:35" ht="15.75" hidden="1" customHeight="1">
      <c r="A79" s="8">
        <v>77</v>
      </c>
      <c r="B79" s="9" t="s">
        <v>132</v>
      </c>
      <c r="C79" s="9" t="s">
        <v>125</v>
      </c>
      <c r="D79" s="10">
        <v>8</v>
      </c>
      <c r="E79" s="11"/>
      <c r="F79" s="12">
        <v>1</v>
      </c>
      <c r="G79" s="11"/>
      <c r="H79" s="12">
        <v>1</v>
      </c>
      <c r="I79" s="10">
        <v>17</v>
      </c>
      <c r="J79" s="10">
        <v>29</v>
      </c>
      <c r="K79" s="10">
        <v>12</v>
      </c>
      <c r="L79" s="10">
        <v>12</v>
      </c>
      <c r="M79" s="10">
        <v>0</v>
      </c>
      <c r="N79" s="10">
        <v>0</v>
      </c>
      <c r="O79" s="10">
        <v>25</v>
      </c>
      <c r="P79" s="10">
        <v>3</v>
      </c>
      <c r="Q79" s="10">
        <v>20</v>
      </c>
      <c r="R79" s="12"/>
      <c r="S79" s="13"/>
      <c r="T79" s="13">
        <f t="shared" si="0"/>
        <v>60</v>
      </c>
      <c r="U79" s="11">
        <f ca="1">IFERROR(__xludf.DUMMYFUNCTION("IFERROR(
  SUM(
    FILTER(
      Reporte!$E:$E, 
      REGEXMATCH(Reporte!$A:$A, ""(?i)(TE PAGÓ|PAGASTE)""), 
      Reporte!$H:$H &amp; """" = AG79 &amp; """"
    )
  ), 
  0
)"),0)</f>
        <v>0</v>
      </c>
      <c r="V79" s="11">
        <f ca="1">IFERROR(__xludf.DUMMYFUNCTION("IFERROR(
  SUM(
    FILTER(
      Efectivo!$C:$C, 
      Efectivo!$D:$D &amp; """" = AG79 &amp; """"
    )
  ), 
  0
)"),0)</f>
        <v>0</v>
      </c>
      <c r="W79" s="11"/>
      <c r="X79" s="11"/>
      <c r="Y79" s="11"/>
      <c r="Z79" s="11"/>
      <c r="AA79" s="11"/>
      <c r="AB79" s="11" t="str">
        <f t="shared" si="1"/>
        <v/>
      </c>
      <c r="AC79" s="11" t="str">
        <f t="shared" si="2"/>
        <v>CORTE</v>
      </c>
      <c r="AD79" s="11">
        <f t="shared" si="3"/>
        <v>0</v>
      </c>
      <c r="AE79" s="11">
        <f t="shared" si="4"/>
        <v>0</v>
      </c>
      <c r="AF79" s="11" t="str">
        <f t="shared" si="5"/>
        <v>D</v>
      </c>
      <c r="AG79" s="11" t="str">
        <f t="shared" si="6"/>
        <v>D-8</v>
      </c>
      <c r="AH79" s="21"/>
      <c r="AI79" s="21"/>
    </row>
    <row r="80" spans="1:35" ht="15.75" hidden="1" customHeight="1">
      <c r="A80" s="15">
        <v>78</v>
      </c>
      <c r="B80" s="16" t="s">
        <v>133</v>
      </c>
      <c r="C80" s="16" t="s">
        <v>125</v>
      </c>
      <c r="D80" s="17">
        <v>9</v>
      </c>
      <c r="E80" s="18"/>
      <c r="F80" s="18"/>
      <c r="G80" s="18"/>
      <c r="H80" s="19">
        <v>1</v>
      </c>
      <c r="I80" s="17">
        <v>4120</v>
      </c>
      <c r="J80" s="17">
        <v>4131</v>
      </c>
      <c r="K80" s="17">
        <v>11</v>
      </c>
      <c r="L80" s="17">
        <v>11</v>
      </c>
      <c r="M80" s="17">
        <v>0</v>
      </c>
      <c r="N80" s="22">
        <v>21</v>
      </c>
      <c r="O80" s="17">
        <v>0</v>
      </c>
      <c r="P80" s="17">
        <v>3</v>
      </c>
      <c r="Q80" s="17">
        <v>0</v>
      </c>
      <c r="R80" s="19"/>
      <c r="S80" s="20"/>
      <c r="T80" s="13">
        <f t="shared" si="0"/>
        <v>35</v>
      </c>
      <c r="U80" s="18">
        <f ca="1">IFERROR(__xludf.DUMMYFUNCTION("IFERROR(
  SUM(
    FILTER(
      Reporte!$E:$E, 
      REGEXMATCH(Reporte!$A:$A, ""(?i)(TE PAGÓ|PAGASTE)""), 
      Reporte!$H:$H &amp; """" = AG80 &amp; """"
    )
  ), 
  0
)"),35)</f>
        <v>35</v>
      </c>
      <c r="V80" s="18">
        <f ca="1">IFERROR(__xludf.DUMMYFUNCTION("IFERROR(
  SUM(
    FILTER(
      Efectivo!$C:$C, 
      Efectivo!$D:$D &amp; """" = AG80 &amp; """"
    )
  ), 
  0
)"),0)</f>
        <v>0</v>
      </c>
      <c r="W80" s="18" t="s">
        <v>35</v>
      </c>
      <c r="X80" s="18"/>
      <c r="Y80" s="18" t="s">
        <v>36</v>
      </c>
      <c r="Z80" s="18" t="s">
        <v>134</v>
      </c>
      <c r="AA80" s="18"/>
      <c r="AB80" s="18" t="str">
        <f t="shared" si="1"/>
        <v/>
      </c>
      <c r="AC80" s="18" t="str">
        <f t="shared" si="2"/>
        <v/>
      </c>
      <c r="AD80" s="11">
        <f t="shared" si="3"/>
        <v>0</v>
      </c>
      <c r="AE80" s="11">
        <f t="shared" si="4"/>
        <v>35</v>
      </c>
      <c r="AF80" s="18" t="str">
        <f t="shared" si="5"/>
        <v>D</v>
      </c>
      <c r="AG80" s="18" t="str">
        <f t="shared" si="6"/>
        <v>D-9</v>
      </c>
      <c r="AH80" s="14"/>
      <c r="AI80" s="14"/>
    </row>
    <row r="81" spans="1:35" ht="15.75" hidden="1" customHeight="1">
      <c r="A81" s="8">
        <v>79</v>
      </c>
      <c r="B81" s="9" t="s">
        <v>135</v>
      </c>
      <c r="C81" s="9" t="s">
        <v>125</v>
      </c>
      <c r="D81" s="10">
        <v>10</v>
      </c>
      <c r="E81" s="11"/>
      <c r="F81" s="11"/>
      <c r="G81" s="11"/>
      <c r="H81" s="12">
        <v>1</v>
      </c>
      <c r="I81" s="10">
        <v>2895</v>
      </c>
      <c r="J81" s="10">
        <v>2912</v>
      </c>
      <c r="K81" s="10">
        <v>17</v>
      </c>
      <c r="L81" s="10">
        <v>17</v>
      </c>
      <c r="M81" s="10">
        <v>16</v>
      </c>
      <c r="N81" s="10">
        <v>0</v>
      </c>
      <c r="O81" s="10">
        <v>0</v>
      </c>
      <c r="P81" s="10">
        <v>3</v>
      </c>
      <c r="Q81" s="10">
        <v>0</v>
      </c>
      <c r="R81" s="12"/>
      <c r="S81" s="13"/>
      <c r="T81" s="13">
        <f t="shared" si="0"/>
        <v>36</v>
      </c>
      <c r="U81" s="11">
        <f ca="1">IFERROR(__xludf.DUMMYFUNCTION("IFERROR(
  SUM(
    FILTER(
      Reporte!$E:$E, 
      REGEXMATCH(Reporte!$A:$A, ""(?i)(TE PAGÓ|PAGASTE)""), 
      Reporte!$H:$H &amp; """" = AG81 &amp; """"
    )
  ), 
  0
)"),36)</f>
        <v>36</v>
      </c>
      <c r="V81" s="11">
        <f ca="1">IFERROR(__xludf.DUMMYFUNCTION("IFERROR(
  SUM(
    FILTER(
      Efectivo!$C:$C, 
      Efectivo!$D:$D &amp; """" = AG81 &amp; """"
    )
  ), 
  0
)"),0)</f>
        <v>0</v>
      </c>
      <c r="W81" s="11" t="s">
        <v>35</v>
      </c>
      <c r="X81" s="11"/>
      <c r="Y81" s="11" t="s">
        <v>36</v>
      </c>
      <c r="Z81" s="11"/>
      <c r="AA81" s="11"/>
      <c r="AB81" s="11" t="str">
        <f t="shared" si="1"/>
        <v/>
      </c>
      <c r="AC81" s="11" t="str">
        <f t="shared" si="2"/>
        <v/>
      </c>
      <c r="AD81" s="11">
        <f t="shared" si="3"/>
        <v>0</v>
      </c>
      <c r="AE81" s="11">
        <f t="shared" si="4"/>
        <v>36</v>
      </c>
      <c r="AF81" s="11" t="str">
        <f t="shared" si="5"/>
        <v>D</v>
      </c>
      <c r="AG81" s="11" t="str">
        <f t="shared" si="6"/>
        <v>D-10</v>
      </c>
      <c r="AH81" s="21"/>
      <c r="AI81" s="21"/>
    </row>
    <row r="82" spans="1:35" ht="15.75" hidden="1" customHeight="1">
      <c r="A82" s="15">
        <v>80</v>
      </c>
      <c r="B82" s="16" t="s">
        <v>136</v>
      </c>
      <c r="C82" s="16" t="s">
        <v>125</v>
      </c>
      <c r="D82" s="17">
        <v>11</v>
      </c>
      <c r="E82" s="18"/>
      <c r="F82" s="18"/>
      <c r="G82" s="18"/>
      <c r="H82" s="19">
        <v>1</v>
      </c>
      <c r="I82" s="17">
        <v>1103</v>
      </c>
      <c r="J82" s="17">
        <v>1119</v>
      </c>
      <c r="K82" s="17">
        <v>16</v>
      </c>
      <c r="L82" s="17">
        <v>16</v>
      </c>
      <c r="M82" s="17">
        <v>19</v>
      </c>
      <c r="N82" s="17">
        <v>0</v>
      </c>
      <c r="O82" s="17">
        <v>0</v>
      </c>
      <c r="P82" s="17">
        <v>3</v>
      </c>
      <c r="Q82" s="17">
        <v>0</v>
      </c>
      <c r="R82" s="19"/>
      <c r="S82" s="20"/>
      <c r="T82" s="13">
        <f t="shared" si="0"/>
        <v>38</v>
      </c>
      <c r="U82" s="18">
        <f ca="1">IFERROR(__xludf.DUMMYFUNCTION("IFERROR(
  SUM(
    FILTER(
      Reporte!$E:$E, 
      REGEXMATCH(Reporte!$A:$A, ""(?i)(TE PAGÓ|PAGASTE)""), 
      Reporte!$H:$H &amp; """" = AG82 &amp; """"
    )
  ), 
  0
)"),0)</f>
        <v>0</v>
      </c>
      <c r="V82" s="18">
        <f ca="1">IFERROR(__xludf.DUMMYFUNCTION("IFERROR(
  SUM(
    FILTER(
      Efectivo!$C:$C, 
      Efectivo!$D:$D &amp; """" = AG82 &amp; """"
    )
  ), 
  0
)"),38)</f>
        <v>38</v>
      </c>
      <c r="W82" s="18" t="s">
        <v>35</v>
      </c>
      <c r="X82" s="18"/>
      <c r="Y82" s="18"/>
      <c r="Z82" s="18"/>
      <c r="AA82" s="18"/>
      <c r="AB82" s="18" t="str">
        <f t="shared" si="1"/>
        <v/>
      </c>
      <c r="AC82" s="18" t="str">
        <f t="shared" si="2"/>
        <v/>
      </c>
      <c r="AD82" s="11">
        <f t="shared" si="3"/>
        <v>38</v>
      </c>
      <c r="AE82" s="11">
        <f t="shared" si="4"/>
        <v>0</v>
      </c>
      <c r="AF82" s="18" t="str">
        <f t="shared" si="5"/>
        <v>D</v>
      </c>
      <c r="AG82" s="18" t="str">
        <f t="shared" si="6"/>
        <v>D-11</v>
      </c>
      <c r="AH82" s="14"/>
      <c r="AI82" s="14"/>
    </row>
    <row r="83" spans="1:35" ht="15.75" hidden="1" customHeight="1">
      <c r="A83" s="8">
        <v>81</v>
      </c>
      <c r="B83" s="9" t="s">
        <v>137</v>
      </c>
      <c r="C83" s="9" t="s">
        <v>125</v>
      </c>
      <c r="D83" s="10">
        <v>12</v>
      </c>
      <c r="E83" s="11"/>
      <c r="F83" s="11"/>
      <c r="G83" s="11"/>
      <c r="H83" s="12">
        <v>1</v>
      </c>
      <c r="I83" s="10">
        <v>274</v>
      </c>
      <c r="J83" s="10">
        <v>283</v>
      </c>
      <c r="K83" s="10">
        <v>9</v>
      </c>
      <c r="L83" s="10">
        <v>9</v>
      </c>
      <c r="M83" s="10">
        <v>9</v>
      </c>
      <c r="N83" s="10">
        <v>0</v>
      </c>
      <c r="O83" s="10">
        <v>0</v>
      </c>
      <c r="P83" s="10">
        <v>3</v>
      </c>
      <c r="Q83" s="10">
        <v>0</v>
      </c>
      <c r="R83" s="12"/>
      <c r="S83" s="13"/>
      <c r="T83" s="13">
        <f t="shared" si="0"/>
        <v>21</v>
      </c>
      <c r="U83" s="11">
        <f ca="1">IFERROR(__xludf.DUMMYFUNCTION("IFERROR(
  SUM(
    FILTER(
      Reporte!$E:$E, 
      REGEXMATCH(Reporte!$A:$A, ""(?i)(TE PAGÓ|PAGASTE)""), 
      Reporte!$H:$H &amp; """" = AG83 &amp; """"
    )
  ), 
  0
)"),21)</f>
        <v>21</v>
      </c>
      <c r="V83" s="11">
        <f ca="1">IFERROR(__xludf.DUMMYFUNCTION("IFERROR(
  SUM(
    FILTER(
      Efectivo!$C:$C, 
      Efectivo!$D:$D &amp; """" = AG83 &amp; """"
    )
  ), 
  0
)"),0)</f>
        <v>0</v>
      </c>
      <c r="W83" s="11" t="s">
        <v>35</v>
      </c>
      <c r="X83" s="11"/>
      <c r="Y83" s="11" t="s">
        <v>36</v>
      </c>
      <c r="Z83" s="11"/>
      <c r="AA83" s="11"/>
      <c r="AB83" s="11" t="str">
        <f t="shared" si="1"/>
        <v/>
      </c>
      <c r="AC83" s="11" t="str">
        <f t="shared" si="2"/>
        <v/>
      </c>
      <c r="AD83" s="11">
        <f t="shared" si="3"/>
        <v>0</v>
      </c>
      <c r="AE83" s="11">
        <f t="shared" si="4"/>
        <v>21</v>
      </c>
      <c r="AF83" s="11" t="str">
        <f t="shared" si="5"/>
        <v>D</v>
      </c>
      <c r="AG83" s="11" t="str">
        <f t="shared" si="6"/>
        <v>D-12</v>
      </c>
      <c r="AH83" s="21"/>
      <c r="AI83" s="21"/>
    </row>
    <row r="84" spans="1:35" ht="15.75" hidden="1" customHeight="1">
      <c r="A84" s="15">
        <v>82</v>
      </c>
      <c r="B84" s="16" t="s">
        <v>138</v>
      </c>
      <c r="C84" s="16" t="s">
        <v>125</v>
      </c>
      <c r="D84" s="17">
        <v>13</v>
      </c>
      <c r="E84" s="18"/>
      <c r="F84" s="18"/>
      <c r="G84" s="18"/>
      <c r="H84" s="19">
        <v>1</v>
      </c>
      <c r="I84" s="17">
        <v>534</v>
      </c>
      <c r="J84" s="17">
        <v>559</v>
      </c>
      <c r="K84" s="17">
        <v>25</v>
      </c>
      <c r="L84" s="17">
        <v>25</v>
      </c>
      <c r="M84" s="17">
        <v>0</v>
      </c>
      <c r="N84" s="17">
        <v>0</v>
      </c>
      <c r="O84" s="17">
        <v>0</v>
      </c>
      <c r="P84" s="17">
        <v>3</v>
      </c>
      <c r="Q84" s="17">
        <v>0</v>
      </c>
      <c r="R84" s="19"/>
      <c r="S84" s="20"/>
      <c r="T84" s="13">
        <f t="shared" si="0"/>
        <v>28</v>
      </c>
      <c r="U84" s="18">
        <f ca="1">IFERROR(__xludf.DUMMYFUNCTION("IFERROR(
  SUM(
    FILTER(
      Reporte!$E:$E, 
      REGEXMATCH(Reporte!$A:$A, ""(?i)(TE PAGÓ|PAGASTE)""), 
      Reporte!$H:$H &amp; """" = AG84 &amp; """"
    )
  ), 
  0
)"),0)</f>
        <v>0</v>
      </c>
      <c r="V84" s="18">
        <f ca="1">IFERROR(__xludf.DUMMYFUNCTION("IFERROR(
  SUM(
    FILTER(
      Efectivo!$C:$C, 
      Efectivo!$D:$D &amp; """" = AG84 &amp; """"
    )
  ), 
  0
)"),28)</f>
        <v>28</v>
      </c>
      <c r="W84" s="18" t="s">
        <v>35</v>
      </c>
      <c r="X84" s="18"/>
      <c r="Y84" s="18"/>
      <c r="Z84" s="18"/>
      <c r="AA84" s="18"/>
      <c r="AB84" s="18" t="str">
        <f t="shared" si="1"/>
        <v/>
      </c>
      <c r="AC84" s="18" t="str">
        <f t="shared" si="2"/>
        <v/>
      </c>
      <c r="AD84" s="11">
        <f t="shared" si="3"/>
        <v>28</v>
      </c>
      <c r="AE84" s="11">
        <f t="shared" si="4"/>
        <v>0</v>
      </c>
      <c r="AF84" s="18" t="str">
        <f t="shared" si="5"/>
        <v>D</v>
      </c>
      <c r="AG84" s="18" t="str">
        <f t="shared" si="6"/>
        <v>D-13</v>
      </c>
      <c r="AH84" s="14"/>
      <c r="AI84" s="14"/>
    </row>
    <row r="85" spans="1:35" ht="15.75" hidden="1" customHeight="1">
      <c r="A85" s="8">
        <v>83</v>
      </c>
      <c r="B85" s="9" t="s">
        <v>139</v>
      </c>
      <c r="C85" s="9" t="s">
        <v>125</v>
      </c>
      <c r="D85" s="10">
        <v>16</v>
      </c>
      <c r="E85" s="11"/>
      <c r="F85" s="11"/>
      <c r="G85" s="11"/>
      <c r="H85" s="12">
        <v>1</v>
      </c>
      <c r="I85" s="10">
        <v>10</v>
      </c>
      <c r="J85" s="10">
        <v>18</v>
      </c>
      <c r="K85" s="10">
        <v>8</v>
      </c>
      <c r="L85" s="10">
        <v>8</v>
      </c>
      <c r="M85" s="10">
        <v>13</v>
      </c>
      <c r="N85" s="10">
        <v>0</v>
      </c>
      <c r="O85" s="10">
        <v>25</v>
      </c>
      <c r="P85" s="10">
        <v>3</v>
      </c>
      <c r="Q85" s="10">
        <v>0</v>
      </c>
      <c r="R85" s="12"/>
      <c r="S85" s="13"/>
      <c r="T85" s="13">
        <f t="shared" si="0"/>
        <v>49</v>
      </c>
      <c r="U85" s="11">
        <f ca="1">IFERROR(__xludf.DUMMYFUNCTION("IFERROR(
  SUM(
    FILTER(
      Reporte!$E:$E, 
      REGEXMATCH(Reporte!$A:$A, ""(?i)(TE PAGÓ|PAGASTE)""), 
      Reporte!$H:$H &amp; """" = AG85 &amp; """"
    )
  ), 
  0
)"),49)</f>
        <v>49</v>
      </c>
      <c r="V85" s="11">
        <f ca="1">IFERROR(__xludf.DUMMYFUNCTION("IFERROR(
  SUM(
    FILTER(
      Efectivo!$C:$C, 
      Efectivo!$D:$D &amp; """" = AG85 &amp; """"
    )
  ), 
  0
)"),0)</f>
        <v>0</v>
      </c>
      <c r="W85" s="11" t="s">
        <v>35</v>
      </c>
      <c r="X85" s="11"/>
      <c r="Y85" s="11" t="s">
        <v>36</v>
      </c>
      <c r="Z85" s="11"/>
      <c r="AA85" s="11"/>
      <c r="AB85" s="11" t="str">
        <f t="shared" si="1"/>
        <v/>
      </c>
      <c r="AC85" s="11" t="str">
        <f t="shared" si="2"/>
        <v/>
      </c>
      <c r="AD85" s="11">
        <f t="shared" si="3"/>
        <v>0</v>
      </c>
      <c r="AE85" s="11">
        <f t="shared" si="4"/>
        <v>49</v>
      </c>
      <c r="AF85" s="11" t="str">
        <f t="shared" si="5"/>
        <v>D</v>
      </c>
      <c r="AG85" s="11" t="str">
        <f t="shared" si="6"/>
        <v>D-16</v>
      </c>
      <c r="AH85" s="21"/>
      <c r="AI85" s="21"/>
    </row>
    <row r="86" spans="1:35" ht="15.75" hidden="1" customHeight="1">
      <c r="A86" s="15">
        <v>84</v>
      </c>
      <c r="B86" s="16" t="s">
        <v>140</v>
      </c>
      <c r="C86" s="16" t="s">
        <v>125</v>
      </c>
      <c r="D86" s="17">
        <v>17</v>
      </c>
      <c r="E86" s="18"/>
      <c r="F86" s="18"/>
      <c r="G86" s="18"/>
      <c r="H86" s="19">
        <v>1</v>
      </c>
      <c r="I86" s="17">
        <v>3153</v>
      </c>
      <c r="J86" s="17">
        <v>3183</v>
      </c>
      <c r="K86" s="17">
        <v>30</v>
      </c>
      <c r="L86" s="17">
        <v>30</v>
      </c>
      <c r="M86" s="17">
        <v>31</v>
      </c>
      <c r="N86" s="17">
        <v>0</v>
      </c>
      <c r="O86" s="17">
        <v>0</v>
      </c>
      <c r="P86" s="17">
        <v>3</v>
      </c>
      <c r="Q86" s="17">
        <v>0</v>
      </c>
      <c r="R86" s="19"/>
      <c r="S86" s="20"/>
      <c r="T86" s="13">
        <f t="shared" si="0"/>
        <v>64</v>
      </c>
      <c r="U86" s="18">
        <f ca="1">IFERROR(__xludf.DUMMYFUNCTION("IFERROR(
  SUM(
    FILTER(
      Reporte!$E:$E, 
      REGEXMATCH(Reporte!$A:$A, ""(?i)(TE PAGÓ|PAGASTE)""), 
      Reporte!$H:$H &amp; """" = AG86 &amp; """"
    )
  ), 
  0
)"),64)</f>
        <v>64</v>
      </c>
      <c r="V86" s="18">
        <f ca="1">IFERROR(__xludf.DUMMYFUNCTION("IFERROR(
  SUM(
    FILTER(
      Efectivo!$C:$C, 
      Efectivo!$D:$D &amp; """" = AG86 &amp; """"
    )
  ), 
  0
)"),0)</f>
        <v>0</v>
      </c>
      <c r="W86" s="18" t="s">
        <v>35</v>
      </c>
      <c r="X86" s="18"/>
      <c r="Y86" s="18" t="s">
        <v>36</v>
      </c>
      <c r="Z86" s="18"/>
      <c r="AA86" s="18"/>
      <c r="AB86" s="18" t="str">
        <f t="shared" si="1"/>
        <v/>
      </c>
      <c r="AC86" s="18" t="str">
        <f t="shared" si="2"/>
        <v/>
      </c>
      <c r="AD86" s="11">
        <f t="shared" si="3"/>
        <v>0</v>
      </c>
      <c r="AE86" s="11">
        <f t="shared" si="4"/>
        <v>64</v>
      </c>
      <c r="AF86" s="18" t="str">
        <f t="shared" si="5"/>
        <v>D</v>
      </c>
      <c r="AG86" s="18" t="str">
        <f t="shared" si="6"/>
        <v>D-17</v>
      </c>
      <c r="AH86" s="14"/>
      <c r="AI86" s="14"/>
    </row>
    <row r="87" spans="1:35" ht="15.75" hidden="1" customHeight="1">
      <c r="A87" s="8">
        <v>85</v>
      </c>
      <c r="B87" s="9" t="s">
        <v>141</v>
      </c>
      <c r="C87" s="9" t="s">
        <v>125</v>
      </c>
      <c r="D87" s="10">
        <v>18</v>
      </c>
      <c r="E87" s="11"/>
      <c r="F87" s="11"/>
      <c r="G87" s="11"/>
      <c r="H87" s="12">
        <v>1</v>
      </c>
      <c r="I87" s="10">
        <v>1013</v>
      </c>
      <c r="J87" s="10">
        <v>1052</v>
      </c>
      <c r="K87" s="10">
        <v>39</v>
      </c>
      <c r="L87" s="10">
        <v>39</v>
      </c>
      <c r="M87" s="10">
        <v>0</v>
      </c>
      <c r="N87" s="10">
        <v>0</v>
      </c>
      <c r="O87" s="10">
        <v>0</v>
      </c>
      <c r="P87" s="10">
        <v>3</v>
      </c>
      <c r="Q87" s="10">
        <v>0</v>
      </c>
      <c r="R87" s="12"/>
      <c r="S87" s="13"/>
      <c r="T87" s="13">
        <f t="shared" si="0"/>
        <v>42</v>
      </c>
      <c r="U87" s="11">
        <f ca="1">IFERROR(__xludf.DUMMYFUNCTION("IFERROR(
  SUM(
    FILTER(
      Reporte!$E:$E, 
      REGEXMATCH(Reporte!$A:$A, ""(?i)(TE PAGÓ|PAGASTE)""), 
      Reporte!$H:$H &amp; """" = AG87 &amp; """"
    )
  ), 
  0
)"),42)</f>
        <v>42</v>
      </c>
      <c r="V87" s="11">
        <f ca="1">IFERROR(__xludf.DUMMYFUNCTION("IFERROR(
  SUM(
    FILTER(
      Efectivo!$C:$C, 
      Efectivo!$D:$D &amp; """" = AG87 &amp; """"
    )
  ), 
  0
)"),0)</f>
        <v>0</v>
      </c>
      <c r="W87" s="11" t="s">
        <v>35</v>
      </c>
      <c r="X87" s="11"/>
      <c r="Y87" s="11" t="s">
        <v>36</v>
      </c>
      <c r="Z87" s="11"/>
      <c r="AA87" s="11"/>
      <c r="AB87" s="11" t="str">
        <f t="shared" si="1"/>
        <v/>
      </c>
      <c r="AC87" s="11" t="str">
        <f t="shared" si="2"/>
        <v/>
      </c>
      <c r="AD87" s="11">
        <f t="shared" si="3"/>
        <v>0</v>
      </c>
      <c r="AE87" s="11">
        <f t="shared" si="4"/>
        <v>42</v>
      </c>
      <c r="AF87" s="11" t="str">
        <f t="shared" si="5"/>
        <v>D</v>
      </c>
      <c r="AG87" s="11" t="str">
        <f t="shared" si="6"/>
        <v>D-18</v>
      </c>
      <c r="AH87" s="21"/>
      <c r="AI87" s="21"/>
    </row>
    <row r="88" spans="1:35" ht="15.75" hidden="1" customHeight="1">
      <c r="A88" s="15">
        <v>86</v>
      </c>
      <c r="B88" s="16" t="s">
        <v>142</v>
      </c>
      <c r="C88" s="16" t="s">
        <v>125</v>
      </c>
      <c r="D88" s="17">
        <v>19</v>
      </c>
      <c r="E88" s="18"/>
      <c r="F88" s="18"/>
      <c r="G88" s="18"/>
      <c r="H88" s="19">
        <v>1</v>
      </c>
      <c r="I88" s="17">
        <v>28</v>
      </c>
      <c r="J88" s="17">
        <v>47</v>
      </c>
      <c r="K88" s="17">
        <v>19</v>
      </c>
      <c r="L88" s="17">
        <v>19</v>
      </c>
      <c r="M88" s="17">
        <v>0</v>
      </c>
      <c r="N88" s="17">
        <v>0</v>
      </c>
      <c r="O88" s="17">
        <v>25</v>
      </c>
      <c r="P88" s="17">
        <v>3</v>
      </c>
      <c r="Q88" s="17">
        <v>0</v>
      </c>
      <c r="R88" s="19"/>
      <c r="S88" s="20"/>
      <c r="T88" s="13">
        <f t="shared" si="0"/>
        <v>47</v>
      </c>
      <c r="U88" s="18">
        <f ca="1">IFERROR(__xludf.DUMMYFUNCTION("IFERROR(
  SUM(
    FILTER(
      Reporte!$E:$E, 
      REGEXMATCH(Reporte!$A:$A, ""(?i)(TE PAGÓ|PAGASTE)""), 
      Reporte!$H:$H &amp; """" = AG88 &amp; """"
    )
  ), 
  0
)"),47)</f>
        <v>47</v>
      </c>
      <c r="V88" s="18">
        <f ca="1">IFERROR(__xludf.DUMMYFUNCTION("IFERROR(
  SUM(
    FILTER(
      Efectivo!$C:$C, 
      Efectivo!$D:$D &amp; """" = AG88 &amp; """"
    )
  ), 
  0
)"),0)</f>
        <v>0</v>
      </c>
      <c r="W88" s="18" t="s">
        <v>35</v>
      </c>
      <c r="X88" s="18"/>
      <c r="Y88" s="18" t="s">
        <v>36</v>
      </c>
      <c r="Z88" s="18"/>
      <c r="AA88" s="18"/>
      <c r="AB88" s="18" t="str">
        <f t="shared" si="1"/>
        <v/>
      </c>
      <c r="AC88" s="18" t="str">
        <f t="shared" si="2"/>
        <v/>
      </c>
      <c r="AD88" s="11">
        <f t="shared" si="3"/>
        <v>0</v>
      </c>
      <c r="AE88" s="11">
        <f t="shared" si="4"/>
        <v>47</v>
      </c>
      <c r="AF88" s="18" t="str">
        <f t="shared" si="5"/>
        <v>D</v>
      </c>
      <c r="AG88" s="18" t="str">
        <f t="shared" si="6"/>
        <v>D-19</v>
      </c>
      <c r="AH88" s="14"/>
      <c r="AI88" s="14"/>
    </row>
    <row r="89" spans="1:35" ht="15.75" hidden="1" customHeight="1">
      <c r="A89" s="8">
        <v>87</v>
      </c>
      <c r="B89" s="9" t="s">
        <v>143</v>
      </c>
      <c r="C89" s="9" t="s">
        <v>144</v>
      </c>
      <c r="D89" s="10">
        <v>1</v>
      </c>
      <c r="E89" s="11"/>
      <c r="F89" s="11"/>
      <c r="G89" s="11"/>
      <c r="H89" s="12">
        <v>1</v>
      </c>
      <c r="I89" s="10">
        <v>303</v>
      </c>
      <c r="J89" s="10">
        <v>306</v>
      </c>
      <c r="K89" s="10">
        <v>5</v>
      </c>
      <c r="L89" s="10">
        <v>5</v>
      </c>
      <c r="M89" s="10">
        <v>0</v>
      </c>
      <c r="N89" s="10">
        <v>0</v>
      </c>
      <c r="O89" s="10">
        <v>0</v>
      </c>
      <c r="P89" s="10">
        <v>3</v>
      </c>
      <c r="Q89" s="10">
        <v>0</v>
      </c>
      <c r="R89" s="12"/>
      <c r="S89" s="13"/>
      <c r="T89" s="13">
        <f t="shared" si="0"/>
        <v>8</v>
      </c>
      <c r="U89" s="11">
        <f ca="1">IFERROR(__xludf.DUMMYFUNCTION("IFERROR(
  SUM(
    FILTER(
      Reporte!$E:$E, 
      REGEXMATCH(Reporte!$A:$A, ""(?i)(TE PAGÓ|PAGASTE)""), 
      Reporte!$H:$H &amp; """" = AG89 &amp; """"
    )
  ), 
  0
)"),0)</f>
        <v>0</v>
      </c>
      <c r="V89" s="11">
        <f ca="1">IFERROR(__xludf.DUMMYFUNCTION("IFERROR(
  SUM(
    FILTER(
      Efectivo!$C:$C, 
      Efectivo!$D:$D &amp; """" = AG89 &amp; """"
    )
  ), 
  0
)"),8)</f>
        <v>8</v>
      </c>
      <c r="W89" s="11" t="s">
        <v>35</v>
      </c>
      <c r="X89" s="11"/>
      <c r="Y89" s="11"/>
      <c r="Z89" s="11"/>
      <c r="AA89" s="11"/>
      <c r="AB89" s="11" t="str">
        <f t="shared" si="1"/>
        <v/>
      </c>
      <c r="AC89" s="11" t="str">
        <f t="shared" si="2"/>
        <v/>
      </c>
      <c r="AD89" s="11">
        <f t="shared" si="3"/>
        <v>8</v>
      </c>
      <c r="AE89" s="11">
        <f t="shared" si="4"/>
        <v>0</v>
      </c>
      <c r="AF89" s="11" t="str">
        <f t="shared" si="5"/>
        <v>E</v>
      </c>
      <c r="AG89" s="11" t="str">
        <f t="shared" si="6"/>
        <v>E-1</v>
      </c>
      <c r="AH89" s="21"/>
      <c r="AI89" s="21"/>
    </row>
    <row r="90" spans="1:35" ht="15.75" hidden="1" customHeight="1">
      <c r="A90" s="15">
        <v>88</v>
      </c>
      <c r="B90" s="16" t="s">
        <v>145</v>
      </c>
      <c r="C90" s="16" t="s">
        <v>144</v>
      </c>
      <c r="D90" s="17">
        <v>2</v>
      </c>
      <c r="E90" s="18"/>
      <c r="F90" s="18"/>
      <c r="G90" s="18"/>
      <c r="H90" s="19">
        <v>1</v>
      </c>
      <c r="I90" s="17">
        <v>29</v>
      </c>
      <c r="J90" s="17">
        <v>53</v>
      </c>
      <c r="K90" s="17">
        <v>24</v>
      </c>
      <c r="L90" s="17">
        <v>24</v>
      </c>
      <c r="M90" s="17">
        <v>0</v>
      </c>
      <c r="N90" s="17">
        <v>0</v>
      </c>
      <c r="O90" s="17">
        <v>25</v>
      </c>
      <c r="P90" s="17">
        <v>3</v>
      </c>
      <c r="Q90" s="17">
        <v>0</v>
      </c>
      <c r="R90" s="19"/>
      <c r="S90" s="20"/>
      <c r="T90" s="13">
        <f t="shared" si="0"/>
        <v>52</v>
      </c>
      <c r="U90" s="18">
        <f ca="1">IFERROR(__xludf.DUMMYFUNCTION("IFERROR(
  SUM(
    FILTER(
      Reporte!$E:$E, 
      REGEXMATCH(Reporte!$A:$A, ""(?i)(TE PAGÓ|PAGASTE)""), 
      Reporte!$H:$H &amp; """" = AG90 &amp; """"
    )
  ), 
  0
)"),52)</f>
        <v>52</v>
      </c>
      <c r="V90" s="18">
        <f ca="1">IFERROR(__xludf.DUMMYFUNCTION("IFERROR(
  SUM(
    FILTER(
      Efectivo!$C:$C, 
      Efectivo!$D:$D &amp; """" = AG90 &amp; """"
    )
  ), 
  0
)"),0)</f>
        <v>0</v>
      </c>
      <c r="W90" s="18" t="s">
        <v>35</v>
      </c>
      <c r="X90" s="18"/>
      <c r="Y90" s="18" t="s">
        <v>36</v>
      </c>
      <c r="Z90" s="18"/>
      <c r="AA90" s="18"/>
      <c r="AB90" s="18" t="str">
        <f t="shared" si="1"/>
        <v/>
      </c>
      <c r="AC90" s="18" t="str">
        <f t="shared" si="2"/>
        <v/>
      </c>
      <c r="AD90" s="11">
        <f t="shared" si="3"/>
        <v>0</v>
      </c>
      <c r="AE90" s="11">
        <f t="shared" si="4"/>
        <v>52</v>
      </c>
      <c r="AF90" s="18" t="str">
        <f t="shared" si="5"/>
        <v>E</v>
      </c>
      <c r="AG90" s="18" t="str">
        <f t="shared" si="6"/>
        <v>E-2</v>
      </c>
      <c r="AH90" s="14"/>
      <c r="AI90" s="14"/>
    </row>
    <row r="91" spans="1:35" ht="15.75" hidden="1" customHeight="1">
      <c r="A91" s="8">
        <v>89</v>
      </c>
      <c r="B91" s="9" t="s">
        <v>146</v>
      </c>
      <c r="C91" s="9" t="s">
        <v>144</v>
      </c>
      <c r="D91" s="10">
        <v>3</v>
      </c>
      <c r="E91" s="11"/>
      <c r="F91" s="11"/>
      <c r="G91" s="11"/>
      <c r="H91" s="12">
        <v>1</v>
      </c>
      <c r="I91" s="10">
        <v>2973</v>
      </c>
      <c r="J91" s="10">
        <v>3000</v>
      </c>
      <c r="K91" s="10">
        <v>27</v>
      </c>
      <c r="L91" s="10">
        <v>27</v>
      </c>
      <c r="M91" s="10">
        <v>0</v>
      </c>
      <c r="N91" s="10">
        <v>0</v>
      </c>
      <c r="O91" s="10">
        <v>0</v>
      </c>
      <c r="P91" s="10">
        <v>3</v>
      </c>
      <c r="Q91" s="10">
        <v>0</v>
      </c>
      <c r="R91" s="12"/>
      <c r="S91" s="13"/>
      <c r="T91" s="13">
        <f t="shared" si="0"/>
        <v>30</v>
      </c>
      <c r="U91" s="11">
        <f ca="1">IFERROR(__xludf.DUMMYFUNCTION("IFERROR(
  SUM(
    FILTER(
      Reporte!$E:$E, 
      REGEXMATCH(Reporte!$A:$A, ""(?i)(TE PAGÓ|PAGASTE)""), 
      Reporte!$H:$H &amp; """" = AG91 &amp; """"
    )
  ), 
  0
)"),30)</f>
        <v>30</v>
      </c>
      <c r="V91" s="11">
        <f ca="1">IFERROR(__xludf.DUMMYFUNCTION("IFERROR(
  SUM(
    FILTER(
      Efectivo!$C:$C, 
      Efectivo!$D:$D &amp; """" = AG91 &amp; """"
    )
  ), 
  0
)"),0)</f>
        <v>0</v>
      </c>
      <c r="W91" s="11" t="s">
        <v>35</v>
      </c>
      <c r="X91" s="11"/>
      <c r="Y91" s="11" t="s">
        <v>36</v>
      </c>
      <c r="Z91" s="11"/>
      <c r="AA91" s="11"/>
      <c r="AB91" s="11" t="str">
        <f t="shared" si="1"/>
        <v/>
      </c>
      <c r="AC91" s="11" t="str">
        <f t="shared" si="2"/>
        <v/>
      </c>
      <c r="AD91" s="11">
        <f t="shared" si="3"/>
        <v>0</v>
      </c>
      <c r="AE91" s="11">
        <f t="shared" si="4"/>
        <v>30</v>
      </c>
      <c r="AF91" s="11" t="str">
        <f t="shared" si="5"/>
        <v>E</v>
      </c>
      <c r="AG91" s="11" t="str">
        <f t="shared" si="6"/>
        <v>E-3</v>
      </c>
      <c r="AH91" s="21"/>
      <c r="AI91" s="21"/>
    </row>
    <row r="92" spans="1:35" ht="15.75" hidden="1" customHeight="1">
      <c r="A92" s="15">
        <v>90</v>
      </c>
      <c r="B92" s="16" t="s">
        <v>147</v>
      </c>
      <c r="C92" s="16" t="s">
        <v>144</v>
      </c>
      <c r="D92" s="17">
        <v>4</v>
      </c>
      <c r="E92" s="18"/>
      <c r="F92" s="18"/>
      <c r="G92" s="18"/>
      <c r="H92" s="19">
        <v>1</v>
      </c>
      <c r="I92" s="17">
        <v>201</v>
      </c>
      <c r="J92" s="17">
        <v>218</v>
      </c>
      <c r="K92" s="17">
        <v>17</v>
      </c>
      <c r="L92" s="17">
        <v>17</v>
      </c>
      <c r="M92" s="17">
        <v>19</v>
      </c>
      <c r="N92" s="17">
        <v>0</v>
      </c>
      <c r="O92" s="17">
        <v>0</v>
      </c>
      <c r="P92" s="17">
        <v>3</v>
      </c>
      <c r="Q92" s="17">
        <v>0</v>
      </c>
      <c r="R92" s="19"/>
      <c r="S92" s="20"/>
      <c r="T92" s="13">
        <f t="shared" si="0"/>
        <v>39</v>
      </c>
      <c r="U92" s="18">
        <f ca="1">IFERROR(__xludf.DUMMYFUNCTION("IFERROR(
  SUM(
    FILTER(
      Reporte!$E:$E, 
      REGEXMATCH(Reporte!$A:$A, ""(?i)(TE PAGÓ|PAGASTE)""), 
      Reporte!$H:$H &amp; """" = AG92 &amp; """"
    )
  ), 
  0
)"),39)</f>
        <v>39</v>
      </c>
      <c r="V92" s="18">
        <f ca="1">IFERROR(__xludf.DUMMYFUNCTION("IFERROR(
  SUM(
    FILTER(
      Efectivo!$C:$C, 
      Efectivo!$D:$D &amp; """" = AG92 &amp; """"
    )
  ), 
  0
)"),0)</f>
        <v>0</v>
      </c>
      <c r="W92" s="18" t="s">
        <v>35</v>
      </c>
      <c r="X92" s="18"/>
      <c r="Y92" s="18" t="s">
        <v>36</v>
      </c>
      <c r="Z92" s="18"/>
      <c r="AA92" s="18"/>
      <c r="AB92" s="18" t="str">
        <f t="shared" si="1"/>
        <v/>
      </c>
      <c r="AC92" s="18" t="str">
        <f t="shared" si="2"/>
        <v/>
      </c>
      <c r="AD92" s="11">
        <f t="shared" si="3"/>
        <v>0</v>
      </c>
      <c r="AE92" s="11">
        <f t="shared" si="4"/>
        <v>39</v>
      </c>
      <c r="AF92" s="18" t="str">
        <f t="shared" si="5"/>
        <v>E</v>
      </c>
      <c r="AG92" s="18" t="str">
        <f t="shared" si="6"/>
        <v>E-4</v>
      </c>
      <c r="AH92" s="14"/>
      <c r="AI92" s="14"/>
    </row>
    <row r="93" spans="1:35" ht="15.75" hidden="1" customHeight="1">
      <c r="A93" s="8">
        <v>91</v>
      </c>
      <c r="B93" s="9" t="s">
        <v>148</v>
      </c>
      <c r="C93" s="9" t="s">
        <v>144</v>
      </c>
      <c r="D93" s="10">
        <v>6</v>
      </c>
      <c r="E93" s="11"/>
      <c r="F93" s="11"/>
      <c r="G93" s="11"/>
      <c r="H93" s="12">
        <v>1</v>
      </c>
      <c r="I93" s="10">
        <v>953</v>
      </c>
      <c r="J93" s="10">
        <v>969</v>
      </c>
      <c r="K93" s="10">
        <v>16</v>
      </c>
      <c r="L93" s="10">
        <v>16</v>
      </c>
      <c r="M93" s="10">
        <v>0</v>
      </c>
      <c r="N93" s="10">
        <v>0</v>
      </c>
      <c r="O93" s="10">
        <v>0</v>
      </c>
      <c r="P93" s="10">
        <v>3</v>
      </c>
      <c r="Q93" s="10">
        <v>0</v>
      </c>
      <c r="R93" s="12"/>
      <c r="S93" s="13"/>
      <c r="T93" s="13">
        <f t="shared" si="0"/>
        <v>19</v>
      </c>
      <c r="U93" s="11">
        <f ca="1">IFERROR(__xludf.DUMMYFUNCTION("IFERROR(
  SUM(
    FILTER(
      Reporte!$E:$E, 
      REGEXMATCH(Reporte!$A:$A, ""(?i)(TE PAGÓ|PAGASTE)""), 
      Reporte!$H:$H &amp; """" = AG93 &amp; """"
    )
  ), 
  0
)"),19)</f>
        <v>19</v>
      </c>
      <c r="V93" s="11">
        <f ca="1">IFERROR(__xludf.DUMMYFUNCTION("IFERROR(
  SUM(
    FILTER(
      Efectivo!$C:$C, 
      Efectivo!$D:$D &amp; """" = AG93 &amp; """"
    )
  ), 
  0
)"),0)</f>
        <v>0</v>
      </c>
      <c r="W93" s="11" t="s">
        <v>35</v>
      </c>
      <c r="X93" s="11"/>
      <c r="Y93" s="11" t="s">
        <v>36</v>
      </c>
      <c r="Z93" s="11"/>
      <c r="AA93" s="11"/>
      <c r="AB93" s="11" t="str">
        <f t="shared" si="1"/>
        <v/>
      </c>
      <c r="AC93" s="11" t="str">
        <f t="shared" si="2"/>
        <v/>
      </c>
      <c r="AD93" s="11">
        <f t="shared" si="3"/>
        <v>0</v>
      </c>
      <c r="AE93" s="11">
        <f t="shared" si="4"/>
        <v>19</v>
      </c>
      <c r="AF93" s="11" t="str">
        <f t="shared" si="5"/>
        <v>E</v>
      </c>
      <c r="AG93" s="11" t="str">
        <f t="shared" si="6"/>
        <v>E-6</v>
      </c>
      <c r="AH93" s="21"/>
      <c r="AI93" s="21"/>
    </row>
    <row r="94" spans="1:35" ht="15.75" hidden="1" customHeight="1">
      <c r="A94" s="15">
        <v>92</v>
      </c>
      <c r="B94" s="16" t="s">
        <v>149</v>
      </c>
      <c r="C94" s="16" t="s">
        <v>144</v>
      </c>
      <c r="D94" s="17">
        <v>7</v>
      </c>
      <c r="E94" s="18"/>
      <c r="F94" s="19">
        <v>1</v>
      </c>
      <c r="G94" s="18"/>
      <c r="H94" s="19">
        <v>1</v>
      </c>
      <c r="I94" s="17">
        <v>5</v>
      </c>
      <c r="J94" s="17">
        <v>19</v>
      </c>
      <c r="K94" s="17">
        <v>14</v>
      </c>
      <c r="L94" s="17">
        <v>14</v>
      </c>
      <c r="M94" s="17">
        <v>0</v>
      </c>
      <c r="N94" s="17">
        <v>0</v>
      </c>
      <c r="O94" s="17">
        <v>0</v>
      </c>
      <c r="P94" s="17">
        <v>3</v>
      </c>
      <c r="Q94" s="17">
        <v>0</v>
      </c>
      <c r="R94" s="19"/>
      <c r="S94" s="20"/>
      <c r="T94" s="13">
        <f t="shared" si="0"/>
        <v>17</v>
      </c>
      <c r="U94" s="18">
        <f ca="1">IFERROR(__xludf.DUMMYFUNCTION("IFERROR(
  SUM(
    FILTER(
      Reporte!$E:$E, 
      REGEXMATCH(Reporte!$A:$A, ""(?i)(TE PAGÓ|PAGASTE)""), 
      Reporte!$H:$H &amp; """" = AG94 &amp; """"
    )
  ), 
  0
)"),17)</f>
        <v>17</v>
      </c>
      <c r="V94" s="18">
        <f ca="1">IFERROR(__xludf.DUMMYFUNCTION("IFERROR(
  SUM(
    FILTER(
      Efectivo!$C:$C, 
      Efectivo!$D:$D &amp; """" = AG94 &amp; """"
    )
  ), 
  0
)"),0)</f>
        <v>0</v>
      </c>
      <c r="W94" s="18" t="s">
        <v>35</v>
      </c>
      <c r="X94" s="18"/>
      <c r="Y94" s="18" t="s">
        <v>36</v>
      </c>
      <c r="Z94" s="18"/>
      <c r="AA94" s="18"/>
      <c r="AB94" s="18" t="str">
        <f t="shared" si="1"/>
        <v/>
      </c>
      <c r="AC94" s="18" t="str">
        <f t="shared" si="2"/>
        <v/>
      </c>
      <c r="AD94" s="11">
        <f t="shared" si="3"/>
        <v>0</v>
      </c>
      <c r="AE94" s="11">
        <f t="shared" si="4"/>
        <v>17</v>
      </c>
      <c r="AF94" s="18" t="str">
        <f t="shared" si="5"/>
        <v>E</v>
      </c>
      <c r="AG94" s="18" t="str">
        <f t="shared" si="6"/>
        <v>E-7</v>
      </c>
      <c r="AH94" s="14"/>
      <c r="AI94" s="14"/>
    </row>
    <row r="95" spans="1:35" ht="15.75" hidden="1" customHeight="1">
      <c r="A95" s="8">
        <v>93</v>
      </c>
      <c r="B95" s="9" t="s">
        <v>150</v>
      </c>
      <c r="C95" s="9" t="s">
        <v>144</v>
      </c>
      <c r="D95" s="10">
        <v>8</v>
      </c>
      <c r="E95" s="11"/>
      <c r="F95" s="11"/>
      <c r="G95" s="11"/>
      <c r="H95" s="12">
        <v>1</v>
      </c>
      <c r="I95" s="10">
        <v>1003</v>
      </c>
      <c r="J95" s="10">
        <v>1010</v>
      </c>
      <c r="K95" s="10">
        <v>7</v>
      </c>
      <c r="L95" s="10">
        <v>7</v>
      </c>
      <c r="M95" s="10">
        <v>0</v>
      </c>
      <c r="N95" s="10">
        <v>0</v>
      </c>
      <c r="O95" s="10">
        <v>0</v>
      </c>
      <c r="P95" s="10">
        <v>3</v>
      </c>
      <c r="Q95" s="10">
        <v>0</v>
      </c>
      <c r="R95" s="12"/>
      <c r="S95" s="13"/>
      <c r="T95" s="13">
        <f t="shared" si="0"/>
        <v>10</v>
      </c>
      <c r="U95" s="11">
        <f ca="1">IFERROR(__xludf.DUMMYFUNCTION("IFERROR(
  SUM(
    FILTER(
      Reporte!$E:$E, 
      REGEXMATCH(Reporte!$A:$A, ""(?i)(TE PAGÓ|PAGASTE)""), 
      Reporte!$H:$H &amp; """" = AG95 &amp; """"
    )
  ), 
  0
)"),0)</f>
        <v>0</v>
      </c>
      <c r="V95" s="11">
        <f ca="1">IFERROR(__xludf.DUMMYFUNCTION("IFERROR(
  SUM(
    FILTER(
      Efectivo!$C:$C, 
      Efectivo!$D:$D &amp; """" = AG95 &amp; """"
    )
  ), 
  0
)"),10)</f>
        <v>10</v>
      </c>
      <c r="W95" s="11" t="s">
        <v>35</v>
      </c>
      <c r="X95" s="11"/>
      <c r="Y95" s="11"/>
      <c r="Z95" s="11"/>
      <c r="AA95" s="11"/>
      <c r="AB95" s="11" t="str">
        <f t="shared" si="1"/>
        <v/>
      </c>
      <c r="AC95" s="11" t="str">
        <f t="shared" si="2"/>
        <v/>
      </c>
      <c r="AD95" s="11">
        <f t="shared" si="3"/>
        <v>10</v>
      </c>
      <c r="AE95" s="11">
        <f t="shared" si="4"/>
        <v>0</v>
      </c>
      <c r="AF95" s="11" t="str">
        <f t="shared" si="5"/>
        <v>E</v>
      </c>
      <c r="AG95" s="11" t="str">
        <f t="shared" si="6"/>
        <v>E-8</v>
      </c>
      <c r="AH95" s="21"/>
      <c r="AI95" s="21"/>
    </row>
    <row r="96" spans="1:35" ht="13.5" hidden="1" customHeight="1">
      <c r="A96" s="15">
        <v>94</v>
      </c>
      <c r="B96" s="16" t="s">
        <v>151</v>
      </c>
      <c r="C96" s="16" t="s">
        <v>144</v>
      </c>
      <c r="D96" s="17">
        <v>9</v>
      </c>
      <c r="E96" s="18"/>
      <c r="F96" s="18"/>
      <c r="G96" s="18"/>
      <c r="H96" s="19">
        <v>1</v>
      </c>
      <c r="I96" s="17">
        <v>0</v>
      </c>
      <c r="J96" s="17">
        <v>16</v>
      </c>
      <c r="K96" s="17">
        <v>16</v>
      </c>
      <c r="L96" s="17">
        <v>16</v>
      </c>
      <c r="M96" s="17">
        <v>0</v>
      </c>
      <c r="N96" s="17">
        <v>0</v>
      </c>
      <c r="O96" s="17">
        <v>0</v>
      </c>
      <c r="P96" s="17">
        <v>3</v>
      </c>
      <c r="Q96" s="17">
        <v>0</v>
      </c>
      <c r="R96" s="19"/>
      <c r="S96" s="20"/>
      <c r="T96" s="13">
        <f t="shared" si="0"/>
        <v>19</v>
      </c>
      <c r="U96" s="18">
        <f ca="1">IFERROR(__xludf.DUMMYFUNCTION("IFERROR(
  SUM(
    FILTER(
      Reporte!$E:$E, 
      REGEXMATCH(Reporte!$A:$A, ""(?i)(TE PAGÓ|PAGASTE)""), 
      Reporte!$H:$H &amp; """" = AG96 &amp; """"
    )
  ), 
  0
)"),0)</f>
        <v>0</v>
      </c>
      <c r="V96" s="18">
        <f ca="1">IFERROR(__xludf.DUMMYFUNCTION("IFERROR(
  SUM(
    FILTER(
      Efectivo!$C:$C, 
      Efectivo!$D:$D &amp; """" = AG96 &amp; """"
    )
  ), 
  0
)"),19)</f>
        <v>19</v>
      </c>
      <c r="W96" s="18" t="s">
        <v>35</v>
      </c>
      <c r="X96" s="18"/>
      <c r="Y96" s="18"/>
      <c r="Z96" s="18"/>
      <c r="AA96" s="18"/>
      <c r="AB96" s="18" t="str">
        <f t="shared" si="1"/>
        <v/>
      </c>
      <c r="AC96" s="18" t="str">
        <f t="shared" si="2"/>
        <v/>
      </c>
      <c r="AD96" s="11">
        <f t="shared" si="3"/>
        <v>19</v>
      </c>
      <c r="AE96" s="11">
        <f t="shared" si="4"/>
        <v>0</v>
      </c>
      <c r="AF96" s="18" t="str">
        <f t="shared" si="5"/>
        <v>E</v>
      </c>
      <c r="AG96" s="18" t="str">
        <f t="shared" si="6"/>
        <v>E-9</v>
      </c>
      <c r="AH96" s="14"/>
      <c r="AI96" s="14"/>
    </row>
    <row r="97" spans="1:35" ht="15.75" hidden="1" customHeight="1">
      <c r="A97" s="8">
        <v>95</v>
      </c>
      <c r="B97" s="9" t="s">
        <v>152</v>
      </c>
      <c r="C97" s="9" t="s">
        <v>144</v>
      </c>
      <c r="D97" s="10">
        <v>10</v>
      </c>
      <c r="E97" s="11"/>
      <c r="F97" s="11"/>
      <c r="G97" s="11"/>
      <c r="H97" s="12">
        <v>1</v>
      </c>
      <c r="I97" s="10">
        <v>1025</v>
      </c>
      <c r="J97" s="10">
        <v>1060</v>
      </c>
      <c r="K97" s="10">
        <v>35</v>
      </c>
      <c r="L97" s="10">
        <v>35</v>
      </c>
      <c r="M97" s="10">
        <v>42</v>
      </c>
      <c r="N97" s="10">
        <v>0</v>
      </c>
      <c r="O97" s="10">
        <v>0</v>
      </c>
      <c r="P97" s="10">
        <v>3</v>
      </c>
      <c r="Q97" s="10">
        <v>0</v>
      </c>
      <c r="R97" s="12"/>
      <c r="S97" s="13"/>
      <c r="T97" s="13">
        <f t="shared" si="0"/>
        <v>80</v>
      </c>
      <c r="U97" s="11">
        <f ca="1">IFERROR(__xludf.DUMMYFUNCTION("IFERROR(
  SUM(
    FILTER(
      Reporte!$E:$E, 
      REGEXMATCH(Reporte!$A:$A, ""(?i)(TE PAGÓ|PAGASTE)""), 
      Reporte!$H:$H &amp; """" = AG97 &amp; """"
    )
  ), 
  0
)"),0)</f>
        <v>0</v>
      </c>
      <c r="V97" s="11">
        <f ca="1">IFERROR(__xludf.DUMMYFUNCTION("IFERROR(
  SUM(
    FILTER(
      Efectivo!$C:$C, 
      Efectivo!$D:$D &amp; """" = AG97 &amp; """"
    )
  ), 
  0
)"),80)</f>
        <v>80</v>
      </c>
      <c r="W97" s="11" t="s">
        <v>35</v>
      </c>
      <c r="X97" s="11"/>
      <c r="Y97" s="11"/>
      <c r="Z97" s="11"/>
      <c r="AA97" s="11"/>
      <c r="AB97" s="11" t="str">
        <f t="shared" si="1"/>
        <v/>
      </c>
      <c r="AC97" s="11" t="str">
        <f t="shared" si="2"/>
        <v/>
      </c>
      <c r="AD97" s="11">
        <f t="shared" si="3"/>
        <v>80</v>
      </c>
      <c r="AE97" s="11">
        <f t="shared" si="4"/>
        <v>0</v>
      </c>
      <c r="AF97" s="11" t="str">
        <f t="shared" si="5"/>
        <v>E</v>
      </c>
      <c r="AG97" s="11" t="str">
        <f t="shared" si="6"/>
        <v>E-10</v>
      </c>
      <c r="AH97" s="21"/>
      <c r="AI97" s="21"/>
    </row>
    <row r="98" spans="1:35" ht="15.75" hidden="1" customHeight="1">
      <c r="A98" s="15">
        <v>96</v>
      </c>
      <c r="B98" s="16" t="s">
        <v>153</v>
      </c>
      <c r="C98" s="16" t="s">
        <v>144</v>
      </c>
      <c r="D98" s="17">
        <v>11</v>
      </c>
      <c r="E98" s="18"/>
      <c r="F98" s="18"/>
      <c r="G98" s="18"/>
      <c r="H98" s="19">
        <v>1</v>
      </c>
      <c r="I98" s="17">
        <v>4213</v>
      </c>
      <c r="J98" s="17">
        <v>4264</v>
      </c>
      <c r="K98" s="17">
        <v>51</v>
      </c>
      <c r="L98" s="17">
        <v>51</v>
      </c>
      <c r="M98" s="17">
        <v>0</v>
      </c>
      <c r="N98" s="17">
        <v>0</v>
      </c>
      <c r="O98" s="17">
        <v>0</v>
      </c>
      <c r="P98" s="17"/>
      <c r="Q98" s="17">
        <v>0</v>
      </c>
      <c r="R98" s="19"/>
      <c r="S98" s="20"/>
      <c r="T98" s="13">
        <f t="shared" si="0"/>
        <v>51</v>
      </c>
      <c r="U98" s="18">
        <f ca="1">IFERROR(__xludf.DUMMYFUNCTION("IFERROR(
  SUM(
    FILTER(
      Reporte!$E:$E, 
      REGEXMATCH(Reporte!$A:$A, ""(?i)(TE PAGÓ|PAGASTE)""), 
      Reporte!$H:$H &amp; """" = AG98 &amp; """"
    )
  ), 
  0
)"),0)</f>
        <v>0</v>
      </c>
      <c r="V98" s="18">
        <f ca="1">IFERROR(__xludf.DUMMYFUNCTION("IFERROR(
  SUM(
    FILTER(
      Efectivo!$C:$C, 
      Efectivo!$D:$D &amp; """" = AG98 &amp; """"
    )
  ), 
  0
)"),51)</f>
        <v>51</v>
      </c>
      <c r="W98" s="18" t="s">
        <v>35</v>
      </c>
      <c r="X98" s="18"/>
      <c r="Y98" s="18"/>
      <c r="Z98" s="18" t="s">
        <v>102</v>
      </c>
      <c r="AA98" s="18"/>
      <c r="AB98" s="18" t="str">
        <f t="shared" si="1"/>
        <v/>
      </c>
      <c r="AC98" s="18" t="str">
        <f t="shared" si="2"/>
        <v/>
      </c>
      <c r="AD98" s="11">
        <f t="shared" si="3"/>
        <v>51</v>
      </c>
      <c r="AE98" s="11">
        <f t="shared" si="4"/>
        <v>0</v>
      </c>
      <c r="AF98" s="18" t="str">
        <f t="shared" si="5"/>
        <v>E</v>
      </c>
      <c r="AG98" s="18" t="str">
        <f t="shared" si="6"/>
        <v>E-11</v>
      </c>
      <c r="AH98" s="14"/>
      <c r="AI98" s="14"/>
    </row>
    <row r="99" spans="1:35" ht="15.75" hidden="1" customHeight="1">
      <c r="A99" s="8">
        <v>97</v>
      </c>
      <c r="B99" s="9" t="s">
        <v>154</v>
      </c>
      <c r="C99" s="9" t="s">
        <v>144</v>
      </c>
      <c r="D99" s="10">
        <v>12</v>
      </c>
      <c r="E99" s="11"/>
      <c r="F99" s="11"/>
      <c r="G99" s="11"/>
      <c r="H99" s="12">
        <v>1</v>
      </c>
      <c r="I99" s="10">
        <v>19</v>
      </c>
      <c r="J99" s="10">
        <v>37</v>
      </c>
      <c r="K99" s="10">
        <v>18</v>
      </c>
      <c r="L99" s="10">
        <v>18</v>
      </c>
      <c r="M99" s="10">
        <v>0</v>
      </c>
      <c r="N99" s="10">
        <v>0</v>
      </c>
      <c r="O99" s="10">
        <v>25</v>
      </c>
      <c r="P99" s="10">
        <v>3</v>
      </c>
      <c r="Q99" s="10">
        <v>0</v>
      </c>
      <c r="R99" s="12"/>
      <c r="S99" s="13"/>
      <c r="T99" s="13">
        <f t="shared" si="0"/>
        <v>46</v>
      </c>
      <c r="U99" s="11">
        <f ca="1">IFERROR(__xludf.DUMMYFUNCTION("IFERROR(
  SUM(
    FILTER(
      Reporte!$E:$E, 
      REGEXMATCH(Reporte!$A:$A, ""(?i)(TE PAGÓ|PAGASTE)""), 
      Reporte!$H:$H &amp; """" = AG99 &amp; """"
    )
  ), 
  0
)"),46)</f>
        <v>46</v>
      </c>
      <c r="V99" s="11">
        <f ca="1">IFERROR(__xludf.DUMMYFUNCTION("IFERROR(
  SUM(
    FILTER(
      Efectivo!$C:$C, 
      Efectivo!$D:$D &amp; """" = AG99 &amp; """"
    )
  ), 
  0
)"),0)</f>
        <v>0</v>
      </c>
      <c r="W99" s="11" t="s">
        <v>35</v>
      </c>
      <c r="X99" s="11"/>
      <c r="Y99" s="11" t="s">
        <v>36</v>
      </c>
      <c r="Z99" s="11"/>
      <c r="AA99" s="11"/>
      <c r="AB99" s="11" t="str">
        <f t="shared" si="1"/>
        <v/>
      </c>
      <c r="AC99" s="11" t="str">
        <f t="shared" si="2"/>
        <v/>
      </c>
      <c r="AD99" s="11">
        <f t="shared" si="3"/>
        <v>0</v>
      </c>
      <c r="AE99" s="11">
        <f t="shared" si="4"/>
        <v>46</v>
      </c>
      <c r="AF99" s="11" t="str">
        <f t="shared" si="5"/>
        <v>E</v>
      </c>
      <c r="AG99" s="11" t="str">
        <f t="shared" si="6"/>
        <v>E-12</v>
      </c>
      <c r="AH99" s="21"/>
      <c r="AI99" s="21"/>
    </row>
    <row r="100" spans="1:35" ht="15.75" hidden="1" customHeight="1">
      <c r="A100" s="15">
        <v>98</v>
      </c>
      <c r="B100" s="16" t="s">
        <v>155</v>
      </c>
      <c r="C100" s="16" t="s">
        <v>144</v>
      </c>
      <c r="D100" s="17">
        <v>13</v>
      </c>
      <c r="E100" s="18"/>
      <c r="F100" s="18"/>
      <c r="G100" s="18"/>
      <c r="H100" s="19">
        <v>1</v>
      </c>
      <c r="I100" s="17">
        <v>3107</v>
      </c>
      <c r="J100" s="17">
        <v>3118</v>
      </c>
      <c r="K100" s="17">
        <v>11</v>
      </c>
      <c r="L100" s="17">
        <v>11</v>
      </c>
      <c r="M100" s="17">
        <v>0</v>
      </c>
      <c r="N100" s="17">
        <v>0</v>
      </c>
      <c r="O100" s="17">
        <v>0</v>
      </c>
      <c r="P100" s="17">
        <v>3</v>
      </c>
      <c r="Q100" s="17">
        <v>0</v>
      </c>
      <c r="R100" s="19"/>
      <c r="S100" s="20"/>
      <c r="T100" s="13">
        <f t="shared" si="0"/>
        <v>14</v>
      </c>
      <c r="U100" s="18">
        <f ca="1">IFERROR(__xludf.DUMMYFUNCTION("IFERROR(
  SUM(
    FILTER(
      Reporte!$E:$E, 
      REGEXMATCH(Reporte!$A:$A, ""(?i)(TE PAGÓ|PAGASTE)""), 
      Reporte!$H:$H &amp; """" = AG100 &amp; """"
    )
  ), 
  0
)"),14)</f>
        <v>14</v>
      </c>
      <c r="V100" s="18">
        <f ca="1">IFERROR(__xludf.DUMMYFUNCTION("IFERROR(
  SUM(
    FILTER(
      Efectivo!$C:$C, 
      Efectivo!$D:$D &amp; """" = AG100 &amp; """"
    )
  ), 
  0
)"),0)</f>
        <v>0</v>
      </c>
      <c r="W100" s="18" t="s">
        <v>35</v>
      </c>
      <c r="X100" s="18"/>
      <c r="Y100" s="18" t="s">
        <v>36</v>
      </c>
      <c r="Z100" s="18"/>
      <c r="AA100" s="18"/>
      <c r="AB100" s="18" t="str">
        <f t="shared" si="1"/>
        <v/>
      </c>
      <c r="AC100" s="18" t="str">
        <f t="shared" si="2"/>
        <v/>
      </c>
      <c r="AD100" s="11">
        <f t="shared" si="3"/>
        <v>0</v>
      </c>
      <c r="AE100" s="11">
        <f t="shared" si="4"/>
        <v>14</v>
      </c>
      <c r="AF100" s="18" t="str">
        <f t="shared" si="5"/>
        <v>E</v>
      </c>
      <c r="AG100" s="18" t="str">
        <f t="shared" si="6"/>
        <v>E-13</v>
      </c>
      <c r="AH100" s="14"/>
      <c r="AI100" s="14"/>
    </row>
    <row r="101" spans="1:35" ht="15.75" hidden="1" customHeight="1">
      <c r="A101" s="8">
        <v>99</v>
      </c>
      <c r="B101" s="9" t="s">
        <v>156</v>
      </c>
      <c r="C101" s="9" t="s">
        <v>144</v>
      </c>
      <c r="D101" s="10">
        <v>14</v>
      </c>
      <c r="E101" s="11"/>
      <c r="F101" s="11"/>
      <c r="G101" s="11"/>
      <c r="H101" s="12">
        <v>1</v>
      </c>
      <c r="I101" s="10">
        <v>77</v>
      </c>
      <c r="J101" s="10">
        <v>86</v>
      </c>
      <c r="K101" s="10">
        <v>9</v>
      </c>
      <c r="L101" s="10">
        <v>9</v>
      </c>
      <c r="M101" s="10">
        <v>21</v>
      </c>
      <c r="N101" s="10">
        <v>0</v>
      </c>
      <c r="O101" s="10">
        <v>0</v>
      </c>
      <c r="P101" s="10">
        <v>3</v>
      </c>
      <c r="Q101" s="10">
        <v>0</v>
      </c>
      <c r="R101" s="12"/>
      <c r="S101" s="13"/>
      <c r="T101" s="13">
        <f t="shared" si="0"/>
        <v>33</v>
      </c>
      <c r="U101" s="11">
        <f ca="1">IFERROR(__xludf.DUMMYFUNCTION("IFERROR(
  SUM(
    FILTER(
      Reporte!$E:$E, 
      REGEXMATCH(Reporte!$A:$A, ""(?i)(TE PAGÓ|PAGASTE)""), 
      Reporte!$H:$H &amp; """" = AG101 &amp; """"
    )
  ), 
  0
)"),0)</f>
        <v>0</v>
      </c>
      <c r="V101" s="11">
        <f ca="1">IFERROR(__xludf.DUMMYFUNCTION("IFERROR(
  SUM(
    FILTER(
      Efectivo!$C:$C, 
      Efectivo!$D:$D &amp; """" = AG101 &amp; """"
    )
  ), 
  0
)"),33)</f>
        <v>33</v>
      </c>
      <c r="W101" s="11" t="s">
        <v>35</v>
      </c>
      <c r="X101" s="11"/>
      <c r="Y101" s="11"/>
      <c r="Z101" s="11"/>
      <c r="AA101" s="11"/>
      <c r="AB101" s="11" t="str">
        <f t="shared" si="1"/>
        <v/>
      </c>
      <c r="AC101" s="11" t="str">
        <f t="shared" si="2"/>
        <v/>
      </c>
      <c r="AD101" s="11">
        <f t="shared" si="3"/>
        <v>33</v>
      </c>
      <c r="AE101" s="11">
        <f t="shared" si="4"/>
        <v>0</v>
      </c>
      <c r="AF101" s="11" t="str">
        <f t="shared" si="5"/>
        <v>E</v>
      </c>
      <c r="AG101" s="11" t="str">
        <f t="shared" si="6"/>
        <v>E-14</v>
      </c>
      <c r="AH101" s="21"/>
      <c r="AI101" s="21"/>
    </row>
    <row r="102" spans="1:35" ht="15.75" hidden="1" customHeight="1">
      <c r="A102" s="15">
        <v>100</v>
      </c>
      <c r="B102" s="16" t="s">
        <v>157</v>
      </c>
      <c r="C102" s="16" t="s">
        <v>144</v>
      </c>
      <c r="D102" s="16" t="s">
        <v>158</v>
      </c>
      <c r="E102" s="18"/>
      <c r="F102" s="18"/>
      <c r="G102" s="18"/>
      <c r="H102" s="19">
        <v>1</v>
      </c>
      <c r="I102" s="17">
        <v>336</v>
      </c>
      <c r="J102" s="17">
        <v>343</v>
      </c>
      <c r="K102" s="17">
        <v>7</v>
      </c>
      <c r="L102" s="17">
        <v>7</v>
      </c>
      <c r="M102" s="17">
        <v>9</v>
      </c>
      <c r="N102" s="17">
        <v>0</v>
      </c>
      <c r="O102" s="17">
        <v>0</v>
      </c>
      <c r="P102" s="17">
        <v>3</v>
      </c>
      <c r="Q102" s="17">
        <v>0</v>
      </c>
      <c r="R102" s="19"/>
      <c r="S102" s="20"/>
      <c r="T102" s="13">
        <f t="shared" si="0"/>
        <v>19</v>
      </c>
      <c r="U102" s="18">
        <f ca="1">IFERROR(__xludf.DUMMYFUNCTION("IFERROR(
  SUM(
    FILTER(
      Reporte!$E:$E, 
      REGEXMATCH(Reporte!$A:$A, ""(?i)(TE PAGÓ|PAGASTE)""), 
      Reporte!$H:$H &amp; """" = AG102 &amp; """"
    )
  ), 
  0
)"),19)</f>
        <v>19</v>
      </c>
      <c r="V102" s="18">
        <f ca="1">IFERROR(__xludf.DUMMYFUNCTION("IFERROR(
  SUM(
    FILTER(
      Efectivo!$C:$C, 
      Efectivo!$D:$D &amp; """" = AG102 &amp; """"
    )
  ), 
  0
)"),0)</f>
        <v>0</v>
      </c>
      <c r="W102" s="18" t="s">
        <v>35</v>
      </c>
      <c r="X102" s="18"/>
      <c r="Y102" s="18" t="s">
        <v>36</v>
      </c>
      <c r="Z102" s="18"/>
      <c r="AA102" s="18"/>
      <c r="AB102" s="18" t="str">
        <f t="shared" si="1"/>
        <v/>
      </c>
      <c r="AC102" s="18" t="str">
        <f t="shared" si="2"/>
        <v/>
      </c>
      <c r="AD102" s="11">
        <f t="shared" si="3"/>
        <v>0</v>
      </c>
      <c r="AE102" s="11">
        <f t="shared" si="4"/>
        <v>19</v>
      </c>
      <c r="AF102" s="18" t="str">
        <f t="shared" si="5"/>
        <v>E</v>
      </c>
      <c r="AG102" s="18" t="str">
        <f t="shared" si="6"/>
        <v>E-14B</v>
      </c>
      <c r="AH102" s="14"/>
      <c r="AI102" s="14"/>
    </row>
    <row r="103" spans="1:35" ht="15.75" hidden="1" customHeight="1">
      <c r="A103" s="8">
        <v>101</v>
      </c>
      <c r="B103" s="9" t="s">
        <v>159</v>
      </c>
      <c r="C103" s="9" t="s">
        <v>144</v>
      </c>
      <c r="D103" s="10">
        <v>19</v>
      </c>
      <c r="E103" s="11"/>
      <c r="F103" s="11"/>
      <c r="G103" s="11"/>
      <c r="H103" s="12">
        <v>1</v>
      </c>
      <c r="I103" s="10">
        <v>21</v>
      </c>
      <c r="J103" s="10">
        <v>22</v>
      </c>
      <c r="K103" s="10">
        <v>5</v>
      </c>
      <c r="L103" s="10">
        <v>5</v>
      </c>
      <c r="M103" s="10">
        <v>0</v>
      </c>
      <c r="N103" s="10">
        <v>0</v>
      </c>
      <c r="O103" s="10">
        <v>0</v>
      </c>
      <c r="P103" s="10">
        <v>3</v>
      </c>
      <c r="Q103" s="10">
        <v>0</v>
      </c>
      <c r="R103" s="12"/>
      <c r="S103" s="13"/>
      <c r="T103" s="13">
        <f t="shared" si="0"/>
        <v>8</v>
      </c>
      <c r="U103" s="11">
        <f ca="1">IFERROR(__xludf.DUMMYFUNCTION("IFERROR(
  SUM(
    FILTER(
      Reporte!$E:$E, 
      REGEXMATCH(Reporte!$A:$A, ""(?i)(TE PAGÓ|PAGASTE)""), 
      Reporte!$H:$H &amp; """" = AG103 &amp; """"
    )
  ), 
  0
)"),8)</f>
        <v>8</v>
      </c>
      <c r="V103" s="11">
        <f ca="1">IFERROR(__xludf.DUMMYFUNCTION("IFERROR(
  SUM(
    FILTER(
      Efectivo!$C:$C, 
      Efectivo!$D:$D &amp; """" = AG103 &amp; """"
    )
  ), 
  0
)"),0)</f>
        <v>0</v>
      </c>
      <c r="W103" s="11" t="s">
        <v>35</v>
      </c>
      <c r="X103" s="11"/>
      <c r="Y103" s="11" t="s">
        <v>36</v>
      </c>
      <c r="Z103" s="11"/>
      <c r="AA103" s="11"/>
      <c r="AB103" s="11" t="str">
        <f t="shared" si="1"/>
        <v/>
      </c>
      <c r="AC103" s="11" t="str">
        <f t="shared" si="2"/>
        <v/>
      </c>
      <c r="AD103" s="11">
        <f t="shared" si="3"/>
        <v>0</v>
      </c>
      <c r="AE103" s="11">
        <f t="shared" si="4"/>
        <v>8</v>
      </c>
      <c r="AF103" s="11" t="str">
        <f t="shared" si="5"/>
        <v>E</v>
      </c>
      <c r="AG103" s="11" t="str">
        <f t="shared" si="6"/>
        <v>E-19</v>
      </c>
      <c r="AH103" s="21"/>
      <c r="AI103" s="21"/>
    </row>
    <row r="104" spans="1:35" ht="15.75" hidden="1" customHeight="1">
      <c r="A104" s="15">
        <v>102</v>
      </c>
      <c r="B104" s="16" t="s">
        <v>160</v>
      </c>
      <c r="C104" s="16" t="s">
        <v>161</v>
      </c>
      <c r="D104" s="17">
        <v>1</v>
      </c>
      <c r="E104" s="18"/>
      <c r="F104" s="18"/>
      <c r="G104" s="18"/>
      <c r="H104" s="19">
        <v>1</v>
      </c>
      <c r="I104" s="17">
        <v>828</v>
      </c>
      <c r="J104" s="17">
        <v>847</v>
      </c>
      <c r="K104" s="17">
        <v>19</v>
      </c>
      <c r="L104" s="17">
        <v>19</v>
      </c>
      <c r="M104" s="17">
        <v>0</v>
      </c>
      <c r="N104" s="17">
        <v>0</v>
      </c>
      <c r="O104" s="17">
        <v>0</v>
      </c>
      <c r="P104" s="17">
        <v>3</v>
      </c>
      <c r="Q104" s="17">
        <v>0</v>
      </c>
      <c r="R104" s="19"/>
      <c r="S104" s="20"/>
      <c r="T104" s="13">
        <f t="shared" si="0"/>
        <v>22</v>
      </c>
      <c r="U104" s="18">
        <f ca="1">IFERROR(__xludf.DUMMYFUNCTION("IFERROR(
  SUM(
    FILTER(
      Reporte!$E:$E, 
      REGEXMATCH(Reporte!$A:$A, ""(?i)(TE PAGÓ|PAGASTE)""), 
      Reporte!$H:$H &amp; """" = AG104 &amp; """"
    )
  ), 
  0
)"),22)</f>
        <v>22</v>
      </c>
      <c r="V104" s="18">
        <f ca="1">IFERROR(__xludf.DUMMYFUNCTION("IFERROR(
  SUM(
    FILTER(
      Efectivo!$C:$C, 
      Efectivo!$D:$D &amp; """" = AG104 &amp; """"
    )
  ), 
  0
)"),0)</f>
        <v>0</v>
      </c>
      <c r="W104" s="18" t="s">
        <v>35</v>
      </c>
      <c r="X104" s="18"/>
      <c r="Y104" s="18" t="s">
        <v>36</v>
      </c>
      <c r="Z104" s="18"/>
      <c r="AA104" s="18"/>
      <c r="AB104" s="18" t="str">
        <f t="shared" si="1"/>
        <v/>
      </c>
      <c r="AC104" s="18" t="str">
        <f t="shared" si="2"/>
        <v/>
      </c>
      <c r="AD104" s="11">
        <f t="shared" si="3"/>
        <v>0</v>
      </c>
      <c r="AE104" s="11">
        <f t="shared" si="4"/>
        <v>22</v>
      </c>
      <c r="AF104" s="18" t="str">
        <f t="shared" si="5"/>
        <v>F</v>
      </c>
      <c r="AG104" s="18" t="str">
        <f t="shared" si="6"/>
        <v>F-1</v>
      </c>
      <c r="AH104" s="14"/>
      <c r="AI104" s="14"/>
    </row>
    <row r="105" spans="1:35" ht="15.75" hidden="1" customHeight="1">
      <c r="A105" s="8">
        <v>103</v>
      </c>
      <c r="B105" s="9" t="s">
        <v>162</v>
      </c>
      <c r="C105" s="9" t="s">
        <v>161</v>
      </c>
      <c r="D105" s="10">
        <v>3</v>
      </c>
      <c r="E105" s="11"/>
      <c r="F105" s="11"/>
      <c r="G105" s="11"/>
      <c r="H105" s="12">
        <v>1</v>
      </c>
      <c r="I105" s="10">
        <v>4</v>
      </c>
      <c r="J105" s="10">
        <v>4</v>
      </c>
      <c r="K105" s="10">
        <v>5</v>
      </c>
      <c r="L105" s="10">
        <v>5</v>
      </c>
      <c r="M105" s="10">
        <v>0</v>
      </c>
      <c r="N105" s="10">
        <v>0</v>
      </c>
      <c r="O105" s="10">
        <v>0</v>
      </c>
      <c r="P105" s="10">
        <v>3</v>
      </c>
      <c r="Q105" s="10">
        <v>0</v>
      </c>
      <c r="R105" s="12"/>
      <c r="S105" s="13"/>
      <c r="T105" s="13">
        <f t="shared" si="0"/>
        <v>8</v>
      </c>
      <c r="U105" s="11">
        <f ca="1">IFERROR(__xludf.DUMMYFUNCTION("IFERROR(
  SUM(
    FILTER(
      Reporte!$E:$E, 
      REGEXMATCH(Reporte!$A:$A, ""(?i)(TE PAGÓ|PAGASTE)""), 
      Reporte!$H:$H &amp; """" = AG105 &amp; """"
    )
  ), 
  0
)"),0)</f>
        <v>0</v>
      </c>
      <c r="V105" s="11">
        <f ca="1">IFERROR(__xludf.DUMMYFUNCTION("IFERROR(
  SUM(
    FILTER(
      Efectivo!$C:$C, 
      Efectivo!$D:$D &amp; """" = AG105 &amp; """"
    )
  ), 
  0
)"),0)</f>
        <v>0</v>
      </c>
      <c r="W105" s="11"/>
      <c r="X105" s="11"/>
      <c r="Y105" s="11"/>
      <c r="Z105" s="11"/>
      <c r="AA105" s="11"/>
      <c r="AB105" s="11" t="str">
        <f t="shared" si="1"/>
        <v/>
      </c>
      <c r="AC105" s="11" t="str">
        <f t="shared" si="2"/>
        <v/>
      </c>
      <c r="AD105" s="11">
        <f t="shared" si="3"/>
        <v>0</v>
      </c>
      <c r="AE105" s="11">
        <f t="shared" si="4"/>
        <v>0</v>
      </c>
      <c r="AF105" s="11" t="str">
        <f t="shared" si="5"/>
        <v>F</v>
      </c>
      <c r="AG105" s="11" t="str">
        <f t="shared" si="6"/>
        <v>F-3</v>
      </c>
      <c r="AH105" s="21"/>
      <c r="AI105" s="21"/>
    </row>
    <row r="106" spans="1:35" ht="15.75" hidden="1" customHeight="1">
      <c r="A106" s="15">
        <v>104</v>
      </c>
      <c r="B106" s="16" t="s">
        <v>163</v>
      </c>
      <c r="C106" s="16" t="s">
        <v>161</v>
      </c>
      <c r="D106" s="16" t="s">
        <v>164</v>
      </c>
      <c r="E106" s="18"/>
      <c r="F106" s="18"/>
      <c r="G106" s="18"/>
      <c r="H106" s="19">
        <v>1</v>
      </c>
      <c r="I106" s="17">
        <v>0</v>
      </c>
      <c r="J106" s="17">
        <v>0</v>
      </c>
      <c r="K106" s="17">
        <v>5</v>
      </c>
      <c r="L106" s="17">
        <v>5</v>
      </c>
      <c r="M106" s="17">
        <v>0</v>
      </c>
      <c r="N106" s="17">
        <v>0</v>
      </c>
      <c r="O106" s="17">
        <v>25</v>
      </c>
      <c r="P106" s="17">
        <v>3</v>
      </c>
      <c r="Q106" s="17">
        <v>0</v>
      </c>
      <c r="R106" s="19"/>
      <c r="S106" s="20"/>
      <c r="T106" s="13">
        <f t="shared" si="0"/>
        <v>33</v>
      </c>
      <c r="U106" s="18">
        <f ca="1">IFERROR(__xludf.DUMMYFUNCTION("IFERROR(
  SUM(
    FILTER(
      Reporte!$E:$E, 
      REGEXMATCH(Reporte!$A:$A, ""(?i)(TE PAGÓ|PAGASTE)""), 
      Reporte!$H:$H &amp; """" = AG106 &amp; """"
    )
  ), 
  0
)"),33)</f>
        <v>33</v>
      </c>
      <c r="V106" s="18">
        <f ca="1">IFERROR(__xludf.DUMMYFUNCTION("IFERROR(
  SUM(
    FILTER(
      Efectivo!$C:$C, 
      Efectivo!$D:$D &amp; """" = AG106 &amp; """"
    )
  ), 
  0
)"),0)</f>
        <v>0</v>
      </c>
      <c r="W106" s="18" t="s">
        <v>35</v>
      </c>
      <c r="X106" s="18"/>
      <c r="Y106" s="18" t="s">
        <v>36</v>
      </c>
      <c r="Z106" s="18"/>
      <c r="AA106" s="18"/>
      <c r="AB106" s="18" t="str">
        <f t="shared" si="1"/>
        <v/>
      </c>
      <c r="AC106" s="18" t="str">
        <f t="shared" si="2"/>
        <v/>
      </c>
      <c r="AD106" s="11">
        <f t="shared" si="3"/>
        <v>0</v>
      </c>
      <c r="AE106" s="11">
        <f t="shared" si="4"/>
        <v>33</v>
      </c>
      <c r="AF106" s="18" t="str">
        <f t="shared" si="5"/>
        <v>F</v>
      </c>
      <c r="AG106" s="18" t="str">
        <f t="shared" si="6"/>
        <v>F-3B</v>
      </c>
      <c r="AH106" s="14"/>
      <c r="AI106" s="14"/>
    </row>
    <row r="107" spans="1:35" ht="15.75" hidden="1" customHeight="1">
      <c r="A107" s="8">
        <v>105</v>
      </c>
      <c r="B107" s="9" t="s">
        <v>165</v>
      </c>
      <c r="C107" s="9" t="s">
        <v>161</v>
      </c>
      <c r="D107" s="10">
        <v>4</v>
      </c>
      <c r="E107" s="11"/>
      <c r="F107" s="11"/>
      <c r="G107" s="11"/>
      <c r="H107" s="12">
        <v>1</v>
      </c>
      <c r="I107" s="10">
        <v>719</v>
      </c>
      <c r="J107" s="10">
        <v>737</v>
      </c>
      <c r="K107" s="10">
        <v>18</v>
      </c>
      <c r="L107" s="10">
        <v>18</v>
      </c>
      <c r="M107" s="10">
        <v>30</v>
      </c>
      <c r="N107" s="10">
        <v>0</v>
      </c>
      <c r="O107" s="10">
        <v>0</v>
      </c>
      <c r="P107" s="10">
        <v>3</v>
      </c>
      <c r="Q107" s="10">
        <v>0</v>
      </c>
      <c r="R107" s="12"/>
      <c r="S107" s="13"/>
      <c r="T107" s="13">
        <f t="shared" si="0"/>
        <v>51</v>
      </c>
      <c r="U107" s="11">
        <f ca="1">IFERROR(__xludf.DUMMYFUNCTION("IFERROR(
  SUM(
    FILTER(
      Reporte!$E:$E, 
      REGEXMATCH(Reporte!$A:$A, ""(?i)(TE PAGÓ|PAGASTE)""), 
      Reporte!$H:$H &amp; """" = AG107 &amp; """"
    )
  ), 
  0
)"),51)</f>
        <v>51</v>
      </c>
      <c r="V107" s="11">
        <f ca="1">IFERROR(__xludf.DUMMYFUNCTION("IFERROR(
  SUM(
    FILTER(
      Efectivo!$C:$C, 
      Efectivo!$D:$D &amp; """" = AG107 &amp; """"
    )
  ), 
  0
)"),0)</f>
        <v>0</v>
      </c>
      <c r="W107" s="11" t="s">
        <v>35</v>
      </c>
      <c r="X107" s="11"/>
      <c r="Y107" s="11" t="s">
        <v>36</v>
      </c>
      <c r="Z107" s="11"/>
      <c r="AA107" s="11"/>
      <c r="AB107" s="11" t="str">
        <f t="shared" si="1"/>
        <v/>
      </c>
      <c r="AC107" s="11" t="str">
        <f t="shared" si="2"/>
        <v/>
      </c>
      <c r="AD107" s="11">
        <f t="shared" si="3"/>
        <v>0</v>
      </c>
      <c r="AE107" s="11">
        <f t="shared" si="4"/>
        <v>51</v>
      </c>
      <c r="AF107" s="11" t="str">
        <f t="shared" si="5"/>
        <v>F</v>
      </c>
      <c r="AG107" s="11" t="str">
        <f t="shared" si="6"/>
        <v>F-4</v>
      </c>
      <c r="AH107" s="21"/>
      <c r="AI107" s="21"/>
    </row>
    <row r="108" spans="1:35" ht="15.75" hidden="1" customHeight="1">
      <c r="A108" s="15">
        <v>106</v>
      </c>
      <c r="B108" s="16" t="s">
        <v>166</v>
      </c>
      <c r="C108" s="16" t="s">
        <v>161</v>
      </c>
      <c r="D108" s="17">
        <v>5</v>
      </c>
      <c r="E108" s="18"/>
      <c r="F108" s="18"/>
      <c r="G108" s="18"/>
      <c r="H108" s="19">
        <v>1</v>
      </c>
      <c r="I108" s="17">
        <v>2228</v>
      </c>
      <c r="J108" s="17">
        <v>2269</v>
      </c>
      <c r="K108" s="17">
        <v>41</v>
      </c>
      <c r="L108" s="17">
        <v>41</v>
      </c>
      <c r="M108" s="17">
        <v>0</v>
      </c>
      <c r="N108" s="17">
        <v>0</v>
      </c>
      <c r="O108" s="17">
        <v>0</v>
      </c>
      <c r="P108" s="17">
        <v>3</v>
      </c>
      <c r="Q108" s="17">
        <v>0</v>
      </c>
      <c r="R108" s="19"/>
      <c r="S108" s="20"/>
      <c r="T108" s="13">
        <f t="shared" si="0"/>
        <v>44</v>
      </c>
      <c r="U108" s="18">
        <f ca="1">IFERROR(__xludf.DUMMYFUNCTION("IFERROR(
  SUM(
    FILTER(
      Reporte!$E:$E, 
      REGEXMATCH(Reporte!$A:$A, ""(?i)(TE PAGÓ|PAGASTE)""), 
      Reporte!$H:$H &amp; """" = AG108 &amp; """"
    )
  ), 
  0
)"),44)</f>
        <v>44</v>
      </c>
      <c r="V108" s="18">
        <f ca="1">IFERROR(__xludf.DUMMYFUNCTION("IFERROR(
  SUM(
    FILTER(
      Efectivo!$C:$C, 
      Efectivo!$D:$D &amp; """" = AG108 &amp; """"
    )
  ), 
  0
)"),0)</f>
        <v>0</v>
      </c>
      <c r="W108" s="18" t="s">
        <v>35</v>
      </c>
      <c r="X108" s="18"/>
      <c r="Y108" s="18" t="s">
        <v>36</v>
      </c>
      <c r="Z108" s="18"/>
      <c r="AA108" s="18"/>
      <c r="AB108" s="18" t="str">
        <f t="shared" si="1"/>
        <v/>
      </c>
      <c r="AC108" s="18" t="str">
        <f t="shared" si="2"/>
        <v/>
      </c>
      <c r="AD108" s="11">
        <f t="shared" si="3"/>
        <v>0</v>
      </c>
      <c r="AE108" s="11">
        <f t="shared" si="4"/>
        <v>44</v>
      </c>
      <c r="AF108" s="18" t="str">
        <f t="shared" si="5"/>
        <v>F</v>
      </c>
      <c r="AG108" s="18" t="str">
        <f t="shared" si="6"/>
        <v>F-5</v>
      </c>
      <c r="AH108" s="14"/>
      <c r="AI108" s="14"/>
    </row>
    <row r="109" spans="1:35" ht="15.75" hidden="1" customHeight="1">
      <c r="A109" s="8">
        <v>107</v>
      </c>
      <c r="B109" s="9" t="s">
        <v>167</v>
      </c>
      <c r="C109" s="9" t="s">
        <v>161</v>
      </c>
      <c r="D109" s="10">
        <v>6</v>
      </c>
      <c r="E109" s="11"/>
      <c r="F109" s="11"/>
      <c r="G109" s="11"/>
      <c r="H109" s="12">
        <v>1</v>
      </c>
      <c r="I109" s="10">
        <v>21</v>
      </c>
      <c r="J109" s="10">
        <v>34</v>
      </c>
      <c r="K109" s="10">
        <v>13</v>
      </c>
      <c r="L109" s="10">
        <v>13</v>
      </c>
      <c r="M109" s="10">
        <v>24</v>
      </c>
      <c r="N109" s="10">
        <v>0</v>
      </c>
      <c r="O109" s="10">
        <v>25</v>
      </c>
      <c r="P109" s="10">
        <v>3</v>
      </c>
      <c r="Q109" s="10">
        <v>0</v>
      </c>
      <c r="R109" s="12"/>
      <c r="S109" s="13"/>
      <c r="T109" s="13">
        <f t="shared" si="0"/>
        <v>65</v>
      </c>
      <c r="U109" s="11">
        <f ca="1">IFERROR(__xludf.DUMMYFUNCTION("IFERROR(
  SUM(
    FILTER(
      Reporte!$E:$E, 
      REGEXMATCH(Reporte!$A:$A, ""(?i)(TE PAGÓ|PAGASTE)""), 
      Reporte!$H:$H &amp; """" = AG109 &amp; """"
    )
  ), 
  0
)"),0)</f>
        <v>0</v>
      </c>
      <c r="V109" s="11">
        <f ca="1">IFERROR(__xludf.DUMMYFUNCTION("IFERROR(
  SUM(
    FILTER(
      Efectivo!$C:$C, 
      Efectivo!$D:$D &amp; """" = AG109 &amp; """"
    )
  ), 
  0
)"),65)</f>
        <v>65</v>
      </c>
      <c r="W109" s="11" t="s">
        <v>35</v>
      </c>
      <c r="X109" s="11"/>
      <c r="Y109" s="11"/>
      <c r="Z109" s="11"/>
      <c r="AA109" s="11"/>
      <c r="AB109" s="11" t="str">
        <f t="shared" si="1"/>
        <v/>
      </c>
      <c r="AC109" s="11" t="str">
        <f t="shared" si="2"/>
        <v/>
      </c>
      <c r="AD109" s="11">
        <f t="shared" si="3"/>
        <v>65</v>
      </c>
      <c r="AE109" s="11">
        <f t="shared" si="4"/>
        <v>0</v>
      </c>
      <c r="AF109" s="11" t="str">
        <f t="shared" si="5"/>
        <v>F</v>
      </c>
      <c r="AG109" s="11" t="str">
        <f t="shared" si="6"/>
        <v>F-6</v>
      </c>
      <c r="AH109" s="21"/>
      <c r="AI109" s="21"/>
    </row>
    <row r="110" spans="1:35" ht="15.75" hidden="1" customHeight="1">
      <c r="A110" s="15">
        <v>108</v>
      </c>
      <c r="B110" s="16" t="s">
        <v>168</v>
      </c>
      <c r="C110" s="16" t="s">
        <v>161</v>
      </c>
      <c r="D110" s="17">
        <v>7</v>
      </c>
      <c r="E110" s="18"/>
      <c r="F110" s="18"/>
      <c r="G110" s="18"/>
      <c r="H110" s="19">
        <v>1</v>
      </c>
      <c r="I110" s="17">
        <v>97</v>
      </c>
      <c r="J110" s="17">
        <v>201</v>
      </c>
      <c r="K110" s="17">
        <v>104</v>
      </c>
      <c r="L110" s="17">
        <v>104</v>
      </c>
      <c r="M110" s="17">
        <v>0</v>
      </c>
      <c r="N110" s="17">
        <v>0</v>
      </c>
      <c r="O110" s="17">
        <v>25</v>
      </c>
      <c r="P110" s="17">
        <v>3</v>
      </c>
      <c r="Q110" s="17">
        <v>0</v>
      </c>
      <c r="R110" s="19"/>
      <c r="S110" s="20"/>
      <c r="T110" s="13">
        <f t="shared" si="0"/>
        <v>132</v>
      </c>
      <c r="U110" s="18">
        <f ca="1">IFERROR(__xludf.DUMMYFUNCTION("IFERROR(
  SUM(
    FILTER(
      Reporte!$E:$E, 
      REGEXMATCH(Reporte!$A:$A, ""(?i)(TE PAGÓ|PAGASTE)""), 
      Reporte!$H:$H &amp; """" = AG110 &amp; """"
    )
  ), 
  0
)"),132)</f>
        <v>132</v>
      </c>
      <c r="V110" s="18">
        <f ca="1">IFERROR(__xludf.DUMMYFUNCTION("IFERROR(
  SUM(
    FILTER(
      Efectivo!$C:$C, 
      Efectivo!$D:$D &amp; """" = AG110 &amp; """"
    )
  ), 
  0
)"),0)</f>
        <v>0</v>
      </c>
      <c r="W110" s="18" t="s">
        <v>35</v>
      </c>
      <c r="X110" s="18"/>
      <c r="Y110" s="18" t="s">
        <v>36</v>
      </c>
      <c r="Z110" s="18"/>
      <c r="AA110" s="18"/>
      <c r="AB110" s="18" t="str">
        <f t="shared" si="1"/>
        <v/>
      </c>
      <c r="AC110" s="18" t="str">
        <f t="shared" si="2"/>
        <v/>
      </c>
      <c r="AD110" s="11">
        <f t="shared" si="3"/>
        <v>0</v>
      </c>
      <c r="AE110" s="11">
        <f t="shared" si="4"/>
        <v>132</v>
      </c>
      <c r="AF110" s="18" t="str">
        <f t="shared" si="5"/>
        <v>F</v>
      </c>
      <c r="AG110" s="18" t="str">
        <f t="shared" si="6"/>
        <v>F-7</v>
      </c>
      <c r="AH110" s="14"/>
      <c r="AI110" s="14"/>
    </row>
    <row r="111" spans="1:35" ht="15.75" hidden="1" customHeight="1">
      <c r="A111" s="8">
        <v>109</v>
      </c>
      <c r="B111" s="9" t="s">
        <v>169</v>
      </c>
      <c r="C111" s="9" t="s">
        <v>161</v>
      </c>
      <c r="D111" s="10">
        <v>8</v>
      </c>
      <c r="E111" s="11"/>
      <c r="F111" s="12">
        <v>1</v>
      </c>
      <c r="G111" s="11"/>
      <c r="H111" s="12">
        <v>1</v>
      </c>
      <c r="I111" s="10">
        <v>15</v>
      </c>
      <c r="J111" s="10">
        <v>26</v>
      </c>
      <c r="K111" s="10">
        <v>11</v>
      </c>
      <c r="L111" s="10">
        <v>11</v>
      </c>
      <c r="M111" s="10">
        <v>0</v>
      </c>
      <c r="N111" s="10">
        <v>0</v>
      </c>
      <c r="O111" s="10">
        <v>25</v>
      </c>
      <c r="P111" s="10">
        <v>3</v>
      </c>
      <c r="Q111" s="10">
        <v>0</v>
      </c>
      <c r="R111" s="12"/>
      <c r="S111" s="13"/>
      <c r="T111" s="13">
        <f t="shared" si="0"/>
        <v>39</v>
      </c>
      <c r="U111" s="11">
        <f ca="1">IFERROR(__xludf.DUMMYFUNCTION("IFERROR(
  SUM(
    FILTER(
      Reporte!$E:$E, 
      REGEXMATCH(Reporte!$A:$A, ""(?i)(TE PAGÓ|PAGASTE)""), 
      Reporte!$H:$H &amp; """" = AG111 &amp; """"
    )
  ), 
  0
)"),39)</f>
        <v>39</v>
      </c>
      <c r="V111" s="11">
        <f ca="1">IFERROR(__xludf.DUMMYFUNCTION("IFERROR(
  SUM(
    FILTER(
      Efectivo!$C:$C, 
      Efectivo!$D:$D &amp; """" = AG111 &amp; """"
    )
  ), 
  0
)"),0)</f>
        <v>0</v>
      </c>
      <c r="W111" s="11" t="s">
        <v>35</v>
      </c>
      <c r="X111" s="11"/>
      <c r="Y111" s="11" t="s">
        <v>36</v>
      </c>
      <c r="Z111" s="11"/>
      <c r="AA111" s="11"/>
      <c r="AB111" s="11" t="str">
        <f t="shared" si="1"/>
        <v/>
      </c>
      <c r="AC111" s="11" t="str">
        <f t="shared" si="2"/>
        <v/>
      </c>
      <c r="AD111" s="11">
        <f t="shared" si="3"/>
        <v>0</v>
      </c>
      <c r="AE111" s="11">
        <f t="shared" si="4"/>
        <v>39</v>
      </c>
      <c r="AF111" s="11" t="str">
        <f t="shared" si="5"/>
        <v>F</v>
      </c>
      <c r="AG111" s="11" t="str">
        <f t="shared" si="6"/>
        <v>F-8</v>
      </c>
      <c r="AH111" s="21"/>
      <c r="AI111" s="21"/>
    </row>
    <row r="112" spans="1:35" ht="15.75" hidden="1" customHeight="1">
      <c r="A112" s="15">
        <v>110</v>
      </c>
      <c r="B112" s="16" t="s">
        <v>170</v>
      </c>
      <c r="C112" s="16" t="s">
        <v>161</v>
      </c>
      <c r="D112" s="17">
        <v>9</v>
      </c>
      <c r="E112" s="18"/>
      <c r="F112" s="19">
        <v>1</v>
      </c>
      <c r="G112" s="18"/>
      <c r="H112" s="19">
        <v>1</v>
      </c>
      <c r="I112" s="17">
        <v>41</v>
      </c>
      <c r="J112" s="17">
        <v>63</v>
      </c>
      <c r="K112" s="17">
        <v>22</v>
      </c>
      <c r="L112" s="17">
        <v>22</v>
      </c>
      <c r="M112" s="17">
        <v>0</v>
      </c>
      <c r="N112" s="17">
        <v>0</v>
      </c>
      <c r="O112" s="17">
        <v>25</v>
      </c>
      <c r="P112" s="17">
        <v>3</v>
      </c>
      <c r="Q112" s="17">
        <v>0</v>
      </c>
      <c r="R112" s="19"/>
      <c r="S112" s="20"/>
      <c r="T112" s="13">
        <f t="shared" si="0"/>
        <v>50</v>
      </c>
      <c r="U112" s="18">
        <f ca="1">IFERROR(__xludf.DUMMYFUNCTION("IFERROR(
  SUM(
    FILTER(
      Reporte!$E:$E, 
      REGEXMATCH(Reporte!$A:$A, ""(?i)(TE PAGÓ|PAGASTE)""), 
      Reporte!$H:$H &amp; """" = AG112 &amp; """"
    )
  ), 
  0
)"),50)</f>
        <v>50</v>
      </c>
      <c r="V112" s="18">
        <f ca="1">IFERROR(__xludf.DUMMYFUNCTION("IFERROR(
  SUM(
    FILTER(
      Efectivo!$C:$C, 
      Efectivo!$D:$D &amp; """" = AG112 &amp; """"
    )
  ), 
  0
)"),0)</f>
        <v>0</v>
      </c>
      <c r="W112" s="18" t="s">
        <v>35</v>
      </c>
      <c r="X112" s="18"/>
      <c r="Y112" s="18" t="s">
        <v>36</v>
      </c>
      <c r="Z112" s="18"/>
      <c r="AA112" s="18"/>
      <c r="AB112" s="18" t="str">
        <f t="shared" si="1"/>
        <v/>
      </c>
      <c r="AC112" s="18" t="str">
        <f t="shared" si="2"/>
        <v/>
      </c>
      <c r="AD112" s="11">
        <f t="shared" si="3"/>
        <v>0</v>
      </c>
      <c r="AE112" s="11">
        <f t="shared" si="4"/>
        <v>50</v>
      </c>
      <c r="AF112" s="18" t="str">
        <f t="shared" si="5"/>
        <v>F</v>
      </c>
      <c r="AG112" s="18" t="str">
        <f t="shared" si="6"/>
        <v>F-9</v>
      </c>
      <c r="AH112" s="14"/>
      <c r="AI112" s="14"/>
    </row>
    <row r="113" spans="1:35" ht="15.75" hidden="1" customHeight="1">
      <c r="A113" s="8">
        <v>111</v>
      </c>
      <c r="B113" s="9" t="s">
        <v>171</v>
      </c>
      <c r="C113" s="9" t="s">
        <v>161</v>
      </c>
      <c r="D113" s="10">
        <v>10</v>
      </c>
      <c r="E113" s="11"/>
      <c r="F113" s="11"/>
      <c r="G113" s="11"/>
      <c r="H113" s="12">
        <v>1</v>
      </c>
      <c r="I113" s="10">
        <v>285</v>
      </c>
      <c r="J113" s="10">
        <v>302</v>
      </c>
      <c r="K113" s="10">
        <v>17</v>
      </c>
      <c r="L113" s="10">
        <v>17</v>
      </c>
      <c r="M113" s="10">
        <v>0</v>
      </c>
      <c r="N113" s="10">
        <v>0</v>
      </c>
      <c r="O113" s="10">
        <v>0</v>
      </c>
      <c r="P113" s="10">
        <v>3</v>
      </c>
      <c r="Q113" s="10">
        <v>0</v>
      </c>
      <c r="R113" s="12"/>
      <c r="S113" s="13"/>
      <c r="T113" s="13">
        <f t="shared" si="0"/>
        <v>20</v>
      </c>
      <c r="U113" s="11">
        <f ca="1">IFERROR(__xludf.DUMMYFUNCTION("IFERROR(
  SUM(
    FILTER(
      Reporte!$E:$E, 
      REGEXMATCH(Reporte!$A:$A, ""(?i)(TE PAGÓ|PAGASTE)""), 
      Reporte!$H:$H &amp; """" = AG113 &amp; """"
    )
  ), 
  0
)"),20)</f>
        <v>20</v>
      </c>
      <c r="V113" s="11">
        <f ca="1">IFERROR(__xludf.DUMMYFUNCTION("IFERROR(
  SUM(
    FILTER(
      Efectivo!$C:$C, 
      Efectivo!$D:$D &amp; """" = AG113 &amp; """"
    )
  ), 
  0
)"),0)</f>
        <v>0</v>
      </c>
      <c r="W113" s="11" t="s">
        <v>35</v>
      </c>
      <c r="X113" s="11"/>
      <c r="Y113" s="11" t="s">
        <v>36</v>
      </c>
      <c r="Z113" s="11"/>
      <c r="AA113" s="11"/>
      <c r="AB113" s="11" t="str">
        <f t="shared" si="1"/>
        <v/>
      </c>
      <c r="AC113" s="11" t="str">
        <f t="shared" si="2"/>
        <v/>
      </c>
      <c r="AD113" s="11">
        <f t="shared" si="3"/>
        <v>0</v>
      </c>
      <c r="AE113" s="11">
        <f t="shared" si="4"/>
        <v>20</v>
      </c>
      <c r="AF113" s="11" t="str">
        <f t="shared" si="5"/>
        <v>F</v>
      </c>
      <c r="AG113" s="11" t="str">
        <f t="shared" si="6"/>
        <v>F-10</v>
      </c>
      <c r="AH113" s="21"/>
      <c r="AI113" s="21"/>
    </row>
    <row r="114" spans="1:35" ht="15.75" hidden="1" customHeight="1">
      <c r="A114" s="15">
        <v>112</v>
      </c>
      <c r="B114" s="16" t="s">
        <v>172</v>
      </c>
      <c r="C114" s="16" t="s">
        <v>161</v>
      </c>
      <c r="D114" s="17">
        <v>11</v>
      </c>
      <c r="E114" s="18"/>
      <c r="F114" s="19">
        <v>1</v>
      </c>
      <c r="G114" s="18"/>
      <c r="H114" s="19">
        <v>1</v>
      </c>
      <c r="I114" s="17">
        <v>206</v>
      </c>
      <c r="J114" s="17">
        <v>224</v>
      </c>
      <c r="K114" s="17">
        <v>18</v>
      </c>
      <c r="L114" s="17">
        <v>18</v>
      </c>
      <c r="M114" s="17">
        <v>0</v>
      </c>
      <c r="N114" s="17">
        <v>0</v>
      </c>
      <c r="O114" s="17">
        <v>0</v>
      </c>
      <c r="P114" s="17">
        <v>3</v>
      </c>
      <c r="Q114" s="17">
        <v>0</v>
      </c>
      <c r="R114" s="19"/>
      <c r="S114" s="20"/>
      <c r="T114" s="13">
        <f t="shared" si="0"/>
        <v>21</v>
      </c>
      <c r="U114" s="18">
        <f ca="1">IFERROR(__xludf.DUMMYFUNCTION("IFERROR(
  SUM(
    FILTER(
      Reporte!$E:$E, 
      REGEXMATCH(Reporte!$A:$A, ""(?i)(TE PAGÓ|PAGASTE)""), 
      Reporte!$H:$H &amp; """" = AG114 &amp; """"
    )
  ), 
  0
)"),21)</f>
        <v>21</v>
      </c>
      <c r="V114" s="18">
        <f ca="1">IFERROR(__xludf.DUMMYFUNCTION("IFERROR(
  SUM(
    FILTER(
      Efectivo!$C:$C, 
      Efectivo!$D:$D &amp; """" = AG114 &amp; """"
    )
  ), 
  0
)"),0)</f>
        <v>0</v>
      </c>
      <c r="W114" s="18" t="s">
        <v>35</v>
      </c>
      <c r="X114" s="18"/>
      <c r="Y114" s="18" t="s">
        <v>36</v>
      </c>
      <c r="Z114" s="18"/>
      <c r="AA114" s="18"/>
      <c r="AB114" s="18" t="str">
        <f t="shared" si="1"/>
        <v/>
      </c>
      <c r="AC114" s="18" t="str">
        <f t="shared" si="2"/>
        <v/>
      </c>
      <c r="AD114" s="11">
        <f t="shared" si="3"/>
        <v>0</v>
      </c>
      <c r="AE114" s="11">
        <f t="shared" si="4"/>
        <v>21</v>
      </c>
      <c r="AF114" s="18" t="str">
        <f t="shared" si="5"/>
        <v>F</v>
      </c>
      <c r="AG114" s="18" t="str">
        <f t="shared" si="6"/>
        <v>F-11</v>
      </c>
      <c r="AH114" s="14"/>
      <c r="AI114" s="14"/>
    </row>
    <row r="115" spans="1:35" ht="15.75" hidden="1" customHeight="1">
      <c r="A115" s="8">
        <v>113</v>
      </c>
      <c r="B115" s="9" t="s">
        <v>173</v>
      </c>
      <c r="C115" s="9" t="s">
        <v>161</v>
      </c>
      <c r="D115" s="10">
        <v>12</v>
      </c>
      <c r="E115" s="11"/>
      <c r="F115" s="11"/>
      <c r="G115" s="11"/>
      <c r="H115" s="12">
        <v>2</v>
      </c>
      <c r="I115" s="10">
        <v>-3</v>
      </c>
      <c r="J115" s="10">
        <v>2</v>
      </c>
      <c r="K115" s="10">
        <v>5</v>
      </c>
      <c r="L115" s="10">
        <v>5</v>
      </c>
      <c r="M115" s="10">
        <v>0</v>
      </c>
      <c r="N115" s="10">
        <v>0</v>
      </c>
      <c r="O115" s="10">
        <v>25</v>
      </c>
      <c r="P115" s="10">
        <v>3</v>
      </c>
      <c r="Q115" s="10">
        <v>0</v>
      </c>
      <c r="R115" s="12"/>
      <c r="S115" s="13"/>
      <c r="T115" s="13">
        <f t="shared" si="0"/>
        <v>33</v>
      </c>
      <c r="U115" s="11">
        <f ca="1">IFERROR(__xludf.DUMMYFUNCTION("IFERROR(
  SUM(
    FILTER(
      Reporte!$E:$E, 
      REGEXMATCH(Reporte!$A:$A, ""(?i)(TE PAGÓ|PAGASTE)""), 
      Reporte!$H:$H &amp; """" = AG115 &amp; """"
    )
  ), 
  0
)"),0)</f>
        <v>0</v>
      </c>
      <c r="V115" s="11">
        <f ca="1">IFERROR(__xludf.DUMMYFUNCTION("IFERROR(
  SUM(
    FILTER(
      Efectivo!$C:$C, 
      Efectivo!$D:$D &amp; """" = AG115 &amp; """"
    )
  ), 
  0
)"),0)</f>
        <v>0</v>
      </c>
      <c r="W115" s="11"/>
      <c r="X115" s="11"/>
      <c r="Y115" s="11"/>
      <c r="Z115" s="11"/>
      <c r="AA115" s="11"/>
      <c r="AB115" s="11" t="str">
        <f t="shared" si="1"/>
        <v/>
      </c>
      <c r="AC115" s="11" t="str">
        <f t="shared" si="2"/>
        <v/>
      </c>
      <c r="AD115" s="11">
        <f t="shared" si="3"/>
        <v>0</v>
      </c>
      <c r="AE115" s="11">
        <f t="shared" si="4"/>
        <v>0</v>
      </c>
      <c r="AF115" s="11" t="str">
        <f t="shared" si="5"/>
        <v>F</v>
      </c>
      <c r="AG115" s="11" t="str">
        <f t="shared" si="6"/>
        <v>F-12</v>
      </c>
      <c r="AH115" s="21"/>
      <c r="AI115" s="21"/>
    </row>
    <row r="116" spans="1:35" ht="15.75" hidden="1" customHeight="1">
      <c r="A116" s="15">
        <v>114</v>
      </c>
      <c r="B116" s="16" t="s">
        <v>174</v>
      </c>
      <c r="C116" s="16" t="s">
        <v>161</v>
      </c>
      <c r="D116" s="17">
        <v>14</v>
      </c>
      <c r="E116" s="18"/>
      <c r="F116" s="18"/>
      <c r="G116" s="18"/>
      <c r="H116" s="19">
        <v>1</v>
      </c>
      <c r="I116" s="17">
        <v>26</v>
      </c>
      <c r="J116" s="17">
        <v>52</v>
      </c>
      <c r="K116" s="17">
        <v>26</v>
      </c>
      <c r="L116" s="17">
        <v>26</v>
      </c>
      <c r="M116" s="17">
        <v>0</v>
      </c>
      <c r="N116" s="17">
        <v>0</v>
      </c>
      <c r="O116" s="17">
        <v>25</v>
      </c>
      <c r="P116" s="17">
        <v>3</v>
      </c>
      <c r="Q116" s="17">
        <v>0</v>
      </c>
      <c r="R116" s="19"/>
      <c r="S116" s="20"/>
      <c r="T116" s="13">
        <f t="shared" si="0"/>
        <v>54</v>
      </c>
      <c r="U116" s="18">
        <f ca="1">IFERROR(__xludf.DUMMYFUNCTION("IFERROR(
  SUM(
    FILTER(
      Reporte!$E:$E, 
      REGEXMATCH(Reporte!$A:$A, ""(?i)(TE PAGÓ|PAGASTE)""), 
      Reporte!$H:$H &amp; """" = AG116 &amp; """"
    )
  ), 
  0
)"),54)</f>
        <v>54</v>
      </c>
      <c r="V116" s="18">
        <f ca="1">IFERROR(__xludf.DUMMYFUNCTION("IFERROR(
  SUM(
    FILTER(
      Efectivo!$C:$C, 
      Efectivo!$D:$D &amp; """" = AG116 &amp; """"
    )
  ), 
  0
)"),0)</f>
        <v>0</v>
      </c>
      <c r="W116" s="18" t="s">
        <v>35</v>
      </c>
      <c r="X116" s="18"/>
      <c r="Y116" s="18" t="s">
        <v>36</v>
      </c>
      <c r="Z116" s="18"/>
      <c r="AA116" s="18"/>
      <c r="AB116" s="18" t="str">
        <f t="shared" si="1"/>
        <v/>
      </c>
      <c r="AC116" s="18" t="str">
        <f t="shared" si="2"/>
        <v/>
      </c>
      <c r="AD116" s="11">
        <f t="shared" si="3"/>
        <v>0</v>
      </c>
      <c r="AE116" s="11">
        <f t="shared" si="4"/>
        <v>54</v>
      </c>
      <c r="AF116" s="18" t="str">
        <f t="shared" si="5"/>
        <v>F</v>
      </c>
      <c r="AG116" s="18" t="str">
        <f t="shared" si="6"/>
        <v>F-14</v>
      </c>
      <c r="AH116" s="14"/>
      <c r="AI116" s="14"/>
    </row>
    <row r="117" spans="1:35" ht="15.75" hidden="1" customHeight="1">
      <c r="A117" s="8">
        <v>115</v>
      </c>
      <c r="B117" s="9" t="s">
        <v>175</v>
      </c>
      <c r="C117" s="9" t="s">
        <v>161</v>
      </c>
      <c r="D117" s="10">
        <v>13</v>
      </c>
      <c r="E117" s="11"/>
      <c r="F117" s="11"/>
      <c r="G117" s="11"/>
      <c r="H117" s="12">
        <v>1</v>
      </c>
      <c r="I117" s="10">
        <v>732</v>
      </c>
      <c r="J117" s="10">
        <v>742</v>
      </c>
      <c r="K117" s="10">
        <v>10</v>
      </c>
      <c r="L117" s="10">
        <v>10</v>
      </c>
      <c r="M117" s="10">
        <v>0</v>
      </c>
      <c r="N117" s="10">
        <v>0</v>
      </c>
      <c r="O117" s="10">
        <v>0</v>
      </c>
      <c r="P117" s="10">
        <v>3</v>
      </c>
      <c r="Q117" s="10">
        <v>0</v>
      </c>
      <c r="R117" s="12"/>
      <c r="S117" s="13"/>
      <c r="T117" s="13">
        <f t="shared" si="0"/>
        <v>13</v>
      </c>
      <c r="U117" s="11">
        <f ca="1">IFERROR(__xludf.DUMMYFUNCTION("IFERROR(
  SUM(
    FILTER(
      Reporte!$E:$E, 
      REGEXMATCH(Reporte!$A:$A, ""(?i)(TE PAGÓ|PAGASTE)""), 
      Reporte!$H:$H &amp; """" = AG117 &amp; """"
    )
  ), 
  0
)"),0)</f>
        <v>0</v>
      </c>
      <c r="V117" s="11">
        <f ca="1">IFERROR(__xludf.DUMMYFUNCTION("IFERROR(
  SUM(
    FILTER(
      Efectivo!$C:$C, 
      Efectivo!$D:$D &amp; """" = AG117 &amp; """"
    )
  ), 
  0
)"),0)</f>
        <v>0</v>
      </c>
      <c r="W117" s="11"/>
      <c r="X117" s="11"/>
      <c r="Y117" s="11"/>
      <c r="Z117" s="11"/>
      <c r="AA117" s="11"/>
      <c r="AB117" s="11" t="str">
        <f t="shared" si="1"/>
        <v/>
      </c>
      <c r="AC117" s="11" t="str">
        <f t="shared" si="2"/>
        <v/>
      </c>
      <c r="AD117" s="11">
        <f t="shared" si="3"/>
        <v>0</v>
      </c>
      <c r="AE117" s="11">
        <f t="shared" si="4"/>
        <v>0</v>
      </c>
      <c r="AF117" s="11" t="str">
        <f t="shared" si="5"/>
        <v>F</v>
      </c>
      <c r="AG117" s="11" t="str">
        <f t="shared" si="6"/>
        <v>F-13</v>
      </c>
      <c r="AH117" s="21"/>
      <c r="AI117" s="21"/>
    </row>
    <row r="118" spans="1:35" ht="15.75" hidden="1" customHeight="1">
      <c r="A118" s="15">
        <v>116</v>
      </c>
      <c r="B118" s="16" t="s">
        <v>176</v>
      </c>
      <c r="C118" s="16" t="s">
        <v>177</v>
      </c>
      <c r="D118" s="17">
        <v>1</v>
      </c>
      <c r="E118" s="18"/>
      <c r="F118" s="18"/>
      <c r="G118" s="18"/>
      <c r="H118" s="19">
        <v>1</v>
      </c>
      <c r="I118" s="17">
        <v>836</v>
      </c>
      <c r="J118" s="17">
        <v>862</v>
      </c>
      <c r="K118" s="17">
        <v>26</v>
      </c>
      <c r="L118" s="17">
        <v>26</v>
      </c>
      <c r="M118" s="17">
        <v>0</v>
      </c>
      <c r="N118" s="17">
        <v>0</v>
      </c>
      <c r="O118" s="17">
        <v>0</v>
      </c>
      <c r="P118" s="17">
        <v>3</v>
      </c>
      <c r="Q118" s="17">
        <v>0</v>
      </c>
      <c r="R118" s="19"/>
      <c r="S118" s="20"/>
      <c r="T118" s="13">
        <f t="shared" si="0"/>
        <v>29</v>
      </c>
      <c r="U118" s="18">
        <f ca="1">IFERROR(__xludf.DUMMYFUNCTION("IFERROR(
  SUM(
    FILTER(
      Reporte!$E:$E, 
      REGEXMATCH(Reporte!$A:$A, ""(?i)(TE PAGÓ|PAGASTE)""), 
      Reporte!$H:$H &amp; """" = AG118 &amp; """"
    )
  ), 
  0
)"),0)</f>
        <v>0</v>
      </c>
      <c r="V118" s="18">
        <f ca="1">IFERROR(__xludf.DUMMYFUNCTION("IFERROR(
  SUM(
    FILTER(
      Efectivo!$C:$C, 
      Efectivo!$D:$D &amp; """" = AG118 &amp; """"
    )
  ), 
  0
)"),29)</f>
        <v>29</v>
      </c>
      <c r="W118" s="18" t="s">
        <v>35</v>
      </c>
      <c r="X118" s="18"/>
      <c r="Y118" s="18"/>
      <c r="Z118" s="18"/>
      <c r="AA118" s="18"/>
      <c r="AB118" s="18" t="str">
        <f t="shared" si="1"/>
        <v/>
      </c>
      <c r="AC118" s="18" t="str">
        <f t="shared" si="2"/>
        <v/>
      </c>
      <c r="AD118" s="11">
        <f t="shared" si="3"/>
        <v>29</v>
      </c>
      <c r="AE118" s="11">
        <f t="shared" si="4"/>
        <v>0</v>
      </c>
      <c r="AF118" s="18" t="str">
        <f t="shared" si="5"/>
        <v>G</v>
      </c>
      <c r="AG118" s="18" t="str">
        <f t="shared" si="6"/>
        <v>G-1</v>
      </c>
      <c r="AH118" s="14"/>
      <c r="AI118" s="14"/>
    </row>
    <row r="119" spans="1:35" ht="15.75" hidden="1" customHeight="1">
      <c r="A119" s="8">
        <v>117</v>
      </c>
      <c r="B119" s="9" t="s">
        <v>178</v>
      </c>
      <c r="C119" s="9" t="s">
        <v>177</v>
      </c>
      <c r="D119" s="10">
        <v>2</v>
      </c>
      <c r="E119" s="11"/>
      <c r="F119" s="11"/>
      <c r="G119" s="11"/>
      <c r="H119" s="12">
        <v>1</v>
      </c>
      <c r="I119" s="10">
        <v>33</v>
      </c>
      <c r="J119" s="10">
        <v>63</v>
      </c>
      <c r="K119" s="10">
        <v>30</v>
      </c>
      <c r="L119" s="10">
        <v>30</v>
      </c>
      <c r="M119" s="10">
        <v>0</v>
      </c>
      <c r="N119" s="10">
        <v>0</v>
      </c>
      <c r="O119" s="10">
        <v>25</v>
      </c>
      <c r="P119" s="10">
        <v>3</v>
      </c>
      <c r="Q119" s="10">
        <v>0</v>
      </c>
      <c r="R119" s="12"/>
      <c r="S119" s="13"/>
      <c r="T119" s="13">
        <f t="shared" si="0"/>
        <v>58</v>
      </c>
      <c r="U119" s="11">
        <f ca="1">IFERROR(__xludf.DUMMYFUNCTION("IFERROR(
  SUM(
    FILTER(
      Reporte!$E:$E, 
      REGEXMATCH(Reporte!$A:$A, ""(?i)(TE PAGÓ|PAGASTE)""), 
      Reporte!$H:$H &amp; """" = AG119 &amp; """"
    )
  ), 
  0
)"),58)</f>
        <v>58</v>
      </c>
      <c r="V119" s="11">
        <f ca="1">IFERROR(__xludf.DUMMYFUNCTION("IFERROR(
  SUM(
    FILTER(
      Efectivo!$C:$C, 
      Efectivo!$D:$D &amp; """" = AG119 &amp; """"
    )
  ), 
  0
)"),0)</f>
        <v>0</v>
      </c>
      <c r="W119" s="11" t="s">
        <v>35</v>
      </c>
      <c r="X119" s="11"/>
      <c r="Y119" s="11" t="s">
        <v>36</v>
      </c>
      <c r="Z119" s="11"/>
      <c r="AA119" s="11"/>
      <c r="AB119" s="11" t="str">
        <f t="shared" si="1"/>
        <v/>
      </c>
      <c r="AC119" s="11" t="str">
        <f t="shared" si="2"/>
        <v/>
      </c>
      <c r="AD119" s="11">
        <f t="shared" si="3"/>
        <v>0</v>
      </c>
      <c r="AE119" s="11">
        <f t="shared" si="4"/>
        <v>58</v>
      </c>
      <c r="AF119" s="11" t="str">
        <f t="shared" si="5"/>
        <v>G</v>
      </c>
      <c r="AG119" s="11" t="str">
        <f t="shared" si="6"/>
        <v>G-2</v>
      </c>
      <c r="AH119" s="21"/>
      <c r="AI119" s="21"/>
    </row>
    <row r="120" spans="1:35" ht="15.75" hidden="1" customHeight="1">
      <c r="A120" s="15">
        <v>118</v>
      </c>
      <c r="B120" s="16" t="s">
        <v>179</v>
      </c>
      <c r="C120" s="16" t="s">
        <v>177</v>
      </c>
      <c r="D120" s="17">
        <v>3</v>
      </c>
      <c r="E120" s="18"/>
      <c r="F120" s="18"/>
      <c r="G120" s="18"/>
      <c r="H120" s="19">
        <v>1</v>
      </c>
      <c r="I120" s="17">
        <v>10</v>
      </c>
      <c r="J120" s="17">
        <v>19</v>
      </c>
      <c r="K120" s="17">
        <v>9</v>
      </c>
      <c r="L120" s="17">
        <v>9</v>
      </c>
      <c r="M120" s="17">
        <v>0</v>
      </c>
      <c r="N120" s="17">
        <v>0</v>
      </c>
      <c r="O120" s="17">
        <v>25</v>
      </c>
      <c r="P120" s="17">
        <v>3</v>
      </c>
      <c r="Q120" s="17">
        <v>0</v>
      </c>
      <c r="R120" s="19"/>
      <c r="S120" s="20"/>
      <c r="T120" s="13">
        <f t="shared" si="0"/>
        <v>37</v>
      </c>
      <c r="U120" s="18">
        <f ca="1">IFERROR(__xludf.DUMMYFUNCTION("IFERROR(
  SUM(
    FILTER(
      Reporte!$E:$E, 
      REGEXMATCH(Reporte!$A:$A, ""(?i)(TE PAGÓ|PAGASTE)""), 
      Reporte!$H:$H &amp; """" = AG120 &amp; """"
    )
  ), 
  0
)"),37)</f>
        <v>37</v>
      </c>
      <c r="V120" s="18">
        <f ca="1">IFERROR(__xludf.DUMMYFUNCTION("IFERROR(
  SUM(
    FILTER(
      Efectivo!$C:$C, 
      Efectivo!$D:$D &amp; """" = AG120 &amp; """"
    )
  ), 
  0
)"),0)</f>
        <v>0</v>
      </c>
      <c r="W120" s="18" t="s">
        <v>35</v>
      </c>
      <c r="X120" s="18"/>
      <c r="Y120" s="18" t="s">
        <v>36</v>
      </c>
      <c r="Z120" s="18"/>
      <c r="AA120" s="18"/>
      <c r="AB120" s="18" t="str">
        <f t="shared" si="1"/>
        <v/>
      </c>
      <c r="AC120" s="18" t="str">
        <f t="shared" si="2"/>
        <v/>
      </c>
      <c r="AD120" s="11">
        <f t="shared" si="3"/>
        <v>0</v>
      </c>
      <c r="AE120" s="11">
        <f t="shared" si="4"/>
        <v>37</v>
      </c>
      <c r="AF120" s="18" t="str">
        <f t="shared" si="5"/>
        <v>G</v>
      </c>
      <c r="AG120" s="18" t="str">
        <f t="shared" si="6"/>
        <v>G-3</v>
      </c>
      <c r="AH120" s="14"/>
      <c r="AI120" s="14"/>
    </row>
    <row r="121" spans="1:35" ht="15.75" hidden="1" customHeight="1">
      <c r="A121" s="8">
        <v>119</v>
      </c>
      <c r="B121" s="9" t="s">
        <v>180</v>
      </c>
      <c r="C121" s="9" t="s">
        <v>177</v>
      </c>
      <c r="D121" s="10">
        <v>4</v>
      </c>
      <c r="E121" s="11"/>
      <c r="F121" s="11"/>
      <c r="G121" s="11"/>
      <c r="H121" s="12">
        <v>1</v>
      </c>
      <c r="I121" s="10">
        <v>16</v>
      </c>
      <c r="J121" s="10">
        <v>26</v>
      </c>
      <c r="K121" s="10">
        <v>10</v>
      </c>
      <c r="L121" s="10">
        <v>10</v>
      </c>
      <c r="M121" s="10">
        <v>0</v>
      </c>
      <c r="N121" s="10">
        <v>0</v>
      </c>
      <c r="O121" s="10">
        <v>25</v>
      </c>
      <c r="P121" s="10">
        <v>3</v>
      </c>
      <c r="Q121" s="10"/>
      <c r="R121" s="12"/>
      <c r="S121" s="13"/>
      <c r="T121" s="13">
        <f t="shared" si="0"/>
        <v>38</v>
      </c>
      <c r="U121" s="11">
        <f ca="1">IFERROR(__xludf.DUMMYFUNCTION("IFERROR(
  SUM(
    FILTER(
      Reporte!$E:$E, 
      REGEXMATCH(Reporte!$A:$A, ""(?i)(TE PAGÓ|PAGASTE)""), 
      Reporte!$H:$H &amp; """" = AG121 &amp; """"
    )
  ), 
  0
)"),38)</f>
        <v>38</v>
      </c>
      <c r="V121" s="11">
        <f ca="1">IFERROR(__xludf.DUMMYFUNCTION("IFERROR(
  SUM(
    FILTER(
      Efectivo!$C:$C, 
      Efectivo!$D:$D &amp; """" = AG121 &amp; """"
    )
  ), 
  0
)"),0)</f>
        <v>0</v>
      </c>
      <c r="W121" s="11" t="s">
        <v>35</v>
      </c>
      <c r="X121" s="11"/>
      <c r="Y121" s="11" t="s">
        <v>36</v>
      </c>
      <c r="Z121" s="11" t="s">
        <v>60</v>
      </c>
      <c r="AA121" s="11"/>
      <c r="AB121" s="11" t="str">
        <f t="shared" si="1"/>
        <v/>
      </c>
      <c r="AC121" s="11" t="str">
        <f t="shared" si="2"/>
        <v/>
      </c>
      <c r="AD121" s="11">
        <f t="shared" si="3"/>
        <v>0</v>
      </c>
      <c r="AE121" s="11">
        <f t="shared" si="4"/>
        <v>38</v>
      </c>
      <c r="AF121" s="11" t="str">
        <f t="shared" si="5"/>
        <v>G</v>
      </c>
      <c r="AG121" s="11" t="str">
        <f t="shared" si="6"/>
        <v>G-4</v>
      </c>
      <c r="AH121" s="21"/>
      <c r="AI121" s="21"/>
    </row>
    <row r="122" spans="1:35" ht="15.75" hidden="1" customHeight="1">
      <c r="A122" s="15">
        <v>120</v>
      </c>
      <c r="B122" s="16" t="s">
        <v>181</v>
      </c>
      <c r="C122" s="16" t="s">
        <v>177</v>
      </c>
      <c r="D122" s="17">
        <v>5</v>
      </c>
      <c r="E122" s="18"/>
      <c r="F122" s="18"/>
      <c r="G122" s="18"/>
      <c r="H122" s="19">
        <v>1</v>
      </c>
      <c r="I122" s="17">
        <v>488</v>
      </c>
      <c r="J122" s="17">
        <v>512</v>
      </c>
      <c r="K122" s="17">
        <v>24</v>
      </c>
      <c r="L122" s="17">
        <v>24</v>
      </c>
      <c r="M122" s="17">
        <v>0</v>
      </c>
      <c r="N122" s="17">
        <v>0</v>
      </c>
      <c r="O122" s="17">
        <v>0</v>
      </c>
      <c r="P122" s="17">
        <v>3</v>
      </c>
      <c r="Q122" s="17">
        <v>0</v>
      </c>
      <c r="R122" s="19"/>
      <c r="S122" s="20"/>
      <c r="T122" s="13">
        <f t="shared" si="0"/>
        <v>27</v>
      </c>
      <c r="U122" s="18">
        <f ca="1">IFERROR(__xludf.DUMMYFUNCTION("IFERROR(
  SUM(
    FILTER(
      Reporte!$E:$E, 
      REGEXMATCH(Reporte!$A:$A, ""(?i)(TE PAGÓ|PAGASTE)""), 
      Reporte!$H:$H &amp; """" = AG122 &amp; """"
    )
  ), 
  0
)"),0)</f>
        <v>0</v>
      </c>
      <c r="V122" s="18">
        <f ca="1">IFERROR(__xludf.DUMMYFUNCTION("IFERROR(
  SUM(
    FILTER(
      Efectivo!$C:$C, 
      Efectivo!$D:$D &amp; """" = AG122 &amp; """"
    )
  ), 
  0
)"),27)</f>
        <v>27</v>
      </c>
      <c r="W122" s="18" t="s">
        <v>35</v>
      </c>
      <c r="X122" s="18"/>
      <c r="Y122" s="18"/>
      <c r="Z122" s="18"/>
      <c r="AA122" s="18"/>
      <c r="AB122" s="18" t="str">
        <f t="shared" si="1"/>
        <v/>
      </c>
      <c r="AC122" s="18" t="str">
        <f t="shared" si="2"/>
        <v/>
      </c>
      <c r="AD122" s="11">
        <f t="shared" si="3"/>
        <v>27</v>
      </c>
      <c r="AE122" s="11">
        <f t="shared" si="4"/>
        <v>0</v>
      </c>
      <c r="AF122" s="18" t="str">
        <f t="shared" si="5"/>
        <v>G</v>
      </c>
      <c r="AG122" s="18" t="str">
        <f t="shared" si="6"/>
        <v>G-5</v>
      </c>
      <c r="AH122" s="14"/>
      <c r="AI122" s="14"/>
    </row>
    <row r="123" spans="1:35" ht="15.75" hidden="1" customHeight="1">
      <c r="A123" s="8">
        <v>121</v>
      </c>
      <c r="B123" s="9" t="s">
        <v>182</v>
      </c>
      <c r="C123" s="9" t="s">
        <v>177</v>
      </c>
      <c r="D123" s="10">
        <v>6</v>
      </c>
      <c r="E123" s="11"/>
      <c r="F123" s="11"/>
      <c r="G123" s="11"/>
      <c r="H123" s="12">
        <v>1</v>
      </c>
      <c r="I123" s="10">
        <v>34</v>
      </c>
      <c r="J123" s="10">
        <v>63</v>
      </c>
      <c r="K123" s="10">
        <v>29</v>
      </c>
      <c r="L123" s="10">
        <v>29</v>
      </c>
      <c r="M123" s="10">
        <v>30</v>
      </c>
      <c r="N123" s="10">
        <v>0</v>
      </c>
      <c r="O123" s="10">
        <v>25</v>
      </c>
      <c r="P123" s="10">
        <v>3</v>
      </c>
      <c r="Q123" s="10">
        <v>0</v>
      </c>
      <c r="R123" s="12"/>
      <c r="S123" s="13"/>
      <c r="T123" s="13">
        <f t="shared" si="0"/>
        <v>87</v>
      </c>
      <c r="U123" s="11">
        <f ca="1">IFERROR(__xludf.DUMMYFUNCTION("IFERROR(
  SUM(
    FILTER(
      Reporte!$E:$E, 
      REGEXMATCH(Reporte!$A:$A, ""(?i)(TE PAGÓ|PAGASTE)""), 
      Reporte!$H:$H &amp; """" = AG123 &amp; """"
    )
  ), 
  0
)"),87)</f>
        <v>87</v>
      </c>
      <c r="V123" s="11">
        <f ca="1">IFERROR(__xludf.DUMMYFUNCTION("IFERROR(
  SUM(
    FILTER(
      Efectivo!$C:$C, 
      Efectivo!$D:$D &amp; """" = AG123 &amp; """"
    )
  ), 
  0
)"),0)</f>
        <v>0</v>
      </c>
      <c r="W123" s="11" t="s">
        <v>35</v>
      </c>
      <c r="X123" s="11"/>
      <c r="Y123" s="11" t="s">
        <v>36</v>
      </c>
      <c r="Z123" s="11"/>
      <c r="AA123" s="11"/>
      <c r="AB123" s="11" t="str">
        <f t="shared" si="1"/>
        <v/>
      </c>
      <c r="AC123" s="11" t="str">
        <f t="shared" si="2"/>
        <v/>
      </c>
      <c r="AD123" s="11">
        <f t="shared" si="3"/>
        <v>0</v>
      </c>
      <c r="AE123" s="11">
        <f t="shared" si="4"/>
        <v>87</v>
      </c>
      <c r="AF123" s="11" t="str">
        <f t="shared" si="5"/>
        <v>G</v>
      </c>
      <c r="AG123" s="11" t="str">
        <f t="shared" si="6"/>
        <v>G-6</v>
      </c>
      <c r="AH123" s="21"/>
      <c r="AI123" s="21"/>
    </row>
    <row r="124" spans="1:35" ht="15.75" hidden="1" customHeight="1">
      <c r="A124" s="15">
        <v>122</v>
      </c>
      <c r="B124" s="16" t="s">
        <v>183</v>
      </c>
      <c r="C124" s="16" t="s">
        <v>177</v>
      </c>
      <c r="D124" s="17">
        <v>7</v>
      </c>
      <c r="E124" s="18"/>
      <c r="F124" s="18"/>
      <c r="G124" s="18"/>
      <c r="H124" s="19">
        <v>1</v>
      </c>
      <c r="I124" s="17">
        <v>1755</v>
      </c>
      <c r="J124" s="17">
        <v>1778</v>
      </c>
      <c r="K124" s="17">
        <v>23</v>
      </c>
      <c r="L124" s="17">
        <v>23</v>
      </c>
      <c r="M124" s="17">
        <v>3</v>
      </c>
      <c r="N124" s="17">
        <v>0</v>
      </c>
      <c r="O124" s="17">
        <v>0</v>
      </c>
      <c r="P124" s="17">
        <v>3</v>
      </c>
      <c r="Q124" s="17">
        <v>0</v>
      </c>
      <c r="R124" s="19"/>
      <c r="S124" s="20"/>
      <c r="T124" s="13">
        <f t="shared" si="0"/>
        <v>29</v>
      </c>
      <c r="U124" s="18">
        <f ca="1">IFERROR(__xludf.DUMMYFUNCTION("IFERROR(
  SUM(
    FILTER(
      Reporte!$E:$E, 
      REGEXMATCH(Reporte!$A:$A, ""(?i)(TE PAGÓ|PAGASTE)""), 
      Reporte!$H:$H &amp; """" = AG124 &amp; """"
    )
  ), 
  0
)"),0)</f>
        <v>0</v>
      </c>
      <c r="V124" s="18">
        <f ca="1">IFERROR(__xludf.DUMMYFUNCTION("IFERROR(
  SUM(
    FILTER(
      Efectivo!$C:$C, 
      Efectivo!$D:$D &amp; """" = AG124 &amp; """"
    )
  ), 
  0
)"),0)</f>
        <v>0</v>
      </c>
      <c r="W124" s="18"/>
      <c r="X124" s="18"/>
      <c r="Y124" s="18"/>
      <c r="Z124" s="18"/>
      <c r="AA124" s="18"/>
      <c r="AB124" s="18" t="str">
        <f t="shared" si="1"/>
        <v/>
      </c>
      <c r="AC124" s="18" t="str">
        <f t="shared" si="2"/>
        <v/>
      </c>
      <c r="AD124" s="11">
        <f t="shared" si="3"/>
        <v>0</v>
      </c>
      <c r="AE124" s="11">
        <f t="shared" si="4"/>
        <v>0</v>
      </c>
      <c r="AF124" s="18" t="str">
        <f t="shared" si="5"/>
        <v>G</v>
      </c>
      <c r="AG124" s="18" t="str">
        <f t="shared" si="6"/>
        <v>G-7</v>
      </c>
      <c r="AH124" s="14"/>
      <c r="AI124" s="14"/>
    </row>
    <row r="125" spans="1:35" ht="15.75" hidden="1" customHeight="1">
      <c r="A125" s="8">
        <v>123</v>
      </c>
      <c r="B125" s="9" t="s">
        <v>184</v>
      </c>
      <c r="C125" s="9" t="s">
        <v>177</v>
      </c>
      <c r="D125" s="10">
        <v>8</v>
      </c>
      <c r="E125" s="11"/>
      <c r="F125" s="11"/>
      <c r="G125" s="11"/>
      <c r="H125" s="12">
        <v>1</v>
      </c>
      <c r="I125" s="10">
        <v>5258</v>
      </c>
      <c r="J125" s="10">
        <v>5286</v>
      </c>
      <c r="K125" s="10">
        <v>28</v>
      </c>
      <c r="L125" s="10">
        <v>28</v>
      </c>
      <c r="M125" s="10">
        <v>0</v>
      </c>
      <c r="N125" s="10">
        <v>0</v>
      </c>
      <c r="O125" s="10">
        <v>0</v>
      </c>
      <c r="P125" s="10">
        <v>3</v>
      </c>
      <c r="Q125" s="10">
        <v>0</v>
      </c>
      <c r="R125" s="12"/>
      <c r="S125" s="13"/>
      <c r="T125" s="13">
        <f t="shared" si="0"/>
        <v>31</v>
      </c>
      <c r="U125" s="11">
        <f ca="1">IFERROR(__xludf.DUMMYFUNCTION("IFERROR(
  SUM(
    FILTER(
      Reporte!$E:$E, 
      REGEXMATCH(Reporte!$A:$A, ""(?i)(TE PAGÓ|PAGASTE)""), 
      Reporte!$H:$H &amp; """" = AG125 &amp; """"
    )
  ), 
  0
)"),0)</f>
        <v>0</v>
      </c>
      <c r="V125" s="11">
        <f ca="1">IFERROR(__xludf.DUMMYFUNCTION("IFERROR(
  SUM(
    FILTER(
      Efectivo!$C:$C, 
      Efectivo!$D:$D &amp; """" = AG125 &amp; """"
    )
  ), 
  0
)"),31)</f>
        <v>31</v>
      </c>
      <c r="W125" s="11" t="s">
        <v>35</v>
      </c>
      <c r="X125" s="11"/>
      <c r="Y125" s="11"/>
      <c r="Z125" s="11"/>
      <c r="AA125" s="11"/>
      <c r="AB125" s="11" t="str">
        <f t="shared" si="1"/>
        <v/>
      </c>
      <c r="AC125" s="11" t="str">
        <f t="shared" si="2"/>
        <v/>
      </c>
      <c r="AD125" s="11">
        <f t="shared" si="3"/>
        <v>31</v>
      </c>
      <c r="AE125" s="11">
        <f t="shared" si="4"/>
        <v>0</v>
      </c>
      <c r="AF125" s="11" t="str">
        <f t="shared" si="5"/>
        <v>G</v>
      </c>
      <c r="AG125" s="11" t="str">
        <f t="shared" si="6"/>
        <v>G-8</v>
      </c>
      <c r="AH125" s="21"/>
      <c r="AI125" s="21"/>
    </row>
    <row r="126" spans="1:35" ht="15.75" hidden="1" customHeight="1">
      <c r="A126" s="15">
        <v>124</v>
      </c>
      <c r="B126" s="16" t="s">
        <v>185</v>
      </c>
      <c r="C126" s="16" t="s">
        <v>177</v>
      </c>
      <c r="D126" s="17">
        <v>9</v>
      </c>
      <c r="E126" s="18"/>
      <c r="F126" s="18"/>
      <c r="G126" s="18"/>
      <c r="H126" s="19">
        <v>1</v>
      </c>
      <c r="I126" s="17">
        <v>1067</v>
      </c>
      <c r="J126" s="17">
        <v>1086</v>
      </c>
      <c r="K126" s="17">
        <v>19</v>
      </c>
      <c r="L126" s="17">
        <v>19</v>
      </c>
      <c r="M126" s="17">
        <v>0</v>
      </c>
      <c r="N126" s="17">
        <v>0</v>
      </c>
      <c r="O126" s="17">
        <v>0</v>
      </c>
      <c r="P126" s="17">
        <v>3</v>
      </c>
      <c r="Q126" s="17">
        <v>0</v>
      </c>
      <c r="R126" s="19"/>
      <c r="S126" s="20"/>
      <c r="T126" s="13">
        <f t="shared" si="0"/>
        <v>22</v>
      </c>
      <c r="U126" s="18">
        <f ca="1">IFERROR(__xludf.DUMMYFUNCTION("IFERROR(
  SUM(
    FILTER(
      Reporte!$E:$E, 
      REGEXMATCH(Reporte!$A:$A, ""(?i)(TE PAGÓ|PAGASTE)""), 
      Reporte!$H:$H &amp; """" = AG126 &amp; """"
    )
  ), 
  0
)"),0)</f>
        <v>0</v>
      </c>
      <c r="V126" s="18">
        <f ca="1">IFERROR(__xludf.DUMMYFUNCTION("IFERROR(
  SUM(
    FILTER(
      Efectivo!$C:$C, 
      Efectivo!$D:$D &amp; """" = AG126 &amp; """"
    )
  ), 
  0
)"),0)</f>
        <v>0</v>
      </c>
      <c r="W126" s="18"/>
      <c r="X126" s="18"/>
      <c r="Y126" s="18"/>
      <c r="Z126" s="18"/>
      <c r="AA126" s="18"/>
      <c r="AB126" s="18" t="str">
        <f t="shared" si="1"/>
        <v/>
      </c>
      <c r="AC126" s="18" t="str">
        <f t="shared" si="2"/>
        <v/>
      </c>
      <c r="AD126" s="11">
        <f t="shared" si="3"/>
        <v>0</v>
      </c>
      <c r="AE126" s="11">
        <f t="shared" si="4"/>
        <v>0</v>
      </c>
      <c r="AF126" s="18" t="str">
        <f t="shared" si="5"/>
        <v>G</v>
      </c>
      <c r="AG126" s="18" t="str">
        <f t="shared" si="6"/>
        <v>G-9</v>
      </c>
      <c r="AH126" s="14"/>
      <c r="AI126" s="14"/>
    </row>
    <row r="127" spans="1:35" ht="15.75" hidden="1" customHeight="1">
      <c r="A127" s="8">
        <v>125</v>
      </c>
      <c r="B127" s="9" t="s">
        <v>186</v>
      </c>
      <c r="C127" s="9" t="s">
        <v>177</v>
      </c>
      <c r="D127" s="10">
        <v>11</v>
      </c>
      <c r="E127" s="11"/>
      <c r="F127" s="12">
        <v>1</v>
      </c>
      <c r="G127" s="11"/>
      <c r="H127" s="12">
        <v>1</v>
      </c>
      <c r="I127" s="10">
        <v>24</v>
      </c>
      <c r="J127" s="10">
        <v>40</v>
      </c>
      <c r="K127" s="10">
        <v>16</v>
      </c>
      <c r="L127" s="10">
        <v>16</v>
      </c>
      <c r="M127" s="10">
        <v>0</v>
      </c>
      <c r="N127" s="10">
        <v>0</v>
      </c>
      <c r="O127" s="10">
        <v>25</v>
      </c>
      <c r="P127" s="10">
        <v>3</v>
      </c>
      <c r="Q127" s="10">
        <v>0</v>
      </c>
      <c r="R127" s="12"/>
      <c r="S127" s="13"/>
      <c r="T127" s="13">
        <f t="shared" si="0"/>
        <v>44</v>
      </c>
      <c r="U127" s="11">
        <f ca="1">IFERROR(__xludf.DUMMYFUNCTION("IFERROR(
  SUM(
    FILTER(
      Reporte!$E:$E, 
      REGEXMATCH(Reporte!$A:$A, ""(?i)(TE PAGÓ|PAGASTE)""), 
      Reporte!$H:$H &amp; """" = AG127 &amp; """"
    )
  ), 
  0
)"),0)</f>
        <v>0</v>
      </c>
      <c r="V127" s="11">
        <f ca="1">IFERROR(__xludf.DUMMYFUNCTION("IFERROR(
  SUM(
    FILTER(
      Efectivo!$C:$C, 
      Efectivo!$D:$D &amp; """" = AG127 &amp; """"
    )
  ), 
  0
)"),44)</f>
        <v>44</v>
      </c>
      <c r="W127" s="11" t="s">
        <v>35</v>
      </c>
      <c r="X127" s="11"/>
      <c r="Y127" s="11"/>
      <c r="Z127" s="11"/>
      <c r="AA127" s="11"/>
      <c r="AB127" s="11" t="str">
        <f t="shared" si="1"/>
        <v/>
      </c>
      <c r="AC127" s="11" t="str">
        <f t="shared" si="2"/>
        <v/>
      </c>
      <c r="AD127" s="11">
        <f t="shared" si="3"/>
        <v>44</v>
      </c>
      <c r="AE127" s="11">
        <f t="shared" si="4"/>
        <v>0</v>
      </c>
      <c r="AF127" s="11" t="str">
        <f t="shared" si="5"/>
        <v>G</v>
      </c>
      <c r="AG127" s="11" t="str">
        <f t="shared" si="6"/>
        <v>G-11</v>
      </c>
      <c r="AH127" s="21"/>
      <c r="AI127" s="21"/>
    </row>
    <row r="128" spans="1:35" ht="15.75" hidden="1" customHeight="1">
      <c r="A128" s="15">
        <v>126</v>
      </c>
      <c r="B128" s="16" t="s">
        <v>187</v>
      </c>
      <c r="C128" s="16" t="s">
        <v>177</v>
      </c>
      <c r="D128" s="17">
        <v>12</v>
      </c>
      <c r="E128" s="18"/>
      <c r="F128" s="18"/>
      <c r="G128" s="18"/>
      <c r="H128" s="19">
        <v>1</v>
      </c>
      <c r="I128" s="17">
        <v>23</v>
      </c>
      <c r="J128" s="17">
        <v>31</v>
      </c>
      <c r="K128" s="17">
        <v>8</v>
      </c>
      <c r="L128" s="17">
        <v>8</v>
      </c>
      <c r="M128" s="17">
        <v>0</v>
      </c>
      <c r="N128" s="17">
        <v>0</v>
      </c>
      <c r="O128" s="17">
        <v>25</v>
      </c>
      <c r="P128" s="17">
        <v>3</v>
      </c>
      <c r="Q128" s="17">
        <v>0</v>
      </c>
      <c r="R128" s="19"/>
      <c r="S128" s="20"/>
      <c r="T128" s="13">
        <f t="shared" si="0"/>
        <v>36</v>
      </c>
      <c r="U128" s="18">
        <f ca="1">IFERROR(__xludf.DUMMYFUNCTION("IFERROR(
  SUM(
    FILTER(
      Reporte!$E:$E, 
      REGEXMATCH(Reporte!$A:$A, ""(?i)(TE PAGÓ|PAGASTE)""), 
      Reporte!$H:$H &amp; """" = AG128 &amp; """"
    )
  ), 
  0
)"),0)</f>
        <v>0</v>
      </c>
      <c r="V128" s="18">
        <f ca="1">IFERROR(__xludf.DUMMYFUNCTION("IFERROR(
  SUM(
    FILTER(
      Efectivo!$C:$C, 
      Efectivo!$D:$D &amp; """" = AG128 &amp; """"
    )
  ), 
  0
)"),36)</f>
        <v>36</v>
      </c>
      <c r="W128" s="18" t="s">
        <v>35</v>
      </c>
      <c r="X128" s="18"/>
      <c r="Y128" s="18"/>
      <c r="Z128" s="18"/>
      <c r="AA128" s="18"/>
      <c r="AB128" s="18" t="str">
        <f t="shared" si="1"/>
        <v/>
      </c>
      <c r="AC128" s="18" t="str">
        <f t="shared" si="2"/>
        <v/>
      </c>
      <c r="AD128" s="11">
        <f t="shared" si="3"/>
        <v>36</v>
      </c>
      <c r="AE128" s="11">
        <f t="shared" si="4"/>
        <v>0</v>
      </c>
      <c r="AF128" s="18" t="str">
        <f t="shared" si="5"/>
        <v>G</v>
      </c>
      <c r="AG128" s="18" t="str">
        <f t="shared" si="6"/>
        <v>G-12</v>
      </c>
      <c r="AH128" s="14"/>
      <c r="AI128" s="14"/>
    </row>
    <row r="129" spans="1:35" ht="15.75" hidden="1" customHeight="1">
      <c r="A129" s="8">
        <v>127</v>
      </c>
      <c r="B129" s="9" t="s">
        <v>188</v>
      </c>
      <c r="C129" s="9" t="s">
        <v>177</v>
      </c>
      <c r="D129" s="10">
        <v>13</v>
      </c>
      <c r="E129" s="11"/>
      <c r="F129" s="11"/>
      <c r="G129" s="11"/>
      <c r="H129" s="12">
        <v>1</v>
      </c>
      <c r="I129" s="10">
        <v>45</v>
      </c>
      <c r="J129" s="10">
        <v>69</v>
      </c>
      <c r="K129" s="10">
        <v>24</v>
      </c>
      <c r="L129" s="10">
        <v>24</v>
      </c>
      <c r="M129" s="10">
        <v>25</v>
      </c>
      <c r="N129" s="10">
        <v>0</v>
      </c>
      <c r="O129" s="10">
        <v>25</v>
      </c>
      <c r="P129" s="10">
        <v>3</v>
      </c>
      <c r="Q129" s="10">
        <v>0</v>
      </c>
      <c r="R129" s="12"/>
      <c r="S129" s="13"/>
      <c r="T129" s="13">
        <f t="shared" si="0"/>
        <v>77</v>
      </c>
      <c r="U129" s="11">
        <f ca="1">IFERROR(__xludf.DUMMYFUNCTION("IFERROR(
  SUM(
    FILTER(
      Reporte!$E:$E, 
      REGEXMATCH(Reporte!$A:$A, ""(?i)(TE PAGÓ|PAGASTE)""), 
      Reporte!$H:$H &amp; """" = AG129 &amp; """"
    )
  ), 
  0
)"),77)</f>
        <v>77</v>
      </c>
      <c r="V129" s="11">
        <f ca="1">IFERROR(__xludf.DUMMYFUNCTION("IFERROR(
  SUM(
    FILTER(
      Efectivo!$C:$C, 
      Efectivo!$D:$D &amp; """" = AG129 &amp; """"
    )
  ), 
  0
)"),0)</f>
        <v>0</v>
      </c>
      <c r="W129" s="11" t="s">
        <v>35</v>
      </c>
      <c r="X129" s="11"/>
      <c r="Y129" s="11" t="s">
        <v>36</v>
      </c>
      <c r="Z129" s="11"/>
      <c r="AA129" s="11"/>
      <c r="AB129" s="11" t="str">
        <f t="shared" si="1"/>
        <v/>
      </c>
      <c r="AC129" s="11" t="str">
        <f t="shared" si="2"/>
        <v/>
      </c>
      <c r="AD129" s="11">
        <f t="shared" si="3"/>
        <v>0</v>
      </c>
      <c r="AE129" s="11">
        <f t="shared" si="4"/>
        <v>77</v>
      </c>
      <c r="AF129" s="11" t="str">
        <f t="shared" si="5"/>
        <v>G</v>
      </c>
      <c r="AG129" s="11" t="str">
        <f t="shared" si="6"/>
        <v>G-13</v>
      </c>
      <c r="AH129" s="21"/>
      <c r="AI129" s="21"/>
    </row>
    <row r="130" spans="1:35" ht="15.75" hidden="1" customHeight="1">
      <c r="A130" s="15">
        <v>128</v>
      </c>
      <c r="B130" s="16" t="s">
        <v>189</v>
      </c>
      <c r="C130" s="16" t="s">
        <v>177</v>
      </c>
      <c r="D130" s="17">
        <v>14</v>
      </c>
      <c r="E130" s="18"/>
      <c r="F130" s="18"/>
      <c r="G130" s="18"/>
      <c r="H130" s="19">
        <v>1</v>
      </c>
      <c r="I130" s="17">
        <v>28</v>
      </c>
      <c r="J130" s="17">
        <v>52</v>
      </c>
      <c r="K130" s="17">
        <v>24</v>
      </c>
      <c r="L130" s="17">
        <v>24</v>
      </c>
      <c r="M130" s="17">
        <v>0</v>
      </c>
      <c r="N130" s="17">
        <v>0</v>
      </c>
      <c r="O130" s="17">
        <v>25</v>
      </c>
      <c r="P130" s="17">
        <v>3</v>
      </c>
      <c r="Q130" s="17">
        <v>0</v>
      </c>
      <c r="R130" s="19"/>
      <c r="S130" s="20"/>
      <c r="T130" s="13">
        <f t="shared" si="0"/>
        <v>52</v>
      </c>
      <c r="U130" s="18">
        <f ca="1">IFERROR(__xludf.DUMMYFUNCTION("IFERROR(
  SUM(
    FILTER(
      Reporte!$E:$E, 
      REGEXMATCH(Reporte!$A:$A, ""(?i)(TE PAGÓ|PAGASTE)""), 
      Reporte!$H:$H &amp; """" = AG130 &amp; """"
    )
  ), 
  0
)"),52)</f>
        <v>52</v>
      </c>
      <c r="V130" s="18">
        <f ca="1">IFERROR(__xludf.DUMMYFUNCTION("IFERROR(
  SUM(
    FILTER(
      Efectivo!$C:$C, 
      Efectivo!$D:$D &amp; """" = AG130 &amp; """"
    )
  ), 
  0
)"),0)</f>
        <v>0</v>
      </c>
      <c r="W130" s="18" t="s">
        <v>35</v>
      </c>
      <c r="X130" s="18"/>
      <c r="Y130" s="18" t="s">
        <v>36</v>
      </c>
      <c r="Z130" s="18"/>
      <c r="AA130" s="18"/>
      <c r="AB130" s="18" t="str">
        <f t="shared" si="1"/>
        <v/>
      </c>
      <c r="AC130" s="18" t="str">
        <f t="shared" si="2"/>
        <v/>
      </c>
      <c r="AD130" s="11">
        <f t="shared" si="3"/>
        <v>0</v>
      </c>
      <c r="AE130" s="11">
        <f t="shared" si="4"/>
        <v>52</v>
      </c>
      <c r="AF130" s="18" t="str">
        <f t="shared" si="5"/>
        <v>G</v>
      </c>
      <c r="AG130" s="18" t="str">
        <f t="shared" si="6"/>
        <v>G-14</v>
      </c>
      <c r="AH130" s="14"/>
      <c r="AI130" s="14"/>
    </row>
    <row r="131" spans="1:35" ht="15.75" hidden="1" customHeight="1">
      <c r="A131" s="8">
        <v>129</v>
      </c>
      <c r="B131" s="9" t="s">
        <v>190</v>
      </c>
      <c r="C131" s="9" t="s">
        <v>177</v>
      </c>
      <c r="D131" s="10">
        <v>15</v>
      </c>
      <c r="E131" s="11"/>
      <c r="F131" s="12">
        <v>1</v>
      </c>
      <c r="G131" s="11"/>
      <c r="H131" s="12">
        <v>1</v>
      </c>
      <c r="I131" s="10">
        <v>2202</v>
      </c>
      <c r="J131" s="10">
        <v>2225</v>
      </c>
      <c r="K131" s="10">
        <v>23</v>
      </c>
      <c r="L131" s="10">
        <v>23</v>
      </c>
      <c r="M131" s="10">
        <v>0</v>
      </c>
      <c r="N131" s="10">
        <v>0</v>
      </c>
      <c r="O131" s="10">
        <v>0</v>
      </c>
      <c r="P131" s="10">
        <v>3</v>
      </c>
      <c r="Q131" s="10">
        <v>0</v>
      </c>
      <c r="R131" s="12"/>
      <c r="S131" s="13"/>
      <c r="T131" s="13">
        <f t="shared" si="0"/>
        <v>26</v>
      </c>
      <c r="U131" s="11">
        <f ca="1">IFERROR(__xludf.DUMMYFUNCTION("IFERROR(
  SUM(
    FILTER(
      Reporte!$E:$E, 
      REGEXMATCH(Reporte!$A:$A, ""(?i)(TE PAGÓ|PAGASTE)""), 
      Reporte!$H:$H &amp; """" = AG131 &amp; """"
    )
  ), 
  0
)"),26)</f>
        <v>26</v>
      </c>
      <c r="V131" s="11">
        <f ca="1">IFERROR(__xludf.DUMMYFUNCTION("IFERROR(
  SUM(
    FILTER(
      Efectivo!$C:$C, 
      Efectivo!$D:$D &amp; """" = AG131 &amp; """"
    )
  ), 
  0
)"),0)</f>
        <v>0</v>
      </c>
      <c r="W131" s="11" t="s">
        <v>35</v>
      </c>
      <c r="X131" s="11"/>
      <c r="Y131" s="11" t="s">
        <v>36</v>
      </c>
      <c r="Z131" s="11"/>
      <c r="AA131" s="11"/>
      <c r="AB131" s="11" t="str">
        <f t="shared" si="1"/>
        <v/>
      </c>
      <c r="AC131" s="11" t="str">
        <f t="shared" si="2"/>
        <v/>
      </c>
      <c r="AD131" s="11">
        <f t="shared" si="3"/>
        <v>0</v>
      </c>
      <c r="AE131" s="11">
        <f t="shared" si="4"/>
        <v>26</v>
      </c>
      <c r="AF131" s="11" t="str">
        <f t="shared" si="5"/>
        <v>G</v>
      </c>
      <c r="AG131" s="11" t="str">
        <f t="shared" si="6"/>
        <v>G-15</v>
      </c>
      <c r="AH131" s="21"/>
      <c r="AI131" s="21"/>
    </row>
    <row r="132" spans="1:35" ht="15.75" hidden="1" customHeight="1">
      <c r="A132" s="15">
        <v>130</v>
      </c>
      <c r="B132" s="16" t="s">
        <v>191</v>
      </c>
      <c r="C132" s="16" t="s">
        <v>177</v>
      </c>
      <c r="D132" s="17">
        <v>16</v>
      </c>
      <c r="E132" s="18"/>
      <c r="F132" s="18"/>
      <c r="G132" s="18"/>
      <c r="H132" s="19">
        <v>1</v>
      </c>
      <c r="I132" s="17">
        <v>9</v>
      </c>
      <c r="J132" s="17">
        <v>14</v>
      </c>
      <c r="K132" s="17">
        <v>5</v>
      </c>
      <c r="L132" s="17">
        <v>5</v>
      </c>
      <c r="M132" s="17">
        <v>0</v>
      </c>
      <c r="N132" s="17">
        <v>0</v>
      </c>
      <c r="O132" s="17">
        <v>0</v>
      </c>
      <c r="P132" s="17">
        <v>3</v>
      </c>
      <c r="Q132" s="17">
        <v>0</v>
      </c>
      <c r="R132" s="19"/>
      <c r="S132" s="20"/>
      <c r="T132" s="13">
        <f t="shared" si="0"/>
        <v>8</v>
      </c>
      <c r="U132" s="18">
        <f ca="1">IFERROR(__xludf.DUMMYFUNCTION("IFERROR(
  SUM(
    FILTER(
      Reporte!$E:$E, 
      REGEXMATCH(Reporte!$A:$A, ""(?i)(TE PAGÓ|PAGASTE)""), 
      Reporte!$H:$H &amp; """" = AG132 &amp; """"
    )
  ), 
  0
)"),0)</f>
        <v>0</v>
      </c>
      <c r="V132" s="18">
        <f ca="1">IFERROR(__xludf.DUMMYFUNCTION("IFERROR(
  SUM(
    FILTER(
      Efectivo!$C:$C, 
      Efectivo!$D:$D &amp; """" = AG132 &amp; """"
    )
  ), 
  0
)"),8)</f>
        <v>8</v>
      </c>
      <c r="W132" s="18" t="s">
        <v>35</v>
      </c>
      <c r="X132" s="18"/>
      <c r="Y132" s="18"/>
      <c r="Z132" s="18"/>
      <c r="AA132" s="18"/>
      <c r="AB132" s="18" t="str">
        <f t="shared" si="1"/>
        <v/>
      </c>
      <c r="AC132" s="18" t="str">
        <f t="shared" si="2"/>
        <v/>
      </c>
      <c r="AD132" s="11">
        <f t="shared" si="3"/>
        <v>8</v>
      </c>
      <c r="AE132" s="11">
        <f t="shared" si="4"/>
        <v>0</v>
      </c>
      <c r="AF132" s="18" t="str">
        <f t="shared" si="5"/>
        <v>G</v>
      </c>
      <c r="AG132" s="18" t="str">
        <f t="shared" si="6"/>
        <v>G-16</v>
      </c>
      <c r="AH132" s="14"/>
      <c r="AI132" s="14"/>
    </row>
    <row r="133" spans="1:35" ht="15.75" hidden="1" customHeight="1">
      <c r="A133" s="8">
        <v>131</v>
      </c>
      <c r="B133" s="9" t="s">
        <v>192</v>
      </c>
      <c r="C133" s="9" t="s">
        <v>177</v>
      </c>
      <c r="D133" s="9" t="s">
        <v>193</v>
      </c>
      <c r="E133" s="11"/>
      <c r="F133" s="11"/>
      <c r="G133" s="11"/>
      <c r="H133" s="12">
        <v>1</v>
      </c>
      <c r="I133" s="10">
        <v>472</v>
      </c>
      <c r="J133" s="10">
        <v>480</v>
      </c>
      <c r="K133" s="10">
        <v>8</v>
      </c>
      <c r="L133" s="10">
        <v>8</v>
      </c>
      <c r="M133" s="10">
        <v>0</v>
      </c>
      <c r="N133" s="10">
        <v>0</v>
      </c>
      <c r="O133" s="10">
        <v>0</v>
      </c>
      <c r="P133" s="10">
        <v>3</v>
      </c>
      <c r="Q133" s="10">
        <v>0</v>
      </c>
      <c r="R133" s="12"/>
      <c r="S133" s="13"/>
      <c r="T133" s="13">
        <f t="shared" si="0"/>
        <v>11</v>
      </c>
      <c r="U133" s="11">
        <f ca="1">IFERROR(__xludf.DUMMYFUNCTION("IFERROR(
  SUM(
    FILTER(
      Reporte!$E:$E, 
      REGEXMATCH(Reporte!$A:$A, ""(?i)(TE PAGÓ|PAGASTE)""), 
      Reporte!$H:$H &amp; """" = AG133 &amp; """"
    )
  ), 
  0
)"),0)</f>
        <v>0</v>
      </c>
      <c r="V133" s="11">
        <f ca="1">IFERROR(__xludf.DUMMYFUNCTION("IFERROR(
  SUM(
    FILTER(
      Efectivo!$C:$C, 
      Efectivo!$D:$D &amp; """" = AG133 &amp; """"
    )
  ), 
  0
)"),0)</f>
        <v>0</v>
      </c>
      <c r="W133" s="11"/>
      <c r="X133" s="11"/>
      <c r="Y133" s="11"/>
      <c r="Z133" s="11"/>
      <c r="AA133" s="11"/>
      <c r="AB133" s="11" t="str">
        <f t="shared" si="1"/>
        <v/>
      </c>
      <c r="AC133" s="11" t="str">
        <f t="shared" si="2"/>
        <v/>
      </c>
      <c r="AD133" s="11">
        <f t="shared" si="3"/>
        <v>0</v>
      </c>
      <c r="AE133" s="11">
        <f t="shared" si="4"/>
        <v>0</v>
      </c>
      <c r="AF133" s="11" t="str">
        <f t="shared" si="5"/>
        <v>G</v>
      </c>
      <c r="AG133" s="11" t="str">
        <f t="shared" si="6"/>
        <v>G-16A</v>
      </c>
      <c r="AH133" s="21"/>
      <c r="AI133" s="21"/>
    </row>
    <row r="134" spans="1:35" ht="15.75" hidden="1" customHeight="1">
      <c r="A134" s="15">
        <v>132</v>
      </c>
      <c r="B134" s="16" t="s">
        <v>194</v>
      </c>
      <c r="C134" s="16" t="s">
        <v>177</v>
      </c>
      <c r="D134" s="17">
        <v>17</v>
      </c>
      <c r="E134" s="18"/>
      <c r="F134" s="18"/>
      <c r="G134" s="18"/>
      <c r="H134" s="19">
        <v>1</v>
      </c>
      <c r="I134" s="17">
        <v>37</v>
      </c>
      <c r="J134" s="17">
        <v>68</v>
      </c>
      <c r="K134" s="17">
        <v>31</v>
      </c>
      <c r="L134" s="17">
        <v>31</v>
      </c>
      <c r="M134" s="17">
        <v>0</v>
      </c>
      <c r="N134" s="17">
        <v>0</v>
      </c>
      <c r="O134" s="17">
        <v>25</v>
      </c>
      <c r="P134" s="17">
        <v>3</v>
      </c>
      <c r="Q134" s="17">
        <v>0</v>
      </c>
      <c r="R134" s="19"/>
      <c r="S134" s="20"/>
      <c r="T134" s="13">
        <f t="shared" si="0"/>
        <v>59</v>
      </c>
      <c r="U134" s="18">
        <f ca="1">IFERROR(__xludf.DUMMYFUNCTION("IFERROR(
  SUM(
    FILTER(
      Reporte!$E:$E, 
      REGEXMATCH(Reporte!$A:$A, ""(?i)(TE PAGÓ|PAGASTE)""), 
      Reporte!$H:$H &amp; """" = AG134 &amp; """"
    )
  ), 
  0
)"),59)</f>
        <v>59</v>
      </c>
      <c r="V134" s="18">
        <f ca="1">IFERROR(__xludf.DUMMYFUNCTION("IFERROR(
  SUM(
    FILTER(
      Efectivo!$C:$C, 
      Efectivo!$D:$D &amp; """" = AG134 &amp; """"
    )
  ), 
  0
)"),0)</f>
        <v>0</v>
      </c>
      <c r="W134" s="18" t="s">
        <v>35</v>
      </c>
      <c r="X134" s="18"/>
      <c r="Y134" s="18" t="s">
        <v>36</v>
      </c>
      <c r="Z134" s="18"/>
      <c r="AA134" s="18"/>
      <c r="AB134" s="18" t="str">
        <f t="shared" si="1"/>
        <v/>
      </c>
      <c r="AC134" s="18" t="str">
        <f t="shared" si="2"/>
        <v/>
      </c>
      <c r="AD134" s="11">
        <f t="shared" si="3"/>
        <v>0</v>
      </c>
      <c r="AE134" s="11">
        <f t="shared" si="4"/>
        <v>59</v>
      </c>
      <c r="AF134" s="18" t="str">
        <f t="shared" si="5"/>
        <v>G</v>
      </c>
      <c r="AG134" s="18" t="str">
        <f t="shared" si="6"/>
        <v>G-17</v>
      </c>
      <c r="AH134" s="14"/>
      <c r="AI134" s="14"/>
    </row>
    <row r="135" spans="1:35" ht="15.75" hidden="1" customHeight="1">
      <c r="A135" s="8">
        <v>133</v>
      </c>
      <c r="B135" s="9" t="s">
        <v>195</v>
      </c>
      <c r="C135" s="9" t="s">
        <v>177</v>
      </c>
      <c r="D135" s="10">
        <v>18</v>
      </c>
      <c r="E135" s="11"/>
      <c r="F135" s="11"/>
      <c r="G135" s="11"/>
      <c r="H135" s="12">
        <v>1</v>
      </c>
      <c r="I135" s="10">
        <v>10</v>
      </c>
      <c r="J135" s="10">
        <v>27</v>
      </c>
      <c r="K135" s="10">
        <v>17</v>
      </c>
      <c r="L135" s="10">
        <v>17</v>
      </c>
      <c r="M135" s="10">
        <v>0</v>
      </c>
      <c r="N135" s="10">
        <v>0</v>
      </c>
      <c r="O135" s="10">
        <v>50</v>
      </c>
      <c r="P135" s="10">
        <v>3</v>
      </c>
      <c r="Q135" s="10">
        <v>0</v>
      </c>
      <c r="R135" s="12"/>
      <c r="S135" s="13"/>
      <c r="T135" s="13">
        <f t="shared" si="0"/>
        <v>70</v>
      </c>
      <c r="U135" s="11">
        <f ca="1">IFERROR(__xludf.DUMMYFUNCTION("IFERROR(
  SUM(
    FILTER(
      Reporte!$E:$E, 
      REGEXMATCH(Reporte!$A:$A, ""(?i)(TE PAGÓ|PAGASTE)""), 
      Reporte!$H:$H &amp; """" = AG135 &amp; """"
    )
  ), 
  0
)"),0)</f>
        <v>0</v>
      </c>
      <c r="V135" s="11">
        <f ca="1">IFERROR(__xludf.DUMMYFUNCTION("IFERROR(
  SUM(
    FILTER(
      Efectivo!$C:$C, 
      Efectivo!$D:$D &amp; """" = AG135 &amp; """"
    )
  ), 
  0
)"),70)</f>
        <v>70</v>
      </c>
      <c r="W135" s="11" t="s">
        <v>35</v>
      </c>
      <c r="X135" s="11"/>
      <c r="Y135" s="11"/>
      <c r="Z135" s="11"/>
      <c r="AA135" s="11"/>
      <c r="AB135" s="11" t="str">
        <f t="shared" si="1"/>
        <v/>
      </c>
      <c r="AC135" s="11" t="str">
        <f t="shared" si="2"/>
        <v/>
      </c>
      <c r="AD135" s="11">
        <f t="shared" si="3"/>
        <v>70</v>
      </c>
      <c r="AE135" s="11">
        <f t="shared" si="4"/>
        <v>0</v>
      </c>
      <c r="AF135" s="11" t="str">
        <f t="shared" si="5"/>
        <v>G</v>
      </c>
      <c r="AG135" s="11" t="str">
        <f t="shared" si="6"/>
        <v>G-18</v>
      </c>
      <c r="AH135" s="21"/>
      <c r="AI135" s="21"/>
    </row>
    <row r="136" spans="1:35" ht="15.75" hidden="1" customHeight="1">
      <c r="A136" s="15">
        <v>134</v>
      </c>
      <c r="B136" s="16" t="s">
        <v>196</v>
      </c>
      <c r="C136" s="16" t="s">
        <v>177</v>
      </c>
      <c r="D136" s="17">
        <v>19</v>
      </c>
      <c r="E136" s="18"/>
      <c r="F136" s="18"/>
      <c r="G136" s="18"/>
      <c r="H136" s="19">
        <v>1</v>
      </c>
      <c r="I136" s="17">
        <v>27</v>
      </c>
      <c r="J136" s="17">
        <v>49</v>
      </c>
      <c r="K136" s="17">
        <v>22</v>
      </c>
      <c r="L136" s="17">
        <v>22</v>
      </c>
      <c r="M136" s="17">
        <v>0</v>
      </c>
      <c r="N136" s="17">
        <v>0</v>
      </c>
      <c r="O136" s="17">
        <v>25</v>
      </c>
      <c r="P136" s="17">
        <v>3</v>
      </c>
      <c r="Q136" s="17">
        <v>0</v>
      </c>
      <c r="R136" s="19"/>
      <c r="S136" s="20"/>
      <c r="T136" s="13">
        <f t="shared" si="0"/>
        <v>50</v>
      </c>
      <c r="U136" s="18">
        <f ca="1">IFERROR(__xludf.DUMMYFUNCTION("IFERROR(
  SUM(
    FILTER(
      Reporte!$E:$E, 
      REGEXMATCH(Reporte!$A:$A, ""(?i)(TE PAGÓ|PAGASTE)""), 
      Reporte!$H:$H &amp; """" = AG136 &amp; """"
    )
  ), 
  0
)"),0)</f>
        <v>0</v>
      </c>
      <c r="V136" s="18">
        <f ca="1">IFERROR(__xludf.DUMMYFUNCTION("IFERROR(
  SUM(
    FILTER(
      Efectivo!$C:$C, 
      Efectivo!$D:$D &amp; """" = AG136 &amp; """"
    )
  ), 
  0
)"),50)</f>
        <v>50</v>
      </c>
      <c r="W136" s="18" t="s">
        <v>35</v>
      </c>
      <c r="X136" s="18"/>
      <c r="Y136" s="18"/>
      <c r="Z136" s="18"/>
      <c r="AA136" s="18"/>
      <c r="AB136" s="18" t="str">
        <f t="shared" si="1"/>
        <v/>
      </c>
      <c r="AC136" s="18" t="str">
        <f t="shared" si="2"/>
        <v/>
      </c>
      <c r="AD136" s="11">
        <f t="shared" si="3"/>
        <v>50</v>
      </c>
      <c r="AE136" s="11">
        <f t="shared" si="4"/>
        <v>0</v>
      </c>
      <c r="AF136" s="18" t="str">
        <f t="shared" si="5"/>
        <v>G</v>
      </c>
      <c r="AG136" s="18" t="str">
        <f t="shared" si="6"/>
        <v>G-19</v>
      </c>
      <c r="AH136" s="14"/>
      <c r="AI136" s="14"/>
    </row>
    <row r="137" spans="1:35" ht="15.75" hidden="1" customHeight="1">
      <c r="A137" s="8">
        <v>135</v>
      </c>
      <c r="B137" s="9" t="s">
        <v>197</v>
      </c>
      <c r="C137" s="9" t="s">
        <v>177</v>
      </c>
      <c r="D137" s="10">
        <v>20</v>
      </c>
      <c r="E137" s="11"/>
      <c r="F137" s="11"/>
      <c r="G137" s="11"/>
      <c r="H137" s="12">
        <v>1</v>
      </c>
      <c r="I137" s="10">
        <v>26</v>
      </c>
      <c r="J137" s="10">
        <v>48</v>
      </c>
      <c r="K137" s="10">
        <v>22</v>
      </c>
      <c r="L137" s="10">
        <v>22</v>
      </c>
      <c r="M137" s="10">
        <v>0</v>
      </c>
      <c r="N137" s="10">
        <v>0</v>
      </c>
      <c r="O137" s="10">
        <v>25</v>
      </c>
      <c r="P137" s="10">
        <v>3</v>
      </c>
      <c r="Q137" s="10">
        <v>0</v>
      </c>
      <c r="R137" s="12"/>
      <c r="S137" s="13"/>
      <c r="T137" s="13">
        <f t="shared" si="0"/>
        <v>50</v>
      </c>
      <c r="U137" s="11">
        <f ca="1">IFERROR(__xludf.DUMMYFUNCTION("IFERROR(
  SUM(
    FILTER(
      Reporte!$E:$E, 
      REGEXMATCH(Reporte!$A:$A, ""(?i)(TE PAGÓ|PAGASTE)""), 
      Reporte!$H:$H &amp; """" = AG137 &amp; """"
    )
  ), 
  0
)"),0)</f>
        <v>0</v>
      </c>
      <c r="V137" s="11">
        <f ca="1">IFERROR(__xludf.DUMMYFUNCTION("IFERROR(
  SUM(
    FILTER(
      Efectivo!$C:$C, 
      Efectivo!$D:$D &amp; """" = AG137 &amp; """"
    )
  ), 
  0
)"),50)</f>
        <v>50</v>
      </c>
      <c r="W137" s="11" t="s">
        <v>35</v>
      </c>
      <c r="X137" s="11"/>
      <c r="Y137" s="11"/>
      <c r="Z137" s="11"/>
      <c r="AA137" s="11"/>
      <c r="AB137" s="11" t="str">
        <f t="shared" si="1"/>
        <v/>
      </c>
      <c r="AC137" s="11" t="str">
        <f t="shared" si="2"/>
        <v/>
      </c>
      <c r="AD137" s="11">
        <f t="shared" si="3"/>
        <v>50</v>
      </c>
      <c r="AE137" s="11">
        <f t="shared" si="4"/>
        <v>0</v>
      </c>
      <c r="AF137" s="11" t="str">
        <f t="shared" si="5"/>
        <v>G</v>
      </c>
      <c r="AG137" s="11" t="str">
        <f t="shared" si="6"/>
        <v>G-20</v>
      </c>
      <c r="AH137" s="21"/>
      <c r="AI137" s="21"/>
    </row>
    <row r="138" spans="1:35" ht="15.75" hidden="1" customHeight="1">
      <c r="A138" s="15">
        <v>136</v>
      </c>
      <c r="B138" s="16" t="s">
        <v>198</v>
      </c>
      <c r="C138" s="16" t="s">
        <v>177</v>
      </c>
      <c r="D138" s="17">
        <v>21</v>
      </c>
      <c r="E138" s="18"/>
      <c r="F138" s="18"/>
      <c r="G138" s="18"/>
      <c r="H138" s="19">
        <v>1</v>
      </c>
      <c r="I138" s="17">
        <v>1709</v>
      </c>
      <c r="J138" s="17">
        <v>1732</v>
      </c>
      <c r="K138" s="17">
        <v>23</v>
      </c>
      <c r="L138" s="17">
        <v>23</v>
      </c>
      <c r="M138" s="17">
        <v>0</v>
      </c>
      <c r="N138" s="17">
        <v>0</v>
      </c>
      <c r="O138" s="17">
        <v>0</v>
      </c>
      <c r="P138" s="17">
        <v>3</v>
      </c>
      <c r="Q138" s="17">
        <v>0</v>
      </c>
      <c r="R138" s="19"/>
      <c r="S138" s="20"/>
      <c r="T138" s="13">
        <f t="shared" si="0"/>
        <v>26</v>
      </c>
      <c r="U138" s="18">
        <f ca="1">IFERROR(__xludf.DUMMYFUNCTION("IFERROR(
  SUM(
    FILTER(
      Reporte!$E:$E, 
      REGEXMATCH(Reporte!$A:$A, ""(?i)(TE PAGÓ|PAGASTE)""), 
      Reporte!$H:$H &amp; """" = AG138 &amp; """"
    )
  ), 
  0
)"),26)</f>
        <v>26</v>
      </c>
      <c r="V138" s="18">
        <f ca="1">IFERROR(__xludf.DUMMYFUNCTION("IFERROR(
  SUM(
    FILTER(
      Efectivo!$C:$C, 
      Efectivo!$D:$D &amp; """" = AG138 &amp; """"
    )
  ), 
  0
)"),0)</f>
        <v>0</v>
      </c>
      <c r="W138" s="18" t="s">
        <v>35</v>
      </c>
      <c r="X138" s="18"/>
      <c r="Y138" s="18" t="s">
        <v>36</v>
      </c>
      <c r="Z138" s="18"/>
      <c r="AA138" s="18"/>
      <c r="AB138" s="18" t="str">
        <f t="shared" si="1"/>
        <v/>
      </c>
      <c r="AC138" s="18" t="str">
        <f t="shared" si="2"/>
        <v/>
      </c>
      <c r="AD138" s="11">
        <f t="shared" si="3"/>
        <v>0</v>
      </c>
      <c r="AE138" s="11">
        <f t="shared" si="4"/>
        <v>26</v>
      </c>
      <c r="AF138" s="18" t="str">
        <f t="shared" si="5"/>
        <v>G</v>
      </c>
      <c r="AG138" s="18" t="str">
        <f t="shared" si="6"/>
        <v>G-21</v>
      </c>
      <c r="AH138" s="14"/>
      <c r="AI138" s="14"/>
    </row>
    <row r="139" spans="1:35" ht="15.75" hidden="1" customHeight="1">
      <c r="A139" s="8">
        <v>137</v>
      </c>
      <c r="B139" s="9" t="s">
        <v>199</v>
      </c>
      <c r="C139" s="9" t="s">
        <v>177</v>
      </c>
      <c r="D139" s="9" t="s">
        <v>200</v>
      </c>
      <c r="E139" s="11"/>
      <c r="F139" s="11"/>
      <c r="G139" s="11"/>
      <c r="H139" s="12">
        <v>1</v>
      </c>
      <c r="I139" s="10">
        <v>770</v>
      </c>
      <c r="J139" s="10">
        <v>789</v>
      </c>
      <c r="K139" s="10">
        <v>19</v>
      </c>
      <c r="L139" s="10">
        <v>19</v>
      </c>
      <c r="M139" s="10">
        <v>0</v>
      </c>
      <c r="N139" s="10">
        <v>0</v>
      </c>
      <c r="O139" s="10">
        <v>0</v>
      </c>
      <c r="P139" s="10">
        <v>3</v>
      </c>
      <c r="Q139" s="10">
        <v>0</v>
      </c>
      <c r="R139" s="12"/>
      <c r="S139" s="13"/>
      <c r="T139" s="13">
        <f t="shared" si="0"/>
        <v>22</v>
      </c>
      <c r="U139" s="11">
        <f ca="1">IFERROR(__xludf.DUMMYFUNCTION("IFERROR(
  SUM(
    FILTER(
      Reporte!$E:$E, 
      REGEXMATCH(Reporte!$A:$A, ""(?i)(TE PAGÓ|PAGASTE)""), 
      Reporte!$H:$H &amp; """" = AG139 &amp; """"
    )
  ), 
  0
)"),0)</f>
        <v>0</v>
      </c>
      <c r="V139" s="11">
        <f ca="1">IFERROR(__xludf.DUMMYFUNCTION("IFERROR(
  SUM(
    FILTER(
      Efectivo!$C:$C, 
      Efectivo!$D:$D &amp; """" = AG139 &amp; """"
    )
  ), 
  0
)"),0)</f>
        <v>0</v>
      </c>
      <c r="W139" s="11"/>
      <c r="X139" s="11"/>
      <c r="Y139" s="11"/>
      <c r="Z139" s="11"/>
      <c r="AA139" s="11"/>
      <c r="AB139" s="11" t="str">
        <f t="shared" si="1"/>
        <v/>
      </c>
      <c r="AC139" s="11" t="str">
        <f t="shared" si="2"/>
        <v/>
      </c>
      <c r="AD139" s="11">
        <f t="shared" si="3"/>
        <v>0</v>
      </c>
      <c r="AE139" s="11">
        <f t="shared" si="4"/>
        <v>0</v>
      </c>
      <c r="AF139" s="11" t="str">
        <f t="shared" si="5"/>
        <v>G</v>
      </c>
      <c r="AG139" s="11" t="str">
        <f t="shared" si="6"/>
        <v>G-21A</v>
      </c>
      <c r="AH139" s="21"/>
      <c r="AI139" s="21"/>
    </row>
    <row r="140" spans="1:35" ht="15.75" hidden="1" customHeight="1">
      <c r="A140" s="15">
        <v>138</v>
      </c>
      <c r="B140" s="16" t="s">
        <v>201</v>
      </c>
      <c r="C140" s="16" t="s">
        <v>177</v>
      </c>
      <c r="D140" s="17">
        <v>22</v>
      </c>
      <c r="E140" s="18"/>
      <c r="F140" s="18"/>
      <c r="G140" s="18"/>
      <c r="H140" s="19">
        <v>1</v>
      </c>
      <c r="I140" s="17">
        <v>263</v>
      </c>
      <c r="J140" s="17">
        <v>292</v>
      </c>
      <c r="K140" s="17">
        <v>29</v>
      </c>
      <c r="L140" s="17">
        <v>29</v>
      </c>
      <c r="M140" s="17">
        <v>0</v>
      </c>
      <c r="N140" s="17">
        <v>0</v>
      </c>
      <c r="O140" s="17">
        <v>0</v>
      </c>
      <c r="P140" s="17">
        <v>3</v>
      </c>
      <c r="Q140" s="17">
        <v>0</v>
      </c>
      <c r="R140" s="19"/>
      <c r="S140" s="20"/>
      <c r="T140" s="13">
        <f t="shared" si="0"/>
        <v>32</v>
      </c>
      <c r="U140" s="18">
        <f ca="1">IFERROR(__xludf.DUMMYFUNCTION("IFERROR(
  SUM(
    FILTER(
      Reporte!$E:$E, 
      REGEXMATCH(Reporte!$A:$A, ""(?i)(TE PAGÓ|PAGASTE)""), 
      Reporte!$H:$H &amp; """" = AG140 &amp; """"
    )
  ), 
  0
)"),0)</f>
        <v>0</v>
      </c>
      <c r="V140" s="18">
        <f ca="1">IFERROR(__xludf.DUMMYFUNCTION("IFERROR(
  SUM(
    FILTER(
      Efectivo!$C:$C, 
      Efectivo!$D:$D &amp; """" = AG140 &amp; """"
    )
  ), 
  0
)"),0)</f>
        <v>0</v>
      </c>
      <c r="W140" s="18"/>
      <c r="X140" s="18"/>
      <c r="Y140" s="18"/>
      <c r="Z140" s="18"/>
      <c r="AA140" s="18"/>
      <c r="AB140" s="18" t="str">
        <f t="shared" si="1"/>
        <v/>
      </c>
      <c r="AC140" s="18" t="str">
        <f t="shared" si="2"/>
        <v/>
      </c>
      <c r="AD140" s="11">
        <f t="shared" si="3"/>
        <v>0</v>
      </c>
      <c r="AE140" s="11">
        <f t="shared" si="4"/>
        <v>0</v>
      </c>
      <c r="AF140" s="18" t="str">
        <f t="shared" si="5"/>
        <v>G</v>
      </c>
      <c r="AG140" s="18" t="str">
        <f t="shared" si="6"/>
        <v>G-22</v>
      </c>
      <c r="AH140" s="14"/>
      <c r="AI140" s="14"/>
    </row>
    <row r="141" spans="1:35" ht="15.75" hidden="1" customHeight="1">
      <c r="A141" s="8">
        <v>139</v>
      </c>
      <c r="B141" s="9" t="s">
        <v>202</v>
      </c>
      <c r="C141" s="9" t="s">
        <v>177</v>
      </c>
      <c r="D141" s="10">
        <v>23</v>
      </c>
      <c r="E141" s="11"/>
      <c r="F141" s="11"/>
      <c r="G141" s="11"/>
      <c r="H141" s="12">
        <v>1</v>
      </c>
      <c r="I141" s="10">
        <v>329</v>
      </c>
      <c r="J141" s="10">
        <v>336</v>
      </c>
      <c r="K141" s="10">
        <v>7</v>
      </c>
      <c r="L141" s="10">
        <v>7</v>
      </c>
      <c r="M141" s="10">
        <v>0</v>
      </c>
      <c r="N141" s="10">
        <v>0</v>
      </c>
      <c r="O141" s="10">
        <v>0</v>
      </c>
      <c r="P141" s="10">
        <v>3</v>
      </c>
      <c r="Q141" s="10">
        <v>0</v>
      </c>
      <c r="R141" s="12"/>
      <c r="S141" s="13"/>
      <c r="T141" s="13">
        <f t="shared" si="0"/>
        <v>10</v>
      </c>
      <c r="U141" s="11">
        <f ca="1">IFERROR(__xludf.DUMMYFUNCTION("IFERROR(
  SUM(
    FILTER(
      Reporte!$E:$E, 
      REGEXMATCH(Reporte!$A:$A, ""(?i)(TE PAGÓ|PAGASTE)""), 
      Reporte!$H:$H &amp; """" = AG141 &amp; """"
    )
  ), 
  0
)"),10)</f>
        <v>10</v>
      </c>
      <c r="V141" s="11">
        <f ca="1">IFERROR(__xludf.DUMMYFUNCTION("IFERROR(
  SUM(
    FILTER(
      Efectivo!$C:$C, 
      Efectivo!$D:$D &amp; """" = AG141 &amp; """"
    )
  ), 
  0
)"),0)</f>
        <v>0</v>
      </c>
      <c r="W141" s="11" t="s">
        <v>35</v>
      </c>
      <c r="X141" s="11"/>
      <c r="Y141" s="11" t="s">
        <v>36</v>
      </c>
      <c r="Z141" s="11"/>
      <c r="AA141" s="11"/>
      <c r="AB141" s="11" t="str">
        <f t="shared" si="1"/>
        <v/>
      </c>
      <c r="AC141" s="11" t="str">
        <f t="shared" si="2"/>
        <v/>
      </c>
      <c r="AD141" s="11">
        <f t="shared" si="3"/>
        <v>0</v>
      </c>
      <c r="AE141" s="11">
        <f t="shared" si="4"/>
        <v>10</v>
      </c>
      <c r="AF141" s="11" t="str">
        <f t="shared" si="5"/>
        <v>G</v>
      </c>
      <c r="AG141" s="11" t="str">
        <f t="shared" si="6"/>
        <v>G-23</v>
      </c>
      <c r="AH141" s="21"/>
      <c r="AI141" s="21"/>
    </row>
    <row r="142" spans="1:35" ht="15.75" hidden="1" customHeight="1">
      <c r="A142" s="15">
        <v>140</v>
      </c>
      <c r="B142" s="16" t="s">
        <v>203</v>
      </c>
      <c r="C142" s="16" t="s">
        <v>177</v>
      </c>
      <c r="D142" s="17">
        <v>24</v>
      </c>
      <c r="E142" s="18"/>
      <c r="F142" s="18"/>
      <c r="G142" s="18"/>
      <c r="H142" s="19">
        <v>1</v>
      </c>
      <c r="I142" s="17">
        <v>464</v>
      </c>
      <c r="J142" s="17">
        <v>492</v>
      </c>
      <c r="K142" s="17">
        <v>28</v>
      </c>
      <c r="L142" s="17">
        <v>28</v>
      </c>
      <c r="M142" s="17">
        <v>0</v>
      </c>
      <c r="N142" s="17">
        <v>0</v>
      </c>
      <c r="O142" s="17">
        <v>0</v>
      </c>
      <c r="P142" s="17">
        <v>3</v>
      </c>
      <c r="Q142" s="17">
        <v>0</v>
      </c>
      <c r="R142" s="19"/>
      <c r="S142" s="20"/>
      <c r="T142" s="13">
        <f t="shared" si="0"/>
        <v>31</v>
      </c>
      <c r="U142" s="18">
        <f ca="1">IFERROR(__xludf.DUMMYFUNCTION("IFERROR(
  SUM(
    FILTER(
      Reporte!$E:$E, 
      REGEXMATCH(Reporte!$A:$A, ""(?i)(TE PAGÓ|PAGASTE)""), 
      Reporte!$H:$H &amp; """" = AG142 &amp; """"
    )
  ), 
  0
)"),0)</f>
        <v>0</v>
      </c>
      <c r="V142" s="18">
        <f ca="1">IFERROR(__xludf.DUMMYFUNCTION("IFERROR(
  SUM(
    FILTER(
      Efectivo!$C:$C, 
      Efectivo!$D:$D &amp; """" = AG142 &amp; """"
    )
  ), 
  0
)"),0)</f>
        <v>0</v>
      </c>
      <c r="W142" s="18"/>
      <c r="X142" s="18"/>
      <c r="Y142" s="18"/>
      <c r="Z142" s="18"/>
      <c r="AA142" s="18"/>
      <c r="AB142" s="18" t="str">
        <f t="shared" si="1"/>
        <v/>
      </c>
      <c r="AC142" s="18" t="str">
        <f t="shared" si="2"/>
        <v/>
      </c>
      <c r="AD142" s="11">
        <f t="shared" si="3"/>
        <v>0</v>
      </c>
      <c r="AE142" s="11">
        <f t="shared" si="4"/>
        <v>0</v>
      </c>
      <c r="AF142" s="18" t="str">
        <f t="shared" si="5"/>
        <v>G</v>
      </c>
      <c r="AG142" s="18" t="str">
        <f t="shared" si="6"/>
        <v>G-24</v>
      </c>
      <c r="AH142" s="14"/>
      <c r="AI142" s="14"/>
    </row>
    <row r="143" spans="1:35" ht="15.75" hidden="1" customHeight="1">
      <c r="A143" s="8">
        <v>141</v>
      </c>
      <c r="B143" s="9" t="s">
        <v>204</v>
      </c>
      <c r="C143" s="9" t="s">
        <v>205</v>
      </c>
      <c r="D143" s="10">
        <v>1</v>
      </c>
      <c r="E143" s="11"/>
      <c r="F143" s="11"/>
      <c r="G143" s="11"/>
      <c r="H143" s="12">
        <v>1</v>
      </c>
      <c r="I143" s="10">
        <v>19</v>
      </c>
      <c r="J143" s="10">
        <v>35</v>
      </c>
      <c r="K143" s="10">
        <v>16</v>
      </c>
      <c r="L143" s="10">
        <v>16</v>
      </c>
      <c r="M143" s="10">
        <v>0</v>
      </c>
      <c r="N143" s="10">
        <v>0</v>
      </c>
      <c r="O143" s="10">
        <v>25</v>
      </c>
      <c r="P143" s="10">
        <v>3</v>
      </c>
      <c r="Q143" s="10">
        <v>0</v>
      </c>
      <c r="R143" s="12"/>
      <c r="S143" s="13"/>
      <c r="T143" s="13">
        <f t="shared" si="0"/>
        <v>44</v>
      </c>
      <c r="U143" s="11">
        <f ca="1">IFERROR(__xludf.DUMMYFUNCTION("IFERROR(
  SUM(
    FILTER(
      Reporte!$E:$E, 
      REGEXMATCH(Reporte!$A:$A, ""(?i)(TE PAGÓ|PAGASTE)""), 
      Reporte!$H:$H &amp; """" = AG143 &amp; """"
    )
  ), 
  0
)"),44)</f>
        <v>44</v>
      </c>
      <c r="V143" s="11">
        <f ca="1">IFERROR(__xludf.DUMMYFUNCTION("IFERROR(
  SUM(
    FILTER(
      Efectivo!$C:$C, 
      Efectivo!$D:$D &amp; """" = AG143 &amp; """"
    )
  ), 
  0
)"),0)</f>
        <v>0</v>
      </c>
      <c r="W143" s="11" t="s">
        <v>35</v>
      </c>
      <c r="X143" s="11"/>
      <c r="Y143" s="11" t="s">
        <v>36</v>
      </c>
      <c r="Z143" s="11"/>
      <c r="AA143" s="11"/>
      <c r="AB143" s="11" t="str">
        <f t="shared" si="1"/>
        <v/>
      </c>
      <c r="AC143" s="11" t="str">
        <f t="shared" si="2"/>
        <v/>
      </c>
      <c r="AD143" s="11">
        <f t="shared" si="3"/>
        <v>0</v>
      </c>
      <c r="AE143" s="11">
        <f t="shared" si="4"/>
        <v>44</v>
      </c>
      <c r="AF143" s="11" t="str">
        <f t="shared" si="5"/>
        <v>H</v>
      </c>
      <c r="AG143" s="11" t="str">
        <f t="shared" si="6"/>
        <v>H-1</v>
      </c>
      <c r="AH143" s="21"/>
      <c r="AI143" s="21"/>
    </row>
    <row r="144" spans="1:35" ht="15.75" hidden="1" customHeight="1">
      <c r="A144" s="15">
        <v>142</v>
      </c>
      <c r="B144" s="16" t="s">
        <v>206</v>
      </c>
      <c r="C144" s="16" t="s">
        <v>205</v>
      </c>
      <c r="D144" s="17">
        <v>2</v>
      </c>
      <c r="E144" s="18"/>
      <c r="F144" s="18"/>
      <c r="G144" s="18"/>
      <c r="H144" s="19">
        <v>1</v>
      </c>
      <c r="I144" s="17">
        <v>2224</v>
      </c>
      <c r="J144" s="17">
        <v>2245</v>
      </c>
      <c r="K144" s="17">
        <v>21</v>
      </c>
      <c r="L144" s="17">
        <v>21</v>
      </c>
      <c r="M144" s="17">
        <v>0</v>
      </c>
      <c r="N144" s="17">
        <v>0</v>
      </c>
      <c r="O144" s="17">
        <v>0</v>
      </c>
      <c r="P144" s="17">
        <v>3</v>
      </c>
      <c r="Q144" s="17">
        <v>0</v>
      </c>
      <c r="R144" s="19"/>
      <c r="S144" s="20"/>
      <c r="T144" s="13">
        <f t="shared" si="0"/>
        <v>24</v>
      </c>
      <c r="U144" s="18">
        <f ca="1">IFERROR(__xludf.DUMMYFUNCTION("IFERROR(
  SUM(
    FILTER(
      Reporte!$E:$E, 
      REGEXMATCH(Reporte!$A:$A, ""(?i)(TE PAGÓ|PAGASTE)""), 
      Reporte!$H:$H &amp; """" = AG144 &amp; """"
    )
  ), 
  0
)"),0)</f>
        <v>0</v>
      </c>
      <c r="V144" s="18">
        <f ca="1">IFERROR(__xludf.DUMMYFUNCTION("IFERROR(
  SUM(
    FILTER(
      Efectivo!$C:$C, 
      Efectivo!$D:$D &amp; """" = AG144 &amp; """"
    )
  ), 
  0
)"),24)</f>
        <v>24</v>
      </c>
      <c r="W144" s="18" t="s">
        <v>35</v>
      </c>
      <c r="X144" s="18"/>
      <c r="Y144" s="18"/>
      <c r="Z144" s="18"/>
      <c r="AA144" s="18"/>
      <c r="AB144" s="18" t="str">
        <f t="shared" si="1"/>
        <v/>
      </c>
      <c r="AC144" s="18" t="str">
        <f t="shared" si="2"/>
        <v/>
      </c>
      <c r="AD144" s="11">
        <f t="shared" si="3"/>
        <v>24</v>
      </c>
      <c r="AE144" s="11">
        <f t="shared" si="4"/>
        <v>0</v>
      </c>
      <c r="AF144" s="18" t="str">
        <f t="shared" si="5"/>
        <v>H</v>
      </c>
      <c r="AG144" s="18" t="str">
        <f t="shared" si="6"/>
        <v>H-2</v>
      </c>
      <c r="AH144" s="14"/>
      <c r="AI144" s="14"/>
    </row>
    <row r="145" spans="1:35" ht="15.75" hidden="1" customHeight="1">
      <c r="A145" s="8">
        <v>143</v>
      </c>
      <c r="B145" s="9" t="s">
        <v>207</v>
      </c>
      <c r="C145" s="9" t="s">
        <v>205</v>
      </c>
      <c r="D145" s="10">
        <v>3</v>
      </c>
      <c r="E145" s="11"/>
      <c r="F145" s="11"/>
      <c r="G145" s="11"/>
      <c r="H145" s="12">
        <v>1</v>
      </c>
      <c r="I145" s="10">
        <v>3318</v>
      </c>
      <c r="J145" s="10">
        <v>3343</v>
      </c>
      <c r="K145" s="10">
        <v>25</v>
      </c>
      <c r="L145" s="10">
        <v>25</v>
      </c>
      <c r="M145" s="10">
        <v>0</v>
      </c>
      <c r="N145" s="10">
        <v>0</v>
      </c>
      <c r="O145" s="10">
        <v>0</v>
      </c>
      <c r="P145" s="10">
        <v>3</v>
      </c>
      <c r="Q145" s="10">
        <v>0</v>
      </c>
      <c r="R145" s="12"/>
      <c r="S145" s="13"/>
      <c r="T145" s="13">
        <f t="shared" si="0"/>
        <v>28</v>
      </c>
      <c r="U145" s="11">
        <f ca="1">IFERROR(__xludf.DUMMYFUNCTION("IFERROR(
  SUM(
    FILTER(
      Reporte!$E:$E, 
      REGEXMATCH(Reporte!$A:$A, ""(?i)(TE PAGÓ|PAGASTE)""), 
      Reporte!$H:$H &amp; """" = AG145 &amp; """"
    )
  ), 
  0
)"),0)</f>
        <v>0</v>
      </c>
      <c r="V145" s="11">
        <f ca="1">IFERROR(__xludf.DUMMYFUNCTION("IFERROR(
  SUM(
    FILTER(
      Efectivo!$C:$C, 
      Efectivo!$D:$D &amp; """" = AG145 &amp; """"
    )
  ), 
  0
)"),28)</f>
        <v>28</v>
      </c>
      <c r="W145" s="11" t="s">
        <v>35</v>
      </c>
      <c r="X145" s="11"/>
      <c r="Y145" s="11"/>
      <c r="Z145" s="11"/>
      <c r="AA145" s="11"/>
      <c r="AB145" s="11" t="str">
        <f t="shared" si="1"/>
        <v/>
      </c>
      <c r="AC145" s="11" t="str">
        <f t="shared" si="2"/>
        <v/>
      </c>
      <c r="AD145" s="11">
        <f t="shared" si="3"/>
        <v>28</v>
      </c>
      <c r="AE145" s="11">
        <f t="shared" si="4"/>
        <v>0</v>
      </c>
      <c r="AF145" s="11" t="str">
        <f t="shared" si="5"/>
        <v>H</v>
      </c>
      <c r="AG145" s="11" t="str">
        <f t="shared" si="6"/>
        <v>H-3</v>
      </c>
      <c r="AH145" s="21"/>
      <c r="AI145" s="21"/>
    </row>
    <row r="146" spans="1:35" ht="15.75" hidden="1" customHeight="1">
      <c r="A146" s="15">
        <v>144</v>
      </c>
      <c r="B146" s="16" t="s">
        <v>208</v>
      </c>
      <c r="C146" s="16" t="s">
        <v>205</v>
      </c>
      <c r="D146" s="17">
        <v>4</v>
      </c>
      <c r="E146" s="18"/>
      <c r="F146" s="18"/>
      <c r="G146" s="18"/>
      <c r="H146" s="19">
        <v>1</v>
      </c>
      <c r="I146" s="17">
        <v>2450</v>
      </c>
      <c r="J146" s="17">
        <v>2462</v>
      </c>
      <c r="K146" s="17">
        <v>12</v>
      </c>
      <c r="L146" s="17">
        <v>12</v>
      </c>
      <c r="M146" s="17">
        <v>0</v>
      </c>
      <c r="N146" s="17">
        <v>0</v>
      </c>
      <c r="O146" s="17">
        <v>0</v>
      </c>
      <c r="P146" s="17">
        <v>3</v>
      </c>
      <c r="Q146" s="17">
        <v>0</v>
      </c>
      <c r="R146" s="19"/>
      <c r="S146" s="20"/>
      <c r="T146" s="13">
        <f t="shared" si="0"/>
        <v>15</v>
      </c>
      <c r="U146" s="18">
        <f ca="1">IFERROR(__xludf.DUMMYFUNCTION("IFERROR(
  SUM(
    FILTER(
      Reporte!$E:$E, 
      REGEXMATCH(Reporte!$A:$A, ""(?i)(TE PAGÓ|PAGASTE)""), 
      Reporte!$H:$H &amp; """" = AG146 &amp; """"
    )
  ), 
  0
)"),0)</f>
        <v>0</v>
      </c>
      <c r="V146" s="18">
        <f ca="1">IFERROR(__xludf.DUMMYFUNCTION("IFERROR(
  SUM(
    FILTER(
      Efectivo!$C:$C, 
      Efectivo!$D:$D &amp; """" = AG146 &amp; """"
    )
  ), 
  0
)"),15)</f>
        <v>15</v>
      </c>
      <c r="W146" s="18" t="s">
        <v>35</v>
      </c>
      <c r="X146" s="18"/>
      <c r="Y146" s="18"/>
      <c r="Z146" s="18"/>
      <c r="AA146" s="18"/>
      <c r="AB146" s="18" t="str">
        <f t="shared" si="1"/>
        <v/>
      </c>
      <c r="AC146" s="18" t="str">
        <f t="shared" si="2"/>
        <v/>
      </c>
      <c r="AD146" s="11">
        <f t="shared" si="3"/>
        <v>15</v>
      </c>
      <c r="AE146" s="11">
        <f t="shared" si="4"/>
        <v>0</v>
      </c>
      <c r="AF146" s="18" t="str">
        <f t="shared" si="5"/>
        <v>H</v>
      </c>
      <c r="AG146" s="18" t="str">
        <f t="shared" si="6"/>
        <v>H-4</v>
      </c>
      <c r="AH146" s="14"/>
      <c r="AI146" s="14"/>
    </row>
    <row r="147" spans="1:35" ht="15.75" hidden="1" customHeight="1">
      <c r="A147" s="8">
        <v>145</v>
      </c>
      <c r="B147" s="9" t="s">
        <v>209</v>
      </c>
      <c r="C147" s="9" t="s">
        <v>205</v>
      </c>
      <c r="D147" s="10">
        <v>5</v>
      </c>
      <c r="E147" s="11"/>
      <c r="F147" s="11"/>
      <c r="G147" s="11"/>
      <c r="H147" s="12">
        <v>1</v>
      </c>
      <c r="I147" s="10">
        <v>0</v>
      </c>
      <c r="J147" s="10">
        <v>9</v>
      </c>
      <c r="K147" s="10">
        <v>9</v>
      </c>
      <c r="L147" s="10">
        <v>9</v>
      </c>
      <c r="M147" s="10">
        <v>0</v>
      </c>
      <c r="N147" s="10">
        <v>0</v>
      </c>
      <c r="O147" s="10">
        <v>25</v>
      </c>
      <c r="P147" s="10">
        <v>3</v>
      </c>
      <c r="Q147" s="10">
        <v>0</v>
      </c>
      <c r="R147" s="12"/>
      <c r="S147" s="13"/>
      <c r="T147" s="13">
        <f t="shared" si="0"/>
        <v>37</v>
      </c>
      <c r="U147" s="11">
        <f ca="1">IFERROR(__xludf.DUMMYFUNCTION("IFERROR(
  SUM(
    FILTER(
      Reporte!$E:$E, 
      REGEXMATCH(Reporte!$A:$A, ""(?i)(TE PAGÓ|PAGASTE)""), 
      Reporte!$H:$H &amp; """" = AG147 &amp; """"
    )
  ), 
  0
)"),37)</f>
        <v>37</v>
      </c>
      <c r="V147" s="11">
        <f ca="1">IFERROR(__xludf.DUMMYFUNCTION("IFERROR(
  SUM(
    FILTER(
      Efectivo!$C:$C, 
      Efectivo!$D:$D &amp; """" = AG147 &amp; """"
    )
  ), 
  0
)"),0)</f>
        <v>0</v>
      </c>
      <c r="W147" s="11" t="s">
        <v>35</v>
      </c>
      <c r="X147" s="11"/>
      <c r="Y147" s="11" t="s">
        <v>36</v>
      </c>
      <c r="Z147" s="11"/>
      <c r="AA147" s="11"/>
      <c r="AB147" s="11" t="str">
        <f t="shared" si="1"/>
        <v/>
      </c>
      <c r="AC147" s="11" t="str">
        <f t="shared" si="2"/>
        <v/>
      </c>
      <c r="AD147" s="11">
        <f t="shared" si="3"/>
        <v>0</v>
      </c>
      <c r="AE147" s="11">
        <f t="shared" si="4"/>
        <v>37</v>
      </c>
      <c r="AF147" s="11" t="str">
        <f t="shared" si="5"/>
        <v>H</v>
      </c>
      <c r="AG147" s="11" t="str">
        <f t="shared" si="6"/>
        <v>H-5</v>
      </c>
      <c r="AH147" s="21"/>
      <c r="AI147" s="21"/>
    </row>
    <row r="148" spans="1:35" ht="15.75" hidden="1" customHeight="1">
      <c r="A148" s="15">
        <v>146</v>
      </c>
      <c r="B148" s="16" t="s">
        <v>210</v>
      </c>
      <c r="C148" s="16" t="s">
        <v>205</v>
      </c>
      <c r="D148" s="17">
        <v>7</v>
      </c>
      <c r="E148" s="18"/>
      <c r="F148" s="18"/>
      <c r="G148" s="18"/>
      <c r="H148" s="19">
        <v>1</v>
      </c>
      <c r="I148" s="17">
        <v>58</v>
      </c>
      <c r="J148" s="17">
        <v>98</v>
      </c>
      <c r="K148" s="17">
        <v>40</v>
      </c>
      <c r="L148" s="17">
        <v>40</v>
      </c>
      <c r="M148" s="17">
        <v>40</v>
      </c>
      <c r="N148" s="17">
        <v>0</v>
      </c>
      <c r="O148" s="17">
        <v>25</v>
      </c>
      <c r="P148" s="17">
        <v>3</v>
      </c>
      <c r="Q148" s="17">
        <v>0</v>
      </c>
      <c r="R148" s="19"/>
      <c r="S148" s="20"/>
      <c r="T148" s="13">
        <f t="shared" si="0"/>
        <v>108</v>
      </c>
      <c r="U148" s="18">
        <f ca="1">IFERROR(__xludf.DUMMYFUNCTION("IFERROR(
  SUM(
    FILTER(
      Reporte!$E:$E, 
      REGEXMATCH(Reporte!$A:$A, ""(?i)(TE PAGÓ|PAGASTE)""), 
      Reporte!$H:$H &amp; """" = AG148 &amp; """"
    )
  ), 
  0
)"),108)</f>
        <v>108</v>
      </c>
      <c r="V148" s="18">
        <f ca="1">IFERROR(__xludf.DUMMYFUNCTION("IFERROR(
  SUM(
    FILTER(
      Efectivo!$C:$C, 
      Efectivo!$D:$D &amp; """" = AG148 &amp; """"
    )
  ), 
  0
)"),0)</f>
        <v>0</v>
      </c>
      <c r="W148" s="18" t="s">
        <v>35</v>
      </c>
      <c r="X148" s="18"/>
      <c r="Y148" s="18" t="s">
        <v>36</v>
      </c>
      <c r="Z148" s="18"/>
      <c r="AA148" s="18"/>
      <c r="AB148" s="18" t="str">
        <f t="shared" si="1"/>
        <v/>
      </c>
      <c r="AC148" s="18" t="str">
        <f t="shared" si="2"/>
        <v/>
      </c>
      <c r="AD148" s="11">
        <f t="shared" si="3"/>
        <v>0</v>
      </c>
      <c r="AE148" s="11">
        <f t="shared" si="4"/>
        <v>108</v>
      </c>
      <c r="AF148" s="18" t="str">
        <f t="shared" si="5"/>
        <v>H</v>
      </c>
      <c r="AG148" s="18" t="str">
        <f t="shared" si="6"/>
        <v>H-7</v>
      </c>
      <c r="AH148" s="14"/>
      <c r="AI148" s="14"/>
    </row>
    <row r="149" spans="1:35" ht="15.75" hidden="1" customHeight="1">
      <c r="A149" s="8">
        <v>147</v>
      </c>
      <c r="B149" s="9" t="s">
        <v>211</v>
      </c>
      <c r="C149" s="9" t="s">
        <v>205</v>
      </c>
      <c r="D149" s="10">
        <v>8</v>
      </c>
      <c r="E149" s="11"/>
      <c r="F149" s="11"/>
      <c r="G149" s="11"/>
      <c r="H149" s="12">
        <v>1</v>
      </c>
      <c r="I149" s="10">
        <v>27</v>
      </c>
      <c r="J149" s="10">
        <v>44</v>
      </c>
      <c r="K149" s="10">
        <v>17</v>
      </c>
      <c r="L149" s="10">
        <v>17</v>
      </c>
      <c r="M149" s="10">
        <v>0</v>
      </c>
      <c r="N149" s="10">
        <v>0</v>
      </c>
      <c r="O149" s="10">
        <v>25</v>
      </c>
      <c r="P149" s="10">
        <v>3</v>
      </c>
      <c r="Q149" s="10">
        <v>0</v>
      </c>
      <c r="R149" s="12"/>
      <c r="S149" s="13"/>
      <c r="T149" s="13">
        <f t="shared" si="0"/>
        <v>45</v>
      </c>
      <c r="U149" s="11">
        <f ca="1">IFERROR(__xludf.DUMMYFUNCTION("IFERROR(
  SUM(
    FILTER(
      Reporte!$E:$E, 
      REGEXMATCH(Reporte!$A:$A, ""(?i)(TE PAGÓ|PAGASTE)""), 
      Reporte!$H:$H &amp; """" = AG149 &amp; """"
    )
  ), 
  0
)"),45)</f>
        <v>45</v>
      </c>
      <c r="V149" s="11">
        <f ca="1">IFERROR(__xludf.DUMMYFUNCTION("IFERROR(
  SUM(
    FILTER(
      Efectivo!$C:$C, 
      Efectivo!$D:$D &amp; """" = AG149 &amp; """"
    )
  ), 
  0
)"),0)</f>
        <v>0</v>
      </c>
      <c r="W149" s="11" t="s">
        <v>35</v>
      </c>
      <c r="X149" s="11"/>
      <c r="Y149" s="11" t="s">
        <v>36</v>
      </c>
      <c r="Z149" s="11"/>
      <c r="AA149" s="11"/>
      <c r="AB149" s="11" t="str">
        <f t="shared" si="1"/>
        <v/>
      </c>
      <c r="AC149" s="11" t="str">
        <f t="shared" si="2"/>
        <v/>
      </c>
      <c r="AD149" s="11">
        <f t="shared" si="3"/>
        <v>0</v>
      </c>
      <c r="AE149" s="11">
        <f t="shared" si="4"/>
        <v>45</v>
      </c>
      <c r="AF149" s="11" t="str">
        <f t="shared" si="5"/>
        <v>H</v>
      </c>
      <c r="AG149" s="11" t="str">
        <f t="shared" si="6"/>
        <v>H-8</v>
      </c>
      <c r="AH149" s="21"/>
      <c r="AI149" s="21"/>
    </row>
    <row r="150" spans="1:35" ht="15.75" hidden="1" customHeight="1">
      <c r="A150" s="15">
        <v>148</v>
      </c>
      <c r="B150" s="16" t="s">
        <v>212</v>
      </c>
      <c r="C150" s="16" t="s">
        <v>205</v>
      </c>
      <c r="D150" s="17">
        <v>9</v>
      </c>
      <c r="E150" s="18"/>
      <c r="F150" s="18"/>
      <c r="G150" s="18"/>
      <c r="H150" s="19">
        <v>1</v>
      </c>
      <c r="I150" s="17">
        <v>25</v>
      </c>
      <c r="J150" s="17">
        <v>38</v>
      </c>
      <c r="K150" s="17">
        <v>13</v>
      </c>
      <c r="L150" s="17">
        <v>13</v>
      </c>
      <c r="M150" s="17">
        <v>0</v>
      </c>
      <c r="N150" s="17">
        <v>0</v>
      </c>
      <c r="O150" s="17">
        <v>25</v>
      </c>
      <c r="P150" s="17">
        <v>3</v>
      </c>
      <c r="Q150" s="17">
        <v>0</v>
      </c>
      <c r="R150" s="19"/>
      <c r="S150" s="20"/>
      <c r="T150" s="13">
        <f t="shared" si="0"/>
        <v>41</v>
      </c>
      <c r="U150" s="18">
        <f ca="1">IFERROR(__xludf.DUMMYFUNCTION("IFERROR(
  SUM(
    FILTER(
      Reporte!$E:$E, 
      REGEXMATCH(Reporte!$A:$A, ""(?i)(TE PAGÓ|PAGASTE)""), 
      Reporte!$H:$H &amp; """" = AG150 &amp; """"
    )
  ), 
  0
)"),41)</f>
        <v>41</v>
      </c>
      <c r="V150" s="18">
        <f ca="1">IFERROR(__xludf.DUMMYFUNCTION("IFERROR(
  SUM(
    FILTER(
      Efectivo!$C:$C, 
      Efectivo!$D:$D &amp; """" = AG150 &amp; """"
    )
  ), 
  0
)"),0)</f>
        <v>0</v>
      </c>
      <c r="W150" s="18" t="s">
        <v>35</v>
      </c>
      <c r="X150" s="18"/>
      <c r="Y150" s="18" t="s">
        <v>36</v>
      </c>
      <c r="Z150" s="18"/>
      <c r="AA150" s="18"/>
      <c r="AB150" s="18" t="str">
        <f t="shared" si="1"/>
        <v/>
      </c>
      <c r="AC150" s="18" t="str">
        <f t="shared" si="2"/>
        <v/>
      </c>
      <c r="AD150" s="11">
        <f t="shared" si="3"/>
        <v>0</v>
      </c>
      <c r="AE150" s="11">
        <f t="shared" si="4"/>
        <v>41</v>
      </c>
      <c r="AF150" s="18" t="str">
        <f t="shared" si="5"/>
        <v>H</v>
      </c>
      <c r="AG150" s="18" t="str">
        <f t="shared" si="6"/>
        <v>H-9</v>
      </c>
      <c r="AH150" s="14"/>
      <c r="AI150" s="14"/>
    </row>
    <row r="151" spans="1:35" ht="15.75" hidden="1" customHeight="1">
      <c r="A151" s="8">
        <v>149</v>
      </c>
      <c r="B151" s="9" t="s">
        <v>213</v>
      </c>
      <c r="C151" s="9" t="s">
        <v>205</v>
      </c>
      <c r="D151" s="10">
        <v>10</v>
      </c>
      <c r="E151" s="11"/>
      <c r="F151" s="11"/>
      <c r="G151" s="11"/>
      <c r="H151" s="12">
        <v>1</v>
      </c>
      <c r="I151" s="10">
        <v>7</v>
      </c>
      <c r="J151" s="10">
        <v>14</v>
      </c>
      <c r="K151" s="10">
        <v>7</v>
      </c>
      <c r="L151" s="10">
        <v>7</v>
      </c>
      <c r="M151" s="10">
        <v>0</v>
      </c>
      <c r="N151" s="10">
        <v>0</v>
      </c>
      <c r="O151" s="10">
        <v>0</v>
      </c>
      <c r="P151" s="10">
        <v>3</v>
      </c>
      <c r="Q151" s="10">
        <v>0</v>
      </c>
      <c r="R151" s="12"/>
      <c r="S151" s="13"/>
      <c r="T151" s="13">
        <f t="shared" si="0"/>
        <v>10</v>
      </c>
      <c r="U151" s="11">
        <f ca="1">IFERROR(__xludf.DUMMYFUNCTION("IFERROR(
  SUM(
    FILTER(
      Reporte!$E:$E, 
      REGEXMATCH(Reporte!$A:$A, ""(?i)(TE PAGÓ|PAGASTE)""), 
      Reporte!$H:$H &amp; """" = AG151 &amp; """"
    )
  ), 
  0
)"),10)</f>
        <v>10</v>
      </c>
      <c r="V151" s="11">
        <f ca="1">IFERROR(__xludf.DUMMYFUNCTION("IFERROR(
  SUM(
    FILTER(
      Efectivo!$C:$C, 
      Efectivo!$D:$D &amp; """" = AG151 &amp; """"
    )
  ), 
  0
)"),0)</f>
        <v>0</v>
      </c>
      <c r="W151" s="11" t="s">
        <v>35</v>
      </c>
      <c r="X151" s="11"/>
      <c r="Y151" s="11" t="s">
        <v>36</v>
      </c>
      <c r="Z151" s="11"/>
      <c r="AA151" s="11"/>
      <c r="AB151" s="11" t="str">
        <f t="shared" si="1"/>
        <v/>
      </c>
      <c r="AC151" s="11" t="str">
        <f t="shared" si="2"/>
        <v/>
      </c>
      <c r="AD151" s="11">
        <f t="shared" si="3"/>
        <v>0</v>
      </c>
      <c r="AE151" s="11">
        <f t="shared" si="4"/>
        <v>10</v>
      </c>
      <c r="AF151" s="11" t="str">
        <f t="shared" si="5"/>
        <v>H</v>
      </c>
      <c r="AG151" s="11" t="str">
        <f t="shared" si="6"/>
        <v>H-10</v>
      </c>
      <c r="AH151" s="21"/>
      <c r="AI151" s="21"/>
    </row>
    <row r="152" spans="1:35" ht="15.75" hidden="1" customHeight="1">
      <c r="A152" s="15">
        <v>150</v>
      </c>
      <c r="B152" s="16" t="s">
        <v>214</v>
      </c>
      <c r="C152" s="16" t="s">
        <v>205</v>
      </c>
      <c r="D152" s="17">
        <v>11</v>
      </c>
      <c r="E152" s="18"/>
      <c r="F152" s="18"/>
      <c r="G152" s="18"/>
      <c r="H152" s="19">
        <v>1</v>
      </c>
      <c r="I152" s="17">
        <v>9</v>
      </c>
      <c r="J152" s="17">
        <v>14</v>
      </c>
      <c r="K152" s="17">
        <v>5</v>
      </c>
      <c r="L152" s="17">
        <v>5</v>
      </c>
      <c r="M152" s="17">
        <v>0</v>
      </c>
      <c r="N152" s="17">
        <v>0</v>
      </c>
      <c r="O152" s="17">
        <v>25</v>
      </c>
      <c r="P152" s="17">
        <v>3</v>
      </c>
      <c r="Q152" s="17">
        <v>0</v>
      </c>
      <c r="R152" s="19"/>
      <c r="S152" s="20"/>
      <c r="T152" s="13">
        <f t="shared" si="0"/>
        <v>33</v>
      </c>
      <c r="U152" s="18">
        <f ca="1">IFERROR(__xludf.DUMMYFUNCTION("IFERROR(
  SUM(
    FILTER(
      Reporte!$E:$E, 
      REGEXMATCH(Reporte!$A:$A, ""(?i)(TE PAGÓ|PAGASTE)""), 
      Reporte!$H:$H &amp; """" = AG152 &amp; """"
    )
  ), 
  0
)"),0)</f>
        <v>0</v>
      </c>
      <c r="V152" s="18">
        <f ca="1">IFERROR(__xludf.DUMMYFUNCTION("IFERROR(
  SUM(
    FILTER(
      Efectivo!$C:$C, 
      Efectivo!$D:$D &amp; """" = AG152 &amp; """"
    )
  ), 
  0
)"),33)</f>
        <v>33</v>
      </c>
      <c r="W152" s="18" t="s">
        <v>35</v>
      </c>
      <c r="X152" s="18"/>
      <c r="Y152" s="18"/>
      <c r="Z152" s="18"/>
      <c r="AA152" s="18"/>
      <c r="AB152" s="18" t="str">
        <f t="shared" si="1"/>
        <v/>
      </c>
      <c r="AC152" s="18" t="str">
        <f t="shared" si="2"/>
        <v/>
      </c>
      <c r="AD152" s="11">
        <f t="shared" si="3"/>
        <v>33</v>
      </c>
      <c r="AE152" s="11">
        <f t="shared" si="4"/>
        <v>0</v>
      </c>
      <c r="AF152" s="18" t="str">
        <f t="shared" si="5"/>
        <v>H</v>
      </c>
      <c r="AG152" s="18" t="str">
        <f t="shared" si="6"/>
        <v>H-11</v>
      </c>
      <c r="AH152" s="14"/>
      <c r="AI152" s="14"/>
    </row>
    <row r="153" spans="1:35" ht="15.75" hidden="1" customHeight="1">
      <c r="A153" s="8">
        <v>151</v>
      </c>
      <c r="B153" s="9" t="s">
        <v>215</v>
      </c>
      <c r="C153" s="9" t="s">
        <v>205</v>
      </c>
      <c r="D153" s="10">
        <v>12</v>
      </c>
      <c r="E153" s="11"/>
      <c r="F153" s="11"/>
      <c r="G153" s="11"/>
      <c r="H153" s="12">
        <v>1</v>
      </c>
      <c r="I153" s="10">
        <v>19</v>
      </c>
      <c r="J153" s="10">
        <v>31</v>
      </c>
      <c r="K153" s="10">
        <v>12</v>
      </c>
      <c r="L153" s="10">
        <v>12</v>
      </c>
      <c r="M153" s="10">
        <v>0</v>
      </c>
      <c r="N153" s="10">
        <v>0</v>
      </c>
      <c r="O153" s="10">
        <v>25</v>
      </c>
      <c r="P153" s="10">
        <v>3</v>
      </c>
      <c r="Q153" s="10">
        <v>0</v>
      </c>
      <c r="R153" s="12"/>
      <c r="S153" s="13"/>
      <c r="T153" s="13">
        <f t="shared" si="0"/>
        <v>40</v>
      </c>
      <c r="U153" s="11">
        <f ca="1">IFERROR(__xludf.DUMMYFUNCTION("IFERROR(
  SUM(
    FILTER(
      Reporte!$E:$E, 
      REGEXMATCH(Reporte!$A:$A, ""(?i)(TE PAGÓ|PAGASTE)""), 
      Reporte!$H:$H &amp; """" = AG153 &amp; """"
    )
  ), 
  0
)"),0)</f>
        <v>0</v>
      </c>
      <c r="V153" s="11">
        <f ca="1">IFERROR(__xludf.DUMMYFUNCTION("IFERROR(
  SUM(
    FILTER(
      Efectivo!$C:$C, 
      Efectivo!$D:$D &amp; """" = AG153 &amp; """"
    )
  ), 
  0
)"),40)</f>
        <v>40</v>
      </c>
      <c r="W153" s="11" t="s">
        <v>35</v>
      </c>
      <c r="X153" s="11"/>
      <c r="Y153" s="11"/>
      <c r="Z153" s="11"/>
      <c r="AA153" s="11"/>
      <c r="AB153" s="11" t="str">
        <f t="shared" si="1"/>
        <v/>
      </c>
      <c r="AC153" s="11" t="str">
        <f t="shared" si="2"/>
        <v/>
      </c>
      <c r="AD153" s="11">
        <f t="shared" si="3"/>
        <v>40</v>
      </c>
      <c r="AE153" s="11">
        <f t="shared" si="4"/>
        <v>0</v>
      </c>
      <c r="AF153" s="11" t="str">
        <f t="shared" si="5"/>
        <v>H</v>
      </c>
      <c r="AG153" s="11" t="str">
        <f t="shared" si="6"/>
        <v>H-12</v>
      </c>
      <c r="AH153" s="21"/>
      <c r="AI153" s="21"/>
    </row>
    <row r="154" spans="1:35" ht="15.75" hidden="1" customHeight="1">
      <c r="A154" s="15">
        <v>152</v>
      </c>
      <c r="B154" s="16" t="s">
        <v>216</v>
      </c>
      <c r="C154" s="16" t="s">
        <v>205</v>
      </c>
      <c r="D154" s="17">
        <v>13</v>
      </c>
      <c r="E154" s="18"/>
      <c r="F154" s="18"/>
      <c r="G154" s="18"/>
      <c r="H154" s="19">
        <v>1</v>
      </c>
      <c r="I154" s="17">
        <v>282</v>
      </c>
      <c r="J154" s="17">
        <v>313</v>
      </c>
      <c r="K154" s="17">
        <v>31</v>
      </c>
      <c r="L154" s="24">
        <v>31</v>
      </c>
      <c r="M154" s="17">
        <v>2</v>
      </c>
      <c r="N154" s="17">
        <v>0</v>
      </c>
      <c r="O154" s="17">
        <v>0</v>
      </c>
      <c r="P154" s="17">
        <v>3</v>
      </c>
      <c r="Q154" s="17">
        <v>0</v>
      </c>
      <c r="R154" s="19"/>
      <c r="S154" s="20"/>
      <c r="T154" s="13">
        <f t="shared" si="0"/>
        <v>36</v>
      </c>
      <c r="U154" s="18">
        <f ca="1">IFERROR(__xludf.DUMMYFUNCTION("IFERROR(
  SUM(
    FILTER(
      Reporte!$E:$E, 
      REGEXMATCH(Reporte!$A:$A, ""(?i)(TE PAGÓ|PAGASTE)""), 
      Reporte!$H:$H &amp; """" = AG154 &amp; """"
    )
  ), 
  0
)"),0)</f>
        <v>0</v>
      </c>
      <c r="V154" s="18">
        <f ca="1">IFERROR(__xludf.DUMMYFUNCTION("IFERROR(
  SUM(
    FILTER(
      Efectivo!$C:$C, 
      Efectivo!$D:$D &amp; """" = AG154 &amp; """"
    )
  ), 
  0
)"),0)</f>
        <v>0</v>
      </c>
      <c r="W154" s="18"/>
      <c r="X154" s="18"/>
      <c r="Y154" s="18"/>
      <c r="Z154" s="18"/>
      <c r="AA154" s="18"/>
      <c r="AB154" s="18" t="str">
        <f t="shared" si="1"/>
        <v/>
      </c>
      <c r="AC154" s="18" t="str">
        <f t="shared" si="2"/>
        <v/>
      </c>
      <c r="AD154" s="11">
        <f t="shared" si="3"/>
        <v>0</v>
      </c>
      <c r="AE154" s="11">
        <f t="shared" si="4"/>
        <v>0</v>
      </c>
      <c r="AF154" s="18" t="str">
        <f t="shared" si="5"/>
        <v>H</v>
      </c>
      <c r="AG154" s="18" t="str">
        <f t="shared" si="6"/>
        <v>H-13</v>
      </c>
      <c r="AH154" s="14"/>
      <c r="AI154" s="14"/>
    </row>
    <row r="155" spans="1:35" ht="15.75" hidden="1" customHeight="1">
      <c r="A155" s="8">
        <v>153</v>
      </c>
      <c r="B155" s="9" t="s">
        <v>217</v>
      </c>
      <c r="C155" s="9" t="s">
        <v>205</v>
      </c>
      <c r="D155" s="10">
        <v>14</v>
      </c>
      <c r="E155" s="11"/>
      <c r="F155" s="11"/>
      <c r="G155" s="11"/>
      <c r="H155" s="12">
        <v>1</v>
      </c>
      <c r="I155" s="10">
        <v>30</v>
      </c>
      <c r="J155" s="10">
        <v>36</v>
      </c>
      <c r="K155" s="10">
        <v>6</v>
      </c>
      <c r="L155" s="10">
        <v>6</v>
      </c>
      <c r="M155" s="10"/>
      <c r="N155" s="10">
        <v>0</v>
      </c>
      <c r="O155" s="10">
        <v>0</v>
      </c>
      <c r="P155" s="10">
        <v>3</v>
      </c>
      <c r="Q155" s="10">
        <v>0</v>
      </c>
      <c r="R155" s="12"/>
      <c r="S155" s="13"/>
      <c r="T155" s="13">
        <f t="shared" si="0"/>
        <v>9</v>
      </c>
      <c r="U155" s="11">
        <f ca="1">IFERROR(__xludf.DUMMYFUNCTION("IFERROR(
  SUM(
    FILTER(
      Reporte!$E:$E, 
      REGEXMATCH(Reporte!$A:$A, ""(?i)(TE PAGÓ|PAGASTE)""), 
      Reporte!$H:$H &amp; """" = AG155 &amp; """"
    )
  ), 
  0
)"),0)</f>
        <v>0</v>
      </c>
      <c r="V155" s="11">
        <f ca="1">IFERROR(__xludf.DUMMYFUNCTION("IFERROR(
  SUM(
    FILTER(
      Efectivo!$C:$C, 
      Efectivo!$D:$D &amp; """" = AG155 &amp; """"
    )
  ), 
  0
)"),9)</f>
        <v>9</v>
      </c>
      <c r="W155" s="11" t="s">
        <v>35</v>
      </c>
      <c r="X155" s="11"/>
      <c r="Y155" s="11"/>
      <c r="Z155" s="11"/>
      <c r="AA155" s="11"/>
      <c r="AB155" s="11" t="str">
        <f t="shared" si="1"/>
        <v/>
      </c>
      <c r="AC155" s="11" t="str">
        <f t="shared" si="2"/>
        <v/>
      </c>
      <c r="AD155" s="11">
        <f t="shared" si="3"/>
        <v>9</v>
      </c>
      <c r="AE155" s="11">
        <f t="shared" si="4"/>
        <v>0</v>
      </c>
      <c r="AF155" s="11" t="str">
        <f t="shared" si="5"/>
        <v>H</v>
      </c>
      <c r="AG155" s="11" t="str">
        <f t="shared" si="6"/>
        <v>H-14</v>
      </c>
      <c r="AH155" s="21"/>
      <c r="AI155" s="21"/>
    </row>
    <row r="156" spans="1:35" ht="15.75" hidden="1" customHeight="1">
      <c r="A156" s="15">
        <v>154</v>
      </c>
      <c r="B156" s="16" t="s">
        <v>218</v>
      </c>
      <c r="C156" s="16" t="s">
        <v>205</v>
      </c>
      <c r="D156" s="17">
        <v>15</v>
      </c>
      <c r="E156" s="18"/>
      <c r="F156" s="18"/>
      <c r="G156" s="18"/>
      <c r="H156" s="19">
        <v>1</v>
      </c>
      <c r="I156" s="17">
        <v>1180</v>
      </c>
      <c r="J156" s="17">
        <v>1194</v>
      </c>
      <c r="K156" s="17">
        <v>14</v>
      </c>
      <c r="L156" s="17">
        <v>14</v>
      </c>
      <c r="M156" s="17">
        <v>0</v>
      </c>
      <c r="N156" s="17">
        <v>0</v>
      </c>
      <c r="O156" s="17">
        <v>0</v>
      </c>
      <c r="P156" s="17">
        <v>3</v>
      </c>
      <c r="Q156" s="17">
        <v>0</v>
      </c>
      <c r="R156" s="19"/>
      <c r="S156" s="20"/>
      <c r="T156" s="13">
        <f t="shared" si="0"/>
        <v>17</v>
      </c>
      <c r="U156" s="18">
        <f ca="1">IFERROR(__xludf.DUMMYFUNCTION("IFERROR(
  SUM(
    FILTER(
      Reporte!$E:$E, 
      REGEXMATCH(Reporte!$A:$A, ""(?i)(TE PAGÓ|PAGASTE)""), 
      Reporte!$H:$H &amp; """" = AG156 &amp; """"
    )
  ), 
  0
)"),17)</f>
        <v>17</v>
      </c>
      <c r="V156" s="18">
        <f ca="1">IFERROR(__xludf.DUMMYFUNCTION("IFERROR(
  SUM(
    FILTER(
      Efectivo!$C:$C, 
      Efectivo!$D:$D &amp; """" = AG156 &amp; """"
    )
  ), 
  0
)"),0)</f>
        <v>0</v>
      </c>
      <c r="W156" s="18" t="s">
        <v>35</v>
      </c>
      <c r="X156" s="18"/>
      <c r="Y156" s="18" t="s">
        <v>36</v>
      </c>
      <c r="Z156" s="18"/>
      <c r="AA156" s="18"/>
      <c r="AB156" s="18" t="str">
        <f t="shared" si="1"/>
        <v/>
      </c>
      <c r="AC156" s="18" t="str">
        <f t="shared" si="2"/>
        <v/>
      </c>
      <c r="AD156" s="11">
        <f t="shared" si="3"/>
        <v>0</v>
      </c>
      <c r="AE156" s="11">
        <f t="shared" si="4"/>
        <v>17</v>
      </c>
      <c r="AF156" s="18" t="str">
        <f t="shared" si="5"/>
        <v>H</v>
      </c>
      <c r="AG156" s="18" t="str">
        <f t="shared" si="6"/>
        <v>H-15</v>
      </c>
      <c r="AH156" s="14"/>
      <c r="AI156" s="14"/>
    </row>
    <row r="157" spans="1:35" ht="15.75" hidden="1" customHeight="1">
      <c r="A157" s="8">
        <v>155</v>
      </c>
      <c r="B157" s="9" t="s">
        <v>219</v>
      </c>
      <c r="C157" s="9" t="s">
        <v>205</v>
      </c>
      <c r="D157" s="10">
        <v>16</v>
      </c>
      <c r="E157" s="11"/>
      <c r="F157" s="11"/>
      <c r="G157" s="11"/>
      <c r="H157" s="12">
        <v>1</v>
      </c>
      <c r="I157" s="10">
        <v>17</v>
      </c>
      <c r="J157" s="10">
        <v>26</v>
      </c>
      <c r="K157" s="10">
        <v>9</v>
      </c>
      <c r="L157" s="10">
        <v>9</v>
      </c>
      <c r="M157" s="10">
        <v>3</v>
      </c>
      <c r="N157" s="10">
        <v>0</v>
      </c>
      <c r="O157" s="10">
        <v>0</v>
      </c>
      <c r="P157" s="10">
        <v>3</v>
      </c>
      <c r="Q157" s="10">
        <v>0</v>
      </c>
      <c r="R157" s="12"/>
      <c r="S157" s="13"/>
      <c r="T157" s="13">
        <f t="shared" si="0"/>
        <v>15</v>
      </c>
      <c r="U157" s="11">
        <f ca="1">IFERROR(__xludf.DUMMYFUNCTION("IFERROR(
  SUM(
    FILTER(
      Reporte!$E:$E, 
      REGEXMATCH(Reporte!$A:$A, ""(?i)(TE PAGÓ|PAGASTE)""), 
      Reporte!$H:$H &amp; """" = AG157 &amp; """"
    )
  ), 
  0
)"),0)</f>
        <v>0</v>
      </c>
      <c r="V157" s="11">
        <f ca="1">IFERROR(__xludf.DUMMYFUNCTION("IFERROR(
  SUM(
    FILTER(
      Efectivo!$C:$C, 
      Efectivo!$D:$D &amp; """" = AG157 &amp; """"
    )
  ), 
  0
)"),0)</f>
        <v>0</v>
      </c>
      <c r="W157" s="11"/>
      <c r="X157" s="11"/>
      <c r="Y157" s="11"/>
      <c r="Z157" s="11"/>
      <c r="AA157" s="11"/>
      <c r="AB157" s="11" t="str">
        <f t="shared" si="1"/>
        <v/>
      </c>
      <c r="AC157" s="11" t="str">
        <f t="shared" si="2"/>
        <v/>
      </c>
      <c r="AD157" s="11">
        <f t="shared" si="3"/>
        <v>0</v>
      </c>
      <c r="AE157" s="11">
        <f t="shared" si="4"/>
        <v>0</v>
      </c>
      <c r="AF157" s="11" t="str">
        <f t="shared" si="5"/>
        <v>H</v>
      </c>
      <c r="AG157" s="11" t="str">
        <f t="shared" si="6"/>
        <v>H-16</v>
      </c>
      <c r="AH157" s="21"/>
      <c r="AI157" s="21"/>
    </row>
    <row r="158" spans="1:35" ht="15.75" hidden="1" customHeight="1">
      <c r="A158" s="15">
        <v>156</v>
      </c>
      <c r="B158" s="16" t="s">
        <v>220</v>
      </c>
      <c r="C158" s="16" t="s">
        <v>205</v>
      </c>
      <c r="D158" s="17">
        <v>17</v>
      </c>
      <c r="E158" s="18"/>
      <c r="F158" s="18"/>
      <c r="G158" s="18"/>
      <c r="H158" s="19">
        <v>1</v>
      </c>
      <c r="I158" s="17">
        <v>27</v>
      </c>
      <c r="J158" s="17">
        <v>48</v>
      </c>
      <c r="K158" s="17">
        <v>21</v>
      </c>
      <c r="L158" s="17">
        <v>21</v>
      </c>
      <c r="M158" s="17">
        <v>23</v>
      </c>
      <c r="N158" s="17">
        <v>0</v>
      </c>
      <c r="O158" s="17">
        <v>25</v>
      </c>
      <c r="P158" s="17">
        <v>3</v>
      </c>
      <c r="Q158" s="17">
        <v>0</v>
      </c>
      <c r="R158" s="19"/>
      <c r="S158" s="20"/>
      <c r="T158" s="13">
        <f t="shared" si="0"/>
        <v>72</v>
      </c>
      <c r="U158" s="18">
        <f ca="1">IFERROR(__xludf.DUMMYFUNCTION("IFERROR(
  SUM(
    FILTER(
      Reporte!$E:$E, 
      REGEXMATCH(Reporte!$A:$A, ""(?i)(TE PAGÓ|PAGASTE)""), 
      Reporte!$H:$H &amp; """" = AG158 &amp; """"
    )
  ), 
  0
)"),72)</f>
        <v>72</v>
      </c>
      <c r="V158" s="18">
        <f ca="1">IFERROR(__xludf.DUMMYFUNCTION("IFERROR(
  SUM(
    FILTER(
      Efectivo!$C:$C, 
      Efectivo!$D:$D &amp; """" = AG158 &amp; """"
    )
  ), 
  0
)"),0)</f>
        <v>0</v>
      </c>
      <c r="W158" s="18" t="s">
        <v>35</v>
      </c>
      <c r="X158" s="18"/>
      <c r="Y158" s="18" t="s">
        <v>36</v>
      </c>
      <c r="Z158" s="18"/>
      <c r="AA158" s="18"/>
      <c r="AB158" s="18" t="str">
        <f t="shared" si="1"/>
        <v/>
      </c>
      <c r="AC158" s="18" t="str">
        <f t="shared" si="2"/>
        <v/>
      </c>
      <c r="AD158" s="11">
        <f t="shared" si="3"/>
        <v>0</v>
      </c>
      <c r="AE158" s="11">
        <f t="shared" si="4"/>
        <v>72</v>
      </c>
      <c r="AF158" s="18" t="str">
        <f t="shared" si="5"/>
        <v>H</v>
      </c>
      <c r="AG158" s="18" t="str">
        <f t="shared" si="6"/>
        <v>H-17</v>
      </c>
      <c r="AH158" s="14"/>
      <c r="AI158" s="14"/>
    </row>
    <row r="159" spans="1:35" ht="15.75" hidden="1" customHeight="1">
      <c r="A159" s="8">
        <v>157</v>
      </c>
      <c r="B159" s="9" t="s">
        <v>221</v>
      </c>
      <c r="C159" s="9" t="s">
        <v>205</v>
      </c>
      <c r="D159" s="10">
        <v>18</v>
      </c>
      <c r="E159" s="11"/>
      <c r="F159" s="11"/>
      <c r="G159" s="11"/>
      <c r="H159" s="12">
        <v>1</v>
      </c>
      <c r="I159" s="10">
        <v>14</v>
      </c>
      <c r="J159" s="10">
        <v>24</v>
      </c>
      <c r="K159" s="10">
        <v>10</v>
      </c>
      <c r="L159" s="10">
        <v>10</v>
      </c>
      <c r="M159" s="10">
        <v>0</v>
      </c>
      <c r="N159" s="10">
        <v>0</v>
      </c>
      <c r="O159" s="10">
        <v>25</v>
      </c>
      <c r="P159" s="10">
        <v>3</v>
      </c>
      <c r="Q159" s="10">
        <v>0</v>
      </c>
      <c r="R159" s="12"/>
      <c r="S159" s="13"/>
      <c r="T159" s="13">
        <f t="shared" si="0"/>
        <v>38</v>
      </c>
      <c r="U159" s="11">
        <f ca="1">IFERROR(__xludf.DUMMYFUNCTION("IFERROR(
  SUM(
    FILTER(
      Reporte!$E:$E, 
      REGEXMATCH(Reporte!$A:$A, ""(?i)(TE PAGÓ|PAGASTE)""), 
      Reporte!$H:$H &amp; """" = AG159 &amp; """"
    )
  ), 
  0
)"),0)</f>
        <v>0</v>
      </c>
      <c r="V159" s="11">
        <f ca="1">IFERROR(__xludf.DUMMYFUNCTION("IFERROR(
  SUM(
    FILTER(
      Efectivo!$C:$C, 
      Efectivo!$D:$D &amp; """" = AG159 &amp; """"
    )
  ), 
  0
)"),38)</f>
        <v>38</v>
      </c>
      <c r="W159" s="11" t="s">
        <v>35</v>
      </c>
      <c r="X159" s="11"/>
      <c r="Y159" s="11"/>
      <c r="Z159" s="11"/>
      <c r="AA159" s="11"/>
      <c r="AB159" s="11" t="str">
        <f t="shared" si="1"/>
        <v/>
      </c>
      <c r="AC159" s="11" t="str">
        <f t="shared" si="2"/>
        <v/>
      </c>
      <c r="AD159" s="11">
        <f t="shared" si="3"/>
        <v>38</v>
      </c>
      <c r="AE159" s="11">
        <f t="shared" si="4"/>
        <v>0</v>
      </c>
      <c r="AF159" s="11" t="str">
        <f t="shared" si="5"/>
        <v>H</v>
      </c>
      <c r="AG159" s="11" t="str">
        <f t="shared" si="6"/>
        <v>H-18</v>
      </c>
      <c r="AH159" s="21"/>
      <c r="AI159" s="21"/>
    </row>
    <row r="160" spans="1:35" ht="15.75" hidden="1" customHeight="1">
      <c r="A160" s="15">
        <v>158</v>
      </c>
      <c r="B160" s="16" t="s">
        <v>222</v>
      </c>
      <c r="C160" s="16" t="s">
        <v>205</v>
      </c>
      <c r="D160" s="17">
        <v>19</v>
      </c>
      <c r="E160" s="18"/>
      <c r="F160" s="18"/>
      <c r="G160" s="18"/>
      <c r="H160" s="19">
        <v>1</v>
      </c>
      <c r="I160" s="17">
        <v>7</v>
      </c>
      <c r="J160" s="17">
        <v>13</v>
      </c>
      <c r="K160" s="17">
        <v>6</v>
      </c>
      <c r="L160" s="17">
        <v>6</v>
      </c>
      <c r="M160" s="17">
        <v>0</v>
      </c>
      <c r="N160" s="17">
        <v>0</v>
      </c>
      <c r="O160" s="17">
        <v>25</v>
      </c>
      <c r="P160" s="17">
        <v>3</v>
      </c>
      <c r="Q160" s="17">
        <v>0</v>
      </c>
      <c r="R160" s="19"/>
      <c r="S160" s="20"/>
      <c r="T160" s="13">
        <f t="shared" si="0"/>
        <v>34</v>
      </c>
      <c r="U160" s="18">
        <f ca="1">IFERROR(__xludf.DUMMYFUNCTION("IFERROR(
  SUM(
    FILTER(
      Reporte!$E:$E, 
      REGEXMATCH(Reporte!$A:$A, ""(?i)(TE PAGÓ|PAGASTE)""), 
      Reporte!$H:$H &amp; """" = AG160 &amp; """"
    )
  ), 
  0
)"),0)</f>
        <v>0</v>
      </c>
      <c r="V160" s="18">
        <f ca="1">IFERROR(__xludf.DUMMYFUNCTION("IFERROR(
  SUM(
    FILTER(
      Efectivo!$C:$C, 
      Efectivo!$D:$D &amp; """" = AG160 &amp; """"
    )
  ), 
  0
)"),34)</f>
        <v>34</v>
      </c>
      <c r="W160" s="18" t="s">
        <v>35</v>
      </c>
      <c r="X160" s="18"/>
      <c r="Y160" s="18"/>
      <c r="Z160" s="18"/>
      <c r="AA160" s="18"/>
      <c r="AB160" s="18" t="str">
        <f t="shared" si="1"/>
        <v/>
      </c>
      <c r="AC160" s="18" t="str">
        <f t="shared" si="2"/>
        <v/>
      </c>
      <c r="AD160" s="11">
        <f t="shared" si="3"/>
        <v>34</v>
      </c>
      <c r="AE160" s="11">
        <f t="shared" si="4"/>
        <v>0</v>
      </c>
      <c r="AF160" s="18" t="str">
        <f t="shared" si="5"/>
        <v>H</v>
      </c>
      <c r="AG160" s="18" t="str">
        <f t="shared" si="6"/>
        <v>H-19</v>
      </c>
      <c r="AH160" s="14"/>
      <c r="AI160" s="14"/>
    </row>
    <row r="161" spans="1:35" ht="15.75" hidden="1" customHeight="1">
      <c r="A161" s="8">
        <v>159</v>
      </c>
      <c r="B161" s="9" t="s">
        <v>223</v>
      </c>
      <c r="C161" s="9" t="s">
        <v>205</v>
      </c>
      <c r="D161" s="10">
        <v>20</v>
      </c>
      <c r="E161" s="11"/>
      <c r="F161" s="11"/>
      <c r="G161" s="11"/>
      <c r="H161" s="12">
        <v>1</v>
      </c>
      <c r="I161" s="10">
        <v>0</v>
      </c>
      <c r="J161" s="10">
        <v>0</v>
      </c>
      <c r="K161" s="10">
        <v>5</v>
      </c>
      <c r="L161" s="10">
        <v>5</v>
      </c>
      <c r="M161" s="10">
        <v>78</v>
      </c>
      <c r="N161" s="10">
        <v>0</v>
      </c>
      <c r="O161" s="10">
        <v>0</v>
      </c>
      <c r="P161" s="10">
        <v>3</v>
      </c>
      <c r="Q161" s="10">
        <v>0</v>
      </c>
      <c r="R161" s="12"/>
      <c r="S161" s="13"/>
      <c r="T161" s="13">
        <f t="shared" si="0"/>
        <v>86</v>
      </c>
      <c r="U161" s="11">
        <f ca="1">IFERROR(__xludf.DUMMYFUNCTION("IFERROR(
  SUM(
    FILTER(
      Reporte!$E:$E, 
      REGEXMATCH(Reporte!$A:$A, ""(?i)(TE PAGÓ|PAGASTE)""), 
      Reporte!$H:$H &amp; """" = AG161 &amp; """"
    )
  ), 
  0
)"),0)</f>
        <v>0</v>
      </c>
      <c r="V161" s="11">
        <f ca="1">IFERROR(__xludf.DUMMYFUNCTION("IFERROR(
  SUM(
    FILTER(
      Efectivo!$C:$C, 
      Efectivo!$D:$D &amp; """" = AG161 &amp; """"
    )
  ), 
  0
)"),0)</f>
        <v>0</v>
      </c>
      <c r="W161" s="11"/>
      <c r="X161" s="11"/>
      <c r="Y161" s="11"/>
      <c r="Z161" s="11"/>
      <c r="AA161" s="11" t="s">
        <v>224</v>
      </c>
      <c r="AB161" s="11" t="str">
        <f t="shared" si="1"/>
        <v>CORTE</v>
      </c>
      <c r="AC161" s="11" t="str">
        <f t="shared" si="2"/>
        <v/>
      </c>
      <c r="AD161" s="11">
        <f t="shared" si="3"/>
        <v>0</v>
      </c>
      <c r="AE161" s="11">
        <f t="shared" si="4"/>
        <v>0</v>
      </c>
      <c r="AF161" s="11" t="str">
        <f t="shared" si="5"/>
        <v>H</v>
      </c>
      <c r="AG161" s="11" t="str">
        <f t="shared" si="6"/>
        <v>H-20</v>
      </c>
      <c r="AH161" s="21"/>
      <c r="AI161" s="21"/>
    </row>
    <row r="162" spans="1:35" ht="15.75" hidden="1" customHeight="1">
      <c r="A162" s="15">
        <v>160</v>
      </c>
      <c r="B162" s="16" t="s">
        <v>225</v>
      </c>
      <c r="C162" s="16" t="s">
        <v>205</v>
      </c>
      <c r="D162" s="17">
        <v>21</v>
      </c>
      <c r="E162" s="18"/>
      <c r="F162" s="18"/>
      <c r="G162" s="18"/>
      <c r="H162" s="19">
        <v>1</v>
      </c>
      <c r="I162" s="17">
        <v>22</v>
      </c>
      <c r="J162" s="17">
        <v>39</v>
      </c>
      <c r="K162" s="17">
        <v>17</v>
      </c>
      <c r="L162" s="17">
        <v>17</v>
      </c>
      <c r="M162" s="17">
        <v>19</v>
      </c>
      <c r="N162" s="17">
        <v>0</v>
      </c>
      <c r="O162" s="17">
        <v>25</v>
      </c>
      <c r="P162" s="17">
        <v>3</v>
      </c>
      <c r="Q162" s="17">
        <v>0</v>
      </c>
      <c r="R162" s="19"/>
      <c r="S162" s="20"/>
      <c r="T162" s="13">
        <f t="shared" si="0"/>
        <v>64</v>
      </c>
      <c r="U162" s="18">
        <f ca="1">IFERROR(__xludf.DUMMYFUNCTION("IFERROR(
  SUM(
    FILTER(
      Reporte!$E:$E, 
      REGEXMATCH(Reporte!$A:$A, ""(?i)(TE PAGÓ|PAGASTE)""), 
      Reporte!$H:$H &amp; """" = AG162 &amp; """"
    )
  ), 
  0
)"),64)</f>
        <v>64</v>
      </c>
      <c r="V162" s="18">
        <f ca="1">IFERROR(__xludf.DUMMYFUNCTION("IFERROR(
  SUM(
    FILTER(
      Efectivo!$C:$C, 
      Efectivo!$D:$D &amp; """" = AG162 &amp; """"
    )
  ), 
  0
)"),0)</f>
        <v>0</v>
      </c>
      <c r="W162" s="18" t="s">
        <v>35</v>
      </c>
      <c r="X162" s="18"/>
      <c r="Y162" s="18" t="s">
        <v>36</v>
      </c>
      <c r="Z162" s="18"/>
      <c r="AA162" s="18"/>
      <c r="AB162" s="18" t="str">
        <f t="shared" si="1"/>
        <v/>
      </c>
      <c r="AC162" s="18" t="str">
        <f t="shared" si="2"/>
        <v/>
      </c>
      <c r="AD162" s="11">
        <f t="shared" si="3"/>
        <v>0</v>
      </c>
      <c r="AE162" s="11">
        <f t="shared" si="4"/>
        <v>64</v>
      </c>
      <c r="AF162" s="18" t="str">
        <f t="shared" si="5"/>
        <v>H</v>
      </c>
      <c r="AG162" s="18" t="str">
        <f t="shared" si="6"/>
        <v>H-21</v>
      </c>
      <c r="AH162" s="14"/>
      <c r="AI162" s="14"/>
    </row>
    <row r="163" spans="1:35" ht="15.75" hidden="1" customHeight="1">
      <c r="A163" s="8">
        <v>161</v>
      </c>
      <c r="B163" s="9" t="s">
        <v>226</v>
      </c>
      <c r="C163" s="9" t="s">
        <v>205</v>
      </c>
      <c r="D163" s="10">
        <v>22</v>
      </c>
      <c r="E163" s="11"/>
      <c r="F163" s="11"/>
      <c r="G163" s="11"/>
      <c r="H163" s="12">
        <v>1</v>
      </c>
      <c r="I163" s="10">
        <v>2555</v>
      </c>
      <c r="J163" s="10">
        <v>2566</v>
      </c>
      <c r="K163" s="10">
        <v>11</v>
      </c>
      <c r="L163" s="10">
        <v>11</v>
      </c>
      <c r="M163" s="10">
        <v>0</v>
      </c>
      <c r="N163" s="10">
        <v>0</v>
      </c>
      <c r="O163" s="10">
        <v>0</v>
      </c>
      <c r="P163" s="10">
        <v>3</v>
      </c>
      <c r="Q163" s="10">
        <v>0</v>
      </c>
      <c r="R163" s="12"/>
      <c r="S163" s="13"/>
      <c r="T163" s="13">
        <f t="shared" si="0"/>
        <v>14</v>
      </c>
      <c r="U163" s="11">
        <f ca="1">IFERROR(__xludf.DUMMYFUNCTION("IFERROR(
  SUM(
    FILTER(
      Reporte!$E:$E, 
      REGEXMATCH(Reporte!$A:$A, ""(?i)(TE PAGÓ|PAGASTE)""), 
      Reporte!$H:$H &amp; """" = AG163 &amp; """"
    )
  ), 
  0
)"),0)</f>
        <v>0</v>
      </c>
      <c r="V163" s="11">
        <f ca="1">IFERROR(__xludf.DUMMYFUNCTION("IFERROR(
  SUM(
    FILTER(
      Efectivo!$C:$C, 
      Efectivo!$D:$D &amp; """" = AG163 &amp; """"
    )
  ), 
  0
)"),14)</f>
        <v>14</v>
      </c>
      <c r="W163" s="11" t="s">
        <v>35</v>
      </c>
      <c r="X163" s="11"/>
      <c r="Y163" s="11"/>
      <c r="Z163" s="11"/>
      <c r="AA163" s="11"/>
      <c r="AB163" s="11" t="str">
        <f t="shared" si="1"/>
        <v/>
      </c>
      <c r="AC163" s="11" t="str">
        <f t="shared" si="2"/>
        <v/>
      </c>
      <c r="AD163" s="11">
        <f t="shared" si="3"/>
        <v>14</v>
      </c>
      <c r="AE163" s="11">
        <f t="shared" si="4"/>
        <v>0</v>
      </c>
      <c r="AF163" s="11" t="str">
        <f t="shared" si="5"/>
        <v>H</v>
      </c>
      <c r="AG163" s="11" t="str">
        <f t="shared" si="6"/>
        <v>H-22</v>
      </c>
      <c r="AH163" s="21"/>
      <c r="AI163" s="21"/>
    </row>
    <row r="164" spans="1:35" ht="15.75" hidden="1" customHeight="1">
      <c r="A164" s="15">
        <v>162</v>
      </c>
      <c r="B164" s="16" t="s">
        <v>227</v>
      </c>
      <c r="C164" s="16" t="s">
        <v>228</v>
      </c>
      <c r="D164" s="17">
        <v>1</v>
      </c>
      <c r="E164" s="18"/>
      <c r="F164" s="18"/>
      <c r="G164" s="18"/>
      <c r="H164" s="19">
        <v>1</v>
      </c>
      <c r="I164" s="17">
        <v>20</v>
      </c>
      <c r="J164" s="17">
        <v>41</v>
      </c>
      <c r="K164" s="17">
        <v>21</v>
      </c>
      <c r="L164" s="17">
        <v>21</v>
      </c>
      <c r="M164" s="17">
        <v>0</v>
      </c>
      <c r="N164" s="17">
        <v>0</v>
      </c>
      <c r="O164" s="17">
        <v>25</v>
      </c>
      <c r="P164" s="17">
        <v>3</v>
      </c>
      <c r="Q164" s="17">
        <v>0</v>
      </c>
      <c r="R164" s="19"/>
      <c r="S164" s="20"/>
      <c r="T164" s="13">
        <f t="shared" si="0"/>
        <v>49</v>
      </c>
      <c r="U164" s="18">
        <f ca="1">IFERROR(__xludf.DUMMYFUNCTION("IFERROR(
  SUM(
    FILTER(
      Reporte!$E:$E, 
      REGEXMATCH(Reporte!$A:$A, ""(?i)(TE PAGÓ|PAGASTE)""), 
      Reporte!$H:$H &amp; """" = AG164 &amp; """"
    )
  ), 
  0
)"),0)</f>
        <v>0</v>
      </c>
      <c r="V164" s="18">
        <f ca="1">IFERROR(__xludf.DUMMYFUNCTION("IFERROR(
  SUM(
    FILTER(
      Efectivo!$C:$C, 
      Efectivo!$D:$D &amp; """" = AG164 &amp; """"
    )
  ), 
  0
)"),49)</f>
        <v>49</v>
      </c>
      <c r="W164" s="18" t="s">
        <v>35</v>
      </c>
      <c r="X164" s="18"/>
      <c r="Y164" s="18"/>
      <c r="Z164" s="18"/>
      <c r="AA164" s="18"/>
      <c r="AB164" s="18" t="str">
        <f t="shared" si="1"/>
        <v/>
      </c>
      <c r="AC164" s="18" t="str">
        <f t="shared" si="2"/>
        <v/>
      </c>
      <c r="AD164" s="11">
        <f t="shared" si="3"/>
        <v>49</v>
      </c>
      <c r="AE164" s="11">
        <f t="shared" si="4"/>
        <v>0</v>
      </c>
      <c r="AF164" s="18" t="str">
        <f t="shared" si="5"/>
        <v>I</v>
      </c>
      <c r="AG164" s="18" t="str">
        <f t="shared" si="6"/>
        <v>I-1</v>
      </c>
      <c r="AH164" s="14"/>
      <c r="AI164" s="14"/>
    </row>
    <row r="165" spans="1:35" ht="15.75" hidden="1" customHeight="1">
      <c r="A165" s="8">
        <v>163</v>
      </c>
      <c r="B165" s="9" t="s">
        <v>229</v>
      </c>
      <c r="C165" s="9" t="s">
        <v>228</v>
      </c>
      <c r="D165" s="10">
        <v>2</v>
      </c>
      <c r="E165" s="11"/>
      <c r="F165" s="11"/>
      <c r="G165" s="11"/>
      <c r="H165" s="12">
        <v>1</v>
      </c>
      <c r="I165" s="10">
        <v>109</v>
      </c>
      <c r="J165" s="10">
        <v>114</v>
      </c>
      <c r="K165" s="10">
        <v>5</v>
      </c>
      <c r="L165" s="10">
        <v>5</v>
      </c>
      <c r="M165" s="10">
        <v>0</v>
      </c>
      <c r="N165" s="10">
        <v>0</v>
      </c>
      <c r="O165" s="10">
        <v>0</v>
      </c>
      <c r="P165" s="10">
        <v>3</v>
      </c>
      <c r="Q165" s="10">
        <v>0</v>
      </c>
      <c r="R165" s="12"/>
      <c r="S165" s="13"/>
      <c r="T165" s="13">
        <f t="shared" si="0"/>
        <v>8</v>
      </c>
      <c r="U165" s="11">
        <f ca="1">IFERROR(__xludf.DUMMYFUNCTION("IFERROR(
  SUM(
    FILTER(
      Reporte!$E:$E, 
      REGEXMATCH(Reporte!$A:$A, ""(?i)(TE PAGÓ|PAGASTE)""), 
      Reporte!$H:$H &amp; """" = AG165 &amp; """"
    )
  ), 
  0
)"),8)</f>
        <v>8</v>
      </c>
      <c r="V165" s="11">
        <f ca="1">IFERROR(__xludf.DUMMYFUNCTION("IFERROR(
  SUM(
    FILTER(
      Efectivo!$C:$C, 
      Efectivo!$D:$D &amp; """" = AG165 &amp; """"
    )
  ), 
  0
)"),0)</f>
        <v>0</v>
      </c>
      <c r="W165" s="11" t="s">
        <v>35</v>
      </c>
      <c r="X165" s="11"/>
      <c r="Y165" s="11" t="s">
        <v>36</v>
      </c>
      <c r="Z165" s="11"/>
      <c r="AA165" s="11"/>
      <c r="AB165" s="11" t="str">
        <f t="shared" si="1"/>
        <v/>
      </c>
      <c r="AC165" s="11" t="str">
        <f t="shared" si="2"/>
        <v/>
      </c>
      <c r="AD165" s="11">
        <f t="shared" si="3"/>
        <v>0</v>
      </c>
      <c r="AE165" s="11">
        <f t="shared" si="4"/>
        <v>8</v>
      </c>
      <c r="AF165" s="11" t="str">
        <f t="shared" si="5"/>
        <v>I</v>
      </c>
      <c r="AG165" s="11" t="str">
        <f t="shared" si="6"/>
        <v>I-2</v>
      </c>
      <c r="AH165" s="21"/>
      <c r="AI165" s="21"/>
    </row>
    <row r="166" spans="1:35" ht="15.75" hidden="1" customHeight="1">
      <c r="A166" s="15">
        <v>164</v>
      </c>
      <c r="B166" s="16" t="s">
        <v>230</v>
      </c>
      <c r="C166" s="16" t="s">
        <v>228</v>
      </c>
      <c r="D166" s="16" t="s">
        <v>231</v>
      </c>
      <c r="E166" s="18"/>
      <c r="F166" s="18"/>
      <c r="G166" s="18"/>
      <c r="H166" s="19">
        <v>1</v>
      </c>
      <c r="I166" s="17">
        <v>564</v>
      </c>
      <c r="J166" s="17">
        <v>575</v>
      </c>
      <c r="K166" s="17">
        <v>11</v>
      </c>
      <c r="L166" s="17">
        <v>11</v>
      </c>
      <c r="M166" s="17">
        <v>0</v>
      </c>
      <c r="N166" s="17">
        <v>0</v>
      </c>
      <c r="O166" s="17">
        <v>0</v>
      </c>
      <c r="P166" s="17">
        <v>3</v>
      </c>
      <c r="Q166" s="17">
        <v>0</v>
      </c>
      <c r="R166" s="19"/>
      <c r="S166" s="20"/>
      <c r="T166" s="13">
        <f t="shared" si="0"/>
        <v>14</v>
      </c>
      <c r="U166" s="18">
        <f ca="1">IFERROR(__xludf.DUMMYFUNCTION("IFERROR(
  SUM(
    FILTER(
      Reporte!$E:$E, 
      REGEXMATCH(Reporte!$A:$A, ""(?i)(TE PAGÓ|PAGASTE)""), 
      Reporte!$H:$H &amp; """" = AG166 &amp; """"
    )
  ), 
  0
)"),0)</f>
        <v>0</v>
      </c>
      <c r="V166" s="18">
        <f ca="1">IFERROR(__xludf.DUMMYFUNCTION("IFERROR(
  SUM(
    FILTER(
      Efectivo!$C:$C, 
      Efectivo!$D:$D &amp; """" = AG166 &amp; """"
    )
  ), 
  0
)"),14)</f>
        <v>14</v>
      </c>
      <c r="W166" s="18" t="s">
        <v>35</v>
      </c>
      <c r="X166" s="18"/>
      <c r="Y166" s="18"/>
      <c r="Z166" s="18"/>
      <c r="AA166" s="18"/>
      <c r="AB166" s="18" t="str">
        <f t="shared" si="1"/>
        <v/>
      </c>
      <c r="AC166" s="18" t="str">
        <f t="shared" si="2"/>
        <v/>
      </c>
      <c r="AD166" s="11">
        <f t="shared" si="3"/>
        <v>14</v>
      </c>
      <c r="AE166" s="11">
        <f t="shared" si="4"/>
        <v>0</v>
      </c>
      <c r="AF166" s="18" t="str">
        <f t="shared" si="5"/>
        <v>I</v>
      </c>
      <c r="AG166" s="18" t="str">
        <f t="shared" si="6"/>
        <v>I-2B</v>
      </c>
      <c r="AH166" s="14"/>
      <c r="AI166" s="14"/>
    </row>
    <row r="167" spans="1:35" ht="15.75" hidden="1" customHeight="1">
      <c r="A167" s="8">
        <v>165</v>
      </c>
      <c r="B167" s="9" t="s">
        <v>232</v>
      </c>
      <c r="C167" s="9" t="s">
        <v>228</v>
      </c>
      <c r="D167" s="10">
        <v>3</v>
      </c>
      <c r="E167" s="11"/>
      <c r="F167" s="11"/>
      <c r="G167" s="11"/>
      <c r="H167" s="12">
        <v>1</v>
      </c>
      <c r="I167" s="10">
        <v>2005</v>
      </c>
      <c r="J167" s="10">
        <v>2024</v>
      </c>
      <c r="K167" s="10">
        <v>19</v>
      </c>
      <c r="L167" s="10">
        <v>19</v>
      </c>
      <c r="M167" s="10">
        <v>23</v>
      </c>
      <c r="N167" s="10">
        <v>0</v>
      </c>
      <c r="O167" s="10">
        <v>0</v>
      </c>
      <c r="P167" s="10">
        <v>3</v>
      </c>
      <c r="Q167" s="10">
        <v>0</v>
      </c>
      <c r="R167" s="12"/>
      <c r="S167" s="13"/>
      <c r="T167" s="13">
        <f t="shared" si="0"/>
        <v>45</v>
      </c>
      <c r="U167" s="11">
        <f ca="1">IFERROR(__xludf.DUMMYFUNCTION("IFERROR(
  SUM(
    FILTER(
      Reporte!$E:$E, 
      REGEXMATCH(Reporte!$A:$A, ""(?i)(TE PAGÓ|PAGASTE)""), 
      Reporte!$H:$H &amp; """" = AG167 &amp; """"
    )
  ), 
  0
)"),45)</f>
        <v>45</v>
      </c>
      <c r="V167" s="11">
        <f ca="1">IFERROR(__xludf.DUMMYFUNCTION("IFERROR(
  SUM(
    FILTER(
      Efectivo!$C:$C, 
      Efectivo!$D:$D &amp; """" = AG167 &amp; """"
    )
  ), 
  0
)"),0)</f>
        <v>0</v>
      </c>
      <c r="W167" s="11" t="s">
        <v>35</v>
      </c>
      <c r="X167" s="11"/>
      <c r="Y167" s="11" t="s">
        <v>36</v>
      </c>
      <c r="Z167" s="11"/>
      <c r="AA167" s="11"/>
      <c r="AB167" s="11" t="str">
        <f t="shared" si="1"/>
        <v/>
      </c>
      <c r="AC167" s="11" t="str">
        <f t="shared" si="2"/>
        <v/>
      </c>
      <c r="AD167" s="11">
        <f t="shared" si="3"/>
        <v>0</v>
      </c>
      <c r="AE167" s="11">
        <f t="shared" si="4"/>
        <v>45</v>
      </c>
      <c r="AF167" s="11" t="str">
        <f t="shared" si="5"/>
        <v>I</v>
      </c>
      <c r="AG167" s="11" t="str">
        <f t="shared" si="6"/>
        <v>I-3</v>
      </c>
      <c r="AH167" s="21"/>
      <c r="AI167" s="21"/>
    </row>
    <row r="168" spans="1:35" ht="15.75" hidden="1" customHeight="1">
      <c r="A168" s="15">
        <v>166</v>
      </c>
      <c r="B168" s="16" t="s">
        <v>233</v>
      </c>
      <c r="C168" s="16" t="s">
        <v>228</v>
      </c>
      <c r="D168" s="17">
        <v>4</v>
      </c>
      <c r="E168" s="18"/>
      <c r="F168" s="18"/>
      <c r="G168" s="18"/>
      <c r="H168" s="19">
        <v>1</v>
      </c>
      <c r="I168" s="17">
        <v>684</v>
      </c>
      <c r="J168" s="17">
        <v>688</v>
      </c>
      <c r="K168" s="17">
        <v>5</v>
      </c>
      <c r="L168" s="17">
        <v>5</v>
      </c>
      <c r="M168" s="17">
        <v>8</v>
      </c>
      <c r="N168" s="17">
        <v>0</v>
      </c>
      <c r="O168" s="17">
        <v>0</v>
      </c>
      <c r="P168" s="17">
        <v>3</v>
      </c>
      <c r="Q168" s="17">
        <v>0</v>
      </c>
      <c r="R168" s="19"/>
      <c r="S168" s="20"/>
      <c r="T168" s="13">
        <f t="shared" si="0"/>
        <v>16</v>
      </c>
      <c r="U168" s="18">
        <f ca="1">IFERROR(__xludf.DUMMYFUNCTION("IFERROR(
  SUM(
    FILTER(
      Reporte!$E:$E, 
      REGEXMATCH(Reporte!$A:$A, ""(?i)(TE PAGÓ|PAGASTE)""), 
      Reporte!$H:$H &amp; """" = AG168 &amp; """"
    )
  ), 
  0
)"),16)</f>
        <v>16</v>
      </c>
      <c r="V168" s="18">
        <f ca="1">IFERROR(__xludf.DUMMYFUNCTION("IFERROR(
  SUM(
    FILTER(
      Efectivo!$C:$C, 
      Efectivo!$D:$D &amp; """" = AG168 &amp; """"
    )
  ), 
  0
)"),0)</f>
        <v>0</v>
      </c>
      <c r="W168" s="18" t="s">
        <v>35</v>
      </c>
      <c r="X168" s="18"/>
      <c r="Y168" s="18" t="s">
        <v>36</v>
      </c>
      <c r="Z168" s="18"/>
      <c r="AA168" s="18"/>
      <c r="AB168" s="18" t="str">
        <f t="shared" si="1"/>
        <v/>
      </c>
      <c r="AC168" s="18" t="str">
        <f t="shared" si="2"/>
        <v/>
      </c>
      <c r="AD168" s="11">
        <f t="shared" si="3"/>
        <v>0</v>
      </c>
      <c r="AE168" s="11">
        <f t="shared" si="4"/>
        <v>16</v>
      </c>
      <c r="AF168" s="18" t="str">
        <f t="shared" si="5"/>
        <v>I</v>
      </c>
      <c r="AG168" s="18" t="str">
        <f t="shared" si="6"/>
        <v>I-4</v>
      </c>
      <c r="AH168" s="14"/>
      <c r="AI168" s="14"/>
    </row>
    <row r="169" spans="1:35" ht="15.75" hidden="1" customHeight="1">
      <c r="A169" s="8">
        <v>167</v>
      </c>
      <c r="B169" s="9" t="s">
        <v>234</v>
      </c>
      <c r="C169" s="9" t="s">
        <v>228</v>
      </c>
      <c r="D169" s="10">
        <v>5</v>
      </c>
      <c r="E169" s="11"/>
      <c r="F169" s="12">
        <v>1</v>
      </c>
      <c r="G169" s="11"/>
      <c r="H169" s="12">
        <v>1</v>
      </c>
      <c r="I169" s="10">
        <v>3368</v>
      </c>
      <c r="J169" s="10">
        <v>3400</v>
      </c>
      <c r="K169" s="10">
        <v>32</v>
      </c>
      <c r="L169" s="10">
        <v>32</v>
      </c>
      <c r="M169" s="10">
        <v>0</v>
      </c>
      <c r="N169" s="10">
        <v>0</v>
      </c>
      <c r="O169" s="10">
        <v>0</v>
      </c>
      <c r="P169" s="10">
        <v>3</v>
      </c>
      <c r="Q169" s="10">
        <v>0</v>
      </c>
      <c r="R169" s="12"/>
      <c r="S169" s="13"/>
      <c r="T169" s="13">
        <f t="shared" si="0"/>
        <v>35</v>
      </c>
      <c r="U169" s="11">
        <f ca="1">IFERROR(__xludf.DUMMYFUNCTION("IFERROR(
  SUM(
    FILTER(
      Reporte!$E:$E, 
      REGEXMATCH(Reporte!$A:$A, ""(?i)(TE PAGÓ|PAGASTE)""), 
      Reporte!$H:$H &amp; """" = AG169 &amp; """"
    )
  ), 
  0
)"),35)</f>
        <v>35</v>
      </c>
      <c r="V169" s="11">
        <f ca="1">IFERROR(__xludf.DUMMYFUNCTION("IFERROR(
  SUM(
    FILTER(
      Efectivo!$C:$C, 
      Efectivo!$D:$D &amp; """" = AG169 &amp; """"
    )
  ), 
  0
)"),0)</f>
        <v>0</v>
      </c>
      <c r="W169" s="11" t="s">
        <v>35</v>
      </c>
      <c r="X169" s="11"/>
      <c r="Y169" s="11" t="s">
        <v>36</v>
      </c>
      <c r="Z169" s="11"/>
      <c r="AA169" s="11"/>
      <c r="AB169" s="11" t="str">
        <f t="shared" si="1"/>
        <v/>
      </c>
      <c r="AC169" s="11" t="str">
        <f t="shared" si="2"/>
        <v/>
      </c>
      <c r="AD169" s="11">
        <f t="shared" si="3"/>
        <v>0</v>
      </c>
      <c r="AE169" s="11">
        <f t="shared" si="4"/>
        <v>35</v>
      </c>
      <c r="AF169" s="11" t="str">
        <f t="shared" si="5"/>
        <v>I</v>
      </c>
      <c r="AG169" s="11" t="str">
        <f t="shared" si="6"/>
        <v>I-5</v>
      </c>
      <c r="AH169" s="21"/>
      <c r="AI169" s="21"/>
    </row>
    <row r="170" spans="1:35" ht="15.75" hidden="1" customHeight="1">
      <c r="A170" s="15">
        <v>168</v>
      </c>
      <c r="B170" s="16" t="s">
        <v>235</v>
      </c>
      <c r="C170" s="16" t="s">
        <v>228</v>
      </c>
      <c r="D170" s="17">
        <v>6</v>
      </c>
      <c r="E170" s="18"/>
      <c r="F170" s="18"/>
      <c r="G170" s="18"/>
      <c r="H170" s="19">
        <v>1</v>
      </c>
      <c r="I170" s="17">
        <v>466</v>
      </c>
      <c r="J170" s="17">
        <v>483</v>
      </c>
      <c r="K170" s="17">
        <v>17</v>
      </c>
      <c r="L170" s="17">
        <v>17</v>
      </c>
      <c r="M170" s="17">
        <v>20</v>
      </c>
      <c r="N170" s="17">
        <v>0</v>
      </c>
      <c r="O170" s="17">
        <v>0</v>
      </c>
      <c r="P170" s="17">
        <v>3</v>
      </c>
      <c r="Q170" s="17">
        <v>0</v>
      </c>
      <c r="R170" s="19"/>
      <c r="S170" s="20"/>
      <c r="T170" s="13">
        <f t="shared" si="0"/>
        <v>40</v>
      </c>
      <c r="U170" s="18">
        <f ca="1">IFERROR(__xludf.DUMMYFUNCTION("IFERROR(
  SUM(
    FILTER(
      Reporte!$E:$E, 
      REGEXMATCH(Reporte!$A:$A, ""(?i)(TE PAGÓ|PAGASTE)""), 
      Reporte!$H:$H &amp; """" = AG170 &amp; """"
    )
  ), 
  0
)"),40)</f>
        <v>40</v>
      </c>
      <c r="V170" s="18">
        <f ca="1">IFERROR(__xludf.DUMMYFUNCTION("IFERROR(
  SUM(
    FILTER(
      Efectivo!$C:$C, 
      Efectivo!$D:$D &amp; """" = AG170 &amp; """"
    )
  ), 
  0
)"),0)</f>
        <v>0</v>
      </c>
      <c r="W170" s="18" t="s">
        <v>35</v>
      </c>
      <c r="X170" s="18"/>
      <c r="Y170" s="18" t="s">
        <v>36</v>
      </c>
      <c r="Z170" s="18"/>
      <c r="AA170" s="18"/>
      <c r="AB170" s="18" t="str">
        <f t="shared" si="1"/>
        <v/>
      </c>
      <c r="AC170" s="18" t="str">
        <f t="shared" si="2"/>
        <v/>
      </c>
      <c r="AD170" s="11">
        <f t="shared" si="3"/>
        <v>0</v>
      </c>
      <c r="AE170" s="11">
        <f t="shared" si="4"/>
        <v>40</v>
      </c>
      <c r="AF170" s="18" t="str">
        <f t="shared" si="5"/>
        <v>I</v>
      </c>
      <c r="AG170" s="18" t="str">
        <f t="shared" si="6"/>
        <v>I-6</v>
      </c>
      <c r="AH170" s="14"/>
      <c r="AI170" s="14"/>
    </row>
    <row r="171" spans="1:35" ht="15.75" hidden="1" customHeight="1">
      <c r="A171" s="8">
        <v>169</v>
      </c>
      <c r="B171" s="9" t="s">
        <v>236</v>
      </c>
      <c r="C171" s="9" t="s">
        <v>228</v>
      </c>
      <c r="D171" s="10">
        <v>7</v>
      </c>
      <c r="E171" s="11"/>
      <c r="F171" s="11"/>
      <c r="G171" s="11"/>
      <c r="H171" s="12">
        <v>1</v>
      </c>
      <c r="I171" s="10">
        <v>576</v>
      </c>
      <c r="J171" s="10">
        <v>590</v>
      </c>
      <c r="K171" s="10">
        <v>14</v>
      </c>
      <c r="L171" s="10">
        <v>14</v>
      </c>
      <c r="M171" s="10">
        <v>0</v>
      </c>
      <c r="N171" s="10">
        <v>0</v>
      </c>
      <c r="O171" s="10">
        <v>0</v>
      </c>
      <c r="P171" s="10">
        <v>2</v>
      </c>
      <c r="Q171" s="10">
        <v>0</v>
      </c>
      <c r="R171" s="12"/>
      <c r="S171" s="13"/>
      <c r="T171" s="13">
        <f t="shared" si="0"/>
        <v>16</v>
      </c>
      <c r="U171" s="11">
        <f ca="1">IFERROR(__xludf.DUMMYFUNCTION("IFERROR(
  SUM(
    FILTER(
      Reporte!$E:$E, 
      REGEXMATCH(Reporte!$A:$A, ""(?i)(TE PAGÓ|PAGASTE)""), 
      Reporte!$H:$H &amp; """" = AG171 &amp; """"
    )
  ), 
  0
)"),16)</f>
        <v>16</v>
      </c>
      <c r="V171" s="11">
        <f ca="1">IFERROR(__xludf.DUMMYFUNCTION("IFERROR(
  SUM(
    FILTER(
      Efectivo!$C:$C, 
      Efectivo!$D:$D &amp; """" = AG171 &amp; """"
    )
  ), 
  0
)"),0)</f>
        <v>0</v>
      </c>
      <c r="W171" s="11" t="s">
        <v>35</v>
      </c>
      <c r="X171" s="11"/>
      <c r="Y171" s="11" t="s">
        <v>36</v>
      </c>
      <c r="Z171" s="11" t="s">
        <v>237</v>
      </c>
      <c r="AA171" s="11"/>
      <c r="AB171" s="11" t="str">
        <f t="shared" si="1"/>
        <v/>
      </c>
      <c r="AC171" s="11" t="str">
        <f t="shared" si="2"/>
        <v/>
      </c>
      <c r="AD171" s="11">
        <f t="shared" si="3"/>
        <v>0</v>
      </c>
      <c r="AE171" s="11">
        <f t="shared" si="4"/>
        <v>16</v>
      </c>
      <c r="AF171" s="11" t="str">
        <f t="shared" si="5"/>
        <v>I</v>
      </c>
      <c r="AG171" s="11" t="str">
        <f t="shared" si="6"/>
        <v>I-7</v>
      </c>
      <c r="AH171" s="21"/>
      <c r="AI171" s="21"/>
    </row>
    <row r="172" spans="1:35" ht="15.75" hidden="1" customHeight="1">
      <c r="A172" s="15">
        <v>170</v>
      </c>
      <c r="B172" s="16" t="s">
        <v>238</v>
      </c>
      <c r="C172" s="16" t="s">
        <v>228</v>
      </c>
      <c r="D172" s="17">
        <v>8</v>
      </c>
      <c r="E172" s="18"/>
      <c r="F172" s="19">
        <v>1</v>
      </c>
      <c r="G172" s="18"/>
      <c r="H172" s="19">
        <v>1</v>
      </c>
      <c r="I172" s="17">
        <v>1</v>
      </c>
      <c r="J172" s="17">
        <v>1</v>
      </c>
      <c r="K172" s="17">
        <v>5</v>
      </c>
      <c r="L172" s="17">
        <v>5</v>
      </c>
      <c r="M172" s="17">
        <v>8</v>
      </c>
      <c r="N172" s="10"/>
      <c r="O172" s="17">
        <v>75</v>
      </c>
      <c r="P172" s="17">
        <v>3</v>
      </c>
      <c r="Q172" s="17">
        <v>0</v>
      </c>
      <c r="R172" s="19"/>
      <c r="S172" s="20"/>
      <c r="T172" s="13">
        <f t="shared" si="0"/>
        <v>91</v>
      </c>
      <c r="U172" s="18">
        <f ca="1">IFERROR(__xludf.DUMMYFUNCTION("IFERROR(
  SUM(
    FILTER(
      Reporte!$E:$E, 
      REGEXMATCH(Reporte!$A:$A, ""(?i)(TE PAGÓ|PAGASTE)""), 
      Reporte!$H:$H &amp; """" = AG172 &amp; """"
    )
  ), 
  0
)"),91)</f>
        <v>91</v>
      </c>
      <c r="V172" s="18">
        <f ca="1">IFERROR(__xludf.DUMMYFUNCTION("IFERROR(
  SUM(
    FILTER(
      Efectivo!$C:$C, 
      Efectivo!$D:$D &amp; """" = AG172 &amp; """"
    )
  ), 
  0
)"),0)</f>
        <v>0</v>
      </c>
      <c r="W172" s="18" t="s">
        <v>35</v>
      </c>
      <c r="X172" s="18"/>
      <c r="Y172" s="18" t="s">
        <v>36</v>
      </c>
      <c r="Z172" s="18"/>
      <c r="AA172" s="18" t="s">
        <v>239</v>
      </c>
      <c r="AB172" s="18" t="str">
        <f t="shared" si="1"/>
        <v/>
      </c>
      <c r="AC172" s="18" t="str">
        <f t="shared" si="2"/>
        <v/>
      </c>
      <c r="AD172" s="11">
        <f t="shared" si="3"/>
        <v>0</v>
      </c>
      <c r="AE172" s="11">
        <f t="shared" si="4"/>
        <v>91</v>
      </c>
      <c r="AF172" s="18" t="str">
        <f t="shared" si="5"/>
        <v>I</v>
      </c>
      <c r="AG172" s="18" t="str">
        <f t="shared" si="6"/>
        <v>I-8</v>
      </c>
      <c r="AH172" s="14"/>
      <c r="AI172" s="14"/>
    </row>
    <row r="173" spans="1:35" ht="15.75" hidden="1" customHeight="1">
      <c r="A173" s="8">
        <v>171</v>
      </c>
      <c r="B173" s="9" t="s">
        <v>240</v>
      </c>
      <c r="C173" s="9" t="s">
        <v>228</v>
      </c>
      <c r="D173" s="10">
        <v>9</v>
      </c>
      <c r="E173" s="11"/>
      <c r="F173" s="11"/>
      <c r="G173" s="11"/>
      <c r="H173" s="12">
        <v>1</v>
      </c>
      <c r="I173" s="10">
        <v>494</v>
      </c>
      <c r="J173" s="10">
        <v>500</v>
      </c>
      <c r="K173" s="10">
        <v>6</v>
      </c>
      <c r="L173" s="10">
        <v>6</v>
      </c>
      <c r="M173" s="10">
        <v>0</v>
      </c>
      <c r="N173" s="10">
        <v>0</v>
      </c>
      <c r="O173" s="10">
        <v>0</v>
      </c>
      <c r="P173" s="10">
        <v>3</v>
      </c>
      <c r="Q173" s="10">
        <v>0</v>
      </c>
      <c r="R173" s="12"/>
      <c r="S173" s="13"/>
      <c r="T173" s="13">
        <f t="shared" si="0"/>
        <v>9</v>
      </c>
      <c r="U173" s="11">
        <f ca="1">IFERROR(__xludf.DUMMYFUNCTION("IFERROR(
  SUM(
    FILTER(
      Reporte!$E:$E, 
      REGEXMATCH(Reporte!$A:$A, ""(?i)(TE PAGÓ|PAGASTE)""), 
      Reporte!$H:$H &amp; """" = AG173 &amp; """"
    )
  ), 
  0
)"),9)</f>
        <v>9</v>
      </c>
      <c r="V173" s="11">
        <f ca="1">IFERROR(__xludf.DUMMYFUNCTION("IFERROR(
  SUM(
    FILTER(
      Efectivo!$C:$C, 
      Efectivo!$D:$D &amp; """" = AG173 &amp; """"
    )
  ), 
  0
)"),0)</f>
        <v>0</v>
      </c>
      <c r="W173" s="11" t="s">
        <v>35</v>
      </c>
      <c r="X173" s="11"/>
      <c r="Y173" s="11" t="s">
        <v>36</v>
      </c>
      <c r="Z173" s="11"/>
      <c r="AA173" s="11"/>
      <c r="AB173" s="11" t="str">
        <f t="shared" si="1"/>
        <v/>
      </c>
      <c r="AC173" s="11" t="str">
        <f t="shared" si="2"/>
        <v/>
      </c>
      <c r="AD173" s="11">
        <f t="shared" si="3"/>
        <v>0</v>
      </c>
      <c r="AE173" s="11">
        <f t="shared" si="4"/>
        <v>9</v>
      </c>
      <c r="AF173" s="11" t="str">
        <f t="shared" si="5"/>
        <v>I</v>
      </c>
      <c r="AG173" s="11" t="str">
        <f t="shared" si="6"/>
        <v>I-9</v>
      </c>
      <c r="AH173" s="21"/>
      <c r="AI173" s="21"/>
    </row>
    <row r="174" spans="1:35" ht="15.75" hidden="1" customHeight="1">
      <c r="A174" s="15">
        <v>172</v>
      </c>
      <c r="B174" s="16" t="s">
        <v>241</v>
      </c>
      <c r="C174" s="16" t="s">
        <v>228</v>
      </c>
      <c r="D174" s="17">
        <v>10</v>
      </c>
      <c r="E174" s="18"/>
      <c r="F174" s="18"/>
      <c r="G174" s="18"/>
      <c r="H174" s="19">
        <v>1</v>
      </c>
      <c r="I174" s="17">
        <v>69</v>
      </c>
      <c r="J174" s="17">
        <v>76</v>
      </c>
      <c r="K174" s="17">
        <v>7</v>
      </c>
      <c r="L174" s="17">
        <v>7</v>
      </c>
      <c r="M174" s="17">
        <v>0</v>
      </c>
      <c r="N174" s="17">
        <v>20</v>
      </c>
      <c r="O174" s="17">
        <v>0</v>
      </c>
      <c r="P174" s="17">
        <v>3</v>
      </c>
      <c r="Q174" s="17">
        <v>0</v>
      </c>
      <c r="R174" s="19"/>
      <c r="S174" s="20"/>
      <c r="T174" s="13">
        <f t="shared" si="0"/>
        <v>30</v>
      </c>
      <c r="U174" s="18">
        <f ca="1">IFERROR(__xludf.DUMMYFUNCTION("IFERROR(
  SUM(
    FILTER(
      Reporte!$E:$E, 
      REGEXMATCH(Reporte!$A:$A, ""(?i)(TE PAGÓ|PAGASTE)""), 
      Reporte!$H:$H &amp; """" = AG174 &amp; """"
    )
  ), 
  0
)"),30)</f>
        <v>30</v>
      </c>
      <c r="V174" s="18">
        <f ca="1">IFERROR(__xludf.DUMMYFUNCTION("IFERROR(
  SUM(
    FILTER(
      Efectivo!$C:$C, 
      Efectivo!$D:$D &amp; """" = AG174 &amp; """"
    )
  ), 
  0
)"),0)</f>
        <v>0</v>
      </c>
      <c r="W174" s="18" t="s">
        <v>35</v>
      </c>
      <c r="X174" s="18"/>
      <c r="Y174" s="18" t="s">
        <v>36</v>
      </c>
      <c r="Z174" s="18"/>
      <c r="AA174" s="18"/>
      <c r="AB174" s="18" t="str">
        <f t="shared" si="1"/>
        <v/>
      </c>
      <c r="AC174" s="18" t="str">
        <f t="shared" si="2"/>
        <v/>
      </c>
      <c r="AD174" s="11">
        <f t="shared" si="3"/>
        <v>0</v>
      </c>
      <c r="AE174" s="11">
        <f t="shared" si="4"/>
        <v>30</v>
      </c>
      <c r="AF174" s="18" t="str">
        <f t="shared" si="5"/>
        <v>I</v>
      </c>
      <c r="AG174" s="18" t="str">
        <f t="shared" si="6"/>
        <v>I-10</v>
      </c>
      <c r="AH174" s="14"/>
      <c r="AI174" s="14"/>
    </row>
    <row r="175" spans="1:35" ht="15.75" hidden="1" customHeight="1">
      <c r="A175" s="8">
        <v>173</v>
      </c>
      <c r="B175" s="9" t="s">
        <v>242</v>
      </c>
      <c r="C175" s="9" t="s">
        <v>228</v>
      </c>
      <c r="D175" s="10">
        <v>11</v>
      </c>
      <c r="E175" s="11"/>
      <c r="F175" s="11"/>
      <c r="G175" s="11"/>
      <c r="H175" s="12">
        <v>1</v>
      </c>
      <c r="I175" s="10">
        <v>21</v>
      </c>
      <c r="J175" s="10">
        <v>35</v>
      </c>
      <c r="K175" s="10">
        <v>14</v>
      </c>
      <c r="L175" s="10">
        <v>14</v>
      </c>
      <c r="M175" s="10">
        <v>0</v>
      </c>
      <c r="N175" s="10">
        <v>0</v>
      </c>
      <c r="O175" s="10">
        <v>25</v>
      </c>
      <c r="P175" s="10">
        <v>3</v>
      </c>
      <c r="Q175" s="10">
        <v>0</v>
      </c>
      <c r="R175" s="12"/>
      <c r="S175" s="13"/>
      <c r="T175" s="13">
        <f t="shared" si="0"/>
        <v>42</v>
      </c>
      <c r="U175" s="11">
        <f ca="1">IFERROR(__xludf.DUMMYFUNCTION("IFERROR(
  SUM(
    FILTER(
      Reporte!$E:$E, 
      REGEXMATCH(Reporte!$A:$A, ""(?i)(TE PAGÓ|PAGASTE)""), 
      Reporte!$H:$H &amp; """" = AG175 &amp; """"
    )
  ), 
  0
)"),42)</f>
        <v>42</v>
      </c>
      <c r="V175" s="11">
        <f ca="1">IFERROR(__xludf.DUMMYFUNCTION("IFERROR(
  SUM(
    FILTER(
      Efectivo!$C:$C, 
      Efectivo!$D:$D &amp; """" = AG175 &amp; """"
    )
  ), 
  0
)"),0)</f>
        <v>0</v>
      </c>
      <c r="W175" s="11" t="s">
        <v>35</v>
      </c>
      <c r="X175" s="11"/>
      <c r="Y175" s="11" t="s">
        <v>36</v>
      </c>
      <c r="Z175" s="11"/>
      <c r="AA175" s="11"/>
      <c r="AB175" s="11" t="str">
        <f t="shared" si="1"/>
        <v/>
      </c>
      <c r="AC175" s="11" t="str">
        <f t="shared" si="2"/>
        <v/>
      </c>
      <c r="AD175" s="11">
        <f t="shared" si="3"/>
        <v>0</v>
      </c>
      <c r="AE175" s="11">
        <f t="shared" si="4"/>
        <v>42</v>
      </c>
      <c r="AF175" s="11" t="str">
        <f t="shared" si="5"/>
        <v>I</v>
      </c>
      <c r="AG175" s="11" t="str">
        <f t="shared" si="6"/>
        <v>I-11</v>
      </c>
      <c r="AH175" s="21"/>
      <c r="AI175" s="21"/>
    </row>
    <row r="176" spans="1:35" ht="15.75" hidden="1" customHeight="1">
      <c r="A176" s="15">
        <v>174</v>
      </c>
      <c r="B176" s="16" t="s">
        <v>243</v>
      </c>
      <c r="C176" s="16" t="s">
        <v>228</v>
      </c>
      <c r="D176" s="17">
        <v>12</v>
      </c>
      <c r="E176" s="18"/>
      <c r="F176" s="18"/>
      <c r="G176" s="18"/>
      <c r="H176" s="19">
        <v>1</v>
      </c>
      <c r="I176" s="17">
        <v>11</v>
      </c>
      <c r="J176" s="17">
        <v>20</v>
      </c>
      <c r="K176" s="17">
        <v>9</v>
      </c>
      <c r="L176" s="17">
        <v>9</v>
      </c>
      <c r="M176" s="17">
        <v>0</v>
      </c>
      <c r="N176" s="17">
        <v>0</v>
      </c>
      <c r="O176" s="17">
        <v>25</v>
      </c>
      <c r="P176" s="17">
        <v>3</v>
      </c>
      <c r="Q176" s="17">
        <v>0</v>
      </c>
      <c r="R176" s="19"/>
      <c r="S176" s="20"/>
      <c r="T176" s="13">
        <f t="shared" si="0"/>
        <v>37</v>
      </c>
      <c r="U176" s="18">
        <f ca="1">IFERROR(__xludf.DUMMYFUNCTION("IFERROR(
  SUM(
    FILTER(
      Reporte!$E:$E, 
      REGEXMATCH(Reporte!$A:$A, ""(?i)(TE PAGÓ|PAGASTE)""), 
      Reporte!$H:$H &amp; """" = AG176 &amp; """"
    )
  ), 
  0
)"),0)</f>
        <v>0</v>
      </c>
      <c r="V176" s="18">
        <f ca="1">IFERROR(__xludf.DUMMYFUNCTION("IFERROR(
  SUM(
    FILTER(
      Efectivo!$C:$C, 
      Efectivo!$D:$D &amp; """" = AG176 &amp; """"
    )
  ), 
  0
)"),37)</f>
        <v>37</v>
      </c>
      <c r="W176" s="18" t="s">
        <v>35</v>
      </c>
      <c r="X176" s="18"/>
      <c r="Y176" s="18"/>
      <c r="Z176" s="18"/>
      <c r="AA176" s="18"/>
      <c r="AB176" s="18" t="str">
        <f t="shared" si="1"/>
        <v/>
      </c>
      <c r="AC176" s="18" t="str">
        <f t="shared" si="2"/>
        <v/>
      </c>
      <c r="AD176" s="11">
        <f t="shared" si="3"/>
        <v>37</v>
      </c>
      <c r="AE176" s="11">
        <f t="shared" si="4"/>
        <v>0</v>
      </c>
      <c r="AF176" s="18" t="str">
        <f t="shared" si="5"/>
        <v>I</v>
      </c>
      <c r="AG176" s="18" t="str">
        <f t="shared" si="6"/>
        <v>I-12</v>
      </c>
      <c r="AH176" s="14"/>
      <c r="AI176" s="14"/>
    </row>
    <row r="177" spans="1:35" ht="15.75" hidden="1" customHeight="1">
      <c r="A177" s="8">
        <v>175</v>
      </c>
      <c r="B177" s="9" t="s">
        <v>244</v>
      </c>
      <c r="C177" s="9" t="s">
        <v>228</v>
      </c>
      <c r="D177" s="10">
        <v>13</v>
      </c>
      <c r="E177" s="11"/>
      <c r="F177" s="11"/>
      <c r="G177" s="11"/>
      <c r="H177" s="12">
        <v>1</v>
      </c>
      <c r="I177" s="10">
        <v>16</v>
      </c>
      <c r="J177" s="10">
        <v>35</v>
      </c>
      <c r="K177" s="10">
        <v>19</v>
      </c>
      <c r="L177" s="10">
        <v>19</v>
      </c>
      <c r="M177" s="10">
        <v>0</v>
      </c>
      <c r="N177" s="10">
        <v>0</v>
      </c>
      <c r="O177" s="10">
        <v>0</v>
      </c>
      <c r="P177" s="10">
        <v>3</v>
      </c>
      <c r="Q177" s="10">
        <v>0</v>
      </c>
      <c r="R177" s="12"/>
      <c r="S177" s="13"/>
      <c r="T177" s="13">
        <f t="shared" si="0"/>
        <v>22</v>
      </c>
      <c r="U177" s="11">
        <f ca="1">IFERROR(__xludf.DUMMYFUNCTION("IFERROR(
  SUM(
    FILTER(
      Reporte!$E:$E, 
      REGEXMATCH(Reporte!$A:$A, ""(?i)(TE PAGÓ|PAGASTE)""), 
      Reporte!$H:$H &amp; """" = AG177 &amp; """"
    )
  ), 
  0
)"),22)</f>
        <v>22</v>
      </c>
      <c r="V177" s="11">
        <f ca="1">IFERROR(__xludf.DUMMYFUNCTION("IFERROR(
  SUM(
    FILTER(
      Efectivo!$C:$C, 
      Efectivo!$D:$D &amp; """" = AG177 &amp; """"
    )
  ), 
  0
)"),0)</f>
        <v>0</v>
      </c>
      <c r="W177" s="11" t="s">
        <v>35</v>
      </c>
      <c r="X177" s="11"/>
      <c r="Y177" s="11" t="s">
        <v>36</v>
      </c>
      <c r="Z177" s="11"/>
      <c r="AA177" s="11"/>
      <c r="AB177" s="11" t="str">
        <f t="shared" si="1"/>
        <v/>
      </c>
      <c r="AC177" s="11" t="str">
        <f t="shared" si="2"/>
        <v/>
      </c>
      <c r="AD177" s="11">
        <f t="shared" si="3"/>
        <v>0</v>
      </c>
      <c r="AE177" s="11">
        <f t="shared" si="4"/>
        <v>22</v>
      </c>
      <c r="AF177" s="11" t="str">
        <f t="shared" si="5"/>
        <v>I</v>
      </c>
      <c r="AG177" s="11" t="str">
        <f t="shared" si="6"/>
        <v>I-13</v>
      </c>
      <c r="AH177" s="21"/>
      <c r="AI177" s="21"/>
    </row>
    <row r="178" spans="1:35" ht="15.75" hidden="1" customHeight="1">
      <c r="A178" s="15">
        <v>176</v>
      </c>
      <c r="B178" s="16" t="s">
        <v>245</v>
      </c>
      <c r="C178" s="16" t="s">
        <v>228</v>
      </c>
      <c r="D178" s="17">
        <v>14</v>
      </c>
      <c r="E178" s="18"/>
      <c r="F178" s="18"/>
      <c r="G178" s="18"/>
      <c r="H178" s="19">
        <v>1</v>
      </c>
      <c r="I178" s="17">
        <v>5</v>
      </c>
      <c r="J178" s="17">
        <v>14</v>
      </c>
      <c r="K178" s="17">
        <v>9</v>
      </c>
      <c r="L178" s="17">
        <v>9</v>
      </c>
      <c r="M178" s="17">
        <v>0</v>
      </c>
      <c r="N178" s="17">
        <v>0</v>
      </c>
      <c r="O178" s="17">
        <v>25</v>
      </c>
      <c r="P178" s="17">
        <v>3</v>
      </c>
      <c r="Q178" s="17">
        <v>0</v>
      </c>
      <c r="R178" s="19"/>
      <c r="S178" s="20"/>
      <c r="T178" s="13">
        <f t="shared" si="0"/>
        <v>37</v>
      </c>
      <c r="U178" s="18">
        <f ca="1">IFERROR(__xludf.DUMMYFUNCTION("IFERROR(
  SUM(
    FILTER(
      Reporte!$E:$E, 
      REGEXMATCH(Reporte!$A:$A, ""(?i)(TE PAGÓ|PAGASTE)""), 
      Reporte!$H:$H &amp; """" = AG178 &amp; """"
    )
  ), 
  0
)"),37)</f>
        <v>37</v>
      </c>
      <c r="V178" s="18">
        <f ca="1">IFERROR(__xludf.DUMMYFUNCTION("IFERROR(
  SUM(
    FILTER(
      Efectivo!$C:$C, 
      Efectivo!$D:$D &amp; """" = AG178 &amp; """"
    )
  ), 
  0
)"),0)</f>
        <v>0</v>
      </c>
      <c r="W178" s="18" t="s">
        <v>35</v>
      </c>
      <c r="X178" s="18"/>
      <c r="Y178" s="18" t="s">
        <v>36</v>
      </c>
      <c r="Z178" s="18"/>
      <c r="AA178" s="18"/>
      <c r="AB178" s="18" t="str">
        <f t="shared" si="1"/>
        <v/>
      </c>
      <c r="AC178" s="18" t="str">
        <f t="shared" si="2"/>
        <v/>
      </c>
      <c r="AD178" s="11">
        <f t="shared" si="3"/>
        <v>0</v>
      </c>
      <c r="AE178" s="11">
        <f t="shared" si="4"/>
        <v>37</v>
      </c>
      <c r="AF178" s="18" t="str">
        <f t="shared" si="5"/>
        <v>I</v>
      </c>
      <c r="AG178" s="18" t="str">
        <f t="shared" si="6"/>
        <v>I-14</v>
      </c>
      <c r="AH178" s="14"/>
      <c r="AI178" s="14"/>
    </row>
    <row r="179" spans="1:35" ht="15.75" hidden="1" customHeight="1">
      <c r="A179" s="8">
        <v>177</v>
      </c>
      <c r="B179" s="9" t="s">
        <v>246</v>
      </c>
      <c r="C179" s="9" t="s">
        <v>228</v>
      </c>
      <c r="D179" s="10">
        <v>15</v>
      </c>
      <c r="E179" s="11"/>
      <c r="F179" s="11"/>
      <c r="G179" s="11"/>
      <c r="H179" s="12">
        <v>1</v>
      </c>
      <c r="I179" s="10">
        <v>24</v>
      </c>
      <c r="J179" s="10">
        <v>40</v>
      </c>
      <c r="K179" s="10">
        <v>16</v>
      </c>
      <c r="L179" s="10">
        <v>16</v>
      </c>
      <c r="M179" s="10">
        <v>0</v>
      </c>
      <c r="N179" s="10">
        <v>0</v>
      </c>
      <c r="O179" s="10">
        <v>25</v>
      </c>
      <c r="P179" s="10">
        <v>3</v>
      </c>
      <c r="Q179" s="10">
        <v>0</v>
      </c>
      <c r="R179" s="12"/>
      <c r="S179" s="13"/>
      <c r="T179" s="13">
        <f t="shared" si="0"/>
        <v>44</v>
      </c>
      <c r="U179" s="11">
        <f ca="1">IFERROR(__xludf.DUMMYFUNCTION("IFERROR(
  SUM(
    FILTER(
      Reporte!$E:$E, 
      REGEXMATCH(Reporte!$A:$A, ""(?i)(TE PAGÓ|PAGASTE)""), 
      Reporte!$H:$H &amp; """" = AG179 &amp; """"
    )
  ), 
  0
)"),44)</f>
        <v>44</v>
      </c>
      <c r="V179" s="11">
        <f ca="1">IFERROR(__xludf.DUMMYFUNCTION("IFERROR(
  SUM(
    FILTER(
      Efectivo!$C:$C, 
      Efectivo!$D:$D &amp; """" = AG179 &amp; """"
    )
  ), 
  0
)"),0)</f>
        <v>0</v>
      </c>
      <c r="W179" s="11" t="s">
        <v>35</v>
      </c>
      <c r="X179" s="11"/>
      <c r="Y179" s="11" t="s">
        <v>36</v>
      </c>
      <c r="Z179" s="11"/>
      <c r="AA179" s="11"/>
      <c r="AB179" s="11" t="str">
        <f t="shared" si="1"/>
        <v/>
      </c>
      <c r="AC179" s="11" t="str">
        <f t="shared" si="2"/>
        <v/>
      </c>
      <c r="AD179" s="11">
        <f t="shared" si="3"/>
        <v>0</v>
      </c>
      <c r="AE179" s="11">
        <f t="shared" si="4"/>
        <v>44</v>
      </c>
      <c r="AF179" s="11" t="str">
        <f t="shared" si="5"/>
        <v>I</v>
      </c>
      <c r="AG179" s="11" t="str">
        <f t="shared" si="6"/>
        <v>I-15</v>
      </c>
      <c r="AH179" s="21"/>
      <c r="AI179" s="21"/>
    </row>
    <row r="180" spans="1:35" ht="15.75" hidden="1" customHeight="1">
      <c r="A180" s="15">
        <v>178</v>
      </c>
      <c r="B180" s="16" t="s">
        <v>247</v>
      </c>
      <c r="C180" s="16" t="s">
        <v>228</v>
      </c>
      <c r="D180" s="17">
        <v>16</v>
      </c>
      <c r="E180" s="18"/>
      <c r="F180" s="18"/>
      <c r="G180" s="18"/>
      <c r="H180" s="19">
        <v>1</v>
      </c>
      <c r="I180" s="17">
        <v>3</v>
      </c>
      <c r="J180" s="17">
        <v>5</v>
      </c>
      <c r="K180" s="17">
        <v>5</v>
      </c>
      <c r="L180" s="17">
        <v>5</v>
      </c>
      <c r="M180" s="17">
        <v>11</v>
      </c>
      <c r="N180" s="22"/>
      <c r="O180" s="17">
        <v>0</v>
      </c>
      <c r="P180" s="17">
        <v>3</v>
      </c>
      <c r="Q180" s="17">
        <v>0</v>
      </c>
      <c r="R180" s="19"/>
      <c r="S180" s="20"/>
      <c r="T180" s="13">
        <f t="shared" si="0"/>
        <v>19</v>
      </c>
      <c r="U180" s="18">
        <f ca="1">IFERROR(__xludf.DUMMYFUNCTION("IFERROR(
  SUM(
    FILTER(
      Reporte!$E:$E, 
      REGEXMATCH(Reporte!$A:$A, ""(?i)(TE PAGÓ|PAGASTE)""), 
      Reporte!$H:$H &amp; """" = AG180 &amp; """"
    )
  ), 
  0
)"),19)</f>
        <v>19</v>
      </c>
      <c r="V180" s="18">
        <f ca="1">IFERROR(__xludf.DUMMYFUNCTION("IFERROR(
  SUM(
    FILTER(
      Efectivo!$C:$C, 
      Efectivo!$D:$D &amp; """" = AG180 &amp; """"
    )
  ), 
  0
)"),0)</f>
        <v>0</v>
      </c>
      <c r="W180" s="18" t="s">
        <v>35</v>
      </c>
      <c r="X180" s="18"/>
      <c r="Y180" s="18" t="s">
        <v>36</v>
      </c>
      <c r="Z180" s="18" t="s">
        <v>73</v>
      </c>
      <c r="AA180" s="18"/>
      <c r="AB180" s="18" t="str">
        <f t="shared" si="1"/>
        <v/>
      </c>
      <c r="AC180" s="18" t="str">
        <f t="shared" si="2"/>
        <v/>
      </c>
      <c r="AD180" s="11">
        <f t="shared" si="3"/>
        <v>0</v>
      </c>
      <c r="AE180" s="11">
        <f t="shared" si="4"/>
        <v>19</v>
      </c>
      <c r="AF180" s="18" t="str">
        <f t="shared" si="5"/>
        <v>I</v>
      </c>
      <c r="AG180" s="18" t="str">
        <f t="shared" si="6"/>
        <v>I-16</v>
      </c>
      <c r="AH180" s="14"/>
      <c r="AI180" s="14"/>
    </row>
    <row r="181" spans="1:35" ht="15.75" hidden="1" customHeight="1">
      <c r="A181" s="8">
        <v>179</v>
      </c>
      <c r="B181" s="9" t="s">
        <v>248</v>
      </c>
      <c r="C181" s="9" t="s">
        <v>228</v>
      </c>
      <c r="D181" s="10">
        <v>17</v>
      </c>
      <c r="E181" s="11"/>
      <c r="F181" s="11"/>
      <c r="G181" s="11"/>
      <c r="H181" s="12">
        <v>1</v>
      </c>
      <c r="I181" s="10">
        <v>10</v>
      </c>
      <c r="J181" s="10">
        <v>19</v>
      </c>
      <c r="K181" s="10">
        <v>9</v>
      </c>
      <c r="L181" s="10">
        <v>9</v>
      </c>
      <c r="M181" s="10">
        <v>0</v>
      </c>
      <c r="N181" s="10">
        <v>0</v>
      </c>
      <c r="O181" s="10">
        <v>25</v>
      </c>
      <c r="P181" s="10">
        <v>3</v>
      </c>
      <c r="Q181" s="10">
        <v>0</v>
      </c>
      <c r="R181" s="12"/>
      <c r="S181" s="13"/>
      <c r="T181" s="13">
        <f t="shared" si="0"/>
        <v>37</v>
      </c>
      <c r="U181" s="11">
        <f ca="1">IFERROR(__xludf.DUMMYFUNCTION("IFERROR(
  SUM(
    FILTER(
      Reporte!$E:$E, 
      REGEXMATCH(Reporte!$A:$A, ""(?i)(TE PAGÓ|PAGASTE)""), 
      Reporte!$H:$H &amp; """" = AG181 &amp; """"
    )
  ), 
  0
)"),37)</f>
        <v>37</v>
      </c>
      <c r="V181" s="11">
        <f ca="1">IFERROR(__xludf.DUMMYFUNCTION("IFERROR(
  SUM(
    FILTER(
      Efectivo!$C:$C, 
      Efectivo!$D:$D &amp; """" = AG181 &amp; """"
    )
  ), 
  0
)"),0)</f>
        <v>0</v>
      </c>
      <c r="W181" s="11" t="s">
        <v>35</v>
      </c>
      <c r="X181" s="11"/>
      <c r="Y181" s="11" t="s">
        <v>36</v>
      </c>
      <c r="Z181" s="11"/>
      <c r="AA181" s="11"/>
      <c r="AB181" s="11" t="str">
        <f t="shared" si="1"/>
        <v/>
      </c>
      <c r="AC181" s="11" t="str">
        <f t="shared" si="2"/>
        <v/>
      </c>
      <c r="AD181" s="11">
        <f t="shared" si="3"/>
        <v>0</v>
      </c>
      <c r="AE181" s="11">
        <f t="shared" si="4"/>
        <v>37</v>
      </c>
      <c r="AF181" s="11" t="str">
        <f t="shared" si="5"/>
        <v>I</v>
      </c>
      <c r="AG181" s="11" t="str">
        <f t="shared" si="6"/>
        <v>I-17</v>
      </c>
      <c r="AH181" s="21"/>
      <c r="AI181" s="21"/>
    </row>
    <row r="182" spans="1:35" ht="15.75" hidden="1" customHeight="1">
      <c r="A182" s="15">
        <v>180</v>
      </c>
      <c r="B182" s="16" t="s">
        <v>249</v>
      </c>
      <c r="C182" s="16" t="s">
        <v>228</v>
      </c>
      <c r="D182" s="17">
        <v>18</v>
      </c>
      <c r="E182" s="18"/>
      <c r="F182" s="18"/>
      <c r="G182" s="18"/>
      <c r="H182" s="19">
        <v>1</v>
      </c>
      <c r="I182" s="17">
        <v>562</v>
      </c>
      <c r="J182" s="17">
        <v>579</v>
      </c>
      <c r="K182" s="17">
        <v>17</v>
      </c>
      <c r="L182" s="17">
        <v>17</v>
      </c>
      <c r="M182" s="17">
        <v>0</v>
      </c>
      <c r="N182" s="17">
        <v>0</v>
      </c>
      <c r="O182" s="17">
        <v>0</v>
      </c>
      <c r="P182" s="17">
        <v>3</v>
      </c>
      <c r="Q182" s="17">
        <v>0</v>
      </c>
      <c r="R182" s="19"/>
      <c r="S182" s="20"/>
      <c r="T182" s="13">
        <f t="shared" si="0"/>
        <v>20</v>
      </c>
      <c r="U182" s="18">
        <f ca="1">IFERROR(__xludf.DUMMYFUNCTION("IFERROR(
  SUM(
    FILTER(
      Reporte!$E:$E, 
      REGEXMATCH(Reporte!$A:$A, ""(?i)(TE PAGÓ|PAGASTE)""), 
      Reporte!$H:$H &amp; """" = AG182 &amp; """"
    )
  ), 
  0
)"),0)</f>
        <v>0</v>
      </c>
      <c r="V182" s="18">
        <f ca="1">IFERROR(__xludf.DUMMYFUNCTION("IFERROR(
  SUM(
    FILTER(
      Efectivo!$C:$C, 
      Efectivo!$D:$D &amp; """" = AG182 &amp; """"
    )
  ), 
  0
)"),20)</f>
        <v>20</v>
      </c>
      <c r="W182" s="18" t="s">
        <v>35</v>
      </c>
      <c r="X182" s="18"/>
      <c r="Y182" s="18"/>
      <c r="Z182" s="18"/>
      <c r="AA182" s="18"/>
      <c r="AB182" s="18" t="str">
        <f t="shared" si="1"/>
        <v/>
      </c>
      <c r="AC182" s="18" t="str">
        <f t="shared" si="2"/>
        <v/>
      </c>
      <c r="AD182" s="11">
        <f t="shared" si="3"/>
        <v>20</v>
      </c>
      <c r="AE182" s="11">
        <f t="shared" si="4"/>
        <v>0</v>
      </c>
      <c r="AF182" s="18" t="str">
        <f t="shared" si="5"/>
        <v>I</v>
      </c>
      <c r="AG182" s="18" t="str">
        <f t="shared" si="6"/>
        <v>I-18</v>
      </c>
      <c r="AH182" s="14"/>
      <c r="AI182" s="14"/>
    </row>
    <row r="183" spans="1:35" ht="15.75" hidden="1" customHeight="1">
      <c r="A183" s="8">
        <v>181</v>
      </c>
      <c r="B183" s="9" t="s">
        <v>250</v>
      </c>
      <c r="C183" s="9" t="s">
        <v>251</v>
      </c>
      <c r="D183" s="10">
        <v>1</v>
      </c>
      <c r="E183" s="11"/>
      <c r="F183" s="11"/>
      <c r="G183" s="11"/>
      <c r="H183" s="12">
        <v>1</v>
      </c>
      <c r="I183" s="10">
        <v>48</v>
      </c>
      <c r="J183" s="10">
        <v>99</v>
      </c>
      <c r="K183" s="10">
        <v>51</v>
      </c>
      <c r="L183" s="10">
        <v>51</v>
      </c>
      <c r="M183" s="10">
        <v>0</v>
      </c>
      <c r="N183" s="10">
        <v>0</v>
      </c>
      <c r="O183" s="10">
        <v>25</v>
      </c>
      <c r="P183" s="10">
        <v>3</v>
      </c>
      <c r="Q183" s="10">
        <v>0</v>
      </c>
      <c r="R183" s="12"/>
      <c r="S183" s="13"/>
      <c r="T183" s="13">
        <f t="shared" si="0"/>
        <v>79</v>
      </c>
      <c r="U183" s="11">
        <f ca="1">IFERROR(__xludf.DUMMYFUNCTION("IFERROR(
  SUM(
    FILTER(
      Reporte!$E:$E, 
      REGEXMATCH(Reporte!$A:$A, ""(?i)(TE PAGÓ|PAGASTE)""), 
      Reporte!$H:$H &amp; """" = AG183 &amp; """"
    )
  ), 
  0
)"),0)</f>
        <v>0</v>
      </c>
      <c r="V183" s="11">
        <f ca="1">IFERROR(__xludf.DUMMYFUNCTION("IFERROR(
  SUM(
    FILTER(
      Efectivo!$C:$C, 
      Efectivo!$D:$D &amp; """" = AG183 &amp; """"
    )
  ), 
  0
)"),0)</f>
        <v>0</v>
      </c>
      <c r="W183" s="11"/>
      <c r="X183" s="11"/>
      <c r="Y183" s="11"/>
      <c r="Z183" s="11"/>
      <c r="AA183" s="11"/>
      <c r="AB183" s="11" t="str">
        <f t="shared" si="1"/>
        <v/>
      </c>
      <c r="AC183" s="11" t="str">
        <f t="shared" si="2"/>
        <v/>
      </c>
      <c r="AD183" s="11">
        <f t="shared" si="3"/>
        <v>0</v>
      </c>
      <c r="AE183" s="11">
        <f t="shared" si="4"/>
        <v>0</v>
      </c>
      <c r="AF183" s="11" t="str">
        <f t="shared" si="5"/>
        <v>J</v>
      </c>
      <c r="AG183" s="11" t="str">
        <f t="shared" si="6"/>
        <v>J-1</v>
      </c>
      <c r="AH183" s="21"/>
      <c r="AI183" s="21"/>
    </row>
    <row r="184" spans="1:35" ht="15.75" hidden="1" customHeight="1">
      <c r="A184" s="15">
        <v>182</v>
      </c>
      <c r="B184" s="16" t="s">
        <v>252</v>
      </c>
      <c r="C184" s="16" t="s">
        <v>251</v>
      </c>
      <c r="D184" s="17">
        <v>2</v>
      </c>
      <c r="E184" s="18"/>
      <c r="F184" s="18"/>
      <c r="G184" s="18"/>
      <c r="H184" s="19">
        <v>1</v>
      </c>
      <c r="I184" s="17">
        <v>510</v>
      </c>
      <c r="J184" s="17">
        <v>524</v>
      </c>
      <c r="K184" s="17">
        <v>14</v>
      </c>
      <c r="L184" s="17">
        <v>14</v>
      </c>
      <c r="M184" s="17">
        <v>14</v>
      </c>
      <c r="N184" s="17">
        <v>0</v>
      </c>
      <c r="O184" s="17">
        <v>0</v>
      </c>
      <c r="P184" s="17">
        <v>3</v>
      </c>
      <c r="Q184" s="17">
        <v>0</v>
      </c>
      <c r="R184" s="19"/>
      <c r="S184" s="20"/>
      <c r="T184" s="13">
        <f t="shared" si="0"/>
        <v>31</v>
      </c>
      <c r="U184" s="18">
        <f ca="1">IFERROR(__xludf.DUMMYFUNCTION("IFERROR(
  SUM(
    FILTER(
      Reporte!$E:$E, 
      REGEXMATCH(Reporte!$A:$A, ""(?i)(TE PAGÓ|PAGASTE)""), 
      Reporte!$H:$H &amp; """" = AG184 &amp; """"
    )
  ), 
  0
)"),31)</f>
        <v>31</v>
      </c>
      <c r="V184" s="18">
        <f ca="1">IFERROR(__xludf.DUMMYFUNCTION("IFERROR(
  SUM(
    FILTER(
      Efectivo!$C:$C, 
      Efectivo!$D:$D &amp; """" = AG184 &amp; """"
    )
  ), 
  0
)"),0)</f>
        <v>0</v>
      </c>
      <c r="W184" s="18" t="s">
        <v>35</v>
      </c>
      <c r="X184" s="18"/>
      <c r="Y184" s="18" t="s">
        <v>36</v>
      </c>
      <c r="Z184" s="18"/>
      <c r="AA184" s="18"/>
      <c r="AB184" s="18" t="str">
        <f t="shared" si="1"/>
        <v/>
      </c>
      <c r="AC184" s="18" t="str">
        <f t="shared" si="2"/>
        <v/>
      </c>
      <c r="AD184" s="11">
        <f t="shared" si="3"/>
        <v>0</v>
      </c>
      <c r="AE184" s="11">
        <f t="shared" si="4"/>
        <v>31</v>
      </c>
      <c r="AF184" s="18" t="str">
        <f t="shared" si="5"/>
        <v>J</v>
      </c>
      <c r="AG184" s="18" t="str">
        <f t="shared" si="6"/>
        <v>J-2</v>
      </c>
      <c r="AH184" s="14"/>
      <c r="AI184" s="14"/>
    </row>
    <row r="185" spans="1:35" ht="15.75" hidden="1" customHeight="1">
      <c r="A185" s="8">
        <v>183</v>
      </c>
      <c r="B185" s="9" t="s">
        <v>253</v>
      </c>
      <c r="C185" s="9" t="s">
        <v>251</v>
      </c>
      <c r="D185" s="10">
        <v>3</v>
      </c>
      <c r="E185" s="11"/>
      <c r="F185" s="11"/>
      <c r="G185" s="11"/>
      <c r="H185" s="12">
        <v>1</v>
      </c>
      <c r="I185" s="10">
        <v>0</v>
      </c>
      <c r="J185" s="10">
        <v>0</v>
      </c>
      <c r="K185" s="10">
        <v>5</v>
      </c>
      <c r="L185" s="10"/>
      <c r="M185" s="10"/>
      <c r="N185" s="22">
        <v>40</v>
      </c>
      <c r="O185" s="10">
        <v>0</v>
      </c>
      <c r="P185" s="10">
        <v>1</v>
      </c>
      <c r="Q185" s="10">
        <v>0</v>
      </c>
      <c r="R185" s="12"/>
      <c r="S185" s="13"/>
      <c r="T185" s="13">
        <f t="shared" si="0"/>
        <v>41</v>
      </c>
      <c r="U185" s="11">
        <f ca="1">IFERROR(__xludf.DUMMYFUNCTION("IFERROR(
  SUM(
    FILTER(
      Reporte!$E:$E, 
      REGEXMATCH(Reporte!$A:$A, ""(?i)(TE PAGÓ|PAGASTE)""), 
      Reporte!$H:$H &amp; """" = AG185 &amp; """"
    )
  ), 
  0
)"),41)</f>
        <v>41</v>
      </c>
      <c r="V185" s="11">
        <f ca="1">IFERROR(__xludf.DUMMYFUNCTION("IFERROR(
  SUM(
    FILTER(
      Efectivo!$C:$C, 
      Efectivo!$D:$D &amp; """" = AG185 &amp; """"
    )
  ), 
  0
)"),0)</f>
        <v>0</v>
      </c>
      <c r="W185" s="11" t="s">
        <v>35</v>
      </c>
      <c r="X185" s="11"/>
      <c r="Y185" s="11" t="s">
        <v>36</v>
      </c>
      <c r="Z185" s="11" t="s">
        <v>254</v>
      </c>
      <c r="AA185" s="11"/>
      <c r="AB185" s="11" t="str">
        <f t="shared" si="1"/>
        <v/>
      </c>
      <c r="AC185" s="11" t="str">
        <f t="shared" si="2"/>
        <v/>
      </c>
      <c r="AD185" s="11">
        <f t="shared" si="3"/>
        <v>0</v>
      </c>
      <c r="AE185" s="11">
        <f t="shared" si="4"/>
        <v>41</v>
      </c>
      <c r="AF185" s="11" t="str">
        <f t="shared" si="5"/>
        <v>J</v>
      </c>
      <c r="AG185" s="11" t="str">
        <f t="shared" si="6"/>
        <v>J-3</v>
      </c>
      <c r="AH185" s="21"/>
      <c r="AI185" s="21"/>
    </row>
    <row r="186" spans="1:35" ht="15.75" hidden="1" customHeight="1">
      <c r="A186" s="15">
        <v>184</v>
      </c>
      <c r="B186" s="16" t="s">
        <v>255</v>
      </c>
      <c r="C186" s="16" t="s">
        <v>251</v>
      </c>
      <c r="D186" s="17">
        <v>4</v>
      </c>
      <c r="E186" s="18"/>
      <c r="F186" s="18"/>
      <c r="G186" s="18"/>
      <c r="H186" s="19">
        <v>1</v>
      </c>
      <c r="I186" s="17">
        <v>14</v>
      </c>
      <c r="J186" s="17">
        <v>19</v>
      </c>
      <c r="K186" s="17">
        <v>5</v>
      </c>
      <c r="L186" s="17">
        <v>5</v>
      </c>
      <c r="M186" s="17">
        <v>0</v>
      </c>
      <c r="N186" s="17">
        <v>0</v>
      </c>
      <c r="O186" s="17">
        <v>25</v>
      </c>
      <c r="P186" s="17">
        <v>3</v>
      </c>
      <c r="Q186" s="17">
        <v>0</v>
      </c>
      <c r="R186" s="19"/>
      <c r="S186" s="20"/>
      <c r="T186" s="13">
        <f t="shared" si="0"/>
        <v>33</v>
      </c>
      <c r="U186" s="18">
        <f ca="1">IFERROR(__xludf.DUMMYFUNCTION("IFERROR(
  SUM(
    FILTER(
      Reporte!$E:$E, 
      REGEXMATCH(Reporte!$A:$A, ""(?i)(TE PAGÓ|PAGASTE)""), 
      Reporte!$H:$H &amp; """" = AG186 &amp; """"
    )
  ), 
  0
)"),33)</f>
        <v>33</v>
      </c>
      <c r="V186" s="18">
        <f ca="1">IFERROR(__xludf.DUMMYFUNCTION("IFERROR(
  SUM(
    FILTER(
      Efectivo!$C:$C, 
      Efectivo!$D:$D &amp; """" = AG186 &amp; """"
    )
  ), 
  0
)"),0)</f>
        <v>0</v>
      </c>
      <c r="W186" s="18" t="s">
        <v>35</v>
      </c>
      <c r="X186" s="18"/>
      <c r="Y186" s="18" t="s">
        <v>36</v>
      </c>
      <c r="Z186" s="18"/>
      <c r="AA186" s="18"/>
      <c r="AB186" s="18" t="str">
        <f t="shared" si="1"/>
        <v/>
      </c>
      <c r="AC186" s="18" t="str">
        <f t="shared" si="2"/>
        <v/>
      </c>
      <c r="AD186" s="11">
        <f t="shared" si="3"/>
        <v>0</v>
      </c>
      <c r="AE186" s="11">
        <f t="shared" si="4"/>
        <v>33</v>
      </c>
      <c r="AF186" s="18" t="str">
        <f t="shared" si="5"/>
        <v>J</v>
      </c>
      <c r="AG186" s="18" t="str">
        <f t="shared" si="6"/>
        <v>J-4</v>
      </c>
      <c r="AH186" s="14"/>
      <c r="AI186" s="14"/>
    </row>
    <row r="187" spans="1:35" ht="15.75" hidden="1" customHeight="1">
      <c r="A187" s="8">
        <v>185</v>
      </c>
      <c r="B187" s="9" t="s">
        <v>256</v>
      </c>
      <c r="C187" s="9" t="s">
        <v>251</v>
      </c>
      <c r="D187" s="10">
        <v>5</v>
      </c>
      <c r="E187" s="11"/>
      <c r="F187" s="11"/>
      <c r="G187" s="11"/>
      <c r="H187" s="11"/>
      <c r="I187" s="10">
        <v>25</v>
      </c>
      <c r="J187" s="10">
        <v>43</v>
      </c>
      <c r="K187" s="10">
        <v>18</v>
      </c>
      <c r="L187" s="10">
        <v>18</v>
      </c>
      <c r="M187" s="10">
        <v>0</v>
      </c>
      <c r="N187" s="10">
        <v>0</v>
      </c>
      <c r="O187" s="10">
        <v>25</v>
      </c>
      <c r="P187" s="10">
        <v>3</v>
      </c>
      <c r="Q187" s="10">
        <v>0</v>
      </c>
      <c r="R187" s="12"/>
      <c r="S187" s="13"/>
      <c r="T187" s="13">
        <f t="shared" si="0"/>
        <v>46</v>
      </c>
      <c r="U187" s="11">
        <f ca="1">IFERROR(__xludf.DUMMYFUNCTION("IFERROR(
  SUM(
    FILTER(
      Reporte!$E:$E, 
      REGEXMATCH(Reporte!$A:$A, ""(?i)(TE PAGÓ|PAGASTE)""), 
      Reporte!$H:$H &amp; """" = AG187 &amp; """"
    )
  ), 
  0
)"),46)</f>
        <v>46</v>
      </c>
      <c r="V187" s="11">
        <f ca="1">IFERROR(__xludf.DUMMYFUNCTION("IFERROR(
  SUM(
    FILTER(
      Efectivo!$C:$C, 
      Efectivo!$D:$D &amp; """" = AG187 &amp; """"
    )
  ), 
  0
)"),0)</f>
        <v>0</v>
      </c>
      <c r="W187" s="11" t="s">
        <v>35</v>
      </c>
      <c r="X187" s="11"/>
      <c r="Y187" s="11" t="s">
        <v>36</v>
      </c>
      <c r="Z187" s="11"/>
      <c r="AA187" s="11"/>
      <c r="AB187" s="11" t="str">
        <f t="shared" si="1"/>
        <v/>
      </c>
      <c r="AC187" s="11" t="str">
        <f t="shared" si="2"/>
        <v/>
      </c>
      <c r="AD187" s="11">
        <f t="shared" si="3"/>
        <v>0</v>
      </c>
      <c r="AE187" s="11">
        <f t="shared" si="4"/>
        <v>46</v>
      </c>
      <c r="AF187" s="11" t="str">
        <f t="shared" si="5"/>
        <v>J</v>
      </c>
      <c r="AG187" s="11" t="str">
        <f t="shared" si="6"/>
        <v>J-5</v>
      </c>
      <c r="AH187" s="21"/>
      <c r="AI187" s="21"/>
    </row>
    <row r="188" spans="1:35" ht="15.75" hidden="1" customHeight="1">
      <c r="A188" s="15">
        <v>186</v>
      </c>
      <c r="B188" s="16" t="s">
        <v>257</v>
      </c>
      <c r="C188" s="16" t="s">
        <v>251</v>
      </c>
      <c r="D188" s="17">
        <v>6</v>
      </c>
      <c r="E188" s="18"/>
      <c r="F188" s="18"/>
      <c r="G188" s="18"/>
      <c r="H188" s="19">
        <v>1</v>
      </c>
      <c r="I188" s="17">
        <v>0</v>
      </c>
      <c r="J188" s="17">
        <v>0</v>
      </c>
      <c r="K188" s="17">
        <v>0</v>
      </c>
      <c r="L188" s="17">
        <v>0</v>
      </c>
      <c r="M188" s="17">
        <v>16</v>
      </c>
      <c r="N188" s="17">
        <v>0</v>
      </c>
      <c r="O188" s="17">
        <v>25</v>
      </c>
      <c r="P188" s="17">
        <v>3</v>
      </c>
      <c r="Q188" s="17">
        <v>0</v>
      </c>
      <c r="R188" s="19"/>
      <c r="S188" s="20"/>
      <c r="T188" s="13">
        <f t="shared" si="0"/>
        <v>44</v>
      </c>
      <c r="U188" s="18">
        <f ca="1">IFERROR(__xludf.DUMMYFUNCTION("IFERROR(
  SUM(
    FILTER(
      Reporte!$E:$E, 
      REGEXMATCH(Reporte!$A:$A, ""(?i)(TE PAGÓ|PAGASTE)""), 
      Reporte!$H:$H &amp; """" = AG188 &amp; """"
    )
  ), 
  0
)"),0)</f>
        <v>0</v>
      </c>
      <c r="V188" s="18">
        <f ca="1">IFERROR(__xludf.DUMMYFUNCTION("IFERROR(
  SUM(
    FILTER(
      Efectivo!$C:$C, 
      Efectivo!$D:$D &amp; """" = AG188 &amp; """"
    )
  ), 
  0
)"),0)</f>
        <v>0</v>
      </c>
      <c r="W188" s="18"/>
      <c r="X188" s="18"/>
      <c r="Y188" s="18"/>
      <c r="Z188" s="18"/>
      <c r="AA188" s="18"/>
      <c r="AB188" s="18" t="str">
        <f t="shared" si="1"/>
        <v/>
      </c>
      <c r="AC188" s="18" t="str">
        <f t="shared" si="2"/>
        <v/>
      </c>
      <c r="AD188" s="11">
        <f t="shared" si="3"/>
        <v>0</v>
      </c>
      <c r="AE188" s="11">
        <f t="shared" si="4"/>
        <v>0</v>
      </c>
      <c r="AF188" s="18" t="str">
        <f t="shared" si="5"/>
        <v>J</v>
      </c>
      <c r="AG188" s="18" t="str">
        <f t="shared" si="6"/>
        <v>J-6</v>
      </c>
      <c r="AH188" s="14"/>
      <c r="AI188" s="14"/>
    </row>
    <row r="189" spans="1:35" ht="15.75" hidden="1" customHeight="1">
      <c r="A189" s="8">
        <v>187</v>
      </c>
      <c r="B189" s="9" t="s">
        <v>258</v>
      </c>
      <c r="C189" s="9" t="s">
        <v>251</v>
      </c>
      <c r="D189" s="10">
        <v>7</v>
      </c>
      <c r="E189" s="11"/>
      <c r="F189" s="11"/>
      <c r="G189" s="11"/>
      <c r="H189" s="12">
        <v>1</v>
      </c>
      <c r="I189" s="10">
        <v>37</v>
      </c>
      <c r="J189" s="10">
        <v>52</v>
      </c>
      <c r="K189" s="10">
        <v>15</v>
      </c>
      <c r="L189" s="10">
        <v>15</v>
      </c>
      <c r="M189" s="10">
        <v>0</v>
      </c>
      <c r="N189" s="10">
        <v>0</v>
      </c>
      <c r="O189" s="10">
        <v>25</v>
      </c>
      <c r="P189" s="10">
        <v>3</v>
      </c>
      <c r="Q189" s="10">
        <v>0</v>
      </c>
      <c r="R189" s="12"/>
      <c r="S189" s="13"/>
      <c r="T189" s="13">
        <f t="shared" si="0"/>
        <v>43</v>
      </c>
      <c r="U189" s="11">
        <f ca="1">IFERROR(__xludf.DUMMYFUNCTION("IFERROR(
  SUM(
    FILTER(
      Reporte!$E:$E, 
      REGEXMATCH(Reporte!$A:$A, ""(?i)(TE PAGÓ|PAGASTE)""), 
      Reporte!$H:$H &amp; """" = AG189 &amp; """"
    )
  ), 
  0
)"),43)</f>
        <v>43</v>
      </c>
      <c r="V189" s="11">
        <f ca="1">IFERROR(__xludf.DUMMYFUNCTION("IFERROR(
  SUM(
    FILTER(
      Efectivo!$C:$C, 
      Efectivo!$D:$D &amp; """" = AG189 &amp; """"
    )
  ), 
  0
)"),0)</f>
        <v>0</v>
      </c>
      <c r="W189" s="11" t="s">
        <v>35</v>
      </c>
      <c r="X189" s="11"/>
      <c r="Y189" s="11" t="s">
        <v>36</v>
      </c>
      <c r="Z189" s="11"/>
      <c r="AA189" s="11"/>
      <c r="AB189" s="11" t="str">
        <f t="shared" si="1"/>
        <v/>
      </c>
      <c r="AC189" s="11" t="str">
        <f t="shared" si="2"/>
        <v/>
      </c>
      <c r="AD189" s="11">
        <f t="shared" si="3"/>
        <v>0</v>
      </c>
      <c r="AE189" s="11">
        <f t="shared" si="4"/>
        <v>43</v>
      </c>
      <c r="AF189" s="11" t="str">
        <f t="shared" si="5"/>
        <v>J</v>
      </c>
      <c r="AG189" s="11" t="str">
        <f t="shared" si="6"/>
        <v>J-7</v>
      </c>
      <c r="AH189" s="21"/>
      <c r="AI189" s="21"/>
    </row>
    <row r="190" spans="1:35" ht="15.75" hidden="1" customHeight="1">
      <c r="A190" s="15">
        <v>188</v>
      </c>
      <c r="B190" s="16" t="s">
        <v>259</v>
      </c>
      <c r="C190" s="16" t="s">
        <v>251</v>
      </c>
      <c r="D190" s="17">
        <v>8</v>
      </c>
      <c r="E190" s="18"/>
      <c r="F190" s="18"/>
      <c r="G190" s="18"/>
      <c r="H190" s="19">
        <v>1</v>
      </c>
      <c r="I190" s="17">
        <v>23</v>
      </c>
      <c r="J190" s="17">
        <v>37</v>
      </c>
      <c r="K190" s="17">
        <v>14</v>
      </c>
      <c r="L190" s="17">
        <v>14</v>
      </c>
      <c r="M190" s="17">
        <v>0</v>
      </c>
      <c r="N190" s="17">
        <v>0</v>
      </c>
      <c r="O190" s="17">
        <v>25</v>
      </c>
      <c r="P190" s="17">
        <v>3</v>
      </c>
      <c r="Q190" s="17">
        <v>0</v>
      </c>
      <c r="R190" s="19"/>
      <c r="S190" s="20"/>
      <c r="T190" s="13">
        <f t="shared" si="0"/>
        <v>42</v>
      </c>
      <c r="U190" s="18">
        <f ca="1">IFERROR(__xludf.DUMMYFUNCTION("IFERROR(
  SUM(
    FILTER(
      Reporte!$E:$E, 
      REGEXMATCH(Reporte!$A:$A, ""(?i)(TE PAGÓ|PAGASTE)""), 
      Reporte!$H:$H &amp; """" = AG190 &amp; """"
    )
  ), 
  0
)"),0)</f>
        <v>0</v>
      </c>
      <c r="V190" s="18">
        <f ca="1">IFERROR(__xludf.DUMMYFUNCTION("IFERROR(
  SUM(
    FILTER(
      Efectivo!$C:$C, 
      Efectivo!$D:$D &amp; """" = AG190 &amp; """"
    )
  ), 
  0
)"),42)</f>
        <v>42</v>
      </c>
      <c r="W190" s="18" t="s">
        <v>35</v>
      </c>
      <c r="X190" s="18"/>
      <c r="Y190" s="18"/>
      <c r="Z190" s="18"/>
      <c r="AA190" s="18"/>
      <c r="AB190" s="18" t="str">
        <f t="shared" si="1"/>
        <v/>
      </c>
      <c r="AC190" s="18" t="str">
        <f t="shared" si="2"/>
        <v/>
      </c>
      <c r="AD190" s="11">
        <f t="shared" si="3"/>
        <v>42</v>
      </c>
      <c r="AE190" s="11">
        <f t="shared" si="4"/>
        <v>0</v>
      </c>
      <c r="AF190" s="18" t="str">
        <f t="shared" si="5"/>
        <v>J</v>
      </c>
      <c r="AG190" s="18" t="str">
        <f t="shared" si="6"/>
        <v>J-8</v>
      </c>
      <c r="AH190" s="14"/>
      <c r="AI190" s="14"/>
    </row>
    <row r="191" spans="1:35" ht="15.75" hidden="1" customHeight="1">
      <c r="A191" s="8">
        <v>189</v>
      </c>
      <c r="B191" s="9" t="s">
        <v>260</v>
      </c>
      <c r="C191" s="9" t="s">
        <v>251</v>
      </c>
      <c r="D191" s="10">
        <v>9</v>
      </c>
      <c r="E191" s="11"/>
      <c r="F191" s="11"/>
      <c r="G191" s="11"/>
      <c r="H191" s="12">
        <v>1</v>
      </c>
      <c r="I191" s="10">
        <v>22</v>
      </c>
      <c r="J191" s="10">
        <v>35</v>
      </c>
      <c r="K191" s="10">
        <v>13</v>
      </c>
      <c r="L191" s="10">
        <v>13</v>
      </c>
      <c r="M191" s="10">
        <v>0</v>
      </c>
      <c r="N191" s="10">
        <v>0</v>
      </c>
      <c r="O191" s="10">
        <v>25</v>
      </c>
      <c r="P191" s="10">
        <v>3</v>
      </c>
      <c r="Q191" s="10">
        <v>0</v>
      </c>
      <c r="R191" s="12"/>
      <c r="S191" s="13"/>
      <c r="T191" s="13">
        <f t="shared" si="0"/>
        <v>41</v>
      </c>
      <c r="U191" s="11">
        <f ca="1">IFERROR(__xludf.DUMMYFUNCTION("IFERROR(
  SUM(
    FILTER(
      Reporte!$E:$E, 
      REGEXMATCH(Reporte!$A:$A, ""(?i)(TE PAGÓ|PAGASTE)""), 
      Reporte!$H:$H &amp; """" = AG191 &amp; """"
    )
  ), 
  0
)"),0)</f>
        <v>0</v>
      </c>
      <c r="V191" s="11">
        <f ca="1">IFERROR(__xludf.DUMMYFUNCTION("IFERROR(
  SUM(
    FILTER(
      Efectivo!$C:$C, 
      Efectivo!$D:$D &amp; """" = AG191 &amp; """"
    )
  ), 
  0
)"),41)</f>
        <v>41</v>
      </c>
      <c r="W191" s="11" t="s">
        <v>35</v>
      </c>
      <c r="X191" s="11"/>
      <c r="Y191" s="11"/>
      <c r="Z191" s="11"/>
      <c r="AA191" s="11"/>
      <c r="AB191" s="11" t="str">
        <f t="shared" si="1"/>
        <v/>
      </c>
      <c r="AC191" s="11" t="str">
        <f t="shared" si="2"/>
        <v/>
      </c>
      <c r="AD191" s="11">
        <f t="shared" si="3"/>
        <v>41</v>
      </c>
      <c r="AE191" s="11">
        <f t="shared" si="4"/>
        <v>0</v>
      </c>
      <c r="AF191" s="11" t="str">
        <f t="shared" si="5"/>
        <v>J</v>
      </c>
      <c r="AG191" s="11" t="str">
        <f t="shared" si="6"/>
        <v>J-9</v>
      </c>
      <c r="AH191" s="21"/>
      <c r="AI191" s="21"/>
    </row>
    <row r="192" spans="1:35" ht="15.75" hidden="1" customHeight="1">
      <c r="A192" s="15">
        <v>190</v>
      </c>
      <c r="B192" s="16" t="s">
        <v>261</v>
      </c>
      <c r="C192" s="16" t="s">
        <v>251</v>
      </c>
      <c r="D192" s="17">
        <v>10</v>
      </c>
      <c r="E192" s="18"/>
      <c r="F192" s="18"/>
      <c r="G192" s="18"/>
      <c r="H192" s="19">
        <v>1</v>
      </c>
      <c r="I192" s="17">
        <v>159</v>
      </c>
      <c r="J192" s="17">
        <v>168</v>
      </c>
      <c r="K192" s="17">
        <v>9</v>
      </c>
      <c r="L192" s="17">
        <v>9</v>
      </c>
      <c r="M192" s="17">
        <v>0</v>
      </c>
      <c r="N192" s="17">
        <v>0</v>
      </c>
      <c r="O192" s="17">
        <v>0</v>
      </c>
      <c r="P192" s="17">
        <v>3</v>
      </c>
      <c r="Q192" s="17">
        <v>0</v>
      </c>
      <c r="R192" s="19"/>
      <c r="S192" s="20"/>
      <c r="T192" s="13">
        <f t="shared" si="0"/>
        <v>12</v>
      </c>
      <c r="U192" s="18">
        <f ca="1">IFERROR(__xludf.DUMMYFUNCTION("IFERROR(
  SUM(
    FILTER(
      Reporte!$E:$E, 
      REGEXMATCH(Reporte!$A:$A, ""(?i)(TE PAGÓ|PAGASTE)""), 
      Reporte!$H:$H &amp; """" = AG192 &amp; """"
    )
  ), 
  0
)"),12)</f>
        <v>12</v>
      </c>
      <c r="V192" s="18">
        <f ca="1">IFERROR(__xludf.DUMMYFUNCTION("IFERROR(
  SUM(
    FILTER(
      Efectivo!$C:$C, 
      Efectivo!$D:$D &amp; """" = AG192 &amp; """"
    )
  ), 
  0
)"),0)</f>
        <v>0</v>
      </c>
      <c r="W192" s="18" t="s">
        <v>35</v>
      </c>
      <c r="X192" s="18"/>
      <c r="Y192" s="18" t="s">
        <v>36</v>
      </c>
      <c r="Z192" s="18"/>
      <c r="AA192" s="18"/>
      <c r="AB192" s="18" t="str">
        <f t="shared" si="1"/>
        <v/>
      </c>
      <c r="AC192" s="18" t="str">
        <f t="shared" si="2"/>
        <v/>
      </c>
      <c r="AD192" s="11">
        <f t="shared" si="3"/>
        <v>0</v>
      </c>
      <c r="AE192" s="11">
        <f t="shared" si="4"/>
        <v>12</v>
      </c>
      <c r="AF192" s="18" t="str">
        <f t="shared" si="5"/>
        <v>J</v>
      </c>
      <c r="AG192" s="18" t="str">
        <f t="shared" si="6"/>
        <v>J-10</v>
      </c>
      <c r="AH192" s="14"/>
      <c r="AI192" s="14"/>
    </row>
    <row r="193" spans="1:35" ht="15.75" hidden="1" customHeight="1">
      <c r="A193" s="8">
        <v>191</v>
      </c>
      <c r="B193" s="9" t="s">
        <v>262</v>
      </c>
      <c r="C193" s="9" t="s">
        <v>251</v>
      </c>
      <c r="D193" s="10">
        <v>11</v>
      </c>
      <c r="E193" s="11"/>
      <c r="F193" s="11"/>
      <c r="G193" s="11"/>
      <c r="H193" s="12">
        <v>1</v>
      </c>
      <c r="I193" s="10">
        <v>1463</v>
      </c>
      <c r="J193" s="10">
        <v>1476</v>
      </c>
      <c r="K193" s="10">
        <v>13</v>
      </c>
      <c r="L193" s="10">
        <v>13</v>
      </c>
      <c r="M193" s="10">
        <v>0</v>
      </c>
      <c r="N193" s="10">
        <v>0</v>
      </c>
      <c r="O193" s="10">
        <v>0</v>
      </c>
      <c r="P193" s="10">
        <v>3</v>
      </c>
      <c r="Q193" s="10">
        <v>0</v>
      </c>
      <c r="R193" s="12"/>
      <c r="S193" s="13"/>
      <c r="T193" s="13">
        <f t="shared" si="0"/>
        <v>16</v>
      </c>
      <c r="U193" s="11">
        <f ca="1">IFERROR(__xludf.DUMMYFUNCTION("IFERROR(
  SUM(
    FILTER(
      Reporte!$E:$E, 
      REGEXMATCH(Reporte!$A:$A, ""(?i)(TE PAGÓ|PAGASTE)""), 
      Reporte!$H:$H &amp; """" = AG193 &amp; """"
    )
  ), 
  0
)"),0)</f>
        <v>0</v>
      </c>
      <c r="V193" s="11">
        <f ca="1">IFERROR(__xludf.DUMMYFUNCTION("IFERROR(
  SUM(
    FILTER(
      Efectivo!$C:$C, 
      Efectivo!$D:$D &amp; """" = AG193 &amp; """"
    )
  ), 
  0
)"),16)</f>
        <v>16</v>
      </c>
      <c r="W193" s="11" t="s">
        <v>35</v>
      </c>
      <c r="X193" s="11"/>
      <c r="Y193" s="11"/>
      <c r="Z193" s="11"/>
      <c r="AA193" s="11"/>
      <c r="AB193" s="11" t="str">
        <f t="shared" si="1"/>
        <v/>
      </c>
      <c r="AC193" s="11" t="str">
        <f t="shared" si="2"/>
        <v/>
      </c>
      <c r="AD193" s="11">
        <f t="shared" si="3"/>
        <v>16</v>
      </c>
      <c r="AE193" s="11">
        <f t="shared" si="4"/>
        <v>0</v>
      </c>
      <c r="AF193" s="11" t="str">
        <f t="shared" si="5"/>
        <v>J</v>
      </c>
      <c r="AG193" s="11" t="str">
        <f t="shared" si="6"/>
        <v>J-11</v>
      </c>
      <c r="AH193" s="21"/>
      <c r="AI193" s="21"/>
    </row>
    <row r="194" spans="1:35" ht="15.75" hidden="1" customHeight="1">
      <c r="A194" s="15">
        <v>192</v>
      </c>
      <c r="B194" s="16" t="s">
        <v>263</v>
      </c>
      <c r="C194" s="16" t="s">
        <v>251</v>
      </c>
      <c r="D194" s="17">
        <v>12</v>
      </c>
      <c r="E194" s="18"/>
      <c r="F194" s="18"/>
      <c r="G194" s="18"/>
      <c r="H194" s="19">
        <v>1</v>
      </c>
      <c r="I194" s="17">
        <v>669</v>
      </c>
      <c r="J194" s="17">
        <v>681</v>
      </c>
      <c r="K194" s="17">
        <v>12</v>
      </c>
      <c r="L194" s="17">
        <v>12</v>
      </c>
      <c r="M194" s="17">
        <v>-5</v>
      </c>
      <c r="N194" s="17">
        <v>0</v>
      </c>
      <c r="O194" s="17">
        <v>0</v>
      </c>
      <c r="P194" s="17">
        <v>3</v>
      </c>
      <c r="Q194" s="17">
        <v>0</v>
      </c>
      <c r="R194" s="19"/>
      <c r="S194" s="20"/>
      <c r="T194" s="13">
        <f t="shared" si="0"/>
        <v>10</v>
      </c>
      <c r="U194" s="18">
        <f ca="1">IFERROR(__xludf.DUMMYFUNCTION("IFERROR(
  SUM(
    FILTER(
      Reporte!$E:$E, 
      REGEXMATCH(Reporte!$A:$A, ""(?i)(TE PAGÓ|PAGASTE)""), 
      Reporte!$H:$H &amp; """" = AG194 &amp; """"
    )
  ), 
  0
)"),0)</f>
        <v>0</v>
      </c>
      <c r="V194" s="18">
        <f ca="1">IFERROR(__xludf.DUMMYFUNCTION("IFERROR(
  SUM(
    FILTER(
      Efectivo!$C:$C, 
      Efectivo!$D:$D &amp; """" = AG194 &amp; """"
    )
  ), 
  0
)"),10)</f>
        <v>10</v>
      </c>
      <c r="W194" s="18" t="s">
        <v>35</v>
      </c>
      <c r="X194" s="18"/>
      <c r="Y194" s="18"/>
      <c r="Z194" s="18"/>
      <c r="AA194" s="18"/>
      <c r="AB194" s="18" t="str">
        <f t="shared" si="1"/>
        <v/>
      </c>
      <c r="AC194" s="18" t="str">
        <f t="shared" si="2"/>
        <v/>
      </c>
      <c r="AD194" s="11">
        <f t="shared" si="3"/>
        <v>10</v>
      </c>
      <c r="AE194" s="11">
        <f t="shared" si="4"/>
        <v>0</v>
      </c>
      <c r="AF194" s="18" t="str">
        <f t="shared" si="5"/>
        <v>J</v>
      </c>
      <c r="AG194" s="18" t="str">
        <f t="shared" si="6"/>
        <v>J-12</v>
      </c>
      <c r="AH194" s="14"/>
      <c r="AI194" s="14"/>
    </row>
    <row r="195" spans="1:35" ht="15.75" hidden="1" customHeight="1">
      <c r="A195" s="8">
        <v>193</v>
      </c>
      <c r="B195" s="9" t="s">
        <v>264</v>
      </c>
      <c r="C195" s="9" t="s">
        <v>251</v>
      </c>
      <c r="D195" s="10">
        <v>14</v>
      </c>
      <c r="E195" s="11"/>
      <c r="F195" s="11"/>
      <c r="G195" s="11"/>
      <c r="H195" s="12">
        <v>1</v>
      </c>
      <c r="I195" s="10">
        <v>13665</v>
      </c>
      <c r="J195" s="10">
        <v>13818</v>
      </c>
      <c r="K195" s="10">
        <v>153</v>
      </c>
      <c r="L195" s="10">
        <v>153</v>
      </c>
      <c r="M195" s="10">
        <v>425</v>
      </c>
      <c r="N195" s="22">
        <v>40</v>
      </c>
      <c r="O195" s="10">
        <v>0</v>
      </c>
      <c r="P195" s="10">
        <v>3</v>
      </c>
      <c r="Q195" s="10">
        <v>0</v>
      </c>
      <c r="R195" s="12"/>
      <c r="S195" s="13"/>
      <c r="T195" s="13">
        <f t="shared" si="0"/>
        <v>621</v>
      </c>
      <c r="U195" s="11">
        <f ca="1">IFERROR(__xludf.DUMMYFUNCTION("IFERROR(
  SUM(
    FILTER(
      Reporte!$E:$E, 
      REGEXMATCH(Reporte!$A:$A, ""(?i)(TE PAGÓ|PAGASTE)""), 
      Reporte!$H:$H &amp; """" = AG195 &amp; """"
    )
  ), 
  0
)"),0)</f>
        <v>0</v>
      </c>
      <c r="V195" s="11">
        <f ca="1">IFERROR(__xludf.DUMMYFUNCTION("IFERROR(
  SUM(
    FILTER(
      Efectivo!$C:$C, 
      Efectivo!$D:$D &amp; """" = AG195 &amp; """"
    )
  ), 
  0
)"),0)</f>
        <v>0</v>
      </c>
      <c r="W195" s="11"/>
      <c r="X195" s="11"/>
      <c r="Y195" s="11"/>
      <c r="Z195" s="11"/>
      <c r="AA195" s="11" t="s">
        <v>265</v>
      </c>
      <c r="AB195" s="11" t="str">
        <f t="shared" si="1"/>
        <v>CORTE</v>
      </c>
      <c r="AC195" s="11" t="str">
        <f t="shared" si="2"/>
        <v/>
      </c>
      <c r="AD195" s="11">
        <f t="shared" si="3"/>
        <v>0</v>
      </c>
      <c r="AE195" s="11">
        <f t="shared" si="4"/>
        <v>0</v>
      </c>
      <c r="AF195" s="11" t="str">
        <f t="shared" si="5"/>
        <v>J</v>
      </c>
      <c r="AG195" s="11" t="str">
        <f t="shared" si="6"/>
        <v>J-14</v>
      </c>
      <c r="AH195" s="21"/>
      <c r="AI195" s="21"/>
    </row>
    <row r="196" spans="1:35" ht="15.75" hidden="1" customHeight="1">
      <c r="A196" s="15">
        <v>194</v>
      </c>
      <c r="B196" s="16" t="s">
        <v>266</v>
      </c>
      <c r="C196" s="16" t="s">
        <v>267</v>
      </c>
      <c r="D196" s="17">
        <v>1</v>
      </c>
      <c r="E196" s="18"/>
      <c r="F196" s="18"/>
      <c r="G196" s="18"/>
      <c r="H196" s="19">
        <v>1</v>
      </c>
      <c r="I196" s="17">
        <v>14</v>
      </c>
      <c r="J196" s="17">
        <v>26</v>
      </c>
      <c r="K196" s="17">
        <v>12</v>
      </c>
      <c r="L196" s="17">
        <v>12</v>
      </c>
      <c r="M196" s="17">
        <v>0</v>
      </c>
      <c r="N196" s="17">
        <v>0</v>
      </c>
      <c r="O196" s="17">
        <v>25</v>
      </c>
      <c r="P196" s="17">
        <v>3</v>
      </c>
      <c r="Q196" s="17">
        <v>0</v>
      </c>
      <c r="R196" s="19"/>
      <c r="S196" s="20"/>
      <c r="T196" s="13">
        <f t="shared" si="0"/>
        <v>40</v>
      </c>
      <c r="U196" s="18">
        <f ca="1">IFERROR(__xludf.DUMMYFUNCTION("IFERROR(
  SUM(
    FILTER(
      Reporte!$E:$E, 
      REGEXMATCH(Reporte!$A:$A, ""(?i)(TE PAGÓ|PAGASTE)""), 
      Reporte!$H:$H &amp; """" = AG196 &amp; """"
    )
  ), 
  0
)"),0)</f>
        <v>0</v>
      </c>
      <c r="V196" s="18">
        <f ca="1">IFERROR(__xludf.DUMMYFUNCTION("IFERROR(
  SUM(
    FILTER(
      Efectivo!$C:$C, 
      Efectivo!$D:$D &amp; """" = AG196 &amp; """"
    )
  ), 
  0
)"),40)</f>
        <v>40</v>
      </c>
      <c r="W196" s="18" t="s">
        <v>35</v>
      </c>
      <c r="X196" s="18"/>
      <c r="Y196" s="18"/>
      <c r="Z196" s="18"/>
      <c r="AA196" s="18"/>
      <c r="AB196" s="18" t="str">
        <f t="shared" si="1"/>
        <v/>
      </c>
      <c r="AC196" s="18" t="str">
        <f t="shared" si="2"/>
        <v/>
      </c>
      <c r="AD196" s="11">
        <f t="shared" si="3"/>
        <v>40</v>
      </c>
      <c r="AE196" s="11">
        <f t="shared" si="4"/>
        <v>0</v>
      </c>
      <c r="AF196" s="18" t="str">
        <f t="shared" si="5"/>
        <v>K</v>
      </c>
      <c r="AG196" s="18" t="str">
        <f t="shared" si="6"/>
        <v>K-1</v>
      </c>
      <c r="AH196" s="14"/>
      <c r="AI196" s="14"/>
    </row>
    <row r="197" spans="1:35" ht="15.75" hidden="1" customHeight="1">
      <c r="A197" s="8">
        <v>195</v>
      </c>
      <c r="B197" s="9" t="s">
        <v>268</v>
      </c>
      <c r="C197" s="9" t="s">
        <v>267</v>
      </c>
      <c r="D197" s="10">
        <v>2</v>
      </c>
      <c r="E197" s="11"/>
      <c r="F197" s="11"/>
      <c r="G197" s="11"/>
      <c r="H197" s="12">
        <v>1</v>
      </c>
      <c r="I197" s="10">
        <v>7</v>
      </c>
      <c r="J197" s="10">
        <v>16</v>
      </c>
      <c r="K197" s="10">
        <v>9</v>
      </c>
      <c r="L197" s="10">
        <v>9</v>
      </c>
      <c r="M197" s="10">
        <v>0</v>
      </c>
      <c r="N197" s="10">
        <v>0</v>
      </c>
      <c r="O197" s="10">
        <v>25</v>
      </c>
      <c r="P197" s="10">
        <v>3</v>
      </c>
      <c r="Q197" s="10">
        <v>0</v>
      </c>
      <c r="R197" s="12"/>
      <c r="S197" s="13"/>
      <c r="T197" s="13">
        <f t="shared" si="0"/>
        <v>37</v>
      </c>
      <c r="U197" s="11">
        <f ca="1">IFERROR(__xludf.DUMMYFUNCTION("IFERROR(
  SUM(
    FILTER(
      Reporte!$E:$E, 
      REGEXMATCH(Reporte!$A:$A, ""(?i)(TE PAGÓ|PAGASTE)""), 
      Reporte!$H:$H &amp; """" = AG197 &amp; """"
    )
  ), 
  0
)"),0)</f>
        <v>0</v>
      </c>
      <c r="V197" s="11">
        <f ca="1">IFERROR(__xludf.DUMMYFUNCTION("IFERROR(
  SUM(
    FILTER(
      Efectivo!$C:$C, 
      Efectivo!$D:$D &amp; """" = AG197 &amp; """"
    )
  ), 
  0
)"),0)</f>
        <v>0</v>
      </c>
      <c r="W197" s="11"/>
      <c r="X197" s="11"/>
      <c r="Y197" s="11"/>
      <c r="Z197" s="11"/>
      <c r="AA197" s="11"/>
      <c r="AB197" s="11" t="str">
        <f t="shared" si="1"/>
        <v/>
      </c>
      <c r="AC197" s="11" t="str">
        <f t="shared" si="2"/>
        <v/>
      </c>
      <c r="AD197" s="11">
        <f t="shared" si="3"/>
        <v>0</v>
      </c>
      <c r="AE197" s="11">
        <f t="shared" si="4"/>
        <v>0</v>
      </c>
      <c r="AF197" s="11" t="str">
        <f t="shared" si="5"/>
        <v>K</v>
      </c>
      <c r="AG197" s="11" t="str">
        <f t="shared" si="6"/>
        <v>K-2</v>
      </c>
      <c r="AH197" s="21"/>
      <c r="AI197" s="21"/>
    </row>
    <row r="198" spans="1:35" ht="15.75" hidden="1" customHeight="1">
      <c r="A198" s="15">
        <v>196</v>
      </c>
      <c r="B198" s="16" t="s">
        <v>269</v>
      </c>
      <c r="C198" s="16" t="s">
        <v>267</v>
      </c>
      <c r="D198" s="17">
        <v>3</v>
      </c>
      <c r="E198" s="18"/>
      <c r="F198" s="18"/>
      <c r="G198" s="18"/>
      <c r="H198" s="19">
        <v>1</v>
      </c>
      <c r="I198" s="17">
        <v>122</v>
      </c>
      <c r="J198" s="17">
        <v>125</v>
      </c>
      <c r="K198" s="17">
        <v>5</v>
      </c>
      <c r="L198" s="17">
        <v>5</v>
      </c>
      <c r="M198" s="17">
        <v>0</v>
      </c>
      <c r="N198" s="17">
        <v>0</v>
      </c>
      <c r="O198" s="17">
        <v>0</v>
      </c>
      <c r="P198" s="17">
        <v>3</v>
      </c>
      <c r="Q198" s="17">
        <v>0</v>
      </c>
      <c r="R198" s="19"/>
      <c r="S198" s="20"/>
      <c r="T198" s="13">
        <f t="shared" si="0"/>
        <v>8</v>
      </c>
      <c r="U198" s="18">
        <f ca="1">IFERROR(__xludf.DUMMYFUNCTION("IFERROR(
  SUM(
    FILTER(
      Reporte!$E:$E, 
      REGEXMATCH(Reporte!$A:$A, ""(?i)(TE PAGÓ|PAGASTE)""), 
      Reporte!$H:$H &amp; """" = AG198 &amp; """"
    )
  ), 
  0
)"),8)</f>
        <v>8</v>
      </c>
      <c r="V198" s="18">
        <f ca="1">IFERROR(__xludf.DUMMYFUNCTION("IFERROR(
  SUM(
    FILTER(
      Efectivo!$C:$C, 
      Efectivo!$D:$D &amp; """" = AG198 &amp; """"
    )
  ), 
  0
)"),0)</f>
        <v>0</v>
      </c>
      <c r="W198" s="18" t="s">
        <v>35</v>
      </c>
      <c r="X198" s="18"/>
      <c r="Y198" s="18" t="s">
        <v>36</v>
      </c>
      <c r="Z198" s="18"/>
      <c r="AA198" s="18"/>
      <c r="AB198" s="18" t="str">
        <f t="shared" si="1"/>
        <v/>
      </c>
      <c r="AC198" s="18" t="str">
        <f t="shared" si="2"/>
        <v/>
      </c>
      <c r="AD198" s="11">
        <f t="shared" si="3"/>
        <v>0</v>
      </c>
      <c r="AE198" s="11">
        <f t="shared" si="4"/>
        <v>8</v>
      </c>
      <c r="AF198" s="18" t="str">
        <f t="shared" si="5"/>
        <v>K</v>
      </c>
      <c r="AG198" s="18" t="str">
        <f t="shared" si="6"/>
        <v>K-3</v>
      </c>
      <c r="AH198" s="14"/>
      <c r="AI198" s="14"/>
    </row>
    <row r="199" spans="1:35" ht="15.75" hidden="1" customHeight="1">
      <c r="A199" s="8">
        <v>197</v>
      </c>
      <c r="B199" s="9" t="s">
        <v>270</v>
      </c>
      <c r="C199" s="9" t="s">
        <v>267</v>
      </c>
      <c r="D199" s="10">
        <v>4</v>
      </c>
      <c r="E199" s="11"/>
      <c r="F199" s="11"/>
      <c r="G199" s="11"/>
      <c r="H199" s="12">
        <v>1</v>
      </c>
      <c r="I199" s="10">
        <v>32</v>
      </c>
      <c r="J199" s="10">
        <v>59</v>
      </c>
      <c r="K199" s="10">
        <v>27</v>
      </c>
      <c r="L199" s="10">
        <v>27</v>
      </c>
      <c r="M199" s="10">
        <v>0</v>
      </c>
      <c r="N199" s="10">
        <v>0</v>
      </c>
      <c r="O199" s="10">
        <v>25</v>
      </c>
      <c r="P199" s="10">
        <v>3</v>
      </c>
      <c r="Q199" s="10">
        <v>0</v>
      </c>
      <c r="R199" s="12"/>
      <c r="S199" s="13"/>
      <c r="T199" s="13">
        <f t="shared" si="0"/>
        <v>55</v>
      </c>
      <c r="U199" s="11">
        <f ca="1">IFERROR(__xludf.DUMMYFUNCTION("IFERROR(
  SUM(
    FILTER(
      Reporte!$E:$E, 
      REGEXMATCH(Reporte!$A:$A, ""(?i)(TE PAGÓ|PAGASTE)""), 
      Reporte!$H:$H &amp; """" = AG199 &amp; """"
    )
  ), 
  0
)"),55)</f>
        <v>55</v>
      </c>
      <c r="V199" s="11">
        <f ca="1">IFERROR(__xludf.DUMMYFUNCTION("IFERROR(
  SUM(
    FILTER(
      Efectivo!$C:$C, 
      Efectivo!$D:$D &amp; """" = AG199 &amp; """"
    )
  ), 
  0
)"),0)</f>
        <v>0</v>
      </c>
      <c r="W199" s="11" t="s">
        <v>35</v>
      </c>
      <c r="X199" s="11"/>
      <c r="Y199" s="11" t="s">
        <v>36</v>
      </c>
      <c r="Z199" s="11"/>
      <c r="AA199" s="11"/>
      <c r="AB199" s="11" t="str">
        <f t="shared" si="1"/>
        <v/>
      </c>
      <c r="AC199" s="11" t="str">
        <f t="shared" si="2"/>
        <v/>
      </c>
      <c r="AD199" s="11">
        <f t="shared" si="3"/>
        <v>0</v>
      </c>
      <c r="AE199" s="11">
        <f t="shared" si="4"/>
        <v>55</v>
      </c>
      <c r="AF199" s="11" t="str">
        <f t="shared" si="5"/>
        <v>K</v>
      </c>
      <c r="AG199" s="11" t="str">
        <f t="shared" si="6"/>
        <v>K-4</v>
      </c>
      <c r="AH199" s="21"/>
      <c r="AI199" s="21"/>
    </row>
    <row r="200" spans="1:35" ht="15.75" hidden="1" customHeight="1">
      <c r="A200" s="15">
        <v>198</v>
      </c>
      <c r="B200" s="16" t="s">
        <v>271</v>
      </c>
      <c r="C200" s="16" t="s">
        <v>267</v>
      </c>
      <c r="D200" s="17">
        <v>6</v>
      </c>
      <c r="E200" s="18"/>
      <c r="F200" s="18"/>
      <c r="G200" s="18"/>
      <c r="H200" s="19">
        <v>1</v>
      </c>
      <c r="I200" s="17">
        <v>56</v>
      </c>
      <c r="J200" s="17">
        <v>94</v>
      </c>
      <c r="K200" s="17">
        <v>38</v>
      </c>
      <c r="L200" s="17">
        <v>38</v>
      </c>
      <c r="M200" s="17">
        <v>0</v>
      </c>
      <c r="N200" s="17">
        <v>0</v>
      </c>
      <c r="O200" s="17">
        <v>25</v>
      </c>
      <c r="P200" s="17">
        <v>3</v>
      </c>
      <c r="Q200" s="17">
        <v>0</v>
      </c>
      <c r="R200" s="19"/>
      <c r="S200" s="20"/>
      <c r="T200" s="13">
        <f t="shared" si="0"/>
        <v>66</v>
      </c>
      <c r="U200" s="18">
        <f ca="1">IFERROR(__xludf.DUMMYFUNCTION("IFERROR(
  SUM(
    FILTER(
      Reporte!$E:$E, 
      REGEXMATCH(Reporte!$A:$A, ""(?i)(TE PAGÓ|PAGASTE)""), 
      Reporte!$H:$H &amp; """" = AG200 &amp; """"
    )
  ), 
  0
)"),66)</f>
        <v>66</v>
      </c>
      <c r="V200" s="18">
        <f ca="1">IFERROR(__xludf.DUMMYFUNCTION("IFERROR(
  SUM(
    FILTER(
      Efectivo!$C:$C, 
      Efectivo!$D:$D &amp; """" = AG200 &amp; """"
    )
  ), 
  0
)"),0)</f>
        <v>0</v>
      </c>
      <c r="W200" s="18" t="s">
        <v>35</v>
      </c>
      <c r="X200" s="18"/>
      <c r="Y200" s="18" t="s">
        <v>36</v>
      </c>
      <c r="Z200" s="18"/>
      <c r="AA200" s="18"/>
      <c r="AB200" s="18" t="str">
        <f t="shared" si="1"/>
        <v/>
      </c>
      <c r="AC200" s="18" t="str">
        <f t="shared" si="2"/>
        <v/>
      </c>
      <c r="AD200" s="11">
        <f t="shared" si="3"/>
        <v>0</v>
      </c>
      <c r="AE200" s="11">
        <f t="shared" si="4"/>
        <v>66</v>
      </c>
      <c r="AF200" s="18" t="str">
        <f t="shared" si="5"/>
        <v>K</v>
      </c>
      <c r="AG200" s="18" t="str">
        <f t="shared" si="6"/>
        <v>K-6</v>
      </c>
      <c r="AH200" s="14"/>
      <c r="AI200" s="14"/>
    </row>
    <row r="201" spans="1:35" ht="15.75" hidden="1" customHeight="1">
      <c r="A201" s="8">
        <v>199</v>
      </c>
      <c r="B201" s="9" t="s">
        <v>272</v>
      </c>
      <c r="C201" s="9" t="s">
        <v>267</v>
      </c>
      <c r="D201" s="10">
        <v>7</v>
      </c>
      <c r="E201" s="11"/>
      <c r="F201" s="11"/>
      <c r="G201" s="11"/>
      <c r="H201" s="12">
        <v>1</v>
      </c>
      <c r="I201" s="10">
        <v>226</v>
      </c>
      <c r="J201" s="10">
        <v>242</v>
      </c>
      <c r="K201" s="10">
        <v>16</v>
      </c>
      <c r="L201" s="10">
        <v>16</v>
      </c>
      <c r="M201" s="10">
        <v>0</v>
      </c>
      <c r="N201" s="10">
        <v>0</v>
      </c>
      <c r="O201" s="10">
        <v>0</v>
      </c>
      <c r="P201" s="10">
        <v>3</v>
      </c>
      <c r="Q201" s="10">
        <v>0</v>
      </c>
      <c r="R201" s="12"/>
      <c r="S201" s="13"/>
      <c r="T201" s="13">
        <f t="shared" si="0"/>
        <v>19</v>
      </c>
      <c r="U201" s="11">
        <f ca="1">IFERROR(__xludf.DUMMYFUNCTION("IFERROR(
  SUM(
    FILTER(
      Reporte!$E:$E, 
      REGEXMATCH(Reporte!$A:$A, ""(?i)(TE PAGÓ|PAGASTE)""), 
      Reporte!$H:$H &amp; """" = AG201 &amp; """"
    )
  ), 
  0
)"),19)</f>
        <v>19</v>
      </c>
      <c r="V201" s="11">
        <f ca="1">IFERROR(__xludf.DUMMYFUNCTION("IFERROR(
  SUM(
    FILTER(
      Efectivo!$C:$C, 
      Efectivo!$D:$D &amp; """" = AG201 &amp; """"
    )
  ), 
  0
)"),0)</f>
        <v>0</v>
      </c>
      <c r="W201" s="11" t="s">
        <v>35</v>
      </c>
      <c r="X201" s="11"/>
      <c r="Y201" s="11" t="s">
        <v>36</v>
      </c>
      <c r="Z201" s="11"/>
      <c r="AA201" s="11"/>
      <c r="AB201" s="11" t="str">
        <f t="shared" si="1"/>
        <v/>
      </c>
      <c r="AC201" s="11" t="str">
        <f t="shared" si="2"/>
        <v/>
      </c>
      <c r="AD201" s="11">
        <f t="shared" si="3"/>
        <v>0</v>
      </c>
      <c r="AE201" s="11">
        <f t="shared" si="4"/>
        <v>19</v>
      </c>
      <c r="AF201" s="11" t="str">
        <f t="shared" si="5"/>
        <v>K</v>
      </c>
      <c r="AG201" s="11" t="str">
        <f t="shared" si="6"/>
        <v>K-7</v>
      </c>
      <c r="AH201" s="21"/>
      <c r="AI201" s="21"/>
    </row>
    <row r="202" spans="1:35" ht="15.75" hidden="1" customHeight="1">
      <c r="A202" s="15">
        <v>200</v>
      </c>
      <c r="B202" s="16" t="s">
        <v>273</v>
      </c>
      <c r="C202" s="16" t="s">
        <v>267</v>
      </c>
      <c r="D202" s="17">
        <v>8</v>
      </c>
      <c r="E202" s="18"/>
      <c r="F202" s="18"/>
      <c r="G202" s="18"/>
      <c r="H202" s="19">
        <v>1</v>
      </c>
      <c r="I202" s="17">
        <v>11</v>
      </c>
      <c r="J202" s="17">
        <v>19</v>
      </c>
      <c r="K202" s="17">
        <v>8</v>
      </c>
      <c r="L202" s="17">
        <v>8</v>
      </c>
      <c r="M202" s="17">
        <v>0</v>
      </c>
      <c r="N202" s="17">
        <v>0</v>
      </c>
      <c r="O202" s="17">
        <v>0</v>
      </c>
      <c r="P202" s="17">
        <v>3</v>
      </c>
      <c r="Q202" s="17">
        <v>0</v>
      </c>
      <c r="R202" s="19"/>
      <c r="S202" s="20"/>
      <c r="T202" s="13">
        <f t="shared" si="0"/>
        <v>11</v>
      </c>
      <c r="U202" s="18">
        <f ca="1">IFERROR(__xludf.DUMMYFUNCTION("IFERROR(
  SUM(
    FILTER(
      Reporte!$E:$E, 
      REGEXMATCH(Reporte!$A:$A, ""(?i)(TE PAGÓ|PAGASTE)""), 
      Reporte!$H:$H &amp; """" = AG202 &amp; """"
    )
  ), 
  0
)"),0)</f>
        <v>0</v>
      </c>
      <c r="V202" s="18">
        <f ca="1">IFERROR(__xludf.DUMMYFUNCTION("IFERROR(
  SUM(
    FILTER(
      Efectivo!$C:$C, 
      Efectivo!$D:$D &amp; """" = AG202 &amp; """"
    )
  ), 
  0
)"),11)</f>
        <v>11</v>
      </c>
      <c r="W202" s="18" t="s">
        <v>35</v>
      </c>
      <c r="X202" s="18"/>
      <c r="Y202" s="18"/>
      <c r="Z202" s="18"/>
      <c r="AA202" s="18"/>
      <c r="AB202" s="18" t="str">
        <f t="shared" si="1"/>
        <v/>
      </c>
      <c r="AC202" s="18" t="str">
        <f t="shared" si="2"/>
        <v/>
      </c>
      <c r="AD202" s="11">
        <f t="shared" si="3"/>
        <v>11</v>
      </c>
      <c r="AE202" s="11">
        <f t="shared" si="4"/>
        <v>0</v>
      </c>
      <c r="AF202" s="18" t="str">
        <f t="shared" si="5"/>
        <v>K</v>
      </c>
      <c r="AG202" s="18" t="str">
        <f t="shared" si="6"/>
        <v>K-8</v>
      </c>
      <c r="AH202" s="14"/>
      <c r="AI202" s="14"/>
    </row>
    <row r="203" spans="1:35" ht="15.75" hidden="1" customHeight="1">
      <c r="A203" s="8">
        <v>201</v>
      </c>
      <c r="B203" s="9" t="s">
        <v>274</v>
      </c>
      <c r="C203" s="9" t="s">
        <v>267</v>
      </c>
      <c r="D203" s="10">
        <v>9</v>
      </c>
      <c r="E203" s="11"/>
      <c r="F203" s="11"/>
      <c r="G203" s="11"/>
      <c r="H203" s="12">
        <v>1</v>
      </c>
      <c r="I203" s="10">
        <v>-3</v>
      </c>
      <c r="J203" s="10">
        <v>4</v>
      </c>
      <c r="K203" s="10">
        <v>7</v>
      </c>
      <c r="L203" s="10">
        <v>7</v>
      </c>
      <c r="M203" s="10">
        <v>0</v>
      </c>
      <c r="N203" s="10">
        <v>0</v>
      </c>
      <c r="O203" s="10">
        <v>25</v>
      </c>
      <c r="P203" s="10">
        <v>3</v>
      </c>
      <c r="Q203" s="10">
        <v>75</v>
      </c>
      <c r="R203" s="12"/>
      <c r="S203" s="13"/>
      <c r="T203" s="13">
        <f t="shared" si="0"/>
        <v>110</v>
      </c>
      <c r="U203" s="11">
        <f ca="1">IFERROR(__xludf.DUMMYFUNCTION("IFERROR(
  SUM(
    FILTER(
      Reporte!$E:$E, 
      REGEXMATCH(Reporte!$A:$A, ""(?i)(TE PAGÓ|PAGASTE)""), 
      Reporte!$H:$H &amp; """" = AG203 &amp; """"
    )
  ), 
  0
)"),0)</f>
        <v>0</v>
      </c>
      <c r="V203" s="11">
        <f ca="1">IFERROR(__xludf.DUMMYFUNCTION("IFERROR(
  SUM(
    FILTER(
      Efectivo!$C:$C, 
      Efectivo!$D:$D &amp; """" = AG203 &amp; """"
    )
  ), 
  0
)"),110)</f>
        <v>110</v>
      </c>
      <c r="W203" s="11" t="s">
        <v>35</v>
      </c>
      <c r="X203" s="11"/>
      <c r="Y203" s="11"/>
      <c r="Z203" s="11"/>
      <c r="AA203" s="11"/>
      <c r="AB203" s="11" t="str">
        <f t="shared" si="1"/>
        <v/>
      </c>
      <c r="AC203" s="11" t="str">
        <f t="shared" si="2"/>
        <v/>
      </c>
      <c r="AD203" s="11">
        <f t="shared" si="3"/>
        <v>110</v>
      </c>
      <c r="AE203" s="11">
        <f t="shared" si="4"/>
        <v>0</v>
      </c>
      <c r="AF203" s="11" t="str">
        <f t="shared" si="5"/>
        <v>K</v>
      </c>
      <c r="AG203" s="11" t="str">
        <f t="shared" si="6"/>
        <v>K-9</v>
      </c>
      <c r="AH203" s="21"/>
      <c r="AI203" s="21"/>
    </row>
    <row r="204" spans="1:35" ht="15.75" hidden="1" customHeight="1">
      <c r="A204" s="15">
        <v>202</v>
      </c>
      <c r="B204" s="16" t="s">
        <v>275</v>
      </c>
      <c r="C204" s="16" t="s">
        <v>267</v>
      </c>
      <c r="D204" s="17">
        <v>10</v>
      </c>
      <c r="E204" s="18"/>
      <c r="F204" s="18"/>
      <c r="G204" s="18"/>
      <c r="H204" s="19">
        <v>1</v>
      </c>
      <c r="I204" s="17">
        <v>82</v>
      </c>
      <c r="J204" s="17">
        <v>89</v>
      </c>
      <c r="K204" s="17">
        <v>7</v>
      </c>
      <c r="L204" s="17">
        <v>7</v>
      </c>
      <c r="M204" s="17">
        <v>0</v>
      </c>
      <c r="N204" s="17">
        <v>0</v>
      </c>
      <c r="O204" s="17">
        <v>0</v>
      </c>
      <c r="P204" s="17">
        <v>3</v>
      </c>
      <c r="Q204" s="17">
        <v>0</v>
      </c>
      <c r="R204" s="19"/>
      <c r="S204" s="20"/>
      <c r="T204" s="13">
        <f t="shared" si="0"/>
        <v>10</v>
      </c>
      <c r="U204" s="18">
        <f ca="1">IFERROR(__xludf.DUMMYFUNCTION("IFERROR(
  SUM(
    FILTER(
      Reporte!$E:$E, 
      REGEXMATCH(Reporte!$A:$A, ""(?i)(TE PAGÓ|PAGASTE)""), 
      Reporte!$H:$H &amp; """" = AG204 &amp; """"
    )
  ), 
  0
)"),10)</f>
        <v>10</v>
      </c>
      <c r="V204" s="18">
        <f ca="1">IFERROR(__xludf.DUMMYFUNCTION("IFERROR(
  SUM(
    FILTER(
      Efectivo!$C:$C, 
      Efectivo!$D:$D &amp; """" = AG204 &amp; """"
    )
  ), 
  0
)"),0)</f>
        <v>0</v>
      </c>
      <c r="W204" s="18" t="s">
        <v>35</v>
      </c>
      <c r="X204" s="18"/>
      <c r="Y204" s="18" t="s">
        <v>36</v>
      </c>
      <c r="Z204" s="18"/>
      <c r="AA204" s="18"/>
      <c r="AB204" s="18" t="str">
        <f t="shared" si="1"/>
        <v/>
      </c>
      <c r="AC204" s="18" t="str">
        <f t="shared" si="2"/>
        <v/>
      </c>
      <c r="AD204" s="11">
        <f t="shared" si="3"/>
        <v>0</v>
      </c>
      <c r="AE204" s="11">
        <f t="shared" si="4"/>
        <v>10</v>
      </c>
      <c r="AF204" s="18" t="str">
        <f t="shared" si="5"/>
        <v>K</v>
      </c>
      <c r="AG204" s="18" t="str">
        <f t="shared" si="6"/>
        <v>K-10</v>
      </c>
      <c r="AH204" s="14"/>
      <c r="AI204" s="14"/>
    </row>
    <row r="205" spans="1:35" ht="15.75" hidden="1" customHeight="1">
      <c r="A205" s="8">
        <v>203</v>
      </c>
      <c r="B205" s="9" t="s">
        <v>276</v>
      </c>
      <c r="C205" s="9" t="s">
        <v>267</v>
      </c>
      <c r="D205" s="10">
        <v>11</v>
      </c>
      <c r="E205" s="11"/>
      <c r="F205" s="11"/>
      <c r="G205" s="11"/>
      <c r="H205" s="12">
        <v>1</v>
      </c>
      <c r="I205" s="10">
        <v>1055</v>
      </c>
      <c r="J205" s="10">
        <v>1069</v>
      </c>
      <c r="K205" s="10">
        <v>14</v>
      </c>
      <c r="L205" s="10">
        <v>14</v>
      </c>
      <c r="M205" s="10">
        <v>17</v>
      </c>
      <c r="N205" s="10">
        <v>0</v>
      </c>
      <c r="O205" s="10">
        <v>0</v>
      </c>
      <c r="P205" s="10">
        <v>3</v>
      </c>
      <c r="Q205" s="10">
        <v>0</v>
      </c>
      <c r="R205" s="12"/>
      <c r="S205" s="13"/>
      <c r="T205" s="13">
        <f t="shared" si="0"/>
        <v>34</v>
      </c>
      <c r="U205" s="11">
        <f ca="1">IFERROR(__xludf.DUMMYFUNCTION("IFERROR(
  SUM(
    FILTER(
      Reporte!$E:$E, 
      REGEXMATCH(Reporte!$A:$A, ""(?i)(TE PAGÓ|PAGASTE)""), 
      Reporte!$H:$H &amp; """" = AG205 &amp; """"
    )
  ), 
  0
)"),34)</f>
        <v>34</v>
      </c>
      <c r="V205" s="11">
        <f ca="1">IFERROR(__xludf.DUMMYFUNCTION("IFERROR(
  SUM(
    FILTER(
      Efectivo!$C:$C, 
      Efectivo!$D:$D &amp; """" = AG205 &amp; """"
    )
  ), 
  0
)"),0)</f>
        <v>0</v>
      </c>
      <c r="W205" s="11" t="s">
        <v>35</v>
      </c>
      <c r="X205" s="11"/>
      <c r="Y205" s="11" t="s">
        <v>36</v>
      </c>
      <c r="Z205" s="11"/>
      <c r="AA205" s="11"/>
      <c r="AB205" s="11" t="str">
        <f t="shared" si="1"/>
        <v/>
      </c>
      <c r="AC205" s="11" t="str">
        <f t="shared" si="2"/>
        <v/>
      </c>
      <c r="AD205" s="11">
        <f t="shared" si="3"/>
        <v>0</v>
      </c>
      <c r="AE205" s="11">
        <f t="shared" si="4"/>
        <v>34</v>
      </c>
      <c r="AF205" s="11" t="str">
        <f t="shared" si="5"/>
        <v>K</v>
      </c>
      <c r="AG205" s="11" t="str">
        <f t="shared" si="6"/>
        <v>K-11</v>
      </c>
      <c r="AH205" s="21"/>
      <c r="AI205" s="21"/>
    </row>
    <row r="206" spans="1:35" ht="15.75" hidden="1" customHeight="1">
      <c r="A206" s="15">
        <v>204</v>
      </c>
      <c r="B206" s="16" t="s">
        <v>277</v>
      </c>
      <c r="C206" s="16" t="s">
        <v>267</v>
      </c>
      <c r="D206" s="17">
        <v>12</v>
      </c>
      <c r="E206" s="18"/>
      <c r="F206" s="18"/>
      <c r="G206" s="18"/>
      <c r="H206" s="19">
        <v>1</v>
      </c>
      <c r="I206" s="17">
        <v>834</v>
      </c>
      <c r="J206" s="17">
        <v>924</v>
      </c>
      <c r="K206" s="17">
        <v>90</v>
      </c>
      <c r="L206" s="17">
        <v>90</v>
      </c>
      <c r="M206" s="17">
        <v>0</v>
      </c>
      <c r="N206" s="17">
        <v>0</v>
      </c>
      <c r="O206" s="17">
        <v>0</v>
      </c>
      <c r="P206" s="17">
        <v>3</v>
      </c>
      <c r="Q206" s="17">
        <v>0</v>
      </c>
      <c r="R206" s="19"/>
      <c r="S206" s="20"/>
      <c r="T206" s="13">
        <f t="shared" si="0"/>
        <v>93</v>
      </c>
      <c r="U206" s="18">
        <f ca="1">IFERROR(__xludf.DUMMYFUNCTION("IFERROR(
  SUM(
    FILTER(
      Reporte!$E:$E, 
      REGEXMATCH(Reporte!$A:$A, ""(?i)(TE PAGÓ|PAGASTE)""), 
      Reporte!$H:$H &amp; """" = AG206 &amp; """"
    )
  ), 
  0
)"),0)</f>
        <v>0</v>
      </c>
      <c r="V206" s="18">
        <f ca="1">IFERROR(__xludf.DUMMYFUNCTION("IFERROR(
  SUM(
    FILTER(
      Efectivo!$C:$C, 
      Efectivo!$D:$D &amp; """" = AG206 &amp; """"
    )
  ), 
  0
)"),0)</f>
        <v>0</v>
      </c>
      <c r="W206" s="18"/>
      <c r="X206" s="18"/>
      <c r="Y206" s="18"/>
      <c r="Z206" s="18"/>
      <c r="AA206" s="18"/>
      <c r="AB206" s="18" t="str">
        <f t="shared" si="1"/>
        <v/>
      </c>
      <c r="AC206" s="18" t="str">
        <f t="shared" si="2"/>
        <v/>
      </c>
      <c r="AD206" s="11">
        <f t="shared" si="3"/>
        <v>0</v>
      </c>
      <c r="AE206" s="11">
        <f t="shared" si="4"/>
        <v>0</v>
      </c>
      <c r="AF206" s="18" t="str">
        <f t="shared" si="5"/>
        <v>K</v>
      </c>
      <c r="AG206" s="18" t="str">
        <f t="shared" si="6"/>
        <v>K-12</v>
      </c>
      <c r="AH206" s="14"/>
      <c r="AI206" s="14"/>
    </row>
    <row r="207" spans="1:35" ht="15.75" hidden="1" customHeight="1">
      <c r="A207" s="8">
        <v>205</v>
      </c>
      <c r="B207" s="9" t="s">
        <v>278</v>
      </c>
      <c r="C207" s="9" t="s">
        <v>267</v>
      </c>
      <c r="D207" s="10">
        <v>13</v>
      </c>
      <c r="E207" s="11"/>
      <c r="F207" s="11"/>
      <c r="G207" s="11"/>
      <c r="H207" s="12">
        <v>1</v>
      </c>
      <c r="I207" s="10">
        <v>1312</v>
      </c>
      <c r="J207" s="10">
        <v>1320</v>
      </c>
      <c r="K207" s="10">
        <v>8</v>
      </c>
      <c r="L207" s="10">
        <v>8</v>
      </c>
      <c r="M207" s="10">
        <v>0</v>
      </c>
      <c r="N207" s="10">
        <v>0</v>
      </c>
      <c r="O207" s="10">
        <v>0</v>
      </c>
      <c r="P207" s="10">
        <v>3</v>
      </c>
      <c r="Q207" s="10">
        <v>0</v>
      </c>
      <c r="R207" s="12"/>
      <c r="S207" s="13"/>
      <c r="T207" s="13">
        <f t="shared" si="0"/>
        <v>11</v>
      </c>
      <c r="U207" s="11">
        <f ca="1">IFERROR(__xludf.DUMMYFUNCTION("IFERROR(
  SUM(
    FILTER(
      Reporte!$E:$E, 
      REGEXMATCH(Reporte!$A:$A, ""(?i)(TE PAGÓ|PAGASTE)""), 
      Reporte!$H:$H &amp; """" = AG207 &amp; """"
    )
  ), 
  0
)"),11)</f>
        <v>11</v>
      </c>
      <c r="V207" s="11">
        <f ca="1">IFERROR(__xludf.DUMMYFUNCTION("IFERROR(
  SUM(
    FILTER(
      Efectivo!$C:$C, 
      Efectivo!$D:$D &amp; """" = AG207 &amp; """"
    )
  ), 
  0
)"),0)</f>
        <v>0</v>
      </c>
      <c r="W207" s="11" t="s">
        <v>35</v>
      </c>
      <c r="X207" s="11"/>
      <c r="Y207" s="11" t="s">
        <v>36</v>
      </c>
      <c r="Z207" s="11"/>
      <c r="AA207" s="11"/>
      <c r="AB207" s="11" t="str">
        <f t="shared" si="1"/>
        <v/>
      </c>
      <c r="AC207" s="11" t="str">
        <f t="shared" si="2"/>
        <v/>
      </c>
      <c r="AD207" s="11">
        <f t="shared" si="3"/>
        <v>0</v>
      </c>
      <c r="AE207" s="11">
        <f t="shared" si="4"/>
        <v>11</v>
      </c>
      <c r="AF207" s="11" t="str">
        <f t="shared" si="5"/>
        <v>K</v>
      </c>
      <c r="AG207" s="11" t="str">
        <f t="shared" si="6"/>
        <v>K-13</v>
      </c>
      <c r="AH207" s="21"/>
      <c r="AI207" s="21"/>
    </row>
    <row r="208" spans="1:35" ht="15.75" hidden="1" customHeight="1">
      <c r="A208" s="15">
        <v>206</v>
      </c>
      <c r="B208" s="16" t="s">
        <v>279</v>
      </c>
      <c r="C208" s="16" t="s">
        <v>267</v>
      </c>
      <c r="D208" s="17">
        <v>14</v>
      </c>
      <c r="E208" s="18"/>
      <c r="F208" s="18"/>
      <c r="G208" s="18"/>
      <c r="H208" s="19">
        <v>1</v>
      </c>
      <c r="I208" s="17">
        <v>299</v>
      </c>
      <c r="J208" s="17">
        <v>312</v>
      </c>
      <c r="K208" s="17">
        <v>13</v>
      </c>
      <c r="L208" s="17">
        <v>13</v>
      </c>
      <c r="M208" s="17">
        <v>0</v>
      </c>
      <c r="N208" s="17">
        <v>0</v>
      </c>
      <c r="O208" s="17">
        <v>0</v>
      </c>
      <c r="P208" s="17">
        <v>3</v>
      </c>
      <c r="Q208" s="17">
        <v>0</v>
      </c>
      <c r="R208" s="19"/>
      <c r="S208" s="20"/>
      <c r="T208" s="13">
        <f t="shared" si="0"/>
        <v>16</v>
      </c>
      <c r="U208" s="18">
        <f ca="1">IFERROR(__xludf.DUMMYFUNCTION("IFERROR(
  SUM(
    FILTER(
      Reporte!$E:$E, 
      REGEXMATCH(Reporte!$A:$A, ""(?i)(TE PAGÓ|PAGASTE)""), 
      Reporte!$H:$H &amp; """" = AG208 &amp; """"
    )
  ), 
  0
)"),16)</f>
        <v>16</v>
      </c>
      <c r="V208" s="18">
        <f ca="1">IFERROR(__xludf.DUMMYFUNCTION("IFERROR(
  SUM(
    FILTER(
      Efectivo!$C:$C, 
      Efectivo!$D:$D &amp; """" = AG208 &amp; """"
    )
  ), 
  0
)"),0)</f>
        <v>0</v>
      </c>
      <c r="W208" s="18" t="s">
        <v>35</v>
      </c>
      <c r="X208" s="18"/>
      <c r="Y208" s="18" t="s">
        <v>36</v>
      </c>
      <c r="Z208" s="18"/>
      <c r="AA208" s="18"/>
      <c r="AB208" s="18" t="str">
        <f t="shared" si="1"/>
        <v/>
      </c>
      <c r="AC208" s="18" t="str">
        <f t="shared" si="2"/>
        <v/>
      </c>
      <c r="AD208" s="11">
        <f t="shared" si="3"/>
        <v>0</v>
      </c>
      <c r="AE208" s="11">
        <f t="shared" si="4"/>
        <v>16</v>
      </c>
      <c r="AF208" s="18" t="str">
        <f t="shared" si="5"/>
        <v>K</v>
      </c>
      <c r="AG208" s="18" t="str">
        <f t="shared" si="6"/>
        <v>K-14</v>
      </c>
      <c r="AH208" s="14"/>
      <c r="AI208" s="14"/>
    </row>
    <row r="209" spans="1:35" ht="15.75" hidden="1" customHeight="1">
      <c r="A209" s="8">
        <v>207</v>
      </c>
      <c r="B209" s="9" t="s">
        <v>280</v>
      </c>
      <c r="C209" s="9" t="s">
        <v>267</v>
      </c>
      <c r="D209" s="10">
        <v>15</v>
      </c>
      <c r="E209" s="11"/>
      <c r="F209" s="11"/>
      <c r="G209" s="11"/>
      <c r="H209" s="12">
        <v>1</v>
      </c>
      <c r="I209" s="10">
        <v>467</v>
      </c>
      <c r="J209" s="10">
        <v>502</v>
      </c>
      <c r="K209" s="10">
        <v>35</v>
      </c>
      <c r="L209" s="10">
        <v>35</v>
      </c>
      <c r="M209" s="10">
        <v>34</v>
      </c>
      <c r="N209" s="10">
        <v>40</v>
      </c>
      <c r="O209" s="10">
        <v>0</v>
      </c>
      <c r="P209" s="10">
        <v>1</v>
      </c>
      <c r="Q209" s="10">
        <v>0</v>
      </c>
      <c r="R209" s="12"/>
      <c r="S209" s="13"/>
      <c r="T209" s="13">
        <f t="shared" si="0"/>
        <v>110</v>
      </c>
      <c r="U209" s="11">
        <f ca="1">IFERROR(__xludf.DUMMYFUNCTION("IFERROR(
  SUM(
    FILTER(
      Reporte!$E:$E, 
      REGEXMATCH(Reporte!$A:$A, ""(?i)(TE PAGÓ|PAGASTE)""), 
      Reporte!$H:$H &amp; """" = AG209 &amp; """"
    )
  ), 
  0
)"),110)</f>
        <v>110</v>
      </c>
      <c r="V209" s="11">
        <f ca="1">IFERROR(__xludf.DUMMYFUNCTION("IFERROR(
  SUM(
    FILTER(
      Efectivo!$C:$C, 
      Efectivo!$D:$D &amp; """" = AG209 &amp; """"
    )
  ), 
  0
)"),0)</f>
        <v>0</v>
      </c>
      <c r="W209" s="11" t="s">
        <v>35</v>
      </c>
      <c r="X209" s="11"/>
      <c r="Y209" s="11" t="s">
        <v>36</v>
      </c>
      <c r="Z209" s="11" t="s">
        <v>281</v>
      </c>
      <c r="AA209" s="11" t="s">
        <v>224</v>
      </c>
      <c r="AB209" s="11" t="str">
        <f t="shared" si="1"/>
        <v/>
      </c>
      <c r="AC209" s="11" t="str">
        <f t="shared" si="2"/>
        <v/>
      </c>
      <c r="AD209" s="11">
        <f t="shared" si="3"/>
        <v>0</v>
      </c>
      <c r="AE209" s="11">
        <f t="shared" si="4"/>
        <v>110</v>
      </c>
      <c r="AF209" s="11" t="str">
        <f t="shared" si="5"/>
        <v>K</v>
      </c>
      <c r="AG209" s="11" t="str">
        <f t="shared" si="6"/>
        <v>K-15</v>
      </c>
      <c r="AH209" s="21"/>
      <c r="AI209" s="21"/>
    </row>
    <row r="210" spans="1:35" ht="15.75" hidden="1" customHeight="1">
      <c r="A210" s="15">
        <v>208</v>
      </c>
      <c r="B210" s="16" t="s">
        <v>282</v>
      </c>
      <c r="C210" s="16" t="s">
        <v>267</v>
      </c>
      <c r="D210" s="17">
        <v>17</v>
      </c>
      <c r="E210" s="18"/>
      <c r="F210" s="18"/>
      <c r="G210" s="18"/>
      <c r="H210" s="19">
        <v>1</v>
      </c>
      <c r="I210" s="17">
        <v>26</v>
      </c>
      <c r="J210" s="17">
        <v>41</v>
      </c>
      <c r="K210" s="17">
        <v>15</v>
      </c>
      <c r="L210" s="17">
        <v>15</v>
      </c>
      <c r="M210" s="17">
        <v>0</v>
      </c>
      <c r="N210" s="17">
        <v>0</v>
      </c>
      <c r="O210" s="17">
        <v>25</v>
      </c>
      <c r="P210" s="17">
        <v>3</v>
      </c>
      <c r="Q210" s="17">
        <v>0</v>
      </c>
      <c r="R210" s="19"/>
      <c r="S210" s="20"/>
      <c r="T210" s="13">
        <f t="shared" si="0"/>
        <v>43</v>
      </c>
      <c r="U210" s="18">
        <f ca="1">IFERROR(__xludf.DUMMYFUNCTION("IFERROR(
  SUM(
    FILTER(
      Reporte!$E:$E, 
      REGEXMATCH(Reporte!$A:$A, ""(?i)(TE PAGÓ|PAGASTE)""), 
      Reporte!$H:$H &amp; """" = AG210 &amp; """"
    )
  ), 
  0
)"),43)</f>
        <v>43</v>
      </c>
      <c r="V210" s="18">
        <f ca="1">IFERROR(__xludf.DUMMYFUNCTION("IFERROR(
  SUM(
    FILTER(
      Efectivo!$C:$C, 
      Efectivo!$D:$D &amp; """" = AG210 &amp; """"
    )
  ), 
  0
)"),0)</f>
        <v>0</v>
      </c>
      <c r="W210" s="18" t="s">
        <v>35</v>
      </c>
      <c r="X210" s="18"/>
      <c r="Y210" s="18" t="s">
        <v>36</v>
      </c>
      <c r="Z210" s="18"/>
      <c r="AA210" s="18"/>
      <c r="AB210" s="18" t="str">
        <f t="shared" si="1"/>
        <v/>
      </c>
      <c r="AC210" s="18" t="str">
        <f t="shared" si="2"/>
        <v/>
      </c>
      <c r="AD210" s="11">
        <f t="shared" si="3"/>
        <v>0</v>
      </c>
      <c r="AE210" s="11">
        <f t="shared" si="4"/>
        <v>43</v>
      </c>
      <c r="AF210" s="18" t="str">
        <f t="shared" si="5"/>
        <v>K</v>
      </c>
      <c r="AG210" s="18" t="str">
        <f t="shared" si="6"/>
        <v>K-17</v>
      </c>
      <c r="AH210" s="14"/>
      <c r="AI210" s="14"/>
    </row>
    <row r="211" spans="1:35" ht="15.75" customHeight="1">
      <c r="A211" s="8">
        <v>209</v>
      </c>
      <c r="B211" s="9" t="s">
        <v>283</v>
      </c>
      <c r="C211" s="9" t="s">
        <v>284</v>
      </c>
      <c r="D211" s="10">
        <v>1</v>
      </c>
      <c r="E211" s="11"/>
      <c r="F211" s="11"/>
      <c r="G211" s="11"/>
      <c r="H211" s="12">
        <v>1</v>
      </c>
      <c r="I211" s="10">
        <v>15</v>
      </c>
      <c r="J211" s="10">
        <v>23</v>
      </c>
      <c r="K211" s="10">
        <v>8</v>
      </c>
      <c r="L211" s="10">
        <v>8</v>
      </c>
      <c r="M211" s="10">
        <v>0</v>
      </c>
      <c r="N211" s="10">
        <v>0</v>
      </c>
      <c r="O211" s="10">
        <v>25</v>
      </c>
      <c r="P211" s="10">
        <v>3</v>
      </c>
      <c r="Q211" s="10">
        <v>0</v>
      </c>
      <c r="R211" s="12"/>
      <c r="S211" s="13"/>
      <c r="T211" s="13">
        <f t="shared" si="0"/>
        <v>36</v>
      </c>
      <c r="U211" s="11">
        <f ca="1">IFERROR(__xludf.DUMMYFUNCTION("IFERROR(
  SUM(
    FILTER(
      Reporte!$E:$E, 
      REGEXMATCH(Reporte!$A:$A, ""(?i)(TE PAGÓ|PAGASTE)""), 
      Reporte!$H:$H &amp; """" = AG211 &amp; """"
    )
  ), 
  0
)"),36)</f>
        <v>36</v>
      </c>
      <c r="V211" s="11">
        <f ca="1">IFERROR(__xludf.DUMMYFUNCTION("IFERROR(
  SUM(
    FILTER(
      Efectivo!$C:$C, 
      Efectivo!$D:$D &amp; """" = AG211 &amp; """"
    )
  ), 
  0
)"),0)</f>
        <v>0</v>
      </c>
      <c r="W211" s="11" t="s">
        <v>35</v>
      </c>
      <c r="X211" s="11"/>
      <c r="Y211" s="11" t="s">
        <v>36</v>
      </c>
      <c r="Z211" s="11"/>
      <c r="AA211" s="11"/>
      <c r="AB211" s="11" t="str">
        <f t="shared" si="1"/>
        <v/>
      </c>
      <c r="AC211" s="11" t="str">
        <f t="shared" si="2"/>
        <v/>
      </c>
      <c r="AD211" s="11">
        <f t="shared" si="3"/>
        <v>0</v>
      </c>
      <c r="AE211" s="11">
        <f t="shared" si="4"/>
        <v>36</v>
      </c>
      <c r="AF211" s="11" t="str">
        <f t="shared" si="5"/>
        <v>L</v>
      </c>
      <c r="AG211" s="11" t="str">
        <f t="shared" si="6"/>
        <v>L-1</v>
      </c>
      <c r="AH211" s="21"/>
      <c r="AI211" s="21"/>
    </row>
    <row r="212" spans="1:35" ht="15.75" customHeight="1">
      <c r="A212" s="15">
        <v>210</v>
      </c>
      <c r="B212" s="16" t="s">
        <v>285</v>
      </c>
      <c r="C212" s="16" t="s">
        <v>284</v>
      </c>
      <c r="D212" s="17">
        <v>2</v>
      </c>
      <c r="E212" s="18"/>
      <c r="F212" s="18"/>
      <c r="G212" s="18"/>
      <c r="H212" s="19">
        <v>1</v>
      </c>
      <c r="I212" s="17">
        <v>27</v>
      </c>
      <c r="J212" s="17">
        <v>52</v>
      </c>
      <c r="K212" s="17">
        <v>25</v>
      </c>
      <c r="L212" s="17">
        <v>25</v>
      </c>
      <c r="M212" s="17">
        <v>0</v>
      </c>
      <c r="N212" s="17">
        <v>0</v>
      </c>
      <c r="O212" s="17">
        <v>25</v>
      </c>
      <c r="P212" s="17">
        <v>3</v>
      </c>
      <c r="Q212" s="17">
        <v>0</v>
      </c>
      <c r="R212" s="19"/>
      <c r="S212" s="20"/>
      <c r="T212" s="13">
        <f t="shared" si="0"/>
        <v>53</v>
      </c>
      <c r="U212" s="18">
        <f ca="1">IFERROR(__xludf.DUMMYFUNCTION("IFERROR(
  SUM(
    FILTER(
      Reporte!$E:$E, 
      REGEXMATCH(Reporte!$A:$A, ""(?i)(TE PAGÓ|PAGASTE)""), 
      Reporte!$H:$H &amp; """" = AG212 &amp; """"
    )
  ), 
  0
)"),53)</f>
        <v>53</v>
      </c>
      <c r="V212" s="18">
        <f ca="1">IFERROR(__xludf.DUMMYFUNCTION("IFERROR(
  SUM(
    FILTER(
      Efectivo!$C:$C, 
      Efectivo!$D:$D &amp; """" = AG212 &amp; """"
    )
  ), 
  0
)"),0)</f>
        <v>0</v>
      </c>
      <c r="W212" s="18" t="s">
        <v>35</v>
      </c>
      <c r="X212" s="18"/>
      <c r="Y212" s="18" t="s">
        <v>36</v>
      </c>
      <c r="Z212" s="18"/>
      <c r="AA212" s="18"/>
      <c r="AB212" s="18" t="str">
        <f t="shared" si="1"/>
        <v/>
      </c>
      <c r="AC212" s="18" t="str">
        <f t="shared" si="2"/>
        <v/>
      </c>
      <c r="AD212" s="11">
        <f t="shared" si="3"/>
        <v>0</v>
      </c>
      <c r="AE212" s="11">
        <f t="shared" si="4"/>
        <v>53</v>
      </c>
      <c r="AF212" s="18" t="str">
        <f t="shared" si="5"/>
        <v>L</v>
      </c>
      <c r="AG212" s="18" t="str">
        <f t="shared" si="6"/>
        <v>L-2</v>
      </c>
      <c r="AH212" s="14"/>
      <c r="AI212" s="14"/>
    </row>
    <row r="213" spans="1:35" ht="15.75" customHeight="1">
      <c r="A213" s="8">
        <v>211</v>
      </c>
      <c r="B213" s="9" t="s">
        <v>286</v>
      </c>
      <c r="C213" s="9" t="s">
        <v>284</v>
      </c>
      <c r="D213" s="10">
        <v>3</v>
      </c>
      <c r="E213" s="11"/>
      <c r="F213" s="11"/>
      <c r="G213" s="11"/>
      <c r="H213" s="12">
        <v>1</v>
      </c>
      <c r="I213" s="10">
        <v>50</v>
      </c>
      <c r="J213" s="10">
        <v>66</v>
      </c>
      <c r="K213" s="10">
        <v>16</v>
      </c>
      <c r="L213" s="10">
        <v>16</v>
      </c>
      <c r="M213" s="10">
        <v>0</v>
      </c>
      <c r="N213" s="10">
        <v>0</v>
      </c>
      <c r="O213" s="10">
        <v>25</v>
      </c>
      <c r="P213" s="10">
        <v>3</v>
      </c>
      <c r="Q213" s="10">
        <v>0</v>
      </c>
      <c r="R213" s="12"/>
      <c r="S213" s="13"/>
      <c r="T213" s="13">
        <f t="shared" si="0"/>
        <v>44</v>
      </c>
      <c r="U213" s="11">
        <f ca="1">IFERROR(__xludf.DUMMYFUNCTION("IFERROR(
  SUM(
    FILTER(
      Reporte!$E:$E, 
      REGEXMATCH(Reporte!$A:$A, ""(?i)(TE PAGÓ|PAGASTE)""), 
      Reporte!$H:$H &amp; """" = AG213 &amp; """"
    )
  ), 
  0
)"),0)</f>
        <v>0</v>
      </c>
      <c r="V213" s="11">
        <f ca="1">IFERROR(__xludf.DUMMYFUNCTION("IFERROR(
  SUM(
    FILTER(
      Efectivo!$C:$C, 
      Efectivo!$D:$D &amp; """" = AG213 &amp; """"
    )
  ), 
  0
)"),0)</f>
        <v>0</v>
      </c>
      <c r="W213" s="11"/>
      <c r="X213" s="11"/>
      <c r="Y213" s="11"/>
      <c r="Z213" s="11"/>
      <c r="AA213" s="11"/>
      <c r="AB213" s="11" t="str">
        <f t="shared" si="1"/>
        <v/>
      </c>
      <c r="AC213" s="11" t="str">
        <f t="shared" si="2"/>
        <v/>
      </c>
      <c r="AD213" s="11">
        <f t="shared" si="3"/>
        <v>0</v>
      </c>
      <c r="AE213" s="11">
        <f t="shared" si="4"/>
        <v>0</v>
      </c>
      <c r="AF213" s="11" t="str">
        <f t="shared" si="5"/>
        <v>L</v>
      </c>
      <c r="AG213" s="11" t="str">
        <f t="shared" si="6"/>
        <v>L-3</v>
      </c>
      <c r="AH213" s="21"/>
      <c r="AI213" s="21"/>
    </row>
    <row r="214" spans="1:35" ht="15.75" customHeight="1">
      <c r="A214" s="15">
        <v>212</v>
      </c>
      <c r="B214" s="16" t="s">
        <v>287</v>
      </c>
      <c r="C214" s="16" t="s">
        <v>284</v>
      </c>
      <c r="D214" s="17">
        <v>4</v>
      </c>
      <c r="E214" s="18"/>
      <c r="F214" s="18"/>
      <c r="G214" s="18"/>
      <c r="H214" s="19">
        <v>1</v>
      </c>
      <c r="I214" s="17">
        <v>15</v>
      </c>
      <c r="J214" s="17">
        <v>28</v>
      </c>
      <c r="K214" s="17">
        <v>13</v>
      </c>
      <c r="L214" s="17">
        <v>13</v>
      </c>
      <c r="M214" s="17">
        <v>0</v>
      </c>
      <c r="N214" s="17">
        <v>0</v>
      </c>
      <c r="O214" s="17">
        <v>25</v>
      </c>
      <c r="P214" s="17">
        <v>3</v>
      </c>
      <c r="Q214" s="17">
        <v>0</v>
      </c>
      <c r="R214" s="19"/>
      <c r="S214" s="20"/>
      <c r="T214" s="13">
        <f t="shared" si="0"/>
        <v>41</v>
      </c>
      <c r="U214" s="18">
        <f ca="1">IFERROR(__xludf.DUMMYFUNCTION("IFERROR(
  SUM(
    FILTER(
      Reporte!$E:$E, 
      REGEXMATCH(Reporte!$A:$A, ""(?i)(TE PAGÓ|PAGASTE)""), 
      Reporte!$H:$H &amp; """" = AG214 &amp; """"
    )
  ), 
  0
)"),41)</f>
        <v>41</v>
      </c>
      <c r="V214" s="18">
        <f ca="1">IFERROR(__xludf.DUMMYFUNCTION("IFERROR(
  SUM(
    FILTER(
      Efectivo!$C:$C, 
      Efectivo!$D:$D &amp; """" = AG214 &amp; """"
    )
  ), 
  0
)"),0)</f>
        <v>0</v>
      </c>
      <c r="W214" s="18" t="s">
        <v>35</v>
      </c>
      <c r="X214" s="18"/>
      <c r="Y214" s="18" t="s">
        <v>36</v>
      </c>
      <c r="Z214" s="18"/>
      <c r="AA214" s="18"/>
      <c r="AB214" s="18" t="str">
        <f t="shared" si="1"/>
        <v/>
      </c>
      <c r="AC214" s="18" t="str">
        <f t="shared" si="2"/>
        <v/>
      </c>
      <c r="AD214" s="11">
        <f t="shared" si="3"/>
        <v>0</v>
      </c>
      <c r="AE214" s="11">
        <f t="shared" si="4"/>
        <v>41</v>
      </c>
      <c r="AF214" s="18" t="str">
        <f t="shared" si="5"/>
        <v>L</v>
      </c>
      <c r="AG214" s="18" t="str">
        <f t="shared" si="6"/>
        <v>L-4</v>
      </c>
      <c r="AH214" s="14"/>
      <c r="AI214" s="14"/>
    </row>
    <row r="215" spans="1:35" ht="15.75" customHeight="1">
      <c r="A215" s="8">
        <v>213</v>
      </c>
      <c r="B215" s="9" t="s">
        <v>288</v>
      </c>
      <c r="C215" s="9" t="s">
        <v>284</v>
      </c>
      <c r="D215" s="10">
        <v>5</v>
      </c>
      <c r="E215" s="11"/>
      <c r="F215" s="11"/>
      <c r="G215" s="11"/>
      <c r="H215" s="12">
        <v>1</v>
      </c>
      <c r="I215" s="10">
        <v>10</v>
      </c>
      <c r="J215" s="10">
        <v>11</v>
      </c>
      <c r="K215" s="10">
        <v>5</v>
      </c>
      <c r="L215" s="10">
        <v>5</v>
      </c>
      <c r="M215" s="10">
        <v>0</v>
      </c>
      <c r="N215" s="10">
        <v>0</v>
      </c>
      <c r="O215" s="10">
        <v>0</v>
      </c>
      <c r="P215" s="10">
        <v>3</v>
      </c>
      <c r="Q215" s="10">
        <v>0</v>
      </c>
      <c r="R215" s="12"/>
      <c r="S215" s="13"/>
      <c r="T215" s="13">
        <f t="shared" si="0"/>
        <v>8</v>
      </c>
      <c r="U215" s="11">
        <f ca="1">IFERROR(__xludf.DUMMYFUNCTION("IFERROR(
  SUM(
    FILTER(
      Reporte!$E:$E, 
      REGEXMATCH(Reporte!$A:$A, ""(?i)(TE PAGÓ|PAGASTE)""), 
      Reporte!$H:$H &amp; """" = AG215 &amp; """"
    )
  ), 
  0
)"),0)</f>
        <v>0</v>
      </c>
      <c r="V215" s="11">
        <f ca="1">IFERROR(__xludf.DUMMYFUNCTION("IFERROR(
  SUM(
    FILTER(
      Efectivo!$C:$C, 
      Efectivo!$D:$D &amp; """" = AG215 &amp; """"
    )
  ), 
  0
)"),0)</f>
        <v>0</v>
      </c>
      <c r="W215" s="11"/>
      <c r="X215" s="11"/>
      <c r="Y215" s="11"/>
      <c r="Z215" s="11"/>
      <c r="AA215" s="11"/>
      <c r="AB215" s="11" t="str">
        <f t="shared" si="1"/>
        <v/>
      </c>
      <c r="AC215" s="11" t="str">
        <f t="shared" si="2"/>
        <v/>
      </c>
      <c r="AD215" s="11">
        <f t="shared" si="3"/>
        <v>0</v>
      </c>
      <c r="AE215" s="11">
        <f t="shared" si="4"/>
        <v>0</v>
      </c>
      <c r="AF215" s="11" t="str">
        <f t="shared" si="5"/>
        <v>L</v>
      </c>
      <c r="AG215" s="11" t="str">
        <f t="shared" si="6"/>
        <v>L-5</v>
      </c>
      <c r="AH215" s="21"/>
      <c r="AI215" s="21"/>
    </row>
    <row r="216" spans="1:35" ht="15.75" customHeight="1">
      <c r="A216" s="15">
        <v>214</v>
      </c>
      <c r="B216" s="16" t="s">
        <v>289</v>
      </c>
      <c r="C216" s="16" t="s">
        <v>284</v>
      </c>
      <c r="D216" s="17">
        <v>6</v>
      </c>
      <c r="E216" s="18"/>
      <c r="F216" s="18"/>
      <c r="G216" s="18"/>
      <c r="H216" s="19">
        <v>1</v>
      </c>
      <c r="I216" s="17">
        <v>14</v>
      </c>
      <c r="J216" s="17">
        <v>30</v>
      </c>
      <c r="K216" s="17">
        <v>16</v>
      </c>
      <c r="L216" s="17">
        <v>16</v>
      </c>
      <c r="M216" s="17">
        <v>0</v>
      </c>
      <c r="N216" s="17">
        <v>0</v>
      </c>
      <c r="O216" s="17">
        <v>25</v>
      </c>
      <c r="P216" s="17">
        <v>3</v>
      </c>
      <c r="Q216" s="17">
        <v>0</v>
      </c>
      <c r="R216" s="19"/>
      <c r="S216" s="20"/>
      <c r="T216" s="13">
        <f t="shared" si="0"/>
        <v>44</v>
      </c>
      <c r="U216" s="18">
        <f ca="1">IFERROR(__xludf.DUMMYFUNCTION("IFERROR(
  SUM(
    FILTER(
      Reporte!$E:$E, 
      REGEXMATCH(Reporte!$A:$A, ""(?i)(TE PAGÓ|PAGASTE)""), 
      Reporte!$H:$H &amp; """" = AG216 &amp; """"
    )
  ), 
  0
)"),0)</f>
        <v>0</v>
      </c>
      <c r="V216" s="18">
        <f ca="1">IFERROR(__xludf.DUMMYFUNCTION("IFERROR(
  SUM(
    FILTER(
      Efectivo!$C:$C, 
      Efectivo!$D:$D &amp; """" = AG216 &amp; """"
    )
  ), 
  0
)"),0)</f>
        <v>0</v>
      </c>
      <c r="W216" s="18"/>
      <c r="X216" s="18"/>
      <c r="Y216" s="18"/>
      <c r="Z216" s="18"/>
      <c r="AA216" s="18"/>
      <c r="AB216" s="18" t="str">
        <f t="shared" si="1"/>
        <v/>
      </c>
      <c r="AC216" s="18" t="str">
        <f t="shared" si="2"/>
        <v/>
      </c>
      <c r="AD216" s="11">
        <f t="shared" si="3"/>
        <v>0</v>
      </c>
      <c r="AE216" s="11">
        <f t="shared" si="4"/>
        <v>0</v>
      </c>
      <c r="AF216" s="18" t="str">
        <f t="shared" si="5"/>
        <v>L</v>
      </c>
      <c r="AG216" s="18" t="str">
        <f t="shared" si="6"/>
        <v>L-6</v>
      </c>
      <c r="AH216" s="14"/>
      <c r="AI216" s="14"/>
    </row>
    <row r="217" spans="1:35" ht="15.75" customHeight="1">
      <c r="A217" s="8">
        <v>215</v>
      </c>
      <c r="B217" s="9" t="s">
        <v>290</v>
      </c>
      <c r="C217" s="9" t="s">
        <v>284</v>
      </c>
      <c r="D217" s="10">
        <v>7</v>
      </c>
      <c r="E217" s="11"/>
      <c r="F217" s="11"/>
      <c r="G217" s="11"/>
      <c r="H217" s="12">
        <v>1</v>
      </c>
      <c r="I217" s="10">
        <v>26</v>
      </c>
      <c r="J217" s="10">
        <v>38</v>
      </c>
      <c r="K217" s="10">
        <v>12</v>
      </c>
      <c r="L217" s="10">
        <v>12</v>
      </c>
      <c r="M217" s="10">
        <v>0</v>
      </c>
      <c r="N217" s="10">
        <v>0</v>
      </c>
      <c r="O217" s="10">
        <v>25</v>
      </c>
      <c r="P217" s="10">
        <v>3</v>
      </c>
      <c r="Q217" s="10">
        <v>0</v>
      </c>
      <c r="R217" s="12"/>
      <c r="S217" s="13"/>
      <c r="T217" s="13">
        <f t="shared" si="0"/>
        <v>40</v>
      </c>
      <c r="U217" s="11">
        <f ca="1">IFERROR(__xludf.DUMMYFUNCTION("IFERROR(
  SUM(
    FILTER(
      Reporte!$E:$E, 
      REGEXMATCH(Reporte!$A:$A, ""(?i)(TE PAGÓ|PAGASTE)""), 
      Reporte!$H:$H &amp; """" = AG217 &amp; """"
    )
  ), 
  0
)"),40)</f>
        <v>40</v>
      </c>
      <c r="V217" s="11">
        <f ca="1">IFERROR(__xludf.DUMMYFUNCTION("IFERROR(
  SUM(
    FILTER(
      Efectivo!$C:$C, 
      Efectivo!$D:$D &amp; """" = AG217 &amp; """"
    )
  ), 
  0
)"),0)</f>
        <v>0</v>
      </c>
      <c r="W217" s="11" t="s">
        <v>35</v>
      </c>
      <c r="X217" s="11"/>
      <c r="Y217" s="11" t="s">
        <v>36</v>
      </c>
      <c r="Z217" s="11"/>
      <c r="AA217" s="11"/>
      <c r="AB217" s="11" t="str">
        <f t="shared" si="1"/>
        <v/>
      </c>
      <c r="AC217" s="11" t="str">
        <f t="shared" si="2"/>
        <v/>
      </c>
      <c r="AD217" s="11">
        <f t="shared" si="3"/>
        <v>0</v>
      </c>
      <c r="AE217" s="11">
        <f t="shared" si="4"/>
        <v>40</v>
      </c>
      <c r="AF217" s="11" t="str">
        <f t="shared" si="5"/>
        <v>L</v>
      </c>
      <c r="AG217" s="11" t="str">
        <f t="shared" si="6"/>
        <v>L-7</v>
      </c>
      <c r="AH217" s="21"/>
      <c r="AI217" s="21"/>
    </row>
    <row r="218" spans="1:35" ht="15.75" customHeight="1">
      <c r="A218" s="15">
        <v>216</v>
      </c>
      <c r="B218" s="16" t="s">
        <v>291</v>
      </c>
      <c r="C218" s="16" t="s">
        <v>284</v>
      </c>
      <c r="D218" s="17">
        <v>8</v>
      </c>
      <c r="E218" s="18"/>
      <c r="F218" s="18"/>
      <c r="G218" s="18"/>
      <c r="H218" s="19">
        <v>1</v>
      </c>
      <c r="I218" s="17">
        <v>26</v>
      </c>
      <c r="J218" s="17">
        <v>55</v>
      </c>
      <c r="K218" s="17">
        <v>29</v>
      </c>
      <c r="L218" s="17">
        <v>29</v>
      </c>
      <c r="M218" s="17">
        <v>0</v>
      </c>
      <c r="N218" s="17">
        <v>0</v>
      </c>
      <c r="O218" s="17">
        <v>25</v>
      </c>
      <c r="P218" s="17">
        <v>3</v>
      </c>
      <c r="Q218" s="17">
        <v>0</v>
      </c>
      <c r="R218" s="19"/>
      <c r="S218" s="20"/>
      <c r="T218" s="13">
        <f t="shared" si="0"/>
        <v>57</v>
      </c>
      <c r="U218" s="18">
        <f ca="1">IFERROR(__xludf.DUMMYFUNCTION("IFERROR(
  SUM(
    FILTER(
      Reporte!$E:$E, 
      REGEXMATCH(Reporte!$A:$A, ""(?i)(TE PAGÓ|PAGASTE)""), 
      Reporte!$H:$H &amp; """" = AG218 &amp; """"
    )
  ), 
  0
)"),57)</f>
        <v>57</v>
      </c>
      <c r="V218" s="18">
        <f ca="1">IFERROR(__xludf.DUMMYFUNCTION("IFERROR(
  SUM(
    FILTER(
      Efectivo!$C:$C, 
      Efectivo!$D:$D &amp; """" = AG218 &amp; """"
    )
  ), 
  0
)"),0)</f>
        <v>0</v>
      </c>
      <c r="W218" s="18" t="s">
        <v>35</v>
      </c>
      <c r="X218" s="18"/>
      <c r="Y218" s="18" t="s">
        <v>36</v>
      </c>
      <c r="Z218" s="18"/>
      <c r="AA218" s="18"/>
      <c r="AB218" s="18" t="str">
        <f t="shared" si="1"/>
        <v/>
      </c>
      <c r="AC218" s="18" t="str">
        <f t="shared" si="2"/>
        <v/>
      </c>
      <c r="AD218" s="11">
        <f t="shared" si="3"/>
        <v>0</v>
      </c>
      <c r="AE218" s="11">
        <f t="shared" si="4"/>
        <v>57</v>
      </c>
      <c r="AF218" s="18" t="str">
        <f t="shared" si="5"/>
        <v>L</v>
      </c>
      <c r="AG218" s="18" t="str">
        <f t="shared" si="6"/>
        <v>L-8</v>
      </c>
      <c r="AH218" s="14"/>
      <c r="AI218" s="14"/>
    </row>
    <row r="219" spans="1:35" ht="15.75" customHeight="1">
      <c r="A219" s="8">
        <v>217</v>
      </c>
      <c r="B219" s="9" t="s">
        <v>292</v>
      </c>
      <c r="C219" s="9" t="s">
        <v>284</v>
      </c>
      <c r="D219" s="10">
        <v>10</v>
      </c>
      <c r="E219" s="11"/>
      <c r="F219" s="11"/>
      <c r="G219" s="11"/>
      <c r="H219" s="12">
        <v>1</v>
      </c>
      <c r="I219" s="10">
        <v>23</v>
      </c>
      <c r="J219" s="10">
        <v>45</v>
      </c>
      <c r="K219" s="10">
        <v>22</v>
      </c>
      <c r="L219" s="10">
        <v>22</v>
      </c>
      <c r="M219" s="10">
        <v>0</v>
      </c>
      <c r="N219" s="10">
        <v>0</v>
      </c>
      <c r="O219" s="10">
        <v>25</v>
      </c>
      <c r="P219" s="10">
        <v>3</v>
      </c>
      <c r="Q219" s="10">
        <v>0</v>
      </c>
      <c r="R219" s="12"/>
      <c r="S219" s="13"/>
      <c r="T219" s="13">
        <f t="shared" si="0"/>
        <v>50</v>
      </c>
      <c r="U219" s="11">
        <f ca="1">IFERROR(__xludf.DUMMYFUNCTION("IFERROR(
  SUM(
    FILTER(
      Reporte!$E:$E, 
      REGEXMATCH(Reporte!$A:$A, ""(?i)(TE PAGÓ|PAGASTE)""), 
      Reporte!$H:$H &amp; """" = AG219 &amp; """"
    )
  ), 
  0
)"),50)</f>
        <v>50</v>
      </c>
      <c r="V219" s="11">
        <f ca="1">IFERROR(__xludf.DUMMYFUNCTION("IFERROR(
  SUM(
    FILTER(
      Efectivo!$C:$C, 
      Efectivo!$D:$D &amp; """" = AG219 &amp; """"
    )
  ), 
  0
)"),0)</f>
        <v>0</v>
      </c>
      <c r="W219" s="11" t="s">
        <v>35</v>
      </c>
      <c r="X219" s="11"/>
      <c r="Y219" s="11" t="s">
        <v>36</v>
      </c>
      <c r="Z219" s="11"/>
      <c r="AA219" s="11"/>
      <c r="AB219" s="11" t="str">
        <f t="shared" si="1"/>
        <v/>
      </c>
      <c r="AC219" s="11" t="str">
        <f t="shared" si="2"/>
        <v/>
      </c>
      <c r="AD219" s="11">
        <f t="shared" si="3"/>
        <v>0</v>
      </c>
      <c r="AE219" s="11">
        <f t="shared" si="4"/>
        <v>50</v>
      </c>
      <c r="AF219" s="11" t="str">
        <f t="shared" si="5"/>
        <v>L</v>
      </c>
      <c r="AG219" s="11" t="str">
        <f t="shared" si="6"/>
        <v>L-10</v>
      </c>
      <c r="AH219" s="21"/>
      <c r="AI219" s="21"/>
    </row>
    <row r="220" spans="1:35" ht="15.75" customHeight="1">
      <c r="A220" s="15">
        <v>218</v>
      </c>
      <c r="B220" s="16" t="s">
        <v>293</v>
      </c>
      <c r="C220" s="16" t="s">
        <v>284</v>
      </c>
      <c r="D220" s="17">
        <v>11</v>
      </c>
      <c r="E220" s="18"/>
      <c r="F220" s="18"/>
      <c r="G220" s="18"/>
      <c r="H220" s="19">
        <v>1</v>
      </c>
      <c r="I220" s="17">
        <v>7</v>
      </c>
      <c r="J220" s="17">
        <v>16</v>
      </c>
      <c r="K220" s="17">
        <v>9</v>
      </c>
      <c r="L220" s="17">
        <v>9</v>
      </c>
      <c r="M220" s="17">
        <v>0</v>
      </c>
      <c r="N220" s="17">
        <v>0</v>
      </c>
      <c r="O220" s="17">
        <v>25</v>
      </c>
      <c r="P220" s="17">
        <v>3</v>
      </c>
      <c r="Q220" s="17">
        <v>0</v>
      </c>
      <c r="R220" s="19"/>
      <c r="S220" s="20"/>
      <c r="T220" s="13">
        <f t="shared" si="0"/>
        <v>37</v>
      </c>
      <c r="U220" s="18">
        <f ca="1">IFERROR(__xludf.DUMMYFUNCTION("IFERROR(
  SUM(
    FILTER(
      Reporte!$E:$E, 
      REGEXMATCH(Reporte!$A:$A, ""(?i)(TE PAGÓ|PAGASTE)""), 
      Reporte!$H:$H &amp; """" = AG220 &amp; """"
    )
  ), 
  0
)"),0)</f>
        <v>0</v>
      </c>
      <c r="V220" s="18">
        <f ca="1">IFERROR(__xludf.DUMMYFUNCTION("IFERROR(
  SUM(
    FILTER(
      Efectivo!$C:$C, 
      Efectivo!$D:$D &amp; """" = AG220 &amp; """"
    )
  ), 
  0
)"),37)</f>
        <v>37</v>
      </c>
      <c r="W220" s="18" t="s">
        <v>35</v>
      </c>
      <c r="X220" s="18"/>
      <c r="Y220" s="18"/>
      <c r="Z220" s="18"/>
      <c r="AA220" s="18"/>
      <c r="AB220" s="18" t="str">
        <f t="shared" si="1"/>
        <v/>
      </c>
      <c r="AC220" s="18" t="str">
        <f t="shared" si="2"/>
        <v/>
      </c>
      <c r="AD220" s="11">
        <f t="shared" si="3"/>
        <v>37</v>
      </c>
      <c r="AE220" s="11">
        <f t="shared" si="4"/>
        <v>0</v>
      </c>
      <c r="AF220" s="18" t="str">
        <f t="shared" si="5"/>
        <v>L</v>
      </c>
      <c r="AG220" s="18" t="str">
        <f t="shared" si="6"/>
        <v>L-11</v>
      </c>
      <c r="AH220" s="14"/>
      <c r="AI220" s="14"/>
    </row>
    <row r="221" spans="1:35" ht="15.75" customHeight="1">
      <c r="A221" s="8">
        <v>219</v>
      </c>
      <c r="B221" s="9" t="s">
        <v>294</v>
      </c>
      <c r="C221" s="9" t="s">
        <v>284</v>
      </c>
      <c r="D221" s="10">
        <v>12</v>
      </c>
      <c r="E221" s="11"/>
      <c r="F221" s="11"/>
      <c r="G221" s="11"/>
      <c r="H221" s="12">
        <v>1</v>
      </c>
      <c r="I221" s="10">
        <v>15</v>
      </c>
      <c r="J221" s="10">
        <v>26</v>
      </c>
      <c r="K221" s="10">
        <v>11</v>
      </c>
      <c r="L221" s="10">
        <v>11</v>
      </c>
      <c r="M221" s="10">
        <v>-8</v>
      </c>
      <c r="N221" s="10">
        <v>0</v>
      </c>
      <c r="O221" s="10">
        <v>25</v>
      </c>
      <c r="P221" s="10">
        <v>3</v>
      </c>
      <c r="Q221" s="10">
        <v>0</v>
      </c>
      <c r="R221" s="12"/>
      <c r="S221" s="13"/>
      <c r="T221" s="13">
        <f t="shared" si="0"/>
        <v>31</v>
      </c>
      <c r="U221" s="11">
        <f ca="1">IFERROR(__xludf.DUMMYFUNCTION("IFERROR(
  SUM(
    FILTER(
      Reporte!$E:$E, 
      REGEXMATCH(Reporte!$A:$A, ""(?i)(TE PAGÓ|PAGASTE)""), 
      Reporte!$H:$H &amp; """" = AG221 &amp; """"
    )
  ), 
  0
)"),0)</f>
        <v>0</v>
      </c>
      <c r="V221" s="11">
        <f ca="1">IFERROR(__xludf.DUMMYFUNCTION("IFERROR(
  SUM(
    FILTER(
      Efectivo!$C:$C, 
      Efectivo!$D:$D &amp; """" = AG221 &amp; """"
    )
  ), 
  0
)"),31)</f>
        <v>31</v>
      </c>
      <c r="W221" s="11" t="s">
        <v>35</v>
      </c>
      <c r="X221" s="11"/>
      <c r="Y221" s="11"/>
      <c r="Z221" s="11"/>
      <c r="AA221" s="11"/>
      <c r="AB221" s="11" t="str">
        <f t="shared" si="1"/>
        <v/>
      </c>
      <c r="AC221" s="11" t="str">
        <f t="shared" si="2"/>
        <v/>
      </c>
      <c r="AD221" s="11">
        <f t="shared" si="3"/>
        <v>31</v>
      </c>
      <c r="AE221" s="11">
        <f t="shared" si="4"/>
        <v>0</v>
      </c>
      <c r="AF221" s="11" t="str">
        <f t="shared" si="5"/>
        <v>L</v>
      </c>
      <c r="AG221" s="11" t="str">
        <f t="shared" si="6"/>
        <v>L-12</v>
      </c>
      <c r="AH221" s="21"/>
      <c r="AI221" s="21"/>
    </row>
    <row r="222" spans="1:35" ht="15.75" customHeight="1">
      <c r="A222" s="15">
        <v>220</v>
      </c>
      <c r="B222" s="16" t="s">
        <v>295</v>
      </c>
      <c r="C222" s="16" t="s">
        <v>284</v>
      </c>
      <c r="D222" s="17">
        <v>13</v>
      </c>
      <c r="E222" s="18"/>
      <c r="F222" s="18"/>
      <c r="G222" s="18"/>
      <c r="H222" s="19">
        <v>1</v>
      </c>
      <c r="I222" s="17">
        <v>1436</v>
      </c>
      <c r="J222" s="17">
        <v>1444</v>
      </c>
      <c r="K222" s="17">
        <v>8</v>
      </c>
      <c r="L222" s="17">
        <v>8</v>
      </c>
      <c r="M222" s="17">
        <v>0</v>
      </c>
      <c r="N222" s="17">
        <v>0</v>
      </c>
      <c r="O222" s="17">
        <v>0</v>
      </c>
      <c r="P222" s="17">
        <v>3</v>
      </c>
      <c r="Q222" s="17">
        <v>0</v>
      </c>
      <c r="R222" s="19"/>
      <c r="S222" s="20"/>
      <c r="T222" s="13">
        <f t="shared" si="0"/>
        <v>11</v>
      </c>
      <c r="U222" s="18">
        <f ca="1">IFERROR(__xludf.DUMMYFUNCTION("IFERROR(
  SUM(
    FILTER(
      Reporte!$E:$E, 
      REGEXMATCH(Reporte!$A:$A, ""(?i)(TE PAGÓ|PAGASTE)""), 
      Reporte!$H:$H &amp; """" = AG222 &amp; """"
    )
  ), 
  0
)"),11)</f>
        <v>11</v>
      </c>
      <c r="V222" s="18">
        <f ca="1">IFERROR(__xludf.DUMMYFUNCTION("IFERROR(
  SUM(
    FILTER(
      Efectivo!$C:$C, 
      Efectivo!$D:$D &amp; """" = AG222 &amp; """"
    )
  ), 
  0
)"),0)</f>
        <v>0</v>
      </c>
      <c r="W222" s="18" t="s">
        <v>35</v>
      </c>
      <c r="X222" s="18"/>
      <c r="Y222" s="18" t="s">
        <v>36</v>
      </c>
      <c r="Z222" s="18"/>
      <c r="AA222" s="18"/>
      <c r="AB222" s="18" t="str">
        <f t="shared" si="1"/>
        <v/>
      </c>
      <c r="AC222" s="18" t="str">
        <f t="shared" si="2"/>
        <v/>
      </c>
      <c r="AD222" s="11">
        <f t="shared" si="3"/>
        <v>0</v>
      </c>
      <c r="AE222" s="11">
        <f t="shared" si="4"/>
        <v>11</v>
      </c>
      <c r="AF222" s="18" t="str">
        <f t="shared" si="5"/>
        <v>L</v>
      </c>
      <c r="AG222" s="18" t="str">
        <f t="shared" si="6"/>
        <v>L-13</v>
      </c>
      <c r="AH222" s="14"/>
      <c r="AI222" s="14"/>
    </row>
    <row r="223" spans="1:35" ht="15.75" customHeight="1">
      <c r="A223" s="8">
        <v>221</v>
      </c>
      <c r="B223" s="9" t="s">
        <v>296</v>
      </c>
      <c r="C223" s="9" t="s">
        <v>284</v>
      </c>
      <c r="D223" s="10">
        <v>14</v>
      </c>
      <c r="E223" s="11"/>
      <c r="F223" s="11"/>
      <c r="G223" s="11"/>
      <c r="H223" s="12">
        <v>1</v>
      </c>
      <c r="I223" s="10">
        <v>25</v>
      </c>
      <c r="J223" s="10">
        <v>45</v>
      </c>
      <c r="K223" s="10">
        <v>20</v>
      </c>
      <c r="L223" s="10">
        <v>20</v>
      </c>
      <c r="M223" s="10">
        <v>0</v>
      </c>
      <c r="N223" s="10">
        <v>0</v>
      </c>
      <c r="O223" s="10">
        <v>25</v>
      </c>
      <c r="P223" s="10">
        <v>3</v>
      </c>
      <c r="Q223" s="10">
        <v>0</v>
      </c>
      <c r="R223" s="12"/>
      <c r="S223" s="13"/>
      <c r="T223" s="13">
        <f t="shared" si="0"/>
        <v>48</v>
      </c>
      <c r="U223" s="11">
        <f ca="1">IFERROR(__xludf.DUMMYFUNCTION("IFERROR(
  SUM(
    FILTER(
      Reporte!$E:$E, 
      REGEXMATCH(Reporte!$A:$A, ""(?i)(TE PAGÓ|PAGASTE)""), 
      Reporte!$H:$H &amp; """" = AG223 &amp; """"
    )
  ), 
  0
)"),48)</f>
        <v>48</v>
      </c>
      <c r="V223" s="11">
        <f ca="1">IFERROR(__xludf.DUMMYFUNCTION("IFERROR(
  SUM(
    FILTER(
      Efectivo!$C:$C, 
      Efectivo!$D:$D &amp; """" = AG223 &amp; """"
    )
  ), 
  0
)"),0)</f>
        <v>0</v>
      </c>
      <c r="W223" s="11" t="s">
        <v>35</v>
      </c>
      <c r="X223" s="11"/>
      <c r="Y223" s="11" t="s">
        <v>36</v>
      </c>
      <c r="Z223" s="11"/>
      <c r="AA223" s="11"/>
      <c r="AB223" s="11" t="str">
        <f t="shared" si="1"/>
        <v/>
      </c>
      <c r="AC223" s="11" t="str">
        <f t="shared" si="2"/>
        <v/>
      </c>
      <c r="AD223" s="11">
        <f t="shared" si="3"/>
        <v>0</v>
      </c>
      <c r="AE223" s="11">
        <f t="shared" si="4"/>
        <v>48</v>
      </c>
      <c r="AF223" s="11" t="str">
        <f t="shared" si="5"/>
        <v>L</v>
      </c>
      <c r="AG223" s="11" t="str">
        <f t="shared" si="6"/>
        <v>L-14</v>
      </c>
      <c r="AH223" s="21"/>
      <c r="AI223" s="21"/>
    </row>
    <row r="224" spans="1:35" ht="15.75" customHeight="1">
      <c r="A224" s="15">
        <v>222</v>
      </c>
      <c r="B224" s="16" t="s">
        <v>297</v>
      </c>
      <c r="C224" s="16" t="s">
        <v>284</v>
      </c>
      <c r="D224" s="17">
        <v>15</v>
      </c>
      <c r="E224" s="18"/>
      <c r="F224" s="18"/>
      <c r="G224" s="18"/>
      <c r="H224" s="19">
        <v>1</v>
      </c>
      <c r="I224" s="17">
        <v>2430</v>
      </c>
      <c r="J224" s="17">
        <v>2441</v>
      </c>
      <c r="K224" s="17">
        <v>11</v>
      </c>
      <c r="L224" s="17">
        <v>11</v>
      </c>
      <c r="M224" s="17">
        <v>0</v>
      </c>
      <c r="N224" s="17">
        <v>0</v>
      </c>
      <c r="O224" s="17">
        <v>0</v>
      </c>
      <c r="P224" s="17">
        <v>3</v>
      </c>
      <c r="Q224" s="17">
        <v>0</v>
      </c>
      <c r="R224" s="19"/>
      <c r="S224" s="20"/>
      <c r="T224" s="13">
        <f t="shared" si="0"/>
        <v>14</v>
      </c>
      <c r="U224" s="18">
        <f ca="1">IFERROR(__xludf.DUMMYFUNCTION("IFERROR(
  SUM(
    FILTER(
      Reporte!$E:$E, 
      REGEXMATCH(Reporte!$A:$A, ""(?i)(TE PAGÓ|PAGASTE)""), 
      Reporte!$H:$H &amp; """" = AG224 &amp; """"
    )
  ), 
  0
)"),14)</f>
        <v>14</v>
      </c>
      <c r="V224" s="18">
        <f ca="1">IFERROR(__xludf.DUMMYFUNCTION("IFERROR(
  SUM(
    FILTER(
      Efectivo!$C:$C, 
      Efectivo!$D:$D &amp; """" = AG224 &amp; """"
    )
  ), 
  0
)"),0)</f>
        <v>0</v>
      </c>
      <c r="W224" s="18" t="s">
        <v>35</v>
      </c>
      <c r="X224" s="18"/>
      <c r="Y224" s="18" t="s">
        <v>36</v>
      </c>
      <c r="Z224" s="18"/>
      <c r="AA224" s="18"/>
      <c r="AB224" s="18" t="str">
        <f t="shared" si="1"/>
        <v/>
      </c>
      <c r="AC224" s="18" t="str">
        <f t="shared" si="2"/>
        <v/>
      </c>
      <c r="AD224" s="11">
        <f t="shared" si="3"/>
        <v>0</v>
      </c>
      <c r="AE224" s="11">
        <f t="shared" si="4"/>
        <v>14</v>
      </c>
      <c r="AF224" s="18" t="str">
        <f t="shared" si="5"/>
        <v>L</v>
      </c>
      <c r="AG224" s="18" t="str">
        <f t="shared" si="6"/>
        <v>L-15</v>
      </c>
      <c r="AH224" s="14"/>
      <c r="AI224" s="14"/>
    </row>
    <row r="225" spans="1:35" ht="15.75" hidden="1" customHeight="1">
      <c r="A225" s="8">
        <v>223</v>
      </c>
      <c r="B225" s="9" t="s">
        <v>298</v>
      </c>
      <c r="C225" s="9" t="s">
        <v>299</v>
      </c>
      <c r="D225" s="10">
        <v>1</v>
      </c>
      <c r="E225" s="11"/>
      <c r="F225" s="11"/>
      <c r="G225" s="11"/>
      <c r="H225" s="12">
        <v>1</v>
      </c>
      <c r="I225" s="10">
        <v>3201</v>
      </c>
      <c r="J225" s="10">
        <v>3225</v>
      </c>
      <c r="K225" s="10">
        <v>24</v>
      </c>
      <c r="L225" s="10">
        <v>24</v>
      </c>
      <c r="M225" s="10">
        <v>0</v>
      </c>
      <c r="N225" s="10">
        <v>0</v>
      </c>
      <c r="O225" s="10">
        <v>0</v>
      </c>
      <c r="P225" s="10">
        <v>3</v>
      </c>
      <c r="Q225" s="10">
        <v>0</v>
      </c>
      <c r="R225" s="12"/>
      <c r="S225" s="13"/>
      <c r="T225" s="13">
        <f t="shared" si="0"/>
        <v>27</v>
      </c>
      <c r="U225" s="11">
        <f ca="1">IFERROR(__xludf.DUMMYFUNCTION("IFERROR(
  SUM(
    FILTER(
      Reporte!$E:$E, 
      REGEXMATCH(Reporte!$A:$A, ""(?i)(TE PAGÓ|PAGASTE)""), 
      Reporte!$H:$H &amp; """" = AG225 &amp; """"
    )
  ), 
  0
)"),0)</f>
        <v>0</v>
      </c>
      <c r="V225" s="11">
        <f ca="1">IFERROR(__xludf.DUMMYFUNCTION("IFERROR(
  SUM(
    FILTER(
      Efectivo!$C:$C, 
      Efectivo!$D:$D &amp; """" = AG225 &amp; """"
    )
  ), 
  0
)"),27)</f>
        <v>27</v>
      </c>
      <c r="W225" s="11" t="s">
        <v>35</v>
      </c>
      <c r="X225" s="11"/>
      <c r="Y225" s="11"/>
      <c r="Z225" s="11"/>
      <c r="AA225" s="11"/>
      <c r="AB225" s="11" t="str">
        <f t="shared" si="1"/>
        <v/>
      </c>
      <c r="AC225" s="11" t="str">
        <f t="shared" si="2"/>
        <v/>
      </c>
      <c r="AD225" s="11">
        <f t="shared" si="3"/>
        <v>27</v>
      </c>
      <c r="AE225" s="11">
        <f t="shared" si="4"/>
        <v>0</v>
      </c>
      <c r="AF225" s="11" t="str">
        <f t="shared" si="5"/>
        <v>M</v>
      </c>
      <c r="AG225" s="11" t="str">
        <f t="shared" si="6"/>
        <v>M-1</v>
      </c>
      <c r="AH225" s="21"/>
      <c r="AI225" s="21"/>
    </row>
    <row r="226" spans="1:35" ht="15.75" hidden="1" customHeight="1">
      <c r="A226" s="15">
        <v>224</v>
      </c>
      <c r="B226" s="16" t="s">
        <v>300</v>
      </c>
      <c r="C226" s="16" t="s">
        <v>299</v>
      </c>
      <c r="D226" s="17">
        <v>2</v>
      </c>
      <c r="E226" s="18"/>
      <c r="F226" s="18"/>
      <c r="G226" s="18"/>
      <c r="H226" s="19">
        <v>1</v>
      </c>
      <c r="I226" s="17">
        <v>3126</v>
      </c>
      <c r="J226" s="17">
        <v>3138</v>
      </c>
      <c r="K226" s="17">
        <v>12</v>
      </c>
      <c r="L226" s="17">
        <v>12</v>
      </c>
      <c r="M226" s="17">
        <v>0</v>
      </c>
      <c r="N226" s="17">
        <v>0</v>
      </c>
      <c r="O226" s="17">
        <v>0</v>
      </c>
      <c r="P226" s="17">
        <v>3</v>
      </c>
      <c r="Q226" s="17">
        <v>0</v>
      </c>
      <c r="R226" s="19"/>
      <c r="S226" s="20"/>
      <c r="T226" s="13">
        <f t="shared" si="0"/>
        <v>15</v>
      </c>
      <c r="U226" s="18">
        <f ca="1">IFERROR(__xludf.DUMMYFUNCTION("IFERROR(
  SUM(
    FILTER(
      Reporte!$E:$E, 
      REGEXMATCH(Reporte!$A:$A, ""(?i)(TE PAGÓ|PAGASTE)""), 
      Reporte!$H:$H &amp; """" = AG226 &amp; """"
    )
  ), 
  0
)"),15)</f>
        <v>15</v>
      </c>
      <c r="V226" s="18">
        <f ca="1">IFERROR(__xludf.DUMMYFUNCTION("IFERROR(
  SUM(
    FILTER(
      Efectivo!$C:$C, 
      Efectivo!$D:$D &amp; """" = AG226 &amp; """"
    )
  ), 
  0
)"),0)</f>
        <v>0</v>
      </c>
      <c r="W226" s="18" t="s">
        <v>35</v>
      </c>
      <c r="X226" s="18"/>
      <c r="Y226" s="18" t="s">
        <v>36</v>
      </c>
      <c r="Z226" s="18"/>
      <c r="AA226" s="18"/>
      <c r="AB226" s="18" t="str">
        <f t="shared" si="1"/>
        <v/>
      </c>
      <c r="AC226" s="18" t="str">
        <f t="shared" si="2"/>
        <v/>
      </c>
      <c r="AD226" s="11">
        <f t="shared" si="3"/>
        <v>0</v>
      </c>
      <c r="AE226" s="11">
        <f t="shared" si="4"/>
        <v>15</v>
      </c>
      <c r="AF226" s="18" t="str">
        <f t="shared" si="5"/>
        <v>M</v>
      </c>
      <c r="AG226" s="18" t="str">
        <f t="shared" si="6"/>
        <v>M-2</v>
      </c>
      <c r="AH226" s="14"/>
      <c r="AI226" s="14"/>
    </row>
    <row r="227" spans="1:35" ht="15.75" hidden="1" customHeight="1">
      <c r="A227" s="8">
        <v>225</v>
      </c>
      <c r="B227" s="9" t="s">
        <v>301</v>
      </c>
      <c r="C227" s="9" t="s">
        <v>299</v>
      </c>
      <c r="D227" s="10">
        <v>3</v>
      </c>
      <c r="E227" s="11"/>
      <c r="F227" s="11"/>
      <c r="G227" s="11"/>
      <c r="H227" s="12">
        <v>1</v>
      </c>
      <c r="I227" s="10">
        <v>1179</v>
      </c>
      <c r="J227" s="10">
        <v>1182</v>
      </c>
      <c r="K227" s="10">
        <v>5</v>
      </c>
      <c r="L227" s="10">
        <v>5</v>
      </c>
      <c r="M227" s="10">
        <v>8</v>
      </c>
      <c r="N227" s="10">
        <v>0</v>
      </c>
      <c r="O227" s="10">
        <v>0</v>
      </c>
      <c r="P227" s="10">
        <v>3</v>
      </c>
      <c r="Q227" s="10">
        <v>0</v>
      </c>
      <c r="R227" s="12">
        <v>16</v>
      </c>
      <c r="S227" s="13"/>
      <c r="T227" s="13">
        <f t="shared" si="0"/>
        <v>32</v>
      </c>
      <c r="U227" s="11">
        <f ca="1">IFERROR(__xludf.DUMMYFUNCTION("IFERROR(
  SUM(
    FILTER(
      Reporte!$E:$E, 
      REGEXMATCH(Reporte!$A:$A, ""(?i)(TE PAGÓ|PAGASTE)""), 
      Reporte!$H:$H &amp; """" = AG227 &amp; """"
    )
  ), 
  0
)"),0)</f>
        <v>0</v>
      </c>
      <c r="V227" s="11">
        <f ca="1">IFERROR(__xludf.DUMMYFUNCTION("IFERROR(
  SUM(
    FILTER(
      Efectivo!$C:$C, 
      Efectivo!$D:$D &amp; """" = AG227 &amp; """"
    )
  ), 
  0
)"),32)</f>
        <v>32</v>
      </c>
      <c r="W227" s="11" t="s">
        <v>35</v>
      </c>
      <c r="X227" s="11"/>
      <c r="Y227" s="11"/>
      <c r="Z227" s="11" t="s">
        <v>302</v>
      </c>
      <c r="AA227" s="11"/>
      <c r="AB227" s="11" t="str">
        <f t="shared" si="1"/>
        <v/>
      </c>
      <c r="AC227" s="11" t="str">
        <f t="shared" si="2"/>
        <v/>
      </c>
      <c r="AD227" s="11">
        <f t="shared" si="3"/>
        <v>32</v>
      </c>
      <c r="AE227" s="11">
        <f t="shared" si="4"/>
        <v>0</v>
      </c>
      <c r="AF227" s="11" t="str">
        <f t="shared" si="5"/>
        <v>M</v>
      </c>
      <c r="AG227" s="11" t="str">
        <f t="shared" si="6"/>
        <v>M-3</v>
      </c>
      <c r="AH227" s="21"/>
      <c r="AI227" s="21"/>
    </row>
    <row r="228" spans="1:35" ht="15.75" hidden="1" customHeight="1">
      <c r="A228" s="15">
        <v>226</v>
      </c>
      <c r="B228" s="16" t="s">
        <v>303</v>
      </c>
      <c r="C228" s="16" t="s">
        <v>299</v>
      </c>
      <c r="D228" s="17">
        <v>4</v>
      </c>
      <c r="E228" s="18"/>
      <c r="F228" s="18"/>
      <c r="G228" s="18"/>
      <c r="H228" s="19">
        <v>1</v>
      </c>
      <c r="I228" s="17">
        <v>12</v>
      </c>
      <c r="J228" s="17">
        <v>21</v>
      </c>
      <c r="K228" s="17">
        <v>9</v>
      </c>
      <c r="L228" s="17">
        <v>9</v>
      </c>
      <c r="M228" s="17">
        <v>0</v>
      </c>
      <c r="N228" s="17">
        <v>0</v>
      </c>
      <c r="O228" s="17">
        <v>0</v>
      </c>
      <c r="P228" s="17">
        <v>3</v>
      </c>
      <c r="Q228" s="17">
        <v>0</v>
      </c>
      <c r="R228" s="19"/>
      <c r="S228" s="20"/>
      <c r="T228" s="13">
        <f t="shared" si="0"/>
        <v>12</v>
      </c>
      <c r="U228" s="18">
        <f ca="1">IFERROR(__xludf.DUMMYFUNCTION("IFERROR(
  SUM(
    FILTER(
      Reporte!$E:$E, 
      REGEXMATCH(Reporte!$A:$A, ""(?i)(TE PAGÓ|PAGASTE)""), 
      Reporte!$H:$H &amp; """" = AG228 &amp; """"
    )
  ), 
  0
)"),0)</f>
        <v>0</v>
      </c>
      <c r="V228" s="18">
        <f ca="1">IFERROR(__xludf.DUMMYFUNCTION("IFERROR(
  SUM(
    FILTER(
      Efectivo!$C:$C, 
      Efectivo!$D:$D &amp; """" = AG228 &amp; """"
    )
  ), 
  0
)"),12)</f>
        <v>12</v>
      </c>
      <c r="W228" s="18" t="s">
        <v>35</v>
      </c>
      <c r="X228" s="18"/>
      <c r="Y228" s="18"/>
      <c r="Z228" s="18"/>
      <c r="AA228" s="18"/>
      <c r="AB228" s="18" t="str">
        <f t="shared" si="1"/>
        <v/>
      </c>
      <c r="AC228" s="18" t="str">
        <f t="shared" si="2"/>
        <v/>
      </c>
      <c r="AD228" s="11">
        <f t="shared" si="3"/>
        <v>12</v>
      </c>
      <c r="AE228" s="11">
        <f t="shared" si="4"/>
        <v>0</v>
      </c>
      <c r="AF228" s="18" t="str">
        <f t="shared" si="5"/>
        <v>M</v>
      </c>
      <c r="AG228" s="18" t="str">
        <f t="shared" si="6"/>
        <v>M-4</v>
      </c>
      <c r="AH228" s="14"/>
      <c r="AI228" s="14"/>
    </row>
    <row r="229" spans="1:35" ht="15.75" hidden="1" customHeight="1">
      <c r="A229" s="8">
        <v>227</v>
      </c>
      <c r="B229" s="9" t="s">
        <v>304</v>
      </c>
      <c r="C229" s="9" t="s">
        <v>299</v>
      </c>
      <c r="D229" s="10">
        <v>5</v>
      </c>
      <c r="E229" s="11"/>
      <c r="F229" s="11"/>
      <c r="G229" s="11"/>
      <c r="H229" s="12">
        <v>1</v>
      </c>
      <c r="I229" s="10">
        <v>265</v>
      </c>
      <c r="J229" s="10">
        <v>278</v>
      </c>
      <c r="K229" s="10">
        <v>13</v>
      </c>
      <c r="L229" s="10">
        <v>13</v>
      </c>
      <c r="M229" s="10">
        <v>0</v>
      </c>
      <c r="N229" s="10">
        <v>0</v>
      </c>
      <c r="O229" s="10">
        <v>0</v>
      </c>
      <c r="P229" s="10">
        <v>3</v>
      </c>
      <c r="Q229" s="10">
        <v>0</v>
      </c>
      <c r="R229" s="12"/>
      <c r="S229" s="13"/>
      <c r="T229" s="13">
        <f t="shared" si="0"/>
        <v>16</v>
      </c>
      <c r="U229" s="11">
        <f ca="1">IFERROR(__xludf.DUMMYFUNCTION("IFERROR(
  SUM(
    FILTER(
      Reporte!$E:$E, 
      REGEXMATCH(Reporte!$A:$A, ""(?i)(TE PAGÓ|PAGASTE)""), 
      Reporte!$H:$H &amp; """" = AG229 &amp; """"
    )
  ), 
  0
)"),16)</f>
        <v>16</v>
      </c>
      <c r="V229" s="11">
        <f ca="1">IFERROR(__xludf.DUMMYFUNCTION("IFERROR(
  SUM(
    FILTER(
      Efectivo!$C:$C, 
      Efectivo!$D:$D &amp; """" = AG229 &amp; """"
    )
  ), 
  0
)"),0)</f>
        <v>0</v>
      </c>
      <c r="W229" s="11" t="s">
        <v>35</v>
      </c>
      <c r="X229" s="11"/>
      <c r="Y229" s="11" t="s">
        <v>36</v>
      </c>
      <c r="Z229" s="11"/>
      <c r="AA229" s="11"/>
      <c r="AB229" s="11" t="str">
        <f t="shared" si="1"/>
        <v/>
      </c>
      <c r="AC229" s="11" t="str">
        <f t="shared" si="2"/>
        <v/>
      </c>
      <c r="AD229" s="11">
        <f t="shared" si="3"/>
        <v>0</v>
      </c>
      <c r="AE229" s="11">
        <f t="shared" si="4"/>
        <v>16</v>
      </c>
      <c r="AF229" s="11" t="str">
        <f t="shared" si="5"/>
        <v>M</v>
      </c>
      <c r="AG229" s="11" t="str">
        <f t="shared" si="6"/>
        <v>M-5</v>
      </c>
      <c r="AH229" s="21"/>
      <c r="AI229" s="21"/>
    </row>
    <row r="230" spans="1:35" ht="15.75" hidden="1" customHeight="1">
      <c r="A230" s="15">
        <v>228</v>
      </c>
      <c r="B230" s="16" t="s">
        <v>305</v>
      </c>
      <c r="C230" s="16" t="s">
        <v>299</v>
      </c>
      <c r="D230" s="17">
        <v>6</v>
      </c>
      <c r="E230" s="18"/>
      <c r="F230" s="18"/>
      <c r="G230" s="18"/>
      <c r="H230" s="19">
        <v>1</v>
      </c>
      <c r="I230" s="17">
        <v>3952</v>
      </c>
      <c r="J230" s="17">
        <v>3967</v>
      </c>
      <c r="K230" s="17">
        <v>15</v>
      </c>
      <c r="L230" s="17">
        <v>15</v>
      </c>
      <c r="M230" s="17">
        <v>0</v>
      </c>
      <c r="N230" s="17">
        <v>0</v>
      </c>
      <c r="O230" s="17">
        <v>0</v>
      </c>
      <c r="P230" s="17">
        <v>3</v>
      </c>
      <c r="Q230" s="17">
        <v>0</v>
      </c>
      <c r="R230" s="19"/>
      <c r="S230" s="20"/>
      <c r="T230" s="13">
        <f t="shared" si="0"/>
        <v>18</v>
      </c>
      <c r="U230" s="18">
        <f ca="1">IFERROR(__xludf.DUMMYFUNCTION("IFERROR(
  SUM(
    FILTER(
      Reporte!$E:$E, 
      REGEXMATCH(Reporte!$A:$A, ""(?i)(TE PAGÓ|PAGASTE)""), 
      Reporte!$H:$H &amp; """" = AG230 &amp; """"
    )
  ), 
  0
)"),18)</f>
        <v>18</v>
      </c>
      <c r="V230" s="18">
        <f ca="1">IFERROR(__xludf.DUMMYFUNCTION("IFERROR(
  SUM(
    FILTER(
      Efectivo!$C:$C, 
      Efectivo!$D:$D &amp; """" = AG230 &amp; """"
    )
  ), 
  0
)"),0)</f>
        <v>0</v>
      </c>
      <c r="W230" s="18" t="s">
        <v>35</v>
      </c>
      <c r="X230" s="18"/>
      <c r="Y230" s="18" t="s">
        <v>36</v>
      </c>
      <c r="Z230" s="18"/>
      <c r="AA230" s="18"/>
      <c r="AB230" s="18" t="str">
        <f t="shared" si="1"/>
        <v/>
      </c>
      <c r="AC230" s="18" t="str">
        <f t="shared" si="2"/>
        <v/>
      </c>
      <c r="AD230" s="11">
        <f t="shared" si="3"/>
        <v>0</v>
      </c>
      <c r="AE230" s="11">
        <f t="shared" si="4"/>
        <v>18</v>
      </c>
      <c r="AF230" s="18" t="str">
        <f t="shared" si="5"/>
        <v>M</v>
      </c>
      <c r="AG230" s="18" t="str">
        <f t="shared" si="6"/>
        <v>M-6</v>
      </c>
      <c r="AH230" s="14"/>
      <c r="AI230" s="14"/>
    </row>
    <row r="231" spans="1:35" ht="15.75" hidden="1" customHeight="1">
      <c r="A231" s="8">
        <v>229</v>
      </c>
      <c r="B231" s="9" t="s">
        <v>306</v>
      </c>
      <c r="C231" s="9" t="s">
        <v>299</v>
      </c>
      <c r="D231" s="10">
        <v>7</v>
      </c>
      <c r="E231" s="11"/>
      <c r="F231" s="11"/>
      <c r="G231" s="11"/>
      <c r="H231" s="12">
        <v>1</v>
      </c>
      <c r="I231" s="10">
        <v>704</v>
      </c>
      <c r="J231" s="10">
        <v>721</v>
      </c>
      <c r="K231" s="10">
        <v>17</v>
      </c>
      <c r="L231" s="10">
        <v>17</v>
      </c>
      <c r="M231" s="10">
        <v>0</v>
      </c>
      <c r="N231" s="10">
        <v>0</v>
      </c>
      <c r="O231" s="10">
        <v>0</v>
      </c>
      <c r="P231" s="10">
        <v>3</v>
      </c>
      <c r="Q231" s="10">
        <v>0</v>
      </c>
      <c r="R231" s="12"/>
      <c r="S231" s="13"/>
      <c r="T231" s="13">
        <f t="shared" si="0"/>
        <v>20</v>
      </c>
      <c r="U231" s="11">
        <f ca="1">IFERROR(__xludf.DUMMYFUNCTION("IFERROR(
  SUM(
    FILTER(
      Reporte!$E:$E, 
      REGEXMATCH(Reporte!$A:$A, ""(?i)(TE PAGÓ|PAGASTE)""), 
      Reporte!$H:$H &amp; """" = AG231 &amp; """"
    )
  ), 
  0
)"),0)</f>
        <v>0</v>
      </c>
      <c r="V231" s="11">
        <f ca="1">IFERROR(__xludf.DUMMYFUNCTION("IFERROR(
  SUM(
    FILTER(
      Efectivo!$C:$C, 
      Efectivo!$D:$D &amp; """" = AG231 &amp; """"
    )
  ), 
  0
)"),0)</f>
        <v>0</v>
      </c>
      <c r="W231" s="11"/>
      <c r="X231" s="11"/>
      <c r="Y231" s="11"/>
      <c r="Z231" s="11"/>
      <c r="AA231" s="11"/>
      <c r="AB231" s="11" t="str">
        <f t="shared" si="1"/>
        <v/>
      </c>
      <c r="AC231" s="11" t="str">
        <f t="shared" si="2"/>
        <v/>
      </c>
      <c r="AD231" s="11">
        <f t="shared" si="3"/>
        <v>0</v>
      </c>
      <c r="AE231" s="11">
        <f t="shared" si="4"/>
        <v>0</v>
      </c>
      <c r="AF231" s="11" t="str">
        <f t="shared" si="5"/>
        <v>M</v>
      </c>
      <c r="AG231" s="11" t="str">
        <f t="shared" si="6"/>
        <v>M-7</v>
      </c>
      <c r="AH231" s="21"/>
      <c r="AI231" s="21"/>
    </row>
    <row r="232" spans="1:35" ht="15.75" hidden="1" customHeight="1">
      <c r="A232" s="15">
        <v>230</v>
      </c>
      <c r="B232" s="16" t="s">
        <v>307</v>
      </c>
      <c r="C232" s="16" t="s">
        <v>299</v>
      </c>
      <c r="D232" s="17">
        <v>8</v>
      </c>
      <c r="E232" s="18"/>
      <c r="F232" s="18"/>
      <c r="G232" s="18"/>
      <c r="H232" s="19">
        <v>1</v>
      </c>
      <c r="I232" s="17">
        <v>135</v>
      </c>
      <c r="J232" s="17">
        <v>148</v>
      </c>
      <c r="K232" s="17">
        <v>13</v>
      </c>
      <c r="L232" s="17">
        <v>13</v>
      </c>
      <c r="M232" s="17">
        <v>0</v>
      </c>
      <c r="N232" s="17">
        <v>0</v>
      </c>
      <c r="O232" s="17">
        <v>0</v>
      </c>
      <c r="P232" s="17">
        <v>3</v>
      </c>
      <c r="Q232" s="17">
        <v>0</v>
      </c>
      <c r="R232" s="19"/>
      <c r="S232" s="20"/>
      <c r="T232" s="13">
        <f t="shared" si="0"/>
        <v>16</v>
      </c>
      <c r="U232" s="18">
        <f ca="1">IFERROR(__xludf.DUMMYFUNCTION("IFERROR(
  SUM(
    FILTER(
      Reporte!$E:$E, 
      REGEXMATCH(Reporte!$A:$A, ""(?i)(TE PAGÓ|PAGASTE)""), 
      Reporte!$H:$H &amp; """" = AG232 &amp; """"
    )
  ), 
  0
)"),0)</f>
        <v>0</v>
      </c>
      <c r="V232" s="18">
        <f ca="1">IFERROR(__xludf.DUMMYFUNCTION("IFERROR(
  SUM(
    FILTER(
      Efectivo!$C:$C, 
      Efectivo!$D:$D &amp; """" = AG232 &amp; """"
    )
  ), 
  0
)"),16)</f>
        <v>16</v>
      </c>
      <c r="W232" s="18" t="s">
        <v>35</v>
      </c>
      <c r="X232" s="18"/>
      <c r="Y232" s="18"/>
      <c r="Z232" s="18"/>
      <c r="AA232" s="18"/>
      <c r="AB232" s="18" t="str">
        <f t="shared" si="1"/>
        <v/>
      </c>
      <c r="AC232" s="18" t="str">
        <f t="shared" si="2"/>
        <v/>
      </c>
      <c r="AD232" s="11">
        <f t="shared" si="3"/>
        <v>16</v>
      </c>
      <c r="AE232" s="11">
        <f t="shared" si="4"/>
        <v>0</v>
      </c>
      <c r="AF232" s="18" t="str">
        <f t="shared" si="5"/>
        <v>M</v>
      </c>
      <c r="AG232" s="18" t="str">
        <f t="shared" si="6"/>
        <v>M-8</v>
      </c>
      <c r="AH232" s="14"/>
      <c r="AI232" s="14"/>
    </row>
    <row r="233" spans="1:35" ht="15.75" hidden="1" customHeight="1">
      <c r="A233" s="8">
        <v>231</v>
      </c>
      <c r="B233" s="9" t="s">
        <v>308</v>
      </c>
      <c r="C233" s="9" t="s">
        <v>299</v>
      </c>
      <c r="D233" s="10">
        <v>9</v>
      </c>
      <c r="E233" s="11"/>
      <c r="F233" s="11"/>
      <c r="G233" s="11"/>
      <c r="H233" s="12">
        <v>1</v>
      </c>
      <c r="I233" s="10">
        <v>0</v>
      </c>
      <c r="J233" s="10">
        <v>0</v>
      </c>
      <c r="K233" s="10">
        <v>5</v>
      </c>
      <c r="L233" s="10">
        <v>5</v>
      </c>
      <c r="M233" s="10">
        <v>0</v>
      </c>
      <c r="N233" s="10">
        <v>0</v>
      </c>
      <c r="O233" s="10">
        <v>25</v>
      </c>
      <c r="P233" s="10">
        <v>3</v>
      </c>
      <c r="Q233" s="10">
        <v>0</v>
      </c>
      <c r="R233" s="12"/>
      <c r="S233" s="13"/>
      <c r="T233" s="13">
        <f t="shared" si="0"/>
        <v>33</v>
      </c>
      <c r="U233" s="11">
        <f ca="1">IFERROR(__xludf.DUMMYFUNCTION("IFERROR(
  SUM(
    FILTER(
      Reporte!$E:$E, 
      REGEXMATCH(Reporte!$A:$A, ""(?i)(TE PAGÓ|PAGASTE)""), 
      Reporte!$H:$H &amp; """" = AG233 &amp; """"
    )
  ), 
  0
)"),0)</f>
        <v>0</v>
      </c>
      <c r="V233" s="11">
        <f ca="1">IFERROR(__xludf.DUMMYFUNCTION("IFERROR(
  SUM(
    FILTER(
      Efectivo!$C:$C, 
      Efectivo!$D:$D &amp; """" = AG233 &amp; """"
    )
  ), 
  0
)"),0)</f>
        <v>0</v>
      </c>
      <c r="W233" s="11"/>
      <c r="X233" s="11"/>
      <c r="Y233" s="11"/>
      <c r="Z233" s="11"/>
      <c r="AA233" s="11"/>
      <c r="AB233" s="11" t="str">
        <f t="shared" si="1"/>
        <v/>
      </c>
      <c r="AC233" s="11" t="str">
        <f t="shared" si="2"/>
        <v/>
      </c>
      <c r="AD233" s="11">
        <f t="shared" si="3"/>
        <v>0</v>
      </c>
      <c r="AE233" s="11">
        <f t="shared" si="4"/>
        <v>0</v>
      </c>
      <c r="AF233" s="11" t="str">
        <f t="shared" si="5"/>
        <v>M</v>
      </c>
      <c r="AG233" s="11" t="str">
        <f t="shared" si="6"/>
        <v>M-9</v>
      </c>
      <c r="AH233" s="21"/>
      <c r="AI233" s="21"/>
    </row>
    <row r="234" spans="1:35" ht="15.75" hidden="1" customHeight="1">
      <c r="A234" s="15">
        <v>232</v>
      </c>
      <c r="B234" s="16" t="s">
        <v>309</v>
      </c>
      <c r="C234" s="16" t="s">
        <v>299</v>
      </c>
      <c r="D234" s="17">
        <v>10</v>
      </c>
      <c r="E234" s="18"/>
      <c r="F234" s="18"/>
      <c r="G234" s="18"/>
      <c r="H234" s="19">
        <v>1</v>
      </c>
      <c r="I234" s="17">
        <v>1126</v>
      </c>
      <c r="J234" s="17">
        <v>1138</v>
      </c>
      <c r="K234" s="17">
        <v>12</v>
      </c>
      <c r="L234" s="17">
        <v>12</v>
      </c>
      <c r="M234" s="17">
        <v>0</v>
      </c>
      <c r="N234" s="17">
        <v>0</v>
      </c>
      <c r="O234" s="17">
        <v>0</v>
      </c>
      <c r="P234" s="17">
        <v>3</v>
      </c>
      <c r="Q234" s="17">
        <v>0</v>
      </c>
      <c r="R234" s="19"/>
      <c r="S234" s="20"/>
      <c r="T234" s="13">
        <f t="shared" si="0"/>
        <v>15</v>
      </c>
      <c r="U234" s="18">
        <f ca="1">IFERROR(__xludf.DUMMYFUNCTION("IFERROR(
  SUM(
    FILTER(
      Reporte!$E:$E, 
      REGEXMATCH(Reporte!$A:$A, ""(?i)(TE PAGÓ|PAGASTE)""), 
      Reporte!$H:$H &amp; """" = AG234 &amp; """"
    )
  ), 
  0
)"),0)</f>
        <v>0</v>
      </c>
      <c r="V234" s="18">
        <f ca="1">IFERROR(__xludf.DUMMYFUNCTION("IFERROR(
  SUM(
    FILTER(
      Efectivo!$C:$C, 
      Efectivo!$D:$D &amp; """" = AG234 &amp; """"
    )
  ), 
  0
)"),0)</f>
        <v>0</v>
      </c>
      <c r="W234" s="18"/>
      <c r="X234" s="18"/>
      <c r="Y234" s="18"/>
      <c r="Z234" s="18"/>
      <c r="AA234" s="18"/>
      <c r="AB234" s="18" t="str">
        <f t="shared" si="1"/>
        <v/>
      </c>
      <c r="AC234" s="18" t="str">
        <f t="shared" si="2"/>
        <v/>
      </c>
      <c r="AD234" s="11">
        <f t="shared" si="3"/>
        <v>0</v>
      </c>
      <c r="AE234" s="11">
        <f t="shared" si="4"/>
        <v>0</v>
      </c>
      <c r="AF234" s="18" t="str">
        <f t="shared" si="5"/>
        <v>M</v>
      </c>
      <c r="AG234" s="18" t="str">
        <f t="shared" si="6"/>
        <v>M-10</v>
      </c>
      <c r="AH234" s="14"/>
      <c r="AI234" s="14"/>
    </row>
    <row r="235" spans="1:35" ht="15.75" hidden="1" customHeight="1">
      <c r="A235" s="8">
        <v>233</v>
      </c>
      <c r="B235" s="9" t="s">
        <v>310</v>
      </c>
      <c r="C235" s="9" t="s">
        <v>299</v>
      </c>
      <c r="D235" s="10">
        <v>11</v>
      </c>
      <c r="E235" s="11"/>
      <c r="F235" s="11"/>
      <c r="G235" s="11"/>
      <c r="H235" s="12">
        <v>1</v>
      </c>
      <c r="I235" s="10">
        <v>2</v>
      </c>
      <c r="J235" s="10">
        <v>4</v>
      </c>
      <c r="K235" s="10">
        <v>5</v>
      </c>
      <c r="L235" s="24">
        <v>5</v>
      </c>
      <c r="M235" s="10">
        <v>0</v>
      </c>
      <c r="N235" s="10">
        <v>0</v>
      </c>
      <c r="O235" s="10">
        <v>0</v>
      </c>
      <c r="P235" s="10">
        <v>3</v>
      </c>
      <c r="Q235" s="10">
        <v>0</v>
      </c>
      <c r="R235" s="12"/>
      <c r="S235" s="13"/>
      <c r="T235" s="13">
        <f t="shared" si="0"/>
        <v>8</v>
      </c>
      <c r="U235" s="11">
        <f ca="1">IFERROR(__xludf.DUMMYFUNCTION("IFERROR(
  SUM(
    FILTER(
      Reporte!$E:$E, 
      REGEXMATCH(Reporte!$A:$A, ""(?i)(TE PAGÓ|PAGASTE)""), 
      Reporte!$H:$H &amp; """" = AG235 &amp; """"
    )
  ), 
  0
)"),8)</f>
        <v>8</v>
      </c>
      <c r="V235" s="11">
        <f ca="1">IFERROR(__xludf.DUMMYFUNCTION("IFERROR(
  SUM(
    FILTER(
      Efectivo!$C:$C, 
      Efectivo!$D:$D &amp; """" = AG235 &amp; """"
    )
  ), 
  0
)"),0)</f>
        <v>0</v>
      </c>
      <c r="W235" s="11" t="s">
        <v>35</v>
      </c>
      <c r="X235" s="11"/>
      <c r="Y235" s="11" t="s">
        <v>36</v>
      </c>
      <c r="Z235" s="11"/>
      <c r="AA235" s="11"/>
      <c r="AB235" s="11" t="str">
        <f t="shared" si="1"/>
        <v/>
      </c>
      <c r="AC235" s="11" t="str">
        <f t="shared" si="2"/>
        <v/>
      </c>
      <c r="AD235" s="11">
        <f t="shared" si="3"/>
        <v>0</v>
      </c>
      <c r="AE235" s="11">
        <f t="shared" si="4"/>
        <v>8</v>
      </c>
      <c r="AF235" s="11" t="str">
        <f t="shared" si="5"/>
        <v>M</v>
      </c>
      <c r="AG235" s="11" t="str">
        <f t="shared" si="6"/>
        <v>M-11</v>
      </c>
      <c r="AH235" s="21"/>
      <c r="AI235" s="21"/>
    </row>
    <row r="236" spans="1:35" ht="15.75" hidden="1" customHeight="1">
      <c r="A236" s="15">
        <v>234</v>
      </c>
      <c r="B236" s="16" t="s">
        <v>311</v>
      </c>
      <c r="C236" s="16" t="s">
        <v>299</v>
      </c>
      <c r="D236" s="17">
        <v>13</v>
      </c>
      <c r="E236" s="18"/>
      <c r="F236" s="18"/>
      <c r="G236" s="18"/>
      <c r="H236" s="19">
        <v>1</v>
      </c>
      <c r="I236" s="17">
        <v>99981</v>
      </c>
      <c r="J236" s="17">
        <v>99987</v>
      </c>
      <c r="K236" s="17">
        <v>6</v>
      </c>
      <c r="L236" s="17">
        <v>6</v>
      </c>
      <c r="M236" s="17">
        <v>8</v>
      </c>
      <c r="N236" s="17">
        <v>0</v>
      </c>
      <c r="O236" s="17">
        <v>0</v>
      </c>
      <c r="P236" s="17">
        <v>3</v>
      </c>
      <c r="Q236" s="17">
        <v>0</v>
      </c>
      <c r="R236" s="19"/>
      <c r="S236" s="20"/>
      <c r="T236" s="13">
        <f t="shared" si="0"/>
        <v>17</v>
      </c>
      <c r="U236" s="18">
        <f ca="1">IFERROR(__xludf.DUMMYFUNCTION("IFERROR(
  SUM(
    FILTER(
      Reporte!$E:$E, 
      REGEXMATCH(Reporte!$A:$A, ""(?i)(TE PAGÓ|PAGASTE)""), 
      Reporte!$H:$H &amp; """" = AG236 &amp; """"
    )
  ), 
  0
)"),17)</f>
        <v>17</v>
      </c>
      <c r="V236" s="18">
        <f ca="1">IFERROR(__xludf.DUMMYFUNCTION("IFERROR(
  SUM(
    FILTER(
      Efectivo!$C:$C, 
      Efectivo!$D:$D &amp; """" = AG236 &amp; """"
    )
  ), 
  0
)"),0)</f>
        <v>0</v>
      </c>
      <c r="W236" s="18" t="s">
        <v>35</v>
      </c>
      <c r="X236" s="18"/>
      <c r="Y236" s="18" t="s">
        <v>36</v>
      </c>
      <c r="Z236" s="18"/>
      <c r="AA236" s="18"/>
      <c r="AB236" s="18" t="str">
        <f t="shared" si="1"/>
        <v/>
      </c>
      <c r="AC236" s="18" t="str">
        <f t="shared" si="2"/>
        <v/>
      </c>
      <c r="AD236" s="11">
        <f t="shared" si="3"/>
        <v>0</v>
      </c>
      <c r="AE236" s="11">
        <f t="shared" si="4"/>
        <v>17</v>
      </c>
      <c r="AF236" s="18" t="str">
        <f t="shared" si="5"/>
        <v>M</v>
      </c>
      <c r="AG236" s="18" t="str">
        <f t="shared" si="6"/>
        <v>M-13</v>
      </c>
      <c r="AH236" s="14"/>
      <c r="AI236" s="14"/>
    </row>
    <row r="237" spans="1:35" ht="15.75" hidden="1" customHeight="1">
      <c r="A237" s="8">
        <v>235</v>
      </c>
      <c r="B237" s="9" t="s">
        <v>312</v>
      </c>
      <c r="C237" s="9" t="s">
        <v>299</v>
      </c>
      <c r="D237" s="10">
        <v>14</v>
      </c>
      <c r="E237" s="11"/>
      <c r="F237" s="11"/>
      <c r="G237" s="11"/>
      <c r="H237" s="12">
        <v>1</v>
      </c>
      <c r="I237" s="10">
        <v>10</v>
      </c>
      <c r="J237" s="10">
        <v>16</v>
      </c>
      <c r="K237" s="10">
        <v>6</v>
      </c>
      <c r="L237" s="10">
        <v>6</v>
      </c>
      <c r="M237" s="10">
        <v>0</v>
      </c>
      <c r="N237" s="10">
        <v>0</v>
      </c>
      <c r="O237" s="10">
        <v>25</v>
      </c>
      <c r="P237" s="10">
        <v>3</v>
      </c>
      <c r="Q237" s="10">
        <v>0</v>
      </c>
      <c r="R237" s="12"/>
      <c r="S237" s="13"/>
      <c r="T237" s="13">
        <f t="shared" si="0"/>
        <v>34</v>
      </c>
      <c r="U237" s="11">
        <f ca="1">IFERROR(__xludf.DUMMYFUNCTION("IFERROR(
  SUM(
    FILTER(
      Reporte!$E:$E, 
      REGEXMATCH(Reporte!$A:$A, ""(?i)(TE PAGÓ|PAGASTE)""), 
      Reporte!$H:$H &amp; """" = AG237 &amp; """"
    )
  ), 
  0
)"),34)</f>
        <v>34</v>
      </c>
      <c r="V237" s="11">
        <f ca="1">IFERROR(__xludf.DUMMYFUNCTION("IFERROR(
  SUM(
    FILTER(
      Efectivo!$C:$C, 
      Efectivo!$D:$D &amp; """" = AG237 &amp; """"
    )
  ), 
  0
)"),0)</f>
        <v>0</v>
      </c>
      <c r="W237" s="11" t="s">
        <v>35</v>
      </c>
      <c r="X237" s="11"/>
      <c r="Y237" s="11" t="s">
        <v>36</v>
      </c>
      <c r="Z237" s="11"/>
      <c r="AA237" s="11"/>
      <c r="AB237" s="11" t="str">
        <f t="shared" si="1"/>
        <v/>
      </c>
      <c r="AC237" s="11" t="str">
        <f t="shared" si="2"/>
        <v/>
      </c>
      <c r="AD237" s="11">
        <f t="shared" si="3"/>
        <v>0</v>
      </c>
      <c r="AE237" s="11">
        <f t="shared" si="4"/>
        <v>34</v>
      </c>
      <c r="AF237" s="11" t="str">
        <f t="shared" si="5"/>
        <v>M</v>
      </c>
      <c r="AG237" s="11" t="str">
        <f t="shared" si="6"/>
        <v>M-14</v>
      </c>
      <c r="AH237" s="21"/>
      <c r="AI237" s="21"/>
    </row>
    <row r="238" spans="1:35" ht="15.75" hidden="1" customHeight="1">
      <c r="A238" s="15">
        <v>236</v>
      </c>
      <c r="B238" s="16" t="s">
        <v>313</v>
      </c>
      <c r="C238" s="16" t="s">
        <v>299</v>
      </c>
      <c r="D238" s="17">
        <v>15</v>
      </c>
      <c r="E238" s="18"/>
      <c r="F238" s="18"/>
      <c r="G238" s="18"/>
      <c r="H238" s="19">
        <v>1</v>
      </c>
      <c r="I238" s="17">
        <v>93</v>
      </c>
      <c r="J238" s="17">
        <v>98</v>
      </c>
      <c r="K238" s="17">
        <v>5</v>
      </c>
      <c r="L238" s="17">
        <v>5</v>
      </c>
      <c r="M238" s="17">
        <v>0</v>
      </c>
      <c r="N238" s="17">
        <v>0</v>
      </c>
      <c r="O238" s="17">
        <v>0</v>
      </c>
      <c r="P238" s="17">
        <v>3</v>
      </c>
      <c r="Q238" s="17">
        <v>0</v>
      </c>
      <c r="R238" s="19"/>
      <c r="S238" s="20"/>
      <c r="T238" s="13">
        <f t="shared" si="0"/>
        <v>8</v>
      </c>
      <c r="U238" s="18">
        <f ca="1">IFERROR(__xludf.DUMMYFUNCTION("IFERROR(
  SUM(
    FILTER(
      Reporte!$E:$E, 
      REGEXMATCH(Reporte!$A:$A, ""(?i)(TE PAGÓ|PAGASTE)""), 
      Reporte!$H:$H &amp; """" = AG238 &amp; """"
    )
  ), 
  0
)"),0)</f>
        <v>0</v>
      </c>
      <c r="V238" s="18">
        <f ca="1">IFERROR(__xludf.DUMMYFUNCTION("IFERROR(
  SUM(
    FILTER(
      Efectivo!$C:$C, 
      Efectivo!$D:$D &amp; """" = AG238 &amp; """"
    )
  ), 
  0
)"),8)</f>
        <v>8</v>
      </c>
      <c r="W238" s="18" t="s">
        <v>35</v>
      </c>
      <c r="X238" s="18"/>
      <c r="Y238" s="18"/>
      <c r="Z238" s="18"/>
      <c r="AA238" s="18"/>
      <c r="AB238" s="18" t="str">
        <f t="shared" si="1"/>
        <v/>
      </c>
      <c r="AC238" s="18" t="str">
        <f t="shared" si="2"/>
        <v/>
      </c>
      <c r="AD238" s="11">
        <f t="shared" si="3"/>
        <v>8</v>
      </c>
      <c r="AE238" s="11">
        <f t="shared" si="4"/>
        <v>0</v>
      </c>
      <c r="AF238" s="18" t="str">
        <f t="shared" si="5"/>
        <v>M</v>
      </c>
      <c r="AG238" s="18" t="str">
        <f t="shared" si="6"/>
        <v>M-15</v>
      </c>
      <c r="AH238" s="14"/>
      <c r="AI238" s="14"/>
    </row>
    <row r="239" spans="1:35" ht="15.75" hidden="1" customHeight="1">
      <c r="A239" s="8">
        <v>237</v>
      </c>
      <c r="B239" s="9" t="s">
        <v>314</v>
      </c>
      <c r="C239" s="9" t="s">
        <v>299</v>
      </c>
      <c r="D239" s="10">
        <v>16</v>
      </c>
      <c r="E239" s="11"/>
      <c r="F239" s="11"/>
      <c r="G239" s="11"/>
      <c r="H239" s="12">
        <v>1</v>
      </c>
      <c r="I239" s="10">
        <v>85</v>
      </c>
      <c r="J239" s="10">
        <v>91</v>
      </c>
      <c r="K239" s="10">
        <v>6</v>
      </c>
      <c r="L239" s="10">
        <v>6</v>
      </c>
      <c r="M239" s="10">
        <v>0</v>
      </c>
      <c r="N239" s="10">
        <v>0</v>
      </c>
      <c r="O239" s="10">
        <v>0</v>
      </c>
      <c r="P239" s="10">
        <v>3</v>
      </c>
      <c r="Q239" s="10">
        <v>0</v>
      </c>
      <c r="R239" s="12"/>
      <c r="S239" s="13"/>
      <c r="T239" s="13">
        <f t="shared" si="0"/>
        <v>9</v>
      </c>
      <c r="U239" s="11">
        <f ca="1">IFERROR(__xludf.DUMMYFUNCTION("IFERROR(
  SUM(
    FILTER(
      Reporte!$E:$E, 
      REGEXMATCH(Reporte!$A:$A, ""(?i)(TE PAGÓ|PAGASTE)""), 
      Reporte!$H:$H &amp; """" = AG239 &amp; """"
    )
  ), 
  0
)"),9)</f>
        <v>9</v>
      </c>
      <c r="V239" s="11">
        <f ca="1">IFERROR(__xludf.DUMMYFUNCTION("IFERROR(
  SUM(
    FILTER(
      Efectivo!$C:$C, 
      Efectivo!$D:$D &amp; """" = AG239 &amp; """"
    )
  ), 
  0
)"),0)</f>
        <v>0</v>
      </c>
      <c r="W239" s="11" t="s">
        <v>35</v>
      </c>
      <c r="X239" s="11"/>
      <c r="Y239" s="11" t="s">
        <v>36</v>
      </c>
      <c r="Z239" s="11"/>
      <c r="AA239" s="11"/>
      <c r="AB239" s="11" t="str">
        <f t="shared" si="1"/>
        <v/>
      </c>
      <c r="AC239" s="11" t="str">
        <f t="shared" si="2"/>
        <v/>
      </c>
      <c r="AD239" s="11">
        <f t="shared" si="3"/>
        <v>0</v>
      </c>
      <c r="AE239" s="11">
        <f t="shared" si="4"/>
        <v>9</v>
      </c>
      <c r="AF239" s="11" t="str">
        <f t="shared" si="5"/>
        <v>M</v>
      </c>
      <c r="AG239" s="11" t="str">
        <f t="shared" si="6"/>
        <v>M-16</v>
      </c>
      <c r="AH239" s="21"/>
      <c r="AI239" s="21"/>
    </row>
    <row r="240" spans="1:35" ht="15.75" hidden="1" customHeight="1">
      <c r="A240" s="15">
        <v>238</v>
      </c>
      <c r="B240" s="16" t="s">
        <v>315</v>
      </c>
      <c r="C240" s="16" t="s">
        <v>299</v>
      </c>
      <c r="D240" s="17">
        <v>17</v>
      </c>
      <c r="E240" s="18"/>
      <c r="F240" s="18"/>
      <c r="G240" s="18"/>
      <c r="H240" s="19">
        <v>1</v>
      </c>
      <c r="I240" s="17">
        <v>17</v>
      </c>
      <c r="J240" s="17">
        <v>18</v>
      </c>
      <c r="K240" s="17">
        <v>5</v>
      </c>
      <c r="L240" s="17">
        <v>5</v>
      </c>
      <c r="M240" s="17">
        <v>0</v>
      </c>
      <c r="N240" s="17">
        <v>0</v>
      </c>
      <c r="O240" s="17">
        <v>0</v>
      </c>
      <c r="P240" s="17">
        <v>3</v>
      </c>
      <c r="Q240" s="17">
        <v>0</v>
      </c>
      <c r="R240" s="19"/>
      <c r="S240" s="20"/>
      <c r="T240" s="13">
        <f t="shared" si="0"/>
        <v>8</v>
      </c>
      <c r="U240" s="18">
        <f ca="1">IFERROR(__xludf.DUMMYFUNCTION("IFERROR(
  SUM(
    FILTER(
      Reporte!$E:$E, 
      REGEXMATCH(Reporte!$A:$A, ""(?i)(TE PAGÓ|PAGASTE)""), 
      Reporte!$H:$H &amp; """" = AG240 &amp; """"
    )
  ), 
  0
)"),8)</f>
        <v>8</v>
      </c>
      <c r="V240" s="18">
        <f ca="1">IFERROR(__xludf.DUMMYFUNCTION("IFERROR(
  SUM(
    FILTER(
      Efectivo!$C:$C, 
      Efectivo!$D:$D &amp; """" = AG240 &amp; """"
    )
  ), 
  0
)"),0)</f>
        <v>0</v>
      </c>
      <c r="W240" s="18" t="s">
        <v>35</v>
      </c>
      <c r="X240" s="18"/>
      <c r="Y240" s="18" t="s">
        <v>36</v>
      </c>
      <c r="Z240" s="18"/>
      <c r="AA240" s="18"/>
      <c r="AB240" s="18" t="str">
        <f t="shared" si="1"/>
        <v/>
      </c>
      <c r="AC240" s="18" t="str">
        <f t="shared" si="2"/>
        <v/>
      </c>
      <c r="AD240" s="11">
        <f t="shared" si="3"/>
        <v>0</v>
      </c>
      <c r="AE240" s="11">
        <f t="shared" si="4"/>
        <v>8</v>
      </c>
      <c r="AF240" s="18" t="str">
        <f t="shared" si="5"/>
        <v>M</v>
      </c>
      <c r="AG240" s="18" t="str">
        <f t="shared" si="6"/>
        <v>M-17</v>
      </c>
      <c r="AH240" s="14"/>
      <c r="AI240" s="14"/>
    </row>
    <row r="241" spans="1:35" ht="15.75" hidden="1" customHeight="1">
      <c r="A241" s="8">
        <v>239</v>
      </c>
      <c r="B241" s="9" t="s">
        <v>316</v>
      </c>
      <c r="C241" s="9" t="s">
        <v>299</v>
      </c>
      <c r="D241" s="10">
        <v>18</v>
      </c>
      <c r="E241" s="11"/>
      <c r="F241" s="11"/>
      <c r="G241" s="11"/>
      <c r="H241" s="12">
        <v>1</v>
      </c>
      <c r="I241" s="10">
        <v>17</v>
      </c>
      <c r="J241" s="10">
        <v>18</v>
      </c>
      <c r="K241" s="10">
        <v>5</v>
      </c>
      <c r="L241" s="10">
        <v>5</v>
      </c>
      <c r="M241" s="10">
        <v>0</v>
      </c>
      <c r="N241" s="10">
        <v>0</v>
      </c>
      <c r="O241" s="10">
        <v>0</v>
      </c>
      <c r="P241" s="10">
        <v>3</v>
      </c>
      <c r="Q241" s="10">
        <v>0</v>
      </c>
      <c r="R241" s="12"/>
      <c r="S241" s="13"/>
      <c r="T241" s="13">
        <f t="shared" si="0"/>
        <v>8</v>
      </c>
      <c r="U241" s="11">
        <f ca="1">IFERROR(__xludf.DUMMYFUNCTION("IFERROR(
  SUM(
    FILTER(
      Reporte!$E:$E, 
      REGEXMATCH(Reporte!$A:$A, ""(?i)(TE PAGÓ|PAGASTE)""), 
      Reporte!$H:$H &amp; """" = AG241 &amp; """"
    )
  ), 
  0
)"),0)</f>
        <v>0</v>
      </c>
      <c r="V241" s="11">
        <f ca="1">IFERROR(__xludf.DUMMYFUNCTION("IFERROR(
  SUM(
    FILTER(
      Efectivo!$C:$C, 
      Efectivo!$D:$D &amp; """" = AG241 &amp; """"
    )
  ), 
  0
)"),0)</f>
        <v>0</v>
      </c>
      <c r="W241" s="11"/>
      <c r="X241" s="11"/>
      <c r="Y241" s="11"/>
      <c r="Z241" s="11"/>
      <c r="AA241" s="11"/>
      <c r="AB241" s="11" t="str">
        <f t="shared" si="1"/>
        <v/>
      </c>
      <c r="AC241" s="11" t="str">
        <f t="shared" si="2"/>
        <v/>
      </c>
      <c r="AD241" s="11">
        <f t="shared" si="3"/>
        <v>0</v>
      </c>
      <c r="AE241" s="11">
        <f t="shared" si="4"/>
        <v>0</v>
      </c>
      <c r="AF241" s="11" t="str">
        <f t="shared" si="5"/>
        <v>M</v>
      </c>
      <c r="AG241" s="11" t="str">
        <f t="shared" si="6"/>
        <v>M-18</v>
      </c>
      <c r="AH241" s="21"/>
      <c r="AI241" s="21"/>
    </row>
    <row r="242" spans="1:35" ht="15.75" hidden="1" customHeight="1">
      <c r="A242" s="15">
        <v>240</v>
      </c>
      <c r="B242" s="16" t="s">
        <v>317</v>
      </c>
      <c r="C242" s="16" t="s">
        <v>299</v>
      </c>
      <c r="D242" s="17">
        <v>19</v>
      </c>
      <c r="E242" s="18"/>
      <c r="F242" s="18"/>
      <c r="G242" s="18"/>
      <c r="H242" s="19">
        <v>1</v>
      </c>
      <c r="I242" s="17">
        <v>34</v>
      </c>
      <c r="J242" s="17">
        <v>52</v>
      </c>
      <c r="K242" s="17">
        <v>18</v>
      </c>
      <c r="L242" s="17">
        <v>18</v>
      </c>
      <c r="M242" s="17">
        <v>0</v>
      </c>
      <c r="N242" s="17">
        <v>0</v>
      </c>
      <c r="O242" s="17">
        <v>25</v>
      </c>
      <c r="P242" s="17">
        <v>3</v>
      </c>
      <c r="Q242" s="17">
        <v>0</v>
      </c>
      <c r="R242" s="19"/>
      <c r="S242" s="20"/>
      <c r="T242" s="13">
        <f t="shared" si="0"/>
        <v>46</v>
      </c>
      <c r="U242" s="18">
        <f ca="1">IFERROR(__xludf.DUMMYFUNCTION("IFERROR(
  SUM(
    FILTER(
      Reporte!$E:$E, 
      REGEXMATCH(Reporte!$A:$A, ""(?i)(TE PAGÓ|PAGASTE)""), 
      Reporte!$H:$H &amp; """" = AG242 &amp; """"
    )
  ), 
  0
)"),46)</f>
        <v>46</v>
      </c>
      <c r="V242" s="18">
        <f ca="1">IFERROR(__xludf.DUMMYFUNCTION("IFERROR(
  SUM(
    FILTER(
      Efectivo!$C:$C, 
      Efectivo!$D:$D &amp; """" = AG242 &amp; """"
    )
  ), 
  0
)"),0)</f>
        <v>0</v>
      </c>
      <c r="W242" s="18" t="s">
        <v>35</v>
      </c>
      <c r="X242" s="18"/>
      <c r="Y242" s="18" t="s">
        <v>36</v>
      </c>
      <c r="Z242" s="18"/>
      <c r="AA242" s="18"/>
      <c r="AB242" s="18" t="str">
        <f t="shared" si="1"/>
        <v/>
      </c>
      <c r="AC242" s="18" t="str">
        <f t="shared" si="2"/>
        <v/>
      </c>
      <c r="AD242" s="11">
        <f t="shared" si="3"/>
        <v>0</v>
      </c>
      <c r="AE242" s="11">
        <f t="shared" si="4"/>
        <v>46</v>
      </c>
      <c r="AF242" s="18" t="str">
        <f t="shared" si="5"/>
        <v>M</v>
      </c>
      <c r="AG242" s="18" t="str">
        <f t="shared" si="6"/>
        <v>M-19</v>
      </c>
      <c r="AH242" s="14"/>
      <c r="AI242" s="14"/>
    </row>
    <row r="243" spans="1:35" ht="15.75" hidden="1" customHeight="1">
      <c r="A243" s="8">
        <v>241</v>
      </c>
      <c r="B243" s="9" t="s">
        <v>318</v>
      </c>
      <c r="C243" s="9" t="s">
        <v>299</v>
      </c>
      <c r="D243" s="10">
        <v>20</v>
      </c>
      <c r="E243" s="11"/>
      <c r="F243" s="11"/>
      <c r="G243" s="11"/>
      <c r="H243" s="12">
        <v>1</v>
      </c>
      <c r="I243" s="10">
        <v>31</v>
      </c>
      <c r="J243" s="10">
        <v>56</v>
      </c>
      <c r="K243" s="10">
        <v>25</v>
      </c>
      <c r="L243" s="10">
        <v>25</v>
      </c>
      <c r="M243" s="10">
        <v>0</v>
      </c>
      <c r="N243" s="10">
        <v>0</v>
      </c>
      <c r="O243" s="10">
        <v>0</v>
      </c>
      <c r="P243" s="10">
        <v>3</v>
      </c>
      <c r="Q243" s="10">
        <v>0</v>
      </c>
      <c r="R243" s="12"/>
      <c r="S243" s="13"/>
      <c r="T243" s="13">
        <f t="shared" si="0"/>
        <v>28</v>
      </c>
      <c r="U243" s="11">
        <f ca="1">IFERROR(__xludf.DUMMYFUNCTION("IFERROR(
  SUM(
    FILTER(
      Reporte!$E:$E, 
      REGEXMATCH(Reporte!$A:$A, ""(?i)(TE PAGÓ|PAGASTE)""), 
      Reporte!$H:$H &amp; """" = AG243 &amp; """"
    )
  ), 
  0
)"),0)</f>
        <v>0</v>
      </c>
      <c r="V243" s="11">
        <f ca="1">IFERROR(__xludf.DUMMYFUNCTION("IFERROR(
  SUM(
    FILTER(
      Efectivo!$C:$C, 
      Efectivo!$D:$D &amp; """" = AG243 &amp; """"
    )
  ), 
  0
)"),28)</f>
        <v>28</v>
      </c>
      <c r="W243" s="11" t="s">
        <v>35</v>
      </c>
      <c r="X243" s="11"/>
      <c r="Y243" s="11"/>
      <c r="Z243" s="11"/>
      <c r="AA243" s="11"/>
      <c r="AB243" s="11" t="str">
        <f t="shared" si="1"/>
        <v/>
      </c>
      <c r="AC243" s="11" t="str">
        <f t="shared" si="2"/>
        <v/>
      </c>
      <c r="AD243" s="11">
        <f t="shared" si="3"/>
        <v>28</v>
      </c>
      <c r="AE243" s="11">
        <f t="shared" si="4"/>
        <v>0</v>
      </c>
      <c r="AF243" s="11" t="str">
        <f t="shared" si="5"/>
        <v>M</v>
      </c>
      <c r="AG243" s="11" t="str">
        <f t="shared" si="6"/>
        <v>M-20</v>
      </c>
      <c r="AH243" s="21"/>
      <c r="AI243" s="21"/>
    </row>
    <row r="244" spans="1:35" ht="15.75" hidden="1" customHeight="1">
      <c r="A244" s="15">
        <v>242</v>
      </c>
      <c r="B244" s="16" t="s">
        <v>319</v>
      </c>
      <c r="C244" s="16" t="s">
        <v>299</v>
      </c>
      <c r="D244" s="17">
        <v>21</v>
      </c>
      <c r="E244" s="18"/>
      <c r="F244" s="18"/>
      <c r="G244" s="18"/>
      <c r="H244" s="19">
        <v>1</v>
      </c>
      <c r="I244" s="17">
        <v>39</v>
      </c>
      <c r="J244" s="17">
        <v>70</v>
      </c>
      <c r="K244" s="17">
        <v>31</v>
      </c>
      <c r="L244" s="17">
        <v>31</v>
      </c>
      <c r="M244" s="17">
        <v>31</v>
      </c>
      <c r="N244" s="17">
        <v>0</v>
      </c>
      <c r="O244" s="17">
        <v>25</v>
      </c>
      <c r="P244" s="17">
        <v>3</v>
      </c>
      <c r="Q244" s="17">
        <v>0</v>
      </c>
      <c r="R244" s="19"/>
      <c r="S244" s="20"/>
      <c r="T244" s="13">
        <f t="shared" si="0"/>
        <v>90</v>
      </c>
      <c r="U244" s="18">
        <f ca="1">IFERROR(__xludf.DUMMYFUNCTION("IFERROR(
  SUM(
    FILTER(
      Reporte!$E:$E, 
      REGEXMATCH(Reporte!$A:$A, ""(?i)(TE PAGÓ|PAGASTE)""), 
      Reporte!$H:$H &amp; """" = AG244 &amp; """"
    )
  ), 
  0
)"),90)</f>
        <v>90</v>
      </c>
      <c r="V244" s="18">
        <f ca="1">IFERROR(__xludf.DUMMYFUNCTION("IFERROR(
  SUM(
    FILTER(
      Efectivo!$C:$C, 
      Efectivo!$D:$D &amp; """" = AG244 &amp; """"
    )
  ), 
  0
)"),0)</f>
        <v>0</v>
      </c>
      <c r="W244" s="18" t="s">
        <v>35</v>
      </c>
      <c r="X244" s="18"/>
      <c r="Y244" s="18" t="s">
        <v>36</v>
      </c>
      <c r="Z244" s="18"/>
      <c r="AA244" s="18"/>
      <c r="AB244" s="18" t="str">
        <f t="shared" si="1"/>
        <v/>
      </c>
      <c r="AC244" s="18" t="str">
        <f t="shared" si="2"/>
        <v/>
      </c>
      <c r="AD244" s="11">
        <f t="shared" si="3"/>
        <v>0</v>
      </c>
      <c r="AE244" s="11">
        <f t="shared" si="4"/>
        <v>90</v>
      </c>
      <c r="AF244" s="18" t="str">
        <f t="shared" si="5"/>
        <v>M</v>
      </c>
      <c r="AG244" s="18" t="str">
        <f t="shared" si="6"/>
        <v>M-21</v>
      </c>
      <c r="AH244" s="14"/>
      <c r="AI244" s="14"/>
    </row>
    <row r="245" spans="1:35" ht="15.75" hidden="1" customHeight="1">
      <c r="A245" s="8">
        <v>243</v>
      </c>
      <c r="B245" s="9" t="s">
        <v>320</v>
      </c>
      <c r="C245" s="9" t="s">
        <v>299</v>
      </c>
      <c r="D245" s="10">
        <v>22</v>
      </c>
      <c r="E245" s="11"/>
      <c r="F245" s="11"/>
      <c r="G245" s="11"/>
      <c r="H245" s="12">
        <v>1</v>
      </c>
      <c r="I245" s="10">
        <v>45</v>
      </c>
      <c r="J245" s="10">
        <v>66</v>
      </c>
      <c r="K245" s="10">
        <v>21</v>
      </c>
      <c r="L245" s="10">
        <v>21</v>
      </c>
      <c r="M245" s="10">
        <v>0</v>
      </c>
      <c r="N245" s="10">
        <v>0</v>
      </c>
      <c r="O245" s="10">
        <v>25</v>
      </c>
      <c r="P245" s="10">
        <v>3</v>
      </c>
      <c r="Q245" s="10">
        <v>0</v>
      </c>
      <c r="R245" s="12"/>
      <c r="S245" s="13"/>
      <c r="T245" s="13">
        <f t="shared" si="0"/>
        <v>49</v>
      </c>
      <c r="U245" s="11">
        <f ca="1">IFERROR(__xludf.DUMMYFUNCTION("IFERROR(
  SUM(
    FILTER(
      Reporte!$E:$E, 
      REGEXMATCH(Reporte!$A:$A, ""(?i)(TE PAGÓ|PAGASTE)""), 
      Reporte!$H:$H &amp; """" = AG245 &amp; """"
    )
  ), 
  0
)"),0)</f>
        <v>0</v>
      </c>
      <c r="V245" s="11">
        <f ca="1">IFERROR(__xludf.DUMMYFUNCTION("IFERROR(
  SUM(
    FILTER(
      Efectivo!$C:$C, 
      Efectivo!$D:$D &amp; """" = AG245 &amp; """"
    )
  ), 
  0
)"),0)</f>
        <v>0</v>
      </c>
      <c r="W245" s="11"/>
      <c r="X245" s="11"/>
      <c r="Y245" s="11"/>
      <c r="Z245" s="11"/>
      <c r="AA245" s="11"/>
      <c r="AB245" s="11" t="str">
        <f t="shared" si="1"/>
        <v/>
      </c>
      <c r="AC245" s="11" t="str">
        <f t="shared" si="2"/>
        <v/>
      </c>
      <c r="AD245" s="11">
        <f t="shared" si="3"/>
        <v>0</v>
      </c>
      <c r="AE245" s="11">
        <f t="shared" si="4"/>
        <v>0</v>
      </c>
      <c r="AF245" s="11" t="str">
        <f t="shared" si="5"/>
        <v>M</v>
      </c>
      <c r="AG245" s="11" t="str">
        <f t="shared" si="6"/>
        <v>M-22</v>
      </c>
      <c r="AH245" s="21"/>
      <c r="AI245" s="21"/>
    </row>
    <row r="246" spans="1:35" ht="15.75" hidden="1" customHeight="1">
      <c r="A246" s="15">
        <v>244</v>
      </c>
      <c r="B246" s="16" t="s">
        <v>321</v>
      </c>
      <c r="C246" s="16" t="s">
        <v>78</v>
      </c>
      <c r="D246" s="17">
        <v>1</v>
      </c>
      <c r="E246" s="18"/>
      <c r="F246" s="18"/>
      <c r="G246" s="18"/>
      <c r="H246" s="19">
        <v>1</v>
      </c>
      <c r="I246" s="17">
        <v>27</v>
      </c>
      <c r="J246" s="17">
        <v>49</v>
      </c>
      <c r="K246" s="17">
        <v>22</v>
      </c>
      <c r="L246" s="17">
        <v>22</v>
      </c>
      <c r="M246" s="17">
        <v>0</v>
      </c>
      <c r="N246" s="17">
        <v>0</v>
      </c>
      <c r="O246" s="17">
        <v>25</v>
      </c>
      <c r="P246" s="17">
        <v>3</v>
      </c>
      <c r="Q246" s="17">
        <v>0</v>
      </c>
      <c r="R246" s="19"/>
      <c r="S246" s="20"/>
      <c r="T246" s="13">
        <f t="shared" si="0"/>
        <v>50</v>
      </c>
      <c r="U246" s="18">
        <f ca="1">IFERROR(__xludf.DUMMYFUNCTION("IFERROR(
  SUM(
    FILTER(
      Reporte!$E:$E, 
      REGEXMATCH(Reporte!$A:$A, ""(?i)(TE PAGÓ|PAGASTE)""), 
      Reporte!$H:$H &amp; """" = AG246 &amp; """"
    )
  ), 
  0
)"),0)</f>
        <v>0</v>
      </c>
      <c r="V246" s="18">
        <f ca="1">IFERROR(__xludf.DUMMYFUNCTION("IFERROR(
  SUM(
    FILTER(
      Efectivo!$C:$C, 
      Efectivo!$D:$D &amp; """" = AG246 &amp; """"
    )
  ), 
  0
)"),0)</f>
        <v>0</v>
      </c>
      <c r="W246" s="18"/>
      <c r="X246" s="18"/>
      <c r="Y246" s="18"/>
      <c r="Z246" s="18"/>
      <c r="AA246" s="18"/>
      <c r="AB246" s="18" t="str">
        <f t="shared" si="1"/>
        <v/>
      </c>
      <c r="AC246" s="18" t="str">
        <f t="shared" si="2"/>
        <v/>
      </c>
      <c r="AD246" s="11">
        <f t="shared" si="3"/>
        <v>0</v>
      </c>
      <c r="AE246" s="11">
        <f t="shared" si="4"/>
        <v>0</v>
      </c>
      <c r="AF246" s="18" t="str">
        <f t="shared" si="5"/>
        <v>N</v>
      </c>
      <c r="AG246" s="18" t="str">
        <f t="shared" si="6"/>
        <v>N-1</v>
      </c>
      <c r="AH246" s="14"/>
      <c r="AI246" s="14"/>
    </row>
    <row r="247" spans="1:35" ht="15.75" hidden="1" customHeight="1">
      <c r="A247" s="8">
        <v>245</v>
      </c>
      <c r="B247" s="9" t="s">
        <v>322</v>
      </c>
      <c r="C247" s="9" t="s">
        <v>78</v>
      </c>
      <c r="D247" s="10">
        <v>2</v>
      </c>
      <c r="E247" s="11"/>
      <c r="F247" s="11"/>
      <c r="G247" s="11"/>
      <c r="H247" s="12">
        <v>1</v>
      </c>
      <c r="I247" s="10">
        <v>30</v>
      </c>
      <c r="J247" s="10">
        <v>60</v>
      </c>
      <c r="K247" s="10">
        <v>30</v>
      </c>
      <c r="L247" s="10">
        <v>30</v>
      </c>
      <c r="M247" s="10">
        <v>0</v>
      </c>
      <c r="N247" s="10">
        <v>0</v>
      </c>
      <c r="O247" s="10">
        <v>25</v>
      </c>
      <c r="P247" s="10">
        <v>3</v>
      </c>
      <c r="Q247" s="10">
        <v>0</v>
      </c>
      <c r="R247" s="12"/>
      <c r="S247" s="13"/>
      <c r="T247" s="13">
        <f t="shared" si="0"/>
        <v>58</v>
      </c>
      <c r="U247" s="11">
        <f ca="1">IFERROR(__xludf.DUMMYFUNCTION("IFERROR(
  SUM(
    FILTER(
      Reporte!$E:$E, 
      REGEXMATCH(Reporte!$A:$A, ""(?i)(TE PAGÓ|PAGASTE)""), 
      Reporte!$H:$H &amp; """" = AG247 &amp; """"
    )
  ), 
  0
)"),0)</f>
        <v>0</v>
      </c>
      <c r="V247" s="11">
        <f ca="1">IFERROR(__xludf.DUMMYFUNCTION("IFERROR(
  SUM(
    FILTER(
      Efectivo!$C:$C, 
      Efectivo!$D:$D &amp; """" = AG247 &amp; """"
    )
  ), 
  0
)"),58)</f>
        <v>58</v>
      </c>
      <c r="W247" s="11" t="s">
        <v>35</v>
      </c>
      <c r="X247" s="11"/>
      <c r="Y247" s="11"/>
      <c r="Z247" s="11"/>
      <c r="AA247" s="11"/>
      <c r="AB247" s="11" t="str">
        <f t="shared" si="1"/>
        <v/>
      </c>
      <c r="AC247" s="11" t="str">
        <f t="shared" si="2"/>
        <v/>
      </c>
      <c r="AD247" s="11">
        <f t="shared" si="3"/>
        <v>58</v>
      </c>
      <c r="AE247" s="11">
        <f t="shared" si="4"/>
        <v>0</v>
      </c>
      <c r="AF247" s="11" t="str">
        <f t="shared" si="5"/>
        <v>N</v>
      </c>
      <c r="AG247" s="11" t="str">
        <f t="shared" si="6"/>
        <v>N-2</v>
      </c>
      <c r="AH247" s="21"/>
      <c r="AI247" s="21"/>
    </row>
    <row r="248" spans="1:35" ht="15.75" hidden="1" customHeight="1">
      <c r="A248" s="15">
        <v>246</v>
      </c>
      <c r="B248" s="16" t="s">
        <v>323</v>
      </c>
      <c r="C248" s="16" t="s">
        <v>78</v>
      </c>
      <c r="D248" s="17">
        <v>3</v>
      </c>
      <c r="E248" s="18"/>
      <c r="F248" s="18"/>
      <c r="G248" s="18"/>
      <c r="H248" s="19">
        <v>1</v>
      </c>
      <c r="I248" s="17">
        <v>6</v>
      </c>
      <c r="J248" s="17">
        <v>12</v>
      </c>
      <c r="K248" s="17">
        <v>6</v>
      </c>
      <c r="L248" s="17">
        <v>6</v>
      </c>
      <c r="M248" s="17">
        <v>0</v>
      </c>
      <c r="N248" s="17">
        <v>0</v>
      </c>
      <c r="O248" s="17">
        <v>11</v>
      </c>
      <c r="P248" s="17">
        <v>3</v>
      </c>
      <c r="Q248" s="17">
        <v>0</v>
      </c>
      <c r="R248" s="19"/>
      <c r="S248" s="20"/>
      <c r="T248" s="13">
        <f t="shared" si="0"/>
        <v>20</v>
      </c>
      <c r="U248" s="18">
        <f ca="1">IFERROR(__xludf.DUMMYFUNCTION("IFERROR(
  SUM(
    FILTER(
      Reporte!$E:$E, 
      REGEXMATCH(Reporte!$A:$A, ""(?i)(TE PAGÓ|PAGASTE)""), 
      Reporte!$H:$H &amp; """" = AG248 &amp; """"
    )
  ), 
  0
)"),0)</f>
        <v>0</v>
      </c>
      <c r="V248" s="18">
        <f ca="1">IFERROR(__xludf.DUMMYFUNCTION("IFERROR(
  SUM(
    FILTER(
      Efectivo!$C:$C, 
      Efectivo!$D:$D &amp; """" = AG248 &amp; """"
    )
  ), 
  0
)"),20)</f>
        <v>20</v>
      </c>
      <c r="W248" s="18" t="s">
        <v>35</v>
      </c>
      <c r="X248" s="18"/>
      <c r="Y248" s="18"/>
      <c r="Z248" s="18"/>
      <c r="AA248" s="18"/>
      <c r="AB248" s="18" t="str">
        <f t="shared" si="1"/>
        <v/>
      </c>
      <c r="AC248" s="18" t="str">
        <f t="shared" si="2"/>
        <v/>
      </c>
      <c r="AD248" s="11">
        <f t="shared" si="3"/>
        <v>20</v>
      </c>
      <c r="AE248" s="11">
        <f t="shared" si="4"/>
        <v>0</v>
      </c>
      <c r="AF248" s="18" t="str">
        <f t="shared" si="5"/>
        <v>N</v>
      </c>
      <c r="AG248" s="18" t="str">
        <f t="shared" si="6"/>
        <v>N-3</v>
      </c>
      <c r="AH248" s="14"/>
      <c r="AI248" s="14"/>
    </row>
    <row r="249" spans="1:35" ht="15.75" hidden="1" customHeight="1">
      <c r="A249" s="8">
        <v>247</v>
      </c>
      <c r="B249" s="9" t="s">
        <v>324</v>
      </c>
      <c r="C249" s="9" t="s">
        <v>78</v>
      </c>
      <c r="D249" s="10">
        <v>4</v>
      </c>
      <c r="E249" s="11"/>
      <c r="F249" s="11"/>
      <c r="G249" s="11"/>
      <c r="H249" s="12">
        <v>1</v>
      </c>
      <c r="I249" s="10">
        <v>164</v>
      </c>
      <c r="J249" s="10">
        <v>169</v>
      </c>
      <c r="K249" s="10">
        <v>5</v>
      </c>
      <c r="L249" s="10">
        <v>5</v>
      </c>
      <c r="M249" s="10">
        <v>0</v>
      </c>
      <c r="N249" s="10">
        <v>0</v>
      </c>
      <c r="O249" s="10">
        <v>0</v>
      </c>
      <c r="P249" s="10">
        <v>3</v>
      </c>
      <c r="Q249" s="10">
        <v>0</v>
      </c>
      <c r="R249" s="12"/>
      <c r="S249" s="13"/>
      <c r="T249" s="13">
        <f t="shared" si="0"/>
        <v>8</v>
      </c>
      <c r="U249" s="11">
        <f ca="1">IFERROR(__xludf.DUMMYFUNCTION("IFERROR(
  SUM(
    FILTER(
      Reporte!$E:$E, 
      REGEXMATCH(Reporte!$A:$A, ""(?i)(TE PAGÓ|PAGASTE)""), 
      Reporte!$H:$H &amp; """" = AG249 &amp; """"
    )
  ), 
  0
)"),0)</f>
        <v>0</v>
      </c>
      <c r="V249" s="11">
        <f ca="1">IFERROR(__xludf.DUMMYFUNCTION("IFERROR(
  SUM(
    FILTER(
      Efectivo!$C:$C, 
      Efectivo!$D:$D &amp; """" = AG249 &amp; """"
    )
  ), 
  0
)"),8)</f>
        <v>8</v>
      </c>
      <c r="W249" s="11" t="s">
        <v>35</v>
      </c>
      <c r="X249" s="11"/>
      <c r="Y249" s="11"/>
      <c r="Z249" s="11"/>
      <c r="AA249" s="11"/>
      <c r="AB249" s="11" t="str">
        <f t="shared" si="1"/>
        <v/>
      </c>
      <c r="AC249" s="11" t="str">
        <f t="shared" si="2"/>
        <v/>
      </c>
      <c r="AD249" s="11">
        <f t="shared" si="3"/>
        <v>8</v>
      </c>
      <c r="AE249" s="11">
        <f t="shared" si="4"/>
        <v>0</v>
      </c>
      <c r="AF249" s="11" t="str">
        <f t="shared" si="5"/>
        <v>N</v>
      </c>
      <c r="AG249" s="11" t="str">
        <f t="shared" si="6"/>
        <v>N-4</v>
      </c>
      <c r="AH249" s="21"/>
      <c r="AI249" s="21"/>
    </row>
    <row r="250" spans="1:35" ht="15.75" hidden="1" customHeight="1">
      <c r="A250" s="15">
        <v>248</v>
      </c>
      <c r="B250" s="16" t="s">
        <v>325</v>
      </c>
      <c r="C250" s="16" t="s">
        <v>78</v>
      </c>
      <c r="D250" s="17">
        <v>5</v>
      </c>
      <c r="E250" s="18"/>
      <c r="F250" s="18"/>
      <c r="G250" s="18"/>
      <c r="H250" s="19">
        <v>1</v>
      </c>
      <c r="I250" s="17">
        <v>769</v>
      </c>
      <c r="J250" s="17">
        <v>806</v>
      </c>
      <c r="K250" s="17">
        <v>37</v>
      </c>
      <c r="L250" s="17">
        <v>37</v>
      </c>
      <c r="M250" s="17">
        <v>0</v>
      </c>
      <c r="N250" s="17">
        <v>0</v>
      </c>
      <c r="O250" s="17">
        <v>0</v>
      </c>
      <c r="P250" s="17">
        <v>3</v>
      </c>
      <c r="Q250" s="17">
        <v>0</v>
      </c>
      <c r="R250" s="19"/>
      <c r="S250" s="20"/>
      <c r="T250" s="13">
        <f t="shared" si="0"/>
        <v>40</v>
      </c>
      <c r="U250" s="18">
        <f ca="1">IFERROR(__xludf.DUMMYFUNCTION("IFERROR(
  SUM(
    FILTER(
      Reporte!$E:$E, 
      REGEXMATCH(Reporte!$A:$A, ""(?i)(TE PAGÓ|PAGASTE)""), 
      Reporte!$H:$H &amp; """" = AG250 &amp; """"
    )
  ), 
  0
)"),40)</f>
        <v>40</v>
      </c>
      <c r="V250" s="18">
        <f ca="1">IFERROR(__xludf.DUMMYFUNCTION("IFERROR(
  SUM(
    FILTER(
      Efectivo!$C:$C, 
      Efectivo!$D:$D &amp; """" = AG250 &amp; """"
    )
  ), 
  0
)"),0)</f>
        <v>0</v>
      </c>
      <c r="W250" s="18" t="s">
        <v>35</v>
      </c>
      <c r="X250" s="18"/>
      <c r="Y250" s="18" t="s">
        <v>36</v>
      </c>
      <c r="Z250" s="18"/>
      <c r="AA250" s="18"/>
      <c r="AB250" s="18" t="str">
        <f t="shared" si="1"/>
        <v/>
      </c>
      <c r="AC250" s="18" t="str">
        <f t="shared" si="2"/>
        <v/>
      </c>
      <c r="AD250" s="11">
        <f t="shared" si="3"/>
        <v>0</v>
      </c>
      <c r="AE250" s="11">
        <f t="shared" si="4"/>
        <v>40</v>
      </c>
      <c r="AF250" s="18" t="str">
        <f t="shared" si="5"/>
        <v>N</v>
      </c>
      <c r="AG250" s="18" t="str">
        <f t="shared" si="6"/>
        <v>N-5</v>
      </c>
      <c r="AH250" s="14"/>
      <c r="AI250" s="14"/>
    </row>
    <row r="251" spans="1:35" ht="15.75" hidden="1" customHeight="1">
      <c r="A251" s="8">
        <v>249</v>
      </c>
      <c r="B251" s="9" t="s">
        <v>326</v>
      </c>
      <c r="C251" s="9" t="s">
        <v>327</v>
      </c>
      <c r="D251" s="10">
        <v>1</v>
      </c>
      <c r="E251" s="11"/>
      <c r="F251" s="11"/>
      <c r="G251" s="11"/>
      <c r="H251" s="12">
        <v>1</v>
      </c>
      <c r="I251" s="10">
        <v>11</v>
      </c>
      <c r="J251" s="10">
        <v>25</v>
      </c>
      <c r="K251" s="10">
        <v>14</v>
      </c>
      <c r="L251" s="10">
        <v>14</v>
      </c>
      <c r="M251" s="10">
        <v>0</v>
      </c>
      <c r="N251" s="10">
        <v>0</v>
      </c>
      <c r="O251" s="10">
        <v>25</v>
      </c>
      <c r="P251" s="10">
        <v>3</v>
      </c>
      <c r="Q251" s="10">
        <v>0</v>
      </c>
      <c r="R251" s="12"/>
      <c r="S251" s="13"/>
      <c r="T251" s="13">
        <f t="shared" si="0"/>
        <v>42</v>
      </c>
      <c r="U251" s="11">
        <f ca="1">IFERROR(__xludf.DUMMYFUNCTION("IFERROR(
  SUM(
    FILTER(
      Reporte!$E:$E, 
      REGEXMATCH(Reporte!$A:$A, ""(?i)(TE PAGÓ|PAGASTE)""), 
      Reporte!$H:$H &amp; """" = AG251 &amp; """"
    )
  ), 
  0
)"),42)</f>
        <v>42</v>
      </c>
      <c r="V251" s="11">
        <f ca="1">IFERROR(__xludf.DUMMYFUNCTION("IFERROR(
  SUM(
    FILTER(
      Efectivo!$C:$C, 
      Efectivo!$D:$D &amp; """" = AG251 &amp; """"
    )
  ), 
  0
)"),0)</f>
        <v>0</v>
      </c>
      <c r="W251" s="11" t="s">
        <v>35</v>
      </c>
      <c r="X251" s="11"/>
      <c r="Y251" s="11" t="s">
        <v>36</v>
      </c>
      <c r="Z251" s="11"/>
      <c r="AA251" s="11"/>
      <c r="AB251" s="11" t="str">
        <f t="shared" si="1"/>
        <v/>
      </c>
      <c r="AC251" s="11" t="str">
        <f t="shared" si="2"/>
        <v/>
      </c>
      <c r="AD251" s="11">
        <f t="shared" si="3"/>
        <v>0</v>
      </c>
      <c r="AE251" s="11">
        <f t="shared" si="4"/>
        <v>42</v>
      </c>
      <c r="AF251" s="11" t="str">
        <f t="shared" si="5"/>
        <v>O</v>
      </c>
      <c r="AG251" s="11" t="str">
        <f t="shared" si="6"/>
        <v>O-1</v>
      </c>
      <c r="AH251" s="21"/>
      <c r="AI251" s="21"/>
    </row>
    <row r="252" spans="1:35" ht="15.75" hidden="1" customHeight="1">
      <c r="A252" s="15">
        <v>250</v>
      </c>
      <c r="B252" s="16" t="s">
        <v>328</v>
      </c>
      <c r="C252" s="16" t="s">
        <v>327</v>
      </c>
      <c r="D252" s="17">
        <v>2</v>
      </c>
      <c r="E252" s="18"/>
      <c r="F252" s="18"/>
      <c r="G252" s="18"/>
      <c r="H252" s="19">
        <v>1</v>
      </c>
      <c r="I252" s="17">
        <v>32</v>
      </c>
      <c r="J252" s="17">
        <v>42</v>
      </c>
      <c r="K252" s="17">
        <v>10</v>
      </c>
      <c r="L252" s="17">
        <v>10</v>
      </c>
      <c r="M252" s="17">
        <v>0</v>
      </c>
      <c r="N252" s="17">
        <v>0</v>
      </c>
      <c r="O252" s="17">
        <v>0</v>
      </c>
      <c r="P252" s="17">
        <v>3</v>
      </c>
      <c r="Q252" s="17">
        <v>0</v>
      </c>
      <c r="R252" s="19"/>
      <c r="S252" s="20"/>
      <c r="T252" s="13">
        <f t="shared" si="0"/>
        <v>13</v>
      </c>
      <c r="U252" s="18">
        <f ca="1">IFERROR(__xludf.DUMMYFUNCTION("IFERROR(
  SUM(
    FILTER(
      Reporte!$E:$E, 
      REGEXMATCH(Reporte!$A:$A, ""(?i)(TE PAGÓ|PAGASTE)""), 
      Reporte!$H:$H &amp; """" = AG252 &amp; """"
    )
  ), 
  0
)"),0)</f>
        <v>0</v>
      </c>
      <c r="V252" s="18">
        <f ca="1">IFERROR(__xludf.DUMMYFUNCTION("IFERROR(
  SUM(
    FILTER(
      Efectivo!$C:$C, 
      Efectivo!$D:$D &amp; """" = AG252 &amp; """"
    )
  ), 
  0
)"),0)</f>
        <v>0</v>
      </c>
      <c r="W252" s="18"/>
      <c r="X252" s="18"/>
      <c r="Y252" s="18"/>
      <c r="Z252" s="18"/>
      <c r="AA252" s="18"/>
      <c r="AB252" s="18" t="str">
        <f t="shared" si="1"/>
        <v/>
      </c>
      <c r="AC252" s="18" t="str">
        <f t="shared" si="2"/>
        <v/>
      </c>
      <c r="AD252" s="11">
        <f t="shared" si="3"/>
        <v>0</v>
      </c>
      <c r="AE252" s="11">
        <f t="shared" si="4"/>
        <v>0</v>
      </c>
      <c r="AF252" s="18" t="str">
        <f t="shared" si="5"/>
        <v>O</v>
      </c>
      <c r="AG252" s="18" t="str">
        <f t="shared" si="6"/>
        <v>O-2</v>
      </c>
      <c r="AH252" s="14"/>
      <c r="AI252" s="14"/>
    </row>
    <row r="253" spans="1:35" ht="15.75" hidden="1" customHeight="1">
      <c r="A253" s="8">
        <v>251</v>
      </c>
      <c r="B253" s="9" t="s">
        <v>329</v>
      </c>
      <c r="C253" s="9" t="s">
        <v>327</v>
      </c>
      <c r="D253" s="10">
        <v>3</v>
      </c>
      <c r="E253" s="11"/>
      <c r="F253" s="11"/>
      <c r="G253" s="11"/>
      <c r="H253" s="12">
        <v>1</v>
      </c>
      <c r="I253" s="10">
        <v>10</v>
      </c>
      <c r="J253" s="10">
        <v>20</v>
      </c>
      <c r="K253" s="10">
        <v>10</v>
      </c>
      <c r="L253" s="10">
        <v>10</v>
      </c>
      <c r="M253" s="10">
        <v>0</v>
      </c>
      <c r="N253" s="10">
        <v>0</v>
      </c>
      <c r="O253" s="10">
        <v>0</v>
      </c>
      <c r="P253" s="10">
        <v>3</v>
      </c>
      <c r="Q253" s="10">
        <v>0</v>
      </c>
      <c r="R253" s="12"/>
      <c r="S253" s="13"/>
      <c r="T253" s="13">
        <f t="shared" si="0"/>
        <v>13</v>
      </c>
      <c r="U253" s="11">
        <f ca="1">IFERROR(__xludf.DUMMYFUNCTION("IFERROR(
  SUM(
    FILTER(
      Reporte!$E:$E, 
      REGEXMATCH(Reporte!$A:$A, ""(?i)(TE PAGÓ|PAGASTE)""), 
      Reporte!$H:$H &amp; """" = AG253 &amp; """"
    )
  ), 
  0
)"),0)</f>
        <v>0</v>
      </c>
      <c r="V253" s="11">
        <f ca="1">IFERROR(__xludf.DUMMYFUNCTION("IFERROR(
  SUM(
    FILTER(
      Efectivo!$C:$C, 
      Efectivo!$D:$D &amp; """" = AG253 &amp; """"
    )
  ), 
  0
)"),13)</f>
        <v>13</v>
      </c>
      <c r="W253" s="11" t="s">
        <v>35</v>
      </c>
      <c r="X253" s="11"/>
      <c r="Y253" s="11"/>
      <c r="Z253" s="11"/>
      <c r="AA253" s="11"/>
      <c r="AB253" s="11" t="str">
        <f t="shared" si="1"/>
        <v/>
      </c>
      <c r="AC253" s="11" t="str">
        <f t="shared" si="2"/>
        <v/>
      </c>
      <c r="AD253" s="11">
        <f t="shared" si="3"/>
        <v>13</v>
      </c>
      <c r="AE253" s="11">
        <f t="shared" si="4"/>
        <v>0</v>
      </c>
      <c r="AF253" s="11" t="str">
        <f t="shared" si="5"/>
        <v>O</v>
      </c>
      <c r="AG253" s="11" t="str">
        <f t="shared" si="6"/>
        <v>O-3</v>
      </c>
      <c r="AH253" s="21"/>
      <c r="AI253" s="21"/>
    </row>
    <row r="254" spans="1:35" ht="15.75" hidden="1" customHeight="1">
      <c r="A254" s="15">
        <v>252</v>
      </c>
      <c r="B254" s="16" t="s">
        <v>330</v>
      </c>
      <c r="C254" s="16" t="s">
        <v>327</v>
      </c>
      <c r="D254" s="17">
        <v>4</v>
      </c>
      <c r="E254" s="18"/>
      <c r="F254" s="18"/>
      <c r="G254" s="18"/>
      <c r="H254" s="19">
        <v>1</v>
      </c>
      <c r="I254" s="17">
        <v>4</v>
      </c>
      <c r="J254" s="17">
        <v>8</v>
      </c>
      <c r="K254" s="17">
        <v>5</v>
      </c>
      <c r="L254" s="17">
        <v>5</v>
      </c>
      <c r="M254" s="17">
        <v>0</v>
      </c>
      <c r="N254" s="17">
        <v>0</v>
      </c>
      <c r="O254" s="17">
        <v>25</v>
      </c>
      <c r="P254" s="17">
        <v>3</v>
      </c>
      <c r="Q254" s="17">
        <v>0</v>
      </c>
      <c r="R254" s="19"/>
      <c r="S254" s="20"/>
      <c r="T254" s="13">
        <f t="shared" si="0"/>
        <v>33</v>
      </c>
      <c r="U254" s="18">
        <f ca="1">IFERROR(__xludf.DUMMYFUNCTION("IFERROR(
  SUM(
    FILTER(
      Reporte!$E:$E, 
      REGEXMATCH(Reporte!$A:$A, ""(?i)(TE PAGÓ|PAGASTE)""), 
      Reporte!$H:$H &amp; """" = AG254 &amp; """"
    )
  ), 
  0
)"),0)</f>
        <v>0</v>
      </c>
      <c r="V254" s="18">
        <f ca="1">IFERROR(__xludf.DUMMYFUNCTION("IFERROR(
  SUM(
    FILTER(
      Efectivo!$C:$C, 
      Efectivo!$D:$D &amp; """" = AG254 &amp; """"
    )
  ), 
  0
)"),33)</f>
        <v>33</v>
      </c>
      <c r="W254" s="18" t="s">
        <v>35</v>
      </c>
      <c r="X254" s="18"/>
      <c r="Y254" s="18"/>
      <c r="Z254" s="18"/>
      <c r="AA254" s="18"/>
      <c r="AB254" s="18" t="str">
        <f t="shared" si="1"/>
        <v/>
      </c>
      <c r="AC254" s="18" t="str">
        <f t="shared" si="2"/>
        <v/>
      </c>
      <c r="AD254" s="11">
        <f t="shared" si="3"/>
        <v>33</v>
      </c>
      <c r="AE254" s="11">
        <f t="shared" si="4"/>
        <v>0</v>
      </c>
      <c r="AF254" s="18" t="str">
        <f t="shared" si="5"/>
        <v>O</v>
      </c>
      <c r="AG254" s="18" t="str">
        <f t="shared" si="6"/>
        <v>O-4</v>
      </c>
      <c r="AH254" s="14"/>
      <c r="AI254" s="14"/>
    </row>
    <row r="255" spans="1:35" ht="15.75" hidden="1" customHeight="1">
      <c r="A255" s="8">
        <v>253</v>
      </c>
      <c r="B255" s="9" t="s">
        <v>331</v>
      </c>
      <c r="C255" s="9" t="s">
        <v>327</v>
      </c>
      <c r="D255" s="10">
        <v>5</v>
      </c>
      <c r="E255" s="11"/>
      <c r="F255" s="12">
        <v>1</v>
      </c>
      <c r="G255" s="11"/>
      <c r="H255" s="12">
        <v>1</v>
      </c>
      <c r="I255" s="10">
        <v>661</v>
      </c>
      <c r="J255" s="10">
        <v>666</v>
      </c>
      <c r="K255" s="10">
        <v>5</v>
      </c>
      <c r="L255" s="10">
        <v>5</v>
      </c>
      <c r="M255" s="10">
        <v>0</v>
      </c>
      <c r="N255" s="10">
        <v>0</v>
      </c>
      <c r="O255" s="10">
        <v>0</v>
      </c>
      <c r="P255" s="10">
        <v>3</v>
      </c>
      <c r="Q255" s="10">
        <v>0</v>
      </c>
      <c r="R255" s="12"/>
      <c r="S255" s="13"/>
      <c r="T255" s="13">
        <f t="shared" si="0"/>
        <v>8</v>
      </c>
      <c r="U255" s="11">
        <f ca="1">IFERROR(__xludf.DUMMYFUNCTION("IFERROR(
  SUM(
    FILTER(
      Reporte!$E:$E, 
      REGEXMATCH(Reporte!$A:$A, ""(?i)(TE PAGÓ|PAGASTE)""), 
      Reporte!$H:$H &amp; """" = AG255 &amp; """"
    )
  ), 
  0
)"),0)</f>
        <v>0</v>
      </c>
      <c r="V255" s="11">
        <f ca="1">IFERROR(__xludf.DUMMYFUNCTION("IFERROR(
  SUM(
    FILTER(
      Efectivo!$C:$C, 
      Efectivo!$D:$D &amp; """" = AG255 &amp; """"
    )
  ), 
  0
)"),8)</f>
        <v>8</v>
      </c>
      <c r="W255" s="11" t="s">
        <v>35</v>
      </c>
      <c r="X255" s="11"/>
      <c r="Y255" s="11"/>
      <c r="Z255" s="11"/>
      <c r="AA255" s="11"/>
      <c r="AB255" s="11" t="str">
        <f t="shared" si="1"/>
        <v/>
      </c>
      <c r="AC255" s="11" t="str">
        <f t="shared" si="2"/>
        <v/>
      </c>
      <c r="AD255" s="11">
        <f t="shared" si="3"/>
        <v>8</v>
      </c>
      <c r="AE255" s="11">
        <f t="shared" si="4"/>
        <v>0</v>
      </c>
      <c r="AF255" s="11" t="str">
        <f t="shared" si="5"/>
        <v>O</v>
      </c>
      <c r="AG255" s="11" t="str">
        <f t="shared" si="6"/>
        <v>O-5</v>
      </c>
      <c r="AH255" s="21"/>
      <c r="AI255" s="21"/>
    </row>
    <row r="256" spans="1:35" ht="15.75" hidden="1" customHeight="1">
      <c r="A256" s="15">
        <v>254</v>
      </c>
      <c r="B256" s="16" t="s">
        <v>332</v>
      </c>
      <c r="C256" s="16" t="s">
        <v>327</v>
      </c>
      <c r="D256" s="17">
        <v>6</v>
      </c>
      <c r="E256" s="18"/>
      <c r="F256" s="18"/>
      <c r="G256" s="18"/>
      <c r="H256" s="19">
        <v>1</v>
      </c>
      <c r="I256" s="17">
        <v>8</v>
      </c>
      <c r="J256" s="17">
        <v>17</v>
      </c>
      <c r="K256" s="17">
        <v>9</v>
      </c>
      <c r="L256" s="17">
        <v>9</v>
      </c>
      <c r="M256" s="17">
        <v>0</v>
      </c>
      <c r="N256" s="17">
        <v>0</v>
      </c>
      <c r="O256" s="17">
        <v>25</v>
      </c>
      <c r="P256" s="17">
        <v>3</v>
      </c>
      <c r="Q256" s="17">
        <v>0</v>
      </c>
      <c r="R256" s="19"/>
      <c r="S256" s="20"/>
      <c r="T256" s="13">
        <f t="shared" si="0"/>
        <v>37</v>
      </c>
      <c r="U256" s="18">
        <f ca="1">IFERROR(__xludf.DUMMYFUNCTION("IFERROR(
  SUM(
    FILTER(
      Reporte!$E:$E, 
      REGEXMATCH(Reporte!$A:$A, ""(?i)(TE PAGÓ|PAGASTE)""), 
      Reporte!$H:$H &amp; """" = AG256 &amp; """"
    )
  ), 
  0
)"),37)</f>
        <v>37</v>
      </c>
      <c r="V256" s="18">
        <f ca="1">IFERROR(__xludf.DUMMYFUNCTION("IFERROR(
  SUM(
    FILTER(
      Efectivo!$C:$C, 
      Efectivo!$D:$D &amp; """" = AG256 &amp; """"
    )
  ), 
  0
)"),0)</f>
        <v>0</v>
      </c>
      <c r="W256" s="18" t="s">
        <v>35</v>
      </c>
      <c r="X256" s="18"/>
      <c r="Y256" s="18" t="s">
        <v>36</v>
      </c>
      <c r="Z256" s="18"/>
      <c r="AA256" s="18"/>
      <c r="AB256" s="18" t="str">
        <f t="shared" si="1"/>
        <v/>
      </c>
      <c r="AC256" s="18" t="str">
        <f t="shared" si="2"/>
        <v/>
      </c>
      <c r="AD256" s="11">
        <f t="shared" si="3"/>
        <v>0</v>
      </c>
      <c r="AE256" s="11">
        <f t="shared" si="4"/>
        <v>37</v>
      </c>
      <c r="AF256" s="18" t="str">
        <f t="shared" si="5"/>
        <v>O</v>
      </c>
      <c r="AG256" s="18" t="str">
        <f t="shared" si="6"/>
        <v>O-6</v>
      </c>
      <c r="AH256" s="14"/>
      <c r="AI256" s="14"/>
    </row>
    <row r="257" spans="1:35" ht="15.75" hidden="1" customHeight="1">
      <c r="A257" s="8">
        <v>255</v>
      </c>
      <c r="B257" s="9" t="s">
        <v>333</v>
      </c>
      <c r="C257" s="9" t="s">
        <v>327</v>
      </c>
      <c r="D257" s="10">
        <v>7</v>
      </c>
      <c r="E257" s="11"/>
      <c r="F257" s="11"/>
      <c r="G257" s="11"/>
      <c r="H257" s="12">
        <v>1</v>
      </c>
      <c r="I257" s="10">
        <v>229</v>
      </c>
      <c r="J257" s="10">
        <v>246</v>
      </c>
      <c r="K257" s="10">
        <v>17</v>
      </c>
      <c r="L257" s="10">
        <v>17</v>
      </c>
      <c r="M257" s="10">
        <v>0</v>
      </c>
      <c r="N257" s="10">
        <v>0</v>
      </c>
      <c r="O257" s="10">
        <v>0</v>
      </c>
      <c r="P257" s="10">
        <v>3</v>
      </c>
      <c r="Q257" s="10">
        <v>0</v>
      </c>
      <c r="R257" s="12"/>
      <c r="S257" s="13"/>
      <c r="T257" s="13">
        <f t="shared" si="0"/>
        <v>20</v>
      </c>
      <c r="U257" s="11">
        <f ca="1">IFERROR(__xludf.DUMMYFUNCTION("IFERROR(
  SUM(
    FILTER(
      Reporte!$E:$E, 
      REGEXMATCH(Reporte!$A:$A, ""(?i)(TE PAGÓ|PAGASTE)""), 
      Reporte!$H:$H &amp; """" = AG257 &amp; """"
    )
  ), 
  0
)"),20)</f>
        <v>20</v>
      </c>
      <c r="V257" s="11">
        <f ca="1">IFERROR(__xludf.DUMMYFUNCTION("IFERROR(
  SUM(
    FILTER(
      Efectivo!$C:$C, 
      Efectivo!$D:$D &amp; """" = AG257 &amp; """"
    )
  ), 
  0
)"),0)</f>
        <v>0</v>
      </c>
      <c r="W257" s="11" t="s">
        <v>35</v>
      </c>
      <c r="X257" s="11"/>
      <c r="Y257" s="11" t="s">
        <v>36</v>
      </c>
      <c r="Z257" s="11"/>
      <c r="AA257" s="11"/>
      <c r="AB257" s="11" t="str">
        <f t="shared" si="1"/>
        <v/>
      </c>
      <c r="AC257" s="11" t="str">
        <f t="shared" si="2"/>
        <v/>
      </c>
      <c r="AD257" s="11">
        <f t="shared" si="3"/>
        <v>0</v>
      </c>
      <c r="AE257" s="11">
        <f t="shared" si="4"/>
        <v>20</v>
      </c>
      <c r="AF257" s="11" t="str">
        <f t="shared" si="5"/>
        <v>O</v>
      </c>
      <c r="AG257" s="11" t="str">
        <f t="shared" si="6"/>
        <v>O-7</v>
      </c>
      <c r="AH257" s="21"/>
      <c r="AI257" s="21"/>
    </row>
    <row r="258" spans="1:35" ht="15.75" hidden="1" customHeight="1">
      <c r="A258" s="15">
        <v>256</v>
      </c>
      <c r="B258" s="16" t="s">
        <v>334</v>
      </c>
      <c r="C258" s="16" t="s">
        <v>327</v>
      </c>
      <c r="D258" s="17">
        <v>8</v>
      </c>
      <c r="E258" s="18"/>
      <c r="F258" s="18"/>
      <c r="G258" s="18"/>
      <c r="H258" s="19">
        <v>1</v>
      </c>
      <c r="I258" s="17">
        <v>14</v>
      </c>
      <c r="J258" s="17">
        <v>26</v>
      </c>
      <c r="K258" s="17">
        <v>12</v>
      </c>
      <c r="L258" s="17">
        <v>12</v>
      </c>
      <c r="M258" s="17">
        <v>0</v>
      </c>
      <c r="N258" s="17">
        <v>0</v>
      </c>
      <c r="O258" s="17">
        <v>25</v>
      </c>
      <c r="P258" s="17">
        <v>3</v>
      </c>
      <c r="Q258" s="17">
        <v>0</v>
      </c>
      <c r="R258" s="19"/>
      <c r="S258" s="20"/>
      <c r="T258" s="13">
        <f t="shared" si="0"/>
        <v>40</v>
      </c>
      <c r="U258" s="18">
        <f ca="1">IFERROR(__xludf.DUMMYFUNCTION("IFERROR(
  SUM(
    FILTER(
      Reporte!$E:$E, 
      REGEXMATCH(Reporte!$A:$A, ""(?i)(TE PAGÓ|PAGASTE)""), 
      Reporte!$H:$H &amp; """" = AG258 &amp; """"
    )
  ), 
  0
)"),40)</f>
        <v>40</v>
      </c>
      <c r="V258" s="18">
        <f ca="1">IFERROR(__xludf.DUMMYFUNCTION("IFERROR(
  SUM(
    FILTER(
      Efectivo!$C:$C, 
      Efectivo!$D:$D &amp; """" = AG258 &amp; """"
    )
  ), 
  0
)"),0)</f>
        <v>0</v>
      </c>
      <c r="W258" s="18" t="s">
        <v>35</v>
      </c>
      <c r="X258" s="18"/>
      <c r="Y258" s="18" t="s">
        <v>36</v>
      </c>
      <c r="Z258" s="18"/>
      <c r="AA258" s="18"/>
      <c r="AB258" s="18" t="str">
        <f t="shared" si="1"/>
        <v/>
      </c>
      <c r="AC258" s="18" t="str">
        <f t="shared" si="2"/>
        <v/>
      </c>
      <c r="AD258" s="11">
        <f t="shared" si="3"/>
        <v>0</v>
      </c>
      <c r="AE258" s="11">
        <f t="shared" si="4"/>
        <v>40</v>
      </c>
      <c r="AF258" s="18" t="str">
        <f t="shared" si="5"/>
        <v>O</v>
      </c>
      <c r="AG258" s="18" t="str">
        <f t="shared" si="6"/>
        <v>O-8</v>
      </c>
      <c r="AH258" s="14"/>
      <c r="AI258" s="14"/>
    </row>
    <row r="259" spans="1:35" ht="15.75" hidden="1" customHeight="1">
      <c r="A259" s="8">
        <v>257</v>
      </c>
      <c r="B259" s="9" t="s">
        <v>315</v>
      </c>
      <c r="C259" s="9" t="s">
        <v>327</v>
      </c>
      <c r="D259" s="10">
        <v>9</v>
      </c>
      <c r="E259" s="11"/>
      <c r="F259" s="11"/>
      <c r="G259" s="11"/>
      <c r="H259" s="12">
        <v>1</v>
      </c>
      <c r="I259" s="10">
        <v>20</v>
      </c>
      <c r="J259" s="10">
        <v>44</v>
      </c>
      <c r="K259" s="10">
        <v>24</v>
      </c>
      <c r="L259" s="10">
        <v>24</v>
      </c>
      <c r="M259" s="10">
        <v>0</v>
      </c>
      <c r="N259" s="10">
        <v>0</v>
      </c>
      <c r="O259" s="10">
        <v>25</v>
      </c>
      <c r="P259" s="10">
        <v>3</v>
      </c>
      <c r="Q259" s="10">
        <v>0</v>
      </c>
      <c r="R259" s="12"/>
      <c r="S259" s="13"/>
      <c r="T259" s="13">
        <f t="shared" si="0"/>
        <v>52</v>
      </c>
      <c r="U259" s="11">
        <f ca="1">IFERROR(__xludf.DUMMYFUNCTION("IFERROR(
  SUM(
    FILTER(
      Reporte!$E:$E, 
      REGEXMATCH(Reporte!$A:$A, ""(?i)(TE PAGÓ|PAGASTE)""), 
      Reporte!$H:$H &amp; """" = AG259 &amp; """"
    )
  ), 
  0
)"),52)</f>
        <v>52</v>
      </c>
      <c r="V259" s="11">
        <f ca="1">IFERROR(__xludf.DUMMYFUNCTION("IFERROR(
  SUM(
    FILTER(
      Efectivo!$C:$C, 
      Efectivo!$D:$D &amp; """" = AG259 &amp; """"
    )
  ), 
  0
)"),0)</f>
        <v>0</v>
      </c>
      <c r="W259" s="11" t="s">
        <v>35</v>
      </c>
      <c r="X259" s="11"/>
      <c r="Y259" s="11" t="s">
        <v>36</v>
      </c>
      <c r="Z259" s="11"/>
      <c r="AA259" s="11"/>
      <c r="AB259" s="11" t="str">
        <f t="shared" si="1"/>
        <v/>
      </c>
      <c r="AC259" s="11" t="str">
        <f t="shared" si="2"/>
        <v/>
      </c>
      <c r="AD259" s="11">
        <f t="shared" si="3"/>
        <v>0</v>
      </c>
      <c r="AE259" s="11">
        <f t="shared" si="4"/>
        <v>52</v>
      </c>
      <c r="AF259" s="11" t="str">
        <f t="shared" si="5"/>
        <v>O</v>
      </c>
      <c r="AG259" s="11" t="str">
        <f t="shared" si="6"/>
        <v>O-9</v>
      </c>
      <c r="AH259" s="21"/>
      <c r="AI259" s="21"/>
    </row>
    <row r="260" spans="1:35" ht="15.75" hidden="1" customHeight="1">
      <c r="A260" s="15">
        <v>258</v>
      </c>
      <c r="B260" s="16" t="s">
        <v>335</v>
      </c>
      <c r="C260" s="16" t="s">
        <v>327</v>
      </c>
      <c r="D260" s="17">
        <v>10</v>
      </c>
      <c r="E260" s="18"/>
      <c r="F260" s="18"/>
      <c r="G260" s="18"/>
      <c r="H260" s="19">
        <v>1</v>
      </c>
      <c r="I260" s="17">
        <v>1295</v>
      </c>
      <c r="J260" s="17">
        <v>1310</v>
      </c>
      <c r="K260" s="17">
        <v>15</v>
      </c>
      <c r="L260" s="17">
        <v>15</v>
      </c>
      <c r="M260" s="17">
        <v>0</v>
      </c>
      <c r="N260" s="17">
        <v>0</v>
      </c>
      <c r="O260" s="17">
        <v>0</v>
      </c>
      <c r="P260" s="17">
        <v>3</v>
      </c>
      <c r="Q260" s="17">
        <v>0</v>
      </c>
      <c r="R260" s="19"/>
      <c r="S260" s="20"/>
      <c r="T260" s="13">
        <f t="shared" si="0"/>
        <v>18</v>
      </c>
      <c r="U260" s="18">
        <f ca="1">IFERROR(__xludf.DUMMYFUNCTION("IFERROR(
  SUM(
    FILTER(
      Reporte!$E:$E, 
      REGEXMATCH(Reporte!$A:$A, ""(?i)(TE PAGÓ|PAGASTE)""), 
      Reporte!$H:$H &amp; """" = AG260 &amp; """"
    )
  ), 
  0
)"),18)</f>
        <v>18</v>
      </c>
      <c r="V260" s="18">
        <f ca="1">IFERROR(__xludf.DUMMYFUNCTION("IFERROR(
  SUM(
    FILTER(
      Efectivo!$C:$C, 
      Efectivo!$D:$D &amp; """" = AG260 &amp; """"
    )
  ), 
  0
)"),0)</f>
        <v>0</v>
      </c>
      <c r="W260" s="18" t="s">
        <v>35</v>
      </c>
      <c r="X260" s="18"/>
      <c r="Y260" s="18" t="s">
        <v>36</v>
      </c>
      <c r="Z260" s="18"/>
      <c r="AA260" s="18"/>
      <c r="AB260" s="18" t="str">
        <f t="shared" si="1"/>
        <v/>
      </c>
      <c r="AC260" s="18" t="str">
        <f t="shared" si="2"/>
        <v/>
      </c>
      <c r="AD260" s="11">
        <f t="shared" si="3"/>
        <v>0</v>
      </c>
      <c r="AE260" s="11">
        <f t="shared" si="4"/>
        <v>18</v>
      </c>
      <c r="AF260" s="18" t="str">
        <f t="shared" si="5"/>
        <v>O</v>
      </c>
      <c r="AG260" s="18" t="str">
        <f t="shared" si="6"/>
        <v>O-10</v>
      </c>
      <c r="AH260" s="14"/>
      <c r="AI260" s="14"/>
    </row>
    <row r="261" spans="1:35" ht="15.75" hidden="1" customHeight="1">
      <c r="A261" s="8">
        <v>259</v>
      </c>
      <c r="B261" s="9" t="s">
        <v>336</v>
      </c>
      <c r="C261" s="9" t="s">
        <v>327</v>
      </c>
      <c r="D261" s="10">
        <v>11</v>
      </c>
      <c r="E261" s="11"/>
      <c r="F261" s="11"/>
      <c r="G261" s="11"/>
      <c r="H261" s="12">
        <v>1</v>
      </c>
      <c r="I261" s="10">
        <v>241</v>
      </c>
      <c r="J261" s="10">
        <v>245</v>
      </c>
      <c r="K261" s="10">
        <v>5</v>
      </c>
      <c r="L261" s="10">
        <v>5</v>
      </c>
      <c r="M261" s="10">
        <v>0</v>
      </c>
      <c r="N261" s="10">
        <v>0</v>
      </c>
      <c r="O261" s="10">
        <v>0</v>
      </c>
      <c r="P261" s="10">
        <v>3</v>
      </c>
      <c r="Q261" s="10">
        <v>0</v>
      </c>
      <c r="R261" s="12"/>
      <c r="S261" s="13"/>
      <c r="T261" s="13">
        <f t="shared" si="0"/>
        <v>8</v>
      </c>
      <c r="U261" s="11">
        <f ca="1">IFERROR(__xludf.DUMMYFUNCTION("IFERROR(
  SUM(
    FILTER(
      Reporte!$E:$E, 
      REGEXMATCH(Reporte!$A:$A, ""(?i)(TE PAGÓ|PAGASTE)""), 
      Reporte!$H:$H &amp; """" = AG261 &amp; """"
    )
  ), 
  0
)"),0)</f>
        <v>0</v>
      </c>
      <c r="V261" s="11">
        <f ca="1">IFERROR(__xludf.DUMMYFUNCTION("IFERROR(
  SUM(
    FILTER(
      Efectivo!$C:$C, 
      Efectivo!$D:$D &amp; """" = AG261 &amp; """"
    )
  ), 
  0
)"),8)</f>
        <v>8</v>
      </c>
      <c r="W261" s="11" t="s">
        <v>35</v>
      </c>
      <c r="X261" s="11"/>
      <c r="Y261" s="11"/>
      <c r="Z261" s="11"/>
      <c r="AA261" s="11"/>
      <c r="AB261" s="11" t="str">
        <f t="shared" si="1"/>
        <v/>
      </c>
      <c r="AC261" s="11" t="str">
        <f t="shared" si="2"/>
        <v/>
      </c>
      <c r="AD261" s="11">
        <f t="shared" si="3"/>
        <v>8</v>
      </c>
      <c r="AE261" s="11">
        <f t="shared" si="4"/>
        <v>0</v>
      </c>
      <c r="AF261" s="11" t="str">
        <f t="shared" si="5"/>
        <v>O</v>
      </c>
      <c r="AG261" s="11" t="str">
        <f t="shared" si="6"/>
        <v>O-11</v>
      </c>
      <c r="AH261" s="21"/>
      <c r="AI261" s="21"/>
    </row>
    <row r="262" spans="1:35" ht="15.75" hidden="1" customHeight="1">
      <c r="A262" s="15">
        <v>260</v>
      </c>
      <c r="B262" s="16" t="s">
        <v>337</v>
      </c>
      <c r="C262" s="16" t="s">
        <v>327</v>
      </c>
      <c r="D262" s="17">
        <v>12</v>
      </c>
      <c r="E262" s="18"/>
      <c r="F262" s="18"/>
      <c r="G262" s="18"/>
      <c r="H262" s="19">
        <v>1</v>
      </c>
      <c r="I262" s="17">
        <v>4</v>
      </c>
      <c r="J262" s="17">
        <v>11</v>
      </c>
      <c r="K262" s="17">
        <v>7</v>
      </c>
      <c r="L262" s="17">
        <v>7</v>
      </c>
      <c r="M262" s="17">
        <v>0</v>
      </c>
      <c r="N262" s="17">
        <v>0</v>
      </c>
      <c r="O262" s="17">
        <v>0</v>
      </c>
      <c r="P262" s="17">
        <v>3</v>
      </c>
      <c r="Q262" s="17">
        <v>0</v>
      </c>
      <c r="R262" s="19"/>
      <c r="S262" s="20"/>
      <c r="T262" s="13">
        <f t="shared" si="0"/>
        <v>10</v>
      </c>
      <c r="U262" s="18">
        <f ca="1">IFERROR(__xludf.DUMMYFUNCTION("IFERROR(
  SUM(
    FILTER(
      Reporte!$E:$E, 
      REGEXMATCH(Reporte!$A:$A, ""(?i)(TE PAGÓ|PAGASTE)""), 
      Reporte!$H:$H &amp; """" = AG262 &amp; """"
    )
  ), 
  0
)"),0)</f>
        <v>0</v>
      </c>
      <c r="V262" s="18">
        <f ca="1">IFERROR(__xludf.DUMMYFUNCTION("IFERROR(
  SUM(
    FILTER(
      Efectivo!$C:$C, 
      Efectivo!$D:$D &amp; """" = AG262 &amp; """"
    )
  ), 
  0
)"),10)</f>
        <v>10</v>
      </c>
      <c r="W262" s="18" t="s">
        <v>35</v>
      </c>
      <c r="X262" s="18"/>
      <c r="Y262" s="18"/>
      <c r="Z262" s="18"/>
      <c r="AA262" s="18"/>
      <c r="AB262" s="18" t="str">
        <f t="shared" si="1"/>
        <v/>
      </c>
      <c r="AC262" s="18" t="str">
        <f t="shared" si="2"/>
        <v/>
      </c>
      <c r="AD262" s="11">
        <f t="shared" si="3"/>
        <v>10</v>
      </c>
      <c r="AE262" s="11">
        <f t="shared" si="4"/>
        <v>0</v>
      </c>
      <c r="AF262" s="18" t="str">
        <f t="shared" si="5"/>
        <v>O</v>
      </c>
      <c r="AG262" s="18" t="str">
        <f t="shared" si="6"/>
        <v>O-12</v>
      </c>
      <c r="AH262" s="14"/>
      <c r="AI262" s="14"/>
    </row>
    <row r="263" spans="1:35" ht="15.75" hidden="1" customHeight="1">
      <c r="A263" s="8">
        <v>261</v>
      </c>
      <c r="B263" s="9" t="s">
        <v>338</v>
      </c>
      <c r="C263" s="9" t="s">
        <v>327</v>
      </c>
      <c r="D263" s="10">
        <v>13</v>
      </c>
      <c r="E263" s="11"/>
      <c r="F263" s="11"/>
      <c r="G263" s="11"/>
      <c r="H263" s="12">
        <v>1</v>
      </c>
      <c r="I263" s="10">
        <v>17</v>
      </c>
      <c r="J263" s="10">
        <v>36</v>
      </c>
      <c r="K263" s="10">
        <v>19</v>
      </c>
      <c r="L263" s="10">
        <v>19</v>
      </c>
      <c r="M263" s="10">
        <v>0</v>
      </c>
      <c r="N263" s="10">
        <v>0</v>
      </c>
      <c r="O263" s="10">
        <v>0</v>
      </c>
      <c r="P263" s="10">
        <v>3</v>
      </c>
      <c r="Q263" s="10">
        <v>0</v>
      </c>
      <c r="R263" s="12"/>
      <c r="S263" s="13"/>
      <c r="T263" s="13">
        <f t="shared" si="0"/>
        <v>22</v>
      </c>
      <c r="U263" s="11">
        <f ca="1">IFERROR(__xludf.DUMMYFUNCTION("IFERROR(
  SUM(
    FILTER(
      Reporte!$E:$E, 
      REGEXMATCH(Reporte!$A:$A, ""(?i)(TE PAGÓ|PAGASTE)""), 
      Reporte!$H:$H &amp; """" = AG263 &amp; """"
    )
  ), 
  0
)"),0)</f>
        <v>0</v>
      </c>
      <c r="V263" s="11">
        <f ca="1">IFERROR(__xludf.DUMMYFUNCTION("IFERROR(
  SUM(
    FILTER(
      Efectivo!$C:$C, 
      Efectivo!$D:$D &amp; """" = AG263 &amp; """"
    )
  ), 
  0
)"),22)</f>
        <v>22</v>
      </c>
      <c r="W263" s="11" t="s">
        <v>35</v>
      </c>
      <c r="X263" s="11"/>
      <c r="Y263" s="11"/>
      <c r="Z263" s="11"/>
      <c r="AA263" s="11"/>
      <c r="AB263" s="11" t="str">
        <f t="shared" si="1"/>
        <v/>
      </c>
      <c r="AC263" s="11" t="str">
        <f t="shared" si="2"/>
        <v/>
      </c>
      <c r="AD263" s="11">
        <f t="shared" si="3"/>
        <v>22</v>
      </c>
      <c r="AE263" s="11">
        <f t="shared" si="4"/>
        <v>0</v>
      </c>
      <c r="AF263" s="11" t="str">
        <f t="shared" si="5"/>
        <v>O</v>
      </c>
      <c r="AG263" s="11" t="str">
        <f t="shared" si="6"/>
        <v>O-13</v>
      </c>
      <c r="AH263" s="21"/>
      <c r="AI263" s="21"/>
    </row>
    <row r="264" spans="1:35" ht="15.75" hidden="1" customHeight="1">
      <c r="A264" s="15">
        <v>262</v>
      </c>
      <c r="B264" s="16" t="s">
        <v>339</v>
      </c>
      <c r="C264" s="16" t="s">
        <v>327</v>
      </c>
      <c r="D264" s="17">
        <v>14</v>
      </c>
      <c r="E264" s="18"/>
      <c r="F264" s="18"/>
      <c r="G264" s="18"/>
      <c r="H264" s="19">
        <v>1</v>
      </c>
      <c r="I264" s="17">
        <v>638</v>
      </c>
      <c r="J264" s="17">
        <v>648</v>
      </c>
      <c r="K264" s="17">
        <v>10</v>
      </c>
      <c r="L264" s="17">
        <v>10</v>
      </c>
      <c r="M264" s="17">
        <v>0</v>
      </c>
      <c r="N264" s="17">
        <v>0</v>
      </c>
      <c r="O264" s="17">
        <v>0</v>
      </c>
      <c r="P264" s="17">
        <v>3</v>
      </c>
      <c r="Q264" s="17">
        <v>0</v>
      </c>
      <c r="R264" s="19"/>
      <c r="S264" s="20"/>
      <c r="T264" s="13">
        <f t="shared" si="0"/>
        <v>13</v>
      </c>
      <c r="U264" s="18">
        <f ca="1">IFERROR(__xludf.DUMMYFUNCTION("IFERROR(
  SUM(
    FILTER(
      Reporte!$E:$E, 
      REGEXMATCH(Reporte!$A:$A, ""(?i)(TE PAGÓ|PAGASTE)""), 
      Reporte!$H:$H &amp; """" = AG264 &amp; """"
    )
  ), 
  0
)"),0)</f>
        <v>0</v>
      </c>
      <c r="V264" s="18">
        <f ca="1">IFERROR(__xludf.DUMMYFUNCTION("IFERROR(
  SUM(
    FILTER(
      Efectivo!$C:$C, 
      Efectivo!$D:$D &amp; """" = AG264 &amp; """"
    )
  ), 
  0
)"),13)</f>
        <v>13</v>
      </c>
      <c r="W264" s="18" t="s">
        <v>35</v>
      </c>
      <c r="X264" s="18"/>
      <c r="Y264" s="18"/>
      <c r="Z264" s="18"/>
      <c r="AA264" s="18"/>
      <c r="AB264" s="18" t="str">
        <f t="shared" si="1"/>
        <v/>
      </c>
      <c r="AC264" s="18" t="str">
        <f t="shared" si="2"/>
        <v/>
      </c>
      <c r="AD264" s="11">
        <f t="shared" si="3"/>
        <v>13</v>
      </c>
      <c r="AE264" s="11">
        <f t="shared" si="4"/>
        <v>0</v>
      </c>
      <c r="AF264" s="18" t="str">
        <f t="shared" si="5"/>
        <v>O</v>
      </c>
      <c r="AG264" s="18" t="str">
        <f t="shared" si="6"/>
        <v>O-14</v>
      </c>
      <c r="AH264" s="14"/>
      <c r="AI264" s="14"/>
    </row>
    <row r="265" spans="1:35" ht="15.75" hidden="1" customHeight="1">
      <c r="A265" s="8">
        <v>263</v>
      </c>
      <c r="B265" s="9" t="s">
        <v>340</v>
      </c>
      <c r="C265" s="9" t="s">
        <v>327</v>
      </c>
      <c r="D265" s="10">
        <v>15</v>
      </c>
      <c r="E265" s="11"/>
      <c r="F265" s="11"/>
      <c r="G265" s="11"/>
      <c r="H265" s="12">
        <v>1</v>
      </c>
      <c r="I265" s="10">
        <v>1011</v>
      </c>
      <c r="J265" s="10">
        <v>1030</v>
      </c>
      <c r="K265" s="10">
        <v>19</v>
      </c>
      <c r="L265" s="10">
        <v>19</v>
      </c>
      <c r="M265" s="10">
        <v>0</v>
      </c>
      <c r="N265" s="10">
        <v>0</v>
      </c>
      <c r="O265" s="10">
        <v>0</v>
      </c>
      <c r="P265" s="10">
        <v>3</v>
      </c>
      <c r="Q265" s="10">
        <v>0</v>
      </c>
      <c r="R265" s="12"/>
      <c r="S265" s="13"/>
      <c r="T265" s="13">
        <f t="shared" si="0"/>
        <v>22</v>
      </c>
      <c r="U265" s="11">
        <f ca="1">IFERROR(__xludf.DUMMYFUNCTION("IFERROR(
  SUM(
    FILTER(
      Reporte!$E:$E, 
      REGEXMATCH(Reporte!$A:$A, ""(?i)(TE PAGÓ|PAGASTE)""), 
      Reporte!$H:$H &amp; """" = AG265 &amp; """"
    )
  ), 
  0
)"),22)</f>
        <v>22</v>
      </c>
      <c r="V265" s="11">
        <f ca="1">IFERROR(__xludf.DUMMYFUNCTION("IFERROR(
  SUM(
    FILTER(
      Efectivo!$C:$C, 
      Efectivo!$D:$D &amp; """" = AG265 &amp; """"
    )
  ), 
  0
)"),0)</f>
        <v>0</v>
      </c>
      <c r="W265" s="11" t="s">
        <v>35</v>
      </c>
      <c r="X265" s="11"/>
      <c r="Y265" s="11" t="s">
        <v>36</v>
      </c>
      <c r="Z265" s="11"/>
      <c r="AA265" s="11"/>
      <c r="AB265" s="11" t="str">
        <f t="shared" si="1"/>
        <v/>
      </c>
      <c r="AC265" s="11" t="str">
        <f t="shared" si="2"/>
        <v/>
      </c>
      <c r="AD265" s="11">
        <f t="shared" si="3"/>
        <v>0</v>
      </c>
      <c r="AE265" s="11">
        <f t="shared" si="4"/>
        <v>22</v>
      </c>
      <c r="AF265" s="11" t="str">
        <f t="shared" si="5"/>
        <v>O</v>
      </c>
      <c r="AG265" s="11" t="str">
        <f t="shared" si="6"/>
        <v>O-15</v>
      </c>
      <c r="AH265" s="21"/>
      <c r="AI265" s="21"/>
    </row>
    <row r="266" spans="1:35" ht="15.75" hidden="1" customHeight="1">
      <c r="A266" s="15">
        <v>264</v>
      </c>
      <c r="B266" s="16" t="s">
        <v>341</v>
      </c>
      <c r="C266" s="16" t="s">
        <v>327</v>
      </c>
      <c r="D266" s="17">
        <v>16</v>
      </c>
      <c r="E266" s="18"/>
      <c r="F266" s="18"/>
      <c r="G266" s="18"/>
      <c r="H266" s="19">
        <v>1</v>
      </c>
      <c r="I266" s="17">
        <v>18</v>
      </c>
      <c r="J266" s="17">
        <v>24</v>
      </c>
      <c r="K266" s="17">
        <v>6</v>
      </c>
      <c r="L266" s="17">
        <v>6</v>
      </c>
      <c r="M266" s="17">
        <v>9</v>
      </c>
      <c r="N266" s="17">
        <v>0</v>
      </c>
      <c r="O266" s="17">
        <v>0</v>
      </c>
      <c r="P266" s="17">
        <v>1</v>
      </c>
      <c r="Q266" s="17">
        <v>0</v>
      </c>
      <c r="R266" s="19"/>
      <c r="S266" s="20"/>
      <c r="T266" s="13">
        <f t="shared" si="0"/>
        <v>16</v>
      </c>
      <c r="U266" s="18">
        <f ca="1">IFERROR(__xludf.DUMMYFUNCTION("IFERROR(
  SUM(
    FILTER(
      Reporte!$E:$E, 
      REGEXMATCH(Reporte!$A:$A, ""(?i)(TE PAGÓ|PAGASTE)""), 
      Reporte!$H:$H &amp; """" = AG266 &amp; """"
    )
  ), 
  0
)"),16)</f>
        <v>16</v>
      </c>
      <c r="V266" s="18">
        <f ca="1">IFERROR(__xludf.DUMMYFUNCTION("IFERROR(
  SUM(
    FILTER(
      Efectivo!$C:$C, 
      Efectivo!$D:$D &amp; """" = AG266 &amp; """"
    )
  ), 
  0
)"),0)</f>
        <v>0</v>
      </c>
      <c r="W266" s="18" t="s">
        <v>35</v>
      </c>
      <c r="X266" s="18"/>
      <c r="Y266" s="18" t="s">
        <v>36</v>
      </c>
      <c r="Z266" s="18" t="s">
        <v>342</v>
      </c>
      <c r="AA266" s="18"/>
      <c r="AB266" s="18" t="str">
        <f t="shared" si="1"/>
        <v/>
      </c>
      <c r="AC266" s="18" t="str">
        <f t="shared" si="2"/>
        <v/>
      </c>
      <c r="AD266" s="11">
        <f t="shared" si="3"/>
        <v>0</v>
      </c>
      <c r="AE266" s="11">
        <f t="shared" si="4"/>
        <v>16</v>
      </c>
      <c r="AF266" s="18" t="str">
        <f t="shared" si="5"/>
        <v>O</v>
      </c>
      <c r="AG266" s="18" t="str">
        <f t="shared" si="6"/>
        <v>O-16</v>
      </c>
      <c r="AH266" s="14"/>
      <c r="AI266" s="14"/>
    </row>
    <row r="267" spans="1:35" ht="15.75" hidden="1" customHeight="1">
      <c r="A267" s="8">
        <v>265</v>
      </c>
      <c r="B267" s="9" t="s">
        <v>294</v>
      </c>
      <c r="C267" s="9" t="s">
        <v>327</v>
      </c>
      <c r="D267" s="10">
        <v>17</v>
      </c>
      <c r="E267" s="11"/>
      <c r="F267" s="11"/>
      <c r="G267" s="11"/>
      <c r="H267" s="12">
        <v>1</v>
      </c>
      <c r="I267" s="10">
        <v>3</v>
      </c>
      <c r="J267" s="10">
        <v>8</v>
      </c>
      <c r="K267" s="10">
        <v>5</v>
      </c>
      <c r="L267" s="10">
        <v>5</v>
      </c>
      <c r="M267" s="10">
        <v>0</v>
      </c>
      <c r="N267" s="10">
        <v>0</v>
      </c>
      <c r="O267" s="10">
        <v>25</v>
      </c>
      <c r="P267" s="10">
        <v>3</v>
      </c>
      <c r="Q267" s="10">
        <v>0</v>
      </c>
      <c r="R267" s="12"/>
      <c r="S267" s="13"/>
      <c r="T267" s="13">
        <f t="shared" si="0"/>
        <v>33</v>
      </c>
      <c r="U267" s="11">
        <f ca="1">IFERROR(__xludf.DUMMYFUNCTION("IFERROR(
  SUM(
    FILTER(
      Reporte!$E:$E, 
      REGEXMATCH(Reporte!$A:$A, ""(?i)(TE PAGÓ|PAGASTE)""), 
      Reporte!$H:$H &amp; """" = AG267 &amp; """"
    )
  ), 
  0
)"),0)</f>
        <v>0</v>
      </c>
      <c r="V267" s="11">
        <f ca="1">IFERROR(__xludf.DUMMYFUNCTION("IFERROR(
  SUM(
    FILTER(
      Efectivo!$C:$C, 
      Efectivo!$D:$D &amp; """" = AG267 &amp; """"
    )
  ), 
  0
)"),33)</f>
        <v>33</v>
      </c>
      <c r="W267" s="11" t="s">
        <v>35</v>
      </c>
      <c r="X267" s="11"/>
      <c r="Y267" s="11"/>
      <c r="Z267" s="11"/>
      <c r="AA267" s="11"/>
      <c r="AB267" s="11" t="str">
        <f t="shared" si="1"/>
        <v/>
      </c>
      <c r="AC267" s="11" t="str">
        <f t="shared" si="2"/>
        <v/>
      </c>
      <c r="AD267" s="11">
        <f t="shared" si="3"/>
        <v>33</v>
      </c>
      <c r="AE267" s="11">
        <f t="shared" si="4"/>
        <v>0</v>
      </c>
      <c r="AF267" s="11" t="str">
        <f t="shared" si="5"/>
        <v>O</v>
      </c>
      <c r="AG267" s="11" t="str">
        <f t="shared" si="6"/>
        <v>O-17</v>
      </c>
      <c r="AH267" s="21"/>
      <c r="AI267" s="21"/>
    </row>
    <row r="268" spans="1:35" ht="15.75" hidden="1" customHeight="1">
      <c r="A268" s="15">
        <v>266</v>
      </c>
      <c r="B268" s="16" t="s">
        <v>343</v>
      </c>
      <c r="C268" s="16" t="s">
        <v>327</v>
      </c>
      <c r="D268" s="17">
        <v>18</v>
      </c>
      <c r="E268" s="18"/>
      <c r="F268" s="18"/>
      <c r="G268" s="18"/>
      <c r="H268" s="19">
        <v>1</v>
      </c>
      <c r="I268" s="17">
        <v>350</v>
      </c>
      <c r="J268" s="17">
        <v>376</v>
      </c>
      <c r="K268" s="17">
        <v>26</v>
      </c>
      <c r="L268" s="17">
        <v>26</v>
      </c>
      <c r="M268" s="17">
        <v>0</v>
      </c>
      <c r="N268" s="17">
        <v>0</v>
      </c>
      <c r="O268" s="17">
        <v>0</v>
      </c>
      <c r="P268" s="17">
        <v>3</v>
      </c>
      <c r="Q268" s="17">
        <v>0</v>
      </c>
      <c r="R268" s="19"/>
      <c r="S268" s="20"/>
      <c r="T268" s="13">
        <f t="shared" si="0"/>
        <v>29</v>
      </c>
      <c r="U268" s="18">
        <f ca="1">IFERROR(__xludf.DUMMYFUNCTION("IFERROR(
  SUM(
    FILTER(
      Reporte!$E:$E, 
      REGEXMATCH(Reporte!$A:$A, ""(?i)(TE PAGÓ|PAGASTE)""), 
      Reporte!$H:$H &amp; """" = AG268 &amp; """"
    )
  ), 
  0
)"),29)</f>
        <v>29</v>
      </c>
      <c r="V268" s="18">
        <f ca="1">IFERROR(__xludf.DUMMYFUNCTION("IFERROR(
  SUM(
    FILTER(
      Efectivo!$C:$C, 
      Efectivo!$D:$D &amp; """" = AG268 &amp; """"
    )
  ), 
  0
)"),0)</f>
        <v>0</v>
      </c>
      <c r="W268" s="18" t="s">
        <v>35</v>
      </c>
      <c r="X268" s="18"/>
      <c r="Y268" s="18" t="s">
        <v>36</v>
      </c>
      <c r="Z268" s="18"/>
      <c r="AA268" s="18"/>
      <c r="AB268" s="18" t="str">
        <f t="shared" si="1"/>
        <v/>
      </c>
      <c r="AC268" s="18" t="str">
        <f t="shared" si="2"/>
        <v/>
      </c>
      <c r="AD268" s="11">
        <f t="shared" si="3"/>
        <v>0</v>
      </c>
      <c r="AE268" s="11">
        <f t="shared" si="4"/>
        <v>29</v>
      </c>
      <c r="AF268" s="18" t="str">
        <f t="shared" si="5"/>
        <v>O</v>
      </c>
      <c r="AG268" s="18" t="str">
        <f t="shared" si="6"/>
        <v>O-18</v>
      </c>
      <c r="AH268" s="14"/>
      <c r="AI268" s="14"/>
    </row>
    <row r="269" spans="1:35" ht="15.75" hidden="1" customHeight="1">
      <c r="A269" s="8">
        <v>267</v>
      </c>
      <c r="B269" s="9" t="s">
        <v>344</v>
      </c>
      <c r="C269" s="9" t="s">
        <v>327</v>
      </c>
      <c r="D269" s="10">
        <v>19</v>
      </c>
      <c r="E269" s="11"/>
      <c r="F269" s="11"/>
      <c r="G269" s="11"/>
      <c r="H269" s="12">
        <v>1</v>
      </c>
      <c r="I269" s="10">
        <v>8</v>
      </c>
      <c r="J269" s="10">
        <v>16</v>
      </c>
      <c r="K269" s="10">
        <v>8</v>
      </c>
      <c r="L269" s="10">
        <v>8</v>
      </c>
      <c r="M269" s="10">
        <v>0</v>
      </c>
      <c r="N269" s="10">
        <v>0</v>
      </c>
      <c r="O269" s="10">
        <v>25</v>
      </c>
      <c r="P269" s="10">
        <v>3</v>
      </c>
      <c r="Q269" s="10">
        <v>0</v>
      </c>
      <c r="R269" s="12"/>
      <c r="S269" s="13"/>
      <c r="T269" s="13">
        <f t="shared" si="0"/>
        <v>36</v>
      </c>
      <c r="U269" s="11">
        <f ca="1">IFERROR(__xludf.DUMMYFUNCTION("IFERROR(
  SUM(
    FILTER(
      Reporte!$E:$E, 
      REGEXMATCH(Reporte!$A:$A, ""(?i)(TE PAGÓ|PAGASTE)""), 
      Reporte!$H:$H &amp; """" = AG269 &amp; """"
    )
  ), 
  0
)"),36)</f>
        <v>36</v>
      </c>
      <c r="V269" s="11">
        <f ca="1">IFERROR(__xludf.DUMMYFUNCTION("IFERROR(
  SUM(
    FILTER(
      Efectivo!$C:$C, 
      Efectivo!$D:$D &amp; """" = AG269 &amp; """"
    )
  ), 
  0
)"),0)</f>
        <v>0</v>
      </c>
      <c r="W269" s="11" t="s">
        <v>35</v>
      </c>
      <c r="X269" s="11"/>
      <c r="Y269" s="11" t="s">
        <v>36</v>
      </c>
      <c r="Z269" s="11"/>
      <c r="AA269" s="11"/>
      <c r="AB269" s="11" t="str">
        <f t="shared" si="1"/>
        <v/>
      </c>
      <c r="AC269" s="11" t="str">
        <f t="shared" si="2"/>
        <v/>
      </c>
      <c r="AD269" s="11">
        <f t="shared" si="3"/>
        <v>0</v>
      </c>
      <c r="AE269" s="11">
        <f t="shared" si="4"/>
        <v>36</v>
      </c>
      <c r="AF269" s="11" t="str">
        <f t="shared" si="5"/>
        <v>O</v>
      </c>
      <c r="AG269" s="11" t="str">
        <f t="shared" si="6"/>
        <v>O-19</v>
      </c>
      <c r="AH269" s="21"/>
      <c r="AI269" s="21"/>
    </row>
    <row r="270" spans="1:35" ht="15.75" hidden="1" customHeight="1">
      <c r="A270" s="15">
        <v>268</v>
      </c>
      <c r="B270" s="16" t="s">
        <v>345</v>
      </c>
      <c r="C270" s="16" t="s">
        <v>327</v>
      </c>
      <c r="D270" s="17">
        <v>20</v>
      </c>
      <c r="E270" s="18"/>
      <c r="F270" s="18"/>
      <c r="G270" s="18"/>
      <c r="H270" s="19">
        <v>1</v>
      </c>
      <c r="I270" s="17">
        <v>198</v>
      </c>
      <c r="J270" s="17">
        <v>211</v>
      </c>
      <c r="K270" s="17">
        <v>13</v>
      </c>
      <c r="L270" s="17">
        <v>13</v>
      </c>
      <c r="M270" s="17">
        <v>0</v>
      </c>
      <c r="N270" s="17">
        <v>0</v>
      </c>
      <c r="O270" s="17">
        <v>0</v>
      </c>
      <c r="P270" s="17">
        <v>3</v>
      </c>
      <c r="Q270" s="17">
        <v>0</v>
      </c>
      <c r="R270" s="19"/>
      <c r="S270" s="20"/>
      <c r="T270" s="13">
        <f t="shared" si="0"/>
        <v>16</v>
      </c>
      <c r="U270" s="18">
        <f ca="1">IFERROR(__xludf.DUMMYFUNCTION("IFERROR(
  SUM(
    FILTER(
      Reporte!$E:$E, 
      REGEXMATCH(Reporte!$A:$A, ""(?i)(TE PAGÓ|PAGASTE)""), 
      Reporte!$H:$H &amp; """" = AG270 &amp; """"
    )
  ), 
  0
)"),16)</f>
        <v>16</v>
      </c>
      <c r="V270" s="18">
        <f ca="1">IFERROR(__xludf.DUMMYFUNCTION("IFERROR(
  SUM(
    FILTER(
      Efectivo!$C:$C, 
      Efectivo!$D:$D &amp; """" = AG270 &amp; """"
    )
  ), 
  0
)"),0)</f>
        <v>0</v>
      </c>
      <c r="W270" s="18" t="s">
        <v>35</v>
      </c>
      <c r="X270" s="18"/>
      <c r="Y270" s="18" t="s">
        <v>36</v>
      </c>
      <c r="Z270" s="18"/>
      <c r="AA270" s="18"/>
      <c r="AB270" s="18" t="str">
        <f t="shared" si="1"/>
        <v/>
      </c>
      <c r="AC270" s="18" t="str">
        <f t="shared" si="2"/>
        <v/>
      </c>
      <c r="AD270" s="11">
        <f t="shared" si="3"/>
        <v>0</v>
      </c>
      <c r="AE270" s="11">
        <f t="shared" si="4"/>
        <v>16</v>
      </c>
      <c r="AF270" s="18" t="str">
        <f t="shared" si="5"/>
        <v>O</v>
      </c>
      <c r="AG270" s="18" t="str">
        <f t="shared" si="6"/>
        <v>O-20</v>
      </c>
      <c r="AH270" s="14"/>
      <c r="AI270" s="14"/>
    </row>
    <row r="271" spans="1:35" ht="15.75" hidden="1" customHeight="1">
      <c r="A271" s="8">
        <v>269</v>
      </c>
      <c r="B271" s="9" t="s">
        <v>346</v>
      </c>
      <c r="C271" s="9" t="s">
        <v>327</v>
      </c>
      <c r="D271" s="10">
        <v>21</v>
      </c>
      <c r="E271" s="11"/>
      <c r="F271" s="11"/>
      <c r="G271" s="11"/>
      <c r="H271" s="12">
        <v>1</v>
      </c>
      <c r="I271" s="10">
        <v>1171</v>
      </c>
      <c r="J271" s="10">
        <v>1186</v>
      </c>
      <c r="K271" s="10">
        <v>15</v>
      </c>
      <c r="L271" s="10">
        <v>15</v>
      </c>
      <c r="M271" s="10">
        <v>0</v>
      </c>
      <c r="N271" s="10">
        <v>0</v>
      </c>
      <c r="O271" s="10">
        <v>0</v>
      </c>
      <c r="P271" s="10">
        <v>3</v>
      </c>
      <c r="Q271" s="10">
        <v>0</v>
      </c>
      <c r="R271" s="12"/>
      <c r="S271" s="13"/>
      <c r="T271" s="13">
        <f t="shared" si="0"/>
        <v>18</v>
      </c>
      <c r="U271" s="11">
        <f ca="1">IFERROR(__xludf.DUMMYFUNCTION("IFERROR(
  SUM(
    FILTER(
      Reporte!$E:$E, 
      REGEXMATCH(Reporte!$A:$A, ""(?i)(TE PAGÓ|PAGASTE)""), 
      Reporte!$H:$H &amp; """" = AG271 &amp; """"
    )
  ), 
  0
)"),18)</f>
        <v>18</v>
      </c>
      <c r="V271" s="11">
        <f ca="1">IFERROR(__xludf.DUMMYFUNCTION("IFERROR(
  SUM(
    FILTER(
      Efectivo!$C:$C, 
      Efectivo!$D:$D &amp; """" = AG271 &amp; """"
    )
  ), 
  0
)"),0)</f>
        <v>0</v>
      </c>
      <c r="W271" s="11" t="s">
        <v>35</v>
      </c>
      <c r="X271" s="11"/>
      <c r="Y271" s="11" t="s">
        <v>36</v>
      </c>
      <c r="Z271" s="11"/>
      <c r="AA271" s="11"/>
      <c r="AB271" s="11" t="str">
        <f t="shared" si="1"/>
        <v/>
      </c>
      <c r="AC271" s="11" t="str">
        <f t="shared" si="2"/>
        <v/>
      </c>
      <c r="AD271" s="11">
        <f t="shared" si="3"/>
        <v>0</v>
      </c>
      <c r="AE271" s="11">
        <f t="shared" si="4"/>
        <v>18</v>
      </c>
      <c r="AF271" s="11" t="str">
        <f t="shared" si="5"/>
        <v>O</v>
      </c>
      <c r="AG271" s="11" t="str">
        <f t="shared" si="6"/>
        <v>O-21</v>
      </c>
      <c r="AH271" s="21"/>
      <c r="AI271" s="21"/>
    </row>
    <row r="272" spans="1:35" ht="15.75" hidden="1" customHeight="1">
      <c r="A272" s="15">
        <v>270</v>
      </c>
      <c r="B272" s="16" t="s">
        <v>347</v>
      </c>
      <c r="C272" s="16" t="s">
        <v>327</v>
      </c>
      <c r="D272" s="17">
        <v>22</v>
      </c>
      <c r="E272" s="18"/>
      <c r="F272" s="18"/>
      <c r="G272" s="18"/>
      <c r="H272" s="19">
        <v>1</v>
      </c>
      <c r="I272" s="17">
        <v>17</v>
      </c>
      <c r="J272" s="17">
        <v>44</v>
      </c>
      <c r="K272" s="17">
        <v>27</v>
      </c>
      <c r="L272" s="17">
        <v>27</v>
      </c>
      <c r="M272" s="17">
        <v>0</v>
      </c>
      <c r="N272" s="17">
        <v>0</v>
      </c>
      <c r="O272" s="17">
        <v>25</v>
      </c>
      <c r="P272" s="17">
        <v>3</v>
      </c>
      <c r="Q272" s="17">
        <v>0</v>
      </c>
      <c r="R272" s="19"/>
      <c r="S272" s="20"/>
      <c r="T272" s="13">
        <f t="shared" si="0"/>
        <v>55</v>
      </c>
      <c r="U272" s="18">
        <f ca="1">IFERROR(__xludf.DUMMYFUNCTION("IFERROR(
  SUM(
    FILTER(
      Reporte!$E:$E, 
      REGEXMATCH(Reporte!$A:$A, ""(?i)(TE PAGÓ|PAGASTE)""), 
      Reporte!$H:$H &amp; """" = AG272 &amp; """"
    )
  ), 
  0
)"),55)</f>
        <v>55</v>
      </c>
      <c r="V272" s="18">
        <f ca="1">IFERROR(__xludf.DUMMYFUNCTION("IFERROR(
  SUM(
    FILTER(
      Efectivo!$C:$C, 
      Efectivo!$D:$D &amp; """" = AG272 &amp; """"
    )
  ), 
  0
)"),0)</f>
        <v>0</v>
      </c>
      <c r="W272" s="18" t="s">
        <v>35</v>
      </c>
      <c r="X272" s="18"/>
      <c r="Y272" s="18" t="s">
        <v>36</v>
      </c>
      <c r="Z272" s="18"/>
      <c r="AA272" s="18"/>
      <c r="AB272" s="18" t="str">
        <f t="shared" si="1"/>
        <v/>
      </c>
      <c r="AC272" s="18" t="str">
        <f t="shared" si="2"/>
        <v/>
      </c>
      <c r="AD272" s="11">
        <f t="shared" si="3"/>
        <v>0</v>
      </c>
      <c r="AE272" s="11">
        <f t="shared" si="4"/>
        <v>55</v>
      </c>
      <c r="AF272" s="18" t="str">
        <f t="shared" si="5"/>
        <v>O</v>
      </c>
      <c r="AG272" s="18" t="str">
        <f t="shared" si="6"/>
        <v>O-22</v>
      </c>
      <c r="AH272" s="14"/>
      <c r="AI272" s="14"/>
    </row>
    <row r="273" spans="1:35" ht="15.75" hidden="1" customHeight="1">
      <c r="A273" s="8">
        <v>271</v>
      </c>
      <c r="B273" s="9" t="s">
        <v>348</v>
      </c>
      <c r="C273" s="9" t="s">
        <v>327</v>
      </c>
      <c r="D273" s="10">
        <v>23</v>
      </c>
      <c r="E273" s="11"/>
      <c r="F273" s="11"/>
      <c r="G273" s="11"/>
      <c r="H273" s="12">
        <v>1</v>
      </c>
      <c r="I273" s="10">
        <v>92</v>
      </c>
      <c r="J273" s="10">
        <v>94</v>
      </c>
      <c r="K273" s="10">
        <v>5</v>
      </c>
      <c r="L273" s="10">
        <v>5</v>
      </c>
      <c r="M273" s="10">
        <v>0</v>
      </c>
      <c r="N273" s="10">
        <v>0</v>
      </c>
      <c r="O273" s="10">
        <v>0</v>
      </c>
      <c r="P273" s="10">
        <v>3</v>
      </c>
      <c r="Q273" s="10">
        <v>0</v>
      </c>
      <c r="R273" s="12"/>
      <c r="S273" s="13"/>
      <c r="T273" s="13">
        <f t="shared" si="0"/>
        <v>8</v>
      </c>
      <c r="U273" s="11">
        <f ca="1">IFERROR(__xludf.DUMMYFUNCTION("IFERROR(
  SUM(
    FILTER(
      Reporte!$E:$E, 
      REGEXMATCH(Reporte!$A:$A, ""(?i)(TE PAGÓ|PAGASTE)""), 
      Reporte!$H:$H &amp; """" = AG273 &amp; """"
    )
  ), 
  0
)"),0)</f>
        <v>0</v>
      </c>
      <c r="V273" s="11">
        <f ca="1">IFERROR(__xludf.DUMMYFUNCTION("IFERROR(
  SUM(
    FILTER(
      Efectivo!$C:$C, 
      Efectivo!$D:$D &amp; """" = AG273 &amp; """"
    )
  ), 
  0
)"),0)</f>
        <v>0</v>
      </c>
      <c r="W273" s="11"/>
      <c r="X273" s="11"/>
      <c r="Y273" s="11"/>
      <c r="Z273" s="11"/>
      <c r="AA273" s="11"/>
      <c r="AB273" s="11" t="str">
        <f t="shared" si="1"/>
        <v/>
      </c>
      <c r="AC273" s="11" t="str">
        <f t="shared" si="2"/>
        <v/>
      </c>
      <c r="AD273" s="11">
        <f t="shared" si="3"/>
        <v>0</v>
      </c>
      <c r="AE273" s="11">
        <f t="shared" si="4"/>
        <v>0</v>
      </c>
      <c r="AF273" s="11" t="str">
        <f t="shared" si="5"/>
        <v>O</v>
      </c>
      <c r="AG273" s="11" t="str">
        <f t="shared" si="6"/>
        <v>O-23</v>
      </c>
      <c r="AH273" s="21"/>
      <c r="AI273" s="21"/>
    </row>
    <row r="274" spans="1:35" ht="15.75" hidden="1" customHeight="1">
      <c r="A274" s="15">
        <v>272</v>
      </c>
      <c r="B274" s="16" t="s">
        <v>349</v>
      </c>
      <c r="C274" s="16" t="s">
        <v>327</v>
      </c>
      <c r="D274" s="17">
        <v>24</v>
      </c>
      <c r="E274" s="18"/>
      <c r="F274" s="18"/>
      <c r="G274" s="18"/>
      <c r="H274" s="19">
        <v>1</v>
      </c>
      <c r="I274" s="17">
        <v>1</v>
      </c>
      <c r="J274" s="17">
        <v>4</v>
      </c>
      <c r="K274" s="17">
        <v>5</v>
      </c>
      <c r="L274" s="17">
        <v>5</v>
      </c>
      <c r="M274" s="17">
        <v>0</v>
      </c>
      <c r="N274" s="17">
        <v>0</v>
      </c>
      <c r="O274" s="17">
        <v>0</v>
      </c>
      <c r="P274" s="17">
        <v>3</v>
      </c>
      <c r="Q274" s="17">
        <v>0</v>
      </c>
      <c r="R274" s="19"/>
      <c r="S274" s="20"/>
      <c r="T274" s="13">
        <f t="shared" si="0"/>
        <v>8</v>
      </c>
      <c r="U274" s="18">
        <f ca="1">IFERROR(__xludf.DUMMYFUNCTION("IFERROR(
  SUM(
    FILTER(
      Reporte!$E:$E, 
      REGEXMATCH(Reporte!$A:$A, ""(?i)(TE PAGÓ|PAGASTE)""), 
      Reporte!$H:$H &amp; """" = AG274 &amp; """"
    )
  ), 
  0
)"),0)</f>
        <v>0</v>
      </c>
      <c r="V274" s="18">
        <f ca="1">IFERROR(__xludf.DUMMYFUNCTION("IFERROR(
  SUM(
    FILTER(
      Efectivo!$C:$C, 
      Efectivo!$D:$D &amp; """" = AG274 &amp; """"
    )
  ), 
  0
)"),0)</f>
        <v>0</v>
      </c>
      <c r="W274" s="18"/>
      <c r="X274" s="18"/>
      <c r="Y274" s="18"/>
      <c r="Z274" s="18"/>
      <c r="AA274" s="18"/>
      <c r="AB274" s="18" t="str">
        <f t="shared" si="1"/>
        <v/>
      </c>
      <c r="AC274" s="18" t="str">
        <f t="shared" si="2"/>
        <v/>
      </c>
      <c r="AD274" s="11">
        <f t="shared" si="3"/>
        <v>0</v>
      </c>
      <c r="AE274" s="11">
        <f t="shared" si="4"/>
        <v>0</v>
      </c>
      <c r="AF274" s="18" t="str">
        <f t="shared" si="5"/>
        <v>O</v>
      </c>
      <c r="AG274" s="18" t="str">
        <f t="shared" si="6"/>
        <v>O-24</v>
      </c>
      <c r="AH274" s="14"/>
      <c r="AI274" s="14"/>
    </row>
    <row r="275" spans="1:35" ht="15.75" hidden="1" customHeight="1">
      <c r="A275" s="8">
        <v>273</v>
      </c>
      <c r="B275" s="9" t="s">
        <v>350</v>
      </c>
      <c r="C275" s="9" t="s">
        <v>327</v>
      </c>
      <c r="D275" s="10">
        <v>25</v>
      </c>
      <c r="E275" s="11"/>
      <c r="F275" s="11"/>
      <c r="G275" s="11"/>
      <c r="H275" s="12">
        <v>1</v>
      </c>
      <c r="I275" s="10">
        <v>7</v>
      </c>
      <c r="J275" s="10">
        <v>12</v>
      </c>
      <c r="K275" s="10">
        <v>5</v>
      </c>
      <c r="L275" s="10">
        <v>5</v>
      </c>
      <c r="M275" s="10">
        <v>0</v>
      </c>
      <c r="N275" s="10">
        <v>0</v>
      </c>
      <c r="O275" s="10">
        <v>25</v>
      </c>
      <c r="P275" s="10">
        <v>3</v>
      </c>
      <c r="Q275" s="10">
        <v>0</v>
      </c>
      <c r="R275" s="12"/>
      <c r="S275" s="13"/>
      <c r="T275" s="13">
        <f t="shared" si="0"/>
        <v>33</v>
      </c>
      <c r="U275" s="11">
        <f ca="1">IFERROR(__xludf.DUMMYFUNCTION("IFERROR(
  SUM(
    FILTER(
      Reporte!$E:$E, 
      REGEXMATCH(Reporte!$A:$A, ""(?i)(TE PAGÓ|PAGASTE)""), 
      Reporte!$H:$H &amp; """" = AG275 &amp; """"
    )
  ), 
  0
)"),33)</f>
        <v>33</v>
      </c>
      <c r="V275" s="11">
        <f ca="1">IFERROR(__xludf.DUMMYFUNCTION("IFERROR(
  SUM(
    FILTER(
      Efectivo!$C:$C, 
      Efectivo!$D:$D &amp; """" = AG275 &amp; """"
    )
  ), 
  0
)"),0)</f>
        <v>0</v>
      </c>
      <c r="W275" s="11" t="s">
        <v>35</v>
      </c>
      <c r="X275" s="11"/>
      <c r="Y275" s="11" t="s">
        <v>36</v>
      </c>
      <c r="Z275" s="11"/>
      <c r="AA275" s="11"/>
      <c r="AB275" s="11" t="str">
        <f t="shared" si="1"/>
        <v/>
      </c>
      <c r="AC275" s="11" t="str">
        <f t="shared" si="2"/>
        <v/>
      </c>
      <c r="AD275" s="11">
        <f t="shared" si="3"/>
        <v>0</v>
      </c>
      <c r="AE275" s="11">
        <f t="shared" si="4"/>
        <v>33</v>
      </c>
      <c r="AF275" s="11" t="str">
        <f t="shared" si="5"/>
        <v>O</v>
      </c>
      <c r="AG275" s="11" t="str">
        <f t="shared" si="6"/>
        <v>O-25</v>
      </c>
      <c r="AH275" s="21"/>
      <c r="AI275" s="21"/>
    </row>
    <row r="276" spans="1:35" ht="15.75" hidden="1" customHeight="1">
      <c r="A276" s="15">
        <v>274</v>
      </c>
      <c r="B276" s="16" t="s">
        <v>351</v>
      </c>
      <c r="C276" s="16" t="s">
        <v>327</v>
      </c>
      <c r="D276" s="17">
        <v>26</v>
      </c>
      <c r="E276" s="18"/>
      <c r="F276" s="18"/>
      <c r="G276" s="18"/>
      <c r="H276" s="19">
        <v>1</v>
      </c>
      <c r="I276" s="17">
        <v>0</v>
      </c>
      <c r="J276" s="17">
        <v>0</v>
      </c>
      <c r="K276" s="17">
        <v>5</v>
      </c>
      <c r="L276" s="17">
        <v>5</v>
      </c>
      <c r="M276" s="17">
        <v>0</v>
      </c>
      <c r="N276" s="17">
        <v>0</v>
      </c>
      <c r="O276" s="17">
        <v>25</v>
      </c>
      <c r="P276" s="17">
        <v>3</v>
      </c>
      <c r="Q276" s="17">
        <v>0</v>
      </c>
      <c r="R276" s="19"/>
      <c r="S276" s="20"/>
      <c r="T276" s="13">
        <f t="shared" si="0"/>
        <v>33</v>
      </c>
      <c r="U276" s="18">
        <f ca="1">IFERROR(__xludf.DUMMYFUNCTION("IFERROR(
  SUM(
    FILTER(
      Reporte!$E:$E, 
      REGEXMATCH(Reporte!$A:$A, ""(?i)(TE PAGÓ|PAGASTE)""), 
      Reporte!$H:$H &amp; """" = AG276 &amp; """"
    )
  ), 
  0
)"),0)</f>
        <v>0</v>
      </c>
      <c r="V276" s="18">
        <f ca="1">IFERROR(__xludf.DUMMYFUNCTION("IFERROR(
  SUM(
    FILTER(
      Efectivo!$C:$C, 
      Efectivo!$D:$D &amp; """" = AG276 &amp; """"
    )
  ), 
  0
)"),33)</f>
        <v>33</v>
      </c>
      <c r="W276" s="18" t="s">
        <v>35</v>
      </c>
      <c r="X276" s="18"/>
      <c r="Y276" s="18"/>
      <c r="Z276" s="18"/>
      <c r="AA276" s="18"/>
      <c r="AB276" s="18" t="str">
        <f t="shared" si="1"/>
        <v/>
      </c>
      <c r="AC276" s="18" t="str">
        <f t="shared" si="2"/>
        <v/>
      </c>
      <c r="AD276" s="11">
        <f t="shared" si="3"/>
        <v>33</v>
      </c>
      <c r="AE276" s="11">
        <f t="shared" si="4"/>
        <v>0</v>
      </c>
      <c r="AF276" s="18" t="str">
        <f t="shared" si="5"/>
        <v>O</v>
      </c>
      <c r="AG276" s="18" t="str">
        <f t="shared" si="6"/>
        <v>O-26</v>
      </c>
      <c r="AH276" s="14"/>
      <c r="AI276" s="14"/>
    </row>
    <row r="277" spans="1:35" ht="15.75" hidden="1" customHeight="1">
      <c r="A277" s="8">
        <v>275</v>
      </c>
      <c r="B277" s="9" t="s">
        <v>352</v>
      </c>
      <c r="C277" s="9" t="s">
        <v>327</v>
      </c>
      <c r="D277" s="10">
        <v>27</v>
      </c>
      <c r="E277" s="11"/>
      <c r="F277" s="11"/>
      <c r="G277" s="11"/>
      <c r="H277" s="12">
        <v>1</v>
      </c>
      <c r="I277" s="10">
        <v>1170</v>
      </c>
      <c r="J277" s="10">
        <v>1185</v>
      </c>
      <c r="K277" s="10">
        <v>15</v>
      </c>
      <c r="L277" s="10">
        <v>15</v>
      </c>
      <c r="M277" s="10">
        <v>0</v>
      </c>
      <c r="N277" s="10">
        <v>0</v>
      </c>
      <c r="O277" s="10">
        <v>0</v>
      </c>
      <c r="P277" s="10">
        <v>3</v>
      </c>
      <c r="Q277" s="10">
        <v>0</v>
      </c>
      <c r="R277" s="12"/>
      <c r="S277" s="13"/>
      <c r="T277" s="13">
        <f t="shared" si="0"/>
        <v>18</v>
      </c>
      <c r="U277" s="11">
        <f ca="1">IFERROR(__xludf.DUMMYFUNCTION("IFERROR(
  SUM(
    FILTER(
      Reporte!$E:$E, 
      REGEXMATCH(Reporte!$A:$A, ""(?i)(TE PAGÓ|PAGASTE)""), 
      Reporte!$H:$H &amp; """" = AG277 &amp; """"
    )
  ), 
  0
)"),18)</f>
        <v>18</v>
      </c>
      <c r="V277" s="11">
        <f ca="1">IFERROR(__xludf.DUMMYFUNCTION("IFERROR(
  SUM(
    FILTER(
      Efectivo!$C:$C, 
      Efectivo!$D:$D &amp; """" = AG277 &amp; """"
    )
  ), 
  0
)"),0)</f>
        <v>0</v>
      </c>
      <c r="W277" s="11" t="s">
        <v>35</v>
      </c>
      <c r="X277" s="11"/>
      <c r="Y277" s="11" t="s">
        <v>36</v>
      </c>
      <c r="Z277" s="11"/>
      <c r="AA277" s="11"/>
      <c r="AB277" s="11" t="str">
        <f t="shared" si="1"/>
        <v/>
      </c>
      <c r="AC277" s="11" t="str">
        <f t="shared" si="2"/>
        <v/>
      </c>
      <c r="AD277" s="11">
        <f t="shared" si="3"/>
        <v>0</v>
      </c>
      <c r="AE277" s="11">
        <f t="shared" si="4"/>
        <v>18</v>
      </c>
      <c r="AF277" s="11" t="str">
        <f t="shared" si="5"/>
        <v>O</v>
      </c>
      <c r="AG277" s="11" t="str">
        <f t="shared" si="6"/>
        <v>O-27</v>
      </c>
      <c r="AH277" s="21"/>
      <c r="AI277" s="21"/>
    </row>
    <row r="278" spans="1:35" ht="15.75" hidden="1" customHeight="1">
      <c r="A278" s="15">
        <v>276</v>
      </c>
      <c r="B278" s="16" t="s">
        <v>353</v>
      </c>
      <c r="C278" s="16" t="s">
        <v>327</v>
      </c>
      <c r="D278" s="16" t="s">
        <v>354</v>
      </c>
      <c r="E278" s="18"/>
      <c r="F278" s="18"/>
      <c r="G278" s="18"/>
      <c r="H278" s="19">
        <v>1</v>
      </c>
      <c r="I278" s="17">
        <v>182</v>
      </c>
      <c r="J278" s="17">
        <v>188</v>
      </c>
      <c r="K278" s="17">
        <v>6</v>
      </c>
      <c r="L278" s="17">
        <v>6</v>
      </c>
      <c r="M278" s="17">
        <v>0</v>
      </c>
      <c r="N278" s="17">
        <v>0</v>
      </c>
      <c r="O278" s="17">
        <v>0</v>
      </c>
      <c r="P278" s="17">
        <v>3</v>
      </c>
      <c r="Q278" s="17">
        <v>0</v>
      </c>
      <c r="R278" s="19"/>
      <c r="S278" s="20"/>
      <c r="T278" s="13">
        <f t="shared" si="0"/>
        <v>9</v>
      </c>
      <c r="U278" s="18">
        <f ca="1">IFERROR(__xludf.DUMMYFUNCTION("IFERROR(
  SUM(
    FILTER(
      Reporte!$E:$E, 
      REGEXMATCH(Reporte!$A:$A, ""(?i)(TE PAGÓ|PAGASTE)""), 
      Reporte!$H:$H &amp; """" = AG278 &amp; """"
    )
  ), 
  0
)"),0)</f>
        <v>0</v>
      </c>
      <c r="V278" s="18">
        <f ca="1">IFERROR(__xludf.DUMMYFUNCTION("IFERROR(
  SUM(
    FILTER(
      Efectivo!$C:$C, 
      Efectivo!$D:$D &amp; """" = AG278 &amp; """"
    )
  ), 
  0
)"),9)</f>
        <v>9</v>
      </c>
      <c r="W278" s="18" t="s">
        <v>35</v>
      </c>
      <c r="X278" s="18"/>
      <c r="Y278" s="18"/>
      <c r="Z278" s="18"/>
      <c r="AA278" s="18"/>
      <c r="AB278" s="18" t="str">
        <f t="shared" si="1"/>
        <v/>
      </c>
      <c r="AC278" s="18" t="str">
        <f t="shared" si="2"/>
        <v/>
      </c>
      <c r="AD278" s="11">
        <f t="shared" si="3"/>
        <v>9</v>
      </c>
      <c r="AE278" s="11">
        <f t="shared" si="4"/>
        <v>0</v>
      </c>
      <c r="AF278" s="18" t="str">
        <f t="shared" si="5"/>
        <v>O</v>
      </c>
      <c r="AG278" s="18" t="str">
        <f t="shared" si="6"/>
        <v>O-27B</v>
      </c>
      <c r="AH278" s="14"/>
      <c r="AI278" s="14"/>
    </row>
    <row r="279" spans="1:35" ht="15.75" hidden="1" customHeight="1">
      <c r="A279" s="8">
        <v>277</v>
      </c>
      <c r="B279" s="9" t="s">
        <v>355</v>
      </c>
      <c r="C279" s="9" t="s">
        <v>327</v>
      </c>
      <c r="D279" s="10">
        <v>28</v>
      </c>
      <c r="E279" s="11"/>
      <c r="F279" s="11"/>
      <c r="G279" s="11"/>
      <c r="H279" s="12">
        <v>1</v>
      </c>
      <c r="I279" s="10">
        <v>3</v>
      </c>
      <c r="J279" s="10">
        <v>4</v>
      </c>
      <c r="K279" s="10">
        <v>5</v>
      </c>
      <c r="L279" s="10">
        <v>5</v>
      </c>
      <c r="M279" s="10">
        <v>0</v>
      </c>
      <c r="N279" s="10">
        <v>0</v>
      </c>
      <c r="O279" s="10">
        <v>0</v>
      </c>
      <c r="P279" s="10">
        <v>3</v>
      </c>
      <c r="Q279" s="10">
        <v>0</v>
      </c>
      <c r="R279" s="12"/>
      <c r="S279" s="13"/>
      <c r="T279" s="13">
        <f t="shared" si="0"/>
        <v>8</v>
      </c>
      <c r="U279" s="11">
        <f ca="1">IFERROR(__xludf.DUMMYFUNCTION("IFERROR(
  SUM(
    FILTER(
      Reporte!$E:$E, 
      REGEXMATCH(Reporte!$A:$A, ""(?i)(TE PAGÓ|PAGASTE)""), 
      Reporte!$H:$H &amp; """" = AG279 &amp; """"
    )
  ), 
  0
)"),0)</f>
        <v>0</v>
      </c>
      <c r="V279" s="11">
        <f ca="1">IFERROR(__xludf.DUMMYFUNCTION("IFERROR(
  SUM(
    FILTER(
      Efectivo!$C:$C, 
      Efectivo!$D:$D &amp; """" = AG279 &amp; """"
    )
  ), 
  0
)"),8)</f>
        <v>8</v>
      </c>
      <c r="W279" s="11" t="s">
        <v>35</v>
      </c>
      <c r="X279" s="11"/>
      <c r="Y279" s="11"/>
      <c r="Z279" s="11"/>
      <c r="AA279" s="11"/>
      <c r="AB279" s="11" t="str">
        <f t="shared" si="1"/>
        <v/>
      </c>
      <c r="AC279" s="11" t="str">
        <f t="shared" si="2"/>
        <v/>
      </c>
      <c r="AD279" s="11">
        <f t="shared" si="3"/>
        <v>8</v>
      </c>
      <c r="AE279" s="11">
        <f t="shared" si="4"/>
        <v>0</v>
      </c>
      <c r="AF279" s="11" t="str">
        <f t="shared" si="5"/>
        <v>O</v>
      </c>
      <c r="AG279" s="11" t="str">
        <f t="shared" si="6"/>
        <v>O-28</v>
      </c>
      <c r="AH279" s="21"/>
      <c r="AI279" s="21"/>
    </row>
    <row r="280" spans="1:35" ht="15.75" hidden="1" customHeight="1">
      <c r="A280" s="15">
        <v>278</v>
      </c>
      <c r="B280" s="16" t="s">
        <v>356</v>
      </c>
      <c r="C280" s="16" t="s">
        <v>357</v>
      </c>
      <c r="D280" s="17">
        <v>1</v>
      </c>
      <c r="E280" s="18"/>
      <c r="F280" s="18"/>
      <c r="G280" s="18"/>
      <c r="H280" s="19">
        <v>1</v>
      </c>
      <c r="I280" s="17">
        <v>84</v>
      </c>
      <c r="J280" s="17">
        <v>97</v>
      </c>
      <c r="K280" s="17">
        <v>13</v>
      </c>
      <c r="L280" s="17">
        <v>13</v>
      </c>
      <c r="M280" s="17">
        <v>0</v>
      </c>
      <c r="N280" s="17">
        <v>0</v>
      </c>
      <c r="O280" s="17">
        <v>0</v>
      </c>
      <c r="P280" s="17">
        <v>3</v>
      </c>
      <c r="Q280" s="17">
        <v>0</v>
      </c>
      <c r="R280" s="19"/>
      <c r="S280" s="20"/>
      <c r="T280" s="13">
        <f t="shared" si="0"/>
        <v>16</v>
      </c>
      <c r="U280" s="18">
        <f ca="1">IFERROR(__xludf.DUMMYFUNCTION("IFERROR(
  SUM(
    FILTER(
      Reporte!$E:$E, 
      REGEXMATCH(Reporte!$A:$A, ""(?i)(TE PAGÓ|PAGASTE)""), 
      Reporte!$H:$H &amp; """" = AG280 &amp; """"
    )
  ), 
  0
)"),0)</f>
        <v>0</v>
      </c>
      <c r="V280" s="18">
        <f ca="1">IFERROR(__xludf.DUMMYFUNCTION("IFERROR(
  SUM(
    FILTER(
      Efectivo!$C:$C, 
      Efectivo!$D:$D &amp; """" = AG280 &amp; """"
    )
  ), 
  0
)"),16)</f>
        <v>16</v>
      </c>
      <c r="W280" s="18" t="s">
        <v>35</v>
      </c>
      <c r="X280" s="18"/>
      <c r="Y280" s="18"/>
      <c r="Z280" s="18"/>
      <c r="AA280" s="18"/>
      <c r="AB280" s="18" t="str">
        <f t="shared" si="1"/>
        <v/>
      </c>
      <c r="AC280" s="18" t="str">
        <f t="shared" si="2"/>
        <v/>
      </c>
      <c r="AD280" s="11">
        <f t="shared" si="3"/>
        <v>16</v>
      </c>
      <c r="AE280" s="11">
        <f t="shared" si="4"/>
        <v>0</v>
      </c>
      <c r="AF280" s="18" t="str">
        <f t="shared" si="5"/>
        <v>P</v>
      </c>
      <c r="AG280" s="18" t="str">
        <f t="shared" si="6"/>
        <v>P-1</v>
      </c>
      <c r="AH280" s="14"/>
      <c r="AI280" s="14"/>
    </row>
    <row r="281" spans="1:35" ht="15.75" hidden="1" customHeight="1">
      <c r="A281" s="8">
        <v>279</v>
      </c>
      <c r="B281" s="9" t="s">
        <v>358</v>
      </c>
      <c r="C281" s="9" t="s">
        <v>357</v>
      </c>
      <c r="D281" s="10">
        <v>2</v>
      </c>
      <c r="E281" s="11"/>
      <c r="F281" s="11"/>
      <c r="G281" s="11"/>
      <c r="H281" s="12">
        <v>1</v>
      </c>
      <c r="I281" s="10">
        <v>601</v>
      </c>
      <c r="J281" s="10">
        <v>615</v>
      </c>
      <c r="K281" s="10">
        <v>14</v>
      </c>
      <c r="L281" s="10">
        <v>14</v>
      </c>
      <c r="M281" s="10">
        <v>0</v>
      </c>
      <c r="N281" s="10">
        <v>0</v>
      </c>
      <c r="O281" s="10">
        <v>0</v>
      </c>
      <c r="P281" s="10">
        <v>3</v>
      </c>
      <c r="Q281" s="10">
        <v>0</v>
      </c>
      <c r="R281" s="12"/>
      <c r="S281" s="13"/>
      <c r="T281" s="13">
        <f t="shared" si="0"/>
        <v>17</v>
      </c>
      <c r="U281" s="11">
        <f ca="1">IFERROR(__xludf.DUMMYFUNCTION("IFERROR(
  SUM(
    FILTER(
      Reporte!$E:$E, 
      REGEXMATCH(Reporte!$A:$A, ""(?i)(TE PAGÓ|PAGASTE)""), 
      Reporte!$H:$H &amp; """" = AG281 &amp; """"
    )
  ), 
  0
)"),0)</f>
        <v>0</v>
      </c>
      <c r="V281" s="11">
        <f ca="1">IFERROR(__xludf.DUMMYFUNCTION("IFERROR(
  SUM(
    FILTER(
      Efectivo!$C:$C, 
      Efectivo!$D:$D &amp; """" = AG281 &amp; """"
    )
  ), 
  0
)"),17)</f>
        <v>17</v>
      </c>
      <c r="W281" s="11" t="s">
        <v>35</v>
      </c>
      <c r="X281" s="11"/>
      <c r="Y281" s="11"/>
      <c r="Z281" s="11"/>
      <c r="AA281" s="11"/>
      <c r="AB281" s="11" t="str">
        <f t="shared" si="1"/>
        <v/>
      </c>
      <c r="AC281" s="11" t="str">
        <f t="shared" si="2"/>
        <v/>
      </c>
      <c r="AD281" s="11">
        <f t="shared" si="3"/>
        <v>17</v>
      </c>
      <c r="AE281" s="11">
        <f t="shared" si="4"/>
        <v>0</v>
      </c>
      <c r="AF281" s="11" t="str">
        <f t="shared" si="5"/>
        <v>P</v>
      </c>
      <c r="AG281" s="11" t="str">
        <f t="shared" si="6"/>
        <v>P-2</v>
      </c>
      <c r="AH281" s="21"/>
      <c r="AI281" s="21"/>
    </row>
    <row r="282" spans="1:35" ht="15.75" hidden="1" customHeight="1">
      <c r="A282" s="15">
        <v>280</v>
      </c>
      <c r="B282" s="16" t="s">
        <v>359</v>
      </c>
      <c r="C282" s="16" t="s">
        <v>357</v>
      </c>
      <c r="D282" s="17">
        <v>3</v>
      </c>
      <c r="E282" s="18"/>
      <c r="F282" s="18"/>
      <c r="G282" s="18"/>
      <c r="H282" s="19">
        <v>1</v>
      </c>
      <c r="I282" s="17">
        <v>19</v>
      </c>
      <c r="J282" s="17">
        <v>35</v>
      </c>
      <c r="K282" s="17">
        <v>16</v>
      </c>
      <c r="L282" s="17">
        <v>16</v>
      </c>
      <c r="M282" s="17">
        <v>0</v>
      </c>
      <c r="N282" s="17">
        <v>0</v>
      </c>
      <c r="O282" s="17">
        <v>25</v>
      </c>
      <c r="P282" s="17">
        <v>3</v>
      </c>
      <c r="Q282" s="17">
        <v>0</v>
      </c>
      <c r="R282" s="19"/>
      <c r="S282" s="20"/>
      <c r="T282" s="13">
        <f t="shared" si="0"/>
        <v>44</v>
      </c>
      <c r="U282" s="18">
        <f ca="1">IFERROR(__xludf.DUMMYFUNCTION("IFERROR(
  SUM(
    FILTER(
      Reporte!$E:$E, 
      REGEXMATCH(Reporte!$A:$A, ""(?i)(TE PAGÓ|PAGASTE)""), 
      Reporte!$H:$H &amp; """" = AG282 &amp; """"
    )
  ), 
  0
)"),44)</f>
        <v>44</v>
      </c>
      <c r="V282" s="18">
        <f ca="1">IFERROR(__xludf.DUMMYFUNCTION("IFERROR(
  SUM(
    FILTER(
      Efectivo!$C:$C, 
      Efectivo!$D:$D &amp; """" = AG282 &amp; """"
    )
  ), 
  0
)"),0)</f>
        <v>0</v>
      </c>
      <c r="W282" s="18" t="s">
        <v>35</v>
      </c>
      <c r="X282" s="18"/>
      <c r="Y282" s="18" t="s">
        <v>36</v>
      </c>
      <c r="Z282" s="18"/>
      <c r="AA282" s="18"/>
      <c r="AB282" s="18" t="str">
        <f t="shared" si="1"/>
        <v/>
      </c>
      <c r="AC282" s="18" t="str">
        <f t="shared" si="2"/>
        <v/>
      </c>
      <c r="AD282" s="11">
        <f t="shared" si="3"/>
        <v>0</v>
      </c>
      <c r="AE282" s="11">
        <f t="shared" si="4"/>
        <v>44</v>
      </c>
      <c r="AF282" s="18" t="str">
        <f t="shared" si="5"/>
        <v>P</v>
      </c>
      <c r="AG282" s="18" t="str">
        <f t="shared" si="6"/>
        <v>P-3</v>
      </c>
      <c r="AH282" s="14"/>
      <c r="AI282" s="14"/>
    </row>
    <row r="283" spans="1:35" ht="15.75" hidden="1" customHeight="1">
      <c r="A283" s="8">
        <v>281</v>
      </c>
      <c r="B283" s="9" t="s">
        <v>360</v>
      </c>
      <c r="C283" s="9" t="s">
        <v>357</v>
      </c>
      <c r="D283" s="10">
        <v>4</v>
      </c>
      <c r="E283" s="11"/>
      <c r="F283" s="11"/>
      <c r="G283" s="11"/>
      <c r="H283" s="12">
        <v>1</v>
      </c>
      <c r="I283" s="10">
        <v>346</v>
      </c>
      <c r="J283" s="10">
        <v>387</v>
      </c>
      <c r="K283" s="10">
        <v>41</v>
      </c>
      <c r="L283" s="10">
        <v>41</v>
      </c>
      <c r="M283" s="10">
        <v>0</v>
      </c>
      <c r="N283" s="10">
        <v>0</v>
      </c>
      <c r="O283" s="10">
        <v>0</v>
      </c>
      <c r="P283" s="10">
        <v>3</v>
      </c>
      <c r="Q283" s="10">
        <v>0</v>
      </c>
      <c r="R283" s="12"/>
      <c r="S283" s="13"/>
      <c r="T283" s="13">
        <f t="shared" si="0"/>
        <v>44</v>
      </c>
      <c r="U283" s="11">
        <f ca="1">IFERROR(__xludf.DUMMYFUNCTION("IFERROR(
  SUM(
    FILTER(
      Reporte!$E:$E, 
      REGEXMATCH(Reporte!$A:$A, ""(?i)(TE PAGÓ|PAGASTE)""), 
      Reporte!$H:$H &amp; """" = AG283 &amp; """"
    )
  ), 
  0
)"),0)</f>
        <v>0</v>
      </c>
      <c r="V283" s="11">
        <f ca="1">IFERROR(__xludf.DUMMYFUNCTION("IFERROR(
  SUM(
    FILTER(
      Efectivo!$C:$C, 
      Efectivo!$D:$D &amp; """" = AG283 &amp; """"
    )
  ), 
  0
)"),0)</f>
        <v>0</v>
      </c>
      <c r="W283" s="11"/>
      <c r="X283" s="11"/>
      <c r="Y283" s="11"/>
      <c r="Z283" s="11"/>
      <c r="AA283" s="11"/>
      <c r="AB283" s="11" t="str">
        <f t="shared" si="1"/>
        <v/>
      </c>
      <c r="AC283" s="11" t="str">
        <f t="shared" si="2"/>
        <v/>
      </c>
      <c r="AD283" s="11">
        <f t="shared" si="3"/>
        <v>0</v>
      </c>
      <c r="AE283" s="11">
        <f t="shared" si="4"/>
        <v>0</v>
      </c>
      <c r="AF283" s="11" t="str">
        <f t="shared" si="5"/>
        <v>P</v>
      </c>
      <c r="AG283" s="11" t="str">
        <f t="shared" si="6"/>
        <v>P-4</v>
      </c>
      <c r="AH283" s="21"/>
      <c r="AI283" s="21"/>
    </row>
    <row r="284" spans="1:35" ht="15.75" hidden="1" customHeight="1">
      <c r="A284" s="15">
        <v>282</v>
      </c>
      <c r="B284" s="16" t="s">
        <v>361</v>
      </c>
      <c r="C284" s="16" t="s">
        <v>357</v>
      </c>
      <c r="D284" s="17">
        <v>5</v>
      </c>
      <c r="E284" s="18"/>
      <c r="F284" s="18"/>
      <c r="G284" s="18"/>
      <c r="H284" s="19">
        <v>1</v>
      </c>
      <c r="I284" s="17">
        <v>167</v>
      </c>
      <c r="J284" s="17">
        <v>179</v>
      </c>
      <c r="K284" s="17">
        <v>12</v>
      </c>
      <c r="L284" s="17">
        <v>12</v>
      </c>
      <c r="M284" s="17">
        <v>0</v>
      </c>
      <c r="N284" s="17">
        <v>0</v>
      </c>
      <c r="O284" s="17">
        <v>0</v>
      </c>
      <c r="P284" s="17">
        <v>3</v>
      </c>
      <c r="Q284" s="17">
        <v>0</v>
      </c>
      <c r="R284" s="19"/>
      <c r="S284" s="20"/>
      <c r="T284" s="13">
        <f t="shared" si="0"/>
        <v>15</v>
      </c>
      <c r="U284" s="18">
        <f ca="1">IFERROR(__xludf.DUMMYFUNCTION("IFERROR(
  SUM(
    FILTER(
      Reporte!$E:$E, 
      REGEXMATCH(Reporte!$A:$A, ""(?i)(TE PAGÓ|PAGASTE)""), 
      Reporte!$H:$H &amp; """" = AG284 &amp; """"
    )
  ), 
  0
)"),15)</f>
        <v>15</v>
      </c>
      <c r="V284" s="18">
        <f ca="1">IFERROR(__xludf.DUMMYFUNCTION("IFERROR(
  SUM(
    FILTER(
      Efectivo!$C:$C, 
      Efectivo!$D:$D &amp; """" = AG284 &amp; """"
    )
  ), 
  0
)"),0)</f>
        <v>0</v>
      </c>
      <c r="W284" s="18" t="s">
        <v>35</v>
      </c>
      <c r="X284" s="18"/>
      <c r="Y284" s="18" t="s">
        <v>36</v>
      </c>
      <c r="Z284" s="18"/>
      <c r="AA284" s="18"/>
      <c r="AB284" s="18" t="str">
        <f t="shared" si="1"/>
        <v/>
      </c>
      <c r="AC284" s="18" t="str">
        <f t="shared" si="2"/>
        <v/>
      </c>
      <c r="AD284" s="11">
        <f t="shared" si="3"/>
        <v>0</v>
      </c>
      <c r="AE284" s="11">
        <f t="shared" si="4"/>
        <v>15</v>
      </c>
      <c r="AF284" s="18" t="str">
        <f t="shared" si="5"/>
        <v>P</v>
      </c>
      <c r="AG284" s="18" t="str">
        <f t="shared" si="6"/>
        <v>P-5</v>
      </c>
      <c r="AH284" s="14"/>
      <c r="AI284" s="14"/>
    </row>
    <row r="285" spans="1:35" ht="15.75" hidden="1" customHeight="1">
      <c r="A285" s="8">
        <v>283</v>
      </c>
      <c r="B285" s="9" t="s">
        <v>362</v>
      </c>
      <c r="C285" s="9" t="s">
        <v>357</v>
      </c>
      <c r="D285" s="10">
        <v>7</v>
      </c>
      <c r="E285" s="11"/>
      <c r="F285" s="11"/>
      <c r="G285" s="11"/>
      <c r="H285" s="12">
        <v>1</v>
      </c>
      <c r="I285" s="10">
        <v>1325</v>
      </c>
      <c r="J285" s="10">
        <v>1340</v>
      </c>
      <c r="K285" s="10">
        <v>15</v>
      </c>
      <c r="L285" s="10">
        <v>15</v>
      </c>
      <c r="M285" s="10">
        <v>0</v>
      </c>
      <c r="N285" s="10">
        <v>0</v>
      </c>
      <c r="O285" s="10">
        <v>0</v>
      </c>
      <c r="P285" s="10">
        <v>3</v>
      </c>
      <c r="Q285" s="10">
        <v>0</v>
      </c>
      <c r="R285" s="12"/>
      <c r="S285" s="13"/>
      <c r="T285" s="13">
        <f t="shared" si="0"/>
        <v>18</v>
      </c>
      <c r="U285" s="11">
        <f ca="1">IFERROR(__xludf.DUMMYFUNCTION("IFERROR(
  SUM(
    FILTER(
      Reporte!$E:$E, 
      REGEXMATCH(Reporte!$A:$A, ""(?i)(TE PAGÓ|PAGASTE)""), 
      Reporte!$H:$H &amp; """" = AG285 &amp; """"
    )
  ), 
  0
)"),18)</f>
        <v>18</v>
      </c>
      <c r="V285" s="11">
        <f ca="1">IFERROR(__xludf.DUMMYFUNCTION("IFERROR(
  SUM(
    FILTER(
      Efectivo!$C:$C, 
      Efectivo!$D:$D &amp; """" = AG285 &amp; """"
    )
  ), 
  0
)"),0)</f>
        <v>0</v>
      </c>
      <c r="W285" s="11" t="s">
        <v>35</v>
      </c>
      <c r="X285" s="11"/>
      <c r="Y285" s="11" t="s">
        <v>36</v>
      </c>
      <c r="Z285" s="11"/>
      <c r="AA285" s="11"/>
      <c r="AB285" s="11" t="str">
        <f t="shared" si="1"/>
        <v/>
      </c>
      <c r="AC285" s="11" t="str">
        <f t="shared" si="2"/>
        <v/>
      </c>
      <c r="AD285" s="11">
        <f t="shared" si="3"/>
        <v>0</v>
      </c>
      <c r="AE285" s="11">
        <f t="shared" si="4"/>
        <v>18</v>
      </c>
      <c r="AF285" s="11" t="str">
        <f t="shared" si="5"/>
        <v>P</v>
      </c>
      <c r="AG285" s="11" t="str">
        <f t="shared" si="6"/>
        <v>P-7</v>
      </c>
      <c r="AH285" s="21"/>
      <c r="AI285" s="21"/>
    </row>
    <row r="286" spans="1:35" ht="15.75" hidden="1" customHeight="1">
      <c r="A286" s="15">
        <v>284</v>
      </c>
      <c r="B286" s="16" t="s">
        <v>363</v>
      </c>
      <c r="C286" s="16" t="s">
        <v>357</v>
      </c>
      <c r="D286" s="17">
        <v>8</v>
      </c>
      <c r="E286" s="18"/>
      <c r="F286" s="18"/>
      <c r="G286" s="18"/>
      <c r="H286" s="19">
        <v>1</v>
      </c>
      <c r="I286" s="17">
        <v>17</v>
      </c>
      <c r="J286" s="17">
        <v>32</v>
      </c>
      <c r="K286" s="17">
        <v>15</v>
      </c>
      <c r="L286" s="17">
        <v>15</v>
      </c>
      <c r="M286" s="17">
        <v>16</v>
      </c>
      <c r="N286" s="17">
        <v>0</v>
      </c>
      <c r="O286" s="17">
        <v>25</v>
      </c>
      <c r="P286" s="17">
        <v>3</v>
      </c>
      <c r="Q286" s="17">
        <v>0</v>
      </c>
      <c r="R286" s="19"/>
      <c r="S286" s="20"/>
      <c r="T286" s="13">
        <f t="shared" si="0"/>
        <v>59</v>
      </c>
      <c r="U286" s="18">
        <f ca="1">IFERROR(__xludf.DUMMYFUNCTION("IFERROR(
  SUM(
    FILTER(
      Reporte!$E:$E, 
      REGEXMATCH(Reporte!$A:$A, ""(?i)(TE PAGÓ|PAGASTE)""), 
      Reporte!$H:$H &amp; """" = AG286 &amp; """"
    )
  ), 
  0
)"),59)</f>
        <v>59</v>
      </c>
      <c r="V286" s="18">
        <f ca="1">IFERROR(__xludf.DUMMYFUNCTION("IFERROR(
  SUM(
    FILTER(
      Efectivo!$C:$C, 
      Efectivo!$D:$D &amp; """" = AG286 &amp; """"
    )
  ), 
  0
)"),0)</f>
        <v>0</v>
      </c>
      <c r="W286" s="18" t="s">
        <v>35</v>
      </c>
      <c r="X286" s="18"/>
      <c r="Y286" s="18" t="s">
        <v>36</v>
      </c>
      <c r="Z286" s="18"/>
      <c r="AA286" s="18"/>
      <c r="AB286" s="18" t="str">
        <f t="shared" si="1"/>
        <v/>
      </c>
      <c r="AC286" s="18" t="str">
        <f t="shared" si="2"/>
        <v/>
      </c>
      <c r="AD286" s="11">
        <f t="shared" si="3"/>
        <v>0</v>
      </c>
      <c r="AE286" s="11">
        <f t="shared" si="4"/>
        <v>59</v>
      </c>
      <c r="AF286" s="18" t="str">
        <f t="shared" si="5"/>
        <v>P</v>
      </c>
      <c r="AG286" s="18" t="str">
        <f t="shared" si="6"/>
        <v>P-8</v>
      </c>
      <c r="AH286" s="14"/>
      <c r="AI286" s="14"/>
    </row>
    <row r="287" spans="1:35" ht="15.75" hidden="1" customHeight="1">
      <c r="A287" s="8">
        <v>285</v>
      </c>
      <c r="B287" s="9" t="s">
        <v>364</v>
      </c>
      <c r="C287" s="9" t="s">
        <v>357</v>
      </c>
      <c r="D287" s="10">
        <v>10</v>
      </c>
      <c r="E287" s="11"/>
      <c r="F287" s="11"/>
      <c r="G287" s="11"/>
      <c r="H287" s="12">
        <v>1</v>
      </c>
      <c r="I287" s="10">
        <v>732</v>
      </c>
      <c r="J287" s="10">
        <v>739</v>
      </c>
      <c r="K287" s="10">
        <v>7</v>
      </c>
      <c r="L287" s="10">
        <v>7</v>
      </c>
      <c r="M287" s="10">
        <v>0</v>
      </c>
      <c r="N287" s="10">
        <v>0</v>
      </c>
      <c r="O287" s="10">
        <v>0</v>
      </c>
      <c r="P287" s="10">
        <v>3</v>
      </c>
      <c r="Q287" s="10">
        <v>0</v>
      </c>
      <c r="R287" s="12"/>
      <c r="S287" s="13"/>
      <c r="T287" s="13">
        <f t="shared" si="0"/>
        <v>10</v>
      </c>
      <c r="U287" s="11">
        <f ca="1">IFERROR(__xludf.DUMMYFUNCTION("IFERROR(
  SUM(
    FILTER(
      Reporte!$E:$E, 
      REGEXMATCH(Reporte!$A:$A, ""(?i)(TE PAGÓ|PAGASTE)""), 
      Reporte!$H:$H &amp; """" = AG287 &amp; """"
    )
  ), 
  0
)"),10)</f>
        <v>10</v>
      </c>
      <c r="V287" s="11">
        <f ca="1">IFERROR(__xludf.DUMMYFUNCTION("IFERROR(
  SUM(
    FILTER(
      Efectivo!$C:$C, 
      Efectivo!$D:$D &amp; """" = AG287 &amp; """"
    )
  ), 
  0
)"),0)</f>
        <v>0</v>
      </c>
      <c r="W287" s="11" t="s">
        <v>35</v>
      </c>
      <c r="X287" s="11"/>
      <c r="Y287" s="11" t="s">
        <v>36</v>
      </c>
      <c r="Z287" s="11"/>
      <c r="AA287" s="11"/>
      <c r="AB287" s="11" t="str">
        <f t="shared" si="1"/>
        <v/>
      </c>
      <c r="AC287" s="11" t="str">
        <f t="shared" si="2"/>
        <v/>
      </c>
      <c r="AD287" s="11">
        <f t="shared" si="3"/>
        <v>0</v>
      </c>
      <c r="AE287" s="11">
        <f t="shared" si="4"/>
        <v>10</v>
      </c>
      <c r="AF287" s="11" t="str">
        <f t="shared" si="5"/>
        <v>P</v>
      </c>
      <c r="AG287" s="11" t="str">
        <f t="shared" si="6"/>
        <v>P-10</v>
      </c>
      <c r="AH287" s="21"/>
      <c r="AI287" s="21"/>
    </row>
    <row r="288" spans="1:35" ht="15.75" hidden="1" customHeight="1">
      <c r="A288" s="15">
        <v>286</v>
      </c>
      <c r="B288" s="16" t="s">
        <v>365</v>
      </c>
      <c r="C288" s="16" t="s">
        <v>357</v>
      </c>
      <c r="D288" s="17">
        <v>11</v>
      </c>
      <c r="E288" s="18"/>
      <c r="F288" s="18"/>
      <c r="G288" s="18"/>
      <c r="H288" s="19">
        <v>1</v>
      </c>
      <c r="I288" s="17">
        <v>8</v>
      </c>
      <c r="J288" s="17">
        <v>16</v>
      </c>
      <c r="K288" s="17">
        <v>8</v>
      </c>
      <c r="L288" s="17">
        <v>13</v>
      </c>
      <c r="M288" s="17">
        <v>9</v>
      </c>
      <c r="N288" s="22">
        <v>40</v>
      </c>
      <c r="O288" s="17">
        <v>0</v>
      </c>
      <c r="P288" s="17">
        <v>3</v>
      </c>
      <c r="Q288" s="17">
        <v>0</v>
      </c>
      <c r="R288" s="19"/>
      <c r="S288" s="20"/>
      <c r="T288" s="13">
        <f t="shared" si="0"/>
        <v>65</v>
      </c>
      <c r="U288" s="18">
        <f ca="1">IFERROR(__xludf.DUMMYFUNCTION("IFERROR(
  SUM(
    FILTER(
      Reporte!$E:$E, 
      REGEXMATCH(Reporte!$A:$A, ""(?i)(TE PAGÓ|PAGASTE)""), 
      Reporte!$H:$H &amp; """" = AG288 &amp; """"
    )
  ), 
  0
)"),65)</f>
        <v>65</v>
      </c>
      <c r="V288" s="18">
        <f ca="1">IFERROR(__xludf.DUMMYFUNCTION("IFERROR(
  SUM(
    FILTER(
      Efectivo!$C:$C, 
      Efectivo!$D:$D &amp; """" = AG288 &amp; """"
    )
  ), 
  0
)"),0)</f>
        <v>0</v>
      </c>
      <c r="W288" s="18" t="s">
        <v>35</v>
      </c>
      <c r="X288" s="18"/>
      <c r="Y288" s="18" t="s">
        <v>36</v>
      </c>
      <c r="Z288" s="18" t="s">
        <v>366</v>
      </c>
      <c r="AA288" s="18"/>
      <c r="AB288" s="18" t="str">
        <f t="shared" si="1"/>
        <v/>
      </c>
      <c r="AC288" s="18" t="str">
        <f t="shared" si="2"/>
        <v/>
      </c>
      <c r="AD288" s="11">
        <f t="shared" si="3"/>
        <v>0</v>
      </c>
      <c r="AE288" s="11">
        <f t="shared" si="4"/>
        <v>65</v>
      </c>
      <c r="AF288" s="18" t="str">
        <f t="shared" si="5"/>
        <v>P</v>
      </c>
      <c r="AG288" s="18" t="str">
        <f t="shared" si="6"/>
        <v>P-11</v>
      </c>
      <c r="AH288" s="14"/>
      <c r="AI288" s="14"/>
    </row>
    <row r="289" spans="1:35" ht="15.75" hidden="1" customHeight="1">
      <c r="A289" s="8">
        <v>287</v>
      </c>
      <c r="B289" s="9" t="s">
        <v>367</v>
      </c>
      <c r="C289" s="9" t="s">
        <v>357</v>
      </c>
      <c r="D289" s="9" t="s">
        <v>368</v>
      </c>
      <c r="E289" s="11"/>
      <c r="F289" s="11"/>
      <c r="G289" s="11"/>
      <c r="H289" s="12">
        <v>1</v>
      </c>
      <c r="I289" s="10">
        <v>264</v>
      </c>
      <c r="J289" s="10">
        <v>274</v>
      </c>
      <c r="K289" s="10">
        <v>10</v>
      </c>
      <c r="L289" s="10">
        <v>10</v>
      </c>
      <c r="M289" s="10">
        <v>0</v>
      </c>
      <c r="N289" s="10">
        <v>0</v>
      </c>
      <c r="O289" s="10">
        <v>0</v>
      </c>
      <c r="P289" s="10">
        <v>3</v>
      </c>
      <c r="Q289" s="10">
        <v>0</v>
      </c>
      <c r="R289" s="12">
        <v>8</v>
      </c>
      <c r="S289" s="13"/>
      <c r="T289" s="13">
        <f t="shared" si="0"/>
        <v>21</v>
      </c>
      <c r="U289" s="11">
        <f ca="1">IFERROR(__xludf.DUMMYFUNCTION("IFERROR(
  SUM(
    FILTER(
      Reporte!$E:$E, 
      REGEXMATCH(Reporte!$A:$A, ""(?i)(TE PAGÓ|PAGASTE)""), 
      Reporte!$H:$H &amp; """" = AG289 &amp; """"
    )
  ), 
  0
)"),21)</f>
        <v>21</v>
      </c>
      <c r="V289" s="11">
        <f ca="1">IFERROR(__xludf.DUMMYFUNCTION("IFERROR(
  SUM(
    FILTER(
      Efectivo!$C:$C, 
      Efectivo!$D:$D &amp; """" = AG289 &amp; """"
    )
  ), 
  0
)"),0)</f>
        <v>0</v>
      </c>
      <c r="W289" s="11" t="s">
        <v>35</v>
      </c>
      <c r="X289" s="11"/>
      <c r="Y289" s="11" t="s">
        <v>36</v>
      </c>
      <c r="Z289" s="11" t="s">
        <v>369</v>
      </c>
      <c r="AA289" s="11"/>
      <c r="AB289" s="11" t="str">
        <f t="shared" si="1"/>
        <v/>
      </c>
      <c r="AC289" s="11" t="str">
        <f t="shared" si="2"/>
        <v/>
      </c>
      <c r="AD289" s="11">
        <f t="shared" si="3"/>
        <v>0</v>
      </c>
      <c r="AE289" s="11">
        <f t="shared" si="4"/>
        <v>21</v>
      </c>
      <c r="AF289" s="11" t="str">
        <f t="shared" si="5"/>
        <v>P</v>
      </c>
      <c r="AG289" s="11" t="str">
        <f t="shared" si="6"/>
        <v>P-11A</v>
      </c>
      <c r="AH289" s="21"/>
      <c r="AI289" s="21"/>
    </row>
    <row r="290" spans="1:35" ht="15.75" hidden="1" customHeight="1">
      <c r="A290" s="15">
        <v>288</v>
      </c>
      <c r="B290" s="16" t="s">
        <v>370</v>
      </c>
      <c r="C290" s="16" t="s">
        <v>357</v>
      </c>
      <c r="D290" s="17">
        <v>12</v>
      </c>
      <c r="E290" s="18"/>
      <c r="F290" s="18"/>
      <c r="G290" s="18"/>
      <c r="H290" s="19">
        <v>1</v>
      </c>
      <c r="I290" s="17">
        <v>24</v>
      </c>
      <c r="J290" s="17">
        <v>45</v>
      </c>
      <c r="K290" s="17">
        <v>21</v>
      </c>
      <c r="L290" s="17">
        <v>21</v>
      </c>
      <c r="M290" s="17">
        <v>0</v>
      </c>
      <c r="N290" s="17">
        <v>0</v>
      </c>
      <c r="O290" s="17">
        <v>25</v>
      </c>
      <c r="P290" s="17">
        <v>3</v>
      </c>
      <c r="Q290" s="17">
        <v>0</v>
      </c>
      <c r="R290" s="19"/>
      <c r="S290" s="20"/>
      <c r="T290" s="13">
        <f t="shared" si="0"/>
        <v>49</v>
      </c>
      <c r="U290" s="18">
        <f ca="1">IFERROR(__xludf.DUMMYFUNCTION("IFERROR(
  SUM(
    FILTER(
      Reporte!$E:$E, 
      REGEXMATCH(Reporte!$A:$A, ""(?i)(TE PAGÓ|PAGASTE)""), 
      Reporte!$H:$H &amp; """" = AG290 &amp; """"
    )
  ), 
  0
)"),0)</f>
        <v>0</v>
      </c>
      <c r="V290" s="18">
        <f ca="1">IFERROR(__xludf.DUMMYFUNCTION("IFERROR(
  SUM(
    FILTER(
      Efectivo!$C:$C, 
      Efectivo!$D:$D &amp; """" = AG290 &amp; """"
    )
  ), 
  0
)"),0)</f>
        <v>0</v>
      </c>
      <c r="W290" s="18"/>
      <c r="X290" s="18"/>
      <c r="Y290" s="18"/>
      <c r="Z290" s="18"/>
      <c r="AA290" s="18"/>
      <c r="AB290" s="18" t="str">
        <f t="shared" si="1"/>
        <v/>
      </c>
      <c r="AC290" s="18" t="str">
        <f t="shared" si="2"/>
        <v/>
      </c>
      <c r="AD290" s="11">
        <f t="shared" si="3"/>
        <v>0</v>
      </c>
      <c r="AE290" s="11">
        <f t="shared" si="4"/>
        <v>0</v>
      </c>
      <c r="AF290" s="18" t="str">
        <f t="shared" si="5"/>
        <v>P</v>
      </c>
      <c r="AG290" s="18" t="str">
        <f t="shared" si="6"/>
        <v>P-12</v>
      </c>
      <c r="AH290" s="14"/>
      <c r="AI290" s="14"/>
    </row>
    <row r="291" spans="1:35" ht="15.75" hidden="1" customHeight="1">
      <c r="A291" s="8">
        <v>289</v>
      </c>
      <c r="B291" s="9" t="s">
        <v>371</v>
      </c>
      <c r="C291" s="9" t="s">
        <v>357</v>
      </c>
      <c r="D291" s="10">
        <v>13</v>
      </c>
      <c r="E291" s="11"/>
      <c r="F291" s="11"/>
      <c r="G291" s="11"/>
      <c r="H291" s="12">
        <v>1</v>
      </c>
      <c r="I291" s="10">
        <v>10</v>
      </c>
      <c r="J291" s="10">
        <v>17</v>
      </c>
      <c r="K291" s="10">
        <v>7</v>
      </c>
      <c r="L291" s="10">
        <v>7</v>
      </c>
      <c r="M291" s="10">
        <v>0</v>
      </c>
      <c r="N291" s="10">
        <v>0</v>
      </c>
      <c r="O291" s="10">
        <v>0</v>
      </c>
      <c r="P291" s="10">
        <v>3</v>
      </c>
      <c r="Q291" s="10">
        <v>0</v>
      </c>
      <c r="R291" s="12"/>
      <c r="S291" s="13"/>
      <c r="T291" s="13">
        <f t="shared" si="0"/>
        <v>10</v>
      </c>
      <c r="U291" s="11">
        <f ca="1">IFERROR(__xludf.DUMMYFUNCTION("IFERROR(
  SUM(
    FILTER(
      Reporte!$E:$E, 
      REGEXMATCH(Reporte!$A:$A, ""(?i)(TE PAGÓ|PAGASTE)""), 
      Reporte!$H:$H &amp; """" = AG291 &amp; """"
    )
  ), 
  0
)"),0)</f>
        <v>0</v>
      </c>
      <c r="V291" s="11">
        <f ca="1">IFERROR(__xludf.DUMMYFUNCTION("IFERROR(
  SUM(
    FILTER(
      Efectivo!$C:$C, 
      Efectivo!$D:$D &amp; """" = AG291 &amp; """"
    )
  ), 
  0
)"),10)</f>
        <v>10</v>
      </c>
      <c r="W291" s="11" t="s">
        <v>35</v>
      </c>
      <c r="X291" s="11"/>
      <c r="Y291" s="11"/>
      <c r="Z291" s="11"/>
      <c r="AA291" s="11"/>
      <c r="AB291" s="11" t="str">
        <f t="shared" si="1"/>
        <v/>
      </c>
      <c r="AC291" s="11" t="str">
        <f t="shared" si="2"/>
        <v/>
      </c>
      <c r="AD291" s="11">
        <f t="shared" si="3"/>
        <v>10</v>
      </c>
      <c r="AE291" s="11">
        <f t="shared" si="4"/>
        <v>0</v>
      </c>
      <c r="AF291" s="11" t="str">
        <f t="shared" si="5"/>
        <v>P</v>
      </c>
      <c r="AG291" s="11" t="str">
        <f t="shared" si="6"/>
        <v>P-13</v>
      </c>
      <c r="AH291" s="21"/>
      <c r="AI291" s="21"/>
    </row>
    <row r="292" spans="1:35" ht="15.75" hidden="1" customHeight="1">
      <c r="A292" s="15">
        <v>290</v>
      </c>
      <c r="B292" s="16" t="s">
        <v>372</v>
      </c>
      <c r="C292" s="16" t="s">
        <v>357</v>
      </c>
      <c r="D292" s="17">
        <v>14</v>
      </c>
      <c r="E292" s="18"/>
      <c r="F292" s="18"/>
      <c r="G292" s="18"/>
      <c r="H292" s="19">
        <v>1</v>
      </c>
      <c r="I292" s="17">
        <v>154</v>
      </c>
      <c r="J292" s="17">
        <v>164</v>
      </c>
      <c r="K292" s="17">
        <v>10</v>
      </c>
      <c r="L292" s="17">
        <v>10</v>
      </c>
      <c r="M292" s="17">
        <v>0</v>
      </c>
      <c r="N292" s="17">
        <v>0</v>
      </c>
      <c r="O292" s="17">
        <v>0</v>
      </c>
      <c r="P292" s="17">
        <v>3</v>
      </c>
      <c r="Q292" s="17">
        <v>0</v>
      </c>
      <c r="R292" s="19"/>
      <c r="S292" s="20"/>
      <c r="T292" s="13">
        <f t="shared" si="0"/>
        <v>13</v>
      </c>
      <c r="U292" s="18">
        <f ca="1">IFERROR(__xludf.DUMMYFUNCTION("IFERROR(
  SUM(
    FILTER(
      Reporte!$E:$E, 
      REGEXMATCH(Reporte!$A:$A, ""(?i)(TE PAGÓ|PAGASTE)""), 
      Reporte!$H:$H &amp; """" = AG292 &amp; """"
    )
  ), 
  0
)"),0)</f>
        <v>0</v>
      </c>
      <c r="V292" s="18">
        <f ca="1">IFERROR(__xludf.DUMMYFUNCTION("IFERROR(
  SUM(
    FILTER(
      Efectivo!$C:$C, 
      Efectivo!$D:$D &amp; """" = AG292 &amp; """"
    )
  ), 
  0
)"),13)</f>
        <v>13</v>
      </c>
      <c r="W292" s="18" t="s">
        <v>35</v>
      </c>
      <c r="X292" s="18"/>
      <c r="Y292" s="18"/>
      <c r="Z292" s="18"/>
      <c r="AA292" s="18"/>
      <c r="AB292" s="18" t="str">
        <f t="shared" si="1"/>
        <v/>
      </c>
      <c r="AC292" s="18" t="str">
        <f t="shared" si="2"/>
        <v/>
      </c>
      <c r="AD292" s="11">
        <f t="shared" si="3"/>
        <v>13</v>
      </c>
      <c r="AE292" s="11">
        <f t="shared" si="4"/>
        <v>0</v>
      </c>
      <c r="AF292" s="18" t="str">
        <f t="shared" si="5"/>
        <v>P</v>
      </c>
      <c r="AG292" s="18" t="str">
        <f t="shared" si="6"/>
        <v>P-14</v>
      </c>
      <c r="AH292" s="14"/>
      <c r="AI292" s="14"/>
    </row>
    <row r="293" spans="1:35" ht="15.75" hidden="1" customHeight="1">
      <c r="A293" s="8">
        <v>291</v>
      </c>
      <c r="B293" s="9" t="s">
        <v>373</v>
      </c>
      <c r="C293" s="9" t="s">
        <v>357</v>
      </c>
      <c r="D293" s="10">
        <v>15</v>
      </c>
      <c r="E293" s="11"/>
      <c r="F293" s="11"/>
      <c r="G293" s="11"/>
      <c r="H293" s="12">
        <v>1</v>
      </c>
      <c r="I293" s="10">
        <v>1327</v>
      </c>
      <c r="J293" s="10">
        <v>1336</v>
      </c>
      <c r="K293" s="10">
        <v>9</v>
      </c>
      <c r="L293" s="10">
        <v>9</v>
      </c>
      <c r="M293" s="10">
        <v>0</v>
      </c>
      <c r="N293" s="10">
        <v>0</v>
      </c>
      <c r="O293" s="10">
        <v>0</v>
      </c>
      <c r="P293" s="10">
        <v>3</v>
      </c>
      <c r="Q293" s="10">
        <v>0</v>
      </c>
      <c r="R293" s="12"/>
      <c r="S293" s="13"/>
      <c r="T293" s="13">
        <f t="shared" si="0"/>
        <v>12</v>
      </c>
      <c r="U293" s="11">
        <f ca="1">IFERROR(__xludf.DUMMYFUNCTION("IFERROR(
  SUM(
    FILTER(
      Reporte!$E:$E, 
      REGEXMATCH(Reporte!$A:$A, ""(?i)(TE PAGÓ|PAGASTE)""), 
      Reporte!$H:$H &amp; """" = AG293 &amp; """"
    )
  ), 
  0
)"),12)</f>
        <v>12</v>
      </c>
      <c r="V293" s="11">
        <f ca="1">IFERROR(__xludf.DUMMYFUNCTION("IFERROR(
  SUM(
    FILTER(
      Efectivo!$C:$C, 
      Efectivo!$D:$D &amp; """" = AG293 &amp; """"
    )
  ), 
  0
)"),0)</f>
        <v>0</v>
      </c>
      <c r="W293" s="11" t="s">
        <v>35</v>
      </c>
      <c r="X293" s="11"/>
      <c r="Y293" s="11" t="s">
        <v>36</v>
      </c>
      <c r="Z293" s="11"/>
      <c r="AA293" s="11"/>
      <c r="AB293" s="11" t="str">
        <f t="shared" si="1"/>
        <v/>
      </c>
      <c r="AC293" s="11" t="str">
        <f t="shared" si="2"/>
        <v/>
      </c>
      <c r="AD293" s="11">
        <f t="shared" si="3"/>
        <v>0</v>
      </c>
      <c r="AE293" s="11">
        <f t="shared" si="4"/>
        <v>12</v>
      </c>
      <c r="AF293" s="11" t="str">
        <f t="shared" si="5"/>
        <v>P</v>
      </c>
      <c r="AG293" s="11" t="str">
        <f t="shared" si="6"/>
        <v>P-15</v>
      </c>
      <c r="AH293" s="21"/>
      <c r="AI293" s="21"/>
    </row>
    <row r="294" spans="1:35" ht="15.75" hidden="1" customHeight="1">
      <c r="A294" s="15">
        <v>292</v>
      </c>
      <c r="B294" s="16" t="s">
        <v>374</v>
      </c>
      <c r="C294" s="16" t="s">
        <v>357</v>
      </c>
      <c r="D294" s="17">
        <v>17</v>
      </c>
      <c r="E294" s="18"/>
      <c r="F294" s="18"/>
      <c r="G294" s="18"/>
      <c r="H294" s="19">
        <v>1</v>
      </c>
      <c r="I294" s="17">
        <v>108</v>
      </c>
      <c r="J294" s="17">
        <v>117</v>
      </c>
      <c r="K294" s="17">
        <v>9</v>
      </c>
      <c r="L294" s="17">
        <v>9</v>
      </c>
      <c r="M294" s="17">
        <v>0</v>
      </c>
      <c r="N294" s="17">
        <v>0</v>
      </c>
      <c r="O294" s="17">
        <v>0</v>
      </c>
      <c r="P294" s="17">
        <v>3</v>
      </c>
      <c r="Q294" s="17">
        <v>0</v>
      </c>
      <c r="R294" s="19"/>
      <c r="S294" s="20"/>
      <c r="T294" s="13">
        <f t="shared" si="0"/>
        <v>12</v>
      </c>
      <c r="U294" s="18">
        <f ca="1">IFERROR(__xludf.DUMMYFUNCTION("IFERROR(
  SUM(
    FILTER(
      Reporte!$E:$E, 
      REGEXMATCH(Reporte!$A:$A, ""(?i)(TE PAGÓ|PAGASTE)""), 
      Reporte!$H:$H &amp; """" = AG294 &amp; """"
    )
  ), 
  0
)"),12)</f>
        <v>12</v>
      </c>
      <c r="V294" s="18">
        <f ca="1">IFERROR(__xludf.DUMMYFUNCTION("IFERROR(
  SUM(
    FILTER(
      Efectivo!$C:$C, 
      Efectivo!$D:$D &amp; """" = AG294 &amp; """"
    )
  ), 
  0
)"),0)</f>
        <v>0</v>
      </c>
      <c r="W294" s="18" t="s">
        <v>35</v>
      </c>
      <c r="X294" s="18"/>
      <c r="Y294" s="18" t="s">
        <v>36</v>
      </c>
      <c r="Z294" s="18"/>
      <c r="AA294" s="18"/>
      <c r="AB294" s="18" t="str">
        <f t="shared" si="1"/>
        <v/>
      </c>
      <c r="AC294" s="18" t="str">
        <f t="shared" si="2"/>
        <v/>
      </c>
      <c r="AD294" s="11">
        <f t="shared" si="3"/>
        <v>0</v>
      </c>
      <c r="AE294" s="11">
        <f t="shared" si="4"/>
        <v>12</v>
      </c>
      <c r="AF294" s="18" t="str">
        <f t="shared" si="5"/>
        <v>P</v>
      </c>
      <c r="AG294" s="18" t="str">
        <f t="shared" si="6"/>
        <v>P-17</v>
      </c>
      <c r="AH294" s="14"/>
      <c r="AI294" s="14"/>
    </row>
    <row r="295" spans="1:35" ht="15.75" hidden="1" customHeight="1">
      <c r="A295" s="8">
        <v>293</v>
      </c>
      <c r="B295" s="9" t="s">
        <v>375</v>
      </c>
      <c r="C295" s="9" t="s">
        <v>357</v>
      </c>
      <c r="D295" s="10">
        <v>18</v>
      </c>
      <c r="E295" s="11"/>
      <c r="F295" s="11"/>
      <c r="G295" s="11"/>
      <c r="H295" s="12">
        <v>1</v>
      </c>
      <c r="I295" s="10">
        <v>90</v>
      </c>
      <c r="J295" s="10">
        <v>98</v>
      </c>
      <c r="K295" s="10">
        <v>8</v>
      </c>
      <c r="L295" s="10">
        <v>8</v>
      </c>
      <c r="M295" s="10">
        <v>0</v>
      </c>
      <c r="N295" s="10">
        <v>0</v>
      </c>
      <c r="O295" s="10">
        <v>0</v>
      </c>
      <c r="P295" s="10">
        <v>3</v>
      </c>
      <c r="Q295" s="10">
        <v>0</v>
      </c>
      <c r="R295" s="12"/>
      <c r="S295" s="13"/>
      <c r="T295" s="13">
        <f t="shared" si="0"/>
        <v>11</v>
      </c>
      <c r="U295" s="11">
        <f ca="1">IFERROR(__xludf.DUMMYFUNCTION("IFERROR(
  SUM(
    FILTER(
      Reporte!$E:$E, 
      REGEXMATCH(Reporte!$A:$A, ""(?i)(TE PAGÓ|PAGASTE)""), 
      Reporte!$H:$H &amp; """" = AG295 &amp; """"
    )
  ), 
  0
)"),11)</f>
        <v>11</v>
      </c>
      <c r="V295" s="11">
        <f ca="1">IFERROR(__xludf.DUMMYFUNCTION("IFERROR(
  SUM(
    FILTER(
      Efectivo!$C:$C, 
      Efectivo!$D:$D &amp; """" = AG295 &amp; """"
    )
  ), 
  0
)"),0)</f>
        <v>0</v>
      </c>
      <c r="W295" s="11" t="s">
        <v>35</v>
      </c>
      <c r="X295" s="11"/>
      <c r="Y295" s="11" t="s">
        <v>36</v>
      </c>
      <c r="Z295" s="11"/>
      <c r="AA295" s="11"/>
      <c r="AB295" s="11" t="str">
        <f t="shared" si="1"/>
        <v/>
      </c>
      <c r="AC295" s="11" t="str">
        <f t="shared" si="2"/>
        <v/>
      </c>
      <c r="AD295" s="11">
        <f t="shared" si="3"/>
        <v>0</v>
      </c>
      <c r="AE295" s="11">
        <f t="shared" si="4"/>
        <v>11</v>
      </c>
      <c r="AF295" s="11" t="str">
        <f t="shared" si="5"/>
        <v>P</v>
      </c>
      <c r="AG295" s="11" t="str">
        <f t="shared" si="6"/>
        <v>P-18</v>
      </c>
      <c r="AH295" s="21"/>
      <c r="AI295" s="21"/>
    </row>
    <row r="296" spans="1:35" ht="15.75" hidden="1" customHeight="1">
      <c r="A296" s="15">
        <v>294</v>
      </c>
      <c r="B296" s="16" t="s">
        <v>376</v>
      </c>
      <c r="C296" s="16" t="s">
        <v>357</v>
      </c>
      <c r="D296" s="17">
        <v>19</v>
      </c>
      <c r="E296" s="18"/>
      <c r="F296" s="18"/>
      <c r="G296" s="18"/>
      <c r="H296" s="19">
        <v>1</v>
      </c>
      <c r="I296" s="17">
        <v>10</v>
      </c>
      <c r="J296" s="17">
        <v>27</v>
      </c>
      <c r="K296" s="17">
        <v>17</v>
      </c>
      <c r="L296" s="17">
        <v>17</v>
      </c>
      <c r="M296" s="17">
        <v>0</v>
      </c>
      <c r="N296" s="17">
        <v>0</v>
      </c>
      <c r="O296" s="17">
        <v>0</v>
      </c>
      <c r="P296" s="17">
        <v>3</v>
      </c>
      <c r="Q296" s="17">
        <v>0</v>
      </c>
      <c r="R296" s="19"/>
      <c r="S296" s="20"/>
      <c r="T296" s="13">
        <f t="shared" si="0"/>
        <v>20</v>
      </c>
      <c r="U296" s="18">
        <f ca="1">IFERROR(__xludf.DUMMYFUNCTION("IFERROR(
  SUM(
    FILTER(
      Reporte!$E:$E, 
      REGEXMATCH(Reporte!$A:$A, ""(?i)(TE PAGÓ|PAGASTE)""), 
      Reporte!$H:$H &amp; """" = AG296 &amp; """"
    )
  ), 
  0
)"),20)</f>
        <v>20</v>
      </c>
      <c r="V296" s="18">
        <f ca="1">IFERROR(__xludf.DUMMYFUNCTION("IFERROR(
  SUM(
    FILTER(
      Efectivo!$C:$C, 
      Efectivo!$D:$D &amp; """" = AG296 &amp; """"
    )
  ), 
  0
)"),0)</f>
        <v>0</v>
      </c>
      <c r="W296" s="18" t="s">
        <v>35</v>
      </c>
      <c r="X296" s="18"/>
      <c r="Y296" s="18" t="s">
        <v>36</v>
      </c>
      <c r="Z296" s="18"/>
      <c r="AA296" s="18"/>
      <c r="AB296" s="18" t="str">
        <f t="shared" si="1"/>
        <v/>
      </c>
      <c r="AC296" s="18" t="str">
        <f t="shared" si="2"/>
        <v/>
      </c>
      <c r="AD296" s="11">
        <f t="shared" si="3"/>
        <v>0</v>
      </c>
      <c r="AE296" s="11">
        <f t="shared" si="4"/>
        <v>20</v>
      </c>
      <c r="AF296" s="18" t="str">
        <f t="shared" si="5"/>
        <v>P</v>
      </c>
      <c r="AG296" s="18" t="str">
        <f t="shared" si="6"/>
        <v>P-19</v>
      </c>
      <c r="AH296" s="14"/>
      <c r="AI296" s="14"/>
    </row>
    <row r="297" spans="1:35" ht="15.75" hidden="1" customHeight="1">
      <c r="A297" s="8">
        <v>295</v>
      </c>
      <c r="B297" s="9" t="s">
        <v>377</v>
      </c>
      <c r="C297" s="9" t="s">
        <v>378</v>
      </c>
      <c r="D297" s="10">
        <v>1</v>
      </c>
      <c r="E297" s="11"/>
      <c r="F297" s="11"/>
      <c r="G297" s="11"/>
      <c r="H297" s="12">
        <v>1</v>
      </c>
      <c r="I297" s="10">
        <v>341</v>
      </c>
      <c r="J297" s="10">
        <v>350</v>
      </c>
      <c r="K297" s="10">
        <v>9</v>
      </c>
      <c r="L297" s="10">
        <v>9</v>
      </c>
      <c r="M297" s="10">
        <v>0</v>
      </c>
      <c r="N297" s="10">
        <v>0</v>
      </c>
      <c r="O297" s="10">
        <v>0</v>
      </c>
      <c r="P297" s="10">
        <v>3</v>
      </c>
      <c r="Q297" s="10">
        <v>0</v>
      </c>
      <c r="R297" s="12"/>
      <c r="S297" s="13"/>
      <c r="T297" s="13">
        <f t="shared" si="0"/>
        <v>12</v>
      </c>
      <c r="U297" s="11">
        <f ca="1">IFERROR(__xludf.DUMMYFUNCTION("IFERROR(
  SUM(
    FILTER(
      Reporte!$E:$E, 
      REGEXMATCH(Reporte!$A:$A, ""(?i)(TE PAGÓ|PAGASTE)""), 
      Reporte!$H:$H &amp; """" = AG297 &amp; """"
    )
  ), 
  0
)"),0)</f>
        <v>0</v>
      </c>
      <c r="V297" s="11">
        <f ca="1">IFERROR(__xludf.DUMMYFUNCTION("IFERROR(
  SUM(
    FILTER(
      Efectivo!$C:$C, 
      Efectivo!$D:$D &amp; """" = AG297 &amp; """"
    )
  ), 
  0
)"),12)</f>
        <v>12</v>
      </c>
      <c r="W297" s="11" t="s">
        <v>35</v>
      </c>
      <c r="X297" s="11"/>
      <c r="Y297" s="11"/>
      <c r="Z297" s="11"/>
      <c r="AA297" s="11"/>
      <c r="AB297" s="11" t="str">
        <f t="shared" si="1"/>
        <v/>
      </c>
      <c r="AC297" s="11" t="str">
        <f t="shared" si="2"/>
        <v/>
      </c>
      <c r="AD297" s="11">
        <f t="shared" si="3"/>
        <v>12</v>
      </c>
      <c r="AE297" s="11">
        <f t="shared" si="4"/>
        <v>0</v>
      </c>
      <c r="AF297" s="11" t="str">
        <f t="shared" si="5"/>
        <v>Q</v>
      </c>
      <c r="AG297" s="11" t="str">
        <f t="shared" si="6"/>
        <v>Q-1</v>
      </c>
      <c r="AH297" s="21"/>
      <c r="AI297" s="21"/>
    </row>
    <row r="298" spans="1:35" ht="15.75" hidden="1" customHeight="1">
      <c r="A298" s="15">
        <v>296</v>
      </c>
      <c r="B298" s="16" t="s">
        <v>379</v>
      </c>
      <c r="C298" s="16" t="s">
        <v>378</v>
      </c>
      <c r="D298" s="17">
        <v>2</v>
      </c>
      <c r="E298" s="18"/>
      <c r="F298" s="18"/>
      <c r="G298" s="18"/>
      <c r="H298" s="19">
        <v>1</v>
      </c>
      <c r="I298" s="17">
        <v>834</v>
      </c>
      <c r="J298" s="17">
        <v>846</v>
      </c>
      <c r="K298" s="17">
        <v>12</v>
      </c>
      <c r="L298" s="17">
        <v>12</v>
      </c>
      <c r="M298" s="17">
        <v>0</v>
      </c>
      <c r="N298" s="17">
        <v>0</v>
      </c>
      <c r="O298" s="17">
        <v>0</v>
      </c>
      <c r="P298" s="17">
        <v>3</v>
      </c>
      <c r="Q298" s="17">
        <v>0</v>
      </c>
      <c r="R298" s="19"/>
      <c r="S298" s="20"/>
      <c r="T298" s="13">
        <f t="shared" si="0"/>
        <v>15</v>
      </c>
      <c r="U298" s="18">
        <f ca="1">IFERROR(__xludf.DUMMYFUNCTION("IFERROR(
  SUM(
    FILTER(
      Reporte!$E:$E, 
      REGEXMATCH(Reporte!$A:$A, ""(?i)(TE PAGÓ|PAGASTE)""), 
      Reporte!$H:$H &amp; """" = AG298 &amp; """"
    )
  ), 
  0
)"),15)</f>
        <v>15</v>
      </c>
      <c r="V298" s="18">
        <f ca="1">IFERROR(__xludf.DUMMYFUNCTION("IFERROR(
  SUM(
    FILTER(
      Efectivo!$C:$C, 
      Efectivo!$D:$D &amp; """" = AG298 &amp; """"
    )
  ), 
  0
)"),0)</f>
        <v>0</v>
      </c>
      <c r="W298" s="18" t="s">
        <v>35</v>
      </c>
      <c r="X298" s="18"/>
      <c r="Y298" s="18" t="s">
        <v>36</v>
      </c>
      <c r="Z298" s="18"/>
      <c r="AA298" s="18"/>
      <c r="AB298" s="18" t="str">
        <f t="shared" si="1"/>
        <v/>
      </c>
      <c r="AC298" s="18" t="str">
        <f t="shared" si="2"/>
        <v/>
      </c>
      <c r="AD298" s="11">
        <f t="shared" si="3"/>
        <v>0</v>
      </c>
      <c r="AE298" s="11">
        <f t="shared" si="4"/>
        <v>15</v>
      </c>
      <c r="AF298" s="18" t="str">
        <f t="shared" si="5"/>
        <v>Q</v>
      </c>
      <c r="AG298" s="18" t="str">
        <f t="shared" si="6"/>
        <v>Q-2</v>
      </c>
      <c r="AH298" s="14"/>
      <c r="AI298" s="14"/>
    </row>
    <row r="299" spans="1:35" ht="15.75" hidden="1" customHeight="1">
      <c r="A299" s="8">
        <v>297</v>
      </c>
      <c r="B299" s="9" t="s">
        <v>380</v>
      </c>
      <c r="C299" s="9" t="s">
        <v>378</v>
      </c>
      <c r="D299" s="10">
        <v>3</v>
      </c>
      <c r="E299" s="11"/>
      <c r="F299" s="11"/>
      <c r="G299" s="11"/>
      <c r="H299" s="12">
        <v>1</v>
      </c>
      <c r="I299" s="10">
        <v>2430</v>
      </c>
      <c r="J299" s="10">
        <v>2440</v>
      </c>
      <c r="K299" s="10">
        <v>10</v>
      </c>
      <c r="L299" s="10">
        <v>10</v>
      </c>
      <c r="M299" s="10">
        <v>0</v>
      </c>
      <c r="N299" s="10">
        <v>0</v>
      </c>
      <c r="O299" s="10">
        <v>0</v>
      </c>
      <c r="P299" s="10">
        <v>3</v>
      </c>
      <c r="Q299" s="10">
        <v>0</v>
      </c>
      <c r="R299" s="12"/>
      <c r="S299" s="13"/>
      <c r="T299" s="13">
        <f t="shared" si="0"/>
        <v>13</v>
      </c>
      <c r="U299" s="11">
        <f ca="1">IFERROR(__xludf.DUMMYFUNCTION("IFERROR(
  SUM(
    FILTER(
      Reporte!$E:$E, 
      REGEXMATCH(Reporte!$A:$A, ""(?i)(TE PAGÓ|PAGASTE)""), 
      Reporte!$H:$H &amp; """" = AG299 &amp; """"
    )
  ), 
  0
)"),13)</f>
        <v>13</v>
      </c>
      <c r="V299" s="11">
        <f ca="1">IFERROR(__xludf.DUMMYFUNCTION("IFERROR(
  SUM(
    FILTER(
      Efectivo!$C:$C, 
      Efectivo!$D:$D &amp; """" = AG299 &amp; """"
    )
  ), 
  0
)"),0)</f>
        <v>0</v>
      </c>
      <c r="W299" s="11" t="s">
        <v>35</v>
      </c>
      <c r="X299" s="11"/>
      <c r="Y299" s="11" t="s">
        <v>36</v>
      </c>
      <c r="Z299" s="11"/>
      <c r="AA299" s="11"/>
      <c r="AB299" s="11" t="str">
        <f t="shared" si="1"/>
        <v/>
      </c>
      <c r="AC299" s="11" t="str">
        <f t="shared" si="2"/>
        <v/>
      </c>
      <c r="AD299" s="11">
        <f t="shared" si="3"/>
        <v>0</v>
      </c>
      <c r="AE299" s="11">
        <f t="shared" si="4"/>
        <v>13</v>
      </c>
      <c r="AF299" s="11" t="str">
        <f t="shared" si="5"/>
        <v>Q</v>
      </c>
      <c r="AG299" s="11" t="str">
        <f t="shared" si="6"/>
        <v>Q-3</v>
      </c>
      <c r="AH299" s="21"/>
      <c r="AI299" s="21"/>
    </row>
    <row r="300" spans="1:35" ht="15.75" hidden="1" customHeight="1">
      <c r="A300" s="15">
        <v>298</v>
      </c>
      <c r="B300" s="16" t="s">
        <v>381</v>
      </c>
      <c r="C300" s="16" t="s">
        <v>378</v>
      </c>
      <c r="D300" s="17">
        <v>5</v>
      </c>
      <c r="E300" s="18"/>
      <c r="F300" s="18"/>
      <c r="G300" s="18"/>
      <c r="H300" s="19">
        <v>1</v>
      </c>
      <c r="I300" s="17">
        <v>21</v>
      </c>
      <c r="J300" s="17">
        <v>39</v>
      </c>
      <c r="K300" s="17">
        <v>18</v>
      </c>
      <c r="L300" s="17">
        <v>18</v>
      </c>
      <c r="M300" s="17">
        <v>0</v>
      </c>
      <c r="N300" s="17">
        <v>0</v>
      </c>
      <c r="O300" s="17">
        <v>25</v>
      </c>
      <c r="P300" s="17">
        <v>3</v>
      </c>
      <c r="Q300" s="17">
        <v>0</v>
      </c>
      <c r="R300" s="19"/>
      <c r="S300" s="20"/>
      <c r="T300" s="13">
        <f t="shared" si="0"/>
        <v>46</v>
      </c>
      <c r="U300" s="18">
        <f ca="1">IFERROR(__xludf.DUMMYFUNCTION("IFERROR(
  SUM(
    FILTER(
      Reporte!$E:$E, 
      REGEXMATCH(Reporte!$A:$A, ""(?i)(TE PAGÓ|PAGASTE)""), 
      Reporte!$H:$H &amp; """" = AG300 &amp; """"
    )
  ), 
  0
)"),46)</f>
        <v>46</v>
      </c>
      <c r="V300" s="18">
        <f ca="1">IFERROR(__xludf.DUMMYFUNCTION("IFERROR(
  SUM(
    FILTER(
      Efectivo!$C:$C, 
      Efectivo!$D:$D &amp; """" = AG300 &amp; """"
    )
  ), 
  0
)"),0)</f>
        <v>0</v>
      </c>
      <c r="W300" s="18" t="s">
        <v>35</v>
      </c>
      <c r="X300" s="18"/>
      <c r="Y300" s="18" t="s">
        <v>36</v>
      </c>
      <c r="Z300" s="18"/>
      <c r="AA300" s="18"/>
      <c r="AB300" s="18" t="str">
        <f t="shared" si="1"/>
        <v/>
      </c>
      <c r="AC300" s="18" t="str">
        <f t="shared" si="2"/>
        <v/>
      </c>
      <c r="AD300" s="11">
        <f t="shared" si="3"/>
        <v>0</v>
      </c>
      <c r="AE300" s="11">
        <f t="shared" si="4"/>
        <v>46</v>
      </c>
      <c r="AF300" s="18" t="str">
        <f t="shared" si="5"/>
        <v>Q</v>
      </c>
      <c r="AG300" s="18" t="str">
        <f t="shared" si="6"/>
        <v>Q-5</v>
      </c>
      <c r="AH300" s="14"/>
      <c r="AI300" s="14"/>
    </row>
    <row r="301" spans="1:35" ht="15.75" hidden="1" customHeight="1">
      <c r="A301" s="8">
        <v>299</v>
      </c>
      <c r="B301" s="9" t="s">
        <v>382</v>
      </c>
      <c r="C301" s="9" t="s">
        <v>378</v>
      </c>
      <c r="D301" s="10">
        <v>6</v>
      </c>
      <c r="E301" s="11"/>
      <c r="F301" s="11"/>
      <c r="G301" s="11"/>
      <c r="H301" s="12">
        <v>1</v>
      </c>
      <c r="I301" s="10">
        <v>2028</v>
      </c>
      <c r="J301" s="10">
        <v>2080</v>
      </c>
      <c r="K301" s="10">
        <v>52</v>
      </c>
      <c r="L301" s="10">
        <v>52</v>
      </c>
      <c r="M301" s="10">
        <v>25</v>
      </c>
      <c r="N301" s="10">
        <v>0</v>
      </c>
      <c r="O301" s="10">
        <v>0</v>
      </c>
      <c r="P301" s="10">
        <v>3</v>
      </c>
      <c r="Q301" s="10">
        <v>0</v>
      </c>
      <c r="R301" s="12"/>
      <c r="S301" s="13"/>
      <c r="T301" s="13">
        <f t="shared" si="0"/>
        <v>80</v>
      </c>
      <c r="U301" s="11">
        <f ca="1">IFERROR(__xludf.DUMMYFUNCTION("IFERROR(
  SUM(
    FILTER(
      Reporte!$E:$E, 
      REGEXMATCH(Reporte!$A:$A, ""(?i)(TE PAGÓ|PAGASTE)""), 
      Reporte!$H:$H &amp; """" = AG301 &amp; """"
    )
  ), 
  0
)"),80)</f>
        <v>80</v>
      </c>
      <c r="V301" s="11">
        <f ca="1">IFERROR(__xludf.DUMMYFUNCTION("IFERROR(
  SUM(
    FILTER(
      Efectivo!$C:$C, 
      Efectivo!$D:$D &amp; """" = AG301 &amp; """"
    )
  ), 
  0
)"),0)</f>
        <v>0</v>
      </c>
      <c r="W301" s="11" t="s">
        <v>35</v>
      </c>
      <c r="X301" s="11"/>
      <c r="Y301" s="11" t="s">
        <v>36</v>
      </c>
      <c r="Z301" s="11"/>
      <c r="AA301" s="11"/>
      <c r="AB301" s="11" t="str">
        <f t="shared" si="1"/>
        <v/>
      </c>
      <c r="AC301" s="11" t="str">
        <f t="shared" si="2"/>
        <v/>
      </c>
      <c r="AD301" s="11">
        <f t="shared" si="3"/>
        <v>0</v>
      </c>
      <c r="AE301" s="11">
        <f t="shared" si="4"/>
        <v>80</v>
      </c>
      <c r="AF301" s="11" t="str">
        <f t="shared" si="5"/>
        <v>Q</v>
      </c>
      <c r="AG301" s="11" t="str">
        <f t="shared" si="6"/>
        <v>Q-6</v>
      </c>
      <c r="AH301" s="21"/>
      <c r="AI301" s="21"/>
    </row>
    <row r="302" spans="1:35" ht="15.75" hidden="1" customHeight="1">
      <c r="A302" s="15">
        <v>300</v>
      </c>
      <c r="B302" s="16" t="s">
        <v>383</v>
      </c>
      <c r="C302" s="16" t="s">
        <v>378</v>
      </c>
      <c r="D302" s="17">
        <v>7</v>
      </c>
      <c r="E302" s="18"/>
      <c r="F302" s="18"/>
      <c r="G302" s="18"/>
      <c r="H302" s="19">
        <v>1</v>
      </c>
      <c r="I302" s="17">
        <v>1640</v>
      </c>
      <c r="J302" s="17">
        <v>1661</v>
      </c>
      <c r="K302" s="17">
        <v>21</v>
      </c>
      <c r="L302" s="17">
        <v>21</v>
      </c>
      <c r="M302" s="17">
        <v>0</v>
      </c>
      <c r="N302" s="17">
        <v>0</v>
      </c>
      <c r="O302" s="17">
        <v>0</v>
      </c>
      <c r="P302" s="17">
        <v>3</v>
      </c>
      <c r="Q302" s="17">
        <v>0</v>
      </c>
      <c r="R302" s="19"/>
      <c r="S302" s="20"/>
      <c r="T302" s="13">
        <f t="shared" si="0"/>
        <v>24</v>
      </c>
      <c r="U302" s="18">
        <f ca="1">IFERROR(__xludf.DUMMYFUNCTION("IFERROR(
  SUM(
    FILTER(
      Reporte!$E:$E, 
      REGEXMATCH(Reporte!$A:$A, ""(?i)(TE PAGÓ|PAGASTE)""), 
      Reporte!$H:$H &amp; """" = AG302 &amp; """"
    )
  ), 
  0
)"),0)</f>
        <v>0</v>
      </c>
      <c r="V302" s="18">
        <f ca="1">IFERROR(__xludf.DUMMYFUNCTION("IFERROR(
  SUM(
    FILTER(
      Efectivo!$C:$C, 
      Efectivo!$D:$D &amp; """" = AG302 &amp; """"
    )
  ), 
  0
)"),0)</f>
        <v>0</v>
      </c>
      <c r="W302" s="18"/>
      <c r="X302" s="18"/>
      <c r="Y302" s="18"/>
      <c r="Z302" s="18"/>
      <c r="AA302" s="18"/>
      <c r="AB302" s="18" t="str">
        <f t="shared" si="1"/>
        <v/>
      </c>
      <c r="AC302" s="18" t="str">
        <f t="shared" si="2"/>
        <v/>
      </c>
      <c r="AD302" s="11">
        <f t="shared" si="3"/>
        <v>0</v>
      </c>
      <c r="AE302" s="11">
        <f t="shared" si="4"/>
        <v>0</v>
      </c>
      <c r="AF302" s="18" t="str">
        <f t="shared" si="5"/>
        <v>Q</v>
      </c>
      <c r="AG302" s="18" t="str">
        <f t="shared" si="6"/>
        <v>Q-7</v>
      </c>
      <c r="AH302" s="14"/>
      <c r="AI302" s="14"/>
    </row>
    <row r="303" spans="1:35" ht="15.75" hidden="1" customHeight="1">
      <c r="A303" s="8">
        <v>301</v>
      </c>
      <c r="B303" s="9" t="s">
        <v>384</v>
      </c>
      <c r="C303" s="9" t="s">
        <v>378</v>
      </c>
      <c r="D303" s="10">
        <v>8</v>
      </c>
      <c r="E303" s="11"/>
      <c r="F303" s="11"/>
      <c r="G303" s="11"/>
      <c r="H303" s="12">
        <v>1</v>
      </c>
      <c r="I303" s="10">
        <v>17</v>
      </c>
      <c r="J303" s="10">
        <v>34</v>
      </c>
      <c r="K303" s="10">
        <v>17</v>
      </c>
      <c r="L303" s="10">
        <v>17</v>
      </c>
      <c r="M303" s="10">
        <v>0</v>
      </c>
      <c r="N303" s="10">
        <v>0</v>
      </c>
      <c r="O303" s="10">
        <v>50</v>
      </c>
      <c r="P303" s="10">
        <v>3</v>
      </c>
      <c r="Q303" s="10">
        <v>0</v>
      </c>
      <c r="R303" s="12"/>
      <c r="S303" s="13"/>
      <c r="T303" s="13">
        <f t="shared" si="0"/>
        <v>70</v>
      </c>
      <c r="U303" s="11">
        <f ca="1">IFERROR(__xludf.DUMMYFUNCTION("IFERROR(
  SUM(
    FILTER(
      Reporte!$E:$E, 
      REGEXMATCH(Reporte!$A:$A, ""(?i)(TE PAGÓ|PAGASTE)""), 
      Reporte!$H:$H &amp; """" = AG303 &amp; """"
    )
  ), 
  0
)"),0)</f>
        <v>0</v>
      </c>
      <c r="V303" s="11">
        <f ca="1">IFERROR(__xludf.DUMMYFUNCTION("IFERROR(
  SUM(
    FILTER(
      Efectivo!$C:$C, 
      Efectivo!$D:$D &amp; """" = AG303 &amp; """"
    )
  ), 
  0
)"),70)</f>
        <v>70</v>
      </c>
      <c r="W303" s="11" t="s">
        <v>35</v>
      </c>
      <c r="X303" s="11"/>
      <c r="Y303" s="11"/>
      <c r="Z303" s="11"/>
      <c r="AA303" s="11"/>
      <c r="AB303" s="11" t="str">
        <f t="shared" si="1"/>
        <v/>
      </c>
      <c r="AC303" s="11" t="str">
        <f t="shared" si="2"/>
        <v/>
      </c>
      <c r="AD303" s="11">
        <f t="shared" si="3"/>
        <v>70</v>
      </c>
      <c r="AE303" s="11">
        <f t="shared" si="4"/>
        <v>0</v>
      </c>
      <c r="AF303" s="11" t="str">
        <f t="shared" si="5"/>
        <v>Q</v>
      </c>
      <c r="AG303" s="11" t="str">
        <f t="shared" si="6"/>
        <v>Q-8</v>
      </c>
      <c r="AH303" s="21"/>
      <c r="AI303" s="21"/>
    </row>
    <row r="304" spans="1:35" ht="15.75" hidden="1" customHeight="1">
      <c r="A304" s="15">
        <v>302</v>
      </c>
      <c r="B304" s="16" t="s">
        <v>385</v>
      </c>
      <c r="C304" s="16" t="s">
        <v>378</v>
      </c>
      <c r="D304" s="17">
        <v>9</v>
      </c>
      <c r="E304" s="18"/>
      <c r="F304" s="18"/>
      <c r="G304" s="18"/>
      <c r="H304" s="19">
        <v>1</v>
      </c>
      <c r="I304" s="17">
        <v>240</v>
      </c>
      <c r="J304" s="17">
        <v>254</v>
      </c>
      <c r="K304" s="17">
        <v>14</v>
      </c>
      <c r="L304" s="17">
        <v>14</v>
      </c>
      <c r="M304" s="17">
        <v>16</v>
      </c>
      <c r="N304" s="17">
        <v>0</v>
      </c>
      <c r="O304" s="17">
        <v>0</v>
      </c>
      <c r="P304" s="17">
        <v>3</v>
      </c>
      <c r="Q304" s="17">
        <v>0</v>
      </c>
      <c r="R304" s="19"/>
      <c r="S304" s="20"/>
      <c r="T304" s="13">
        <f t="shared" si="0"/>
        <v>33</v>
      </c>
      <c r="U304" s="18">
        <f ca="1">IFERROR(__xludf.DUMMYFUNCTION("IFERROR(
  SUM(
    FILTER(
      Reporte!$E:$E, 
      REGEXMATCH(Reporte!$A:$A, ""(?i)(TE PAGÓ|PAGASTE)""), 
      Reporte!$H:$H &amp; """" = AG304 &amp; """"
    )
  ), 
  0
)"),33)</f>
        <v>33</v>
      </c>
      <c r="V304" s="18">
        <f ca="1">IFERROR(__xludf.DUMMYFUNCTION("IFERROR(
  SUM(
    FILTER(
      Efectivo!$C:$C, 
      Efectivo!$D:$D &amp; """" = AG304 &amp; """"
    )
  ), 
  0
)"),0)</f>
        <v>0</v>
      </c>
      <c r="W304" s="18" t="s">
        <v>35</v>
      </c>
      <c r="X304" s="18"/>
      <c r="Y304" s="18" t="s">
        <v>36</v>
      </c>
      <c r="Z304" s="18"/>
      <c r="AA304" s="18"/>
      <c r="AB304" s="18" t="str">
        <f t="shared" si="1"/>
        <v/>
      </c>
      <c r="AC304" s="18" t="str">
        <f t="shared" si="2"/>
        <v/>
      </c>
      <c r="AD304" s="11">
        <f t="shared" si="3"/>
        <v>0</v>
      </c>
      <c r="AE304" s="11">
        <f t="shared" si="4"/>
        <v>33</v>
      </c>
      <c r="AF304" s="18" t="str">
        <f t="shared" si="5"/>
        <v>Q</v>
      </c>
      <c r="AG304" s="18" t="str">
        <f t="shared" si="6"/>
        <v>Q-9</v>
      </c>
      <c r="AH304" s="14"/>
      <c r="AI304" s="14"/>
    </row>
    <row r="305" spans="1:35" ht="15.75" hidden="1" customHeight="1">
      <c r="A305" s="8">
        <v>303</v>
      </c>
      <c r="B305" s="9" t="s">
        <v>386</v>
      </c>
      <c r="C305" s="9" t="s">
        <v>378</v>
      </c>
      <c r="D305" s="10">
        <v>12</v>
      </c>
      <c r="E305" s="11"/>
      <c r="F305" s="11"/>
      <c r="G305" s="11"/>
      <c r="H305" s="12">
        <v>1</v>
      </c>
      <c r="I305" s="10">
        <v>1039</v>
      </c>
      <c r="J305" s="10">
        <v>1057</v>
      </c>
      <c r="K305" s="10">
        <v>18</v>
      </c>
      <c r="L305" s="10">
        <v>18</v>
      </c>
      <c r="M305" s="10">
        <v>22</v>
      </c>
      <c r="N305" s="22">
        <v>20</v>
      </c>
      <c r="O305" s="10">
        <v>0</v>
      </c>
      <c r="P305" s="10">
        <v>3</v>
      </c>
      <c r="Q305" s="10">
        <v>0</v>
      </c>
      <c r="R305" s="12"/>
      <c r="S305" s="13"/>
      <c r="T305" s="13">
        <f t="shared" si="0"/>
        <v>63</v>
      </c>
      <c r="U305" s="11">
        <f ca="1">IFERROR(__xludf.DUMMYFUNCTION("IFERROR(
  SUM(
    FILTER(
      Reporte!$E:$E, 
      REGEXMATCH(Reporte!$A:$A, ""(?i)(TE PAGÓ|PAGASTE)""), 
      Reporte!$H:$H &amp; """" = AG305 &amp; """"
    )
  ), 
  0
)"),63)</f>
        <v>63</v>
      </c>
      <c r="V305" s="11">
        <f ca="1">IFERROR(__xludf.DUMMYFUNCTION("IFERROR(
  SUM(
    FILTER(
      Efectivo!$C:$C, 
      Efectivo!$D:$D &amp; """" = AG305 &amp; """"
    )
  ), 
  0
)"),0)</f>
        <v>0</v>
      </c>
      <c r="W305" s="11" t="s">
        <v>35</v>
      </c>
      <c r="X305" s="11"/>
      <c r="Y305" s="11" t="s">
        <v>36</v>
      </c>
      <c r="Z305" s="11" t="s">
        <v>387</v>
      </c>
      <c r="AA305" s="11"/>
      <c r="AB305" s="11" t="str">
        <f t="shared" si="1"/>
        <v/>
      </c>
      <c r="AC305" s="11" t="str">
        <f t="shared" si="2"/>
        <v/>
      </c>
      <c r="AD305" s="11">
        <f t="shared" si="3"/>
        <v>0</v>
      </c>
      <c r="AE305" s="11">
        <f t="shared" si="4"/>
        <v>63</v>
      </c>
      <c r="AF305" s="11" t="str">
        <f t="shared" si="5"/>
        <v>Q</v>
      </c>
      <c r="AG305" s="11" t="str">
        <f t="shared" si="6"/>
        <v>Q-12</v>
      </c>
      <c r="AH305" s="21"/>
      <c r="AI305" s="21"/>
    </row>
    <row r="306" spans="1:35" ht="15.75" hidden="1" customHeight="1">
      <c r="A306" s="15">
        <v>304</v>
      </c>
      <c r="B306" s="16" t="s">
        <v>388</v>
      </c>
      <c r="C306" s="16" t="s">
        <v>378</v>
      </c>
      <c r="D306" s="17">
        <v>13</v>
      </c>
      <c r="E306" s="18"/>
      <c r="F306" s="18"/>
      <c r="G306" s="18"/>
      <c r="H306" s="19">
        <v>1</v>
      </c>
      <c r="I306" s="17">
        <v>831</v>
      </c>
      <c r="J306" s="17">
        <v>845</v>
      </c>
      <c r="K306" s="17">
        <v>14</v>
      </c>
      <c r="L306" s="17">
        <v>14</v>
      </c>
      <c r="M306" s="17">
        <v>16</v>
      </c>
      <c r="N306" s="17">
        <v>0</v>
      </c>
      <c r="O306" s="17">
        <v>0</v>
      </c>
      <c r="P306" s="17">
        <v>3</v>
      </c>
      <c r="Q306" s="17">
        <v>0</v>
      </c>
      <c r="R306" s="19"/>
      <c r="S306" s="20"/>
      <c r="T306" s="13">
        <f t="shared" si="0"/>
        <v>33</v>
      </c>
      <c r="U306" s="18">
        <f ca="1">IFERROR(__xludf.DUMMYFUNCTION("IFERROR(
  SUM(
    FILTER(
      Reporte!$E:$E, 
      REGEXMATCH(Reporte!$A:$A, ""(?i)(TE PAGÓ|PAGASTE)""), 
      Reporte!$H:$H &amp; """" = AG306 &amp; """"
    )
  ), 
  0
)"),33)</f>
        <v>33</v>
      </c>
      <c r="V306" s="18">
        <f ca="1">IFERROR(__xludf.DUMMYFUNCTION("IFERROR(
  SUM(
    FILTER(
      Efectivo!$C:$C, 
      Efectivo!$D:$D &amp; """" = AG306 &amp; """"
    )
  ), 
  0
)"),0)</f>
        <v>0</v>
      </c>
      <c r="W306" s="18" t="s">
        <v>35</v>
      </c>
      <c r="X306" s="18"/>
      <c r="Y306" s="18" t="s">
        <v>36</v>
      </c>
      <c r="Z306" s="18"/>
      <c r="AA306" s="18"/>
      <c r="AB306" s="18" t="str">
        <f t="shared" si="1"/>
        <v/>
      </c>
      <c r="AC306" s="18" t="str">
        <f t="shared" si="2"/>
        <v/>
      </c>
      <c r="AD306" s="11">
        <f t="shared" si="3"/>
        <v>0</v>
      </c>
      <c r="AE306" s="11">
        <f t="shared" si="4"/>
        <v>33</v>
      </c>
      <c r="AF306" s="18" t="str">
        <f t="shared" si="5"/>
        <v>Q</v>
      </c>
      <c r="AG306" s="18" t="str">
        <f t="shared" si="6"/>
        <v>Q-13</v>
      </c>
      <c r="AH306" s="14"/>
      <c r="AI306" s="14"/>
    </row>
    <row r="307" spans="1:35" ht="15.75" hidden="1" customHeight="1">
      <c r="A307" s="8">
        <v>305</v>
      </c>
      <c r="B307" s="9" t="s">
        <v>389</v>
      </c>
      <c r="C307" s="9" t="s">
        <v>378</v>
      </c>
      <c r="D307" s="10">
        <v>14</v>
      </c>
      <c r="E307" s="11"/>
      <c r="F307" s="11"/>
      <c r="G307" s="11"/>
      <c r="H307" s="12">
        <v>1</v>
      </c>
      <c r="I307" s="10">
        <v>1096</v>
      </c>
      <c r="J307" s="10">
        <v>1105</v>
      </c>
      <c r="K307" s="10">
        <v>9</v>
      </c>
      <c r="L307" s="10">
        <v>9</v>
      </c>
      <c r="M307" s="10">
        <v>0</v>
      </c>
      <c r="N307" s="10">
        <v>0</v>
      </c>
      <c r="O307" s="10">
        <v>0</v>
      </c>
      <c r="P307" s="10">
        <v>3</v>
      </c>
      <c r="Q307" s="10">
        <v>0</v>
      </c>
      <c r="R307" s="12"/>
      <c r="S307" s="13"/>
      <c r="T307" s="13">
        <f t="shared" si="0"/>
        <v>12</v>
      </c>
      <c r="U307" s="11">
        <f ca="1">IFERROR(__xludf.DUMMYFUNCTION("IFERROR(
  SUM(
    FILTER(
      Reporte!$E:$E, 
      REGEXMATCH(Reporte!$A:$A, ""(?i)(TE PAGÓ|PAGASTE)""), 
      Reporte!$H:$H &amp; """" = AG307 &amp; """"
    )
  ), 
  0
)"),0)</f>
        <v>0</v>
      </c>
      <c r="V307" s="11">
        <f ca="1">IFERROR(__xludf.DUMMYFUNCTION("IFERROR(
  SUM(
    FILTER(
      Efectivo!$C:$C, 
      Efectivo!$D:$D &amp; """" = AG307 &amp; """"
    )
  ), 
  0
)"),12)</f>
        <v>12</v>
      </c>
      <c r="W307" s="11" t="s">
        <v>35</v>
      </c>
      <c r="X307" s="11"/>
      <c r="Y307" s="11"/>
      <c r="Z307" s="11"/>
      <c r="AA307" s="11"/>
      <c r="AB307" s="11" t="str">
        <f t="shared" si="1"/>
        <v/>
      </c>
      <c r="AC307" s="11" t="str">
        <f t="shared" si="2"/>
        <v/>
      </c>
      <c r="AD307" s="11">
        <f t="shared" si="3"/>
        <v>12</v>
      </c>
      <c r="AE307" s="11">
        <f t="shared" si="4"/>
        <v>0</v>
      </c>
      <c r="AF307" s="11" t="str">
        <f t="shared" si="5"/>
        <v>Q</v>
      </c>
      <c r="AG307" s="11" t="str">
        <f t="shared" si="6"/>
        <v>Q-14</v>
      </c>
      <c r="AH307" s="21"/>
      <c r="AI307" s="21"/>
    </row>
    <row r="308" spans="1:35" ht="15.75" hidden="1" customHeight="1">
      <c r="A308" s="15">
        <v>306</v>
      </c>
      <c r="B308" s="16" t="s">
        <v>390</v>
      </c>
      <c r="C308" s="16" t="s">
        <v>378</v>
      </c>
      <c r="D308" s="17">
        <v>15</v>
      </c>
      <c r="E308" s="18"/>
      <c r="F308" s="18"/>
      <c r="G308" s="18"/>
      <c r="H308" s="19">
        <v>1</v>
      </c>
      <c r="I308" s="17">
        <v>331</v>
      </c>
      <c r="J308" s="17">
        <v>334</v>
      </c>
      <c r="K308" s="17">
        <v>5</v>
      </c>
      <c r="L308" s="17">
        <v>5</v>
      </c>
      <c r="M308" s="17">
        <v>8</v>
      </c>
      <c r="N308" s="17">
        <v>0</v>
      </c>
      <c r="O308" s="17">
        <v>0</v>
      </c>
      <c r="P308" s="17">
        <v>3</v>
      </c>
      <c r="Q308" s="17">
        <v>0</v>
      </c>
      <c r="R308" s="19"/>
      <c r="S308" s="20"/>
      <c r="T308" s="13">
        <f t="shared" si="0"/>
        <v>16</v>
      </c>
      <c r="U308" s="18">
        <f ca="1">IFERROR(__xludf.DUMMYFUNCTION("IFERROR(
  SUM(
    FILTER(
      Reporte!$E:$E, 
      REGEXMATCH(Reporte!$A:$A, ""(?i)(TE PAGÓ|PAGASTE)""), 
      Reporte!$H:$H &amp; """" = AG308 &amp; """"
    )
  ), 
  0
)"),0)</f>
        <v>0</v>
      </c>
      <c r="V308" s="18">
        <f ca="1">IFERROR(__xludf.DUMMYFUNCTION("IFERROR(
  SUM(
    FILTER(
      Efectivo!$C:$C, 
      Efectivo!$D:$D &amp; """" = AG308 &amp; """"
    )
  ), 
  0
)"),16)</f>
        <v>16</v>
      </c>
      <c r="W308" s="18" t="s">
        <v>35</v>
      </c>
      <c r="X308" s="18"/>
      <c r="Y308" s="18"/>
      <c r="Z308" s="18"/>
      <c r="AA308" s="18"/>
      <c r="AB308" s="18" t="str">
        <f t="shared" si="1"/>
        <v/>
      </c>
      <c r="AC308" s="18" t="str">
        <f t="shared" si="2"/>
        <v/>
      </c>
      <c r="AD308" s="11">
        <f t="shared" si="3"/>
        <v>16</v>
      </c>
      <c r="AE308" s="11">
        <f t="shared" si="4"/>
        <v>0</v>
      </c>
      <c r="AF308" s="18" t="str">
        <f t="shared" si="5"/>
        <v>Q</v>
      </c>
      <c r="AG308" s="18" t="str">
        <f t="shared" si="6"/>
        <v>Q-15</v>
      </c>
      <c r="AH308" s="14"/>
      <c r="AI308" s="14"/>
    </row>
    <row r="309" spans="1:35" ht="15.75" hidden="1" customHeight="1">
      <c r="A309" s="8">
        <v>307</v>
      </c>
      <c r="B309" s="9" t="s">
        <v>391</v>
      </c>
      <c r="C309" s="9" t="s">
        <v>378</v>
      </c>
      <c r="D309" s="10">
        <v>16</v>
      </c>
      <c r="E309" s="11"/>
      <c r="F309" s="11"/>
      <c r="G309" s="11"/>
      <c r="H309" s="12">
        <v>1</v>
      </c>
      <c r="I309" s="10">
        <v>158</v>
      </c>
      <c r="J309" s="10">
        <v>165</v>
      </c>
      <c r="K309" s="10">
        <v>7</v>
      </c>
      <c r="L309" s="10">
        <v>7</v>
      </c>
      <c r="M309" s="10">
        <v>13</v>
      </c>
      <c r="N309" s="10">
        <v>0</v>
      </c>
      <c r="O309" s="10">
        <v>0</v>
      </c>
      <c r="P309" s="10">
        <v>3</v>
      </c>
      <c r="Q309" s="10">
        <v>0</v>
      </c>
      <c r="R309" s="12"/>
      <c r="S309" s="13"/>
      <c r="T309" s="13">
        <f t="shared" si="0"/>
        <v>23</v>
      </c>
      <c r="U309" s="11">
        <f ca="1">IFERROR(__xludf.DUMMYFUNCTION("IFERROR(
  SUM(
    FILTER(
      Reporte!$E:$E, 
      REGEXMATCH(Reporte!$A:$A, ""(?i)(TE PAGÓ|PAGASTE)""), 
      Reporte!$H:$H &amp; """" = AG309 &amp; """"
    )
  ), 
  0
)"),23)</f>
        <v>23</v>
      </c>
      <c r="V309" s="11">
        <f ca="1">IFERROR(__xludf.DUMMYFUNCTION("IFERROR(
  SUM(
    FILTER(
      Efectivo!$C:$C, 
      Efectivo!$D:$D &amp; """" = AG309 &amp; """"
    )
  ), 
  0
)"),0)</f>
        <v>0</v>
      </c>
      <c r="W309" s="11" t="s">
        <v>35</v>
      </c>
      <c r="X309" s="11"/>
      <c r="Y309" s="11" t="s">
        <v>36</v>
      </c>
      <c r="Z309" s="11"/>
      <c r="AA309" s="11"/>
      <c r="AB309" s="11" t="str">
        <f t="shared" si="1"/>
        <v/>
      </c>
      <c r="AC309" s="11" t="str">
        <f t="shared" si="2"/>
        <v/>
      </c>
      <c r="AD309" s="11">
        <f t="shared" si="3"/>
        <v>0</v>
      </c>
      <c r="AE309" s="11">
        <f t="shared" si="4"/>
        <v>23</v>
      </c>
      <c r="AF309" s="11" t="str">
        <f t="shared" si="5"/>
        <v>Q</v>
      </c>
      <c r="AG309" s="11" t="str">
        <f t="shared" si="6"/>
        <v>Q-16</v>
      </c>
      <c r="AH309" s="21"/>
      <c r="AI309" s="21"/>
    </row>
    <row r="310" spans="1:35" ht="15.75" hidden="1" customHeight="1">
      <c r="A310" s="15">
        <v>308</v>
      </c>
      <c r="B310" s="16" t="s">
        <v>392</v>
      </c>
      <c r="C310" s="16" t="s">
        <v>393</v>
      </c>
      <c r="D310" s="17">
        <v>1</v>
      </c>
      <c r="E310" s="18"/>
      <c r="F310" s="18"/>
      <c r="G310" s="18"/>
      <c r="H310" s="19">
        <v>1</v>
      </c>
      <c r="I310" s="17">
        <v>228</v>
      </c>
      <c r="J310" s="17">
        <v>240</v>
      </c>
      <c r="K310" s="17">
        <v>12</v>
      </c>
      <c r="L310" s="17">
        <v>12</v>
      </c>
      <c r="M310" s="17">
        <v>0</v>
      </c>
      <c r="N310" s="17">
        <v>0</v>
      </c>
      <c r="O310" s="17">
        <v>0</v>
      </c>
      <c r="P310" s="17">
        <v>3</v>
      </c>
      <c r="Q310" s="17">
        <v>0</v>
      </c>
      <c r="R310" s="19"/>
      <c r="S310" s="20"/>
      <c r="T310" s="13">
        <f t="shared" si="0"/>
        <v>15</v>
      </c>
      <c r="U310" s="18">
        <f ca="1">IFERROR(__xludf.DUMMYFUNCTION("IFERROR(
  SUM(
    FILTER(
      Reporte!$E:$E, 
      REGEXMATCH(Reporte!$A:$A, ""(?i)(TE PAGÓ|PAGASTE)""), 
      Reporte!$H:$H &amp; """" = AG310 &amp; """"
    )
  ), 
  0
)"),15)</f>
        <v>15</v>
      </c>
      <c r="V310" s="18">
        <f ca="1">IFERROR(__xludf.DUMMYFUNCTION("IFERROR(
  SUM(
    FILTER(
      Efectivo!$C:$C, 
      Efectivo!$D:$D &amp; """" = AG310 &amp; """"
    )
  ), 
  0
)"),0)</f>
        <v>0</v>
      </c>
      <c r="W310" s="18" t="s">
        <v>35</v>
      </c>
      <c r="X310" s="18"/>
      <c r="Y310" s="18" t="s">
        <v>36</v>
      </c>
      <c r="Z310" s="18"/>
      <c r="AA310" s="18"/>
      <c r="AB310" s="18" t="str">
        <f t="shared" si="1"/>
        <v/>
      </c>
      <c r="AC310" s="18" t="str">
        <f t="shared" si="2"/>
        <v/>
      </c>
      <c r="AD310" s="11">
        <f t="shared" si="3"/>
        <v>0</v>
      </c>
      <c r="AE310" s="11">
        <f t="shared" si="4"/>
        <v>15</v>
      </c>
      <c r="AF310" s="18" t="str">
        <f t="shared" si="5"/>
        <v>R</v>
      </c>
      <c r="AG310" s="18" t="str">
        <f t="shared" si="6"/>
        <v>R-1</v>
      </c>
      <c r="AH310" s="14"/>
      <c r="AI310" s="14"/>
    </row>
    <row r="311" spans="1:35" ht="15.75" hidden="1" customHeight="1">
      <c r="A311" s="8">
        <v>309</v>
      </c>
      <c r="B311" s="9" t="s">
        <v>394</v>
      </c>
      <c r="C311" s="9" t="s">
        <v>393</v>
      </c>
      <c r="D311" s="10">
        <v>2</v>
      </c>
      <c r="E311" s="11"/>
      <c r="F311" s="11"/>
      <c r="G311" s="11"/>
      <c r="H311" s="12">
        <v>1</v>
      </c>
      <c r="I311" s="10">
        <v>11</v>
      </c>
      <c r="J311" s="10">
        <v>26</v>
      </c>
      <c r="K311" s="10">
        <v>15</v>
      </c>
      <c r="L311" s="10">
        <v>15</v>
      </c>
      <c r="M311" s="10">
        <v>0</v>
      </c>
      <c r="N311" s="10">
        <v>0</v>
      </c>
      <c r="O311" s="10">
        <v>25</v>
      </c>
      <c r="P311" s="10">
        <v>3</v>
      </c>
      <c r="Q311" s="10">
        <v>0</v>
      </c>
      <c r="R311" s="12"/>
      <c r="S311" s="13"/>
      <c r="T311" s="13">
        <f t="shared" si="0"/>
        <v>43</v>
      </c>
      <c r="U311" s="11">
        <f ca="1">IFERROR(__xludf.DUMMYFUNCTION("IFERROR(
  SUM(
    FILTER(
      Reporte!$E:$E, 
      REGEXMATCH(Reporte!$A:$A, ""(?i)(TE PAGÓ|PAGASTE)""), 
      Reporte!$H:$H &amp; """" = AG311 &amp; """"
    )
  ), 
  0
)"),43)</f>
        <v>43</v>
      </c>
      <c r="V311" s="11">
        <f ca="1">IFERROR(__xludf.DUMMYFUNCTION("IFERROR(
  SUM(
    FILTER(
      Efectivo!$C:$C, 
      Efectivo!$D:$D &amp; """" = AG311 &amp; """"
    )
  ), 
  0
)"),0)</f>
        <v>0</v>
      </c>
      <c r="W311" s="11" t="s">
        <v>35</v>
      </c>
      <c r="X311" s="11"/>
      <c r="Y311" s="11" t="s">
        <v>36</v>
      </c>
      <c r="Z311" s="11"/>
      <c r="AA311" s="11"/>
      <c r="AB311" s="11" t="str">
        <f t="shared" si="1"/>
        <v/>
      </c>
      <c r="AC311" s="11" t="str">
        <f t="shared" si="2"/>
        <v/>
      </c>
      <c r="AD311" s="11">
        <f t="shared" si="3"/>
        <v>0</v>
      </c>
      <c r="AE311" s="11">
        <f t="shared" si="4"/>
        <v>43</v>
      </c>
      <c r="AF311" s="11" t="str">
        <f t="shared" si="5"/>
        <v>R</v>
      </c>
      <c r="AG311" s="11" t="str">
        <f t="shared" si="6"/>
        <v>R-2</v>
      </c>
      <c r="AH311" s="21"/>
      <c r="AI311" s="21"/>
    </row>
    <row r="312" spans="1:35" ht="15.75" hidden="1" customHeight="1">
      <c r="A312" s="15">
        <v>310</v>
      </c>
      <c r="B312" s="16" t="s">
        <v>395</v>
      </c>
      <c r="C312" s="16" t="s">
        <v>393</v>
      </c>
      <c r="D312" s="17">
        <v>3</v>
      </c>
      <c r="E312" s="18"/>
      <c r="F312" s="18"/>
      <c r="G312" s="18"/>
      <c r="H312" s="19">
        <v>1</v>
      </c>
      <c r="I312" s="17">
        <v>140</v>
      </c>
      <c r="J312" s="17">
        <v>146</v>
      </c>
      <c r="K312" s="17">
        <v>6</v>
      </c>
      <c r="L312" s="17">
        <v>6</v>
      </c>
      <c r="M312" s="17">
        <v>0</v>
      </c>
      <c r="N312" s="17">
        <v>0</v>
      </c>
      <c r="O312" s="17">
        <v>0</v>
      </c>
      <c r="P312" s="17">
        <v>3</v>
      </c>
      <c r="Q312" s="17">
        <v>0</v>
      </c>
      <c r="R312" s="19"/>
      <c r="S312" s="20"/>
      <c r="T312" s="13">
        <f t="shared" si="0"/>
        <v>9</v>
      </c>
      <c r="U312" s="18">
        <f ca="1">IFERROR(__xludf.DUMMYFUNCTION("IFERROR(
  SUM(
    FILTER(
      Reporte!$E:$E, 
      REGEXMATCH(Reporte!$A:$A, ""(?i)(TE PAGÓ|PAGASTE)""), 
      Reporte!$H:$H &amp; """" = AG312 &amp; """"
    )
  ), 
  0
)"),9)</f>
        <v>9</v>
      </c>
      <c r="V312" s="18">
        <f ca="1">IFERROR(__xludf.DUMMYFUNCTION("IFERROR(
  SUM(
    FILTER(
      Efectivo!$C:$C, 
      Efectivo!$D:$D &amp; """" = AG312 &amp; """"
    )
  ), 
  0
)"),0)</f>
        <v>0</v>
      </c>
      <c r="W312" s="18" t="s">
        <v>35</v>
      </c>
      <c r="X312" s="18"/>
      <c r="Y312" s="18" t="s">
        <v>36</v>
      </c>
      <c r="Z312" s="18"/>
      <c r="AA312" s="18"/>
      <c r="AB312" s="18" t="str">
        <f t="shared" si="1"/>
        <v/>
      </c>
      <c r="AC312" s="18" t="str">
        <f t="shared" si="2"/>
        <v/>
      </c>
      <c r="AD312" s="11">
        <f t="shared" si="3"/>
        <v>0</v>
      </c>
      <c r="AE312" s="11">
        <f t="shared" si="4"/>
        <v>9</v>
      </c>
      <c r="AF312" s="18" t="str">
        <f t="shared" si="5"/>
        <v>R</v>
      </c>
      <c r="AG312" s="18" t="str">
        <f t="shared" si="6"/>
        <v>R-3</v>
      </c>
      <c r="AH312" s="14"/>
      <c r="AI312" s="14"/>
    </row>
    <row r="313" spans="1:35" ht="15.75" hidden="1" customHeight="1">
      <c r="A313" s="8">
        <v>311</v>
      </c>
      <c r="B313" s="9" t="s">
        <v>396</v>
      </c>
      <c r="C313" s="9" t="s">
        <v>393</v>
      </c>
      <c r="D313" s="10">
        <v>4</v>
      </c>
      <c r="E313" s="11"/>
      <c r="F313" s="11"/>
      <c r="G313" s="11"/>
      <c r="H313" s="12">
        <v>1</v>
      </c>
      <c r="I313" s="10">
        <v>772</v>
      </c>
      <c r="J313" s="10">
        <v>779</v>
      </c>
      <c r="K313" s="10">
        <v>7</v>
      </c>
      <c r="L313" s="10">
        <v>7</v>
      </c>
      <c r="M313" s="10">
        <v>0</v>
      </c>
      <c r="N313" s="10">
        <v>0</v>
      </c>
      <c r="O313" s="10">
        <v>0</v>
      </c>
      <c r="P313" s="10">
        <v>3</v>
      </c>
      <c r="Q313" s="10">
        <v>0</v>
      </c>
      <c r="R313" s="12"/>
      <c r="S313" s="13"/>
      <c r="T313" s="13">
        <f t="shared" si="0"/>
        <v>10</v>
      </c>
      <c r="U313" s="11">
        <f ca="1">IFERROR(__xludf.DUMMYFUNCTION("IFERROR(
  SUM(
    FILTER(
      Reporte!$E:$E, 
      REGEXMATCH(Reporte!$A:$A, ""(?i)(TE PAGÓ|PAGASTE)""), 
      Reporte!$H:$H &amp; """" = AG313 &amp; """"
    )
  ), 
  0
)"),10)</f>
        <v>10</v>
      </c>
      <c r="V313" s="11">
        <f ca="1">IFERROR(__xludf.DUMMYFUNCTION("IFERROR(
  SUM(
    FILTER(
      Efectivo!$C:$C, 
      Efectivo!$D:$D &amp; """" = AG313 &amp; """"
    )
  ), 
  0
)"),0)</f>
        <v>0</v>
      </c>
      <c r="W313" s="11" t="s">
        <v>35</v>
      </c>
      <c r="X313" s="11"/>
      <c r="Y313" s="11" t="s">
        <v>36</v>
      </c>
      <c r="Z313" s="11"/>
      <c r="AA313" s="11"/>
      <c r="AB313" s="11" t="str">
        <f t="shared" si="1"/>
        <v/>
      </c>
      <c r="AC313" s="11" t="str">
        <f t="shared" si="2"/>
        <v/>
      </c>
      <c r="AD313" s="11">
        <f t="shared" si="3"/>
        <v>0</v>
      </c>
      <c r="AE313" s="11">
        <f t="shared" si="4"/>
        <v>10</v>
      </c>
      <c r="AF313" s="11" t="str">
        <f t="shared" si="5"/>
        <v>R</v>
      </c>
      <c r="AG313" s="11" t="str">
        <f t="shared" si="6"/>
        <v>R-4</v>
      </c>
      <c r="AH313" s="21"/>
      <c r="AI313" s="21"/>
    </row>
    <row r="314" spans="1:35" ht="15.75" hidden="1" customHeight="1">
      <c r="A314" s="15">
        <v>312</v>
      </c>
      <c r="B314" s="16" t="s">
        <v>397</v>
      </c>
      <c r="C314" s="16" t="s">
        <v>393</v>
      </c>
      <c r="D314" s="17">
        <v>5</v>
      </c>
      <c r="E314" s="18"/>
      <c r="F314" s="18"/>
      <c r="G314" s="18"/>
      <c r="H314" s="19">
        <v>1</v>
      </c>
      <c r="I314" s="17">
        <v>463</v>
      </c>
      <c r="J314" s="17">
        <v>464</v>
      </c>
      <c r="K314" s="17">
        <v>5</v>
      </c>
      <c r="L314" s="17">
        <v>5</v>
      </c>
      <c r="M314" s="17">
        <v>8</v>
      </c>
      <c r="N314" s="17">
        <v>0</v>
      </c>
      <c r="O314" s="17">
        <v>0</v>
      </c>
      <c r="P314" s="17">
        <v>3</v>
      </c>
      <c r="Q314" s="17">
        <v>0</v>
      </c>
      <c r="R314" s="19"/>
      <c r="S314" s="20"/>
      <c r="T314" s="13">
        <f t="shared" si="0"/>
        <v>16</v>
      </c>
      <c r="U314" s="18">
        <f ca="1">IFERROR(__xludf.DUMMYFUNCTION("IFERROR(
  SUM(
    FILTER(
      Reporte!$E:$E, 
      REGEXMATCH(Reporte!$A:$A, ""(?i)(TE PAGÓ|PAGASTE)""), 
      Reporte!$H:$H &amp; """" = AG314 &amp; """"
    )
  ), 
  0
)"),16)</f>
        <v>16</v>
      </c>
      <c r="V314" s="18">
        <f ca="1">IFERROR(__xludf.DUMMYFUNCTION("IFERROR(
  SUM(
    FILTER(
      Efectivo!$C:$C, 
      Efectivo!$D:$D &amp; """" = AG314 &amp; """"
    )
  ), 
  0
)"),0)</f>
        <v>0</v>
      </c>
      <c r="W314" s="18" t="s">
        <v>35</v>
      </c>
      <c r="X314" s="18"/>
      <c r="Y314" s="18" t="s">
        <v>36</v>
      </c>
      <c r="Z314" s="18"/>
      <c r="AA314" s="18"/>
      <c r="AB314" s="18" t="str">
        <f t="shared" si="1"/>
        <v/>
      </c>
      <c r="AC314" s="18" t="str">
        <f t="shared" si="2"/>
        <v/>
      </c>
      <c r="AD314" s="11">
        <f t="shared" si="3"/>
        <v>0</v>
      </c>
      <c r="AE314" s="11">
        <f t="shared" si="4"/>
        <v>16</v>
      </c>
      <c r="AF314" s="18" t="str">
        <f t="shared" si="5"/>
        <v>R</v>
      </c>
      <c r="AG314" s="18" t="str">
        <f t="shared" si="6"/>
        <v>R-5</v>
      </c>
      <c r="AH314" s="14"/>
      <c r="AI314" s="14"/>
    </row>
    <row r="315" spans="1:35" ht="15.75" hidden="1" customHeight="1">
      <c r="A315" s="8">
        <v>313</v>
      </c>
      <c r="B315" s="9" t="s">
        <v>398</v>
      </c>
      <c r="C315" s="9" t="s">
        <v>393</v>
      </c>
      <c r="D315" s="10">
        <v>7</v>
      </c>
      <c r="E315" s="11"/>
      <c r="F315" s="11"/>
      <c r="G315" s="11"/>
      <c r="H315" s="12">
        <v>1</v>
      </c>
      <c r="I315" s="10">
        <v>269</v>
      </c>
      <c r="J315" s="10">
        <v>281</v>
      </c>
      <c r="K315" s="10">
        <v>12</v>
      </c>
      <c r="L315" s="10">
        <v>12</v>
      </c>
      <c r="M315" s="10">
        <v>0</v>
      </c>
      <c r="N315" s="10">
        <v>0</v>
      </c>
      <c r="O315" s="10">
        <v>0</v>
      </c>
      <c r="P315" s="10">
        <v>3</v>
      </c>
      <c r="Q315" s="10">
        <v>0</v>
      </c>
      <c r="R315" s="12"/>
      <c r="S315" s="13"/>
      <c r="T315" s="13">
        <f t="shared" si="0"/>
        <v>15</v>
      </c>
      <c r="U315" s="11">
        <f ca="1">IFERROR(__xludf.DUMMYFUNCTION("IFERROR(
  SUM(
    FILTER(
      Reporte!$E:$E, 
      REGEXMATCH(Reporte!$A:$A, ""(?i)(TE PAGÓ|PAGASTE)""), 
      Reporte!$H:$H &amp; """" = AG315 &amp; """"
    )
  ), 
  0
)"),0)</f>
        <v>0</v>
      </c>
      <c r="V315" s="11">
        <f ca="1">IFERROR(__xludf.DUMMYFUNCTION("IFERROR(
  SUM(
    FILTER(
      Efectivo!$C:$C, 
      Efectivo!$D:$D &amp; """" = AG315 &amp; """"
    )
  ), 
  0
)"),0)</f>
        <v>0</v>
      </c>
      <c r="W315" s="11"/>
      <c r="X315" s="11"/>
      <c r="Y315" s="11"/>
      <c r="Z315" s="11"/>
      <c r="AA315" s="11"/>
      <c r="AB315" s="11" t="str">
        <f t="shared" si="1"/>
        <v/>
      </c>
      <c r="AC315" s="11" t="str">
        <f t="shared" si="2"/>
        <v/>
      </c>
      <c r="AD315" s="11">
        <f t="shared" si="3"/>
        <v>0</v>
      </c>
      <c r="AE315" s="11">
        <f t="shared" si="4"/>
        <v>0</v>
      </c>
      <c r="AF315" s="11" t="str">
        <f t="shared" si="5"/>
        <v>R</v>
      </c>
      <c r="AG315" s="11" t="str">
        <f t="shared" si="6"/>
        <v>R-7</v>
      </c>
      <c r="AH315" s="21"/>
      <c r="AI315" s="21"/>
    </row>
    <row r="316" spans="1:35" ht="15.75" hidden="1" customHeight="1">
      <c r="A316" s="15">
        <v>314</v>
      </c>
      <c r="B316" s="16" t="s">
        <v>399</v>
      </c>
      <c r="C316" s="16" t="s">
        <v>393</v>
      </c>
      <c r="D316" s="17">
        <v>8</v>
      </c>
      <c r="E316" s="18"/>
      <c r="F316" s="18"/>
      <c r="G316" s="18"/>
      <c r="H316" s="19">
        <v>1</v>
      </c>
      <c r="I316" s="17">
        <v>2088</v>
      </c>
      <c r="J316" s="17">
        <v>2100</v>
      </c>
      <c r="K316" s="17">
        <v>12</v>
      </c>
      <c r="L316" s="17">
        <v>12</v>
      </c>
      <c r="M316" s="17">
        <v>12</v>
      </c>
      <c r="N316" s="17">
        <v>0</v>
      </c>
      <c r="O316" s="17">
        <v>0</v>
      </c>
      <c r="P316" s="17">
        <v>3</v>
      </c>
      <c r="Q316" s="17">
        <v>0</v>
      </c>
      <c r="R316" s="19"/>
      <c r="S316" s="20"/>
      <c r="T316" s="13">
        <f t="shared" si="0"/>
        <v>27</v>
      </c>
      <c r="U316" s="18">
        <f ca="1">IFERROR(__xludf.DUMMYFUNCTION("IFERROR(
  SUM(
    FILTER(
      Reporte!$E:$E, 
      REGEXMATCH(Reporte!$A:$A, ""(?i)(TE PAGÓ|PAGASTE)""), 
      Reporte!$H:$H &amp; """" = AG316 &amp; """"
    )
  ), 
  0
)"),0)</f>
        <v>0</v>
      </c>
      <c r="V316" s="18">
        <f ca="1">IFERROR(__xludf.DUMMYFUNCTION("IFERROR(
  SUM(
    FILTER(
      Efectivo!$C:$C, 
      Efectivo!$D:$D &amp; """" = AG316 &amp; """"
    )
  ), 
  0
)"),27)</f>
        <v>27</v>
      </c>
      <c r="W316" s="18" t="s">
        <v>35</v>
      </c>
      <c r="X316" s="18"/>
      <c r="Y316" s="18"/>
      <c r="Z316" s="18"/>
      <c r="AA316" s="18"/>
      <c r="AB316" s="18" t="str">
        <f t="shared" si="1"/>
        <v/>
      </c>
      <c r="AC316" s="18" t="str">
        <f t="shared" si="2"/>
        <v/>
      </c>
      <c r="AD316" s="11">
        <f t="shared" si="3"/>
        <v>27</v>
      </c>
      <c r="AE316" s="11">
        <f t="shared" si="4"/>
        <v>0</v>
      </c>
      <c r="AF316" s="18" t="str">
        <f t="shared" si="5"/>
        <v>R</v>
      </c>
      <c r="AG316" s="18" t="str">
        <f t="shared" si="6"/>
        <v>R-8</v>
      </c>
      <c r="AH316" s="14"/>
      <c r="AI316" s="14"/>
    </row>
    <row r="317" spans="1:35" ht="15.75" hidden="1" customHeight="1">
      <c r="A317" s="8">
        <v>315</v>
      </c>
      <c r="B317" s="9" t="s">
        <v>400</v>
      </c>
      <c r="C317" s="9" t="s">
        <v>401</v>
      </c>
      <c r="D317" s="10">
        <v>1</v>
      </c>
      <c r="E317" s="11"/>
      <c r="F317" s="11"/>
      <c r="G317" s="11"/>
      <c r="H317" s="12">
        <v>1</v>
      </c>
      <c r="I317" s="10">
        <v>641</v>
      </c>
      <c r="J317" s="10">
        <v>660</v>
      </c>
      <c r="K317" s="10">
        <v>19</v>
      </c>
      <c r="L317" s="10">
        <v>19</v>
      </c>
      <c r="M317" s="10">
        <v>0</v>
      </c>
      <c r="N317" s="10">
        <v>0</v>
      </c>
      <c r="O317" s="10">
        <v>0</v>
      </c>
      <c r="P317" s="10">
        <v>3</v>
      </c>
      <c r="Q317" s="10">
        <v>0</v>
      </c>
      <c r="R317" s="12"/>
      <c r="S317" s="13"/>
      <c r="T317" s="13">
        <f t="shared" si="0"/>
        <v>22</v>
      </c>
      <c r="U317" s="11">
        <f ca="1">IFERROR(__xludf.DUMMYFUNCTION("IFERROR(
  SUM(
    FILTER(
      Reporte!$E:$E, 
      REGEXMATCH(Reporte!$A:$A, ""(?i)(TE PAGÓ|PAGASTE)""), 
      Reporte!$H:$H &amp; """" = AG317 &amp; """"
    )
  ), 
  0
)"),0)</f>
        <v>0</v>
      </c>
      <c r="V317" s="11">
        <f ca="1">IFERROR(__xludf.DUMMYFUNCTION("IFERROR(
  SUM(
    FILTER(
      Efectivo!$C:$C, 
      Efectivo!$D:$D &amp; """" = AG317 &amp; """"
    )
  ), 
  0
)"),0)</f>
        <v>0</v>
      </c>
      <c r="W317" s="11"/>
      <c r="X317" s="11"/>
      <c r="Y317" s="11"/>
      <c r="Z317" s="11"/>
      <c r="AA317" s="11"/>
      <c r="AB317" s="11" t="str">
        <f t="shared" si="1"/>
        <v/>
      </c>
      <c r="AC317" s="11" t="str">
        <f t="shared" si="2"/>
        <v/>
      </c>
      <c r="AD317" s="11">
        <f t="shared" si="3"/>
        <v>0</v>
      </c>
      <c r="AE317" s="11">
        <f t="shared" si="4"/>
        <v>0</v>
      </c>
      <c r="AF317" s="11" t="str">
        <f t="shared" si="5"/>
        <v>S</v>
      </c>
      <c r="AG317" s="11" t="str">
        <f t="shared" si="6"/>
        <v>S-1</v>
      </c>
      <c r="AH317" s="21"/>
      <c r="AI317" s="21"/>
    </row>
    <row r="318" spans="1:35" ht="15.75" hidden="1" customHeight="1">
      <c r="A318" s="15">
        <v>316</v>
      </c>
      <c r="B318" s="16" t="s">
        <v>402</v>
      </c>
      <c r="C318" s="16" t="s">
        <v>401</v>
      </c>
      <c r="D318" s="17">
        <v>2</v>
      </c>
      <c r="E318" s="18"/>
      <c r="F318" s="18"/>
      <c r="G318" s="18"/>
      <c r="H318" s="19">
        <v>1</v>
      </c>
      <c r="I318" s="17">
        <v>2136</v>
      </c>
      <c r="J318" s="17">
        <v>2158</v>
      </c>
      <c r="K318" s="17">
        <v>22</v>
      </c>
      <c r="L318" s="17">
        <v>22</v>
      </c>
      <c r="M318" s="17">
        <v>0</v>
      </c>
      <c r="N318" s="17">
        <v>0</v>
      </c>
      <c r="O318" s="17">
        <v>0</v>
      </c>
      <c r="P318" s="17">
        <v>3</v>
      </c>
      <c r="Q318" s="17">
        <v>0</v>
      </c>
      <c r="R318" s="19"/>
      <c r="S318" s="20"/>
      <c r="T318" s="13">
        <f t="shared" si="0"/>
        <v>25</v>
      </c>
      <c r="U318" s="18">
        <f ca="1">IFERROR(__xludf.DUMMYFUNCTION("IFERROR(
  SUM(
    FILTER(
      Reporte!$E:$E, 
      REGEXMATCH(Reporte!$A:$A, ""(?i)(TE PAGÓ|PAGASTE)""), 
      Reporte!$H:$H &amp; """" = AG318 &amp; """"
    )
  ), 
  0
)"),25)</f>
        <v>25</v>
      </c>
      <c r="V318" s="18">
        <f ca="1">IFERROR(__xludf.DUMMYFUNCTION("IFERROR(
  SUM(
    FILTER(
      Efectivo!$C:$C, 
      Efectivo!$D:$D &amp; """" = AG318 &amp; """"
    )
  ), 
  0
)"),0)</f>
        <v>0</v>
      </c>
      <c r="W318" s="18" t="s">
        <v>35</v>
      </c>
      <c r="X318" s="18"/>
      <c r="Y318" s="18" t="s">
        <v>36</v>
      </c>
      <c r="Z318" s="18"/>
      <c r="AA318" s="18"/>
      <c r="AB318" s="18" t="str">
        <f t="shared" si="1"/>
        <v/>
      </c>
      <c r="AC318" s="18" t="str">
        <f t="shared" si="2"/>
        <v/>
      </c>
      <c r="AD318" s="11">
        <f t="shared" si="3"/>
        <v>0</v>
      </c>
      <c r="AE318" s="11">
        <f t="shared" si="4"/>
        <v>25</v>
      </c>
      <c r="AF318" s="18" t="str">
        <f t="shared" si="5"/>
        <v>S</v>
      </c>
      <c r="AG318" s="18" t="str">
        <f t="shared" si="6"/>
        <v>S-2</v>
      </c>
      <c r="AH318" s="14"/>
      <c r="AI318" s="14"/>
    </row>
    <row r="319" spans="1:35" ht="15.75" hidden="1" customHeight="1">
      <c r="A319" s="8">
        <v>317</v>
      </c>
      <c r="B319" s="9" t="s">
        <v>403</v>
      </c>
      <c r="C319" s="9" t="s">
        <v>401</v>
      </c>
      <c r="D319" s="10">
        <v>3</v>
      </c>
      <c r="E319" s="11"/>
      <c r="F319" s="11"/>
      <c r="G319" s="11"/>
      <c r="H319" s="12">
        <v>1</v>
      </c>
      <c r="I319" s="10">
        <v>10</v>
      </c>
      <c r="J319" s="10">
        <v>22</v>
      </c>
      <c r="K319" s="10">
        <v>12</v>
      </c>
      <c r="L319" s="10">
        <v>12</v>
      </c>
      <c r="M319" s="10">
        <v>0</v>
      </c>
      <c r="N319" s="10">
        <v>0</v>
      </c>
      <c r="O319" s="10">
        <v>25</v>
      </c>
      <c r="P319" s="10">
        <v>3</v>
      </c>
      <c r="Q319" s="10">
        <v>0</v>
      </c>
      <c r="R319" s="12"/>
      <c r="S319" s="13"/>
      <c r="T319" s="13">
        <f t="shared" si="0"/>
        <v>40</v>
      </c>
      <c r="U319" s="11">
        <f ca="1">IFERROR(__xludf.DUMMYFUNCTION("IFERROR(
  SUM(
    FILTER(
      Reporte!$E:$E, 
      REGEXMATCH(Reporte!$A:$A, ""(?i)(TE PAGÓ|PAGASTE)""), 
      Reporte!$H:$H &amp; """" = AG319 &amp; """"
    )
  ), 
  0
)"),40)</f>
        <v>40</v>
      </c>
      <c r="V319" s="11">
        <f ca="1">IFERROR(__xludf.DUMMYFUNCTION("IFERROR(
  SUM(
    FILTER(
      Efectivo!$C:$C, 
      Efectivo!$D:$D &amp; """" = AG319 &amp; """"
    )
  ), 
  0
)"),0)</f>
        <v>0</v>
      </c>
      <c r="W319" s="11" t="s">
        <v>35</v>
      </c>
      <c r="X319" s="11"/>
      <c r="Y319" s="11" t="s">
        <v>36</v>
      </c>
      <c r="Z319" s="11"/>
      <c r="AA319" s="11"/>
      <c r="AB319" s="11" t="str">
        <f t="shared" si="1"/>
        <v/>
      </c>
      <c r="AC319" s="11" t="str">
        <f t="shared" si="2"/>
        <v/>
      </c>
      <c r="AD319" s="11">
        <f t="shared" si="3"/>
        <v>0</v>
      </c>
      <c r="AE319" s="11">
        <f t="shared" si="4"/>
        <v>40</v>
      </c>
      <c r="AF319" s="11" t="str">
        <f t="shared" si="5"/>
        <v>S</v>
      </c>
      <c r="AG319" s="11" t="str">
        <f t="shared" si="6"/>
        <v>S-3</v>
      </c>
      <c r="AH319" s="21"/>
      <c r="AI319" s="21"/>
    </row>
    <row r="320" spans="1:35" ht="15.75" hidden="1" customHeight="1">
      <c r="A320" s="15">
        <v>318</v>
      </c>
      <c r="B320" s="16" t="s">
        <v>404</v>
      </c>
      <c r="C320" s="16" t="s">
        <v>401</v>
      </c>
      <c r="D320" s="17">
        <v>4</v>
      </c>
      <c r="E320" s="18"/>
      <c r="F320" s="18"/>
      <c r="G320" s="18"/>
      <c r="H320" s="19">
        <v>1</v>
      </c>
      <c r="I320" s="17">
        <v>26</v>
      </c>
      <c r="J320" s="17">
        <v>46</v>
      </c>
      <c r="K320" s="17">
        <v>20</v>
      </c>
      <c r="L320" s="17">
        <v>20</v>
      </c>
      <c r="M320" s="17">
        <v>0</v>
      </c>
      <c r="N320" s="17">
        <v>0</v>
      </c>
      <c r="O320" s="17">
        <v>25</v>
      </c>
      <c r="P320" s="17">
        <v>3</v>
      </c>
      <c r="Q320" s="17">
        <v>0</v>
      </c>
      <c r="R320" s="19"/>
      <c r="S320" s="20"/>
      <c r="T320" s="13">
        <f t="shared" si="0"/>
        <v>48</v>
      </c>
      <c r="U320" s="18">
        <f ca="1">IFERROR(__xludf.DUMMYFUNCTION("IFERROR(
  SUM(
    FILTER(
      Reporte!$E:$E, 
      REGEXMATCH(Reporte!$A:$A, ""(?i)(TE PAGÓ|PAGASTE)""), 
      Reporte!$H:$H &amp; """" = AG320 &amp; """"
    )
  ), 
  0
)"),0)</f>
        <v>0</v>
      </c>
      <c r="V320" s="18">
        <f ca="1">IFERROR(__xludf.DUMMYFUNCTION("IFERROR(
  SUM(
    FILTER(
      Efectivo!$C:$C, 
      Efectivo!$D:$D &amp; """" = AG320 &amp; """"
    )
  ), 
  0
)"),0)</f>
        <v>0</v>
      </c>
      <c r="W320" s="18"/>
      <c r="X320" s="18"/>
      <c r="Y320" s="18"/>
      <c r="Z320" s="18"/>
      <c r="AA320" s="18"/>
      <c r="AB320" s="18" t="str">
        <f t="shared" si="1"/>
        <v/>
      </c>
      <c r="AC320" s="18" t="str">
        <f t="shared" si="2"/>
        <v/>
      </c>
      <c r="AD320" s="11">
        <f t="shared" si="3"/>
        <v>0</v>
      </c>
      <c r="AE320" s="11">
        <f t="shared" si="4"/>
        <v>0</v>
      </c>
      <c r="AF320" s="18" t="str">
        <f t="shared" si="5"/>
        <v>S</v>
      </c>
      <c r="AG320" s="18" t="str">
        <f t="shared" si="6"/>
        <v>S-4</v>
      </c>
      <c r="AH320" s="14"/>
      <c r="AI320" s="14"/>
    </row>
    <row r="321" spans="1:35" ht="15.75" hidden="1" customHeight="1">
      <c r="A321" s="8">
        <v>319</v>
      </c>
      <c r="B321" s="9" t="s">
        <v>405</v>
      </c>
      <c r="C321" s="9" t="s">
        <v>401</v>
      </c>
      <c r="D321" s="10">
        <v>5</v>
      </c>
      <c r="E321" s="11"/>
      <c r="F321" s="11"/>
      <c r="G321" s="11"/>
      <c r="H321" s="12">
        <v>1</v>
      </c>
      <c r="I321" s="10">
        <v>2252</v>
      </c>
      <c r="J321" s="10">
        <v>2274</v>
      </c>
      <c r="K321" s="10">
        <v>22</v>
      </c>
      <c r="L321" s="10">
        <v>22</v>
      </c>
      <c r="M321" s="10">
        <v>0</v>
      </c>
      <c r="N321" s="10">
        <v>0</v>
      </c>
      <c r="O321" s="10">
        <v>0</v>
      </c>
      <c r="P321" s="10">
        <v>3</v>
      </c>
      <c r="Q321" s="10">
        <v>0</v>
      </c>
      <c r="R321" s="12"/>
      <c r="S321" s="13"/>
      <c r="T321" s="13">
        <f t="shared" si="0"/>
        <v>25</v>
      </c>
      <c r="U321" s="11">
        <f ca="1">IFERROR(__xludf.DUMMYFUNCTION("IFERROR(
  SUM(
    FILTER(
      Reporte!$E:$E, 
      REGEXMATCH(Reporte!$A:$A, ""(?i)(TE PAGÓ|PAGASTE)""), 
      Reporte!$H:$H &amp; """" = AG321 &amp; """"
    )
  ), 
  0
)"),0)</f>
        <v>0</v>
      </c>
      <c r="V321" s="11">
        <f ca="1">IFERROR(__xludf.DUMMYFUNCTION("IFERROR(
  SUM(
    FILTER(
      Efectivo!$C:$C, 
      Efectivo!$D:$D &amp; """" = AG321 &amp; """"
    )
  ), 
  0
)"),0)</f>
        <v>0</v>
      </c>
      <c r="W321" s="11"/>
      <c r="X321" s="11"/>
      <c r="Y321" s="11"/>
      <c r="Z321" s="11"/>
      <c r="AA321" s="11"/>
      <c r="AB321" s="11" t="str">
        <f t="shared" si="1"/>
        <v/>
      </c>
      <c r="AC321" s="11" t="str">
        <f t="shared" si="2"/>
        <v/>
      </c>
      <c r="AD321" s="11">
        <f t="shared" si="3"/>
        <v>0</v>
      </c>
      <c r="AE321" s="11">
        <f t="shared" si="4"/>
        <v>0</v>
      </c>
      <c r="AF321" s="11" t="str">
        <f t="shared" si="5"/>
        <v>S</v>
      </c>
      <c r="AG321" s="11" t="str">
        <f t="shared" si="6"/>
        <v>S-5</v>
      </c>
      <c r="AH321" s="21"/>
      <c r="AI321" s="21"/>
    </row>
    <row r="322" spans="1:35" ht="15.75" hidden="1" customHeight="1">
      <c r="A322" s="15">
        <v>320</v>
      </c>
      <c r="B322" s="16" t="s">
        <v>406</v>
      </c>
      <c r="C322" s="16" t="s">
        <v>401</v>
      </c>
      <c r="D322" s="17">
        <v>7</v>
      </c>
      <c r="E322" s="18"/>
      <c r="F322" s="18"/>
      <c r="G322" s="18"/>
      <c r="H322" s="19">
        <v>1</v>
      </c>
      <c r="I322" s="17">
        <v>194</v>
      </c>
      <c r="J322" s="17">
        <v>194</v>
      </c>
      <c r="K322" s="17">
        <v>5</v>
      </c>
      <c r="L322" s="17">
        <v>5</v>
      </c>
      <c r="M322" s="17">
        <v>0</v>
      </c>
      <c r="N322" s="17">
        <v>0</v>
      </c>
      <c r="O322" s="17">
        <v>0</v>
      </c>
      <c r="P322" s="17">
        <v>3</v>
      </c>
      <c r="Q322" s="17">
        <v>0</v>
      </c>
      <c r="R322" s="19"/>
      <c r="S322" s="20"/>
      <c r="T322" s="13">
        <f t="shared" si="0"/>
        <v>8</v>
      </c>
      <c r="U322" s="18">
        <f ca="1">IFERROR(__xludf.DUMMYFUNCTION("IFERROR(
  SUM(
    FILTER(
      Reporte!$E:$E, 
      REGEXMATCH(Reporte!$A:$A, ""(?i)(TE PAGÓ|PAGASTE)""), 
      Reporte!$H:$H &amp; """" = AG322 &amp; """"
    )
  ), 
  0
)"),0)</f>
        <v>0</v>
      </c>
      <c r="V322" s="18">
        <f ca="1">IFERROR(__xludf.DUMMYFUNCTION("IFERROR(
  SUM(
    FILTER(
      Efectivo!$C:$C, 
      Efectivo!$D:$D &amp; """" = AG322 &amp; """"
    )
  ), 
  0
)"),8)</f>
        <v>8</v>
      </c>
      <c r="W322" s="18" t="s">
        <v>35</v>
      </c>
      <c r="X322" s="18"/>
      <c r="Y322" s="18"/>
      <c r="Z322" s="18"/>
      <c r="AA322" s="18"/>
      <c r="AB322" s="18" t="str">
        <f t="shared" si="1"/>
        <v/>
      </c>
      <c r="AC322" s="18" t="str">
        <f t="shared" si="2"/>
        <v/>
      </c>
      <c r="AD322" s="11">
        <f t="shared" si="3"/>
        <v>8</v>
      </c>
      <c r="AE322" s="11">
        <f t="shared" si="4"/>
        <v>0</v>
      </c>
      <c r="AF322" s="18" t="str">
        <f t="shared" si="5"/>
        <v>S</v>
      </c>
      <c r="AG322" s="18" t="str">
        <f t="shared" si="6"/>
        <v>S-7</v>
      </c>
      <c r="AH322" s="14"/>
      <c r="AI322" s="14"/>
    </row>
    <row r="323" spans="1:35" ht="15.75" hidden="1" customHeight="1">
      <c r="A323" s="8">
        <v>321</v>
      </c>
      <c r="B323" s="9" t="s">
        <v>407</v>
      </c>
      <c r="C323" s="9" t="s">
        <v>401</v>
      </c>
      <c r="D323" s="10">
        <v>8</v>
      </c>
      <c r="E323" s="11"/>
      <c r="F323" s="11"/>
      <c r="G323" s="11"/>
      <c r="H323" s="12">
        <v>1</v>
      </c>
      <c r="I323" s="10">
        <v>345</v>
      </c>
      <c r="J323" s="10">
        <v>345</v>
      </c>
      <c r="K323" s="10">
        <v>5</v>
      </c>
      <c r="L323" s="10">
        <v>5</v>
      </c>
      <c r="M323" s="10">
        <v>0</v>
      </c>
      <c r="N323" s="10">
        <v>0</v>
      </c>
      <c r="O323" s="10">
        <v>0</v>
      </c>
      <c r="P323" s="10">
        <v>3</v>
      </c>
      <c r="Q323" s="10">
        <v>0</v>
      </c>
      <c r="R323" s="12"/>
      <c r="S323" s="13"/>
      <c r="T323" s="13">
        <f t="shared" si="0"/>
        <v>8</v>
      </c>
      <c r="U323" s="11">
        <f ca="1">IFERROR(__xludf.DUMMYFUNCTION("IFERROR(
  SUM(
    FILTER(
      Reporte!$E:$E, 
      REGEXMATCH(Reporte!$A:$A, ""(?i)(TE PAGÓ|PAGASTE)""), 
      Reporte!$H:$H &amp; """" = AG323 &amp; """"
    )
  ), 
  0
)"),8)</f>
        <v>8</v>
      </c>
      <c r="V323" s="11">
        <f ca="1">IFERROR(__xludf.DUMMYFUNCTION("IFERROR(
  SUM(
    FILTER(
      Efectivo!$C:$C, 
      Efectivo!$D:$D &amp; """" = AG323 &amp; """"
    )
  ), 
  0
)"),0)</f>
        <v>0</v>
      </c>
      <c r="W323" s="11" t="s">
        <v>35</v>
      </c>
      <c r="X323" s="11"/>
      <c r="Y323" s="11" t="s">
        <v>36</v>
      </c>
      <c r="Z323" s="11"/>
      <c r="AA323" s="11"/>
      <c r="AB323" s="11" t="str">
        <f t="shared" si="1"/>
        <v/>
      </c>
      <c r="AC323" s="11" t="str">
        <f t="shared" si="2"/>
        <v/>
      </c>
      <c r="AD323" s="11">
        <f t="shared" si="3"/>
        <v>0</v>
      </c>
      <c r="AE323" s="11">
        <f t="shared" si="4"/>
        <v>8</v>
      </c>
      <c r="AF323" s="11" t="str">
        <f t="shared" si="5"/>
        <v>S</v>
      </c>
      <c r="AG323" s="11" t="str">
        <f t="shared" si="6"/>
        <v>S-8</v>
      </c>
      <c r="AH323" s="21"/>
      <c r="AI323" s="21"/>
    </row>
    <row r="324" spans="1:35" ht="15.75" hidden="1" customHeight="1">
      <c r="A324" s="15">
        <v>322</v>
      </c>
      <c r="B324" s="16" t="s">
        <v>408</v>
      </c>
      <c r="C324" s="16" t="s">
        <v>401</v>
      </c>
      <c r="D324" s="17">
        <v>9</v>
      </c>
      <c r="E324" s="18"/>
      <c r="F324" s="18"/>
      <c r="G324" s="18"/>
      <c r="H324" s="19">
        <v>1</v>
      </c>
      <c r="I324" s="17">
        <v>816</v>
      </c>
      <c r="J324" s="17">
        <v>826</v>
      </c>
      <c r="K324" s="17">
        <v>10</v>
      </c>
      <c r="L324" s="17">
        <v>10</v>
      </c>
      <c r="M324" s="17">
        <v>0</v>
      </c>
      <c r="N324" s="17">
        <v>0</v>
      </c>
      <c r="O324" s="17">
        <v>0</v>
      </c>
      <c r="P324" s="17">
        <v>3</v>
      </c>
      <c r="Q324" s="17">
        <v>0</v>
      </c>
      <c r="R324" s="19"/>
      <c r="S324" s="20"/>
      <c r="T324" s="13">
        <f t="shared" si="0"/>
        <v>13</v>
      </c>
      <c r="U324" s="18">
        <f ca="1">IFERROR(__xludf.DUMMYFUNCTION("IFERROR(
  SUM(
    FILTER(
      Reporte!$E:$E, 
      REGEXMATCH(Reporte!$A:$A, ""(?i)(TE PAGÓ|PAGASTE)""), 
      Reporte!$H:$H &amp; """" = AG324 &amp; """"
    )
  ), 
  0
)"),13)</f>
        <v>13</v>
      </c>
      <c r="V324" s="18">
        <f ca="1">IFERROR(__xludf.DUMMYFUNCTION("IFERROR(
  SUM(
    FILTER(
      Efectivo!$C:$C, 
      Efectivo!$D:$D &amp; """" = AG324 &amp; """"
    )
  ), 
  0
)"),0)</f>
        <v>0</v>
      </c>
      <c r="W324" s="18" t="s">
        <v>35</v>
      </c>
      <c r="X324" s="18"/>
      <c r="Y324" s="18" t="s">
        <v>36</v>
      </c>
      <c r="Z324" s="18"/>
      <c r="AA324" s="18"/>
      <c r="AB324" s="18" t="str">
        <f t="shared" si="1"/>
        <v/>
      </c>
      <c r="AC324" s="18" t="str">
        <f t="shared" si="2"/>
        <v/>
      </c>
      <c r="AD324" s="11">
        <f t="shared" si="3"/>
        <v>0</v>
      </c>
      <c r="AE324" s="11">
        <f t="shared" si="4"/>
        <v>13</v>
      </c>
      <c r="AF324" s="18" t="str">
        <f t="shared" si="5"/>
        <v>S</v>
      </c>
      <c r="AG324" s="18" t="str">
        <f t="shared" si="6"/>
        <v>S-9</v>
      </c>
      <c r="AH324" s="14"/>
      <c r="AI324" s="14"/>
    </row>
    <row r="325" spans="1:35" ht="15.75" hidden="1" customHeight="1">
      <c r="A325" s="8">
        <v>323</v>
      </c>
      <c r="B325" s="9" t="s">
        <v>409</v>
      </c>
      <c r="C325" s="9" t="s">
        <v>401</v>
      </c>
      <c r="D325" s="10">
        <v>10</v>
      </c>
      <c r="E325" s="11"/>
      <c r="F325" s="11"/>
      <c r="G325" s="11"/>
      <c r="H325" s="12">
        <v>1</v>
      </c>
      <c r="I325" s="10">
        <v>1815</v>
      </c>
      <c r="J325" s="10">
        <v>1821</v>
      </c>
      <c r="K325" s="10">
        <v>6</v>
      </c>
      <c r="L325" s="10">
        <v>6</v>
      </c>
      <c r="M325" s="10">
        <v>0</v>
      </c>
      <c r="N325" s="10">
        <v>0</v>
      </c>
      <c r="O325" s="10">
        <v>0</v>
      </c>
      <c r="P325" s="10">
        <v>3</v>
      </c>
      <c r="Q325" s="10">
        <v>0</v>
      </c>
      <c r="R325" s="12"/>
      <c r="S325" s="13"/>
      <c r="T325" s="13">
        <f t="shared" si="0"/>
        <v>9</v>
      </c>
      <c r="U325" s="11">
        <f ca="1">IFERROR(__xludf.DUMMYFUNCTION("IFERROR(
  SUM(
    FILTER(
      Reporte!$E:$E, 
      REGEXMATCH(Reporte!$A:$A, ""(?i)(TE PAGÓ|PAGASTE)""), 
      Reporte!$H:$H &amp; """" = AG325 &amp; """"
    )
  ), 
  0
)"),9)</f>
        <v>9</v>
      </c>
      <c r="V325" s="11">
        <f ca="1">IFERROR(__xludf.DUMMYFUNCTION("IFERROR(
  SUM(
    FILTER(
      Efectivo!$C:$C, 
      Efectivo!$D:$D &amp; """" = AG325 &amp; """"
    )
  ), 
  0
)"),0)</f>
        <v>0</v>
      </c>
      <c r="W325" s="11" t="s">
        <v>35</v>
      </c>
      <c r="X325" s="11"/>
      <c r="Y325" s="11" t="s">
        <v>36</v>
      </c>
      <c r="Z325" s="11"/>
      <c r="AA325" s="11"/>
      <c r="AB325" s="11" t="str">
        <f t="shared" si="1"/>
        <v/>
      </c>
      <c r="AC325" s="11" t="str">
        <f t="shared" si="2"/>
        <v/>
      </c>
      <c r="AD325" s="11">
        <f t="shared" si="3"/>
        <v>0</v>
      </c>
      <c r="AE325" s="11">
        <f t="shared" si="4"/>
        <v>9</v>
      </c>
      <c r="AF325" s="11" t="str">
        <f t="shared" si="5"/>
        <v>S</v>
      </c>
      <c r="AG325" s="11" t="str">
        <f t="shared" si="6"/>
        <v>S-10</v>
      </c>
      <c r="AH325" s="21"/>
      <c r="AI325" s="21"/>
    </row>
    <row r="326" spans="1:35" ht="15.75" hidden="1" customHeight="1">
      <c r="A326" s="15">
        <v>324</v>
      </c>
      <c r="B326" s="16" t="s">
        <v>410</v>
      </c>
      <c r="C326" s="16" t="s">
        <v>401</v>
      </c>
      <c r="D326" s="17">
        <v>11</v>
      </c>
      <c r="E326" s="18"/>
      <c r="F326" s="18"/>
      <c r="G326" s="18"/>
      <c r="H326" s="19">
        <v>1</v>
      </c>
      <c r="I326" s="17">
        <v>1386</v>
      </c>
      <c r="J326" s="17">
        <v>1397</v>
      </c>
      <c r="K326" s="17">
        <v>11</v>
      </c>
      <c r="L326" s="17">
        <v>11</v>
      </c>
      <c r="M326" s="17">
        <v>0</v>
      </c>
      <c r="N326" s="17">
        <v>0</v>
      </c>
      <c r="O326" s="17">
        <v>0</v>
      </c>
      <c r="P326" s="17">
        <v>3</v>
      </c>
      <c r="Q326" s="17">
        <v>0</v>
      </c>
      <c r="R326" s="19"/>
      <c r="S326" s="20"/>
      <c r="T326" s="13">
        <f t="shared" si="0"/>
        <v>14</v>
      </c>
      <c r="U326" s="18">
        <f ca="1">IFERROR(__xludf.DUMMYFUNCTION("IFERROR(
  SUM(
    FILTER(
      Reporte!$E:$E, 
      REGEXMATCH(Reporte!$A:$A, ""(?i)(TE PAGÓ|PAGASTE)""), 
      Reporte!$H:$H &amp; """" = AG326 &amp; """"
    )
  ), 
  0
)"),14)</f>
        <v>14</v>
      </c>
      <c r="V326" s="18">
        <f ca="1">IFERROR(__xludf.DUMMYFUNCTION("IFERROR(
  SUM(
    FILTER(
      Efectivo!$C:$C, 
      Efectivo!$D:$D &amp; """" = AG326 &amp; """"
    )
  ), 
  0
)"),0)</f>
        <v>0</v>
      </c>
      <c r="W326" s="18" t="s">
        <v>35</v>
      </c>
      <c r="X326" s="18"/>
      <c r="Y326" s="18" t="s">
        <v>36</v>
      </c>
      <c r="Z326" s="18"/>
      <c r="AA326" s="18"/>
      <c r="AB326" s="18" t="str">
        <f t="shared" si="1"/>
        <v/>
      </c>
      <c r="AC326" s="18" t="str">
        <f t="shared" si="2"/>
        <v/>
      </c>
      <c r="AD326" s="11">
        <f t="shared" si="3"/>
        <v>0</v>
      </c>
      <c r="AE326" s="11">
        <f t="shared" si="4"/>
        <v>14</v>
      </c>
      <c r="AF326" s="18" t="str">
        <f t="shared" si="5"/>
        <v>S</v>
      </c>
      <c r="AG326" s="18" t="str">
        <f t="shared" si="6"/>
        <v>S-11</v>
      </c>
      <c r="AH326" s="14"/>
      <c r="AI326" s="14"/>
    </row>
    <row r="327" spans="1:35" ht="15.75" hidden="1" customHeight="1">
      <c r="A327" s="8">
        <v>325</v>
      </c>
      <c r="B327" s="9" t="s">
        <v>411</v>
      </c>
      <c r="C327" s="9" t="s">
        <v>401</v>
      </c>
      <c r="D327" s="10">
        <v>12</v>
      </c>
      <c r="E327" s="11"/>
      <c r="F327" s="11"/>
      <c r="G327" s="11"/>
      <c r="H327" s="12">
        <v>1</v>
      </c>
      <c r="I327" s="10">
        <v>65</v>
      </c>
      <c r="J327" s="10">
        <v>65</v>
      </c>
      <c r="K327" s="10">
        <v>5</v>
      </c>
      <c r="L327" s="10">
        <v>5</v>
      </c>
      <c r="M327" s="10">
        <v>0</v>
      </c>
      <c r="N327" s="10">
        <v>0</v>
      </c>
      <c r="O327" s="10">
        <v>0</v>
      </c>
      <c r="P327" s="10">
        <v>3</v>
      </c>
      <c r="Q327" s="10">
        <v>0</v>
      </c>
      <c r="R327" s="12"/>
      <c r="S327" s="13"/>
      <c r="T327" s="13">
        <f t="shared" si="0"/>
        <v>8</v>
      </c>
      <c r="U327" s="11">
        <f ca="1">IFERROR(__xludf.DUMMYFUNCTION("IFERROR(
  SUM(
    FILTER(
      Reporte!$E:$E, 
      REGEXMATCH(Reporte!$A:$A, ""(?i)(TE PAGÓ|PAGASTE)""), 
      Reporte!$H:$H &amp; """" = AG327 &amp; """"
    )
  ), 
  0
)"),0)</f>
        <v>0</v>
      </c>
      <c r="V327" s="11">
        <f ca="1">IFERROR(__xludf.DUMMYFUNCTION("IFERROR(
  SUM(
    FILTER(
      Efectivo!$C:$C, 
      Efectivo!$D:$D &amp; """" = AG327 &amp; """"
    )
  ), 
  0
)"),8)</f>
        <v>8</v>
      </c>
      <c r="W327" s="11" t="s">
        <v>35</v>
      </c>
      <c r="X327" s="11"/>
      <c r="Y327" s="11"/>
      <c r="Z327" s="11"/>
      <c r="AA327" s="11"/>
      <c r="AB327" s="11" t="str">
        <f t="shared" si="1"/>
        <v/>
      </c>
      <c r="AC327" s="11" t="str">
        <f t="shared" si="2"/>
        <v/>
      </c>
      <c r="AD327" s="11">
        <f t="shared" si="3"/>
        <v>8</v>
      </c>
      <c r="AE327" s="11">
        <f t="shared" si="4"/>
        <v>0</v>
      </c>
      <c r="AF327" s="11" t="str">
        <f t="shared" si="5"/>
        <v>S</v>
      </c>
      <c r="AG327" s="11" t="str">
        <f t="shared" si="6"/>
        <v>S-12</v>
      </c>
      <c r="AH327" s="21"/>
      <c r="AI327" s="21"/>
    </row>
    <row r="328" spans="1:35" ht="15.75" hidden="1" customHeight="1">
      <c r="A328" s="15">
        <v>326</v>
      </c>
      <c r="B328" s="16" t="s">
        <v>412</v>
      </c>
      <c r="C328" s="16" t="s">
        <v>401</v>
      </c>
      <c r="D328" s="17">
        <v>13</v>
      </c>
      <c r="E328" s="18"/>
      <c r="F328" s="18"/>
      <c r="G328" s="18"/>
      <c r="H328" s="19">
        <v>1</v>
      </c>
      <c r="I328" s="17">
        <v>4494</v>
      </c>
      <c r="J328" s="17">
        <v>4516</v>
      </c>
      <c r="K328" s="17">
        <v>22</v>
      </c>
      <c r="L328" s="17">
        <v>22</v>
      </c>
      <c r="M328" s="17">
        <v>0</v>
      </c>
      <c r="N328" s="17">
        <v>0</v>
      </c>
      <c r="O328" s="17">
        <v>0</v>
      </c>
      <c r="P328" s="17">
        <v>3</v>
      </c>
      <c r="Q328" s="17">
        <v>0</v>
      </c>
      <c r="R328" s="19"/>
      <c r="S328" s="20"/>
      <c r="T328" s="13">
        <f t="shared" si="0"/>
        <v>25</v>
      </c>
      <c r="U328" s="18">
        <f ca="1">IFERROR(__xludf.DUMMYFUNCTION("IFERROR(
  SUM(
    FILTER(
      Reporte!$E:$E, 
      REGEXMATCH(Reporte!$A:$A, ""(?i)(TE PAGÓ|PAGASTE)""), 
      Reporte!$H:$H &amp; """" = AG328 &amp; """"
    )
  ), 
  0
)"),0)</f>
        <v>0</v>
      </c>
      <c r="V328" s="18">
        <f ca="1">IFERROR(__xludf.DUMMYFUNCTION("IFERROR(
  SUM(
    FILTER(
      Efectivo!$C:$C, 
      Efectivo!$D:$D &amp; """" = AG328 &amp; """"
    )
  ), 
  0
)"),25)</f>
        <v>25</v>
      </c>
      <c r="W328" s="18" t="s">
        <v>35</v>
      </c>
      <c r="X328" s="18"/>
      <c r="Y328" s="18"/>
      <c r="Z328" s="18"/>
      <c r="AA328" s="18"/>
      <c r="AB328" s="18" t="str">
        <f t="shared" si="1"/>
        <v/>
      </c>
      <c r="AC328" s="18" t="str">
        <f t="shared" si="2"/>
        <v/>
      </c>
      <c r="AD328" s="11">
        <f t="shared" si="3"/>
        <v>25</v>
      </c>
      <c r="AE328" s="11">
        <f t="shared" si="4"/>
        <v>0</v>
      </c>
      <c r="AF328" s="18" t="str">
        <f t="shared" si="5"/>
        <v>S</v>
      </c>
      <c r="AG328" s="18" t="str">
        <f t="shared" si="6"/>
        <v>S-13</v>
      </c>
      <c r="AH328" s="14"/>
      <c r="AI328" s="14"/>
    </row>
    <row r="329" spans="1:35" ht="15.75" hidden="1" customHeight="1">
      <c r="A329" s="8">
        <v>327</v>
      </c>
      <c r="B329" s="9" t="s">
        <v>413</v>
      </c>
      <c r="C329" s="9" t="s">
        <v>401</v>
      </c>
      <c r="D329" s="10">
        <v>15</v>
      </c>
      <c r="E329" s="11"/>
      <c r="F329" s="11"/>
      <c r="G329" s="11"/>
      <c r="H329" s="12">
        <v>1</v>
      </c>
      <c r="I329" s="10">
        <v>1568</v>
      </c>
      <c r="J329" s="10">
        <v>1578</v>
      </c>
      <c r="K329" s="10">
        <v>10</v>
      </c>
      <c r="L329" s="10">
        <v>10</v>
      </c>
      <c r="M329" s="10">
        <v>0</v>
      </c>
      <c r="N329" s="10">
        <v>0</v>
      </c>
      <c r="O329" s="10">
        <v>0</v>
      </c>
      <c r="P329" s="10">
        <v>3</v>
      </c>
      <c r="Q329" s="10">
        <v>0</v>
      </c>
      <c r="R329" s="12"/>
      <c r="S329" s="13"/>
      <c r="T329" s="13">
        <f t="shared" si="0"/>
        <v>13</v>
      </c>
      <c r="U329" s="11">
        <f ca="1">IFERROR(__xludf.DUMMYFUNCTION("IFERROR(
  SUM(
    FILTER(
      Reporte!$E:$E, 
      REGEXMATCH(Reporte!$A:$A, ""(?i)(TE PAGÓ|PAGASTE)""), 
      Reporte!$H:$H &amp; """" = AG329 &amp; """"
    )
  ), 
  0
)"),13)</f>
        <v>13</v>
      </c>
      <c r="V329" s="11">
        <f ca="1">IFERROR(__xludf.DUMMYFUNCTION("IFERROR(
  SUM(
    FILTER(
      Efectivo!$C:$C, 
      Efectivo!$D:$D &amp; """" = AG329 &amp; """"
    )
  ), 
  0
)"),0)</f>
        <v>0</v>
      </c>
      <c r="W329" s="11" t="s">
        <v>35</v>
      </c>
      <c r="X329" s="11"/>
      <c r="Y329" s="11" t="s">
        <v>36</v>
      </c>
      <c r="Z329" s="11"/>
      <c r="AA329" s="11"/>
      <c r="AB329" s="11" t="str">
        <f t="shared" si="1"/>
        <v/>
      </c>
      <c r="AC329" s="11" t="str">
        <f t="shared" si="2"/>
        <v/>
      </c>
      <c r="AD329" s="11">
        <f t="shared" si="3"/>
        <v>0</v>
      </c>
      <c r="AE329" s="11">
        <f t="shared" si="4"/>
        <v>13</v>
      </c>
      <c r="AF329" s="11" t="str">
        <f t="shared" si="5"/>
        <v>S</v>
      </c>
      <c r="AG329" s="11" t="str">
        <f t="shared" si="6"/>
        <v>S-15</v>
      </c>
      <c r="AH329" s="21"/>
      <c r="AI329" s="21"/>
    </row>
    <row r="330" spans="1:35" ht="15.75" hidden="1" customHeight="1">
      <c r="A330" s="15">
        <v>328</v>
      </c>
      <c r="B330" s="16" t="s">
        <v>414</v>
      </c>
      <c r="C330" s="16" t="s">
        <v>415</v>
      </c>
      <c r="D330" s="17">
        <v>1</v>
      </c>
      <c r="E330" s="18"/>
      <c r="F330" s="18"/>
      <c r="G330" s="18"/>
      <c r="H330" s="19">
        <v>1</v>
      </c>
      <c r="I330" s="17">
        <v>2686</v>
      </c>
      <c r="J330" s="17">
        <v>2701</v>
      </c>
      <c r="K330" s="17">
        <v>15</v>
      </c>
      <c r="L330" s="17">
        <v>15</v>
      </c>
      <c r="M330" s="17">
        <v>0</v>
      </c>
      <c r="N330" s="17">
        <v>0</v>
      </c>
      <c r="O330" s="17">
        <v>0</v>
      </c>
      <c r="P330" s="17">
        <v>3</v>
      </c>
      <c r="Q330" s="17">
        <v>0</v>
      </c>
      <c r="R330" s="19"/>
      <c r="S330" s="20"/>
      <c r="T330" s="13">
        <f t="shared" si="0"/>
        <v>18</v>
      </c>
      <c r="U330" s="18">
        <f ca="1">IFERROR(__xludf.DUMMYFUNCTION("IFERROR(
  SUM(
    FILTER(
      Reporte!$E:$E, 
      REGEXMATCH(Reporte!$A:$A, ""(?i)(TE PAGÓ|PAGASTE)""), 
      Reporte!$H:$H &amp; """" = AG330 &amp; """"
    )
  ), 
  0
)"),18)</f>
        <v>18</v>
      </c>
      <c r="V330" s="18">
        <f ca="1">IFERROR(__xludf.DUMMYFUNCTION("IFERROR(
  SUM(
    FILTER(
      Efectivo!$C:$C, 
      Efectivo!$D:$D &amp; """" = AG330 &amp; """"
    )
  ), 
  0
)"),0)</f>
        <v>0</v>
      </c>
      <c r="W330" s="18" t="s">
        <v>35</v>
      </c>
      <c r="X330" s="18"/>
      <c r="Y330" s="18" t="s">
        <v>36</v>
      </c>
      <c r="Z330" s="18"/>
      <c r="AA330" s="18"/>
      <c r="AB330" s="18" t="str">
        <f t="shared" si="1"/>
        <v/>
      </c>
      <c r="AC330" s="18" t="str">
        <f t="shared" si="2"/>
        <v/>
      </c>
      <c r="AD330" s="11">
        <f t="shared" si="3"/>
        <v>0</v>
      </c>
      <c r="AE330" s="11">
        <f t="shared" si="4"/>
        <v>18</v>
      </c>
      <c r="AF330" s="18" t="str">
        <f t="shared" si="5"/>
        <v>T</v>
      </c>
      <c r="AG330" s="18" t="str">
        <f t="shared" si="6"/>
        <v>T-1</v>
      </c>
      <c r="AH330" s="14"/>
      <c r="AI330" s="14"/>
    </row>
    <row r="331" spans="1:35" ht="15.75" hidden="1" customHeight="1">
      <c r="A331" s="8">
        <v>329</v>
      </c>
      <c r="B331" s="9" t="s">
        <v>416</v>
      </c>
      <c r="C331" s="9" t="s">
        <v>415</v>
      </c>
      <c r="D331" s="10">
        <v>3</v>
      </c>
      <c r="E331" s="11"/>
      <c r="F331" s="11"/>
      <c r="G331" s="11"/>
      <c r="H331" s="12">
        <v>1</v>
      </c>
      <c r="I331" s="10">
        <v>178</v>
      </c>
      <c r="J331" s="10">
        <v>183</v>
      </c>
      <c r="K331" s="10">
        <v>5</v>
      </c>
      <c r="L331" s="10">
        <v>5</v>
      </c>
      <c r="M331" s="10">
        <v>0</v>
      </c>
      <c r="N331" s="10">
        <v>0</v>
      </c>
      <c r="O331" s="10">
        <v>0</v>
      </c>
      <c r="P331" s="10">
        <v>3</v>
      </c>
      <c r="Q331" s="10">
        <v>0</v>
      </c>
      <c r="R331" s="12"/>
      <c r="S331" s="13"/>
      <c r="T331" s="13">
        <f t="shared" si="0"/>
        <v>8</v>
      </c>
      <c r="U331" s="11">
        <f ca="1">IFERROR(__xludf.DUMMYFUNCTION("IFERROR(
  SUM(
    FILTER(
      Reporte!$E:$E, 
      REGEXMATCH(Reporte!$A:$A, ""(?i)(TE PAGÓ|PAGASTE)""), 
      Reporte!$H:$H &amp; """" = AG331 &amp; """"
    )
  ), 
  0
)"),8)</f>
        <v>8</v>
      </c>
      <c r="V331" s="11">
        <f ca="1">IFERROR(__xludf.DUMMYFUNCTION("IFERROR(
  SUM(
    FILTER(
      Efectivo!$C:$C, 
      Efectivo!$D:$D &amp; """" = AG331 &amp; """"
    )
  ), 
  0
)"),0)</f>
        <v>0</v>
      </c>
      <c r="W331" s="11" t="s">
        <v>35</v>
      </c>
      <c r="X331" s="11"/>
      <c r="Y331" s="11" t="s">
        <v>36</v>
      </c>
      <c r="Z331" s="11"/>
      <c r="AA331" s="11"/>
      <c r="AB331" s="11" t="str">
        <f t="shared" si="1"/>
        <v/>
      </c>
      <c r="AC331" s="11" t="str">
        <f t="shared" si="2"/>
        <v/>
      </c>
      <c r="AD331" s="11">
        <f t="shared" si="3"/>
        <v>0</v>
      </c>
      <c r="AE331" s="11">
        <f t="shared" si="4"/>
        <v>8</v>
      </c>
      <c r="AF331" s="11" t="str">
        <f t="shared" si="5"/>
        <v>T</v>
      </c>
      <c r="AG331" s="11" t="str">
        <f t="shared" si="6"/>
        <v>T-3</v>
      </c>
      <c r="AH331" s="21"/>
      <c r="AI331" s="21"/>
    </row>
    <row r="332" spans="1:35" ht="15.75" hidden="1" customHeight="1">
      <c r="A332" s="15">
        <v>330</v>
      </c>
      <c r="B332" s="16" t="s">
        <v>417</v>
      </c>
      <c r="C332" s="16" t="s">
        <v>415</v>
      </c>
      <c r="D332" s="17">
        <v>4</v>
      </c>
      <c r="E332" s="18"/>
      <c r="F332" s="18"/>
      <c r="G332" s="18"/>
      <c r="H332" s="19">
        <v>1</v>
      </c>
      <c r="I332" s="17">
        <v>1422</v>
      </c>
      <c r="J332" s="17">
        <v>1430</v>
      </c>
      <c r="K332" s="17">
        <v>8</v>
      </c>
      <c r="L332" s="17">
        <v>8</v>
      </c>
      <c r="M332" s="17">
        <v>10</v>
      </c>
      <c r="N332" s="17">
        <v>0</v>
      </c>
      <c r="O332" s="17">
        <v>0</v>
      </c>
      <c r="P332" s="17">
        <v>3</v>
      </c>
      <c r="Q332" s="17">
        <v>0</v>
      </c>
      <c r="R332" s="19"/>
      <c r="S332" s="20"/>
      <c r="T332" s="13">
        <f t="shared" si="0"/>
        <v>21</v>
      </c>
      <c r="U332" s="18">
        <f ca="1">IFERROR(__xludf.DUMMYFUNCTION("IFERROR(
  SUM(
    FILTER(
      Reporte!$E:$E, 
      REGEXMATCH(Reporte!$A:$A, ""(?i)(TE PAGÓ|PAGASTE)""), 
      Reporte!$H:$H &amp; """" = AG332 &amp; """"
    )
  ), 
  0
)"),21)</f>
        <v>21</v>
      </c>
      <c r="V332" s="18">
        <f ca="1">IFERROR(__xludf.DUMMYFUNCTION("IFERROR(
  SUM(
    FILTER(
      Efectivo!$C:$C, 
      Efectivo!$D:$D &amp; """" = AG332 &amp; """"
    )
  ), 
  0
)"),0)</f>
        <v>0</v>
      </c>
      <c r="W332" s="18" t="s">
        <v>35</v>
      </c>
      <c r="X332" s="18"/>
      <c r="Y332" s="18" t="s">
        <v>36</v>
      </c>
      <c r="Z332" s="18"/>
      <c r="AA332" s="18"/>
      <c r="AB332" s="18" t="str">
        <f t="shared" si="1"/>
        <v/>
      </c>
      <c r="AC332" s="18" t="str">
        <f t="shared" si="2"/>
        <v/>
      </c>
      <c r="AD332" s="11">
        <f t="shared" si="3"/>
        <v>0</v>
      </c>
      <c r="AE332" s="11">
        <f t="shared" si="4"/>
        <v>21</v>
      </c>
      <c r="AF332" s="18" t="str">
        <f t="shared" si="5"/>
        <v>T</v>
      </c>
      <c r="AG332" s="18" t="str">
        <f t="shared" si="6"/>
        <v>T-4</v>
      </c>
      <c r="AH332" s="14"/>
      <c r="AI332" s="14"/>
    </row>
    <row r="333" spans="1:35" ht="15.75" hidden="1" customHeight="1">
      <c r="A333" s="8">
        <v>331</v>
      </c>
      <c r="B333" s="9" t="s">
        <v>418</v>
      </c>
      <c r="C333" s="9" t="s">
        <v>415</v>
      </c>
      <c r="D333" s="10">
        <v>5</v>
      </c>
      <c r="E333" s="11"/>
      <c r="F333" s="11"/>
      <c r="G333" s="11"/>
      <c r="H333" s="12">
        <v>1</v>
      </c>
      <c r="I333" s="10">
        <v>372</v>
      </c>
      <c r="J333" s="10">
        <v>372</v>
      </c>
      <c r="K333" s="10">
        <v>5</v>
      </c>
      <c r="L333" s="10">
        <v>5</v>
      </c>
      <c r="M333" s="10">
        <v>0</v>
      </c>
      <c r="N333" s="10">
        <v>0</v>
      </c>
      <c r="O333" s="10">
        <v>0</v>
      </c>
      <c r="P333" s="10">
        <v>3</v>
      </c>
      <c r="Q333" s="10">
        <v>0</v>
      </c>
      <c r="R333" s="12"/>
      <c r="S333" s="13"/>
      <c r="T333" s="13">
        <f t="shared" si="0"/>
        <v>8</v>
      </c>
      <c r="U333" s="11">
        <f ca="1">IFERROR(__xludf.DUMMYFUNCTION("IFERROR(
  SUM(
    FILTER(
      Reporte!$E:$E, 
      REGEXMATCH(Reporte!$A:$A, ""(?i)(TE PAGÓ|PAGASTE)""), 
      Reporte!$H:$H &amp; """" = AG333 &amp; """"
    )
  ), 
  0
)"),0)</f>
        <v>0</v>
      </c>
      <c r="V333" s="11">
        <f ca="1">IFERROR(__xludf.DUMMYFUNCTION("IFERROR(
  SUM(
    FILTER(
      Efectivo!$C:$C, 
      Efectivo!$D:$D &amp; """" = AG333 &amp; """"
    )
  ), 
  0
)"),8)</f>
        <v>8</v>
      </c>
      <c r="W333" s="11" t="s">
        <v>35</v>
      </c>
      <c r="X333" s="11"/>
      <c r="Y333" s="11"/>
      <c r="Z333" s="11"/>
      <c r="AA333" s="11"/>
      <c r="AB333" s="11" t="str">
        <f t="shared" si="1"/>
        <v/>
      </c>
      <c r="AC333" s="11" t="str">
        <f t="shared" si="2"/>
        <v/>
      </c>
      <c r="AD333" s="11">
        <f t="shared" si="3"/>
        <v>8</v>
      </c>
      <c r="AE333" s="11">
        <f t="shared" si="4"/>
        <v>0</v>
      </c>
      <c r="AF333" s="11" t="str">
        <f t="shared" si="5"/>
        <v>T</v>
      </c>
      <c r="AG333" s="11" t="str">
        <f t="shared" si="6"/>
        <v>T-5</v>
      </c>
      <c r="AH333" s="21"/>
      <c r="AI333" s="21"/>
    </row>
    <row r="334" spans="1:35" ht="15.75" hidden="1" customHeight="1">
      <c r="A334" s="15">
        <v>332</v>
      </c>
      <c r="B334" s="16" t="s">
        <v>419</v>
      </c>
      <c r="C334" s="16" t="s">
        <v>415</v>
      </c>
      <c r="D334" s="17">
        <v>6</v>
      </c>
      <c r="E334" s="18"/>
      <c r="F334" s="18"/>
      <c r="G334" s="18"/>
      <c r="H334" s="19">
        <v>1</v>
      </c>
      <c r="I334" s="17">
        <v>155</v>
      </c>
      <c r="J334" s="17">
        <v>195</v>
      </c>
      <c r="K334" s="17">
        <v>40</v>
      </c>
      <c r="L334" s="17">
        <v>40</v>
      </c>
      <c r="M334" s="17">
        <v>0</v>
      </c>
      <c r="N334" s="17">
        <v>0</v>
      </c>
      <c r="O334" s="17">
        <v>0</v>
      </c>
      <c r="P334" s="17">
        <v>3</v>
      </c>
      <c r="Q334" s="17">
        <v>0</v>
      </c>
      <c r="R334" s="19"/>
      <c r="S334" s="20"/>
      <c r="T334" s="13">
        <f t="shared" si="0"/>
        <v>43</v>
      </c>
      <c r="U334" s="18">
        <f ca="1">IFERROR(__xludf.DUMMYFUNCTION("IFERROR(
  SUM(
    FILTER(
      Reporte!$E:$E, 
      REGEXMATCH(Reporte!$A:$A, ""(?i)(TE PAGÓ|PAGASTE)""), 
      Reporte!$H:$H &amp; """" = AG334 &amp; """"
    )
  ), 
  0
)"),43)</f>
        <v>43</v>
      </c>
      <c r="V334" s="18">
        <f ca="1">IFERROR(__xludf.DUMMYFUNCTION("IFERROR(
  SUM(
    FILTER(
      Efectivo!$C:$C, 
      Efectivo!$D:$D &amp; """" = AG334 &amp; """"
    )
  ), 
  0
)"),0)</f>
        <v>0</v>
      </c>
      <c r="W334" s="18" t="s">
        <v>35</v>
      </c>
      <c r="X334" s="18"/>
      <c r="Y334" s="18" t="s">
        <v>36</v>
      </c>
      <c r="Z334" s="18"/>
      <c r="AA334" s="18"/>
      <c r="AB334" s="18" t="str">
        <f t="shared" si="1"/>
        <v/>
      </c>
      <c r="AC334" s="18" t="str">
        <f t="shared" si="2"/>
        <v/>
      </c>
      <c r="AD334" s="11">
        <f t="shared" si="3"/>
        <v>0</v>
      </c>
      <c r="AE334" s="11">
        <f t="shared" si="4"/>
        <v>43</v>
      </c>
      <c r="AF334" s="18" t="str">
        <f t="shared" si="5"/>
        <v>T</v>
      </c>
      <c r="AG334" s="18" t="str">
        <f t="shared" si="6"/>
        <v>T-6</v>
      </c>
      <c r="AH334" s="14"/>
      <c r="AI334" s="14"/>
    </row>
    <row r="335" spans="1:35" ht="15.75" hidden="1" customHeight="1">
      <c r="A335" s="8">
        <v>333</v>
      </c>
      <c r="B335" s="9" t="s">
        <v>420</v>
      </c>
      <c r="C335" s="9" t="s">
        <v>415</v>
      </c>
      <c r="D335" s="10">
        <v>7</v>
      </c>
      <c r="E335" s="11"/>
      <c r="F335" s="11"/>
      <c r="G335" s="11"/>
      <c r="H335" s="12">
        <v>1</v>
      </c>
      <c r="I335" s="10">
        <v>17</v>
      </c>
      <c r="J335" s="10">
        <v>35</v>
      </c>
      <c r="K335" s="10">
        <v>18</v>
      </c>
      <c r="L335" s="10">
        <v>18</v>
      </c>
      <c r="M335" s="10">
        <v>18</v>
      </c>
      <c r="N335" s="10">
        <v>0</v>
      </c>
      <c r="O335" s="10">
        <v>25</v>
      </c>
      <c r="P335" s="10">
        <v>3</v>
      </c>
      <c r="Q335" s="10">
        <v>0</v>
      </c>
      <c r="R335" s="12"/>
      <c r="S335" s="13"/>
      <c r="T335" s="13">
        <f t="shared" si="0"/>
        <v>64</v>
      </c>
      <c r="U335" s="11">
        <f ca="1">IFERROR(__xludf.DUMMYFUNCTION("IFERROR(
  SUM(
    FILTER(
      Reporte!$E:$E, 
      REGEXMATCH(Reporte!$A:$A, ""(?i)(TE PAGÓ|PAGASTE)""), 
      Reporte!$H:$H &amp; """" = AG335 &amp; """"
    )
  ), 
  0
)"),64)</f>
        <v>64</v>
      </c>
      <c r="V335" s="11">
        <f ca="1">IFERROR(__xludf.DUMMYFUNCTION("IFERROR(
  SUM(
    FILTER(
      Efectivo!$C:$C, 
      Efectivo!$D:$D &amp; """" = AG335 &amp; """"
    )
  ), 
  0
)"),0)</f>
        <v>0</v>
      </c>
      <c r="W335" s="11" t="s">
        <v>35</v>
      </c>
      <c r="X335" s="11"/>
      <c r="Y335" s="11" t="s">
        <v>36</v>
      </c>
      <c r="Z335" s="11"/>
      <c r="AA335" s="11"/>
      <c r="AB335" s="11" t="str">
        <f t="shared" si="1"/>
        <v/>
      </c>
      <c r="AC335" s="11"/>
      <c r="AD335" s="11">
        <f t="shared" si="3"/>
        <v>0</v>
      </c>
      <c r="AE335" s="11">
        <f t="shared" si="4"/>
        <v>64</v>
      </c>
      <c r="AF335" s="11" t="str">
        <f t="shared" si="5"/>
        <v>T</v>
      </c>
      <c r="AG335" s="11" t="str">
        <f t="shared" si="6"/>
        <v>T-7</v>
      </c>
      <c r="AH335" s="21"/>
      <c r="AI335" s="21"/>
    </row>
    <row r="336" spans="1:35" ht="15.75" hidden="1" customHeight="1">
      <c r="A336" s="15">
        <v>334</v>
      </c>
      <c r="B336" s="16" t="s">
        <v>421</v>
      </c>
      <c r="C336" s="16" t="s">
        <v>415</v>
      </c>
      <c r="D336" s="17">
        <v>8</v>
      </c>
      <c r="E336" s="18"/>
      <c r="F336" s="18"/>
      <c r="G336" s="18"/>
      <c r="H336" s="19">
        <v>1</v>
      </c>
      <c r="I336" s="17">
        <v>14</v>
      </c>
      <c r="J336" s="17">
        <v>28</v>
      </c>
      <c r="K336" s="17">
        <v>14</v>
      </c>
      <c r="L336" s="17">
        <v>14</v>
      </c>
      <c r="M336" s="17">
        <v>0</v>
      </c>
      <c r="N336" s="17">
        <v>0</v>
      </c>
      <c r="O336" s="17">
        <v>25</v>
      </c>
      <c r="P336" s="17">
        <v>3</v>
      </c>
      <c r="Q336" s="17">
        <v>0</v>
      </c>
      <c r="R336" s="19"/>
      <c r="S336" s="20"/>
      <c r="T336" s="13">
        <f t="shared" si="0"/>
        <v>42</v>
      </c>
      <c r="U336" s="18">
        <f ca="1">IFERROR(__xludf.DUMMYFUNCTION("IFERROR(
  SUM(
    FILTER(
      Reporte!$E:$E, 
      REGEXMATCH(Reporte!$A:$A, ""(?i)(TE PAGÓ|PAGASTE)""), 
      Reporte!$H:$H &amp; """" = AG336 &amp; """"
    )
  ), 
  0
)"),42)</f>
        <v>42</v>
      </c>
      <c r="V336" s="18">
        <f ca="1">IFERROR(__xludf.DUMMYFUNCTION("IFERROR(
  SUM(
    FILTER(
      Efectivo!$C:$C, 
      Efectivo!$D:$D &amp; """" = AG336 &amp; """"
    )
  ), 
  0
)"),0)</f>
        <v>0</v>
      </c>
      <c r="W336" s="18" t="s">
        <v>35</v>
      </c>
      <c r="X336" s="18"/>
      <c r="Y336" s="18" t="s">
        <v>36</v>
      </c>
      <c r="Z336" s="18"/>
      <c r="AA336" s="18" t="s">
        <v>224</v>
      </c>
      <c r="AB336" s="18" t="str">
        <f t="shared" si="1"/>
        <v/>
      </c>
      <c r="AC336" s="18" t="str">
        <f t="shared" ref="AC336:AC341" si="7">IF(
   OR(
     AND(Q336&gt;0, OR(W336="C", W336="c"), S336&lt;0),
     AND(Q336&gt;0, W336="")
   ),
   "CORTE",
   ""
)</f>
        <v/>
      </c>
      <c r="AD336" s="11">
        <f t="shared" si="3"/>
        <v>0</v>
      </c>
      <c r="AE336" s="11">
        <f t="shared" si="4"/>
        <v>42</v>
      </c>
      <c r="AF336" s="18" t="str">
        <f t="shared" si="5"/>
        <v>T</v>
      </c>
      <c r="AG336" s="18" t="str">
        <f t="shared" si="6"/>
        <v>T-8</v>
      </c>
      <c r="AH336" s="14"/>
      <c r="AI336" s="14"/>
    </row>
    <row r="337" spans="1:35" ht="15.75" hidden="1" customHeight="1">
      <c r="A337" s="8">
        <v>335</v>
      </c>
      <c r="B337" s="9" t="s">
        <v>422</v>
      </c>
      <c r="C337" s="9" t="s">
        <v>415</v>
      </c>
      <c r="D337" s="10">
        <v>9</v>
      </c>
      <c r="E337" s="11"/>
      <c r="F337" s="11"/>
      <c r="G337" s="11"/>
      <c r="H337" s="12">
        <v>1</v>
      </c>
      <c r="I337" s="10">
        <v>596</v>
      </c>
      <c r="J337" s="10">
        <v>601</v>
      </c>
      <c r="K337" s="10">
        <v>5</v>
      </c>
      <c r="L337" s="10">
        <v>5</v>
      </c>
      <c r="M337" s="10">
        <v>168</v>
      </c>
      <c r="N337" s="10">
        <v>40</v>
      </c>
      <c r="O337" s="10">
        <v>0</v>
      </c>
      <c r="P337" s="10">
        <v>3</v>
      </c>
      <c r="Q337" s="10">
        <v>70</v>
      </c>
      <c r="R337" s="12"/>
      <c r="S337" s="13"/>
      <c r="T337" s="13">
        <f t="shared" si="0"/>
        <v>286</v>
      </c>
      <c r="U337" s="11">
        <f ca="1">IFERROR(__xludf.DUMMYFUNCTION("IFERROR(
  SUM(
    FILTER(
      Reporte!$E:$E, 
      REGEXMATCH(Reporte!$A:$A, ""(?i)(TE PAGÓ|PAGASTE)""), 
      Reporte!$H:$H &amp; """" = AG337 &amp; """"
    )
  ), 
  0
)"),0)</f>
        <v>0</v>
      </c>
      <c r="V337" s="11">
        <f ca="1">IFERROR(__xludf.DUMMYFUNCTION("IFERROR(
  SUM(
    FILTER(
      Efectivo!$C:$C, 
      Efectivo!$D:$D &amp; """" = AG337 &amp; """"
    )
  ), 
  0
)"),0)</f>
        <v>0</v>
      </c>
      <c r="W337" s="11"/>
      <c r="X337" s="11"/>
      <c r="Y337" s="11"/>
      <c r="Z337" s="11"/>
      <c r="AA337" s="11" t="s">
        <v>224</v>
      </c>
      <c r="AB337" s="11" t="str">
        <f t="shared" si="1"/>
        <v>CORTE</v>
      </c>
      <c r="AC337" s="11" t="str">
        <f t="shared" si="7"/>
        <v>CORTE</v>
      </c>
      <c r="AD337" s="11">
        <f t="shared" si="3"/>
        <v>0</v>
      </c>
      <c r="AE337" s="11">
        <f t="shared" si="4"/>
        <v>0</v>
      </c>
      <c r="AF337" s="11" t="str">
        <f t="shared" si="5"/>
        <v>T</v>
      </c>
      <c r="AG337" s="11" t="str">
        <f t="shared" si="6"/>
        <v>T-9</v>
      </c>
      <c r="AH337" s="21"/>
      <c r="AI337" s="21"/>
    </row>
    <row r="338" spans="1:35" ht="15.75" hidden="1" customHeight="1">
      <c r="A338" s="15">
        <v>336</v>
      </c>
      <c r="B338" s="16" t="s">
        <v>423</v>
      </c>
      <c r="C338" s="16" t="s">
        <v>415</v>
      </c>
      <c r="D338" s="17">
        <v>10</v>
      </c>
      <c r="E338" s="18"/>
      <c r="F338" s="18"/>
      <c r="G338" s="18"/>
      <c r="H338" s="19">
        <v>1</v>
      </c>
      <c r="I338" s="17">
        <v>214</v>
      </c>
      <c r="J338" s="17">
        <v>237</v>
      </c>
      <c r="K338" s="17">
        <v>23</v>
      </c>
      <c r="L338" s="17">
        <v>23</v>
      </c>
      <c r="M338" s="17">
        <v>0</v>
      </c>
      <c r="N338" s="17">
        <v>0</v>
      </c>
      <c r="O338" s="17">
        <v>0</v>
      </c>
      <c r="P338" s="17">
        <v>3</v>
      </c>
      <c r="Q338" s="17">
        <v>0</v>
      </c>
      <c r="R338" s="19"/>
      <c r="S338" s="20"/>
      <c r="T338" s="13">
        <f t="shared" si="0"/>
        <v>26</v>
      </c>
      <c r="U338" s="18">
        <f ca="1">IFERROR(__xludf.DUMMYFUNCTION("IFERROR(
  SUM(
    FILTER(
      Reporte!$E:$E, 
      REGEXMATCH(Reporte!$A:$A, ""(?i)(TE PAGÓ|PAGASTE)""), 
      Reporte!$H:$H &amp; """" = AG338 &amp; """"
    )
  ), 
  0
)"),26)</f>
        <v>26</v>
      </c>
      <c r="V338" s="18">
        <f ca="1">IFERROR(__xludf.DUMMYFUNCTION("IFERROR(
  SUM(
    FILTER(
      Efectivo!$C:$C, 
      Efectivo!$D:$D &amp; """" = AG338 &amp; """"
    )
  ), 
  0
)"),0)</f>
        <v>0</v>
      </c>
      <c r="W338" s="18" t="s">
        <v>35</v>
      </c>
      <c r="X338" s="18"/>
      <c r="Y338" s="18" t="s">
        <v>36</v>
      </c>
      <c r="Z338" s="18"/>
      <c r="AA338" s="18"/>
      <c r="AB338" s="18" t="str">
        <f t="shared" si="1"/>
        <v/>
      </c>
      <c r="AC338" s="18" t="str">
        <f t="shared" si="7"/>
        <v/>
      </c>
      <c r="AD338" s="11">
        <f t="shared" si="3"/>
        <v>0</v>
      </c>
      <c r="AE338" s="11">
        <f t="shared" si="4"/>
        <v>26</v>
      </c>
      <c r="AF338" s="18" t="str">
        <f t="shared" si="5"/>
        <v>T</v>
      </c>
      <c r="AG338" s="18" t="str">
        <f t="shared" si="6"/>
        <v>T-10</v>
      </c>
      <c r="AH338" s="14"/>
      <c r="AI338" s="14"/>
    </row>
    <row r="339" spans="1:35" ht="15.75" hidden="1" customHeight="1">
      <c r="A339" s="8">
        <v>337</v>
      </c>
      <c r="B339" s="9" t="s">
        <v>424</v>
      </c>
      <c r="C339" s="9" t="s">
        <v>415</v>
      </c>
      <c r="D339" s="10">
        <v>11</v>
      </c>
      <c r="E339" s="11"/>
      <c r="F339" s="11"/>
      <c r="G339" s="11"/>
      <c r="H339" s="12">
        <v>1</v>
      </c>
      <c r="I339" s="10">
        <v>502</v>
      </c>
      <c r="J339" s="10">
        <v>507</v>
      </c>
      <c r="K339" s="10">
        <v>5</v>
      </c>
      <c r="L339" s="10">
        <v>5</v>
      </c>
      <c r="M339" s="10">
        <v>0</v>
      </c>
      <c r="N339" s="10">
        <v>0</v>
      </c>
      <c r="O339" s="10">
        <v>0</v>
      </c>
      <c r="P339" s="10">
        <v>3</v>
      </c>
      <c r="Q339" s="10">
        <v>0</v>
      </c>
      <c r="R339" s="12"/>
      <c r="S339" s="13"/>
      <c r="T339" s="13">
        <f t="shared" si="0"/>
        <v>8</v>
      </c>
      <c r="U339" s="11">
        <f ca="1">IFERROR(__xludf.DUMMYFUNCTION("IFERROR(
  SUM(
    FILTER(
      Reporte!$E:$E, 
      REGEXMATCH(Reporte!$A:$A, ""(?i)(TE PAGÓ|PAGASTE)""), 
      Reporte!$H:$H &amp; """" = AG339 &amp; """"
    )
  ), 
  0
)"),8)</f>
        <v>8</v>
      </c>
      <c r="V339" s="11">
        <f ca="1">IFERROR(__xludf.DUMMYFUNCTION("IFERROR(
  SUM(
    FILTER(
      Efectivo!$C:$C, 
      Efectivo!$D:$D &amp; """" = AG339 &amp; """"
    )
  ), 
  0
)"),0)</f>
        <v>0</v>
      </c>
      <c r="W339" s="11" t="s">
        <v>35</v>
      </c>
      <c r="X339" s="11"/>
      <c r="Y339" s="11" t="s">
        <v>36</v>
      </c>
      <c r="Z339" s="11"/>
      <c r="AA339" s="11"/>
      <c r="AB339" s="11" t="str">
        <f t="shared" si="1"/>
        <v/>
      </c>
      <c r="AC339" s="11" t="str">
        <f t="shared" si="7"/>
        <v/>
      </c>
      <c r="AD339" s="11">
        <f t="shared" si="3"/>
        <v>0</v>
      </c>
      <c r="AE339" s="11">
        <f t="shared" si="4"/>
        <v>8</v>
      </c>
      <c r="AF339" s="11" t="str">
        <f t="shared" si="5"/>
        <v>T</v>
      </c>
      <c r="AG339" s="11" t="str">
        <f t="shared" si="6"/>
        <v>T-11</v>
      </c>
      <c r="AH339" s="21"/>
      <c r="AI339" s="21"/>
    </row>
    <row r="340" spans="1:35" ht="15.75" hidden="1" customHeight="1">
      <c r="A340" s="15">
        <v>338</v>
      </c>
      <c r="B340" s="16" t="s">
        <v>425</v>
      </c>
      <c r="C340" s="16" t="s">
        <v>415</v>
      </c>
      <c r="D340" s="17">
        <v>13</v>
      </c>
      <c r="E340" s="18"/>
      <c r="F340" s="18"/>
      <c r="G340" s="18"/>
      <c r="H340" s="19">
        <v>1</v>
      </c>
      <c r="I340" s="17">
        <v>30</v>
      </c>
      <c r="J340" s="17">
        <v>60</v>
      </c>
      <c r="K340" s="17">
        <v>10</v>
      </c>
      <c r="L340" s="17">
        <v>13.5</v>
      </c>
      <c r="M340" s="17">
        <v>0</v>
      </c>
      <c r="N340" s="17">
        <v>0</v>
      </c>
      <c r="O340" s="17">
        <v>0</v>
      </c>
      <c r="P340" s="17">
        <v>3</v>
      </c>
      <c r="Q340" s="17">
        <v>0</v>
      </c>
      <c r="R340" s="19"/>
      <c r="S340" s="20"/>
      <c r="T340" s="13">
        <f t="shared" si="0"/>
        <v>16.5</v>
      </c>
      <c r="U340" s="18">
        <f ca="1">IFERROR(__xludf.DUMMYFUNCTION("IFERROR(
  SUM(
    FILTER(
      Reporte!$E:$E, 
      REGEXMATCH(Reporte!$A:$A, ""(?i)(TE PAGÓ|PAGASTE)""), 
      Reporte!$H:$H &amp; """" = AG340 &amp; """"
    )
  ), 
  0
)"),16.5)</f>
        <v>16.5</v>
      </c>
      <c r="V340" s="18">
        <f ca="1">IFERROR(__xludf.DUMMYFUNCTION("IFERROR(
  SUM(
    FILTER(
      Efectivo!$C:$C, 
      Efectivo!$D:$D &amp; """" = AG340 &amp; """"
    )
  ), 
  0
)"),0)</f>
        <v>0</v>
      </c>
      <c r="W340" s="18" t="s">
        <v>35</v>
      </c>
      <c r="X340" s="18"/>
      <c r="Y340" s="18" t="s">
        <v>36</v>
      </c>
      <c r="Z340" s="18"/>
      <c r="AA340" s="18"/>
      <c r="AB340" s="18" t="str">
        <f t="shared" si="1"/>
        <v/>
      </c>
      <c r="AC340" s="18" t="str">
        <f t="shared" si="7"/>
        <v/>
      </c>
      <c r="AD340" s="11">
        <f t="shared" si="3"/>
        <v>0</v>
      </c>
      <c r="AE340" s="11">
        <f t="shared" si="4"/>
        <v>16.5</v>
      </c>
      <c r="AF340" s="18" t="str">
        <f t="shared" si="5"/>
        <v>T</v>
      </c>
      <c r="AG340" s="18" t="str">
        <f t="shared" si="6"/>
        <v>T-13</v>
      </c>
      <c r="AH340" s="14"/>
      <c r="AI340" s="14"/>
    </row>
    <row r="341" spans="1:35" ht="15.75" hidden="1" customHeight="1">
      <c r="A341" s="8">
        <v>339</v>
      </c>
      <c r="B341" s="9" t="s">
        <v>426</v>
      </c>
      <c r="C341" s="9" t="s">
        <v>415</v>
      </c>
      <c r="D341" s="10">
        <v>14</v>
      </c>
      <c r="E341" s="11"/>
      <c r="F341" s="11"/>
      <c r="G341" s="11"/>
      <c r="H341" s="12">
        <v>1</v>
      </c>
      <c r="I341" s="10">
        <v>13</v>
      </c>
      <c r="J341" s="10">
        <v>23</v>
      </c>
      <c r="K341" s="10">
        <v>10</v>
      </c>
      <c r="L341" s="10">
        <v>10</v>
      </c>
      <c r="M341" s="10">
        <v>16</v>
      </c>
      <c r="N341" s="10"/>
      <c r="O341" s="10">
        <v>25</v>
      </c>
      <c r="P341" s="10">
        <v>3</v>
      </c>
      <c r="Q341" s="10">
        <v>0</v>
      </c>
      <c r="R341" s="12"/>
      <c r="S341" s="13"/>
      <c r="T341" s="13">
        <f t="shared" si="0"/>
        <v>54</v>
      </c>
      <c r="U341" s="11">
        <f ca="1">IFERROR(__xludf.DUMMYFUNCTION("IFERROR(
  SUM(
    FILTER(
      Reporte!$E:$E, 
      REGEXMATCH(Reporte!$A:$A, ""(?i)(TE PAGÓ|PAGASTE)""), 
      Reporte!$H:$H &amp; """" = AG341 &amp; """"
    )
  ), 
  0
)"),0)</f>
        <v>0</v>
      </c>
      <c r="V341" s="11">
        <f ca="1">IFERROR(__xludf.DUMMYFUNCTION("IFERROR(
  SUM(
    FILTER(
      Efectivo!$C:$C, 
      Efectivo!$D:$D &amp; """" = AG341 &amp; """"
    )
  ), 
  0
)"),54)</f>
        <v>54</v>
      </c>
      <c r="W341" s="11" t="s">
        <v>35</v>
      </c>
      <c r="X341" s="11"/>
      <c r="Y341" s="11"/>
      <c r="Z341" s="11"/>
      <c r="AA341" s="11"/>
      <c r="AB341" s="11" t="str">
        <f t="shared" si="1"/>
        <v/>
      </c>
      <c r="AC341" s="11" t="str">
        <f t="shared" si="7"/>
        <v/>
      </c>
      <c r="AD341" s="11">
        <f t="shared" si="3"/>
        <v>54</v>
      </c>
      <c r="AE341" s="11">
        <f t="shared" si="4"/>
        <v>0</v>
      </c>
      <c r="AF341" s="11" t="str">
        <f t="shared" si="5"/>
        <v>T</v>
      </c>
      <c r="AG341" s="11" t="str">
        <f t="shared" si="6"/>
        <v>T-14</v>
      </c>
      <c r="AH341" s="21"/>
      <c r="AI341" s="21"/>
    </row>
    <row r="342" spans="1:35" ht="15.75" hidden="1" customHeight="1">
      <c r="A342" s="15">
        <v>340</v>
      </c>
      <c r="B342" s="16" t="s">
        <v>427</v>
      </c>
      <c r="C342" s="16" t="s">
        <v>415</v>
      </c>
      <c r="D342" s="17">
        <v>15</v>
      </c>
      <c r="E342" s="18"/>
      <c r="F342" s="18"/>
      <c r="G342" s="18"/>
      <c r="H342" s="19">
        <v>1</v>
      </c>
      <c r="I342" s="17">
        <v>366</v>
      </c>
      <c r="J342" s="17">
        <v>369</v>
      </c>
      <c r="K342" s="17">
        <v>5</v>
      </c>
      <c r="L342" s="17">
        <v>5</v>
      </c>
      <c r="M342" s="17">
        <v>0</v>
      </c>
      <c r="N342" s="17">
        <v>0</v>
      </c>
      <c r="O342" s="17">
        <v>0</v>
      </c>
      <c r="P342" s="17">
        <v>3</v>
      </c>
      <c r="Q342" s="17">
        <v>0</v>
      </c>
      <c r="R342" s="19"/>
      <c r="S342" s="20"/>
      <c r="T342" s="13">
        <f t="shared" si="0"/>
        <v>8</v>
      </c>
      <c r="U342" s="18">
        <f ca="1">IFERROR(__xludf.DUMMYFUNCTION("IFERROR(
  SUM(
    FILTER(
      Reporte!$E:$E, 
      REGEXMATCH(Reporte!$A:$A, ""(?i)(TE PAGÓ|PAGASTE)""), 
      Reporte!$H:$H &amp; """" = AG342 &amp; """"
    )
  ), 
  0
)"),8)</f>
        <v>8</v>
      </c>
      <c r="V342" s="18">
        <f ca="1">IFERROR(__xludf.DUMMYFUNCTION("IFERROR(
  SUM(
    FILTER(
      Efectivo!$C:$C, 
      Efectivo!$D:$D &amp; """" = AG342 &amp; """"
    )
  ), 
  0
)"),0)</f>
        <v>0</v>
      </c>
      <c r="W342" s="18" t="s">
        <v>35</v>
      </c>
      <c r="X342" s="18"/>
      <c r="Y342" s="18" t="s">
        <v>36</v>
      </c>
      <c r="Z342" s="18"/>
      <c r="AA342" s="18"/>
      <c r="AB342" s="18" t="str">
        <f t="shared" si="1"/>
        <v/>
      </c>
      <c r="AC342" s="18"/>
      <c r="AD342" s="11">
        <f t="shared" si="3"/>
        <v>0</v>
      </c>
      <c r="AE342" s="11">
        <f t="shared" si="4"/>
        <v>8</v>
      </c>
      <c r="AF342" s="18" t="str">
        <f t="shared" si="5"/>
        <v>T</v>
      </c>
      <c r="AG342" s="18" t="str">
        <f t="shared" si="6"/>
        <v>T-15</v>
      </c>
      <c r="AH342" s="14"/>
      <c r="AI342" s="14"/>
    </row>
    <row r="343" spans="1:35" ht="15.75" hidden="1" customHeight="1">
      <c r="A343" s="8">
        <v>341</v>
      </c>
      <c r="B343" s="9" t="s">
        <v>428</v>
      </c>
      <c r="C343" s="9" t="s">
        <v>415</v>
      </c>
      <c r="D343" s="10">
        <v>16</v>
      </c>
      <c r="E343" s="11"/>
      <c r="F343" s="11"/>
      <c r="G343" s="11"/>
      <c r="H343" s="12">
        <v>1</v>
      </c>
      <c r="I343" s="10">
        <v>124</v>
      </c>
      <c r="J343" s="10">
        <v>144</v>
      </c>
      <c r="K343" s="10">
        <v>20</v>
      </c>
      <c r="L343" s="10">
        <v>20</v>
      </c>
      <c r="M343" s="10">
        <v>0</v>
      </c>
      <c r="N343" s="10">
        <v>0</v>
      </c>
      <c r="O343" s="10">
        <v>0</v>
      </c>
      <c r="P343" s="10">
        <v>3</v>
      </c>
      <c r="Q343" s="10">
        <v>0</v>
      </c>
      <c r="R343" s="12"/>
      <c r="S343" s="13"/>
      <c r="T343" s="13">
        <f t="shared" si="0"/>
        <v>23</v>
      </c>
      <c r="U343" s="11">
        <f ca="1">IFERROR(__xludf.DUMMYFUNCTION("IFERROR(
  SUM(
    FILTER(
      Reporte!$E:$E, 
      REGEXMATCH(Reporte!$A:$A, ""(?i)(TE PAGÓ|PAGASTE)""), 
      Reporte!$H:$H &amp; """" = AG343 &amp; """"
    )
  ), 
  0
)"),23)</f>
        <v>23</v>
      </c>
      <c r="V343" s="11">
        <f ca="1">IFERROR(__xludf.DUMMYFUNCTION("IFERROR(
  SUM(
    FILTER(
      Efectivo!$C:$C, 
      Efectivo!$D:$D &amp; """" = AG343 &amp; """"
    )
  ), 
  0
)"),0)</f>
        <v>0</v>
      </c>
      <c r="W343" s="11" t="s">
        <v>35</v>
      </c>
      <c r="X343" s="11"/>
      <c r="Y343" s="11" t="s">
        <v>36</v>
      </c>
      <c r="Z343" s="11"/>
      <c r="AA343" s="11"/>
      <c r="AB343" s="11" t="str">
        <f t="shared" si="1"/>
        <v/>
      </c>
      <c r="AC343" s="11" t="str">
        <f t="shared" ref="AC343:AC394" si="8">IF(
   OR(
     AND(Q343&gt;0, OR(W343="C", W343="c"), S343&lt;0),
     AND(Q343&gt;0, W343="")
   ),
   "CORTE",
   ""
)</f>
        <v/>
      </c>
      <c r="AD343" s="11">
        <f t="shared" si="3"/>
        <v>0</v>
      </c>
      <c r="AE343" s="11">
        <f t="shared" si="4"/>
        <v>23</v>
      </c>
      <c r="AF343" s="11" t="str">
        <f t="shared" si="5"/>
        <v>T</v>
      </c>
      <c r="AG343" s="11" t="str">
        <f t="shared" si="6"/>
        <v>T-16</v>
      </c>
      <c r="AH343" s="21"/>
      <c r="AI343" s="21"/>
    </row>
    <row r="344" spans="1:35" ht="15.75" hidden="1" customHeight="1">
      <c r="A344" s="15">
        <v>342</v>
      </c>
      <c r="B344" s="16" t="s">
        <v>429</v>
      </c>
      <c r="C344" s="16" t="s">
        <v>415</v>
      </c>
      <c r="D344" s="17">
        <v>17</v>
      </c>
      <c r="E344" s="18"/>
      <c r="F344" s="18"/>
      <c r="G344" s="18"/>
      <c r="H344" s="19">
        <v>1</v>
      </c>
      <c r="I344" s="17">
        <v>2403</v>
      </c>
      <c r="J344" s="17">
        <v>2403</v>
      </c>
      <c r="K344" s="17">
        <v>5</v>
      </c>
      <c r="L344" s="17">
        <v>5</v>
      </c>
      <c r="M344" s="17">
        <v>160</v>
      </c>
      <c r="N344" s="17">
        <v>40</v>
      </c>
      <c r="O344" s="17">
        <v>0</v>
      </c>
      <c r="P344" s="17">
        <v>3</v>
      </c>
      <c r="Q344" s="17">
        <v>70</v>
      </c>
      <c r="R344" s="19"/>
      <c r="S344" s="20"/>
      <c r="T344" s="13">
        <f t="shared" si="0"/>
        <v>278</v>
      </c>
      <c r="U344" s="18">
        <f ca="1">IFERROR(__xludf.DUMMYFUNCTION("IFERROR(
  SUM(
    FILTER(
      Reporte!$E:$E, 
      REGEXMATCH(Reporte!$A:$A, ""(?i)(TE PAGÓ|PAGASTE)""), 
      Reporte!$H:$H &amp; """" = AG344 &amp; """"
    )
  ), 
  0
)"),0)</f>
        <v>0</v>
      </c>
      <c r="V344" s="18">
        <f ca="1">IFERROR(__xludf.DUMMYFUNCTION("IFERROR(
  SUM(
    FILTER(
      Efectivo!$C:$C, 
      Efectivo!$D:$D &amp; """" = AG344 &amp; """"
    )
  ), 
  0
)"),0)</f>
        <v>0</v>
      </c>
      <c r="W344" s="18"/>
      <c r="X344" s="18"/>
      <c r="Y344" s="18"/>
      <c r="Z344" s="18"/>
      <c r="AA344" s="18" t="s">
        <v>224</v>
      </c>
      <c r="AB344" s="18" t="str">
        <f t="shared" si="1"/>
        <v>CORTE</v>
      </c>
      <c r="AC344" s="18" t="str">
        <f t="shared" si="8"/>
        <v>CORTE</v>
      </c>
      <c r="AD344" s="11">
        <f t="shared" si="3"/>
        <v>0</v>
      </c>
      <c r="AE344" s="11">
        <f t="shared" si="4"/>
        <v>0</v>
      </c>
      <c r="AF344" s="18" t="str">
        <f t="shared" si="5"/>
        <v>T</v>
      </c>
      <c r="AG344" s="18" t="str">
        <f t="shared" si="6"/>
        <v>T-17</v>
      </c>
      <c r="AH344" s="14"/>
      <c r="AI344" s="14"/>
    </row>
    <row r="345" spans="1:35" ht="15.75" hidden="1" customHeight="1">
      <c r="A345" s="8">
        <v>343</v>
      </c>
      <c r="B345" s="9" t="s">
        <v>430</v>
      </c>
      <c r="C345" s="9" t="s">
        <v>415</v>
      </c>
      <c r="D345" s="10">
        <v>18</v>
      </c>
      <c r="E345" s="11"/>
      <c r="F345" s="11"/>
      <c r="G345" s="11"/>
      <c r="H345" s="12">
        <v>1</v>
      </c>
      <c r="I345" s="10">
        <v>1771</v>
      </c>
      <c r="J345" s="10">
        <v>1787</v>
      </c>
      <c r="K345" s="10">
        <v>16</v>
      </c>
      <c r="L345" s="10">
        <v>16</v>
      </c>
      <c r="M345" s="10">
        <v>17</v>
      </c>
      <c r="N345" s="10">
        <v>0</v>
      </c>
      <c r="O345" s="10">
        <v>0</v>
      </c>
      <c r="P345" s="10">
        <v>3</v>
      </c>
      <c r="Q345" s="10">
        <v>0</v>
      </c>
      <c r="R345" s="12"/>
      <c r="S345" s="13"/>
      <c r="T345" s="13">
        <f t="shared" si="0"/>
        <v>36</v>
      </c>
      <c r="U345" s="11">
        <f ca="1">IFERROR(__xludf.DUMMYFUNCTION("IFERROR(
  SUM(
    FILTER(
      Reporte!$E:$E, 
      REGEXMATCH(Reporte!$A:$A, ""(?i)(TE PAGÓ|PAGASTE)""), 
      Reporte!$H:$H &amp; """" = AG345 &amp; """"
    )
  ), 
  0
)"),36)</f>
        <v>36</v>
      </c>
      <c r="V345" s="11">
        <f ca="1">IFERROR(__xludf.DUMMYFUNCTION("IFERROR(
  SUM(
    FILTER(
      Efectivo!$C:$C, 
      Efectivo!$D:$D &amp; """" = AG345 &amp; """"
    )
  ), 
  0
)"),0)</f>
        <v>0</v>
      </c>
      <c r="W345" s="11" t="s">
        <v>35</v>
      </c>
      <c r="X345" s="11"/>
      <c r="Y345" s="11" t="s">
        <v>36</v>
      </c>
      <c r="Z345" s="11"/>
      <c r="AA345" s="11"/>
      <c r="AB345" s="11" t="str">
        <f t="shared" si="1"/>
        <v/>
      </c>
      <c r="AC345" s="11" t="str">
        <f t="shared" si="8"/>
        <v/>
      </c>
      <c r="AD345" s="11">
        <f t="shared" si="3"/>
        <v>0</v>
      </c>
      <c r="AE345" s="11">
        <f t="shared" si="4"/>
        <v>36</v>
      </c>
      <c r="AF345" s="11" t="str">
        <f t="shared" si="5"/>
        <v>T</v>
      </c>
      <c r="AG345" s="11" t="str">
        <f t="shared" si="6"/>
        <v>T-18</v>
      </c>
      <c r="AH345" s="21"/>
      <c r="AI345" s="21"/>
    </row>
    <row r="346" spans="1:35" ht="15.75" hidden="1" customHeight="1">
      <c r="A346" s="15">
        <v>344</v>
      </c>
      <c r="B346" s="16" t="s">
        <v>431</v>
      </c>
      <c r="C346" s="16" t="s">
        <v>415</v>
      </c>
      <c r="D346" s="17">
        <v>19</v>
      </c>
      <c r="E346" s="18"/>
      <c r="F346" s="18"/>
      <c r="G346" s="18"/>
      <c r="H346" s="19">
        <v>1</v>
      </c>
      <c r="I346" s="17">
        <v>417</v>
      </c>
      <c r="J346" s="17">
        <v>431</v>
      </c>
      <c r="K346" s="17">
        <v>14</v>
      </c>
      <c r="L346" s="17">
        <v>14</v>
      </c>
      <c r="M346" s="17">
        <v>0</v>
      </c>
      <c r="N346" s="17">
        <v>0</v>
      </c>
      <c r="O346" s="17">
        <v>0</v>
      </c>
      <c r="P346" s="17">
        <v>3</v>
      </c>
      <c r="Q346" s="17">
        <v>0</v>
      </c>
      <c r="R346" s="19"/>
      <c r="S346" s="20"/>
      <c r="T346" s="13">
        <f t="shared" si="0"/>
        <v>17</v>
      </c>
      <c r="U346" s="18">
        <f ca="1">IFERROR(__xludf.DUMMYFUNCTION("IFERROR(
  SUM(
    FILTER(
      Reporte!$E:$E, 
      REGEXMATCH(Reporte!$A:$A, ""(?i)(TE PAGÓ|PAGASTE)""), 
      Reporte!$H:$H &amp; """" = AG346 &amp; """"
    )
  ), 
  0
)"),17)</f>
        <v>17</v>
      </c>
      <c r="V346" s="18">
        <f ca="1">IFERROR(__xludf.DUMMYFUNCTION("IFERROR(
  SUM(
    FILTER(
      Efectivo!$C:$C, 
      Efectivo!$D:$D &amp; """" = AG346 &amp; """"
    )
  ), 
  0
)"),0)</f>
        <v>0</v>
      </c>
      <c r="W346" s="18" t="s">
        <v>35</v>
      </c>
      <c r="X346" s="18"/>
      <c r="Y346" s="18" t="s">
        <v>36</v>
      </c>
      <c r="Z346" s="18"/>
      <c r="AA346" s="18"/>
      <c r="AB346" s="18" t="str">
        <f t="shared" si="1"/>
        <v/>
      </c>
      <c r="AC346" s="18" t="str">
        <f t="shared" si="8"/>
        <v/>
      </c>
      <c r="AD346" s="11">
        <f t="shared" si="3"/>
        <v>0</v>
      </c>
      <c r="AE346" s="11">
        <f t="shared" si="4"/>
        <v>17</v>
      </c>
      <c r="AF346" s="18" t="str">
        <f t="shared" si="5"/>
        <v>T</v>
      </c>
      <c r="AG346" s="18" t="str">
        <f t="shared" si="6"/>
        <v>T-19</v>
      </c>
      <c r="AH346" s="14"/>
      <c r="AI346" s="14"/>
    </row>
    <row r="347" spans="1:35" ht="15.75" hidden="1" customHeight="1">
      <c r="A347" s="8">
        <v>345</v>
      </c>
      <c r="B347" s="9" t="s">
        <v>432</v>
      </c>
      <c r="C347" s="9" t="s">
        <v>415</v>
      </c>
      <c r="D347" s="10">
        <v>20</v>
      </c>
      <c r="E347" s="11"/>
      <c r="F347" s="11"/>
      <c r="G347" s="11"/>
      <c r="H347" s="12">
        <v>1</v>
      </c>
      <c r="I347" s="10">
        <v>436</v>
      </c>
      <c r="J347" s="10">
        <v>443</v>
      </c>
      <c r="K347" s="10">
        <v>7</v>
      </c>
      <c r="L347" s="10">
        <v>7</v>
      </c>
      <c r="M347" s="10">
        <v>0</v>
      </c>
      <c r="N347" s="10">
        <v>0</v>
      </c>
      <c r="O347" s="10">
        <v>0</v>
      </c>
      <c r="P347" s="10">
        <v>3</v>
      </c>
      <c r="Q347" s="10">
        <v>0</v>
      </c>
      <c r="R347" s="12"/>
      <c r="S347" s="13"/>
      <c r="T347" s="13">
        <f t="shared" si="0"/>
        <v>10</v>
      </c>
      <c r="U347" s="11">
        <f ca="1">IFERROR(__xludf.DUMMYFUNCTION("IFERROR(
  SUM(
    FILTER(
      Reporte!$E:$E, 
      REGEXMATCH(Reporte!$A:$A, ""(?i)(TE PAGÓ|PAGASTE)""), 
      Reporte!$H:$H &amp; """" = AG347 &amp; """"
    )
  ), 
  0
)"),10)</f>
        <v>10</v>
      </c>
      <c r="V347" s="11">
        <f ca="1">IFERROR(__xludf.DUMMYFUNCTION("IFERROR(
  SUM(
    FILTER(
      Efectivo!$C:$C, 
      Efectivo!$D:$D &amp; """" = AG347 &amp; """"
    )
  ), 
  0
)"),0)</f>
        <v>0</v>
      </c>
      <c r="W347" s="11" t="s">
        <v>35</v>
      </c>
      <c r="X347" s="11"/>
      <c r="Y347" s="11" t="s">
        <v>36</v>
      </c>
      <c r="Z347" s="11"/>
      <c r="AA347" s="11"/>
      <c r="AB347" s="11" t="str">
        <f t="shared" si="1"/>
        <v/>
      </c>
      <c r="AC347" s="11" t="str">
        <f t="shared" si="8"/>
        <v/>
      </c>
      <c r="AD347" s="11">
        <f t="shared" si="3"/>
        <v>0</v>
      </c>
      <c r="AE347" s="11">
        <f t="shared" si="4"/>
        <v>10</v>
      </c>
      <c r="AF347" s="11" t="str">
        <f t="shared" si="5"/>
        <v>T</v>
      </c>
      <c r="AG347" s="11" t="str">
        <f t="shared" si="6"/>
        <v>T-20</v>
      </c>
      <c r="AH347" s="21"/>
      <c r="AI347" s="21"/>
    </row>
    <row r="348" spans="1:35" ht="15.75" hidden="1" customHeight="1">
      <c r="A348" s="15">
        <v>346</v>
      </c>
      <c r="B348" s="16" t="s">
        <v>433</v>
      </c>
      <c r="C348" s="16" t="s">
        <v>434</v>
      </c>
      <c r="D348" s="17">
        <v>1</v>
      </c>
      <c r="E348" s="18"/>
      <c r="F348" s="18"/>
      <c r="G348" s="18"/>
      <c r="H348" s="19">
        <v>1</v>
      </c>
      <c r="I348" s="17">
        <v>2180</v>
      </c>
      <c r="J348" s="17">
        <v>2186</v>
      </c>
      <c r="K348" s="17">
        <v>6</v>
      </c>
      <c r="L348" s="17">
        <v>6</v>
      </c>
      <c r="M348" s="17">
        <v>0</v>
      </c>
      <c r="N348" s="17">
        <v>0</v>
      </c>
      <c r="O348" s="17">
        <v>0</v>
      </c>
      <c r="P348" s="17">
        <v>3</v>
      </c>
      <c r="Q348" s="17">
        <v>0</v>
      </c>
      <c r="R348" s="19"/>
      <c r="S348" s="20"/>
      <c r="T348" s="13">
        <f t="shared" si="0"/>
        <v>9</v>
      </c>
      <c r="U348" s="18">
        <f ca="1">IFERROR(__xludf.DUMMYFUNCTION("IFERROR(
  SUM(
    FILTER(
      Reporte!$E:$E, 
      REGEXMATCH(Reporte!$A:$A, ""(?i)(TE PAGÓ|PAGASTE)""), 
      Reporte!$H:$H &amp; """" = AG348 &amp; """"
    )
  ), 
  0
)"),9)</f>
        <v>9</v>
      </c>
      <c r="V348" s="18">
        <f ca="1">IFERROR(__xludf.DUMMYFUNCTION("IFERROR(
  SUM(
    FILTER(
      Efectivo!$C:$C, 
      Efectivo!$D:$D &amp; """" = AG348 &amp; """"
    )
  ), 
  0
)"),0)</f>
        <v>0</v>
      </c>
      <c r="W348" s="18" t="s">
        <v>35</v>
      </c>
      <c r="X348" s="18"/>
      <c r="Y348" s="18" t="s">
        <v>36</v>
      </c>
      <c r="Z348" s="18"/>
      <c r="AA348" s="18"/>
      <c r="AB348" s="18" t="str">
        <f t="shared" si="1"/>
        <v/>
      </c>
      <c r="AC348" s="18" t="str">
        <f t="shared" si="8"/>
        <v/>
      </c>
      <c r="AD348" s="11">
        <f t="shared" si="3"/>
        <v>0</v>
      </c>
      <c r="AE348" s="11">
        <f t="shared" si="4"/>
        <v>9</v>
      </c>
      <c r="AF348" s="18" t="str">
        <f t="shared" si="5"/>
        <v>U</v>
      </c>
      <c r="AG348" s="18" t="str">
        <f t="shared" si="6"/>
        <v>U-1</v>
      </c>
      <c r="AH348" s="14"/>
      <c r="AI348" s="14"/>
    </row>
    <row r="349" spans="1:35" ht="15.75" hidden="1" customHeight="1">
      <c r="A349" s="8">
        <v>347</v>
      </c>
      <c r="B349" s="9" t="s">
        <v>435</v>
      </c>
      <c r="C349" s="9" t="s">
        <v>434</v>
      </c>
      <c r="D349" s="10">
        <v>2</v>
      </c>
      <c r="E349" s="11"/>
      <c r="F349" s="11"/>
      <c r="G349" s="11"/>
      <c r="H349" s="12">
        <v>1</v>
      </c>
      <c r="I349" s="10">
        <v>383</v>
      </c>
      <c r="J349" s="10">
        <v>389</v>
      </c>
      <c r="K349" s="10">
        <v>6</v>
      </c>
      <c r="L349" s="10">
        <v>6</v>
      </c>
      <c r="M349" s="10">
        <v>0</v>
      </c>
      <c r="N349" s="10">
        <v>0</v>
      </c>
      <c r="O349" s="10">
        <v>0</v>
      </c>
      <c r="P349" s="10">
        <v>3</v>
      </c>
      <c r="Q349" s="10">
        <v>0</v>
      </c>
      <c r="R349" s="12"/>
      <c r="S349" s="13"/>
      <c r="T349" s="13">
        <f t="shared" si="0"/>
        <v>9</v>
      </c>
      <c r="U349" s="11">
        <f ca="1">IFERROR(__xludf.DUMMYFUNCTION("IFERROR(
  SUM(
    FILTER(
      Reporte!$E:$E, 
      REGEXMATCH(Reporte!$A:$A, ""(?i)(TE PAGÓ|PAGASTE)""), 
      Reporte!$H:$H &amp; """" = AG349 &amp; """"
    )
  ), 
  0
)"),0)</f>
        <v>0</v>
      </c>
      <c r="V349" s="11">
        <f ca="1">IFERROR(__xludf.DUMMYFUNCTION("IFERROR(
  SUM(
    FILTER(
      Efectivo!$C:$C, 
      Efectivo!$D:$D &amp; """" = AG349 &amp; """"
    )
  ), 
  0
)"),9)</f>
        <v>9</v>
      </c>
      <c r="W349" s="11" t="s">
        <v>35</v>
      </c>
      <c r="X349" s="11"/>
      <c r="Y349" s="11"/>
      <c r="Z349" s="11"/>
      <c r="AA349" s="11"/>
      <c r="AB349" s="11" t="str">
        <f t="shared" si="1"/>
        <v/>
      </c>
      <c r="AC349" s="11" t="str">
        <f t="shared" si="8"/>
        <v/>
      </c>
      <c r="AD349" s="11">
        <f t="shared" si="3"/>
        <v>9</v>
      </c>
      <c r="AE349" s="11">
        <f t="shared" si="4"/>
        <v>0</v>
      </c>
      <c r="AF349" s="11" t="str">
        <f t="shared" si="5"/>
        <v>U</v>
      </c>
      <c r="AG349" s="11" t="str">
        <f t="shared" si="6"/>
        <v>U-2</v>
      </c>
      <c r="AH349" s="21"/>
      <c r="AI349" s="21"/>
    </row>
    <row r="350" spans="1:35" ht="15.75" hidden="1" customHeight="1">
      <c r="A350" s="15">
        <v>348</v>
      </c>
      <c r="B350" s="16" t="s">
        <v>436</v>
      </c>
      <c r="C350" s="16" t="s">
        <v>434</v>
      </c>
      <c r="D350" s="17">
        <v>3</v>
      </c>
      <c r="E350" s="18"/>
      <c r="F350" s="18"/>
      <c r="G350" s="18"/>
      <c r="H350" s="19">
        <v>1</v>
      </c>
      <c r="I350" s="17">
        <v>1032</v>
      </c>
      <c r="J350" s="17">
        <v>1042</v>
      </c>
      <c r="K350" s="17">
        <v>10</v>
      </c>
      <c r="L350" s="17">
        <v>10</v>
      </c>
      <c r="M350" s="17">
        <v>0</v>
      </c>
      <c r="N350" s="17">
        <v>0</v>
      </c>
      <c r="O350" s="17">
        <v>0</v>
      </c>
      <c r="P350" s="17">
        <v>3</v>
      </c>
      <c r="Q350" s="17">
        <v>0</v>
      </c>
      <c r="R350" s="19"/>
      <c r="S350" s="20"/>
      <c r="T350" s="13">
        <f t="shared" si="0"/>
        <v>13</v>
      </c>
      <c r="U350" s="18">
        <f ca="1">IFERROR(__xludf.DUMMYFUNCTION("IFERROR(
  SUM(
    FILTER(
      Reporte!$E:$E, 
      REGEXMATCH(Reporte!$A:$A, ""(?i)(TE PAGÓ|PAGASTE)""), 
      Reporte!$H:$H &amp; """" = AG350 &amp; """"
    )
  ), 
  0
)"),13)</f>
        <v>13</v>
      </c>
      <c r="V350" s="18">
        <f ca="1">IFERROR(__xludf.DUMMYFUNCTION("IFERROR(
  SUM(
    FILTER(
      Efectivo!$C:$C, 
      Efectivo!$D:$D &amp; """" = AG350 &amp; """"
    )
  ), 
  0
)"),0)</f>
        <v>0</v>
      </c>
      <c r="W350" s="18" t="s">
        <v>35</v>
      </c>
      <c r="X350" s="18"/>
      <c r="Y350" s="18" t="s">
        <v>36</v>
      </c>
      <c r="Z350" s="18"/>
      <c r="AA350" s="18"/>
      <c r="AB350" s="18" t="str">
        <f t="shared" si="1"/>
        <v/>
      </c>
      <c r="AC350" s="18" t="str">
        <f t="shared" si="8"/>
        <v/>
      </c>
      <c r="AD350" s="11">
        <f t="shared" si="3"/>
        <v>0</v>
      </c>
      <c r="AE350" s="11">
        <f t="shared" si="4"/>
        <v>13</v>
      </c>
      <c r="AF350" s="18" t="str">
        <f t="shared" si="5"/>
        <v>U</v>
      </c>
      <c r="AG350" s="18" t="str">
        <f t="shared" si="6"/>
        <v>U-3</v>
      </c>
      <c r="AH350" s="14"/>
      <c r="AI350" s="14"/>
    </row>
    <row r="351" spans="1:35" ht="15.75" hidden="1" customHeight="1">
      <c r="A351" s="8">
        <v>349</v>
      </c>
      <c r="B351" s="9" t="s">
        <v>437</v>
      </c>
      <c r="C351" s="9" t="s">
        <v>434</v>
      </c>
      <c r="D351" s="10">
        <v>4</v>
      </c>
      <c r="E351" s="11"/>
      <c r="F351" s="11"/>
      <c r="G351" s="11"/>
      <c r="H351" s="12">
        <v>1</v>
      </c>
      <c r="I351" s="10">
        <v>7</v>
      </c>
      <c r="J351" s="10">
        <v>7</v>
      </c>
      <c r="K351" s="10">
        <v>5</v>
      </c>
      <c r="L351" s="10">
        <v>5</v>
      </c>
      <c r="M351" s="10">
        <v>0</v>
      </c>
      <c r="N351" s="10">
        <v>0</v>
      </c>
      <c r="O351" s="10">
        <v>0</v>
      </c>
      <c r="P351" s="10">
        <v>3</v>
      </c>
      <c r="Q351" s="10">
        <v>0</v>
      </c>
      <c r="R351" s="12"/>
      <c r="S351" s="13"/>
      <c r="T351" s="13">
        <f t="shared" si="0"/>
        <v>8</v>
      </c>
      <c r="U351" s="11">
        <f ca="1">IFERROR(__xludf.DUMMYFUNCTION("IFERROR(
  SUM(
    FILTER(
      Reporte!$E:$E, 
      REGEXMATCH(Reporte!$A:$A, ""(?i)(TE PAGÓ|PAGASTE)""), 
      Reporte!$H:$H &amp; """" = AG351 &amp; """"
    )
  ), 
  0
)"),8)</f>
        <v>8</v>
      </c>
      <c r="V351" s="11">
        <f ca="1">IFERROR(__xludf.DUMMYFUNCTION("IFERROR(
  SUM(
    FILTER(
      Efectivo!$C:$C, 
      Efectivo!$D:$D &amp; """" = AG351 &amp; """"
    )
  ), 
  0
)"),0)</f>
        <v>0</v>
      </c>
      <c r="W351" s="11" t="s">
        <v>35</v>
      </c>
      <c r="X351" s="11"/>
      <c r="Y351" s="11" t="s">
        <v>36</v>
      </c>
      <c r="Z351" s="11"/>
      <c r="AA351" s="11"/>
      <c r="AB351" s="11" t="str">
        <f t="shared" si="1"/>
        <v/>
      </c>
      <c r="AC351" s="11" t="str">
        <f t="shared" si="8"/>
        <v/>
      </c>
      <c r="AD351" s="11">
        <f t="shared" si="3"/>
        <v>0</v>
      </c>
      <c r="AE351" s="11">
        <f t="shared" si="4"/>
        <v>8</v>
      </c>
      <c r="AF351" s="11" t="str">
        <f t="shared" si="5"/>
        <v>U</v>
      </c>
      <c r="AG351" s="11" t="str">
        <f t="shared" si="6"/>
        <v>U-4</v>
      </c>
      <c r="AH351" s="21"/>
      <c r="AI351" s="21"/>
    </row>
    <row r="352" spans="1:35" ht="15.75" hidden="1" customHeight="1">
      <c r="A352" s="15">
        <v>350</v>
      </c>
      <c r="B352" s="16" t="s">
        <v>438</v>
      </c>
      <c r="C352" s="16" t="s">
        <v>434</v>
      </c>
      <c r="D352" s="17">
        <v>5</v>
      </c>
      <c r="E352" s="18"/>
      <c r="F352" s="18"/>
      <c r="G352" s="18"/>
      <c r="H352" s="19">
        <v>1</v>
      </c>
      <c r="I352" s="17">
        <v>7195</v>
      </c>
      <c r="J352" s="17">
        <v>7199</v>
      </c>
      <c r="K352" s="17">
        <v>5</v>
      </c>
      <c r="L352" s="17">
        <v>5</v>
      </c>
      <c r="M352" s="17">
        <v>0</v>
      </c>
      <c r="N352" s="17">
        <v>0</v>
      </c>
      <c r="O352" s="17">
        <v>0</v>
      </c>
      <c r="P352" s="17">
        <v>3</v>
      </c>
      <c r="Q352" s="17">
        <v>0</v>
      </c>
      <c r="R352" s="19"/>
      <c r="S352" s="20"/>
      <c r="T352" s="13">
        <f t="shared" si="0"/>
        <v>8</v>
      </c>
      <c r="U352" s="18">
        <f ca="1">IFERROR(__xludf.DUMMYFUNCTION("IFERROR(
  SUM(
    FILTER(
      Reporte!$E:$E, 
      REGEXMATCH(Reporte!$A:$A, ""(?i)(TE PAGÓ|PAGASTE)""), 
      Reporte!$H:$H &amp; """" = AG352 &amp; """"
    )
  ), 
  0
)"),8)</f>
        <v>8</v>
      </c>
      <c r="V352" s="18">
        <f ca="1">IFERROR(__xludf.DUMMYFUNCTION("IFERROR(
  SUM(
    FILTER(
      Efectivo!$C:$C, 
      Efectivo!$D:$D &amp; """" = AG352 &amp; """"
    )
  ), 
  0
)"),0)</f>
        <v>0</v>
      </c>
      <c r="W352" s="18" t="s">
        <v>35</v>
      </c>
      <c r="X352" s="18"/>
      <c r="Y352" s="18" t="s">
        <v>36</v>
      </c>
      <c r="Z352" s="18"/>
      <c r="AA352" s="18"/>
      <c r="AB352" s="18" t="str">
        <f t="shared" si="1"/>
        <v/>
      </c>
      <c r="AC352" s="18" t="str">
        <f t="shared" si="8"/>
        <v/>
      </c>
      <c r="AD352" s="11">
        <f t="shared" si="3"/>
        <v>0</v>
      </c>
      <c r="AE352" s="11">
        <f t="shared" si="4"/>
        <v>8</v>
      </c>
      <c r="AF352" s="18" t="str">
        <f t="shared" si="5"/>
        <v>U</v>
      </c>
      <c r="AG352" s="18" t="str">
        <f t="shared" si="6"/>
        <v>U-5</v>
      </c>
      <c r="AH352" s="14"/>
      <c r="AI352" s="14"/>
    </row>
    <row r="353" spans="1:35" ht="15.75" hidden="1" customHeight="1">
      <c r="A353" s="8">
        <v>351</v>
      </c>
      <c r="B353" s="9" t="s">
        <v>439</v>
      </c>
      <c r="C353" s="9" t="s">
        <v>434</v>
      </c>
      <c r="D353" s="10">
        <v>6</v>
      </c>
      <c r="E353" s="11"/>
      <c r="F353" s="11"/>
      <c r="G353" s="11"/>
      <c r="H353" s="12">
        <v>1</v>
      </c>
      <c r="I353" s="10">
        <v>1539</v>
      </c>
      <c r="J353" s="10">
        <v>1548</v>
      </c>
      <c r="K353" s="10">
        <v>9</v>
      </c>
      <c r="L353" s="10">
        <v>9</v>
      </c>
      <c r="M353" s="10">
        <v>0</v>
      </c>
      <c r="N353" s="10">
        <v>0</v>
      </c>
      <c r="O353" s="10">
        <v>0</v>
      </c>
      <c r="P353" s="10">
        <v>3</v>
      </c>
      <c r="Q353" s="10">
        <v>0</v>
      </c>
      <c r="R353" s="12"/>
      <c r="S353" s="13"/>
      <c r="T353" s="13">
        <f t="shared" si="0"/>
        <v>12</v>
      </c>
      <c r="U353" s="11">
        <f ca="1">IFERROR(__xludf.DUMMYFUNCTION("IFERROR(
  SUM(
    FILTER(
      Reporte!$E:$E, 
      REGEXMATCH(Reporte!$A:$A, ""(?i)(TE PAGÓ|PAGASTE)""), 
      Reporte!$H:$H &amp; """" = AG353 &amp; """"
    )
  ), 
  0
)"),12)</f>
        <v>12</v>
      </c>
      <c r="V353" s="11">
        <f ca="1">IFERROR(__xludf.DUMMYFUNCTION("IFERROR(
  SUM(
    FILTER(
      Efectivo!$C:$C, 
      Efectivo!$D:$D &amp; """" = AG353 &amp; """"
    )
  ), 
  0
)"),0)</f>
        <v>0</v>
      </c>
      <c r="W353" s="11" t="s">
        <v>35</v>
      </c>
      <c r="X353" s="11"/>
      <c r="Y353" s="11" t="s">
        <v>36</v>
      </c>
      <c r="Z353" s="11"/>
      <c r="AA353" s="11"/>
      <c r="AB353" s="11" t="str">
        <f t="shared" si="1"/>
        <v/>
      </c>
      <c r="AC353" s="11" t="str">
        <f t="shared" si="8"/>
        <v/>
      </c>
      <c r="AD353" s="11">
        <f t="shared" si="3"/>
        <v>0</v>
      </c>
      <c r="AE353" s="11">
        <f t="shared" si="4"/>
        <v>12</v>
      </c>
      <c r="AF353" s="11" t="str">
        <f t="shared" si="5"/>
        <v>U</v>
      </c>
      <c r="AG353" s="11" t="str">
        <f t="shared" si="6"/>
        <v>U-6</v>
      </c>
      <c r="AH353" s="21"/>
      <c r="AI353" s="21"/>
    </row>
    <row r="354" spans="1:35" ht="15.75" hidden="1" customHeight="1">
      <c r="A354" s="15">
        <v>352</v>
      </c>
      <c r="B354" s="16" t="s">
        <v>440</v>
      </c>
      <c r="C354" s="16" t="s">
        <v>441</v>
      </c>
      <c r="D354" s="17">
        <v>1</v>
      </c>
      <c r="E354" s="18"/>
      <c r="F354" s="18"/>
      <c r="G354" s="18"/>
      <c r="H354" s="19">
        <v>1</v>
      </c>
      <c r="I354" s="17">
        <v>1148</v>
      </c>
      <c r="J354" s="17">
        <v>1149</v>
      </c>
      <c r="K354" s="17">
        <v>5</v>
      </c>
      <c r="L354" s="17">
        <v>5</v>
      </c>
      <c r="M354" s="17">
        <v>8</v>
      </c>
      <c r="N354" s="17">
        <v>0</v>
      </c>
      <c r="O354" s="17">
        <v>0</v>
      </c>
      <c r="P354" s="17">
        <v>3</v>
      </c>
      <c r="Q354" s="17">
        <v>0</v>
      </c>
      <c r="R354" s="19"/>
      <c r="S354" s="20"/>
      <c r="T354" s="13">
        <f t="shared" si="0"/>
        <v>16</v>
      </c>
      <c r="U354" s="18">
        <f ca="1">IFERROR(__xludf.DUMMYFUNCTION("IFERROR(
  SUM(
    FILTER(
      Reporte!$E:$E, 
      REGEXMATCH(Reporte!$A:$A, ""(?i)(TE PAGÓ|PAGASTE)""), 
      Reporte!$H:$H &amp; """" = AG354 &amp; """"
    )
  ), 
  0
)"),16)</f>
        <v>16</v>
      </c>
      <c r="V354" s="18">
        <f ca="1">IFERROR(__xludf.DUMMYFUNCTION("IFERROR(
  SUM(
    FILTER(
      Efectivo!$C:$C, 
      Efectivo!$D:$D &amp; """" = AG354 &amp; """"
    )
  ), 
  0
)"),0)</f>
        <v>0</v>
      </c>
      <c r="W354" s="18" t="s">
        <v>35</v>
      </c>
      <c r="X354" s="18"/>
      <c r="Y354" s="18" t="s">
        <v>36</v>
      </c>
      <c r="Z354" s="18"/>
      <c r="AA354" s="18"/>
      <c r="AB354" s="18" t="str">
        <f t="shared" si="1"/>
        <v/>
      </c>
      <c r="AC354" s="18" t="str">
        <f t="shared" si="8"/>
        <v/>
      </c>
      <c r="AD354" s="11">
        <f t="shared" si="3"/>
        <v>0</v>
      </c>
      <c r="AE354" s="11">
        <f t="shared" si="4"/>
        <v>16</v>
      </c>
      <c r="AF354" s="18" t="str">
        <f t="shared" si="5"/>
        <v>V</v>
      </c>
      <c r="AG354" s="18" t="str">
        <f t="shared" si="6"/>
        <v>V-1</v>
      </c>
      <c r="AH354" s="14"/>
      <c r="AI354" s="14"/>
    </row>
    <row r="355" spans="1:35" ht="15.75" hidden="1" customHeight="1">
      <c r="A355" s="8">
        <v>353</v>
      </c>
      <c r="B355" s="9" t="s">
        <v>442</v>
      </c>
      <c r="C355" s="9" t="s">
        <v>441</v>
      </c>
      <c r="D355" s="10">
        <v>2</v>
      </c>
      <c r="E355" s="11"/>
      <c r="F355" s="11"/>
      <c r="G355" s="11"/>
      <c r="H355" s="12">
        <v>1</v>
      </c>
      <c r="I355" s="10">
        <v>32</v>
      </c>
      <c r="J355" s="10">
        <v>33</v>
      </c>
      <c r="K355" s="10">
        <v>5</v>
      </c>
      <c r="L355" s="10">
        <v>5</v>
      </c>
      <c r="M355" s="10"/>
      <c r="N355" s="10">
        <v>0</v>
      </c>
      <c r="O355" s="10">
        <v>0</v>
      </c>
      <c r="P355" s="10">
        <v>3</v>
      </c>
      <c r="Q355" s="10">
        <v>0</v>
      </c>
      <c r="R355" s="12"/>
      <c r="S355" s="13"/>
      <c r="T355" s="13">
        <f t="shared" si="0"/>
        <v>8</v>
      </c>
      <c r="U355" s="11">
        <f ca="1">IFERROR(__xludf.DUMMYFUNCTION("IFERROR(
  SUM(
    FILTER(
      Reporte!$E:$E, 
      REGEXMATCH(Reporte!$A:$A, ""(?i)(TE PAGÓ|PAGASTE)""), 
      Reporte!$H:$H &amp; """" = AG355 &amp; """"
    )
  ), 
  0
)"),8)</f>
        <v>8</v>
      </c>
      <c r="V355" s="11">
        <f ca="1">IFERROR(__xludf.DUMMYFUNCTION("IFERROR(
  SUM(
    FILTER(
      Efectivo!$C:$C, 
      Efectivo!$D:$D &amp; """" = AG355 &amp; """"
    )
  ), 
  0
)"),0)</f>
        <v>0</v>
      </c>
      <c r="W355" s="11" t="s">
        <v>35</v>
      </c>
      <c r="X355" s="11"/>
      <c r="Y355" s="11" t="s">
        <v>36</v>
      </c>
      <c r="Z355" s="11" t="s">
        <v>111</v>
      </c>
      <c r="AA355" s="11"/>
      <c r="AB355" s="11" t="str">
        <f t="shared" si="1"/>
        <v/>
      </c>
      <c r="AC355" s="11" t="str">
        <f t="shared" si="8"/>
        <v/>
      </c>
      <c r="AD355" s="11">
        <f t="shared" si="3"/>
        <v>0</v>
      </c>
      <c r="AE355" s="11">
        <f t="shared" si="4"/>
        <v>8</v>
      </c>
      <c r="AF355" s="11" t="str">
        <f t="shared" si="5"/>
        <v>V</v>
      </c>
      <c r="AG355" s="11" t="str">
        <f t="shared" si="6"/>
        <v>V-2</v>
      </c>
      <c r="AH355" s="21"/>
      <c r="AI355" s="21"/>
    </row>
    <row r="356" spans="1:35" ht="15.75" hidden="1" customHeight="1">
      <c r="A356" s="15">
        <v>354</v>
      </c>
      <c r="B356" s="16" t="s">
        <v>443</v>
      </c>
      <c r="C356" s="16" t="s">
        <v>441</v>
      </c>
      <c r="D356" s="17">
        <v>3</v>
      </c>
      <c r="E356" s="18"/>
      <c r="F356" s="18"/>
      <c r="G356" s="18"/>
      <c r="H356" s="19">
        <v>1</v>
      </c>
      <c r="I356" s="17">
        <v>23</v>
      </c>
      <c r="J356" s="17">
        <v>23</v>
      </c>
      <c r="K356" s="17">
        <v>5</v>
      </c>
      <c r="L356" s="17">
        <v>5</v>
      </c>
      <c r="M356" s="17">
        <v>0</v>
      </c>
      <c r="N356" s="17">
        <v>0</v>
      </c>
      <c r="O356" s="17">
        <v>0</v>
      </c>
      <c r="P356" s="17">
        <v>3</v>
      </c>
      <c r="Q356" s="17">
        <v>0</v>
      </c>
      <c r="R356" s="19"/>
      <c r="S356" s="20"/>
      <c r="T356" s="13">
        <f t="shared" si="0"/>
        <v>8</v>
      </c>
      <c r="U356" s="18">
        <f ca="1">IFERROR(__xludf.DUMMYFUNCTION("IFERROR(
  SUM(
    FILTER(
      Reporte!$E:$E, 
      REGEXMATCH(Reporte!$A:$A, ""(?i)(TE PAGÓ|PAGASTE)""), 
      Reporte!$H:$H &amp; """" = AG356 &amp; """"
    )
  ), 
  0
)"),8)</f>
        <v>8</v>
      </c>
      <c r="V356" s="18">
        <f ca="1">IFERROR(__xludf.DUMMYFUNCTION("IFERROR(
  SUM(
    FILTER(
      Efectivo!$C:$C, 
      Efectivo!$D:$D &amp; """" = AG356 &amp; """"
    )
  ), 
  0
)"),0)</f>
        <v>0</v>
      </c>
      <c r="W356" s="18" t="s">
        <v>35</v>
      </c>
      <c r="X356" s="18"/>
      <c r="Y356" s="18" t="s">
        <v>36</v>
      </c>
      <c r="Z356" s="18"/>
      <c r="AA356" s="18"/>
      <c r="AB356" s="18" t="str">
        <f t="shared" si="1"/>
        <v/>
      </c>
      <c r="AC356" s="18" t="str">
        <f t="shared" si="8"/>
        <v/>
      </c>
      <c r="AD356" s="11">
        <f t="shared" si="3"/>
        <v>0</v>
      </c>
      <c r="AE356" s="11">
        <f t="shared" si="4"/>
        <v>8</v>
      </c>
      <c r="AF356" s="18" t="str">
        <f t="shared" si="5"/>
        <v>V</v>
      </c>
      <c r="AG356" s="18" t="str">
        <f t="shared" si="6"/>
        <v>V-3</v>
      </c>
      <c r="AH356" s="14"/>
      <c r="AI356" s="14"/>
    </row>
    <row r="357" spans="1:35" ht="15.75" hidden="1" customHeight="1">
      <c r="A357" s="8">
        <v>355</v>
      </c>
      <c r="B357" s="9" t="s">
        <v>444</v>
      </c>
      <c r="C357" s="9" t="s">
        <v>441</v>
      </c>
      <c r="D357" s="10">
        <v>4</v>
      </c>
      <c r="E357" s="11"/>
      <c r="F357" s="11"/>
      <c r="G357" s="11"/>
      <c r="H357" s="12">
        <v>1</v>
      </c>
      <c r="I357" s="10">
        <v>289</v>
      </c>
      <c r="J357" s="10">
        <v>292</v>
      </c>
      <c r="K357" s="10">
        <v>5</v>
      </c>
      <c r="L357" s="10">
        <v>5</v>
      </c>
      <c r="M357" s="10">
        <v>8</v>
      </c>
      <c r="N357" s="22">
        <v>40</v>
      </c>
      <c r="O357" s="10">
        <v>0</v>
      </c>
      <c r="P357" s="10">
        <v>3</v>
      </c>
      <c r="Q357" s="10">
        <v>0</v>
      </c>
      <c r="R357" s="12"/>
      <c r="S357" s="13"/>
      <c r="T357" s="13">
        <f t="shared" si="0"/>
        <v>56</v>
      </c>
      <c r="U357" s="11">
        <f ca="1">IFERROR(__xludf.DUMMYFUNCTION("IFERROR(
  SUM(
    FILTER(
      Reporte!$E:$E, 
      REGEXMATCH(Reporte!$A:$A, ""(?i)(TE PAGÓ|PAGASTE)""), 
      Reporte!$H:$H &amp; """" = AG357 &amp; """"
    )
  ), 
  0
)"),0)</f>
        <v>0</v>
      </c>
      <c r="V357" s="11">
        <f ca="1">IFERROR(__xludf.DUMMYFUNCTION("IFERROR(
  SUM(
    FILTER(
      Efectivo!$C:$C, 
      Efectivo!$D:$D &amp; """" = AG357 &amp; """"
    )
  ), 
  0
)"),0)</f>
        <v>0</v>
      </c>
      <c r="W357" s="11"/>
      <c r="X357" s="11"/>
      <c r="Y357" s="11"/>
      <c r="Z357" s="11"/>
      <c r="AA357" s="11"/>
      <c r="AB357" s="11" t="str">
        <f t="shared" si="1"/>
        <v>CORTE</v>
      </c>
      <c r="AC357" s="11" t="str">
        <f t="shared" si="8"/>
        <v/>
      </c>
      <c r="AD357" s="11">
        <f t="shared" si="3"/>
        <v>0</v>
      </c>
      <c r="AE357" s="11">
        <f t="shared" si="4"/>
        <v>0</v>
      </c>
      <c r="AF357" s="11" t="str">
        <f t="shared" si="5"/>
        <v>V</v>
      </c>
      <c r="AG357" s="11" t="str">
        <f t="shared" si="6"/>
        <v>V-4</v>
      </c>
      <c r="AH357" s="21"/>
      <c r="AI357" s="21"/>
    </row>
    <row r="358" spans="1:35" ht="15.75" hidden="1" customHeight="1">
      <c r="A358" s="15">
        <v>356</v>
      </c>
      <c r="B358" s="16" t="s">
        <v>445</v>
      </c>
      <c r="C358" s="16" t="s">
        <v>441</v>
      </c>
      <c r="D358" s="17">
        <v>5</v>
      </c>
      <c r="E358" s="18"/>
      <c r="F358" s="18"/>
      <c r="G358" s="18"/>
      <c r="H358" s="19">
        <v>1</v>
      </c>
      <c r="I358" s="17">
        <v>1057</v>
      </c>
      <c r="J358" s="17">
        <v>1079</v>
      </c>
      <c r="K358" s="17">
        <v>22</v>
      </c>
      <c r="L358" s="17">
        <v>22</v>
      </c>
      <c r="M358" s="17">
        <v>0</v>
      </c>
      <c r="N358" s="17">
        <v>0</v>
      </c>
      <c r="O358" s="17">
        <v>0</v>
      </c>
      <c r="P358" s="17">
        <v>3</v>
      </c>
      <c r="Q358" s="17">
        <v>0</v>
      </c>
      <c r="R358" s="19"/>
      <c r="S358" s="20"/>
      <c r="T358" s="13">
        <f t="shared" si="0"/>
        <v>25</v>
      </c>
      <c r="U358" s="18">
        <f ca="1">IFERROR(__xludf.DUMMYFUNCTION("IFERROR(
  SUM(
    FILTER(
      Reporte!$E:$E, 
      REGEXMATCH(Reporte!$A:$A, ""(?i)(TE PAGÓ|PAGASTE)""), 
      Reporte!$H:$H &amp; """" = AG358 &amp; """"
    )
  ), 
  0
)"),0)</f>
        <v>0</v>
      </c>
      <c r="V358" s="18">
        <f ca="1">IFERROR(__xludf.DUMMYFUNCTION("IFERROR(
  SUM(
    FILTER(
      Efectivo!$C:$C, 
      Efectivo!$D:$D &amp; """" = AG358 &amp; """"
    )
  ), 
  0
)"),25)</f>
        <v>25</v>
      </c>
      <c r="W358" s="18" t="s">
        <v>35</v>
      </c>
      <c r="X358" s="18"/>
      <c r="Y358" s="18"/>
      <c r="Z358" s="18"/>
      <c r="AA358" s="18"/>
      <c r="AB358" s="18" t="str">
        <f t="shared" si="1"/>
        <v/>
      </c>
      <c r="AC358" s="18" t="str">
        <f t="shared" si="8"/>
        <v/>
      </c>
      <c r="AD358" s="11">
        <f t="shared" si="3"/>
        <v>25</v>
      </c>
      <c r="AE358" s="11">
        <f t="shared" si="4"/>
        <v>0</v>
      </c>
      <c r="AF358" s="18" t="str">
        <f t="shared" si="5"/>
        <v>V</v>
      </c>
      <c r="AG358" s="18" t="str">
        <f t="shared" si="6"/>
        <v>V-5</v>
      </c>
      <c r="AH358" s="14"/>
      <c r="AI358" s="14"/>
    </row>
    <row r="359" spans="1:35" ht="15.75" hidden="1" customHeight="1">
      <c r="A359" s="8">
        <v>357</v>
      </c>
      <c r="B359" s="9" t="s">
        <v>446</v>
      </c>
      <c r="C359" s="9" t="s">
        <v>441</v>
      </c>
      <c r="D359" s="10">
        <v>6</v>
      </c>
      <c r="E359" s="11"/>
      <c r="F359" s="11"/>
      <c r="G359" s="11"/>
      <c r="H359" s="12">
        <v>1</v>
      </c>
      <c r="I359" s="10">
        <v>2057</v>
      </c>
      <c r="J359" s="10">
        <v>2073</v>
      </c>
      <c r="K359" s="10">
        <v>16</v>
      </c>
      <c r="L359" s="10">
        <v>16</v>
      </c>
      <c r="M359" s="10">
        <v>0</v>
      </c>
      <c r="N359" s="10">
        <v>0</v>
      </c>
      <c r="O359" s="10">
        <v>0</v>
      </c>
      <c r="P359" s="10">
        <v>3</v>
      </c>
      <c r="Q359" s="10">
        <v>0</v>
      </c>
      <c r="R359" s="12"/>
      <c r="S359" s="13"/>
      <c r="T359" s="13">
        <f t="shared" si="0"/>
        <v>19</v>
      </c>
      <c r="U359" s="11">
        <f ca="1">IFERROR(__xludf.DUMMYFUNCTION("IFERROR(
  SUM(
    FILTER(
      Reporte!$E:$E, 
      REGEXMATCH(Reporte!$A:$A, ""(?i)(TE PAGÓ|PAGASTE)""), 
      Reporte!$H:$H &amp; """" = AG359 &amp; """"
    )
  ), 
  0
)"),19)</f>
        <v>19</v>
      </c>
      <c r="V359" s="11">
        <f ca="1">IFERROR(__xludf.DUMMYFUNCTION("IFERROR(
  SUM(
    FILTER(
      Efectivo!$C:$C, 
      Efectivo!$D:$D &amp; """" = AG359 &amp; """"
    )
  ), 
  0
)"),0)</f>
        <v>0</v>
      </c>
      <c r="W359" s="11" t="s">
        <v>35</v>
      </c>
      <c r="X359" s="11"/>
      <c r="Y359" s="11" t="s">
        <v>36</v>
      </c>
      <c r="Z359" s="11"/>
      <c r="AA359" s="11"/>
      <c r="AB359" s="11" t="str">
        <f t="shared" si="1"/>
        <v/>
      </c>
      <c r="AC359" s="11" t="str">
        <f t="shared" si="8"/>
        <v/>
      </c>
      <c r="AD359" s="11">
        <f t="shared" si="3"/>
        <v>0</v>
      </c>
      <c r="AE359" s="11">
        <f t="shared" si="4"/>
        <v>19</v>
      </c>
      <c r="AF359" s="11" t="str">
        <f t="shared" si="5"/>
        <v>V</v>
      </c>
      <c r="AG359" s="11" t="str">
        <f t="shared" si="6"/>
        <v>V-6</v>
      </c>
      <c r="AH359" s="21"/>
      <c r="AI359" s="21"/>
    </row>
    <row r="360" spans="1:35" ht="15.75" hidden="1" customHeight="1">
      <c r="A360" s="15">
        <v>358</v>
      </c>
      <c r="B360" s="16" t="s">
        <v>447</v>
      </c>
      <c r="C360" s="16" t="s">
        <v>441</v>
      </c>
      <c r="D360" s="17">
        <v>7</v>
      </c>
      <c r="E360" s="18"/>
      <c r="F360" s="18"/>
      <c r="G360" s="18"/>
      <c r="H360" s="19">
        <v>1</v>
      </c>
      <c r="I360" s="17">
        <v>1080</v>
      </c>
      <c r="J360" s="17">
        <v>1081</v>
      </c>
      <c r="K360" s="17">
        <v>5</v>
      </c>
      <c r="L360" s="17">
        <v>5</v>
      </c>
      <c r="M360" s="17">
        <v>0</v>
      </c>
      <c r="N360" s="17">
        <v>0</v>
      </c>
      <c r="O360" s="17">
        <v>0</v>
      </c>
      <c r="P360" s="17">
        <v>3</v>
      </c>
      <c r="Q360" s="17">
        <v>0</v>
      </c>
      <c r="R360" s="19"/>
      <c r="S360" s="20"/>
      <c r="T360" s="13">
        <f t="shared" si="0"/>
        <v>8</v>
      </c>
      <c r="U360" s="18">
        <f ca="1">IFERROR(__xludf.DUMMYFUNCTION("IFERROR(
  SUM(
    FILTER(
      Reporte!$E:$E, 
      REGEXMATCH(Reporte!$A:$A, ""(?i)(TE PAGÓ|PAGASTE)""), 
      Reporte!$H:$H &amp; """" = AG360 &amp; """"
    )
  ), 
  0
)"),8)</f>
        <v>8</v>
      </c>
      <c r="V360" s="18">
        <f ca="1">IFERROR(__xludf.DUMMYFUNCTION("IFERROR(
  SUM(
    FILTER(
      Efectivo!$C:$C, 
      Efectivo!$D:$D &amp; """" = AG360 &amp; """"
    )
  ), 
  0
)"),0)</f>
        <v>0</v>
      </c>
      <c r="W360" s="18" t="s">
        <v>35</v>
      </c>
      <c r="X360" s="18"/>
      <c r="Y360" s="18" t="s">
        <v>36</v>
      </c>
      <c r="Z360" s="18"/>
      <c r="AA360" s="18"/>
      <c r="AB360" s="18" t="str">
        <f t="shared" si="1"/>
        <v/>
      </c>
      <c r="AC360" s="18" t="str">
        <f t="shared" si="8"/>
        <v/>
      </c>
      <c r="AD360" s="11">
        <f t="shared" si="3"/>
        <v>0</v>
      </c>
      <c r="AE360" s="11">
        <f t="shared" si="4"/>
        <v>8</v>
      </c>
      <c r="AF360" s="18" t="str">
        <f t="shared" si="5"/>
        <v>V</v>
      </c>
      <c r="AG360" s="18" t="str">
        <f t="shared" si="6"/>
        <v>V-7</v>
      </c>
      <c r="AH360" s="14"/>
      <c r="AI360" s="14"/>
    </row>
    <row r="361" spans="1:35" ht="15.75" hidden="1" customHeight="1">
      <c r="A361" s="8">
        <v>359</v>
      </c>
      <c r="B361" s="9" t="s">
        <v>448</v>
      </c>
      <c r="C361" s="9" t="s">
        <v>441</v>
      </c>
      <c r="D361" s="10">
        <v>8</v>
      </c>
      <c r="E361" s="11"/>
      <c r="F361" s="11"/>
      <c r="G361" s="11"/>
      <c r="H361" s="12">
        <v>1</v>
      </c>
      <c r="I361" s="10">
        <v>550</v>
      </c>
      <c r="J361" s="10">
        <v>555</v>
      </c>
      <c r="K361" s="10">
        <v>5</v>
      </c>
      <c r="L361" s="10">
        <v>5</v>
      </c>
      <c r="M361" s="10">
        <v>8</v>
      </c>
      <c r="N361" s="10">
        <v>0</v>
      </c>
      <c r="O361" s="10">
        <v>0</v>
      </c>
      <c r="P361" s="10">
        <v>3</v>
      </c>
      <c r="Q361" s="10">
        <v>0</v>
      </c>
      <c r="R361" s="12"/>
      <c r="S361" s="13"/>
      <c r="T361" s="13">
        <f t="shared" si="0"/>
        <v>16</v>
      </c>
      <c r="U361" s="11">
        <f ca="1">IFERROR(__xludf.DUMMYFUNCTION("IFERROR(
  SUM(
    FILTER(
      Reporte!$E:$E, 
      REGEXMATCH(Reporte!$A:$A, ""(?i)(TE PAGÓ|PAGASTE)""), 
      Reporte!$H:$H &amp; """" = AG361 &amp; """"
    )
  ), 
  0
)"),16)</f>
        <v>16</v>
      </c>
      <c r="V361" s="11">
        <f ca="1">IFERROR(__xludf.DUMMYFUNCTION("IFERROR(
  SUM(
    FILTER(
      Efectivo!$C:$C, 
      Efectivo!$D:$D &amp; """" = AG361 &amp; """"
    )
  ), 
  0
)"),0)</f>
        <v>0</v>
      </c>
      <c r="W361" s="11" t="s">
        <v>35</v>
      </c>
      <c r="X361" s="11"/>
      <c r="Y361" s="11" t="s">
        <v>36</v>
      </c>
      <c r="Z361" s="11"/>
      <c r="AA361" s="11"/>
      <c r="AB361" s="11" t="str">
        <f t="shared" si="1"/>
        <v/>
      </c>
      <c r="AC361" s="11" t="str">
        <f t="shared" si="8"/>
        <v/>
      </c>
      <c r="AD361" s="11">
        <f t="shared" si="3"/>
        <v>0</v>
      </c>
      <c r="AE361" s="11">
        <f t="shared" si="4"/>
        <v>16</v>
      </c>
      <c r="AF361" s="11" t="str">
        <f t="shared" si="5"/>
        <v>V</v>
      </c>
      <c r="AG361" s="11" t="str">
        <f t="shared" si="6"/>
        <v>V-8</v>
      </c>
      <c r="AH361" s="21"/>
      <c r="AI361" s="21"/>
    </row>
    <row r="362" spans="1:35" ht="15.75" hidden="1" customHeight="1">
      <c r="A362" s="15">
        <v>360</v>
      </c>
      <c r="B362" s="16" t="s">
        <v>449</v>
      </c>
      <c r="C362" s="16" t="s">
        <v>441</v>
      </c>
      <c r="D362" s="17">
        <v>9</v>
      </c>
      <c r="E362" s="18"/>
      <c r="F362" s="18"/>
      <c r="G362" s="18"/>
      <c r="H362" s="19">
        <v>1</v>
      </c>
      <c r="I362" s="17">
        <v>982</v>
      </c>
      <c r="J362" s="17">
        <v>989</v>
      </c>
      <c r="K362" s="17">
        <v>7</v>
      </c>
      <c r="L362" s="24">
        <v>7</v>
      </c>
      <c r="M362" s="17">
        <v>10</v>
      </c>
      <c r="N362" s="10"/>
      <c r="O362" s="17">
        <v>0</v>
      </c>
      <c r="P362" s="17">
        <v>3</v>
      </c>
      <c r="Q362" s="17">
        <v>0</v>
      </c>
      <c r="R362" s="19"/>
      <c r="S362" s="20"/>
      <c r="T362" s="13">
        <f t="shared" si="0"/>
        <v>20</v>
      </c>
      <c r="U362" s="18">
        <f ca="1">IFERROR(__xludf.DUMMYFUNCTION("IFERROR(
  SUM(
    FILTER(
      Reporte!$E:$E, 
      REGEXMATCH(Reporte!$A:$A, ""(?i)(TE PAGÓ|PAGASTE)""), 
      Reporte!$H:$H &amp; """" = AG362 &amp; """"
    )
  ), 
  0
)"),20)</f>
        <v>20</v>
      </c>
      <c r="V362" s="18">
        <f ca="1">IFERROR(__xludf.DUMMYFUNCTION("IFERROR(
  SUM(
    FILTER(
      Efectivo!$C:$C, 
      Efectivo!$D:$D &amp; """" = AG362 &amp; """"
    )
  ), 
  0
)"),0)</f>
        <v>0</v>
      </c>
      <c r="W362" s="18" t="s">
        <v>35</v>
      </c>
      <c r="X362" s="18"/>
      <c r="Y362" s="18" t="s">
        <v>36</v>
      </c>
      <c r="Z362" s="18"/>
      <c r="AA362" s="18"/>
      <c r="AB362" s="18" t="str">
        <f t="shared" si="1"/>
        <v/>
      </c>
      <c r="AC362" s="18" t="str">
        <f t="shared" si="8"/>
        <v/>
      </c>
      <c r="AD362" s="11">
        <f t="shared" si="3"/>
        <v>0</v>
      </c>
      <c r="AE362" s="11">
        <f t="shared" si="4"/>
        <v>20</v>
      </c>
      <c r="AF362" s="18" t="str">
        <f t="shared" si="5"/>
        <v>V</v>
      </c>
      <c r="AG362" s="18" t="str">
        <f t="shared" si="6"/>
        <v>V-9</v>
      </c>
      <c r="AH362" s="14"/>
      <c r="AI362" s="14"/>
    </row>
    <row r="363" spans="1:35" ht="15.75" hidden="1" customHeight="1">
      <c r="A363" s="8">
        <v>361</v>
      </c>
      <c r="B363" s="9" t="s">
        <v>450</v>
      </c>
      <c r="C363" s="9" t="s">
        <v>441</v>
      </c>
      <c r="D363" s="10">
        <v>10</v>
      </c>
      <c r="E363" s="11"/>
      <c r="F363" s="11"/>
      <c r="G363" s="11"/>
      <c r="H363" s="12">
        <v>1</v>
      </c>
      <c r="I363" s="10">
        <v>2469</v>
      </c>
      <c r="J363" s="10">
        <v>2488</v>
      </c>
      <c r="K363" s="10">
        <v>19</v>
      </c>
      <c r="L363" s="10">
        <v>19</v>
      </c>
      <c r="M363" s="10">
        <v>0</v>
      </c>
      <c r="N363" s="10">
        <v>0</v>
      </c>
      <c r="O363" s="10">
        <v>0</v>
      </c>
      <c r="P363" s="10">
        <v>3</v>
      </c>
      <c r="Q363" s="10">
        <v>0</v>
      </c>
      <c r="R363" s="12"/>
      <c r="S363" s="13"/>
      <c r="T363" s="13">
        <f t="shared" si="0"/>
        <v>22</v>
      </c>
      <c r="U363" s="11">
        <f ca="1">IFERROR(__xludf.DUMMYFUNCTION("IFERROR(
  SUM(
    FILTER(
      Reporte!$E:$E, 
      REGEXMATCH(Reporte!$A:$A, ""(?i)(TE PAGÓ|PAGASTE)""), 
      Reporte!$H:$H &amp; """" = AG363 &amp; """"
    )
  ), 
  0
)"),0)</f>
        <v>0</v>
      </c>
      <c r="V363" s="11">
        <f ca="1">IFERROR(__xludf.DUMMYFUNCTION("IFERROR(
  SUM(
    FILTER(
      Efectivo!$C:$C, 
      Efectivo!$D:$D &amp; """" = AG363 &amp; """"
    )
  ), 
  0
)"),0)</f>
        <v>0</v>
      </c>
      <c r="W363" s="11"/>
      <c r="X363" s="11"/>
      <c r="Y363" s="11"/>
      <c r="Z363" s="11"/>
      <c r="AA363" s="11"/>
      <c r="AB363" s="11" t="str">
        <f t="shared" si="1"/>
        <v/>
      </c>
      <c r="AC363" s="11" t="str">
        <f t="shared" si="8"/>
        <v/>
      </c>
      <c r="AD363" s="11">
        <f t="shared" si="3"/>
        <v>0</v>
      </c>
      <c r="AE363" s="11">
        <f t="shared" si="4"/>
        <v>0</v>
      </c>
      <c r="AF363" s="11" t="str">
        <f t="shared" si="5"/>
        <v>V</v>
      </c>
      <c r="AG363" s="11" t="str">
        <f t="shared" si="6"/>
        <v>V-10</v>
      </c>
      <c r="AH363" s="21"/>
      <c r="AI363" s="21"/>
    </row>
    <row r="364" spans="1:35" ht="15.75" hidden="1" customHeight="1">
      <c r="A364" s="15">
        <v>362</v>
      </c>
      <c r="B364" s="16" t="s">
        <v>451</v>
      </c>
      <c r="C364" s="16" t="s">
        <v>441</v>
      </c>
      <c r="D364" s="17">
        <v>11</v>
      </c>
      <c r="E364" s="18"/>
      <c r="F364" s="18"/>
      <c r="G364" s="18"/>
      <c r="H364" s="19">
        <v>1</v>
      </c>
      <c r="I364" s="17">
        <v>1496</v>
      </c>
      <c r="J364" s="17">
        <v>1510</v>
      </c>
      <c r="K364" s="17">
        <v>14</v>
      </c>
      <c r="L364" s="17">
        <v>14</v>
      </c>
      <c r="M364" s="17">
        <v>0</v>
      </c>
      <c r="N364" s="17">
        <v>0</v>
      </c>
      <c r="O364" s="17">
        <v>0</v>
      </c>
      <c r="P364" s="17">
        <v>3</v>
      </c>
      <c r="Q364" s="17">
        <v>0</v>
      </c>
      <c r="R364" s="19"/>
      <c r="S364" s="20"/>
      <c r="T364" s="13">
        <f t="shared" si="0"/>
        <v>17</v>
      </c>
      <c r="U364" s="18">
        <f ca="1">IFERROR(__xludf.DUMMYFUNCTION("IFERROR(
  SUM(
    FILTER(
      Reporte!$E:$E, 
      REGEXMATCH(Reporte!$A:$A, ""(?i)(TE PAGÓ|PAGASTE)""), 
      Reporte!$H:$H &amp; """" = AG364 &amp; """"
    )
  ), 
  0
)"),17)</f>
        <v>17</v>
      </c>
      <c r="V364" s="18">
        <f ca="1">IFERROR(__xludf.DUMMYFUNCTION("IFERROR(
  SUM(
    FILTER(
      Efectivo!$C:$C, 
      Efectivo!$D:$D &amp; """" = AG364 &amp; """"
    )
  ), 
  0
)"),0)</f>
        <v>0</v>
      </c>
      <c r="W364" s="18" t="s">
        <v>35</v>
      </c>
      <c r="X364" s="18"/>
      <c r="Y364" s="18" t="s">
        <v>36</v>
      </c>
      <c r="Z364" s="18"/>
      <c r="AA364" s="18"/>
      <c r="AB364" s="18" t="str">
        <f t="shared" si="1"/>
        <v/>
      </c>
      <c r="AC364" s="18" t="str">
        <f t="shared" si="8"/>
        <v/>
      </c>
      <c r="AD364" s="11">
        <f t="shared" si="3"/>
        <v>0</v>
      </c>
      <c r="AE364" s="11">
        <f t="shared" si="4"/>
        <v>17</v>
      </c>
      <c r="AF364" s="18" t="str">
        <f t="shared" si="5"/>
        <v>V</v>
      </c>
      <c r="AG364" s="18" t="str">
        <f t="shared" si="6"/>
        <v>V-11</v>
      </c>
      <c r="AH364" s="14"/>
      <c r="AI364" s="14"/>
    </row>
    <row r="365" spans="1:35" ht="15.75" hidden="1" customHeight="1">
      <c r="A365" s="8">
        <v>363</v>
      </c>
      <c r="B365" s="9" t="s">
        <v>452</v>
      </c>
      <c r="C365" s="9" t="s">
        <v>441</v>
      </c>
      <c r="D365" s="10">
        <v>12</v>
      </c>
      <c r="E365" s="11"/>
      <c r="F365" s="12">
        <v>1</v>
      </c>
      <c r="G365" s="11"/>
      <c r="H365" s="12">
        <v>1</v>
      </c>
      <c r="I365" s="10">
        <v>2442</v>
      </c>
      <c r="J365" s="10">
        <v>2461</v>
      </c>
      <c r="K365" s="10">
        <v>19</v>
      </c>
      <c r="L365" s="10">
        <v>19</v>
      </c>
      <c r="M365" s="10">
        <v>0</v>
      </c>
      <c r="N365" s="10">
        <v>0</v>
      </c>
      <c r="O365" s="10">
        <v>0</v>
      </c>
      <c r="P365" s="10">
        <v>3</v>
      </c>
      <c r="Q365" s="10">
        <v>0</v>
      </c>
      <c r="R365" s="12"/>
      <c r="S365" s="13"/>
      <c r="T365" s="13">
        <f t="shared" si="0"/>
        <v>22</v>
      </c>
      <c r="U365" s="11">
        <f ca="1">IFERROR(__xludf.DUMMYFUNCTION("IFERROR(
  SUM(
    FILTER(
      Reporte!$E:$E, 
      REGEXMATCH(Reporte!$A:$A, ""(?i)(TE PAGÓ|PAGASTE)""), 
      Reporte!$H:$H &amp; """" = AG365 &amp; """"
    )
  ), 
  0
)"),22)</f>
        <v>22</v>
      </c>
      <c r="V365" s="11">
        <f ca="1">IFERROR(__xludf.DUMMYFUNCTION("IFERROR(
  SUM(
    FILTER(
      Efectivo!$C:$C, 
      Efectivo!$D:$D &amp; """" = AG365 &amp; """"
    )
  ), 
  0
)"),0)</f>
        <v>0</v>
      </c>
      <c r="W365" s="11" t="s">
        <v>35</v>
      </c>
      <c r="X365" s="11"/>
      <c r="Y365" s="11" t="s">
        <v>36</v>
      </c>
      <c r="Z365" s="11"/>
      <c r="AA365" s="11"/>
      <c r="AB365" s="11" t="str">
        <f t="shared" si="1"/>
        <v/>
      </c>
      <c r="AC365" s="11" t="str">
        <f t="shared" si="8"/>
        <v/>
      </c>
      <c r="AD365" s="11">
        <f t="shared" si="3"/>
        <v>0</v>
      </c>
      <c r="AE365" s="11">
        <f t="shared" si="4"/>
        <v>22</v>
      </c>
      <c r="AF365" s="11" t="str">
        <f t="shared" si="5"/>
        <v>V</v>
      </c>
      <c r="AG365" s="11" t="str">
        <f t="shared" si="6"/>
        <v>V-12</v>
      </c>
      <c r="AH365" s="21"/>
      <c r="AI365" s="21"/>
    </row>
    <row r="366" spans="1:35" ht="15.75" hidden="1" customHeight="1">
      <c r="A366" s="15">
        <v>364</v>
      </c>
      <c r="B366" s="16" t="s">
        <v>453</v>
      </c>
      <c r="C366" s="16" t="s">
        <v>441</v>
      </c>
      <c r="D366" s="17">
        <v>13</v>
      </c>
      <c r="E366" s="18"/>
      <c r="F366" s="18"/>
      <c r="G366" s="18"/>
      <c r="H366" s="19">
        <v>1</v>
      </c>
      <c r="I366" s="17">
        <v>99</v>
      </c>
      <c r="J366" s="17">
        <v>111</v>
      </c>
      <c r="K366" s="17">
        <v>12</v>
      </c>
      <c r="L366" s="17">
        <v>12</v>
      </c>
      <c r="M366" s="17">
        <v>0</v>
      </c>
      <c r="N366" s="17">
        <v>0</v>
      </c>
      <c r="O366" s="17">
        <v>0</v>
      </c>
      <c r="P366" s="17">
        <v>3</v>
      </c>
      <c r="Q366" s="17">
        <v>0</v>
      </c>
      <c r="R366" s="19"/>
      <c r="S366" s="20"/>
      <c r="T366" s="13">
        <f t="shared" si="0"/>
        <v>15</v>
      </c>
      <c r="U366" s="18">
        <f ca="1">IFERROR(__xludf.DUMMYFUNCTION("IFERROR(
  SUM(
    FILTER(
      Reporte!$E:$E, 
      REGEXMATCH(Reporte!$A:$A, ""(?i)(TE PAGÓ|PAGASTE)""), 
      Reporte!$H:$H &amp; """" = AG366 &amp; """"
    )
  ), 
  0
)"),15)</f>
        <v>15</v>
      </c>
      <c r="V366" s="18">
        <f ca="1">IFERROR(__xludf.DUMMYFUNCTION("IFERROR(
  SUM(
    FILTER(
      Efectivo!$C:$C, 
      Efectivo!$D:$D &amp; """" = AG366 &amp; """"
    )
  ), 
  0
)"),0)</f>
        <v>0</v>
      </c>
      <c r="W366" s="18" t="s">
        <v>35</v>
      </c>
      <c r="X366" s="18"/>
      <c r="Y366" s="18" t="s">
        <v>36</v>
      </c>
      <c r="Z366" s="18"/>
      <c r="AA366" s="18"/>
      <c r="AB366" s="18" t="str">
        <f t="shared" si="1"/>
        <v/>
      </c>
      <c r="AC366" s="18" t="str">
        <f t="shared" si="8"/>
        <v/>
      </c>
      <c r="AD366" s="11">
        <f t="shared" si="3"/>
        <v>0</v>
      </c>
      <c r="AE366" s="11">
        <f t="shared" si="4"/>
        <v>15</v>
      </c>
      <c r="AF366" s="18" t="str">
        <f t="shared" si="5"/>
        <v>V</v>
      </c>
      <c r="AG366" s="18" t="str">
        <f t="shared" si="6"/>
        <v>V-13</v>
      </c>
      <c r="AH366" s="14"/>
      <c r="AI366" s="14"/>
    </row>
    <row r="367" spans="1:35" ht="15.75" hidden="1" customHeight="1">
      <c r="A367" s="8">
        <v>365</v>
      </c>
      <c r="B367" s="9" t="s">
        <v>454</v>
      </c>
      <c r="C367" s="9" t="s">
        <v>441</v>
      </c>
      <c r="D367" s="10">
        <v>14</v>
      </c>
      <c r="E367" s="11"/>
      <c r="F367" s="11"/>
      <c r="G367" s="11"/>
      <c r="H367" s="12">
        <v>1</v>
      </c>
      <c r="I367" s="10">
        <v>223</v>
      </c>
      <c r="J367" s="10">
        <v>224</v>
      </c>
      <c r="K367" s="10">
        <v>5</v>
      </c>
      <c r="L367" s="10">
        <v>5</v>
      </c>
      <c r="M367" s="10">
        <v>0</v>
      </c>
      <c r="N367" s="10">
        <v>0</v>
      </c>
      <c r="O367" s="10">
        <v>0</v>
      </c>
      <c r="P367" s="10">
        <v>3</v>
      </c>
      <c r="Q367" s="10">
        <v>0</v>
      </c>
      <c r="R367" s="12"/>
      <c r="S367" s="13"/>
      <c r="T367" s="13">
        <f t="shared" si="0"/>
        <v>8</v>
      </c>
      <c r="U367" s="18">
        <f ca="1">IFERROR(__xludf.DUMMYFUNCTION("IFERROR(
  SUM(
    FILTER(
      Reporte!$E:$E, 
      REGEXMATCH(Reporte!$A:$A, ""(?i)(TE PAGÓ|PAGASTE)""), 
      Reporte!$H:$H &amp; """" = AG367 &amp; """"
    )
  ), 
  0
)"),8)</f>
        <v>8</v>
      </c>
      <c r="V367" s="11">
        <f ca="1">IFERROR(__xludf.DUMMYFUNCTION("IFERROR(
  SUM(
    FILTER(
      Efectivo!$C:$C, 
      Efectivo!$D:$D &amp; """" = AG367 &amp; """"
    )
  ), 
  0
)"),0)</f>
        <v>0</v>
      </c>
      <c r="W367" s="25" t="s">
        <v>35</v>
      </c>
      <c r="X367" s="11"/>
      <c r="Y367" s="25" t="s">
        <v>36</v>
      </c>
      <c r="Z367" s="11"/>
      <c r="AA367" s="11"/>
      <c r="AB367" s="11" t="str">
        <f t="shared" si="1"/>
        <v/>
      </c>
      <c r="AC367" s="11" t="str">
        <f t="shared" si="8"/>
        <v/>
      </c>
      <c r="AD367" s="11">
        <f t="shared" si="3"/>
        <v>0</v>
      </c>
      <c r="AE367" s="11">
        <f t="shared" si="4"/>
        <v>8</v>
      </c>
      <c r="AF367" s="11" t="str">
        <f t="shared" si="5"/>
        <v>V</v>
      </c>
      <c r="AG367" s="11" t="str">
        <f t="shared" si="6"/>
        <v>V-14</v>
      </c>
      <c r="AH367" s="21"/>
      <c r="AI367" s="21"/>
    </row>
    <row r="368" spans="1:35" ht="15.75" hidden="1" customHeight="1">
      <c r="A368" s="15">
        <v>366</v>
      </c>
      <c r="B368" s="16" t="s">
        <v>455</v>
      </c>
      <c r="C368" s="16" t="s">
        <v>441</v>
      </c>
      <c r="D368" s="17">
        <v>15</v>
      </c>
      <c r="E368" s="18"/>
      <c r="F368" s="18"/>
      <c r="G368" s="18"/>
      <c r="H368" s="19">
        <v>1</v>
      </c>
      <c r="I368" s="17">
        <v>986</v>
      </c>
      <c r="J368" s="17">
        <v>994</v>
      </c>
      <c r="K368" s="17">
        <v>8</v>
      </c>
      <c r="L368" s="17">
        <v>8</v>
      </c>
      <c r="M368" s="17">
        <v>0</v>
      </c>
      <c r="N368" s="17">
        <v>0</v>
      </c>
      <c r="O368" s="17">
        <v>0</v>
      </c>
      <c r="P368" s="17">
        <v>3</v>
      </c>
      <c r="Q368" s="17">
        <v>0</v>
      </c>
      <c r="R368" s="19"/>
      <c r="S368" s="20"/>
      <c r="T368" s="13">
        <f t="shared" si="0"/>
        <v>11</v>
      </c>
      <c r="U368" s="18">
        <f ca="1">IFERROR(__xludf.DUMMYFUNCTION("IFERROR(
  SUM(
    FILTER(
      Reporte!$E:$E, 
      REGEXMATCH(Reporte!$A:$A, ""(?i)(TE PAGÓ|PAGASTE)""), 
      Reporte!$H:$H &amp; """" = AG368 &amp; """"
    )
  ), 
  0
)"),0)</f>
        <v>0</v>
      </c>
      <c r="V368" s="18">
        <f ca="1">IFERROR(__xludf.DUMMYFUNCTION("IFERROR(
  SUM(
    FILTER(
      Efectivo!$C:$C, 
      Efectivo!$D:$D &amp; """" = AG368 &amp; """"
    )
  ), 
  0
)"),11)</f>
        <v>11</v>
      </c>
      <c r="W368" s="18" t="s">
        <v>35</v>
      </c>
      <c r="X368" s="18"/>
      <c r="Y368" s="18"/>
      <c r="Z368" s="18"/>
      <c r="AA368" s="18"/>
      <c r="AB368" s="18" t="str">
        <f t="shared" si="1"/>
        <v/>
      </c>
      <c r="AC368" s="18" t="str">
        <f t="shared" si="8"/>
        <v/>
      </c>
      <c r="AD368" s="11">
        <f t="shared" si="3"/>
        <v>11</v>
      </c>
      <c r="AE368" s="11">
        <f t="shared" si="4"/>
        <v>0</v>
      </c>
      <c r="AF368" s="18" t="str">
        <f t="shared" si="5"/>
        <v>V</v>
      </c>
      <c r="AG368" s="18" t="str">
        <f t="shared" si="6"/>
        <v>V-15</v>
      </c>
      <c r="AH368" s="14"/>
      <c r="AI368" s="14"/>
    </row>
    <row r="369" spans="1:35" ht="15.75" hidden="1" customHeight="1">
      <c r="A369" s="8">
        <v>367</v>
      </c>
      <c r="B369" s="9" t="s">
        <v>456</v>
      </c>
      <c r="C369" s="9" t="s">
        <v>441</v>
      </c>
      <c r="D369" s="10">
        <v>16</v>
      </c>
      <c r="E369" s="11"/>
      <c r="F369" s="11"/>
      <c r="G369" s="11"/>
      <c r="H369" s="12">
        <v>1</v>
      </c>
      <c r="I369" s="10">
        <v>95</v>
      </c>
      <c r="J369" s="10">
        <v>106</v>
      </c>
      <c r="K369" s="10">
        <v>11</v>
      </c>
      <c r="L369" s="10">
        <v>11</v>
      </c>
      <c r="M369" s="10">
        <v>0</v>
      </c>
      <c r="N369" s="10">
        <v>0</v>
      </c>
      <c r="O369" s="10">
        <v>0</v>
      </c>
      <c r="P369" s="10">
        <v>3</v>
      </c>
      <c r="Q369" s="10">
        <v>0</v>
      </c>
      <c r="R369" s="12"/>
      <c r="S369" s="13"/>
      <c r="T369" s="13">
        <f t="shared" si="0"/>
        <v>14</v>
      </c>
      <c r="U369" s="11">
        <f ca="1">IFERROR(__xludf.DUMMYFUNCTION("IFERROR(
  SUM(
    FILTER(
      Reporte!$E:$E, 
      REGEXMATCH(Reporte!$A:$A, ""(?i)(TE PAGÓ|PAGASTE)""), 
      Reporte!$H:$H &amp; """" = AG369 &amp; """"
    )
  ), 
  0
)"),14)</f>
        <v>14</v>
      </c>
      <c r="V369" s="11">
        <f ca="1">IFERROR(__xludf.DUMMYFUNCTION("IFERROR(
  SUM(
    FILTER(
      Efectivo!$C:$C, 
      Efectivo!$D:$D &amp; """" = AG369 &amp; """"
    )
  ), 
  0
)"),0)</f>
        <v>0</v>
      </c>
      <c r="W369" s="11" t="s">
        <v>35</v>
      </c>
      <c r="X369" s="11"/>
      <c r="Y369" s="11" t="s">
        <v>36</v>
      </c>
      <c r="Z369" s="11"/>
      <c r="AA369" s="11"/>
      <c r="AB369" s="11" t="str">
        <f t="shared" si="1"/>
        <v/>
      </c>
      <c r="AC369" s="11" t="str">
        <f t="shared" si="8"/>
        <v/>
      </c>
      <c r="AD369" s="11">
        <f t="shared" si="3"/>
        <v>0</v>
      </c>
      <c r="AE369" s="11">
        <f t="shared" si="4"/>
        <v>14</v>
      </c>
      <c r="AF369" s="11" t="str">
        <f t="shared" si="5"/>
        <v>V</v>
      </c>
      <c r="AG369" s="11" t="str">
        <f t="shared" si="6"/>
        <v>V-16</v>
      </c>
      <c r="AH369" s="21"/>
      <c r="AI369" s="21"/>
    </row>
    <row r="370" spans="1:35" ht="15.75" hidden="1" customHeight="1">
      <c r="A370" s="15">
        <v>368</v>
      </c>
      <c r="B370" s="16" t="s">
        <v>457</v>
      </c>
      <c r="C370" s="16" t="s">
        <v>458</v>
      </c>
      <c r="D370" s="17">
        <v>1</v>
      </c>
      <c r="E370" s="18"/>
      <c r="F370" s="18"/>
      <c r="G370" s="18"/>
      <c r="H370" s="19">
        <v>1</v>
      </c>
      <c r="I370" s="17">
        <v>29</v>
      </c>
      <c r="J370" s="17">
        <v>29</v>
      </c>
      <c r="K370" s="17">
        <v>5</v>
      </c>
      <c r="L370" s="17">
        <v>5</v>
      </c>
      <c r="M370" s="17">
        <v>0</v>
      </c>
      <c r="N370" s="17">
        <v>0</v>
      </c>
      <c r="O370" s="17">
        <v>0</v>
      </c>
      <c r="P370" s="17">
        <v>3</v>
      </c>
      <c r="Q370" s="17">
        <v>0</v>
      </c>
      <c r="R370" s="19"/>
      <c r="S370" s="20"/>
      <c r="T370" s="13">
        <f t="shared" si="0"/>
        <v>8</v>
      </c>
      <c r="U370" s="18">
        <f ca="1">IFERROR(__xludf.DUMMYFUNCTION("IFERROR(
  SUM(
    FILTER(
      Reporte!$E:$E, 
      REGEXMATCH(Reporte!$A:$A, ""(?i)(TE PAGÓ|PAGASTE)""), 
      Reporte!$H:$H &amp; """" = AG370 &amp; """"
    )
  ), 
  0
)"),0)</f>
        <v>0</v>
      </c>
      <c r="V370" s="18">
        <f ca="1">IFERROR(__xludf.DUMMYFUNCTION("IFERROR(
  SUM(
    FILTER(
      Efectivo!$C:$C, 
      Efectivo!$D:$D &amp; """" = AG370 &amp; """"
    )
  ), 
  0
)"),0)</f>
        <v>0</v>
      </c>
      <c r="W370" s="18"/>
      <c r="X370" s="18"/>
      <c r="Y370" s="18"/>
      <c r="Z370" s="18"/>
      <c r="AA370" s="18"/>
      <c r="AB370" s="18" t="str">
        <f t="shared" si="1"/>
        <v/>
      </c>
      <c r="AC370" s="18" t="str">
        <f t="shared" si="8"/>
        <v/>
      </c>
      <c r="AD370" s="11">
        <f t="shared" si="3"/>
        <v>0</v>
      </c>
      <c r="AE370" s="11">
        <f t="shared" si="4"/>
        <v>0</v>
      </c>
      <c r="AF370" s="18" t="str">
        <f t="shared" si="5"/>
        <v>W</v>
      </c>
      <c r="AG370" s="18" t="str">
        <f t="shared" si="6"/>
        <v>W-1</v>
      </c>
      <c r="AH370" s="14"/>
      <c r="AI370" s="14"/>
    </row>
    <row r="371" spans="1:35" ht="15.75" hidden="1" customHeight="1">
      <c r="A371" s="8">
        <v>369</v>
      </c>
      <c r="B371" s="9" t="s">
        <v>459</v>
      </c>
      <c r="C371" s="9" t="s">
        <v>458</v>
      </c>
      <c r="D371" s="10">
        <v>2</v>
      </c>
      <c r="E371" s="11"/>
      <c r="F371" s="11"/>
      <c r="G371" s="11"/>
      <c r="H371" s="12">
        <v>1</v>
      </c>
      <c r="I371" s="10">
        <v>4</v>
      </c>
      <c r="J371" s="10">
        <v>4</v>
      </c>
      <c r="K371" s="10">
        <v>5</v>
      </c>
      <c r="L371" s="10">
        <v>5</v>
      </c>
      <c r="M371" s="10">
        <v>0</v>
      </c>
      <c r="N371" s="10">
        <v>0</v>
      </c>
      <c r="O371" s="10"/>
      <c r="P371" s="10">
        <v>3</v>
      </c>
      <c r="Q371" s="10">
        <v>0</v>
      </c>
      <c r="R371" s="12"/>
      <c r="S371" s="13"/>
      <c r="T371" s="13">
        <f t="shared" si="0"/>
        <v>8</v>
      </c>
      <c r="U371" s="11">
        <f ca="1">IFERROR(__xludf.DUMMYFUNCTION("IFERROR(
  SUM(
    FILTER(
      Reporte!$E:$E, 
      REGEXMATCH(Reporte!$A:$A, ""(?i)(TE PAGÓ|PAGASTE)""), 
      Reporte!$H:$H &amp; """" = AG371 &amp; """"
    )
  ), 
  0
)"),8)</f>
        <v>8</v>
      </c>
      <c r="V371" s="11">
        <f ca="1">IFERROR(__xludf.DUMMYFUNCTION("IFERROR(
  SUM(
    FILTER(
      Efectivo!$C:$C, 
      Efectivo!$D:$D &amp; """" = AG371 &amp; """"
    )
  ), 
  0
)"),0)</f>
        <v>0</v>
      </c>
      <c r="W371" s="11" t="s">
        <v>35</v>
      </c>
      <c r="X371" s="11"/>
      <c r="Y371" s="11" t="s">
        <v>36</v>
      </c>
      <c r="Z371" s="11"/>
      <c r="AA371" s="11"/>
      <c r="AB371" s="11" t="str">
        <f t="shared" si="1"/>
        <v/>
      </c>
      <c r="AC371" s="11" t="str">
        <f t="shared" si="8"/>
        <v/>
      </c>
      <c r="AD371" s="11">
        <f t="shared" si="3"/>
        <v>0</v>
      </c>
      <c r="AE371" s="11">
        <f t="shared" si="4"/>
        <v>8</v>
      </c>
      <c r="AF371" s="11" t="str">
        <f t="shared" si="5"/>
        <v>W</v>
      </c>
      <c r="AG371" s="11" t="str">
        <f t="shared" si="6"/>
        <v>W-2</v>
      </c>
      <c r="AH371" s="21"/>
      <c r="AI371" s="21"/>
    </row>
    <row r="372" spans="1:35" ht="15.75" hidden="1" customHeight="1">
      <c r="A372" s="15">
        <v>370</v>
      </c>
      <c r="B372" s="16" t="s">
        <v>460</v>
      </c>
      <c r="C372" s="16" t="s">
        <v>458</v>
      </c>
      <c r="D372" s="17">
        <v>3</v>
      </c>
      <c r="E372" s="18"/>
      <c r="F372" s="18"/>
      <c r="G372" s="18"/>
      <c r="H372" s="19">
        <v>1</v>
      </c>
      <c r="I372" s="17">
        <v>10</v>
      </c>
      <c r="J372" s="17">
        <v>18</v>
      </c>
      <c r="K372" s="17">
        <v>8</v>
      </c>
      <c r="L372" s="17">
        <v>8</v>
      </c>
      <c r="M372" s="17">
        <v>10</v>
      </c>
      <c r="N372" s="17">
        <v>0</v>
      </c>
      <c r="O372" s="17">
        <v>15</v>
      </c>
      <c r="P372" s="17">
        <v>3</v>
      </c>
      <c r="Q372" s="17">
        <v>0</v>
      </c>
      <c r="R372" s="19"/>
      <c r="S372" s="20"/>
      <c r="T372" s="13">
        <f t="shared" si="0"/>
        <v>36</v>
      </c>
      <c r="U372" s="18">
        <f ca="1">IFERROR(__xludf.DUMMYFUNCTION("IFERROR(
  SUM(
    FILTER(
      Reporte!$E:$E, 
      REGEXMATCH(Reporte!$A:$A, ""(?i)(TE PAGÓ|PAGASTE)""), 
      Reporte!$H:$H &amp; """" = AG372 &amp; """"
    )
  ), 
  0
)"),36)</f>
        <v>36</v>
      </c>
      <c r="V372" s="18">
        <f ca="1">IFERROR(__xludf.DUMMYFUNCTION("IFERROR(
  SUM(
    FILTER(
      Efectivo!$C:$C, 
      Efectivo!$D:$D &amp; """" = AG372 &amp; """"
    )
  ), 
  0
)"),0)</f>
        <v>0</v>
      </c>
      <c r="W372" s="18" t="s">
        <v>35</v>
      </c>
      <c r="X372" s="18"/>
      <c r="Y372" s="18" t="s">
        <v>36</v>
      </c>
      <c r="Z372" s="18"/>
      <c r="AA372" s="18"/>
      <c r="AB372" s="18" t="str">
        <f t="shared" si="1"/>
        <v/>
      </c>
      <c r="AC372" s="18" t="str">
        <f t="shared" si="8"/>
        <v/>
      </c>
      <c r="AD372" s="11">
        <f t="shared" si="3"/>
        <v>0</v>
      </c>
      <c r="AE372" s="11">
        <f t="shared" si="4"/>
        <v>36</v>
      </c>
      <c r="AF372" s="18" t="str">
        <f t="shared" si="5"/>
        <v>W</v>
      </c>
      <c r="AG372" s="18" t="str">
        <f t="shared" si="6"/>
        <v>W-3</v>
      </c>
      <c r="AH372" s="14"/>
      <c r="AI372" s="14"/>
    </row>
    <row r="373" spans="1:35" ht="15.75" hidden="1" customHeight="1">
      <c r="A373" s="8">
        <v>371</v>
      </c>
      <c r="B373" s="9" t="s">
        <v>461</v>
      </c>
      <c r="C373" s="9" t="s">
        <v>458</v>
      </c>
      <c r="D373" s="10">
        <v>4</v>
      </c>
      <c r="E373" s="11"/>
      <c r="F373" s="11"/>
      <c r="G373" s="11"/>
      <c r="H373" s="12">
        <v>1</v>
      </c>
      <c r="I373" s="10">
        <v>27</v>
      </c>
      <c r="J373" s="10">
        <v>47</v>
      </c>
      <c r="K373" s="10">
        <v>20</v>
      </c>
      <c r="L373" s="10">
        <v>20</v>
      </c>
      <c r="M373" s="10">
        <v>0</v>
      </c>
      <c r="N373" s="10">
        <v>0</v>
      </c>
      <c r="O373" s="10">
        <v>25</v>
      </c>
      <c r="P373" s="10">
        <v>3</v>
      </c>
      <c r="Q373" s="10">
        <v>0</v>
      </c>
      <c r="R373" s="12"/>
      <c r="S373" s="13"/>
      <c r="T373" s="13">
        <f t="shared" si="0"/>
        <v>48</v>
      </c>
      <c r="U373" s="11">
        <f ca="1">IFERROR(__xludf.DUMMYFUNCTION("IFERROR(
  SUM(
    FILTER(
      Reporte!$E:$E, 
      REGEXMATCH(Reporte!$A:$A, ""(?i)(TE PAGÓ|PAGASTE)""), 
      Reporte!$H:$H &amp; """" = AG373 &amp; """"
    )
  ), 
  0
)"),48)</f>
        <v>48</v>
      </c>
      <c r="V373" s="11">
        <f ca="1">IFERROR(__xludf.DUMMYFUNCTION("IFERROR(
  SUM(
    FILTER(
      Efectivo!$C:$C, 
      Efectivo!$D:$D &amp; """" = AG373 &amp; """"
    )
  ), 
  0
)"),0)</f>
        <v>0</v>
      </c>
      <c r="W373" s="11" t="s">
        <v>35</v>
      </c>
      <c r="X373" s="11"/>
      <c r="Y373" s="11" t="s">
        <v>36</v>
      </c>
      <c r="Z373" s="11"/>
      <c r="AA373" s="11"/>
      <c r="AB373" s="11" t="str">
        <f t="shared" si="1"/>
        <v/>
      </c>
      <c r="AC373" s="11" t="str">
        <f t="shared" si="8"/>
        <v/>
      </c>
      <c r="AD373" s="11">
        <f t="shared" si="3"/>
        <v>0</v>
      </c>
      <c r="AE373" s="11">
        <f t="shared" si="4"/>
        <v>48</v>
      </c>
      <c r="AF373" s="11" t="str">
        <f t="shared" si="5"/>
        <v>W</v>
      </c>
      <c r="AG373" s="11" t="str">
        <f t="shared" si="6"/>
        <v>W-4</v>
      </c>
      <c r="AH373" s="21"/>
      <c r="AI373" s="21"/>
    </row>
    <row r="374" spans="1:35" ht="15.75" hidden="1" customHeight="1">
      <c r="A374" s="15">
        <v>372</v>
      </c>
      <c r="B374" s="16" t="s">
        <v>462</v>
      </c>
      <c r="C374" s="16" t="s">
        <v>458</v>
      </c>
      <c r="D374" s="17">
        <v>5</v>
      </c>
      <c r="E374" s="18"/>
      <c r="F374" s="18"/>
      <c r="G374" s="18"/>
      <c r="H374" s="19">
        <v>1</v>
      </c>
      <c r="I374" s="17">
        <v>17</v>
      </c>
      <c r="J374" s="17">
        <v>35</v>
      </c>
      <c r="K374" s="17">
        <v>18</v>
      </c>
      <c r="L374" s="17">
        <v>18</v>
      </c>
      <c r="M374" s="17">
        <v>0</v>
      </c>
      <c r="N374" s="17">
        <v>0</v>
      </c>
      <c r="O374" s="17">
        <v>3</v>
      </c>
      <c r="P374" s="17">
        <v>3</v>
      </c>
      <c r="Q374" s="17">
        <v>0</v>
      </c>
      <c r="R374" s="19"/>
      <c r="S374" s="20"/>
      <c r="T374" s="13">
        <f t="shared" si="0"/>
        <v>24</v>
      </c>
      <c r="U374" s="18">
        <f ca="1">IFERROR(__xludf.DUMMYFUNCTION("IFERROR(
  SUM(
    FILTER(
      Reporte!$E:$E, 
      REGEXMATCH(Reporte!$A:$A, ""(?i)(TE PAGÓ|PAGASTE)""), 
      Reporte!$H:$H &amp; """" = AG374 &amp; """"
    )
  ), 
  0
)"),24)</f>
        <v>24</v>
      </c>
      <c r="V374" s="18">
        <f ca="1">IFERROR(__xludf.DUMMYFUNCTION("IFERROR(
  SUM(
    FILTER(
      Efectivo!$C:$C, 
      Efectivo!$D:$D &amp; """" = AG374 &amp; """"
    )
  ), 
  0
)"),0)</f>
        <v>0</v>
      </c>
      <c r="W374" s="18" t="s">
        <v>35</v>
      </c>
      <c r="X374" s="18"/>
      <c r="Y374" s="18" t="s">
        <v>36</v>
      </c>
      <c r="Z374" s="18"/>
      <c r="AA374" s="18"/>
      <c r="AB374" s="18" t="str">
        <f t="shared" si="1"/>
        <v/>
      </c>
      <c r="AC374" s="18" t="str">
        <f t="shared" si="8"/>
        <v/>
      </c>
      <c r="AD374" s="11">
        <f t="shared" si="3"/>
        <v>0</v>
      </c>
      <c r="AE374" s="11">
        <f t="shared" si="4"/>
        <v>24</v>
      </c>
      <c r="AF374" s="18" t="str">
        <f t="shared" si="5"/>
        <v>W</v>
      </c>
      <c r="AG374" s="18" t="str">
        <f t="shared" si="6"/>
        <v>W-5</v>
      </c>
      <c r="AH374" s="14"/>
      <c r="AI374" s="14"/>
    </row>
    <row r="375" spans="1:35" ht="15.75" hidden="1" customHeight="1">
      <c r="A375" s="8">
        <v>373</v>
      </c>
      <c r="B375" s="9" t="s">
        <v>463</v>
      </c>
      <c r="C375" s="9" t="s">
        <v>458</v>
      </c>
      <c r="D375" s="10">
        <v>6</v>
      </c>
      <c r="E375" s="11"/>
      <c r="F375" s="11"/>
      <c r="G375" s="11"/>
      <c r="H375" s="12">
        <v>1</v>
      </c>
      <c r="I375" s="10">
        <v>6</v>
      </c>
      <c r="J375" s="10">
        <v>10</v>
      </c>
      <c r="K375" s="10">
        <v>5</v>
      </c>
      <c r="L375" s="10">
        <v>5</v>
      </c>
      <c r="M375" s="10">
        <v>0</v>
      </c>
      <c r="N375" s="10">
        <v>0</v>
      </c>
      <c r="O375" s="10"/>
      <c r="P375" s="10">
        <v>3</v>
      </c>
      <c r="Q375" s="10">
        <v>0</v>
      </c>
      <c r="R375" s="12"/>
      <c r="S375" s="13"/>
      <c r="T375" s="13">
        <f t="shared" si="0"/>
        <v>8</v>
      </c>
      <c r="U375" s="11">
        <f ca="1">IFERROR(__xludf.DUMMYFUNCTION("IFERROR(
  SUM(
    FILTER(
      Reporte!$E:$E, 
      REGEXMATCH(Reporte!$A:$A, ""(?i)(TE PAGÓ|PAGASTE)""), 
      Reporte!$H:$H &amp; """" = AG375 &amp; """"
    )
  ), 
  0
)"),0)</f>
        <v>0</v>
      </c>
      <c r="V375" s="11">
        <f ca="1">IFERROR(__xludf.DUMMYFUNCTION("IFERROR(
  SUM(
    FILTER(
      Efectivo!$C:$C, 
      Efectivo!$D:$D &amp; """" = AG375 &amp; """"
    )
  ), 
  0
)"),8)</f>
        <v>8</v>
      </c>
      <c r="W375" s="11" t="s">
        <v>35</v>
      </c>
      <c r="X375" s="11"/>
      <c r="Y375" s="11"/>
      <c r="Z375" s="11"/>
      <c r="AA375" s="11"/>
      <c r="AB375" s="11" t="str">
        <f t="shared" si="1"/>
        <v/>
      </c>
      <c r="AC375" s="11" t="str">
        <f t="shared" si="8"/>
        <v/>
      </c>
      <c r="AD375" s="11">
        <f t="shared" si="3"/>
        <v>8</v>
      </c>
      <c r="AE375" s="11">
        <f t="shared" si="4"/>
        <v>0</v>
      </c>
      <c r="AF375" s="11" t="str">
        <f t="shared" si="5"/>
        <v>W</v>
      </c>
      <c r="AG375" s="11" t="str">
        <f t="shared" si="6"/>
        <v>W-6</v>
      </c>
      <c r="AH375" s="21"/>
      <c r="AI375" s="21"/>
    </row>
    <row r="376" spans="1:35" ht="15.75" hidden="1" customHeight="1">
      <c r="A376" s="15">
        <v>374</v>
      </c>
      <c r="B376" s="16" t="s">
        <v>464</v>
      </c>
      <c r="C376" s="16" t="s">
        <v>458</v>
      </c>
      <c r="D376" s="17">
        <v>7</v>
      </c>
      <c r="E376" s="18"/>
      <c r="F376" s="18"/>
      <c r="G376" s="18"/>
      <c r="H376" s="19">
        <v>1</v>
      </c>
      <c r="I376" s="17">
        <v>354</v>
      </c>
      <c r="J376" s="17">
        <v>358</v>
      </c>
      <c r="K376" s="17">
        <v>5</v>
      </c>
      <c r="L376" s="17">
        <v>5</v>
      </c>
      <c r="M376" s="17">
        <v>0</v>
      </c>
      <c r="N376" s="17">
        <v>0</v>
      </c>
      <c r="O376" s="17">
        <v>0</v>
      </c>
      <c r="P376" s="17">
        <v>3</v>
      </c>
      <c r="Q376" s="17">
        <v>0</v>
      </c>
      <c r="R376" s="19"/>
      <c r="S376" s="20"/>
      <c r="T376" s="13">
        <f t="shared" si="0"/>
        <v>8</v>
      </c>
      <c r="U376" s="18">
        <f ca="1">IFERROR(__xludf.DUMMYFUNCTION("IFERROR(
  SUM(
    FILTER(
      Reporte!$E:$E, 
      REGEXMATCH(Reporte!$A:$A, ""(?i)(TE PAGÓ|PAGASTE)""), 
      Reporte!$H:$H &amp; """" = AG376 &amp; """"
    )
  ), 
  0
)"),8)</f>
        <v>8</v>
      </c>
      <c r="V376" s="18">
        <f ca="1">IFERROR(__xludf.DUMMYFUNCTION("IFERROR(
  SUM(
    FILTER(
      Efectivo!$C:$C, 
      Efectivo!$D:$D &amp; """" = AG376 &amp; """"
    )
  ), 
  0
)"),0)</f>
        <v>0</v>
      </c>
      <c r="W376" s="18" t="s">
        <v>35</v>
      </c>
      <c r="X376" s="18"/>
      <c r="Y376" s="18" t="s">
        <v>36</v>
      </c>
      <c r="Z376" s="18"/>
      <c r="AA376" s="18"/>
      <c r="AB376" s="18" t="str">
        <f t="shared" si="1"/>
        <v/>
      </c>
      <c r="AC376" s="18" t="str">
        <f t="shared" si="8"/>
        <v/>
      </c>
      <c r="AD376" s="11">
        <f t="shared" si="3"/>
        <v>0</v>
      </c>
      <c r="AE376" s="11">
        <f t="shared" si="4"/>
        <v>8</v>
      </c>
      <c r="AF376" s="18" t="str">
        <f t="shared" si="5"/>
        <v>W</v>
      </c>
      <c r="AG376" s="18" t="str">
        <f t="shared" si="6"/>
        <v>W-7</v>
      </c>
      <c r="AH376" s="14"/>
      <c r="AI376" s="14"/>
    </row>
    <row r="377" spans="1:35" ht="15.75" hidden="1" customHeight="1">
      <c r="A377" s="8">
        <v>375</v>
      </c>
      <c r="B377" s="9" t="s">
        <v>465</v>
      </c>
      <c r="C377" s="9" t="s">
        <v>458</v>
      </c>
      <c r="D377" s="10">
        <v>9</v>
      </c>
      <c r="E377" s="11"/>
      <c r="F377" s="11"/>
      <c r="G377" s="11"/>
      <c r="H377" s="12">
        <v>1</v>
      </c>
      <c r="I377" s="10">
        <v>0</v>
      </c>
      <c r="J377" s="10">
        <v>0</v>
      </c>
      <c r="K377" s="10">
        <v>5</v>
      </c>
      <c r="L377" s="10">
        <v>5</v>
      </c>
      <c r="M377" s="10">
        <v>0</v>
      </c>
      <c r="N377" s="10">
        <v>0</v>
      </c>
      <c r="O377" s="10">
        <v>0</v>
      </c>
      <c r="P377" s="10">
        <v>3</v>
      </c>
      <c r="Q377" s="10">
        <v>0</v>
      </c>
      <c r="R377" s="12"/>
      <c r="S377" s="13"/>
      <c r="T377" s="13">
        <f t="shared" si="0"/>
        <v>8</v>
      </c>
      <c r="U377" s="11">
        <f ca="1">IFERROR(__xludf.DUMMYFUNCTION("IFERROR(
  SUM(
    FILTER(
      Reporte!$E:$E, 
      REGEXMATCH(Reporte!$A:$A, ""(?i)(TE PAGÓ|PAGASTE)""), 
      Reporte!$H:$H &amp; """" = AG377 &amp; """"
    )
  ), 
  0
)"),0)</f>
        <v>0</v>
      </c>
      <c r="V377" s="11">
        <f ca="1">IFERROR(__xludf.DUMMYFUNCTION("IFERROR(
  SUM(
    FILTER(
      Efectivo!$C:$C, 
      Efectivo!$D:$D &amp; """" = AG377 &amp; """"
    )
  ), 
  0
)"),8)</f>
        <v>8</v>
      </c>
      <c r="W377" s="11" t="s">
        <v>35</v>
      </c>
      <c r="X377" s="11"/>
      <c r="Y377" s="11"/>
      <c r="Z377" s="11"/>
      <c r="AA377" s="11"/>
      <c r="AB377" s="11" t="str">
        <f t="shared" si="1"/>
        <v/>
      </c>
      <c r="AC377" s="11" t="str">
        <f t="shared" si="8"/>
        <v/>
      </c>
      <c r="AD377" s="11">
        <f t="shared" si="3"/>
        <v>8</v>
      </c>
      <c r="AE377" s="11">
        <f t="shared" si="4"/>
        <v>0</v>
      </c>
      <c r="AF377" s="11" t="str">
        <f t="shared" si="5"/>
        <v>W</v>
      </c>
      <c r="AG377" s="11" t="str">
        <f t="shared" si="6"/>
        <v>W-9</v>
      </c>
      <c r="AH377" s="21"/>
      <c r="AI377" s="21"/>
    </row>
    <row r="378" spans="1:35" ht="15.75" hidden="1" customHeight="1">
      <c r="A378" s="15">
        <v>376</v>
      </c>
      <c r="B378" s="16" t="s">
        <v>466</v>
      </c>
      <c r="C378" s="16" t="s">
        <v>458</v>
      </c>
      <c r="D378" s="17">
        <v>13</v>
      </c>
      <c r="E378" s="18"/>
      <c r="F378" s="18"/>
      <c r="G378" s="18"/>
      <c r="H378" s="19">
        <v>1</v>
      </c>
      <c r="I378" s="17">
        <v>663</v>
      </c>
      <c r="J378" s="17">
        <v>670</v>
      </c>
      <c r="K378" s="17">
        <v>7</v>
      </c>
      <c r="L378" s="17">
        <v>7</v>
      </c>
      <c r="M378" s="17">
        <v>0</v>
      </c>
      <c r="N378" s="17">
        <v>0</v>
      </c>
      <c r="O378" s="17">
        <v>0</v>
      </c>
      <c r="P378" s="17">
        <v>3</v>
      </c>
      <c r="Q378" s="17">
        <v>0</v>
      </c>
      <c r="R378" s="19"/>
      <c r="S378" s="20"/>
      <c r="T378" s="13">
        <f t="shared" si="0"/>
        <v>10</v>
      </c>
      <c r="U378" s="18">
        <f ca="1">IFERROR(__xludf.DUMMYFUNCTION("IFERROR(
  SUM(
    FILTER(
      Reporte!$E:$E, 
      REGEXMATCH(Reporte!$A:$A, ""(?i)(TE PAGÓ|PAGASTE)""), 
      Reporte!$H:$H &amp; """" = AG378 &amp; """"
    )
  ), 
  0
)"),10)</f>
        <v>10</v>
      </c>
      <c r="V378" s="18">
        <f ca="1">IFERROR(__xludf.DUMMYFUNCTION("IFERROR(
  SUM(
    FILTER(
      Efectivo!$C:$C, 
      Efectivo!$D:$D &amp; """" = AG378 &amp; """"
    )
  ), 
  0
)"),0)</f>
        <v>0</v>
      </c>
      <c r="W378" s="18" t="s">
        <v>35</v>
      </c>
      <c r="X378" s="18"/>
      <c r="Y378" s="18" t="s">
        <v>36</v>
      </c>
      <c r="Z378" s="18"/>
      <c r="AA378" s="18"/>
      <c r="AB378" s="18" t="str">
        <f t="shared" si="1"/>
        <v/>
      </c>
      <c r="AC378" s="18" t="str">
        <f t="shared" si="8"/>
        <v/>
      </c>
      <c r="AD378" s="11">
        <f t="shared" si="3"/>
        <v>0</v>
      </c>
      <c r="AE378" s="11">
        <f t="shared" si="4"/>
        <v>10</v>
      </c>
      <c r="AF378" s="18" t="str">
        <f t="shared" si="5"/>
        <v>W</v>
      </c>
      <c r="AG378" s="18" t="str">
        <f t="shared" si="6"/>
        <v>W-13</v>
      </c>
      <c r="AH378" s="14"/>
      <c r="AI378" s="14"/>
    </row>
    <row r="379" spans="1:35" ht="15.75" hidden="1" customHeight="1">
      <c r="A379" s="8">
        <v>377</v>
      </c>
      <c r="B379" s="9" t="s">
        <v>467</v>
      </c>
      <c r="C379" s="9" t="s">
        <v>458</v>
      </c>
      <c r="D379" s="10">
        <v>14</v>
      </c>
      <c r="E379" s="11"/>
      <c r="F379" s="11"/>
      <c r="G379" s="11"/>
      <c r="H379" s="12">
        <v>1</v>
      </c>
      <c r="I379" s="10">
        <v>39</v>
      </c>
      <c r="J379" s="10">
        <v>41</v>
      </c>
      <c r="K379" s="10">
        <v>5</v>
      </c>
      <c r="L379" s="10">
        <v>5</v>
      </c>
      <c r="M379" s="10">
        <v>0</v>
      </c>
      <c r="N379" s="10">
        <v>0</v>
      </c>
      <c r="O379" s="10">
        <v>0</v>
      </c>
      <c r="P379" s="10">
        <v>3</v>
      </c>
      <c r="Q379" s="10">
        <v>0</v>
      </c>
      <c r="R379" s="12"/>
      <c r="S379" s="13"/>
      <c r="T379" s="13">
        <f t="shared" si="0"/>
        <v>8</v>
      </c>
      <c r="U379" s="11">
        <f ca="1">IFERROR(__xludf.DUMMYFUNCTION("IFERROR(
  SUM(
    FILTER(
      Reporte!$E:$E, 
      REGEXMATCH(Reporte!$A:$A, ""(?i)(TE PAGÓ|PAGASTE)""), 
      Reporte!$H:$H &amp; """" = AG379 &amp; """"
    )
  ), 
  0
)"),8)</f>
        <v>8</v>
      </c>
      <c r="V379" s="11">
        <f ca="1">IFERROR(__xludf.DUMMYFUNCTION("IFERROR(
  SUM(
    FILTER(
      Efectivo!$C:$C, 
      Efectivo!$D:$D &amp; """" = AG379 &amp; """"
    )
  ), 
  0
)"),0)</f>
        <v>0</v>
      </c>
      <c r="W379" s="11" t="s">
        <v>35</v>
      </c>
      <c r="X379" s="11"/>
      <c r="Y379" s="11" t="s">
        <v>36</v>
      </c>
      <c r="Z379" s="11"/>
      <c r="AA379" s="11"/>
      <c r="AB379" s="11" t="str">
        <f t="shared" si="1"/>
        <v/>
      </c>
      <c r="AC379" s="11" t="str">
        <f t="shared" si="8"/>
        <v/>
      </c>
      <c r="AD379" s="11">
        <f t="shared" si="3"/>
        <v>0</v>
      </c>
      <c r="AE379" s="11">
        <f t="shared" si="4"/>
        <v>8</v>
      </c>
      <c r="AF379" s="11" t="str">
        <f t="shared" si="5"/>
        <v>W</v>
      </c>
      <c r="AG379" s="11" t="str">
        <f t="shared" si="6"/>
        <v>W-14</v>
      </c>
      <c r="AH379" s="21"/>
      <c r="AI379" s="21"/>
    </row>
    <row r="380" spans="1:35" ht="15.75" hidden="1" customHeight="1">
      <c r="A380" s="15">
        <v>378</v>
      </c>
      <c r="B380" s="16" t="s">
        <v>468</v>
      </c>
      <c r="C380" s="16" t="s">
        <v>458</v>
      </c>
      <c r="D380" s="17">
        <v>16</v>
      </c>
      <c r="E380" s="18"/>
      <c r="F380" s="18"/>
      <c r="G380" s="18"/>
      <c r="H380" s="19">
        <v>1</v>
      </c>
      <c r="I380" s="17">
        <v>3651</v>
      </c>
      <c r="J380" s="17">
        <v>3671</v>
      </c>
      <c r="K380" s="17">
        <v>20</v>
      </c>
      <c r="L380" s="17">
        <v>20</v>
      </c>
      <c r="M380" s="17">
        <v>0</v>
      </c>
      <c r="N380" s="17">
        <v>0</v>
      </c>
      <c r="O380" s="17">
        <v>0</v>
      </c>
      <c r="P380" s="17">
        <v>3</v>
      </c>
      <c r="Q380" s="17">
        <v>0</v>
      </c>
      <c r="R380" s="19"/>
      <c r="S380" s="20"/>
      <c r="T380" s="13">
        <f t="shared" si="0"/>
        <v>23</v>
      </c>
      <c r="U380" s="18">
        <f ca="1">IFERROR(__xludf.DUMMYFUNCTION("IFERROR(
  SUM(
    FILTER(
      Reporte!$E:$E, 
      REGEXMATCH(Reporte!$A:$A, ""(?i)(TE PAGÓ|PAGASTE)""), 
      Reporte!$H:$H &amp; """" = AG380 &amp; """"
    )
  ), 
  0
)"),23)</f>
        <v>23</v>
      </c>
      <c r="V380" s="18">
        <f ca="1">IFERROR(__xludf.DUMMYFUNCTION("IFERROR(
  SUM(
    FILTER(
      Efectivo!$C:$C, 
      Efectivo!$D:$D &amp; """" = AG380 &amp; """"
    )
  ), 
  0
)"),0)</f>
        <v>0</v>
      </c>
      <c r="W380" s="18" t="s">
        <v>35</v>
      </c>
      <c r="X380" s="18"/>
      <c r="Y380" s="18" t="s">
        <v>36</v>
      </c>
      <c r="Z380" s="18"/>
      <c r="AA380" s="18"/>
      <c r="AB380" s="18" t="str">
        <f t="shared" si="1"/>
        <v/>
      </c>
      <c r="AC380" s="18" t="str">
        <f t="shared" si="8"/>
        <v/>
      </c>
      <c r="AD380" s="11">
        <f t="shared" si="3"/>
        <v>0</v>
      </c>
      <c r="AE380" s="11">
        <f t="shared" si="4"/>
        <v>23</v>
      </c>
      <c r="AF380" s="18" t="str">
        <f t="shared" si="5"/>
        <v>W</v>
      </c>
      <c r="AG380" s="18" t="str">
        <f t="shared" si="6"/>
        <v>W-16</v>
      </c>
      <c r="AH380" s="14"/>
      <c r="AI380" s="14"/>
    </row>
    <row r="381" spans="1:35" ht="15.75" hidden="1" customHeight="1">
      <c r="A381" s="8">
        <v>379</v>
      </c>
      <c r="B381" s="9" t="s">
        <v>469</v>
      </c>
      <c r="C381" s="9" t="s">
        <v>458</v>
      </c>
      <c r="D381" s="10">
        <v>17</v>
      </c>
      <c r="E381" s="11"/>
      <c r="F381" s="11"/>
      <c r="G381" s="11"/>
      <c r="H381" s="12">
        <v>1</v>
      </c>
      <c r="I381" s="10">
        <v>2258</v>
      </c>
      <c r="J381" s="10">
        <v>2268</v>
      </c>
      <c r="K381" s="10">
        <v>10</v>
      </c>
      <c r="L381" s="10">
        <v>10</v>
      </c>
      <c r="M381" s="10">
        <v>14</v>
      </c>
      <c r="N381" s="10">
        <v>0</v>
      </c>
      <c r="O381" s="10">
        <v>0</v>
      </c>
      <c r="P381" s="10">
        <v>3</v>
      </c>
      <c r="Q381" s="10">
        <v>0</v>
      </c>
      <c r="R381" s="12"/>
      <c r="S381" s="13"/>
      <c r="T381" s="13">
        <f t="shared" si="0"/>
        <v>27</v>
      </c>
      <c r="U381" s="11">
        <f ca="1">IFERROR(__xludf.DUMMYFUNCTION("IFERROR(
  SUM(
    FILTER(
      Reporte!$E:$E, 
      REGEXMATCH(Reporte!$A:$A, ""(?i)(TE PAGÓ|PAGASTE)""), 
      Reporte!$H:$H &amp; """" = AG381 &amp; """"
    )
  ), 
  0
)"),27)</f>
        <v>27</v>
      </c>
      <c r="V381" s="11">
        <f ca="1">IFERROR(__xludf.DUMMYFUNCTION("IFERROR(
  SUM(
    FILTER(
      Efectivo!$C:$C, 
      Efectivo!$D:$D &amp; """" = AG381 &amp; """"
    )
  ), 
  0
)"),0)</f>
        <v>0</v>
      </c>
      <c r="W381" s="11" t="s">
        <v>35</v>
      </c>
      <c r="X381" s="11"/>
      <c r="Y381" s="11" t="s">
        <v>36</v>
      </c>
      <c r="Z381" s="11"/>
      <c r="AA381" s="11"/>
      <c r="AB381" s="11" t="str">
        <f t="shared" si="1"/>
        <v/>
      </c>
      <c r="AC381" s="11" t="str">
        <f t="shared" si="8"/>
        <v/>
      </c>
      <c r="AD381" s="11">
        <f t="shared" si="3"/>
        <v>0</v>
      </c>
      <c r="AE381" s="11">
        <f t="shared" si="4"/>
        <v>27</v>
      </c>
      <c r="AF381" s="11" t="str">
        <f t="shared" si="5"/>
        <v>W</v>
      </c>
      <c r="AG381" s="11" t="str">
        <f t="shared" si="6"/>
        <v>W-17</v>
      </c>
      <c r="AH381" s="21"/>
      <c r="AI381" s="21"/>
    </row>
    <row r="382" spans="1:35" ht="15.75" hidden="1" customHeight="1">
      <c r="A382" s="15">
        <v>380</v>
      </c>
      <c r="B382" s="16" t="s">
        <v>470</v>
      </c>
      <c r="C382" s="16" t="s">
        <v>458</v>
      </c>
      <c r="D382" s="17">
        <v>19</v>
      </c>
      <c r="E382" s="18"/>
      <c r="F382" s="18"/>
      <c r="G382" s="18"/>
      <c r="H382" s="19">
        <v>1</v>
      </c>
      <c r="I382" s="17">
        <v>2295</v>
      </c>
      <c r="J382" s="17">
        <v>2318</v>
      </c>
      <c r="K382" s="17">
        <v>23</v>
      </c>
      <c r="L382" s="24">
        <v>23</v>
      </c>
      <c r="M382" s="17">
        <v>0</v>
      </c>
      <c r="N382" s="17">
        <v>0</v>
      </c>
      <c r="O382" s="17">
        <v>0</v>
      </c>
      <c r="P382" s="17">
        <v>3</v>
      </c>
      <c r="Q382" s="17">
        <v>0</v>
      </c>
      <c r="R382" s="19"/>
      <c r="S382" s="20"/>
      <c r="T382" s="13">
        <f t="shared" si="0"/>
        <v>26</v>
      </c>
      <c r="U382" s="18">
        <f ca="1">IFERROR(__xludf.DUMMYFUNCTION("IFERROR(
  SUM(
    FILTER(
      Reporte!$E:$E, 
      REGEXMATCH(Reporte!$A:$A, ""(?i)(TE PAGÓ|PAGASTE)""), 
      Reporte!$H:$H &amp; """" = AG382 &amp; """"
    )
  ), 
  0
)"),26)</f>
        <v>26</v>
      </c>
      <c r="V382" s="18">
        <f ca="1">IFERROR(__xludf.DUMMYFUNCTION("IFERROR(
  SUM(
    FILTER(
      Efectivo!$C:$C, 
      Efectivo!$D:$D &amp; """" = AG382 &amp; """"
    )
  ), 
  0
)"),0)</f>
        <v>0</v>
      </c>
      <c r="W382" s="18" t="s">
        <v>35</v>
      </c>
      <c r="X382" s="18"/>
      <c r="Y382" s="18" t="s">
        <v>36</v>
      </c>
      <c r="Z382" s="18"/>
      <c r="AA382" s="18"/>
      <c r="AB382" s="18" t="str">
        <f t="shared" si="1"/>
        <v/>
      </c>
      <c r="AC382" s="18" t="str">
        <f t="shared" si="8"/>
        <v/>
      </c>
      <c r="AD382" s="11">
        <f t="shared" si="3"/>
        <v>0</v>
      </c>
      <c r="AE382" s="11">
        <f t="shared" si="4"/>
        <v>26</v>
      </c>
      <c r="AF382" s="18" t="str">
        <f t="shared" si="5"/>
        <v>W</v>
      </c>
      <c r="AG382" s="18" t="str">
        <f t="shared" si="6"/>
        <v>W-19</v>
      </c>
      <c r="AH382" s="14"/>
      <c r="AI382" s="14"/>
    </row>
    <row r="383" spans="1:35" ht="15.75" hidden="1" customHeight="1">
      <c r="A383" s="8">
        <v>381</v>
      </c>
      <c r="B383" s="9" t="s">
        <v>471</v>
      </c>
      <c r="C383" s="9" t="s">
        <v>458</v>
      </c>
      <c r="D383" s="10">
        <v>20</v>
      </c>
      <c r="E383" s="11"/>
      <c r="F383" s="11"/>
      <c r="G383" s="11"/>
      <c r="H383" s="12">
        <v>1</v>
      </c>
      <c r="I383" s="10">
        <v>1155</v>
      </c>
      <c r="J383" s="10">
        <v>1177</v>
      </c>
      <c r="K383" s="10">
        <v>22</v>
      </c>
      <c r="L383" s="10">
        <v>22</v>
      </c>
      <c r="M383" s="10">
        <v>19</v>
      </c>
      <c r="N383" s="10">
        <v>0</v>
      </c>
      <c r="O383" s="10">
        <v>0</v>
      </c>
      <c r="P383" s="10">
        <v>3</v>
      </c>
      <c r="Q383" s="10">
        <v>0</v>
      </c>
      <c r="R383" s="12"/>
      <c r="S383" s="13"/>
      <c r="T383" s="13">
        <f t="shared" si="0"/>
        <v>44</v>
      </c>
      <c r="U383" s="11">
        <f ca="1">IFERROR(__xludf.DUMMYFUNCTION("IFERROR(
  SUM(
    FILTER(
      Reporte!$E:$E, 
      REGEXMATCH(Reporte!$A:$A, ""(?i)(TE PAGÓ|PAGASTE)""), 
      Reporte!$H:$H &amp; """" = AG383 &amp; """"
    )
  ), 
  0
)"),44)</f>
        <v>44</v>
      </c>
      <c r="V383" s="11">
        <f ca="1">IFERROR(__xludf.DUMMYFUNCTION("IFERROR(
  SUM(
    FILTER(
      Efectivo!$C:$C, 
      Efectivo!$D:$D &amp; """" = AG383 &amp; """"
    )
  ), 
  0
)"),0)</f>
        <v>0</v>
      </c>
      <c r="W383" s="11" t="s">
        <v>35</v>
      </c>
      <c r="X383" s="11"/>
      <c r="Y383" s="11" t="s">
        <v>36</v>
      </c>
      <c r="Z383" s="11"/>
      <c r="AA383" s="11"/>
      <c r="AB383" s="11" t="str">
        <f t="shared" si="1"/>
        <v/>
      </c>
      <c r="AC383" s="11" t="str">
        <f t="shared" si="8"/>
        <v/>
      </c>
      <c r="AD383" s="11">
        <f t="shared" si="3"/>
        <v>0</v>
      </c>
      <c r="AE383" s="11">
        <f t="shared" si="4"/>
        <v>44</v>
      </c>
      <c r="AF383" s="11" t="str">
        <f t="shared" si="5"/>
        <v>W</v>
      </c>
      <c r="AG383" s="11" t="str">
        <f t="shared" si="6"/>
        <v>W-20</v>
      </c>
      <c r="AH383" s="21"/>
      <c r="AI383" s="21"/>
    </row>
    <row r="384" spans="1:35" ht="15.75" hidden="1" customHeight="1">
      <c r="A384" s="15">
        <v>382</v>
      </c>
      <c r="B384" s="16" t="s">
        <v>472</v>
      </c>
      <c r="C384" s="16" t="s">
        <v>473</v>
      </c>
      <c r="D384" s="17">
        <v>1</v>
      </c>
      <c r="E384" s="18"/>
      <c r="F384" s="18"/>
      <c r="G384" s="18"/>
      <c r="H384" s="19">
        <v>1</v>
      </c>
      <c r="I384" s="17">
        <v>221</v>
      </c>
      <c r="J384" s="17">
        <v>230</v>
      </c>
      <c r="K384" s="17">
        <v>9</v>
      </c>
      <c r="L384" s="17">
        <v>9</v>
      </c>
      <c r="M384" s="17">
        <v>0</v>
      </c>
      <c r="N384" s="17">
        <v>0</v>
      </c>
      <c r="O384" s="17">
        <v>0</v>
      </c>
      <c r="P384" s="17">
        <v>3</v>
      </c>
      <c r="Q384" s="17">
        <v>0</v>
      </c>
      <c r="R384" s="19"/>
      <c r="S384" s="20"/>
      <c r="T384" s="13">
        <f t="shared" si="0"/>
        <v>12</v>
      </c>
      <c r="U384" s="18">
        <f ca="1">IFERROR(__xludf.DUMMYFUNCTION("IFERROR(
  SUM(
    FILTER(
      Reporte!$E:$E, 
      REGEXMATCH(Reporte!$A:$A, ""(?i)(TE PAGÓ|PAGASTE)""), 
      Reporte!$H:$H &amp; """" = AG384 &amp; """"
    )
  ), 
  0
)"),12)</f>
        <v>12</v>
      </c>
      <c r="V384" s="18">
        <f ca="1">IFERROR(__xludf.DUMMYFUNCTION("IFERROR(
  SUM(
    FILTER(
      Efectivo!$C:$C, 
      Efectivo!$D:$D &amp; """" = AG384 &amp; """"
    )
  ), 
  0
)"),0)</f>
        <v>0</v>
      </c>
      <c r="W384" s="18" t="s">
        <v>35</v>
      </c>
      <c r="X384" s="18"/>
      <c r="Y384" s="18" t="s">
        <v>36</v>
      </c>
      <c r="Z384" s="18"/>
      <c r="AA384" s="18"/>
      <c r="AB384" s="18" t="str">
        <f t="shared" si="1"/>
        <v/>
      </c>
      <c r="AC384" s="18" t="str">
        <f t="shared" si="8"/>
        <v/>
      </c>
      <c r="AD384" s="11">
        <f t="shared" si="3"/>
        <v>0</v>
      </c>
      <c r="AE384" s="11">
        <f t="shared" si="4"/>
        <v>12</v>
      </c>
      <c r="AF384" s="18" t="str">
        <f t="shared" si="5"/>
        <v>X</v>
      </c>
      <c r="AG384" s="18" t="str">
        <f t="shared" si="6"/>
        <v>X-1</v>
      </c>
      <c r="AH384" s="14"/>
      <c r="AI384" s="14"/>
    </row>
    <row r="385" spans="1:35" ht="15.75" hidden="1" customHeight="1">
      <c r="A385" s="8">
        <v>383</v>
      </c>
      <c r="B385" s="9" t="s">
        <v>474</v>
      </c>
      <c r="C385" s="9" t="s">
        <v>473</v>
      </c>
      <c r="D385" s="10">
        <v>2</v>
      </c>
      <c r="E385" s="11"/>
      <c r="F385" s="11"/>
      <c r="G385" s="11"/>
      <c r="H385" s="12">
        <v>1</v>
      </c>
      <c r="I385" s="10">
        <v>1697</v>
      </c>
      <c r="J385" s="10">
        <v>1715</v>
      </c>
      <c r="K385" s="10">
        <v>18</v>
      </c>
      <c r="L385" s="10">
        <v>18</v>
      </c>
      <c r="M385" s="10">
        <v>0</v>
      </c>
      <c r="N385" s="10">
        <v>0</v>
      </c>
      <c r="O385" s="10">
        <v>0</v>
      </c>
      <c r="P385" s="10">
        <v>3</v>
      </c>
      <c r="Q385" s="10">
        <v>0</v>
      </c>
      <c r="R385" s="12"/>
      <c r="S385" s="13"/>
      <c r="T385" s="13">
        <f t="shared" si="0"/>
        <v>21</v>
      </c>
      <c r="U385" s="11">
        <f ca="1">IFERROR(__xludf.DUMMYFUNCTION("IFERROR(
  SUM(
    FILTER(
      Reporte!$E:$E, 
      REGEXMATCH(Reporte!$A:$A, ""(?i)(TE PAGÓ|PAGASTE)""), 
      Reporte!$H:$H &amp; """" = AG385 &amp; """"
    )
  ), 
  0
)"),0)</f>
        <v>0</v>
      </c>
      <c r="V385" s="11">
        <f ca="1">IFERROR(__xludf.DUMMYFUNCTION("IFERROR(
  SUM(
    FILTER(
      Efectivo!$C:$C, 
      Efectivo!$D:$D &amp; """" = AG385 &amp; """"
    )
  ), 
  0
)"),0)</f>
        <v>0</v>
      </c>
      <c r="W385" s="11"/>
      <c r="X385" s="11"/>
      <c r="Y385" s="11"/>
      <c r="Z385" s="11"/>
      <c r="AA385" s="11"/>
      <c r="AB385" s="11" t="str">
        <f t="shared" si="1"/>
        <v/>
      </c>
      <c r="AC385" s="11" t="str">
        <f t="shared" si="8"/>
        <v/>
      </c>
      <c r="AD385" s="11">
        <f t="shared" si="3"/>
        <v>0</v>
      </c>
      <c r="AE385" s="11">
        <f t="shared" si="4"/>
        <v>0</v>
      </c>
      <c r="AF385" s="11" t="str">
        <f t="shared" si="5"/>
        <v>X</v>
      </c>
      <c r="AG385" s="11" t="str">
        <f t="shared" si="6"/>
        <v>X-2</v>
      </c>
      <c r="AH385" s="21"/>
      <c r="AI385" s="21"/>
    </row>
    <row r="386" spans="1:35" ht="15.75" hidden="1" customHeight="1">
      <c r="A386" s="15">
        <v>384</v>
      </c>
      <c r="B386" s="16" t="s">
        <v>475</v>
      </c>
      <c r="C386" s="16" t="s">
        <v>473</v>
      </c>
      <c r="D386" s="17">
        <v>3</v>
      </c>
      <c r="E386" s="18"/>
      <c r="F386" s="18"/>
      <c r="G386" s="18"/>
      <c r="H386" s="19">
        <v>1</v>
      </c>
      <c r="I386" s="17">
        <v>738</v>
      </c>
      <c r="J386" s="17">
        <v>752</v>
      </c>
      <c r="K386" s="17">
        <v>14</v>
      </c>
      <c r="L386" s="17">
        <v>14</v>
      </c>
      <c r="M386" s="17">
        <v>0</v>
      </c>
      <c r="N386" s="17">
        <v>0</v>
      </c>
      <c r="O386" s="17">
        <v>0</v>
      </c>
      <c r="P386" s="17">
        <v>3</v>
      </c>
      <c r="Q386" s="17">
        <v>0</v>
      </c>
      <c r="R386" s="19"/>
      <c r="S386" s="20"/>
      <c r="T386" s="13">
        <f t="shared" si="0"/>
        <v>17</v>
      </c>
      <c r="U386" s="18">
        <f ca="1">IFERROR(__xludf.DUMMYFUNCTION("IFERROR(
  SUM(
    FILTER(
      Reporte!$E:$E, 
      REGEXMATCH(Reporte!$A:$A, ""(?i)(TE PAGÓ|PAGASTE)""), 
      Reporte!$H:$H &amp; """" = AG386 &amp; """"
    )
  ), 
  0
)"),17)</f>
        <v>17</v>
      </c>
      <c r="V386" s="18">
        <f ca="1">IFERROR(__xludf.DUMMYFUNCTION("IFERROR(
  SUM(
    FILTER(
      Efectivo!$C:$C, 
      Efectivo!$D:$D &amp; """" = AG386 &amp; """"
    )
  ), 
  0
)"),0)</f>
        <v>0</v>
      </c>
      <c r="W386" s="18" t="s">
        <v>35</v>
      </c>
      <c r="X386" s="18"/>
      <c r="Y386" s="18" t="s">
        <v>36</v>
      </c>
      <c r="Z386" s="18"/>
      <c r="AA386" s="18"/>
      <c r="AB386" s="18" t="str">
        <f t="shared" si="1"/>
        <v/>
      </c>
      <c r="AC386" s="18" t="str">
        <f t="shared" si="8"/>
        <v/>
      </c>
      <c r="AD386" s="11">
        <f t="shared" si="3"/>
        <v>0</v>
      </c>
      <c r="AE386" s="11">
        <f t="shared" si="4"/>
        <v>17</v>
      </c>
      <c r="AF386" s="18" t="str">
        <f t="shared" si="5"/>
        <v>X</v>
      </c>
      <c r="AG386" s="18" t="str">
        <f t="shared" si="6"/>
        <v>X-3</v>
      </c>
      <c r="AH386" s="14"/>
      <c r="AI386" s="14"/>
    </row>
    <row r="387" spans="1:35" ht="15.75" hidden="1" customHeight="1">
      <c r="A387" s="8">
        <v>385</v>
      </c>
      <c r="B387" s="9" t="s">
        <v>476</v>
      </c>
      <c r="C387" s="9" t="s">
        <v>473</v>
      </c>
      <c r="D387" s="10">
        <v>4</v>
      </c>
      <c r="E387" s="11"/>
      <c r="F387" s="11"/>
      <c r="G387" s="11"/>
      <c r="H387" s="12">
        <v>1</v>
      </c>
      <c r="I387" s="10">
        <v>3273</v>
      </c>
      <c r="J387" s="10">
        <v>3289</v>
      </c>
      <c r="K387" s="10">
        <v>16</v>
      </c>
      <c r="L387" s="10">
        <v>16</v>
      </c>
      <c r="M387" s="10">
        <v>0</v>
      </c>
      <c r="N387" s="10">
        <v>0</v>
      </c>
      <c r="O387" s="10">
        <v>0</v>
      </c>
      <c r="P387" s="10">
        <v>3</v>
      </c>
      <c r="Q387" s="10">
        <v>0</v>
      </c>
      <c r="R387" s="12"/>
      <c r="S387" s="13"/>
      <c r="T387" s="13">
        <f t="shared" si="0"/>
        <v>19</v>
      </c>
      <c r="U387" s="11">
        <f ca="1">IFERROR(__xludf.DUMMYFUNCTION("IFERROR(
  SUM(
    FILTER(
      Reporte!$E:$E, 
      REGEXMATCH(Reporte!$A:$A, ""(?i)(TE PAGÓ|PAGASTE)""), 
      Reporte!$H:$H &amp; """" = AG387 &amp; """"
    )
  ), 
  0
)"),0)</f>
        <v>0</v>
      </c>
      <c r="V387" s="11">
        <f ca="1">IFERROR(__xludf.DUMMYFUNCTION("IFERROR(
  SUM(
    FILTER(
      Efectivo!$C:$C, 
      Efectivo!$D:$D &amp; """" = AG387 &amp; """"
    )
  ), 
  0
)"),0)</f>
        <v>0</v>
      </c>
      <c r="W387" s="11"/>
      <c r="X387" s="11"/>
      <c r="Y387" s="11"/>
      <c r="Z387" s="11"/>
      <c r="AA387" s="11"/>
      <c r="AB387" s="11" t="str">
        <f t="shared" si="1"/>
        <v/>
      </c>
      <c r="AC387" s="11" t="str">
        <f t="shared" si="8"/>
        <v/>
      </c>
      <c r="AD387" s="11">
        <f t="shared" si="3"/>
        <v>0</v>
      </c>
      <c r="AE387" s="11">
        <f t="shared" si="4"/>
        <v>0</v>
      </c>
      <c r="AF387" s="11" t="str">
        <f t="shared" si="5"/>
        <v>X</v>
      </c>
      <c r="AG387" s="11" t="str">
        <f t="shared" si="6"/>
        <v>X-4</v>
      </c>
      <c r="AH387" s="21"/>
      <c r="AI387" s="21"/>
    </row>
    <row r="388" spans="1:35" ht="15.75" hidden="1" customHeight="1">
      <c r="A388" s="15">
        <v>386</v>
      </c>
      <c r="B388" s="16" t="s">
        <v>477</v>
      </c>
      <c r="C388" s="16" t="s">
        <v>473</v>
      </c>
      <c r="D388" s="17">
        <v>6</v>
      </c>
      <c r="E388" s="18"/>
      <c r="F388" s="18"/>
      <c r="G388" s="18"/>
      <c r="H388" s="19">
        <v>1</v>
      </c>
      <c r="I388" s="17">
        <v>2536</v>
      </c>
      <c r="J388" s="17">
        <v>2557</v>
      </c>
      <c r="K388" s="17">
        <v>21</v>
      </c>
      <c r="L388" s="24">
        <v>21</v>
      </c>
      <c r="M388" s="17">
        <v>0</v>
      </c>
      <c r="N388" s="17">
        <v>0</v>
      </c>
      <c r="O388" s="17">
        <v>0</v>
      </c>
      <c r="P388" s="17">
        <v>3</v>
      </c>
      <c r="Q388" s="17">
        <v>0</v>
      </c>
      <c r="R388" s="19"/>
      <c r="S388" s="20"/>
      <c r="T388" s="13">
        <f t="shared" si="0"/>
        <v>24</v>
      </c>
      <c r="U388" s="18">
        <f ca="1">IFERROR(__xludf.DUMMYFUNCTION("IFERROR(
  SUM(
    FILTER(
      Reporte!$E:$E, 
      REGEXMATCH(Reporte!$A:$A, ""(?i)(TE PAGÓ|PAGASTE)""), 
      Reporte!$H:$H &amp; """" = AG388 &amp; """"
    )
  ), 
  0
)"),0)</f>
        <v>0</v>
      </c>
      <c r="V388" s="18">
        <f ca="1">IFERROR(__xludf.DUMMYFUNCTION("IFERROR(
  SUM(
    FILTER(
      Efectivo!$C:$C, 
      Efectivo!$D:$D &amp; """" = AG388 &amp; """"
    )
  ), 
  0
)"),0)</f>
        <v>0</v>
      </c>
      <c r="W388" s="18"/>
      <c r="X388" s="18"/>
      <c r="Y388" s="18"/>
      <c r="Z388" s="18"/>
      <c r="AA388" s="18"/>
      <c r="AB388" s="18" t="str">
        <f t="shared" si="1"/>
        <v/>
      </c>
      <c r="AC388" s="18" t="str">
        <f t="shared" si="8"/>
        <v/>
      </c>
      <c r="AD388" s="11">
        <f t="shared" si="3"/>
        <v>0</v>
      </c>
      <c r="AE388" s="11">
        <f t="shared" si="4"/>
        <v>0</v>
      </c>
      <c r="AF388" s="18" t="str">
        <f t="shared" si="5"/>
        <v>X</v>
      </c>
      <c r="AG388" s="18" t="str">
        <f t="shared" si="6"/>
        <v>X-6</v>
      </c>
      <c r="AH388" s="14"/>
      <c r="AI388" s="14"/>
    </row>
    <row r="389" spans="1:35" ht="15.75" hidden="1" customHeight="1">
      <c r="A389" s="8">
        <v>387</v>
      </c>
      <c r="B389" s="9" t="s">
        <v>478</v>
      </c>
      <c r="C389" s="9" t="s">
        <v>473</v>
      </c>
      <c r="D389" s="10">
        <v>9</v>
      </c>
      <c r="E389" s="11"/>
      <c r="F389" s="11"/>
      <c r="G389" s="11"/>
      <c r="H389" s="12">
        <v>1</v>
      </c>
      <c r="I389" s="10">
        <v>702</v>
      </c>
      <c r="J389" s="10">
        <v>722</v>
      </c>
      <c r="K389" s="10">
        <v>20</v>
      </c>
      <c r="L389" s="24">
        <v>20</v>
      </c>
      <c r="M389" s="10">
        <v>0</v>
      </c>
      <c r="N389" s="10">
        <v>0</v>
      </c>
      <c r="O389" s="10">
        <v>0</v>
      </c>
      <c r="P389" s="10">
        <v>3</v>
      </c>
      <c r="Q389" s="10">
        <v>0</v>
      </c>
      <c r="R389" s="12"/>
      <c r="S389" s="13"/>
      <c r="T389" s="13">
        <f t="shared" si="0"/>
        <v>23</v>
      </c>
      <c r="U389" s="11">
        <f ca="1">IFERROR(__xludf.DUMMYFUNCTION("IFERROR(
  SUM(
    FILTER(
      Reporte!$E:$E, 
      REGEXMATCH(Reporte!$A:$A, ""(?i)(TE PAGÓ|PAGASTE)""), 
      Reporte!$H:$H &amp; """" = AG389 &amp; """"
    )
  ), 
  0
)"),23)</f>
        <v>23</v>
      </c>
      <c r="V389" s="11">
        <f ca="1">IFERROR(__xludf.DUMMYFUNCTION("IFERROR(
  SUM(
    FILTER(
      Efectivo!$C:$C, 
      Efectivo!$D:$D &amp; """" = AG389 &amp; """"
    )
  ), 
  0
)"),0)</f>
        <v>0</v>
      </c>
      <c r="W389" s="11" t="s">
        <v>35</v>
      </c>
      <c r="X389" s="11"/>
      <c r="Y389" s="11" t="s">
        <v>36</v>
      </c>
      <c r="Z389" s="11"/>
      <c r="AA389" s="11"/>
      <c r="AB389" s="11" t="str">
        <f t="shared" si="1"/>
        <v/>
      </c>
      <c r="AC389" s="11" t="str">
        <f t="shared" si="8"/>
        <v/>
      </c>
      <c r="AD389" s="11">
        <f t="shared" si="3"/>
        <v>0</v>
      </c>
      <c r="AE389" s="11">
        <f t="shared" si="4"/>
        <v>23</v>
      </c>
      <c r="AF389" s="11" t="str">
        <f t="shared" si="5"/>
        <v>X</v>
      </c>
      <c r="AG389" s="11" t="str">
        <f t="shared" si="6"/>
        <v>X-9</v>
      </c>
      <c r="AH389" s="21"/>
      <c r="AI389" s="21"/>
    </row>
    <row r="390" spans="1:35" ht="15.75" hidden="1" customHeight="1">
      <c r="A390" s="15">
        <v>388</v>
      </c>
      <c r="B390" s="16" t="s">
        <v>479</v>
      </c>
      <c r="C390" s="16" t="s">
        <v>473</v>
      </c>
      <c r="D390" s="17">
        <v>10</v>
      </c>
      <c r="E390" s="18"/>
      <c r="F390" s="18"/>
      <c r="G390" s="18"/>
      <c r="H390" s="19">
        <v>1</v>
      </c>
      <c r="I390" s="17">
        <v>541</v>
      </c>
      <c r="J390" s="17">
        <v>564</v>
      </c>
      <c r="K390" s="17">
        <v>23</v>
      </c>
      <c r="L390" s="17">
        <v>23</v>
      </c>
      <c r="M390" s="17">
        <v>0</v>
      </c>
      <c r="N390" s="17">
        <v>0</v>
      </c>
      <c r="O390" s="17">
        <v>0</v>
      </c>
      <c r="P390" s="17">
        <v>3</v>
      </c>
      <c r="Q390" s="17">
        <v>0</v>
      </c>
      <c r="R390" s="19"/>
      <c r="S390" s="20"/>
      <c r="T390" s="13">
        <f t="shared" si="0"/>
        <v>26</v>
      </c>
      <c r="U390" s="18">
        <f ca="1">IFERROR(__xludf.DUMMYFUNCTION("IFERROR(
  SUM(
    FILTER(
      Reporte!$E:$E, 
      REGEXMATCH(Reporte!$A:$A, ""(?i)(TE PAGÓ|PAGASTE)""), 
      Reporte!$H:$H &amp; """" = AG390 &amp; """"
    )
  ), 
  0
)"),26)</f>
        <v>26</v>
      </c>
      <c r="V390" s="18">
        <f ca="1">IFERROR(__xludf.DUMMYFUNCTION("IFERROR(
  SUM(
    FILTER(
      Efectivo!$C:$C, 
      Efectivo!$D:$D &amp; """" = AG390 &amp; """"
    )
  ), 
  0
)"),0)</f>
        <v>0</v>
      </c>
      <c r="W390" s="18" t="s">
        <v>35</v>
      </c>
      <c r="X390" s="18"/>
      <c r="Y390" s="18" t="s">
        <v>36</v>
      </c>
      <c r="Z390" s="18"/>
      <c r="AA390" s="18"/>
      <c r="AB390" s="18" t="str">
        <f t="shared" si="1"/>
        <v/>
      </c>
      <c r="AC390" s="18" t="str">
        <f t="shared" si="8"/>
        <v/>
      </c>
      <c r="AD390" s="11">
        <f t="shared" si="3"/>
        <v>0</v>
      </c>
      <c r="AE390" s="11">
        <f t="shared" si="4"/>
        <v>26</v>
      </c>
      <c r="AF390" s="18" t="str">
        <f t="shared" si="5"/>
        <v>X</v>
      </c>
      <c r="AG390" s="18" t="str">
        <f t="shared" si="6"/>
        <v>X-10</v>
      </c>
      <c r="AH390" s="14"/>
      <c r="AI390" s="14"/>
    </row>
    <row r="391" spans="1:35" ht="15.75" hidden="1" customHeight="1">
      <c r="A391" s="8">
        <v>389</v>
      </c>
      <c r="B391" s="9" t="s">
        <v>480</v>
      </c>
      <c r="C391" s="9" t="s">
        <v>473</v>
      </c>
      <c r="D391" s="10">
        <v>11</v>
      </c>
      <c r="E391" s="11"/>
      <c r="F391" s="11"/>
      <c r="G391" s="11"/>
      <c r="H391" s="12">
        <v>1</v>
      </c>
      <c r="I391" s="10">
        <v>101</v>
      </c>
      <c r="J391" s="10">
        <v>113</v>
      </c>
      <c r="K391" s="10">
        <v>12</v>
      </c>
      <c r="L391" s="10">
        <v>5</v>
      </c>
      <c r="M391" s="10">
        <v>0</v>
      </c>
      <c r="N391" s="10">
        <v>0</v>
      </c>
      <c r="O391" s="10">
        <v>0</v>
      </c>
      <c r="P391" s="10">
        <v>3</v>
      </c>
      <c r="Q391" s="10">
        <v>0</v>
      </c>
      <c r="R391" s="12"/>
      <c r="S391" s="13"/>
      <c r="T391" s="13">
        <f t="shared" si="0"/>
        <v>8</v>
      </c>
      <c r="U391" s="11">
        <f ca="1">IFERROR(__xludf.DUMMYFUNCTION("IFERROR(
  SUM(
    FILTER(
      Reporte!$E:$E, 
      REGEXMATCH(Reporte!$A:$A, ""(?i)(TE PAGÓ|PAGASTE)""), 
      Reporte!$H:$H &amp; """" = AG391 &amp; """"
    )
  ), 
  0
)"),8)</f>
        <v>8</v>
      </c>
      <c r="V391" s="11">
        <f ca="1">IFERROR(__xludf.DUMMYFUNCTION("IFERROR(
  SUM(
    FILTER(
      Efectivo!$C:$C, 
      Efectivo!$D:$D &amp; """" = AG391 &amp; """"
    )
  ), 
  0
)"),0)</f>
        <v>0</v>
      </c>
      <c r="W391" s="11" t="s">
        <v>35</v>
      </c>
      <c r="X391" s="11"/>
      <c r="Y391" s="11" t="s">
        <v>36</v>
      </c>
      <c r="Z391" s="11"/>
      <c r="AA391" s="11"/>
      <c r="AB391" s="11" t="str">
        <f t="shared" si="1"/>
        <v/>
      </c>
      <c r="AC391" s="11" t="str">
        <f t="shared" si="8"/>
        <v/>
      </c>
      <c r="AD391" s="11">
        <f t="shared" si="3"/>
        <v>0</v>
      </c>
      <c r="AE391" s="11">
        <f t="shared" si="4"/>
        <v>8</v>
      </c>
      <c r="AF391" s="11" t="str">
        <f t="shared" si="5"/>
        <v>X</v>
      </c>
      <c r="AG391" s="11" t="str">
        <f t="shared" si="6"/>
        <v>X-11</v>
      </c>
      <c r="AH391" s="21"/>
      <c r="AI391" s="21"/>
    </row>
    <row r="392" spans="1:35" ht="15.75" hidden="1" customHeight="1">
      <c r="A392" s="15">
        <v>390</v>
      </c>
      <c r="B392" s="16" t="s">
        <v>481</v>
      </c>
      <c r="C392" s="16" t="s">
        <v>473</v>
      </c>
      <c r="D392" s="17">
        <v>12</v>
      </c>
      <c r="E392" s="18"/>
      <c r="F392" s="18"/>
      <c r="G392" s="18"/>
      <c r="H392" s="19">
        <v>1</v>
      </c>
      <c r="I392" s="17">
        <v>1168</v>
      </c>
      <c r="J392" s="17">
        <v>1176</v>
      </c>
      <c r="K392" s="17">
        <v>8</v>
      </c>
      <c r="L392" s="17">
        <v>8</v>
      </c>
      <c r="M392" s="17">
        <v>0</v>
      </c>
      <c r="N392" s="17">
        <v>0</v>
      </c>
      <c r="O392" s="17">
        <v>0</v>
      </c>
      <c r="P392" s="17">
        <v>3</v>
      </c>
      <c r="Q392" s="17">
        <v>0</v>
      </c>
      <c r="R392" s="19"/>
      <c r="S392" s="20"/>
      <c r="T392" s="13">
        <f t="shared" si="0"/>
        <v>11</v>
      </c>
      <c r="U392" s="18">
        <f ca="1">IFERROR(__xludf.DUMMYFUNCTION("IFERROR(
  SUM(
    FILTER(
      Reporte!$E:$E, 
      REGEXMATCH(Reporte!$A:$A, ""(?i)(TE PAGÓ|PAGASTE)""), 
      Reporte!$H:$H &amp; """" = AG392 &amp; """"
    )
  ), 
  0
)"),0)</f>
        <v>0</v>
      </c>
      <c r="V392" s="18">
        <f ca="1">IFERROR(__xludf.DUMMYFUNCTION("IFERROR(
  SUM(
    FILTER(
      Efectivo!$C:$C, 
      Efectivo!$D:$D &amp; """" = AG392 &amp; """"
    )
  ), 
  0
)"),0)</f>
        <v>0</v>
      </c>
      <c r="W392" s="18"/>
      <c r="X392" s="18"/>
      <c r="Y392" s="18"/>
      <c r="Z392" s="18"/>
      <c r="AA392" s="18"/>
      <c r="AB392" s="18" t="str">
        <f t="shared" si="1"/>
        <v/>
      </c>
      <c r="AC392" s="18" t="str">
        <f t="shared" si="8"/>
        <v/>
      </c>
      <c r="AD392" s="11">
        <f t="shared" si="3"/>
        <v>0</v>
      </c>
      <c r="AE392" s="11">
        <f t="shared" si="4"/>
        <v>0</v>
      </c>
      <c r="AF392" s="18" t="str">
        <f t="shared" si="5"/>
        <v>X</v>
      </c>
      <c r="AG392" s="18" t="str">
        <f t="shared" si="6"/>
        <v>X-12</v>
      </c>
      <c r="AH392" s="14"/>
      <c r="AI392" s="14"/>
    </row>
    <row r="393" spans="1:35" ht="15.75" hidden="1" customHeight="1">
      <c r="A393" s="8">
        <v>391</v>
      </c>
      <c r="B393" s="9" t="s">
        <v>482</v>
      </c>
      <c r="C393" s="9" t="s">
        <v>473</v>
      </c>
      <c r="D393" s="10">
        <v>13</v>
      </c>
      <c r="E393" s="11"/>
      <c r="F393" s="11"/>
      <c r="G393" s="11"/>
      <c r="H393" s="12">
        <v>1</v>
      </c>
      <c r="I393" s="10">
        <v>991</v>
      </c>
      <c r="J393" s="10">
        <v>999</v>
      </c>
      <c r="K393" s="10">
        <v>8</v>
      </c>
      <c r="L393" s="10">
        <v>8</v>
      </c>
      <c r="M393" s="10">
        <v>0</v>
      </c>
      <c r="N393" s="10">
        <v>0</v>
      </c>
      <c r="O393" s="10">
        <v>0</v>
      </c>
      <c r="P393" s="10">
        <v>3</v>
      </c>
      <c r="Q393" s="10">
        <v>0</v>
      </c>
      <c r="R393" s="12"/>
      <c r="S393" s="13"/>
      <c r="T393" s="13">
        <f t="shared" si="0"/>
        <v>11</v>
      </c>
      <c r="U393" s="11">
        <f ca="1">IFERROR(__xludf.DUMMYFUNCTION("IFERROR(
  SUM(
    FILTER(
      Reporte!$E:$E, 
      REGEXMATCH(Reporte!$A:$A, ""(?i)(TE PAGÓ|PAGASTE)""), 
      Reporte!$H:$H &amp; """" = AG393 &amp; """"
    )
  ), 
  0
)"),0)</f>
        <v>0</v>
      </c>
      <c r="V393" s="11">
        <f ca="1">IFERROR(__xludf.DUMMYFUNCTION("IFERROR(
  SUM(
    FILTER(
      Efectivo!$C:$C, 
      Efectivo!$D:$D &amp; """" = AG393 &amp; """"
    )
  ), 
  0
)"),11)</f>
        <v>11</v>
      </c>
      <c r="W393" s="11" t="s">
        <v>35</v>
      </c>
      <c r="X393" s="11"/>
      <c r="Y393" s="11"/>
      <c r="Z393" s="11"/>
      <c r="AA393" s="11"/>
      <c r="AB393" s="11" t="str">
        <f t="shared" si="1"/>
        <v/>
      </c>
      <c r="AC393" s="11" t="str">
        <f t="shared" si="8"/>
        <v/>
      </c>
      <c r="AD393" s="11">
        <f t="shared" si="3"/>
        <v>11</v>
      </c>
      <c r="AE393" s="11">
        <f t="shared" si="4"/>
        <v>0</v>
      </c>
      <c r="AF393" s="11" t="str">
        <f t="shared" si="5"/>
        <v>X</v>
      </c>
      <c r="AG393" s="11" t="str">
        <f t="shared" si="6"/>
        <v>X-13</v>
      </c>
      <c r="AH393" s="21"/>
      <c r="AI393" s="21"/>
    </row>
    <row r="394" spans="1:35" ht="15.75" hidden="1" customHeight="1">
      <c r="A394" s="15">
        <v>392</v>
      </c>
      <c r="B394" s="16" t="s">
        <v>483</v>
      </c>
      <c r="C394" s="16" t="s">
        <v>473</v>
      </c>
      <c r="D394" s="17">
        <v>14</v>
      </c>
      <c r="E394" s="18"/>
      <c r="F394" s="18"/>
      <c r="G394" s="18"/>
      <c r="H394" s="19">
        <v>1</v>
      </c>
      <c r="I394" s="17">
        <v>185</v>
      </c>
      <c r="J394" s="17">
        <v>195</v>
      </c>
      <c r="K394" s="17">
        <v>10</v>
      </c>
      <c r="L394" s="17">
        <v>10</v>
      </c>
      <c r="M394" s="17">
        <v>0</v>
      </c>
      <c r="N394" s="17">
        <v>0</v>
      </c>
      <c r="O394" s="17">
        <v>0</v>
      </c>
      <c r="P394" s="17">
        <v>3</v>
      </c>
      <c r="Q394" s="17">
        <v>0</v>
      </c>
      <c r="R394" s="19"/>
      <c r="S394" s="20"/>
      <c r="T394" s="13">
        <f t="shared" si="0"/>
        <v>13</v>
      </c>
      <c r="U394" s="18">
        <f ca="1">IFERROR(__xludf.DUMMYFUNCTION("IFERROR(
  SUM(
    FILTER(
      Reporte!$E:$E, 
      REGEXMATCH(Reporte!$A:$A, ""(?i)(TE PAGÓ|PAGASTE)""), 
      Reporte!$H:$H &amp; """" = AG394 &amp; """"
    )
  ), 
  0
)"),13)</f>
        <v>13</v>
      </c>
      <c r="V394" s="18">
        <f ca="1">IFERROR(__xludf.DUMMYFUNCTION("IFERROR(
  SUM(
    FILTER(
      Efectivo!$C:$C, 
      Efectivo!$D:$D &amp; """" = AG394 &amp; """"
    )
  ), 
  0
)"),0)</f>
        <v>0</v>
      </c>
      <c r="W394" s="18" t="s">
        <v>35</v>
      </c>
      <c r="X394" s="18"/>
      <c r="Y394" s="18" t="s">
        <v>36</v>
      </c>
      <c r="Z394" s="18" t="s">
        <v>484</v>
      </c>
      <c r="AA394" s="18"/>
      <c r="AB394" s="18" t="str">
        <f t="shared" si="1"/>
        <v/>
      </c>
      <c r="AC394" s="18" t="str">
        <f t="shared" si="8"/>
        <v/>
      </c>
      <c r="AD394" s="11">
        <f t="shared" si="3"/>
        <v>0</v>
      </c>
      <c r="AE394" s="11">
        <f t="shared" si="4"/>
        <v>13</v>
      </c>
      <c r="AF394" s="18" t="str">
        <f t="shared" si="5"/>
        <v>X</v>
      </c>
      <c r="AG394" s="18" t="str">
        <f t="shared" si="6"/>
        <v>X-14</v>
      </c>
      <c r="AH394" s="14"/>
      <c r="AI394" s="14"/>
    </row>
    <row r="395" spans="1:35" ht="15.75" hidden="1" customHeight="1">
      <c r="A395" s="8">
        <v>393</v>
      </c>
      <c r="B395" s="9" t="s">
        <v>485</v>
      </c>
      <c r="C395" s="9" t="s">
        <v>473</v>
      </c>
      <c r="D395" s="10">
        <v>17</v>
      </c>
      <c r="E395" s="11"/>
      <c r="F395" s="11"/>
      <c r="G395" s="11"/>
      <c r="H395" s="12">
        <v>1</v>
      </c>
      <c r="I395" s="10">
        <v>1343</v>
      </c>
      <c r="J395" s="10">
        <v>1350</v>
      </c>
      <c r="K395" s="10">
        <v>7</v>
      </c>
      <c r="L395" s="10">
        <v>7</v>
      </c>
      <c r="M395" s="10">
        <v>0</v>
      </c>
      <c r="N395" s="10">
        <v>0</v>
      </c>
      <c r="O395" s="10">
        <v>0</v>
      </c>
      <c r="P395" s="10">
        <v>3</v>
      </c>
      <c r="Q395" s="10">
        <v>0</v>
      </c>
      <c r="R395" s="12"/>
      <c r="S395" s="13"/>
      <c r="T395" s="13">
        <f t="shared" si="0"/>
        <v>10</v>
      </c>
      <c r="U395" s="11">
        <f ca="1">IFERROR(__xludf.DUMMYFUNCTION("IFERROR(
  SUM(
    FILTER(
      Reporte!$E:$E, 
      REGEXMATCH(Reporte!$A:$A, ""(?i)(TE PAGÓ|PAGASTE)""), 
      Reporte!$H:$H &amp; """" = AG395 &amp; """"
    )
  ), 
  0
)"),10)</f>
        <v>10</v>
      </c>
      <c r="V395" s="11">
        <f ca="1">IFERROR(__xludf.DUMMYFUNCTION("IFERROR(
  SUM(
    FILTER(
      Efectivo!$C:$C, 
      Efectivo!$D:$D &amp; """" = AG395 &amp; """"
    )
  ), 
  0
)"),0)</f>
        <v>0</v>
      </c>
      <c r="W395" s="11" t="s">
        <v>35</v>
      </c>
      <c r="X395" s="11"/>
      <c r="Y395" s="11" t="s">
        <v>36</v>
      </c>
      <c r="Z395" s="11"/>
      <c r="AA395" s="11"/>
      <c r="AB395" s="11" t="str">
        <f t="shared" si="1"/>
        <v/>
      </c>
      <c r="AC395" s="11"/>
      <c r="AD395" s="11">
        <f t="shared" si="3"/>
        <v>0</v>
      </c>
      <c r="AE395" s="11">
        <f t="shared" si="4"/>
        <v>10</v>
      </c>
      <c r="AF395" s="11" t="str">
        <f t="shared" si="5"/>
        <v>X</v>
      </c>
      <c r="AG395" s="11" t="str">
        <f t="shared" si="6"/>
        <v>X-17</v>
      </c>
      <c r="AH395" s="21"/>
      <c r="AI395" s="21"/>
    </row>
    <row r="396" spans="1:35" ht="15.75" hidden="1" customHeight="1">
      <c r="A396" s="15">
        <v>394</v>
      </c>
      <c r="B396" s="16" t="s">
        <v>486</v>
      </c>
      <c r="C396" s="16" t="s">
        <v>473</v>
      </c>
      <c r="D396" s="17">
        <v>21</v>
      </c>
      <c r="E396" s="18"/>
      <c r="F396" s="18"/>
      <c r="G396" s="18"/>
      <c r="H396" s="19">
        <v>1</v>
      </c>
      <c r="I396" s="17">
        <v>76</v>
      </c>
      <c r="J396" s="17">
        <v>82</v>
      </c>
      <c r="K396" s="17">
        <v>6</v>
      </c>
      <c r="L396" s="17">
        <v>6</v>
      </c>
      <c r="M396" s="17">
        <v>0</v>
      </c>
      <c r="N396" s="17">
        <v>0</v>
      </c>
      <c r="O396" s="17">
        <v>0</v>
      </c>
      <c r="P396" s="17">
        <v>3</v>
      </c>
      <c r="Q396" s="17">
        <v>0</v>
      </c>
      <c r="R396" s="19"/>
      <c r="S396" s="20"/>
      <c r="T396" s="13">
        <f t="shared" si="0"/>
        <v>9</v>
      </c>
      <c r="U396" s="18">
        <f ca="1">IFERROR(__xludf.DUMMYFUNCTION("IFERROR(
  SUM(
    FILTER(
      Reporte!$E:$E, 
      REGEXMATCH(Reporte!$A:$A, ""(?i)(TE PAGÓ|PAGASTE)""), 
      Reporte!$H:$H &amp; """" = AG396 &amp; """"
    )
  ), 
  0
)"),9)</f>
        <v>9</v>
      </c>
      <c r="V396" s="18">
        <f ca="1">IFERROR(__xludf.DUMMYFUNCTION("IFERROR(
  SUM(
    FILTER(
      Efectivo!$C:$C, 
      Efectivo!$D:$D &amp; """" = AG396 &amp; """"
    )
  ), 
  0
)"),0)</f>
        <v>0</v>
      </c>
      <c r="W396" s="18" t="s">
        <v>35</v>
      </c>
      <c r="X396" s="18"/>
      <c r="Y396" s="18" t="s">
        <v>36</v>
      </c>
      <c r="Z396" s="18"/>
      <c r="AA396" s="18" t="s">
        <v>224</v>
      </c>
      <c r="AB396" s="18" t="str">
        <f t="shared" si="1"/>
        <v/>
      </c>
      <c r="AC396" s="18" t="str">
        <f t="shared" ref="AC396:AC497" si="9">IF(
   OR(
     AND(Q396&gt;0, OR(W396="C", W396="c"), S396&lt;0),
     AND(Q396&gt;0, W396="")
   ),
   "CORTE",
   ""
)</f>
        <v/>
      </c>
      <c r="AD396" s="11">
        <f t="shared" si="3"/>
        <v>0</v>
      </c>
      <c r="AE396" s="11">
        <f t="shared" si="4"/>
        <v>9</v>
      </c>
      <c r="AF396" s="18" t="str">
        <f t="shared" si="5"/>
        <v>X</v>
      </c>
      <c r="AG396" s="18" t="str">
        <f t="shared" si="6"/>
        <v>X-21</v>
      </c>
      <c r="AH396" s="14"/>
      <c r="AI396" s="14"/>
    </row>
    <row r="397" spans="1:35" ht="15.75" hidden="1" customHeight="1">
      <c r="A397" s="8">
        <v>395</v>
      </c>
      <c r="B397" s="9" t="s">
        <v>487</v>
      </c>
      <c r="C397" s="9" t="s">
        <v>473</v>
      </c>
      <c r="D397" s="10">
        <v>31</v>
      </c>
      <c r="E397" s="11"/>
      <c r="F397" s="11"/>
      <c r="G397" s="11"/>
      <c r="H397" s="12">
        <v>1</v>
      </c>
      <c r="I397" s="10">
        <v>47</v>
      </c>
      <c r="J397" s="10">
        <v>47</v>
      </c>
      <c r="K397" s="10">
        <v>5</v>
      </c>
      <c r="L397" s="10">
        <v>5</v>
      </c>
      <c r="M397" s="10">
        <v>152</v>
      </c>
      <c r="N397" s="10">
        <v>40</v>
      </c>
      <c r="O397" s="10">
        <v>0</v>
      </c>
      <c r="P397" s="10">
        <v>3</v>
      </c>
      <c r="Q397" s="10">
        <v>70</v>
      </c>
      <c r="R397" s="12"/>
      <c r="S397" s="13"/>
      <c r="T397" s="13">
        <f t="shared" si="0"/>
        <v>270</v>
      </c>
      <c r="U397" s="11">
        <f ca="1">IFERROR(__xludf.DUMMYFUNCTION("IFERROR(
  SUM(
    FILTER(
      Reporte!$E:$E, 
      REGEXMATCH(Reporte!$A:$A, ""(?i)(TE PAGÓ|PAGASTE)""), 
      Reporte!$H:$H &amp; """" = AG397 &amp; """"
    )
  ), 
  0
)"),0)</f>
        <v>0</v>
      </c>
      <c r="V397" s="11">
        <f ca="1">IFERROR(__xludf.DUMMYFUNCTION("IFERROR(
  SUM(
    FILTER(
      Efectivo!$C:$C, 
      Efectivo!$D:$D &amp; """" = AG397 &amp; """"
    )
  ), 
  0
)"),0)</f>
        <v>0</v>
      </c>
      <c r="W397" s="11"/>
      <c r="X397" s="11"/>
      <c r="Y397" s="11"/>
      <c r="Z397" s="11"/>
      <c r="AA397" s="11" t="s">
        <v>224</v>
      </c>
      <c r="AB397" s="11" t="str">
        <f t="shared" si="1"/>
        <v>CORTE</v>
      </c>
      <c r="AC397" s="11" t="str">
        <f t="shared" si="9"/>
        <v>CORTE</v>
      </c>
      <c r="AD397" s="11">
        <f t="shared" si="3"/>
        <v>0</v>
      </c>
      <c r="AE397" s="11">
        <f t="shared" si="4"/>
        <v>0</v>
      </c>
      <c r="AF397" s="11" t="str">
        <f t="shared" si="5"/>
        <v>X</v>
      </c>
      <c r="AG397" s="11" t="str">
        <f t="shared" si="6"/>
        <v>X-31</v>
      </c>
      <c r="AH397" s="21"/>
      <c r="AI397" s="21"/>
    </row>
    <row r="398" spans="1:35" ht="15.75" hidden="1" customHeight="1">
      <c r="A398" s="15">
        <v>396</v>
      </c>
      <c r="B398" s="16" t="s">
        <v>488</v>
      </c>
      <c r="C398" s="16" t="s">
        <v>473</v>
      </c>
      <c r="D398" s="17">
        <v>32</v>
      </c>
      <c r="E398" s="18"/>
      <c r="F398" s="18"/>
      <c r="G398" s="18"/>
      <c r="H398" s="19">
        <v>1</v>
      </c>
      <c r="I398" s="17">
        <v>291</v>
      </c>
      <c r="J398" s="17">
        <v>295</v>
      </c>
      <c r="K398" s="17">
        <v>5</v>
      </c>
      <c r="L398" s="24">
        <v>5</v>
      </c>
      <c r="M398" s="17">
        <v>8</v>
      </c>
      <c r="N398" s="17">
        <v>0</v>
      </c>
      <c r="O398" s="17">
        <v>0</v>
      </c>
      <c r="P398" s="17">
        <v>3</v>
      </c>
      <c r="Q398" s="17">
        <v>0</v>
      </c>
      <c r="R398" s="19"/>
      <c r="S398" s="20"/>
      <c r="T398" s="13">
        <f t="shared" si="0"/>
        <v>16</v>
      </c>
      <c r="U398" s="18">
        <f ca="1">IFERROR(__xludf.DUMMYFUNCTION("IFERROR(
  SUM(
    FILTER(
      Reporte!$E:$E, 
      REGEXMATCH(Reporte!$A:$A, ""(?i)(TE PAGÓ|PAGASTE)""), 
      Reporte!$H:$H &amp; """" = AG398 &amp; """"
    )
  ), 
  0
)"),16)</f>
        <v>16</v>
      </c>
      <c r="V398" s="18">
        <f ca="1">IFERROR(__xludf.DUMMYFUNCTION("IFERROR(
  SUM(
    FILTER(
      Efectivo!$C:$C, 
      Efectivo!$D:$D &amp; """" = AG398 &amp; """"
    )
  ), 
  0
)"),0)</f>
        <v>0</v>
      </c>
      <c r="W398" s="18" t="s">
        <v>35</v>
      </c>
      <c r="X398" s="18"/>
      <c r="Y398" s="18" t="s">
        <v>36</v>
      </c>
      <c r="Z398" s="18"/>
      <c r="AA398" s="18"/>
      <c r="AB398" s="18" t="str">
        <f t="shared" si="1"/>
        <v/>
      </c>
      <c r="AC398" s="18" t="str">
        <f t="shared" si="9"/>
        <v/>
      </c>
      <c r="AD398" s="11">
        <f t="shared" si="3"/>
        <v>0</v>
      </c>
      <c r="AE398" s="11">
        <f t="shared" si="4"/>
        <v>16</v>
      </c>
      <c r="AF398" s="18" t="str">
        <f t="shared" si="5"/>
        <v>X</v>
      </c>
      <c r="AG398" s="18" t="str">
        <f t="shared" si="6"/>
        <v>X-32</v>
      </c>
      <c r="AH398" s="14"/>
      <c r="AI398" s="14"/>
    </row>
    <row r="399" spans="1:35" ht="15.75" hidden="1" customHeight="1">
      <c r="A399" s="8">
        <v>397</v>
      </c>
      <c r="B399" s="9" t="s">
        <v>489</v>
      </c>
      <c r="C399" s="9" t="s">
        <v>473</v>
      </c>
      <c r="D399" s="10">
        <v>33</v>
      </c>
      <c r="E399" s="11"/>
      <c r="F399" s="11"/>
      <c r="G399" s="11"/>
      <c r="H399" s="12">
        <v>1</v>
      </c>
      <c r="I399" s="10">
        <v>842</v>
      </c>
      <c r="J399" s="10">
        <v>854</v>
      </c>
      <c r="K399" s="10">
        <v>12</v>
      </c>
      <c r="L399" s="10">
        <v>12</v>
      </c>
      <c r="M399" s="10">
        <v>0</v>
      </c>
      <c r="N399" s="10">
        <v>0</v>
      </c>
      <c r="O399" s="10">
        <v>0</v>
      </c>
      <c r="P399" s="10">
        <v>3</v>
      </c>
      <c r="Q399" s="10">
        <v>0</v>
      </c>
      <c r="R399" s="12"/>
      <c r="S399" s="13"/>
      <c r="T399" s="13">
        <f t="shared" si="0"/>
        <v>15</v>
      </c>
      <c r="U399" s="11">
        <f ca="1">IFERROR(__xludf.DUMMYFUNCTION("IFERROR(
  SUM(
    FILTER(
      Reporte!$E:$E, 
      REGEXMATCH(Reporte!$A:$A, ""(?i)(TE PAGÓ|PAGASTE)""), 
      Reporte!$H:$H &amp; """" = AG399 &amp; """"
    )
  ), 
  0
)"),15)</f>
        <v>15</v>
      </c>
      <c r="V399" s="11">
        <f ca="1">IFERROR(__xludf.DUMMYFUNCTION("IFERROR(
  SUM(
    FILTER(
      Efectivo!$C:$C, 
      Efectivo!$D:$D &amp; """" = AG399 &amp; """"
    )
  ), 
  0
)"),0)</f>
        <v>0</v>
      </c>
      <c r="W399" s="11" t="s">
        <v>35</v>
      </c>
      <c r="X399" s="11"/>
      <c r="Y399" s="11" t="s">
        <v>36</v>
      </c>
      <c r="Z399" s="11"/>
      <c r="AA399" s="11"/>
      <c r="AB399" s="11" t="str">
        <f t="shared" si="1"/>
        <v/>
      </c>
      <c r="AC399" s="11" t="str">
        <f t="shared" si="9"/>
        <v/>
      </c>
      <c r="AD399" s="11">
        <f t="shared" si="3"/>
        <v>0</v>
      </c>
      <c r="AE399" s="11">
        <f t="shared" si="4"/>
        <v>15</v>
      </c>
      <c r="AF399" s="11" t="str">
        <f t="shared" si="5"/>
        <v>X</v>
      </c>
      <c r="AG399" s="11" t="str">
        <f t="shared" si="6"/>
        <v>X-33</v>
      </c>
      <c r="AH399" s="21"/>
      <c r="AI399" s="21"/>
    </row>
    <row r="400" spans="1:35" ht="15.75" hidden="1" customHeight="1">
      <c r="A400" s="15">
        <v>398</v>
      </c>
      <c r="B400" s="16" t="s">
        <v>490</v>
      </c>
      <c r="C400" s="16" t="s">
        <v>473</v>
      </c>
      <c r="D400" s="17">
        <v>34</v>
      </c>
      <c r="E400" s="18"/>
      <c r="F400" s="18"/>
      <c r="G400" s="18"/>
      <c r="H400" s="19">
        <v>1</v>
      </c>
      <c r="I400" s="17">
        <v>215</v>
      </c>
      <c r="J400" s="17">
        <v>218</v>
      </c>
      <c r="K400" s="17">
        <v>5</v>
      </c>
      <c r="L400" s="17">
        <v>5</v>
      </c>
      <c r="M400" s="17">
        <v>0</v>
      </c>
      <c r="N400" s="17">
        <v>0</v>
      </c>
      <c r="O400" s="17">
        <v>0</v>
      </c>
      <c r="P400" s="17">
        <v>3</v>
      </c>
      <c r="Q400" s="17">
        <v>0</v>
      </c>
      <c r="R400" s="19"/>
      <c r="S400" s="20"/>
      <c r="T400" s="13">
        <f t="shared" si="0"/>
        <v>8</v>
      </c>
      <c r="U400" s="18">
        <f ca="1">IFERROR(__xludf.DUMMYFUNCTION("IFERROR(
  SUM(
    FILTER(
      Reporte!$E:$E, 
      REGEXMATCH(Reporte!$A:$A, ""(?i)(TE PAGÓ|PAGASTE)""), 
      Reporte!$H:$H &amp; """" = AG400 &amp; """"
    )
  ), 
  0
)"),8)</f>
        <v>8</v>
      </c>
      <c r="V400" s="18">
        <f ca="1">IFERROR(__xludf.DUMMYFUNCTION("IFERROR(
  SUM(
    FILTER(
      Efectivo!$C:$C, 
      Efectivo!$D:$D &amp; """" = AG400 &amp; """"
    )
  ), 
  0
)"),0)</f>
        <v>0</v>
      </c>
      <c r="W400" s="18" t="s">
        <v>35</v>
      </c>
      <c r="X400" s="18"/>
      <c r="Y400" s="18" t="s">
        <v>36</v>
      </c>
      <c r="Z400" s="18"/>
      <c r="AA400" s="18"/>
      <c r="AB400" s="18" t="str">
        <f t="shared" si="1"/>
        <v/>
      </c>
      <c r="AC400" s="18" t="str">
        <f t="shared" si="9"/>
        <v/>
      </c>
      <c r="AD400" s="11">
        <f t="shared" si="3"/>
        <v>0</v>
      </c>
      <c r="AE400" s="11">
        <f t="shared" si="4"/>
        <v>8</v>
      </c>
      <c r="AF400" s="18" t="str">
        <f t="shared" si="5"/>
        <v>X</v>
      </c>
      <c r="AG400" s="18" t="str">
        <f t="shared" si="6"/>
        <v>X-34</v>
      </c>
      <c r="AH400" s="14"/>
      <c r="AI400" s="14"/>
    </row>
    <row r="401" spans="1:35" ht="15.75" hidden="1" customHeight="1">
      <c r="A401" s="8">
        <v>399</v>
      </c>
      <c r="B401" s="9" t="s">
        <v>491</v>
      </c>
      <c r="C401" s="9" t="s">
        <v>492</v>
      </c>
      <c r="D401" s="10">
        <v>1</v>
      </c>
      <c r="E401" s="11"/>
      <c r="F401" s="11"/>
      <c r="G401" s="11"/>
      <c r="H401" s="12">
        <v>1</v>
      </c>
      <c r="I401" s="10">
        <v>1644</v>
      </c>
      <c r="J401" s="10">
        <v>1655</v>
      </c>
      <c r="K401" s="10">
        <v>11</v>
      </c>
      <c r="L401" s="10">
        <v>11</v>
      </c>
      <c r="M401" s="10">
        <v>0</v>
      </c>
      <c r="N401" s="10">
        <v>0</v>
      </c>
      <c r="O401" s="10">
        <v>0</v>
      </c>
      <c r="P401" s="10">
        <v>3</v>
      </c>
      <c r="Q401" s="10">
        <v>0</v>
      </c>
      <c r="R401" s="12"/>
      <c r="S401" s="13"/>
      <c r="T401" s="13">
        <f t="shared" si="0"/>
        <v>14</v>
      </c>
      <c r="U401" s="11">
        <f ca="1">IFERROR(__xludf.DUMMYFUNCTION("IFERROR(
  SUM(
    FILTER(
      Reporte!$E:$E, 
      REGEXMATCH(Reporte!$A:$A, ""(?i)(TE PAGÓ|PAGASTE)""), 
      Reporte!$H:$H &amp; """" = AG401 &amp; """"
    )
  ), 
  0
)"),14)</f>
        <v>14</v>
      </c>
      <c r="V401" s="11">
        <f ca="1">IFERROR(__xludf.DUMMYFUNCTION("IFERROR(
  SUM(
    FILTER(
      Efectivo!$C:$C, 
      Efectivo!$D:$D &amp; """" = AG401 &amp; """"
    )
  ), 
  0
)"),0)</f>
        <v>0</v>
      </c>
      <c r="W401" s="11" t="s">
        <v>35</v>
      </c>
      <c r="X401" s="11"/>
      <c r="Y401" s="11" t="s">
        <v>36</v>
      </c>
      <c r="Z401" s="11"/>
      <c r="AA401" s="11"/>
      <c r="AB401" s="11" t="str">
        <f t="shared" si="1"/>
        <v/>
      </c>
      <c r="AC401" s="11" t="str">
        <f t="shared" si="9"/>
        <v/>
      </c>
      <c r="AD401" s="11">
        <f t="shared" si="3"/>
        <v>0</v>
      </c>
      <c r="AE401" s="11">
        <f t="shared" si="4"/>
        <v>14</v>
      </c>
      <c r="AF401" s="11" t="str">
        <f t="shared" si="5"/>
        <v>Y</v>
      </c>
      <c r="AG401" s="11" t="str">
        <f t="shared" si="6"/>
        <v>Y-1</v>
      </c>
      <c r="AH401" s="21"/>
      <c r="AI401" s="21"/>
    </row>
    <row r="402" spans="1:35" ht="15.75" hidden="1" customHeight="1">
      <c r="A402" s="15">
        <v>400</v>
      </c>
      <c r="B402" s="16" t="s">
        <v>493</v>
      </c>
      <c r="C402" s="16" t="s">
        <v>492</v>
      </c>
      <c r="D402" s="17">
        <v>2</v>
      </c>
      <c r="E402" s="18"/>
      <c r="F402" s="18"/>
      <c r="G402" s="18"/>
      <c r="H402" s="19">
        <v>1</v>
      </c>
      <c r="I402" s="17">
        <v>32</v>
      </c>
      <c r="J402" s="17">
        <v>32</v>
      </c>
      <c r="K402" s="17">
        <v>5</v>
      </c>
      <c r="L402" s="17">
        <v>5</v>
      </c>
      <c r="M402" s="17">
        <v>0</v>
      </c>
      <c r="N402" s="17">
        <v>0</v>
      </c>
      <c r="O402" s="17"/>
      <c r="P402" s="17">
        <v>3</v>
      </c>
      <c r="Q402" s="17"/>
      <c r="R402" s="19"/>
      <c r="S402" s="20"/>
      <c r="T402" s="13">
        <f t="shared" si="0"/>
        <v>8</v>
      </c>
      <c r="U402" s="18">
        <f ca="1">IFERROR(__xludf.DUMMYFUNCTION("IFERROR(
  SUM(
    FILTER(
      Reporte!$E:$E, 
      REGEXMATCH(Reporte!$A:$A, ""(?i)(TE PAGÓ|PAGASTE)""), 
      Reporte!$H:$H &amp; """" = AG402 &amp; """"
    )
  ), 
  0
)"),8)</f>
        <v>8</v>
      </c>
      <c r="V402" s="18">
        <f ca="1">IFERROR(__xludf.DUMMYFUNCTION("IFERROR(
  SUM(
    FILTER(
      Efectivo!$C:$C, 
      Efectivo!$D:$D &amp; """" = AG402 &amp; """"
    )
  ), 
  0
)"),0)</f>
        <v>0</v>
      </c>
      <c r="W402" s="18" t="s">
        <v>35</v>
      </c>
      <c r="X402" s="18"/>
      <c r="Y402" s="18" t="s">
        <v>36</v>
      </c>
      <c r="Z402" s="18" t="s">
        <v>60</v>
      </c>
      <c r="AA402" s="18"/>
      <c r="AB402" s="18" t="str">
        <f t="shared" si="1"/>
        <v/>
      </c>
      <c r="AC402" s="18" t="str">
        <f t="shared" si="9"/>
        <v/>
      </c>
      <c r="AD402" s="11">
        <f t="shared" si="3"/>
        <v>0</v>
      </c>
      <c r="AE402" s="11">
        <f t="shared" si="4"/>
        <v>8</v>
      </c>
      <c r="AF402" s="18" t="str">
        <f t="shared" si="5"/>
        <v>Y</v>
      </c>
      <c r="AG402" s="18" t="str">
        <f t="shared" si="6"/>
        <v>Y-2</v>
      </c>
      <c r="AH402" s="14"/>
      <c r="AI402" s="14"/>
    </row>
    <row r="403" spans="1:35" ht="15.75" hidden="1" customHeight="1">
      <c r="A403" s="8">
        <v>401</v>
      </c>
      <c r="B403" s="9" t="s">
        <v>494</v>
      </c>
      <c r="C403" s="9" t="s">
        <v>492</v>
      </c>
      <c r="D403" s="10">
        <v>3</v>
      </c>
      <c r="E403" s="11"/>
      <c r="F403" s="11"/>
      <c r="G403" s="11"/>
      <c r="H403" s="12">
        <v>1</v>
      </c>
      <c r="I403" s="10">
        <v>58</v>
      </c>
      <c r="J403" s="10">
        <v>75</v>
      </c>
      <c r="K403" s="10">
        <v>17</v>
      </c>
      <c r="L403" s="10">
        <v>17</v>
      </c>
      <c r="M403" s="10">
        <v>0</v>
      </c>
      <c r="N403" s="10">
        <v>0</v>
      </c>
      <c r="O403" s="10">
        <v>0</v>
      </c>
      <c r="P403" s="10">
        <v>3</v>
      </c>
      <c r="Q403" s="10">
        <v>0</v>
      </c>
      <c r="R403" s="12"/>
      <c r="S403" s="13"/>
      <c r="T403" s="13">
        <f t="shared" si="0"/>
        <v>20</v>
      </c>
      <c r="U403" s="11">
        <f ca="1">IFERROR(__xludf.DUMMYFUNCTION("IFERROR(
  SUM(
    FILTER(
      Reporte!$E:$E, 
      REGEXMATCH(Reporte!$A:$A, ""(?i)(TE PAGÓ|PAGASTE)""), 
      Reporte!$H:$H &amp; """" = AG403 &amp; """"
    )
  ), 
  0
)"),0)</f>
        <v>0</v>
      </c>
      <c r="V403" s="11">
        <f ca="1">IFERROR(__xludf.DUMMYFUNCTION("IFERROR(
  SUM(
    FILTER(
      Efectivo!$C:$C, 
      Efectivo!$D:$D &amp; """" = AG403 &amp; """"
    )
  ), 
  0
)"),20)</f>
        <v>20</v>
      </c>
      <c r="W403" s="11" t="s">
        <v>35</v>
      </c>
      <c r="X403" s="11"/>
      <c r="Y403" s="11"/>
      <c r="Z403" s="11"/>
      <c r="AA403" s="11"/>
      <c r="AB403" s="11" t="str">
        <f t="shared" si="1"/>
        <v/>
      </c>
      <c r="AC403" s="11" t="str">
        <f t="shared" si="9"/>
        <v/>
      </c>
      <c r="AD403" s="11">
        <f t="shared" si="3"/>
        <v>20</v>
      </c>
      <c r="AE403" s="11">
        <f t="shared" si="4"/>
        <v>0</v>
      </c>
      <c r="AF403" s="11" t="str">
        <f t="shared" si="5"/>
        <v>Y</v>
      </c>
      <c r="AG403" s="11" t="str">
        <f t="shared" si="6"/>
        <v>Y-3</v>
      </c>
      <c r="AH403" s="21"/>
      <c r="AI403" s="21"/>
    </row>
    <row r="404" spans="1:35" ht="15.75" hidden="1" customHeight="1">
      <c r="A404" s="15">
        <v>402</v>
      </c>
      <c r="B404" s="16" t="s">
        <v>495</v>
      </c>
      <c r="C404" s="16" t="s">
        <v>492</v>
      </c>
      <c r="D404" s="17">
        <v>5</v>
      </c>
      <c r="E404" s="18"/>
      <c r="F404" s="18"/>
      <c r="G404" s="18"/>
      <c r="H404" s="19">
        <v>1</v>
      </c>
      <c r="I404" s="17">
        <v>264</v>
      </c>
      <c r="J404" s="17">
        <v>264</v>
      </c>
      <c r="K404" s="17">
        <v>5</v>
      </c>
      <c r="L404" s="17">
        <v>5</v>
      </c>
      <c r="M404" s="17">
        <v>0</v>
      </c>
      <c r="N404" s="17">
        <v>0</v>
      </c>
      <c r="O404" s="17">
        <v>0</v>
      </c>
      <c r="P404" s="17">
        <v>3</v>
      </c>
      <c r="Q404" s="17">
        <v>0</v>
      </c>
      <c r="R404" s="19">
        <v>8</v>
      </c>
      <c r="S404" s="20"/>
      <c r="T404" s="13">
        <f t="shared" si="0"/>
        <v>16</v>
      </c>
      <c r="U404" s="18">
        <f ca="1">IFERROR(__xludf.DUMMYFUNCTION("IFERROR(
  SUM(
    FILTER(
      Reporte!$E:$E, 
      REGEXMATCH(Reporte!$A:$A, ""(?i)(TE PAGÓ|PAGASTE)""), 
      Reporte!$H:$H &amp; """" = AG404 &amp; """"
    )
  ), 
  0
)"),16)</f>
        <v>16</v>
      </c>
      <c r="V404" s="18">
        <f ca="1">IFERROR(__xludf.DUMMYFUNCTION("IFERROR(
  SUM(
    FILTER(
      Efectivo!$C:$C, 
      Efectivo!$D:$D &amp; """" = AG404 &amp; """"
    )
  ), 
  0
)"),0)</f>
        <v>0</v>
      </c>
      <c r="W404" s="18" t="s">
        <v>35</v>
      </c>
      <c r="X404" s="18"/>
      <c r="Y404" s="18" t="s">
        <v>36</v>
      </c>
      <c r="Z404" s="18" t="s">
        <v>496</v>
      </c>
      <c r="AA404" s="18"/>
      <c r="AB404" s="18" t="str">
        <f t="shared" si="1"/>
        <v/>
      </c>
      <c r="AC404" s="18" t="str">
        <f t="shared" si="9"/>
        <v/>
      </c>
      <c r="AD404" s="11">
        <f t="shared" si="3"/>
        <v>0</v>
      </c>
      <c r="AE404" s="11">
        <f t="shared" si="4"/>
        <v>16</v>
      </c>
      <c r="AF404" s="18" t="str">
        <f t="shared" si="5"/>
        <v>Y</v>
      </c>
      <c r="AG404" s="18" t="str">
        <f t="shared" si="6"/>
        <v>Y-5</v>
      </c>
      <c r="AH404" s="14"/>
      <c r="AI404" s="14"/>
    </row>
    <row r="405" spans="1:35" ht="15.75" hidden="1" customHeight="1">
      <c r="A405" s="8">
        <v>403</v>
      </c>
      <c r="B405" s="9" t="s">
        <v>497</v>
      </c>
      <c r="C405" s="9" t="s">
        <v>492</v>
      </c>
      <c r="D405" s="10">
        <v>6</v>
      </c>
      <c r="E405" s="11"/>
      <c r="F405" s="11"/>
      <c r="G405" s="11"/>
      <c r="H405" s="12">
        <v>1</v>
      </c>
      <c r="I405" s="10">
        <v>1363</v>
      </c>
      <c r="J405" s="10">
        <v>1385</v>
      </c>
      <c r="K405" s="10">
        <v>22</v>
      </c>
      <c r="L405" s="10">
        <v>22</v>
      </c>
      <c r="M405" s="10"/>
      <c r="N405" s="10">
        <v>0</v>
      </c>
      <c r="O405" s="10">
        <v>0</v>
      </c>
      <c r="P405" s="10">
        <v>3</v>
      </c>
      <c r="Q405" s="10">
        <v>0</v>
      </c>
      <c r="R405" s="12"/>
      <c r="S405" s="13"/>
      <c r="T405" s="13">
        <f t="shared" si="0"/>
        <v>25</v>
      </c>
      <c r="U405" s="11">
        <f ca="1">IFERROR(__xludf.DUMMYFUNCTION("IFERROR(
  SUM(
    FILTER(
      Reporte!$E:$E, 
      REGEXMATCH(Reporte!$A:$A, ""(?i)(TE PAGÓ|PAGASTE)""), 
      Reporte!$H:$H &amp; """" = AG405 &amp; """"
    )
  ), 
  0
)"),0)</f>
        <v>0</v>
      </c>
      <c r="V405" s="11">
        <f ca="1">IFERROR(__xludf.DUMMYFUNCTION("IFERROR(
  SUM(
    FILTER(
      Efectivo!$C:$C, 
      Efectivo!$D:$D &amp; """" = AG405 &amp; """"
    )
  ), 
  0
)"),25)</f>
        <v>25</v>
      </c>
      <c r="W405" s="11" t="s">
        <v>35</v>
      </c>
      <c r="X405" s="11"/>
      <c r="Y405" s="11"/>
      <c r="Z405" s="11" t="s">
        <v>498</v>
      </c>
      <c r="AA405" s="11"/>
      <c r="AB405" s="11" t="str">
        <f t="shared" si="1"/>
        <v/>
      </c>
      <c r="AC405" s="11" t="str">
        <f t="shared" si="9"/>
        <v/>
      </c>
      <c r="AD405" s="11">
        <f t="shared" si="3"/>
        <v>25</v>
      </c>
      <c r="AE405" s="11">
        <f t="shared" si="4"/>
        <v>0</v>
      </c>
      <c r="AF405" s="11" t="str">
        <f t="shared" si="5"/>
        <v>Y</v>
      </c>
      <c r="AG405" s="11" t="str">
        <f t="shared" si="6"/>
        <v>Y-6</v>
      </c>
      <c r="AH405" s="21"/>
      <c r="AI405" s="21"/>
    </row>
    <row r="406" spans="1:35" ht="15.75" hidden="1" customHeight="1">
      <c r="A406" s="15">
        <v>404</v>
      </c>
      <c r="B406" s="16" t="s">
        <v>499</v>
      </c>
      <c r="C406" s="16" t="s">
        <v>492</v>
      </c>
      <c r="D406" s="17">
        <v>8</v>
      </c>
      <c r="E406" s="18"/>
      <c r="F406" s="18"/>
      <c r="G406" s="18"/>
      <c r="H406" s="19">
        <v>1</v>
      </c>
      <c r="I406" s="17">
        <v>1174</v>
      </c>
      <c r="J406" s="17">
        <v>1191</v>
      </c>
      <c r="K406" s="17">
        <v>17</v>
      </c>
      <c r="L406" s="17">
        <v>17</v>
      </c>
      <c r="M406" s="17">
        <v>0</v>
      </c>
      <c r="N406" s="17">
        <v>0</v>
      </c>
      <c r="O406" s="17">
        <v>0</v>
      </c>
      <c r="P406" s="17">
        <v>3</v>
      </c>
      <c r="Q406" s="17">
        <v>0</v>
      </c>
      <c r="R406" s="19"/>
      <c r="S406" s="20"/>
      <c r="T406" s="13">
        <f t="shared" si="0"/>
        <v>20</v>
      </c>
      <c r="U406" s="18">
        <f ca="1">IFERROR(__xludf.DUMMYFUNCTION("IFERROR(
  SUM(
    FILTER(
      Reporte!$E:$E, 
      REGEXMATCH(Reporte!$A:$A, ""(?i)(TE PAGÓ|PAGASTE)""), 
      Reporte!$H:$H &amp; """" = AG406 &amp; """"
    )
  ), 
  0
)"),20)</f>
        <v>20</v>
      </c>
      <c r="V406" s="18">
        <f ca="1">IFERROR(__xludf.DUMMYFUNCTION("IFERROR(
  SUM(
    FILTER(
      Efectivo!$C:$C, 
      Efectivo!$D:$D &amp; """" = AG406 &amp; """"
    )
  ), 
  0
)"),0)</f>
        <v>0</v>
      </c>
      <c r="W406" s="18" t="s">
        <v>35</v>
      </c>
      <c r="X406" s="18"/>
      <c r="Y406" s="18" t="s">
        <v>36</v>
      </c>
      <c r="Z406" s="18"/>
      <c r="AA406" s="18"/>
      <c r="AB406" s="18" t="str">
        <f t="shared" si="1"/>
        <v/>
      </c>
      <c r="AC406" s="18" t="str">
        <f t="shared" si="9"/>
        <v/>
      </c>
      <c r="AD406" s="11">
        <f t="shared" si="3"/>
        <v>0</v>
      </c>
      <c r="AE406" s="11">
        <f t="shared" si="4"/>
        <v>20</v>
      </c>
      <c r="AF406" s="18" t="str">
        <f t="shared" si="5"/>
        <v>Y</v>
      </c>
      <c r="AG406" s="18" t="str">
        <f t="shared" si="6"/>
        <v>Y-8</v>
      </c>
      <c r="AH406" s="14"/>
      <c r="AI406" s="14"/>
    </row>
    <row r="407" spans="1:35" ht="15.75" hidden="1" customHeight="1">
      <c r="A407" s="8">
        <v>405</v>
      </c>
      <c r="B407" s="9" t="s">
        <v>500</v>
      </c>
      <c r="C407" s="9" t="s">
        <v>492</v>
      </c>
      <c r="D407" s="10">
        <v>9</v>
      </c>
      <c r="E407" s="11"/>
      <c r="F407" s="11"/>
      <c r="G407" s="11"/>
      <c r="H407" s="12">
        <v>1</v>
      </c>
      <c r="I407" s="10">
        <v>993</v>
      </c>
      <c r="J407" s="10">
        <v>1006</v>
      </c>
      <c r="K407" s="10">
        <v>13</v>
      </c>
      <c r="L407" s="10">
        <v>13</v>
      </c>
      <c r="M407" s="10">
        <v>13</v>
      </c>
      <c r="N407" s="10">
        <v>0</v>
      </c>
      <c r="O407" s="10">
        <v>0</v>
      </c>
      <c r="P407" s="10">
        <v>3</v>
      </c>
      <c r="Q407" s="10">
        <v>0</v>
      </c>
      <c r="R407" s="12"/>
      <c r="S407" s="13"/>
      <c r="T407" s="13">
        <f t="shared" si="0"/>
        <v>29</v>
      </c>
      <c r="U407" s="11">
        <f ca="1">IFERROR(__xludf.DUMMYFUNCTION("IFERROR(
  SUM(
    FILTER(
      Reporte!$E:$E, 
      REGEXMATCH(Reporte!$A:$A, ""(?i)(TE PAGÓ|PAGASTE)""), 
      Reporte!$H:$H &amp; """" = AG407 &amp; """"
    )
  ), 
  0
)"),29)</f>
        <v>29</v>
      </c>
      <c r="V407" s="11">
        <f ca="1">IFERROR(__xludf.DUMMYFUNCTION("IFERROR(
  SUM(
    FILTER(
      Efectivo!$C:$C, 
      Efectivo!$D:$D &amp; """" = AG407 &amp; """"
    )
  ), 
  0
)"),0)</f>
        <v>0</v>
      </c>
      <c r="W407" s="11" t="s">
        <v>35</v>
      </c>
      <c r="X407" s="11"/>
      <c r="Y407" s="11" t="s">
        <v>36</v>
      </c>
      <c r="Z407" s="11"/>
      <c r="AA407" s="11"/>
      <c r="AB407" s="11" t="str">
        <f t="shared" si="1"/>
        <v/>
      </c>
      <c r="AC407" s="11" t="str">
        <f t="shared" si="9"/>
        <v/>
      </c>
      <c r="AD407" s="11">
        <f t="shared" si="3"/>
        <v>0</v>
      </c>
      <c r="AE407" s="11">
        <f t="shared" si="4"/>
        <v>29</v>
      </c>
      <c r="AF407" s="11" t="str">
        <f t="shared" si="5"/>
        <v>Y</v>
      </c>
      <c r="AG407" s="11" t="str">
        <f t="shared" si="6"/>
        <v>Y-9</v>
      </c>
      <c r="AH407" s="21"/>
      <c r="AI407" s="21"/>
    </row>
    <row r="408" spans="1:35" ht="15.75" hidden="1" customHeight="1">
      <c r="A408" s="15">
        <v>406</v>
      </c>
      <c r="B408" s="16" t="s">
        <v>501</v>
      </c>
      <c r="C408" s="16" t="s">
        <v>502</v>
      </c>
      <c r="D408" s="17">
        <v>2</v>
      </c>
      <c r="E408" s="18"/>
      <c r="F408" s="18"/>
      <c r="G408" s="18"/>
      <c r="H408" s="19">
        <v>1</v>
      </c>
      <c r="I408" s="17">
        <v>1554</v>
      </c>
      <c r="J408" s="17">
        <v>1565</v>
      </c>
      <c r="K408" s="17">
        <v>11</v>
      </c>
      <c r="L408" s="17">
        <v>11</v>
      </c>
      <c r="M408" s="17">
        <v>0</v>
      </c>
      <c r="N408" s="17">
        <v>0</v>
      </c>
      <c r="O408" s="17">
        <v>0</v>
      </c>
      <c r="P408" s="17">
        <v>3</v>
      </c>
      <c r="Q408" s="17">
        <v>0</v>
      </c>
      <c r="R408" s="19"/>
      <c r="S408" s="20"/>
      <c r="T408" s="13">
        <f t="shared" si="0"/>
        <v>14</v>
      </c>
      <c r="U408" s="18">
        <f ca="1">IFERROR(__xludf.DUMMYFUNCTION("IFERROR(
  SUM(
    FILTER(
      Reporte!$E:$E, 
      REGEXMATCH(Reporte!$A:$A, ""(?i)(TE PAGÓ|PAGASTE)""), 
      Reporte!$H:$H &amp; """" = AG408 &amp; """"
    )
  ), 
  0
)"),14)</f>
        <v>14</v>
      </c>
      <c r="V408" s="18">
        <f ca="1">IFERROR(__xludf.DUMMYFUNCTION("IFERROR(
  SUM(
    FILTER(
      Efectivo!$C:$C, 
      Efectivo!$D:$D &amp; """" = AG408 &amp; """"
    )
  ), 
  0
)"),0)</f>
        <v>0</v>
      </c>
      <c r="W408" s="18" t="s">
        <v>35</v>
      </c>
      <c r="X408" s="18"/>
      <c r="Y408" s="18" t="s">
        <v>36</v>
      </c>
      <c r="Z408" s="18"/>
      <c r="AA408" s="18"/>
      <c r="AB408" s="18" t="str">
        <f t="shared" si="1"/>
        <v/>
      </c>
      <c r="AC408" s="18" t="str">
        <f t="shared" si="9"/>
        <v/>
      </c>
      <c r="AD408" s="11">
        <f t="shared" si="3"/>
        <v>0</v>
      </c>
      <c r="AE408" s="11">
        <f t="shared" si="4"/>
        <v>14</v>
      </c>
      <c r="AF408" s="18" t="str">
        <f t="shared" si="5"/>
        <v>Z</v>
      </c>
      <c r="AG408" s="18" t="str">
        <f t="shared" si="6"/>
        <v>Z-2</v>
      </c>
      <c r="AH408" s="14"/>
      <c r="AI408" s="14"/>
    </row>
    <row r="409" spans="1:35" ht="15.75" hidden="1" customHeight="1">
      <c r="A409" s="8">
        <v>407</v>
      </c>
      <c r="B409" s="9" t="s">
        <v>503</v>
      </c>
      <c r="C409" s="9" t="s">
        <v>502</v>
      </c>
      <c r="D409" s="10">
        <v>3</v>
      </c>
      <c r="E409" s="11"/>
      <c r="F409" s="11"/>
      <c r="G409" s="11"/>
      <c r="H409" s="11"/>
      <c r="I409" s="10">
        <v>478</v>
      </c>
      <c r="J409" s="10">
        <v>488</v>
      </c>
      <c r="K409" s="10">
        <v>10</v>
      </c>
      <c r="L409" s="10">
        <v>10</v>
      </c>
      <c r="M409" s="10">
        <v>0</v>
      </c>
      <c r="N409" s="10">
        <v>0</v>
      </c>
      <c r="O409" s="10">
        <v>0</v>
      </c>
      <c r="P409" s="10">
        <v>3</v>
      </c>
      <c r="Q409" s="10">
        <v>0</v>
      </c>
      <c r="R409" s="12"/>
      <c r="S409" s="13"/>
      <c r="T409" s="13">
        <f t="shared" si="0"/>
        <v>13</v>
      </c>
      <c r="U409" s="11">
        <f ca="1">IFERROR(__xludf.DUMMYFUNCTION("IFERROR(
  SUM(
    FILTER(
      Reporte!$E:$E, 
      REGEXMATCH(Reporte!$A:$A, ""(?i)(TE PAGÓ|PAGASTE)""), 
      Reporte!$H:$H &amp; """" = AG409 &amp; """"
    )
  ), 
  0
)"),13)</f>
        <v>13</v>
      </c>
      <c r="V409" s="11">
        <f ca="1">IFERROR(__xludf.DUMMYFUNCTION("IFERROR(
  SUM(
    FILTER(
      Efectivo!$C:$C, 
      Efectivo!$D:$D &amp; """" = AG409 &amp; """"
    )
  ), 
  0
)"),0)</f>
        <v>0</v>
      </c>
      <c r="W409" s="11" t="s">
        <v>35</v>
      </c>
      <c r="X409" s="11"/>
      <c r="Y409" s="11" t="s">
        <v>36</v>
      </c>
      <c r="Z409" s="11"/>
      <c r="AA409" s="11"/>
      <c r="AB409" s="11" t="str">
        <f t="shared" si="1"/>
        <v/>
      </c>
      <c r="AC409" s="11" t="str">
        <f t="shared" si="9"/>
        <v/>
      </c>
      <c r="AD409" s="11">
        <f t="shared" si="3"/>
        <v>0</v>
      </c>
      <c r="AE409" s="11">
        <f t="shared" si="4"/>
        <v>13</v>
      </c>
      <c r="AF409" s="11" t="str">
        <f t="shared" si="5"/>
        <v>Z</v>
      </c>
      <c r="AG409" s="11" t="str">
        <f t="shared" si="6"/>
        <v>Z-3</v>
      </c>
      <c r="AH409" s="21"/>
      <c r="AI409" s="21"/>
    </row>
    <row r="410" spans="1:35" ht="15.75" hidden="1" customHeight="1">
      <c r="A410" s="15">
        <v>408</v>
      </c>
      <c r="B410" s="26" t="s">
        <v>504</v>
      </c>
      <c r="C410" s="26" t="s">
        <v>502</v>
      </c>
      <c r="D410" s="27">
        <v>4</v>
      </c>
      <c r="E410" s="18"/>
      <c r="F410" s="18"/>
      <c r="G410" s="18"/>
      <c r="H410" s="19">
        <v>1</v>
      </c>
      <c r="I410" s="27">
        <v>1978</v>
      </c>
      <c r="J410" s="17">
        <v>1983</v>
      </c>
      <c r="K410" s="27">
        <v>5</v>
      </c>
      <c r="L410" s="17">
        <v>5</v>
      </c>
      <c r="M410" s="17">
        <v>0</v>
      </c>
      <c r="N410" s="17">
        <v>0</v>
      </c>
      <c r="O410" s="17">
        <v>0</v>
      </c>
      <c r="P410" s="17">
        <v>3</v>
      </c>
      <c r="Q410" s="17">
        <v>0</v>
      </c>
      <c r="R410" s="19"/>
      <c r="S410" s="20"/>
      <c r="T410" s="13">
        <f t="shared" si="0"/>
        <v>8</v>
      </c>
      <c r="U410" s="18">
        <f ca="1">IFERROR(__xludf.DUMMYFUNCTION("IFERROR(
  SUM(
    FILTER(
      Reporte!$E:$E, 
      REGEXMATCH(Reporte!$A:$A, ""(?i)(TE PAGÓ|PAGASTE)""), 
      Reporte!$H:$H &amp; """" = AG410 &amp; """"
    )
  ), 
  0
)"),8)</f>
        <v>8</v>
      </c>
      <c r="V410" s="18">
        <f ca="1">IFERROR(__xludf.DUMMYFUNCTION("IFERROR(
  SUM(
    FILTER(
      Efectivo!$C:$C, 
      Efectivo!$D:$D &amp; """" = AG410 &amp; """"
    )
  ), 
  0
)"),0)</f>
        <v>0</v>
      </c>
      <c r="W410" s="18" t="s">
        <v>35</v>
      </c>
      <c r="X410" s="18"/>
      <c r="Y410" s="18" t="s">
        <v>36</v>
      </c>
      <c r="Z410" s="18"/>
      <c r="AA410" s="18"/>
      <c r="AB410" s="18" t="str">
        <f t="shared" si="1"/>
        <v/>
      </c>
      <c r="AC410" s="18" t="str">
        <f t="shared" si="9"/>
        <v/>
      </c>
      <c r="AD410" s="11">
        <f t="shared" si="3"/>
        <v>0</v>
      </c>
      <c r="AE410" s="11">
        <f t="shared" si="4"/>
        <v>8</v>
      </c>
      <c r="AF410" s="18" t="str">
        <f t="shared" si="5"/>
        <v>Z</v>
      </c>
      <c r="AG410" s="18" t="str">
        <f t="shared" si="6"/>
        <v>Z-4</v>
      </c>
      <c r="AH410" s="14"/>
      <c r="AI410" s="14"/>
    </row>
    <row r="411" spans="1:35" ht="15.75" hidden="1" customHeight="1">
      <c r="A411" s="8">
        <v>409</v>
      </c>
      <c r="B411" s="9" t="s">
        <v>505</v>
      </c>
      <c r="C411" s="9" t="s">
        <v>502</v>
      </c>
      <c r="D411" s="10">
        <v>5</v>
      </c>
      <c r="E411" s="11"/>
      <c r="F411" s="11"/>
      <c r="G411" s="11"/>
      <c r="H411" s="12">
        <v>1</v>
      </c>
      <c r="I411" s="10">
        <v>13</v>
      </c>
      <c r="J411" s="10">
        <v>15</v>
      </c>
      <c r="K411" s="10">
        <v>5</v>
      </c>
      <c r="L411" s="10">
        <v>5</v>
      </c>
      <c r="M411" s="10">
        <v>8</v>
      </c>
      <c r="N411" s="10">
        <v>0</v>
      </c>
      <c r="O411" s="10">
        <v>0</v>
      </c>
      <c r="P411" s="10">
        <v>3</v>
      </c>
      <c r="Q411" s="10">
        <v>0</v>
      </c>
      <c r="R411" s="12"/>
      <c r="S411" s="13"/>
      <c r="T411" s="13">
        <f t="shared" si="0"/>
        <v>16</v>
      </c>
      <c r="U411" s="11">
        <f ca="1">IFERROR(__xludf.DUMMYFUNCTION("IFERROR(
  SUM(
    FILTER(
      Reporte!$E:$E, 
      REGEXMATCH(Reporte!$A:$A, ""(?i)(TE PAGÓ|PAGASTE)""), 
      Reporte!$H:$H &amp; """" = AG411 &amp; """"
    )
  ), 
  0
)"),16)</f>
        <v>16</v>
      </c>
      <c r="V411" s="11">
        <f ca="1">IFERROR(__xludf.DUMMYFUNCTION("IFERROR(
  SUM(
    FILTER(
      Efectivo!$C:$C, 
      Efectivo!$D:$D &amp; """" = AG411 &amp; """"
    )
  ), 
  0
)"),0)</f>
        <v>0</v>
      </c>
      <c r="W411" s="11" t="s">
        <v>35</v>
      </c>
      <c r="X411" s="11"/>
      <c r="Y411" s="11" t="s">
        <v>36</v>
      </c>
      <c r="Z411" s="11"/>
      <c r="AA411" s="11" t="s">
        <v>224</v>
      </c>
      <c r="AB411" s="11" t="str">
        <f t="shared" si="1"/>
        <v/>
      </c>
      <c r="AC411" s="11" t="str">
        <f t="shared" si="9"/>
        <v/>
      </c>
      <c r="AD411" s="11">
        <f t="shared" si="3"/>
        <v>0</v>
      </c>
      <c r="AE411" s="11">
        <f t="shared" si="4"/>
        <v>16</v>
      </c>
      <c r="AF411" s="11" t="str">
        <f t="shared" si="5"/>
        <v>Z</v>
      </c>
      <c r="AG411" s="11" t="str">
        <f t="shared" si="6"/>
        <v>Z-5</v>
      </c>
      <c r="AH411" s="21"/>
      <c r="AI411" s="21"/>
    </row>
    <row r="412" spans="1:35" ht="15.75" hidden="1" customHeight="1">
      <c r="A412" s="15">
        <v>410</v>
      </c>
      <c r="B412" s="16" t="s">
        <v>506</v>
      </c>
      <c r="C412" s="16" t="s">
        <v>502</v>
      </c>
      <c r="D412" s="17">
        <v>6</v>
      </c>
      <c r="E412" s="18"/>
      <c r="F412" s="18"/>
      <c r="G412" s="18"/>
      <c r="H412" s="19">
        <v>1</v>
      </c>
      <c r="I412" s="17">
        <v>0</v>
      </c>
      <c r="J412" s="17">
        <v>0</v>
      </c>
      <c r="K412" s="17">
        <v>5</v>
      </c>
      <c r="L412" s="17">
        <v>5</v>
      </c>
      <c r="M412" s="17">
        <v>14</v>
      </c>
      <c r="N412" s="22">
        <v>40</v>
      </c>
      <c r="O412" s="17">
        <v>0</v>
      </c>
      <c r="P412" s="17">
        <v>3</v>
      </c>
      <c r="Q412" s="17">
        <v>0</v>
      </c>
      <c r="R412" s="19"/>
      <c r="S412" s="20"/>
      <c r="T412" s="13">
        <f t="shared" si="0"/>
        <v>62</v>
      </c>
      <c r="U412" s="18">
        <f ca="1">IFERROR(__xludf.DUMMYFUNCTION("IFERROR(
  SUM(
    FILTER(
      Reporte!$E:$E, 
      REGEXMATCH(Reporte!$A:$A, ""(?i)(TE PAGÓ|PAGASTE)""), 
      Reporte!$H:$H &amp; """" = AG412 &amp; """"
    )
  ), 
  0
)"),0)</f>
        <v>0</v>
      </c>
      <c r="V412" s="18">
        <f ca="1">IFERROR(__xludf.DUMMYFUNCTION("IFERROR(
  SUM(
    FILTER(
      Efectivo!$C:$C, 
      Efectivo!$D:$D &amp; """" = AG412 &amp; """"
    )
  ), 
  0
)"),0)</f>
        <v>0</v>
      </c>
      <c r="W412" s="18"/>
      <c r="X412" s="18"/>
      <c r="Y412" s="18"/>
      <c r="Z412" s="18"/>
      <c r="AA412" s="18"/>
      <c r="AB412" s="18" t="str">
        <f t="shared" si="1"/>
        <v>CORTE</v>
      </c>
      <c r="AC412" s="18" t="str">
        <f t="shared" si="9"/>
        <v/>
      </c>
      <c r="AD412" s="11">
        <f t="shared" si="3"/>
        <v>0</v>
      </c>
      <c r="AE412" s="11">
        <f t="shared" si="4"/>
        <v>0</v>
      </c>
      <c r="AF412" s="18" t="str">
        <f t="shared" si="5"/>
        <v>Z</v>
      </c>
      <c r="AG412" s="18" t="str">
        <f t="shared" si="6"/>
        <v>Z-6</v>
      </c>
      <c r="AH412" s="14"/>
      <c r="AI412" s="14"/>
    </row>
    <row r="413" spans="1:35" ht="15.75" hidden="1" customHeight="1">
      <c r="A413" s="8">
        <v>411</v>
      </c>
      <c r="B413" s="9" t="s">
        <v>507</v>
      </c>
      <c r="C413" s="9" t="s">
        <v>502</v>
      </c>
      <c r="D413" s="10">
        <v>7</v>
      </c>
      <c r="E413" s="11"/>
      <c r="F413" s="11"/>
      <c r="G413" s="11"/>
      <c r="H413" s="12">
        <v>1</v>
      </c>
      <c r="I413" s="10">
        <v>95</v>
      </c>
      <c r="J413" s="10">
        <v>100</v>
      </c>
      <c r="K413" s="10">
        <v>5</v>
      </c>
      <c r="L413" s="10">
        <v>5</v>
      </c>
      <c r="M413" s="10">
        <v>0</v>
      </c>
      <c r="N413" s="10">
        <v>0</v>
      </c>
      <c r="O413" s="10">
        <v>0</v>
      </c>
      <c r="P413" s="10">
        <v>3</v>
      </c>
      <c r="Q413" s="10">
        <v>0</v>
      </c>
      <c r="R413" s="12"/>
      <c r="S413" s="13"/>
      <c r="T413" s="13">
        <f t="shared" si="0"/>
        <v>8</v>
      </c>
      <c r="U413" s="11">
        <f ca="1">IFERROR(__xludf.DUMMYFUNCTION("IFERROR(
  SUM(
    FILTER(
      Reporte!$E:$E, 
      REGEXMATCH(Reporte!$A:$A, ""(?i)(TE PAGÓ|PAGASTE)""), 
      Reporte!$H:$H &amp; """" = AG413 &amp; """"
    )
  ), 
  0
)"),8)</f>
        <v>8</v>
      </c>
      <c r="V413" s="11">
        <f ca="1">IFERROR(__xludf.DUMMYFUNCTION("IFERROR(
  SUM(
    FILTER(
      Efectivo!$C:$C, 
      Efectivo!$D:$D &amp; """" = AG413 &amp; """"
    )
  ), 
  0
)"),0)</f>
        <v>0</v>
      </c>
      <c r="W413" s="11" t="s">
        <v>35</v>
      </c>
      <c r="X413" s="11"/>
      <c r="Y413" s="11" t="s">
        <v>36</v>
      </c>
      <c r="Z413" s="11"/>
      <c r="AA413" s="11"/>
      <c r="AB413" s="11" t="str">
        <f t="shared" si="1"/>
        <v/>
      </c>
      <c r="AC413" s="11" t="str">
        <f t="shared" si="9"/>
        <v/>
      </c>
      <c r="AD413" s="11">
        <f t="shared" si="3"/>
        <v>0</v>
      </c>
      <c r="AE413" s="11">
        <f t="shared" si="4"/>
        <v>8</v>
      </c>
      <c r="AF413" s="11" t="str">
        <f t="shared" si="5"/>
        <v>Z</v>
      </c>
      <c r="AG413" s="11" t="str">
        <f t="shared" si="6"/>
        <v>Z-7</v>
      </c>
      <c r="AH413" s="21"/>
      <c r="AI413" s="21"/>
    </row>
    <row r="414" spans="1:35" ht="15.75" hidden="1" customHeight="1">
      <c r="A414" s="15">
        <v>412</v>
      </c>
      <c r="B414" s="16" t="s">
        <v>508</v>
      </c>
      <c r="C414" s="16" t="s">
        <v>502</v>
      </c>
      <c r="D414" s="17">
        <v>8</v>
      </c>
      <c r="E414" s="18"/>
      <c r="F414" s="18"/>
      <c r="G414" s="18"/>
      <c r="H414" s="19">
        <v>1</v>
      </c>
      <c r="I414" s="17">
        <v>428</v>
      </c>
      <c r="J414" s="17">
        <v>441</v>
      </c>
      <c r="K414" s="17">
        <v>13</v>
      </c>
      <c r="L414" s="17">
        <v>13</v>
      </c>
      <c r="M414" s="17">
        <v>0</v>
      </c>
      <c r="N414" s="17">
        <v>0</v>
      </c>
      <c r="O414" s="17">
        <v>0</v>
      </c>
      <c r="P414" s="17">
        <v>3</v>
      </c>
      <c r="Q414" s="17">
        <v>0</v>
      </c>
      <c r="R414" s="19"/>
      <c r="S414" s="20"/>
      <c r="T414" s="13">
        <f t="shared" si="0"/>
        <v>16</v>
      </c>
      <c r="U414" s="18">
        <f ca="1">IFERROR(__xludf.DUMMYFUNCTION("IFERROR(
  SUM(
    FILTER(
      Reporte!$E:$E, 
      REGEXMATCH(Reporte!$A:$A, ""(?i)(TE PAGÓ|PAGASTE)""), 
      Reporte!$H:$H &amp; """" = AG414 &amp; """"
    )
  ), 
  0
)"),0)</f>
        <v>0</v>
      </c>
      <c r="V414" s="18">
        <f ca="1">IFERROR(__xludf.DUMMYFUNCTION("IFERROR(
  SUM(
    FILTER(
      Efectivo!$C:$C, 
      Efectivo!$D:$D &amp; """" = AG414 &amp; """"
    )
  ), 
  0
)"),0)</f>
        <v>0</v>
      </c>
      <c r="W414" s="18"/>
      <c r="X414" s="18"/>
      <c r="Y414" s="18"/>
      <c r="Z414" s="18"/>
      <c r="AA414" s="18"/>
      <c r="AB414" s="18" t="str">
        <f t="shared" si="1"/>
        <v/>
      </c>
      <c r="AC414" s="18" t="str">
        <f t="shared" si="9"/>
        <v/>
      </c>
      <c r="AD414" s="11">
        <f t="shared" si="3"/>
        <v>0</v>
      </c>
      <c r="AE414" s="11">
        <f t="shared" si="4"/>
        <v>0</v>
      </c>
      <c r="AF414" s="18" t="str">
        <f t="shared" si="5"/>
        <v>Z</v>
      </c>
      <c r="AG414" s="18" t="str">
        <f t="shared" si="6"/>
        <v>Z-8</v>
      </c>
      <c r="AH414" s="14"/>
      <c r="AI414" s="14"/>
    </row>
    <row r="415" spans="1:35" ht="15.75" hidden="1" customHeight="1">
      <c r="A415" s="8">
        <v>413</v>
      </c>
      <c r="B415" s="9" t="s">
        <v>509</v>
      </c>
      <c r="C415" s="9" t="s">
        <v>502</v>
      </c>
      <c r="D415" s="10">
        <v>9</v>
      </c>
      <c r="E415" s="11"/>
      <c r="F415" s="11"/>
      <c r="G415" s="11"/>
      <c r="H415" s="12">
        <v>1</v>
      </c>
      <c r="I415" s="10">
        <v>498</v>
      </c>
      <c r="J415" s="10">
        <v>504</v>
      </c>
      <c r="K415" s="10">
        <v>6</v>
      </c>
      <c r="L415" s="10">
        <v>6</v>
      </c>
      <c r="M415" s="10">
        <v>8</v>
      </c>
      <c r="N415" s="10">
        <v>0</v>
      </c>
      <c r="O415" s="10">
        <v>0</v>
      </c>
      <c r="P415" s="10">
        <v>3</v>
      </c>
      <c r="Q415" s="10">
        <v>0</v>
      </c>
      <c r="R415" s="12"/>
      <c r="S415" s="13"/>
      <c r="T415" s="13">
        <f t="shared" si="0"/>
        <v>17</v>
      </c>
      <c r="U415" s="11">
        <f ca="1">IFERROR(__xludf.DUMMYFUNCTION("IFERROR(
  SUM(
    FILTER(
      Reporte!$E:$E, 
      REGEXMATCH(Reporte!$A:$A, ""(?i)(TE PAGÓ|PAGASTE)""), 
      Reporte!$H:$H &amp; """" = AG415 &amp; """"
    )
  ), 
  0
)"),17)</f>
        <v>17</v>
      </c>
      <c r="V415" s="11">
        <f ca="1">IFERROR(__xludf.DUMMYFUNCTION("IFERROR(
  SUM(
    FILTER(
      Efectivo!$C:$C, 
      Efectivo!$D:$D &amp; """" = AG415 &amp; """"
    )
  ), 
  0
)"),0)</f>
        <v>0</v>
      </c>
      <c r="W415" s="11" t="s">
        <v>35</v>
      </c>
      <c r="X415" s="11"/>
      <c r="Y415" s="11" t="s">
        <v>36</v>
      </c>
      <c r="Z415" s="11"/>
      <c r="AA415" s="11"/>
      <c r="AB415" s="11" t="str">
        <f t="shared" si="1"/>
        <v/>
      </c>
      <c r="AC415" s="11" t="str">
        <f t="shared" si="9"/>
        <v/>
      </c>
      <c r="AD415" s="11">
        <f t="shared" si="3"/>
        <v>0</v>
      </c>
      <c r="AE415" s="11">
        <f t="shared" si="4"/>
        <v>17</v>
      </c>
      <c r="AF415" s="11" t="str">
        <f t="shared" si="5"/>
        <v>Z</v>
      </c>
      <c r="AG415" s="11" t="str">
        <f t="shared" si="6"/>
        <v>Z-9</v>
      </c>
      <c r="AH415" s="21"/>
      <c r="AI415" s="21"/>
    </row>
    <row r="416" spans="1:35" ht="15.75" hidden="1" customHeight="1">
      <c r="A416" s="15">
        <v>414</v>
      </c>
      <c r="B416" s="9" t="s">
        <v>510</v>
      </c>
      <c r="C416" s="9" t="s">
        <v>502</v>
      </c>
      <c r="D416" s="10">
        <v>11</v>
      </c>
      <c r="E416" s="18"/>
      <c r="F416" s="18"/>
      <c r="G416" s="18"/>
      <c r="H416" s="19">
        <v>1</v>
      </c>
      <c r="I416" s="10">
        <v>1378</v>
      </c>
      <c r="J416" s="17">
        <v>1390</v>
      </c>
      <c r="K416" s="10">
        <v>12</v>
      </c>
      <c r="L416" s="17">
        <v>12</v>
      </c>
      <c r="M416" s="17">
        <v>0</v>
      </c>
      <c r="N416" s="17">
        <v>0</v>
      </c>
      <c r="O416" s="17">
        <v>0</v>
      </c>
      <c r="P416" s="17">
        <v>3</v>
      </c>
      <c r="Q416" s="17">
        <v>0</v>
      </c>
      <c r="R416" s="19"/>
      <c r="S416" s="20"/>
      <c r="T416" s="13">
        <f t="shared" si="0"/>
        <v>15</v>
      </c>
      <c r="U416" s="18">
        <f ca="1">IFERROR(__xludf.DUMMYFUNCTION("IFERROR(
  SUM(
    FILTER(
      Reporte!$E:$E, 
      REGEXMATCH(Reporte!$A:$A, ""(?i)(TE PAGÓ|PAGASTE)""), 
      Reporte!$H:$H &amp; """" = AG416 &amp; """"
    )
  ), 
  0
)"),0)</f>
        <v>0</v>
      </c>
      <c r="V416" s="18">
        <f ca="1">IFERROR(__xludf.DUMMYFUNCTION("IFERROR(
  SUM(
    FILTER(
      Efectivo!$C:$C, 
      Efectivo!$D:$D &amp; """" = AG416 &amp; """"
    )
  ), 
  0
)"),0)</f>
        <v>0</v>
      </c>
      <c r="W416" s="18"/>
      <c r="X416" s="18"/>
      <c r="Y416" s="18"/>
      <c r="Z416" s="18"/>
      <c r="AA416" s="18"/>
      <c r="AB416" s="18" t="str">
        <f t="shared" si="1"/>
        <v/>
      </c>
      <c r="AC416" s="18" t="str">
        <f t="shared" si="9"/>
        <v/>
      </c>
      <c r="AD416" s="11">
        <f t="shared" si="3"/>
        <v>0</v>
      </c>
      <c r="AE416" s="11">
        <f t="shared" si="4"/>
        <v>0</v>
      </c>
      <c r="AF416" s="18" t="str">
        <f t="shared" si="5"/>
        <v>Z</v>
      </c>
      <c r="AG416" s="18" t="str">
        <f t="shared" si="6"/>
        <v>Z-11</v>
      </c>
      <c r="AH416" s="14"/>
      <c r="AI416" s="14"/>
    </row>
    <row r="417" spans="1:35" ht="15.75" hidden="1" customHeight="1">
      <c r="A417" s="8">
        <v>415</v>
      </c>
      <c r="B417" s="9" t="s">
        <v>511</v>
      </c>
      <c r="C417" s="9" t="s">
        <v>502</v>
      </c>
      <c r="D417" s="10">
        <v>12</v>
      </c>
      <c r="E417" s="11"/>
      <c r="F417" s="11"/>
      <c r="G417" s="11"/>
      <c r="H417" s="12">
        <v>1</v>
      </c>
      <c r="I417" s="10">
        <v>81</v>
      </c>
      <c r="J417" s="10">
        <v>85</v>
      </c>
      <c r="K417" s="10">
        <v>5</v>
      </c>
      <c r="L417" s="10">
        <v>5</v>
      </c>
      <c r="M417" s="10">
        <v>0</v>
      </c>
      <c r="N417" s="10">
        <v>0</v>
      </c>
      <c r="O417" s="10">
        <v>0</v>
      </c>
      <c r="P417" s="10">
        <v>3</v>
      </c>
      <c r="Q417" s="10">
        <v>30</v>
      </c>
      <c r="R417" s="12"/>
      <c r="S417" s="13"/>
      <c r="T417" s="13">
        <f t="shared" si="0"/>
        <v>38</v>
      </c>
      <c r="U417" s="11">
        <f ca="1">IFERROR(__xludf.DUMMYFUNCTION("IFERROR(
  SUM(
    FILTER(
      Reporte!$E:$E, 
      REGEXMATCH(Reporte!$A:$A, ""(?i)(TE PAGÓ|PAGASTE)""), 
      Reporte!$H:$H &amp; """" = AG417 &amp; """"
    )
  ), 
  0
)"),0)</f>
        <v>0</v>
      </c>
      <c r="V417" s="11">
        <f ca="1">IFERROR(__xludf.DUMMYFUNCTION("IFERROR(
  SUM(
    FILTER(
      Efectivo!$C:$C, 
      Efectivo!$D:$D &amp; """" = AG417 &amp; """"
    )
  ), 
  0
)"),0)</f>
        <v>0</v>
      </c>
      <c r="W417" s="11"/>
      <c r="X417" s="11"/>
      <c r="Y417" s="11"/>
      <c r="Z417" s="11"/>
      <c r="AA417" s="11"/>
      <c r="AB417" s="11" t="str">
        <f t="shared" si="1"/>
        <v/>
      </c>
      <c r="AC417" s="11" t="str">
        <f t="shared" si="9"/>
        <v>CORTE</v>
      </c>
      <c r="AD417" s="11">
        <f t="shared" si="3"/>
        <v>0</v>
      </c>
      <c r="AE417" s="11">
        <f t="shared" si="4"/>
        <v>0</v>
      </c>
      <c r="AF417" s="11" t="str">
        <f t="shared" si="5"/>
        <v>Z</v>
      </c>
      <c r="AG417" s="11" t="str">
        <f t="shared" si="6"/>
        <v>Z-12</v>
      </c>
      <c r="AH417" s="21"/>
      <c r="AI417" s="21"/>
    </row>
    <row r="418" spans="1:35" ht="15.75" hidden="1" customHeight="1">
      <c r="A418" s="15">
        <v>416</v>
      </c>
      <c r="B418" s="16" t="s">
        <v>512</v>
      </c>
      <c r="C418" s="16" t="s">
        <v>502</v>
      </c>
      <c r="D418" s="17">
        <v>13</v>
      </c>
      <c r="E418" s="18"/>
      <c r="F418" s="18"/>
      <c r="G418" s="18"/>
      <c r="H418" s="19">
        <v>1</v>
      </c>
      <c r="I418" s="17">
        <v>582</v>
      </c>
      <c r="J418" s="17">
        <v>583</v>
      </c>
      <c r="K418" s="17">
        <v>5</v>
      </c>
      <c r="L418" s="17">
        <v>5</v>
      </c>
      <c r="M418" s="17">
        <v>8</v>
      </c>
      <c r="N418" s="10"/>
      <c r="O418" s="17">
        <v>0</v>
      </c>
      <c r="P418" s="17">
        <v>3</v>
      </c>
      <c r="Q418" s="17">
        <v>0</v>
      </c>
      <c r="R418" s="19"/>
      <c r="S418" s="20"/>
      <c r="T418" s="13">
        <f t="shared" si="0"/>
        <v>16</v>
      </c>
      <c r="U418" s="18">
        <f ca="1">IFERROR(__xludf.DUMMYFUNCTION("IFERROR(
  SUM(
    FILTER(
      Reporte!$E:$E, 
      REGEXMATCH(Reporte!$A:$A, ""(?i)(TE PAGÓ|PAGASTE)""), 
      Reporte!$H:$H &amp; """" = AG418 &amp; """"
    )
  ), 
  0
)"),16)</f>
        <v>16</v>
      </c>
      <c r="V418" s="18">
        <f ca="1">IFERROR(__xludf.DUMMYFUNCTION("IFERROR(
  SUM(
    FILTER(
      Efectivo!$C:$C, 
      Efectivo!$D:$D &amp; """" = AG418 &amp; """"
    )
  ), 
  0
)"),0)</f>
        <v>0</v>
      </c>
      <c r="W418" s="18" t="s">
        <v>35</v>
      </c>
      <c r="X418" s="18"/>
      <c r="Y418" s="18" t="s">
        <v>36</v>
      </c>
      <c r="Z418" s="18"/>
      <c r="AA418" s="18"/>
      <c r="AB418" s="18" t="str">
        <f t="shared" si="1"/>
        <v/>
      </c>
      <c r="AC418" s="18" t="str">
        <f t="shared" si="9"/>
        <v/>
      </c>
      <c r="AD418" s="11">
        <f t="shared" si="3"/>
        <v>0</v>
      </c>
      <c r="AE418" s="11">
        <f t="shared" si="4"/>
        <v>16</v>
      </c>
      <c r="AF418" s="18" t="str">
        <f t="shared" si="5"/>
        <v>Z</v>
      </c>
      <c r="AG418" s="18" t="str">
        <f t="shared" si="6"/>
        <v>Z-13</v>
      </c>
      <c r="AH418" s="14"/>
      <c r="AI418" s="14"/>
    </row>
    <row r="419" spans="1:35" ht="15.75" hidden="1" customHeight="1">
      <c r="A419" s="8">
        <v>417</v>
      </c>
      <c r="B419" s="9" t="s">
        <v>513</v>
      </c>
      <c r="C419" s="9" t="s">
        <v>502</v>
      </c>
      <c r="D419" s="10">
        <v>14</v>
      </c>
      <c r="E419" s="11"/>
      <c r="F419" s="11"/>
      <c r="G419" s="11"/>
      <c r="H419" s="12">
        <v>1</v>
      </c>
      <c r="I419" s="10">
        <v>1182</v>
      </c>
      <c r="J419" s="10">
        <v>1192</v>
      </c>
      <c r="K419" s="10">
        <v>10</v>
      </c>
      <c r="L419" s="10">
        <v>10</v>
      </c>
      <c r="M419" s="10">
        <v>0</v>
      </c>
      <c r="N419" s="10">
        <v>0</v>
      </c>
      <c r="O419" s="10">
        <v>0</v>
      </c>
      <c r="P419" s="10">
        <v>3</v>
      </c>
      <c r="Q419" s="10">
        <v>0</v>
      </c>
      <c r="R419" s="12"/>
      <c r="S419" s="13"/>
      <c r="T419" s="13">
        <f t="shared" si="0"/>
        <v>13</v>
      </c>
      <c r="U419" s="11">
        <f ca="1">IFERROR(__xludf.DUMMYFUNCTION("IFERROR(
  SUM(
    FILTER(
      Reporte!$E:$E, 
      REGEXMATCH(Reporte!$A:$A, ""(?i)(TE PAGÓ|PAGASTE)""), 
      Reporte!$H:$H &amp; """" = AG419 &amp; """"
    )
  ), 
  0
)"),0)</f>
        <v>0</v>
      </c>
      <c r="V419" s="11">
        <f ca="1">IFERROR(__xludf.DUMMYFUNCTION("IFERROR(
  SUM(
    FILTER(
      Efectivo!$C:$C, 
      Efectivo!$D:$D &amp; """" = AG419 &amp; """"
    )
  ), 
  0
)"),0)</f>
        <v>0</v>
      </c>
      <c r="W419" s="11"/>
      <c r="X419" s="11"/>
      <c r="Y419" s="11"/>
      <c r="Z419" s="11"/>
      <c r="AA419" s="11"/>
      <c r="AB419" s="11" t="str">
        <f t="shared" si="1"/>
        <v/>
      </c>
      <c r="AC419" s="11" t="str">
        <f t="shared" si="9"/>
        <v/>
      </c>
      <c r="AD419" s="11">
        <f t="shared" si="3"/>
        <v>0</v>
      </c>
      <c r="AE419" s="11">
        <f t="shared" si="4"/>
        <v>0</v>
      </c>
      <c r="AF419" s="11" t="str">
        <f t="shared" si="5"/>
        <v>Z</v>
      </c>
      <c r="AG419" s="11" t="str">
        <f t="shared" si="6"/>
        <v>Z-14</v>
      </c>
      <c r="AH419" s="21"/>
      <c r="AI419" s="21"/>
    </row>
    <row r="420" spans="1:35" ht="15.75" hidden="1" customHeight="1">
      <c r="A420" s="15">
        <v>418</v>
      </c>
      <c r="B420" s="16" t="s">
        <v>514</v>
      </c>
      <c r="C420" s="16" t="s">
        <v>502</v>
      </c>
      <c r="D420" s="17">
        <v>15</v>
      </c>
      <c r="E420" s="18"/>
      <c r="F420" s="18"/>
      <c r="G420" s="18"/>
      <c r="H420" s="19">
        <v>1</v>
      </c>
      <c r="I420" s="17">
        <v>1515</v>
      </c>
      <c r="J420" s="17">
        <v>1522</v>
      </c>
      <c r="K420" s="17">
        <v>7</v>
      </c>
      <c r="L420" s="17">
        <v>7</v>
      </c>
      <c r="M420" s="17">
        <v>0</v>
      </c>
      <c r="N420" s="17">
        <v>0</v>
      </c>
      <c r="O420" s="17">
        <v>0</v>
      </c>
      <c r="P420" s="17">
        <v>3</v>
      </c>
      <c r="Q420" s="17">
        <v>30</v>
      </c>
      <c r="R420" s="19"/>
      <c r="S420" s="20"/>
      <c r="T420" s="13">
        <f t="shared" si="0"/>
        <v>40</v>
      </c>
      <c r="U420" s="18">
        <f ca="1">IFERROR(__xludf.DUMMYFUNCTION("IFERROR(
  SUM(
    FILTER(
      Reporte!$E:$E, 
      REGEXMATCH(Reporte!$A:$A, ""(?i)(TE PAGÓ|PAGASTE)""), 
      Reporte!$H:$H &amp; """" = AG420 &amp; """"
    )
  ), 
  0
)"),0)</f>
        <v>0</v>
      </c>
      <c r="V420" s="18">
        <f ca="1">IFERROR(__xludf.DUMMYFUNCTION("IFERROR(
  SUM(
    FILTER(
      Efectivo!$C:$C, 
      Efectivo!$D:$D &amp; """" = AG420 &amp; """"
    )
  ), 
  0
)"),0)</f>
        <v>0</v>
      </c>
      <c r="W420" s="18"/>
      <c r="X420" s="18"/>
      <c r="Y420" s="18"/>
      <c r="Z420" s="18"/>
      <c r="AA420" s="18"/>
      <c r="AB420" s="18" t="str">
        <f t="shared" si="1"/>
        <v/>
      </c>
      <c r="AC420" s="18" t="str">
        <f t="shared" si="9"/>
        <v>CORTE</v>
      </c>
      <c r="AD420" s="11">
        <f t="shared" si="3"/>
        <v>0</v>
      </c>
      <c r="AE420" s="11">
        <f t="shared" si="4"/>
        <v>0</v>
      </c>
      <c r="AF420" s="18" t="str">
        <f t="shared" si="5"/>
        <v>Z</v>
      </c>
      <c r="AG420" s="18" t="str">
        <f t="shared" si="6"/>
        <v>Z-15</v>
      </c>
      <c r="AH420" s="14"/>
      <c r="AI420" s="14"/>
    </row>
    <row r="421" spans="1:35" ht="15.75" hidden="1" customHeight="1">
      <c r="A421" s="8">
        <v>419</v>
      </c>
      <c r="B421" s="9" t="s">
        <v>515</v>
      </c>
      <c r="C421" s="9" t="s">
        <v>502</v>
      </c>
      <c r="D421" s="10">
        <v>16</v>
      </c>
      <c r="E421" s="11"/>
      <c r="F421" s="11"/>
      <c r="G421" s="11"/>
      <c r="H421" s="12">
        <v>1</v>
      </c>
      <c r="I421" s="10">
        <v>1944</v>
      </c>
      <c r="J421" s="10">
        <v>1944</v>
      </c>
      <c r="K421" s="10">
        <v>5</v>
      </c>
      <c r="L421" s="10">
        <v>5</v>
      </c>
      <c r="M421" s="10">
        <v>8</v>
      </c>
      <c r="N421" s="10">
        <v>0</v>
      </c>
      <c r="O421" s="10">
        <v>0</v>
      </c>
      <c r="P421" s="10">
        <v>3</v>
      </c>
      <c r="Q421" s="10">
        <v>0</v>
      </c>
      <c r="R421" s="12"/>
      <c r="S421" s="13"/>
      <c r="T421" s="13">
        <f t="shared" si="0"/>
        <v>16</v>
      </c>
      <c r="U421" s="11">
        <f ca="1">IFERROR(__xludf.DUMMYFUNCTION("IFERROR(
  SUM(
    FILTER(
      Reporte!$E:$E, 
      REGEXMATCH(Reporte!$A:$A, ""(?i)(TE PAGÓ|PAGASTE)""), 
      Reporte!$H:$H &amp; """" = AG421 &amp; """"
    )
  ), 
  0
)"),8)</f>
        <v>8</v>
      </c>
      <c r="V421" s="11">
        <f ca="1">IFERROR(__xludf.DUMMYFUNCTION("IFERROR(
  SUM(
    FILTER(
      Efectivo!$C:$C, 
      Efectivo!$D:$D &amp; """" = AG421 &amp; """"
    )
  ), 
  0
)"),8)</f>
        <v>8</v>
      </c>
      <c r="W421" s="11" t="s">
        <v>35</v>
      </c>
      <c r="X421" s="11"/>
      <c r="Y421" s="11" t="s">
        <v>36</v>
      </c>
      <c r="Z421" s="11"/>
      <c r="AA421" s="11"/>
      <c r="AB421" s="11" t="str">
        <f t="shared" si="1"/>
        <v/>
      </c>
      <c r="AC421" s="11" t="str">
        <f t="shared" si="9"/>
        <v/>
      </c>
      <c r="AD421" s="11">
        <f t="shared" si="3"/>
        <v>0</v>
      </c>
      <c r="AE421" s="11">
        <f t="shared" si="4"/>
        <v>16</v>
      </c>
      <c r="AF421" s="11" t="str">
        <f t="shared" si="5"/>
        <v>Z</v>
      </c>
      <c r="AG421" s="11" t="str">
        <f t="shared" si="6"/>
        <v>Z-16</v>
      </c>
      <c r="AH421" s="21"/>
      <c r="AI421" s="21"/>
    </row>
    <row r="422" spans="1:35" ht="15.75" hidden="1" customHeight="1">
      <c r="A422" s="15">
        <v>420</v>
      </c>
      <c r="B422" s="16" t="s">
        <v>516</v>
      </c>
      <c r="C422" s="16" t="s">
        <v>502</v>
      </c>
      <c r="D422" s="17">
        <v>17</v>
      </c>
      <c r="E422" s="18"/>
      <c r="F422" s="18"/>
      <c r="G422" s="18"/>
      <c r="H422" s="19">
        <v>1</v>
      </c>
      <c r="I422" s="17">
        <v>2001</v>
      </c>
      <c r="J422" s="17">
        <v>2039</v>
      </c>
      <c r="K422" s="17">
        <v>38</v>
      </c>
      <c r="L422" s="17">
        <v>38</v>
      </c>
      <c r="M422" s="17">
        <v>0</v>
      </c>
      <c r="N422" s="17">
        <v>0</v>
      </c>
      <c r="O422" s="17">
        <v>0</v>
      </c>
      <c r="P422" s="17">
        <v>3</v>
      </c>
      <c r="Q422" s="17">
        <v>0</v>
      </c>
      <c r="R422" s="19"/>
      <c r="S422" s="20"/>
      <c r="T422" s="13">
        <f t="shared" si="0"/>
        <v>41</v>
      </c>
      <c r="U422" s="18">
        <f ca="1">IFERROR(__xludf.DUMMYFUNCTION("IFERROR(
  SUM(
    FILTER(
      Reporte!$E:$E, 
      REGEXMATCH(Reporte!$A:$A, ""(?i)(TE PAGÓ|PAGASTE)""), 
      Reporte!$H:$H &amp; """" = AG422 &amp; """"
    )
  ), 
  0
)"),0)</f>
        <v>0</v>
      </c>
      <c r="V422" s="18">
        <f ca="1">IFERROR(__xludf.DUMMYFUNCTION("IFERROR(
  SUM(
    FILTER(
      Efectivo!$C:$C, 
      Efectivo!$D:$D &amp; """" = AG422 &amp; """"
    )
  ), 
  0
)"),0)</f>
        <v>0</v>
      </c>
      <c r="W422" s="18"/>
      <c r="X422" s="18"/>
      <c r="Y422" s="18"/>
      <c r="Z422" s="18"/>
      <c r="AA422" s="18"/>
      <c r="AB422" s="18" t="str">
        <f t="shared" si="1"/>
        <v/>
      </c>
      <c r="AC422" s="18" t="str">
        <f t="shared" si="9"/>
        <v/>
      </c>
      <c r="AD422" s="11">
        <f t="shared" si="3"/>
        <v>0</v>
      </c>
      <c r="AE422" s="11">
        <f t="shared" si="4"/>
        <v>0</v>
      </c>
      <c r="AF422" s="18" t="str">
        <f t="shared" si="5"/>
        <v>Z</v>
      </c>
      <c r="AG422" s="18" t="str">
        <f t="shared" si="6"/>
        <v>Z-17</v>
      </c>
      <c r="AH422" s="14"/>
      <c r="AI422" s="14"/>
    </row>
    <row r="423" spans="1:35" ht="15.75" hidden="1" customHeight="1">
      <c r="A423" s="8">
        <v>421</v>
      </c>
      <c r="B423" s="9" t="s">
        <v>517</v>
      </c>
      <c r="C423" s="9" t="s">
        <v>502</v>
      </c>
      <c r="D423" s="10">
        <v>18</v>
      </c>
      <c r="E423" s="11"/>
      <c r="F423" s="11"/>
      <c r="G423" s="11"/>
      <c r="H423" s="12">
        <v>2</v>
      </c>
      <c r="I423" s="10">
        <v>257</v>
      </c>
      <c r="J423" s="10">
        <v>279</v>
      </c>
      <c r="K423" s="10">
        <v>22</v>
      </c>
      <c r="L423" s="10">
        <v>22</v>
      </c>
      <c r="M423" s="10">
        <v>0</v>
      </c>
      <c r="N423" s="10">
        <v>0</v>
      </c>
      <c r="O423" s="10">
        <v>0</v>
      </c>
      <c r="P423" s="10">
        <v>3</v>
      </c>
      <c r="Q423" s="10">
        <v>0</v>
      </c>
      <c r="R423" s="12"/>
      <c r="S423" s="13"/>
      <c r="T423" s="13">
        <f t="shared" si="0"/>
        <v>25</v>
      </c>
      <c r="U423" s="11">
        <f ca="1">IFERROR(__xludf.DUMMYFUNCTION("IFERROR(
  SUM(
    FILTER(
      Reporte!$E:$E, 
      REGEXMATCH(Reporte!$A:$A, ""(?i)(TE PAGÓ|PAGASTE)""), 
      Reporte!$H:$H &amp; """" = AG423 &amp; """"
    )
  ), 
  0
)"),25)</f>
        <v>25</v>
      </c>
      <c r="V423" s="11">
        <f ca="1">IFERROR(__xludf.DUMMYFUNCTION("IFERROR(
  SUM(
    FILTER(
      Efectivo!$C:$C, 
      Efectivo!$D:$D &amp; """" = AG423 &amp; """"
    )
  ), 
  0
)"),0)</f>
        <v>0</v>
      </c>
      <c r="W423" s="11" t="s">
        <v>35</v>
      </c>
      <c r="X423" s="11"/>
      <c r="Y423" s="11" t="s">
        <v>36</v>
      </c>
      <c r="Z423" s="11"/>
      <c r="AA423" s="11"/>
      <c r="AB423" s="11" t="str">
        <f t="shared" si="1"/>
        <v/>
      </c>
      <c r="AC423" s="11" t="str">
        <f t="shared" si="9"/>
        <v/>
      </c>
      <c r="AD423" s="11">
        <f t="shared" si="3"/>
        <v>0</v>
      </c>
      <c r="AE423" s="11">
        <f t="shared" si="4"/>
        <v>25</v>
      </c>
      <c r="AF423" s="11" t="str">
        <f t="shared" si="5"/>
        <v>Z</v>
      </c>
      <c r="AG423" s="11" t="str">
        <f t="shared" si="6"/>
        <v>Z-18</v>
      </c>
      <c r="AH423" s="21"/>
      <c r="AI423" s="21"/>
    </row>
    <row r="424" spans="1:35" ht="15.75" hidden="1" customHeight="1">
      <c r="A424" s="15">
        <v>422</v>
      </c>
      <c r="B424" s="16" t="s">
        <v>518</v>
      </c>
      <c r="C424" s="16" t="s">
        <v>519</v>
      </c>
      <c r="D424" s="17">
        <v>1</v>
      </c>
      <c r="E424" s="18"/>
      <c r="F424" s="18"/>
      <c r="G424" s="18"/>
      <c r="H424" s="19">
        <v>1</v>
      </c>
      <c r="I424" s="17">
        <v>513</v>
      </c>
      <c r="J424" s="17">
        <v>517</v>
      </c>
      <c r="K424" s="17">
        <v>5</v>
      </c>
      <c r="L424" s="17">
        <v>5</v>
      </c>
      <c r="M424" s="17">
        <v>0</v>
      </c>
      <c r="N424" s="17">
        <v>0</v>
      </c>
      <c r="O424" s="17">
        <v>0</v>
      </c>
      <c r="P424" s="17">
        <v>3</v>
      </c>
      <c r="Q424" s="17">
        <v>0</v>
      </c>
      <c r="R424" s="19"/>
      <c r="S424" s="20"/>
      <c r="T424" s="13">
        <f t="shared" si="0"/>
        <v>8</v>
      </c>
      <c r="U424" s="18">
        <f ca="1">IFERROR(__xludf.DUMMYFUNCTION("IFERROR(
  SUM(
    FILTER(
      Reporte!$E:$E, 
      REGEXMATCH(Reporte!$A:$A, ""(?i)(TE PAGÓ|PAGASTE)""), 
      Reporte!$H:$H &amp; """" = AG424 &amp; """"
    )
  ), 
  0
)"),0)</f>
        <v>0</v>
      </c>
      <c r="V424" s="18">
        <f ca="1">IFERROR(__xludf.DUMMYFUNCTION("IFERROR(
  SUM(
    FILTER(
      Efectivo!$C:$C, 
      Efectivo!$D:$D &amp; """" = AG424 &amp; """"
    )
  ), 
  0
)"),0)</f>
        <v>0</v>
      </c>
      <c r="W424" s="18"/>
      <c r="X424" s="18"/>
      <c r="Y424" s="18"/>
      <c r="Z424" s="18"/>
      <c r="AA424" s="18"/>
      <c r="AB424" s="18" t="str">
        <f t="shared" si="1"/>
        <v/>
      </c>
      <c r="AC424" s="18" t="str">
        <f t="shared" si="9"/>
        <v/>
      </c>
      <c r="AD424" s="11">
        <f t="shared" si="3"/>
        <v>0</v>
      </c>
      <c r="AE424" s="11">
        <f t="shared" si="4"/>
        <v>0</v>
      </c>
      <c r="AF424" s="18" t="str">
        <f t="shared" si="5"/>
        <v>A1</v>
      </c>
      <c r="AG424" s="18" t="str">
        <f t="shared" si="6"/>
        <v>A1-1</v>
      </c>
      <c r="AH424" s="14"/>
      <c r="AI424" s="14"/>
    </row>
    <row r="425" spans="1:35" ht="15.75" hidden="1" customHeight="1">
      <c r="A425" s="8">
        <v>423</v>
      </c>
      <c r="B425" s="9" t="s">
        <v>520</v>
      </c>
      <c r="C425" s="9" t="s">
        <v>519</v>
      </c>
      <c r="D425" s="10">
        <v>2</v>
      </c>
      <c r="E425" s="11"/>
      <c r="F425" s="11"/>
      <c r="G425" s="11"/>
      <c r="H425" s="12">
        <v>1</v>
      </c>
      <c r="I425" s="10">
        <v>942</v>
      </c>
      <c r="J425" s="10">
        <v>962</v>
      </c>
      <c r="K425" s="10">
        <v>20</v>
      </c>
      <c r="L425" s="10">
        <v>20</v>
      </c>
      <c r="M425" s="10">
        <v>15</v>
      </c>
      <c r="N425" s="10">
        <v>0</v>
      </c>
      <c r="O425" s="10">
        <v>0</v>
      </c>
      <c r="P425" s="10">
        <v>3</v>
      </c>
      <c r="Q425" s="10">
        <v>0</v>
      </c>
      <c r="R425" s="12"/>
      <c r="S425" s="13"/>
      <c r="T425" s="13">
        <f t="shared" si="0"/>
        <v>38</v>
      </c>
      <c r="U425" s="11">
        <f ca="1">IFERROR(__xludf.DUMMYFUNCTION("IFERROR(
  SUM(
    FILTER(
      Reporte!$E:$E, 
      REGEXMATCH(Reporte!$A:$A, ""(?i)(TE PAGÓ|PAGASTE)""), 
      Reporte!$H:$H &amp; """" = AG425 &amp; """"
    )
  ), 
  0
)"),0)</f>
        <v>0</v>
      </c>
      <c r="V425" s="11">
        <f ca="1">IFERROR(__xludf.DUMMYFUNCTION("IFERROR(
  SUM(
    FILTER(
      Efectivo!$C:$C, 
      Efectivo!$D:$D &amp; """" = AG425 &amp; """"
    )
  ), 
  0
)"),38)</f>
        <v>38</v>
      </c>
      <c r="W425" s="11" t="s">
        <v>35</v>
      </c>
      <c r="X425" s="11"/>
      <c r="Y425" s="11"/>
      <c r="Z425" s="11"/>
      <c r="AA425" s="11"/>
      <c r="AB425" s="11" t="str">
        <f t="shared" si="1"/>
        <v/>
      </c>
      <c r="AC425" s="11" t="str">
        <f t="shared" si="9"/>
        <v/>
      </c>
      <c r="AD425" s="11">
        <f t="shared" si="3"/>
        <v>38</v>
      </c>
      <c r="AE425" s="11">
        <f t="shared" si="4"/>
        <v>0</v>
      </c>
      <c r="AF425" s="11" t="str">
        <f t="shared" si="5"/>
        <v>A1</v>
      </c>
      <c r="AG425" s="11" t="str">
        <f t="shared" si="6"/>
        <v>A1-2</v>
      </c>
      <c r="AH425" s="21"/>
      <c r="AI425" s="21"/>
    </row>
    <row r="426" spans="1:35" ht="15.75" hidden="1" customHeight="1">
      <c r="A426" s="15">
        <v>424</v>
      </c>
      <c r="B426" s="16" t="s">
        <v>521</v>
      </c>
      <c r="C426" s="16" t="s">
        <v>519</v>
      </c>
      <c r="D426" s="17">
        <v>3</v>
      </c>
      <c r="E426" s="18"/>
      <c r="F426" s="18"/>
      <c r="G426" s="18"/>
      <c r="H426" s="19">
        <v>1</v>
      </c>
      <c r="I426" s="17">
        <v>7607</v>
      </c>
      <c r="J426" s="17">
        <v>7661</v>
      </c>
      <c r="K426" s="17">
        <v>54</v>
      </c>
      <c r="L426" s="17">
        <v>54</v>
      </c>
      <c r="M426" s="17">
        <v>0</v>
      </c>
      <c r="N426" s="17">
        <v>0</v>
      </c>
      <c r="O426" s="17">
        <v>0</v>
      </c>
      <c r="P426" s="17">
        <v>3</v>
      </c>
      <c r="Q426" s="17">
        <v>0</v>
      </c>
      <c r="R426" s="19"/>
      <c r="S426" s="20"/>
      <c r="T426" s="13">
        <f t="shared" si="0"/>
        <v>57</v>
      </c>
      <c r="U426" s="18">
        <f ca="1">IFERROR(__xludf.DUMMYFUNCTION("IFERROR(
  SUM(
    FILTER(
      Reporte!$E:$E, 
      REGEXMATCH(Reporte!$A:$A, ""(?i)(TE PAGÓ|PAGASTE)""), 
      Reporte!$H:$H &amp; """" = AG426 &amp; """"
    )
  ), 
  0
)"),0)</f>
        <v>0</v>
      </c>
      <c r="V426" s="18">
        <f ca="1">IFERROR(__xludf.DUMMYFUNCTION("IFERROR(
  SUM(
    FILTER(
      Efectivo!$C:$C, 
      Efectivo!$D:$D &amp; """" = AG426 &amp; """"
    )
  ), 
  0
)"),57)</f>
        <v>57</v>
      </c>
      <c r="W426" s="18" t="s">
        <v>35</v>
      </c>
      <c r="X426" s="18"/>
      <c r="Y426" s="18"/>
      <c r="Z426" s="18"/>
      <c r="AA426" s="18"/>
      <c r="AB426" s="18" t="str">
        <f t="shared" si="1"/>
        <v/>
      </c>
      <c r="AC426" s="18" t="str">
        <f t="shared" si="9"/>
        <v/>
      </c>
      <c r="AD426" s="11">
        <f t="shared" si="3"/>
        <v>57</v>
      </c>
      <c r="AE426" s="11">
        <f t="shared" si="4"/>
        <v>0</v>
      </c>
      <c r="AF426" s="18" t="str">
        <f t="shared" si="5"/>
        <v>A1</v>
      </c>
      <c r="AG426" s="18" t="str">
        <f t="shared" si="6"/>
        <v>A1-3</v>
      </c>
      <c r="AH426" s="14"/>
      <c r="AI426" s="14"/>
    </row>
    <row r="427" spans="1:35" ht="15.75" hidden="1" customHeight="1">
      <c r="A427" s="8">
        <v>425</v>
      </c>
      <c r="B427" s="9" t="s">
        <v>522</v>
      </c>
      <c r="C427" s="9" t="s">
        <v>519</v>
      </c>
      <c r="D427" s="10">
        <v>4</v>
      </c>
      <c r="E427" s="11"/>
      <c r="F427" s="11"/>
      <c r="G427" s="11"/>
      <c r="H427" s="12">
        <v>1</v>
      </c>
      <c r="I427" s="10">
        <v>281</v>
      </c>
      <c r="J427" s="10">
        <v>290</v>
      </c>
      <c r="K427" s="10">
        <v>9</v>
      </c>
      <c r="L427" s="10">
        <v>9</v>
      </c>
      <c r="M427" s="10">
        <v>0</v>
      </c>
      <c r="N427" s="10">
        <v>0</v>
      </c>
      <c r="O427" s="10">
        <v>0</v>
      </c>
      <c r="P427" s="10">
        <v>3</v>
      </c>
      <c r="Q427" s="10">
        <v>0</v>
      </c>
      <c r="R427" s="12"/>
      <c r="S427" s="13"/>
      <c r="T427" s="13">
        <f t="shared" si="0"/>
        <v>12</v>
      </c>
      <c r="U427" s="11">
        <f ca="1">IFERROR(__xludf.DUMMYFUNCTION("IFERROR(
  SUM(
    FILTER(
      Reporte!$E:$E, 
      REGEXMATCH(Reporte!$A:$A, ""(?i)(TE PAGÓ|PAGASTE)""), 
      Reporte!$H:$H &amp; """" = AG427 &amp; """"
    )
  ), 
  0
)"),0)</f>
        <v>0</v>
      </c>
      <c r="V427" s="11">
        <f ca="1">IFERROR(__xludf.DUMMYFUNCTION("IFERROR(
  SUM(
    FILTER(
      Efectivo!$C:$C, 
      Efectivo!$D:$D &amp; """" = AG427 &amp; """"
    )
  ), 
  0
)"),12)</f>
        <v>12</v>
      </c>
      <c r="W427" s="11" t="s">
        <v>35</v>
      </c>
      <c r="X427" s="11"/>
      <c r="Y427" s="11"/>
      <c r="Z427" s="11"/>
      <c r="AA427" s="11"/>
      <c r="AB427" s="11" t="str">
        <f t="shared" si="1"/>
        <v/>
      </c>
      <c r="AC427" s="11" t="str">
        <f t="shared" si="9"/>
        <v/>
      </c>
      <c r="AD427" s="11">
        <f t="shared" si="3"/>
        <v>12</v>
      </c>
      <c r="AE427" s="11">
        <f t="shared" si="4"/>
        <v>0</v>
      </c>
      <c r="AF427" s="11" t="str">
        <f t="shared" si="5"/>
        <v>A1</v>
      </c>
      <c r="AG427" s="11" t="str">
        <f t="shared" si="6"/>
        <v>A1-4</v>
      </c>
      <c r="AH427" s="21"/>
      <c r="AI427" s="21"/>
    </row>
    <row r="428" spans="1:35" ht="15.75" hidden="1" customHeight="1">
      <c r="A428" s="15">
        <v>426</v>
      </c>
      <c r="B428" s="16" t="s">
        <v>523</v>
      </c>
      <c r="C428" s="16" t="s">
        <v>519</v>
      </c>
      <c r="D428" s="17">
        <v>5</v>
      </c>
      <c r="E428" s="18"/>
      <c r="F428" s="18"/>
      <c r="G428" s="18"/>
      <c r="H428" s="19">
        <v>1</v>
      </c>
      <c r="I428" s="17">
        <v>1077</v>
      </c>
      <c r="J428" s="17">
        <v>1082</v>
      </c>
      <c r="K428" s="17">
        <v>5</v>
      </c>
      <c r="L428" s="17">
        <v>5</v>
      </c>
      <c r="M428" s="17">
        <v>0</v>
      </c>
      <c r="N428" s="17">
        <v>0</v>
      </c>
      <c r="O428" s="17">
        <v>0</v>
      </c>
      <c r="P428" s="17">
        <v>3</v>
      </c>
      <c r="Q428" s="17">
        <v>0</v>
      </c>
      <c r="R428" s="19"/>
      <c r="S428" s="20"/>
      <c r="T428" s="13">
        <f t="shared" si="0"/>
        <v>8</v>
      </c>
      <c r="U428" s="18">
        <f ca="1">IFERROR(__xludf.DUMMYFUNCTION("IFERROR(
  SUM(
    FILTER(
      Reporte!$E:$E, 
      REGEXMATCH(Reporte!$A:$A, ""(?i)(TE PAGÓ|PAGASTE)""), 
      Reporte!$H:$H &amp; """" = AG428 &amp; """"
    )
  ), 
  0
)"),8)</f>
        <v>8</v>
      </c>
      <c r="V428" s="18">
        <f ca="1">IFERROR(__xludf.DUMMYFUNCTION("IFERROR(
  SUM(
    FILTER(
      Efectivo!$C:$C, 
      Efectivo!$D:$D &amp; """" = AG428 &amp; """"
    )
  ), 
  0
)"),0)</f>
        <v>0</v>
      </c>
      <c r="W428" s="18" t="s">
        <v>35</v>
      </c>
      <c r="X428" s="18"/>
      <c r="Y428" s="18" t="s">
        <v>36</v>
      </c>
      <c r="Z428" s="18"/>
      <c r="AA428" s="18"/>
      <c r="AB428" s="18" t="str">
        <f t="shared" si="1"/>
        <v/>
      </c>
      <c r="AC428" s="18" t="str">
        <f t="shared" si="9"/>
        <v/>
      </c>
      <c r="AD428" s="11">
        <f t="shared" si="3"/>
        <v>0</v>
      </c>
      <c r="AE428" s="11">
        <f t="shared" si="4"/>
        <v>8</v>
      </c>
      <c r="AF428" s="18" t="str">
        <f t="shared" si="5"/>
        <v>A1</v>
      </c>
      <c r="AG428" s="18" t="str">
        <f t="shared" si="6"/>
        <v>A1-5</v>
      </c>
      <c r="AH428" s="14"/>
      <c r="AI428" s="14"/>
    </row>
    <row r="429" spans="1:35" ht="15.75" hidden="1" customHeight="1">
      <c r="A429" s="8">
        <v>427</v>
      </c>
      <c r="B429" s="9" t="s">
        <v>524</v>
      </c>
      <c r="C429" s="9" t="s">
        <v>519</v>
      </c>
      <c r="D429" s="10">
        <v>6</v>
      </c>
      <c r="E429" s="11"/>
      <c r="F429" s="12">
        <v>1</v>
      </c>
      <c r="G429" s="11"/>
      <c r="H429" s="12">
        <v>1</v>
      </c>
      <c r="I429" s="10">
        <v>1210</v>
      </c>
      <c r="J429" s="10">
        <v>1221</v>
      </c>
      <c r="K429" s="10">
        <v>11</v>
      </c>
      <c r="L429" s="10">
        <v>11</v>
      </c>
      <c r="M429" s="10">
        <v>0</v>
      </c>
      <c r="N429" s="10">
        <v>0</v>
      </c>
      <c r="O429" s="10">
        <v>0</v>
      </c>
      <c r="P429" s="10">
        <v>3</v>
      </c>
      <c r="Q429" s="10">
        <v>0</v>
      </c>
      <c r="R429" s="12"/>
      <c r="S429" s="13"/>
      <c r="T429" s="13">
        <f t="shared" si="0"/>
        <v>14</v>
      </c>
      <c r="U429" s="11">
        <f ca="1">IFERROR(__xludf.DUMMYFUNCTION("IFERROR(
  SUM(
    FILTER(
      Reporte!$E:$E, 
      REGEXMATCH(Reporte!$A:$A, ""(?i)(TE PAGÓ|PAGASTE)""), 
      Reporte!$H:$H &amp; """" = AG429 &amp; """"
    )
  ), 
  0
)"),14)</f>
        <v>14</v>
      </c>
      <c r="V429" s="11">
        <f ca="1">IFERROR(__xludf.DUMMYFUNCTION("IFERROR(
  SUM(
    FILTER(
      Efectivo!$C:$C, 
      Efectivo!$D:$D &amp; """" = AG429 &amp; """"
    )
  ), 
  0
)"),0)</f>
        <v>0</v>
      </c>
      <c r="W429" s="11" t="s">
        <v>35</v>
      </c>
      <c r="X429" s="11"/>
      <c r="Y429" s="11" t="s">
        <v>36</v>
      </c>
      <c r="Z429" s="11"/>
      <c r="AA429" s="11"/>
      <c r="AB429" s="11" t="str">
        <f t="shared" si="1"/>
        <v/>
      </c>
      <c r="AC429" s="11" t="str">
        <f t="shared" si="9"/>
        <v/>
      </c>
      <c r="AD429" s="11">
        <f t="shared" si="3"/>
        <v>0</v>
      </c>
      <c r="AE429" s="11">
        <f t="shared" si="4"/>
        <v>14</v>
      </c>
      <c r="AF429" s="11" t="str">
        <f t="shared" si="5"/>
        <v>A1</v>
      </c>
      <c r="AG429" s="11" t="str">
        <f t="shared" si="6"/>
        <v>A1-6</v>
      </c>
      <c r="AH429" s="21"/>
      <c r="AI429" s="21"/>
    </row>
    <row r="430" spans="1:35" ht="15.75" hidden="1" customHeight="1">
      <c r="A430" s="15">
        <v>428</v>
      </c>
      <c r="B430" s="16" t="s">
        <v>525</v>
      </c>
      <c r="C430" s="16" t="s">
        <v>519</v>
      </c>
      <c r="D430" s="17">
        <v>7</v>
      </c>
      <c r="E430" s="18"/>
      <c r="F430" s="18"/>
      <c r="G430" s="18"/>
      <c r="H430" s="19">
        <v>1</v>
      </c>
      <c r="I430" s="17">
        <v>278</v>
      </c>
      <c r="J430" s="17">
        <v>285</v>
      </c>
      <c r="K430" s="17">
        <v>7</v>
      </c>
      <c r="L430" s="17">
        <v>7</v>
      </c>
      <c r="M430" s="17">
        <v>0</v>
      </c>
      <c r="N430" s="17">
        <v>0</v>
      </c>
      <c r="O430" s="17">
        <v>0</v>
      </c>
      <c r="P430" s="17">
        <v>3</v>
      </c>
      <c r="Q430" s="17">
        <v>0</v>
      </c>
      <c r="R430" s="19"/>
      <c r="S430" s="20"/>
      <c r="T430" s="13">
        <f t="shared" si="0"/>
        <v>10</v>
      </c>
      <c r="U430" s="18">
        <f ca="1">IFERROR(__xludf.DUMMYFUNCTION("IFERROR(
  SUM(
    FILTER(
      Reporte!$E:$E, 
      REGEXMATCH(Reporte!$A:$A, ""(?i)(TE PAGÓ|PAGASTE)""), 
      Reporte!$H:$H &amp; """" = AG430 &amp; """"
    )
  ), 
  0
)"),10)</f>
        <v>10</v>
      </c>
      <c r="V430" s="18">
        <f ca="1">IFERROR(__xludf.DUMMYFUNCTION("IFERROR(
  SUM(
    FILTER(
      Efectivo!$C:$C, 
      Efectivo!$D:$D &amp; """" = AG430 &amp; """"
    )
  ), 
  0
)"),0)</f>
        <v>0</v>
      </c>
      <c r="W430" s="18" t="s">
        <v>35</v>
      </c>
      <c r="X430" s="18"/>
      <c r="Y430" s="18" t="s">
        <v>36</v>
      </c>
      <c r="Z430" s="18"/>
      <c r="AA430" s="18"/>
      <c r="AB430" s="18" t="str">
        <f t="shared" si="1"/>
        <v/>
      </c>
      <c r="AC430" s="18" t="str">
        <f t="shared" si="9"/>
        <v/>
      </c>
      <c r="AD430" s="11">
        <f t="shared" si="3"/>
        <v>0</v>
      </c>
      <c r="AE430" s="11">
        <f t="shared" si="4"/>
        <v>10</v>
      </c>
      <c r="AF430" s="18" t="str">
        <f t="shared" si="5"/>
        <v>A1</v>
      </c>
      <c r="AG430" s="18" t="str">
        <f t="shared" si="6"/>
        <v>A1-7</v>
      </c>
      <c r="AH430" s="14"/>
      <c r="AI430" s="14"/>
    </row>
    <row r="431" spans="1:35" ht="15.75" hidden="1" customHeight="1">
      <c r="A431" s="8">
        <v>429</v>
      </c>
      <c r="B431" s="9" t="s">
        <v>526</v>
      </c>
      <c r="C431" s="9" t="s">
        <v>519</v>
      </c>
      <c r="D431" s="10">
        <v>8</v>
      </c>
      <c r="E431" s="11"/>
      <c r="F431" s="11"/>
      <c r="G431" s="11"/>
      <c r="H431" s="12">
        <v>1</v>
      </c>
      <c r="I431" s="10">
        <v>453</v>
      </c>
      <c r="J431" s="10">
        <v>460</v>
      </c>
      <c r="K431" s="10">
        <v>7</v>
      </c>
      <c r="L431" s="10">
        <v>7</v>
      </c>
      <c r="M431" s="10">
        <v>0</v>
      </c>
      <c r="N431" s="10">
        <v>0</v>
      </c>
      <c r="O431" s="10">
        <v>0</v>
      </c>
      <c r="P431" s="10">
        <v>3</v>
      </c>
      <c r="Q431" s="10">
        <v>0</v>
      </c>
      <c r="R431" s="12"/>
      <c r="S431" s="13"/>
      <c r="T431" s="13">
        <f t="shared" si="0"/>
        <v>10</v>
      </c>
      <c r="U431" s="11">
        <f ca="1">IFERROR(__xludf.DUMMYFUNCTION("IFERROR(
  SUM(
    FILTER(
      Reporte!$E:$E, 
      REGEXMATCH(Reporte!$A:$A, ""(?i)(TE PAGÓ|PAGASTE)""), 
      Reporte!$H:$H &amp; """" = AG431 &amp; """"
    )
  ), 
  0
)"),10)</f>
        <v>10</v>
      </c>
      <c r="V431" s="11">
        <f ca="1">IFERROR(__xludf.DUMMYFUNCTION("IFERROR(
  SUM(
    FILTER(
      Efectivo!$C:$C, 
      Efectivo!$D:$D &amp; """" = AG431 &amp; """"
    )
  ), 
  0
)"),0)</f>
        <v>0</v>
      </c>
      <c r="W431" s="11" t="s">
        <v>35</v>
      </c>
      <c r="X431" s="11"/>
      <c r="Y431" s="11" t="s">
        <v>36</v>
      </c>
      <c r="Z431" s="11" t="s">
        <v>527</v>
      </c>
      <c r="AA431" s="11"/>
      <c r="AB431" s="11" t="str">
        <f t="shared" si="1"/>
        <v/>
      </c>
      <c r="AC431" s="11" t="str">
        <f t="shared" si="9"/>
        <v/>
      </c>
      <c r="AD431" s="11">
        <f t="shared" si="3"/>
        <v>0</v>
      </c>
      <c r="AE431" s="11">
        <f t="shared" si="4"/>
        <v>10</v>
      </c>
      <c r="AF431" s="11" t="str">
        <f t="shared" si="5"/>
        <v>A1</v>
      </c>
      <c r="AG431" s="11" t="str">
        <f t="shared" si="6"/>
        <v>A1-8</v>
      </c>
      <c r="AH431" s="21"/>
      <c r="AI431" s="21"/>
    </row>
    <row r="432" spans="1:35" ht="15.75" hidden="1" customHeight="1">
      <c r="A432" s="15">
        <v>430</v>
      </c>
      <c r="B432" s="16" t="s">
        <v>528</v>
      </c>
      <c r="C432" s="16" t="s">
        <v>519</v>
      </c>
      <c r="D432" s="17">
        <v>11</v>
      </c>
      <c r="E432" s="18"/>
      <c r="F432" s="18"/>
      <c r="G432" s="18"/>
      <c r="H432" s="19">
        <v>1</v>
      </c>
      <c r="I432" s="17">
        <v>66</v>
      </c>
      <c r="J432" s="17">
        <v>77</v>
      </c>
      <c r="K432" s="17">
        <v>11</v>
      </c>
      <c r="L432" s="17">
        <v>11</v>
      </c>
      <c r="M432" s="17">
        <v>0</v>
      </c>
      <c r="N432" s="17">
        <v>0</v>
      </c>
      <c r="O432" s="17">
        <v>0</v>
      </c>
      <c r="P432" s="17">
        <v>3</v>
      </c>
      <c r="Q432" s="17">
        <v>0</v>
      </c>
      <c r="R432" s="19"/>
      <c r="S432" s="20"/>
      <c r="T432" s="13">
        <f t="shared" si="0"/>
        <v>14</v>
      </c>
      <c r="U432" s="18">
        <f ca="1">IFERROR(__xludf.DUMMYFUNCTION("IFERROR(
  SUM(
    FILTER(
      Reporte!$E:$E, 
      REGEXMATCH(Reporte!$A:$A, ""(?i)(TE PAGÓ|PAGASTE)""), 
      Reporte!$H:$H &amp; """" = AG432 &amp; """"
    )
  ), 
  0
)"),0)</f>
        <v>0</v>
      </c>
      <c r="V432" s="18">
        <f ca="1">IFERROR(__xludf.DUMMYFUNCTION("IFERROR(
  SUM(
    FILTER(
      Efectivo!$C:$C, 
      Efectivo!$D:$D &amp; """" = AG432 &amp; """"
    )
  ), 
  0
)"),14)</f>
        <v>14</v>
      </c>
      <c r="W432" s="18" t="s">
        <v>35</v>
      </c>
      <c r="X432" s="18"/>
      <c r="Y432" s="18"/>
      <c r="Z432" s="18"/>
      <c r="AA432" s="18"/>
      <c r="AB432" s="18" t="str">
        <f t="shared" si="1"/>
        <v/>
      </c>
      <c r="AC432" s="18" t="str">
        <f t="shared" si="9"/>
        <v/>
      </c>
      <c r="AD432" s="11">
        <f t="shared" si="3"/>
        <v>14</v>
      </c>
      <c r="AE432" s="11">
        <f t="shared" si="4"/>
        <v>0</v>
      </c>
      <c r="AF432" s="18" t="str">
        <f t="shared" si="5"/>
        <v>A1</v>
      </c>
      <c r="AG432" s="18" t="str">
        <f t="shared" si="6"/>
        <v>A1-11</v>
      </c>
      <c r="AH432" s="14"/>
      <c r="AI432" s="14"/>
    </row>
    <row r="433" spans="1:35" ht="15.75" hidden="1" customHeight="1">
      <c r="A433" s="8">
        <v>431</v>
      </c>
      <c r="B433" s="9" t="s">
        <v>529</v>
      </c>
      <c r="C433" s="9" t="s">
        <v>519</v>
      </c>
      <c r="D433" s="10">
        <v>12</v>
      </c>
      <c r="E433" s="11"/>
      <c r="F433" s="11"/>
      <c r="G433" s="11"/>
      <c r="H433" s="12">
        <v>1</v>
      </c>
      <c r="I433" s="10">
        <v>2</v>
      </c>
      <c r="J433" s="10">
        <v>2</v>
      </c>
      <c r="K433" s="10">
        <v>5</v>
      </c>
      <c r="L433" s="10">
        <v>5</v>
      </c>
      <c r="M433" s="10">
        <v>0</v>
      </c>
      <c r="N433" s="10">
        <v>0</v>
      </c>
      <c r="O433" s="10">
        <v>0</v>
      </c>
      <c r="P433" s="10">
        <v>3</v>
      </c>
      <c r="Q433" s="10">
        <v>0</v>
      </c>
      <c r="R433" s="12"/>
      <c r="S433" s="13"/>
      <c r="T433" s="13">
        <f t="shared" si="0"/>
        <v>8</v>
      </c>
      <c r="U433" s="11">
        <f ca="1">IFERROR(__xludf.DUMMYFUNCTION("IFERROR(
  SUM(
    FILTER(
      Reporte!$E:$E, 
      REGEXMATCH(Reporte!$A:$A, ""(?i)(TE PAGÓ|PAGASTE)""), 
      Reporte!$H:$H &amp; """" = AG433 &amp; """"
    )
  ), 
  0
)"),8)</f>
        <v>8</v>
      </c>
      <c r="V433" s="11">
        <f ca="1">IFERROR(__xludf.DUMMYFUNCTION("IFERROR(
  SUM(
    FILTER(
      Efectivo!$C:$C, 
      Efectivo!$D:$D &amp; """" = AG433 &amp; """"
    )
  ), 
  0
)"),0)</f>
        <v>0</v>
      </c>
      <c r="W433" s="11" t="s">
        <v>35</v>
      </c>
      <c r="X433" s="11"/>
      <c r="Y433" s="11" t="s">
        <v>36</v>
      </c>
      <c r="Z433" s="11"/>
      <c r="AA433" s="11"/>
      <c r="AB433" s="11" t="str">
        <f t="shared" si="1"/>
        <v/>
      </c>
      <c r="AC433" s="11" t="str">
        <f t="shared" si="9"/>
        <v/>
      </c>
      <c r="AD433" s="11">
        <f t="shared" si="3"/>
        <v>0</v>
      </c>
      <c r="AE433" s="11">
        <f t="shared" si="4"/>
        <v>8</v>
      </c>
      <c r="AF433" s="11" t="str">
        <f t="shared" si="5"/>
        <v>A1</v>
      </c>
      <c r="AG433" s="11" t="str">
        <f t="shared" si="6"/>
        <v>A1-12</v>
      </c>
      <c r="AH433" s="21"/>
      <c r="AI433" s="21"/>
    </row>
    <row r="434" spans="1:35" ht="15.75" hidden="1" customHeight="1">
      <c r="A434" s="15">
        <v>432</v>
      </c>
      <c r="B434" s="16" t="s">
        <v>530</v>
      </c>
      <c r="C434" s="16" t="s">
        <v>519</v>
      </c>
      <c r="D434" s="17">
        <v>13</v>
      </c>
      <c r="E434" s="18"/>
      <c r="F434" s="18"/>
      <c r="G434" s="18"/>
      <c r="H434" s="19">
        <v>1</v>
      </c>
      <c r="I434" s="17">
        <v>56</v>
      </c>
      <c r="J434" s="17">
        <v>57</v>
      </c>
      <c r="K434" s="17">
        <v>5</v>
      </c>
      <c r="L434" s="17">
        <v>5</v>
      </c>
      <c r="M434" s="17">
        <v>0</v>
      </c>
      <c r="N434" s="17">
        <v>0</v>
      </c>
      <c r="O434" s="17">
        <v>0</v>
      </c>
      <c r="P434" s="17">
        <v>3</v>
      </c>
      <c r="Q434" s="17">
        <v>0</v>
      </c>
      <c r="R434" s="19"/>
      <c r="S434" s="20"/>
      <c r="T434" s="13">
        <f t="shared" si="0"/>
        <v>8</v>
      </c>
      <c r="U434" s="18">
        <f ca="1">IFERROR(__xludf.DUMMYFUNCTION("IFERROR(
  SUM(
    FILTER(
      Reporte!$E:$E, 
      REGEXMATCH(Reporte!$A:$A, ""(?i)(TE PAGÓ|PAGASTE)""), 
      Reporte!$H:$H &amp; """" = AG434 &amp; """"
    )
  ), 
  0
)"),0)</f>
        <v>0</v>
      </c>
      <c r="V434" s="18">
        <f ca="1">IFERROR(__xludf.DUMMYFUNCTION("IFERROR(
  SUM(
    FILTER(
      Efectivo!$C:$C, 
      Efectivo!$D:$D &amp; """" = AG434 &amp; """"
    )
  ), 
  0
)"),8)</f>
        <v>8</v>
      </c>
      <c r="W434" s="18" t="s">
        <v>35</v>
      </c>
      <c r="X434" s="18"/>
      <c r="Y434" s="18"/>
      <c r="Z434" s="18"/>
      <c r="AA434" s="18"/>
      <c r="AB434" s="18" t="str">
        <f t="shared" si="1"/>
        <v/>
      </c>
      <c r="AC434" s="18" t="str">
        <f t="shared" si="9"/>
        <v/>
      </c>
      <c r="AD434" s="11">
        <f t="shared" si="3"/>
        <v>8</v>
      </c>
      <c r="AE434" s="11">
        <f t="shared" si="4"/>
        <v>0</v>
      </c>
      <c r="AF434" s="18" t="str">
        <f t="shared" si="5"/>
        <v>A1</v>
      </c>
      <c r="AG434" s="18" t="str">
        <f t="shared" si="6"/>
        <v>A1-13</v>
      </c>
      <c r="AH434" s="14"/>
      <c r="AI434" s="14"/>
    </row>
    <row r="435" spans="1:35" ht="15.75" hidden="1" customHeight="1">
      <c r="A435" s="8">
        <v>433</v>
      </c>
      <c r="B435" s="9" t="s">
        <v>531</v>
      </c>
      <c r="C435" s="9" t="s">
        <v>532</v>
      </c>
      <c r="D435" s="10">
        <v>1</v>
      </c>
      <c r="E435" s="11"/>
      <c r="F435" s="11"/>
      <c r="G435" s="11"/>
      <c r="H435" s="12">
        <v>1</v>
      </c>
      <c r="I435" s="10">
        <v>1739</v>
      </c>
      <c r="J435" s="10">
        <v>1748</v>
      </c>
      <c r="K435" s="10">
        <v>9</v>
      </c>
      <c r="L435" s="10">
        <v>9</v>
      </c>
      <c r="M435" s="10">
        <v>0</v>
      </c>
      <c r="N435" s="10">
        <v>0</v>
      </c>
      <c r="O435" s="10">
        <v>0</v>
      </c>
      <c r="P435" s="10">
        <v>3</v>
      </c>
      <c r="Q435" s="10">
        <v>0</v>
      </c>
      <c r="R435" s="12"/>
      <c r="S435" s="13"/>
      <c r="T435" s="13">
        <f t="shared" si="0"/>
        <v>12</v>
      </c>
      <c r="U435" s="11">
        <f ca="1">IFERROR(__xludf.DUMMYFUNCTION("IFERROR(
  SUM(
    FILTER(
      Reporte!$E:$E, 
      REGEXMATCH(Reporte!$A:$A, ""(?i)(TE PAGÓ|PAGASTE)""), 
      Reporte!$H:$H &amp; """" = AG435 &amp; """"
    )
  ), 
  0
)"),0)</f>
        <v>0</v>
      </c>
      <c r="V435" s="11">
        <f ca="1">IFERROR(__xludf.DUMMYFUNCTION("IFERROR(
  SUM(
    FILTER(
      Efectivo!$C:$C, 
      Efectivo!$D:$D &amp; """" = AG435 &amp; """"
    )
  ), 
  0
)"),12)</f>
        <v>12</v>
      </c>
      <c r="W435" s="11" t="s">
        <v>35</v>
      </c>
      <c r="X435" s="11"/>
      <c r="Y435" s="11"/>
      <c r="Z435" s="11"/>
      <c r="AA435" s="11"/>
      <c r="AB435" s="11" t="str">
        <f t="shared" si="1"/>
        <v/>
      </c>
      <c r="AC435" s="11" t="str">
        <f t="shared" si="9"/>
        <v/>
      </c>
      <c r="AD435" s="11">
        <f t="shared" si="3"/>
        <v>12</v>
      </c>
      <c r="AE435" s="11">
        <f t="shared" si="4"/>
        <v>0</v>
      </c>
      <c r="AF435" s="11" t="str">
        <f t="shared" si="5"/>
        <v>B1</v>
      </c>
      <c r="AG435" s="11" t="str">
        <f t="shared" si="6"/>
        <v>B1-1</v>
      </c>
      <c r="AH435" s="21"/>
      <c r="AI435" s="21"/>
    </row>
    <row r="436" spans="1:35" ht="15.75" hidden="1" customHeight="1">
      <c r="A436" s="15">
        <v>434</v>
      </c>
      <c r="B436" s="16" t="s">
        <v>533</v>
      </c>
      <c r="C436" s="16" t="s">
        <v>532</v>
      </c>
      <c r="D436" s="17">
        <v>3</v>
      </c>
      <c r="E436" s="18"/>
      <c r="F436" s="18"/>
      <c r="G436" s="18"/>
      <c r="H436" s="19">
        <v>1</v>
      </c>
      <c r="I436" s="17">
        <v>33</v>
      </c>
      <c r="J436" s="17">
        <v>33</v>
      </c>
      <c r="K436" s="17">
        <v>5</v>
      </c>
      <c r="L436" s="17">
        <v>5</v>
      </c>
      <c r="M436" s="17">
        <v>0</v>
      </c>
      <c r="N436" s="17">
        <v>0</v>
      </c>
      <c r="O436" s="17">
        <v>0</v>
      </c>
      <c r="P436" s="17">
        <v>3</v>
      </c>
      <c r="Q436" s="17">
        <v>0</v>
      </c>
      <c r="R436" s="19"/>
      <c r="S436" s="20"/>
      <c r="T436" s="13">
        <f t="shared" si="0"/>
        <v>8</v>
      </c>
      <c r="U436" s="18">
        <f ca="1">IFERROR(__xludf.DUMMYFUNCTION("IFERROR(
  SUM(
    FILTER(
      Reporte!$E:$E, 
      REGEXMATCH(Reporte!$A:$A, ""(?i)(TE PAGÓ|PAGASTE)""), 
      Reporte!$H:$H &amp; """" = AG436 &amp; """"
    )
  ), 
  0
)"),8)</f>
        <v>8</v>
      </c>
      <c r="V436" s="18">
        <f ca="1">IFERROR(__xludf.DUMMYFUNCTION("IFERROR(
  SUM(
    FILTER(
      Efectivo!$C:$C, 
      Efectivo!$D:$D &amp; """" = AG436 &amp; """"
    )
  ), 
  0
)"),0)</f>
        <v>0</v>
      </c>
      <c r="W436" s="18" t="s">
        <v>35</v>
      </c>
      <c r="X436" s="18"/>
      <c r="Y436" s="18" t="s">
        <v>36</v>
      </c>
      <c r="Z436" s="18"/>
      <c r="AA436" s="18"/>
      <c r="AB436" s="18" t="str">
        <f t="shared" si="1"/>
        <v/>
      </c>
      <c r="AC436" s="18" t="str">
        <f t="shared" si="9"/>
        <v/>
      </c>
      <c r="AD436" s="11">
        <f t="shared" si="3"/>
        <v>0</v>
      </c>
      <c r="AE436" s="11">
        <f t="shared" si="4"/>
        <v>8</v>
      </c>
      <c r="AF436" s="18" t="str">
        <f t="shared" si="5"/>
        <v>B1</v>
      </c>
      <c r="AG436" s="18" t="str">
        <f t="shared" si="6"/>
        <v>B1-3</v>
      </c>
      <c r="AH436" s="14"/>
      <c r="AI436" s="14"/>
    </row>
    <row r="437" spans="1:35" ht="15.75" hidden="1" customHeight="1">
      <c r="A437" s="8">
        <v>435</v>
      </c>
      <c r="B437" s="9" t="s">
        <v>534</v>
      </c>
      <c r="C437" s="9" t="s">
        <v>532</v>
      </c>
      <c r="D437" s="10">
        <v>4</v>
      </c>
      <c r="E437" s="11"/>
      <c r="F437" s="11"/>
      <c r="G437" s="11"/>
      <c r="H437" s="12">
        <v>1</v>
      </c>
      <c r="I437" s="10">
        <v>119</v>
      </c>
      <c r="J437" s="10">
        <v>131</v>
      </c>
      <c r="K437" s="10">
        <v>12</v>
      </c>
      <c r="L437" s="10">
        <v>12</v>
      </c>
      <c r="M437" s="10">
        <v>0</v>
      </c>
      <c r="N437" s="10">
        <v>0</v>
      </c>
      <c r="O437" s="10">
        <v>0</v>
      </c>
      <c r="P437" s="10">
        <v>3</v>
      </c>
      <c r="Q437" s="10">
        <v>0</v>
      </c>
      <c r="R437" s="12"/>
      <c r="S437" s="13"/>
      <c r="T437" s="13">
        <f t="shared" si="0"/>
        <v>15</v>
      </c>
      <c r="U437" s="11">
        <f ca="1">IFERROR(__xludf.DUMMYFUNCTION("IFERROR(
  SUM(
    FILTER(
      Reporte!$E:$E, 
      REGEXMATCH(Reporte!$A:$A, ""(?i)(TE PAGÓ|PAGASTE)""), 
      Reporte!$H:$H &amp; """" = AG437 &amp; """"
    )
  ), 
  0
)"),15)</f>
        <v>15</v>
      </c>
      <c r="V437" s="11">
        <f ca="1">IFERROR(__xludf.DUMMYFUNCTION("IFERROR(
  SUM(
    FILTER(
      Efectivo!$C:$C, 
      Efectivo!$D:$D &amp; """" = AG437 &amp; """"
    )
  ), 
  0
)"),0)</f>
        <v>0</v>
      </c>
      <c r="W437" s="11" t="s">
        <v>35</v>
      </c>
      <c r="X437" s="11"/>
      <c r="Y437" s="11" t="s">
        <v>36</v>
      </c>
      <c r="Z437" s="11"/>
      <c r="AA437" s="11"/>
      <c r="AB437" s="11" t="str">
        <f t="shared" si="1"/>
        <v/>
      </c>
      <c r="AC437" s="11" t="str">
        <f t="shared" si="9"/>
        <v/>
      </c>
      <c r="AD437" s="11">
        <f t="shared" si="3"/>
        <v>0</v>
      </c>
      <c r="AE437" s="11">
        <f t="shared" si="4"/>
        <v>15</v>
      </c>
      <c r="AF437" s="11" t="str">
        <f t="shared" si="5"/>
        <v>B1</v>
      </c>
      <c r="AG437" s="11" t="str">
        <f t="shared" si="6"/>
        <v>B1-4</v>
      </c>
      <c r="AH437" s="21"/>
      <c r="AI437" s="21"/>
    </row>
    <row r="438" spans="1:35" ht="15.75" hidden="1" customHeight="1">
      <c r="A438" s="15">
        <v>436</v>
      </c>
      <c r="B438" s="16" t="s">
        <v>535</v>
      </c>
      <c r="C438" s="16" t="s">
        <v>532</v>
      </c>
      <c r="D438" s="17">
        <v>5</v>
      </c>
      <c r="E438" s="18"/>
      <c r="F438" s="18"/>
      <c r="G438" s="18"/>
      <c r="H438" s="19">
        <v>1</v>
      </c>
      <c r="I438" s="17">
        <v>1553</v>
      </c>
      <c r="J438" s="17">
        <v>1564</v>
      </c>
      <c r="K438" s="17">
        <v>11</v>
      </c>
      <c r="L438" s="17">
        <v>11</v>
      </c>
      <c r="M438" s="17"/>
      <c r="N438" s="17">
        <v>0</v>
      </c>
      <c r="O438" s="17">
        <v>0</v>
      </c>
      <c r="P438" s="17"/>
      <c r="Q438" s="17">
        <v>0</v>
      </c>
      <c r="R438" s="19"/>
      <c r="S438" s="20"/>
      <c r="T438" s="13">
        <f t="shared" si="0"/>
        <v>11</v>
      </c>
      <c r="U438" s="18">
        <f ca="1">IFERROR(__xludf.DUMMYFUNCTION("IFERROR(
  SUM(
    FILTER(
      Reporte!$E:$E, 
      REGEXMATCH(Reporte!$A:$A, ""(?i)(TE PAGÓ|PAGASTE)""), 
      Reporte!$H:$H &amp; """" = AG438 &amp; """"
    )
  ), 
  0
)"),0)</f>
        <v>0</v>
      </c>
      <c r="V438" s="18">
        <f ca="1">IFERROR(__xludf.DUMMYFUNCTION("IFERROR(
  SUM(
    FILTER(
      Efectivo!$C:$C, 
      Efectivo!$D:$D &amp; """" = AG438 &amp; """"
    )
  ), 
  0
)"),11)</f>
        <v>11</v>
      </c>
      <c r="W438" s="18" t="s">
        <v>35</v>
      </c>
      <c r="X438" s="18"/>
      <c r="Y438" s="18"/>
      <c r="Z438" s="18" t="s">
        <v>536</v>
      </c>
      <c r="AA438" s="18"/>
      <c r="AB438" s="18" t="str">
        <f t="shared" si="1"/>
        <v/>
      </c>
      <c r="AC438" s="18" t="str">
        <f t="shared" si="9"/>
        <v/>
      </c>
      <c r="AD438" s="11">
        <f t="shared" si="3"/>
        <v>11</v>
      </c>
      <c r="AE438" s="11">
        <f t="shared" si="4"/>
        <v>0</v>
      </c>
      <c r="AF438" s="18" t="str">
        <f t="shared" si="5"/>
        <v>B1</v>
      </c>
      <c r="AG438" s="18" t="str">
        <f t="shared" si="6"/>
        <v>B1-5</v>
      </c>
      <c r="AH438" s="14"/>
      <c r="AI438" s="14"/>
    </row>
    <row r="439" spans="1:35" ht="15.75" hidden="1" customHeight="1">
      <c r="A439" s="8">
        <v>437</v>
      </c>
      <c r="B439" s="9" t="s">
        <v>537</v>
      </c>
      <c r="C439" s="9" t="s">
        <v>532</v>
      </c>
      <c r="D439" s="10">
        <v>6</v>
      </c>
      <c r="E439" s="11"/>
      <c r="F439" s="11"/>
      <c r="G439" s="11"/>
      <c r="H439" s="12">
        <v>1</v>
      </c>
      <c r="I439" s="10">
        <v>1123</v>
      </c>
      <c r="J439" s="10">
        <v>1133</v>
      </c>
      <c r="K439" s="10">
        <v>10</v>
      </c>
      <c r="L439" s="10">
        <v>10</v>
      </c>
      <c r="M439" s="10">
        <v>14</v>
      </c>
      <c r="N439" s="10">
        <v>0</v>
      </c>
      <c r="O439" s="10">
        <v>0</v>
      </c>
      <c r="P439" s="10">
        <v>3</v>
      </c>
      <c r="Q439" s="10">
        <v>0</v>
      </c>
      <c r="R439" s="12"/>
      <c r="S439" s="13"/>
      <c r="T439" s="13">
        <f t="shared" si="0"/>
        <v>27</v>
      </c>
      <c r="U439" s="11">
        <f ca="1">IFERROR(__xludf.DUMMYFUNCTION("IFERROR(
  SUM(
    FILTER(
      Reporte!$E:$E, 
      REGEXMATCH(Reporte!$A:$A, ""(?i)(TE PAGÓ|PAGASTE)""), 
      Reporte!$H:$H &amp; """" = AG439 &amp; """"
    )
  ), 
  0
)"),27)</f>
        <v>27</v>
      </c>
      <c r="V439" s="11">
        <f ca="1">IFERROR(__xludf.DUMMYFUNCTION("IFERROR(
  SUM(
    FILTER(
      Efectivo!$C:$C, 
      Efectivo!$D:$D &amp; """" = AG439 &amp; """"
    )
  ), 
  0
)"),0)</f>
        <v>0</v>
      </c>
      <c r="W439" s="11" t="s">
        <v>35</v>
      </c>
      <c r="X439" s="11"/>
      <c r="Y439" s="11" t="s">
        <v>36</v>
      </c>
      <c r="Z439" s="11"/>
      <c r="AA439" s="11"/>
      <c r="AB439" s="11" t="str">
        <f t="shared" si="1"/>
        <v/>
      </c>
      <c r="AC439" s="11" t="str">
        <f t="shared" si="9"/>
        <v/>
      </c>
      <c r="AD439" s="11">
        <f t="shared" si="3"/>
        <v>0</v>
      </c>
      <c r="AE439" s="11">
        <f t="shared" si="4"/>
        <v>27</v>
      </c>
      <c r="AF439" s="11" t="str">
        <f t="shared" si="5"/>
        <v>B1</v>
      </c>
      <c r="AG439" s="11" t="str">
        <f t="shared" si="6"/>
        <v>B1-6</v>
      </c>
      <c r="AH439" s="21"/>
      <c r="AI439" s="21"/>
    </row>
    <row r="440" spans="1:35" ht="15.75" hidden="1" customHeight="1">
      <c r="A440" s="15">
        <v>438</v>
      </c>
      <c r="B440" s="16" t="s">
        <v>538</v>
      </c>
      <c r="C440" s="16" t="s">
        <v>532</v>
      </c>
      <c r="D440" s="17">
        <v>8</v>
      </c>
      <c r="E440" s="18"/>
      <c r="F440" s="18"/>
      <c r="G440" s="18"/>
      <c r="H440" s="19">
        <v>1</v>
      </c>
      <c r="I440" s="17">
        <v>1740</v>
      </c>
      <c r="J440" s="17">
        <v>1753</v>
      </c>
      <c r="K440" s="17">
        <v>13</v>
      </c>
      <c r="L440" s="17">
        <v>13</v>
      </c>
      <c r="M440" s="17">
        <v>0</v>
      </c>
      <c r="N440" s="17">
        <v>0</v>
      </c>
      <c r="O440" s="17">
        <v>0</v>
      </c>
      <c r="P440" s="17">
        <v>3</v>
      </c>
      <c r="Q440" s="17">
        <v>0</v>
      </c>
      <c r="R440" s="19"/>
      <c r="S440" s="20"/>
      <c r="T440" s="13">
        <f t="shared" si="0"/>
        <v>16</v>
      </c>
      <c r="U440" s="18">
        <f ca="1">IFERROR(__xludf.DUMMYFUNCTION("IFERROR(
  SUM(
    FILTER(
      Reporte!$E:$E, 
      REGEXMATCH(Reporte!$A:$A, ""(?i)(TE PAGÓ|PAGASTE)""), 
      Reporte!$H:$H &amp; """" = AG440 &amp; """"
    )
  ), 
  0
)"),16)</f>
        <v>16</v>
      </c>
      <c r="V440" s="18">
        <f ca="1">IFERROR(__xludf.DUMMYFUNCTION("IFERROR(
  SUM(
    FILTER(
      Efectivo!$C:$C, 
      Efectivo!$D:$D &amp; """" = AG440 &amp; """"
    )
  ), 
  0
)"),0)</f>
        <v>0</v>
      </c>
      <c r="W440" s="18" t="s">
        <v>35</v>
      </c>
      <c r="X440" s="18"/>
      <c r="Y440" s="18" t="s">
        <v>36</v>
      </c>
      <c r="Z440" s="18"/>
      <c r="AA440" s="18"/>
      <c r="AB440" s="18" t="str">
        <f t="shared" si="1"/>
        <v/>
      </c>
      <c r="AC440" s="18" t="str">
        <f t="shared" si="9"/>
        <v/>
      </c>
      <c r="AD440" s="11">
        <f t="shared" si="3"/>
        <v>0</v>
      </c>
      <c r="AE440" s="11">
        <f t="shared" si="4"/>
        <v>16</v>
      </c>
      <c r="AF440" s="18" t="str">
        <f t="shared" si="5"/>
        <v>B1</v>
      </c>
      <c r="AG440" s="18" t="str">
        <f t="shared" si="6"/>
        <v>B1-8</v>
      </c>
      <c r="AH440" s="14"/>
      <c r="AI440" s="14"/>
    </row>
    <row r="441" spans="1:35" ht="15.75" hidden="1" customHeight="1">
      <c r="A441" s="8">
        <v>439</v>
      </c>
      <c r="B441" s="9" t="s">
        <v>539</v>
      </c>
      <c r="C441" s="9" t="s">
        <v>532</v>
      </c>
      <c r="D441" s="10">
        <v>9</v>
      </c>
      <c r="E441" s="11"/>
      <c r="F441" s="11"/>
      <c r="G441" s="11"/>
      <c r="H441" s="12">
        <v>1</v>
      </c>
      <c r="I441" s="10">
        <v>1657</v>
      </c>
      <c r="J441" s="10">
        <v>1678</v>
      </c>
      <c r="K441" s="10">
        <v>21</v>
      </c>
      <c r="L441" s="10">
        <v>21</v>
      </c>
      <c r="M441" s="10">
        <v>0</v>
      </c>
      <c r="N441" s="10">
        <v>0</v>
      </c>
      <c r="O441" s="10">
        <v>0</v>
      </c>
      <c r="P441" s="10">
        <v>3</v>
      </c>
      <c r="Q441" s="10">
        <v>0</v>
      </c>
      <c r="R441" s="12"/>
      <c r="S441" s="13"/>
      <c r="T441" s="13">
        <f t="shared" si="0"/>
        <v>24</v>
      </c>
      <c r="U441" s="11">
        <f ca="1">IFERROR(__xludf.DUMMYFUNCTION("IFERROR(
  SUM(
    FILTER(
      Reporte!$E:$E, 
      REGEXMATCH(Reporte!$A:$A, ""(?i)(TE PAGÓ|PAGASTE)""), 
      Reporte!$H:$H &amp; """" = AG441 &amp; """"
    )
  ), 
  0
)"),24)</f>
        <v>24</v>
      </c>
      <c r="V441" s="11">
        <f ca="1">IFERROR(__xludf.DUMMYFUNCTION("IFERROR(
  SUM(
    FILTER(
      Efectivo!$C:$C, 
      Efectivo!$D:$D &amp; """" = AG441 &amp; """"
    )
  ), 
  0
)"),0)</f>
        <v>0</v>
      </c>
      <c r="W441" s="11" t="s">
        <v>35</v>
      </c>
      <c r="X441" s="11"/>
      <c r="Y441" s="11" t="s">
        <v>36</v>
      </c>
      <c r="Z441" s="11"/>
      <c r="AA441" s="11"/>
      <c r="AB441" s="11" t="str">
        <f t="shared" si="1"/>
        <v/>
      </c>
      <c r="AC441" s="11" t="str">
        <f t="shared" si="9"/>
        <v/>
      </c>
      <c r="AD441" s="11">
        <f t="shared" si="3"/>
        <v>0</v>
      </c>
      <c r="AE441" s="11">
        <f t="shared" si="4"/>
        <v>24</v>
      </c>
      <c r="AF441" s="11" t="str">
        <f t="shared" si="5"/>
        <v>B1</v>
      </c>
      <c r="AG441" s="11" t="str">
        <f t="shared" si="6"/>
        <v>B1-9</v>
      </c>
      <c r="AH441" s="21"/>
      <c r="AI441" s="21"/>
    </row>
    <row r="442" spans="1:35" ht="15.75" hidden="1" customHeight="1">
      <c r="A442" s="15">
        <v>440</v>
      </c>
      <c r="B442" s="16" t="s">
        <v>540</v>
      </c>
      <c r="C442" s="16" t="s">
        <v>532</v>
      </c>
      <c r="D442" s="17">
        <v>10</v>
      </c>
      <c r="E442" s="18"/>
      <c r="F442" s="18"/>
      <c r="G442" s="18"/>
      <c r="H442" s="19">
        <v>2</v>
      </c>
      <c r="I442" s="17">
        <v>1580</v>
      </c>
      <c r="J442" s="17">
        <v>1591</v>
      </c>
      <c r="K442" s="17">
        <v>11</v>
      </c>
      <c r="L442" s="17">
        <v>11</v>
      </c>
      <c r="M442" s="17">
        <v>0</v>
      </c>
      <c r="N442" s="17">
        <v>0</v>
      </c>
      <c r="O442" s="17">
        <v>0</v>
      </c>
      <c r="P442" s="17">
        <v>3</v>
      </c>
      <c r="Q442" s="17">
        <v>0</v>
      </c>
      <c r="R442" s="19"/>
      <c r="S442" s="20"/>
      <c r="T442" s="13">
        <f t="shared" si="0"/>
        <v>14</v>
      </c>
      <c r="U442" s="18">
        <f ca="1">IFERROR(__xludf.DUMMYFUNCTION("IFERROR(
  SUM(
    FILTER(
      Reporte!$E:$E, 
      REGEXMATCH(Reporte!$A:$A, ""(?i)(TE PAGÓ|PAGASTE)""), 
      Reporte!$H:$H &amp; """" = AG442 &amp; """"
    )
  ), 
  0
)"),0)</f>
        <v>0</v>
      </c>
      <c r="V442" s="18">
        <f ca="1">IFERROR(__xludf.DUMMYFUNCTION("IFERROR(
  SUM(
    FILTER(
      Efectivo!$C:$C, 
      Efectivo!$D:$D &amp; """" = AG442 &amp; """"
    )
  ), 
  0
)"),0)</f>
        <v>0</v>
      </c>
      <c r="W442" s="18"/>
      <c r="X442" s="18"/>
      <c r="Y442" s="18"/>
      <c r="Z442" s="18"/>
      <c r="AA442" s="18"/>
      <c r="AB442" s="18" t="str">
        <f t="shared" si="1"/>
        <v/>
      </c>
      <c r="AC442" s="18" t="str">
        <f t="shared" si="9"/>
        <v/>
      </c>
      <c r="AD442" s="11">
        <f t="shared" si="3"/>
        <v>0</v>
      </c>
      <c r="AE442" s="11">
        <f t="shared" si="4"/>
        <v>0</v>
      </c>
      <c r="AF442" s="18" t="str">
        <f t="shared" si="5"/>
        <v>B1</v>
      </c>
      <c r="AG442" s="18" t="str">
        <f t="shared" si="6"/>
        <v>B1-10</v>
      </c>
      <c r="AH442" s="14"/>
      <c r="AI442" s="14"/>
    </row>
    <row r="443" spans="1:35" ht="15.75" hidden="1" customHeight="1">
      <c r="A443" s="8">
        <v>441</v>
      </c>
      <c r="B443" s="9" t="s">
        <v>541</v>
      </c>
      <c r="C443" s="9" t="s">
        <v>532</v>
      </c>
      <c r="D443" s="10">
        <v>11</v>
      </c>
      <c r="E443" s="11"/>
      <c r="F443" s="11"/>
      <c r="G443" s="11"/>
      <c r="H443" s="12">
        <v>2</v>
      </c>
      <c r="I443" s="10">
        <v>790</v>
      </c>
      <c r="J443" s="10">
        <v>804</v>
      </c>
      <c r="K443" s="10">
        <v>14</v>
      </c>
      <c r="L443" s="10">
        <v>14</v>
      </c>
      <c r="M443" s="10">
        <v>0</v>
      </c>
      <c r="N443" s="10">
        <v>0</v>
      </c>
      <c r="O443" s="10">
        <v>0</v>
      </c>
      <c r="P443" s="10">
        <v>3</v>
      </c>
      <c r="Q443" s="10">
        <v>0</v>
      </c>
      <c r="R443" s="12"/>
      <c r="S443" s="13"/>
      <c r="T443" s="13">
        <f t="shared" si="0"/>
        <v>17</v>
      </c>
      <c r="U443" s="11">
        <f ca="1">IFERROR(__xludf.DUMMYFUNCTION("IFERROR(
  SUM(
    FILTER(
      Reporte!$E:$E, 
      REGEXMATCH(Reporte!$A:$A, ""(?i)(TE PAGÓ|PAGASTE)""), 
      Reporte!$H:$H &amp; """" = AG443 &amp; """"
    )
  ), 
  0
)"),17)</f>
        <v>17</v>
      </c>
      <c r="V443" s="11">
        <f ca="1">IFERROR(__xludf.DUMMYFUNCTION("IFERROR(
  SUM(
    FILTER(
      Efectivo!$C:$C, 
      Efectivo!$D:$D &amp; """" = AG443 &amp; """"
    )
  ), 
  0
)"),0)</f>
        <v>0</v>
      </c>
      <c r="W443" s="11" t="s">
        <v>35</v>
      </c>
      <c r="X443" s="11"/>
      <c r="Y443" s="11" t="s">
        <v>36</v>
      </c>
      <c r="Z443" s="11"/>
      <c r="AA443" s="11"/>
      <c r="AB443" s="11" t="str">
        <f t="shared" si="1"/>
        <v/>
      </c>
      <c r="AC443" s="11" t="str">
        <f t="shared" si="9"/>
        <v/>
      </c>
      <c r="AD443" s="11">
        <f t="shared" si="3"/>
        <v>0</v>
      </c>
      <c r="AE443" s="11">
        <f t="shared" si="4"/>
        <v>17</v>
      </c>
      <c r="AF443" s="11" t="str">
        <f t="shared" si="5"/>
        <v>B1</v>
      </c>
      <c r="AG443" s="11" t="str">
        <f t="shared" si="6"/>
        <v>B1-11</v>
      </c>
      <c r="AH443" s="21"/>
      <c r="AI443" s="21"/>
    </row>
    <row r="444" spans="1:35" ht="15.75" hidden="1" customHeight="1">
      <c r="A444" s="15">
        <v>442</v>
      </c>
      <c r="B444" s="16" t="s">
        <v>457</v>
      </c>
      <c r="C444" s="16" t="s">
        <v>532</v>
      </c>
      <c r="D444" s="17">
        <v>12</v>
      </c>
      <c r="E444" s="18"/>
      <c r="F444" s="18"/>
      <c r="G444" s="18"/>
      <c r="H444" s="19">
        <v>1</v>
      </c>
      <c r="I444" s="17">
        <v>234</v>
      </c>
      <c r="J444" s="17">
        <v>253</v>
      </c>
      <c r="K444" s="17">
        <v>19</v>
      </c>
      <c r="L444" s="17">
        <v>19</v>
      </c>
      <c r="M444" s="17">
        <v>0</v>
      </c>
      <c r="N444" s="17">
        <v>0</v>
      </c>
      <c r="O444" s="17">
        <v>0</v>
      </c>
      <c r="P444" s="17">
        <v>3</v>
      </c>
      <c r="Q444" s="17">
        <v>0</v>
      </c>
      <c r="R444" s="19"/>
      <c r="S444" s="20"/>
      <c r="T444" s="13">
        <f t="shared" si="0"/>
        <v>22</v>
      </c>
      <c r="U444" s="18">
        <f ca="1">IFERROR(__xludf.DUMMYFUNCTION("IFERROR(
  SUM(
    FILTER(
      Reporte!$E:$E, 
      REGEXMATCH(Reporte!$A:$A, ""(?i)(TE PAGÓ|PAGASTE)""), 
      Reporte!$H:$H &amp; """" = AG444 &amp; """"
    )
  ), 
  0
)"),0)</f>
        <v>0</v>
      </c>
      <c r="V444" s="18">
        <f ca="1">IFERROR(__xludf.DUMMYFUNCTION("IFERROR(
  SUM(
    FILTER(
      Efectivo!$C:$C, 
      Efectivo!$D:$D &amp; """" = AG444 &amp; """"
    )
  ), 
  0
)"),0)</f>
        <v>0</v>
      </c>
      <c r="W444" s="18"/>
      <c r="X444" s="18"/>
      <c r="Y444" s="18"/>
      <c r="Z444" s="18"/>
      <c r="AA444" s="18"/>
      <c r="AB444" s="18" t="str">
        <f t="shared" si="1"/>
        <v/>
      </c>
      <c r="AC444" s="18" t="str">
        <f t="shared" si="9"/>
        <v/>
      </c>
      <c r="AD444" s="11">
        <f t="shared" si="3"/>
        <v>0</v>
      </c>
      <c r="AE444" s="11">
        <f t="shared" si="4"/>
        <v>0</v>
      </c>
      <c r="AF444" s="18" t="str">
        <f t="shared" si="5"/>
        <v>B1</v>
      </c>
      <c r="AG444" s="18" t="str">
        <f t="shared" si="6"/>
        <v>B1-12</v>
      </c>
      <c r="AH444" s="14"/>
      <c r="AI444" s="14"/>
    </row>
    <row r="445" spans="1:35" ht="15.75" hidden="1" customHeight="1">
      <c r="A445" s="8">
        <v>443</v>
      </c>
      <c r="B445" s="9" t="s">
        <v>542</v>
      </c>
      <c r="C445" s="9" t="s">
        <v>532</v>
      </c>
      <c r="D445" s="10">
        <v>13</v>
      </c>
      <c r="E445" s="11"/>
      <c r="F445" s="11"/>
      <c r="G445" s="11"/>
      <c r="H445" s="12">
        <v>1</v>
      </c>
      <c r="I445" s="28">
        <v>46</v>
      </c>
      <c r="J445" s="28">
        <v>94</v>
      </c>
      <c r="K445" s="10">
        <v>48</v>
      </c>
      <c r="L445" s="10">
        <v>48</v>
      </c>
      <c r="M445" s="10">
        <v>0</v>
      </c>
      <c r="N445" s="10">
        <v>0</v>
      </c>
      <c r="O445" s="10">
        <v>0</v>
      </c>
      <c r="P445" s="10">
        <v>3</v>
      </c>
      <c r="Q445" s="10">
        <v>0</v>
      </c>
      <c r="R445" s="12"/>
      <c r="S445" s="13"/>
      <c r="T445" s="13">
        <f t="shared" si="0"/>
        <v>51</v>
      </c>
      <c r="U445" s="11">
        <f ca="1">IFERROR(__xludf.DUMMYFUNCTION("IFERROR(
  SUM(
    FILTER(
      Reporte!$E:$E, 
      REGEXMATCH(Reporte!$A:$A, ""(?i)(TE PAGÓ|PAGASTE)""), 
      Reporte!$H:$H &amp; """" = AG445 &amp; """"
    )
  ), 
  0
)"),51)</f>
        <v>51</v>
      </c>
      <c r="V445" s="11">
        <f ca="1">IFERROR(__xludf.DUMMYFUNCTION("IFERROR(
  SUM(
    FILTER(
      Efectivo!$C:$C, 
      Efectivo!$D:$D &amp; """" = AG445 &amp; """"
    )
  ), 
  0
)"),0)</f>
        <v>0</v>
      </c>
      <c r="W445" s="11" t="s">
        <v>35</v>
      </c>
      <c r="X445" s="11"/>
      <c r="Y445" s="11" t="s">
        <v>36</v>
      </c>
      <c r="Z445" s="11"/>
      <c r="AA445" s="11"/>
      <c r="AB445" s="11" t="str">
        <f t="shared" si="1"/>
        <v/>
      </c>
      <c r="AC445" s="11" t="str">
        <f t="shared" si="9"/>
        <v/>
      </c>
      <c r="AD445" s="11">
        <f t="shared" si="3"/>
        <v>0</v>
      </c>
      <c r="AE445" s="11">
        <f t="shared" si="4"/>
        <v>51</v>
      </c>
      <c r="AF445" s="11" t="str">
        <f t="shared" si="5"/>
        <v>B1</v>
      </c>
      <c r="AG445" s="11" t="str">
        <f t="shared" si="6"/>
        <v>B1-13</v>
      </c>
      <c r="AH445" s="21"/>
      <c r="AI445" s="21"/>
    </row>
    <row r="446" spans="1:35" ht="15.75" hidden="1" customHeight="1">
      <c r="A446" s="15">
        <v>444</v>
      </c>
      <c r="B446" s="16" t="s">
        <v>543</v>
      </c>
      <c r="C446" s="16" t="s">
        <v>532</v>
      </c>
      <c r="D446" s="17">
        <v>14</v>
      </c>
      <c r="E446" s="18"/>
      <c r="F446" s="18"/>
      <c r="G446" s="18"/>
      <c r="H446" s="19">
        <v>1</v>
      </c>
      <c r="I446" s="17">
        <v>286</v>
      </c>
      <c r="J446" s="17">
        <v>286</v>
      </c>
      <c r="K446" s="17">
        <v>5</v>
      </c>
      <c r="L446" s="17">
        <v>5</v>
      </c>
      <c r="M446" s="17">
        <v>0</v>
      </c>
      <c r="N446" s="17">
        <v>0</v>
      </c>
      <c r="O446" s="17">
        <v>0</v>
      </c>
      <c r="P446" s="17">
        <v>3</v>
      </c>
      <c r="Q446" s="17">
        <v>0</v>
      </c>
      <c r="R446" s="19"/>
      <c r="S446" s="20"/>
      <c r="T446" s="13">
        <f t="shared" si="0"/>
        <v>8</v>
      </c>
      <c r="U446" s="18">
        <f ca="1">IFERROR(__xludf.DUMMYFUNCTION("IFERROR(
  SUM(
    FILTER(
      Reporte!$E:$E, 
      REGEXMATCH(Reporte!$A:$A, ""(?i)(TE PAGÓ|PAGASTE)""), 
      Reporte!$H:$H &amp; """" = AG446 &amp; """"
    )
  ), 
  0
)"),8)</f>
        <v>8</v>
      </c>
      <c r="V446" s="18">
        <f ca="1">IFERROR(__xludf.DUMMYFUNCTION("IFERROR(
  SUM(
    FILTER(
      Efectivo!$C:$C, 
      Efectivo!$D:$D &amp; """" = AG446 &amp; """"
    )
  ), 
  0
)"),0)</f>
        <v>0</v>
      </c>
      <c r="W446" s="18" t="s">
        <v>35</v>
      </c>
      <c r="X446" s="18"/>
      <c r="Y446" s="18" t="s">
        <v>36</v>
      </c>
      <c r="Z446" s="18"/>
      <c r="AA446" s="18"/>
      <c r="AB446" s="18" t="str">
        <f t="shared" si="1"/>
        <v/>
      </c>
      <c r="AC446" s="18" t="str">
        <f t="shared" si="9"/>
        <v/>
      </c>
      <c r="AD446" s="11">
        <f t="shared" si="3"/>
        <v>0</v>
      </c>
      <c r="AE446" s="11">
        <f t="shared" si="4"/>
        <v>8</v>
      </c>
      <c r="AF446" s="18" t="str">
        <f t="shared" si="5"/>
        <v>B1</v>
      </c>
      <c r="AG446" s="18" t="str">
        <f t="shared" si="6"/>
        <v>B1-14</v>
      </c>
      <c r="AH446" s="14"/>
      <c r="AI446" s="14"/>
    </row>
    <row r="447" spans="1:35" ht="15.75" hidden="1" customHeight="1">
      <c r="A447" s="8">
        <v>445</v>
      </c>
      <c r="B447" s="9" t="s">
        <v>544</v>
      </c>
      <c r="C447" s="9" t="s">
        <v>545</v>
      </c>
      <c r="D447" s="10">
        <v>1</v>
      </c>
      <c r="E447" s="11"/>
      <c r="F447" s="11"/>
      <c r="G447" s="11"/>
      <c r="H447" s="12">
        <v>1</v>
      </c>
      <c r="I447" s="10">
        <v>1930</v>
      </c>
      <c r="J447" s="10">
        <v>1944</v>
      </c>
      <c r="K447" s="10">
        <v>14</v>
      </c>
      <c r="L447" s="10">
        <v>14</v>
      </c>
      <c r="M447" s="10">
        <v>0</v>
      </c>
      <c r="N447" s="10">
        <v>0</v>
      </c>
      <c r="O447" s="10">
        <v>0</v>
      </c>
      <c r="P447" s="10">
        <v>3</v>
      </c>
      <c r="Q447" s="10">
        <v>0</v>
      </c>
      <c r="R447" s="12"/>
      <c r="S447" s="13"/>
      <c r="T447" s="13">
        <f t="shared" si="0"/>
        <v>17</v>
      </c>
      <c r="U447" s="11">
        <f ca="1">IFERROR(__xludf.DUMMYFUNCTION("IFERROR(
  SUM(
    FILTER(
      Reporte!$E:$E, 
      REGEXMATCH(Reporte!$A:$A, ""(?i)(TE PAGÓ|PAGASTE)""), 
      Reporte!$H:$H &amp; """" = AG447 &amp; """"
    )
  ), 
  0
)"),17)</f>
        <v>17</v>
      </c>
      <c r="V447" s="11">
        <f ca="1">IFERROR(__xludf.DUMMYFUNCTION("IFERROR(
  SUM(
    FILTER(
      Efectivo!$C:$C, 
      Efectivo!$D:$D &amp; """" = AG447 &amp; """"
    )
  ), 
  0
)"),0)</f>
        <v>0</v>
      </c>
      <c r="W447" s="11" t="s">
        <v>35</v>
      </c>
      <c r="X447" s="11"/>
      <c r="Y447" s="11" t="s">
        <v>36</v>
      </c>
      <c r="Z447" s="11"/>
      <c r="AA447" s="11"/>
      <c r="AB447" s="11" t="str">
        <f t="shared" si="1"/>
        <v/>
      </c>
      <c r="AC447" s="11" t="str">
        <f t="shared" si="9"/>
        <v/>
      </c>
      <c r="AD447" s="11">
        <f t="shared" si="3"/>
        <v>0</v>
      </c>
      <c r="AE447" s="11">
        <f t="shared" si="4"/>
        <v>17</v>
      </c>
      <c r="AF447" s="11" t="str">
        <f t="shared" si="5"/>
        <v>C1</v>
      </c>
      <c r="AG447" s="11" t="str">
        <f t="shared" si="6"/>
        <v>C1-1</v>
      </c>
      <c r="AH447" s="21"/>
      <c r="AI447" s="21"/>
    </row>
    <row r="448" spans="1:35" ht="15.75" hidden="1" customHeight="1">
      <c r="A448" s="15">
        <v>446</v>
      </c>
      <c r="B448" s="16" t="s">
        <v>546</v>
      </c>
      <c r="C448" s="16" t="s">
        <v>545</v>
      </c>
      <c r="D448" s="17">
        <v>2</v>
      </c>
      <c r="E448" s="18"/>
      <c r="F448" s="18"/>
      <c r="G448" s="18"/>
      <c r="H448" s="19">
        <v>1</v>
      </c>
      <c r="I448" s="17">
        <v>1</v>
      </c>
      <c r="J448" s="17">
        <v>1</v>
      </c>
      <c r="K448" s="17">
        <v>5</v>
      </c>
      <c r="L448" s="17">
        <v>5</v>
      </c>
      <c r="M448" s="17">
        <v>0</v>
      </c>
      <c r="N448" s="17">
        <v>0</v>
      </c>
      <c r="O448" s="17">
        <v>0</v>
      </c>
      <c r="P448" s="17">
        <v>3</v>
      </c>
      <c r="Q448" s="17">
        <v>0</v>
      </c>
      <c r="R448" s="19"/>
      <c r="S448" s="20"/>
      <c r="T448" s="13">
        <f t="shared" si="0"/>
        <v>8</v>
      </c>
      <c r="U448" s="18">
        <f ca="1">IFERROR(__xludf.DUMMYFUNCTION("IFERROR(
  SUM(
    FILTER(
      Reporte!$E:$E, 
      REGEXMATCH(Reporte!$A:$A, ""(?i)(TE PAGÓ|PAGASTE)""), 
      Reporte!$H:$H &amp; """" = AG448 &amp; """"
    )
  ), 
  0
)"),0)</f>
        <v>0</v>
      </c>
      <c r="V448" s="18">
        <f ca="1">IFERROR(__xludf.DUMMYFUNCTION("IFERROR(
  SUM(
    FILTER(
      Efectivo!$C:$C, 
      Efectivo!$D:$D &amp; """" = AG448 &amp; """"
    )
  ), 
  0
)"),0)</f>
        <v>0</v>
      </c>
      <c r="W448" s="18"/>
      <c r="X448" s="18"/>
      <c r="Y448" s="18"/>
      <c r="Z448" s="18"/>
      <c r="AA448" s="18"/>
      <c r="AB448" s="18" t="str">
        <f t="shared" si="1"/>
        <v/>
      </c>
      <c r="AC448" s="18" t="str">
        <f t="shared" si="9"/>
        <v/>
      </c>
      <c r="AD448" s="11">
        <f t="shared" si="3"/>
        <v>0</v>
      </c>
      <c r="AE448" s="11">
        <f t="shared" si="4"/>
        <v>0</v>
      </c>
      <c r="AF448" s="18" t="str">
        <f t="shared" si="5"/>
        <v>C1</v>
      </c>
      <c r="AG448" s="18" t="str">
        <f t="shared" si="6"/>
        <v>C1-2</v>
      </c>
      <c r="AH448" s="14"/>
      <c r="AI448" s="14"/>
    </row>
    <row r="449" spans="1:35" ht="15.75" hidden="1" customHeight="1">
      <c r="A449" s="8">
        <v>447</v>
      </c>
      <c r="B449" s="9" t="s">
        <v>547</v>
      </c>
      <c r="C449" s="9" t="s">
        <v>545</v>
      </c>
      <c r="D449" s="10">
        <v>3</v>
      </c>
      <c r="E449" s="11"/>
      <c r="F449" s="11"/>
      <c r="G449" s="11"/>
      <c r="H449" s="12">
        <v>1</v>
      </c>
      <c r="I449" s="10">
        <v>415</v>
      </c>
      <c r="J449" s="10">
        <v>417</v>
      </c>
      <c r="K449" s="10">
        <v>5</v>
      </c>
      <c r="L449" s="10">
        <v>5</v>
      </c>
      <c r="M449" s="10">
        <v>8</v>
      </c>
      <c r="N449" s="10">
        <v>0</v>
      </c>
      <c r="O449" s="10">
        <v>0</v>
      </c>
      <c r="P449" s="10">
        <v>3</v>
      </c>
      <c r="Q449" s="10">
        <v>0</v>
      </c>
      <c r="R449" s="12"/>
      <c r="S449" s="13"/>
      <c r="T449" s="13">
        <f t="shared" si="0"/>
        <v>16</v>
      </c>
      <c r="U449" s="11">
        <f ca="1">IFERROR(__xludf.DUMMYFUNCTION("IFERROR(
  SUM(
    FILTER(
      Reporte!$E:$E, 
      REGEXMATCH(Reporte!$A:$A, ""(?i)(TE PAGÓ|PAGASTE)""), 
      Reporte!$H:$H &amp; """" = AG449 &amp; """"
    )
  ), 
  0
)"),0)</f>
        <v>0</v>
      </c>
      <c r="V449" s="11">
        <f ca="1">IFERROR(__xludf.DUMMYFUNCTION("IFERROR(
  SUM(
    FILTER(
      Efectivo!$C:$C, 
      Efectivo!$D:$D &amp; """" = AG449 &amp; """"
    )
  ), 
  0
)"),16)</f>
        <v>16</v>
      </c>
      <c r="W449" s="11" t="s">
        <v>35</v>
      </c>
      <c r="X449" s="11"/>
      <c r="Y449" s="11"/>
      <c r="Z449" s="11"/>
      <c r="AA449" s="11"/>
      <c r="AB449" s="11" t="str">
        <f t="shared" si="1"/>
        <v/>
      </c>
      <c r="AC449" s="11" t="str">
        <f t="shared" si="9"/>
        <v/>
      </c>
      <c r="AD449" s="11">
        <f t="shared" si="3"/>
        <v>16</v>
      </c>
      <c r="AE449" s="11">
        <f t="shared" si="4"/>
        <v>0</v>
      </c>
      <c r="AF449" s="11" t="str">
        <f t="shared" si="5"/>
        <v>C1</v>
      </c>
      <c r="AG449" s="11" t="str">
        <f t="shared" si="6"/>
        <v>C1-3</v>
      </c>
      <c r="AH449" s="21"/>
      <c r="AI449" s="21"/>
    </row>
    <row r="450" spans="1:35" ht="15.75" hidden="1" customHeight="1">
      <c r="A450" s="15">
        <v>448</v>
      </c>
      <c r="B450" s="16" t="s">
        <v>548</v>
      </c>
      <c r="C450" s="16" t="s">
        <v>545</v>
      </c>
      <c r="D450" s="17">
        <v>4</v>
      </c>
      <c r="E450" s="18"/>
      <c r="F450" s="18"/>
      <c r="G450" s="18"/>
      <c r="H450" s="19">
        <v>1</v>
      </c>
      <c r="I450" s="17">
        <v>575</v>
      </c>
      <c r="J450" s="17">
        <v>576</v>
      </c>
      <c r="K450" s="17">
        <v>5</v>
      </c>
      <c r="L450" s="17">
        <v>5</v>
      </c>
      <c r="M450" s="17">
        <v>0</v>
      </c>
      <c r="N450" s="17">
        <v>0</v>
      </c>
      <c r="O450" s="17">
        <v>0</v>
      </c>
      <c r="P450" s="17">
        <v>3</v>
      </c>
      <c r="Q450" s="17">
        <v>0</v>
      </c>
      <c r="R450" s="19"/>
      <c r="S450" s="20"/>
      <c r="T450" s="13">
        <f t="shared" si="0"/>
        <v>8</v>
      </c>
      <c r="U450" s="18">
        <f ca="1">IFERROR(__xludf.DUMMYFUNCTION("IFERROR(
  SUM(
    FILTER(
      Reporte!$E:$E, 
      REGEXMATCH(Reporte!$A:$A, ""(?i)(TE PAGÓ|PAGASTE)""), 
      Reporte!$H:$H &amp; """" = AG450 &amp; """"
    )
  ), 
  0
)"),0)</f>
        <v>0</v>
      </c>
      <c r="V450" s="18">
        <f ca="1">IFERROR(__xludf.DUMMYFUNCTION("IFERROR(
  SUM(
    FILTER(
      Efectivo!$C:$C, 
      Efectivo!$D:$D &amp; """" = AG450 &amp; """"
    )
  ), 
  0
)"),8)</f>
        <v>8</v>
      </c>
      <c r="W450" s="18" t="s">
        <v>35</v>
      </c>
      <c r="X450" s="18"/>
      <c r="Y450" s="18"/>
      <c r="Z450" s="18"/>
      <c r="AA450" s="18"/>
      <c r="AB450" s="18" t="str">
        <f t="shared" si="1"/>
        <v/>
      </c>
      <c r="AC450" s="18" t="str">
        <f t="shared" si="9"/>
        <v/>
      </c>
      <c r="AD450" s="11">
        <f t="shared" si="3"/>
        <v>8</v>
      </c>
      <c r="AE450" s="11">
        <f t="shared" si="4"/>
        <v>0</v>
      </c>
      <c r="AF450" s="18" t="str">
        <f t="shared" si="5"/>
        <v>C1</v>
      </c>
      <c r="AG450" s="18" t="str">
        <f t="shared" si="6"/>
        <v>C1-4</v>
      </c>
      <c r="AH450" s="14"/>
      <c r="AI450" s="14"/>
    </row>
    <row r="451" spans="1:35" ht="15.75" hidden="1" customHeight="1">
      <c r="A451" s="8">
        <v>449</v>
      </c>
      <c r="B451" s="9" t="s">
        <v>549</v>
      </c>
      <c r="C451" s="9" t="s">
        <v>545</v>
      </c>
      <c r="D451" s="10">
        <v>5</v>
      </c>
      <c r="E451" s="11"/>
      <c r="F451" s="11"/>
      <c r="G451" s="11"/>
      <c r="H451" s="12">
        <v>1</v>
      </c>
      <c r="I451" s="10">
        <v>89</v>
      </c>
      <c r="J451" s="10">
        <v>98</v>
      </c>
      <c r="K451" s="10">
        <v>9</v>
      </c>
      <c r="L451" s="10">
        <v>9</v>
      </c>
      <c r="M451" s="10">
        <v>12</v>
      </c>
      <c r="N451" s="10">
        <v>0</v>
      </c>
      <c r="O451" s="10">
        <v>0</v>
      </c>
      <c r="P451" s="10">
        <v>3</v>
      </c>
      <c r="Q451" s="10">
        <v>0</v>
      </c>
      <c r="R451" s="12"/>
      <c r="S451" s="13"/>
      <c r="T451" s="13">
        <f t="shared" si="0"/>
        <v>24</v>
      </c>
      <c r="U451" s="11">
        <f ca="1">IFERROR(__xludf.DUMMYFUNCTION("IFERROR(
  SUM(
    FILTER(
      Reporte!$E:$E, 
      REGEXMATCH(Reporte!$A:$A, ""(?i)(TE PAGÓ|PAGASTE)""), 
      Reporte!$H:$H &amp; """" = AG451 &amp; """"
    )
  ), 
  0
)"),24)</f>
        <v>24</v>
      </c>
      <c r="V451" s="11">
        <f ca="1">IFERROR(__xludf.DUMMYFUNCTION("IFERROR(
  SUM(
    FILTER(
      Efectivo!$C:$C, 
      Efectivo!$D:$D &amp; """" = AG451 &amp; """"
    )
  ), 
  0
)"),0)</f>
        <v>0</v>
      </c>
      <c r="W451" s="11" t="s">
        <v>35</v>
      </c>
      <c r="X451" s="11"/>
      <c r="Y451" s="11" t="s">
        <v>36</v>
      </c>
      <c r="Z451" s="11"/>
      <c r="AA451" s="11"/>
      <c r="AB451" s="11" t="str">
        <f t="shared" si="1"/>
        <v/>
      </c>
      <c r="AC451" s="11" t="str">
        <f t="shared" si="9"/>
        <v/>
      </c>
      <c r="AD451" s="11">
        <f t="shared" si="3"/>
        <v>0</v>
      </c>
      <c r="AE451" s="11">
        <f t="shared" si="4"/>
        <v>24</v>
      </c>
      <c r="AF451" s="11" t="str">
        <f t="shared" si="5"/>
        <v>C1</v>
      </c>
      <c r="AG451" s="11" t="str">
        <f t="shared" si="6"/>
        <v>C1-5</v>
      </c>
      <c r="AH451" s="21"/>
      <c r="AI451" s="21"/>
    </row>
    <row r="452" spans="1:35" ht="15.75" hidden="1" customHeight="1">
      <c r="A452" s="15">
        <v>450</v>
      </c>
      <c r="B452" s="16" t="s">
        <v>550</v>
      </c>
      <c r="C452" s="16" t="s">
        <v>545</v>
      </c>
      <c r="D452" s="17">
        <v>6</v>
      </c>
      <c r="E452" s="18"/>
      <c r="F452" s="18"/>
      <c r="G452" s="18"/>
      <c r="H452" s="19">
        <v>1</v>
      </c>
      <c r="I452" s="17">
        <v>918</v>
      </c>
      <c r="J452" s="17">
        <v>925</v>
      </c>
      <c r="K452" s="17">
        <v>7</v>
      </c>
      <c r="L452" s="17">
        <v>7</v>
      </c>
      <c r="M452" s="17">
        <v>0</v>
      </c>
      <c r="N452" s="17">
        <v>0</v>
      </c>
      <c r="O452" s="17">
        <v>0</v>
      </c>
      <c r="P452" s="17">
        <v>3</v>
      </c>
      <c r="Q452" s="17">
        <v>0</v>
      </c>
      <c r="R452" s="19"/>
      <c r="S452" s="20"/>
      <c r="T452" s="13">
        <f t="shared" si="0"/>
        <v>10</v>
      </c>
      <c r="U452" s="18">
        <f ca="1">IFERROR(__xludf.DUMMYFUNCTION("IFERROR(
  SUM(
    FILTER(
      Reporte!$E:$E, 
      REGEXMATCH(Reporte!$A:$A, ""(?i)(TE PAGÓ|PAGASTE)""), 
      Reporte!$H:$H &amp; """" = AG452 &amp; """"
    )
  ), 
  0
)"),10)</f>
        <v>10</v>
      </c>
      <c r="V452" s="18">
        <f ca="1">IFERROR(__xludf.DUMMYFUNCTION("IFERROR(
  SUM(
    FILTER(
      Efectivo!$C:$C, 
      Efectivo!$D:$D &amp; """" = AG452 &amp; """"
    )
  ), 
  0
)"),0)</f>
        <v>0</v>
      </c>
      <c r="W452" s="18" t="s">
        <v>35</v>
      </c>
      <c r="X452" s="18"/>
      <c r="Y452" s="18" t="s">
        <v>36</v>
      </c>
      <c r="Z452" s="18"/>
      <c r="AA452" s="18"/>
      <c r="AB452" s="18" t="str">
        <f t="shared" si="1"/>
        <v/>
      </c>
      <c r="AC452" s="18" t="str">
        <f t="shared" si="9"/>
        <v/>
      </c>
      <c r="AD452" s="11">
        <f t="shared" si="3"/>
        <v>0</v>
      </c>
      <c r="AE452" s="11">
        <f t="shared" si="4"/>
        <v>10</v>
      </c>
      <c r="AF452" s="18" t="str">
        <f t="shared" si="5"/>
        <v>C1</v>
      </c>
      <c r="AG452" s="18" t="str">
        <f t="shared" si="6"/>
        <v>C1-6</v>
      </c>
      <c r="AH452" s="14"/>
      <c r="AI452" s="14"/>
    </row>
    <row r="453" spans="1:35" ht="15.75" hidden="1" customHeight="1">
      <c r="A453" s="8">
        <v>451</v>
      </c>
      <c r="B453" s="9" t="s">
        <v>551</v>
      </c>
      <c r="C453" s="9" t="s">
        <v>545</v>
      </c>
      <c r="D453" s="10">
        <v>7</v>
      </c>
      <c r="E453" s="11"/>
      <c r="F453" s="11"/>
      <c r="G453" s="11"/>
      <c r="H453" s="12">
        <v>1</v>
      </c>
      <c r="I453" s="10">
        <v>281</v>
      </c>
      <c r="J453" s="10">
        <v>306</v>
      </c>
      <c r="K453" s="10">
        <v>25</v>
      </c>
      <c r="L453" s="10">
        <v>25</v>
      </c>
      <c r="M453" s="10">
        <v>20</v>
      </c>
      <c r="N453" s="10"/>
      <c r="O453" s="10">
        <v>0</v>
      </c>
      <c r="P453" s="10">
        <v>3</v>
      </c>
      <c r="Q453" s="10">
        <v>0</v>
      </c>
      <c r="R453" s="12"/>
      <c r="S453" s="13"/>
      <c r="T453" s="13">
        <f t="shared" si="0"/>
        <v>48</v>
      </c>
      <c r="U453" s="11">
        <f ca="1">IFERROR(__xludf.DUMMYFUNCTION("IFERROR(
  SUM(
    FILTER(
      Reporte!$E:$E, 
      REGEXMATCH(Reporte!$A:$A, ""(?i)(TE PAGÓ|PAGASTE)""), 
      Reporte!$H:$H &amp; """" = AG453 &amp; """"
    )
  ), 
  0
)"),48)</f>
        <v>48</v>
      </c>
      <c r="V453" s="11">
        <f ca="1">IFERROR(__xludf.DUMMYFUNCTION("IFERROR(
  SUM(
    FILTER(
      Efectivo!$C:$C, 
      Efectivo!$D:$D &amp; """" = AG453 &amp; """"
    )
  ), 
  0
)"),0)</f>
        <v>0</v>
      </c>
      <c r="W453" s="11" t="s">
        <v>35</v>
      </c>
      <c r="X453" s="11"/>
      <c r="Y453" s="11" t="s">
        <v>36</v>
      </c>
      <c r="Z453" s="11"/>
      <c r="AA453" s="11"/>
      <c r="AB453" s="11" t="str">
        <f t="shared" si="1"/>
        <v/>
      </c>
      <c r="AC453" s="11" t="str">
        <f t="shared" si="9"/>
        <v/>
      </c>
      <c r="AD453" s="11">
        <f t="shared" si="3"/>
        <v>0</v>
      </c>
      <c r="AE453" s="11">
        <f t="shared" si="4"/>
        <v>48</v>
      </c>
      <c r="AF453" s="11" t="str">
        <f t="shared" si="5"/>
        <v>C1</v>
      </c>
      <c r="AG453" s="11" t="str">
        <f t="shared" si="6"/>
        <v>C1-7</v>
      </c>
      <c r="AH453" s="21"/>
      <c r="AI453" s="21"/>
    </row>
    <row r="454" spans="1:35" ht="15.75" hidden="1" customHeight="1">
      <c r="A454" s="15">
        <v>452</v>
      </c>
      <c r="B454" s="16" t="s">
        <v>552</v>
      </c>
      <c r="C454" s="16" t="s">
        <v>545</v>
      </c>
      <c r="D454" s="17">
        <v>8</v>
      </c>
      <c r="E454" s="18"/>
      <c r="F454" s="18"/>
      <c r="G454" s="18"/>
      <c r="H454" s="19">
        <v>1</v>
      </c>
      <c r="I454" s="17">
        <v>497</v>
      </c>
      <c r="J454" s="17">
        <v>510</v>
      </c>
      <c r="K454" s="17">
        <v>13</v>
      </c>
      <c r="L454" s="17">
        <v>13</v>
      </c>
      <c r="M454" s="17">
        <v>14</v>
      </c>
      <c r="N454" s="17">
        <v>0</v>
      </c>
      <c r="O454" s="17">
        <v>0</v>
      </c>
      <c r="P454" s="17">
        <v>3</v>
      </c>
      <c r="Q454" s="17">
        <v>0</v>
      </c>
      <c r="R454" s="19"/>
      <c r="S454" s="20"/>
      <c r="T454" s="13">
        <f t="shared" si="0"/>
        <v>30</v>
      </c>
      <c r="U454" s="18">
        <f ca="1">IFERROR(__xludf.DUMMYFUNCTION("IFERROR(
  SUM(
    FILTER(
      Reporte!$E:$E, 
      REGEXMATCH(Reporte!$A:$A, ""(?i)(TE PAGÓ|PAGASTE)""), 
      Reporte!$H:$H &amp; """" = AG454 &amp; """"
    )
  ), 
  0
)"),30)</f>
        <v>30</v>
      </c>
      <c r="V454" s="18">
        <f ca="1">IFERROR(__xludf.DUMMYFUNCTION("IFERROR(
  SUM(
    FILTER(
      Efectivo!$C:$C, 
      Efectivo!$D:$D &amp; """" = AG454 &amp; """"
    )
  ), 
  0
)"),0)</f>
        <v>0</v>
      </c>
      <c r="W454" s="18" t="s">
        <v>35</v>
      </c>
      <c r="X454" s="18"/>
      <c r="Y454" s="18" t="s">
        <v>36</v>
      </c>
      <c r="Z454" s="18"/>
      <c r="AA454" s="18"/>
      <c r="AB454" s="18" t="str">
        <f t="shared" si="1"/>
        <v/>
      </c>
      <c r="AC454" s="18" t="str">
        <f t="shared" si="9"/>
        <v/>
      </c>
      <c r="AD454" s="11">
        <f t="shared" si="3"/>
        <v>0</v>
      </c>
      <c r="AE454" s="11">
        <f t="shared" si="4"/>
        <v>30</v>
      </c>
      <c r="AF454" s="18" t="str">
        <f t="shared" si="5"/>
        <v>C1</v>
      </c>
      <c r="AG454" s="18" t="str">
        <f t="shared" si="6"/>
        <v>C1-8</v>
      </c>
      <c r="AH454" s="14"/>
      <c r="AI454" s="14"/>
    </row>
    <row r="455" spans="1:35" ht="15.75" hidden="1" customHeight="1">
      <c r="A455" s="8">
        <v>453</v>
      </c>
      <c r="B455" s="9" t="s">
        <v>553</v>
      </c>
      <c r="C455" s="9" t="s">
        <v>545</v>
      </c>
      <c r="D455" s="10">
        <v>13</v>
      </c>
      <c r="E455" s="11"/>
      <c r="F455" s="11"/>
      <c r="G455" s="11"/>
      <c r="H455" s="12">
        <v>1</v>
      </c>
      <c r="I455" s="10">
        <v>577</v>
      </c>
      <c r="J455" s="10">
        <v>591</v>
      </c>
      <c r="K455" s="10">
        <v>14</v>
      </c>
      <c r="L455" s="10">
        <v>14</v>
      </c>
      <c r="M455" s="10">
        <v>0</v>
      </c>
      <c r="N455" s="10">
        <v>0</v>
      </c>
      <c r="O455" s="10">
        <v>0</v>
      </c>
      <c r="P455" s="10">
        <v>3</v>
      </c>
      <c r="Q455" s="10">
        <v>0</v>
      </c>
      <c r="R455" s="12"/>
      <c r="S455" s="13"/>
      <c r="T455" s="13">
        <f t="shared" si="0"/>
        <v>17</v>
      </c>
      <c r="U455" s="11">
        <f ca="1">IFERROR(__xludf.DUMMYFUNCTION("IFERROR(
  SUM(
    FILTER(
      Reporte!$E:$E, 
      REGEXMATCH(Reporte!$A:$A, ""(?i)(TE PAGÓ|PAGASTE)""), 
      Reporte!$H:$H &amp; """" = AG455 &amp; """"
    )
  ), 
  0
)"),17)</f>
        <v>17</v>
      </c>
      <c r="V455" s="11">
        <f ca="1">IFERROR(__xludf.DUMMYFUNCTION("IFERROR(
  SUM(
    FILTER(
      Efectivo!$C:$C, 
      Efectivo!$D:$D &amp; """" = AG455 &amp; """"
    )
  ), 
  0
)"),0)</f>
        <v>0</v>
      </c>
      <c r="W455" s="11" t="s">
        <v>35</v>
      </c>
      <c r="X455" s="11"/>
      <c r="Y455" s="11" t="s">
        <v>36</v>
      </c>
      <c r="Z455" s="11"/>
      <c r="AA455" s="11"/>
      <c r="AB455" s="11" t="str">
        <f t="shared" si="1"/>
        <v/>
      </c>
      <c r="AC455" s="11" t="str">
        <f t="shared" si="9"/>
        <v/>
      </c>
      <c r="AD455" s="11">
        <f t="shared" si="3"/>
        <v>0</v>
      </c>
      <c r="AE455" s="11">
        <f t="shared" si="4"/>
        <v>17</v>
      </c>
      <c r="AF455" s="11" t="str">
        <f t="shared" si="5"/>
        <v>C1</v>
      </c>
      <c r="AG455" s="11" t="str">
        <f t="shared" si="6"/>
        <v>C1-13</v>
      </c>
      <c r="AH455" s="21"/>
      <c r="AI455" s="21"/>
    </row>
    <row r="456" spans="1:35" ht="15.75" hidden="1" customHeight="1">
      <c r="A456" s="15">
        <v>454</v>
      </c>
      <c r="B456" s="16" t="s">
        <v>554</v>
      </c>
      <c r="C456" s="16" t="s">
        <v>545</v>
      </c>
      <c r="D456" s="17">
        <v>14</v>
      </c>
      <c r="E456" s="18"/>
      <c r="F456" s="18"/>
      <c r="G456" s="18"/>
      <c r="H456" s="19">
        <v>1</v>
      </c>
      <c r="I456" s="17">
        <v>681</v>
      </c>
      <c r="J456" s="17">
        <v>684</v>
      </c>
      <c r="K456" s="17">
        <v>5</v>
      </c>
      <c r="L456" s="17">
        <v>5</v>
      </c>
      <c r="M456" s="17">
        <v>0</v>
      </c>
      <c r="N456" s="17">
        <v>0</v>
      </c>
      <c r="O456" s="17">
        <v>0</v>
      </c>
      <c r="P456" s="17">
        <v>3</v>
      </c>
      <c r="Q456" s="17">
        <v>0</v>
      </c>
      <c r="R456" s="19"/>
      <c r="S456" s="20"/>
      <c r="T456" s="13">
        <f t="shared" si="0"/>
        <v>8</v>
      </c>
      <c r="U456" s="18">
        <f ca="1">IFERROR(__xludf.DUMMYFUNCTION("IFERROR(
  SUM(
    FILTER(
      Reporte!$E:$E, 
      REGEXMATCH(Reporte!$A:$A, ""(?i)(TE PAGÓ|PAGASTE)""), 
      Reporte!$H:$H &amp; """" = AG456 &amp; """"
    )
  ), 
  0
)"),0)</f>
        <v>0</v>
      </c>
      <c r="V456" s="18">
        <f ca="1">IFERROR(__xludf.DUMMYFUNCTION("IFERROR(
  SUM(
    FILTER(
      Efectivo!$C:$C, 
      Efectivo!$D:$D &amp; """" = AG456 &amp; """"
    )
  ), 
  0
)"),0)</f>
        <v>0</v>
      </c>
      <c r="W456" s="18"/>
      <c r="X456" s="18"/>
      <c r="Y456" s="18"/>
      <c r="Z456" s="18"/>
      <c r="AA456" s="18"/>
      <c r="AB456" s="18" t="str">
        <f t="shared" si="1"/>
        <v/>
      </c>
      <c r="AC456" s="18" t="str">
        <f t="shared" si="9"/>
        <v/>
      </c>
      <c r="AD456" s="11">
        <f t="shared" si="3"/>
        <v>0</v>
      </c>
      <c r="AE456" s="11">
        <f t="shared" si="4"/>
        <v>0</v>
      </c>
      <c r="AF456" s="18" t="str">
        <f t="shared" si="5"/>
        <v>C1</v>
      </c>
      <c r="AG456" s="18" t="str">
        <f t="shared" si="6"/>
        <v>C1-14</v>
      </c>
      <c r="AH456" s="14"/>
      <c r="AI456" s="14"/>
    </row>
    <row r="457" spans="1:35" ht="15.75" hidden="1" customHeight="1">
      <c r="A457" s="8">
        <v>455</v>
      </c>
      <c r="B457" s="9" t="s">
        <v>555</v>
      </c>
      <c r="C457" s="9" t="s">
        <v>545</v>
      </c>
      <c r="D457" s="10">
        <v>15</v>
      </c>
      <c r="E457" s="11"/>
      <c r="F457" s="11"/>
      <c r="G457" s="11"/>
      <c r="H457" s="12">
        <v>1</v>
      </c>
      <c r="I457" s="10">
        <v>129</v>
      </c>
      <c r="J457" s="10">
        <v>131</v>
      </c>
      <c r="K457" s="10">
        <v>5</v>
      </c>
      <c r="L457" s="10">
        <v>5</v>
      </c>
      <c r="M457" s="10">
        <v>0</v>
      </c>
      <c r="N457" s="10">
        <v>0</v>
      </c>
      <c r="O457" s="10">
        <v>0</v>
      </c>
      <c r="P457" s="10">
        <v>3</v>
      </c>
      <c r="Q457" s="10">
        <v>0</v>
      </c>
      <c r="R457" s="12">
        <v>8</v>
      </c>
      <c r="S457" s="13"/>
      <c r="T457" s="13">
        <f t="shared" si="0"/>
        <v>16</v>
      </c>
      <c r="U457" s="11">
        <f ca="1">IFERROR(__xludf.DUMMYFUNCTION("IFERROR(
  SUM(
    FILTER(
      Reporte!$E:$E, 
      REGEXMATCH(Reporte!$A:$A, ""(?i)(TE PAGÓ|PAGASTE)""), 
      Reporte!$H:$H &amp; """" = AG457 &amp; """"
    )
  ), 
  0
)"),16)</f>
        <v>16</v>
      </c>
      <c r="V457" s="11">
        <f ca="1">IFERROR(__xludf.DUMMYFUNCTION("IFERROR(
  SUM(
    FILTER(
      Efectivo!$C:$C, 
      Efectivo!$D:$D &amp; """" = AG457 &amp; """"
    )
  ), 
  0
)"),0)</f>
        <v>0</v>
      </c>
      <c r="W457" s="11" t="s">
        <v>35</v>
      </c>
      <c r="X457" s="11"/>
      <c r="Y457" s="11" t="s">
        <v>36</v>
      </c>
      <c r="Z457" s="11" t="s">
        <v>556</v>
      </c>
      <c r="AA457" s="11"/>
      <c r="AB457" s="11" t="str">
        <f t="shared" si="1"/>
        <v/>
      </c>
      <c r="AC457" s="11" t="str">
        <f t="shared" si="9"/>
        <v/>
      </c>
      <c r="AD457" s="11">
        <f t="shared" si="3"/>
        <v>0</v>
      </c>
      <c r="AE457" s="11">
        <f t="shared" si="4"/>
        <v>16</v>
      </c>
      <c r="AF457" s="11" t="str">
        <f t="shared" si="5"/>
        <v>C1</v>
      </c>
      <c r="AG457" s="11" t="str">
        <f t="shared" si="6"/>
        <v>C1-15</v>
      </c>
      <c r="AH457" s="21"/>
      <c r="AI457" s="21"/>
    </row>
    <row r="458" spans="1:35" ht="15.75" hidden="1" customHeight="1">
      <c r="A458" s="15">
        <v>456</v>
      </c>
      <c r="B458" s="16" t="s">
        <v>557</v>
      </c>
      <c r="C458" s="16" t="s">
        <v>545</v>
      </c>
      <c r="D458" s="17">
        <v>16</v>
      </c>
      <c r="E458" s="18"/>
      <c r="F458" s="18"/>
      <c r="G458" s="18"/>
      <c r="H458" s="19">
        <v>1</v>
      </c>
      <c r="I458" s="17">
        <v>949</v>
      </c>
      <c r="J458" s="17">
        <v>960</v>
      </c>
      <c r="K458" s="17">
        <v>11</v>
      </c>
      <c r="L458" s="17">
        <v>11</v>
      </c>
      <c r="M458" s="17">
        <v>2</v>
      </c>
      <c r="N458" s="17">
        <v>0</v>
      </c>
      <c r="O458" s="17">
        <v>0</v>
      </c>
      <c r="P458" s="17">
        <v>3</v>
      </c>
      <c r="Q458" s="17">
        <v>0</v>
      </c>
      <c r="R458" s="19"/>
      <c r="S458" s="20"/>
      <c r="T458" s="13">
        <f t="shared" si="0"/>
        <v>16</v>
      </c>
      <c r="U458" s="18">
        <f ca="1">IFERROR(__xludf.DUMMYFUNCTION("IFERROR(
  SUM(
    FILTER(
      Reporte!$E:$E, 
      REGEXMATCH(Reporte!$A:$A, ""(?i)(TE PAGÓ|PAGASTE)""), 
      Reporte!$H:$H &amp; """" = AG458 &amp; """"
    )
  ), 
  0
)"),0)</f>
        <v>0</v>
      </c>
      <c r="V458" s="18">
        <f ca="1">IFERROR(__xludf.DUMMYFUNCTION("IFERROR(
  SUM(
    FILTER(
      Efectivo!$C:$C, 
      Efectivo!$D:$D &amp; """" = AG458 &amp; """"
    )
  ), 
  0
)"),0)</f>
        <v>0</v>
      </c>
      <c r="W458" s="18"/>
      <c r="X458" s="18"/>
      <c r="Y458" s="18"/>
      <c r="Z458" s="18"/>
      <c r="AA458" s="18"/>
      <c r="AB458" s="18" t="str">
        <f t="shared" si="1"/>
        <v/>
      </c>
      <c r="AC458" s="18" t="str">
        <f t="shared" si="9"/>
        <v/>
      </c>
      <c r="AD458" s="11">
        <f t="shared" si="3"/>
        <v>0</v>
      </c>
      <c r="AE458" s="11">
        <f t="shared" si="4"/>
        <v>0</v>
      </c>
      <c r="AF458" s="18" t="str">
        <f t="shared" si="5"/>
        <v>C1</v>
      </c>
      <c r="AG458" s="18" t="str">
        <f t="shared" si="6"/>
        <v>C1-16</v>
      </c>
      <c r="AH458" s="14"/>
      <c r="AI458" s="14"/>
    </row>
    <row r="459" spans="1:35" ht="15.75" hidden="1" customHeight="1">
      <c r="A459" s="8">
        <v>457</v>
      </c>
      <c r="B459" s="9" t="s">
        <v>558</v>
      </c>
      <c r="C459" s="9" t="s">
        <v>545</v>
      </c>
      <c r="D459" s="10">
        <v>17</v>
      </c>
      <c r="E459" s="11"/>
      <c r="F459" s="11"/>
      <c r="G459" s="11"/>
      <c r="H459" s="12">
        <v>1</v>
      </c>
      <c r="I459" s="10">
        <v>405</v>
      </c>
      <c r="J459" s="10">
        <v>411</v>
      </c>
      <c r="K459" s="10">
        <v>6</v>
      </c>
      <c r="L459" s="10">
        <v>6</v>
      </c>
      <c r="M459" s="10">
        <v>-0.5</v>
      </c>
      <c r="N459" s="10">
        <v>0</v>
      </c>
      <c r="O459" s="10">
        <v>0</v>
      </c>
      <c r="P459" s="10">
        <v>3</v>
      </c>
      <c r="Q459" s="10">
        <v>0</v>
      </c>
      <c r="R459" s="12"/>
      <c r="S459" s="13"/>
      <c r="T459" s="13">
        <f t="shared" si="0"/>
        <v>8.5</v>
      </c>
      <c r="U459" s="11">
        <f ca="1">IFERROR(__xludf.DUMMYFUNCTION("IFERROR(
  SUM(
    FILTER(
      Reporte!$E:$E, 
      REGEXMATCH(Reporte!$A:$A, ""(?i)(TE PAGÓ|PAGASTE)""), 
      Reporte!$H:$H &amp; """" = AG459 &amp; """"
    )
  ), 
  0
)"),0)</f>
        <v>0</v>
      </c>
      <c r="V459" s="11">
        <f ca="1">IFERROR(__xludf.DUMMYFUNCTION("IFERROR(
  SUM(
    FILTER(
      Efectivo!$C:$C, 
      Efectivo!$D:$D &amp; """" = AG459 &amp; """"
    )
  ), 
  0
)"),0)</f>
        <v>0</v>
      </c>
      <c r="W459" s="11"/>
      <c r="X459" s="11"/>
      <c r="Y459" s="11"/>
      <c r="Z459" s="11"/>
      <c r="AA459" s="11"/>
      <c r="AB459" s="11" t="str">
        <f t="shared" si="1"/>
        <v/>
      </c>
      <c r="AC459" s="11" t="str">
        <f t="shared" si="9"/>
        <v/>
      </c>
      <c r="AD459" s="11">
        <f t="shared" si="3"/>
        <v>0</v>
      </c>
      <c r="AE459" s="11">
        <f t="shared" si="4"/>
        <v>0</v>
      </c>
      <c r="AF459" s="11" t="str">
        <f t="shared" si="5"/>
        <v>C1</v>
      </c>
      <c r="AG459" s="11" t="str">
        <f t="shared" si="6"/>
        <v>C1-17</v>
      </c>
      <c r="AH459" s="21"/>
      <c r="AI459" s="21"/>
    </row>
    <row r="460" spans="1:35" ht="15.75" hidden="1" customHeight="1">
      <c r="A460" s="15">
        <v>458</v>
      </c>
      <c r="B460" s="16" t="s">
        <v>559</v>
      </c>
      <c r="C460" s="16" t="s">
        <v>560</v>
      </c>
      <c r="D460" s="17">
        <v>1</v>
      </c>
      <c r="E460" s="18"/>
      <c r="F460" s="18"/>
      <c r="G460" s="18"/>
      <c r="H460" s="19">
        <v>1</v>
      </c>
      <c r="I460" s="17">
        <v>165</v>
      </c>
      <c r="J460" s="17">
        <v>165</v>
      </c>
      <c r="K460" s="17">
        <v>5</v>
      </c>
      <c r="L460" s="17">
        <v>5</v>
      </c>
      <c r="M460" s="17">
        <v>96</v>
      </c>
      <c r="N460" s="17">
        <v>0</v>
      </c>
      <c r="O460" s="17">
        <v>0</v>
      </c>
      <c r="P460" s="17">
        <v>3</v>
      </c>
      <c r="Q460" s="17">
        <v>30</v>
      </c>
      <c r="R460" s="19"/>
      <c r="S460" s="20"/>
      <c r="T460" s="13">
        <f t="shared" si="0"/>
        <v>134</v>
      </c>
      <c r="U460" s="18">
        <f ca="1">IFERROR(__xludf.DUMMYFUNCTION("IFERROR(
  SUM(
    FILTER(
      Reporte!$E:$E, 
      REGEXMATCH(Reporte!$A:$A, ""(?i)(TE PAGÓ|PAGASTE)""), 
      Reporte!$H:$H &amp; """" = AG460 &amp; """"
    )
  ), 
  0
)"),0)</f>
        <v>0</v>
      </c>
      <c r="V460" s="18">
        <f ca="1">IFERROR(__xludf.DUMMYFUNCTION("IFERROR(
  SUM(
    FILTER(
      Efectivo!$C:$C, 
      Efectivo!$D:$D &amp; """" = AG460 &amp; """"
    )
  ), 
  0
)"),0)</f>
        <v>0</v>
      </c>
      <c r="W460" s="18"/>
      <c r="X460" s="18"/>
      <c r="Y460" s="18"/>
      <c r="Z460" s="18"/>
      <c r="AA460" s="18" t="s">
        <v>224</v>
      </c>
      <c r="AB460" s="18" t="str">
        <f t="shared" si="1"/>
        <v>CORTE</v>
      </c>
      <c r="AC460" s="18" t="str">
        <f t="shared" si="9"/>
        <v>CORTE</v>
      </c>
      <c r="AD460" s="11">
        <f t="shared" si="3"/>
        <v>0</v>
      </c>
      <c r="AE460" s="11">
        <f t="shared" si="4"/>
        <v>0</v>
      </c>
      <c r="AF460" s="18" t="str">
        <f t="shared" si="5"/>
        <v>D1</v>
      </c>
      <c r="AG460" s="18" t="str">
        <f t="shared" si="6"/>
        <v>D1-1</v>
      </c>
      <c r="AH460" s="14"/>
      <c r="AI460" s="14"/>
    </row>
    <row r="461" spans="1:35" ht="15.75" hidden="1" customHeight="1">
      <c r="A461" s="8">
        <v>459</v>
      </c>
      <c r="B461" s="9" t="s">
        <v>561</v>
      </c>
      <c r="C461" s="9" t="s">
        <v>560</v>
      </c>
      <c r="D461" s="10">
        <v>2</v>
      </c>
      <c r="E461" s="11"/>
      <c r="F461" s="11"/>
      <c r="G461" s="11"/>
      <c r="H461" s="12">
        <v>1</v>
      </c>
      <c r="I461" s="10">
        <v>40</v>
      </c>
      <c r="J461" s="10">
        <v>40</v>
      </c>
      <c r="K461" s="10">
        <v>5</v>
      </c>
      <c r="L461" s="10">
        <v>5</v>
      </c>
      <c r="M461" s="10">
        <v>0</v>
      </c>
      <c r="N461" s="10">
        <v>0</v>
      </c>
      <c r="O461" s="10">
        <v>0</v>
      </c>
      <c r="P461" s="10">
        <v>3</v>
      </c>
      <c r="Q461" s="10">
        <v>0</v>
      </c>
      <c r="R461" s="12"/>
      <c r="S461" s="13"/>
      <c r="T461" s="13">
        <f t="shared" si="0"/>
        <v>8</v>
      </c>
      <c r="U461" s="11">
        <f ca="1">IFERROR(__xludf.DUMMYFUNCTION("IFERROR(
  SUM(
    FILTER(
      Reporte!$E:$E, 
      REGEXMATCH(Reporte!$A:$A, ""(?i)(TE PAGÓ|PAGASTE)""), 
      Reporte!$H:$H &amp; """" = AG461 &amp; """"
    )
  ), 
  0
)"),8)</f>
        <v>8</v>
      </c>
      <c r="V461" s="11">
        <f ca="1">IFERROR(__xludf.DUMMYFUNCTION("IFERROR(
  SUM(
    FILTER(
      Efectivo!$C:$C, 
      Efectivo!$D:$D &amp; """" = AG461 &amp; """"
    )
  ), 
  0
)"),0)</f>
        <v>0</v>
      </c>
      <c r="W461" s="11" t="s">
        <v>35</v>
      </c>
      <c r="X461" s="11"/>
      <c r="Y461" s="11" t="s">
        <v>36</v>
      </c>
      <c r="Z461" s="11"/>
      <c r="AA461" s="11"/>
      <c r="AB461" s="11" t="str">
        <f t="shared" si="1"/>
        <v/>
      </c>
      <c r="AC461" s="11" t="str">
        <f t="shared" si="9"/>
        <v/>
      </c>
      <c r="AD461" s="11">
        <f t="shared" si="3"/>
        <v>0</v>
      </c>
      <c r="AE461" s="11">
        <f t="shared" si="4"/>
        <v>8</v>
      </c>
      <c r="AF461" s="11" t="str">
        <f t="shared" si="5"/>
        <v>D1</v>
      </c>
      <c r="AG461" s="11" t="str">
        <f t="shared" si="6"/>
        <v>D1-2</v>
      </c>
      <c r="AH461" s="21"/>
      <c r="AI461" s="21"/>
    </row>
    <row r="462" spans="1:35" ht="15.75" hidden="1" customHeight="1">
      <c r="A462" s="15">
        <v>460</v>
      </c>
      <c r="B462" s="16" t="s">
        <v>562</v>
      </c>
      <c r="C462" s="16" t="s">
        <v>560</v>
      </c>
      <c r="D462" s="17">
        <v>3</v>
      </c>
      <c r="E462" s="18"/>
      <c r="F462" s="18"/>
      <c r="G462" s="18"/>
      <c r="H462" s="19">
        <v>1</v>
      </c>
      <c r="I462" s="17">
        <v>641</v>
      </c>
      <c r="J462" s="17">
        <v>647</v>
      </c>
      <c r="K462" s="17">
        <v>6</v>
      </c>
      <c r="L462" s="17">
        <v>6</v>
      </c>
      <c r="M462" s="17">
        <v>12</v>
      </c>
      <c r="N462" s="17">
        <v>0</v>
      </c>
      <c r="O462" s="17">
        <v>0</v>
      </c>
      <c r="P462" s="17">
        <v>3</v>
      </c>
      <c r="Q462" s="17">
        <v>0</v>
      </c>
      <c r="R462" s="19"/>
      <c r="S462" s="20"/>
      <c r="T462" s="13">
        <f t="shared" si="0"/>
        <v>21</v>
      </c>
      <c r="U462" s="18">
        <f ca="1">IFERROR(__xludf.DUMMYFUNCTION("IFERROR(
  SUM(
    FILTER(
      Reporte!$E:$E, 
      REGEXMATCH(Reporte!$A:$A, ""(?i)(TE PAGÓ|PAGASTE)""), 
      Reporte!$H:$H &amp; """" = AG462 &amp; """"
    )
  ), 
  0
)"),21)</f>
        <v>21</v>
      </c>
      <c r="V462" s="18">
        <f ca="1">IFERROR(__xludf.DUMMYFUNCTION("IFERROR(
  SUM(
    FILTER(
      Efectivo!$C:$C, 
      Efectivo!$D:$D &amp; """" = AG462 &amp; """"
    )
  ), 
  0
)"),0)</f>
        <v>0</v>
      </c>
      <c r="W462" s="18" t="s">
        <v>35</v>
      </c>
      <c r="X462" s="18"/>
      <c r="Y462" s="18" t="s">
        <v>36</v>
      </c>
      <c r="Z462" s="18"/>
      <c r="AA462" s="18"/>
      <c r="AB462" s="18" t="str">
        <f t="shared" si="1"/>
        <v/>
      </c>
      <c r="AC462" s="18" t="str">
        <f t="shared" si="9"/>
        <v/>
      </c>
      <c r="AD462" s="11">
        <f t="shared" si="3"/>
        <v>0</v>
      </c>
      <c r="AE462" s="11">
        <f t="shared" si="4"/>
        <v>21</v>
      </c>
      <c r="AF462" s="18" t="str">
        <f t="shared" si="5"/>
        <v>D1</v>
      </c>
      <c r="AG462" s="18" t="str">
        <f t="shared" si="6"/>
        <v>D1-3</v>
      </c>
      <c r="AH462" s="14"/>
      <c r="AI462" s="14"/>
    </row>
    <row r="463" spans="1:35" ht="15.75" hidden="1" customHeight="1">
      <c r="A463" s="8">
        <v>461</v>
      </c>
      <c r="B463" s="9" t="s">
        <v>563</v>
      </c>
      <c r="C463" s="9" t="s">
        <v>560</v>
      </c>
      <c r="D463" s="10">
        <v>4</v>
      </c>
      <c r="E463" s="11"/>
      <c r="F463" s="11"/>
      <c r="G463" s="11"/>
      <c r="H463" s="12">
        <v>1</v>
      </c>
      <c r="I463" s="10">
        <v>83</v>
      </c>
      <c r="J463" s="10">
        <v>91</v>
      </c>
      <c r="K463" s="10">
        <v>8</v>
      </c>
      <c r="L463" s="10">
        <v>8</v>
      </c>
      <c r="M463" s="10">
        <v>0</v>
      </c>
      <c r="N463" s="10">
        <v>0</v>
      </c>
      <c r="O463" s="10">
        <v>0</v>
      </c>
      <c r="P463" s="10">
        <v>3</v>
      </c>
      <c r="Q463" s="10">
        <v>0</v>
      </c>
      <c r="R463" s="12"/>
      <c r="S463" s="13"/>
      <c r="T463" s="13">
        <f t="shared" si="0"/>
        <v>11</v>
      </c>
      <c r="U463" s="11">
        <f ca="1">IFERROR(__xludf.DUMMYFUNCTION("IFERROR(
  SUM(
    FILTER(
      Reporte!$E:$E, 
      REGEXMATCH(Reporte!$A:$A, ""(?i)(TE PAGÓ|PAGASTE)""), 
      Reporte!$H:$H &amp; """" = AG463 &amp; """"
    )
  ), 
  0
)"),0)</f>
        <v>0</v>
      </c>
      <c r="V463" s="11">
        <f ca="1">IFERROR(__xludf.DUMMYFUNCTION("IFERROR(
  SUM(
    FILTER(
      Efectivo!$C:$C, 
      Efectivo!$D:$D &amp; """" = AG463 &amp; """"
    )
  ), 
  0
)"),11)</f>
        <v>11</v>
      </c>
      <c r="W463" s="11" t="s">
        <v>35</v>
      </c>
      <c r="X463" s="11"/>
      <c r="Y463" s="11"/>
      <c r="Z463" s="11"/>
      <c r="AA463" s="11"/>
      <c r="AB463" s="11" t="str">
        <f t="shared" si="1"/>
        <v/>
      </c>
      <c r="AC463" s="11" t="str">
        <f t="shared" si="9"/>
        <v/>
      </c>
      <c r="AD463" s="11">
        <f t="shared" si="3"/>
        <v>11</v>
      </c>
      <c r="AE463" s="11">
        <f t="shared" si="4"/>
        <v>0</v>
      </c>
      <c r="AF463" s="11" t="str">
        <f t="shared" si="5"/>
        <v>D1</v>
      </c>
      <c r="AG463" s="11" t="str">
        <f t="shared" si="6"/>
        <v>D1-4</v>
      </c>
      <c r="AH463" s="21"/>
      <c r="AI463" s="21"/>
    </row>
    <row r="464" spans="1:35" ht="15.75" hidden="1" customHeight="1">
      <c r="A464" s="15">
        <v>462</v>
      </c>
      <c r="B464" s="16" t="s">
        <v>564</v>
      </c>
      <c r="C464" s="16" t="s">
        <v>560</v>
      </c>
      <c r="D464" s="17">
        <v>5</v>
      </c>
      <c r="E464" s="18"/>
      <c r="F464" s="18"/>
      <c r="G464" s="18"/>
      <c r="H464" s="19">
        <v>1</v>
      </c>
      <c r="I464" s="17">
        <v>894</v>
      </c>
      <c r="J464" s="17">
        <v>902</v>
      </c>
      <c r="K464" s="17">
        <v>8</v>
      </c>
      <c r="L464" s="17">
        <v>8</v>
      </c>
      <c r="M464" s="17">
        <v>0</v>
      </c>
      <c r="N464" s="17">
        <v>0</v>
      </c>
      <c r="O464" s="17">
        <v>0</v>
      </c>
      <c r="P464" s="17">
        <v>3</v>
      </c>
      <c r="Q464" s="17">
        <v>0</v>
      </c>
      <c r="R464" s="19"/>
      <c r="S464" s="20"/>
      <c r="T464" s="13">
        <f t="shared" si="0"/>
        <v>11</v>
      </c>
      <c r="U464" s="18">
        <f ca="1">IFERROR(__xludf.DUMMYFUNCTION("IFERROR(
  SUM(
    FILTER(
      Reporte!$E:$E, 
      REGEXMATCH(Reporte!$A:$A, ""(?i)(TE PAGÓ|PAGASTE)""), 
      Reporte!$H:$H &amp; """" = AG464 &amp; """"
    )
  ), 
  0
)"),0)</f>
        <v>0</v>
      </c>
      <c r="V464" s="18">
        <f ca="1">IFERROR(__xludf.DUMMYFUNCTION("IFERROR(
  SUM(
    FILTER(
      Efectivo!$C:$C, 
      Efectivo!$D:$D &amp; """" = AG464 &amp; """"
    )
  ), 
  0
)"),0)</f>
        <v>0</v>
      </c>
      <c r="W464" s="18"/>
      <c r="X464" s="18"/>
      <c r="Y464" s="18"/>
      <c r="Z464" s="18"/>
      <c r="AA464" s="18"/>
      <c r="AB464" s="18" t="str">
        <f t="shared" si="1"/>
        <v/>
      </c>
      <c r="AC464" s="18" t="str">
        <f t="shared" si="9"/>
        <v/>
      </c>
      <c r="AD464" s="11">
        <f t="shared" si="3"/>
        <v>0</v>
      </c>
      <c r="AE464" s="11">
        <f t="shared" si="4"/>
        <v>0</v>
      </c>
      <c r="AF464" s="18" t="str">
        <f t="shared" si="5"/>
        <v>D1</v>
      </c>
      <c r="AG464" s="18" t="str">
        <f t="shared" si="6"/>
        <v>D1-5</v>
      </c>
      <c r="AH464" s="14"/>
      <c r="AI464" s="14"/>
    </row>
    <row r="465" spans="1:35" ht="15.75" hidden="1" customHeight="1">
      <c r="A465" s="8">
        <v>463</v>
      </c>
      <c r="B465" s="9" t="s">
        <v>565</v>
      </c>
      <c r="C465" s="9" t="s">
        <v>560</v>
      </c>
      <c r="D465" s="10">
        <v>6</v>
      </c>
      <c r="E465" s="11"/>
      <c r="F465" s="11"/>
      <c r="G465" s="11"/>
      <c r="H465" s="12">
        <v>1</v>
      </c>
      <c r="I465" s="10">
        <v>268</v>
      </c>
      <c r="J465" s="10">
        <v>274</v>
      </c>
      <c r="K465" s="10">
        <v>6</v>
      </c>
      <c r="L465" s="10">
        <v>6</v>
      </c>
      <c r="M465" s="10">
        <v>0</v>
      </c>
      <c r="N465" s="10">
        <v>0</v>
      </c>
      <c r="O465" s="10">
        <v>0</v>
      </c>
      <c r="P465" s="10">
        <v>3</v>
      </c>
      <c r="Q465" s="10">
        <v>0</v>
      </c>
      <c r="R465" s="12"/>
      <c r="S465" s="13"/>
      <c r="T465" s="13">
        <f t="shared" si="0"/>
        <v>9</v>
      </c>
      <c r="U465" s="11">
        <f ca="1">IFERROR(__xludf.DUMMYFUNCTION("IFERROR(
  SUM(
    FILTER(
      Reporte!$E:$E, 
      REGEXMATCH(Reporte!$A:$A, ""(?i)(TE PAGÓ|PAGASTE)""), 
      Reporte!$H:$H &amp; """" = AG465 &amp; """"
    )
  ), 
  0
)"),9)</f>
        <v>9</v>
      </c>
      <c r="V465" s="11">
        <f ca="1">IFERROR(__xludf.DUMMYFUNCTION("IFERROR(
  SUM(
    FILTER(
      Efectivo!$C:$C, 
      Efectivo!$D:$D &amp; """" = AG465 &amp; """"
    )
  ), 
  0
)"),0)</f>
        <v>0</v>
      </c>
      <c r="W465" s="11" t="s">
        <v>35</v>
      </c>
      <c r="X465" s="11"/>
      <c r="Y465" s="11" t="s">
        <v>36</v>
      </c>
      <c r="Z465" s="11"/>
      <c r="AA465" s="11"/>
      <c r="AB465" s="11" t="str">
        <f t="shared" si="1"/>
        <v/>
      </c>
      <c r="AC465" s="11" t="str">
        <f t="shared" si="9"/>
        <v/>
      </c>
      <c r="AD465" s="11">
        <f t="shared" si="3"/>
        <v>0</v>
      </c>
      <c r="AE465" s="11">
        <f t="shared" si="4"/>
        <v>9</v>
      </c>
      <c r="AF465" s="11" t="str">
        <f t="shared" si="5"/>
        <v>D1</v>
      </c>
      <c r="AG465" s="11" t="str">
        <f t="shared" si="6"/>
        <v>D1-6</v>
      </c>
      <c r="AH465" s="21"/>
      <c r="AI465" s="21"/>
    </row>
    <row r="466" spans="1:35" ht="15.75" hidden="1" customHeight="1">
      <c r="A466" s="15">
        <v>464</v>
      </c>
      <c r="B466" s="16" t="s">
        <v>566</v>
      </c>
      <c r="C466" s="16" t="s">
        <v>567</v>
      </c>
      <c r="D466" s="17">
        <v>1</v>
      </c>
      <c r="E466" s="18"/>
      <c r="F466" s="18"/>
      <c r="G466" s="18"/>
      <c r="H466" s="19">
        <v>1</v>
      </c>
      <c r="I466" s="17">
        <v>890</v>
      </c>
      <c r="J466" s="17">
        <v>891</v>
      </c>
      <c r="K466" s="17">
        <v>5</v>
      </c>
      <c r="L466" s="17">
        <v>5</v>
      </c>
      <c r="M466" s="17">
        <v>0</v>
      </c>
      <c r="N466" s="17">
        <v>0</v>
      </c>
      <c r="O466" s="17">
        <v>0</v>
      </c>
      <c r="P466" s="17">
        <v>3</v>
      </c>
      <c r="Q466" s="17">
        <v>0</v>
      </c>
      <c r="R466" s="19"/>
      <c r="S466" s="20"/>
      <c r="T466" s="13">
        <f t="shared" si="0"/>
        <v>8</v>
      </c>
      <c r="U466" s="18">
        <f ca="1">IFERROR(__xludf.DUMMYFUNCTION("IFERROR(
  SUM(
    FILTER(
      Reporte!$E:$E, 
      REGEXMATCH(Reporte!$A:$A, ""(?i)(TE PAGÓ|PAGASTE)""), 
      Reporte!$H:$H &amp; """" = AG466 &amp; """"
    )
  ), 
  0
)"),8)</f>
        <v>8</v>
      </c>
      <c r="V466" s="18">
        <f ca="1">IFERROR(__xludf.DUMMYFUNCTION("IFERROR(
  SUM(
    FILTER(
      Efectivo!$C:$C, 
      Efectivo!$D:$D &amp; """" = AG466 &amp; """"
    )
  ), 
  0
)"),0)</f>
        <v>0</v>
      </c>
      <c r="W466" s="18" t="s">
        <v>35</v>
      </c>
      <c r="X466" s="18"/>
      <c r="Y466" s="18" t="s">
        <v>36</v>
      </c>
      <c r="Z466" s="18"/>
      <c r="AA466" s="18"/>
      <c r="AB466" s="18" t="str">
        <f t="shared" si="1"/>
        <v/>
      </c>
      <c r="AC466" s="18" t="str">
        <f t="shared" si="9"/>
        <v/>
      </c>
      <c r="AD466" s="11">
        <f t="shared" si="3"/>
        <v>0</v>
      </c>
      <c r="AE466" s="11">
        <f t="shared" si="4"/>
        <v>8</v>
      </c>
      <c r="AF466" s="18" t="str">
        <f t="shared" si="5"/>
        <v>E1</v>
      </c>
      <c r="AG466" s="18" t="str">
        <f t="shared" si="6"/>
        <v>E1-1</v>
      </c>
      <c r="AH466" s="14"/>
      <c r="AI466" s="14"/>
    </row>
    <row r="467" spans="1:35" ht="15.75" hidden="1" customHeight="1">
      <c r="A467" s="8">
        <v>465</v>
      </c>
      <c r="B467" s="9" t="s">
        <v>568</v>
      </c>
      <c r="C467" s="9" t="s">
        <v>567</v>
      </c>
      <c r="D467" s="10">
        <v>3</v>
      </c>
      <c r="E467" s="11"/>
      <c r="F467" s="11"/>
      <c r="G467" s="11"/>
      <c r="H467" s="12">
        <v>1</v>
      </c>
      <c r="I467" s="10">
        <v>73</v>
      </c>
      <c r="J467" s="10">
        <v>82</v>
      </c>
      <c r="K467" s="10">
        <v>9</v>
      </c>
      <c r="L467" s="10">
        <v>9</v>
      </c>
      <c r="M467" s="10">
        <v>0</v>
      </c>
      <c r="N467" s="10">
        <v>0</v>
      </c>
      <c r="O467" s="10">
        <v>0</v>
      </c>
      <c r="P467" s="10">
        <v>3</v>
      </c>
      <c r="Q467" s="10">
        <v>0</v>
      </c>
      <c r="R467" s="12"/>
      <c r="S467" s="13"/>
      <c r="T467" s="13">
        <f t="shared" si="0"/>
        <v>12</v>
      </c>
      <c r="U467" s="11">
        <f ca="1">IFERROR(__xludf.DUMMYFUNCTION("IFERROR(
  SUM(
    FILTER(
      Reporte!$E:$E, 
      REGEXMATCH(Reporte!$A:$A, ""(?i)(TE PAGÓ|PAGASTE)""), 
      Reporte!$H:$H &amp; """" = AG467 &amp; """"
    )
  ), 
  0
)"),12)</f>
        <v>12</v>
      </c>
      <c r="V467" s="11">
        <f ca="1">IFERROR(__xludf.DUMMYFUNCTION("IFERROR(
  SUM(
    FILTER(
      Efectivo!$C:$C, 
      Efectivo!$D:$D &amp; """" = AG467 &amp; """"
    )
  ), 
  0
)"),0)</f>
        <v>0</v>
      </c>
      <c r="W467" s="11" t="s">
        <v>35</v>
      </c>
      <c r="X467" s="11"/>
      <c r="Y467" s="11" t="s">
        <v>36</v>
      </c>
      <c r="Z467" s="11"/>
      <c r="AA467" s="11"/>
      <c r="AB467" s="11" t="str">
        <f t="shared" si="1"/>
        <v/>
      </c>
      <c r="AC467" s="11" t="str">
        <f t="shared" si="9"/>
        <v/>
      </c>
      <c r="AD467" s="11">
        <f t="shared" si="3"/>
        <v>0</v>
      </c>
      <c r="AE467" s="11">
        <f t="shared" si="4"/>
        <v>12</v>
      </c>
      <c r="AF467" s="11" t="str">
        <f t="shared" si="5"/>
        <v>E1</v>
      </c>
      <c r="AG467" s="11" t="str">
        <f t="shared" si="6"/>
        <v>E1-3</v>
      </c>
      <c r="AH467" s="21"/>
      <c r="AI467" s="21"/>
    </row>
    <row r="468" spans="1:35" ht="15.75" hidden="1" customHeight="1">
      <c r="A468" s="15">
        <v>466</v>
      </c>
      <c r="B468" s="16" t="s">
        <v>569</v>
      </c>
      <c r="C468" s="16" t="s">
        <v>567</v>
      </c>
      <c r="D468" s="17">
        <v>4</v>
      </c>
      <c r="E468" s="18"/>
      <c r="F468" s="18"/>
      <c r="G468" s="18"/>
      <c r="H468" s="19">
        <v>1</v>
      </c>
      <c r="I468" s="17">
        <v>1017</v>
      </c>
      <c r="J468" s="17">
        <v>1018</v>
      </c>
      <c r="K468" s="17">
        <v>5</v>
      </c>
      <c r="L468" s="17">
        <v>5</v>
      </c>
      <c r="M468" s="17">
        <v>8</v>
      </c>
      <c r="N468" s="17">
        <v>0</v>
      </c>
      <c r="O468" s="17">
        <v>0</v>
      </c>
      <c r="P468" s="17">
        <v>3</v>
      </c>
      <c r="Q468" s="17">
        <v>0</v>
      </c>
      <c r="R468" s="19"/>
      <c r="S468" s="20"/>
      <c r="T468" s="13">
        <f t="shared" si="0"/>
        <v>16</v>
      </c>
      <c r="U468" s="18">
        <f ca="1">IFERROR(__xludf.DUMMYFUNCTION("IFERROR(
  SUM(
    FILTER(
      Reporte!$E:$E, 
      REGEXMATCH(Reporte!$A:$A, ""(?i)(TE PAGÓ|PAGASTE)""), 
      Reporte!$H:$H &amp; """" = AG468 &amp; """"
    )
  ), 
  0
)"),16)</f>
        <v>16</v>
      </c>
      <c r="V468" s="18">
        <f ca="1">IFERROR(__xludf.DUMMYFUNCTION("IFERROR(
  SUM(
    FILTER(
      Efectivo!$C:$C, 
      Efectivo!$D:$D &amp; """" = AG468 &amp; """"
    )
  ), 
  0
)"),0)</f>
        <v>0</v>
      </c>
      <c r="W468" s="18" t="s">
        <v>35</v>
      </c>
      <c r="X468" s="18"/>
      <c r="Y468" s="18" t="s">
        <v>36</v>
      </c>
      <c r="Z468" s="18"/>
      <c r="AA468" s="18"/>
      <c r="AB468" s="18" t="str">
        <f t="shared" si="1"/>
        <v/>
      </c>
      <c r="AC468" s="18" t="str">
        <f t="shared" si="9"/>
        <v/>
      </c>
      <c r="AD468" s="11">
        <f t="shared" si="3"/>
        <v>0</v>
      </c>
      <c r="AE468" s="11">
        <f t="shared" si="4"/>
        <v>16</v>
      </c>
      <c r="AF468" s="18" t="str">
        <f t="shared" si="5"/>
        <v>E1</v>
      </c>
      <c r="AG468" s="18" t="str">
        <f t="shared" si="6"/>
        <v>E1-4</v>
      </c>
      <c r="AH468" s="14"/>
      <c r="AI468" s="14"/>
    </row>
    <row r="469" spans="1:35" ht="15.75" hidden="1" customHeight="1">
      <c r="A469" s="8">
        <v>467</v>
      </c>
      <c r="B469" s="9" t="s">
        <v>570</v>
      </c>
      <c r="C469" s="9" t="s">
        <v>567</v>
      </c>
      <c r="D469" s="10">
        <v>6</v>
      </c>
      <c r="E469" s="11"/>
      <c r="F469" s="11"/>
      <c r="G469" s="11"/>
      <c r="H469" s="12">
        <v>1</v>
      </c>
      <c r="I469" s="10">
        <v>0</v>
      </c>
      <c r="J469" s="10">
        <v>0</v>
      </c>
      <c r="K469" s="10">
        <v>5</v>
      </c>
      <c r="L469" s="10">
        <v>5</v>
      </c>
      <c r="M469" s="10">
        <v>8</v>
      </c>
      <c r="N469" s="22">
        <v>40</v>
      </c>
      <c r="O469" s="10">
        <v>0</v>
      </c>
      <c r="P469" s="10">
        <v>3</v>
      </c>
      <c r="Q469" s="10">
        <v>0</v>
      </c>
      <c r="R469" s="12"/>
      <c r="S469" s="13"/>
      <c r="T469" s="13">
        <f t="shared" si="0"/>
        <v>56</v>
      </c>
      <c r="U469" s="11">
        <f ca="1">IFERROR(__xludf.DUMMYFUNCTION("IFERROR(
  SUM(
    FILTER(
      Reporte!$E:$E, 
      REGEXMATCH(Reporte!$A:$A, ""(?i)(TE PAGÓ|PAGASTE)""), 
      Reporte!$H:$H &amp; """" = AG469 &amp; """"
    )
  ), 
  0
)"),0)</f>
        <v>0</v>
      </c>
      <c r="V469" s="11">
        <f ca="1">IFERROR(__xludf.DUMMYFUNCTION("IFERROR(
  SUM(
    FILTER(
      Efectivo!$C:$C, 
      Efectivo!$D:$D &amp; """" = AG469 &amp; """"
    )
  ), 
  0
)"),0)</f>
        <v>0</v>
      </c>
      <c r="W469" s="11"/>
      <c r="X469" s="11"/>
      <c r="Y469" s="11"/>
      <c r="Z469" s="11"/>
      <c r="AA469" s="11"/>
      <c r="AB469" s="11" t="str">
        <f t="shared" si="1"/>
        <v>CORTE</v>
      </c>
      <c r="AC469" s="11" t="str">
        <f t="shared" si="9"/>
        <v/>
      </c>
      <c r="AD469" s="11">
        <f t="shared" si="3"/>
        <v>0</v>
      </c>
      <c r="AE469" s="11">
        <f t="shared" si="4"/>
        <v>0</v>
      </c>
      <c r="AF469" s="11" t="str">
        <f t="shared" si="5"/>
        <v>E1</v>
      </c>
      <c r="AG469" s="11" t="str">
        <f t="shared" si="6"/>
        <v>E1-6</v>
      </c>
      <c r="AH469" s="21"/>
      <c r="AI469" s="21"/>
    </row>
    <row r="470" spans="1:35" ht="15.75" hidden="1" customHeight="1">
      <c r="A470" s="15">
        <v>468</v>
      </c>
      <c r="B470" s="16" t="s">
        <v>571</v>
      </c>
      <c r="C470" s="16" t="s">
        <v>567</v>
      </c>
      <c r="D470" s="17">
        <v>7</v>
      </c>
      <c r="E470" s="18"/>
      <c r="F470" s="18"/>
      <c r="G470" s="18"/>
      <c r="H470" s="19">
        <v>1</v>
      </c>
      <c r="I470" s="17">
        <v>315</v>
      </c>
      <c r="J470" s="17">
        <v>326</v>
      </c>
      <c r="K470" s="17">
        <v>11</v>
      </c>
      <c r="L470" s="17">
        <v>11</v>
      </c>
      <c r="M470" s="17">
        <v>0</v>
      </c>
      <c r="N470" s="17">
        <v>0</v>
      </c>
      <c r="O470" s="17">
        <v>0</v>
      </c>
      <c r="P470" s="17">
        <v>3</v>
      </c>
      <c r="Q470" s="17">
        <v>0</v>
      </c>
      <c r="R470" s="19"/>
      <c r="S470" s="20"/>
      <c r="T470" s="13">
        <f t="shared" si="0"/>
        <v>14</v>
      </c>
      <c r="U470" s="18">
        <f ca="1">IFERROR(__xludf.DUMMYFUNCTION("IFERROR(
  SUM(
    FILTER(
      Reporte!$E:$E, 
      REGEXMATCH(Reporte!$A:$A, ""(?i)(TE PAGÓ|PAGASTE)""), 
      Reporte!$H:$H &amp; """" = AG470 &amp; """"
    )
  ), 
  0
)"),14)</f>
        <v>14</v>
      </c>
      <c r="V470" s="18">
        <f ca="1">IFERROR(__xludf.DUMMYFUNCTION("IFERROR(
  SUM(
    FILTER(
      Efectivo!$C:$C, 
      Efectivo!$D:$D &amp; """" = AG470 &amp; """"
    )
  ), 
  0
)"),0)</f>
        <v>0</v>
      </c>
      <c r="W470" s="18" t="s">
        <v>35</v>
      </c>
      <c r="X470" s="18"/>
      <c r="Y470" s="18" t="s">
        <v>36</v>
      </c>
      <c r="Z470" s="18"/>
      <c r="AA470" s="18"/>
      <c r="AB470" s="18" t="str">
        <f t="shared" si="1"/>
        <v/>
      </c>
      <c r="AC470" s="18" t="str">
        <f t="shared" si="9"/>
        <v/>
      </c>
      <c r="AD470" s="11">
        <f t="shared" si="3"/>
        <v>0</v>
      </c>
      <c r="AE470" s="11">
        <f t="shared" si="4"/>
        <v>14</v>
      </c>
      <c r="AF470" s="18" t="str">
        <f t="shared" si="5"/>
        <v>E1</v>
      </c>
      <c r="AG470" s="18" t="str">
        <f t="shared" si="6"/>
        <v>E1-7</v>
      </c>
      <c r="AH470" s="14"/>
      <c r="AI470" s="14"/>
    </row>
    <row r="471" spans="1:35" ht="15.75" hidden="1" customHeight="1">
      <c r="A471" s="8">
        <v>469</v>
      </c>
      <c r="B471" s="9" t="s">
        <v>572</v>
      </c>
      <c r="C471" s="9" t="s">
        <v>567</v>
      </c>
      <c r="D471" s="10">
        <v>8</v>
      </c>
      <c r="E471" s="11"/>
      <c r="F471" s="11"/>
      <c r="G471" s="11"/>
      <c r="H471" s="12">
        <v>1</v>
      </c>
      <c r="I471" s="10">
        <v>363</v>
      </c>
      <c r="J471" s="10">
        <v>368</v>
      </c>
      <c r="K471" s="10">
        <v>5</v>
      </c>
      <c r="L471" s="10">
        <v>5</v>
      </c>
      <c r="M471" s="10">
        <v>0</v>
      </c>
      <c r="N471" s="10">
        <v>0</v>
      </c>
      <c r="O471" s="10">
        <v>0</v>
      </c>
      <c r="P471" s="10">
        <v>3</v>
      </c>
      <c r="Q471" s="10">
        <v>0</v>
      </c>
      <c r="R471" s="12"/>
      <c r="S471" s="13"/>
      <c r="T471" s="13">
        <f t="shared" si="0"/>
        <v>8</v>
      </c>
      <c r="U471" s="11">
        <f ca="1">IFERROR(__xludf.DUMMYFUNCTION("IFERROR(
  SUM(
    FILTER(
      Reporte!$E:$E, 
      REGEXMATCH(Reporte!$A:$A, ""(?i)(TE PAGÓ|PAGASTE)""), 
      Reporte!$H:$H &amp; """" = AG471 &amp; """"
    )
  ), 
  0
)"),8)</f>
        <v>8</v>
      </c>
      <c r="V471" s="11">
        <f ca="1">IFERROR(__xludf.DUMMYFUNCTION("IFERROR(
  SUM(
    FILTER(
      Efectivo!$C:$C, 
      Efectivo!$D:$D &amp; """" = AG471 &amp; """"
    )
  ), 
  0
)"),0)</f>
        <v>0</v>
      </c>
      <c r="W471" s="11" t="s">
        <v>35</v>
      </c>
      <c r="X471" s="11"/>
      <c r="Y471" s="11" t="s">
        <v>36</v>
      </c>
      <c r="Z471" s="11"/>
      <c r="AA471" s="11"/>
      <c r="AB471" s="11" t="str">
        <f t="shared" si="1"/>
        <v/>
      </c>
      <c r="AC471" s="11" t="str">
        <f t="shared" si="9"/>
        <v/>
      </c>
      <c r="AD471" s="11">
        <f t="shared" si="3"/>
        <v>0</v>
      </c>
      <c r="AE471" s="11">
        <f t="shared" si="4"/>
        <v>8</v>
      </c>
      <c r="AF471" s="11" t="str">
        <f t="shared" si="5"/>
        <v>E1</v>
      </c>
      <c r="AG471" s="11" t="str">
        <f t="shared" si="6"/>
        <v>E1-8</v>
      </c>
      <c r="AH471" s="21"/>
      <c r="AI471" s="21"/>
    </row>
    <row r="472" spans="1:35" ht="15.75" hidden="1" customHeight="1">
      <c r="A472" s="15">
        <v>470</v>
      </c>
      <c r="B472" s="16" t="s">
        <v>573</v>
      </c>
      <c r="C472" s="16" t="s">
        <v>567</v>
      </c>
      <c r="D472" s="17">
        <v>9</v>
      </c>
      <c r="E472" s="18"/>
      <c r="F472" s="18"/>
      <c r="G472" s="18"/>
      <c r="H472" s="19">
        <v>1</v>
      </c>
      <c r="I472" s="17">
        <v>62</v>
      </c>
      <c r="J472" s="17">
        <v>75</v>
      </c>
      <c r="K472" s="17">
        <v>13</v>
      </c>
      <c r="L472" s="17">
        <v>13</v>
      </c>
      <c r="M472" s="17">
        <v>11</v>
      </c>
      <c r="N472" s="17">
        <v>0</v>
      </c>
      <c r="O472" s="17">
        <v>0</v>
      </c>
      <c r="P472" s="17">
        <v>3</v>
      </c>
      <c r="Q472" s="17">
        <v>0</v>
      </c>
      <c r="R472" s="19"/>
      <c r="S472" s="20"/>
      <c r="T472" s="13">
        <f t="shared" si="0"/>
        <v>27</v>
      </c>
      <c r="U472" s="18">
        <f ca="1">IFERROR(__xludf.DUMMYFUNCTION("IFERROR(
  SUM(
    FILTER(
      Reporte!$E:$E, 
      REGEXMATCH(Reporte!$A:$A, ""(?i)(TE PAGÓ|PAGASTE)""), 
      Reporte!$H:$H &amp; """" = AG472 &amp; """"
    )
  ), 
  0
)"),0)</f>
        <v>0</v>
      </c>
      <c r="V472" s="18">
        <f ca="1">IFERROR(__xludf.DUMMYFUNCTION("IFERROR(
  SUM(
    FILTER(
      Efectivo!$C:$C, 
      Efectivo!$D:$D &amp; """" = AG472 &amp; """"
    )
  ), 
  0
)"),27)</f>
        <v>27</v>
      </c>
      <c r="W472" s="18" t="s">
        <v>35</v>
      </c>
      <c r="X472" s="18"/>
      <c r="Y472" s="18"/>
      <c r="Z472" s="18"/>
      <c r="AA472" s="18"/>
      <c r="AB472" s="18" t="str">
        <f t="shared" si="1"/>
        <v/>
      </c>
      <c r="AC472" s="18" t="str">
        <f t="shared" si="9"/>
        <v/>
      </c>
      <c r="AD472" s="11">
        <f t="shared" si="3"/>
        <v>27</v>
      </c>
      <c r="AE472" s="11">
        <f t="shared" si="4"/>
        <v>0</v>
      </c>
      <c r="AF472" s="18" t="str">
        <f t="shared" si="5"/>
        <v>E1</v>
      </c>
      <c r="AG472" s="18" t="str">
        <f t="shared" si="6"/>
        <v>E1-9</v>
      </c>
      <c r="AH472" s="14"/>
      <c r="AI472" s="14"/>
    </row>
    <row r="473" spans="1:35" ht="15.75" hidden="1" customHeight="1">
      <c r="A473" s="8">
        <v>471</v>
      </c>
      <c r="B473" s="9" t="s">
        <v>574</v>
      </c>
      <c r="C473" s="9" t="s">
        <v>575</v>
      </c>
      <c r="D473" s="10">
        <v>1</v>
      </c>
      <c r="E473" s="11"/>
      <c r="F473" s="11"/>
      <c r="G473" s="11"/>
      <c r="H473" s="12">
        <v>1</v>
      </c>
      <c r="I473" s="10">
        <v>263</v>
      </c>
      <c r="J473" s="10">
        <v>270</v>
      </c>
      <c r="K473" s="10">
        <v>7</v>
      </c>
      <c r="L473" s="10">
        <v>7</v>
      </c>
      <c r="M473" s="10">
        <v>0</v>
      </c>
      <c r="N473" s="10">
        <v>0</v>
      </c>
      <c r="O473" s="10">
        <v>0</v>
      </c>
      <c r="P473" s="10">
        <v>3</v>
      </c>
      <c r="Q473" s="10">
        <v>0</v>
      </c>
      <c r="R473" s="12"/>
      <c r="S473" s="13"/>
      <c r="T473" s="13">
        <f t="shared" si="0"/>
        <v>10</v>
      </c>
      <c r="U473" s="11">
        <f ca="1">IFERROR(__xludf.DUMMYFUNCTION("IFERROR(
  SUM(
    FILTER(
      Reporte!$E:$E, 
      REGEXMATCH(Reporte!$A:$A, ""(?i)(TE PAGÓ|PAGASTE)""), 
      Reporte!$H:$H &amp; """" = AG473 &amp; """"
    )
  ), 
  0
)"),10)</f>
        <v>10</v>
      </c>
      <c r="V473" s="11">
        <f ca="1">IFERROR(__xludf.DUMMYFUNCTION("IFERROR(
  SUM(
    FILTER(
      Efectivo!$C:$C, 
      Efectivo!$D:$D &amp; """" = AG473 &amp; """"
    )
  ), 
  0
)"),0)</f>
        <v>0</v>
      </c>
      <c r="W473" s="11" t="s">
        <v>35</v>
      </c>
      <c r="X473" s="11"/>
      <c r="Y473" s="11" t="s">
        <v>36</v>
      </c>
      <c r="Z473" s="11"/>
      <c r="AA473" s="11"/>
      <c r="AB473" s="11" t="str">
        <f t="shared" si="1"/>
        <v/>
      </c>
      <c r="AC473" s="11" t="str">
        <f t="shared" si="9"/>
        <v/>
      </c>
      <c r="AD473" s="11">
        <f t="shared" si="3"/>
        <v>0</v>
      </c>
      <c r="AE473" s="11">
        <f t="shared" si="4"/>
        <v>10</v>
      </c>
      <c r="AF473" s="11" t="str">
        <f t="shared" si="5"/>
        <v>F1</v>
      </c>
      <c r="AG473" s="11" t="str">
        <f t="shared" si="6"/>
        <v>F1-1</v>
      </c>
      <c r="AH473" s="21"/>
      <c r="AI473" s="21"/>
    </row>
    <row r="474" spans="1:35" ht="15.75" hidden="1" customHeight="1">
      <c r="A474" s="15">
        <v>472</v>
      </c>
      <c r="B474" s="16" t="s">
        <v>576</v>
      </c>
      <c r="C474" s="16" t="s">
        <v>575</v>
      </c>
      <c r="D474" s="17">
        <v>2</v>
      </c>
      <c r="E474" s="18"/>
      <c r="F474" s="18"/>
      <c r="G474" s="18"/>
      <c r="H474" s="19">
        <v>1</v>
      </c>
      <c r="I474" s="17">
        <v>842</v>
      </c>
      <c r="J474" s="17">
        <v>847</v>
      </c>
      <c r="K474" s="17">
        <v>5</v>
      </c>
      <c r="L474" s="17">
        <v>5</v>
      </c>
      <c r="M474" s="17">
        <v>0</v>
      </c>
      <c r="N474" s="17">
        <v>0</v>
      </c>
      <c r="O474" s="17">
        <v>0</v>
      </c>
      <c r="P474" s="17">
        <v>3</v>
      </c>
      <c r="Q474" s="17">
        <v>0</v>
      </c>
      <c r="R474" s="19"/>
      <c r="S474" s="20"/>
      <c r="T474" s="13">
        <f t="shared" si="0"/>
        <v>8</v>
      </c>
      <c r="U474" s="18">
        <f ca="1">IFERROR(__xludf.DUMMYFUNCTION("IFERROR(
  SUM(
    FILTER(
      Reporte!$E:$E, 
      REGEXMATCH(Reporte!$A:$A, ""(?i)(TE PAGÓ|PAGASTE)""), 
      Reporte!$H:$H &amp; """" = AG474 &amp; """"
    )
  ), 
  0
)"),8)</f>
        <v>8</v>
      </c>
      <c r="V474" s="18">
        <f ca="1">IFERROR(__xludf.DUMMYFUNCTION("IFERROR(
  SUM(
    FILTER(
      Efectivo!$C:$C, 
      Efectivo!$D:$D &amp; """" = AG474 &amp; """"
    )
  ), 
  0
)"),0)</f>
        <v>0</v>
      </c>
      <c r="W474" s="18" t="s">
        <v>35</v>
      </c>
      <c r="X474" s="18"/>
      <c r="Y474" s="18" t="s">
        <v>36</v>
      </c>
      <c r="Z474" s="18"/>
      <c r="AA474" s="18"/>
      <c r="AB474" s="18" t="str">
        <f t="shared" si="1"/>
        <v/>
      </c>
      <c r="AC474" s="18" t="str">
        <f t="shared" si="9"/>
        <v/>
      </c>
      <c r="AD474" s="11">
        <f t="shared" si="3"/>
        <v>0</v>
      </c>
      <c r="AE474" s="11">
        <f t="shared" si="4"/>
        <v>8</v>
      </c>
      <c r="AF474" s="18" t="str">
        <f t="shared" si="5"/>
        <v>F1</v>
      </c>
      <c r="AG474" s="18" t="str">
        <f t="shared" si="6"/>
        <v>F1-2</v>
      </c>
      <c r="AH474" s="14"/>
      <c r="AI474" s="14"/>
    </row>
    <row r="475" spans="1:35" ht="15.75" hidden="1" customHeight="1">
      <c r="A475" s="8">
        <v>473</v>
      </c>
      <c r="B475" s="9" t="s">
        <v>577</v>
      </c>
      <c r="C475" s="9" t="s">
        <v>575</v>
      </c>
      <c r="D475" s="10">
        <v>4</v>
      </c>
      <c r="E475" s="11"/>
      <c r="F475" s="11"/>
      <c r="G475" s="11"/>
      <c r="H475" s="12">
        <v>1</v>
      </c>
      <c r="I475" s="10">
        <v>1281</v>
      </c>
      <c r="J475" s="10">
        <v>1307</v>
      </c>
      <c r="K475" s="10">
        <v>26</v>
      </c>
      <c r="L475" s="10">
        <v>26</v>
      </c>
      <c r="M475" s="10">
        <v>0</v>
      </c>
      <c r="N475" s="10">
        <v>0</v>
      </c>
      <c r="O475" s="10">
        <v>0</v>
      </c>
      <c r="P475" s="10">
        <v>3</v>
      </c>
      <c r="Q475" s="10">
        <v>0</v>
      </c>
      <c r="R475" s="12"/>
      <c r="S475" s="13"/>
      <c r="T475" s="13">
        <f t="shared" si="0"/>
        <v>29</v>
      </c>
      <c r="U475" s="11">
        <f ca="1">IFERROR(__xludf.DUMMYFUNCTION("IFERROR(
  SUM(
    FILTER(
      Reporte!$E:$E, 
      REGEXMATCH(Reporte!$A:$A, ""(?i)(TE PAGÓ|PAGASTE)""), 
      Reporte!$H:$H &amp; """" = AG475 &amp; """"
    )
  ), 
  0
)"),0)</f>
        <v>0</v>
      </c>
      <c r="V475" s="11">
        <f ca="1">IFERROR(__xludf.DUMMYFUNCTION("IFERROR(
  SUM(
    FILTER(
      Efectivo!$C:$C, 
      Efectivo!$D:$D &amp; """" = AG475 &amp; """"
    )
  ), 
  0
)"),0)</f>
        <v>0</v>
      </c>
      <c r="W475" s="11"/>
      <c r="X475" s="11"/>
      <c r="Y475" s="11"/>
      <c r="Z475" s="11"/>
      <c r="AA475" s="11"/>
      <c r="AB475" s="11" t="str">
        <f t="shared" si="1"/>
        <v/>
      </c>
      <c r="AC475" s="11" t="str">
        <f t="shared" si="9"/>
        <v/>
      </c>
      <c r="AD475" s="11">
        <f t="shared" si="3"/>
        <v>0</v>
      </c>
      <c r="AE475" s="11">
        <f t="shared" si="4"/>
        <v>0</v>
      </c>
      <c r="AF475" s="11" t="str">
        <f t="shared" si="5"/>
        <v>F1</v>
      </c>
      <c r="AG475" s="11" t="str">
        <f t="shared" si="6"/>
        <v>F1-4</v>
      </c>
      <c r="AH475" s="21"/>
      <c r="AI475" s="21"/>
    </row>
    <row r="476" spans="1:35" ht="15.75" hidden="1" customHeight="1">
      <c r="A476" s="15">
        <v>474</v>
      </c>
      <c r="B476" s="16" t="s">
        <v>578</v>
      </c>
      <c r="C476" s="16" t="s">
        <v>575</v>
      </c>
      <c r="D476" s="17">
        <v>6</v>
      </c>
      <c r="E476" s="18"/>
      <c r="F476" s="18"/>
      <c r="G476" s="18"/>
      <c r="H476" s="19">
        <v>1</v>
      </c>
      <c r="I476" s="17">
        <v>350</v>
      </c>
      <c r="J476" s="17">
        <v>361</v>
      </c>
      <c r="K476" s="17">
        <v>11</v>
      </c>
      <c r="L476" s="17">
        <v>11</v>
      </c>
      <c r="M476" s="17">
        <v>0</v>
      </c>
      <c r="N476" s="17">
        <v>0</v>
      </c>
      <c r="O476" s="17">
        <v>0</v>
      </c>
      <c r="P476" s="17">
        <v>3</v>
      </c>
      <c r="Q476" s="17">
        <v>0</v>
      </c>
      <c r="R476" s="19"/>
      <c r="S476" s="20"/>
      <c r="T476" s="13">
        <f t="shared" si="0"/>
        <v>14</v>
      </c>
      <c r="U476" s="18">
        <f ca="1">IFERROR(__xludf.DUMMYFUNCTION("IFERROR(
  SUM(
    FILTER(
      Reporte!$E:$E, 
      REGEXMATCH(Reporte!$A:$A, ""(?i)(TE PAGÓ|PAGASTE)""), 
      Reporte!$H:$H &amp; """" = AG476 &amp; """"
    )
  ), 
  0
)"),14)</f>
        <v>14</v>
      </c>
      <c r="V476" s="18">
        <f ca="1">IFERROR(__xludf.DUMMYFUNCTION("IFERROR(
  SUM(
    FILTER(
      Efectivo!$C:$C, 
      Efectivo!$D:$D &amp; """" = AG476 &amp; """"
    )
  ), 
  0
)"),0)</f>
        <v>0</v>
      </c>
      <c r="W476" s="18" t="s">
        <v>35</v>
      </c>
      <c r="X476" s="18"/>
      <c r="Y476" s="18" t="s">
        <v>36</v>
      </c>
      <c r="Z476" s="18"/>
      <c r="AA476" s="18"/>
      <c r="AB476" s="18" t="str">
        <f t="shared" si="1"/>
        <v/>
      </c>
      <c r="AC476" s="18" t="str">
        <f t="shared" si="9"/>
        <v/>
      </c>
      <c r="AD476" s="11">
        <f t="shared" si="3"/>
        <v>0</v>
      </c>
      <c r="AE476" s="11">
        <f t="shared" si="4"/>
        <v>14</v>
      </c>
      <c r="AF476" s="18" t="str">
        <f t="shared" si="5"/>
        <v>F1</v>
      </c>
      <c r="AG476" s="18" t="str">
        <f t="shared" si="6"/>
        <v>F1-6</v>
      </c>
      <c r="AH476" s="14"/>
      <c r="AI476" s="14"/>
    </row>
    <row r="477" spans="1:35" ht="15.75" hidden="1" customHeight="1">
      <c r="A477" s="8">
        <v>475</v>
      </c>
      <c r="B477" s="9" t="s">
        <v>579</v>
      </c>
      <c r="C477" s="9" t="s">
        <v>575</v>
      </c>
      <c r="D477" s="10">
        <v>7</v>
      </c>
      <c r="E477" s="11"/>
      <c r="F477" s="11"/>
      <c r="G477" s="11"/>
      <c r="H477" s="12">
        <v>1</v>
      </c>
      <c r="I477" s="10">
        <v>114</v>
      </c>
      <c r="J477" s="10">
        <v>122</v>
      </c>
      <c r="K477" s="10">
        <v>8</v>
      </c>
      <c r="L477" s="10">
        <v>8</v>
      </c>
      <c r="M477" s="10">
        <v>0</v>
      </c>
      <c r="N477" s="10">
        <v>0</v>
      </c>
      <c r="O477" s="10">
        <v>0</v>
      </c>
      <c r="P477" s="10">
        <v>3</v>
      </c>
      <c r="Q477" s="10">
        <v>0</v>
      </c>
      <c r="R477" s="12"/>
      <c r="S477" s="13"/>
      <c r="T477" s="13">
        <f t="shared" si="0"/>
        <v>11</v>
      </c>
      <c r="U477" s="11">
        <f ca="1">IFERROR(__xludf.DUMMYFUNCTION("IFERROR(
  SUM(
    FILTER(
      Reporte!$E:$E, 
      REGEXMATCH(Reporte!$A:$A, ""(?i)(TE PAGÓ|PAGASTE)""), 
      Reporte!$H:$H &amp; """" = AG477 &amp; """"
    )
  ), 
  0
)"),11)</f>
        <v>11</v>
      </c>
      <c r="V477" s="11">
        <f ca="1">IFERROR(__xludf.DUMMYFUNCTION("IFERROR(
  SUM(
    FILTER(
      Efectivo!$C:$C, 
      Efectivo!$D:$D &amp; """" = AG477 &amp; """"
    )
  ), 
  0
)"),0)</f>
        <v>0</v>
      </c>
      <c r="W477" s="11" t="s">
        <v>35</v>
      </c>
      <c r="X477" s="11"/>
      <c r="Y477" s="11" t="s">
        <v>36</v>
      </c>
      <c r="Z477" s="11"/>
      <c r="AA477" s="11"/>
      <c r="AB477" s="11" t="str">
        <f t="shared" si="1"/>
        <v/>
      </c>
      <c r="AC477" s="11" t="str">
        <f t="shared" si="9"/>
        <v/>
      </c>
      <c r="AD477" s="11">
        <f t="shared" si="3"/>
        <v>0</v>
      </c>
      <c r="AE477" s="11">
        <f t="shared" si="4"/>
        <v>11</v>
      </c>
      <c r="AF477" s="11" t="str">
        <f t="shared" si="5"/>
        <v>F1</v>
      </c>
      <c r="AG477" s="11" t="str">
        <f t="shared" si="6"/>
        <v>F1-7</v>
      </c>
      <c r="AH477" s="21"/>
      <c r="AI477" s="21"/>
    </row>
    <row r="478" spans="1:35" ht="15.75" hidden="1" customHeight="1">
      <c r="A478" s="15">
        <v>476</v>
      </c>
      <c r="B478" s="16" t="s">
        <v>580</v>
      </c>
      <c r="C478" s="16" t="s">
        <v>575</v>
      </c>
      <c r="D478" s="17">
        <v>8</v>
      </c>
      <c r="E478" s="18" t="s">
        <v>80</v>
      </c>
      <c r="F478" s="18"/>
      <c r="G478" s="18"/>
      <c r="H478" s="19">
        <v>1</v>
      </c>
      <c r="I478" s="17">
        <v>18</v>
      </c>
      <c r="J478" s="17">
        <v>32</v>
      </c>
      <c r="K478" s="17">
        <v>14</v>
      </c>
      <c r="L478" s="17">
        <v>14</v>
      </c>
      <c r="M478" s="17">
        <v>0</v>
      </c>
      <c r="N478" s="17">
        <v>0</v>
      </c>
      <c r="O478" s="17">
        <v>25</v>
      </c>
      <c r="P478" s="17">
        <v>3</v>
      </c>
      <c r="Q478" s="17">
        <v>0</v>
      </c>
      <c r="R478" s="19"/>
      <c r="S478" s="20"/>
      <c r="T478" s="13">
        <f t="shared" si="0"/>
        <v>42</v>
      </c>
      <c r="U478" s="18">
        <f ca="1">IFERROR(__xludf.DUMMYFUNCTION("IFERROR(
  SUM(
    FILTER(
      Reporte!$E:$E, 
      REGEXMATCH(Reporte!$A:$A, ""(?i)(TE PAGÓ|PAGASTE)""), 
      Reporte!$H:$H &amp; """" = AG478 &amp; """"
    )
  ), 
  0
)"),42)</f>
        <v>42</v>
      </c>
      <c r="V478" s="18">
        <f ca="1">IFERROR(__xludf.DUMMYFUNCTION("IFERROR(
  SUM(
    FILTER(
      Efectivo!$C:$C, 
      Efectivo!$D:$D &amp; """" = AG478 &amp; """"
    )
  ), 
  0
)"),0)</f>
        <v>0</v>
      </c>
      <c r="W478" s="18" t="s">
        <v>35</v>
      </c>
      <c r="X478" s="18"/>
      <c r="Y478" s="18" t="s">
        <v>36</v>
      </c>
      <c r="Z478" s="18"/>
      <c r="AA478" s="18"/>
      <c r="AB478" s="18" t="str">
        <f t="shared" si="1"/>
        <v/>
      </c>
      <c r="AC478" s="18" t="str">
        <f t="shared" si="9"/>
        <v/>
      </c>
      <c r="AD478" s="11">
        <f t="shared" si="3"/>
        <v>0</v>
      </c>
      <c r="AE478" s="11">
        <f t="shared" si="4"/>
        <v>42</v>
      </c>
      <c r="AF478" s="18" t="str">
        <f t="shared" si="5"/>
        <v>F1</v>
      </c>
      <c r="AG478" s="18" t="str">
        <f t="shared" si="6"/>
        <v>F1-8</v>
      </c>
      <c r="AH478" s="14"/>
      <c r="AI478" s="14"/>
    </row>
    <row r="479" spans="1:35" ht="15.75" hidden="1" customHeight="1">
      <c r="A479" s="8">
        <v>477</v>
      </c>
      <c r="B479" s="9" t="s">
        <v>581</v>
      </c>
      <c r="C479" s="9" t="s">
        <v>575</v>
      </c>
      <c r="D479" s="10">
        <v>9</v>
      </c>
      <c r="E479" s="11"/>
      <c r="F479" s="11"/>
      <c r="G479" s="11"/>
      <c r="H479" s="12">
        <v>1</v>
      </c>
      <c r="I479" s="10">
        <v>126</v>
      </c>
      <c r="J479" s="10">
        <v>131</v>
      </c>
      <c r="K479" s="10">
        <v>5</v>
      </c>
      <c r="L479" s="10">
        <v>5</v>
      </c>
      <c r="M479" s="10">
        <v>0</v>
      </c>
      <c r="N479" s="10">
        <v>0</v>
      </c>
      <c r="O479" s="10">
        <v>0</v>
      </c>
      <c r="P479" s="10">
        <v>3</v>
      </c>
      <c r="Q479" s="10">
        <v>0</v>
      </c>
      <c r="R479" s="12"/>
      <c r="S479" s="13"/>
      <c r="T479" s="13">
        <f t="shared" si="0"/>
        <v>8</v>
      </c>
      <c r="U479" s="11">
        <f ca="1">IFERROR(__xludf.DUMMYFUNCTION("IFERROR(
  SUM(
    FILTER(
      Reporte!$E:$E, 
      REGEXMATCH(Reporte!$A:$A, ""(?i)(TE PAGÓ|PAGASTE)""), 
      Reporte!$H:$H &amp; """" = AG479 &amp; """"
    )
  ), 
  0
)"),0)</f>
        <v>0</v>
      </c>
      <c r="V479" s="11">
        <f ca="1">IFERROR(__xludf.DUMMYFUNCTION("IFERROR(
  SUM(
    FILTER(
      Efectivo!$C:$C, 
      Efectivo!$D:$D &amp; """" = AG479 &amp; """"
    )
  ), 
  0
)"),8)</f>
        <v>8</v>
      </c>
      <c r="W479" s="11" t="s">
        <v>35</v>
      </c>
      <c r="X479" s="11"/>
      <c r="Y479" s="11"/>
      <c r="Z479" s="11"/>
      <c r="AA479" s="11"/>
      <c r="AB479" s="11" t="str">
        <f t="shared" si="1"/>
        <v/>
      </c>
      <c r="AC479" s="11" t="str">
        <f t="shared" si="9"/>
        <v/>
      </c>
      <c r="AD479" s="11">
        <f t="shared" si="3"/>
        <v>8</v>
      </c>
      <c r="AE479" s="11">
        <f t="shared" si="4"/>
        <v>0</v>
      </c>
      <c r="AF479" s="11" t="str">
        <f t="shared" si="5"/>
        <v>F1</v>
      </c>
      <c r="AG479" s="11" t="str">
        <f t="shared" si="6"/>
        <v>F1-9</v>
      </c>
      <c r="AH479" s="21"/>
      <c r="AI479" s="21"/>
    </row>
    <row r="480" spans="1:35" ht="15.75" hidden="1" customHeight="1">
      <c r="A480" s="15">
        <v>478</v>
      </c>
      <c r="B480" s="16" t="s">
        <v>582</v>
      </c>
      <c r="C480" s="16" t="s">
        <v>575</v>
      </c>
      <c r="D480" s="17">
        <v>10</v>
      </c>
      <c r="E480" s="18"/>
      <c r="F480" s="18"/>
      <c r="G480" s="18"/>
      <c r="H480" s="19">
        <v>1</v>
      </c>
      <c r="I480" s="17">
        <v>981</v>
      </c>
      <c r="J480" s="17">
        <v>990</v>
      </c>
      <c r="K480" s="17">
        <v>9</v>
      </c>
      <c r="L480" s="17">
        <v>9</v>
      </c>
      <c r="M480" s="17">
        <v>0</v>
      </c>
      <c r="N480" s="17">
        <v>0</v>
      </c>
      <c r="O480" s="17">
        <v>0</v>
      </c>
      <c r="P480" s="17">
        <v>3</v>
      </c>
      <c r="Q480" s="17">
        <v>0</v>
      </c>
      <c r="R480" s="19"/>
      <c r="S480" s="20"/>
      <c r="T480" s="13">
        <f t="shared" si="0"/>
        <v>12</v>
      </c>
      <c r="U480" s="18">
        <f ca="1">IFERROR(__xludf.DUMMYFUNCTION("IFERROR(
  SUM(
    FILTER(
      Reporte!$E:$E, 
      REGEXMATCH(Reporte!$A:$A, ""(?i)(TE PAGÓ|PAGASTE)""), 
      Reporte!$H:$H &amp; """" = AG480 &amp; """"
    )
  ), 
  0
)"),12)</f>
        <v>12</v>
      </c>
      <c r="V480" s="18">
        <f ca="1">IFERROR(__xludf.DUMMYFUNCTION("IFERROR(
  SUM(
    FILTER(
      Efectivo!$C:$C, 
      Efectivo!$D:$D &amp; """" = AG480 &amp; """"
    )
  ), 
  0
)"),0)</f>
        <v>0</v>
      </c>
      <c r="W480" s="18" t="s">
        <v>35</v>
      </c>
      <c r="X480" s="18"/>
      <c r="Y480" s="18" t="s">
        <v>36</v>
      </c>
      <c r="Z480" s="18"/>
      <c r="AA480" s="18"/>
      <c r="AB480" s="18" t="str">
        <f t="shared" si="1"/>
        <v/>
      </c>
      <c r="AC480" s="18" t="str">
        <f t="shared" si="9"/>
        <v/>
      </c>
      <c r="AD480" s="11">
        <f t="shared" si="3"/>
        <v>0</v>
      </c>
      <c r="AE480" s="11">
        <f t="shared" si="4"/>
        <v>12</v>
      </c>
      <c r="AF480" s="18" t="str">
        <f t="shared" si="5"/>
        <v>F1</v>
      </c>
      <c r="AG480" s="18" t="str">
        <f t="shared" si="6"/>
        <v>F1-10</v>
      </c>
      <c r="AH480" s="14"/>
      <c r="AI480" s="14"/>
    </row>
    <row r="481" spans="1:35" ht="15.75" hidden="1" customHeight="1">
      <c r="A481" s="8">
        <v>479</v>
      </c>
      <c r="B481" s="9" t="s">
        <v>583</v>
      </c>
      <c r="C481" s="9" t="s">
        <v>575</v>
      </c>
      <c r="D481" s="10">
        <v>11</v>
      </c>
      <c r="E481" s="11"/>
      <c r="F481" s="11"/>
      <c r="G481" s="11"/>
      <c r="H481" s="12">
        <v>1</v>
      </c>
      <c r="I481" s="10">
        <v>109</v>
      </c>
      <c r="J481" s="10">
        <v>114</v>
      </c>
      <c r="K481" s="10">
        <v>5</v>
      </c>
      <c r="L481" s="10">
        <v>5</v>
      </c>
      <c r="M481" s="10">
        <v>0</v>
      </c>
      <c r="N481" s="10">
        <v>0</v>
      </c>
      <c r="O481" s="10"/>
      <c r="P481" s="10">
        <v>3</v>
      </c>
      <c r="Q481" s="10">
        <v>0</v>
      </c>
      <c r="R481" s="12"/>
      <c r="S481" s="13"/>
      <c r="T481" s="13">
        <f t="shared" si="0"/>
        <v>8</v>
      </c>
      <c r="U481" s="11">
        <f ca="1">IFERROR(__xludf.DUMMYFUNCTION("IFERROR(
  SUM(
    FILTER(
      Reporte!$E:$E, 
      REGEXMATCH(Reporte!$A:$A, ""(?i)(TE PAGÓ|PAGASTE)""), 
      Reporte!$H:$H &amp; """" = AG481 &amp; """"
    )
  ), 
  0
)"),0)</f>
        <v>0</v>
      </c>
      <c r="V481" s="11">
        <f ca="1">IFERROR(__xludf.DUMMYFUNCTION("IFERROR(
  SUM(
    FILTER(
      Efectivo!$C:$C, 
      Efectivo!$D:$D &amp; """" = AG481 &amp; """"
    )
  ), 
  0
)"),8)</f>
        <v>8</v>
      </c>
      <c r="W481" s="11" t="s">
        <v>35</v>
      </c>
      <c r="X481" s="11"/>
      <c r="Y481" s="11"/>
      <c r="Z481" s="11"/>
      <c r="AA481" s="11"/>
      <c r="AB481" s="11" t="str">
        <f t="shared" si="1"/>
        <v/>
      </c>
      <c r="AC481" s="11" t="str">
        <f t="shared" si="9"/>
        <v/>
      </c>
      <c r="AD481" s="11">
        <f t="shared" si="3"/>
        <v>8</v>
      </c>
      <c r="AE481" s="11">
        <f t="shared" si="4"/>
        <v>0</v>
      </c>
      <c r="AF481" s="11" t="str">
        <f t="shared" si="5"/>
        <v>F1</v>
      </c>
      <c r="AG481" s="11" t="str">
        <f t="shared" si="6"/>
        <v>F1-11</v>
      </c>
      <c r="AH481" s="21"/>
      <c r="AI481" s="21"/>
    </row>
    <row r="482" spans="1:35" ht="15.75" hidden="1" customHeight="1">
      <c r="A482" s="15">
        <v>480</v>
      </c>
      <c r="B482" s="16" t="s">
        <v>584</v>
      </c>
      <c r="C482" s="16" t="s">
        <v>575</v>
      </c>
      <c r="D482" s="17">
        <v>13</v>
      </c>
      <c r="E482" s="18"/>
      <c r="F482" s="18"/>
      <c r="G482" s="18"/>
      <c r="H482" s="19">
        <v>1</v>
      </c>
      <c r="I482" s="17">
        <v>256</v>
      </c>
      <c r="J482" s="17">
        <v>259</v>
      </c>
      <c r="K482" s="17">
        <v>5</v>
      </c>
      <c r="L482" s="17">
        <v>5</v>
      </c>
      <c r="M482" s="17">
        <v>0</v>
      </c>
      <c r="N482" s="17">
        <v>0</v>
      </c>
      <c r="O482" s="17">
        <v>0</v>
      </c>
      <c r="P482" s="17">
        <v>3</v>
      </c>
      <c r="Q482" s="17">
        <v>0</v>
      </c>
      <c r="R482" s="19"/>
      <c r="S482" s="20"/>
      <c r="T482" s="13">
        <f t="shared" si="0"/>
        <v>8</v>
      </c>
      <c r="U482" s="18">
        <f ca="1">IFERROR(__xludf.DUMMYFUNCTION("IFERROR(
  SUM(
    FILTER(
      Reporte!$E:$E, 
      REGEXMATCH(Reporte!$A:$A, ""(?i)(TE PAGÓ|PAGASTE)""), 
      Reporte!$H:$H &amp; """" = AG482 &amp; """"
    )
  ), 
  0
)"),8)</f>
        <v>8</v>
      </c>
      <c r="V482" s="18">
        <f ca="1">IFERROR(__xludf.DUMMYFUNCTION("IFERROR(
  SUM(
    FILTER(
      Efectivo!$C:$C, 
      Efectivo!$D:$D &amp; """" = AG482 &amp; """"
    )
  ), 
  0
)"),0)</f>
        <v>0</v>
      </c>
      <c r="W482" s="29" t="s">
        <v>35</v>
      </c>
      <c r="X482" s="18"/>
      <c r="Y482" s="29" t="s">
        <v>36</v>
      </c>
      <c r="Z482" s="18"/>
      <c r="AA482" s="18"/>
      <c r="AB482" s="18" t="str">
        <f t="shared" si="1"/>
        <v/>
      </c>
      <c r="AC482" s="18" t="str">
        <f t="shared" si="9"/>
        <v/>
      </c>
      <c r="AD482" s="11">
        <f t="shared" si="3"/>
        <v>0</v>
      </c>
      <c r="AE482" s="11">
        <f t="shared" si="4"/>
        <v>8</v>
      </c>
      <c r="AF482" s="18" t="str">
        <f t="shared" si="5"/>
        <v>F1</v>
      </c>
      <c r="AG482" s="18" t="str">
        <f t="shared" si="6"/>
        <v>F1-13</v>
      </c>
      <c r="AH482" s="14"/>
      <c r="AI482" s="14"/>
    </row>
    <row r="483" spans="1:35" ht="15.75" hidden="1" customHeight="1">
      <c r="A483" s="8">
        <v>481</v>
      </c>
      <c r="B483" s="9" t="s">
        <v>585</v>
      </c>
      <c r="C483" s="9" t="s">
        <v>586</v>
      </c>
      <c r="D483" s="10">
        <v>1</v>
      </c>
      <c r="E483" s="11"/>
      <c r="F483" s="11"/>
      <c r="G483" s="11"/>
      <c r="H483" s="12">
        <v>1</v>
      </c>
      <c r="I483" s="10">
        <v>109</v>
      </c>
      <c r="J483" s="10">
        <v>113</v>
      </c>
      <c r="K483" s="10">
        <v>5</v>
      </c>
      <c r="L483" s="10">
        <v>5</v>
      </c>
      <c r="M483" s="10">
        <v>8</v>
      </c>
      <c r="N483" s="10">
        <v>0</v>
      </c>
      <c r="O483" s="10">
        <v>0</v>
      </c>
      <c r="P483" s="10">
        <v>3</v>
      </c>
      <c r="Q483" s="10">
        <v>0</v>
      </c>
      <c r="R483" s="12"/>
      <c r="S483" s="13"/>
      <c r="T483" s="13">
        <f t="shared" si="0"/>
        <v>16</v>
      </c>
      <c r="U483" s="11">
        <f ca="1">IFERROR(__xludf.DUMMYFUNCTION("IFERROR(
  SUM(
    FILTER(
      Reporte!$E:$E, 
      REGEXMATCH(Reporte!$A:$A, ""(?i)(TE PAGÓ|PAGASTE)""), 
      Reporte!$H:$H &amp; """" = AG483 &amp; """"
    )
  ), 
  0
)"),16)</f>
        <v>16</v>
      </c>
      <c r="V483" s="11">
        <f ca="1">IFERROR(__xludf.DUMMYFUNCTION("IFERROR(
  SUM(
    FILTER(
      Efectivo!$C:$C, 
      Efectivo!$D:$D &amp; """" = AG483 &amp; """"
    )
  ), 
  0
)"),0)</f>
        <v>0</v>
      </c>
      <c r="W483" s="11" t="s">
        <v>35</v>
      </c>
      <c r="X483" s="11"/>
      <c r="Y483" s="11" t="s">
        <v>36</v>
      </c>
      <c r="Z483" s="11"/>
      <c r="AA483" s="11"/>
      <c r="AB483" s="11" t="str">
        <f t="shared" si="1"/>
        <v/>
      </c>
      <c r="AC483" s="11" t="str">
        <f t="shared" si="9"/>
        <v/>
      </c>
      <c r="AD483" s="11">
        <f t="shared" si="3"/>
        <v>0</v>
      </c>
      <c r="AE483" s="11">
        <f t="shared" si="4"/>
        <v>16</v>
      </c>
      <c r="AF483" s="11" t="str">
        <f t="shared" si="5"/>
        <v>G1</v>
      </c>
      <c r="AG483" s="11" t="str">
        <f t="shared" si="6"/>
        <v>G1-1</v>
      </c>
      <c r="AH483" s="21"/>
      <c r="AI483" s="21"/>
    </row>
    <row r="484" spans="1:35" ht="15.75" hidden="1" customHeight="1">
      <c r="A484" s="15">
        <v>482</v>
      </c>
      <c r="B484" s="16" t="s">
        <v>587</v>
      </c>
      <c r="C484" s="16" t="s">
        <v>586</v>
      </c>
      <c r="D484" s="17">
        <v>2</v>
      </c>
      <c r="E484" s="18"/>
      <c r="F484" s="18"/>
      <c r="G484" s="18"/>
      <c r="H484" s="19">
        <v>1</v>
      </c>
      <c r="I484" s="17">
        <v>614</v>
      </c>
      <c r="J484" s="17">
        <v>621</v>
      </c>
      <c r="K484" s="17">
        <v>7</v>
      </c>
      <c r="L484" s="17">
        <v>7</v>
      </c>
      <c r="M484" s="17">
        <v>0</v>
      </c>
      <c r="N484" s="17">
        <v>0</v>
      </c>
      <c r="O484" s="17">
        <v>0</v>
      </c>
      <c r="P484" s="17">
        <v>3</v>
      </c>
      <c r="Q484" s="17">
        <v>0</v>
      </c>
      <c r="R484" s="19"/>
      <c r="S484" s="20"/>
      <c r="T484" s="13">
        <f t="shared" si="0"/>
        <v>10</v>
      </c>
      <c r="U484" s="18">
        <f ca="1">IFERROR(__xludf.DUMMYFUNCTION("IFERROR(
  SUM(
    FILTER(
      Reporte!$E:$E, 
      REGEXMATCH(Reporte!$A:$A, ""(?i)(TE PAGÓ|PAGASTE)""), 
      Reporte!$H:$H &amp; """" = AG484 &amp; """"
    )
  ), 
  0
)"),10)</f>
        <v>10</v>
      </c>
      <c r="V484" s="18">
        <f ca="1">IFERROR(__xludf.DUMMYFUNCTION("IFERROR(
  SUM(
    FILTER(
      Efectivo!$C:$C, 
      Efectivo!$D:$D &amp; """" = AG484 &amp; """"
    )
  ), 
  0
)"),0)</f>
        <v>0</v>
      </c>
      <c r="W484" s="18" t="s">
        <v>35</v>
      </c>
      <c r="X484" s="18"/>
      <c r="Y484" s="18" t="s">
        <v>36</v>
      </c>
      <c r="Z484" s="18"/>
      <c r="AA484" s="18"/>
      <c r="AB484" s="18" t="str">
        <f t="shared" si="1"/>
        <v/>
      </c>
      <c r="AC484" s="18" t="str">
        <f t="shared" si="9"/>
        <v/>
      </c>
      <c r="AD484" s="11">
        <f t="shared" si="3"/>
        <v>0</v>
      </c>
      <c r="AE484" s="11">
        <f t="shared" si="4"/>
        <v>10</v>
      </c>
      <c r="AF484" s="18" t="str">
        <f t="shared" si="5"/>
        <v>G1</v>
      </c>
      <c r="AG484" s="18" t="str">
        <f t="shared" si="6"/>
        <v>G1-2</v>
      </c>
      <c r="AH484" s="14"/>
      <c r="AI484" s="14"/>
    </row>
    <row r="485" spans="1:35" ht="15.75" hidden="1" customHeight="1">
      <c r="A485" s="8">
        <v>483</v>
      </c>
      <c r="B485" s="9" t="s">
        <v>588</v>
      </c>
      <c r="C485" s="9" t="s">
        <v>586</v>
      </c>
      <c r="D485" s="10">
        <v>3</v>
      </c>
      <c r="E485" s="11"/>
      <c r="F485" s="11"/>
      <c r="G485" s="11"/>
      <c r="H485" s="12">
        <v>1</v>
      </c>
      <c r="I485" s="10">
        <v>904</v>
      </c>
      <c r="J485" s="10">
        <v>910</v>
      </c>
      <c r="K485" s="10">
        <v>6</v>
      </c>
      <c r="L485" s="10">
        <v>6</v>
      </c>
      <c r="M485" s="10">
        <v>0</v>
      </c>
      <c r="N485" s="10">
        <v>0</v>
      </c>
      <c r="O485" s="10">
        <v>0</v>
      </c>
      <c r="P485" s="10">
        <v>3</v>
      </c>
      <c r="Q485" s="10">
        <v>0</v>
      </c>
      <c r="R485" s="12"/>
      <c r="S485" s="13"/>
      <c r="T485" s="13">
        <f t="shared" si="0"/>
        <v>9</v>
      </c>
      <c r="U485" s="11">
        <f ca="1">IFERROR(__xludf.DUMMYFUNCTION("IFERROR(
  SUM(
    FILTER(
      Reporte!$E:$E, 
      REGEXMATCH(Reporte!$A:$A, ""(?i)(TE PAGÓ|PAGASTE)""), 
      Reporte!$H:$H &amp; """" = AG485 &amp; """"
    )
  ), 
  0
)"),0)</f>
        <v>0</v>
      </c>
      <c r="V485" s="11">
        <f ca="1">IFERROR(__xludf.DUMMYFUNCTION("IFERROR(
  SUM(
    FILTER(
      Efectivo!$C:$C, 
      Efectivo!$D:$D &amp; """" = AG485 &amp; """"
    )
  ), 
  0
)"),0)</f>
        <v>0</v>
      </c>
      <c r="W485" s="11"/>
      <c r="X485" s="11"/>
      <c r="Y485" s="11"/>
      <c r="Z485" s="11"/>
      <c r="AA485" s="11"/>
      <c r="AB485" s="11" t="str">
        <f t="shared" si="1"/>
        <v/>
      </c>
      <c r="AC485" s="11" t="str">
        <f t="shared" si="9"/>
        <v/>
      </c>
      <c r="AD485" s="11">
        <f t="shared" si="3"/>
        <v>0</v>
      </c>
      <c r="AE485" s="11">
        <f t="shared" si="4"/>
        <v>0</v>
      </c>
      <c r="AF485" s="11" t="str">
        <f t="shared" si="5"/>
        <v>G1</v>
      </c>
      <c r="AG485" s="11" t="str">
        <f t="shared" si="6"/>
        <v>G1-3</v>
      </c>
      <c r="AH485" s="21"/>
      <c r="AI485" s="21"/>
    </row>
    <row r="486" spans="1:35" ht="15.75" hidden="1" customHeight="1">
      <c r="A486" s="15">
        <v>484</v>
      </c>
      <c r="B486" s="16" t="s">
        <v>589</v>
      </c>
      <c r="C486" s="16" t="s">
        <v>586</v>
      </c>
      <c r="D486" s="17">
        <v>4</v>
      </c>
      <c r="E486" s="18"/>
      <c r="F486" s="18"/>
      <c r="G486" s="18"/>
      <c r="H486" s="19">
        <v>1</v>
      </c>
      <c r="I486" s="17">
        <v>1045</v>
      </c>
      <c r="J486" s="17">
        <v>1050</v>
      </c>
      <c r="K486" s="17">
        <v>5</v>
      </c>
      <c r="L486" s="17">
        <v>5</v>
      </c>
      <c r="M486" s="17">
        <v>0</v>
      </c>
      <c r="N486" s="17">
        <v>0</v>
      </c>
      <c r="O486" s="17">
        <v>0</v>
      </c>
      <c r="P486" s="17">
        <v>3</v>
      </c>
      <c r="Q486" s="17">
        <v>0</v>
      </c>
      <c r="R486" s="19"/>
      <c r="S486" s="20"/>
      <c r="T486" s="13">
        <f t="shared" si="0"/>
        <v>8</v>
      </c>
      <c r="U486" s="18">
        <f ca="1">IFERROR(__xludf.DUMMYFUNCTION("IFERROR(
  SUM(
    FILTER(
      Reporte!$E:$E, 
      REGEXMATCH(Reporte!$A:$A, ""(?i)(TE PAGÓ|PAGASTE)""), 
      Reporte!$H:$H &amp; """" = AG486 &amp; """"
    )
  ), 
  0
)"),8)</f>
        <v>8</v>
      </c>
      <c r="V486" s="18">
        <f ca="1">IFERROR(__xludf.DUMMYFUNCTION("IFERROR(
  SUM(
    FILTER(
      Efectivo!$C:$C, 
      Efectivo!$D:$D &amp; """" = AG486 &amp; """"
    )
  ), 
  0
)"),0)</f>
        <v>0</v>
      </c>
      <c r="W486" s="18" t="s">
        <v>35</v>
      </c>
      <c r="X486" s="18"/>
      <c r="Y486" s="18" t="s">
        <v>36</v>
      </c>
      <c r="Z486" s="18"/>
      <c r="AA486" s="18" t="s">
        <v>224</v>
      </c>
      <c r="AB486" s="18" t="str">
        <f t="shared" si="1"/>
        <v/>
      </c>
      <c r="AC486" s="18" t="str">
        <f t="shared" si="9"/>
        <v/>
      </c>
      <c r="AD486" s="11">
        <f t="shared" si="3"/>
        <v>0</v>
      </c>
      <c r="AE486" s="11">
        <f t="shared" si="4"/>
        <v>8</v>
      </c>
      <c r="AF486" s="18" t="str">
        <f t="shared" si="5"/>
        <v>G1</v>
      </c>
      <c r="AG486" s="18" t="str">
        <f t="shared" si="6"/>
        <v>G1-4</v>
      </c>
      <c r="AH486" s="14"/>
      <c r="AI486" s="14"/>
    </row>
    <row r="487" spans="1:35" ht="15.75" hidden="1" customHeight="1">
      <c r="A487" s="8">
        <v>485</v>
      </c>
      <c r="B487" s="9" t="s">
        <v>590</v>
      </c>
      <c r="C487" s="9" t="s">
        <v>586</v>
      </c>
      <c r="D487" s="10">
        <v>5</v>
      </c>
      <c r="E487" s="11"/>
      <c r="F487" s="11"/>
      <c r="G487" s="11"/>
      <c r="H487" s="12">
        <v>1</v>
      </c>
      <c r="I487" s="10">
        <v>14</v>
      </c>
      <c r="J487" s="10">
        <v>20</v>
      </c>
      <c r="K487" s="10">
        <v>6</v>
      </c>
      <c r="L487" s="10">
        <v>6</v>
      </c>
      <c r="M487" s="10">
        <v>0</v>
      </c>
      <c r="N487" s="10">
        <v>0</v>
      </c>
      <c r="O487" s="10">
        <v>25</v>
      </c>
      <c r="P487" s="10">
        <v>3</v>
      </c>
      <c r="Q487" s="10">
        <v>0</v>
      </c>
      <c r="R487" s="12"/>
      <c r="S487" s="13"/>
      <c r="T487" s="13">
        <f t="shared" si="0"/>
        <v>34</v>
      </c>
      <c r="U487" s="11">
        <f ca="1">IFERROR(__xludf.DUMMYFUNCTION("IFERROR(
  SUM(
    FILTER(
      Reporte!$E:$E, 
      REGEXMATCH(Reporte!$A:$A, ""(?i)(TE PAGÓ|PAGASTE)""), 
      Reporte!$H:$H &amp; """" = AG487 &amp; """"
    )
  ), 
  0
)"),34)</f>
        <v>34</v>
      </c>
      <c r="V487" s="11">
        <f ca="1">IFERROR(__xludf.DUMMYFUNCTION("IFERROR(
  SUM(
    FILTER(
      Efectivo!$C:$C, 
      Efectivo!$D:$D &amp; """" = AG487 &amp; """"
    )
  ), 
  0
)"),0)</f>
        <v>0</v>
      </c>
      <c r="W487" s="11" t="s">
        <v>35</v>
      </c>
      <c r="X487" s="11"/>
      <c r="Y487" s="11" t="s">
        <v>36</v>
      </c>
      <c r="Z487" s="11"/>
      <c r="AA487" s="11"/>
      <c r="AB487" s="11" t="str">
        <f t="shared" si="1"/>
        <v/>
      </c>
      <c r="AC487" s="11" t="str">
        <f t="shared" si="9"/>
        <v/>
      </c>
      <c r="AD487" s="11">
        <f t="shared" si="3"/>
        <v>0</v>
      </c>
      <c r="AE487" s="11">
        <f t="shared" si="4"/>
        <v>34</v>
      </c>
      <c r="AF487" s="11" t="str">
        <f t="shared" si="5"/>
        <v>G1</v>
      </c>
      <c r="AG487" s="11" t="str">
        <f t="shared" si="6"/>
        <v>G1-5</v>
      </c>
      <c r="AH487" s="21"/>
      <c r="AI487" s="21"/>
    </row>
    <row r="488" spans="1:35" ht="15.75" hidden="1" customHeight="1">
      <c r="A488" s="15">
        <v>486</v>
      </c>
      <c r="B488" s="16" t="s">
        <v>591</v>
      </c>
      <c r="C488" s="16" t="s">
        <v>592</v>
      </c>
      <c r="D488" s="17">
        <v>1</v>
      </c>
      <c r="E488" s="18"/>
      <c r="F488" s="18"/>
      <c r="G488" s="18"/>
      <c r="H488" s="19">
        <v>1</v>
      </c>
      <c r="I488" s="17">
        <v>65</v>
      </c>
      <c r="J488" s="17">
        <v>72</v>
      </c>
      <c r="K488" s="17">
        <v>7</v>
      </c>
      <c r="L488" s="17">
        <v>7</v>
      </c>
      <c r="M488" s="17">
        <v>0</v>
      </c>
      <c r="N488" s="17">
        <v>0</v>
      </c>
      <c r="O488" s="17">
        <v>0</v>
      </c>
      <c r="P488" s="17">
        <v>3</v>
      </c>
      <c r="Q488" s="17">
        <v>0</v>
      </c>
      <c r="R488" s="19"/>
      <c r="S488" s="20"/>
      <c r="T488" s="13">
        <f t="shared" si="0"/>
        <v>10</v>
      </c>
      <c r="U488" s="18">
        <f ca="1">IFERROR(__xludf.DUMMYFUNCTION("IFERROR(
  SUM(
    FILTER(
      Reporte!$E:$E, 
      REGEXMATCH(Reporte!$A:$A, ""(?i)(TE PAGÓ|PAGASTE)""), 
      Reporte!$H:$H &amp; """" = AG488 &amp; """"
    )
  ), 
  0
)"),10)</f>
        <v>10</v>
      </c>
      <c r="V488" s="18">
        <f ca="1">IFERROR(__xludf.DUMMYFUNCTION("IFERROR(
  SUM(
    FILTER(
      Efectivo!$C:$C, 
      Efectivo!$D:$D &amp; """" = AG488 &amp; """"
    )
  ), 
  0
)"),0)</f>
        <v>0</v>
      </c>
      <c r="W488" s="18" t="s">
        <v>35</v>
      </c>
      <c r="X488" s="18"/>
      <c r="Y488" s="18" t="s">
        <v>36</v>
      </c>
      <c r="Z488" s="18"/>
      <c r="AA488" s="18"/>
      <c r="AB488" s="18" t="str">
        <f t="shared" si="1"/>
        <v/>
      </c>
      <c r="AC488" s="18" t="str">
        <f t="shared" si="9"/>
        <v/>
      </c>
      <c r="AD488" s="11">
        <f t="shared" si="3"/>
        <v>0</v>
      </c>
      <c r="AE488" s="11">
        <f t="shared" si="4"/>
        <v>10</v>
      </c>
      <c r="AF488" s="18" t="str">
        <f t="shared" si="5"/>
        <v>H1</v>
      </c>
      <c r="AG488" s="18" t="str">
        <f t="shared" si="6"/>
        <v>H1-1</v>
      </c>
      <c r="AH488" s="14"/>
      <c r="AI488" s="14"/>
    </row>
    <row r="489" spans="1:35" ht="15.75" hidden="1" customHeight="1">
      <c r="A489" s="8">
        <v>487</v>
      </c>
      <c r="B489" s="9" t="s">
        <v>593</v>
      </c>
      <c r="C489" s="9" t="s">
        <v>592</v>
      </c>
      <c r="D489" s="10">
        <v>3</v>
      </c>
      <c r="E489" s="11"/>
      <c r="F489" s="11"/>
      <c r="G489" s="11"/>
      <c r="H489" s="12">
        <v>1</v>
      </c>
      <c r="I489" s="10">
        <v>351</v>
      </c>
      <c r="J489" s="10">
        <v>360</v>
      </c>
      <c r="K489" s="10">
        <v>9</v>
      </c>
      <c r="L489" s="10">
        <v>9</v>
      </c>
      <c r="M489" s="10">
        <v>0</v>
      </c>
      <c r="N489" s="10">
        <v>0</v>
      </c>
      <c r="O489" s="10">
        <v>0</v>
      </c>
      <c r="P489" s="10">
        <v>3</v>
      </c>
      <c r="Q489" s="10">
        <v>0</v>
      </c>
      <c r="R489" s="12"/>
      <c r="S489" s="13"/>
      <c r="T489" s="13">
        <f t="shared" si="0"/>
        <v>12</v>
      </c>
      <c r="U489" s="18">
        <f ca="1">IFERROR(__xludf.DUMMYFUNCTION("IFERROR(
  SUM(
    FILTER(
      Reporte!$E:$E, 
      REGEXMATCH(Reporte!$A:$A, ""(?i)(TE PAGÓ|PAGASTE)""), 
      Reporte!$H:$H &amp; """" = AG489 &amp; """"
    )
  ), 
  0
)"),12)</f>
        <v>12</v>
      </c>
      <c r="V489" s="11">
        <f ca="1">IFERROR(__xludf.DUMMYFUNCTION("IFERROR(
  SUM(
    FILTER(
      Efectivo!$C:$C, 
      Efectivo!$D:$D &amp; """" = AG489 &amp; """"
    )
  ), 
  0
)"),0)</f>
        <v>0</v>
      </c>
      <c r="W489" s="11" t="s">
        <v>35</v>
      </c>
      <c r="X489" s="11"/>
      <c r="Y489" s="11" t="s">
        <v>36</v>
      </c>
      <c r="Z489" s="11"/>
      <c r="AA489" s="11"/>
      <c r="AB489" s="11" t="str">
        <f t="shared" si="1"/>
        <v/>
      </c>
      <c r="AC489" s="11" t="str">
        <f t="shared" si="9"/>
        <v/>
      </c>
      <c r="AD489" s="11">
        <f t="shared" si="3"/>
        <v>0</v>
      </c>
      <c r="AE489" s="11">
        <f t="shared" si="4"/>
        <v>12</v>
      </c>
      <c r="AF489" s="11" t="str">
        <f t="shared" si="5"/>
        <v>H1</v>
      </c>
      <c r="AG489" s="11" t="str">
        <f t="shared" si="6"/>
        <v>H1-3</v>
      </c>
      <c r="AH489" s="21"/>
      <c r="AI489" s="21"/>
    </row>
    <row r="490" spans="1:35" ht="15.75" hidden="1" customHeight="1">
      <c r="A490" s="15">
        <v>488</v>
      </c>
      <c r="B490" s="16" t="s">
        <v>594</v>
      </c>
      <c r="C490" s="16" t="s">
        <v>592</v>
      </c>
      <c r="D490" s="17">
        <v>5</v>
      </c>
      <c r="E490" s="18"/>
      <c r="F490" s="18"/>
      <c r="G490" s="18"/>
      <c r="H490" s="19">
        <v>1</v>
      </c>
      <c r="I490" s="17">
        <v>0</v>
      </c>
      <c r="J490" s="17">
        <v>0</v>
      </c>
      <c r="K490" s="17">
        <v>5</v>
      </c>
      <c r="L490" s="17">
        <v>5</v>
      </c>
      <c r="M490" s="17">
        <v>0</v>
      </c>
      <c r="N490" s="17">
        <v>0</v>
      </c>
      <c r="O490" s="17">
        <v>0</v>
      </c>
      <c r="P490" s="17">
        <v>3</v>
      </c>
      <c r="Q490" s="17">
        <v>0</v>
      </c>
      <c r="R490" s="19"/>
      <c r="S490" s="20"/>
      <c r="T490" s="13">
        <f t="shared" si="0"/>
        <v>8</v>
      </c>
      <c r="U490" s="18">
        <f ca="1">IFERROR(__xludf.DUMMYFUNCTION("IFERROR(
  SUM(
    FILTER(
      Reporte!$E:$E, 
      REGEXMATCH(Reporte!$A:$A, ""(?i)(TE PAGÓ|PAGASTE)""), 
      Reporte!$H:$H &amp; """" = AG490 &amp; """"
    )
  ), 
  0
)"),8)</f>
        <v>8</v>
      </c>
      <c r="V490" s="18">
        <f ca="1">IFERROR(__xludf.DUMMYFUNCTION("IFERROR(
  SUM(
    FILTER(
      Efectivo!$C:$C, 
      Efectivo!$D:$D &amp; """" = AG490 &amp; """"
    )
  ), 
  0
)"),0)</f>
        <v>0</v>
      </c>
      <c r="W490" s="18" t="s">
        <v>35</v>
      </c>
      <c r="X490" s="18"/>
      <c r="Y490" s="18" t="s">
        <v>36</v>
      </c>
      <c r="Z490" s="18"/>
      <c r="AA490" s="18"/>
      <c r="AB490" s="18" t="str">
        <f t="shared" si="1"/>
        <v/>
      </c>
      <c r="AC490" s="18" t="str">
        <f t="shared" si="9"/>
        <v/>
      </c>
      <c r="AD490" s="11">
        <f t="shared" si="3"/>
        <v>0</v>
      </c>
      <c r="AE490" s="11">
        <f t="shared" si="4"/>
        <v>8</v>
      </c>
      <c r="AF490" s="18" t="str">
        <f t="shared" si="5"/>
        <v>H1</v>
      </c>
      <c r="AG490" s="18" t="str">
        <f t="shared" si="6"/>
        <v>H1-5</v>
      </c>
      <c r="AH490" s="14"/>
      <c r="AI490" s="14"/>
    </row>
    <row r="491" spans="1:35" ht="15.75" hidden="1" customHeight="1">
      <c r="A491" s="8">
        <v>489</v>
      </c>
      <c r="B491" s="9" t="s">
        <v>595</v>
      </c>
      <c r="C491" s="9" t="s">
        <v>592</v>
      </c>
      <c r="D491" s="10">
        <v>6</v>
      </c>
      <c r="E491" s="11"/>
      <c r="F491" s="11"/>
      <c r="G491" s="11"/>
      <c r="H491" s="12">
        <v>1</v>
      </c>
      <c r="I491" s="10">
        <v>288</v>
      </c>
      <c r="J491" s="10">
        <v>298</v>
      </c>
      <c r="K491" s="10">
        <v>10</v>
      </c>
      <c r="L491" s="10">
        <v>10</v>
      </c>
      <c r="M491" s="10">
        <v>0</v>
      </c>
      <c r="N491" s="10">
        <v>0</v>
      </c>
      <c r="O491" s="10">
        <v>0</v>
      </c>
      <c r="P491" s="10">
        <v>3</v>
      </c>
      <c r="Q491" s="10">
        <v>0</v>
      </c>
      <c r="R491" s="12"/>
      <c r="S491" s="13"/>
      <c r="T491" s="13">
        <f t="shared" si="0"/>
        <v>13</v>
      </c>
      <c r="U491" s="18">
        <f ca="1">IFERROR(__xludf.DUMMYFUNCTION("IFERROR(
  SUM(
    FILTER(
      Reporte!$E:$E, 
      REGEXMATCH(Reporte!$A:$A, ""(?i)(TE PAGÓ|PAGASTE)""), 
      Reporte!$H:$H &amp; """" = AG491 &amp; """"
    )
  ), 
  0
)"),13)</f>
        <v>13</v>
      </c>
      <c r="V491" s="11">
        <f ca="1">IFERROR(__xludf.DUMMYFUNCTION("IFERROR(
  SUM(
    FILTER(
      Efectivo!$C:$C, 
      Efectivo!$D:$D &amp; """" = AG491 &amp; """"
    )
  ), 
  0
)"),0)</f>
        <v>0</v>
      </c>
      <c r="W491" s="11" t="s">
        <v>35</v>
      </c>
      <c r="X491" s="11"/>
      <c r="Y491" s="11" t="s">
        <v>36</v>
      </c>
      <c r="Z491" s="11"/>
      <c r="AA491" s="11"/>
      <c r="AB491" s="11" t="str">
        <f t="shared" si="1"/>
        <v/>
      </c>
      <c r="AC491" s="11" t="str">
        <f t="shared" si="9"/>
        <v/>
      </c>
      <c r="AD491" s="11">
        <f t="shared" si="3"/>
        <v>0</v>
      </c>
      <c r="AE491" s="11">
        <f t="shared" si="4"/>
        <v>13</v>
      </c>
      <c r="AF491" s="11" t="str">
        <f t="shared" si="5"/>
        <v>H1</v>
      </c>
      <c r="AG491" s="11" t="str">
        <f t="shared" si="6"/>
        <v>H1-6</v>
      </c>
      <c r="AH491" s="21"/>
      <c r="AI491" s="21"/>
    </row>
    <row r="492" spans="1:35" ht="15.75" hidden="1" customHeight="1">
      <c r="A492" s="15">
        <v>490</v>
      </c>
      <c r="B492" s="16" t="s">
        <v>596</v>
      </c>
      <c r="C492" s="16" t="s">
        <v>592</v>
      </c>
      <c r="D492" s="17">
        <v>7</v>
      </c>
      <c r="E492" s="18"/>
      <c r="F492" s="18"/>
      <c r="G492" s="18"/>
      <c r="H492" s="19">
        <v>1</v>
      </c>
      <c r="I492" s="17">
        <v>468</v>
      </c>
      <c r="J492" s="17">
        <v>477</v>
      </c>
      <c r="K492" s="17">
        <v>9</v>
      </c>
      <c r="L492" s="17">
        <v>9</v>
      </c>
      <c r="M492" s="17">
        <v>12</v>
      </c>
      <c r="N492" s="17">
        <v>0</v>
      </c>
      <c r="O492" s="17">
        <v>0</v>
      </c>
      <c r="P492" s="17">
        <v>3</v>
      </c>
      <c r="Q492" s="17">
        <v>0</v>
      </c>
      <c r="R492" s="19"/>
      <c r="S492" s="20"/>
      <c r="T492" s="13">
        <f t="shared" si="0"/>
        <v>24</v>
      </c>
      <c r="U492" s="18">
        <f ca="1">IFERROR(__xludf.DUMMYFUNCTION("IFERROR(
  SUM(
    FILTER(
      Reporte!$E:$E, 
      REGEXMATCH(Reporte!$A:$A, ""(?i)(TE PAGÓ|PAGASTE)""), 
      Reporte!$H:$H &amp; """" = AG492 &amp; """"
    )
  ), 
  0
)"),24)</f>
        <v>24</v>
      </c>
      <c r="V492" s="18">
        <f ca="1">IFERROR(__xludf.DUMMYFUNCTION("IFERROR(
  SUM(
    FILTER(
      Efectivo!$C:$C, 
      Efectivo!$D:$D &amp; """" = AG492 &amp; """"
    )
  ), 
  0
)"),0)</f>
        <v>0</v>
      </c>
      <c r="W492" s="18" t="s">
        <v>35</v>
      </c>
      <c r="X492" s="18"/>
      <c r="Y492" s="18" t="s">
        <v>36</v>
      </c>
      <c r="Z492" s="18"/>
      <c r="AA492" s="18"/>
      <c r="AB492" s="18" t="str">
        <f t="shared" si="1"/>
        <v/>
      </c>
      <c r="AC492" s="18" t="str">
        <f t="shared" si="9"/>
        <v/>
      </c>
      <c r="AD492" s="11">
        <f t="shared" si="3"/>
        <v>0</v>
      </c>
      <c r="AE492" s="11">
        <f t="shared" si="4"/>
        <v>24</v>
      </c>
      <c r="AF492" s="18" t="str">
        <f t="shared" si="5"/>
        <v>H1</v>
      </c>
      <c r="AG492" s="18" t="str">
        <f t="shared" si="6"/>
        <v>H1-7</v>
      </c>
      <c r="AH492" s="14"/>
      <c r="AI492" s="14"/>
    </row>
    <row r="493" spans="1:35" ht="15.75" hidden="1" customHeight="1">
      <c r="A493" s="8">
        <v>491</v>
      </c>
      <c r="B493" s="9" t="s">
        <v>597</v>
      </c>
      <c r="C493" s="9" t="s">
        <v>592</v>
      </c>
      <c r="D493" s="10">
        <v>8</v>
      </c>
      <c r="E493" s="11"/>
      <c r="F493" s="11"/>
      <c r="G493" s="11"/>
      <c r="H493" s="12">
        <v>1</v>
      </c>
      <c r="I493" s="10">
        <v>132</v>
      </c>
      <c r="J493" s="10">
        <v>132</v>
      </c>
      <c r="K493" s="10">
        <v>5</v>
      </c>
      <c r="L493" s="10">
        <v>5</v>
      </c>
      <c r="M493" s="10">
        <v>0</v>
      </c>
      <c r="N493" s="10">
        <v>0</v>
      </c>
      <c r="O493" s="10">
        <v>0</v>
      </c>
      <c r="P493" s="10">
        <v>3</v>
      </c>
      <c r="Q493" s="10">
        <v>0</v>
      </c>
      <c r="R493" s="12"/>
      <c r="S493" s="13"/>
      <c r="T493" s="13">
        <f t="shared" si="0"/>
        <v>8</v>
      </c>
      <c r="U493" s="18">
        <f ca="1">IFERROR(__xludf.DUMMYFUNCTION("IFERROR(
  SUM(
    FILTER(
      Reporte!$E:$E, 
      REGEXMATCH(Reporte!$A:$A, ""(?i)(TE PAGÓ|PAGASTE)""), 
      Reporte!$H:$H &amp; """" = AG493 &amp; """"
    )
  ), 
  0
)"),8)</f>
        <v>8</v>
      </c>
      <c r="V493" s="11">
        <f ca="1">IFERROR(__xludf.DUMMYFUNCTION("IFERROR(
  SUM(
    FILTER(
      Efectivo!$C:$C, 
      Efectivo!$D:$D &amp; """" = AG493 &amp; """"
    )
  ), 
  0
)"),0)</f>
        <v>0</v>
      </c>
      <c r="W493" s="11" t="s">
        <v>35</v>
      </c>
      <c r="X493" s="11"/>
      <c r="Y493" s="11" t="s">
        <v>36</v>
      </c>
      <c r="Z493" s="11"/>
      <c r="AA493" s="11"/>
      <c r="AB493" s="11" t="str">
        <f t="shared" si="1"/>
        <v/>
      </c>
      <c r="AC493" s="11" t="str">
        <f t="shared" si="9"/>
        <v/>
      </c>
      <c r="AD493" s="11">
        <f t="shared" si="3"/>
        <v>0</v>
      </c>
      <c r="AE493" s="11">
        <f t="shared" si="4"/>
        <v>8</v>
      </c>
      <c r="AF493" s="11" t="str">
        <f t="shared" si="5"/>
        <v>H1</v>
      </c>
      <c r="AG493" s="11" t="str">
        <f t="shared" si="6"/>
        <v>H1-8</v>
      </c>
      <c r="AH493" s="21"/>
      <c r="AI493" s="21"/>
    </row>
    <row r="494" spans="1:35" ht="15.75" hidden="1" customHeight="1">
      <c r="A494" s="15">
        <v>492</v>
      </c>
      <c r="B494" s="16" t="s">
        <v>598</v>
      </c>
      <c r="C494" s="16" t="s">
        <v>592</v>
      </c>
      <c r="D494" s="17">
        <v>10</v>
      </c>
      <c r="E494" s="18"/>
      <c r="F494" s="18"/>
      <c r="G494" s="18"/>
      <c r="H494" s="19">
        <v>1</v>
      </c>
      <c r="I494" s="17">
        <v>385</v>
      </c>
      <c r="J494" s="17">
        <v>390</v>
      </c>
      <c r="K494" s="17">
        <v>5</v>
      </c>
      <c r="L494" s="17">
        <v>5</v>
      </c>
      <c r="M494" s="17">
        <v>8</v>
      </c>
      <c r="N494" s="22">
        <v>20</v>
      </c>
      <c r="O494" s="17">
        <v>0</v>
      </c>
      <c r="P494" s="17">
        <v>3</v>
      </c>
      <c r="Q494" s="17">
        <v>0</v>
      </c>
      <c r="R494" s="19"/>
      <c r="S494" s="20"/>
      <c r="T494" s="13">
        <f t="shared" si="0"/>
        <v>36</v>
      </c>
      <c r="U494" s="18">
        <f ca="1">IFERROR(__xludf.DUMMYFUNCTION("IFERROR(
  SUM(
    FILTER(
      Reporte!$E:$E, 
      REGEXMATCH(Reporte!$A:$A, ""(?i)(TE PAGÓ|PAGASTE)""), 
      Reporte!$H:$H &amp; """" = AG494 &amp; """"
    )
  ), 
  0
)"),36)</f>
        <v>36</v>
      </c>
      <c r="V494" s="18">
        <f ca="1">IFERROR(__xludf.DUMMYFUNCTION("IFERROR(
  SUM(
    FILTER(
      Efectivo!$C:$C, 
      Efectivo!$D:$D &amp; """" = AG494 &amp; """"
    )
  ), 
  0
)"),0)</f>
        <v>0</v>
      </c>
      <c r="W494" s="18" t="s">
        <v>35</v>
      </c>
      <c r="X494" s="18"/>
      <c r="Y494" s="18" t="s">
        <v>36</v>
      </c>
      <c r="Z494" s="18" t="s">
        <v>599</v>
      </c>
      <c r="AA494" s="18"/>
      <c r="AB494" s="18" t="str">
        <f t="shared" si="1"/>
        <v/>
      </c>
      <c r="AC494" s="18" t="str">
        <f t="shared" si="9"/>
        <v/>
      </c>
      <c r="AD494" s="11">
        <f t="shared" si="3"/>
        <v>0</v>
      </c>
      <c r="AE494" s="11">
        <f t="shared" si="4"/>
        <v>36</v>
      </c>
      <c r="AF494" s="18" t="str">
        <f t="shared" si="5"/>
        <v>H1</v>
      </c>
      <c r="AG494" s="18" t="str">
        <f t="shared" si="6"/>
        <v>H1-10</v>
      </c>
      <c r="AH494" s="14"/>
      <c r="AI494" s="14"/>
    </row>
    <row r="495" spans="1:35" ht="15.75" hidden="1" customHeight="1">
      <c r="A495" s="8">
        <v>493</v>
      </c>
      <c r="B495" s="9" t="s">
        <v>600</v>
      </c>
      <c r="C495" s="9" t="s">
        <v>592</v>
      </c>
      <c r="D495" s="10">
        <v>11</v>
      </c>
      <c r="E495" s="11"/>
      <c r="F495" s="11"/>
      <c r="G495" s="11"/>
      <c r="H495" s="12">
        <v>1</v>
      </c>
      <c r="I495" s="10">
        <v>625</v>
      </c>
      <c r="J495" s="10">
        <v>632</v>
      </c>
      <c r="K495" s="10">
        <v>7</v>
      </c>
      <c r="L495" s="10">
        <v>7</v>
      </c>
      <c r="M495" s="10">
        <v>0</v>
      </c>
      <c r="N495" s="10">
        <v>0</v>
      </c>
      <c r="O495" s="10">
        <v>0</v>
      </c>
      <c r="P495" s="10">
        <v>3</v>
      </c>
      <c r="Q495" s="10">
        <v>0</v>
      </c>
      <c r="R495" s="12"/>
      <c r="S495" s="13"/>
      <c r="T495" s="13">
        <f t="shared" si="0"/>
        <v>10</v>
      </c>
      <c r="U495" s="18">
        <f ca="1">IFERROR(__xludf.DUMMYFUNCTION("IFERROR(
  SUM(
    FILTER(
      Reporte!$E:$E, 
      REGEXMATCH(Reporte!$A:$A, ""(?i)(TE PAGÓ|PAGASTE)""), 
      Reporte!$H:$H &amp; """" = AG495 &amp; """"
    )
  ), 
  0
)"),10)</f>
        <v>10</v>
      </c>
      <c r="V495" s="11">
        <f ca="1">IFERROR(__xludf.DUMMYFUNCTION("IFERROR(
  SUM(
    FILTER(
      Efectivo!$C:$C, 
      Efectivo!$D:$D &amp; """" = AG495 &amp; """"
    )
  ), 
  0
)"),0)</f>
        <v>0</v>
      </c>
      <c r="W495" s="11" t="s">
        <v>35</v>
      </c>
      <c r="X495" s="11"/>
      <c r="Y495" s="11" t="s">
        <v>36</v>
      </c>
      <c r="Z495" s="11"/>
      <c r="AA495" s="11"/>
      <c r="AB495" s="11" t="str">
        <f t="shared" si="1"/>
        <v/>
      </c>
      <c r="AC495" s="11" t="str">
        <f t="shared" si="9"/>
        <v/>
      </c>
      <c r="AD495" s="11">
        <f t="shared" si="3"/>
        <v>0</v>
      </c>
      <c r="AE495" s="11">
        <f t="shared" si="4"/>
        <v>10</v>
      </c>
      <c r="AF495" s="11" t="str">
        <f t="shared" si="5"/>
        <v>H1</v>
      </c>
      <c r="AG495" s="11" t="str">
        <f t="shared" si="6"/>
        <v>H1-11</v>
      </c>
      <c r="AH495" s="21"/>
      <c r="AI495" s="21"/>
    </row>
    <row r="496" spans="1:35" ht="15.75" hidden="1" customHeight="1">
      <c r="A496" s="15">
        <v>494</v>
      </c>
      <c r="B496" s="16" t="s">
        <v>601</v>
      </c>
      <c r="C496" s="16" t="s">
        <v>592</v>
      </c>
      <c r="D496" s="17">
        <v>12</v>
      </c>
      <c r="E496" s="18"/>
      <c r="F496" s="18"/>
      <c r="G496" s="18"/>
      <c r="H496" s="19">
        <v>1</v>
      </c>
      <c r="I496" s="17">
        <v>710</v>
      </c>
      <c r="J496" s="17">
        <v>719</v>
      </c>
      <c r="K496" s="17">
        <v>9</v>
      </c>
      <c r="L496" s="17">
        <v>9</v>
      </c>
      <c r="M496" s="17">
        <v>14</v>
      </c>
      <c r="N496" s="17">
        <v>0</v>
      </c>
      <c r="O496" s="17">
        <v>0</v>
      </c>
      <c r="P496" s="17">
        <v>3</v>
      </c>
      <c r="Q496" s="17">
        <v>0</v>
      </c>
      <c r="R496" s="19"/>
      <c r="S496" s="20"/>
      <c r="T496" s="13">
        <f t="shared" si="0"/>
        <v>26</v>
      </c>
      <c r="U496" s="18">
        <f ca="1">IFERROR(__xludf.DUMMYFUNCTION("IFERROR(
  SUM(
    FILTER(
      Reporte!$E:$E, 
      REGEXMATCH(Reporte!$A:$A, ""(?i)(TE PAGÓ|PAGASTE)""), 
      Reporte!$H:$H &amp; """" = AG496 &amp; """"
    )
  ), 
  0
)"),26)</f>
        <v>26</v>
      </c>
      <c r="V496" s="18">
        <f ca="1">IFERROR(__xludf.DUMMYFUNCTION("IFERROR(
  SUM(
    FILTER(
      Efectivo!$C:$C, 
      Efectivo!$D:$D &amp; """" = AG496 &amp; """"
    )
  ), 
  0
)"),0)</f>
        <v>0</v>
      </c>
      <c r="W496" s="18" t="s">
        <v>35</v>
      </c>
      <c r="X496" s="18"/>
      <c r="Y496" s="18" t="s">
        <v>36</v>
      </c>
      <c r="Z496" s="18"/>
      <c r="AA496" s="18"/>
      <c r="AB496" s="18" t="str">
        <f t="shared" si="1"/>
        <v/>
      </c>
      <c r="AC496" s="18" t="str">
        <f t="shared" si="9"/>
        <v/>
      </c>
      <c r="AD496" s="11">
        <f t="shared" si="3"/>
        <v>0</v>
      </c>
      <c r="AE496" s="11">
        <f t="shared" si="4"/>
        <v>26</v>
      </c>
      <c r="AF496" s="18" t="str">
        <f t="shared" si="5"/>
        <v>H1</v>
      </c>
      <c r="AG496" s="18" t="str">
        <f t="shared" si="6"/>
        <v>H1-12</v>
      </c>
      <c r="AH496" s="14"/>
      <c r="AI496" s="14"/>
    </row>
    <row r="497" spans="1:35" ht="15.75" hidden="1" customHeight="1">
      <c r="A497" s="8">
        <v>495</v>
      </c>
      <c r="B497" s="9" t="s">
        <v>602</v>
      </c>
      <c r="C497" s="9" t="s">
        <v>592</v>
      </c>
      <c r="D497" s="10">
        <v>13</v>
      </c>
      <c r="E497" s="11"/>
      <c r="F497" s="11"/>
      <c r="G497" s="11"/>
      <c r="H497" s="12">
        <v>1</v>
      </c>
      <c r="I497" s="10">
        <v>192</v>
      </c>
      <c r="J497" s="10">
        <v>202</v>
      </c>
      <c r="K497" s="10">
        <v>10</v>
      </c>
      <c r="L497" s="10">
        <v>10</v>
      </c>
      <c r="M497" s="10">
        <v>0</v>
      </c>
      <c r="N497" s="10">
        <v>0</v>
      </c>
      <c r="O497" s="10">
        <v>0</v>
      </c>
      <c r="P497" s="10">
        <v>3</v>
      </c>
      <c r="Q497" s="10">
        <v>0</v>
      </c>
      <c r="R497" s="12"/>
      <c r="S497" s="13"/>
      <c r="T497" s="13">
        <f t="shared" si="0"/>
        <v>13</v>
      </c>
      <c r="U497" s="18">
        <f ca="1">IFERROR(__xludf.DUMMYFUNCTION("IFERROR(
  SUM(
    FILTER(
      Reporte!$E:$E, 
      REGEXMATCH(Reporte!$A:$A, ""(?i)(TE PAGÓ|PAGASTE)""), 
      Reporte!$H:$H &amp; """" = AG497 &amp; """"
    )
  ), 
  0
)"),13)</f>
        <v>13</v>
      </c>
      <c r="V497" s="11">
        <f ca="1">IFERROR(__xludf.DUMMYFUNCTION("IFERROR(
  SUM(
    FILTER(
      Efectivo!$C:$C, 
      Efectivo!$D:$D &amp; """" = AG497 &amp; """"
    )
  ), 
  0
)"),0)</f>
        <v>0</v>
      </c>
      <c r="W497" s="11" t="s">
        <v>35</v>
      </c>
      <c r="X497" s="11"/>
      <c r="Y497" s="11" t="s">
        <v>36</v>
      </c>
      <c r="Z497" s="11"/>
      <c r="AA497" s="11"/>
      <c r="AB497" s="11" t="str">
        <f t="shared" si="1"/>
        <v/>
      </c>
      <c r="AC497" s="11" t="str">
        <f t="shared" si="9"/>
        <v/>
      </c>
      <c r="AD497" s="11">
        <f t="shared" si="3"/>
        <v>0</v>
      </c>
      <c r="AE497" s="11">
        <f t="shared" si="4"/>
        <v>13</v>
      </c>
      <c r="AF497" s="11" t="str">
        <f t="shared" si="5"/>
        <v>H1</v>
      </c>
      <c r="AG497" s="11" t="str">
        <f t="shared" si="6"/>
        <v>H1-13</v>
      </c>
      <c r="AH497" s="21"/>
      <c r="AI497" s="21"/>
    </row>
    <row r="498" spans="1:35" ht="15.75" hidden="1" customHeight="1">
      <c r="A498" s="15">
        <v>496</v>
      </c>
      <c r="B498" s="16" t="s">
        <v>603</v>
      </c>
      <c r="C498" s="16" t="s">
        <v>592</v>
      </c>
      <c r="D498" s="17">
        <v>15</v>
      </c>
      <c r="E498" s="18"/>
      <c r="F498" s="18"/>
      <c r="G498" s="18"/>
      <c r="H498" s="18"/>
      <c r="I498" s="17">
        <v>652</v>
      </c>
      <c r="J498" s="17">
        <v>667</v>
      </c>
      <c r="K498" s="17">
        <v>15</v>
      </c>
      <c r="L498" s="17">
        <v>15</v>
      </c>
      <c r="M498" s="17">
        <v>14</v>
      </c>
      <c r="N498" s="17">
        <v>0</v>
      </c>
      <c r="O498" s="17">
        <v>0</v>
      </c>
      <c r="P498" s="17">
        <v>3</v>
      </c>
      <c r="Q498" s="17">
        <v>0</v>
      </c>
      <c r="R498" s="18"/>
      <c r="S498" s="20"/>
      <c r="T498" s="13">
        <f t="shared" si="0"/>
        <v>32</v>
      </c>
      <c r="U498" s="18">
        <f ca="1">IFERROR(__xludf.DUMMYFUNCTION("IFERROR(
  SUM(
    FILTER(
      Reporte!$E:$E, 
      REGEXMATCH(Reporte!$A:$A, ""(?i)(TE PAGÓ|PAGASTE)""), 
      Reporte!$H:$H &amp; """" = AG498 &amp; """"
    )
  ), 
  0
)"),32)</f>
        <v>32</v>
      </c>
      <c r="V498" s="18">
        <f ca="1">IFERROR(__xludf.DUMMYFUNCTION("IFERROR(
  SUM(
    FILTER(
      Efectivo!$C:$C, 
      Efectivo!$D:$D &amp; """" = AG498 &amp; """"
    )
  ), 
  0
)"),0)</f>
        <v>0</v>
      </c>
      <c r="W498" s="18" t="s">
        <v>35</v>
      </c>
      <c r="X498" s="18"/>
      <c r="Y498" s="18" t="s">
        <v>36</v>
      </c>
      <c r="Z498" s="18"/>
      <c r="AA498" s="18"/>
      <c r="AB498" s="18" t="str">
        <f t="shared" si="1"/>
        <v/>
      </c>
      <c r="AC498" s="18"/>
      <c r="AD498" s="11">
        <f t="shared" si="3"/>
        <v>0</v>
      </c>
      <c r="AE498" s="11">
        <f t="shared" si="4"/>
        <v>32</v>
      </c>
      <c r="AF498" s="18" t="str">
        <f t="shared" si="5"/>
        <v>H1</v>
      </c>
      <c r="AG498" s="18" t="str">
        <f t="shared" si="6"/>
        <v>H1-15</v>
      </c>
      <c r="AH498" s="14"/>
      <c r="AI498" s="14"/>
    </row>
    <row r="499" spans="1:35" ht="15.75" hidden="1" customHeight="1">
      <c r="A499" s="8">
        <v>497</v>
      </c>
      <c r="B499" s="9" t="s">
        <v>604</v>
      </c>
      <c r="C499" s="9" t="s">
        <v>592</v>
      </c>
      <c r="D499" s="10">
        <v>16</v>
      </c>
      <c r="E499" s="11"/>
      <c r="F499" s="11"/>
      <c r="G499" s="11"/>
      <c r="H499" s="11"/>
      <c r="I499" s="10">
        <v>23</v>
      </c>
      <c r="J499" s="10">
        <v>23</v>
      </c>
      <c r="K499" s="10">
        <v>5</v>
      </c>
      <c r="L499" s="10">
        <v>5</v>
      </c>
      <c r="M499" s="10">
        <v>0</v>
      </c>
      <c r="N499" s="10">
        <v>0</v>
      </c>
      <c r="O499" s="10">
        <v>0</v>
      </c>
      <c r="P499" s="10">
        <v>3</v>
      </c>
      <c r="Q499" s="10">
        <v>0</v>
      </c>
      <c r="R499" s="11"/>
      <c r="S499" s="13"/>
      <c r="T499" s="13">
        <f t="shared" si="0"/>
        <v>8</v>
      </c>
      <c r="U499" s="18">
        <f ca="1">IFERROR(__xludf.DUMMYFUNCTION("IFERROR(
  SUM(
    FILTER(
      Reporte!$E:$E, 
      REGEXMATCH(Reporte!$A:$A, ""(?i)(TE PAGÓ|PAGASTE)""), 
      Reporte!$H:$H &amp; """" = AG499 &amp; """"
    )
  ), 
  0
)"),8)</f>
        <v>8</v>
      </c>
      <c r="V499" s="11">
        <f ca="1">IFERROR(__xludf.DUMMYFUNCTION("IFERROR(
  SUM(
    FILTER(
      Efectivo!$C:$C, 
      Efectivo!$D:$D &amp; """" = AG499 &amp; """"
    )
  ), 
  0
)"),0)</f>
        <v>0</v>
      </c>
      <c r="W499" s="11" t="s">
        <v>35</v>
      </c>
      <c r="X499" s="11"/>
      <c r="Y499" s="11" t="s">
        <v>36</v>
      </c>
      <c r="Z499" s="11"/>
      <c r="AA499" s="11"/>
      <c r="AB499" s="11" t="str">
        <f t="shared" si="1"/>
        <v/>
      </c>
      <c r="AC499" s="11"/>
      <c r="AD499" s="11">
        <f t="shared" si="3"/>
        <v>0</v>
      </c>
      <c r="AE499" s="11">
        <f t="shared" si="4"/>
        <v>8</v>
      </c>
      <c r="AF499" s="11" t="str">
        <f t="shared" si="5"/>
        <v>H1</v>
      </c>
      <c r="AG499" s="11" t="str">
        <f t="shared" si="6"/>
        <v>H1-16</v>
      </c>
      <c r="AH499" s="21"/>
      <c r="AI499" s="21"/>
    </row>
    <row r="500" spans="1:35" ht="15.75" hidden="1" customHeight="1">
      <c r="A500" s="15">
        <v>498</v>
      </c>
      <c r="B500" s="16" t="s">
        <v>605</v>
      </c>
      <c r="C500" s="16" t="s">
        <v>592</v>
      </c>
      <c r="D500" s="17">
        <v>35</v>
      </c>
      <c r="E500" s="18"/>
      <c r="F500" s="18"/>
      <c r="G500" s="18"/>
      <c r="H500" s="18"/>
      <c r="I500" s="17">
        <v>202</v>
      </c>
      <c r="J500" s="17">
        <v>207</v>
      </c>
      <c r="K500" s="17">
        <v>5</v>
      </c>
      <c r="L500" s="17">
        <v>5</v>
      </c>
      <c r="M500" s="17">
        <v>0</v>
      </c>
      <c r="N500" s="17">
        <v>0</v>
      </c>
      <c r="O500" s="17">
        <v>0</v>
      </c>
      <c r="P500" s="17">
        <v>3</v>
      </c>
      <c r="Q500" s="17">
        <v>0</v>
      </c>
      <c r="R500" s="18"/>
      <c r="S500" s="20"/>
      <c r="T500" s="13">
        <f t="shared" si="0"/>
        <v>8</v>
      </c>
      <c r="U500" s="18">
        <f ca="1">IFERROR(__xludf.DUMMYFUNCTION("IFERROR(
  SUM(
    FILTER(
      Reporte!$E:$E, 
      REGEXMATCH(Reporte!$A:$A, ""(?i)(TE PAGÓ|PAGASTE)""), 
      Reporte!$H:$H &amp; """" = AG500 &amp; """"
    )
  ), 
  0
)"),8)</f>
        <v>8</v>
      </c>
      <c r="V500" s="18">
        <f ca="1">IFERROR(__xludf.DUMMYFUNCTION("IFERROR(
  SUM(
    FILTER(
      Efectivo!$C:$C, 
      Efectivo!$D:$D &amp; """" = AG500 &amp; """"
    )
  ), 
  0
)"),0)</f>
        <v>0</v>
      </c>
      <c r="W500" s="18" t="s">
        <v>35</v>
      </c>
      <c r="X500" s="18"/>
      <c r="Y500" s="18" t="s">
        <v>36</v>
      </c>
      <c r="Z500" s="18"/>
      <c r="AA500" s="18"/>
      <c r="AB500" s="18" t="str">
        <f t="shared" si="1"/>
        <v/>
      </c>
      <c r="AC500" s="18"/>
      <c r="AD500" s="11">
        <f t="shared" si="3"/>
        <v>0</v>
      </c>
      <c r="AE500" s="11">
        <f t="shared" si="4"/>
        <v>8</v>
      </c>
      <c r="AF500" s="18" t="str">
        <f t="shared" si="5"/>
        <v>H1</v>
      </c>
      <c r="AG500" s="18" t="str">
        <f t="shared" si="6"/>
        <v>H1-35</v>
      </c>
      <c r="AH500" s="21"/>
      <c r="AI500" s="21"/>
    </row>
    <row r="501" spans="1:35" ht="15.75" hidden="1" customHeight="1">
      <c r="A501" s="30" t="s">
        <v>606</v>
      </c>
      <c r="B501" s="30" t="s">
        <v>607</v>
      </c>
      <c r="C501" s="30" t="s">
        <v>592</v>
      </c>
      <c r="D501" s="31" t="s">
        <v>608</v>
      </c>
      <c r="E501" s="32"/>
      <c r="F501" s="32"/>
      <c r="G501" s="32"/>
      <c r="H501" s="32"/>
      <c r="I501" s="30" t="s">
        <v>609</v>
      </c>
      <c r="J501" s="30" t="s">
        <v>610</v>
      </c>
      <c r="K501" s="30" t="s">
        <v>611</v>
      </c>
      <c r="L501" s="33">
        <v>7</v>
      </c>
      <c r="M501" s="33">
        <v>0</v>
      </c>
      <c r="N501" s="33">
        <v>0</v>
      </c>
      <c r="O501" s="33">
        <v>0</v>
      </c>
      <c r="P501" s="33">
        <v>3</v>
      </c>
      <c r="Q501" s="33">
        <v>0</v>
      </c>
      <c r="R501" s="32"/>
      <c r="S501" s="32"/>
      <c r="T501" s="13">
        <f t="shared" si="0"/>
        <v>10</v>
      </c>
      <c r="U501" s="11">
        <f ca="1">IFERROR(__xludf.DUMMYFUNCTION("IFERROR(
  SUM(
    FILTER(
      Reporte!$E:$E, 
      REGEXMATCH(Reporte!$A:$A, ""(?i)(TE PAGÓ|PAGASTE)""), 
      Reporte!$H:$H &amp; """" = AG501 &amp; """"
    )
  ), 
  0
)"),10)</f>
        <v>10</v>
      </c>
      <c r="V501" s="18">
        <f ca="1">IFERROR(__xludf.DUMMYFUNCTION("IFERROR(
  SUM(
    FILTER(
      Efectivo!$C:$C, 
      Efectivo!$D:$D &amp; """" = AG501 &amp; """"
    )
  ), 
  0
)"),0)</f>
        <v>0</v>
      </c>
      <c r="W501" s="18" t="s">
        <v>35</v>
      </c>
      <c r="X501" s="32"/>
      <c r="Y501" s="18" t="s">
        <v>36</v>
      </c>
      <c r="Z501" s="32"/>
      <c r="AA501" s="32"/>
      <c r="AB501" s="32"/>
      <c r="AC501" s="32"/>
      <c r="AD501" s="11">
        <f t="shared" si="3"/>
        <v>0</v>
      </c>
      <c r="AE501" s="11">
        <f t="shared" si="4"/>
        <v>10</v>
      </c>
      <c r="AF501" s="18" t="str">
        <f t="shared" si="5"/>
        <v>H1</v>
      </c>
      <c r="AG501" s="18" t="str">
        <f t="shared" si="6"/>
        <v>H1-36</v>
      </c>
      <c r="AH501" s="34"/>
      <c r="AI501" s="34"/>
    </row>
    <row r="502" spans="1:35" ht="15.75" customHeight="1">
      <c r="A502" s="35"/>
      <c r="B502" s="35"/>
      <c r="C502" s="35"/>
      <c r="D502" s="35"/>
      <c r="E502" s="34"/>
      <c r="F502" s="34"/>
      <c r="G502" s="34"/>
      <c r="H502" s="34"/>
      <c r="I502" s="35"/>
      <c r="J502" s="35"/>
      <c r="K502" s="35"/>
      <c r="L502" s="35"/>
      <c r="M502" s="35"/>
      <c r="N502" s="35"/>
      <c r="O502" s="35">
        <f>SUBTOTAL(109,O2:O500)</f>
        <v>275</v>
      </c>
      <c r="P502" s="35"/>
      <c r="Q502" s="35"/>
      <c r="R502" s="34"/>
      <c r="S502" s="34"/>
      <c r="T502" s="36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</row>
    <row r="503" spans="1:35" ht="15.75" customHeight="1">
      <c r="A503" s="35"/>
      <c r="B503" s="35"/>
      <c r="C503" s="35"/>
      <c r="D503" s="35"/>
      <c r="E503" s="34"/>
      <c r="F503" s="34"/>
      <c r="G503" s="34"/>
      <c r="H503" s="34"/>
      <c r="I503" s="35"/>
      <c r="J503" s="35"/>
      <c r="K503" s="35"/>
      <c r="L503" s="35"/>
      <c r="M503" s="35"/>
      <c r="N503" s="35"/>
      <c r="O503" s="35"/>
      <c r="P503" s="35"/>
      <c r="Q503" s="35"/>
      <c r="R503" s="34"/>
      <c r="S503" s="34"/>
      <c r="T503" s="36"/>
      <c r="U503" s="34"/>
      <c r="V503" s="34"/>
      <c r="W503" s="34"/>
      <c r="X503" s="34"/>
      <c r="Y503" s="34"/>
      <c r="Z503" s="34"/>
      <c r="AA503" s="34"/>
      <c r="AB503" s="34"/>
      <c r="AC503" s="37"/>
      <c r="AD503" s="37">
        <f>SUM(Tabla_1[Efectivo])</f>
        <v>3105</v>
      </c>
      <c r="AE503" s="34">
        <f>SUM(Tabla_1[Yape])</f>
        <v>8654.5</v>
      </c>
      <c r="AF503" s="34"/>
      <c r="AG503" s="34"/>
      <c r="AH503" s="34"/>
      <c r="AI503" s="34"/>
    </row>
    <row r="504" spans="1:35" ht="15.75" customHeight="1">
      <c r="A504" s="35"/>
      <c r="B504" s="35"/>
      <c r="C504" s="35"/>
      <c r="D504" s="35"/>
      <c r="E504" s="34"/>
      <c r="F504" s="34"/>
      <c r="G504" s="34"/>
      <c r="H504" s="34"/>
      <c r="I504" s="35"/>
      <c r="J504" s="35"/>
      <c r="K504" s="35"/>
      <c r="L504" s="35"/>
      <c r="M504" s="35"/>
      <c r="N504" s="35"/>
      <c r="O504" s="35"/>
      <c r="P504" s="35"/>
      <c r="Q504" s="35"/>
      <c r="R504" s="34"/>
      <c r="S504" s="34"/>
      <c r="T504" s="36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</row>
    <row r="505" spans="1:35" ht="15.75" customHeight="1">
      <c r="A505" s="35"/>
      <c r="B505" s="35"/>
      <c r="C505" s="35"/>
      <c r="D505" s="35"/>
      <c r="E505" s="34"/>
      <c r="F505" s="34"/>
      <c r="G505" s="34"/>
      <c r="H505" s="34"/>
      <c r="I505" s="35"/>
      <c r="J505" s="35"/>
      <c r="K505" s="35"/>
      <c r="L505" s="35"/>
      <c r="M505" s="35"/>
      <c r="N505" s="35"/>
      <c r="O505" s="35"/>
      <c r="P505" s="35"/>
      <c r="Q505" s="35"/>
      <c r="R505" s="34"/>
      <c r="S505" s="34"/>
      <c r="T505" s="36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</row>
    <row r="506" spans="1:35" ht="15.75" customHeight="1">
      <c r="A506" s="35"/>
      <c r="B506" s="35"/>
      <c r="C506" s="35"/>
      <c r="D506" s="35"/>
      <c r="E506" s="34"/>
      <c r="F506" s="34"/>
      <c r="G506" s="34"/>
      <c r="H506" s="34"/>
      <c r="I506" s="35"/>
      <c r="J506" s="35"/>
      <c r="K506" s="35"/>
      <c r="L506" s="35"/>
      <c r="M506" s="35"/>
      <c r="N506" s="35"/>
      <c r="O506" s="35"/>
      <c r="P506" s="35"/>
      <c r="Q506" s="35"/>
      <c r="R506" s="34"/>
      <c r="S506" s="34"/>
      <c r="T506" s="36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</row>
    <row r="507" spans="1:35" ht="15.75" customHeight="1">
      <c r="A507" s="35"/>
      <c r="B507" s="35"/>
      <c r="C507" s="35"/>
      <c r="D507" s="35"/>
      <c r="E507" s="34"/>
      <c r="F507" s="34"/>
      <c r="G507" s="34"/>
      <c r="H507" s="34"/>
      <c r="I507" s="35"/>
      <c r="J507" s="35"/>
      <c r="K507" s="35"/>
      <c r="L507" s="35"/>
      <c r="M507" s="35"/>
      <c r="N507" s="35"/>
      <c r="O507" s="35"/>
      <c r="P507" s="35"/>
      <c r="Q507" s="35"/>
      <c r="R507" s="34"/>
      <c r="S507" s="38"/>
      <c r="T507" s="36"/>
      <c r="U507" s="38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</row>
    <row r="508" spans="1:35" ht="15.75" customHeight="1">
      <c r="A508" s="35"/>
      <c r="B508" s="35"/>
      <c r="C508" s="35"/>
      <c r="D508" s="35"/>
      <c r="E508" s="34"/>
      <c r="F508" s="34"/>
      <c r="G508" s="34"/>
      <c r="H508" s="34"/>
      <c r="I508" s="35"/>
      <c r="J508" s="35"/>
      <c r="K508" s="35"/>
      <c r="L508" s="35"/>
      <c r="M508" s="35"/>
      <c r="N508" s="35"/>
      <c r="O508" s="35"/>
      <c r="P508" s="35"/>
      <c r="Q508" s="35"/>
      <c r="R508" s="34"/>
      <c r="S508" s="34"/>
      <c r="T508" s="36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</row>
    <row r="509" spans="1:35" ht="15.75" customHeight="1">
      <c r="A509" s="35"/>
      <c r="B509" s="35"/>
      <c r="C509" s="35"/>
      <c r="D509" s="35"/>
      <c r="E509" s="34"/>
      <c r="F509" s="34"/>
      <c r="G509" s="34"/>
      <c r="H509" s="34"/>
      <c r="I509" s="35"/>
      <c r="J509" s="35"/>
      <c r="K509" s="35"/>
      <c r="L509" s="35"/>
      <c r="M509" s="35"/>
      <c r="N509" s="35"/>
      <c r="O509" s="35"/>
      <c r="P509" s="35"/>
      <c r="Q509" s="35"/>
      <c r="R509" s="34"/>
      <c r="S509" s="34"/>
      <c r="T509" s="36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</row>
    <row r="510" spans="1:35" ht="15.75" customHeight="1">
      <c r="A510" s="35"/>
      <c r="B510" s="35"/>
      <c r="C510" s="35"/>
      <c r="D510" s="35"/>
      <c r="E510" s="34"/>
      <c r="F510" s="34"/>
      <c r="G510" s="34"/>
      <c r="H510" s="34"/>
      <c r="I510" s="35"/>
      <c r="J510" s="35"/>
      <c r="K510" s="35"/>
      <c r="L510" s="35"/>
      <c r="M510" s="35"/>
      <c r="N510" s="35"/>
      <c r="O510" s="35"/>
      <c r="P510" s="35"/>
      <c r="Q510" s="35"/>
      <c r="R510" s="34"/>
      <c r="S510" s="34"/>
      <c r="T510" s="36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</row>
    <row r="511" spans="1:35" ht="15.75" customHeight="1">
      <c r="A511" s="35"/>
      <c r="B511" s="35"/>
      <c r="C511" s="35"/>
      <c r="D511" s="35"/>
      <c r="E511" s="34"/>
      <c r="F511" s="34"/>
      <c r="G511" s="34"/>
      <c r="H511" s="34"/>
      <c r="I511" s="35"/>
      <c r="J511" s="35"/>
      <c r="K511" s="35"/>
      <c r="L511" s="35"/>
      <c r="M511" s="35"/>
      <c r="N511" s="35"/>
      <c r="O511" s="35"/>
      <c r="P511" s="35"/>
      <c r="Q511" s="35"/>
      <c r="R511" s="34"/>
      <c r="S511" s="34"/>
      <c r="T511" s="36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</row>
    <row r="512" spans="1:35" ht="15.75" customHeight="1">
      <c r="A512" s="35"/>
      <c r="B512" s="35"/>
      <c r="C512" s="35"/>
      <c r="D512" s="35"/>
      <c r="E512" s="34"/>
      <c r="F512" s="34"/>
      <c r="G512" s="34"/>
      <c r="H512" s="34"/>
      <c r="I512" s="35"/>
      <c r="J512" s="35"/>
      <c r="K512" s="35"/>
      <c r="L512" s="35"/>
      <c r="M512" s="35"/>
      <c r="N512" s="35"/>
      <c r="O512" s="35"/>
      <c r="P512" s="35"/>
      <c r="Q512" s="35"/>
      <c r="R512" s="34"/>
      <c r="S512" s="34"/>
      <c r="T512" s="36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</row>
    <row r="513" spans="1:35" ht="15.75" customHeight="1">
      <c r="A513" s="35"/>
      <c r="B513" s="35"/>
      <c r="C513" s="35"/>
      <c r="D513" s="35"/>
      <c r="E513" s="34"/>
      <c r="F513" s="34"/>
      <c r="G513" s="34"/>
      <c r="H513" s="34"/>
      <c r="I513" s="35"/>
      <c r="J513" s="35"/>
      <c r="K513" s="35"/>
      <c r="L513" s="35"/>
      <c r="M513" s="35"/>
      <c r="N513" s="35"/>
      <c r="O513" s="35"/>
      <c r="P513" s="35"/>
      <c r="Q513" s="35"/>
      <c r="R513" s="34"/>
      <c r="S513" s="34"/>
      <c r="T513" s="36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</row>
    <row r="514" spans="1:35" ht="15.75" customHeight="1">
      <c r="A514" s="35"/>
      <c r="B514" s="35"/>
      <c r="C514" s="35"/>
      <c r="D514" s="35"/>
      <c r="E514" s="34"/>
      <c r="F514" s="34"/>
      <c r="G514" s="34"/>
      <c r="H514" s="34"/>
      <c r="I514" s="35"/>
      <c r="J514" s="35"/>
      <c r="K514" s="35"/>
      <c r="L514" s="35"/>
      <c r="M514" s="35"/>
      <c r="N514" s="35"/>
      <c r="O514" s="35"/>
      <c r="P514" s="35"/>
      <c r="Q514" s="35"/>
      <c r="R514" s="34"/>
      <c r="S514" s="34"/>
      <c r="T514" s="36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</row>
    <row r="515" spans="1:35" ht="15.75" customHeight="1">
      <c r="A515" s="35"/>
      <c r="B515" s="35"/>
      <c r="C515" s="35"/>
      <c r="D515" s="35"/>
      <c r="E515" s="34"/>
      <c r="F515" s="34"/>
      <c r="G515" s="34"/>
      <c r="H515" s="34"/>
      <c r="I515" s="35"/>
      <c r="J515" s="35"/>
      <c r="K515" s="35"/>
      <c r="L515" s="35"/>
      <c r="M515" s="35"/>
      <c r="N515" s="35"/>
      <c r="O515" s="35"/>
      <c r="P515" s="35"/>
      <c r="Q515" s="35"/>
      <c r="R515" s="34"/>
      <c r="S515" s="34"/>
      <c r="T515" s="36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</row>
    <row r="516" spans="1:35" ht="15.75" customHeight="1">
      <c r="A516" s="35"/>
      <c r="B516" s="35"/>
      <c r="C516" s="35"/>
      <c r="D516" s="35"/>
      <c r="E516" s="34"/>
      <c r="F516" s="34"/>
      <c r="G516" s="34"/>
      <c r="H516" s="34"/>
      <c r="I516" s="35"/>
      <c r="J516" s="35"/>
      <c r="K516" s="35"/>
      <c r="L516" s="35"/>
      <c r="M516" s="35"/>
      <c r="N516" s="35"/>
      <c r="O516" s="35"/>
      <c r="P516" s="35"/>
      <c r="Q516" s="35"/>
      <c r="R516" s="34"/>
      <c r="S516" s="34"/>
      <c r="T516" s="36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</row>
    <row r="517" spans="1:35" ht="15.75" customHeight="1">
      <c r="A517" s="35"/>
      <c r="B517" s="35"/>
      <c r="C517" s="35"/>
      <c r="D517" s="35"/>
      <c r="E517" s="34"/>
      <c r="F517" s="34"/>
      <c r="G517" s="34"/>
      <c r="H517" s="34"/>
      <c r="I517" s="35"/>
      <c r="J517" s="35"/>
      <c r="K517" s="35"/>
      <c r="L517" s="35"/>
      <c r="M517" s="35"/>
      <c r="N517" s="35"/>
      <c r="O517" s="35"/>
      <c r="P517" s="35"/>
      <c r="Q517" s="35"/>
      <c r="R517" s="34"/>
      <c r="S517" s="34"/>
      <c r="T517" s="36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</row>
    <row r="518" spans="1:35" ht="15.75" customHeight="1">
      <c r="A518" s="35"/>
      <c r="B518" s="35"/>
      <c r="C518" s="35"/>
      <c r="D518" s="35"/>
      <c r="E518" s="34"/>
      <c r="F518" s="34"/>
      <c r="G518" s="34"/>
      <c r="H518" s="34"/>
      <c r="I518" s="35"/>
      <c r="J518" s="35"/>
      <c r="K518" s="35"/>
      <c r="L518" s="35"/>
      <c r="M518" s="35"/>
      <c r="N518" s="35"/>
      <c r="O518" s="35"/>
      <c r="P518" s="35"/>
      <c r="Q518" s="35"/>
      <c r="R518" s="34"/>
      <c r="S518" s="34"/>
      <c r="T518" s="36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</row>
    <row r="519" spans="1:35" ht="15.75" customHeight="1">
      <c r="A519" s="35"/>
      <c r="B519" s="35"/>
      <c r="C519" s="35"/>
      <c r="D519" s="35"/>
      <c r="E519" s="34"/>
      <c r="F519" s="34"/>
      <c r="G519" s="34"/>
      <c r="H519" s="34"/>
      <c r="I519" s="35"/>
      <c r="J519" s="35"/>
      <c r="K519" s="35"/>
      <c r="L519" s="35"/>
      <c r="M519" s="35"/>
      <c r="N519" s="35"/>
      <c r="O519" s="35"/>
      <c r="P519" s="35"/>
      <c r="Q519" s="35"/>
      <c r="R519" s="34"/>
      <c r="S519" s="34"/>
      <c r="T519" s="36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</row>
    <row r="520" spans="1:35" ht="15.75" customHeight="1">
      <c r="A520" s="35"/>
      <c r="B520" s="35"/>
      <c r="C520" s="35"/>
      <c r="D520" s="35"/>
      <c r="E520" s="34"/>
      <c r="F520" s="34"/>
      <c r="G520" s="34"/>
      <c r="H520" s="34"/>
      <c r="I520" s="35"/>
      <c r="J520" s="35"/>
      <c r="K520" s="35"/>
      <c r="L520" s="35"/>
      <c r="M520" s="35"/>
      <c r="N520" s="35"/>
      <c r="O520" s="35"/>
      <c r="P520" s="35"/>
      <c r="Q520" s="35"/>
      <c r="R520" s="34"/>
      <c r="S520" s="34"/>
      <c r="T520" s="36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</row>
    <row r="521" spans="1:35" ht="15.75" customHeight="1">
      <c r="A521" s="35"/>
      <c r="B521" s="35"/>
      <c r="C521" s="35"/>
      <c r="D521" s="35"/>
      <c r="E521" s="34"/>
      <c r="F521" s="34"/>
      <c r="G521" s="34"/>
      <c r="H521" s="34"/>
      <c r="I521" s="35"/>
      <c r="J521" s="35"/>
      <c r="K521" s="35"/>
      <c r="L521" s="35"/>
      <c r="M521" s="35"/>
      <c r="N521" s="35"/>
      <c r="O521" s="35"/>
      <c r="P521" s="35"/>
      <c r="Q521" s="35"/>
      <c r="R521" s="34"/>
      <c r="S521" s="34"/>
      <c r="T521" s="36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</row>
    <row r="522" spans="1:35" ht="15.75" customHeight="1">
      <c r="A522" s="35"/>
      <c r="B522" s="35"/>
      <c r="C522" s="35"/>
      <c r="D522" s="35"/>
      <c r="E522" s="34"/>
      <c r="F522" s="34"/>
      <c r="G522" s="34"/>
      <c r="H522" s="34"/>
      <c r="I522" s="35"/>
      <c r="J522" s="35"/>
      <c r="K522" s="35"/>
      <c r="L522" s="35"/>
      <c r="M522" s="35"/>
      <c r="N522" s="35"/>
      <c r="O522" s="35"/>
      <c r="P522" s="35"/>
      <c r="Q522" s="35"/>
      <c r="R522" s="34"/>
      <c r="S522" s="34"/>
      <c r="T522" s="36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</row>
    <row r="523" spans="1:35" ht="15.75" customHeight="1">
      <c r="A523" s="35"/>
      <c r="B523" s="35"/>
      <c r="C523" s="35"/>
      <c r="D523" s="35"/>
      <c r="E523" s="34"/>
      <c r="F523" s="34"/>
      <c r="G523" s="34"/>
      <c r="H523" s="34"/>
      <c r="I523" s="35"/>
      <c r="J523" s="35"/>
      <c r="K523" s="35"/>
      <c r="L523" s="35"/>
      <c r="M523" s="35"/>
      <c r="N523" s="35"/>
      <c r="O523" s="35"/>
      <c r="P523" s="35"/>
      <c r="Q523" s="35"/>
      <c r="R523" s="34"/>
      <c r="S523" s="34"/>
      <c r="T523" s="36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</row>
    <row r="524" spans="1:35" ht="15.75" customHeight="1">
      <c r="A524" s="35"/>
      <c r="B524" s="35"/>
      <c r="C524" s="35"/>
      <c r="D524" s="35"/>
      <c r="E524" s="34"/>
      <c r="F524" s="34"/>
      <c r="G524" s="34"/>
      <c r="H524" s="34"/>
      <c r="I524" s="35"/>
      <c r="J524" s="35"/>
      <c r="K524" s="35"/>
      <c r="L524" s="35"/>
      <c r="M524" s="35"/>
      <c r="N524" s="35"/>
      <c r="O524" s="35"/>
      <c r="P524" s="35"/>
      <c r="Q524" s="35"/>
      <c r="R524" s="34"/>
      <c r="S524" s="34"/>
      <c r="T524" s="36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</row>
    <row r="525" spans="1:35" ht="15.75" customHeight="1">
      <c r="A525" s="35"/>
      <c r="B525" s="35"/>
      <c r="C525" s="35"/>
      <c r="D525" s="35"/>
      <c r="E525" s="34"/>
      <c r="F525" s="34"/>
      <c r="G525" s="34"/>
      <c r="H525" s="34"/>
      <c r="I525" s="35"/>
      <c r="J525" s="35"/>
      <c r="K525" s="35"/>
      <c r="L525" s="35"/>
      <c r="M525" s="35"/>
      <c r="N525" s="35"/>
      <c r="O525" s="35"/>
      <c r="P525" s="35"/>
      <c r="Q525" s="35"/>
      <c r="R525" s="34"/>
      <c r="S525" s="34"/>
      <c r="T525" s="36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</row>
    <row r="526" spans="1:35" ht="15.75" customHeight="1">
      <c r="A526" s="35"/>
      <c r="B526" s="35"/>
      <c r="C526" s="35"/>
      <c r="D526" s="35"/>
      <c r="E526" s="34"/>
      <c r="F526" s="34"/>
      <c r="G526" s="34"/>
      <c r="H526" s="34"/>
      <c r="I526" s="35"/>
      <c r="J526" s="35"/>
      <c r="K526" s="35"/>
      <c r="L526" s="35"/>
      <c r="M526" s="35"/>
      <c r="N526" s="35"/>
      <c r="O526" s="35"/>
      <c r="P526" s="35"/>
      <c r="Q526" s="35"/>
      <c r="R526" s="34"/>
      <c r="S526" s="34"/>
      <c r="T526" s="36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</row>
    <row r="527" spans="1:35" ht="15.75" customHeight="1">
      <c r="A527" s="35"/>
      <c r="B527" s="35"/>
      <c r="C527" s="35"/>
      <c r="D527" s="35"/>
      <c r="E527" s="34"/>
      <c r="F527" s="34"/>
      <c r="G527" s="34"/>
      <c r="H527" s="34"/>
      <c r="I527" s="35"/>
      <c r="J527" s="35"/>
      <c r="K527" s="35"/>
      <c r="L527" s="35"/>
      <c r="M527" s="35"/>
      <c r="N527" s="35"/>
      <c r="O527" s="35"/>
      <c r="P527" s="35"/>
      <c r="Q527" s="35"/>
      <c r="R527" s="34"/>
      <c r="S527" s="38"/>
      <c r="T527" s="36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</row>
    <row r="528" spans="1:35" ht="15.75" customHeight="1">
      <c r="A528" s="35"/>
      <c r="B528" s="35"/>
      <c r="C528" s="35"/>
      <c r="D528" s="35"/>
      <c r="E528" s="34"/>
      <c r="F528" s="34"/>
      <c r="G528" s="34"/>
      <c r="H528" s="34"/>
      <c r="I528" s="35"/>
      <c r="J528" s="35"/>
      <c r="K528" s="35"/>
      <c r="L528" s="35"/>
      <c r="M528" s="35"/>
      <c r="N528" s="35"/>
      <c r="O528" s="35"/>
      <c r="P528" s="35"/>
      <c r="Q528" s="35"/>
      <c r="R528" s="34"/>
      <c r="S528" s="34"/>
      <c r="T528" s="36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</row>
    <row r="529" spans="1:35" ht="15.75" customHeight="1">
      <c r="A529" s="35"/>
      <c r="B529" s="35"/>
      <c r="C529" s="35"/>
      <c r="D529" s="35"/>
      <c r="E529" s="34"/>
      <c r="F529" s="34"/>
      <c r="G529" s="34"/>
      <c r="H529" s="34"/>
      <c r="I529" s="35"/>
      <c r="J529" s="35"/>
      <c r="K529" s="35"/>
      <c r="L529" s="35"/>
      <c r="M529" s="35"/>
      <c r="N529" s="35"/>
      <c r="O529" s="35"/>
      <c r="P529" s="35"/>
      <c r="Q529" s="35"/>
      <c r="R529" s="34"/>
      <c r="S529" s="34"/>
      <c r="T529" s="36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</row>
    <row r="530" spans="1:35" ht="15.75" customHeight="1">
      <c r="A530" s="35"/>
      <c r="B530" s="35"/>
      <c r="C530" s="35"/>
      <c r="D530" s="35"/>
      <c r="E530" s="34"/>
      <c r="F530" s="34"/>
      <c r="G530" s="34"/>
      <c r="H530" s="34"/>
      <c r="I530" s="35"/>
      <c r="J530" s="35"/>
      <c r="K530" s="35"/>
      <c r="L530" s="35"/>
      <c r="M530" s="35"/>
      <c r="N530" s="35"/>
      <c r="O530" s="35"/>
      <c r="P530" s="35"/>
      <c r="Q530" s="35"/>
      <c r="R530" s="34"/>
      <c r="S530" s="34"/>
      <c r="T530" s="36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</row>
    <row r="531" spans="1:35" ht="15.75" customHeight="1">
      <c r="A531" s="35"/>
      <c r="B531" s="35"/>
      <c r="C531" s="35"/>
      <c r="D531" s="35"/>
      <c r="E531" s="34"/>
      <c r="F531" s="34"/>
      <c r="G531" s="34"/>
      <c r="H531" s="34"/>
      <c r="I531" s="35"/>
      <c r="J531" s="35"/>
      <c r="K531" s="35"/>
      <c r="L531" s="35"/>
      <c r="M531" s="35"/>
      <c r="N531" s="35"/>
      <c r="O531" s="35"/>
      <c r="P531" s="35"/>
      <c r="Q531" s="35"/>
      <c r="R531" s="34"/>
      <c r="S531" s="34"/>
      <c r="T531" s="36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</row>
    <row r="532" spans="1:35" ht="15.75" customHeight="1">
      <c r="A532" s="35"/>
      <c r="B532" s="35"/>
      <c r="C532" s="35"/>
      <c r="D532" s="35"/>
      <c r="E532" s="34"/>
      <c r="F532" s="34"/>
      <c r="G532" s="34"/>
      <c r="H532" s="34"/>
      <c r="I532" s="35"/>
      <c r="J532" s="35"/>
      <c r="K532" s="35"/>
      <c r="L532" s="35"/>
      <c r="M532" s="35"/>
      <c r="N532" s="35"/>
      <c r="O532" s="35"/>
      <c r="P532" s="35"/>
      <c r="Q532" s="35"/>
      <c r="R532" s="34"/>
      <c r="S532" s="34"/>
      <c r="T532" s="36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</row>
    <row r="533" spans="1:35" ht="15.75" customHeight="1">
      <c r="A533" s="35"/>
      <c r="B533" s="35"/>
      <c r="C533" s="35"/>
      <c r="D533" s="35"/>
      <c r="E533" s="34"/>
      <c r="F533" s="34"/>
      <c r="G533" s="34"/>
      <c r="H533" s="34"/>
      <c r="I533" s="35"/>
      <c r="J533" s="35"/>
      <c r="K533" s="35"/>
      <c r="L533" s="35"/>
      <c r="M533" s="35"/>
      <c r="N533" s="35"/>
      <c r="O533" s="35"/>
      <c r="P533" s="35"/>
      <c r="Q533" s="35"/>
      <c r="R533" s="34"/>
      <c r="S533" s="34"/>
      <c r="T533" s="36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</row>
    <row r="534" spans="1:35" ht="15.75" customHeight="1">
      <c r="A534" s="35"/>
      <c r="B534" s="35"/>
      <c r="C534" s="35"/>
      <c r="D534" s="35"/>
      <c r="E534" s="34"/>
      <c r="F534" s="34"/>
      <c r="G534" s="34"/>
      <c r="H534" s="34"/>
      <c r="I534" s="35"/>
      <c r="J534" s="35"/>
      <c r="K534" s="35"/>
      <c r="L534" s="35"/>
      <c r="M534" s="35"/>
      <c r="N534" s="35"/>
      <c r="O534" s="35"/>
      <c r="P534" s="35"/>
      <c r="Q534" s="35"/>
      <c r="R534" s="34"/>
      <c r="S534" s="34"/>
      <c r="T534" s="36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</row>
    <row r="535" spans="1:35" ht="15.75" customHeight="1">
      <c r="A535" s="35"/>
      <c r="B535" s="35"/>
      <c r="C535" s="35"/>
      <c r="D535" s="35"/>
      <c r="E535" s="34"/>
      <c r="F535" s="34"/>
      <c r="G535" s="34"/>
      <c r="H535" s="34"/>
      <c r="I535" s="35"/>
      <c r="J535" s="35"/>
      <c r="K535" s="35"/>
      <c r="L535" s="35"/>
      <c r="M535" s="35"/>
      <c r="N535" s="35"/>
      <c r="O535" s="35"/>
      <c r="P535" s="35"/>
      <c r="Q535" s="35"/>
      <c r="R535" s="34"/>
      <c r="S535" s="34"/>
      <c r="T535" s="36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</row>
    <row r="536" spans="1:35" ht="15.75" customHeight="1">
      <c r="A536" s="35"/>
      <c r="B536" s="35"/>
      <c r="C536" s="35"/>
      <c r="D536" s="35"/>
      <c r="E536" s="34"/>
      <c r="F536" s="34"/>
      <c r="G536" s="34"/>
      <c r="H536" s="34"/>
      <c r="I536" s="35"/>
      <c r="J536" s="35"/>
      <c r="K536" s="35"/>
      <c r="L536" s="35"/>
      <c r="M536" s="35"/>
      <c r="N536" s="35"/>
      <c r="O536" s="35"/>
      <c r="P536" s="35"/>
      <c r="Q536" s="35"/>
      <c r="R536" s="34"/>
      <c r="S536" s="34"/>
      <c r="T536" s="36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</row>
    <row r="537" spans="1:35" ht="15.75" customHeight="1">
      <c r="A537" s="35"/>
      <c r="B537" s="35"/>
      <c r="C537" s="35"/>
      <c r="D537" s="35"/>
      <c r="E537" s="34"/>
      <c r="F537" s="34"/>
      <c r="G537" s="34"/>
      <c r="H537" s="34"/>
      <c r="I537" s="35"/>
      <c r="J537" s="35"/>
      <c r="K537" s="35"/>
      <c r="L537" s="35"/>
      <c r="M537" s="35"/>
      <c r="N537" s="35"/>
      <c r="O537" s="35"/>
      <c r="P537" s="35"/>
      <c r="Q537" s="35"/>
      <c r="R537" s="34"/>
      <c r="S537" s="34"/>
      <c r="T537" s="36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</row>
    <row r="538" spans="1:35" ht="15.75" customHeight="1">
      <c r="A538" s="35"/>
      <c r="B538" s="35"/>
      <c r="C538" s="35"/>
      <c r="D538" s="35"/>
      <c r="E538" s="34"/>
      <c r="F538" s="34"/>
      <c r="G538" s="34"/>
      <c r="H538" s="34"/>
      <c r="I538" s="35"/>
      <c r="J538" s="35"/>
      <c r="K538" s="35"/>
      <c r="L538" s="35"/>
      <c r="M538" s="35"/>
      <c r="N538" s="35"/>
      <c r="O538" s="35"/>
      <c r="P538" s="35"/>
      <c r="Q538" s="35"/>
      <c r="R538" s="34"/>
      <c r="S538" s="34"/>
      <c r="T538" s="36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</row>
    <row r="539" spans="1:35" ht="15.75" customHeight="1">
      <c r="A539" s="35"/>
      <c r="B539" s="35"/>
      <c r="C539" s="35"/>
      <c r="D539" s="35"/>
      <c r="E539" s="34"/>
      <c r="F539" s="34"/>
      <c r="G539" s="34"/>
      <c r="H539" s="34"/>
      <c r="I539" s="35"/>
      <c r="J539" s="35"/>
      <c r="K539" s="35"/>
      <c r="L539" s="35"/>
      <c r="M539" s="35"/>
      <c r="N539" s="35"/>
      <c r="O539" s="35"/>
      <c r="P539" s="35"/>
      <c r="Q539" s="35"/>
      <c r="R539" s="34"/>
      <c r="S539" s="34"/>
      <c r="T539" s="36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</row>
    <row r="540" spans="1:35" ht="15.75" customHeight="1">
      <c r="A540" s="35"/>
      <c r="B540" s="35"/>
      <c r="C540" s="35"/>
      <c r="D540" s="35"/>
      <c r="E540" s="34"/>
      <c r="F540" s="34"/>
      <c r="G540" s="34"/>
      <c r="H540" s="34"/>
      <c r="I540" s="35"/>
      <c r="J540" s="35"/>
      <c r="K540" s="35"/>
      <c r="L540" s="35"/>
      <c r="M540" s="35"/>
      <c r="N540" s="35"/>
      <c r="O540" s="35"/>
      <c r="P540" s="35"/>
      <c r="Q540" s="35"/>
      <c r="R540" s="34"/>
      <c r="S540" s="34"/>
      <c r="T540" s="36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</row>
    <row r="541" spans="1:35" ht="15.75" customHeight="1">
      <c r="A541" s="35"/>
      <c r="B541" s="35"/>
      <c r="C541" s="35"/>
      <c r="D541" s="35"/>
      <c r="E541" s="34"/>
      <c r="F541" s="34"/>
      <c r="G541" s="34"/>
      <c r="H541" s="34"/>
      <c r="I541" s="35"/>
      <c r="J541" s="35"/>
      <c r="K541" s="35"/>
      <c r="L541" s="35"/>
      <c r="M541" s="35"/>
      <c r="N541" s="35"/>
      <c r="O541" s="35"/>
      <c r="P541" s="35"/>
      <c r="Q541" s="35"/>
      <c r="R541" s="34"/>
      <c r="S541" s="34"/>
      <c r="T541" s="36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</row>
    <row r="542" spans="1:35" ht="15.75" customHeight="1">
      <c r="A542" s="35"/>
      <c r="B542" s="35"/>
      <c r="C542" s="35"/>
      <c r="D542" s="35"/>
      <c r="E542" s="34"/>
      <c r="F542" s="34"/>
      <c r="G542" s="34"/>
      <c r="H542" s="34"/>
      <c r="I542" s="35"/>
      <c r="J542" s="35"/>
      <c r="K542" s="35"/>
      <c r="L542" s="35"/>
      <c r="M542" s="35"/>
      <c r="N542" s="35"/>
      <c r="O542" s="35"/>
      <c r="P542" s="35"/>
      <c r="Q542" s="35"/>
      <c r="R542" s="34"/>
      <c r="S542" s="34"/>
      <c r="T542" s="36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</row>
    <row r="543" spans="1:35" ht="15.75" customHeight="1">
      <c r="A543" s="35"/>
      <c r="B543" s="35"/>
      <c r="C543" s="35"/>
      <c r="D543" s="35"/>
      <c r="E543" s="34"/>
      <c r="F543" s="34"/>
      <c r="G543" s="34"/>
      <c r="H543" s="34"/>
      <c r="I543" s="35"/>
      <c r="J543" s="35"/>
      <c r="K543" s="35"/>
      <c r="L543" s="35"/>
      <c r="M543" s="35"/>
      <c r="N543" s="35"/>
      <c r="O543" s="35"/>
      <c r="P543" s="35"/>
      <c r="Q543" s="35"/>
      <c r="R543" s="34"/>
      <c r="S543" s="34"/>
      <c r="T543" s="36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</row>
    <row r="544" spans="1:35" ht="15.75" customHeight="1">
      <c r="A544" s="35"/>
      <c r="B544" s="35"/>
      <c r="C544" s="35"/>
      <c r="D544" s="35"/>
      <c r="E544" s="34"/>
      <c r="F544" s="34"/>
      <c r="G544" s="34"/>
      <c r="H544" s="34"/>
      <c r="I544" s="35"/>
      <c r="J544" s="35"/>
      <c r="K544" s="35"/>
      <c r="L544" s="35"/>
      <c r="M544" s="35"/>
      <c r="N544" s="35"/>
      <c r="O544" s="35"/>
      <c r="P544" s="35"/>
      <c r="Q544" s="35"/>
      <c r="R544" s="34"/>
      <c r="S544" s="34"/>
      <c r="T544" s="36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</row>
    <row r="545" spans="1:35" ht="15.75" customHeight="1">
      <c r="A545" s="35"/>
      <c r="B545" s="35"/>
      <c r="C545" s="35"/>
      <c r="D545" s="35"/>
      <c r="E545" s="34"/>
      <c r="F545" s="34"/>
      <c r="G545" s="34"/>
      <c r="H545" s="34"/>
      <c r="I545" s="35"/>
      <c r="J545" s="35"/>
      <c r="K545" s="35"/>
      <c r="L545" s="35"/>
      <c r="M545" s="35"/>
      <c r="N545" s="35"/>
      <c r="O545" s="35"/>
      <c r="P545" s="35"/>
      <c r="Q545" s="35"/>
      <c r="R545" s="34"/>
      <c r="S545" s="34"/>
      <c r="T545" s="36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</row>
    <row r="546" spans="1:35" ht="15.75" customHeight="1">
      <c r="A546" s="35"/>
      <c r="B546" s="35"/>
      <c r="C546" s="35"/>
      <c r="D546" s="35"/>
      <c r="E546" s="34"/>
      <c r="F546" s="34"/>
      <c r="G546" s="34"/>
      <c r="H546" s="34"/>
      <c r="I546" s="35"/>
      <c r="J546" s="35"/>
      <c r="K546" s="35"/>
      <c r="L546" s="35"/>
      <c r="M546" s="35"/>
      <c r="N546" s="35"/>
      <c r="O546" s="35"/>
      <c r="P546" s="35"/>
      <c r="Q546" s="35"/>
      <c r="R546" s="34"/>
      <c r="S546" s="34"/>
      <c r="T546" s="36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</row>
    <row r="547" spans="1:35" ht="15.75" customHeight="1">
      <c r="A547" s="35"/>
      <c r="B547" s="35"/>
      <c r="C547" s="35"/>
      <c r="D547" s="35"/>
      <c r="E547" s="34"/>
      <c r="F547" s="34"/>
      <c r="G547" s="34"/>
      <c r="H547" s="34"/>
      <c r="I547" s="35"/>
      <c r="J547" s="35"/>
      <c r="K547" s="35"/>
      <c r="L547" s="35"/>
      <c r="M547" s="35"/>
      <c r="N547" s="35"/>
      <c r="O547" s="35"/>
      <c r="P547" s="35"/>
      <c r="Q547" s="35"/>
      <c r="R547" s="34"/>
      <c r="S547" s="38"/>
      <c r="T547" s="36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</row>
    <row r="548" spans="1:35" ht="15.75" customHeight="1">
      <c r="A548" s="35"/>
      <c r="B548" s="35"/>
      <c r="C548" s="35"/>
      <c r="D548" s="35"/>
      <c r="E548" s="34"/>
      <c r="F548" s="34"/>
      <c r="G548" s="34"/>
      <c r="H548" s="34"/>
      <c r="I548" s="35"/>
      <c r="J548" s="35"/>
      <c r="K548" s="35"/>
      <c r="L548" s="35"/>
      <c r="M548" s="35"/>
      <c r="N548" s="35"/>
      <c r="O548" s="35"/>
      <c r="P548" s="35"/>
      <c r="Q548" s="35"/>
      <c r="R548" s="34"/>
      <c r="S548" s="34"/>
      <c r="T548" s="36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</row>
    <row r="549" spans="1:35" ht="15.75" customHeight="1">
      <c r="A549" s="35"/>
      <c r="B549" s="35"/>
      <c r="C549" s="35"/>
      <c r="D549" s="35"/>
      <c r="E549" s="34"/>
      <c r="F549" s="34"/>
      <c r="G549" s="34"/>
      <c r="H549" s="34"/>
      <c r="I549" s="35"/>
      <c r="J549" s="35"/>
      <c r="K549" s="35"/>
      <c r="L549" s="35"/>
      <c r="M549" s="35"/>
      <c r="N549" s="35"/>
      <c r="O549" s="35"/>
      <c r="P549" s="35"/>
      <c r="Q549" s="35"/>
      <c r="R549" s="34"/>
      <c r="S549" s="34"/>
      <c r="T549" s="36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</row>
    <row r="550" spans="1:35" ht="15.75" customHeight="1">
      <c r="A550" s="35"/>
      <c r="B550" s="35"/>
      <c r="C550" s="35"/>
      <c r="D550" s="35"/>
      <c r="E550" s="34"/>
      <c r="F550" s="34"/>
      <c r="G550" s="34"/>
      <c r="H550" s="34"/>
      <c r="I550" s="35"/>
      <c r="J550" s="35"/>
      <c r="K550" s="35"/>
      <c r="L550" s="35"/>
      <c r="M550" s="35"/>
      <c r="N550" s="35"/>
      <c r="O550" s="35"/>
      <c r="P550" s="35"/>
      <c r="Q550" s="35"/>
      <c r="R550" s="34"/>
      <c r="S550" s="34"/>
      <c r="T550" s="36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</row>
    <row r="551" spans="1:35" ht="15.75" customHeight="1">
      <c r="A551" s="35"/>
      <c r="B551" s="35"/>
      <c r="C551" s="35"/>
      <c r="D551" s="35"/>
      <c r="E551" s="34"/>
      <c r="F551" s="34"/>
      <c r="G551" s="34"/>
      <c r="H551" s="34"/>
      <c r="I551" s="35"/>
      <c r="J551" s="35"/>
      <c r="K551" s="35"/>
      <c r="L551" s="35"/>
      <c r="M551" s="35"/>
      <c r="N551" s="35"/>
      <c r="O551" s="35"/>
      <c r="P551" s="35"/>
      <c r="Q551" s="35"/>
      <c r="R551" s="34"/>
      <c r="S551" s="34"/>
      <c r="T551" s="36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</row>
    <row r="552" spans="1:35" ht="15.75" customHeight="1">
      <c r="A552" s="35"/>
      <c r="B552" s="35"/>
      <c r="C552" s="35"/>
      <c r="D552" s="35"/>
      <c r="E552" s="34"/>
      <c r="F552" s="34"/>
      <c r="G552" s="34"/>
      <c r="H552" s="34"/>
      <c r="I552" s="35"/>
      <c r="J552" s="35"/>
      <c r="K552" s="35"/>
      <c r="L552" s="35"/>
      <c r="M552" s="35"/>
      <c r="N552" s="35"/>
      <c r="O552" s="35"/>
      <c r="P552" s="35"/>
      <c r="Q552" s="35"/>
      <c r="R552" s="34"/>
      <c r="S552" s="34"/>
      <c r="T552" s="36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</row>
    <row r="553" spans="1:35" ht="15.75" customHeight="1">
      <c r="A553" s="35"/>
      <c r="B553" s="35"/>
      <c r="C553" s="35"/>
      <c r="D553" s="35"/>
      <c r="E553" s="34"/>
      <c r="F553" s="34"/>
      <c r="G553" s="34"/>
      <c r="H553" s="34"/>
      <c r="I553" s="35"/>
      <c r="J553" s="35"/>
      <c r="K553" s="35"/>
      <c r="L553" s="35"/>
      <c r="M553" s="35"/>
      <c r="N553" s="35"/>
      <c r="O553" s="35"/>
      <c r="P553" s="35"/>
      <c r="Q553" s="35"/>
      <c r="R553" s="34"/>
      <c r="S553" s="34"/>
      <c r="T553" s="36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</row>
    <row r="554" spans="1:35" ht="15.75" customHeight="1">
      <c r="A554" s="35"/>
      <c r="B554" s="35"/>
      <c r="C554" s="35"/>
      <c r="D554" s="35"/>
      <c r="E554" s="34"/>
      <c r="F554" s="34"/>
      <c r="G554" s="34"/>
      <c r="H554" s="34"/>
      <c r="I554" s="35"/>
      <c r="J554" s="35"/>
      <c r="K554" s="35"/>
      <c r="L554" s="35"/>
      <c r="M554" s="35"/>
      <c r="N554" s="35"/>
      <c r="O554" s="35"/>
      <c r="P554" s="35"/>
      <c r="Q554" s="35"/>
      <c r="R554" s="34"/>
      <c r="S554" s="34"/>
      <c r="T554" s="36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</row>
    <row r="555" spans="1:35" ht="15.75" customHeight="1">
      <c r="A555" s="35"/>
      <c r="B555" s="35"/>
      <c r="C555" s="35"/>
      <c r="D555" s="35"/>
      <c r="E555" s="34"/>
      <c r="F555" s="34"/>
      <c r="G555" s="34"/>
      <c r="H555" s="34"/>
      <c r="I555" s="35"/>
      <c r="J555" s="35"/>
      <c r="K555" s="35"/>
      <c r="L555" s="35"/>
      <c r="M555" s="35"/>
      <c r="N555" s="35"/>
      <c r="O555" s="35"/>
      <c r="P555" s="35"/>
      <c r="Q555" s="35"/>
      <c r="R555" s="34"/>
      <c r="S555" s="34"/>
      <c r="T555" s="36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</row>
    <row r="556" spans="1:35" ht="15.75" customHeight="1">
      <c r="A556" s="35"/>
      <c r="B556" s="35"/>
      <c r="C556" s="35"/>
      <c r="D556" s="35"/>
      <c r="E556" s="34"/>
      <c r="F556" s="34"/>
      <c r="G556" s="34"/>
      <c r="H556" s="34"/>
      <c r="I556" s="35"/>
      <c r="J556" s="35"/>
      <c r="K556" s="35"/>
      <c r="L556" s="35"/>
      <c r="M556" s="35"/>
      <c r="N556" s="35"/>
      <c r="O556" s="35"/>
      <c r="P556" s="35"/>
      <c r="Q556" s="35"/>
      <c r="R556" s="34"/>
      <c r="S556" s="34"/>
      <c r="T556" s="36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</row>
    <row r="557" spans="1:35" ht="15.75" customHeight="1">
      <c r="A557" s="35"/>
      <c r="B557" s="35"/>
      <c r="C557" s="35"/>
      <c r="D557" s="35"/>
      <c r="E557" s="34"/>
      <c r="F557" s="34"/>
      <c r="G557" s="34"/>
      <c r="H557" s="34"/>
      <c r="I557" s="35"/>
      <c r="J557" s="35"/>
      <c r="K557" s="35"/>
      <c r="L557" s="35"/>
      <c r="M557" s="35"/>
      <c r="N557" s="35"/>
      <c r="O557" s="35"/>
      <c r="P557" s="35"/>
      <c r="Q557" s="35"/>
      <c r="R557" s="34"/>
      <c r="S557" s="34"/>
      <c r="T557" s="36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</row>
    <row r="558" spans="1:35" ht="15.75" customHeight="1">
      <c r="A558" s="35"/>
      <c r="B558" s="35"/>
      <c r="C558" s="35"/>
      <c r="D558" s="35"/>
      <c r="E558" s="34"/>
      <c r="F558" s="34"/>
      <c r="G558" s="34"/>
      <c r="H558" s="34"/>
      <c r="I558" s="35"/>
      <c r="J558" s="35"/>
      <c r="K558" s="35"/>
      <c r="L558" s="35"/>
      <c r="M558" s="35"/>
      <c r="N558" s="35"/>
      <c r="O558" s="35"/>
      <c r="P558" s="35"/>
      <c r="Q558" s="35"/>
      <c r="R558" s="34"/>
      <c r="S558" s="34"/>
      <c r="T558" s="36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</row>
    <row r="559" spans="1:35" ht="15.75" customHeight="1">
      <c r="A559" s="35"/>
      <c r="B559" s="35"/>
      <c r="C559" s="35"/>
      <c r="D559" s="35"/>
      <c r="E559" s="34"/>
      <c r="F559" s="34"/>
      <c r="G559" s="34"/>
      <c r="H559" s="34"/>
      <c r="I559" s="35"/>
      <c r="J559" s="35"/>
      <c r="K559" s="35"/>
      <c r="L559" s="35"/>
      <c r="M559" s="35"/>
      <c r="N559" s="35"/>
      <c r="O559" s="35"/>
      <c r="P559" s="35"/>
      <c r="Q559" s="35"/>
      <c r="R559" s="34"/>
      <c r="S559" s="34"/>
      <c r="T559" s="36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</row>
    <row r="560" spans="1:35" ht="15.75" customHeight="1">
      <c r="A560" s="35"/>
      <c r="B560" s="35"/>
      <c r="C560" s="35"/>
      <c r="D560" s="35"/>
      <c r="E560" s="34"/>
      <c r="F560" s="34"/>
      <c r="G560" s="34"/>
      <c r="H560" s="34"/>
      <c r="I560" s="35"/>
      <c r="J560" s="35"/>
      <c r="K560" s="35"/>
      <c r="L560" s="35"/>
      <c r="M560" s="35"/>
      <c r="N560" s="35"/>
      <c r="O560" s="35"/>
      <c r="P560" s="35"/>
      <c r="Q560" s="35"/>
      <c r="R560" s="34"/>
      <c r="S560" s="34"/>
      <c r="T560" s="36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</row>
    <row r="561" spans="1:35" ht="15.75" customHeight="1">
      <c r="A561" s="35"/>
      <c r="B561" s="35"/>
      <c r="C561" s="35"/>
      <c r="D561" s="35"/>
      <c r="E561" s="34"/>
      <c r="F561" s="34"/>
      <c r="G561" s="34"/>
      <c r="H561" s="34"/>
      <c r="I561" s="35"/>
      <c r="J561" s="35"/>
      <c r="K561" s="35"/>
      <c r="L561" s="35"/>
      <c r="M561" s="35"/>
      <c r="N561" s="35"/>
      <c r="O561" s="35"/>
      <c r="P561" s="35"/>
      <c r="Q561" s="35"/>
      <c r="R561" s="34"/>
      <c r="S561" s="34"/>
      <c r="T561" s="36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</row>
    <row r="562" spans="1:35" ht="15.75" customHeight="1">
      <c r="A562" s="35"/>
      <c r="B562" s="35"/>
      <c r="C562" s="35"/>
      <c r="D562" s="35"/>
      <c r="E562" s="34"/>
      <c r="F562" s="34"/>
      <c r="G562" s="34"/>
      <c r="H562" s="34"/>
      <c r="I562" s="35"/>
      <c r="J562" s="35"/>
      <c r="K562" s="35"/>
      <c r="L562" s="35"/>
      <c r="M562" s="35"/>
      <c r="N562" s="35"/>
      <c r="O562" s="35"/>
      <c r="P562" s="35"/>
      <c r="Q562" s="35"/>
      <c r="R562" s="34"/>
      <c r="S562" s="34"/>
      <c r="T562" s="36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</row>
    <row r="563" spans="1:35" ht="15.75" customHeight="1">
      <c r="A563" s="35"/>
      <c r="B563" s="35"/>
      <c r="C563" s="35"/>
      <c r="D563" s="35"/>
      <c r="E563" s="34"/>
      <c r="F563" s="34"/>
      <c r="G563" s="34"/>
      <c r="H563" s="34"/>
      <c r="I563" s="35"/>
      <c r="J563" s="35"/>
      <c r="K563" s="35"/>
      <c r="L563" s="35"/>
      <c r="M563" s="35"/>
      <c r="N563" s="35"/>
      <c r="O563" s="35"/>
      <c r="P563" s="35"/>
      <c r="Q563" s="35"/>
      <c r="R563" s="34"/>
      <c r="S563" s="34"/>
      <c r="T563" s="36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</row>
    <row r="564" spans="1:35" ht="15.75" customHeight="1">
      <c r="A564" s="35"/>
      <c r="B564" s="35"/>
      <c r="C564" s="35"/>
      <c r="D564" s="35"/>
      <c r="E564" s="34"/>
      <c r="F564" s="34"/>
      <c r="G564" s="34"/>
      <c r="H564" s="34"/>
      <c r="I564" s="35"/>
      <c r="J564" s="35"/>
      <c r="K564" s="35"/>
      <c r="L564" s="35"/>
      <c r="M564" s="35"/>
      <c r="N564" s="35"/>
      <c r="O564" s="35"/>
      <c r="P564" s="35"/>
      <c r="Q564" s="35"/>
      <c r="R564" s="34"/>
      <c r="S564" s="34"/>
      <c r="T564" s="36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</row>
    <row r="565" spans="1:35" ht="15.75" customHeight="1">
      <c r="A565" s="35"/>
      <c r="B565" s="35"/>
      <c r="C565" s="35"/>
      <c r="D565" s="35"/>
      <c r="E565" s="34"/>
      <c r="F565" s="34"/>
      <c r="G565" s="34"/>
      <c r="H565" s="34"/>
      <c r="I565" s="35"/>
      <c r="J565" s="35"/>
      <c r="K565" s="35"/>
      <c r="L565" s="35"/>
      <c r="M565" s="35"/>
      <c r="N565" s="35"/>
      <c r="O565" s="35"/>
      <c r="P565" s="35"/>
      <c r="Q565" s="35"/>
      <c r="R565" s="34"/>
      <c r="S565" s="34"/>
      <c r="T565" s="36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</row>
    <row r="566" spans="1:35" ht="15.75" customHeight="1">
      <c r="A566" s="35"/>
      <c r="B566" s="35"/>
      <c r="C566" s="35"/>
      <c r="D566" s="35"/>
      <c r="E566" s="34"/>
      <c r="F566" s="34"/>
      <c r="G566" s="34"/>
      <c r="H566" s="34"/>
      <c r="I566" s="35"/>
      <c r="J566" s="35"/>
      <c r="K566" s="35"/>
      <c r="L566" s="35"/>
      <c r="M566" s="35"/>
      <c r="N566" s="35"/>
      <c r="O566" s="35"/>
      <c r="P566" s="35"/>
      <c r="Q566" s="35"/>
      <c r="R566" s="34"/>
      <c r="S566" s="34"/>
      <c r="T566" s="36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</row>
    <row r="567" spans="1:35" ht="15.75" customHeight="1">
      <c r="A567" s="35"/>
      <c r="B567" s="35"/>
      <c r="C567" s="35"/>
      <c r="D567" s="35"/>
      <c r="E567" s="34"/>
      <c r="F567" s="34"/>
      <c r="G567" s="34"/>
      <c r="H567" s="34"/>
      <c r="I567" s="35"/>
      <c r="J567" s="35"/>
      <c r="K567" s="35"/>
      <c r="L567" s="35"/>
      <c r="M567" s="35"/>
      <c r="N567" s="35"/>
      <c r="O567" s="35"/>
      <c r="P567" s="35"/>
      <c r="Q567" s="35"/>
      <c r="R567" s="34"/>
      <c r="S567" s="38"/>
      <c r="T567" s="36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</row>
    <row r="568" spans="1:35" ht="15.75" customHeight="1">
      <c r="A568" s="35"/>
      <c r="B568" s="35"/>
      <c r="C568" s="35"/>
      <c r="D568" s="35"/>
      <c r="E568" s="34"/>
      <c r="F568" s="34"/>
      <c r="G568" s="34"/>
      <c r="H568" s="34"/>
      <c r="I568" s="35"/>
      <c r="J568" s="35"/>
      <c r="K568" s="35"/>
      <c r="L568" s="35"/>
      <c r="M568" s="35"/>
      <c r="N568" s="35"/>
      <c r="O568" s="35"/>
      <c r="P568" s="35"/>
      <c r="Q568" s="35"/>
      <c r="R568" s="34"/>
      <c r="S568" s="34"/>
      <c r="T568" s="36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</row>
    <row r="569" spans="1:35" ht="15.75" customHeight="1">
      <c r="A569" s="35"/>
      <c r="B569" s="35"/>
      <c r="C569" s="35"/>
      <c r="D569" s="35"/>
      <c r="E569" s="34"/>
      <c r="F569" s="34"/>
      <c r="G569" s="34"/>
      <c r="H569" s="34"/>
      <c r="I569" s="35"/>
      <c r="J569" s="35"/>
      <c r="K569" s="35"/>
      <c r="L569" s="35"/>
      <c r="M569" s="35"/>
      <c r="N569" s="35"/>
      <c r="O569" s="35"/>
      <c r="P569" s="35"/>
      <c r="Q569" s="35"/>
      <c r="R569" s="34"/>
      <c r="S569" s="34"/>
      <c r="T569" s="36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 spans="1:35" ht="15.75" customHeight="1">
      <c r="A570" s="35"/>
      <c r="B570" s="35"/>
      <c r="C570" s="35"/>
      <c r="D570" s="35"/>
      <c r="E570" s="34"/>
      <c r="F570" s="34"/>
      <c r="G570" s="34"/>
      <c r="H570" s="34"/>
      <c r="I570" s="35"/>
      <c r="J570" s="35"/>
      <c r="K570" s="35"/>
      <c r="L570" s="35"/>
      <c r="M570" s="35"/>
      <c r="N570" s="35"/>
      <c r="O570" s="35"/>
      <c r="P570" s="35"/>
      <c r="Q570" s="35"/>
      <c r="R570" s="34"/>
      <c r="S570" s="34"/>
      <c r="T570" s="36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</row>
    <row r="571" spans="1:35" ht="15.75" customHeight="1">
      <c r="A571" s="35"/>
      <c r="B571" s="35"/>
      <c r="C571" s="35"/>
      <c r="D571" s="35"/>
      <c r="E571" s="34"/>
      <c r="F571" s="34"/>
      <c r="G571" s="34"/>
      <c r="H571" s="34"/>
      <c r="I571" s="35"/>
      <c r="J571" s="35"/>
      <c r="K571" s="35"/>
      <c r="L571" s="35"/>
      <c r="M571" s="35"/>
      <c r="N571" s="35"/>
      <c r="O571" s="35"/>
      <c r="P571" s="35"/>
      <c r="Q571" s="35"/>
      <c r="R571" s="34"/>
      <c r="S571" s="34"/>
      <c r="T571" s="36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</row>
    <row r="572" spans="1:35" ht="15.75" customHeight="1">
      <c r="A572" s="35"/>
      <c r="B572" s="35"/>
      <c r="C572" s="35"/>
      <c r="D572" s="35"/>
      <c r="E572" s="34"/>
      <c r="F572" s="34"/>
      <c r="G572" s="34"/>
      <c r="H572" s="34"/>
      <c r="I572" s="35"/>
      <c r="J572" s="35"/>
      <c r="K572" s="35"/>
      <c r="L572" s="35"/>
      <c r="M572" s="35"/>
      <c r="N572" s="35"/>
      <c r="O572" s="35"/>
      <c r="P572" s="35"/>
      <c r="Q572" s="35"/>
      <c r="R572" s="34"/>
      <c r="S572" s="34"/>
      <c r="T572" s="36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</row>
    <row r="573" spans="1:35" ht="15.75" customHeight="1">
      <c r="A573" s="35"/>
      <c r="B573" s="35"/>
      <c r="C573" s="35"/>
      <c r="D573" s="35"/>
      <c r="E573" s="34"/>
      <c r="F573" s="34"/>
      <c r="G573" s="34"/>
      <c r="H573" s="34"/>
      <c r="I573" s="35"/>
      <c r="J573" s="35"/>
      <c r="K573" s="35"/>
      <c r="L573" s="35"/>
      <c r="M573" s="35"/>
      <c r="N573" s="35"/>
      <c r="O573" s="35"/>
      <c r="P573" s="35"/>
      <c r="Q573" s="35"/>
      <c r="R573" s="34"/>
      <c r="S573" s="34"/>
      <c r="T573" s="36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</row>
    <row r="574" spans="1:35" ht="15.75" customHeight="1">
      <c r="A574" s="35"/>
      <c r="B574" s="35"/>
      <c r="C574" s="35"/>
      <c r="D574" s="35"/>
      <c r="E574" s="34"/>
      <c r="F574" s="34"/>
      <c r="G574" s="34"/>
      <c r="H574" s="34"/>
      <c r="I574" s="35"/>
      <c r="J574" s="35"/>
      <c r="K574" s="35"/>
      <c r="L574" s="35"/>
      <c r="M574" s="35"/>
      <c r="N574" s="35"/>
      <c r="O574" s="35"/>
      <c r="P574" s="35"/>
      <c r="Q574" s="35"/>
      <c r="R574" s="34"/>
      <c r="S574" s="34"/>
      <c r="T574" s="36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 spans="1:35" ht="15.75" customHeight="1">
      <c r="A575" s="35"/>
      <c r="B575" s="35"/>
      <c r="C575" s="35"/>
      <c r="D575" s="35"/>
      <c r="E575" s="34"/>
      <c r="F575" s="34"/>
      <c r="G575" s="34"/>
      <c r="H575" s="34"/>
      <c r="I575" s="35"/>
      <c r="J575" s="35"/>
      <c r="K575" s="35"/>
      <c r="L575" s="35"/>
      <c r="M575" s="35"/>
      <c r="N575" s="35"/>
      <c r="O575" s="35"/>
      <c r="P575" s="35"/>
      <c r="Q575" s="35"/>
      <c r="R575" s="34"/>
      <c r="S575" s="34"/>
      <c r="T575" s="36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 spans="1:35" ht="15.75" customHeight="1">
      <c r="A576" s="35"/>
      <c r="B576" s="35"/>
      <c r="C576" s="35"/>
      <c r="D576" s="35"/>
      <c r="E576" s="34"/>
      <c r="F576" s="34"/>
      <c r="G576" s="34"/>
      <c r="H576" s="34"/>
      <c r="I576" s="35"/>
      <c r="J576" s="35"/>
      <c r="K576" s="35"/>
      <c r="L576" s="35"/>
      <c r="M576" s="35"/>
      <c r="N576" s="35"/>
      <c r="O576" s="35"/>
      <c r="P576" s="35"/>
      <c r="Q576" s="35"/>
      <c r="R576" s="34"/>
      <c r="S576" s="34"/>
      <c r="T576" s="36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 spans="1:35" ht="15.75" customHeight="1">
      <c r="A577" s="35"/>
      <c r="B577" s="35"/>
      <c r="C577" s="35"/>
      <c r="D577" s="35"/>
      <c r="E577" s="34"/>
      <c r="F577" s="34"/>
      <c r="G577" s="34"/>
      <c r="H577" s="34"/>
      <c r="I577" s="35"/>
      <c r="J577" s="35"/>
      <c r="K577" s="35"/>
      <c r="L577" s="35"/>
      <c r="M577" s="35"/>
      <c r="N577" s="35"/>
      <c r="O577" s="35"/>
      <c r="P577" s="35"/>
      <c r="Q577" s="35"/>
      <c r="R577" s="34"/>
      <c r="S577" s="34"/>
      <c r="T577" s="36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</row>
    <row r="578" spans="1:35" ht="15.75" customHeight="1">
      <c r="A578" s="35"/>
      <c r="B578" s="35"/>
      <c r="C578" s="35"/>
      <c r="D578" s="35"/>
      <c r="E578" s="34"/>
      <c r="F578" s="34"/>
      <c r="G578" s="34"/>
      <c r="H578" s="34"/>
      <c r="I578" s="35"/>
      <c r="J578" s="35"/>
      <c r="K578" s="35"/>
      <c r="L578" s="35"/>
      <c r="M578" s="35"/>
      <c r="N578" s="35"/>
      <c r="O578" s="35"/>
      <c r="P578" s="35"/>
      <c r="Q578" s="35"/>
      <c r="R578" s="34"/>
      <c r="S578" s="34"/>
      <c r="T578" s="36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 spans="1:35" ht="15.75" customHeight="1">
      <c r="A579" s="35"/>
      <c r="B579" s="35"/>
      <c r="C579" s="35"/>
      <c r="D579" s="35"/>
      <c r="E579" s="34"/>
      <c r="F579" s="34"/>
      <c r="G579" s="34"/>
      <c r="H579" s="34"/>
      <c r="I579" s="35"/>
      <c r="J579" s="35"/>
      <c r="K579" s="35"/>
      <c r="L579" s="35"/>
      <c r="M579" s="35"/>
      <c r="N579" s="35"/>
      <c r="O579" s="35"/>
      <c r="P579" s="35"/>
      <c r="Q579" s="35"/>
      <c r="R579" s="34"/>
      <c r="S579" s="34"/>
      <c r="T579" s="36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</row>
    <row r="580" spans="1:35" ht="15.75" customHeight="1">
      <c r="A580" s="35"/>
      <c r="B580" s="35"/>
      <c r="C580" s="35"/>
      <c r="D580" s="35"/>
      <c r="E580" s="34"/>
      <c r="F580" s="34"/>
      <c r="G580" s="34"/>
      <c r="H580" s="34"/>
      <c r="I580" s="35"/>
      <c r="J580" s="35"/>
      <c r="K580" s="35"/>
      <c r="L580" s="35"/>
      <c r="M580" s="35"/>
      <c r="N580" s="35"/>
      <c r="O580" s="35"/>
      <c r="P580" s="35"/>
      <c r="Q580" s="35"/>
      <c r="R580" s="34"/>
      <c r="S580" s="34"/>
      <c r="T580" s="36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</row>
    <row r="581" spans="1:35" ht="15.75" customHeight="1">
      <c r="A581" s="35"/>
      <c r="B581" s="35"/>
      <c r="C581" s="35"/>
      <c r="D581" s="35"/>
      <c r="E581" s="34"/>
      <c r="F581" s="34"/>
      <c r="G581" s="34"/>
      <c r="H581" s="34"/>
      <c r="I581" s="35"/>
      <c r="J581" s="35"/>
      <c r="K581" s="35"/>
      <c r="L581" s="35"/>
      <c r="M581" s="35"/>
      <c r="N581" s="35"/>
      <c r="O581" s="35"/>
      <c r="P581" s="35"/>
      <c r="Q581" s="35"/>
      <c r="R581" s="34"/>
      <c r="S581" s="34"/>
      <c r="T581" s="36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</row>
    <row r="582" spans="1:35" ht="15.75" customHeight="1">
      <c r="A582" s="35"/>
      <c r="B582" s="35"/>
      <c r="C582" s="35"/>
      <c r="D582" s="35"/>
      <c r="E582" s="34"/>
      <c r="F582" s="34"/>
      <c r="G582" s="34"/>
      <c r="H582" s="34"/>
      <c r="I582" s="35"/>
      <c r="J582" s="35"/>
      <c r="K582" s="35"/>
      <c r="L582" s="35"/>
      <c r="M582" s="35"/>
      <c r="N582" s="35"/>
      <c r="O582" s="35"/>
      <c r="P582" s="35"/>
      <c r="Q582" s="35"/>
      <c r="R582" s="34"/>
      <c r="S582" s="34"/>
      <c r="T582" s="36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</row>
    <row r="583" spans="1:35" ht="15.75" customHeight="1">
      <c r="A583" s="35"/>
      <c r="B583" s="35"/>
      <c r="C583" s="35"/>
      <c r="D583" s="35"/>
      <c r="E583" s="34"/>
      <c r="F583" s="34"/>
      <c r="G583" s="34"/>
      <c r="H583" s="34"/>
      <c r="I583" s="35"/>
      <c r="J583" s="35"/>
      <c r="K583" s="35"/>
      <c r="L583" s="35"/>
      <c r="M583" s="35"/>
      <c r="N583" s="35"/>
      <c r="O583" s="35"/>
      <c r="P583" s="35"/>
      <c r="Q583" s="35"/>
      <c r="R583" s="34"/>
      <c r="S583" s="34"/>
      <c r="T583" s="36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 spans="1:35" ht="15.75" customHeight="1">
      <c r="A584" s="35"/>
      <c r="B584" s="35"/>
      <c r="C584" s="35"/>
      <c r="D584" s="35"/>
      <c r="E584" s="34"/>
      <c r="F584" s="34"/>
      <c r="G584" s="34"/>
      <c r="H584" s="34"/>
      <c r="I584" s="35"/>
      <c r="J584" s="35"/>
      <c r="K584" s="35"/>
      <c r="L584" s="35"/>
      <c r="M584" s="35"/>
      <c r="N584" s="35"/>
      <c r="O584" s="35"/>
      <c r="P584" s="35"/>
      <c r="Q584" s="35"/>
      <c r="R584" s="34"/>
      <c r="S584" s="34"/>
      <c r="T584" s="36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 spans="1:35" ht="15.75" customHeight="1">
      <c r="A585" s="35"/>
      <c r="B585" s="35"/>
      <c r="C585" s="35"/>
      <c r="D585" s="35"/>
      <c r="E585" s="34"/>
      <c r="F585" s="34"/>
      <c r="G585" s="34"/>
      <c r="H585" s="34"/>
      <c r="I585" s="35"/>
      <c r="J585" s="35"/>
      <c r="K585" s="35"/>
      <c r="L585" s="35"/>
      <c r="M585" s="35"/>
      <c r="N585" s="35"/>
      <c r="O585" s="35"/>
      <c r="P585" s="35"/>
      <c r="Q585" s="35"/>
      <c r="R585" s="34"/>
      <c r="S585" s="34"/>
      <c r="T585" s="36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 spans="1:35" ht="15.75" customHeight="1">
      <c r="A586" s="35"/>
      <c r="B586" s="35"/>
      <c r="C586" s="35"/>
      <c r="D586" s="35"/>
      <c r="E586" s="34"/>
      <c r="F586" s="34"/>
      <c r="G586" s="34"/>
      <c r="H586" s="34"/>
      <c r="I586" s="35"/>
      <c r="J586" s="35"/>
      <c r="K586" s="35"/>
      <c r="L586" s="35"/>
      <c r="M586" s="35"/>
      <c r="N586" s="35"/>
      <c r="O586" s="35"/>
      <c r="P586" s="35"/>
      <c r="Q586" s="35"/>
      <c r="R586" s="34"/>
      <c r="S586" s="34"/>
      <c r="T586" s="36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 spans="1:35" ht="15.75" customHeight="1">
      <c r="A587" s="35"/>
      <c r="B587" s="35"/>
      <c r="C587" s="35"/>
      <c r="D587" s="35"/>
      <c r="E587" s="34"/>
      <c r="F587" s="34"/>
      <c r="G587" s="34"/>
      <c r="H587" s="34"/>
      <c r="I587" s="35"/>
      <c r="J587" s="35"/>
      <c r="K587" s="35"/>
      <c r="L587" s="35"/>
      <c r="M587" s="35"/>
      <c r="N587" s="35"/>
      <c r="O587" s="35"/>
      <c r="P587" s="35"/>
      <c r="Q587" s="35"/>
      <c r="R587" s="34"/>
      <c r="S587" s="38"/>
      <c r="T587" s="36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 spans="1:35" ht="15.75" customHeight="1">
      <c r="A588" s="35"/>
      <c r="B588" s="35"/>
      <c r="C588" s="35"/>
      <c r="D588" s="35"/>
      <c r="E588" s="34"/>
      <c r="F588" s="34"/>
      <c r="G588" s="34"/>
      <c r="H588" s="34"/>
      <c r="I588" s="35"/>
      <c r="J588" s="35"/>
      <c r="K588" s="35"/>
      <c r="L588" s="35"/>
      <c r="M588" s="35"/>
      <c r="N588" s="35"/>
      <c r="O588" s="35"/>
      <c r="P588" s="35"/>
      <c r="Q588" s="35"/>
      <c r="R588" s="34"/>
      <c r="S588" s="34"/>
      <c r="T588" s="36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</row>
    <row r="589" spans="1:35" ht="15.75" customHeight="1">
      <c r="A589" s="35"/>
      <c r="B589" s="35"/>
      <c r="C589" s="35"/>
      <c r="D589" s="35"/>
      <c r="E589" s="34"/>
      <c r="F589" s="34"/>
      <c r="G589" s="34"/>
      <c r="H589" s="34"/>
      <c r="I589" s="35"/>
      <c r="J589" s="35"/>
      <c r="K589" s="35"/>
      <c r="L589" s="35"/>
      <c r="M589" s="35"/>
      <c r="N589" s="35"/>
      <c r="O589" s="35"/>
      <c r="P589" s="35"/>
      <c r="Q589" s="35"/>
      <c r="R589" s="34"/>
      <c r="S589" s="34"/>
      <c r="T589" s="36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</row>
    <row r="590" spans="1:35" ht="15.75" customHeight="1">
      <c r="A590" s="35"/>
      <c r="B590" s="35"/>
      <c r="C590" s="35"/>
      <c r="D590" s="35"/>
      <c r="E590" s="34"/>
      <c r="F590" s="34"/>
      <c r="G590" s="34"/>
      <c r="H590" s="34"/>
      <c r="I590" s="35"/>
      <c r="J590" s="35"/>
      <c r="K590" s="35"/>
      <c r="L590" s="35"/>
      <c r="M590" s="35"/>
      <c r="N590" s="35"/>
      <c r="O590" s="35"/>
      <c r="P590" s="35"/>
      <c r="Q590" s="35"/>
      <c r="R590" s="34"/>
      <c r="S590" s="34"/>
      <c r="T590" s="36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</row>
    <row r="591" spans="1:35" ht="15.75" customHeight="1">
      <c r="A591" s="35"/>
      <c r="B591" s="35"/>
      <c r="C591" s="35"/>
      <c r="D591" s="35"/>
      <c r="E591" s="34"/>
      <c r="F591" s="34"/>
      <c r="G591" s="34"/>
      <c r="H591" s="34"/>
      <c r="I591" s="35"/>
      <c r="J591" s="35"/>
      <c r="K591" s="35"/>
      <c r="L591" s="35"/>
      <c r="M591" s="35"/>
      <c r="N591" s="35"/>
      <c r="O591" s="35"/>
      <c r="P591" s="35"/>
      <c r="Q591" s="35"/>
      <c r="R591" s="34"/>
      <c r="S591" s="34"/>
      <c r="T591" s="36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</row>
    <row r="592" spans="1:35" ht="15.75" customHeight="1">
      <c r="A592" s="35"/>
      <c r="B592" s="35"/>
      <c r="C592" s="35"/>
      <c r="D592" s="35"/>
      <c r="E592" s="34"/>
      <c r="F592" s="34"/>
      <c r="G592" s="34"/>
      <c r="H592" s="34"/>
      <c r="I592" s="35"/>
      <c r="J592" s="35"/>
      <c r="K592" s="35"/>
      <c r="L592" s="35"/>
      <c r="M592" s="35"/>
      <c r="N592" s="35"/>
      <c r="O592" s="35"/>
      <c r="P592" s="35"/>
      <c r="Q592" s="35"/>
      <c r="R592" s="34"/>
      <c r="S592" s="34"/>
      <c r="T592" s="36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</row>
    <row r="593" spans="1:35" ht="15.75" customHeight="1">
      <c r="A593" s="35"/>
      <c r="B593" s="35"/>
      <c r="C593" s="35"/>
      <c r="D593" s="35"/>
      <c r="E593" s="34"/>
      <c r="F593" s="34"/>
      <c r="G593" s="34"/>
      <c r="H593" s="34"/>
      <c r="I593" s="35"/>
      <c r="J593" s="35"/>
      <c r="K593" s="35"/>
      <c r="L593" s="35"/>
      <c r="M593" s="35"/>
      <c r="N593" s="35"/>
      <c r="O593" s="35"/>
      <c r="P593" s="35"/>
      <c r="Q593" s="35"/>
      <c r="R593" s="34"/>
      <c r="S593" s="34"/>
      <c r="T593" s="36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</row>
    <row r="594" spans="1:35" ht="15.75" customHeight="1">
      <c r="A594" s="35"/>
      <c r="B594" s="35"/>
      <c r="C594" s="35"/>
      <c r="D594" s="35"/>
      <c r="E594" s="34"/>
      <c r="F594" s="34"/>
      <c r="G594" s="34"/>
      <c r="H594" s="34"/>
      <c r="I594" s="35"/>
      <c r="J594" s="35"/>
      <c r="K594" s="35"/>
      <c r="L594" s="35"/>
      <c r="M594" s="35"/>
      <c r="N594" s="35"/>
      <c r="O594" s="35"/>
      <c r="P594" s="35"/>
      <c r="Q594" s="35"/>
      <c r="R594" s="34"/>
      <c r="S594" s="34"/>
      <c r="T594" s="36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</row>
    <row r="595" spans="1:35" ht="15.75" customHeight="1">
      <c r="A595" s="35"/>
      <c r="B595" s="35"/>
      <c r="C595" s="35"/>
      <c r="D595" s="35"/>
      <c r="E595" s="34"/>
      <c r="F595" s="34"/>
      <c r="G595" s="34"/>
      <c r="H595" s="34"/>
      <c r="I595" s="35"/>
      <c r="J595" s="35"/>
      <c r="K595" s="35"/>
      <c r="L595" s="35"/>
      <c r="M595" s="35"/>
      <c r="N595" s="35"/>
      <c r="O595" s="35"/>
      <c r="P595" s="35"/>
      <c r="Q595" s="35"/>
      <c r="R595" s="34"/>
      <c r="S595" s="34"/>
      <c r="T595" s="36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</row>
    <row r="596" spans="1:35" ht="15.75" customHeight="1">
      <c r="A596" s="35"/>
      <c r="B596" s="35"/>
      <c r="C596" s="35"/>
      <c r="D596" s="35"/>
      <c r="E596" s="34"/>
      <c r="F596" s="34"/>
      <c r="G596" s="34"/>
      <c r="H596" s="34"/>
      <c r="I596" s="35"/>
      <c r="J596" s="35"/>
      <c r="K596" s="35"/>
      <c r="L596" s="35"/>
      <c r="M596" s="35"/>
      <c r="N596" s="35"/>
      <c r="O596" s="35"/>
      <c r="P596" s="35"/>
      <c r="Q596" s="35"/>
      <c r="R596" s="34"/>
      <c r="S596" s="34"/>
      <c r="T596" s="36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</row>
    <row r="597" spans="1:35" ht="15.75" customHeight="1">
      <c r="A597" s="35"/>
      <c r="B597" s="35"/>
      <c r="C597" s="35"/>
      <c r="D597" s="35"/>
      <c r="E597" s="34"/>
      <c r="F597" s="34"/>
      <c r="G597" s="34"/>
      <c r="H597" s="34"/>
      <c r="I597" s="35"/>
      <c r="J597" s="35"/>
      <c r="K597" s="35"/>
      <c r="L597" s="35"/>
      <c r="M597" s="35"/>
      <c r="N597" s="35"/>
      <c r="O597" s="35"/>
      <c r="P597" s="35"/>
      <c r="Q597" s="35"/>
      <c r="R597" s="34"/>
      <c r="S597" s="34"/>
      <c r="T597" s="36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</row>
    <row r="598" spans="1:35" ht="15.75" customHeight="1">
      <c r="A598" s="35"/>
      <c r="B598" s="35"/>
      <c r="C598" s="35"/>
      <c r="D598" s="35"/>
      <c r="E598" s="34"/>
      <c r="F598" s="34"/>
      <c r="G598" s="34"/>
      <c r="H598" s="34"/>
      <c r="I598" s="35"/>
      <c r="J598" s="35"/>
      <c r="K598" s="35"/>
      <c r="L598" s="35"/>
      <c r="M598" s="35"/>
      <c r="N598" s="35"/>
      <c r="O598" s="35"/>
      <c r="P598" s="35"/>
      <c r="Q598" s="35"/>
      <c r="R598" s="34"/>
      <c r="S598" s="34"/>
      <c r="T598" s="36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</row>
    <row r="599" spans="1:35" ht="15.75" customHeight="1">
      <c r="A599" s="35"/>
      <c r="B599" s="35"/>
      <c r="C599" s="35"/>
      <c r="D599" s="35"/>
      <c r="E599" s="34"/>
      <c r="F599" s="34"/>
      <c r="G599" s="34"/>
      <c r="H599" s="34"/>
      <c r="I599" s="35"/>
      <c r="J599" s="35"/>
      <c r="K599" s="35"/>
      <c r="L599" s="35"/>
      <c r="M599" s="35"/>
      <c r="N599" s="35"/>
      <c r="O599" s="35"/>
      <c r="P599" s="35"/>
      <c r="Q599" s="35"/>
      <c r="R599" s="34"/>
      <c r="S599" s="34"/>
      <c r="T599" s="36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</row>
    <row r="600" spans="1:35" ht="15.75" customHeight="1">
      <c r="A600" s="35"/>
      <c r="B600" s="35"/>
      <c r="C600" s="35"/>
      <c r="D600" s="35"/>
      <c r="E600" s="34"/>
      <c r="F600" s="34"/>
      <c r="G600" s="34"/>
      <c r="H600" s="34"/>
      <c r="I600" s="35"/>
      <c r="J600" s="35"/>
      <c r="K600" s="35"/>
      <c r="L600" s="35"/>
      <c r="M600" s="35"/>
      <c r="N600" s="35"/>
      <c r="O600" s="35"/>
      <c r="P600" s="35"/>
      <c r="Q600" s="35"/>
      <c r="R600" s="34"/>
      <c r="S600" s="34"/>
      <c r="T600" s="36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</row>
    <row r="601" spans="1:35" ht="15.75" customHeight="1">
      <c r="A601" s="35"/>
      <c r="B601" s="35"/>
      <c r="C601" s="35"/>
      <c r="D601" s="35"/>
      <c r="E601" s="34"/>
      <c r="F601" s="34"/>
      <c r="G601" s="34"/>
      <c r="H601" s="34"/>
      <c r="I601" s="35"/>
      <c r="J601" s="35"/>
      <c r="K601" s="35"/>
      <c r="L601" s="35"/>
      <c r="M601" s="35"/>
      <c r="N601" s="35"/>
      <c r="O601" s="35"/>
      <c r="P601" s="35"/>
      <c r="Q601" s="35"/>
      <c r="R601" s="34"/>
      <c r="S601" s="34"/>
      <c r="T601" s="36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</row>
    <row r="602" spans="1:35" ht="15.75" customHeight="1">
      <c r="A602" s="35"/>
      <c r="B602" s="35"/>
      <c r="C602" s="35"/>
      <c r="D602" s="35"/>
      <c r="E602" s="34"/>
      <c r="F602" s="34"/>
      <c r="G602" s="34"/>
      <c r="H602" s="34"/>
      <c r="I602" s="35"/>
      <c r="J602" s="35"/>
      <c r="K602" s="35"/>
      <c r="L602" s="35"/>
      <c r="M602" s="35"/>
      <c r="N602" s="35"/>
      <c r="O602" s="35"/>
      <c r="P602" s="35"/>
      <c r="Q602" s="35"/>
      <c r="R602" s="34"/>
      <c r="S602" s="34"/>
      <c r="T602" s="36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</row>
    <row r="603" spans="1:35" ht="15.75" customHeight="1">
      <c r="A603" s="35"/>
      <c r="B603" s="35"/>
      <c r="C603" s="35"/>
      <c r="D603" s="35"/>
      <c r="E603" s="34"/>
      <c r="F603" s="34"/>
      <c r="G603" s="34"/>
      <c r="H603" s="34"/>
      <c r="I603" s="35"/>
      <c r="J603" s="35"/>
      <c r="K603" s="35"/>
      <c r="L603" s="35"/>
      <c r="M603" s="35"/>
      <c r="N603" s="35"/>
      <c r="O603" s="35"/>
      <c r="P603" s="35"/>
      <c r="Q603" s="35"/>
      <c r="R603" s="34"/>
      <c r="S603" s="34"/>
      <c r="T603" s="36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</row>
    <row r="604" spans="1:35" ht="15.75" customHeight="1">
      <c r="A604" s="35"/>
      <c r="B604" s="35"/>
      <c r="C604" s="35"/>
      <c r="D604" s="35"/>
      <c r="E604" s="34"/>
      <c r="F604" s="34"/>
      <c r="G604" s="34"/>
      <c r="H604" s="34"/>
      <c r="I604" s="35"/>
      <c r="J604" s="35"/>
      <c r="K604" s="35"/>
      <c r="L604" s="35"/>
      <c r="M604" s="35"/>
      <c r="N604" s="35"/>
      <c r="O604" s="35"/>
      <c r="P604" s="35"/>
      <c r="Q604" s="35"/>
      <c r="R604" s="34"/>
      <c r="S604" s="34"/>
      <c r="T604" s="36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</row>
    <row r="605" spans="1:35" ht="15.75" customHeight="1">
      <c r="A605" s="35"/>
      <c r="B605" s="35"/>
      <c r="C605" s="35"/>
      <c r="D605" s="35"/>
      <c r="E605" s="34"/>
      <c r="F605" s="34"/>
      <c r="G605" s="34"/>
      <c r="H605" s="34"/>
      <c r="I605" s="35"/>
      <c r="J605" s="35"/>
      <c r="K605" s="35"/>
      <c r="L605" s="35"/>
      <c r="M605" s="35"/>
      <c r="N605" s="35"/>
      <c r="O605" s="35"/>
      <c r="P605" s="35"/>
      <c r="Q605" s="35"/>
      <c r="R605" s="34"/>
      <c r="S605" s="34"/>
      <c r="T605" s="36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</row>
    <row r="606" spans="1:35" ht="15.75" customHeight="1">
      <c r="A606" s="35"/>
      <c r="B606" s="35"/>
      <c r="C606" s="35"/>
      <c r="D606" s="35"/>
      <c r="E606" s="34"/>
      <c r="F606" s="34"/>
      <c r="G606" s="34"/>
      <c r="H606" s="34"/>
      <c r="I606" s="35"/>
      <c r="J606" s="35"/>
      <c r="K606" s="35"/>
      <c r="L606" s="35"/>
      <c r="M606" s="35"/>
      <c r="N606" s="35"/>
      <c r="O606" s="35"/>
      <c r="P606" s="35"/>
      <c r="Q606" s="35"/>
      <c r="R606" s="34"/>
      <c r="S606" s="34"/>
      <c r="T606" s="36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</row>
    <row r="607" spans="1:35" ht="15.75" customHeight="1">
      <c r="A607" s="35"/>
      <c r="B607" s="35"/>
      <c r="C607" s="35"/>
      <c r="D607" s="35"/>
      <c r="E607" s="34"/>
      <c r="F607" s="34"/>
      <c r="G607" s="34"/>
      <c r="H607" s="34"/>
      <c r="I607" s="35"/>
      <c r="J607" s="35"/>
      <c r="K607" s="35"/>
      <c r="L607" s="35"/>
      <c r="M607" s="35"/>
      <c r="N607" s="35"/>
      <c r="O607" s="35"/>
      <c r="P607" s="35"/>
      <c r="Q607" s="35"/>
      <c r="R607" s="34"/>
      <c r="S607" s="38"/>
      <c r="T607" s="36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</row>
    <row r="608" spans="1:35" ht="15.75" customHeight="1">
      <c r="A608" s="35"/>
      <c r="B608" s="35"/>
      <c r="C608" s="35"/>
      <c r="D608" s="35"/>
      <c r="E608" s="34"/>
      <c r="F608" s="34"/>
      <c r="G608" s="34"/>
      <c r="H608" s="34"/>
      <c r="I608" s="35"/>
      <c r="J608" s="35"/>
      <c r="K608" s="35"/>
      <c r="L608" s="35"/>
      <c r="M608" s="35"/>
      <c r="N608" s="35"/>
      <c r="O608" s="35"/>
      <c r="P608" s="35"/>
      <c r="Q608" s="35"/>
      <c r="R608" s="34"/>
      <c r="S608" s="34"/>
      <c r="T608" s="36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</row>
    <row r="609" spans="1:35" ht="15.75" customHeight="1">
      <c r="A609" s="35"/>
      <c r="B609" s="35"/>
      <c r="C609" s="35"/>
      <c r="D609" s="35"/>
      <c r="E609" s="34"/>
      <c r="F609" s="34"/>
      <c r="G609" s="34"/>
      <c r="H609" s="34"/>
      <c r="I609" s="35"/>
      <c r="J609" s="35"/>
      <c r="K609" s="35"/>
      <c r="L609" s="35"/>
      <c r="M609" s="35"/>
      <c r="N609" s="35"/>
      <c r="O609" s="35"/>
      <c r="P609" s="35"/>
      <c r="Q609" s="35"/>
      <c r="R609" s="34"/>
      <c r="S609" s="34"/>
      <c r="T609" s="36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</row>
    <row r="610" spans="1:35" ht="15.75" customHeight="1">
      <c r="A610" s="35"/>
      <c r="B610" s="35"/>
      <c r="C610" s="35"/>
      <c r="D610" s="35"/>
      <c r="E610" s="34"/>
      <c r="F610" s="34"/>
      <c r="G610" s="34"/>
      <c r="H610" s="34"/>
      <c r="I610" s="35"/>
      <c r="J610" s="35"/>
      <c r="K610" s="35"/>
      <c r="L610" s="35"/>
      <c r="M610" s="35"/>
      <c r="N610" s="35"/>
      <c r="O610" s="35"/>
      <c r="P610" s="35"/>
      <c r="Q610" s="35"/>
      <c r="R610" s="34"/>
      <c r="S610" s="34"/>
      <c r="T610" s="36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</row>
    <row r="611" spans="1:35" ht="15.75" customHeight="1">
      <c r="A611" s="35"/>
      <c r="B611" s="35"/>
      <c r="C611" s="35"/>
      <c r="D611" s="35"/>
      <c r="E611" s="34"/>
      <c r="F611" s="34"/>
      <c r="G611" s="34"/>
      <c r="H611" s="34"/>
      <c r="I611" s="35"/>
      <c r="J611" s="35"/>
      <c r="K611" s="35"/>
      <c r="L611" s="35"/>
      <c r="M611" s="35"/>
      <c r="N611" s="35"/>
      <c r="O611" s="35"/>
      <c r="P611" s="35"/>
      <c r="Q611" s="35"/>
      <c r="R611" s="34"/>
      <c r="S611" s="34"/>
      <c r="T611" s="36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</row>
    <row r="612" spans="1:35" ht="15.75" customHeight="1">
      <c r="A612" s="35"/>
      <c r="B612" s="35"/>
      <c r="C612" s="35"/>
      <c r="D612" s="35"/>
      <c r="E612" s="34"/>
      <c r="F612" s="34"/>
      <c r="G612" s="34"/>
      <c r="H612" s="34"/>
      <c r="I612" s="35"/>
      <c r="J612" s="35"/>
      <c r="K612" s="35"/>
      <c r="L612" s="35"/>
      <c r="M612" s="35"/>
      <c r="N612" s="35"/>
      <c r="O612" s="35"/>
      <c r="P612" s="35"/>
      <c r="Q612" s="35"/>
      <c r="R612" s="34"/>
      <c r="S612" s="34"/>
      <c r="T612" s="36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</row>
    <row r="613" spans="1:35" ht="15.75" customHeight="1">
      <c r="A613" s="35"/>
      <c r="B613" s="35"/>
      <c r="C613" s="35"/>
      <c r="D613" s="35"/>
      <c r="E613" s="34"/>
      <c r="F613" s="34"/>
      <c r="G613" s="34"/>
      <c r="H613" s="34"/>
      <c r="I613" s="35"/>
      <c r="J613" s="35"/>
      <c r="K613" s="35"/>
      <c r="L613" s="35"/>
      <c r="M613" s="35"/>
      <c r="N613" s="35"/>
      <c r="O613" s="35"/>
      <c r="P613" s="35"/>
      <c r="Q613" s="35"/>
      <c r="R613" s="34"/>
      <c r="S613" s="34"/>
      <c r="T613" s="36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</row>
    <row r="614" spans="1:35" ht="15.75" customHeight="1">
      <c r="A614" s="35"/>
      <c r="B614" s="35"/>
      <c r="C614" s="35"/>
      <c r="D614" s="35"/>
      <c r="E614" s="34"/>
      <c r="F614" s="34"/>
      <c r="G614" s="34"/>
      <c r="H614" s="34"/>
      <c r="I614" s="35"/>
      <c r="J614" s="35"/>
      <c r="K614" s="35"/>
      <c r="L614" s="35"/>
      <c r="M614" s="35"/>
      <c r="N614" s="35"/>
      <c r="O614" s="35"/>
      <c r="P614" s="35"/>
      <c r="Q614" s="35"/>
      <c r="R614" s="34"/>
      <c r="S614" s="34"/>
      <c r="T614" s="36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</row>
    <row r="615" spans="1:35" ht="15.75" customHeight="1">
      <c r="A615" s="35"/>
      <c r="B615" s="35"/>
      <c r="C615" s="35"/>
      <c r="D615" s="35"/>
      <c r="E615" s="34"/>
      <c r="F615" s="34"/>
      <c r="G615" s="34"/>
      <c r="H615" s="34"/>
      <c r="I615" s="35"/>
      <c r="J615" s="35"/>
      <c r="K615" s="35"/>
      <c r="L615" s="35"/>
      <c r="M615" s="35"/>
      <c r="N615" s="35"/>
      <c r="O615" s="35"/>
      <c r="P615" s="35"/>
      <c r="Q615" s="35"/>
      <c r="R615" s="34"/>
      <c r="S615" s="34"/>
      <c r="T615" s="36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</row>
    <row r="616" spans="1:35" ht="15.75" customHeight="1">
      <c r="A616" s="35"/>
      <c r="B616" s="35"/>
      <c r="C616" s="35"/>
      <c r="D616" s="35"/>
      <c r="E616" s="34"/>
      <c r="F616" s="34"/>
      <c r="G616" s="34"/>
      <c r="H616" s="34"/>
      <c r="I616" s="35"/>
      <c r="J616" s="35"/>
      <c r="K616" s="35"/>
      <c r="L616" s="35"/>
      <c r="M616" s="35"/>
      <c r="N616" s="35"/>
      <c r="O616" s="35"/>
      <c r="P616" s="35"/>
      <c r="Q616" s="35"/>
      <c r="R616" s="34"/>
      <c r="S616" s="34"/>
      <c r="T616" s="36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</row>
    <row r="617" spans="1:35" ht="15.75" customHeight="1">
      <c r="A617" s="35"/>
      <c r="B617" s="35"/>
      <c r="C617" s="35"/>
      <c r="D617" s="35"/>
      <c r="E617" s="34"/>
      <c r="F617" s="34"/>
      <c r="G617" s="34"/>
      <c r="H617" s="34"/>
      <c r="I617" s="35"/>
      <c r="J617" s="35"/>
      <c r="K617" s="35"/>
      <c r="L617" s="35"/>
      <c r="M617" s="35"/>
      <c r="N617" s="35"/>
      <c r="O617" s="35"/>
      <c r="P617" s="35"/>
      <c r="Q617" s="35"/>
      <c r="R617" s="34"/>
      <c r="S617" s="34"/>
      <c r="T617" s="36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</row>
    <row r="618" spans="1:35" ht="15.75" customHeight="1">
      <c r="A618" s="35"/>
      <c r="B618" s="35"/>
      <c r="C618" s="35"/>
      <c r="D618" s="35"/>
      <c r="E618" s="34"/>
      <c r="F618" s="34"/>
      <c r="G618" s="34"/>
      <c r="H618" s="34"/>
      <c r="I618" s="35"/>
      <c r="J618" s="35"/>
      <c r="K618" s="35"/>
      <c r="L618" s="35"/>
      <c r="M618" s="35"/>
      <c r="N618" s="35"/>
      <c r="O618" s="35"/>
      <c r="P618" s="35"/>
      <c r="Q618" s="35"/>
      <c r="R618" s="34"/>
      <c r="S618" s="34"/>
      <c r="T618" s="36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</row>
    <row r="619" spans="1:35" ht="15.75" customHeight="1">
      <c r="A619" s="35"/>
      <c r="B619" s="35"/>
      <c r="C619" s="35"/>
      <c r="D619" s="35"/>
      <c r="E619" s="34"/>
      <c r="F619" s="34"/>
      <c r="G619" s="34"/>
      <c r="H619" s="34"/>
      <c r="I619" s="35"/>
      <c r="J619" s="35"/>
      <c r="K619" s="35"/>
      <c r="L619" s="35"/>
      <c r="M619" s="35"/>
      <c r="N619" s="35"/>
      <c r="O619" s="35"/>
      <c r="P619" s="35"/>
      <c r="Q619" s="35"/>
      <c r="R619" s="34"/>
      <c r="S619" s="34"/>
      <c r="T619" s="36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</row>
    <row r="620" spans="1:35" ht="15.75" customHeight="1">
      <c r="A620" s="35"/>
      <c r="B620" s="35"/>
      <c r="C620" s="35"/>
      <c r="D620" s="35"/>
      <c r="E620" s="34"/>
      <c r="F620" s="34"/>
      <c r="G620" s="34"/>
      <c r="H620" s="34"/>
      <c r="I620" s="35"/>
      <c r="J620" s="35"/>
      <c r="K620" s="35"/>
      <c r="L620" s="35"/>
      <c r="M620" s="35"/>
      <c r="N620" s="35"/>
      <c r="O620" s="35"/>
      <c r="P620" s="35"/>
      <c r="Q620" s="35"/>
      <c r="R620" s="34"/>
      <c r="S620" s="34"/>
      <c r="T620" s="36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</row>
    <row r="621" spans="1:35" ht="15.75" customHeight="1">
      <c r="A621" s="35"/>
      <c r="B621" s="35"/>
      <c r="C621" s="35"/>
      <c r="D621" s="35"/>
      <c r="E621" s="34"/>
      <c r="F621" s="34"/>
      <c r="G621" s="34"/>
      <c r="H621" s="34"/>
      <c r="I621" s="35"/>
      <c r="J621" s="35"/>
      <c r="K621" s="35"/>
      <c r="L621" s="35"/>
      <c r="M621" s="35"/>
      <c r="N621" s="35"/>
      <c r="O621" s="35"/>
      <c r="P621" s="35"/>
      <c r="Q621" s="35"/>
      <c r="R621" s="34"/>
      <c r="S621" s="34"/>
      <c r="T621" s="36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</row>
    <row r="622" spans="1:35" ht="15.75" customHeight="1">
      <c r="A622" s="35"/>
      <c r="B622" s="35"/>
      <c r="C622" s="35"/>
      <c r="D622" s="35"/>
      <c r="E622" s="34"/>
      <c r="F622" s="34"/>
      <c r="G622" s="34"/>
      <c r="H622" s="34"/>
      <c r="I622" s="35"/>
      <c r="J622" s="35"/>
      <c r="K622" s="35"/>
      <c r="L622" s="35"/>
      <c r="M622" s="35"/>
      <c r="N622" s="35"/>
      <c r="O622" s="35"/>
      <c r="P622" s="35"/>
      <c r="Q622" s="35"/>
      <c r="R622" s="34"/>
      <c r="S622" s="34"/>
      <c r="T622" s="36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</row>
    <row r="623" spans="1:35" ht="15.75" customHeight="1">
      <c r="A623" s="35"/>
      <c r="B623" s="35"/>
      <c r="C623" s="35"/>
      <c r="D623" s="35"/>
      <c r="E623" s="34"/>
      <c r="F623" s="34"/>
      <c r="G623" s="34"/>
      <c r="H623" s="34"/>
      <c r="I623" s="35"/>
      <c r="J623" s="35"/>
      <c r="K623" s="35"/>
      <c r="L623" s="35"/>
      <c r="M623" s="35"/>
      <c r="N623" s="35"/>
      <c r="O623" s="35"/>
      <c r="P623" s="35"/>
      <c r="Q623" s="35"/>
      <c r="R623" s="34"/>
      <c r="S623" s="34"/>
      <c r="T623" s="36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</row>
    <row r="624" spans="1:35" ht="15.75" customHeight="1">
      <c r="A624" s="35"/>
      <c r="B624" s="35"/>
      <c r="C624" s="35"/>
      <c r="D624" s="35"/>
      <c r="E624" s="34"/>
      <c r="F624" s="34"/>
      <c r="G624" s="34"/>
      <c r="H624" s="34"/>
      <c r="I624" s="35"/>
      <c r="J624" s="35"/>
      <c r="K624" s="35"/>
      <c r="L624" s="35"/>
      <c r="M624" s="35"/>
      <c r="N624" s="35"/>
      <c r="O624" s="35"/>
      <c r="P624" s="35"/>
      <c r="Q624" s="35"/>
      <c r="R624" s="34"/>
      <c r="S624" s="34"/>
      <c r="T624" s="36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</row>
    <row r="625" spans="1:35" ht="15.75" customHeight="1">
      <c r="A625" s="35"/>
      <c r="B625" s="35"/>
      <c r="C625" s="35"/>
      <c r="D625" s="35"/>
      <c r="E625" s="34"/>
      <c r="F625" s="34"/>
      <c r="G625" s="34"/>
      <c r="H625" s="34"/>
      <c r="I625" s="35"/>
      <c r="J625" s="35"/>
      <c r="K625" s="35"/>
      <c r="L625" s="35"/>
      <c r="M625" s="35"/>
      <c r="N625" s="35"/>
      <c r="O625" s="35"/>
      <c r="P625" s="35"/>
      <c r="Q625" s="35"/>
      <c r="R625" s="34"/>
      <c r="S625" s="34"/>
      <c r="T625" s="36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</row>
    <row r="626" spans="1:35" ht="15.75" customHeight="1">
      <c r="A626" s="35"/>
      <c r="B626" s="35"/>
      <c r="C626" s="35"/>
      <c r="D626" s="35"/>
      <c r="E626" s="34"/>
      <c r="F626" s="34"/>
      <c r="G626" s="34"/>
      <c r="H626" s="34"/>
      <c r="I626" s="35"/>
      <c r="J626" s="35"/>
      <c r="K626" s="35"/>
      <c r="L626" s="35"/>
      <c r="M626" s="35"/>
      <c r="N626" s="35"/>
      <c r="O626" s="35"/>
      <c r="P626" s="35"/>
      <c r="Q626" s="35"/>
      <c r="R626" s="34"/>
      <c r="S626" s="34"/>
      <c r="T626" s="36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</row>
    <row r="627" spans="1:35" ht="15.75" customHeight="1">
      <c r="A627" s="35"/>
      <c r="B627" s="35"/>
      <c r="C627" s="35"/>
      <c r="D627" s="35"/>
      <c r="E627" s="34"/>
      <c r="F627" s="34"/>
      <c r="G627" s="34"/>
      <c r="H627" s="34"/>
      <c r="I627" s="35"/>
      <c r="J627" s="35"/>
      <c r="K627" s="35"/>
      <c r="L627" s="35"/>
      <c r="M627" s="35"/>
      <c r="N627" s="35"/>
      <c r="O627" s="35"/>
      <c r="P627" s="35"/>
      <c r="Q627" s="35"/>
      <c r="R627" s="34"/>
      <c r="S627" s="38"/>
      <c r="T627" s="36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</row>
    <row r="628" spans="1:35" ht="15.75" customHeight="1">
      <c r="A628" s="35"/>
      <c r="B628" s="35"/>
      <c r="C628" s="35"/>
      <c r="D628" s="35"/>
      <c r="E628" s="34"/>
      <c r="F628" s="34"/>
      <c r="G628" s="34"/>
      <c r="H628" s="34"/>
      <c r="I628" s="35"/>
      <c r="J628" s="35"/>
      <c r="K628" s="35"/>
      <c r="L628" s="35"/>
      <c r="M628" s="35"/>
      <c r="N628" s="35"/>
      <c r="O628" s="35"/>
      <c r="P628" s="35"/>
      <c r="Q628" s="35"/>
      <c r="R628" s="34"/>
      <c r="S628" s="34"/>
      <c r="T628" s="36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</row>
    <row r="629" spans="1:35" ht="15.75" customHeight="1">
      <c r="A629" s="35"/>
      <c r="B629" s="35"/>
      <c r="C629" s="35"/>
      <c r="D629" s="35"/>
      <c r="E629" s="34"/>
      <c r="F629" s="34"/>
      <c r="G629" s="34"/>
      <c r="H629" s="34"/>
      <c r="I629" s="35"/>
      <c r="J629" s="35"/>
      <c r="K629" s="35"/>
      <c r="L629" s="35"/>
      <c r="M629" s="35"/>
      <c r="N629" s="35"/>
      <c r="O629" s="35"/>
      <c r="P629" s="35"/>
      <c r="Q629" s="35"/>
      <c r="R629" s="34"/>
      <c r="S629" s="34"/>
      <c r="T629" s="36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</row>
    <row r="630" spans="1:35" ht="15.75" customHeight="1">
      <c r="A630" s="35"/>
      <c r="B630" s="35"/>
      <c r="C630" s="35"/>
      <c r="D630" s="35"/>
      <c r="E630" s="34"/>
      <c r="F630" s="34"/>
      <c r="G630" s="34"/>
      <c r="H630" s="34"/>
      <c r="I630" s="35"/>
      <c r="J630" s="35"/>
      <c r="K630" s="35"/>
      <c r="L630" s="35"/>
      <c r="M630" s="35"/>
      <c r="N630" s="35"/>
      <c r="O630" s="35"/>
      <c r="P630" s="35"/>
      <c r="Q630" s="35"/>
      <c r="R630" s="34"/>
      <c r="S630" s="34"/>
      <c r="T630" s="36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</row>
    <row r="631" spans="1:35" ht="15.75" customHeight="1">
      <c r="A631" s="35"/>
      <c r="B631" s="35"/>
      <c r="C631" s="35"/>
      <c r="D631" s="35"/>
      <c r="E631" s="34"/>
      <c r="F631" s="34"/>
      <c r="G631" s="34"/>
      <c r="H631" s="34"/>
      <c r="I631" s="35"/>
      <c r="J631" s="35"/>
      <c r="K631" s="35"/>
      <c r="L631" s="35"/>
      <c r="M631" s="35"/>
      <c r="N631" s="35"/>
      <c r="O631" s="35"/>
      <c r="P631" s="35"/>
      <c r="Q631" s="35"/>
      <c r="R631" s="34"/>
      <c r="S631" s="34"/>
      <c r="T631" s="36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</row>
    <row r="632" spans="1:35" ht="15.75" customHeight="1">
      <c r="A632" s="35"/>
      <c r="B632" s="35"/>
      <c r="C632" s="35"/>
      <c r="D632" s="35"/>
      <c r="E632" s="34"/>
      <c r="F632" s="34"/>
      <c r="G632" s="34"/>
      <c r="H632" s="34"/>
      <c r="I632" s="35"/>
      <c r="J632" s="35"/>
      <c r="K632" s="35"/>
      <c r="L632" s="35"/>
      <c r="M632" s="35"/>
      <c r="N632" s="35"/>
      <c r="O632" s="35"/>
      <c r="P632" s="35"/>
      <c r="Q632" s="35"/>
      <c r="R632" s="34"/>
      <c r="S632" s="34"/>
      <c r="T632" s="36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</row>
    <row r="633" spans="1:35" ht="15.75" customHeight="1">
      <c r="A633" s="35"/>
      <c r="B633" s="35"/>
      <c r="C633" s="35"/>
      <c r="D633" s="35"/>
      <c r="E633" s="34"/>
      <c r="F633" s="34"/>
      <c r="G633" s="34"/>
      <c r="H633" s="34"/>
      <c r="I633" s="35"/>
      <c r="J633" s="35"/>
      <c r="K633" s="35"/>
      <c r="L633" s="35"/>
      <c r="M633" s="35"/>
      <c r="N633" s="35"/>
      <c r="O633" s="35"/>
      <c r="P633" s="35"/>
      <c r="Q633" s="35"/>
      <c r="R633" s="34"/>
      <c r="S633" s="34"/>
      <c r="T633" s="36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</row>
    <row r="634" spans="1:35" ht="15.75" customHeight="1">
      <c r="A634" s="35"/>
      <c r="B634" s="35"/>
      <c r="C634" s="35"/>
      <c r="D634" s="35"/>
      <c r="E634" s="34"/>
      <c r="F634" s="34"/>
      <c r="G634" s="34"/>
      <c r="H634" s="34"/>
      <c r="I634" s="35"/>
      <c r="J634" s="35"/>
      <c r="K634" s="35"/>
      <c r="L634" s="35"/>
      <c r="M634" s="35"/>
      <c r="N634" s="35"/>
      <c r="O634" s="35"/>
      <c r="P634" s="35"/>
      <c r="Q634" s="35"/>
      <c r="R634" s="34"/>
      <c r="S634" s="34"/>
      <c r="T634" s="36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</row>
    <row r="635" spans="1:35" ht="15.75" customHeight="1">
      <c r="A635" s="35"/>
      <c r="B635" s="35"/>
      <c r="C635" s="35"/>
      <c r="D635" s="35"/>
      <c r="E635" s="34"/>
      <c r="F635" s="34"/>
      <c r="G635" s="34"/>
      <c r="H635" s="34"/>
      <c r="I635" s="35"/>
      <c r="J635" s="35"/>
      <c r="K635" s="35"/>
      <c r="L635" s="35"/>
      <c r="M635" s="35"/>
      <c r="N635" s="35"/>
      <c r="O635" s="35"/>
      <c r="P635" s="35"/>
      <c r="Q635" s="35"/>
      <c r="R635" s="34"/>
      <c r="S635" s="34"/>
      <c r="T635" s="36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</row>
    <row r="636" spans="1:35" ht="15.75" customHeight="1">
      <c r="A636" s="35"/>
      <c r="B636" s="35"/>
      <c r="C636" s="35"/>
      <c r="D636" s="35"/>
      <c r="E636" s="34"/>
      <c r="F636" s="34"/>
      <c r="G636" s="34"/>
      <c r="H636" s="34"/>
      <c r="I636" s="35"/>
      <c r="J636" s="35"/>
      <c r="K636" s="35"/>
      <c r="L636" s="35"/>
      <c r="M636" s="35"/>
      <c r="N636" s="35"/>
      <c r="O636" s="35"/>
      <c r="P636" s="35"/>
      <c r="Q636" s="35"/>
      <c r="R636" s="34"/>
      <c r="S636" s="34"/>
      <c r="T636" s="36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</row>
    <row r="637" spans="1:35" ht="15.75" customHeight="1">
      <c r="A637" s="35"/>
      <c r="B637" s="35"/>
      <c r="C637" s="35"/>
      <c r="D637" s="35"/>
      <c r="E637" s="34"/>
      <c r="F637" s="34"/>
      <c r="G637" s="34"/>
      <c r="H637" s="34"/>
      <c r="I637" s="35"/>
      <c r="J637" s="35"/>
      <c r="K637" s="35"/>
      <c r="L637" s="35"/>
      <c r="M637" s="35"/>
      <c r="N637" s="35"/>
      <c r="O637" s="35"/>
      <c r="P637" s="35"/>
      <c r="Q637" s="35"/>
      <c r="R637" s="34"/>
      <c r="S637" s="34"/>
      <c r="T637" s="36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</row>
    <row r="638" spans="1:35" ht="15.75" customHeight="1">
      <c r="A638" s="35"/>
      <c r="B638" s="35"/>
      <c r="C638" s="35"/>
      <c r="D638" s="35"/>
      <c r="E638" s="34"/>
      <c r="F638" s="34"/>
      <c r="G638" s="34"/>
      <c r="H638" s="34"/>
      <c r="I638" s="35"/>
      <c r="J638" s="35"/>
      <c r="K638" s="35"/>
      <c r="L638" s="35"/>
      <c r="M638" s="35"/>
      <c r="N638" s="35"/>
      <c r="O638" s="35"/>
      <c r="P638" s="35"/>
      <c r="Q638" s="35"/>
      <c r="R638" s="34"/>
      <c r="S638" s="34"/>
      <c r="T638" s="36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</row>
    <row r="639" spans="1:35" ht="15.75" customHeight="1">
      <c r="A639" s="35"/>
      <c r="B639" s="35"/>
      <c r="C639" s="35"/>
      <c r="D639" s="35"/>
      <c r="E639" s="34"/>
      <c r="F639" s="34"/>
      <c r="G639" s="34"/>
      <c r="H639" s="34"/>
      <c r="I639" s="35"/>
      <c r="J639" s="35"/>
      <c r="K639" s="35"/>
      <c r="L639" s="35"/>
      <c r="M639" s="35"/>
      <c r="N639" s="35"/>
      <c r="O639" s="35"/>
      <c r="P639" s="35"/>
      <c r="Q639" s="35"/>
      <c r="R639" s="34"/>
      <c r="S639" s="34"/>
      <c r="T639" s="36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</row>
    <row r="640" spans="1:35" ht="15.75" customHeight="1">
      <c r="A640" s="35"/>
      <c r="B640" s="35"/>
      <c r="C640" s="35"/>
      <c r="D640" s="35"/>
      <c r="E640" s="34"/>
      <c r="F640" s="34"/>
      <c r="G640" s="34"/>
      <c r="H640" s="34"/>
      <c r="I640" s="35"/>
      <c r="J640" s="35"/>
      <c r="K640" s="35"/>
      <c r="L640" s="35"/>
      <c r="M640" s="35"/>
      <c r="N640" s="35"/>
      <c r="O640" s="35"/>
      <c r="P640" s="35"/>
      <c r="Q640" s="35"/>
      <c r="R640" s="34"/>
      <c r="S640" s="34"/>
      <c r="T640" s="36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</row>
    <row r="641" spans="1:35" ht="15.75" customHeight="1">
      <c r="A641" s="35"/>
      <c r="B641" s="35"/>
      <c r="C641" s="35"/>
      <c r="D641" s="35"/>
      <c r="E641" s="34"/>
      <c r="F641" s="34"/>
      <c r="G641" s="34"/>
      <c r="H641" s="34"/>
      <c r="I641" s="35"/>
      <c r="J641" s="35"/>
      <c r="K641" s="35"/>
      <c r="L641" s="35"/>
      <c r="M641" s="35"/>
      <c r="N641" s="35"/>
      <c r="O641" s="35"/>
      <c r="P641" s="35"/>
      <c r="Q641" s="35"/>
      <c r="R641" s="34"/>
      <c r="S641" s="34"/>
      <c r="T641" s="36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</row>
    <row r="642" spans="1:35" ht="15.75" customHeight="1">
      <c r="A642" s="35"/>
      <c r="B642" s="35"/>
      <c r="C642" s="35"/>
      <c r="D642" s="35"/>
      <c r="E642" s="34"/>
      <c r="F642" s="34"/>
      <c r="G642" s="34"/>
      <c r="H642" s="34"/>
      <c r="I642" s="35"/>
      <c r="J642" s="35"/>
      <c r="K642" s="35"/>
      <c r="L642" s="35"/>
      <c r="M642" s="35"/>
      <c r="N642" s="35"/>
      <c r="O642" s="35"/>
      <c r="P642" s="35"/>
      <c r="Q642" s="35"/>
      <c r="R642" s="34"/>
      <c r="S642" s="34"/>
      <c r="T642" s="36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</row>
    <row r="643" spans="1:35" ht="15.75" customHeight="1">
      <c r="A643" s="35"/>
      <c r="B643" s="35"/>
      <c r="C643" s="35"/>
      <c r="D643" s="35"/>
      <c r="E643" s="34"/>
      <c r="F643" s="34"/>
      <c r="G643" s="34"/>
      <c r="H643" s="34"/>
      <c r="I643" s="35"/>
      <c r="J643" s="35"/>
      <c r="K643" s="35"/>
      <c r="L643" s="35"/>
      <c r="M643" s="35"/>
      <c r="N643" s="35"/>
      <c r="O643" s="35"/>
      <c r="P643" s="35"/>
      <c r="Q643" s="35"/>
      <c r="R643" s="34"/>
      <c r="S643" s="34"/>
      <c r="T643" s="36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</row>
    <row r="644" spans="1:35" ht="15.75" customHeight="1">
      <c r="A644" s="35"/>
      <c r="B644" s="35"/>
      <c r="C644" s="35"/>
      <c r="D644" s="35"/>
      <c r="E644" s="34"/>
      <c r="F644" s="34"/>
      <c r="G644" s="34"/>
      <c r="H644" s="34"/>
      <c r="I644" s="35"/>
      <c r="J644" s="35"/>
      <c r="K644" s="35"/>
      <c r="L644" s="35"/>
      <c r="M644" s="35"/>
      <c r="N644" s="35"/>
      <c r="O644" s="35"/>
      <c r="P644" s="35"/>
      <c r="Q644" s="35"/>
      <c r="R644" s="34"/>
      <c r="S644" s="34"/>
      <c r="T644" s="36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</row>
    <row r="645" spans="1:35" ht="15.75" customHeight="1">
      <c r="A645" s="35"/>
      <c r="B645" s="35"/>
      <c r="C645" s="35"/>
      <c r="D645" s="35"/>
      <c r="E645" s="34"/>
      <c r="F645" s="34"/>
      <c r="G645" s="34"/>
      <c r="H645" s="34"/>
      <c r="I645" s="35"/>
      <c r="J645" s="35"/>
      <c r="K645" s="35"/>
      <c r="L645" s="35"/>
      <c r="M645" s="35"/>
      <c r="N645" s="35"/>
      <c r="O645" s="35"/>
      <c r="P645" s="35"/>
      <c r="Q645" s="35"/>
      <c r="R645" s="34"/>
      <c r="S645" s="34"/>
      <c r="T645" s="36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</row>
    <row r="646" spans="1:35" ht="15.75" customHeight="1">
      <c r="A646" s="35"/>
      <c r="B646" s="35"/>
      <c r="C646" s="35"/>
      <c r="D646" s="35"/>
      <c r="E646" s="34"/>
      <c r="F646" s="34"/>
      <c r="G646" s="34"/>
      <c r="H646" s="34"/>
      <c r="I646" s="35"/>
      <c r="J646" s="35"/>
      <c r="K646" s="35"/>
      <c r="L646" s="35"/>
      <c r="M646" s="35"/>
      <c r="N646" s="35"/>
      <c r="O646" s="35"/>
      <c r="P646" s="35"/>
      <c r="Q646" s="35"/>
      <c r="R646" s="34"/>
      <c r="S646" s="34"/>
      <c r="T646" s="36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 spans="1:35" ht="15.75" customHeight="1">
      <c r="A647" s="35"/>
      <c r="B647" s="35"/>
      <c r="C647" s="35"/>
      <c r="D647" s="35"/>
      <c r="E647" s="34"/>
      <c r="F647" s="34"/>
      <c r="G647" s="34"/>
      <c r="H647" s="34"/>
      <c r="I647" s="35"/>
      <c r="J647" s="35"/>
      <c r="K647" s="35"/>
      <c r="L647" s="35"/>
      <c r="M647" s="35"/>
      <c r="N647" s="35"/>
      <c r="O647" s="35"/>
      <c r="P647" s="35"/>
      <c r="Q647" s="35"/>
      <c r="R647" s="34"/>
      <c r="S647" s="38"/>
      <c r="T647" s="36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</row>
    <row r="648" spans="1:35" ht="15.75" customHeight="1">
      <c r="A648" s="35"/>
      <c r="B648" s="35"/>
      <c r="C648" s="35"/>
      <c r="D648" s="35"/>
      <c r="E648" s="34"/>
      <c r="F648" s="34"/>
      <c r="G648" s="34"/>
      <c r="H648" s="34"/>
      <c r="I648" s="35"/>
      <c r="J648" s="35"/>
      <c r="K648" s="35"/>
      <c r="L648" s="35"/>
      <c r="M648" s="35"/>
      <c r="N648" s="35"/>
      <c r="O648" s="35"/>
      <c r="P648" s="35"/>
      <c r="Q648" s="35"/>
      <c r="R648" s="34"/>
      <c r="S648" s="34"/>
      <c r="T648" s="36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</row>
    <row r="649" spans="1:35" ht="15.75" customHeight="1">
      <c r="A649" s="35"/>
      <c r="B649" s="35"/>
      <c r="C649" s="35"/>
      <c r="D649" s="35"/>
      <c r="E649" s="34"/>
      <c r="F649" s="34"/>
      <c r="G649" s="34"/>
      <c r="H649" s="34"/>
      <c r="I649" s="35"/>
      <c r="J649" s="35"/>
      <c r="K649" s="35"/>
      <c r="L649" s="35"/>
      <c r="M649" s="35"/>
      <c r="N649" s="35"/>
      <c r="O649" s="35"/>
      <c r="P649" s="35"/>
      <c r="Q649" s="35"/>
      <c r="R649" s="34"/>
      <c r="S649" s="34"/>
      <c r="T649" s="36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</row>
    <row r="650" spans="1:35" ht="15.75" customHeight="1">
      <c r="A650" s="35"/>
      <c r="B650" s="35"/>
      <c r="C650" s="35"/>
      <c r="D650" s="35"/>
      <c r="E650" s="34"/>
      <c r="F650" s="34"/>
      <c r="G650" s="34"/>
      <c r="H650" s="34"/>
      <c r="I650" s="35"/>
      <c r="J650" s="35"/>
      <c r="K650" s="35"/>
      <c r="L650" s="35"/>
      <c r="M650" s="35"/>
      <c r="N650" s="35"/>
      <c r="O650" s="35"/>
      <c r="P650" s="35"/>
      <c r="Q650" s="35"/>
      <c r="R650" s="34"/>
      <c r="S650" s="34"/>
      <c r="T650" s="36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</row>
    <row r="651" spans="1:35" ht="15.75" customHeight="1">
      <c r="A651" s="35"/>
      <c r="B651" s="35"/>
      <c r="C651" s="35"/>
      <c r="D651" s="35"/>
      <c r="E651" s="34"/>
      <c r="F651" s="34"/>
      <c r="G651" s="34"/>
      <c r="H651" s="34"/>
      <c r="I651" s="35"/>
      <c r="J651" s="35"/>
      <c r="K651" s="35"/>
      <c r="L651" s="35"/>
      <c r="M651" s="35"/>
      <c r="N651" s="35"/>
      <c r="O651" s="35"/>
      <c r="P651" s="35"/>
      <c r="Q651" s="35"/>
      <c r="R651" s="34"/>
      <c r="S651" s="34"/>
      <c r="T651" s="36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</row>
    <row r="652" spans="1:35" ht="15.75" customHeight="1">
      <c r="A652" s="35"/>
      <c r="B652" s="35"/>
      <c r="C652" s="35"/>
      <c r="D652" s="35"/>
      <c r="E652" s="34"/>
      <c r="F652" s="34"/>
      <c r="G652" s="34"/>
      <c r="H652" s="34"/>
      <c r="I652" s="35"/>
      <c r="J652" s="35"/>
      <c r="K652" s="35"/>
      <c r="L652" s="35"/>
      <c r="M652" s="35"/>
      <c r="N652" s="35"/>
      <c r="O652" s="35"/>
      <c r="P652" s="35"/>
      <c r="Q652" s="35"/>
      <c r="R652" s="34"/>
      <c r="S652" s="34"/>
      <c r="T652" s="36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</row>
    <row r="653" spans="1:35" ht="15.75" customHeight="1">
      <c r="A653" s="35"/>
      <c r="B653" s="35"/>
      <c r="C653" s="35"/>
      <c r="D653" s="35"/>
      <c r="E653" s="34"/>
      <c r="F653" s="34"/>
      <c r="G653" s="34"/>
      <c r="H653" s="34"/>
      <c r="I653" s="35"/>
      <c r="J653" s="35"/>
      <c r="K653" s="35"/>
      <c r="L653" s="35"/>
      <c r="M653" s="35"/>
      <c r="N653" s="35"/>
      <c r="O653" s="35"/>
      <c r="P653" s="35"/>
      <c r="Q653" s="35"/>
      <c r="R653" s="34"/>
      <c r="S653" s="34"/>
      <c r="T653" s="36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</row>
    <row r="654" spans="1:35" ht="15.75" customHeight="1">
      <c r="A654" s="35"/>
      <c r="B654" s="35"/>
      <c r="C654" s="35"/>
      <c r="D654" s="35"/>
      <c r="E654" s="34"/>
      <c r="F654" s="34"/>
      <c r="G654" s="34"/>
      <c r="H654" s="34"/>
      <c r="I654" s="35"/>
      <c r="J654" s="35"/>
      <c r="K654" s="35"/>
      <c r="L654" s="35"/>
      <c r="M654" s="35"/>
      <c r="N654" s="35"/>
      <c r="O654" s="35"/>
      <c r="P654" s="35"/>
      <c r="Q654" s="35"/>
      <c r="R654" s="34"/>
      <c r="S654" s="34"/>
      <c r="T654" s="36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</row>
    <row r="655" spans="1:35" ht="15.75" customHeight="1">
      <c r="A655" s="35"/>
      <c r="B655" s="35"/>
      <c r="C655" s="35"/>
      <c r="D655" s="35"/>
      <c r="E655" s="34"/>
      <c r="F655" s="34"/>
      <c r="G655" s="34"/>
      <c r="H655" s="34"/>
      <c r="I655" s="35"/>
      <c r="J655" s="35"/>
      <c r="K655" s="35"/>
      <c r="L655" s="35"/>
      <c r="M655" s="35"/>
      <c r="N655" s="35"/>
      <c r="O655" s="35"/>
      <c r="P655" s="35"/>
      <c r="Q655" s="35"/>
      <c r="R655" s="34"/>
      <c r="S655" s="34"/>
      <c r="T655" s="36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</row>
    <row r="656" spans="1:35" ht="15.75" customHeight="1">
      <c r="A656" s="35"/>
      <c r="B656" s="35"/>
      <c r="C656" s="35"/>
      <c r="D656" s="35"/>
      <c r="E656" s="34"/>
      <c r="F656" s="34"/>
      <c r="G656" s="34"/>
      <c r="H656" s="34"/>
      <c r="I656" s="35"/>
      <c r="J656" s="35"/>
      <c r="K656" s="35"/>
      <c r="L656" s="35"/>
      <c r="M656" s="35"/>
      <c r="N656" s="35"/>
      <c r="O656" s="35"/>
      <c r="P656" s="35"/>
      <c r="Q656" s="35"/>
      <c r="R656" s="34"/>
      <c r="S656" s="34"/>
      <c r="T656" s="36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</row>
    <row r="657" spans="1:35" ht="15.75" customHeight="1">
      <c r="A657" s="35"/>
      <c r="B657" s="35"/>
      <c r="C657" s="35"/>
      <c r="D657" s="35"/>
      <c r="E657" s="34"/>
      <c r="F657" s="34"/>
      <c r="G657" s="34"/>
      <c r="H657" s="34"/>
      <c r="I657" s="35"/>
      <c r="J657" s="35"/>
      <c r="K657" s="35"/>
      <c r="L657" s="35"/>
      <c r="M657" s="35"/>
      <c r="N657" s="35"/>
      <c r="O657" s="35"/>
      <c r="P657" s="35"/>
      <c r="Q657" s="35"/>
      <c r="R657" s="34"/>
      <c r="S657" s="34"/>
      <c r="T657" s="36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</row>
    <row r="658" spans="1:35" ht="15.75" customHeight="1">
      <c r="A658" s="35"/>
      <c r="B658" s="35"/>
      <c r="C658" s="35"/>
      <c r="D658" s="35"/>
      <c r="E658" s="34"/>
      <c r="F658" s="34"/>
      <c r="G658" s="34"/>
      <c r="H658" s="34"/>
      <c r="I658" s="35"/>
      <c r="J658" s="35"/>
      <c r="K658" s="35"/>
      <c r="L658" s="35"/>
      <c r="M658" s="35"/>
      <c r="N658" s="35"/>
      <c r="O658" s="35"/>
      <c r="P658" s="35"/>
      <c r="Q658" s="35"/>
      <c r="R658" s="34"/>
      <c r="S658" s="34"/>
      <c r="T658" s="36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</row>
    <row r="659" spans="1:35" ht="15.75" customHeight="1">
      <c r="A659" s="35"/>
      <c r="B659" s="35"/>
      <c r="C659" s="35"/>
      <c r="D659" s="35"/>
      <c r="E659" s="34"/>
      <c r="F659" s="34"/>
      <c r="G659" s="34"/>
      <c r="H659" s="34"/>
      <c r="I659" s="35"/>
      <c r="J659" s="35"/>
      <c r="K659" s="35"/>
      <c r="L659" s="35"/>
      <c r="M659" s="35"/>
      <c r="N659" s="35"/>
      <c r="O659" s="35"/>
      <c r="P659" s="35"/>
      <c r="Q659" s="35"/>
      <c r="R659" s="34"/>
      <c r="S659" s="34"/>
      <c r="T659" s="36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</row>
    <row r="660" spans="1:35" ht="15.75" customHeight="1">
      <c r="A660" s="35"/>
      <c r="B660" s="35"/>
      <c r="C660" s="35"/>
      <c r="D660" s="35"/>
      <c r="E660" s="34"/>
      <c r="F660" s="34"/>
      <c r="G660" s="34"/>
      <c r="H660" s="34"/>
      <c r="I660" s="35"/>
      <c r="J660" s="35"/>
      <c r="K660" s="35"/>
      <c r="L660" s="35"/>
      <c r="M660" s="35"/>
      <c r="N660" s="35"/>
      <c r="O660" s="35"/>
      <c r="P660" s="35"/>
      <c r="Q660" s="35"/>
      <c r="R660" s="34"/>
      <c r="S660" s="34"/>
      <c r="T660" s="36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</row>
    <row r="661" spans="1:35" ht="15.75" customHeight="1">
      <c r="A661" s="35"/>
      <c r="B661" s="35"/>
      <c r="C661" s="35"/>
      <c r="D661" s="35"/>
      <c r="E661" s="34"/>
      <c r="F661" s="34"/>
      <c r="G661" s="34"/>
      <c r="H661" s="34"/>
      <c r="I661" s="35"/>
      <c r="J661" s="35"/>
      <c r="K661" s="35"/>
      <c r="L661" s="35"/>
      <c r="M661" s="35"/>
      <c r="N661" s="35"/>
      <c r="O661" s="35"/>
      <c r="P661" s="35"/>
      <c r="Q661" s="35"/>
      <c r="R661" s="34"/>
      <c r="S661" s="34"/>
      <c r="T661" s="36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</row>
    <row r="662" spans="1:35" ht="15.75" customHeight="1">
      <c r="A662" s="35"/>
      <c r="B662" s="35"/>
      <c r="C662" s="35"/>
      <c r="D662" s="35"/>
      <c r="E662" s="34"/>
      <c r="F662" s="34"/>
      <c r="G662" s="34"/>
      <c r="H662" s="34"/>
      <c r="I662" s="35"/>
      <c r="J662" s="35"/>
      <c r="K662" s="35"/>
      <c r="L662" s="35"/>
      <c r="M662" s="35"/>
      <c r="N662" s="35"/>
      <c r="O662" s="35"/>
      <c r="P662" s="35"/>
      <c r="Q662" s="35"/>
      <c r="R662" s="34"/>
      <c r="S662" s="34"/>
      <c r="T662" s="36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</row>
    <row r="663" spans="1:35" ht="15.75" customHeight="1">
      <c r="A663" s="35"/>
      <c r="B663" s="35"/>
      <c r="C663" s="35"/>
      <c r="D663" s="35"/>
      <c r="E663" s="34"/>
      <c r="F663" s="34"/>
      <c r="G663" s="34"/>
      <c r="H663" s="34"/>
      <c r="I663" s="35"/>
      <c r="J663" s="35"/>
      <c r="K663" s="35"/>
      <c r="L663" s="35"/>
      <c r="M663" s="35"/>
      <c r="N663" s="35"/>
      <c r="O663" s="35"/>
      <c r="P663" s="35"/>
      <c r="Q663" s="35"/>
      <c r="R663" s="34"/>
      <c r="S663" s="34"/>
      <c r="T663" s="36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</row>
    <row r="664" spans="1:35" ht="15.75" customHeight="1">
      <c r="A664" s="35"/>
      <c r="B664" s="35"/>
      <c r="C664" s="35"/>
      <c r="D664" s="35"/>
      <c r="E664" s="34"/>
      <c r="F664" s="34"/>
      <c r="G664" s="34"/>
      <c r="H664" s="34"/>
      <c r="I664" s="35"/>
      <c r="J664" s="35"/>
      <c r="K664" s="35"/>
      <c r="L664" s="35"/>
      <c r="M664" s="35"/>
      <c r="N664" s="35"/>
      <c r="O664" s="35"/>
      <c r="P664" s="35"/>
      <c r="Q664" s="35"/>
      <c r="R664" s="34"/>
      <c r="S664" s="34"/>
      <c r="T664" s="36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</row>
    <row r="665" spans="1:35" ht="15.75" customHeight="1">
      <c r="A665" s="35"/>
      <c r="B665" s="35"/>
      <c r="C665" s="35"/>
      <c r="D665" s="35"/>
      <c r="E665" s="34"/>
      <c r="F665" s="34"/>
      <c r="G665" s="34"/>
      <c r="H665" s="34"/>
      <c r="I665" s="35"/>
      <c r="J665" s="35"/>
      <c r="K665" s="35"/>
      <c r="L665" s="35"/>
      <c r="M665" s="35"/>
      <c r="N665" s="35"/>
      <c r="O665" s="35"/>
      <c r="P665" s="35"/>
      <c r="Q665" s="35"/>
      <c r="R665" s="34"/>
      <c r="S665" s="34"/>
      <c r="T665" s="36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</row>
    <row r="666" spans="1:35" ht="15.75" customHeight="1">
      <c r="A666" s="35"/>
      <c r="B666" s="35"/>
      <c r="C666" s="35"/>
      <c r="D666" s="35"/>
      <c r="E666" s="34"/>
      <c r="F666" s="34"/>
      <c r="G666" s="34"/>
      <c r="H666" s="34"/>
      <c r="I666" s="35"/>
      <c r="J666" s="35"/>
      <c r="K666" s="35"/>
      <c r="L666" s="35"/>
      <c r="M666" s="35"/>
      <c r="N666" s="35"/>
      <c r="O666" s="35"/>
      <c r="P666" s="35"/>
      <c r="Q666" s="35"/>
      <c r="R666" s="34"/>
      <c r="S666" s="34"/>
      <c r="T666" s="36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</row>
    <row r="667" spans="1:35" ht="15.75" customHeight="1">
      <c r="A667" s="35"/>
      <c r="B667" s="35"/>
      <c r="C667" s="35"/>
      <c r="D667" s="35"/>
      <c r="E667" s="34"/>
      <c r="F667" s="34"/>
      <c r="G667" s="34"/>
      <c r="H667" s="34"/>
      <c r="I667" s="35"/>
      <c r="J667" s="35"/>
      <c r="K667" s="35"/>
      <c r="L667" s="35"/>
      <c r="M667" s="35"/>
      <c r="N667" s="35"/>
      <c r="O667" s="35"/>
      <c r="P667" s="35"/>
      <c r="Q667" s="35"/>
      <c r="R667" s="34"/>
      <c r="S667" s="38"/>
      <c r="T667" s="36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</row>
    <row r="668" spans="1:35" ht="15.75" customHeight="1">
      <c r="A668" s="35"/>
      <c r="B668" s="35"/>
      <c r="C668" s="35"/>
      <c r="D668" s="35"/>
      <c r="E668" s="34"/>
      <c r="F668" s="34"/>
      <c r="G668" s="34"/>
      <c r="H668" s="34"/>
      <c r="I668" s="35"/>
      <c r="J668" s="35"/>
      <c r="K668" s="35"/>
      <c r="L668" s="35"/>
      <c r="M668" s="35"/>
      <c r="N668" s="35"/>
      <c r="O668" s="35"/>
      <c r="P668" s="35"/>
      <c r="Q668" s="35"/>
      <c r="R668" s="34"/>
      <c r="S668" s="34"/>
      <c r="T668" s="36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</row>
    <row r="669" spans="1:35" ht="15.75" customHeight="1">
      <c r="A669" s="35"/>
      <c r="B669" s="35"/>
      <c r="C669" s="35"/>
      <c r="D669" s="35"/>
      <c r="E669" s="34"/>
      <c r="F669" s="34"/>
      <c r="G669" s="34"/>
      <c r="H669" s="34"/>
      <c r="I669" s="35"/>
      <c r="J669" s="35"/>
      <c r="K669" s="35"/>
      <c r="L669" s="35"/>
      <c r="M669" s="35"/>
      <c r="N669" s="35"/>
      <c r="O669" s="35"/>
      <c r="P669" s="35"/>
      <c r="Q669" s="35"/>
      <c r="R669" s="34"/>
      <c r="S669" s="34"/>
      <c r="T669" s="36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</row>
    <row r="670" spans="1:35" ht="15.75" customHeight="1">
      <c r="A670" s="35"/>
      <c r="B670" s="35"/>
      <c r="C670" s="35"/>
      <c r="D670" s="35"/>
      <c r="E670" s="34"/>
      <c r="F670" s="34"/>
      <c r="G670" s="34"/>
      <c r="H670" s="34"/>
      <c r="I670" s="35"/>
      <c r="J670" s="35"/>
      <c r="K670" s="35"/>
      <c r="L670" s="35"/>
      <c r="M670" s="35"/>
      <c r="N670" s="35"/>
      <c r="O670" s="35"/>
      <c r="P670" s="35"/>
      <c r="Q670" s="35"/>
      <c r="R670" s="34"/>
      <c r="S670" s="34"/>
      <c r="T670" s="36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</row>
    <row r="671" spans="1:35" ht="15.75" customHeight="1">
      <c r="A671" s="35"/>
      <c r="B671" s="35"/>
      <c r="C671" s="35"/>
      <c r="D671" s="35"/>
      <c r="E671" s="34"/>
      <c r="F671" s="34"/>
      <c r="G671" s="34"/>
      <c r="H671" s="34"/>
      <c r="I671" s="35"/>
      <c r="J671" s="35"/>
      <c r="K671" s="35"/>
      <c r="L671" s="35"/>
      <c r="M671" s="35"/>
      <c r="N671" s="35"/>
      <c r="O671" s="35"/>
      <c r="P671" s="35"/>
      <c r="Q671" s="35"/>
      <c r="R671" s="34"/>
      <c r="S671" s="34"/>
      <c r="T671" s="36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 spans="1:35" ht="15.75" customHeight="1">
      <c r="A672" s="35"/>
      <c r="B672" s="35"/>
      <c r="C672" s="35"/>
      <c r="D672" s="35"/>
      <c r="E672" s="34"/>
      <c r="F672" s="34"/>
      <c r="G672" s="34"/>
      <c r="H672" s="34"/>
      <c r="I672" s="35"/>
      <c r="J672" s="35"/>
      <c r="K672" s="35"/>
      <c r="L672" s="35"/>
      <c r="M672" s="35"/>
      <c r="N672" s="35"/>
      <c r="O672" s="35"/>
      <c r="P672" s="35"/>
      <c r="Q672" s="35"/>
      <c r="R672" s="34"/>
      <c r="S672" s="34"/>
      <c r="T672" s="36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</row>
    <row r="673" spans="1:35" ht="15.75" customHeight="1">
      <c r="A673" s="35"/>
      <c r="B673" s="35"/>
      <c r="C673" s="35"/>
      <c r="D673" s="35"/>
      <c r="E673" s="34"/>
      <c r="F673" s="34"/>
      <c r="G673" s="34"/>
      <c r="H673" s="34"/>
      <c r="I673" s="35"/>
      <c r="J673" s="35"/>
      <c r="K673" s="35"/>
      <c r="L673" s="35"/>
      <c r="M673" s="35"/>
      <c r="N673" s="35"/>
      <c r="O673" s="35"/>
      <c r="P673" s="35"/>
      <c r="Q673" s="35"/>
      <c r="R673" s="34"/>
      <c r="S673" s="34"/>
      <c r="T673" s="36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</row>
    <row r="674" spans="1:35" ht="15.75" customHeight="1">
      <c r="A674" s="35"/>
      <c r="B674" s="35"/>
      <c r="C674" s="35"/>
      <c r="D674" s="35"/>
      <c r="E674" s="34"/>
      <c r="F674" s="34"/>
      <c r="G674" s="34"/>
      <c r="H674" s="34"/>
      <c r="I674" s="35"/>
      <c r="J674" s="35"/>
      <c r="K674" s="35"/>
      <c r="L674" s="35"/>
      <c r="M674" s="35"/>
      <c r="N674" s="35"/>
      <c r="O674" s="35"/>
      <c r="P674" s="35"/>
      <c r="Q674" s="35"/>
      <c r="R674" s="34"/>
      <c r="S674" s="34"/>
      <c r="T674" s="36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</row>
    <row r="675" spans="1:35" ht="15.75" customHeight="1">
      <c r="A675" s="35"/>
      <c r="B675" s="35"/>
      <c r="C675" s="35"/>
      <c r="D675" s="35"/>
      <c r="E675" s="34"/>
      <c r="F675" s="34"/>
      <c r="G675" s="34"/>
      <c r="H675" s="34"/>
      <c r="I675" s="35"/>
      <c r="J675" s="35"/>
      <c r="K675" s="35"/>
      <c r="L675" s="35"/>
      <c r="M675" s="35"/>
      <c r="N675" s="35"/>
      <c r="O675" s="35"/>
      <c r="P675" s="35"/>
      <c r="Q675" s="35"/>
      <c r="R675" s="34"/>
      <c r="S675" s="34"/>
      <c r="T675" s="36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</row>
    <row r="676" spans="1:35" ht="15.75" customHeight="1">
      <c r="A676" s="35"/>
      <c r="B676" s="35"/>
      <c r="C676" s="35"/>
      <c r="D676" s="35"/>
      <c r="E676" s="34"/>
      <c r="F676" s="34"/>
      <c r="G676" s="34"/>
      <c r="H676" s="34"/>
      <c r="I676" s="35"/>
      <c r="J676" s="35"/>
      <c r="K676" s="35"/>
      <c r="L676" s="35"/>
      <c r="M676" s="35"/>
      <c r="N676" s="35"/>
      <c r="O676" s="35"/>
      <c r="P676" s="35"/>
      <c r="Q676" s="35"/>
      <c r="R676" s="34"/>
      <c r="S676" s="34"/>
      <c r="T676" s="36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</row>
    <row r="677" spans="1:35" ht="15.75" customHeight="1">
      <c r="A677" s="35"/>
      <c r="B677" s="35"/>
      <c r="C677" s="35"/>
      <c r="D677" s="35"/>
      <c r="E677" s="34"/>
      <c r="F677" s="34"/>
      <c r="G677" s="34"/>
      <c r="H677" s="34"/>
      <c r="I677" s="35"/>
      <c r="J677" s="35"/>
      <c r="K677" s="35"/>
      <c r="L677" s="35"/>
      <c r="M677" s="35"/>
      <c r="N677" s="35"/>
      <c r="O677" s="35"/>
      <c r="P677" s="35"/>
      <c r="Q677" s="35"/>
      <c r="R677" s="34"/>
      <c r="S677" s="34"/>
      <c r="T677" s="36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</row>
    <row r="678" spans="1:35" ht="15.75" customHeight="1">
      <c r="A678" s="35"/>
      <c r="B678" s="35"/>
      <c r="C678" s="35"/>
      <c r="D678" s="35"/>
      <c r="E678" s="34"/>
      <c r="F678" s="34"/>
      <c r="G678" s="34"/>
      <c r="H678" s="34"/>
      <c r="I678" s="35"/>
      <c r="J678" s="35"/>
      <c r="K678" s="35"/>
      <c r="L678" s="35"/>
      <c r="M678" s="35"/>
      <c r="N678" s="35"/>
      <c r="O678" s="35"/>
      <c r="P678" s="35"/>
      <c r="Q678" s="35"/>
      <c r="R678" s="34"/>
      <c r="S678" s="34"/>
      <c r="T678" s="36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</row>
    <row r="679" spans="1:35" ht="15.75" customHeight="1">
      <c r="A679" s="35"/>
      <c r="B679" s="35"/>
      <c r="C679" s="35"/>
      <c r="D679" s="35"/>
      <c r="E679" s="34"/>
      <c r="F679" s="34"/>
      <c r="G679" s="34"/>
      <c r="H679" s="34"/>
      <c r="I679" s="35"/>
      <c r="J679" s="35"/>
      <c r="K679" s="35"/>
      <c r="L679" s="35"/>
      <c r="M679" s="35"/>
      <c r="N679" s="35"/>
      <c r="O679" s="35"/>
      <c r="P679" s="35"/>
      <c r="Q679" s="35"/>
      <c r="R679" s="34"/>
      <c r="S679" s="34"/>
      <c r="T679" s="36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 spans="1:35" ht="15.75" customHeight="1">
      <c r="A680" s="35"/>
      <c r="B680" s="35"/>
      <c r="C680" s="35"/>
      <c r="D680" s="35"/>
      <c r="E680" s="34"/>
      <c r="F680" s="34"/>
      <c r="G680" s="34"/>
      <c r="H680" s="34"/>
      <c r="I680" s="35"/>
      <c r="J680" s="35"/>
      <c r="K680" s="35"/>
      <c r="L680" s="35"/>
      <c r="M680" s="35"/>
      <c r="N680" s="35"/>
      <c r="O680" s="35"/>
      <c r="P680" s="35"/>
      <c r="Q680" s="35"/>
      <c r="R680" s="34"/>
      <c r="S680" s="34"/>
      <c r="T680" s="36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</row>
    <row r="681" spans="1:35" ht="15.75" customHeight="1">
      <c r="A681" s="35"/>
      <c r="B681" s="35"/>
      <c r="C681" s="35"/>
      <c r="D681" s="35"/>
      <c r="E681" s="34"/>
      <c r="F681" s="34"/>
      <c r="G681" s="34"/>
      <c r="H681" s="34"/>
      <c r="I681" s="35"/>
      <c r="J681" s="35"/>
      <c r="K681" s="35"/>
      <c r="L681" s="35"/>
      <c r="M681" s="35"/>
      <c r="N681" s="35"/>
      <c r="O681" s="35"/>
      <c r="P681" s="35"/>
      <c r="Q681" s="35"/>
      <c r="R681" s="34"/>
      <c r="S681" s="34"/>
      <c r="T681" s="36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</row>
    <row r="682" spans="1:35" ht="15.75" customHeight="1">
      <c r="A682" s="35"/>
      <c r="B682" s="35"/>
      <c r="C682" s="35"/>
      <c r="D682" s="35"/>
      <c r="E682" s="34"/>
      <c r="F682" s="34"/>
      <c r="G682" s="34"/>
      <c r="H682" s="34"/>
      <c r="I682" s="35"/>
      <c r="J682" s="35"/>
      <c r="K682" s="35"/>
      <c r="L682" s="35"/>
      <c r="M682" s="35"/>
      <c r="N682" s="35"/>
      <c r="O682" s="35"/>
      <c r="P682" s="35"/>
      <c r="Q682" s="35"/>
      <c r="R682" s="34"/>
      <c r="S682" s="34"/>
      <c r="T682" s="36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</row>
    <row r="683" spans="1:35" ht="15.75" customHeight="1">
      <c r="A683" s="35"/>
      <c r="B683" s="35"/>
      <c r="C683" s="35"/>
      <c r="D683" s="35"/>
      <c r="E683" s="34"/>
      <c r="F683" s="34"/>
      <c r="G683" s="34"/>
      <c r="H683" s="34"/>
      <c r="I683" s="35"/>
      <c r="J683" s="35"/>
      <c r="K683" s="35"/>
      <c r="L683" s="35"/>
      <c r="M683" s="35"/>
      <c r="N683" s="35"/>
      <c r="O683" s="35"/>
      <c r="P683" s="35"/>
      <c r="Q683" s="35"/>
      <c r="R683" s="34"/>
      <c r="S683" s="34"/>
      <c r="T683" s="36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</row>
    <row r="684" spans="1:35" ht="15.75" customHeight="1">
      <c r="A684" s="35"/>
      <c r="B684" s="35"/>
      <c r="C684" s="35"/>
      <c r="D684" s="35"/>
      <c r="E684" s="34"/>
      <c r="F684" s="34"/>
      <c r="G684" s="34"/>
      <c r="H684" s="34"/>
      <c r="I684" s="35"/>
      <c r="J684" s="35"/>
      <c r="K684" s="35"/>
      <c r="L684" s="35"/>
      <c r="M684" s="35"/>
      <c r="N684" s="35"/>
      <c r="O684" s="35"/>
      <c r="P684" s="35"/>
      <c r="Q684" s="35"/>
      <c r="R684" s="34"/>
      <c r="S684" s="34"/>
      <c r="T684" s="36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</row>
    <row r="685" spans="1:35" ht="15.75" customHeight="1">
      <c r="A685" s="35"/>
      <c r="B685" s="35"/>
      <c r="C685" s="35"/>
      <c r="D685" s="35"/>
      <c r="E685" s="34"/>
      <c r="F685" s="34"/>
      <c r="G685" s="34"/>
      <c r="H685" s="34"/>
      <c r="I685" s="35"/>
      <c r="J685" s="35"/>
      <c r="K685" s="35"/>
      <c r="L685" s="35"/>
      <c r="M685" s="35"/>
      <c r="N685" s="35"/>
      <c r="O685" s="35"/>
      <c r="P685" s="35"/>
      <c r="Q685" s="35"/>
      <c r="R685" s="34"/>
      <c r="S685" s="34"/>
      <c r="T685" s="36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</row>
    <row r="686" spans="1:35" ht="15.75" customHeight="1">
      <c r="A686" s="35"/>
      <c r="B686" s="35"/>
      <c r="C686" s="35"/>
      <c r="D686" s="35"/>
      <c r="E686" s="34"/>
      <c r="F686" s="34"/>
      <c r="G686" s="34"/>
      <c r="H686" s="34"/>
      <c r="I686" s="35"/>
      <c r="J686" s="35"/>
      <c r="K686" s="35"/>
      <c r="L686" s="35"/>
      <c r="M686" s="35"/>
      <c r="N686" s="35"/>
      <c r="O686" s="35"/>
      <c r="P686" s="35"/>
      <c r="Q686" s="35"/>
      <c r="R686" s="34"/>
      <c r="S686" s="34"/>
      <c r="T686" s="36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</row>
    <row r="687" spans="1:35" ht="15.75" customHeight="1">
      <c r="A687" s="35"/>
      <c r="B687" s="35"/>
      <c r="C687" s="35"/>
      <c r="D687" s="35"/>
      <c r="E687" s="34"/>
      <c r="F687" s="34"/>
      <c r="G687" s="34"/>
      <c r="H687" s="34"/>
      <c r="I687" s="35"/>
      <c r="J687" s="35"/>
      <c r="K687" s="35"/>
      <c r="L687" s="35"/>
      <c r="M687" s="35"/>
      <c r="N687" s="35"/>
      <c r="O687" s="35"/>
      <c r="P687" s="35"/>
      <c r="Q687" s="35"/>
      <c r="R687" s="34"/>
      <c r="S687" s="38"/>
      <c r="T687" s="36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</row>
    <row r="688" spans="1:35" ht="15.75" customHeight="1">
      <c r="A688" s="35"/>
      <c r="B688" s="35"/>
      <c r="C688" s="35"/>
      <c r="D688" s="35"/>
      <c r="E688" s="34"/>
      <c r="F688" s="34"/>
      <c r="G688" s="34"/>
      <c r="H688" s="34"/>
      <c r="I688" s="35"/>
      <c r="J688" s="35"/>
      <c r="K688" s="35"/>
      <c r="L688" s="35"/>
      <c r="M688" s="35"/>
      <c r="N688" s="35"/>
      <c r="O688" s="35"/>
      <c r="P688" s="35"/>
      <c r="Q688" s="35"/>
      <c r="R688" s="34"/>
      <c r="S688" s="34"/>
      <c r="T688" s="36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 spans="1:35" ht="15.75" customHeight="1">
      <c r="A689" s="35"/>
      <c r="B689" s="35"/>
      <c r="C689" s="35"/>
      <c r="D689" s="35"/>
      <c r="E689" s="34"/>
      <c r="F689" s="34"/>
      <c r="G689" s="34"/>
      <c r="H689" s="34"/>
      <c r="I689" s="35"/>
      <c r="J689" s="35"/>
      <c r="K689" s="35"/>
      <c r="L689" s="35"/>
      <c r="M689" s="35"/>
      <c r="N689" s="35"/>
      <c r="O689" s="35"/>
      <c r="P689" s="35"/>
      <c r="Q689" s="35"/>
      <c r="R689" s="34"/>
      <c r="S689" s="34"/>
      <c r="T689" s="36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 spans="1:35" ht="15.75" customHeight="1">
      <c r="A690" s="35"/>
      <c r="B690" s="35"/>
      <c r="C690" s="35"/>
      <c r="D690" s="35"/>
      <c r="E690" s="34"/>
      <c r="F690" s="34"/>
      <c r="G690" s="34"/>
      <c r="H690" s="34"/>
      <c r="I690" s="35"/>
      <c r="J690" s="35"/>
      <c r="K690" s="35"/>
      <c r="L690" s="35"/>
      <c r="M690" s="35"/>
      <c r="N690" s="35"/>
      <c r="O690" s="35"/>
      <c r="P690" s="35"/>
      <c r="Q690" s="35"/>
      <c r="R690" s="34"/>
      <c r="S690" s="34"/>
      <c r="T690" s="36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 spans="1:35" ht="15.75" customHeight="1">
      <c r="A691" s="35"/>
      <c r="B691" s="35"/>
      <c r="C691" s="35"/>
      <c r="D691" s="35"/>
      <c r="E691" s="34"/>
      <c r="F691" s="34"/>
      <c r="G691" s="34"/>
      <c r="H691" s="34"/>
      <c r="I691" s="35"/>
      <c r="J691" s="35"/>
      <c r="K691" s="35"/>
      <c r="L691" s="35"/>
      <c r="M691" s="35"/>
      <c r="N691" s="35"/>
      <c r="O691" s="35"/>
      <c r="P691" s="35"/>
      <c r="Q691" s="35"/>
      <c r="R691" s="34"/>
      <c r="S691" s="34"/>
      <c r="T691" s="36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 spans="1:35" ht="15.75" customHeight="1">
      <c r="A692" s="35"/>
      <c r="B692" s="35"/>
      <c r="C692" s="35"/>
      <c r="D692" s="35"/>
      <c r="E692" s="34"/>
      <c r="F692" s="34"/>
      <c r="G692" s="34"/>
      <c r="H692" s="34"/>
      <c r="I692" s="35"/>
      <c r="J692" s="35"/>
      <c r="K692" s="35"/>
      <c r="L692" s="35"/>
      <c r="M692" s="35"/>
      <c r="N692" s="35"/>
      <c r="O692" s="35"/>
      <c r="P692" s="35"/>
      <c r="Q692" s="35"/>
      <c r="R692" s="34"/>
      <c r="S692" s="34"/>
      <c r="T692" s="36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 spans="1:35" ht="15.75" customHeight="1">
      <c r="A693" s="35"/>
      <c r="B693" s="35"/>
      <c r="C693" s="35"/>
      <c r="D693" s="35"/>
      <c r="E693" s="34"/>
      <c r="F693" s="34"/>
      <c r="G693" s="34"/>
      <c r="H693" s="34"/>
      <c r="I693" s="35"/>
      <c r="J693" s="35"/>
      <c r="K693" s="35"/>
      <c r="L693" s="35"/>
      <c r="M693" s="35"/>
      <c r="N693" s="35"/>
      <c r="O693" s="35"/>
      <c r="P693" s="35"/>
      <c r="Q693" s="35"/>
      <c r="R693" s="34"/>
      <c r="S693" s="34"/>
      <c r="T693" s="36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</row>
    <row r="694" spans="1:35" ht="15.75" customHeight="1">
      <c r="A694" s="35"/>
      <c r="B694" s="35"/>
      <c r="C694" s="35"/>
      <c r="D694" s="35"/>
      <c r="E694" s="34"/>
      <c r="F694" s="34"/>
      <c r="G694" s="34"/>
      <c r="H694" s="34"/>
      <c r="I694" s="35"/>
      <c r="J694" s="35"/>
      <c r="K694" s="35"/>
      <c r="L694" s="35"/>
      <c r="M694" s="35"/>
      <c r="N694" s="35"/>
      <c r="O694" s="35"/>
      <c r="P694" s="35"/>
      <c r="Q694" s="35"/>
      <c r="R694" s="34"/>
      <c r="S694" s="34"/>
      <c r="T694" s="36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</row>
    <row r="695" spans="1:35" ht="15.75" customHeight="1">
      <c r="A695" s="35"/>
      <c r="B695" s="35"/>
      <c r="C695" s="35"/>
      <c r="D695" s="35"/>
      <c r="E695" s="34"/>
      <c r="F695" s="34"/>
      <c r="G695" s="34"/>
      <c r="H695" s="34"/>
      <c r="I695" s="35"/>
      <c r="J695" s="35"/>
      <c r="K695" s="35"/>
      <c r="L695" s="35"/>
      <c r="M695" s="35"/>
      <c r="N695" s="35"/>
      <c r="O695" s="35"/>
      <c r="P695" s="35"/>
      <c r="Q695" s="35"/>
      <c r="R695" s="34"/>
      <c r="S695" s="34"/>
      <c r="T695" s="36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</row>
    <row r="696" spans="1:35" ht="15.75" customHeight="1">
      <c r="A696" s="35"/>
      <c r="B696" s="35"/>
      <c r="C696" s="35"/>
      <c r="D696" s="35"/>
      <c r="E696" s="34"/>
      <c r="F696" s="34"/>
      <c r="G696" s="34"/>
      <c r="H696" s="34"/>
      <c r="I696" s="35"/>
      <c r="J696" s="35"/>
      <c r="K696" s="35"/>
      <c r="L696" s="35"/>
      <c r="M696" s="35"/>
      <c r="N696" s="35"/>
      <c r="O696" s="35"/>
      <c r="P696" s="35"/>
      <c r="Q696" s="35"/>
      <c r="R696" s="34"/>
      <c r="S696" s="34"/>
      <c r="T696" s="36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</row>
    <row r="697" spans="1:35" ht="15.75" customHeight="1">
      <c r="A697" s="35"/>
      <c r="B697" s="35"/>
      <c r="C697" s="35"/>
      <c r="D697" s="35"/>
      <c r="E697" s="34"/>
      <c r="F697" s="34"/>
      <c r="G697" s="34"/>
      <c r="H697" s="34"/>
      <c r="I697" s="35"/>
      <c r="J697" s="35"/>
      <c r="K697" s="35"/>
      <c r="L697" s="35"/>
      <c r="M697" s="35"/>
      <c r="N697" s="35"/>
      <c r="O697" s="35"/>
      <c r="P697" s="35"/>
      <c r="Q697" s="35"/>
      <c r="R697" s="34"/>
      <c r="S697" s="34"/>
      <c r="T697" s="36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</row>
    <row r="698" spans="1:35" ht="15.75" customHeight="1">
      <c r="A698" s="35"/>
      <c r="B698" s="35"/>
      <c r="C698" s="35"/>
      <c r="D698" s="35"/>
      <c r="E698" s="34"/>
      <c r="F698" s="34"/>
      <c r="G698" s="34"/>
      <c r="H698" s="34"/>
      <c r="I698" s="35"/>
      <c r="J698" s="35"/>
      <c r="K698" s="35"/>
      <c r="L698" s="35"/>
      <c r="M698" s="35"/>
      <c r="N698" s="35"/>
      <c r="O698" s="35"/>
      <c r="P698" s="35"/>
      <c r="Q698" s="35"/>
      <c r="R698" s="34"/>
      <c r="S698" s="34"/>
      <c r="T698" s="36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 spans="1:35" ht="15.75" customHeight="1">
      <c r="A699" s="35"/>
      <c r="B699" s="35"/>
      <c r="C699" s="35"/>
      <c r="D699" s="35"/>
      <c r="E699" s="34"/>
      <c r="F699" s="34"/>
      <c r="G699" s="34"/>
      <c r="H699" s="34"/>
      <c r="I699" s="35"/>
      <c r="J699" s="35"/>
      <c r="K699" s="35"/>
      <c r="L699" s="35"/>
      <c r="M699" s="35"/>
      <c r="N699" s="35"/>
      <c r="O699" s="35"/>
      <c r="P699" s="35"/>
      <c r="Q699" s="35"/>
      <c r="R699" s="34"/>
      <c r="S699" s="34"/>
      <c r="T699" s="36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</row>
    <row r="700" spans="1:35" ht="15.75" customHeight="1">
      <c r="A700" s="35"/>
      <c r="B700" s="35"/>
      <c r="C700" s="35"/>
      <c r="D700" s="35"/>
      <c r="E700" s="34"/>
      <c r="F700" s="34"/>
      <c r="G700" s="34"/>
      <c r="H700" s="34"/>
      <c r="I700" s="35"/>
      <c r="J700" s="35"/>
      <c r="K700" s="35"/>
      <c r="L700" s="35"/>
      <c r="M700" s="35"/>
      <c r="N700" s="35"/>
      <c r="O700" s="35"/>
      <c r="P700" s="35"/>
      <c r="Q700" s="35"/>
      <c r="R700" s="34"/>
      <c r="S700" s="34"/>
      <c r="T700" s="36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</row>
    <row r="701" spans="1:35" ht="15.75" customHeight="1">
      <c r="A701" s="35"/>
      <c r="B701" s="35"/>
      <c r="C701" s="35"/>
      <c r="D701" s="35"/>
      <c r="E701" s="34"/>
      <c r="F701" s="34"/>
      <c r="G701" s="34"/>
      <c r="H701" s="34"/>
      <c r="I701" s="35"/>
      <c r="J701" s="35"/>
      <c r="K701" s="35"/>
      <c r="L701" s="35"/>
      <c r="M701" s="35"/>
      <c r="N701" s="35"/>
      <c r="O701" s="35"/>
      <c r="P701" s="35"/>
      <c r="Q701" s="35"/>
      <c r="R701" s="34"/>
      <c r="S701" s="34"/>
      <c r="T701" s="36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</row>
    <row r="702" spans="1:35" ht="15.75" customHeight="1">
      <c r="A702" s="35"/>
      <c r="B702" s="35"/>
      <c r="C702" s="35"/>
      <c r="D702" s="35"/>
      <c r="E702" s="34"/>
      <c r="F702" s="34"/>
      <c r="G702" s="34"/>
      <c r="H702" s="34"/>
      <c r="I702" s="35"/>
      <c r="J702" s="35"/>
      <c r="K702" s="35"/>
      <c r="L702" s="35"/>
      <c r="M702" s="35"/>
      <c r="N702" s="35"/>
      <c r="O702" s="35"/>
      <c r="P702" s="35"/>
      <c r="Q702" s="35"/>
      <c r="R702" s="34"/>
      <c r="S702" s="34"/>
      <c r="T702" s="36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</row>
    <row r="703" spans="1:35" ht="15.75" customHeight="1">
      <c r="A703" s="35"/>
      <c r="B703" s="35"/>
      <c r="C703" s="35"/>
      <c r="D703" s="35"/>
      <c r="E703" s="34"/>
      <c r="F703" s="34"/>
      <c r="G703" s="34"/>
      <c r="H703" s="34"/>
      <c r="I703" s="35"/>
      <c r="J703" s="35"/>
      <c r="K703" s="35"/>
      <c r="L703" s="35"/>
      <c r="M703" s="35"/>
      <c r="N703" s="35"/>
      <c r="O703" s="35"/>
      <c r="P703" s="35"/>
      <c r="Q703" s="35"/>
      <c r="R703" s="34"/>
      <c r="S703" s="34"/>
      <c r="T703" s="36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</row>
    <row r="704" spans="1:35" ht="15.75" customHeight="1">
      <c r="A704" s="35"/>
      <c r="B704" s="35"/>
      <c r="C704" s="35"/>
      <c r="D704" s="35"/>
      <c r="E704" s="34"/>
      <c r="F704" s="34"/>
      <c r="G704" s="34"/>
      <c r="H704" s="34"/>
      <c r="I704" s="35"/>
      <c r="J704" s="35"/>
      <c r="K704" s="35"/>
      <c r="L704" s="35"/>
      <c r="M704" s="35"/>
      <c r="N704" s="35"/>
      <c r="O704" s="35"/>
      <c r="P704" s="35"/>
      <c r="Q704" s="35"/>
      <c r="R704" s="34"/>
      <c r="S704" s="34"/>
      <c r="T704" s="36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</row>
    <row r="705" spans="1:33" ht="15.75" customHeight="1">
      <c r="A705" s="35"/>
      <c r="B705" s="35"/>
      <c r="C705" s="35"/>
      <c r="D705" s="35"/>
      <c r="E705" s="34"/>
      <c r="F705" s="34"/>
      <c r="G705" s="34"/>
      <c r="H705" s="34"/>
      <c r="I705" s="35"/>
      <c r="J705" s="35"/>
      <c r="K705" s="35"/>
      <c r="L705" s="35"/>
      <c r="M705" s="35"/>
      <c r="N705" s="35"/>
      <c r="O705" s="35"/>
      <c r="P705" s="35"/>
      <c r="Q705" s="35"/>
      <c r="R705" s="34"/>
      <c r="S705" s="34"/>
      <c r="T705" s="36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spans="1:33" ht="15.75" customHeight="1">
      <c r="A706" s="35"/>
      <c r="B706" s="35"/>
      <c r="C706" s="35"/>
      <c r="D706" s="35"/>
      <c r="I706" s="35"/>
      <c r="J706" s="35"/>
      <c r="K706" s="35"/>
      <c r="L706" s="35"/>
      <c r="M706" s="35"/>
      <c r="N706" s="35"/>
      <c r="O706" s="35"/>
      <c r="P706" s="35"/>
      <c r="Q706" s="35"/>
      <c r="S706" s="34"/>
      <c r="T706" s="36"/>
    </row>
    <row r="707" spans="1:33" ht="15.75" customHeight="1">
      <c r="A707" s="35"/>
      <c r="B707" s="35"/>
      <c r="C707" s="35"/>
      <c r="D707" s="35"/>
      <c r="I707" s="35"/>
      <c r="J707" s="35"/>
      <c r="K707" s="35"/>
      <c r="L707" s="35"/>
      <c r="M707" s="35"/>
      <c r="N707" s="35"/>
      <c r="O707" s="35"/>
      <c r="P707" s="35"/>
      <c r="Q707" s="35"/>
      <c r="S707" s="38"/>
      <c r="T707" s="36"/>
    </row>
    <row r="708" spans="1:33" ht="15.75" customHeight="1">
      <c r="A708" s="35"/>
      <c r="B708" s="35"/>
      <c r="C708" s="35"/>
      <c r="D708" s="35"/>
      <c r="I708" s="35"/>
      <c r="J708" s="35"/>
      <c r="K708" s="35"/>
      <c r="L708" s="35"/>
      <c r="M708" s="35"/>
      <c r="N708" s="35"/>
      <c r="O708" s="35"/>
      <c r="P708" s="35"/>
      <c r="Q708" s="35"/>
      <c r="S708" s="34"/>
      <c r="T708" s="36"/>
    </row>
    <row r="709" spans="1:33" ht="15.75" customHeight="1">
      <c r="A709" s="35"/>
      <c r="B709" s="35"/>
      <c r="C709" s="35"/>
      <c r="D709" s="35"/>
      <c r="I709" s="35"/>
      <c r="J709" s="35"/>
      <c r="K709" s="35"/>
      <c r="L709" s="35"/>
      <c r="M709" s="35"/>
      <c r="N709" s="35"/>
      <c r="O709" s="35"/>
      <c r="P709" s="35"/>
      <c r="Q709" s="35"/>
      <c r="S709" s="34"/>
      <c r="T709" s="36"/>
    </row>
    <row r="710" spans="1:33" ht="15.75" customHeight="1">
      <c r="A710" s="35"/>
      <c r="B710" s="35"/>
      <c r="C710" s="35"/>
      <c r="D710" s="35"/>
      <c r="I710" s="35"/>
      <c r="J710" s="35"/>
      <c r="K710" s="35"/>
      <c r="L710" s="35"/>
      <c r="M710" s="35"/>
      <c r="N710" s="35"/>
      <c r="O710" s="35"/>
      <c r="P710" s="35"/>
      <c r="Q710" s="35"/>
      <c r="S710" s="34"/>
      <c r="T710" s="36"/>
    </row>
    <row r="711" spans="1:33" ht="15.75" customHeight="1">
      <c r="A711" s="35"/>
      <c r="B711" s="35"/>
      <c r="C711" s="35"/>
      <c r="D711" s="35"/>
      <c r="I711" s="35"/>
      <c r="J711" s="35"/>
      <c r="K711" s="35"/>
      <c r="L711" s="35"/>
      <c r="M711" s="35"/>
      <c r="N711" s="35"/>
      <c r="O711" s="35"/>
      <c r="P711" s="35"/>
      <c r="Q711" s="35"/>
      <c r="S711" s="34"/>
      <c r="T711" s="36"/>
    </row>
    <row r="712" spans="1:33" ht="15.75" customHeight="1">
      <c r="A712" s="35"/>
      <c r="B712" s="35"/>
      <c r="C712" s="35"/>
      <c r="D712" s="35"/>
      <c r="I712" s="35"/>
      <c r="J712" s="35"/>
      <c r="K712" s="35"/>
      <c r="L712" s="35"/>
      <c r="M712" s="35"/>
      <c r="N712" s="35"/>
      <c r="O712" s="35"/>
      <c r="P712" s="35"/>
      <c r="Q712" s="35"/>
      <c r="S712" s="34"/>
      <c r="T712" s="36"/>
    </row>
    <row r="713" spans="1:33" ht="15.75" customHeight="1">
      <c r="A713" s="35"/>
      <c r="B713" s="35"/>
      <c r="C713" s="35"/>
      <c r="D713" s="35"/>
      <c r="I713" s="35"/>
      <c r="J713" s="35"/>
      <c r="K713" s="35"/>
      <c r="L713" s="35"/>
      <c r="M713" s="35"/>
      <c r="N713" s="35"/>
      <c r="O713" s="35"/>
      <c r="P713" s="35"/>
      <c r="Q713" s="35"/>
      <c r="S713" s="34"/>
      <c r="T713" s="36"/>
    </row>
    <row r="714" spans="1:33" ht="15.75" customHeight="1">
      <c r="A714" s="35"/>
      <c r="B714" s="35"/>
      <c r="C714" s="35"/>
      <c r="D714" s="35"/>
      <c r="I714" s="35"/>
      <c r="J714" s="35"/>
      <c r="K714" s="35"/>
      <c r="L714" s="35"/>
      <c r="M714" s="35"/>
      <c r="N714" s="35"/>
      <c r="O714" s="35"/>
      <c r="P714" s="35"/>
      <c r="Q714" s="35"/>
      <c r="S714" s="34"/>
      <c r="T714" s="36"/>
    </row>
    <row r="715" spans="1:33" ht="15.75" customHeight="1">
      <c r="A715" s="35"/>
      <c r="B715" s="35"/>
      <c r="C715" s="35"/>
      <c r="D715" s="35"/>
      <c r="I715" s="35"/>
      <c r="J715" s="35"/>
      <c r="K715" s="35"/>
      <c r="L715" s="35"/>
      <c r="M715" s="35"/>
      <c r="N715" s="35"/>
      <c r="O715" s="35"/>
      <c r="P715" s="35"/>
      <c r="Q715" s="35"/>
      <c r="S715" s="34"/>
      <c r="T715" s="36"/>
    </row>
    <row r="716" spans="1:33" ht="15.75" customHeight="1">
      <c r="A716" s="35"/>
      <c r="B716" s="35"/>
      <c r="C716" s="35"/>
      <c r="D716" s="35"/>
      <c r="I716" s="35"/>
      <c r="J716" s="35"/>
      <c r="K716" s="35"/>
      <c r="L716" s="35"/>
      <c r="M716" s="35"/>
      <c r="N716" s="35"/>
      <c r="O716" s="35"/>
      <c r="P716" s="35"/>
      <c r="Q716" s="35"/>
      <c r="S716" s="34"/>
      <c r="T716" s="36"/>
    </row>
    <row r="717" spans="1:33" ht="15.75" customHeight="1">
      <c r="A717" s="35"/>
      <c r="B717" s="35"/>
      <c r="C717" s="35"/>
      <c r="D717" s="35"/>
      <c r="I717" s="35"/>
      <c r="J717" s="35"/>
      <c r="K717" s="35"/>
      <c r="L717" s="35"/>
      <c r="M717" s="35"/>
      <c r="N717" s="35"/>
      <c r="O717" s="35"/>
      <c r="P717" s="35"/>
      <c r="Q717" s="35"/>
      <c r="S717" s="34"/>
      <c r="T717" s="36"/>
    </row>
    <row r="718" spans="1:33" ht="15.75" customHeight="1">
      <c r="A718" s="35"/>
      <c r="B718" s="35"/>
      <c r="C718" s="35"/>
      <c r="D718" s="35"/>
      <c r="I718" s="35"/>
      <c r="J718" s="35"/>
      <c r="K718" s="35"/>
      <c r="L718" s="35"/>
      <c r="M718" s="35"/>
      <c r="N718" s="35"/>
      <c r="O718" s="35"/>
      <c r="P718" s="35"/>
      <c r="Q718" s="35"/>
      <c r="S718" s="34"/>
      <c r="T718" s="36"/>
    </row>
    <row r="719" spans="1:33" ht="15.75" customHeight="1">
      <c r="A719" s="35"/>
      <c r="B719" s="35"/>
      <c r="C719" s="35"/>
      <c r="D719" s="35"/>
      <c r="I719" s="35"/>
      <c r="J719" s="35"/>
      <c r="K719" s="35"/>
      <c r="L719" s="35"/>
      <c r="M719" s="35"/>
      <c r="N719" s="35"/>
      <c r="O719" s="35"/>
      <c r="P719" s="35"/>
      <c r="Q719" s="35"/>
      <c r="S719" s="34"/>
      <c r="T719" s="36"/>
    </row>
    <row r="720" spans="1:33" ht="15.75" customHeight="1">
      <c r="A720" s="35"/>
      <c r="B720" s="35"/>
      <c r="C720" s="35"/>
      <c r="D720" s="35"/>
      <c r="I720" s="35"/>
      <c r="J720" s="35"/>
      <c r="K720" s="35"/>
      <c r="L720" s="35"/>
      <c r="M720" s="35"/>
      <c r="N720" s="35"/>
      <c r="O720" s="35"/>
      <c r="P720" s="35"/>
      <c r="Q720" s="35"/>
      <c r="S720" s="34"/>
      <c r="T720" s="36"/>
    </row>
    <row r="721" spans="1:20" ht="15.75" customHeight="1">
      <c r="A721" s="35"/>
      <c r="B721" s="35"/>
      <c r="C721" s="35"/>
      <c r="D721" s="35"/>
      <c r="I721" s="35"/>
      <c r="J721" s="35"/>
      <c r="K721" s="35"/>
      <c r="L721" s="35"/>
      <c r="M721" s="35"/>
      <c r="N721" s="35"/>
      <c r="O721" s="35"/>
      <c r="P721" s="35"/>
      <c r="Q721" s="35"/>
      <c r="S721" s="34"/>
      <c r="T721" s="36"/>
    </row>
    <row r="722" spans="1:20" ht="15.75" customHeight="1">
      <c r="A722" s="35"/>
      <c r="B722" s="35"/>
      <c r="C722" s="35"/>
      <c r="D722" s="35"/>
      <c r="I722" s="35"/>
      <c r="J722" s="35"/>
      <c r="K722" s="35"/>
      <c r="L722" s="35"/>
      <c r="M722" s="35"/>
      <c r="N722" s="35"/>
      <c r="O722" s="35"/>
      <c r="P722" s="35"/>
      <c r="Q722" s="35"/>
      <c r="S722" s="34"/>
      <c r="T722" s="36"/>
    </row>
    <row r="723" spans="1:20" ht="15.75" customHeight="1">
      <c r="A723" s="35"/>
      <c r="B723" s="35"/>
      <c r="C723" s="35"/>
      <c r="D723" s="35"/>
      <c r="I723" s="35"/>
      <c r="J723" s="35"/>
      <c r="K723" s="35"/>
      <c r="L723" s="35"/>
      <c r="M723" s="35"/>
      <c r="N723" s="35"/>
      <c r="O723" s="35"/>
      <c r="P723" s="35"/>
      <c r="Q723" s="35"/>
      <c r="S723" s="34"/>
      <c r="T723" s="36"/>
    </row>
    <row r="724" spans="1:20" ht="15.75" customHeight="1">
      <c r="A724" s="35"/>
      <c r="B724" s="35"/>
      <c r="C724" s="35"/>
      <c r="D724" s="35"/>
      <c r="I724" s="35"/>
      <c r="J724" s="35"/>
      <c r="K724" s="35"/>
      <c r="L724" s="35"/>
      <c r="M724" s="35"/>
      <c r="N724" s="35"/>
      <c r="O724" s="35"/>
      <c r="P724" s="35"/>
      <c r="Q724" s="35"/>
      <c r="S724" s="34"/>
      <c r="T724" s="36"/>
    </row>
    <row r="725" spans="1:20" ht="15.75" customHeight="1">
      <c r="A725" s="35"/>
      <c r="B725" s="35"/>
      <c r="C725" s="35"/>
      <c r="D725" s="35"/>
      <c r="I725" s="35"/>
      <c r="J725" s="35"/>
      <c r="K725" s="35"/>
      <c r="L725" s="35"/>
      <c r="M725" s="35"/>
      <c r="N725" s="35"/>
      <c r="O725" s="35"/>
      <c r="P725" s="35"/>
      <c r="Q725" s="35"/>
      <c r="S725" s="34"/>
      <c r="T725" s="36"/>
    </row>
    <row r="726" spans="1:20" ht="15.75" customHeight="1">
      <c r="A726" s="35"/>
      <c r="B726" s="35"/>
      <c r="C726" s="35"/>
      <c r="D726" s="35"/>
      <c r="I726" s="35"/>
      <c r="J726" s="35"/>
      <c r="K726" s="35"/>
      <c r="L726" s="35"/>
      <c r="M726" s="35"/>
      <c r="N726" s="35"/>
      <c r="O726" s="35"/>
      <c r="P726" s="35"/>
      <c r="Q726" s="35"/>
      <c r="S726" s="34"/>
      <c r="T726" s="36"/>
    </row>
    <row r="727" spans="1:20" ht="15.75" customHeight="1">
      <c r="A727" s="35"/>
      <c r="B727" s="35"/>
      <c r="C727" s="35"/>
      <c r="D727" s="35"/>
      <c r="I727" s="35"/>
      <c r="J727" s="35"/>
      <c r="K727" s="35"/>
      <c r="L727" s="35"/>
      <c r="M727" s="35"/>
      <c r="N727" s="35"/>
      <c r="O727" s="35"/>
      <c r="P727" s="35"/>
      <c r="Q727" s="35"/>
      <c r="S727" s="38"/>
      <c r="T727" s="36"/>
    </row>
    <row r="728" spans="1:20" ht="15.75" customHeight="1">
      <c r="A728" s="35"/>
      <c r="B728" s="35"/>
      <c r="C728" s="35"/>
      <c r="D728" s="35"/>
      <c r="I728" s="35"/>
      <c r="J728" s="35"/>
      <c r="K728" s="35"/>
      <c r="L728" s="35"/>
      <c r="M728" s="35"/>
      <c r="N728" s="35"/>
      <c r="O728" s="35"/>
      <c r="P728" s="35"/>
      <c r="Q728" s="35"/>
      <c r="S728" s="34"/>
      <c r="T728" s="36"/>
    </row>
    <row r="729" spans="1:20" ht="15.75" customHeight="1">
      <c r="A729" s="35"/>
      <c r="B729" s="35"/>
      <c r="C729" s="35"/>
      <c r="D729" s="35"/>
      <c r="I729" s="35"/>
      <c r="J729" s="35"/>
      <c r="K729" s="35"/>
      <c r="L729" s="35"/>
      <c r="M729" s="35"/>
      <c r="N729" s="35"/>
      <c r="O729" s="35"/>
      <c r="P729" s="35"/>
      <c r="Q729" s="35"/>
      <c r="S729" s="34"/>
      <c r="T729" s="36"/>
    </row>
    <row r="730" spans="1:20" ht="15.75" customHeight="1">
      <c r="A730" s="35"/>
      <c r="B730" s="35"/>
      <c r="C730" s="35"/>
      <c r="D730" s="35"/>
      <c r="I730" s="35"/>
      <c r="J730" s="35"/>
      <c r="K730" s="35"/>
      <c r="L730" s="35"/>
      <c r="M730" s="35"/>
      <c r="N730" s="35"/>
      <c r="O730" s="35"/>
      <c r="P730" s="35"/>
      <c r="Q730" s="35"/>
      <c r="S730" s="34"/>
      <c r="T730" s="36"/>
    </row>
    <row r="731" spans="1:20" ht="15.75" customHeight="1">
      <c r="A731" s="35"/>
      <c r="B731" s="35"/>
      <c r="C731" s="35"/>
      <c r="D731" s="35"/>
      <c r="I731" s="35"/>
      <c r="J731" s="35"/>
      <c r="K731" s="35"/>
      <c r="L731" s="35"/>
      <c r="M731" s="35"/>
      <c r="N731" s="35"/>
      <c r="O731" s="35"/>
      <c r="P731" s="35"/>
      <c r="Q731" s="35"/>
      <c r="S731" s="34"/>
      <c r="T731" s="36"/>
    </row>
    <row r="732" spans="1:20" ht="15.75" customHeight="1">
      <c r="A732" s="35"/>
      <c r="B732" s="35"/>
      <c r="C732" s="35"/>
      <c r="D732" s="35"/>
      <c r="I732" s="35"/>
      <c r="J732" s="35"/>
      <c r="K732" s="35"/>
      <c r="L732" s="35"/>
      <c r="M732" s="35"/>
      <c r="N732" s="35"/>
      <c r="O732" s="35"/>
      <c r="P732" s="35"/>
      <c r="Q732" s="35"/>
      <c r="S732" s="34"/>
      <c r="T732" s="36"/>
    </row>
    <row r="733" spans="1:20" ht="15.75" customHeight="1">
      <c r="A733" s="35"/>
      <c r="B733" s="35"/>
      <c r="C733" s="35"/>
      <c r="D733" s="35"/>
      <c r="I733" s="35"/>
      <c r="J733" s="35"/>
      <c r="K733" s="35"/>
      <c r="L733" s="35"/>
      <c r="M733" s="35"/>
      <c r="N733" s="35"/>
      <c r="O733" s="35"/>
      <c r="P733" s="35"/>
      <c r="Q733" s="35"/>
      <c r="S733" s="34"/>
      <c r="T733" s="36"/>
    </row>
    <row r="734" spans="1:20" ht="15.75" customHeight="1">
      <c r="A734" s="35"/>
      <c r="B734" s="35"/>
      <c r="C734" s="35"/>
      <c r="D734" s="35"/>
      <c r="I734" s="35"/>
      <c r="J734" s="35"/>
      <c r="K734" s="35"/>
      <c r="L734" s="35"/>
      <c r="M734" s="35"/>
      <c r="N734" s="35"/>
      <c r="O734" s="35"/>
      <c r="P734" s="35"/>
      <c r="Q734" s="35"/>
      <c r="S734" s="34"/>
      <c r="T734" s="36"/>
    </row>
    <row r="735" spans="1:20" ht="15.75" customHeight="1">
      <c r="A735" s="35"/>
      <c r="B735" s="35"/>
      <c r="C735" s="35"/>
      <c r="D735" s="35"/>
      <c r="I735" s="35"/>
      <c r="J735" s="35"/>
      <c r="K735" s="35"/>
      <c r="L735" s="35"/>
      <c r="M735" s="35"/>
      <c r="N735" s="35"/>
      <c r="O735" s="35"/>
      <c r="P735" s="35"/>
      <c r="Q735" s="35"/>
      <c r="S735" s="34"/>
      <c r="T735" s="36"/>
    </row>
    <row r="736" spans="1:20" ht="15.75" customHeight="1">
      <c r="A736" s="35"/>
      <c r="B736" s="35"/>
      <c r="C736" s="35"/>
      <c r="D736" s="35"/>
      <c r="I736" s="35"/>
      <c r="J736" s="35"/>
      <c r="K736" s="35"/>
      <c r="L736" s="35"/>
      <c r="M736" s="35"/>
      <c r="N736" s="35"/>
      <c r="O736" s="35"/>
      <c r="P736" s="35"/>
      <c r="Q736" s="35"/>
      <c r="S736" s="34"/>
      <c r="T736" s="36"/>
    </row>
    <row r="737" spans="1:20" ht="15.75" customHeight="1">
      <c r="A737" s="35"/>
      <c r="B737" s="35"/>
      <c r="C737" s="35"/>
      <c r="D737" s="35"/>
      <c r="I737" s="35"/>
      <c r="J737" s="35"/>
      <c r="K737" s="35"/>
      <c r="L737" s="35"/>
      <c r="M737" s="35"/>
      <c r="N737" s="35"/>
      <c r="O737" s="35"/>
      <c r="P737" s="35"/>
      <c r="Q737" s="35"/>
      <c r="S737" s="34"/>
      <c r="T737" s="36"/>
    </row>
    <row r="738" spans="1:20" ht="15.75" customHeight="1">
      <c r="A738" s="35"/>
      <c r="B738" s="35"/>
      <c r="C738" s="35"/>
      <c r="D738" s="35"/>
      <c r="I738" s="35"/>
      <c r="J738" s="35"/>
      <c r="K738" s="35"/>
      <c r="L738" s="35"/>
      <c r="M738" s="35"/>
      <c r="N738" s="35"/>
      <c r="O738" s="35"/>
      <c r="P738" s="35"/>
      <c r="Q738" s="35"/>
      <c r="S738" s="34"/>
      <c r="T738" s="36"/>
    </row>
    <row r="739" spans="1:20" ht="15.75" customHeight="1">
      <c r="A739" s="35"/>
      <c r="B739" s="35"/>
      <c r="C739" s="35"/>
      <c r="D739" s="35"/>
      <c r="I739" s="35"/>
      <c r="J739" s="35"/>
      <c r="K739" s="35"/>
      <c r="L739" s="35"/>
      <c r="M739" s="35"/>
      <c r="N739" s="35"/>
      <c r="O739" s="35"/>
      <c r="P739" s="35"/>
      <c r="Q739" s="35"/>
      <c r="S739" s="34"/>
      <c r="T739" s="36"/>
    </row>
    <row r="740" spans="1:20" ht="15.75" customHeight="1">
      <c r="A740" s="35"/>
      <c r="B740" s="35"/>
      <c r="C740" s="35"/>
      <c r="D740" s="35"/>
      <c r="I740" s="35"/>
      <c r="J740" s="35"/>
      <c r="K740" s="35"/>
      <c r="L740" s="35"/>
      <c r="M740" s="35"/>
      <c r="N740" s="35"/>
      <c r="O740" s="35"/>
      <c r="P740" s="35"/>
      <c r="Q740" s="35"/>
      <c r="S740" s="34"/>
      <c r="T740" s="36"/>
    </row>
    <row r="741" spans="1:20" ht="15.75" customHeight="1">
      <c r="A741" s="35"/>
      <c r="B741" s="35"/>
      <c r="C741" s="35"/>
      <c r="D741" s="35"/>
      <c r="I741" s="35"/>
      <c r="J741" s="35"/>
      <c r="K741" s="35"/>
      <c r="L741" s="35"/>
      <c r="M741" s="35"/>
      <c r="N741" s="35"/>
      <c r="O741" s="35"/>
      <c r="P741" s="35"/>
      <c r="Q741" s="35"/>
      <c r="S741" s="34"/>
      <c r="T741" s="36"/>
    </row>
    <row r="742" spans="1:20" ht="15.75" customHeight="1">
      <c r="A742" s="35"/>
      <c r="B742" s="35"/>
      <c r="C742" s="35"/>
      <c r="D742" s="35"/>
      <c r="I742" s="35"/>
      <c r="J742" s="35"/>
      <c r="K742" s="35"/>
      <c r="L742" s="35"/>
      <c r="M742" s="35"/>
      <c r="N742" s="35"/>
      <c r="O742" s="35"/>
      <c r="P742" s="35"/>
      <c r="Q742" s="35"/>
      <c r="S742" s="34"/>
      <c r="T742" s="36"/>
    </row>
    <row r="743" spans="1:20" ht="15.75" customHeight="1">
      <c r="A743" s="35"/>
      <c r="B743" s="35"/>
      <c r="C743" s="35"/>
      <c r="D743" s="35"/>
      <c r="I743" s="35"/>
      <c r="J743" s="35"/>
      <c r="K743" s="35"/>
      <c r="L743" s="35"/>
      <c r="M743" s="35"/>
      <c r="N743" s="35"/>
      <c r="O743" s="35"/>
      <c r="P743" s="35"/>
      <c r="Q743" s="35"/>
      <c r="S743" s="34"/>
      <c r="T743" s="36"/>
    </row>
    <row r="744" spans="1:20" ht="15.75" customHeight="1">
      <c r="A744" s="35"/>
      <c r="B744" s="35"/>
      <c r="C744" s="35"/>
      <c r="D744" s="35"/>
      <c r="I744" s="35"/>
      <c r="J744" s="35"/>
      <c r="K744" s="35"/>
      <c r="L744" s="35"/>
      <c r="M744" s="35"/>
      <c r="N744" s="35"/>
      <c r="O744" s="35"/>
      <c r="P744" s="35"/>
      <c r="Q744" s="35"/>
      <c r="S744" s="34"/>
      <c r="T744" s="36"/>
    </row>
    <row r="745" spans="1:20" ht="15.75" customHeight="1">
      <c r="A745" s="35"/>
      <c r="B745" s="35"/>
      <c r="C745" s="35"/>
      <c r="D745" s="35"/>
      <c r="I745" s="35"/>
      <c r="J745" s="35"/>
      <c r="K745" s="35"/>
      <c r="L745" s="35"/>
      <c r="M745" s="35"/>
      <c r="N745" s="35"/>
      <c r="O745" s="35"/>
      <c r="P745" s="35"/>
      <c r="Q745" s="35"/>
      <c r="S745" s="34"/>
      <c r="T745" s="36"/>
    </row>
    <row r="746" spans="1:20" ht="15.75" customHeight="1">
      <c r="A746" s="35"/>
      <c r="B746" s="35"/>
      <c r="C746" s="35"/>
      <c r="D746" s="35"/>
      <c r="I746" s="35"/>
      <c r="J746" s="35"/>
      <c r="K746" s="35"/>
      <c r="L746" s="35"/>
      <c r="M746" s="35"/>
      <c r="N746" s="35"/>
      <c r="O746" s="35"/>
      <c r="P746" s="35"/>
      <c r="Q746" s="35"/>
      <c r="S746" s="34"/>
      <c r="T746" s="36"/>
    </row>
    <row r="747" spans="1:20" ht="15.75" customHeight="1">
      <c r="A747" s="35"/>
      <c r="B747" s="35"/>
      <c r="C747" s="35"/>
      <c r="D747" s="35"/>
      <c r="I747" s="35"/>
      <c r="J747" s="35"/>
      <c r="K747" s="35"/>
      <c r="L747" s="35"/>
      <c r="M747" s="35"/>
      <c r="N747" s="35"/>
      <c r="O747" s="35"/>
      <c r="P747" s="35"/>
      <c r="Q747" s="35"/>
      <c r="S747" s="38"/>
      <c r="T747" s="36"/>
    </row>
    <row r="748" spans="1:20" ht="15.75" customHeight="1">
      <c r="A748" s="35"/>
      <c r="B748" s="35"/>
      <c r="C748" s="35"/>
      <c r="D748" s="35"/>
      <c r="I748" s="35"/>
      <c r="J748" s="35"/>
      <c r="K748" s="35"/>
      <c r="L748" s="35"/>
      <c r="M748" s="35"/>
      <c r="N748" s="35"/>
      <c r="O748" s="35"/>
      <c r="P748" s="35"/>
      <c r="Q748" s="35"/>
      <c r="S748" s="34"/>
      <c r="T748" s="36"/>
    </row>
    <row r="749" spans="1:20" ht="15.75" customHeight="1">
      <c r="A749" s="35"/>
      <c r="B749" s="35"/>
      <c r="C749" s="35"/>
      <c r="D749" s="35"/>
      <c r="I749" s="35"/>
      <c r="J749" s="35"/>
      <c r="K749" s="35"/>
      <c r="L749" s="35"/>
      <c r="M749" s="35"/>
      <c r="N749" s="35"/>
      <c r="O749" s="35"/>
      <c r="P749" s="35"/>
      <c r="Q749" s="35"/>
      <c r="S749" s="34"/>
      <c r="T749" s="36"/>
    </row>
    <row r="750" spans="1:20" ht="15.75" customHeight="1">
      <c r="A750" s="35"/>
      <c r="B750" s="35"/>
      <c r="C750" s="35"/>
      <c r="D750" s="35"/>
      <c r="I750" s="35"/>
      <c r="J750" s="35"/>
      <c r="K750" s="35"/>
      <c r="L750" s="35"/>
      <c r="M750" s="35"/>
      <c r="N750" s="35"/>
      <c r="O750" s="35"/>
      <c r="P750" s="35"/>
      <c r="Q750" s="35"/>
      <c r="S750" s="34"/>
      <c r="T750" s="36"/>
    </row>
    <row r="751" spans="1:20" ht="15.75" customHeight="1">
      <c r="A751" s="35"/>
      <c r="B751" s="35"/>
      <c r="C751" s="35"/>
      <c r="D751" s="35"/>
      <c r="I751" s="35"/>
      <c r="J751" s="35"/>
      <c r="K751" s="35"/>
      <c r="L751" s="35"/>
      <c r="M751" s="35"/>
      <c r="N751" s="35"/>
      <c r="O751" s="35"/>
      <c r="P751" s="35"/>
      <c r="Q751" s="35"/>
      <c r="S751" s="34"/>
      <c r="T751" s="36"/>
    </row>
    <row r="752" spans="1:20" ht="15.75" customHeight="1">
      <c r="A752" s="35"/>
      <c r="B752" s="35"/>
      <c r="C752" s="35"/>
      <c r="D752" s="35"/>
      <c r="I752" s="35"/>
      <c r="J752" s="35"/>
      <c r="K752" s="35"/>
      <c r="L752" s="35"/>
      <c r="M752" s="35"/>
      <c r="N752" s="35"/>
      <c r="O752" s="35"/>
      <c r="P752" s="35"/>
      <c r="Q752" s="35"/>
      <c r="S752" s="34"/>
      <c r="T752" s="36"/>
    </row>
    <row r="753" spans="1:20" ht="15.75" customHeight="1">
      <c r="A753" s="35"/>
      <c r="B753" s="35"/>
      <c r="C753" s="35"/>
      <c r="D753" s="35"/>
      <c r="I753" s="35"/>
      <c r="J753" s="35"/>
      <c r="K753" s="35"/>
      <c r="L753" s="35"/>
      <c r="M753" s="35"/>
      <c r="N753" s="35"/>
      <c r="O753" s="35"/>
      <c r="P753" s="35"/>
      <c r="Q753" s="35"/>
      <c r="S753" s="34"/>
      <c r="T753" s="36"/>
    </row>
    <row r="754" spans="1:20" ht="15.75" customHeight="1">
      <c r="A754" s="35"/>
      <c r="B754" s="35"/>
      <c r="C754" s="35"/>
      <c r="D754" s="35"/>
      <c r="I754" s="35"/>
      <c r="J754" s="35"/>
      <c r="K754" s="35"/>
      <c r="L754" s="35"/>
      <c r="M754" s="35"/>
      <c r="N754" s="35"/>
      <c r="O754" s="35"/>
      <c r="P754" s="35"/>
      <c r="Q754" s="35"/>
      <c r="S754" s="34"/>
      <c r="T754" s="36"/>
    </row>
    <row r="755" spans="1:20" ht="15.75" customHeight="1">
      <c r="A755" s="35"/>
      <c r="B755" s="35"/>
      <c r="C755" s="35"/>
      <c r="D755" s="35"/>
      <c r="I755" s="35"/>
      <c r="J755" s="35"/>
      <c r="K755" s="35"/>
      <c r="L755" s="35"/>
      <c r="M755" s="35"/>
      <c r="N755" s="35"/>
      <c r="O755" s="35"/>
      <c r="P755" s="35"/>
      <c r="Q755" s="35"/>
      <c r="S755" s="34"/>
      <c r="T755" s="36"/>
    </row>
    <row r="756" spans="1:20" ht="15.75" customHeight="1">
      <c r="A756" s="35"/>
      <c r="B756" s="35"/>
      <c r="C756" s="35"/>
      <c r="D756" s="35"/>
      <c r="I756" s="35"/>
      <c r="J756" s="35"/>
      <c r="K756" s="35"/>
      <c r="L756" s="35"/>
      <c r="M756" s="35"/>
      <c r="N756" s="35"/>
      <c r="O756" s="35"/>
      <c r="P756" s="35"/>
      <c r="Q756" s="35"/>
      <c r="S756" s="34"/>
      <c r="T756" s="36"/>
    </row>
    <row r="757" spans="1:20" ht="15.75" customHeight="1">
      <c r="A757" s="35"/>
      <c r="B757" s="35"/>
      <c r="C757" s="35"/>
      <c r="D757" s="35"/>
      <c r="I757" s="35"/>
      <c r="J757" s="35"/>
      <c r="K757" s="35"/>
      <c r="L757" s="35"/>
      <c r="M757" s="35"/>
      <c r="N757" s="35"/>
      <c r="O757" s="35"/>
      <c r="P757" s="35"/>
      <c r="Q757" s="35"/>
      <c r="S757" s="34"/>
      <c r="T757" s="36"/>
    </row>
    <row r="758" spans="1:20" ht="15.75" customHeight="1">
      <c r="A758" s="35"/>
      <c r="B758" s="35"/>
      <c r="C758" s="35"/>
      <c r="D758" s="35"/>
      <c r="I758" s="35"/>
      <c r="J758" s="35"/>
      <c r="K758" s="35"/>
      <c r="L758" s="35"/>
      <c r="M758" s="35"/>
      <c r="N758" s="35"/>
      <c r="O758" s="35"/>
      <c r="P758" s="35"/>
      <c r="Q758" s="35"/>
      <c r="S758" s="34"/>
      <c r="T758" s="36"/>
    </row>
    <row r="759" spans="1:20" ht="15.75" customHeight="1">
      <c r="A759" s="35"/>
      <c r="B759" s="35"/>
      <c r="C759" s="35"/>
      <c r="D759" s="35"/>
      <c r="I759" s="35"/>
      <c r="J759" s="35"/>
      <c r="K759" s="35"/>
      <c r="L759" s="35"/>
      <c r="M759" s="35"/>
      <c r="N759" s="35"/>
      <c r="O759" s="35"/>
      <c r="P759" s="35"/>
      <c r="Q759" s="35"/>
      <c r="S759" s="34"/>
      <c r="T759" s="36"/>
    </row>
    <row r="760" spans="1:20" ht="15.75" customHeight="1">
      <c r="A760" s="35"/>
      <c r="B760" s="35"/>
      <c r="C760" s="35"/>
      <c r="D760" s="35"/>
      <c r="I760" s="35"/>
      <c r="J760" s="35"/>
      <c r="K760" s="35"/>
      <c r="L760" s="35"/>
      <c r="M760" s="35"/>
      <c r="N760" s="35"/>
      <c r="O760" s="35"/>
      <c r="P760" s="35"/>
      <c r="Q760" s="35"/>
      <c r="S760" s="34"/>
      <c r="T760" s="36"/>
    </row>
    <row r="761" spans="1:20" ht="15.75" customHeight="1">
      <c r="A761" s="35"/>
      <c r="B761" s="35"/>
      <c r="C761" s="35"/>
      <c r="D761" s="35"/>
      <c r="I761" s="35"/>
      <c r="J761" s="35"/>
      <c r="K761" s="35"/>
      <c r="L761" s="35"/>
      <c r="M761" s="35"/>
      <c r="N761" s="35"/>
      <c r="O761" s="35"/>
      <c r="P761" s="35"/>
      <c r="Q761" s="35"/>
      <c r="S761" s="34"/>
      <c r="T761" s="36"/>
    </row>
    <row r="762" spans="1:20" ht="15.75" customHeight="1">
      <c r="A762" s="35"/>
      <c r="B762" s="35"/>
      <c r="C762" s="35"/>
      <c r="D762" s="35"/>
      <c r="I762" s="35"/>
      <c r="J762" s="35"/>
      <c r="K762" s="35"/>
      <c r="L762" s="35"/>
      <c r="M762" s="35"/>
      <c r="N762" s="35"/>
      <c r="O762" s="35"/>
      <c r="P762" s="35"/>
      <c r="Q762" s="35"/>
      <c r="S762" s="34"/>
      <c r="T762" s="36"/>
    </row>
    <row r="763" spans="1:20" ht="15.75" customHeight="1">
      <c r="A763" s="35"/>
      <c r="B763" s="35"/>
      <c r="C763" s="35"/>
      <c r="D763" s="35"/>
      <c r="I763" s="35"/>
      <c r="J763" s="35"/>
      <c r="K763" s="35"/>
      <c r="L763" s="35"/>
      <c r="M763" s="35"/>
      <c r="N763" s="35"/>
      <c r="O763" s="35"/>
      <c r="P763" s="35"/>
      <c r="Q763" s="35"/>
      <c r="S763" s="34"/>
      <c r="T763" s="36"/>
    </row>
    <row r="764" spans="1:20" ht="15.75" customHeight="1">
      <c r="A764" s="35"/>
      <c r="B764" s="35"/>
      <c r="C764" s="35"/>
      <c r="D764" s="35"/>
      <c r="I764" s="35"/>
      <c r="J764" s="35"/>
      <c r="K764" s="35"/>
      <c r="L764" s="35"/>
      <c r="M764" s="35"/>
      <c r="N764" s="35"/>
      <c r="O764" s="35"/>
      <c r="P764" s="35"/>
      <c r="Q764" s="35"/>
      <c r="S764" s="34"/>
      <c r="T764" s="36"/>
    </row>
    <row r="765" spans="1:20" ht="15.75" customHeight="1">
      <c r="A765" s="35"/>
      <c r="B765" s="35"/>
      <c r="C765" s="35"/>
      <c r="D765" s="35"/>
      <c r="I765" s="35"/>
      <c r="J765" s="35"/>
      <c r="K765" s="35"/>
      <c r="L765" s="35"/>
      <c r="M765" s="35"/>
      <c r="N765" s="35"/>
      <c r="O765" s="35"/>
      <c r="P765" s="35"/>
      <c r="Q765" s="35"/>
      <c r="S765" s="34"/>
      <c r="T765" s="36"/>
    </row>
    <row r="766" spans="1:20" ht="15.75" customHeight="1">
      <c r="A766" s="35"/>
      <c r="B766" s="35"/>
      <c r="C766" s="35"/>
      <c r="D766" s="35"/>
      <c r="I766" s="35"/>
      <c r="J766" s="35"/>
      <c r="K766" s="35"/>
      <c r="L766" s="35"/>
      <c r="M766" s="35"/>
      <c r="N766" s="35"/>
      <c r="O766" s="35"/>
      <c r="P766" s="35"/>
      <c r="Q766" s="35"/>
      <c r="S766" s="34"/>
      <c r="T766" s="36"/>
    </row>
    <row r="767" spans="1:20" ht="15.75" customHeight="1">
      <c r="A767" s="35"/>
      <c r="B767" s="35"/>
      <c r="C767" s="35"/>
      <c r="D767" s="35"/>
      <c r="I767" s="35"/>
      <c r="J767" s="35"/>
      <c r="K767" s="35"/>
      <c r="L767" s="35"/>
      <c r="M767" s="35"/>
      <c r="N767" s="35"/>
      <c r="O767" s="35"/>
      <c r="P767" s="35"/>
      <c r="Q767" s="35"/>
      <c r="S767" s="38"/>
      <c r="T767" s="36"/>
    </row>
    <row r="768" spans="1:20" ht="15.75" customHeight="1">
      <c r="A768" s="35"/>
      <c r="B768" s="35"/>
      <c r="C768" s="35"/>
      <c r="D768" s="35"/>
      <c r="I768" s="35"/>
      <c r="J768" s="35"/>
      <c r="K768" s="35"/>
      <c r="L768" s="35"/>
      <c r="M768" s="35"/>
      <c r="N768" s="35"/>
      <c r="O768" s="35"/>
      <c r="P768" s="35"/>
      <c r="Q768" s="35"/>
      <c r="S768" s="34"/>
      <c r="T768" s="36"/>
    </row>
    <row r="769" spans="1:20" ht="15.75" customHeight="1">
      <c r="A769" s="35"/>
      <c r="B769" s="35"/>
      <c r="C769" s="35"/>
      <c r="D769" s="35"/>
      <c r="I769" s="35"/>
      <c r="J769" s="35"/>
      <c r="K769" s="35"/>
      <c r="L769" s="35"/>
      <c r="M769" s="35"/>
      <c r="N769" s="35"/>
      <c r="O769" s="35"/>
      <c r="P769" s="35"/>
      <c r="Q769" s="35"/>
      <c r="S769" s="34"/>
      <c r="T769" s="36"/>
    </row>
    <row r="770" spans="1:20" ht="15.75" customHeight="1">
      <c r="A770" s="35"/>
      <c r="B770" s="35"/>
      <c r="C770" s="35"/>
      <c r="D770" s="35"/>
      <c r="I770" s="35"/>
      <c r="J770" s="35"/>
      <c r="K770" s="35"/>
      <c r="L770" s="35"/>
      <c r="M770" s="35"/>
      <c r="N770" s="35"/>
      <c r="O770" s="35"/>
      <c r="P770" s="35"/>
      <c r="Q770" s="35"/>
      <c r="S770" s="34"/>
      <c r="T770" s="36"/>
    </row>
    <row r="771" spans="1:20" ht="15.75" customHeight="1">
      <c r="A771" s="35"/>
      <c r="B771" s="35"/>
      <c r="C771" s="35"/>
      <c r="D771" s="35"/>
      <c r="I771" s="35"/>
      <c r="J771" s="35"/>
      <c r="K771" s="35"/>
      <c r="L771" s="35"/>
      <c r="M771" s="35"/>
      <c r="N771" s="35"/>
      <c r="O771" s="35"/>
      <c r="P771" s="35"/>
      <c r="Q771" s="35"/>
      <c r="S771" s="34"/>
      <c r="T771" s="36"/>
    </row>
    <row r="772" spans="1:20" ht="15.75" customHeight="1">
      <c r="A772" s="35"/>
      <c r="B772" s="35"/>
      <c r="C772" s="35"/>
      <c r="D772" s="35"/>
      <c r="I772" s="35"/>
      <c r="J772" s="35"/>
      <c r="K772" s="35"/>
      <c r="L772" s="35"/>
      <c r="M772" s="35"/>
      <c r="N772" s="35"/>
      <c r="O772" s="35"/>
      <c r="P772" s="35"/>
      <c r="Q772" s="35"/>
      <c r="S772" s="34"/>
      <c r="T772" s="36"/>
    </row>
    <row r="773" spans="1:20" ht="15.75" customHeight="1">
      <c r="A773" s="35"/>
      <c r="B773" s="35"/>
      <c r="C773" s="35"/>
      <c r="D773" s="35"/>
      <c r="I773" s="35"/>
      <c r="J773" s="35"/>
      <c r="K773" s="35"/>
      <c r="L773" s="35"/>
      <c r="M773" s="35"/>
      <c r="N773" s="35"/>
      <c r="O773" s="35"/>
      <c r="P773" s="35"/>
      <c r="Q773" s="35"/>
      <c r="S773" s="34"/>
      <c r="T773" s="36"/>
    </row>
    <row r="774" spans="1:20" ht="15.75" customHeight="1">
      <c r="A774" s="35"/>
      <c r="B774" s="35"/>
      <c r="C774" s="35"/>
      <c r="D774" s="35"/>
      <c r="I774" s="35"/>
      <c r="J774" s="35"/>
      <c r="K774" s="35"/>
      <c r="L774" s="35"/>
      <c r="M774" s="35"/>
      <c r="N774" s="35"/>
      <c r="O774" s="35"/>
      <c r="P774" s="35"/>
      <c r="Q774" s="35"/>
      <c r="S774" s="34"/>
      <c r="T774" s="36"/>
    </row>
    <row r="775" spans="1:20" ht="15.75" customHeight="1">
      <c r="A775" s="35"/>
      <c r="B775" s="35"/>
      <c r="C775" s="35"/>
      <c r="D775" s="35"/>
      <c r="I775" s="35"/>
      <c r="J775" s="35"/>
      <c r="K775" s="35"/>
      <c r="L775" s="35"/>
      <c r="M775" s="35"/>
      <c r="N775" s="35"/>
      <c r="O775" s="35"/>
      <c r="P775" s="35"/>
      <c r="Q775" s="35"/>
      <c r="S775" s="34"/>
      <c r="T775" s="36"/>
    </row>
    <row r="776" spans="1:20" ht="15.75" customHeight="1">
      <c r="A776" s="35"/>
      <c r="B776" s="35"/>
      <c r="C776" s="35"/>
      <c r="D776" s="35"/>
      <c r="I776" s="35"/>
      <c r="J776" s="35"/>
      <c r="K776" s="35"/>
      <c r="L776" s="35"/>
      <c r="M776" s="35"/>
      <c r="N776" s="35"/>
      <c r="O776" s="35"/>
      <c r="P776" s="35"/>
      <c r="Q776" s="35"/>
      <c r="S776" s="34"/>
      <c r="T776" s="36"/>
    </row>
    <row r="777" spans="1:20" ht="15.75" customHeight="1">
      <c r="A777" s="35"/>
      <c r="B777" s="35"/>
      <c r="C777" s="35"/>
      <c r="D777" s="35"/>
      <c r="I777" s="35"/>
      <c r="J777" s="35"/>
      <c r="K777" s="35"/>
      <c r="L777" s="35"/>
      <c r="M777" s="35"/>
      <c r="N777" s="35"/>
      <c r="O777" s="35"/>
      <c r="P777" s="35"/>
      <c r="Q777" s="35"/>
      <c r="S777" s="34"/>
      <c r="T777" s="36"/>
    </row>
    <row r="778" spans="1:20" ht="15.75" customHeight="1">
      <c r="A778" s="35"/>
      <c r="B778" s="35"/>
      <c r="C778" s="35"/>
      <c r="D778" s="35"/>
      <c r="I778" s="35"/>
      <c r="J778" s="35"/>
      <c r="K778" s="35"/>
      <c r="L778" s="35"/>
      <c r="M778" s="35"/>
      <c r="N778" s="35"/>
      <c r="O778" s="35"/>
      <c r="P778" s="35"/>
      <c r="Q778" s="35"/>
      <c r="S778" s="34"/>
      <c r="T778" s="36"/>
    </row>
    <row r="779" spans="1:20" ht="15.75" customHeight="1">
      <c r="A779" s="35"/>
      <c r="B779" s="35"/>
      <c r="C779" s="35"/>
      <c r="D779" s="35"/>
      <c r="I779" s="35"/>
      <c r="J779" s="35"/>
      <c r="K779" s="35"/>
      <c r="L779" s="35"/>
      <c r="M779" s="35"/>
      <c r="N779" s="35"/>
      <c r="O779" s="35"/>
      <c r="P779" s="35"/>
      <c r="Q779" s="35"/>
      <c r="S779" s="34"/>
      <c r="T779" s="36"/>
    </row>
    <row r="780" spans="1:20" ht="15.75" customHeight="1">
      <c r="A780" s="35"/>
      <c r="B780" s="35"/>
      <c r="C780" s="35"/>
      <c r="D780" s="35"/>
      <c r="I780" s="35"/>
      <c r="J780" s="35"/>
      <c r="K780" s="35"/>
      <c r="L780" s="35"/>
      <c r="M780" s="35"/>
      <c r="N780" s="35"/>
      <c r="O780" s="35"/>
      <c r="P780" s="35"/>
      <c r="Q780" s="35"/>
      <c r="S780" s="34"/>
      <c r="T780" s="36"/>
    </row>
    <row r="781" spans="1:20" ht="15.75" customHeight="1">
      <c r="A781" s="35"/>
      <c r="B781" s="35"/>
      <c r="C781" s="35"/>
      <c r="D781" s="35"/>
      <c r="I781" s="35"/>
      <c r="J781" s="35"/>
      <c r="K781" s="35"/>
      <c r="L781" s="35"/>
      <c r="M781" s="35"/>
      <c r="N781" s="35"/>
      <c r="O781" s="35"/>
      <c r="P781" s="35"/>
      <c r="Q781" s="35"/>
      <c r="S781" s="34"/>
      <c r="T781" s="36"/>
    </row>
    <row r="782" spans="1:20" ht="15.75" customHeight="1">
      <c r="A782" s="35"/>
      <c r="B782" s="35"/>
      <c r="C782" s="35"/>
      <c r="D782" s="35"/>
      <c r="I782" s="35"/>
      <c r="J782" s="35"/>
      <c r="K782" s="35"/>
      <c r="L782" s="35"/>
      <c r="M782" s="35"/>
      <c r="N782" s="35"/>
      <c r="O782" s="35"/>
      <c r="P782" s="35"/>
      <c r="Q782" s="35"/>
      <c r="S782" s="34"/>
      <c r="T782" s="36"/>
    </row>
    <row r="783" spans="1:20" ht="15.75" customHeight="1">
      <c r="A783" s="35"/>
      <c r="B783" s="35"/>
      <c r="C783" s="35"/>
      <c r="D783" s="35"/>
      <c r="I783" s="35"/>
      <c r="J783" s="35"/>
      <c r="K783" s="35"/>
      <c r="L783" s="35"/>
      <c r="M783" s="35"/>
      <c r="N783" s="35"/>
      <c r="O783" s="35"/>
      <c r="P783" s="35"/>
      <c r="Q783" s="35"/>
      <c r="S783" s="34"/>
      <c r="T783" s="36"/>
    </row>
    <row r="784" spans="1:20" ht="15.75" customHeight="1">
      <c r="A784" s="35"/>
      <c r="B784" s="35"/>
      <c r="C784" s="35"/>
      <c r="D784" s="35"/>
      <c r="I784" s="35"/>
      <c r="J784" s="35"/>
      <c r="K784" s="35"/>
      <c r="L784" s="35"/>
      <c r="M784" s="35"/>
      <c r="N784" s="35"/>
      <c r="O784" s="35"/>
      <c r="P784" s="35"/>
      <c r="Q784" s="35"/>
      <c r="S784" s="34"/>
      <c r="T784" s="36"/>
    </row>
    <row r="785" spans="1:20" ht="15.75" customHeight="1">
      <c r="A785" s="35"/>
      <c r="B785" s="35"/>
      <c r="C785" s="35"/>
      <c r="D785" s="35"/>
      <c r="I785" s="35"/>
      <c r="J785" s="35"/>
      <c r="K785" s="35"/>
      <c r="L785" s="35"/>
      <c r="M785" s="35"/>
      <c r="N785" s="35"/>
      <c r="O785" s="35"/>
      <c r="P785" s="35"/>
      <c r="Q785" s="35"/>
      <c r="S785" s="34"/>
      <c r="T785" s="36"/>
    </row>
    <row r="786" spans="1:20" ht="15.75" customHeight="1">
      <c r="A786" s="35"/>
      <c r="B786" s="35"/>
      <c r="C786" s="35"/>
      <c r="D786" s="35"/>
      <c r="I786" s="35"/>
      <c r="J786" s="35"/>
      <c r="K786" s="35"/>
      <c r="L786" s="35"/>
      <c r="M786" s="35"/>
      <c r="N786" s="35"/>
      <c r="O786" s="35"/>
      <c r="P786" s="35"/>
      <c r="Q786" s="35"/>
      <c r="S786" s="34"/>
      <c r="T786" s="36"/>
    </row>
    <row r="787" spans="1:20" ht="15.75" customHeight="1">
      <c r="A787" s="35"/>
      <c r="B787" s="35"/>
      <c r="C787" s="35"/>
      <c r="D787" s="35"/>
      <c r="I787" s="35"/>
      <c r="J787" s="35"/>
      <c r="K787" s="35"/>
      <c r="L787" s="35"/>
      <c r="M787" s="35"/>
      <c r="N787" s="35"/>
      <c r="O787" s="35"/>
      <c r="P787" s="35"/>
      <c r="Q787" s="35"/>
      <c r="S787" s="38"/>
      <c r="T787" s="36"/>
    </row>
    <row r="788" spans="1:20" ht="15.75" customHeight="1">
      <c r="A788" s="35"/>
      <c r="B788" s="35"/>
      <c r="C788" s="35"/>
      <c r="D788" s="35"/>
      <c r="I788" s="35"/>
      <c r="J788" s="35"/>
      <c r="K788" s="35"/>
      <c r="L788" s="35"/>
      <c r="M788" s="35"/>
      <c r="N788" s="35"/>
      <c r="O788" s="35"/>
      <c r="P788" s="35"/>
      <c r="Q788" s="35"/>
      <c r="S788" s="34"/>
      <c r="T788" s="36"/>
    </row>
    <row r="789" spans="1:20" ht="15.75" customHeight="1">
      <c r="A789" s="35"/>
      <c r="B789" s="35"/>
      <c r="C789" s="35"/>
      <c r="D789" s="35"/>
      <c r="I789" s="35"/>
      <c r="J789" s="35"/>
      <c r="K789" s="35"/>
      <c r="L789" s="35"/>
      <c r="M789" s="35"/>
      <c r="N789" s="35"/>
      <c r="O789" s="35"/>
      <c r="P789" s="35"/>
      <c r="Q789" s="35"/>
      <c r="S789" s="34"/>
      <c r="T789" s="36"/>
    </row>
    <row r="790" spans="1:20" ht="15.75" customHeight="1">
      <c r="A790" s="35"/>
      <c r="B790" s="35"/>
      <c r="C790" s="35"/>
      <c r="D790" s="35"/>
      <c r="I790" s="35"/>
      <c r="J790" s="35"/>
      <c r="K790" s="35"/>
      <c r="L790" s="35"/>
      <c r="M790" s="35"/>
      <c r="N790" s="35"/>
      <c r="O790" s="35"/>
      <c r="P790" s="35"/>
      <c r="Q790" s="35"/>
      <c r="S790" s="34"/>
      <c r="T790" s="36"/>
    </row>
    <row r="791" spans="1:20" ht="15.75" customHeight="1">
      <c r="A791" s="35"/>
      <c r="B791" s="35"/>
      <c r="C791" s="35"/>
      <c r="D791" s="35"/>
      <c r="I791" s="35"/>
      <c r="J791" s="35"/>
      <c r="K791" s="35"/>
      <c r="L791" s="35"/>
      <c r="M791" s="35"/>
      <c r="N791" s="35"/>
      <c r="O791" s="35"/>
      <c r="P791" s="35"/>
      <c r="Q791" s="35"/>
      <c r="S791" s="34"/>
      <c r="T791" s="36"/>
    </row>
    <row r="792" spans="1:20" ht="15.75" customHeight="1">
      <c r="A792" s="35"/>
      <c r="B792" s="35"/>
      <c r="C792" s="35"/>
      <c r="D792" s="35"/>
      <c r="I792" s="35"/>
      <c r="J792" s="35"/>
      <c r="K792" s="35"/>
      <c r="L792" s="35"/>
      <c r="M792" s="35"/>
      <c r="N792" s="35"/>
      <c r="O792" s="35"/>
      <c r="P792" s="35"/>
      <c r="Q792" s="35"/>
      <c r="S792" s="34"/>
      <c r="T792" s="36"/>
    </row>
    <row r="793" spans="1:20" ht="15.75" customHeight="1">
      <c r="A793" s="35"/>
      <c r="B793" s="35"/>
      <c r="C793" s="35"/>
      <c r="D793" s="35"/>
      <c r="I793" s="35"/>
      <c r="J793" s="35"/>
      <c r="K793" s="35"/>
      <c r="L793" s="35"/>
      <c r="M793" s="35"/>
      <c r="N793" s="35"/>
      <c r="O793" s="35"/>
      <c r="P793" s="35"/>
      <c r="Q793" s="35"/>
      <c r="S793" s="34"/>
      <c r="T793" s="36"/>
    </row>
    <row r="794" spans="1:20" ht="15.75" customHeight="1">
      <c r="A794" s="35"/>
      <c r="B794" s="35"/>
      <c r="C794" s="35"/>
      <c r="D794" s="35"/>
      <c r="I794" s="35"/>
      <c r="J794" s="35"/>
      <c r="K794" s="35"/>
      <c r="L794" s="35"/>
      <c r="M794" s="35"/>
      <c r="N794" s="35"/>
      <c r="O794" s="35"/>
      <c r="P794" s="35"/>
      <c r="Q794" s="35"/>
      <c r="S794" s="34"/>
      <c r="T794" s="36"/>
    </row>
    <row r="795" spans="1:20" ht="15.75" customHeight="1">
      <c r="A795" s="35"/>
      <c r="B795" s="35"/>
      <c r="C795" s="35"/>
      <c r="D795" s="35"/>
      <c r="I795" s="35"/>
      <c r="J795" s="35"/>
      <c r="K795" s="35"/>
      <c r="L795" s="35"/>
      <c r="M795" s="35"/>
      <c r="N795" s="35"/>
      <c r="O795" s="35"/>
      <c r="P795" s="35"/>
      <c r="Q795" s="35"/>
      <c r="S795" s="34"/>
      <c r="T795" s="36"/>
    </row>
    <row r="796" spans="1:20" ht="15.75" customHeight="1">
      <c r="A796" s="35"/>
      <c r="B796" s="35"/>
      <c r="C796" s="35"/>
      <c r="D796" s="35"/>
      <c r="I796" s="35"/>
      <c r="J796" s="35"/>
      <c r="K796" s="35"/>
      <c r="L796" s="35"/>
      <c r="M796" s="35"/>
      <c r="N796" s="35"/>
      <c r="O796" s="35"/>
      <c r="P796" s="35"/>
      <c r="Q796" s="35"/>
      <c r="S796" s="34"/>
      <c r="T796" s="36"/>
    </row>
    <row r="797" spans="1:20" ht="15.75" customHeight="1">
      <c r="A797" s="35"/>
      <c r="B797" s="35"/>
      <c r="C797" s="35"/>
      <c r="D797" s="35"/>
      <c r="I797" s="35"/>
      <c r="J797" s="35"/>
      <c r="K797" s="35"/>
      <c r="L797" s="35"/>
      <c r="M797" s="35"/>
      <c r="N797" s="35"/>
      <c r="O797" s="35"/>
      <c r="P797" s="35"/>
      <c r="Q797" s="35"/>
      <c r="S797" s="34"/>
      <c r="T797" s="36"/>
    </row>
    <row r="798" spans="1:20" ht="15.75" customHeight="1">
      <c r="A798" s="35"/>
      <c r="B798" s="35"/>
      <c r="C798" s="35"/>
      <c r="D798" s="35"/>
      <c r="I798" s="35"/>
      <c r="J798" s="35"/>
      <c r="K798" s="35"/>
      <c r="L798" s="35"/>
      <c r="M798" s="35"/>
      <c r="N798" s="35"/>
      <c r="O798" s="35"/>
      <c r="P798" s="35"/>
      <c r="Q798" s="35"/>
      <c r="S798" s="34"/>
      <c r="T798" s="36"/>
    </row>
    <row r="799" spans="1:20" ht="15.75" customHeight="1">
      <c r="A799" s="35"/>
      <c r="B799" s="35"/>
      <c r="C799" s="35"/>
      <c r="D799" s="35"/>
      <c r="I799" s="35"/>
      <c r="J799" s="35"/>
      <c r="K799" s="35"/>
      <c r="L799" s="35"/>
      <c r="M799" s="35"/>
      <c r="N799" s="35"/>
      <c r="O799" s="35"/>
      <c r="P799" s="35"/>
      <c r="Q799" s="35"/>
      <c r="S799" s="34"/>
      <c r="T799" s="36"/>
    </row>
    <row r="800" spans="1:20" ht="15.75" customHeight="1">
      <c r="A800" s="35"/>
      <c r="B800" s="35"/>
      <c r="C800" s="35"/>
      <c r="D800" s="35"/>
      <c r="I800" s="35"/>
      <c r="J800" s="35"/>
      <c r="K800" s="35"/>
      <c r="L800" s="35"/>
      <c r="M800" s="35"/>
      <c r="N800" s="35"/>
      <c r="O800" s="35"/>
      <c r="P800" s="35"/>
      <c r="Q800" s="35"/>
      <c r="S800" s="34"/>
      <c r="T800" s="36"/>
    </row>
    <row r="801" spans="1:20" ht="15.75" customHeight="1">
      <c r="A801" s="35"/>
      <c r="B801" s="35"/>
      <c r="C801" s="35"/>
      <c r="D801" s="35"/>
      <c r="I801" s="35"/>
      <c r="J801" s="35"/>
      <c r="K801" s="35"/>
      <c r="L801" s="35"/>
      <c r="M801" s="35"/>
      <c r="N801" s="35"/>
      <c r="O801" s="35"/>
      <c r="P801" s="35"/>
      <c r="Q801" s="35"/>
      <c r="S801" s="34"/>
      <c r="T801" s="36"/>
    </row>
    <row r="802" spans="1:20" ht="15.75" customHeight="1">
      <c r="A802" s="35"/>
      <c r="B802" s="35"/>
      <c r="C802" s="35"/>
      <c r="D802" s="35"/>
      <c r="I802" s="35"/>
      <c r="J802" s="35"/>
      <c r="K802" s="35"/>
      <c r="L802" s="35"/>
      <c r="M802" s="35"/>
      <c r="N802" s="35"/>
      <c r="O802" s="35"/>
      <c r="P802" s="35"/>
      <c r="Q802" s="35"/>
      <c r="S802" s="34"/>
      <c r="T802" s="36"/>
    </row>
    <row r="803" spans="1:20" ht="15.75" customHeight="1">
      <c r="A803" s="35"/>
      <c r="B803" s="35"/>
      <c r="C803" s="35"/>
      <c r="D803" s="35"/>
      <c r="I803" s="35"/>
      <c r="J803" s="35"/>
      <c r="K803" s="35"/>
      <c r="L803" s="35"/>
      <c r="M803" s="35"/>
      <c r="N803" s="35"/>
      <c r="O803" s="35"/>
      <c r="P803" s="35"/>
      <c r="Q803" s="35"/>
      <c r="S803" s="34"/>
      <c r="T803" s="36"/>
    </row>
    <row r="804" spans="1:20" ht="15.75" customHeight="1">
      <c r="A804" s="35"/>
      <c r="B804" s="35"/>
      <c r="C804" s="35"/>
      <c r="D804" s="35"/>
      <c r="I804" s="35"/>
      <c r="J804" s="35"/>
      <c r="K804" s="35"/>
      <c r="L804" s="35"/>
      <c r="M804" s="35"/>
      <c r="N804" s="35"/>
      <c r="O804" s="35"/>
      <c r="P804" s="35"/>
      <c r="Q804" s="35"/>
      <c r="S804" s="34"/>
      <c r="T804" s="36"/>
    </row>
    <row r="805" spans="1:20" ht="15.75" customHeight="1">
      <c r="A805" s="35"/>
      <c r="B805" s="35"/>
      <c r="C805" s="35"/>
      <c r="D805" s="35"/>
      <c r="I805" s="35"/>
      <c r="J805" s="35"/>
      <c r="K805" s="35"/>
      <c r="L805" s="35"/>
      <c r="M805" s="35"/>
      <c r="N805" s="35"/>
      <c r="O805" s="35"/>
      <c r="P805" s="35"/>
      <c r="Q805" s="35"/>
      <c r="S805" s="34"/>
      <c r="T805" s="36"/>
    </row>
    <row r="806" spans="1:20" ht="15.75" customHeight="1">
      <c r="A806" s="35"/>
      <c r="B806" s="35"/>
      <c r="C806" s="35"/>
      <c r="D806" s="35"/>
      <c r="I806" s="35"/>
      <c r="J806" s="35"/>
      <c r="K806" s="35"/>
      <c r="L806" s="35"/>
      <c r="M806" s="35"/>
      <c r="N806" s="35"/>
      <c r="O806" s="35"/>
      <c r="P806" s="35"/>
      <c r="Q806" s="35"/>
      <c r="S806" s="34"/>
      <c r="T806" s="36"/>
    </row>
    <row r="807" spans="1:20" ht="15.75" customHeight="1">
      <c r="A807" s="35"/>
      <c r="B807" s="35"/>
      <c r="C807" s="35"/>
      <c r="D807" s="35"/>
      <c r="I807" s="35"/>
      <c r="J807" s="35"/>
      <c r="K807" s="35"/>
      <c r="L807" s="35"/>
      <c r="M807" s="35"/>
      <c r="N807" s="35"/>
      <c r="O807" s="35"/>
      <c r="P807" s="35"/>
      <c r="Q807" s="35"/>
      <c r="S807" s="38"/>
      <c r="T807" s="36"/>
    </row>
    <row r="808" spans="1:20" ht="15.75" customHeight="1">
      <c r="A808" s="35"/>
      <c r="B808" s="35"/>
      <c r="C808" s="35"/>
      <c r="D808" s="35"/>
      <c r="I808" s="35"/>
      <c r="J808" s="35"/>
      <c r="K808" s="35"/>
      <c r="L808" s="35"/>
      <c r="M808" s="35"/>
      <c r="N808" s="35"/>
      <c r="O808" s="35"/>
      <c r="P808" s="35"/>
      <c r="Q808" s="35"/>
      <c r="S808" s="34"/>
      <c r="T808" s="36"/>
    </row>
    <row r="809" spans="1:20" ht="15.75" customHeight="1">
      <c r="A809" s="35"/>
      <c r="B809" s="35"/>
      <c r="C809" s="35"/>
      <c r="D809" s="35"/>
      <c r="I809" s="35"/>
      <c r="J809" s="35"/>
      <c r="K809" s="35"/>
      <c r="L809" s="35"/>
      <c r="M809" s="35"/>
      <c r="N809" s="35"/>
      <c r="O809" s="35"/>
      <c r="P809" s="35"/>
      <c r="Q809" s="35"/>
      <c r="S809" s="34"/>
      <c r="T809" s="36"/>
    </row>
    <row r="810" spans="1:20" ht="15.75" customHeight="1">
      <c r="A810" s="35"/>
      <c r="B810" s="35"/>
      <c r="C810" s="35"/>
      <c r="D810" s="35"/>
      <c r="I810" s="35"/>
      <c r="J810" s="35"/>
      <c r="K810" s="35"/>
      <c r="L810" s="35"/>
      <c r="M810" s="35"/>
      <c r="N810" s="35"/>
      <c r="O810" s="35"/>
      <c r="P810" s="35"/>
      <c r="Q810" s="35"/>
      <c r="S810" s="34"/>
      <c r="T810" s="36"/>
    </row>
    <row r="811" spans="1:20" ht="15.75" customHeight="1">
      <c r="A811" s="35"/>
      <c r="B811" s="35"/>
      <c r="C811" s="35"/>
      <c r="D811" s="35"/>
      <c r="I811" s="35"/>
      <c r="J811" s="35"/>
      <c r="K811" s="35"/>
      <c r="L811" s="35"/>
      <c r="M811" s="35"/>
      <c r="N811" s="35"/>
      <c r="O811" s="35"/>
      <c r="P811" s="35"/>
      <c r="Q811" s="35"/>
      <c r="S811" s="34"/>
      <c r="T811" s="36"/>
    </row>
    <row r="812" spans="1:20" ht="15.75" customHeight="1">
      <c r="A812" s="35"/>
      <c r="B812" s="35"/>
      <c r="C812" s="35"/>
      <c r="D812" s="35"/>
      <c r="I812" s="35"/>
      <c r="J812" s="35"/>
      <c r="K812" s="35"/>
      <c r="L812" s="35"/>
      <c r="M812" s="35"/>
      <c r="N812" s="35"/>
      <c r="O812" s="35"/>
      <c r="P812" s="35"/>
      <c r="Q812" s="35"/>
      <c r="S812" s="34"/>
      <c r="T812" s="36"/>
    </row>
    <row r="813" spans="1:20" ht="15.75" customHeight="1">
      <c r="A813" s="35"/>
      <c r="B813" s="35"/>
      <c r="C813" s="35"/>
      <c r="D813" s="35"/>
      <c r="I813" s="35"/>
      <c r="J813" s="35"/>
      <c r="K813" s="35"/>
      <c r="L813" s="35"/>
      <c r="M813" s="35"/>
      <c r="N813" s="35"/>
      <c r="O813" s="35"/>
      <c r="P813" s="35"/>
      <c r="Q813" s="35"/>
      <c r="S813" s="34"/>
      <c r="T813" s="36"/>
    </row>
    <row r="814" spans="1:20" ht="15.75" customHeight="1">
      <c r="A814" s="35"/>
      <c r="B814" s="35"/>
      <c r="C814" s="35"/>
      <c r="D814" s="35"/>
      <c r="I814" s="35"/>
      <c r="J814" s="35"/>
      <c r="K814" s="35"/>
      <c r="L814" s="35"/>
      <c r="M814" s="35"/>
      <c r="N814" s="35"/>
      <c r="O814" s="35"/>
      <c r="P814" s="35"/>
      <c r="Q814" s="35"/>
      <c r="S814" s="34"/>
      <c r="T814" s="36"/>
    </row>
    <row r="815" spans="1:20" ht="15.75" customHeight="1">
      <c r="A815" s="35"/>
      <c r="B815" s="35"/>
      <c r="C815" s="35"/>
      <c r="D815" s="35"/>
      <c r="I815" s="35"/>
      <c r="J815" s="35"/>
      <c r="K815" s="35"/>
      <c r="L815" s="35"/>
      <c r="M815" s="35"/>
      <c r="N815" s="35"/>
      <c r="O815" s="35"/>
      <c r="P815" s="35"/>
      <c r="Q815" s="35"/>
      <c r="S815" s="34"/>
      <c r="T815" s="36"/>
    </row>
    <row r="816" spans="1:20" ht="15.75" customHeight="1">
      <c r="A816" s="35"/>
      <c r="B816" s="35"/>
      <c r="C816" s="35"/>
      <c r="D816" s="35"/>
      <c r="I816" s="35"/>
      <c r="J816" s="35"/>
      <c r="K816" s="35"/>
      <c r="L816" s="35"/>
      <c r="M816" s="35"/>
      <c r="N816" s="35"/>
      <c r="O816" s="35"/>
      <c r="P816" s="35"/>
      <c r="Q816" s="35"/>
      <c r="S816" s="34"/>
      <c r="T816" s="36"/>
    </row>
    <row r="817" spans="1:20" ht="15.75" customHeight="1">
      <c r="A817" s="35"/>
      <c r="B817" s="35"/>
      <c r="C817" s="35"/>
      <c r="D817" s="35"/>
      <c r="I817" s="35"/>
      <c r="J817" s="35"/>
      <c r="K817" s="35"/>
      <c r="L817" s="35"/>
      <c r="M817" s="35"/>
      <c r="N817" s="35"/>
      <c r="O817" s="35"/>
      <c r="P817" s="35"/>
      <c r="Q817" s="35"/>
      <c r="S817" s="34"/>
      <c r="T817" s="36"/>
    </row>
    <row r="818" spans="1:20" ht="15.75" customHeight="1">
      <c r="A818" s="35"/>
      <c r="B818" s="35"/>
      <c r="C818" s="35"/>
      <c r="D818" s="35"/>
      <c r="I818" s="35"/>
      <c r="J818" s="35"/>
      <c r="K818" s="35"/>
      <c r="L818" s="35"/>
      <c r="M818" s="35"/>
      <c r="N818" s="35"/>
      <c r="O818" s="35"/>
      <c r="P818" s="35"/>
      <c r="Q818" s="35"/>
      <c r="S818" s="34"/>
      <c r="T818" s="36"/>
    </row>
    <row r="819" spans="1:20" ht="15.75" customHeight="1">
      <c r="A819" s="35"/>
      <c r="B819" s="35"/>
      <c r="C819" s="35"/>
      <c r="D819" s="35"/>
      <c r="I819" s="35"/>
      <c r="J819" s="35"/>
      <c r="K819" s="35"/>
      <c r="L819" s="35"/>
      <c r="M819" s="35"/>
      <c r="N819" s="35"/>
      <c r="O819" s="35"/>
      <c r="P819" s="35"/>
      <c r="Q819" s="35"/>
      <c r="S819" s="34"/>
      <c r="T819" s="36"/>
    </row>
    <row r="820" spans="1:20" ht="15.75" customHeight="1">
      <c r="A820" s="35"/>
      <c r="B820" s="35"/>
      <c r="C820" s="35"/>
      <c r="D820" s="35"/>
      <c r="I820" s="35"/>
      <c r="J820" s="35"/>
      <c r="K820" s="35"/>
      <c r="L820" s="35"/>
      <c r="M820" s="35"/>
      <c r="N820" s="35"/>
      <c r="O820" s="35"/>
      <c r="P820" s="35"/>
      <c r="Q820" s="35"/>
      <c r="S820" s="34"/>
      <c r="T820" s="36"/>
    </row>
    <row r="821" spans="1:20" ht="15.75" customHeight="1">
      <c r="A821" s="35"/>
      <c r="B821" s="35"/>
      <c r="C821" s="35"/>
      <c r="D821" s="35"/>
      <c r="I821" s="35"/>
      <c r="J821" s="35"/>
      <c r="K821" s="35"/>
      <c r="L821" s="35"/>
      <c r="M821" s="35"/>
      <c r="N821" s="35"/>
      <c r="O821" s="35"/>
      <c r="P821" s="35"/>
      <c r="Q821" s="35"/>
      <c r="S821" s="34"/>
      <c r="T821" s="36"/>
    </row>
    <row r="822" spans="1:20" ht="15.75" customHeight="1">
      <c r="A822" s="35"/>
      <c r="B822" s="35"/>
      <c r="C822" s="35"/>
      <c r="D822" s="35"/>
      <c r="I822" s="35"/>
      <c r="J822" s="35"/>
      <c r="K822" s="35"/>
      <c r="L822" s="35"/>
      <c r="M822" s="35"/>
      <c r="N822" s="35"/>
      <c r="O822" s="35"/>
      <c r="P822" s="35"/>
      <c r="Q822" s="35"/>
      <c r="S822" s="34"/>
      <c r="T822" s="36"/>
    </row>
    <row r="823" spans="1:20" ht="15.75" customHeight="1">
      <c r="A823" s="35"/>
      <c r="B823" s="35"/>
      <c r="C823" s="35"/>
      <c r="D823" s="35"/>
      <c r="I823" s="35"/>
      <c r="J823" s="35"/>
      <c r="K823" s="35"/>
      <c r="L823" s="35"/>
      <c r="M823" s="35"/>
      <c r="N823" s="35"/>
      <c r="O823" s="35"/>
      <c r="P823" s="35"/>
      <c r="Q823" s="35"/>
      <c r="S823" s="34"/>
      <c r="T823" s="36"/>
    </row>
    <row r="824" spans="1:20" ht="15.75" customHeight="1">
      <c r="A824" s="35"/>
      <c r="B824" s="35"/>
      <c r="C824" s="35"/>
      <c r="D824" s="35"/>
      <c r="I824" s="35"/>
      <c r="J824" s="35"/>
      <c r="K824" s="35"/>
      <c r="L824" s="35"/>
      <c r="M824" s="35"/>
      <c r="N824" s="35"/>
      <c r="O824" s="35"/>
      <c r="P824" s="35"/>
      <c r="Q824" s="35"/>
      <c r="S824" s="34"/>
      <c r="T824" s="36"/>
    </row>
    <row r="825" spans="1:20" ht="15.75" customHeight="1">
      <c r="A825" s="35"/>
      <c r="B825" s="35"/>
      <c r="C825" s="35"/>
      <c r="D825" s="35"/>
      <c r="I825" s="35"/>
      <c r="J825" s="35"/>
      <c r="K825" s="35"/>
      <c r="L825" s="35"/>
      <c r="M825" s="35"/>
      <c r="N825" s="35"/>
      <c r="O825" s="35"/>
      <c r="P825" s="35"/>
      <c r="Q825" s="35"/>
      <c r="S825" s="34"/>
      <c r="T825" s="36"/>
    </row>
    <row r="826" spans="1:20" ht="15.75" customHeight="1">
      <c r="A826" s="35"/>
      <c r="B826" s="35"/>
      <c r="C826" s="35"/>
      <c r="D826" s="35"/>
      <c r="I826" s="35"/>
      <c r="J826" s="35"/>
      <c r="K826" s="35"/>
      <c r="L826" s="35"/>
      <c r="M826" s="35"/>
      <c r="N826" s="35"/>
      <c r="O826" s="35"/>
      <c r="P826" s="35"/>
      <c r="Q826" s="35"/>
      <c r="S826" s="34"/>
      <c r="T826" s="36"/>
    </row>
    <row r="827" spans="1:20" ht="15.75" customHeight="1">
      <c r="A827" s="35"/>
      <c r="B827" s="35"/>
      <c r="C827" s="35"/>
      <c r="D827" s="35"/>
      <c r="I827" s="35"/>
      <c r="J827" s="35"/>
      <c r="K827" s="35"/>
      <c r="L827" s="35"/>
      <c r="M827" s="35"/>
      <c r="N827" s="35"/>
      <c r="O827" s="35"/>
      <c r="P827" s="35"/>
      <c r="Q827" s="35"/>
      <c r="S827" s="38"/>
      <c r="T827" s="36"/>
    </row>
    <row r="828" spans="1:20" ht="15.75" customHeight="1">
      <c r="A828" s="35"/>
      <c r="B828" s="35"/>
      <c r="C828" s="35"/>
      <c r="D828" s="35"/>
      <c r="I828" s="35"/>
      <c r="J828" s="35"/>
      <c r="K828" s="35"/>
      <c r="L828" s="35"/>
      <c r="M828" s="35"/>
      <c r="N828" s="35"/>
      <c r="O828" s="35"/>
      <c r="P828" s="35"/>
      <c r="Q828" s="35"/>
      <c r="S828" s="34"/>
      <c r="T828" s="36"/>
    </row>
    <row r="829" spans="1:20" ht="15.75" customHeight="1">
      <c r="A829" s="35"/>
      <c r="B829" s="35"/>
      <c r="C829" s="35"/>
      <c r="D829" s="35"/>
      <c r="I829" s="35"/>
      <c r="J829" s="35"/>
      <c r="K829" s="35"/>
      <c r="L829" s="35"/>
      <c r="M829" s="35"/>
      <c r="N829" s="35"/>
      <c r="O829" s="35"/>
      <c r="P829" s="35"/>
      <c r="Q829" s="35"/>
      <c r="S829" s="34"/>
      <c r="T829" s="36"/>
    </row>
    <row r="830" spans="1:20" ht="15.75" customHeight="1">
      <c r="A830" s="35"/>
      <c r="B830" s="35"/>
      <c r="C830" s="35"/>
      <c r="D830" s="35"/>
      <c r="I830" s="35"/>
      <c r="J830" s="35"/>
      <c r="K830" s="35"/>
      <c r="L830" s="35"/>
      <c r="M830" s="35"/>
      <c r="N830" s="35"/>
      <c r="O830" s="35"/>
      <c r="P830" s="35"/>
      <c r="Q830" s="35"/>
      <c r="S830" s="34"/>
      <c r="T830" s="36"/>
    </row>
    <row r="831" spans="1:20" ht="15.75" customHeight="1">
      <c r="A831" s="35"/>
      <c r="B831" s="35"/>
      <c r="C831" s="35"/>
      <c r="D831" s="35"/>
      <c r="I831" s="35"/>
      <c r="J831" s="35"/>
      <c r="K831" s="35"/>
      <c r="L831" s="35"/>
      <c r="M831" s="35"/>
      <c r="N831" s="35"/>
      <c r="O831" s="35"/>
      <c r="P831" s="35"/>
      <c r="Q831" s="35"/>
      <c r="S831" s="34"/>
      <c r="T831" s="36"/>
    </row>
    <row r="832" spans="1:20" ht="15.75" customHeight="1">
      <c r="A832" s="35"/>
      <c r="B832" s="35"/>
      <c r="C832" s="35"/>
      <c r="D832" s="35"/>
      <c r="I832" s="35"/>
      <c r="J832" s="35"/>
      <c r="K832" s="35"/>
      <c r="L832" s="35"/>
      <c r="M832" s="35"/>
      <c r="N832" s="35"/>
      <c r="O832" s="35"/>
      <c r="P832" s="35"/>
      <c r="Q832" s="35"/>
      <c r="S832" s="34"/>
      <c r="T832" s="36"/>
    </row>
    <row r="833" spans="1:20" ht="15.75" customHeight="1">
      <c r="A833" s="35"/>
      <c r="B833" s="35"/>
      <c r="C833" s="35"/>
      <c r="D833" s="35"/>
      <c r="I833" s="35"/>
      <c r="J833" s="35"/>
      <c r="K833" s="35"/>
      <c r="L833" s="35"/>
      <c r="M833" s="35"/>
      <c r="N833" s="35"/>
      <c r="O833" s="35"/>
      <c r="P833" s="35"/>
      <c r="Q833" s="35"/>
      <c r="S833" s="34"/>
      <c r="T833" s="36"/>
    </row>
    <row r="834" spans="1:20" ht="15.75" customHeight="1">
      <c r="A834" s="35"/>
      <c r="B834" s="35"/>
      <c r="C834" s="35"/>
      <c r="D834" s="35"/>
      <c r="I834" s="35"/>
      <c r="J834" s="35"/>
      <c r="K834" s="35"/>
      <c r="L834" s="35"/>
      <c r="M834" s="35"/>
      <c r="N834" s="35"/>
      <c r="O834" s="35"/>
      <c r="P834" s="35"/>
      <c r="Q834" s="35"/>
      <c r="S834" s="34"/>
      <c r="T834" s="36"/>
    </row>
    <row r="835" spans="1:20" ht="15.75" customHeight="1">
      <c r="A835" s="35"/>
      <c r="B835" s="35"/>
      <c r="C835" s="35"/>
      <c r="D835" s="35"/>
      <c r="I835" s="35"/>
      <c r="J835" s="35"/>
      <c r="K835" s="35"/>
      <c r="L835" s="35"/>
      <c r="M835" s="35"/>
      <c r="N835" s="35"/>
      <c r="O835" s="35"/>
      <c r="P835" s="35"/>
      <c r="Q835" s="35"/>
      <c r="S835" s="34"/>
      <c r="T835" s="36"/>
    </row>
    <row r="836" spans="1:20" ht="15.75" customHeight="1">
      <c r="A836" s="35"/>
      <c r="B836" s="35"/>
      <c r="C836" s="35"/>
      <c r="D836" s="35"/>
      <c r="I836" s="35"/>
      <c r="J836" s="35"/>
      <c r="K836" s="35"/>
      <c r="L836" s="35"/>
      <c r="M836" s="35"/>
      <c r="N836" s="35"/>
      <c r="O836" s="35"/>
      <c r="P836" s="35"/>
      <c r="Q836" s="35"/>
      <c r="S836" s="34"/>
      <c r="T836" s="36"/>
    </row>
    <row r="837" spans="1:20" ht="15.75" customHeight="1">
      <c r="A837" s="35"/>
      <c r="B837" s="35"/>
      <c r="C837" s="35"/>
      <c r="D837" s="35"/>
      <c r="I837" s="35"/>
      <c r="J837" s="35"/>
      <c r="K837" s="35"/>
      <c r="L837" s="35"/>
      <c r="M837" s="35"/>
      <c r="N837" s="35"/>
      <c r="O837" s="35"/>
      <c r="P837" s="35"/>
      <c r="Q837" s="35"/>
      <c r="S837" s="34"/>
      <c r="T837" s="36"/>
    </row>
    <row r="838" spans="1:20" ht="15.75" customHeight="1">
      <c r="A838" s="35"/>
      <c r="B838" s="35"/>
      <c r="C838" s="35"/>
      <c r="D838" s="35"/>
      <c r="I838" s="35"/>
      <c r="J838" s="35"/>
      <c r="K838" s="35"/>
      <c r="L838" s="35"/>
      <c r="M838" s="35"/>
      <c r="N838" s="35"/>
      <c r="O838" s="35"/>
      <c r="P838" s="35"/>
      <c r="Q838" s="35"/>
      <c r="S838" s="34"/>
      <c r="T838" s="36"/>
    </row>
    <row r="839" spans="1:20" ht="15.75" customHeight="1">
      <c r="A839" s="35"/>
      <c r="B839" s="35"/>
      <c r="C839" s="35"/>
      <c r="D839" s="35"/>
      <c r="I839" s="35"/>
      <c r="J839" s="35"/>
      <c r="K839" s="35"/>
      <c r="L839" s="35"/>
      <c r="M839" s="35"/>
      <c r="N839" s="35"/>
      <c r="O839" s="35"/>
      <c r="P839" s="35"/>
      <c r="Q839" s="35"/>
      <c r="S839" s="34"/>
      <c r="T839" s="36"/>
    </row>
    <row r="840" spans="1:20" ht="15.75" customHeight="1">
      <c r="A840" s="35"/>
      <c r="B840" s="35"/>
      <c r="C840" s="35"/>
      <c r="D840" s="35"/>
      <c r="I840" s="35"/>
      <c r="J840" s="35"/>
      <c r="K840" s="35"/>
      <c r="L840" s="35"/>
      <c r="M840" s="35"/>
      <c r="N840" s="35"/>
      <c r="O840" s="35"/>
      <c r="P840" s="35"/>
      <c r="Q840" s="35"/>
      <c r="S840" s="34"/>
      <c r="T840" s="36"/>
    </row>
    <row r="841" spans="1:20" ht="15.75" customHeight="1">
      <c r="A841" s="35"/>
      <c r="B841" s="35"/>
      <c r="C841" s="35"/>
      <c r="D841" s="35"/>
      <c r="I841" s="35"/>
      <c r="J841" s="35"/>
      <c r="K841" s="35"/>
      <c r="L841" s="35"/>
      <c r="M841" s="35"/>
      <c r="N841" s="35"/>
      <c r="O841" s="35"/>
      <c r="P841" s="35"/>
      <c r="Q841" s="35"/>
      <c r="S841" s="34"/>
      <c r="T841" s="36"/>
    </row>
    <row r="842" spans="1:20" ht="15.75" customHeight="1">
      <c r="A842" s="35"/>
      <c r="B842" s="35"/>
      <c r="C842" s="35"/>
      <c r="D842" s="35"/>
      <c r="I842" s="35"/>
      <c r="J842" s="35"/>
      <c r="K842" s="35"/>
      <c r="L842" s="35"/>
      <c r="M842" s="35"/>
      <c r="N842" s="35"/>
      <c r="O842" s="35"/>
      <c r="P842" s="35"/>
      <c r="Q842" s="35"/>
      <c r="S842" s="34"/>
      <c r="T842" s="36"/>
    </row>
    <row r="843" spans="1:20" ht="15.75" customHeight="1">
      <c r="A843" s="35"/>
      <c r="B843" s="35"/>
      <c r="C843" s="35"/>
      <c r="D843" s="35"/>
      <c r="I843" s="35"/>
      <c r="J843" s="35"/>
      <c r="K843" s="35"/>
      <c r="L843" s="35"/>
      <c r="M843" s="35"/>
      <c r="N843" s="35"/>
      <c r="O843" s="35"/>
      <c r="P843" s="35"/>
      <c r="Q843" s="35"/>
      <c r="S843" s="34"/>
      <c r="T843" s="36"/>
    </row>
    <row r="844" spans="1:20" ht="15.75" customHeight="1">
      <c r="A844" s="35"/>
      <c r="B844" s="35"/>
      <c r="C844" s="35"/>
      <c r="D844" s="35"/>
      <c r="I844" s="35"/>
      <c r="J844" s="35"/>
      <c r="K844" s="35"/>
      <c r="L844" s="35"/>
      <c r="M844" s="35"/>
      <c r="N844" s="35"/>
      <c r="O844" s="35"/>
      <c r="P844" s="35"/>
      <c r="Q844" s="35"/>
      <c r="S844" s="34"/>
      <c r="T844" s="36"/>
    </row>
    <row r="845" spans="1:20" ht="15.75" customHeight="1">
      <c r="A845" s="35"/>
      <c r="B845" s="35"/>
      <c r="C845" s="35"/>
      <c r="D845" s="35"/>
      <c r="I845" s="35"/>
      <c r="J845" s="35"/>
      <c r="K845" s="35"/>
      <c r="L845" s="35"/>
      <c r="M845" s="35"/>
      <c r="N845" s="35"/>
      <c r="O845" s="35"/>
      <c r="P845" s="35"/>
      <c r="Q845" s="35"/>
      <c r="S845" s="34"/>
      <c r="T845" s="36"/>
    </row>
    <row r="846" spans="1:20" ht="15.75" customHeight="1">
      <c r="A846" s="35"/>
      <c r="B846" s="35"/>
      <c r="C846" s="35"/>
      <c r="D846" s="35"/>
      <c r="I846" s="35"/>
      <c r="J846" s="35"/>
      <c r="K846" s="35"/>
      <c r="L846" s="35"/>
      <c r="M846" s="35"/>
      <c r="N846" s="35"/>
      <c r="O846" s="35"/>
      <c r="P846" s="35"/>
      <c r="Q846" s="35"/>
      <c r="S846" s="34"/>
      <c r="T846" s="36"/>
    </row>
    <row r="847" spans="1:20" ht="15.75" customHeight="1">
      <c r="A847" s="35"/>
      <c r="B847" s="35"/>
      <c r="C847" s="35"/>
      <c r="D847" s="35"/>
      <c r="I847" s="35"/>
      <c r="J847" s="35"/>
      <c r="K847" s="35"/>
      <c r="L847" s="35"/>
      <c r="M847" s="35"/>
      <c r="N847" s="35"/>
      <c r="O847" s="35"/>
      <c r="P847" s="35"/>
      <c r="Q847" s="35"/>
      <c r="S847" s="38"/>
      <c r="T847" s="36"/>
    </row>
    <row r="848" spans="1:20" ht="15.75" customHeight="1">
      <c r="A848" s="35"/>
      <c r="B848" s="35"/>
      <c r="C848" s="35"/>
      <c r="D848" s="35"/>
      <c r="I848" s="35"/>
      <c r="J848" s="35"/>
      <c r="K848" s="35"/>
      <c r="L848" s="35"/>
      <c r="M848" s="35"/>
      <c r="N848" s="35"/>
      <c r="O848" s="35"/>
      <c r="P848" s="35"/>
      <c r="Q848" s="35"/>
      <c r="S848" s="34"/>
      <c r="T848" s="36"/>
    </row>
    <row r="849" spans="1:20" ht="15.75" customHeight="1">
      <c r="A849" s="35"/>
      <c r="B849" s="35"/>
      <c r="C849" s="35"/>
      <c r="D849" s="35"/>
      <c r="I849" s="35"/>
      <c r="J849" s="35"/>
      <c r="K849" s="35"/>
      <c r="L849" s="35"/>
      <c r="M849" s="35"/>
      <c r="N849" s="35"/>
      <c r="O849" s="35"/>
      <c r="P849" s="35"/>
      <c r="Q849" s="35"/>
      <c r="S849" s="34"/>
      <c r="T849" s="36"/>
    </row>
    <row r="850" spans="1:20" ht="15.75" customHeight="1">
      <c r="A850" s="35"/>
      <c r="B850" s="35"/>
      <c r="C850" s="35"/>
      <c r="D850" s="35"/>
      <c r="I850" s="35"/>
      <c r="J850" s="35"/>
      <c r="K850" s="35"/>
      <c r="L850" s="35"/>
      <c r="M850" s="35"/>
      <c r="N850" s="35"/>
      <c r="O850" s="35"/>
      <c r="P850" s="35"/>
      <c r="Q850" s="35"/>
      <c r="S850" s="34"/>
      <c r="T850" s="36"/>
    </row>
    <row r="851" spans="1:20" ht="15.75" customHeight="1">
      <c r="A851" s="35"/>
      <c r="B851" s="35"/>
      <c r="C851" s="35"/>
      <c r="D851" s="35"/>
      <c r="I851" s="35"/>
      <c r="J851" s="35"/>
      <c r="K851" s="35"/>
      <c r="L851" s="35"/>
      <c r="M851" s="35"/>
      <c r="N851" s="35"/>
      <c r="O851" s="35"/>
      <c r="P851" s="35"/>
      <c r="Q851" s="35"/>
      <c r="S851" s="34"/>
      <c r="T851" s="36"/>
    </row>
    <row r="852" spans="1:20" ht="15.75" customHeight="1">
      <c r="A852" s="35"/>
      <c r="B852" s="35"/>
      <c r="C852" s="35"/>
      <c r="D852" s="35"/>
      <c r="I852" s="35"/>
      <c r="J852" s="35"/>
      <c r="K852" s="35"/>
      <c r="L852" s="35"/>
      <c r="M852" s="35"/>
      <c r="N852" s="35"/>
      <c r="O852" s="35"/>
      <c r="P852" s="35"/>
      <c r="Q852" s="35"/>
      <c r="S852" s="34"/>
      <c r="T852" s="36"/>
    </row>
    <row r="853" spans="1:20" ht="15.75" customHeight="1">
      <c r="A853" s="35"/>
      <c r="B853" s="35"/>
      <c r="C853" s="35"/>
      <c r="D853" s="35"/>
      <c r="I853" s="35"/>
      <c r="J853" s="35"/>
      <c r="K853" s="35"/>
      <c r="L853" s="35"/>
      <c r="M853" s="35"/>
      <c r="N853" s="35"/>
      <c r="O853" s="35"/>
      <c r="P853" s="35"/>
      <c r="Q853" s="35"/>
      <c r="S853" s="34"/>
      <c r="T853" s="36"/>
    </row>
    <row r="854" spans="1:20" ht="15.75" customHeight="1">
      <c r="A854" s="35"/>
      <c r="B854" s="35"/>
      <c r="C854" s="35"/>
      <c r="D854" s="35"/>
      <c r="I854" s="35"/>
      <c r="J854" s="35"/>
      <c r="K854" s="35"/>
      <c r="L854" s="35"/>
      <c r="M854" s="35"/>
      <c r="N854" s="35"/>
      <c r="O854" s="35"/>
      <c r="P854" s="35"/>
      <c r="Q854" s="35"/>
      <c r="S854" s="34"/>
      <c r="T854" s="36"/>
    </row>
    <row r="855" spans="1:20" ht="15.75" customHeight="1">
      <c r="A855" s="35"/>
      <c r="B855" s="35"/>
      <c r="C855" s="35"/>
      <c r="D855" s="35"/>
      <c r="I855" s="35"/>
      <c r="J855" s="35"/>
      <c r="K855" s="35"/>
      <c r="L855" s="35"/>
      <c r="M855" s="35"/>
      <c r="N855" s="35"/>
      <c r="O855" s="35"/>
      <c r="P855" s="35"/>
      <c r="Q855" s="35"/>
      <c r="S855" s="34"/>
      <c r="T855" s="36"/>
    </row>
    <row r="856" spans="1:20" ht="15.75" customHeight="1">
      <c r="A856" s="35"/>
      <c r="B856" s="35"/>
      <c r="C856" s="35"/>
      <c r="D856" s="35"/>
      <c r="I856" s="35"/>
      <c r="J856" s="35"/>
      <c r="K856" s="35"/>
      <c r="L856" s="35"/>
      <c r="M856" s="35"/>
      <c r="N856" s="35"/>
      <c r="O856" s="35"/>
      <c r="P856" s="35"/>
      <c r="Q856" s="35"/>
      <c r="S856" s="34"/>
      <c r="T856" s="36"/>
    </row>
    <row r="857" spans="1:20" ht="15.75" customHeight="1">
      <c r="A857" s="35"/>
      <c r="B857" s="35"/>
      <c r="C857" s="35"/>
      <c r="D857" s="35"/>
      <c r="I857" s="35"/>
      <c r="J857" s="35"/>
      <c r="K857" s="35"/>
      <c r="L857" s="35"/>
      <c r="M857" s="35"/>
      <c r="N857" s="35"/>
      <c r="O857" s="35"/>
      <c r="P857" s="35"/>
      <c r="Q857" s="35"/>
      <c r="S857" s="34"/>
      <c r="T857" s="36"/>
    </row>
    <row r="858" spans="1:20" ht="15.75" customHeight="1">
      <c r="A858" s="35"/>
      <c r="B858" s="35"/>
      <c r="C858" s="35"/>
      <c r="D858" s="35"/>
      <c r="I858" s="35"/>
      <c r="J858" s="35"/>
      <c r="K858" s="35"/>
      <c r="L858" s="35"/>
      <c r="M858" s="35"/>
      <c r="N858" s="35"/>
      <c r="O858" s="35"/>
      <c r="P858" s="35"/>
      <c r="Q858" s="35"/>
      <c r="S858" s="34"/>
      <c r="T858" s="36"/>
    </row>
    <row r="859" spans="1:20" ht="15.75" customHeight="1">
      <c r="A859" s="35"/>
      <c r="B859" s="35"/>
      <c r="C859" s="35"/>
      <c r="D859" s="35"/>
      <c r="I859" s="35"/>
      <c r="J859" s="35"/>
      <c r="K859" s="35"/>
      <c r="L859" s="35"/>
      <c r="M859" s="35"/>
      <c r="N859" s="35"/>
      <c r="O859" s="35"/>
      <c r="P859" s="35"/>
      <c r="Q859" s="35"/>
      <c r="S859" s="34"/>
      <c r="T859" s="36"/>
    </row>
    <row r="860" spans="1:20" ht="15.75" customHeight="1">
      <c r="A860" s="35"/>
      <c r="B860" s="35"/>
      <c r="C860" s="35"/>
      <c r="D860" s="35"/>
      <c r="I860" s="35"/>
      <c r="J860" s="35"/>
      <c r="K860" s="35"/>
      <c r="L860" s="35"/>
      <c r="M860" s="35"/>
      <c r="N860" s="35"/>
      <c r="O860" s="35"/>
      <c r="P860" s="35"/>
      <c r="Q860" s="35"/>
      <c r="S860" s="34"/>
      <c r="T860" s="36"/>
    </row>
    <row r="861" spans="1:20" ht="15.75" customHeight="1">
      <c r="A861" s="35"/>
      <c r="B861" s="35"/>
      <c r="C861" s="35"/>
      <c r="D861" s="35"/>
      <c r="I861" s="35"/>
      <c r="J861" s="35"/>
      <c r="K861" s="35"/>
      <c r="L861" s="35"/>
      <c r="M861" s="35"/>
      <c r="N861" s="35"/>
      <c r="O861" s="35"/>
      <c r="P861" s="35"/>
      <c r="Q861" s="35"/>
      <c r="S861" s="34"/>
      <c r="T861" s="36"/>
    </row>
    <row r="862" spans="1:20" ht="15.75" customHeight="1">
      <c r="A862" s="35"/>
      <c r="B862" s="35"/>
      <c r="C862" s="35"/>
      <c r="D862" s="35"/>
      <c r="I862" s="35"/>
      <c r="J862" s="35"/>
      <c r="K862" s="35"/>
      <c r="L862" s="35"/>
      <c r="M862" s="35"/>
      <c r="N862" s="35"/>
      <c r="O862" s="35"/>
      <c r="P862" s="35"/>
      <c r="Q862" s="35"/>
      <c r="S862" s="34"/>
      <c r="T862" s="36"/>
    </row>
    <row r="863" spans="1:20" ht="15.75" customHeight="1">
      <c r="A863" s="35"/>
      <c r="B863" s="35"/>
      <c r="C863" s="35"/>
      <c r="D863" s="35"/>
      <c r="I863" s="35"/>
      <c r="J863" s="35"/>
      <c r="K863" s="35"/>
      <c r="L863" s="35"/>
      <c r="M863" s="35"/>
      <c r="N863" s="35"/>
      <c r="O863" s="35"/>
      <c r="P863" s="35"/>
      <c r="Q863" s="35"/>
      <c r="S863" s="34"/>
      <c r="T863" s="36"/>
    </row>
    <row r="864" spans="1:20" ht="15.75" customHeight="1">
      <c r="A864" s="35"/>
      <c r="B864" s="35"/>
      <c r="C864" s="35"/>
      <c r="D864" s="35"/>
      <c r="I864" s="35"/>
      <c r="J864" s="35"/>
      <c r="K864" s="35"/>
      <c r="L864" s="35"/>
      <c r="M864" s="35"/>
      <c r="N864" s="35"/>
      <c r="O864" s="35"/>
      <c r="P864" s="35"/>
      <c r="Q864" s="35"/>
      <c r="S864" s="34"/>
      <c r="T864" s="36"/>
    </row>
    <row r="865" spans="1:20" ht="15.75" customHeight="1">
      <c r="A865" s="35"/>
      <c r="B865" s="35"/>
      <c r="C865" s="35"/>
      <c r="D865" s="35"/>
      <c r="I865" s="35"/>
      <c r="J865" s="35"/>
      <c r="K865" s="35"/>
      <c r="L865" s="35"/>
      <c r="M865" s="35"/>
      <c r="N865" s="35"/>
      <c r="O865" s="35"/>
      <c r="P865" s="35"/>
      <c r="Q865" s="35"/>
      <c r="S865" s="34"/>
      <c r="T865" s="36"/>
    </row>
    <row r="866" spans="1:20" ht="15.75" customHeight="1">
      <c r="A866" s="35"/>
      <c r="B866" s="35"/>
      <c r="C866" s="35"/>
      <c r="D866" s="35"/>
      <c r="I866" s="35"/>
      <c r="J866" s="35"/>
      <c r="K866" s="35"/>
      <c r="L866" s="35"/>
      <c r="M866" s="35"/>
      <c r="N866" s="35"/>
      <c r="O866" s="35"/>
      <c r="P866" s="35"/>
      <c r="Q866" s="35"/>
      <c r="S866" s="34"/>
      <c r="T866" s="36"/>
    </row>
    <row r="867" spans="1:20" ht="15.75" customHeight="1">
      <c r="A867" s="35"/>
      <c r="B867" s="35"/>
      <c r="C867" s="35"/>
      <c r="D867" s="35"/>
      <c r="I867" s="35"/>
      <c r="J867" s="35"/>
      <c r="K867" s="35"/>
      <c r="L867" s="35"/>
      <c r="M867" s="35"/>
      <c r="N867" s="35"/>
      <c r="O867" s="35"/>
      <c r="P867" s="35"/>
      <c r="Q867" s="35"/>
      <c r="S867" s="38"/>
      <c r="T867" s="36"/>
    </row>
    <row r="868" spans="1:20" ht="15.75" customHeight="1">
      <c r="A868" s="35"/>
      <c r="B868" s="35"/>
      <c r="C868" s="35"/>
      <c r="D868" s="35"/>
      <c r="I868" s="35"/>
      <c r="J868" s="35"/>
      <c r="K868" s="35"/>
      <c r="L868" s="35"/>
      <c r="M868" s="35"/>
      <c r="N868" s="35"/>
      <c r="O868" s="35"/>
      <c r="P868" s="35"/>
      <c r="Q868" s="35"/>
      <c r="S868" s="34"/>
      <c r="T868" s="36"/>
    </row>
    <row r="869" spans="1:20" ht="15.75" customHeight="1">
      <c r="A869" s="35"/>
      <c r="B869" s="35"/>
      <c r="C869" s="35"/>
      <c r="D869" s="35"/>
      <c r="I869" s="35"/>
      <c r="J869" s="35"/>
      <c r="K869" s="35"/>
      <c r="L869" s="35"/>
      <c r="M869" s="35"/>
      <c r="N869" s="35"/>
      <c r="O869" s="35"/>
      <c r="P869" s="35"/>
      <c r="Q869" s="35"/>
      <c r="S869" s="34"/>
      <c r="T869" s="36"/>
    </row>
    <row r="870" spans="1:20" ht="15.75" customHeight="1">
      <c r="A870" s="35"/>
      <c r="B870" s="35"/>
      <c r="C870" s="35"/>
      <c r="D870" s="35"/>
      <c r="I870" s="35"/>
      <c r="J870" s="35"/>
      <c r="K870" s="35"/>
      <c r="L870" s="35"/>
      <c r="M870" s="35"/>
      <c r="N870" s="35"/>
      <c r="O870" s="35"/>
      <c r="P870" s="35"/>
      <c r="Q870" s="35"/>
      <c r="S870" s="34"/>
      <c r="T870" s="36"/>
    </row>
    <row r="871" spans="1:20" ht="15.75" customHeight="1">
      <c r="A871" s="35"/>
      <c r="B871" s="35"/>
      <c r="C871" s="35"/>
      <c r="D871" s="35"/>
      <c r="I871" s="35"/>
      <c r="J871" s="35"/>
      <c r="K871" s="35"/>
      <c r="L871" s="35"/>
      <c r="M871" s="35"/>
      <c r="N871" s="35"/>
      <c r="O871" s="35"/>
      <c r="P871" s="35"/>
      <c r="Q871" s="35"/>
      <c r="S871" s="34"/>
      <c r="T871" s="36"/>
    </row>
    <row r="872" spans="1:20" ht="15.75" customHeight="1">
      <c r="A872" s="35"/>
      <c r="B872" s="35"/>
      <c r="C872" s="35"/>
      <c r="D872" s="35"/>
      <c r="I872" s="35"/>
      <c r="J872" s="35"/>
      <c r="K872" s="35"/>
      <c r="L872" s="35"/>
      <c r="M872" s="35"/>
      <c r="N872" s="35"/>
      <c r="O872" s="35"/>
      <c r="P872" s="35"/>
      <c r="Q872" s="35"/>
      <c r="S872" s="34"/>
      <c r="T872" s="36"/>
    </row>
    <row r="873" spans="1:20" ht="15.75" customHeight="1">
      <c r="A873" s="35"/>
      <c r="B873" s="35"/>
      <c r="C873" s="35"/>
      <c r="D873" s="35"/>
      <c r="I873" s="35"/>
      <c r="J873" s="35"/>
      <c r="K873" s="35"/>
      <c r="L873" s="35"/>
      <c r="M873" s="35"/>
      <c r="N873" s="35"/>
      <c r="O873" s="35"/>
      <c r="P873" s="35"/>
      <c r="Q873" s="35"/>
      <c r="S873" s="34"/>
      <c r="T873" s="36"/>
    </row>
    <row r="874" spans="1:20" ht="15.75" customHeight="1">
      <c r="A874" s="35"/>
      <c r="B874" s="35"/>
      <c r="C874" s="35"/>
      <c r="D874" s="35"/>
      <c r="I874" s="35"/>
      <c r="J874" s="35"/>
      <c r="K874" s="35"/>
      <c r="L874" s="35"/>
      <c r="M874" s="35"/>
      <c r="N874" s="35"/>
      <c r="O874" s="35"/>
      <c r="P874" s="35"/>
      <c r="Q874" s="35"/>
      <c r="S874" s="34"/>
      <c r="T874" s="36"/>
    </row>
    <row r="875" spans="1:20" ht="15.75" customHeight="1">
      <c r="A875" s="35"/>
      <c r="B875" s="35"/>
      <c r="C875" s="35"/>
      <c r="D875" s="35"/>
      <c r="I875" s="35"/>
      <c r="J875" s="35"/>
      <c r="K875" s="35"/>
      <c r="L875" s="35"/>
      <c r="M875" s="35"/>
      <c r="N875" s="35"/>
      <c r="O875" s="35"/>
      <c r="P875" s="35"/>
      <c r="Q875" s="35"/>
      <c r="S875" s="34"/>
      <c r="T875" s="36"/>
    </row>
    <row r="876" spans="1:20" ht="15.75" customHeight="1">
      <c r="A876" s="35"/>
      <c r="B876" s="35"/>
      <c r="C876" s="35"/>
      <c r="D876" s="35"/>
      <c r="I876" s="35"/>
      <c r="J876" s="35"/>
      <c r="K876" s="35"/>
      <c r="L876" s="35"/>
      <c r="M876" s="35"/>
      <c r="N876" s="35"/>
      <c r="O876" s="35"/>
      <c r="P876" s="35"/>
      <c r="Q876" s="35"/>
      <c r="S876" s="34"/>
      <c r="T876" s="36"/>
    </row>
    <row r="877" spans="1:20" ht="15.75" customHeight="1">
      <c r="A877" s="35"/>
      <c r="B877" s="35"/>
      <c r="C877" s="35"/>
      <c r="D877" s="35"/>
      <c r="I877" s="35"/>
      <c r="J877" s="35"/>
      <c r="K877" s="35"/>
      <c r="L877" s="35"/>
      <c r="M877" s="35"/>
      <c r="N877" s="35"/>
      <c r="O877" s="35"/>
      <c r="P877" s="35"/>
      <c r="Q877" s="35"/>
      <c r="S877" s="34"/>
      <c r="T877" s="36"/>
    </row>
    <row r="878" spans="1:20" ht="15.75" customHeight="1">
      <c r="A878" s="35"/>
      <c r="B878" s="35"/>
      <c r="C878" s="35"/>
      <c r="D878" s="35"/>
      <c r="I878" s="35"/>
      <c r="J878" s="35"/>
      <c r="K878" s="35"/>
      <c r="L878" s="35"/>
      <c r="M878" s="35"/>
      <c r="N878" s="35"/>
      <c r="O878" s="35"/>
      <c r="P878" s="35"/>
      <c r="Q878" s="35"/>
      <c r="S878" s="34"/>
      <c r="T878" s="36"/>
    </row>
    <row r="879" spans="1:20" ht="15.75" customHeight="1">
      <c r="A879" s="35"/>
      <c r="B879" s="35"/>
      <c r="C879" s="35"/>
      <c r="D879" s="35"/>
      <c r="I879" s="35"/>
      <c r="J879" s="35"/>
      <c r="K879" s="35"/>
      <c r="L879" s="35"/>
      <c r="M879" s="35"/>
      <c r="N879" s="35"/>
      <c r="O879" s="35"/>
      <c r="P879" s="35"/>
      <c r="Q879" s="35"/>
      <c r="S879" s="34"/>
      <c r="T879" s="36"/>
    </row>
    <row r="880" spans="1:20" ht="15.75" customHeight="1">
      <c r="A880" s="35"/>
      <c r="B880" s="35"/>
      <c r="C880" s="35"/>
      <c r="D880" s="35"/>
      <c r="I880" s="35"/>
      <c r="J880" s="35"/>
      <c r="K880" s="35"/>
      <c r="L880" s="35"/>
      <c r="M880" s="35"/>
      <c r="N880" s="35"/>
      <c r="O880" s="35"/>
      <c r="P880" s="35"/>
      <c r="Q880" s="35"/>
      <c r="S880" s="34"/>
      <c r="T880" s="36"/>
    </row>
    <row r="881" spans="1:20" ht="15.75" customHeight="1">
      <c r="A881" s="35"/>
      <c r="B881" s="35"/>
      <c r="C881" s="35"/>
      <c r="D881" s="35"/>
      <c r="I881" s="35"/>
      <c r="J881" s="35"/>
      <c r="K881" s="35"/>
      <c r="L881" s="35"/>
      <c r="M881" s="35"/>
      <c r="N881" s="35"/>
      <c r="O881" s="35"/>
      <c r="P881" s="35"/>
      <c r="Q881" s="35"/>
      <c r="S881" s="34"/>
      <c r="T881" s="36"/>
    </row>
    <row r="882" spans="1:20" ht="15.75" customHeight="1">
      <c r="A882" s="35"/>
      <c r="B882" s="35"/>
      <c r="C882" s="35"/>
      <c r="D882" s="35"/>
      <c r="I882" s="35"/>
      <c r="J882" s="35"/>
      <c r="K882" s="35"/>
      <c r="L882" s="35"/>
      <c r="M882" s="35"/>
      <c r="N882" s="35"/>
      <c r="O882" s="35"/>
      <c r="P882" s="35"/>
      <c r="Q882" s="35"/>
      <c r="S882" s="34"/>
      <c r="T882" s="36"/>
    </row>
    <row r="883" spans="1:20" ht="15.75" customHeight="1">
      <c r="A883" s="35"/>
      <c r="B883" s="35"/>
      <c r="C883" s="35"/>
      <c r="D883" s="35"/>
      <c r="I883" s="35"/>
      <c r="J883" s="35"/>
      <c r="K883" s="35"/>
      <c r="L883" s="35"/>
      <c r="M883" s="35"/>
      <c r="N883" s="35"/>
      <c r="O883" s="35"/>
      <c r="P883" s="35"/>
      <c r="Q883" s="35"/>
      <c r="S883" s="34"/>
      <c r="T883" s="36"/>
    </row>
    <row r="884" spans="1:20" ht="15.75" customHeight="1">
      <c r="A884" s="35"/>
      <c r="B884" s="35"/>
      <c r="C884" s="35"/>
      <c r="D884" s="35"/>
      <c r="I884" s="35"/>
      <c r="J884" s="35"/>
      <c r="K884" s="35"/>
      <c r="L884" s="35"/>
      <c r="M884" s="35"/>
      <c r="N884" s="35"/>
      <c r="O884" s="35"/>
      <c r="P884" s="35"/>
      <c r="Q884" s="35"/>
      <c r="S884" s="34"/>
      <c r="T884" s="36"/>
    </row>
    <row r="885" spans="1:20" ht="15.75" customHeight="1">
      <c r="A885" s="35"/>
      <c r="B885" s="35"/>
      <c r="C885" s="35"/>
      <c r="D885" s="35"/>
      <c r="I885" s="35"/>
      <c r="J885" s="35"/>
      <c r="K885" s="35"/>
      <c r="L885" s="35"/>
      <c r="M885" s="35"/>
      <c r="N885" s="35"/>
      <c r="O885" s="35"/>
      <c r="P885" s="35"/>
      <c r="Q885" s="35"/>
      <c r="S885" s="34"/>
      <c r="T885" s="36"/>
    </row>
    <row r="886" spans="1:20" ht="15.75" customHeight="1">
      <c r="A886" s="35"/>
      <c r="B886" s="35"/>
      <c r="C886" s="35"/>
      <c r="D886" s="35"/>
      <c r="I886" s="35"/>
      <c r="J886" s="35"/>
      <c r="K886" s="35"/>
      <c r="L886" s="35"/>
      <c r="M886" s="35"/>
      <c r="N886" s="35"/>
      <c r="O886" s="35"/>
      <c r="P886" s="35"/>
      <c r="Q886" s="35"/>
      <c r="S886" s="34"/>
      <c r="T886" s="36"/>
    </row>
    <row r="887" spans="1:20" ht="15.75" customHeight="1">
      <c r="A887" s="35"/>
      <c r="B887" s="35"/>
      <c r="C887" s="35"/>
      <c r="D887" s="35"/>
      <c r="I887" s="35"/>
      <c r="J887" s="35"/>
      <c r="K887" s="35"/>
      <c r="L887" s="35"/>
      <c r="M887" s="35"/>
      <c r="N887" s="35"/>
      <c r="O887" s="35"/>
      <c r="P887" s="35"/>
      <c r="Q887" s="35"/>
      <c r="S887" s="38"/>
      <c r="T887" s="36"/>
    </row>
    <row r="888" spans="1:20" ht="15.75" customHeight="1">
      <c r="A888" s="35"/>
      <c r="B888" s="35"/>
      <c r="C888" s="35"/>
      <c r="D888" s="35"/>
      <c r="I888" s="35"/>
      <c r="J888" s="35"/>
      <c r="K888" s="35"/>
      <c r="L888" s="35"/>
      <c r="M888" s="35"/>
      <c r="N888" s="35"/>
      <c r="O888" s="35"/>
      <c r="P888" s="35"/>
      <c r="Q888" s="35"/>
      <c r="S888" s="34"/>
      <c r="T888" s="36"/>
    </row>
    <row r="889" spans="1:20" ht="15.75" customHeight="1">
      <c r="A889" s="35"/>
      <c r="B889" s="35"/>
      <c r="C889" s="35"/>
      <c r="D889" s="35"/>
      <c r="I889" s="35"/>
      <c r="J889" s="35"/>
      <c r="K889" s="35"/>
      <c r="L889" s="35"/>
      <c r="M889" s="35"/>
      <c r="N889" s="35"/>
      <c r="O889" s="35"/>
      <c r="P889" s="35"/>
      <c r="Q889" s="35"/>
      <c r="S889" s="34"/>
      <c r="T889" s="36"/>
    </row>
    <row r="890" spans="1:20" ht="15.75" customHeight="1">
      <c r="A890" s="35"/>
      <c r="B890" s="35"/>
      <c r="C890" s="35"/>
      <c r="D890" s="35"/>
      <c r="I890" s="35"/>
      <c r="J890" s="35"/>
      <c r="K890" s="35"/>
      <c r="L890" s="35"/>
      <c r="M890" s="35"/>
      <c r="N890" s="35"/>
      <c r="O890" s="35"/>
      <c r="P890" s="35"/>
      <c r="Q890" s="35"/>
      <c r="S890" s="34"/>
      <c r="T890" s="36"/>
    </row>
    <row r="891" spans="1:20" ht="15.75" customHeight="1">
      <c r="A891" s="35"/>
      <c r="B891" s="35"/>
      <c r="C891" s="35"/>
      <c r="D891" s="35"/>
      <c r="I891" s="35"/>
      <c r="J891" s="35"/>
      <c r="K891" s="35"/>
      <c r="L891" s="35"/>
      <c r="M891" s="35"/>
      <c r="N891" s="35"/>
      <c r="O891" s="35"/>
      <c r="P891" s="35"/>
      <c r="Q891" s="35"/>
      <c r="S891" s="34"/>
      <c r="T891" s="36"/>
    </row>
    <row r="892" spans="1:20" ht="15.75" customHeight="1">
      <c r="A892" s="35"/>
      <c r="B892" s="35"/>
      <c r="C892" s="35"/>
      <c r="D892" s="35"/>
      <c r="I892" s="35"/>
      <c r="J892" s="35"/>
      <c r="K892" s="35"/>
      <c r="L892" s="35"/>
      <c r="M892" s="35"/>
      <c r="N892" s="35"/>
      <c r="O892" s="35"/>
      <c r="P892" s="35"/>
      <c r="Q892" s="35"/>
      <c r="S892" s="34"/>
      <c r="T892" s="36"/>
    </row>
    <row r="893" spans="1:20" ht="15.75" customHeight="1">
      <c r="A893" s="35"/>
      <c r="B893" s="35"/>
      <c r="C893" s="35"/>
      <c r="D893" s="35"/>
      <c r="I893" s="35"/>
      <c r="J893" s="35"/>
      <c r="K893" s="35"/>
      <c r="L893" s="35"/>
      <c r="M893" s="35"/>
      <c r="N893" s="35"/>
      <c r="O893" s="35"/>
      <c r="P893" s="35"/>
      <c r="Q893" s="35"/>
      <c r="S893" s="34"/>
      <c r="T893" s="36"/>
    </row>
    <row r="894" spans="1:20" ht="15.75" customHeight="1">
      <c r="A894" s="35"/>
      <c r="B894" s="35"/>
      <c r="C894" s="35"/>
      <c r="D894" s="35"/>
      <c r="I894" s="35"/>
      <c r="J894" s="35"/>
      <c r="K894" s="35"/>
      <c r="L894" s="35"/>
      <c r="M894" s="35"/>
      <c r="N894" s="35"/>
      <c r="O894" s="35"/>
      <c r="P894" s="35"/>
      <c r="Q894" s="35"/>
      <c r="S894" s="34"/>
      <c r="T894" s="36"/>
    </row>
    <row r="895" spans="1:20" ht="15.75" customHeight="1">
      <c r="A895" s="35"/>
      <c r="B895" s="35"/>
      <c r="C895" s="35"/>
      <c r="D895" s="35"/>
      <c r="I895" s="35"/>
      <c r="J895" s="35"/>
      <c r="K895" s="35"/>
      <c r="L895" s="35"/>
      <c r="M895" s="35"/>
      <c r="N895" s="35"/>
      <c r="O895" s="35"/>
      <c r="P895" s="35"/>
      <c r="Q895" s="35"/>
      <c r="S895" s="34"/>
      <c r="T895" s="36"/>
    </row>
    <row r="896" spans="1:20" ht="15.75" customHeight="1">
      <c r="A896" s="35"/>
      <c r="B896" s="35"/>
      <c r="C896" s="35"/>
      <c r="D896" s="35"/>
      <c r="I896" s="35"/>
      <c r="J896" s="35"/>
      <c r="K896" s="35"/>
      <c r="L896" s="35"/>
      <c r="M896" s="35"/>
      <c r="N896" s="35"/>
      <c r="O896" s="35"/>
      <c r="P896" s="35"/>
      <c r="Q896" s="35"/>
      <c r="S896" s="34"/>
      <c r="T896" s="36"/>
    </row>
    <row r="897" spans="1:20" ht="15.75" customHeight="1">
      <c r="A897" s="35"/>
      <c r="B897" s="35"/>
      <c r="C897" s="35"/>
      <c r="D897" s="35"/>
      <c r="I897" s="35"/>
      <c r="J897" s="35"/>
      <c r="K897" s="35"/>
      <c r="L897" s="35"/>
      <c r="M897" s="35"/>
      <c r="N897" s="35"/>
      <c r="O897" s="35"/>
      <c r="P897" s="35"/>
      <c r="Q897" s="35"/>
      <c r="S897" s="34"/>
      <c r="T897" s="36"/>
    </row>
    <row r="898" spans="1:20" ht="15.75" customHeight="1">
      <c r="A898" s="35"/>
      <c r="B898" s="35"/>
      <c r="C898" s="35"/>
      <c r="D898" s="35"/>
      <c r="I898" s="35"/>
      <c r="J898" s="35"/>
      <c r="K898" s="35"/>
      <c r="L898" s="35"/>
      <c r="M898" s="35"/>
      <c r="N898" s="35"/>
      <c r="O898" s="35"/>
      <c r="P898" s="35"/>
      <c r="Q898" s="35"/>
      <c r="S898" s="34"/>
      <c r="T898" s="36"/>
    </row>
    <row r="899" spans="1:20" ht="15.75" customHeight="1">
      <c r="A899" s="35"/>
      <c r="B899" s="35"/>
      <c r="C899" s="35"/>
      <c r="D899" s="35"/>
      <c r="I899" s="35"/>
      <c r="J899" s="35"/>
      <c r="K899" s="35"/>
      <c r="L899" s="35"/>
      <c r="M899" s="35"/>
      <c r="N899" s="35"/>
      <c r="O899" s="35"/>
      <c r="P899" s="35"/>
      <c r="Q899" s="35"/>
      <c r="S899" s="34"/>
      <c r="T899" s="36"/>
    </row>
    <row r="900" spans="1:20" ht="15.75" customHeight="1">
      <c r="A900" s="35"/>
      <c r="B900" s="35"/>
      <c r="C900" s="35"/>
      <c r="D900" s="35"/>
      <c r="I900" s="35"/>
      <c r="J900" s="35"/>
      <c r="K900" s="35"/>
      <c r="L900" s="35"/>
      <c r="M900" s="35"/>
      <c r="N900" s="35"/>
      <c r="O900" s="35"/>
      <c r="P900" s="35"/>
      <c r="Q900" s="35"/>
      <c r="S900" s="34"/>
      <c r="T900" s="36"/>
    </row>
    <row r="901" spans="1:20" ht="15.75" customHeight="1">
      <c r="A901" s="35"/>
      <c r="B901" s="35"/>
      <c r="C901" s="35"/>
      <c r="D901" s="35"/>
      <c r="I901" s="35"/>
      <c r="J901" s="35"/>
      <c r="K901" s="35"/>
      <c r="L901" s="35"/>
      <c r="M901" s="35"/>
      <c r="N901" s="35"/>
      <c r="O901" s="35"/>
      <c r="P901" s="35"/>
      <c r="Q901" s="35"/>
      <c r="S901" s="34"/>
      <c r="T901" s="36"/>
    </row>
    <row r="902" spans="1:20" ht="15.75" customHeight="1">
      <c r="A902" s="35"/>
      <c r="B902" s="35"/>
      <c r="C902" s="35"/>
      <c r="D902" s="35"/>
      <c r="I902" s="35"/>
      <c r="J902" s="35"/>
      <c r="K902" s="35"/>
      <c r="L902" s="35"/>
      <c r="M902" s="35"/>
      <c r="N902" s="35"/>
      <c r="O902" s="35"/>
      <c r="P902" s="35"/>
      <c r="Q902" s="35"/>
      <c r="S902" s="34"/>
      <c r="T902" s="36"/>
    </row>
    <row r="903" spans="1:20" ht="15.75" customHeight="1">
      <c r="A903" s="35"/>
      <c r="B903" s="35"/>
      <c r="C903" s="35"/>
      <c r="D903" s="35"/>
      <c r="I903" s="35"/>
      <c r="J903" s="35"/>
      <c r="K903" s="35"/>
      <c r="L903" s="35"/>
      <c r="M903" s="35"/>
      <c r="N903" s="35"/>
      <c r="O903" s="35"/>
      <c r="P903" s="35"/>
      <c r="Q903" s="35"/>
      <c r="S903" s="34"/>
      <c r="T903" s="36"/>
    </row>
    <row r="904" spans="1:20" ht="15.75" customHeight="1">
      <c r="A904" s="35"/>
      <c r="B904" s="35"/>
      <c r="C904" s="35"/>
      <c r="D904" s="35"/>
      <c r="I904" s="35"/>
      <c r="J904" s="35"/>
      <c r="K904" s="35"/>
      <c r="L904" s="35"/>
      <c r="M904" s="35"/>
      <c r="N904" s="35"/>
      <c r="O904" s="35"/>
      <c r="P904" s="35"/>
      <c r="Q904" s="35"/>
      <c r="S904" s="34"/>
      <c r="T904" s="36"/>
    </row>
    <row r="905" spans="1:20" ht="15.75" customHeight="1">
      <c r="A905" s="35"/>
      <c r="B905" s="35"/>
      <c r="C905" s="35"/>
      <c r="D905" s="35"/>
      <c r="I905" s="35"/>
      <c r="J905" s="35"/>
      <c r="K905" s="35"/>
      <c r="L905" s="35"/>
      <c r="M905" s="35"/>
      <c r="N905" s="35"/>
      <c r="O905" s="35"/>
      <c r="P905" s="35"/>
      <c r="Q905" s="35"/>
      <c r="S905" s="34"/>
      <c r="T905" s="36"/>
    </row>
    <row r="906" spans="1:20" ht="15.75" customHeight="1">
      <c r="A906" s="35"/>
      <c r="B906" s="35"/>
      <c r="C906" s="35"/>
      <c r="D906" s="35"/>
      <c r="I906" s="35"/>
      <c r="J906" s="35"/>
      <c r="K906" s="35"/>
      <c r="L906" s="35"/>
      <c r="M906" s="35"/>
      <c r="N906" s="35"/>
      <c r="O906" s="35"/>
      <c r="P906" s="35"/>
      <c r="Q906" s="35"/>
      <c r="S906" s="34"/>
      <c r="T906" s="36"/>
    </row>
    <row r="907" spans="1:20" ht="15.75" customHeight="1">
      <c r="A907" s="35"/>
      <c r="B907" s="35"/>
      <c r="C907" s="35"/>
      <c r="D907" s="35"/>
      <c r="I907" s="35"/>
      <c r="J907" s="35"/>
      <c r="K907" s="35"/>
      <c r="L907" s="35"/>
      <c r="M907" s="35"/>
      <c r="N907" s="35"/>
      <c r="O907" s="35"/>
      <c r="P907" s="35"/>
      <c r="Q907" s="35"/>
      <c r="S907" s="38"/>
      <c r="T907" s="36"/>
    </row>
    <row r="908" spans="1:20" ht="15.75" customHeight="1">
      <c r="A908" s="35"/>
      <c r="B908" s="35"/>
      <c r="C908" s="35"/>
      <c r="D908" s="35"/>
      <c r="I908" s="35"/>
      <c r="J908" s="35"/>
      <c r="K908" s="35"/>
      <c r="L908" s="35"/>
      <c r="M908" s="35"/>
      <c r="N908" s="35"/>
      <c r="O908" s="35"/>
      <c r="P908" s="35"/>
      <c r="Q908" s="35"/>
      <c r="S908" s="34"/>
      <c r="T908" s="36"/>
    </row>
    <row r="909" spans="1:20" ht="15.75" customHeight="1">
      <c r="A909" s="35"/>
      <c r="B909" s="35"/>
      <c r="C909" s="35"/>
      <c r="D909" s="35"/>
      <c r="I909" s="35"/>
      <c r="J909" s="35"/>
      <c r="K909" s="35"/>
      <c r="L909" s="35"/>
      <c r="M909" s="35"/>
      <c r="N909" s="35"/>
      <c r="O909" s="35"/>
      <c r="P909" s="35"/>
      <c r="Q909" s="35"/>
      <c r="S909" s="34"/>
      <c r="T909" s="36"/>
    </row>
    <row r="910" spans="1:20" ht="15.75" customHeight="1">
      <c r="A910" s="35"/>
      <c r="B910" s="35"/>
      <c r="C910" s="35"/>
      <c r="D910" s="35"/>
      <c r="I910" s="35"/>
      <c r="J910" s="35"/>
      <c r="K910" s="35"/>
      <c r="L910" s="35"/>
      <c r="M910" s="35"/>
      <c r="N910" s="35"/>
      <c r="O910" s="35"/>
      <c r="P910" s="35"/>
      <c r="Q910" s="35"/>
      <c r="S910" s="34"/>
      <c r="T910" s="36"/>
    </row>
    <row r="911" spans="1:20" ht="15.75" customHeight="1">
      <c r="A911" s="35"/>
      <c r="B911" s="35"/>
      <c r="C911" s="35"/>
      <c r="D911" s="35"/>
      <c r="I911" s="35"/>
      <c r="J911" s="35"/>
      <c r="K911" s="35"/>
      <c r="L911" s="35"/>
      <c r="M911" s="35"/>
      <c r="N911" s="35"/>
      <c r="O911" s="35"/>
      <c r="P911" s="35"/>
      <c r="Q911" s="35"/>
      <c r="S911" s="34"/>
      <c r="T911" s="36"/>
    </row>
    <row r="912" spans="1:20" ht="15.75" customHeight="1">
      <c r="A912" s="35"/>
      <c r="B912" s="35"/>
      <c r="C912" s="35"/>
      <c r="D912" s="35"/>
      <c r="I912" s="35"/>
      <c r="J912" s="35"/>
      <c r="K912" s="35"/>
      <c r="L912" s="35"/>
      <c r="M912" s="35"/>
      <c r="N912" s="35"/>
      <c r="O912" s="35"/>
      <c r="P912" s="35"/>
      <c r="Q912" s="35"/>
      <c r="S912" s="34"/>
      <c r="T912" s="36"/>
    </row>
    <row r="913" spans="1:20" ht="15.75" customHeight="1">
      <c r="A913" s="35"/>
      <c r="B913" s="35"/>
      <c r="C913" s="35"/>
      <c r="D913" s="35"/>
      <c r="I913" s="35"/>
      <c r="J913" s="35"/>
      <c r="K913" s="35"/>
      <c r="L913" s="35"/>
      <c r="M913" s="35"/>
      <c r="N913" s="35"/>
      <c r="O913" s="35"/>
      <c r="P913" s="35"/>
      <c r="Q913" s="35"/>
      <c r="S913" s="34"/>
      <c r="T913" s="36"/>
    </row>
    <row r="914" spans="1:20" ht="15.75" customHeight="1">
      <c r="A914" s="35"/>
      <c r="B914" s="35"/>
      <c r="C914" s="35"/>
      <c r="D914" s="35"/>
      <c r="I914" s="35"/>
      <c r="J914" s="35"/>
      <c r="K914" s="35"/>
      <c r="L914" s="35"/>
      <c r="M914" s="35"/>
      <c r="N914" s="35"/>
      <c r="O914" s="35"/>
      <c r="P914" s="35"/>
      <c r="Q914" s="35"/>
      <c r="S914" s="34"/>
      <c r="T914" s="36"/>
    </row>
    <row r="915" spans="1:20" ht="15.75" customHeight="1">
      <c r="A915" s="35"/>
      <c r="B915" s="35"/>
      <c r="C915" s="35"/>
      <c r="D915" s="35"/>
      <c r="I915" s="35"/>
      <c r="J915" s="35"/>
      <c r="K915" s="35"/>
      <c r="L915" s="35"/>
      <c r="M915" s="35"/>
      <c r="N915" s="35"/>
      <c r="O915" s="35"/>
      <c r="P915" s="35"/>
      <c r="Q915" s="35"/>
      <c r="S915" s="34"/>
      <c r="T915" s="36"/>
    </row>
    <row r="916" spans="1:20" ht="15.75" customHeight="1">
      <c r="A916" s="35"/>
      <c r="B916" s="35"/>
      <c r="C916" s="35"/>
      <c r="D916" s="35"/>
      <c r="I916" s="35"/>
      <c r="J916" s="35"/>
      <c r="K916" s="35"/>
      <c r="L916" s="35"/>
      <c r="M916" s="35"/>
      <c r="N916" s="35"/>
      <c r="O916" s="35"/>
      <c r="P916" s="35"/>
      <c r="Q916" s="35"/>
      <c r="S916" s="34"/>
      <c r="T916" s="36"/>
    </row>
    <row r="917" spans="1:20" ht="15.75" customHeight="1">
      <c r="A917" s="35"/>
      <c r="B917" s="35"/>
      <c r="C917" s="35"/>
      <c r="D917" s="35"/>
      <c r="I917" s="35"/>
      <c r="J917" s="35"/>
      <c r="K917" s="35"/>
      <c r="L917" s="35"/>
      <c r="M917" s="35"/>
      <c r="N917" s="35"/>
      <c r="O917" s="35"/>
      <c r="P917" s="35"/>
      <c r="Q917" s="35"/>
      <c r="S917" s="34"/>
      <c r="T917" s="36"/>
    </row>
    <row r="918" spans="1:20" ht="15.75" customHeight="1">
      <c r="A918" s="35"/>
      <c r="B918" s="35"/>
      <c r="C918" s="35"/>
      <c r="D918" s="35"/>
      <c r="I918" s="35"/>
      <c r="J918" s="35"/>
      <c r="K918" s="35"/>
      <c r="L918" s="35"/>
      <c r="M918" s="35"/>
      <c r="N918" s="35"/>
      <c r="O918" s="35"/>
      <c r="P918" s="35"/>
      <c r="Q918" s="35"/>
      <c r="S918" s="34"/>
      <c r="T918" s="36"/>
    </row>
    <row r="919" spans="1:20" ht="15.75" customHeight="1">
      <c r="A919" s="35"/>
      <c r="B919" s="35"/>
      <c r="C919" s="35"/>
      <c r="D919" s="35"/>
      <c r="I919" s="35"/>
      <c r="J919" s="35"/>
      <c r="K919" s="35"/>
      <c r="L919" s="35"/>
      <c r="M919" s="35"/>
      <c r="N919" s="35"/>
      <c r="O919" s="35"/>
      <c r="P919" s="35"/>
      <c r="Q919" s="35"/>
      <c r="S919" s="34"/>
      <c r="T919" s="36"/>
    </row>
    <row r="920" spans="1:20" ht="15.75" customHeight="1">
      <c r="A920" s="35"/>
      <c r="B920" s="35"/>
      <c r="C920" s="35"/>
      <c r="D920" s="35"/>
      <c r="I920" s="35"/>
      <c r="J920" s="35"/>
      <c r="K920" s="35"/>
      <c r="L920" s="35"/>
      <c r="M920" s="35"/>
      <c r="N920" s="35"/>
      <c r="O920" s="35"/>
      <c r="P920" s="35"/>
      <c r="Q920" s="35"/>
      <c r="S920" s="34"/>
      <c r="T920" s="36"/>
    </row>
    <row r="921" spans="1:20" ht="15.75" customHeight="1">
      <c r="A921" s="35"/>
      <c r="B921" s="35"/>
      <c r="C921" s="35"/>
      <c r="D921" s="35"/>
      <c r="I921" s="35"/>
      <c r="J921" s="35"/>
      <c r="K921" s="35"/>
      <c r="L921" s="35"/>
      <c r="M921" s="35"/>
      <c r="N921" s="35"/>
      <c r="O921" s="35"/>
      <c r="P921" s="35"/>
      <c r="Q921" s="35"/>
      <c r="S921" s="34"/>
      <c r="T921" s="36"/>
    </row>
    <row r="922" spans="1:20" ht="15.75" customHeight="1">
      <c r="A922" s="35"/>
      <c r="B922" s="35"/>
      <c r="C922" s="35"/>
      <c r="D922" s="35"/>
      <c r="I922" s="35"/>
      <c r="J922" s="35"/>
      <c r="K922" s="35"/>
      <c r="L922" s="35"/>
      <c r="M922" s="35"/>
      <c r="N922" s="35"/>
      <c r="O922" s="35"/>
      <c r="P922" s="35"/>
      <c r="Q922" s="35"/>
      <c r="S922" s="34"/>
      <c r="T922" s="36"/>
    </row>
    <row r="923" spans="1:20" ht="15.75" customHeight="1">
      <c r="A923" s="35"/>
      <c r="B923" s="35"/>
      <c r="C923" s="35"/>
      <c r="D923" s="35"/>
      <c r="I923" s="35"/>
      <c r="J923" s="35"/>
      <c r="K923" s="35"/>
      <c r="L923" s="35"/>
      <c r="M923" s="35"/>
      <c r="N923" s="35"/>
      <c r="O923" s="35"/>
      <c r="P923" s="35"/>
      <c r="Q923" s="35"/>
      <c r="S923" s="34"/>
      <c r="T923" s="36"/>
    </row>
    <row r="924" spans="1:20" ht="15.75" customHeight="1">
      <c r="A924" s="35"/>
      <c r="B924" s="35"/>
      <c r="C924" s="35"/>
      <c r="D924" s="35"/>
      <c r="I924" s="35"/>
      <c r="J924" s="35"/>
      <c r="K924" s="35"/>
      <c r="L924" s="35"/>
      <c r="M924" s="35"/>
      <c r="N924" s="35"/>
      <c r="O924" s="35"/>
      <c r="P924" s="35"/>
      <c r="Q924" s="35"/>
      <c r="S924" s="34"/>
      <c r="T924" s="36"/>
    </row>
    <row r="925" spans="1:20" ht="15.75" customHeight="1">
      <c r="A925" s="35"/>
      <c r="B925" s="35"/>
      <c r="C925" s="35"/>
      <c r="D925" s="35"/>
      <c r="I925" s="35"/>
      <c r="J925" s="35"/>
      <c r="K925" s="35"/>
      <c r="L925" s="35"/>
      <c r="M925" s="35"/>
      <c r="N925" s="35"/>
      <c r="O925" s="35"/>
      <c r="P925" s="35"/>
      <c r="Q925" s="35"/>
      <c r="S925" s="34"/>
      <c r="T925" s="36"/>
    </row>
    <row r="926" spans="1:20" ht="15.75" customHeight="1">
      <c r="A926" s="35"/>
      <c r="B926" s="35"/>
      <c r="C926" s="35"/>
      <c r="D926" s="35"/>
      <c r="I926" s="35"/>
      <c r="J926" s="35"/>
      <c r="K926" s="35"/>
      <c r="L926" s="35"/>
      <c r="M926" s="35"/>
      <c r="N926" s="35"/>
      <c r="O926" s="35"/>
      <c r="P926" s="35"/>
      <c r="Q926" s="35"/>
      <c r="S926" s="34"/>
      <c r="T926" s="36"/>
    </row>
    <row r="927" spans="1:20" ht="15.75" customHeight="1">
      <c r="A927" s="35"/>
      <c r="B927" s="35"/>
      <c r="C927" s="35"/>
      <c r="D927" s="35"/>
      <c r="I927" s="35"/>
      <c r="J927" s="35"/>
      <c r="K927" s="35"/>
      <c r="L927" s="35"/>
      <c r="M927" s="35"/>
      <c r="N927" s="35"/>
      <c r="O927" s="35"/>
      <c r="P927" s="35"/>
      <c r="Q927" s="35"/>
      <c r="S927" s="38"/>
      <c r="T927" s="36"/>
    </row>
    <row r="928" spans="1:20" ht="15.75" customHeight="1">
      <c r="A928" s="35"/>
      <c r="B928" s="35"/>
      <c r="C928" s="35"/>
      <c r="D928" s="35"/>
      <c r="I928" s="35"/>
      <c r="J928" s="35"/>
      <c r="K928" s="35"/>
      <c r="L928" s="35"/>
      <c r="M928" s="35"/>
      <c r="N928" s="35"/>
      <c r="O928" s="35"/>
      <c r="P928" s="35"/>
      <c r="Q928" s="35"/>
      <c r="S928" s="34"/>
      <c r="T928" s="36"/>
    </row>
    <row r="929" spans="1:20" ht="15.75" customHeight="1">
      <c r="A929" s="35"/>
      <c r="B929" s="35"/>
      <c r="C929" s="35"/>
      <c r="D929" s="35"/>
      <c r="I929" s="35"/>
      <c r="J929" s="35"/>
      <c r="K929" s="35"/>
      <c r="L929" s="35"/>
      <c r="M929" s="35"/>
      <c r="N929" s="35"/>
      <c r="O929" s="35"/>
      <c r="P929" s="35"/>
      <c r="Q929" s="35"/>
      <c r="S929" s="34"/>
      <c r="T929" s="36"/>
    </row>
    <row r="930" spans="1:20" ht="15.75" customHeight="1">
      <c r="A930" s="35"/>
      <c r="B930" s="35"/>
      <c r="C930" s="35"/>
      <c r="D930" s="35"/>
      <c r="I930" s="35"/>
      <c r="J930" s="35"/>
      <c r="K930" s="35"/>
      <c r="L930" s="35"/>
      <c r="M930" s="35"/>
      <c r="N930" s="35"/>
      <c r="O930" s="35"/>
      <c r="P930" s="35"/>
      <c r="Q930" s="35"/>
      <c r="S930" s="34"/>
      <c r="T930" s="36"/>
    </row>
    <row r="931" spans="1:20" ht="15.75" customHeight="1">
      <c r="A931" s="35"/>
      <c r="B931" s="35"/>
      <c r="C931" s="35"/>
      <c r="D931" s="35"/>
      <c r="I931" s="35"/>
      <c r="J931" s="35"/>
      <c r="K931" s="35"/>
      <c r="L931" s="35"/>
      <c r="M931" s="35"/>
      <c r="N931" s="35"/>
      <c r="O931" s="35"/>
      <c r="P931" s="35"/>
      <c r="Q931" s="35"/>
      <c r="S931" s="34"/>
      <c r="T931" s="36"/>
    </row>
    <row r="932" spans="1:20" ht="15.75" customHeight="1">
      <c r="A932" s="35"/>
      <c r="B932" s="35"/>
      <c r="C932" s="35"/>
      <c r="D932" s="35"/>
      <c r="I932" s="35"/>
      <c r="J932" s="35"/>
      <c r="K932" s="35"/>
      <c r="L932" s="35"/>
      <c r="M932" s="35"/>
      <c r="N932" s="35"/>
      <c r="O932" s="35"/>
      <c r="P932" s="35"/>
      <c r="Q932" s="35"/>
      <c r="S932" s="34"/>
      <c r="T932" s="36"/>
    </row>
    <row r="933" spans="1:20" ht="15.75" customHeight="1">
      <c r="A933" s="35"/>
      <c r="B933" s="35"/>
      <c r="C933" s="35"/>
      <c r="D933" s="35"/>
      <c r="I933" s="35"/>
      <c r="J933" s="35"/>
      <c r="K933" s="35"/>
      <c r="L933" s="35"/>
      <c r="M933" s="35"/>
      <c r="N933" s="35"/>
      <c r="O933" s="35"/>
      <c r="P933" s="35"/>
      <c r="Q933" s="35"/>
      <c r="S933" s="34"/>
      <c r="T933" s="36"/>
    </row>
    <row r="934" spans="1:20" ht="15.75" customHeight="1">
      <c r="A934" s="35"/>
      <c r="B934" s="35"/>
      <c r="C934" s="35"/>
      <c r="D934" s="35"/>
      <c r="I934" s="35"/>
      <c r="J934" s="35"/>
      <c r="K934" s="35"/>
      <c r="L934" s="35"/>
      <c r="M934" s="35"/>
      <c r="N934" s="35"/>
      <c r="O934" s="35"/>
      <c r="P934" s="35"/>
      <c r="Q934" s="35"/>
      <c r="S934" s="34"/>
      <c r="T934" s="36"/>
    </row>
    <row r="935" spans="1:20" ht="15.75" customHeight="1">
      <c r="A935" s="35"/>
      <c r="B935" s="35"/>
      <c r="C935" s="35"/>
      <c r="D935" s="35"/>
      <c r="I935" s="35"/>
      <c r="J935" s="35"/>
      <c r="K935" s="35"/>
      <c r="L935" s="35"/>
      <c r="M935" s="35"/>
      <c r="N935" s="35"/>
      <c r="O935" s="35"/>
      <c r="P935" s="35"/>
      <c r="Q935" s="35"/>
      <c r="S935" s="34"/>
      <c r="T935" s="36"/>
    </row>
    <row r="936" spans="1:20" ht="15.75" customHeight="1">
      <c r="A936" s="35"/>
      <c r="B936" s="35"/>
      <c r="C936" s="35"/>
      <c r="D936" s="35"/>
      <c r="I936" s="35"/>
      <c r="J936" s="35"/>
      <c r="K936" s="35"/>
      <c r="L936" s="35"/>
      <c r="M936" s="35"/>
      <c r="N936" s="35"/>
      <c r="O936" s="35"/>
      <c r="P936" s="35"/>
      <c r="Q936" s="35"/>
      <c r="S936" s="34"/>
      <c r="T936" s="36"/>
    </row>
    <row r="937" spans="1:20" ht="15.75" customHeight="1">
      <c r="A937" s="35"/>
      <c r="B937" s="35"/>
      <c r="C937" s="35"/>
      <c r="D937" s="35"/>
      <c r="I937" s="35"/>
      <c r="J937" s="35"/>
      <c r="K937" s="35"/>
      <c r="L937" s="35"/>
      <c r="M937" s="35"/>
      <c r="N937" s="35"/>
      <c r="O937" s="35"/>
      <c r="P937" s="35"/>
      <c r="Q937" s="35"/>
      <c r="S937" s="34"/>
      <c r="T937" s="36"/>
    </row>
    <row r="938" spans="1:20" ht="15.75" customHeight="1">
      <c r="A938" s="35"/>
      <c r="B938" s="35"/>
      <c r="C938" s="35"/>
      <c r="D938" s="35"/>
      <c r="I938" s="35"/>
      <c r="J938" s="35"/>
      <c r="K938" s="35"/>
      <c r="L938" s="35"/>
      <c r="M938" s="35"/>
      <c r="N938" s="35"/>
      <c r="O938" s="35"/>
      <c r="P938" s="35"/>
      <c r="Q938" s="35"/>
      <c r="S938" s="34"/>
      <c r="T938" s="36"/>
    </row>
    <row r="939" spans="1:20" ht="15.75" customHeight="1">
      <c r="A939" s="35"/>
      <c r="B939" s="35"/>
      <c r="C939" s="35"/>
      <c r="D939" s="35"/>
      <c r="I939" s="35"/>
      <c r="J939" s="35"/>
      <c r="K939" s="35"/>
      <c r="L939" s="35"/>
      <c r="M939" s="35"/>
      <c r="N939" s="35"/>
      <c r="O939" s="35"/>
      <c r="P939" s="35"/>
      <c r="Q939" s="35"/>
      <c r="S939" s="34"/>
      <c r="T939" s="36"/>
    </row>
    <row r="940" spans="1:20" ht="15.75" customHeight="1">
      <c r="A940" s="35"/>
      <c r="B940" s="35"/>
      <c r="C940" s="35"/>
      <c r="D940" s="35"/>
      <c r="I940" s="35"/>
      <c r="J940" s="35"/>
      <c r="K940" s="35"/>
      <c r="L940" s="35"/>
      <c r="M940" s="35"/>
      <c r="N940" s="35"/>
      <c r="O940" s="35"/>
      <c r="P940" s="35"/>
      <c r="Q940" s="35"/>
      <c r="S940" s="34"/>
      <c r="T940" s="36"/>
    </row>
    <row r="941" spans="1:20" ht="15.75" customHeight="1">
      <c r="A941" s="35"/>
      <c r="B941" s="35"/>
      <c r="C941" s="35"/>
      <c r="D941" s="35"/>
      <c r="I941" s="35"/>
      <c r="J941" s="35"/>
      <c r="K941" s="35"/>
      <c r="L941" s="35"/>
      <c r="M941" s="35"/>
      <c r="N941" s="35"/>
      <c r="O941" s="35"/>
      <c r="P941" s="35"/>
      <c r="Q941" s="35"/>
      <c r="S941" s="34"/>
      <c r="T941" s="36"/>
    </row>
    <row r="942" spans="1:20" ht="15.75" customHeight="1">
      <c r="A942" s="35"/>
      <c r="B942" s="35"/>
      <c r="C942" s="35"/>
      <c r="D942" s="35"/>
      <c r="I942" s="35"/>
      <c r="J942" s="35"/>
      <c r="K942" s="35"/>
      <c r="L942" s="35"/>
      <c r="M942" s="35"/>
      <c r="N942" s="35"/>
      <c r="O942" s="35"/>
      <c r="P942" s="35"/>
      <c r="Q942" s="35"/>
      <c r="S942" s="34"/>
      <c r="T942" s="36"/>
    </row>
    <row r="943" spans="1:20" ht="15.75" customHeight="1">
      <c r="A943" s="35"/>
      <c r="B943" s="35"/>
      <c r="C943" s="35"/>
      <c r="D943" s="35"/>
      <c r="I943" s="35"/>
      <c r="J943" s="35"/>
      <c r="K943" s="35"/>
      <c r="L943" s="35"/>
      <c r="M943" s="35"/>
      <c r="N943" s="35"/>
      <c r="O943" s="35"/>
      <c r="P943" s="35"/>
      <c r="Q943" s="35"/>
      <c r="S943" s="34"/>
      <c r="T943" s="36"/>
    </row>
    <row r="944" spans="1:20" ht="15.75" customHeight="1">
      <c r="A944" s="35"/>
      <c r="B944" s="35"/>
      <c r="C944" s="35"/>
      <c r="D944" s="35"/>
      <c r="I944" s="35"/>
      <c r="J944" s="35"/>
      <c r="K944" s="35"/>
      <c r="L944" s="35"/>
      <c r="M944" s="35"/>
      <c r="N944" s="35"/>
      <c r="O944" s="35"/>
      <c r="P944" s="35"/>
      <c r="Q944" s="35"/>
      <c r="S944" s="34"/>
      <c r="T944" s="36"/>
    </row>
    <row r="945" spans="1:20" ht="15.75" customHeight="1">
      <c r="A945" s="35"/>
      <c r="B945" s="35"/>
      <c r="C945" s="35"/>
      <c r="D945" s="35"/>
      <c r="I945" s="35"/>
      <c r="J945" s="35"/>
      <c r="K945" s="35"/>
      <c r="L945" s="35"/>
      <c r="M945" s="35"/>
      <c r="N945" s="35"/>
      <c r="O945" s="35"/>
      <c r="P945" s="35"/>
      <c r="Q945" s="35"/>
      <c r="S945" s="34"/>
      <c r="T945" s="36"/>
    </row>
    <row r="946" spans="1:20" ht="15.75" customHeight="1">
      <c r="A946" s="35"/>
      <c r="B946" s="35"/>
      <c r="C946" s="35"/>
      <c r="D946" s="35"/>
      <c r="I946" s="35"/>
      <c r="J946" s="35"/>
      <c r="K946" s="35"/>
      <c r="L946" s="35"/>
      <c r="M946" s="35"/>
      <c r="N946" s="35"/>
      <c r="O946" s="35"/>
      <c r="P946" s="35"/>
      <c r="Q946" s="35"/>
      <c r="S946" s="34"/>
      <c r="T946" s="36"/>
    </row>
    <row r="947" spans="1:20" ht="15.75" customHeight="1">
      <c r="A947" s="35"/>
      <c r="B947" s="35"/>
      <c r="C947" s="35"/>
      <c r="D947" s="35"/>
      <c r="I947" s="35"/>
      <c r="J947" s="35"/>
      <c r="K947" s="35"/>
      <c r="L947" s="35"/>
      <c r="M947" s="35"/>
      <c r="N947" s="35"/>
      <c r="O947" s="35"/>
      <c r="P947" s="35"/>
      <c r="Q947" s="35"/>
      <c r="S947" s="38"/>
      <c r="T947" s="36"/>
    </row>
    <row r="948" spans="1:20" ht="15.75" customHeight="1">
      <c r="A948" s="35"/>
      <c r="B948" s="35"/>
      <c r="C948" s="35"/>
      <c r="D948" s="35"/>
      <c r="I948" s="35"/>
      <c r="J948" s="35"/>
      <c r="K948" s="35"/>
      <c r="L948" s="35"/>
      <c r="M948" s="35"/>
      <c r="N948" s="35"/>
      <c r="O948" s="35"/>
      <c r="P948" s="35"/>
      <c r="Q948" s="35"/>
      <c r="S948" s="34"/>
      <c r="T948" s="36"/>
    </row>
    <row r="949" spans="1:20" ht="15.75" customHeight="1">
      <c r="A949" s="35"/>
      <c r="B949" s="35"/>
      <c r="C949" s="35"/>
      <c r="D949" s="35"/>
      <c r="I949" s="35"/>
      <c r="J949" s="35"/>
      <c r="K949" s="35"/>
      <c r="L949" s="35"/>
      <c r="M949" s="35"/>
      <c r="N949" s="35"/>
      <c r="O949" s="35"/>
      <c r="P949" s="35"/>
      <c r="Q949" s="35"/>
      <c r="S949" s="34"/>
      <c r="T949" s="36"/>
    </row>
    <row r="950" spans="1:20" ht="15.75" customHeight="1">
      <c r="A950" s="35"/>
      <c r="B950" s="35"/>
      <c r="C950" s="35"/>
      <c r="D950" s="35"/>
      <c r="I950" s="35"/>
      <c r="J950" s="35"/>
      <c r="K950" s="35"/>
      <c r="L950" s="35"/>
      <c r="M950" s="35"/>
      <c r="N950" s="35"/>
      <c r="O950" s="35"/>
      <c r="P950" s="35"/>
      <c r="Q950" s="35"/>
      <c r="S950" s="34"/>
      <c r="T950" s="36"/>
    </row>
    <row r="951" spans="1:20" ht="15.75" customHeight="1">
      <c r="A951" s="35"/>
      <c r="B951" s="35"/>
      <c r="C951" s="35"/>
      <c r="D951" s="35"/>
      <c r="I951" s="35"/>
      <c r="J951" s="35"/>
      <c r="K951" s="35"/>
      <c r="L951" s="35"/>
      <c r="M951" s="35"/>
      <c r="N951" s="35"/>
      <c r="O951" s="35"/>
      <c r="P951" s="35"/>
      <c r="Q951" s="35"/>
      <c r="S951" s="34"/>
      <c r="T951" s="36"/>
    </row>
    <row r="952" spans="1:20" ht="15.75" customHeight="1">
      <c r="A952" s="35"/>
      <c r="B952" s="35"/>
      <c r="C952" s="35"/>
      <c r="D952" s="35"/>
      <c r="I952" s="35"/>
      <c r="J952" s="35"/>
      <c r="K952" s="35"/>
      <c r="L952" s="35"/>
      <c r="M952" s="35"/>
      <c r="N952" s="35"/>
      <c r="O952" s="35"/>
      <c r="P952" s="35"/>
      <c r="Q952" s="35"/>
      <c r="S952" s="34"/>
      <c r="T952" s="36"/>
    </row>
    <row r="953" spans="1:20" ht="15.75" customHeight="1">
      <c r="A953" s="35"/>
      <c r="B953" s="35"/>
      <c r="C953" s="35"/>
      <c r="D953" s="35"/>
      <c r="I953" s="35"/>
      <c r="J953" s="35"/>
      <c r="K953" s="35"/>
      <c r="L953" s="35"/>
      <c r="M953" s="35"/>
      <c r="N953" s="35"/>
      <c r="O953" s="35"/>
      <c r="P953" s="35"/>
      <c r="Q953" s="35"/>
      <c r="S953" s="34"/>
      <c r="T953" s="36"/>
    </row>
    <row r="954" spans="1:20" ht="15.75" customHeight="1">
      <c r="A954" s="35"/>
      <c r="B954" s="35"/>
      <c r="C954" s="35"/>
      <c r="D954" s="35"/>
      <c r="I954" s="35"/>
      <c r="J954" s="35"/>
      <c r="K954" s="35"/>
      <c r="L954" s="35"/>
      <c r="M954" s="35"/>
      <c r="N954" s="35"/>
      <c r="O954" s="35"/>
      <c r="P954" s="35"/>
      <c r="Q954" s="35"/>
      <c r="S954" s="34"/>
      <c r="T954" s="36"/>
    </row>
    <row r="955" spans="1:20" ht="15.75" customHeight="1">
      <c r="A955" s="35"/>
      <c r="B955" s="35"/>
      <c r="C955" s="35"/>
      <c r="D955" s="35"/>
      <c r="I955" s="35"/>
      <c r="J955" s="35"/>
      <c r="K955" s="35"/>
      <c r="L955" s="35"/>
      <c r="M955" s="35"/>
      <c r="N955" s="35"/>
      <c r="O955" s="35"/>
      <c r="P955" s="35"/>
      <c r="Q955" s="35"/>
      <c r="S955" s="34"/>
      <c r="T955" s="36"/>
    </row>
    <row r="956" spans="1:20" ht="15.75" customHeight="1">
      <c r="A956" s="35"/>
      <c r="B956" s="35"/>
      <c r="C956" s="35"/>
      <c r="D956" s="35"/>
      <c r="I956" s="35"/>
      <c r="J956" s="35"/>
      <c r="K956" s="35"/>
      <c r="L956" s="35"/>
      <c r="M956" s="35"/>
      <c r="N956" s="35"/>
      <c r="O956" s="35"/>
      <c r="P956" s="35"/>
      <c r="Q956" s="35"/>
      <c r="S956" s="34"/>
      <c r="T956" s="36"/>
    </row>
    <row r="957" spans="1:20" ht="15.75" customHeight="1">
      <c r="A957" s="35"/>
      <c r="B957" s="35"/>
      <c r="C957" s="35"/>
      <c r="D957" s="35"/>
      <c r="I957" s="35"/>
      <c r="J957" s="35"/>
      <c r="K957" s="35"/>
      <c r="L957" s="35"/>
      <c r="M957" s="35"/>
      <c r="N957" s="35"/>
      <c r="O957" s="35"/>
      <c r="P957" s="35"/>
      <c r="Q957" s="35"/>
      <c r="S957" s="34"/>
      <c r="T957" s="36"/>
    </row>
    <row r="958" spans="1:20" ht="15.75" customHeight="1">
      <c r="A958" s="35"/>
      <c r="B958" s="35"/>
      <c r="C958" s="35"/>
      <c r="D958" s="35"/>
      <c r="I958" s="35"/>
      <c r="J958" s="35"/>
      <c r="K958" s="35"/>
      <c r="L958" s="35"/>
      <c r="M958" s="35"/>
      <c r="N958" s="35"/>
      <c r="O958" s="35"/>
      <c r="P958" s="35"/>
      <c r="Q958" s="35"/>
      <c r="S958" s="34"/>
      <c r="T958" s="36"/>
    </row>
    <row r="959" spans="1:20" ht="15.75" customHeight="1">
      <c r="A959" s="35"/>
      <c r="B959" s="35"/>
      <c r="C959" s="35"/>
      <c r="D959" s="35"/>
      <c r="I959" s="35"/>
      <c r="J959" s="35"/>
      <c r="K959" s="35"/>
      <c r="L959" s="35"/>
      <c r="M959" s="35"/>
      <c r="N959" s="35"/>
      <c r="O959" s="35"/>
      <c r="P959" s="35"/>
      <c r="Q959" s="35"/>
      <c r="S959" s="34"/>
      <c r="T959" s="36"/>
    </row>
    <row r="960" spans="1:20" ht="15.75" customHeight="1">
      <c r="A960" s="35"/>
      <c r="B960" s="35"/>
      <c r="C960" s="35"/>
      <c r="D960" s="35"/>
      <c r="I960" s="35"/>
      <c r="J960" s="35"/>
      <c r="K960" s="35"/>
      <c r="L960" s="35"/>
      <c r="M960" s="35"/>
      <c r="N960" s="35"/>
      <c r="O960" s="35"/>
      <c r="P960" s="35"/>
      <c r="Q960" s="35"/>
      <c r="S960" s="34"/>
      <c r="T960" s="36"/>
    </row>
    <row r="961" spans="1:20" ht="15.75" customHeight="1">
      <c r="A961" s="35"/>
      <c r="B961" s="35"/>
      <c r="C961" s="35"/>
      <c r="D961" s="35"/>
      <c r="I961" s="35"/>
      <c r="J961" s="35"/>
      <c r="K961" s="35"/>
      <c r="L961" s="35"/>
      <c r="M961" s="35"/>
      <c r="N961" s="35"/>
      <c r="O961" s="35"/>
      <c r="P961" s="35"/>
      <c r="Q961" s="35"/>
      <c r="S961" s="34"/>
      <c r="T961" s="36"/>
    </row>
    <row r="962" spans="1:20" ht="15.75" customHeight="1">
      <c r="A962" s="35"/>
      <c r="B962" s="35"/>
      <c r="C962" s="35"/>
      <c r="D962" s="35"/>
      <c r="I962" s="35"/>
      <c r="J962" s="35"/>
      <c r="K962" s="35"/>
      <c r="L962" s="35"/>
      <c r="M962" s="35"/>
      <c r="N962" s="35"/>
      <c r="O962" s="35"/>
      <c r="P962" s="35"/>
      <c r="Q962" s="35"/>
      <c r="S962" s="34"/>
      <c r="T962" s="36"/>
    </row>
    <row r="963" spans="1:20" ht="15.75" customHeight="1">
      <c r="A963" s="35"/>
      <c r="B963" s="35"/>
      <c r="C963" s="35"/>
      <c r="D963" s="35"/>
      <c r="I963" s="35"/>
      <c r="J963" s="35"/>
      <c r="K963" s="35"/>
      <c r="L963" s="35"/>
      <c r="M963" s="35"/>
      <c r="N963" s="35"/>
      <c r="O963" s="35"/>
      <c r="P963" s="35"/>
      <c r="Q963" s="35"/>
      <c r="S963" s="34"/>
      <c r="T963" s="36"/>
    </row>
    <row r="964" spans="1:20" ht="15.75" customHeight="1">
      <c r="A964" s="35"/>
      <c r="B964" s="35"/>
      <c r="C964" s="35"/>
      <c r="D964" s="35"/>
      <c r="I964" s="35"/>
      <c r="J964" s="35"/>
      <c r="K964" s="35"/>
      <c r="L964" s="35"/>
      <c r="M964" s="35"/>
      <c r="N964" s="35"/>
      <c r="O964" s="35"/>
      <c r="P964" s="35"/>
      <c r="Q964" s="35"/>
      <c r="S964" s="34"/>
      <c r="T964" s="36"/>
    </row>
    <row r="965" spans="1:20" ht="15.75" customHeight="1">
      <c r="A965" s="35"/>
      <c r="B965" s="35"/>
      <c r="C965" s="35"/>
      <c r="D965" s="35"/>
      <c r="I965" s="35"/>
      <c r="J965" s="35"/>
      <c r="K965" s="35"/>
      <c r="L965" s="35"/>
      <c r="M965" s="35"/>
      <c r="N965" s="35"/>
      <c r="O965" s="35"/>
      <c r="P965" s="35"/>
      <c r="Q965" s="35"/>
      <c r="S965" s="34"/>
      <c r="T965" s="36"/>
    </row>
    <row r="966" spans="1:20" ht="15.75" customHeight="1">
      <c r="A966" s="35"/>
      <c r="B966" s="35"/>
      <c r="C966" s="35"/>
      <c r="D966" s="35"/>
      <c r="I966" s="35"/>
      <c r="J966" s="35"/>
      <c r="K966" s="35"/>
      <c r="L966" s="35"/>
      <c r="M966" s="35"/>
      <c r="N966" s="35"/>
      <c r="O966" s="35"/>
      <c r="P966" s="35"/>
      <c r="Q966" s="35"/>
      <c r="S966" s="34"/>
      <c r="T966" s="36"/>
    </row>
    <row r="967" spans="1:20" ht="15.75" customHeight="1">
      <c r="A967" s="35"/>
      <c r="B967" s="35"/>
      <c r="C967" s="35"/>
      <c r="D967" s="35"/>
      <c r="I967" s="35"/>
      <c r="J967" s="35"/>
      <c r="K967" s="35"/>
      <c r="L967" s="35"/>
      <c r="M967" s="35"/>
      <c r="N967" s="35"/>
      <c r="O967" s="35"/>
      <c r="P967" s="35"/>
      <c r="Q967" s="35"/>
      <c r="S967" s="34"/>
      <c r="T967" s="36"/>
    </row>
    <row r="968" spans="1:20" ht="15.75" customHeight="1">
      <c r="A968" s="35"/>
      <c r="B968" s="35"/>
      <c r="C968" s="35"/>
      <c r="D968" s="35"/>
      <c r="I968" s="35"/>
      <c r="J968" s="35"/>
      <c r="K968" s="35"/>
      <c r="L968" s="35"/>
      <c r="M968" s="35"/>
      <c r="N968" s="35"/>
      <c r="O968" s="35"/>
      <c r="P968" s="35"/>
      <c r="Q968" s="35"/>
      <c r="S968" s="34"/>
      <c r="T968" s="36"/>
    </row>
    <row r="969" spans="1:20" ht="15.75" customHeight="1">
      <c r="A969" s="35"/>
      <c r="B969" s="35"/>
      <c r="C969" s="35"/>
      <c r="D969" s="35"/>
      <c r="I969" s="35"/>
      <c r="J969" s="35"/>
      <c r="K969" s="35"/>
      <c r="L969" s="35"/>
      <c r="M969" s="35"/>
      <c r="N969" s="35"/>
      <c r="O969" s="35"/>
      <c r="P969" s="35"/>
      <c r="Q969" s="35"/>
      <c r="S969" s="34"/>
      <c r="T969" s="36"/>
    </row>
    <row r="970" spans="1:20" ht="15.75" customHeight="1">
      <c r="A970" s="35"/>
      <c r="B970" s="35"/>
      <c r="C970" s="35"/>
      <c r="D970" s="35"/>
      <c r="I970" s="35"/>
      <c r="J970" s="35"/>
      <c r="K970" s="35"/>
      <c r="L970" s="35"/>
      <c r="M970" s="35"/>
      <c r="N970" s="35"/>
      <c r="O970" s="35"/>
      <c r="P970" s="35"/>
      <c r="Q970" s="35"/>
      <c r="S970" s="34"/>
      <c r="T970" s="36"/>
    </row>
    <row r="971" spans="1:20" ht="15.75" customHeight="1">
      <c r="A971" s="35"/>
      <c r="B971" s="35"/>
      <c r="C971" s="35"/>
      <c r="D971" s="35"/>
      <c r="I971" s="35"/>
      <c r="J971" s="35"/>
      <c r="K971" s="35"/>
      <c r="L971" s="35"/>
      <c r="M971" s="35"/>
      <c r="N971" s="35"/>
      <c r="O971" s="35"/>
      <c r="P971" s="35"/>
      <c r="Q971" s="35"/>
      <c r="S971" s="34"/>
      <c r="T971" s="36"/>
    </row>
    <row r="972" spans="1:20" ht="15.75" customHeight="1">
      <c r="A972" s="35"/>
      <c r="B972" s="35"/>
      <c r="C972" s="35"/>
      <c r="D972" s="35"/>
      <c r="I972" s="35"/>
      <c r="J972" s="35"/>
      <c r="K972" s="35"/>
      <c r="L972" s="35"/>
      <c r="M972" s="35"/>
      <c r="N972" s="35"/>
      <c r="O972" s="35"/>
      <c r="P972" s="35"/>
      <c r="Q972" s="35"/>
      <c r="S972" s="34"/>
      <c r="T972" s="36"/>
    </row>
    <row r="973" spans="1:20" ht="15.75" customHeight="1">
      <c r="A973" s="35"/>
      <c r="B973" s="35"/>
      <c r="C973" s="35"/>
      <c r="D973" s="35"/>
      <c r="I973" s="35"/>
      <c r="J973" s="35"/>
      <c r="K973" s="35"/>
      <c r="L973" s="35"/>
      <c r="M973" s="35"/>
      <c r="N973" s="35"/>
      <c r="O973" s="35"/>
      <c r="P973" s="35"/>
      <c r="Q973" s="35"/>
      <c r="S973" s="34"/>
      <c r="T973" s="36"/>
    </row>
    <row r="974" spans="1:20" ht="15.75" customHeight="1">
      <c r="A974" s="35"/>
      <c r="B974" s="35"/>
      <c r="C974" s="35"/>
      <c r="D974" s="35"/>
      <c r="I974" s="35"/>
      <c r="J974" s="35"/>
      <c r="K974" s="35"/>
      <c r="L974" s="35"/>
      <c r="M974" s="35"/>
      <c r="N974" s="35"/>
      <c r="O974" s="35"/>
      <c r="P974" s="35"/>
      <c r="Q974" s="35"/>
      <c r="S974" s="34"/>
      <c r="T974" s="36"/>
    </row>
    <row r="975" spans="1:20" ht="15.75" customHeight="1">
      <c r="A975" s="35"/>
      <c r="B975" s="35"/>
      <c r="C975" s="35"/>
      <c r="D975" s="35"/>
      <c r="I975" s="35"/>
      <c r="J975" s="35"/>
      <c r="K975" s="35"/>
      <c r="L975" s="35"/>
      <c r="M975" s="35"/>
      <c r="N975" s="35"/>
      <c r="O975" s="35"/>
      <c r="P975" s="35"/>
      <c r="Q975" s="35"/>
      <c r="S975" s="34"/>
      <c r="T975" s="36"/>
    </row>
    <row r="976" spans="1:20" ht="15.75" customHeight="1">
      <c r="A976" s="35"/>
      <c r="B976" s="35"/>
      <c r="C976" s="35"/>
      <c r="D976" s="35"/>
      <c r="I976" s="35"/>
      <c r="J976" s="35"/>
      <c r="K976" s="35"/>
      <c r="L976" s="35"/>
      <c r="M976" s="35"/>
      <c r="N976" s="35"/>
      <c r="O976" s="35"/>
      <c r="P976" s="35"/>
      <c r="Q976" s="35"/>
      <c r="S976" s="34"/>
      <c r="T976" s="36"/>
    </row>
    <row r="977" spans="1:20" ht="15.75" customHeight="1">
      <c r="A977" s="35"/>
      <c r="B977" s="35"/>
      <c r="C977" s="35"/>
      <c r="D977" s="35"/>
      <c r="I977" s="35"/>
      <c r="J977" s="35"/>
      <c r="K977" s="35"/>
      <c r="L977" s="35"/>
      <c r="M977" s="35"/>
      <c r="N977" s="35"/>
      <c r="O977" s="35"/>
      <c r="P977" s="35"/>
      <c r="Q977" s="35"/>
      <c r="S977" s="34"/>
      <c r="T977" s="36"/>
    </row>
    <row r="978" spans="1:20" ht="15.75" customHeight="1">
      <c r="A978" s="35"/>
      <c r="B978" s="35"/>
      <c r="C978" s="35"/>
      <c r="D978" s="35"/>
      <c r="I978" s="35"/>
      <c r="J978" s="35"/>
      <c r="K978" s="35"/>
      <c r="L978" s="35"/>
      <c r="M978" s="35"/>
      <c r="N978" s="35"/>
      <c r="O978" s="35"/>
      <c r="P978" s="35"/>
      <c r="Q978" s="35"/>
      <c r="S978" s="34"/>
      <c r="T978" s="36"/>
    </row>
    <row r="979" spans="1:20" ht="15.75" customHeight="1">
      <c r="A979" s="35"/>
      <c r="B979" s="35"/>
      <c r="C979" s="35"/>
      <c r="D979" s="35"/>
      <c r="I979" s="35"/>
      <c r="J979" s="35"/>
      <c r="K979" s="35"/>
      <c r="L979" s="35"/>
      <c r="M979" s="35"/>
      <c r="N979" s="35"/>
      <c r="O979" s="35"/>
      <c r="P979" s="35"/>
      <c r="Q979" s="35"/>
      <c r="S979" s="34"/>
      <c r="T979" s="36"/>
    </row>
    <row r="980" spans="1:20" ht="15.75" customHeight="1">
      <c r="A980" s="35"/>
      <c r="B980" s="35"/>
      <c r="C980" s="35"/>
      <c r="D980" s="35"/>
      <c r="I980" s="35"/>
      <c r="J980" s="35"/>
      <c r="K980" s="35"/>
      <c r="L980" s="35"/>
      <c r="M980" s="35"/>
      <c r="N980" s="35"/>
      <c r="O980" s="35"/>
      <c r="P980" s="35"/>
      <c r="Q980" s="35"/>
      <c r="S980" s="34"/>
      <c r="T980" s="36"/>
    </row>
    <row r="981" spans="1:20" ht="15.75" customHeight="1">
      <c r="A981" s="35"/>
      <c r="B981" s="35"/>
      <c r="C981" s="35"/>
      <c r="D981" s="35"/>
      <c r="I981" s="35"/>
      <c r="J981" s="35"/>
      <c r="K981" s="35"/>
      <c r="L981" s="35"/>
      <c r="M981" s="35"/>
      <c r="N981" s="35"/>
      <c r="O981" s="35"/>
      <c r="P981" s="35"/>
      <c r="Q981" s="35"/>
      <c r="S981" s="34"/>
      <c r="T981" s="36"/>
    </row>
    <row r="982" spans="1:20" ht="15.75" customHeight="1">
      <c r="A982" s="35"/>
      <c r="B982" s="35"/>
      <c r="C982" s="35"/>
      <c r="D982" s="35"/>
      <c r="I982" s="35"/>
      <c r="J982" s="35"/>
      <c r="K982" s="35"/>
      <c r="L982" s="35"/>
      <c r="M982" s="35"/>
      <c r="N982" s="35"/>
      <c r="O982" s="35"/>
      <c r="P982" s="35"/>
      <c r="Q982" s="35"/>
      <c r="S982" s="34"/>
      <c r="T982" s="36"/>
    </row>
    <row r="983" spans="1:20" ht="15.75" customHeight="1">
      <c r="A983" s="35"/>
      <c r="B983" s="35"/>
      <c r="C983" s="35"/>
      <c r="D983" s="35"/>
      <c r="I983" s="35"/>
      <c r="J983" s="35"/>
      <c r="K983" s="35"/>
      <c r="L983" s="35"/>
      <c r="M983" s="35"/>
      <c r="N983" s="35"/>
      <c r="O983" s="35"/>
      <c r="P983" s="35"/>
      <c r="Q983" s="35"/>
      <c r="S983" s="34"/>
      <c r="T983" s="36"/>
    </row>
    <row r="984" spans="1:20" ht="15.75" customHeight="1">
      <c r="A984" s="35"/>
      <c r="B984" s="35"/>
      <c r="C984" s="35"/>
      <c r="D984" s="35"/>
      <c r="I984" s="35"/>
      <c r="J984" s="35"/>
      <c r="K984" s="35"/>
      <c r="L984" s="35"/>
      <c r="M984" s="35"/>
      <c r="N984" s="35"/>
      <c r="O984" s="35"/>
      <c r="P984" s="35"/>
      <c r="Q984" s="35"/>
      <c r="S984" s="34"/>
      <c r="T984" s="36"/>
    </row>
    <row r="985" spans="1:20" ht="15.75" customHeight="1">
      <c r="A985" s="35"/>
      <c r="B985" s="35"/>
      <c r="C985" s="35"/>
      <c r="D985" s="35"/>
      <c r="I985" s="35"/>
      <c r="J985" s="35"/>
      <c r="K985" s="35"/>
      <c r="L985" s="35"/>
      <c r="M985" s="35"/>
      <c r="N985" s="35"/>
      <c r="O985" s="35"/>
      <c r="P985" s="35"/>
      <c r="Q985" s="35"/>
      <c r="S985" s="34"/>
      <c r="T985" s="36"/>
    </row>
    <row r="986" spans="1:20" ht="15.75" customHeight="1">
      <c r="A986" s="35"/>
      <c r="B986" s="35"/>
      <c r="C986" s="35"/>
      <c r="D986" s="35"/>
      <c r="I986" s="35"/>
      <c r="J986" s="35"/>
      <c r="K986" s="35"/>
      <c r="L986" s="35"/>
      <c r="M986" s="35"/>
      <c r="N986" s="35"/>
      <c r="O986" s="35"/>
      <c r="P986" s="35"/>
      <c r="Q986" s="35"/>
      <c r="S986" s="34"/>
      <c r="T986" s="36"/>
    </row>
    <row r="987" spans="1:20" ht="15.75" customHeight="1">
      <c r="A987" s="35"/>
      <c r="B987" s="35"/>
      <c r="C987" s="35"/>
      <c r="D987" s="35"/>
      <c r="I987" s="35"/>
      <c r="J987" s="35"/>
      <c r="K987" s="35"/>
      <c r="L987" s="35"/>
      <c r="M987" s="35"/>
      <c r="N987" s="35"/>
      <c r="O987" s="35"/>
      <c r="P987" s="35"/>
      <c r="Q987" s="35"/>
      <c r="S987" s="34"/>
      <c r="T987" s="36"/>
    </row>
    <row r="988" spans="1:20" ht="15.75" customHeight="1">
      <c r="A988" s="35"/>
      <c r="B988" s="35"/>
      <c r="C988" s="35"/>
      <c r="D988" s="35"/>
      <c r="I988" s="35"/>
      <c r="J988" s="35"/>
      <c r="K988" s="35"/>
      <c r="L988" s="35"/>
      <c r="M988" s="35"/>
      <c r="N988" s="35"/>
      <c r="O988" s="35"/>
      <c r="P988" s="35"/>
      <c r="Q988" s="35"/>
      <c r="S988" s="34"/>
      <c r="T988" s="36"/>
    </row>
    <row r="989" spans="1:20" ht="15.75" customHeight="1">
      <c r="A989" s="35"/>
      <c r="B989" s="35"/>
      <c r="C989" s="35"/>
      <c r="D989" s="35"/>
      <c r="I989" s="35"/>
      <c r="J989" s="35"/>
      <c r="K989" s="35"/>
      <c r="L989" s="35"/>
      <c r="M989" s="35"/>
      <c r="N989" s="35"/>
      <c r="O989" s="35"/>
      <c r="P989" s="35"/>
      <c r="Q989" s="35"/>
      <c r="S989" s="34"/>
      <c r="T989" s="36"/>
    </row>
    <row r="990" spans="1:20" ht="15.75" customHeight="1">
      <c r="A990" s="35"/>
      <c r="B990" s="35"/>
      <c r="C990" s="35"/>
      <c r="D990" s="35"/>
      <c r="I990" s="35"/>
      <c r="J990" s="35"/>
      <c r="K990" s="35"/>
      <c r="L990" s="35"/>
      <c r="M990" s="35"/>
      <c r="N990" s="35"/>
      <c r="O990" s="35"/>
      <c r="P990" s="35"/>
      <c r="Q990" s="35"/>
      <c r="S990" s="34"/>
      <c r="T990" s="36"/>
    </row>
    <row r="991" spans="1:20" ht="15.75" customHeight="1">
      <c r="A991" s="35"/>
      <c r="B991" s="35"/>
      <c r="C991" s="35"/>
      <c r="D991" s="35"/>
      <c r="I991" s="35"/>
      <c r="J991" s="35"/>
      <c r="K991" s="35"/>
      <c r="L991" s="35"/>
      <c r="M991" s="35"/>
      <c r="N991" s="35"/>
      <c r="O991" s="35"/>
      <c r="P991" s="35"/>
      <c r="Q991" s="35"/>
      <c r="S991" s="34"/>
      <c r="T991" s="36"/>
    </row>
    <row r="992" spans="1:20" ht="15.75" customHeight="1">
      <c r="A992" s="35"/>
      <c r="B992" s="35"/>
      <c r="C992" s="35"/>
      <c r="D992" s="35"/>
      <c r="I992" s="35"/>
      <c r="J992" s="35"/>
      <c r="K992" s="35"/>
      <c r="L992" s="35"/>
      <c r="M992" s="35"/>
      <c r="N992" s="35"/>
      <c r="O992" s="35"/>
      <c r="P992" s="35"/>
      <c r="Q992" s="35"/>
      <c r="S992" s="34"/>
      <c r="T992" s="36"/>
    </row>
    <row r="993" spans="1:20" ht="15.75" customHeight="1">
      <c r="A993" s="35"/>
      <c r="B993" s="35"/>
      <c r="C993" s="35"/>
      <c r="D993" s="35"/>
      <c r="I993" s="35"/>
      <c r="J993" s="35"/>
      <c r="K993" s="35"/>
      <c r="L993" s="35"/>
      <c r="M993" s="35"/>
      <c r="N993" s="35"/>
      <c r="O993" s="35"/>
      <c r="P993" s="35"/>
      <c r="Q993" s="35"/>
      <c r="S993" s="34"/>
      <c r="T993" s="36"/>
    </row>
    <row r="994" spans="1:20" ht="15.75" customHeight="1">
      <c r="A994" s="35"/>
      <c r="B994" s="35"/>
      <c r="C994" s="35"/>
      <c r="D994" s="35"/>
      <c r="I994" s="35"/>
      <c r="J994" s="35"/>
      <c r="K994" s="35"/>
      <c r="L994" s="35"/>
      <c r="M994" s="35"/>
      <c r="N994" s="35"/>
      <c r="O994" s="35"/>
      <c r="P994" s="35"/>
      <c r="Q994" s="35"/>
      <c r="S994" s="34"/>
      <c r="T994" s="36"/>
    </row>
    <row r="995" spans="1:20" ht="15.75" customHeight="1">
      <c r="A995" s="35"/>
      <c r="B995" s="35"/>
      <c r="C995" s="35"/>
      <c r="D995" s="35"/>
      <c r="I995" s="35"/>
      <c r="J995" s="35"/>
      <c r="K995" s="35"/>
      <c r="L995" s="35"/>
      <c r="M995" s="35"/>
      <c r="N995" s="35"/>
      <c r="O995" s="35"/>
      <c r="P995" s="35"/>
      <c r="Q995" s="35"/>
      <c r="S995" s="34"/>
      <c r="T995" s="36"/>
    </row>
    <row r="996" spans="1:20" ht="15.75" customHeight="1">
      <c r="A996" s="35"/>
      <c r="B996" s="35"/>
      <c r="C996" s="35"/>
      <c r="D996" s="35"/>
      <c r="I996" s="35"/>
      <c r="J996" s="35"/>
      <c r="K996" s="35"/>
      <c r="L996" s="35"/>
      <c r="M996" s="35"/>
      <c r="N996" s="35"/>
      <c r="O996" s="35"/>
      <c r="P996" s="35"/>
      <c r="Q996" s="35"/>
      <c r="S996" s="34"/>
      <c r="T996" s="36"/>
    </row>
    <row r="997" spans="1:20" ht="15.75" customHeight="1">
      <c r="A997" s="35"/>
      <c r="B997" s="35"/>
      <c r="C997" s="35"/>
      <c r="D997" s="35"/>
      <c r="I997" s="35"/>
      <c r="J997" s="35"/>
      <c r="K997" s="35"/>
      <c r="L997" s="35"/>
      <c r="M997" s="35"/>
      <c r="N997" s="35"/>
      <c r="O997" s="35"/>
      <c r="P997" s="35"/>
      <c r="Q997" s="35"/>
      <c r="S997" s="34"/>
      <c r="T997" s="36"/>
    </row>
    <row r="998" spans="1:20" ht="15.75" customHeight="1">
      <c r="A998" s="35"/>
      <c r="B998" s="35"/>
      <c r="C998" s="35"/>
      <c r="D998" s="35"/>
      <c r="I998" s="35"/>
      <c r="J998" s="35"/>
      <c r="K998" s="35"/>
      <c r="L998" s="35"/>
      <c r="M998" s="35"/>
      <c r="N998" s="35"/>
      <c r="O998" s="35"/>
      <c r="P998" s="35"/>
      <c r="Q998" s="35"/>
      <c r="S998" s="34"/>
      <c r="T998" s="36"/>
    </row>
    <row r="999" spans="1:20" ht="15.75" customHeight="1">
      <c r="A999" s="35"/>
      <c r="B999" s="35"/>
      <c r="C999" s="35"/>
      <c r="D999" s="35"/>
      <c r="I999" s="35"/>
      <c r="J999" s="35"/>
      <c r="K999" s="35"/>
      <c r="L999" s="35"/>
      <c r="M999" s="35"/>
      <c r="N999" s="35"/>
      <c r="O999" s="35"/>
      <c r="P999" s="35"/>
      <c r="Q999" s="35"/>
      <c r="S999" s="34"/>
      <c r="T999" s="36"/>
    </row>
    <row r="1000" spans="1:20" ht="15.75" customHeight="1">
      <c r="A1000" s="39"/>
      <c r="B1000" s="39"/>
      <c r="C1000" s="39"/>
      <c r="D1000" s="39"/>
      <c r="S1000" s="34"/>
      <c r="T1000" s="36"/>
    </row>
    <row r="1001" spans="1:20" ht="15.75" customHeight="1">
      <c r="A1001" s="39"/>
      <c r="B1001" s="39"/>
      <c r="C1001" s="39"/>
      <c r="D1001" s="39"/>
      <c r="S1001" s="34"/>
      <c r="T1001" s="36"/>
    </row>
    <row r="1002" spans="1:20" ht="15.75" customHeight="1">
      <c r="A1002" s="39"/>
      <c r="B1002" s="39"/>
      <c r="C1002" s="39"/>
      <c r="D1002" s="39"/>
      <c r="S1002" s="34"/>
      <c r="T1002" s="36"/>
    </row>
    <row r="1003" spans="1:20" ht="15.75" customHeight="1">
      <c r="A1003" s="39"/>
      <c r="B1003" s="39"/>
      <c r="C1003" s="39"/>
      <c r="D1003" s="39"/>
      <c r="S1003" s="34"/>
      <c r="T1003" s="36"/>
    </row>
    <row r="1004" spans="1:20" ht="15.75" customHeight="1">
      <c r="A1004" s="39"/>
      <c r="B1004" s="39"/>
      <c r="C1004" s="39"/>
      <c r="D1004" s="39"/>
      <c r="S1004" s="34"/>
      <c r="T1004" s="36"/>
    </row>
    <row r="1005" spans="1:20" ht="15.75" customHeight="1">
      <c r="A1005" s="39"/>
      <c r="B1005" s="39"/>
      <c r="C1005" s="39"/>
      <c r="D1005" s="39"/>
      <c r="S1005" s="34"/>
      <c r="T1005" s="36"/>
    </row>
    <row r="1006" spans="1:20" ht="15.75" customHeight="1">
      <c r="A1006" s="39"/>
      <c r="B1006" s="39"/>
      <c r="C1006" s="39"/>
      <c r="D1006" s="39"/>
      <c r="S1006" s="34"/>
      <c r="T1006" s="36"/>
    </row>
    <row r="1007" spans="1:20" ht="15.75" customHeight="1">
      <c r="A1007" s="39"/>
      <c r="B1007" s="39"/>
      <c r="C1007" s="39"/>
      <c r="D1007" s="39"/>
      <c r="S1007" s="34"/>
      <c r="T1007" s="36"/>
    </row>
    <row r="1008" spans="1:20" ht="15.75" customHeight="1">
      <c r="A1008" s="39"/>
      <c r="B1008" s="39"/>
      <c r="C1008" s="39"/>
      <c r="D1008" s="39"/>
      <c r="S1008" s="34"/>
      <c r="T1008" s="36"/>
    </row>
    <row r="1009" spans="1:20" ht="15.75" customHeight="1">
      <c r="A1009" s="39"/>
      <c r="B1009" s="39"/>
      <c r="C1009" s="39"/>
      <c r="D1009" s="39"/>
      <c r="S1009" s="34"/>
      <c r="T1009" s="36"/>
    </row>
    <row r="1010" spans="1:20" ht="15.75" customHeight="1">
      <c r="A1010" s="39"/>
      <c r="B1010" s="39"/>
      <c r="C1010" s="39"/>
      <c r="D1010" s="39"/>
      <c r="S1010" s="34"/>
      <c r="T1010" s="36"/>
    </row>
    <row r="1011" spans="1:20" ht="15.75" customHeight="1">
      <c r="A1011" s="39"/>
      <c r="B1011" s="39"/>
      <c r="C1011" s="39"/>
      <c r="D1011" s="39"/>
      <c r="S1011" s="34"/>
      <c r="T1011" s="36"/>
    </row>
    <row r="1012" spans="1:20" ht="15.75" customHeight="1">
      <c r="A1012" s="39"/>
      <c r="B1012" s="39"/>
      <c r="C1012" s="39"/>
      <c r="D1012" s="39"/>
      <c r="S1012" s="34"/>
      <c r="T1012" s="36"/>
    </row>
    <row r="1013" spans="1:20" ht="15.75" customHeight="1">
      <c r="A1013" s="39"/>
      <c r="B1013" s="39"/>
      <c r="C1013" s="39"/>
      <c r="D1013" s="39"/>
      <c r="S1013" s="34"/>
      <c r="T1013" s="36"/>
    </row>
    <row r="1014" spans="1:20" ht="15.75" customHeight="1">
      <c r="A1014" s="39"/>
      <c r="B1014" s="39"/>
      <c r="C1014" s="39"/>
      <c r="D1014" s="39"/>
      <c r="S1014" s="34"/>
      <c r="T1014" s="36"/>
    </row>
    <row r="1015" spans="1:20" ht="15.75" customHeight="1">
      <c r="A1015" s="39"/>
      <c r="B1015" s="39"/>
      <c r="C1015" s="39"/>
      <c r="D1015" s="39"/>
      <c r="S1015" s="34"/>
      <c r="T1015" s="36"/>
    </row>
    <row r="1016" spans="1:20" ht="15.75" customHeight="1">
      <c r="A1016" s="39"/>
      <c r="B1016" s="39"/>
      <c r="C1016" s="39"/>
      <c r="D1016" s="39"/>
      <c r="S1016" s="34"/>
      <c r="T1016" s="36"/>
    </row>
    <row r="1017" spans="1:20" ht="15.75" customHeight="1">
      <c r="A1017" s="39"/>
      <c r="B1017" s="39"/>
      <c r="C1017" s="39"/>
      <c r="D1017" s="39"/>
      <c r="S1017" s="34"/>
      <c r="T1017" s="36"/>
    </row>
    <row r="1018" spans="1:20" ht="15.75" customHeight="1">
      <c r="A1018" s="39"/>
      <c r="B1018" s="39"/>
      <c r="C1018" s="39"/>
      <c r="D1018" s="39"/>
      <c r="S1018" s="34"/>
      <c r="T1018" s="36"/>
    </row>
    <row r="1019" spans="1:20" ht="15.75" customHeight="1">
      <c r="A1019" s="39"/>
      <c r="B1019" s="39"/>
      <c r="C1019" s="39"/>
      <c r="D1019" s="39"/>
      <c r="S1019" s="34"/>
      <c r="T1019" s="36"/>
    </row>
    <row r="1020" spans="1:20" ht="15.75" customHeight="1">
      <c r="A1020" s="39"/>
      <c r="B1020" s="39"/>
      <c r="C1020" s="39"/>
      <c r="D1020" s="39"/>
      <c r="S1020" s="34"/>
      <c r="T1020" s="36"/>
    </row>
    <row r="1021" spans="1:20" ht="15.75" customHeight="1">
      <c r="A1021" s="39"/>
      <c r="B1021" s="39"/>
      <c r="C1021" s="39"/>
      <c r="D1021" s="39"/>
      <c r="S1021" s="34"/>
      <c r="T1021" s="36"/>
    </row>
    <row r="1022" spans="1:20" ht="15.75" customHeight="1">
      <c r="A1022" s="39"/>
      <c r="B1022" s="39"/>
      <c r="C1022" s="39"/>
      <c r="D1022" s="39"/>
      <c r="S1022" s="34"/>
      <c r="T1022" s="36"/>
    </row>
    <row r="1023" spans="1:20" ht="15.75" customHeight="1">
      <c r="A1023" s="39"/>
      <c r="B1023" s="39"/>
      <c r="C1023" s="39"/>
      <c r="D1023" s="39"/>
      <c r="S1023" s="34"/>
      <c r="T1023" s="36"/>
    </row>
    <row r="1024" spans="1:20" ht="15.75" customHeight="1">
      <c r="A1024" s="39"/>
      <c r="B1024" s="39"/>
      <c r="C1024" s="39"/>
      <c r="D1024" s="39"/>
      <c r="S1024" s="34"/>
      <c r="T1024" s="36"/>
    </row>
    <row r="1025" spans="1:20" ht="15.75" customHeight="1">
      <c r="A1025" s="39"/>
      <c r="B1025" s="39"/>
      <c r="C1025" s="39"/>
      <c r="D1025" s="39"/>
      <c r="S1025" s="34"/>
      <c r="T1025" s="36"/>
    </row>
    <row r="1026" spans="1:20" ht="15.75" customHeight="1">
      <c r="A1026" s="39"/>
      <c r="B1026" s="39"/>
      <c r="C1026" s="39"/>
      <c r="D1026" s="39"/>
      <c r="S1026" s="34"/>
      <c r="T1026" s="36"/>
    </row>
    <row r="1027" spans="1:20" ht="15.75" customHeight="1">
      <c r="A1027" s="39"/>
      <c r="B1027" s="39"/>
      <c r="C1027" s="39"/>
      <c r="D1027" s="39"/>
      <c r="S1027" s="34"/>
      <c r="T1027" s="36"/>
    </row>
    <row r="1028" spans="1:20" ht="15.75" customHeight="1">
      <c r="A1028" s="39"/>
      <c r="B1028" s="39"/>
      <c r="C1028" s="39"/>
      <c r="D1028" s="39"/>
      <c r="S1028" s="34"/>
      <c r="T1028" s="36"/>
    </row>
    <row r="1029" spans="1:20" ht="15.75" customHeight="1">
      <c r="A1029" s="39"/>
      <c r="B1029" s="39"/>
      <c r="C1029" s="39"/>
      <c r="D1029" s="39"/>
      <c r="S1029" s="34"/>
      <c r="T1029" s="36"/>
    </row>
    <row r="1030" spans="1:20" ht="15.75" customHeight="1">
      <c r="A1030" s="39"/>
      <c r="B1030" s="39"/>
      <c r="C1030" s="39"/>
      <c r="D1030" s="39"/>
      <c r="S1030" s="34"/>
      <c r="T1030" s="36"/>
    </row>
    <row r="1031" spans="1:20" ht="15.75" customHeight="1">
      <c r="A1031" s="39"/>
      <c r="B1031" s="39"/>
      <c r="C1031" s="39"/>
      <c r="D1031" s="39"/>
      <c r="S1031" s="34"/>
      <c r="T1031" s="36"/>
    </row>
    <row r="1032" spans="1:20" ht="15.75" customHeight="1">
      <c r="A1032" s="39"/>
      <c r="B1032" s="39"/>
      <c r="C1032" s="39"/>
      <c r="D1032" s="39"/>
      <c r="S1032" s="34"/>
      <c r="T1032" s="36"/>
    </row>
    <row r="1033" spans="1:20" ht="15.75" customHeight="1">
      <c r="A1033" s="39"/>
      <c r="B1033" s="39"/>
      <c r="C1033" s="39"/>
      <c r="D1033" s="39"/>
      <c r="S1033" s="34"/>
      <c r="T1033" s="36"/>
    </row>
    <row r="1034" spans="1:20" ht="15.75" customHeight="1">
      <c r="A1034" s="39"/>
      <c r="B1034" s="39"/>
      <c r="C1034" s="39"/>
      <c r="D1034" s="39"/>
      <c r="S1034" s="34"/>
      <c r="T1034" s="36"/>
    </row>
    <row r="1035" spans="1:20" ht="15.75" customHeight="1">
      <c r="A1035" s="39"/>
      <c r="B1035" s="39"/>
      <c r="C1035" s="39"/>
      <c r="D1035" s="39"/>
      <c r="S1035" s="34"/>
      <c r="T1035" s="36"/>
    </row>
    <row r="1036" spans="1:20" ht="15.75" customHeight="1">
      <c r="A1036" s="39"/>
      <c r="B1036" s="39"/>
      <c r="C1036" s="39"/>
      <c r="D1036" s="39"/>
      <c r="S1036" s="34"/>
      <c r="T1036" s="36"/>
    </row>
    <row r="1037" spans="1:20" ht="15.75" customHeight="1">
      <c r="A1037" s="39"/>
      <c r="B1037" s="39"/>
      <c r="C1037" s="39"/>
      <c r="D1037" s="39"/>
      <c r="S1037" s="34"/>
      <c r="T1037" s="36"/>
    </row>
    <row r="1038" spans="1:20" ht="15.75" customHeight="1">
      <c r="A1038" s="39"/>
      <c r="B1038" s="39"/>
      <c r="C1038" s="39"/>
      <c r="D1038" s="39"/>
      <c r="S1038" s="34"/>
      <c r="T1038" s="36"/>
    </row>
    <row r="1039" spans="1:20" ht="15.75" customHeight="1">
      <c r="A1039" s="39"/>
      <c r="B1039" s="39"/>
      <c r="C1039" s="39"/>
      <c r="D1039" s="39"/>
      <c r="S1039" s="34"/>
      <c r="T1039" s="36"/>
    </row>
    <row r="1040" spans="1:20" ht="15.75" customHeight="1">
      <c r="A1040" s="39"/>
      <c r="B1040" s="39"/>
      <c r="C1040" s="39"/>
      <c r="D1040" s="39"/>
      <c r="S1040" s="34"/>
      <c r="T1040" s="36"/>
    </row>
    <row r="1041" spans="1:20" ht="15.75" customHeight="1">
      <c r="A1041" s="39"/>
      <c r="B1041" s="39"/>
      <c r="C1041" s="39"/>
      <c r="D1041" s="39"/>
      <c r="S1041" s="34"/>
      <c r="T1041" s="36"/>
    </row>
    <row r="1042" spans="1:20" ht="15.75" customHeight="1">
      <c r="A1042" s="39"/>
      <c r="B1042" s="39"/>
      <c r="C1042" s="39"/>
      <c r="D1042" s="39"/>
      <c r="S1042" s="34"/>
      <c r="T1042" s="36"/>
    </row>
    <row r="1043" spans="1:20" ht="15.75" customHeight="1">
      <c r="A1043" s="39"/>
      <c r="B1043" s="39"/>
      <c r="C1043" s="39"/>
      <c r="D1043" s="39"/>
      <c r="S1043" s="34"/>
      <c r="T1043" s="36"/>
    </row>
    <row r="1044" spans="1:20" ht="15.75" customHeight="1">
      <c r="A1044" s="39"/>
      <c r="B1044" s="39"/>
      <c r="C1044" s="39"/>
      <c r="D1044" s="39"/>
      <c r="S1044" s="34"/>
      <c r="T1044" s="36"/>
    </row>
    <row r="1045" spans="1:20" ht="15.75" customHeight="1">
      <c r="A1045" s="39"/>
      <c r="B1045" s="39"/>
      <c r="C1045" s="39"/>
      <c r="D1045" s="39"/>
      <c r="S1045" s="34"/>
      <c r="T1045" s="36"/>
    </row>
    <row r="1046" spans="1:20" ht="15.75" customHeight="1">
      <c r="A1046" s="39"/>
      <c r="B1046" s="39"/>
      <c r="C1046" s="39"/>
      <c r="D1046" s="39"/>
      <c r="S1046" s="34"/>
      <c r="T1046" s="36"/>
    </row>
    <row r="1047" spans="1:20" ht="15.75" customHeight="1">
      <c r="A1047" s="39"/>
      <c r="B1047" s="39"/>
      <c r="C1047" s="39"/>
      <c r="D1047" s="39"/>
      <c r="S1047" s="34"/>
      <c r="T1047" s="36"/>
    </row>
    <row r="1048" spans="1:20" ht="15.75" customHeight="1">
      <c r="A1048" s="39"/>
      <c r="B1048" s="39"/>
      <c r="C1048" s="39"/>
      <c r="D1048" s="39"/>
      <c r="S1048" s="34"/>
      <c r="T1048" s="36"/>
    </row>
    <row r="1049" spans="1:20" ht="15.75" customHeight="1">
      <c r="A1049" s="39"/>
      <c r="B1049" s="39"/>
      <c r="C1049" s="39"/>
      <c r="D1049" s="39"/>
      <c r="S1049" s="34"/>
      <c r="T1049" s="36"/>
    </row>
    <row r="1050" spans="1:20" ht="15.75" customHeight="1">
      <c r="A1050" s="39"/>
      <c r="B1050" s="39"/>
      <c r="C1050" s="39"/>
      <c r="D1050" s="39"/>
      <c r="S1050" s="34"/>
      <c r="T1050" s="36"/>
    </row>
    <row r="1051" spans="1:20" ht="15.75" customHeight="1">
      <c r="A1051" s="39"/>
      <c r="B1051" s="39"/>
      <c r="C1051" s="39"/>
      <c r="D1051" s="39"/>
      <c r="S1051" s="34"/>
      <c r="T1051" s="36"/>
    </row>
    <row r="1052" spans="1:20" ht="15.75" customHeight="1">
      <c r="A1052" s="39"/>
      <c r="B1052" s="39"/>
      <c r="C1052" s="39"/>
      <c r="D1052" s="39"/>
      <c r="S1052" s="34"/>
      <c r="T1052" s="36"/>
    </row>
    <row r="1053" spans="1:20" ht="15.75" customHeight="1">
      <c r="A1053" s="39"/>
      <c r="B1053" s="39"/>
      <c r="C1053" s="39"/>
      <c r="D1053" s="39"/>
      <c r="S1053" s="34"/>
      <c r="T1053" s="36"/>
    </row>
    <row r="1054" spans="1:20" ht="15.75" customHeight="1">
      <c r="A1054" s="39"/>
      <c r="B1054" s="39"/>
      <c r="C1054" s="39"/>
      <c r="D1054" s="39"/>
      <c r="S1054" s="34"/>
      <c r="T1054" s="36"/>
    </row>
    <row r="1055" spans="1:20" ht="15.75" customHeight="1">
      <c r="A1055" s="39"/>
      <c r="B1055" s="39"/>
      <c r="C1055" s="39"/>
      <c r="D1055" s="39"/>
      <c r="S1055" s="34"/>
      <c r="T1055" s="36"/>
    </row>
    <row r="1056" spans="1:20" ht="15.75" customHeight="1">
      <c r="A1056" s="39"/>
      <c r="B1056" s="39"/>
      <c r="C1056" s="39"/>
      <c r="D1056" s="39"/>
      <c r="S1056" s="34"/>
      <c r="T1056" s="36"/>
    </row>
    <row r="1057" spans="1:20" ht="15.75" customHeight="1">
      <c r="A1057" s="39"/>
      <c r="B1057" s="39"/>
      <c r="C1057" s="39"/>
      <c r="D1057" s="39"/>
      <c r="S1057" s="34"/>
      <c r="T1057" s="36"/>
    </row>
    <row r="1058" spans="1:20" ht="15.75" customHeight="1">
      <c r="A1058" s="39"/>
      <c r="B1058" s="39"/>
      <c r="C1058" s="39"/>
      <c r="D1058" s="39"/>
      <c r="S1058" s="34"/>
      <c r="T1058" s="36"/>
    </row>
    <row r="1059" spans="1:20" ht="15.75" customHeight="1">
      <c r="A1059" s="39"/>
      <c r="B1059" s="39"/>
      <c r="C1059" s="39"/>
      <c r="D1059" s="39"/>
      <c r="S1059" s="34"/>
      <c r="T1059" s="36"/>
    </row>
    <row r="1060" spans="1:20" ht="15.75" customHeight="1">
      <c r="A1060" s="39"/>
      <c r="B1060" s="39"/>
      <c r="C1060" s="39"/>
      <c r="D1060" s="39"/>
      <c r="S1060" s="34"/>
      <c r="T1060" s="36"/>
    </row>
    <row r="1061" spans="1:20" ht="15.75" customHeight="1">
      <c r="A1061" s="39"/>
      <c r="B1061" s="39"/>
      <c r="C1061" s="39"/>
      <c r="D1061" s="39"/>
      <c r="S1061" s="34"/>
      <c r="T1061" s="36"/>
    </row>
    <row r="1062" spans="1:20" ht="15.75" customHeight="1">
      <c r="A1062" s="39"/>
      <c r="B1062" s="39"/>
      <c r="C1062" s="39"/>
      <c r="D1062" s="39"/>
      <c r="S1062" s="34"/>
      <c r="T1062" s="36"/>
    </row>
    <row r="1063" spans="1:20" ht="15.75" customHeight="1">
      <c r="A1063" s="39"/>
      <c r="B1063" s="39"/>
      <c r="C1063" s="39"/>
      <c r="D1063" s="39"/>
      <c r="S1063" s="34"/>
      <c r="T1063" s="36"/>
    </row>
    <row r="1064" spans="1:20" ht="15.75" customHeight="1">
      <c r="A1064" s="39"/>
      <c r="B1064" s="39"/>
      <c r="C1064" s="39"/>
      <c r="D1064" s="39"/>
      <c r="S1064" s="34"/>
      <c r="T1064" s="36"/>
    </row>
    <row r="1065" spans="1:20" ht="15.75" customHeight="1">
      <c r="A1065" s="39"/>
      <c r="B1065" s="39"/>
      <c r="C1065" s="39"/>
      <c r="D1065" s="39"/>
      <c r="S1065" s="34"/>
      <c r="T1065" s="36"/>
    </row>
    <row r="1066" spans="1:20" ht="15.75" customHeight="1">
      <c r="A1066" s="39"/>
      <c r="B1066" s="39"/>
      <c r="C1066" s="39"/>
      <c r="D1066" s="39"/>
      <c r="S1066" s="34"/>
      <c r="T1066" s="36"/>
    </row>
    <row r="1067" spans="1:20" ht="15.75" customHeight="1">
      <c r="A1067" s="39"/>
      <c r="B1067" s="39"/>
      <c r="C1067" s="39"/>
      <c r="D1067" s="39"/>
      <c r="S1067" s="34"/>
      <c r="T1067" s="36"/>
    </row>
    <row r="1068" spans="1:20" ht="15.75" customHeight="1">
      <c r="A1068" s="39"/>
      <c r="B1068" s="39"/>
      <c r="C1068" s="39"/>
      <c r="D1068" s="39"/>
      <c r="S1068" s="34"/>
      <c r="T1068" s="36"/>
    </row>
    <row r="1069" spans="1:20" ht="15.75" customHeight="1">
      <c r="A1069" s="39"/>
      <c r="B1069" s="39"/>
      <c r="C1069" s="39"/>
      <c r="D1069" s="39"/>
      <c r="S1069" s="34"/>
      <c r="T1069" s="36"/>
    </row>
    <row r="1070" spans="1:20" ht="15.75" customHeight="1">
      <c r="A1070" s="39"/>
      <c r="B1070" s="39"/>
      <c r="C1070" s="39"/>
      <c r="D1070" s="39"/>
      <c r="S1070" s="34"/>
      <c r="T1070" s="36"/>
    </row>
    <row r="1071" spans="1:20" ht="15.75" customHeight="1">
      <c r="A1071" s="39"/>
      <c r="B1071" s="39"/>
      <c r="C1071" s="39"/>
      <c r="D1071" s="39"/>
      <c r="S1071" s="34"/>
      <c r="T1071" s="36"/>
    </row>
    <row r="1072" spans="1:20" ht="15.75" customHeight="1">
      <c r="A1072" s="39"/>
      <c r="B1072" s="39"/>
      <c r="C1072" s="39"/>
      <c r="D1072" s="39"/>
      <c r="S1072" s="34"/>
      <c r="T1072" s="36"/>
    </row>
    <row r="1073" spans="1:20" ht="15.75" customHeight="1">
      <c r="A1073" s="39"/>
      <c r="B1073" s="39"/>
      <c r="C1073" s="39"/>
      <c r="D1073" s="39"/>
      <c r="S1073" s="34"/>
      <c r="T1073" s="36"/>
    </row>
    <row r="1074" spans="1:20" ht="15.75" customHeight="1">
      <c r="A1074" s="39"/>
      <c r="B1074" s="39"/>
      <c r="C1074" s="39"/>
      <c r="D1074" s="39"/>
      <c r="S1074" s="34"/>
      <c r="T1074" s="36"/>
    </row>
    <row r="1075" spans="1:20" ht="15.75" customHeight="1">
      <c r="A1075" s="39"/>
      <c r="B1075" s="39"/>
      <c r="C1075" s="39"/>
      <c r="D1075" s="39"/>
      <c r="S1075" s="34"/>
      <c r="T1075" s="36"/>
    </row>
    <row r="1076" spans="1:20" ht="15.75" customHeight="1">
      <c r="A1076" s="39"/>
      <c r="B1076" s="39"/>
      <c r="C1076" s="39"/>
      <c r="D1076" s="39"/>
      <c r="S1076" s="34"/>
      <c r="T1076" s="36"/>
    </row>
    <row r="1077" spans="1:20" ht="15.75" customHeight="1">
      <c r="A1077" s="39"/>
      <c r="B1077" s="39"/>
      <c r="C1077" s="39"/>
      <c r="D1077" s="39"/>
      <c r="S1077" s="34"/>
      <c r="T1077" s="36"/>
    </row>
    <row r="1078" spans="1:20" ht="15.75" customHeight="1">
      <c r="A1078" s="39"/>
      <c r="B1078" s="39"/>
      <c r="C1078" s="39"/>
      <c r="D1078" s="39"/>
      <c r="S1078" s="34"/>
      <c r="T1078" s="36"/>
    </row>
    <row r="1079" spans="1:20" ht="15.75" customHeight="1">
      <c r="A1079" s="39"/>
      <c r="B1079" s="39"/>
      <c r="C1079" s="39"/>
      <c r="D1079" s="39"/>
      <c r="S1079" s="34"/>
      <c r="T1079" s="36"/>
    </row>
    <row r="1080" spans="1:20" ht="15.75" customHeight="1">
      <c r="A1080" s="39"/>
      <c r="B1080" s="39"/>
      <c r="C1080" s="39"/>
      <c r="D1080" s="39"/>
      <c r="S1080" s="34"/>
      <c r="T1080" s="36"/>
    </row>
    <row r="1081" spans="1:20" ht="15.75" customHeight="1">
      <c r="A1081" s="39"/>
      <c r="B1081" s="39"/>
      <c r="C1081" s="39"/>
      <c r="D1081" s="39"/>
      <c r="S1081" s="34"/>
      <c r="T1081" s="36"/>
    </row>
    <row r="1082" spans="1:20" ht="15.75" customHeight="1">
      <c r="A1082" s="39"/>
      <c r="B1082" s="39"/>
      <c r="C1082" s="39"/>
      <c r="D1082" s="39"/>
      <c r="S1082" s="34"/>
      <c r="T1082" s="36"/>
    </row>
    <row r="1083" spans="1:20" ht="15.75" customHeight="1">
      <c r="A1083" s="39"/>
      <c r="B1083" s="39"/>
      <c r="C1083" s="39"/>
      <c r="D1083" s="39"/>
      <c r="S1083" s="34"/>
      <c r="T1083" s="36"/>
    </row>
    <row r="1084" spans="1:20" ht="15.75" customHeight="1">
      <c r="A1084" s="39"/>
      <c r="B1084" s="39"/>
      <c r="C1084" s="39"/>
      <c r="D1084" s="39"/>
      <c r="S1084" s="34"/>
      <c r="T1084" s="36"/>
    </row>
    <row r="1085" spans="1:20" ht="15.75" customHeight="1">
      <c r="A1085" s="39"/>
      <c r="B1085" s="39"/>
      <c r="C1085" s="39"/>
      <c r="D1085" s="39"/>
      <c r="S1085" s="34"/>
      <c r="T1085" s="36"/>
    </row>
    <row r="1086" spans="1:20" ht="15.75" customHeight="1">
      <c r="A1086" s="39"/>
      <c r="B1086" s="39"/>
      <c r="C1086" s="39"/>
      <c r="D1086" s="39"/>
      <c r="S1086" s="34"/>
      <c r="T1086" s="36"/>
    </row>
    <row r="1087" spans="1:20" ht="15.75" customHeight="1">
      <c r="A1087" s="39"/>
      <c r="B1087" s="39"/>
      <c r="C1087" s="39"/>
      <c r="D1087" s="39"/>
      <c r="S1087" s="34"/>
      <c r="T1087" s="36"/>
    </row>
    <row r="1088" spans="1:20" ht="15.75" customHeight="1">
      <c r="A1088" s="39"/>
      <c r="B1088" s="39"/>
      <c r="C1088" s="39"/>
      <c r="D1088" s="39"/>
      <c r="S1088" s="34"/>
      <c r="T1088" s="36"/>
    </row>
    <row r="1089" spans="1:20" ht="15.75" customHeight="1">
      <c r="A1089" s="39"/>
      <c r="B1089" s="39"/>
      <c r="C1089" s="39"/>
      <c r="D1089" s="39"/>
      <c r="S1089" s="34"/>
      <c r="T1089" s="36"/>
    </row>
    <row r="1090" spans="1:20" ht="15.75" customHeight="1">
      <c r="A1090" s="39"/>
      <c r="B1090" s="39"/>
      <c r="C1090" s="39"/>
      <c r="D1090" s="39"/>
      <c r="S1090" s="34"/>
      <c r="T1090" s="36"/>
    </row>
    <row r="1091" spans="1:20" ht="15.75" customHeight="1">
      <c r="A1091" s="39"/>
      <c r="B1091" s="39"/>
      <c r="C1091" s="39"/>
      <c r="D1091" s="39"/>
      <c r="S1091" s="34"/>
      <c r="T1091" s="36"/>
    </row>
    <row r="1092" spans="1:20" ht="15.75" customHeight="1">
      <c r="A1092" s="39"/>
      <c r="B1092" s="39"/>
      <c r="C1092" s="39"/>
      <c r="D1092" s="39"/>
      <c r="S1092" s="34"/>
      <c r="T1092" s="36"/>
    </row>
    <row r="1093" spans="1:20" ht="15.75" customHeight="1">
      <c r="A1093" s="39"/>
      <c r="B1093" s="39"/>
      <c r="C1093" s="39"/>
      <c r="D1093" s="39"/>
      <c r="S1093" s="34"/>
      <c r="T1093" s="36"/>
    </row>
    <row r="1094" spans="1:20" ht="15.75" customHeight="1">
      <c r="A1094" s="39"/>
      <c r="B1094" s="39"/>
      <c r="C1094" s="39"/>
      <c r="D1094" s="39"/>
      <c r="S1094" s="34"/>
      <c r="T1094" s="36"/>
    </row>
    <row r="1095" spans="1:20" ht="15.75" customHeight="1">
      <c r="A1095" s="39"/>
      <c r="B1095" s="39"/>
      <c r="C1095" s="39"/>
      <c r="D1095" s="39"/>
      <c r="S1095" s="34"/>
      <c r="T1095" s="36"/>
    </row>
    <row r="1096" spans="1:20" ht="15.75" customHeight="1">
      <c r="A1096" s="39"/>
      <c r="B1096" s="39"/>
      <c r="C1096" s="39"/>
      <c r="D1096" s="39"/>
      <c r="S1096" s="34"/>
      <c r="T1096" s="36"/>
    </row>
    <row r="1097" spans="1:20" ht="15.75" customHeight="1">
      <c r="A1097" s="39"/>
      <c r="B1097" s="39"/>
      <c r="C1097" s="39"/>
      <c r="D1097" s="39"/>
      <c r="S1097" s="34"/>
      <c r="T1097" s="36"/>
    </row>
    <row r="1098" spans="1:20" ht="15.75" customHeight="1">
      <c r="A1098" s="39"/>
      <c r="B1098" s="39"/>
      <c r="C1098" s="39"/>
      <c r="D1098" s="39"/>
      <c r="S1098" s="34"/>
      <c r="T1098" s="36"/>
    </row>
    <row r="1099" spans="1:20" ht="15.75" customHeight="1">
      <c r="A1099" s="39"/>
      <c r="B1099" s="39"/>
      <c r="C1099" s="39"/>
      <c r="D1099" s="39"/>
      <c r="S1099" s="34"/>
      <c r="T1099" s="36"/>
    </row>
    <row r="1100" spans="1:20" ht="15.75" customHeight="1">
      <c r="A1100" s="39"/>
      <c r="B1100" s="39"/>
      <c r="C1100" s="39"/>
      <c r="D1100" s="39"/>
      <c r="S1100" s="34"/>
      <c r="T1100" s="36"/>
    </row>
    <row r="1101" spans="1:20" ht="15.75" customHeight="1">
      <c r="A1101" s="39"/>
      <c r="B1101" s="39"/>
      <c r="C1101" s="39"/>
      <c r="D1101" s="39"/>
      <c r="S1101" s="34"/>
      <c r="T1101" s="36"/>
    </row>
    <row r="1102" spans="1:20" ht="15.75" customHeight="1">
      <c r="A1102" s="39"/>
      <c r="B1102" s="39"/>
      <c r="C1102" s="39"/>
      <c r="D1102" s="39"/>
      <c r="S1102" s="34"/>
      <c r="T1102" s="36"/>
    </row>
    <row r="1103" spans="1:20" ht="15.75" customHeight="1">
      <c r="A1103" s="39"/>
      <c r="B1103" s="39"/>
      <c r="C1103" s="39"/>
      <c r="D1103" s="39"/>
      <c r="S1103" s="34"/>
      <c r="T1103" s="36"/>
    </row>
    <row r="1104" spans="1:20" ht="15.75" customHeight="1">
      <c r="A1104" s="39"/>
      <c r="B1104" s="39"/>
      <c r="C1104" s="39"/>
      <c r="D1104" s="39"/>
      <c r="S1104" s="34"/>
      <c r="T1104" s="36"/>
    </row>
    <row r="1105" spans="1:20" ht="15.75" customHeight="1">
      <c r="A1105" s="39"/>
      <c r="B1105" s="39"/>
      <c r="C1105" s="39"/>
      <c r="D1105" s="39"/>
      <c r="S1105" s="34"/>
      <c r="T1105" s="36"/>
    </row>
    <row r="1106" spans="1:20" ht="15.75" customHeight="1">
      <c r="A1106" s="39"/>
      <c r="B1106" s="39"/>
      <c r="C1106" s="39"/>
      <c r="D1106" s="39"/>
      <c r="S1106" s="34"/>
      <c r="T1106" s="36"/>
    </row>
    <row r="1107" spans="1:20" ht="15.75" customHeight="1">
      <c r="A1107" s="39"/>
      <c r="B1107" s="39"/>
      <c r="C1107" s="39"/>
      <c r="D1107" s="39"/>
      <c r="S1107" s="34"/>
      <c r="T1107" s="36"/>
    </row>
    <row r="1108" spans="1:20" ht="15.75" customHeight="1">
      <c r="A1108" s="39"/>
      <c r="B1108" s="39"/>
      <c r="C1108" s="39"/>
      <c r="D1108" s="39"/>
      <c r="S1108" s="34"/>
      <c r="T1108" s="36"/>
    </row>
    <row r="1109" spans="1:20" ht="15.75" customHeight="1">
      <c r="A1109" s="39"/>
      <c r="B1109" s="39"/>
      <c r="C1109" s="39"/>
      <c r="D1109" s="39"/>
      <c r="S1109" s="34"/>
      <c r="T1109" s="36"/>
    </row>
    <row r="1110" spans="1:20" ht="15.75" customHeight="1">
      <c r="A1110" s="39"/>
      <c r="B1110" s="39"/>
      <c r="C1110" s="39"/>
      <c r="D1110" s="39"/>
      <c r="S1110" s="34"/>
      <c r="T1110" s="36"/>
    </row>
    <row r="1111" spans="1:20" ht="15.75" customHeight="1">
      <c r="A1111" s="39"/>
      <c r="B1111" s="39"/>
      <c r="C1111" s="39"/>
      <c r="D1111" s="39"/>
      <c r="S1111" s="34"/>
      <c r="T1111" s="36"/>
    </row>
    <row r="1112" spans="1:20" ht="15.75" customHeight="1">
      <c r="A1112" s="39"/>
      <c r="B1112" s="39"/>
      <c r="C1112" s="39"/>
      <c r="D1112" s="39"/>
      <c r="S1112" s="34"/>
      <c r="T1112" s="36"/>
    </row>
    <row r="1113" spans="1:20" ht="15.75" customHeight="1">
      <c r="A1113" s="39"/>
      <c r="B1113" s="39"/>
      <c r="C1113" s="39"/>
      <c r="D1113" s="39"/>
      <c r="S1113" s="34"/>
      <c r="T1113" s="36"/>
    </row>
    <row r="1114" spans="1:20" ht="15.75" customHeight="1">
      <c r="A1114" s="39"/>
      <c r="B1114" s="39"/>
      <c r="C1114" s="39"/>
      <c r="D1114" s="39"/>
      <c r="S1114" s="34"/>
      <c r="T1114" s="36"/>
    </row>
    <row r="1115" spans="1:20" ht="15.75" customHeight="1">
      <c r="A1115" s="39"/>
      <c r="B1115" s="39"/>
      <c r="C1115" s="39"/>
      <c r="D1115" s="39"/>
      <c r="S1115" s="34"/>
      <c r="T1115" s="36"/>
    </row>
    <row r="1116" spans="1:20" ht="15.75" customHeight="1">
      <c r="A1116" s="39"/>
      <c r="B1116" s="39"/>
      <c r="C1116" s="39"/>
      <c r="D1116" s="39"/>
      <c r="S1116" s="34"/>
      <c r="T1116" s="36"/>
    </row>
    <row r="1117" spans="1:20" ht="15.75" customHeight="1">
      <c r="A1117" s="39"/>
      <c r="B1117" s="39"/>
      <c r="C1117" s="39"/>
      <c r="D1117" s="39"/>
      <c r="S1117" s="34"/>
      <c r="T1117" s="36"/>
    </row>
    <row r="1118" spans="1:20" ht="15.75" customHeight="1">
      <c r="A1118" s="39"/>
      <c r="B1118" s="39"/>
      <c r="C1118" s="39"/>
      <c r="D1118" s="39"/>
      <c r="S1118" s="34"/>
      <c r="T1118" s="36"/>
    </row>
    <row r="1119" spans="1:20" ht="15.75" customHeight="1">
      <c r="A1119" s="39"/>
      <c r="B1119" s="39"/>
      <c r="C1119" s="39"/>
      <c r="D1119" s="39"/>
      <c r="S1119" s="34"/>
      <c r="T1119" s="36"/>
    </row>
    <row r="1120" spans="1:20" ht="15.75" customHeight="1">
      <c r="A1120" s="39"/>
      <c r="B1120" s="39"/>
      <c r="C1120" s="39"/>
      <c r="D1120" s="39"/>
      <c r="S1120" s="34"/>
      <c r="T1120" s="36"/>
    </row>
    <row r="1121" spans="1:20" ht="15.75" customHeight="1">
      <c r="A1121" s="39"/>
      <c r="B1121" s="39"/>
      <c r="C1121" s="39"/>
      <c r="D1121" s="39"/>
      <c r="S1121" s="34"/>
      <c r="T1121" s="36"/>
    </row>
    <row r="1122" spans="1:20" ht="15.75" customHeight="1">
      <c r="A1122" s="39"/>
      <c r="B1122" s="39"/>
      <c r="C1122" s="39"/>
      <c r="D1122" s="39"/>
      <c r="S1122" s="34"/>
      <c r="T1122" s="36"/>
    </row>
    <row r="1123" spans="1:20" ht="15.75" customHeight="1">
      <c r="A1123" s="39"/>
      <c r="B1123" s="39"/>
      <c r="C1123" s="39"/>
      <c r="D1123" s="39"/>
      <c r="S1123" s="34"/>
      <c r="T1123" s="36"/>
    </row>
    <row r="1124" spans="1:20" ht="15.75" customHeight="1">
      <c r="A1124" s="39"/>
      <c r="B1124" s="39"/>
      <c r="C1124" s="39"/>
      <c r="D1124" s="39"/>
      <c r="S1124" s="34"/>
      <c r="T1124" s="36"/>
    </row>
    <row r="1125" spans="1:20" ht="15.75" customHeight="1">
      <c r="A1125" s="39"/>
      <c r="B1125" s="39"/>
      <c r="C1125" s="39"/>
      <c r="D1125" s="39"/>
      <c r="S1125" s="34"/>
      <c r="T1125" s="36"/>
    </row>
    <row r="1126" spans="1:20" ht="15.75" customHeight="1">
      <c r="A1126" s="39"/>
      <c r="B1126" s="39"/>
      <c r="C1126" s="39"/>
      <c r="D1126" s="39"/>
      <c r="S1126" s="34"/>
      <c r="T1126" s="36"/>
    </row>
    <row r="1127" spans="1:20" ht="15.75" customHeight="1">
      <c r="A1127" s="39"/>
      <c r="B1127" s="39"/>
      <c r="C1127" s="39"/>
      <c r="D1127" s="39"/>
      <c r="S1127" s="34"/>
      <c r="T1127" s="36"/>
    </row>
    <row r="1128" spans="1:20" ht="15.75" customHeight="1">
      <c r="A1128" s="39"/>
      <c r="B1128" s="39"/>
      <c r="C1128" s="39"/>
      <c r="D1128" s="39"/>
      <c r="S1128" s="34"/>
      <c r="T1128" s="36"/>
    </row>
    <row r="1129" spans="1:20" ht="15.75" customHeight="1">
      <c r="A1129" s="39"/>
      <c r="B1129" s="39"/>
      <c r="C1129" s="39"/>
      <c r="D1129" s="39"/>
      <c r="S1129" s="34"/>
      <c r="T1129" s="36"/>
    </row>
    <row r="1130" spans="1:20" ht="15.75" customHeight="1">
      <c r="A1130" s="39"/>
      <c r="B1130" s="39"/>
      <c r="C1130" s="39"/>
      <c r="D1130" s="39"/>
      <c r="S1130" s="34"/>
      <c r="T1130" s="36"/>
    </row>
    <row r="1131" spans="1:20" ht="15.75" customHeight="1">
      <c r="A1131" s="39"/>
      <c r="B1131" s="39"/>
      <c r="C1131" s="39"/>
      <c r="D1131" s="39"/>
      <c r="S1131" s="34"/>
      <c r="T1131" s="36"/>
    </row>
    <row r="1132" spans="1:20" ht="15.75" customHeight="1">
      <c r="A1132" s="39"/>
      <c r="B1132" s="39"/>
      <c r="C1132" s="39"/>
      <c r="D1132" s="39"/>
      <c r="S1132" s="34"/>
      <c r="T1132" s="36"/>
    </row>
    <row r="1133" spans="1:20" ht="15.75" customHeight="1">
      <c r="A1133" s="39"/>
      <c r="B1133" s="39"/>
      <c r="C1133" s="39"/>
      <c r="D1133" s="39"/>
      <c r="S1133" s="34"/>
      <c r="T1133" s="36"/>
    </row>
    <row r="1134" spans="1:20" ht="15.75" customHeight="1">
      <c r="A1134" s="39"/>
      <c r="B1134" s="39"/>
      <c r="C1134" s="39"/>
      <c r="D1134" s="39"/>
      <c r="S1134" s="34"/>
      <c r="T1134" s="36"/>
    </row>
    <row r="1135" spans="1:20" ht="15.75" customHeight="1">
      <c r="A1135" s="39"/>
      <c r="B1135" s="39"/>
      <c r="C1135" s="39"/>
      <c r="D1135" s="39"/>
      <c r="S1135" s="34"/>
      <c r="T1135" s="36"/>
    </row>
    <row r="1136" spans="1:20" ht="15.75" customHeight="1">
      <c r="A1136" s="39"/>
      <c r="B1136" s="39"/>
      <c r="C1136" s="39"/>
      <c r="D1136" s="39"/>
      <c r="S1136" s="34"/>
      <c r="T1136" s="36"/>
    </row>
    <row r="1137" spans="1:20" ht="15.75" customHeight="1">
      <c r="A1137" s="39"/>
      <c r="B1137" s="39"/>
      <c r="C1137" s="39"/>
      <c r="D1137" s="39"/>
      <c r="S1137" s="34"/>
      <c r="T1137" s="36"/>
    </row>
    <row r="1138" spans="1:20" ht="15.75" customHeight="1">
      <c r="A1138" s="39"/>
      <c r="B1138" s="39"/>
      <c r="C1138" s="39"/>
      <c r="D1138" s="39"/>
      <c r="S1138" s="34"/>
      <c r="T1138" s="36"/>
    </row>
    <row r="1139" spans="1:20" ht="15.75" customHeight="1">
      <c r="A1139" s="39"/>
      <c r="B1139" s="39"/>
      <c r="C1139" s="39"/>
      <c r="D1139" s="39"/>
      <c r="S1139" s="34"/>
      <c r="T1139" s="36"/>
    </row>
    <row r="1140" spans="1:20" ht="15.75" customHeight="1">
      <c r="A1140" s="39"/>
      <c r="B1140" s="39"/>
      <c r="C1140" s="39"/>
      <c r="D1140" s="39"/>
      <c r="S1140" s="34"/>
      <c r="T1140" s="36"/>
    </row>
    <row r="1141" spans="1:20" ht="15.75" customHeight="1">
      <c r="A1141" s="39"/>
      <c r="B1141" s="39"/>
      <c r="C1141" s="39"/>
      <c r="D1141" s="39"/>
      <c r="S1141" s="34"/>
      <c r="T1141" s="36"/>
    </row>
    <row r="1142" spans="1:20" ht="15.75" customHeight="1">
      <c r="A1142" s="39"/>
      <c r="B1142" s="39"/>
      <c r="C1142" s="39"/>
      <c r="D1142" s="39"/>
      <c r="S1142" s="34"/>
      <c r="T1142" s="36"/>
    </row>
    <row r="1143" spans="1:20" ht="15.75" customHeight="1">
      <c r="A1143" s="39"/>
      <c r="B1143" s="39"/>
      <c r="C1143" s="39"/>
      <c r="D1143" s="39"/>
      <c r="S1143" s="34"/>
      <c r="T1143" s="36"/>
    </row>
    <row r="1144" spans="1:20" ht="15.75" customHeight="1">
      <c r="A1144" s="39"/>
      <c r="B1144" s="39"/>
      <c r="C1144" s="39"/>
      <c r="D1144" s="39"/>
      <c r="S1144" s="34"/>
      <c r="T1144" s="36"/>
    </row>
    <row r="1145" spans="1:20" ht="15.75" customHeight="1">
      <c r="A1145" s="39"/>
      <c r="B1145" s="39"/>
      <c r="C1145" s="39"/>
      <c r="D1145" s="39"/>
      <c r="S1145" s="34"/>
      <c r="T1145" s="36"/>
    </row>
    <row r="1146" spans="1:20" ht="15.75" customHeight="1">
      <c r="A1146" s="39"/>
      <c r="B1146" s="39"/>
      <c r="C1146" s="39"/>
      <c r="D1146" s="39"/>
      <c r="S1146" s="34"/>
      <c r="T1146" s="36"/>
    </row>
    <row r="1147" spans="1:20" ht="15.75" customHeight="1">
      <c r="A1147" s="39"/>
      <c r="B1147" s="39"/>
      <c r="C1147" s="39"/>
      <c r="D1147" s="39"/>
      <c r="S1147" s="34"/>
      <c r="T1147" s="36"/>
    </row>
    <row r="1148" spans="1:20" ht="15.75" customHeight="1">
      <c r="A1148" s="39"/>
      <c r="B1148" s="39"/>
      <c r="C1148" s="39"/>
      <c r="D1148" s="39"/>
      <c r="S1148" s="34"/>
      <c r="T1148" s="36"/>
    </row>
    <row r="1149" spans="1:20" ht="15.75" customHeight="1">
      <c r="A1149" s="39"/>
      <c r="B1149" s="39"/>
      <c r="C1149" s="39"/>
      <c r="D1149" s="39"/>
      <c r="S1149" s="34"/>
      <c r="T1149" s="36"/>
    </row>
    <row r="1150" spans="1:20" ht="15.75" customHeight="1">
      <c r="A1150" s="39"/>
      <c r="B1150" s="39"/>
      <c r="C1150" s="39"/>
      <c r="D1150" s="39"/>
      <c r="S1150" s="34"/>
      <c r="T1150" s="36"/>
    </row>
    <row r="1151" spans="1:20" ht="15.75" customHeight="1">
      <c r="A1151" s="39"/>
      <c r="B1151" s="39"/>
      <c r="C1151" s="39"/>
      <c r="D1151" s="39"/>
      <c r="S1151" s="34"/>
      <c r="T1151" s="36"/>
    </row>
    <row r="1152" spans="1:20" ht="15.75" customHeight="1">
      <c r="A1152" s="39"/>
      <c r="B1152" s="39"/>
      <c r="C1152" s="39"/>
      <c r="D1152" s="39"/>
      <c r="S1152" s="34"/>
      <c r="T1152" s="36"/>
    </row>
    <row r="1153" spans="1:20" ht="15.75" customHeight="1">
      <c r="A1153" s="39"/>
      <c r="B1153" s="39"/>
      <c r="C1153" s="39"/>
      <c r="D1153" s="39"/>
      <c r="S1153" s="34"/>
      <c r="T1153" s="36"/>
    </row>
    <row r="1154" spans="1:20" ht="15.75" customHeight="1">
      <c r="A1154" s="39"/>
      <c r="B1154" s="39"/>
      <c r="C1154" s="39"/>
      <c r="D1154" s="39"/>
      <c r="S1154" s="34"/>
      <c r="T1154" s="36"/>
    </row>
    <row r="1155" spans="1:20" ht="15.75" customHeight="1">
      <c r="A1155" s="39"/>
      <c r="B1155" s="39"/>
      <c r="C1155" s="39"/>
      <c r="D1155" s="39"/>
      <c r="S1155" s="34"/>
      <c r="T1155" s="36"/>
    </row>
    <row r="1156" spans="1:20" ht="15.75" customHeight="1">
      <c r="A1156" s="39"/>
      <c r="B1156" s="39"/>
      <c r="C1156" s="39"/>
      <c r="D1156" s="39"/>
      <c r="S1156" s="34"/>
      <c r="T1156" s="36"/>
    </row>
    <row r="1157" spans="1:20" ht="15.75" customHeight="1">
      <c r="A1157" s="39"/>
      <c r="B1157" s="39"/>
      <c r="C1157" s="39"/>
      <c r="D1157" s="39"/>
      <c r="S1157" s="34"/>
      <c r="T1157" s="36"/>
    </row>
    <row r="1158" spans="1:20" ht="15.75" customHeight="1">
      <c r="A1158" s="39"/>
      <c r="B1158" s="39"/>
      <c r="C1158" s="39"/>
      <c r="D1158" s="39"/>
      <c r="S1158" s="34"/>
      <c r="T1158" s="36"/>
    </row>
    <row r="1159" spans="1:20" ht="15.75" customHeight="1">
      <c r="A1159" s="39"/>
      <c r="B1159" s="39"/>
      <c r="C1159" s="39"/>
      <c r="D1159" s="39"/>
      <c r="S1159" s="34"/>
      <c r="T1159" s="36"/>
    </row>
    <row r="1160" spans="1:20" ht="15.75" customHeight="1">
      <c r="A1160" s="39"/>
      <c r="B1160" s="39"/>
      <c r="C1160" s="39"/>
      <c r="D1160" s="39"/>
      <c r="S1160" s="34"/>
      <c r="T1160" s="36"/>
    </row>
    <row r="1161" spans="1:20" ht="15.75" customHeight="1">
      <c r="A1161" s="39"/>
      <c r="B1161" s="39"/>
      <c r="C1161" s="39"/>
      <c r="D1161" s="39"/>
      <c r="S1161" s="34"/>
      <c r="T1161" s="36"/>
    </row>
    <row r="1162" spans="1:20" ht="15.75" customHeight="1">
      <c r="A1162" s="39"/>
      <c r="B1162" s="39"/>
      <c r="C1162" s="39"/>
      <c r="D1162" s="39"/>
      <c r="S1162" s="34"/>
      <c r="T1162" s="36"/>
    </row>
    <row r="1163" spans="1:20" ht="15.75" customHeight="1">
      <c r="A1163" s="39"/>
      <c r="B1163" s="39"/>
      <c r="C1163" s="39"/>
      <c r="D1163" s="39"/>
      <c r="S1163" s="34"/>
      <c r="T1163" s="36"/>
    </row>
    <row r="1164" spans="1:20" ht="15.75" customHeight="1">
      <c r="A1164" s="39"/>
      <c r="B1164" s="39"/>
      <c r="C1164" s="39"/>
      <c r="D1164" s="39"/>
      <c r="S1164" s="34"/>
      <c r="T1164" s="36"/>
    </row>
    <row r="1165" spans="1:20" ht="15.75" customHeight="1">
      <c r="A1165" s="39"/>
      <c r="B1165" s="39"/>
      <c r="C1165" s="39"/>
      <c r="D1165" s="39"/>
      <c r="T1165" s="40"/>
    </row>
    <row r="1166" spans="1:20" ht="15.75" customHeight="1">
      <c r="A1166" s="39"/>
      <c r="B1166" s="39"/>
      <c r="C1166" s="39"/>
      <c r="D1166" s="39"/>
      <c r="T1166" s="40"/>
    </row>
    <row r="1167" spans="1:20" ht="15.75" customHeight="1">
      <c r="A1167" s="39"/>
      <c r="B1167" s="39"/>
      <c r="C1167" s="39"/>
      <c r="D1167" s="39"/>
      <c r="T1167" s="40"/>
    </row>
    <row r="1168" spans="1:20" ht="15.75" customHeight="1">
      <c r="A1168" s="39"/>
      <c r="B1168" s="39"/>
      <c r="C1168" s="39"/>
      <c r="D1168" s="39"/>
      <c r="T1168" s="40"/>
    </row>
    <row r="1169" spans="1:20" ht="15.75" customHeight="1">
      <c r="A1169" s="39"/>
      <c r="B1169" s="39"/>
      <c r="C1169" s="39"/>
      <c r="D1169" s="39"/>
      <c r="T1169" s="40"/>
    </row>
    <row r="1170" spans="1:20" ht="15.75" customHeight="1">
      <c r="A1170" s="39"/>
      <c r="B1170" s="39"/>
      <c r="C1170" s="39"/>
      <c r="D1170" s="39"/>
      <c r="T1170" s="40"/>
    </row>
    <row r="1171" spans="1:20" ht="15.75" customHeight="1">
      <c r="A1171" s="39"/>
      <c r="B1171" s="39"/>
      <c r="C1171" s="39"/>
      <c r="D1171" s="39"/>
      <c r="T1171" s="40"/>
    </row>
    <row r="1172" spans="1:20" ht="15.75" customHeight="1">
      <c r="A1172" s="39"/>
      <c r="B1172" s="39"/>
      <c r="C1172" s="39"/>
      <c r="D1172" s="39"/>
      <c r="T1172" s="40"/>
    </row>
    <row r="1173" spans="1:20" ht="15.75" customHeight="1">
      <c r="A1173" s="39"/>
      <c r="B1173" s="39"/>
      <c r="C1173" s="39"/>
      <c r="D1173" s="39"/>
      <c r="T1173" s="40"/>
    </row>
    <row r="1174" spans="1:20" ht="15.75" customHeight="1">
      <c r="A1174" s="39"/>
      <c r="B1174" s="39"/>
      <c r="C1174" s="39"/>
      <c r="D1174" s="39"/>
      <c r="T1174" s="40"/>
    </row>
    <row r="1175" spans="1:20" ht="15.75" customHeight="1">
      <c r="A1175" s="39"/>
      <c r="B1175" s="39"/>
      <c r="C1175" s="39"/>
      <c r="D1175" s="39"/>
      <c r="T1175" s="40"/>
    </row>
    <row r="1176" spans="1:20" ht="15.75" customHeight="1">
      <c r="A1176" s="39"/>
      <c r="B1176" s="39"/>
      <c r="C1176" s="39"/>
      <c r="D1176" s="39"/>
      <c r="T1176" s="40"/>
    </row>
    <row r="1177" spans="1:20" ht="15.75" customHeight="1">
      <c r="A1177" s="39"/>
      <c r="B1177" s="39"/>
      <c r="C1177" s="39"/>
      <c r="D1177" s="39"/>
      <c r="T1177" s="40"/>
    </row>
    <row r="1178" spans="1:20" ht="15.75" customHeight="1">
      <c r="A1178" s="39"/>
      <c r="B1178" s="39"/>
      <c r="C1178" s="39"/>
      <c r="D1178" s="39"/>
      <c r="T1178" s="40"/>
    </row>
    <row r="1179" spans="1:20" ht="15.75" customHeight="1">
      <c r="A1179" s="39"/>
      <c r="B1179" s="39"/>
      <c r="C1179" s="39"/>
      <c r="D1179" s="39"/>
      <c r="T1179" s="40"/>
    </row>
    <row r="1180" spans="1:20" ht="15.75" customHeight="1">
      <c r="A1180" s="39"/>
      <c r="B1180" s="39"/>
      <c r="C1180" s="39"/>
      <c r="D1180" s="39"/>
      <c r="T1180" s="40"/>
    </row>
    <row r="1181" spans="1:20" ht="15.75" customHeight="1">
      <c r="A1181" s="39"/>
      <c r="B1181" s="39"/>
      <c r="C1181" s="39"/>
      <c r="D1181" s="39"/>
      <c r="T1181" s="40"/>
    </row>
    <row r="1182" spans="1:20" ht="15.75" customHeight="1">
      <c r="A1182" s="39"/>
      <c r="B1182" s="39"/>
      <c r="C1182" s="39"/>
      <c r="D1182" s="39"/>
      <c r="T1182" s="40"/>
    </row>
    <row r="1183" spans="1:20" ht="15.75" customHeight="1">
      <c r="A1183" s="39"/>
      <c r="B1183" s="39"/>
      <c r="C1183" s="39"/>
      <c r="D1183" s="39"/>
      <c r="T1183" s="40"/>
    </row>
    <row r="1184" spans="1:20" ht="15.75" customHeight="1">
      <c r="A1184" s="39"/>
      <c r="B1184" s="39"/>
      <c r="C1184" s="39"/>
      <c r="D1184" s="39"/>
      <c r="T1184" s="40"/>
    </row>
    <row r="1185" spans="1:20" ht="15.75" customHeight="1">
      <c r="A1185" s="39"/>
      <c r="B1185" s="39"/>
      <c r="C1185" s="39"/>
      <c r="D1185" s="39"/>
      <c r="T1185" s="40"/>
    </row>
    <row r="1186" spans="1:20" ht="15.75" customHeight="1">
      <c r="A1186" s="39"/>
      <c r="B1186" s="39"/>
      <c r="C1186" s="39"/>
      <c r="D1186" s="39"/>
      <c r="T1186" s="40"/>
    </row>
    <row r="1187" spans="1:20" ht="15.75" customHeight="1">
      <c r="A1187" s="39"/>
      <c r="B1187" s="39"/>
      <c r="C1187" s="39"/>
      <c r="D1187" s="39"/>
      <c r="T1187" s="40"/>
    </row>
    <row r="1188" spans="1:20" ht="15.75" customHeight="1">
      <c r="A1188" s="39"/>
      <c r="B1188" s="39"/>
      <c r="C1188" s="39"/>
      <c r="D1188" s="39"/>
      <c r="T1188" s="40"/>
    </row>
    <row r="1189" spans="1:20" ht="15.75" customHeight="1">
      <c r="A1189" s="39"/>
      <c r="B1189" s="39"/>
      <c r="C1189" s="39"/>
      <c r="D1189" s="39"/>
      <c r="T1189" s="40"/>
    </row>
    <row r="1190" spans="1:20" ht="15.75" customHeight="1">
      <c r="A1190" s="39"/>
      <c r="B1190" s="39"/>
      <c r="C1190" s="39"/>
      <c r="D1190" s="39"/>
      <c r="T1190" s="40"/>
    </row>
    <row r="1191" spans="1:20" ht="15.75" customHeight="1">
      <c r="A1191" s="39"/>
      <c r="B1191" s="39"/>
      <c r="C1191" s="39"/>
      <c r="D1191" s="39"/>
      <c r="T1191" s="40"/>
    </row>
    <row r="1192" spans="1:20" ht="15.75" customHeight="1">
      <c r="A1192" s="39"/>
      <c r="B1192" s="39"/>
      <c r="C1192" s="39"/>
      <c r="D1192" s="39"/>
      <c r="T1192" s="40"/>
    </row>
    <row r="1193" spans="1:20" ht="15.75" customHeight="1">
      <c r="A1193" s="39"/>
      <c r="B1193" s="39"/>
      <c r="C1193" s="39"/>
      <c r="D1193" s="39"/>
      <c r="T1193" s="40"/>
    </row>
    <row r="1194" spans="1:20" ht="15.75" customHeight="1">
      <c r="A1194" s="39"/>
      <c r="B1194" s="39"/>
      <c r="C1194" s="39"/>
      <c r="D1194" s="39"/>
      <c r="T1194" s="40"/>
    </row>
    <row r="1195" spans="1:20" ht="15.75" customHeight="1">
      <c r="A1195" s="39"/>
      <c r="B1195" s="39"/>
      <c r="C1195" s="39"/>
      <c r="D1195" s="39"/>
      <c r="T1195" s="40"/>
    </row>
    <row r="1196" spans="1:20" ht="15.75" customHeight="1">
      <c r="A1196" s="39"/>
      <c r="B1196" s="39"/>
      <c r="C1196" s="39"/>
      <c r="D1196" s="39"/>
      <c r="T1196" s="40"/>
    </row>
    <row r="1197" spans="1:20" ht="15.75" customHeight="1">
      <c r="A1197" s="39"/>
      <c r="B1197" s="39"/>
      <c r="C1197" s="39"/>
      <c r="D1197" s="39"/>
      <c r="T1197" s="40"/>
    </row>
    <row r="1198" spans="1:20" ht="15.75" customHeight="1">
      <c r="A1198" s="39"/>
      <c r="B1198" s="39"/>
      <c r="C1198" s="39"/>
      <c r="D1198" s="39"/>
      <c r="T1198" s="40"/>
    </row>
    <row r="1199" spans="1:20" ht="15.75" customHeight="1">
      <c r="A1199" s="39"/>
      <c r="B1199" s="39"/>
      <c r="C1199" s="39"/>
      <c r="D1199" s="39"/>
      <c r="T1199" s="40"/>
    </row>
    <row r="1200" spans="1:20" ht="15.75" customHeight="1">
      <c r="A1200" s="39"/>
      <c r="B1200" s="39"/>
      <c r="C1200" s="39"/>
      <c r="D1200" s="39"/>
      <c r="T1200" s="40"/>
    </row>
    <row r="1201" spans="1:20" ht="15.75" customHeight="1">
      <c r="A1201" s="39"/>
      <c r="B1201" s="39"/>
      <c r="C1201" s="39"/>
      <c r="D1201" s="39"/>
      <c r="T1201" s="40"/>
    </row>
    <row r="1202" spans="1:20" ht="15.75" customHeight="1">
      <c r="A1202" s="39"/>
      <c r="B1202" s="39"/>
      <c r="C1202" s="39"/>
      <c r="D1202" s="39"/>
      <c r="T1202" s="40"/>
    </row>
    <row r="1203" spans="1:20" ht="15.75" customHeight="1">
      <c r="A1203" s="39"/>
      <c r="B1203" s="39"/>
      <c r="C1203" s="39"/>
      <c r="D1203" s="39"/>
      <c r="T1203" s="40"/>
    </row>
    <row r="1204" spans="1:20" ht="15.75" customHeight="1">
      <c r="A1204" s="39"/>
      <c r="B1204" s="39"/>
      <c r="C1204" s="39"/>
      <c r="D1204" s="39"/>
      <c r="T1204" s="40"/>
    </row>
    <row r="1205" spans="1:20" ht="15.75" customHeight="1">
      <c r="A1205" s="39"/>
      <c r="B1205" s="39"/>
      <c r="C1205" s="39"/>
      <c r="D1205" s="39"/>
      <c r="T1205" s="40"/>
    </row>
    <row r="1206" spans="1:20" ht="15.75" customHeight="1">
      <c r="A1206" s="39"/>
      <c r="B1206" s="39"/>
      <c r="C1206" s="39"/>
      <c r="D1206" s="39"/>
      <c r="T1206" s="40"/>
    </row>
    <row r="1207" spans="1:20" ht="15.75" customHeight="1">
      <c r="A1207" s="39"/>
      <c r="B1207" s="39"/>
      <c r="C1207" s="39"/>
      <c r="D1207" s="39"/>
      <c r="T1207" s="40"/>
    </row>
    <row r="1208" spans="1:20" ht="15.75" customHeight="1">
      <c r="A1208" s="39"/>
      <c r="B1208" s="39"/>
      <c r="C1208" s="39"/>
      <c r="D1208" s="39"/>
      <c r="T1208" s="40"/>
    </row>
    <row r="1209" spans="1:20" ht="15.75" customHeight="1">
      <c r="A1209" s="39"/>
      <c r="B1209" s="39"/>
      <c r="C1209" s="39"/>
      <c r="D1209" s="39"/>
      <c r="T1209" s="40"/>
    </row>
    <row r="1210" spans="1:20" ht="15.75" customHeight="1">
      <c r="A1210" s="39"/>
      <c r="B1210" s="39"/>
      <c r="C1210" s="39"/>
      <c r="D1210" s="39"/>
      <c r="T1210" s="40"/>
    </row>
    <row r="1211" spans="1:20" ht="15.75" customHeight="1">
      <c r="A1211" s="39"/>
      <c r="B1211" s="39"/>
      <c r="C1211" s="39"/>
      <c r="D1211" s="39"/>
      <c r="T1211" s="40"/>
    </row>
    <row r="1212" spans="1:20" ht="15.75" customHeight="1">
      <c r="A1212" s="39"/>
      <c r="B1212" s="39"/>
      <c r="C1212" s="39"/>
      <c r="D1212" s="39"/>
      <c r="T1212" s="40"/>
    </row>
    <row r="1213" spans="1:20" ht="15.75" customHeight="1">
      <c r="A1213" s="39"/>
      <c r="B1213" s="39"/>
      <c r="C1213" s="39"/>
      <c r="D1213" s="39"/>
      <c r="T1213" s="40"/>
    </row>
    <row r="1214" spans="1:20" ht="15.75" customHeight="1">
      <c r="A1214" s="39"/>
      <c r="B1214" s="39"/>
      <c r="C1214" s="39"/>
      <c r="D1214" s="39"/>
      <c r="T1214" s="40"/>
    </row>
    <row r="1215" spans="1:20" ht="15.75" customHeight="1">
      <c r="A1215" s="39"/>
      <c r="B1215" s="39"/>
      <c r="C1215" s="39"/>
      <c r="D1215" s="39"/>
      <c r="T1215" s="40"/>
    </row>
    <row r="1216" spans="1:20" ht="15.75" customHeight="1">
      <c r="A1216" s="39"/>
      <c r="B1216" s="39"/>
      <c r="C1216" s="39"/>
      <c r="D1216" s="39"/>
      <c r="T1216" s="40"/>
    </row>
    <row r="1217" spans="1:20" ht="15.75" customHeight="1">
      <c r="A1217" s="39"/>
      <c r="B1217" s="39"/>
      <c r="C1217" s="39"/>
      <c r="D1217" s="39"/>
      <c r="T1217" s="40"/>
    </row>
    <row r="1218" spans="1:20" ht="15.75" customHeight="1">
      <c r="A1218" s="39"/>
      <c r="B1218" s="39"/>
      <c r="C1218" s="39"/>
      <c r="D1218" s="39"/>
      <c r="T1218" s="40"/>
    </row>
    <row r="1219" spans="1:20" ht="15.75" customHeight="1">
      <c r="A1219" s="39"/>
      <c r="B1219" s="39"/>
      <c r="C1219" s="39"/>
      <c r="D1219" s="39"/>
      <c r="T1219" s="40"/>
    </row>
    <row r="1220" spans="1:20" ht="15.75" customHeight="1">
      <c r="A1220" s="39"/>
      <c r="B1220" s="39"/>
      <c r="C1220" s="39"/>
      <c r="D1220" s="39"/>
      <c r="T1220" s="40"/>
    </row>
    <row r="1221" spans="1:20" ht="15.75" customHeight="1">
      <c r="A1221" s="39"/>
      <c r="B1221" s="39"/>
      <c r="C1221" s="39"/>
      <c r="D1221" s="39"/>
      <c r="T1221" s="40"/>
    </row>
    <row r="1222" spans="1:20" ht="15.75" customHeight="1">
      <c r="A1222" s="39"/>
      <c r="B1222" s="39"/>
      <c r="C1222" s="39"/>
      <c r="D1222" s="39"/>
      <c r="T1222" s="40"/>
    </row>
    <row r="1223" spans="1:20" ht="15.75" customHeight="1">
      <c r="A1223" s="39"/>
      <c r="B1223" s="39"/>
      <c r="C1223" s="39"/>
      <c r="D1223" s="39"/>
      <c r="T1223" s="40"/>
    </row>
    <row r="1224" spans="1:20" ht="15.75" customHeight="1">
      <c r="A1224" s="39"/>
      <c r="B1224" s="39"/>
      <c r="C1224" s="39"/>
      <c r="D1224" s="39"/>
      <c r="T1224" s="40"/>
    </row>
    <row r="1225" spans="1:20" ht="15.75" customHeight="1">
      <c r="A1225" s="39"/>
      <c r="B1225" s="39"/>
      <c r="C1225" s="39"/>
      <c r="D1225" s="39"/>
      <c r="T1225" s="40"/>
    </row>
    <row r="1226" spans="1:20" ht="15.75" customHeight="1">
      <c r="A1226" s="39"/>
      <c r="B1226" s="39"/>
      <c r="C1226" s="39"/>
      <c r="D1226" s="39"/>
      <c r="T1226" s="40"/>
    </row>
    <row r="1227" spans="1:20" ht="15.75" customHeight="1">
      <c r="A1227" s="39"/>
      <c r="B1227" s="39"/>
      <c r="C1227" s="39"/>
      <c r="D1227" s="39"/>
      <c r="T1227" s="40"/>
    </row>
    <row r="1228" spans="1:20" ht="15.75" customHeight="1">
      <c r="A1228" s="39"/>
      <c r="B1228" s="39"/>
      <c r="C1228" s="39"/>
      <c r="D1228" s="39"/>
      <c r="T1228" s="40"/>
    </row>
    <row r="1229" spans="1:20" ht="15.75" customHeight="1">
      <c r="A1229" s="39"/>
      <c r="B1229" s="39"/>
      <c r="C1229" s="39"/>
      <c r="D1229" s="39"/>
      <c r="T1229" s="40"/>
    </row>
    <row r="1230" spans="1:20" ht="15.75" customHeight="1">
      <c r="A1230" s="39"/>
      <c r="B1230" s="39"/>
      <c r="C1230" s="39"/>
      <c r="D1230" s="39"/>
      <c r="T1230" s="40"/>
    </row>
    <row r="1231" spans="1:20" ht="15.75" customHeight="1">
      <c r="A1231" s="39"/>
      <c r="B1231" s="39"/>
      <c r="C1231" s="39"/>
      <c r="D1231" s="39"/>
      <c r="T1231" s="40"/>
    </row>
    <row r="1232" spans="1:20" ht="15.75" customHeight="1">
      <c r="A1232" s="39"/>
      <c r="B1232" s="39"/>
      <c r="C1232" s="39"/>
      <c r="D1232" s="39"/>
      <c r="T1232" s="40"/>
    </row>
    <row r="1233" spans="1:20" ht="15.75" customHeight="1">
      <c r="A1233" s="39"/>
      <c r="B1233" s="39"/>
      <c r="C1233" s="39"/>
      <c r="D1233" s="39"/>
      <c r="T1233" s="40"/>
    </row>
    <row r="1234" spans="1:20" ht="15.75" customHeight="1">
      <c r="A1234" s="39"/>
      <c r="B1234" s="39"/>
      <c r="C1234" s="39"/>
      <c r="D1234" s="39"/>
      <c r="T1234" s="40"/>
    </row>
    <row r="1235" spans="1:20" ht="15.75" customHeight="1">
      <c r="A1235" s="39"/>
      <c r="B1235" s="39"/>
      <c r="C1235" s="39"/>
      <c r="D1235" s="39"/>
      <c r="T1235" s="40"/>
    </row>
    <row r="1236" spans="1:20" ht="15.75" customHeight="1">
      <c r="A1236" s="39"/>
      <c r="B1236" s="39"/>
      <c r="C1236" s="39"/>
      <c r="D1236" s="39"/>
      <c r="T1236" s="40"/>
    </row>
    <row r="1237" spans="1:20" ht="15.75" customHeight="1">
      <c r="A1237" s="39"/>
      <c r="B1237" s="39"/>
      <c r="C1237" s="39"/>
      <c r="D1237" s="39"/>
      <c r="T1237" s="40"/>
    </row>
    <row r="1238" spans="1:20" ht="15.75" customHeight="1">
      <c r="A1238" s="39"/>
      <c r="B1238" s="39"/>
      <c r="C1238" s="39"/>
      <c r="D1238" s="39"/>
      <c r="T1238" s="40"/>
    </row>
    <row r="1239" spans="1:20" ht="15.75" customHeight="1">
      <c r="A1239" s="39"/>
      <c r="B1239" s="39"/>
      <c r="C1239" s="39"/>
      <c r="D1239" s="39"/>
      <c r="T1239" s="40"/>
    </row>
    <row r="1240" spans="1:20" ht="15.75" customHeight="1">
      <c r="A1240" s="39"/>
      <c r="B1240" s="39"/>
      <c r="C1240" s="39"/>
      <c r="D1240" s="39"/>
      <c r="T1240" s="40"/>
    </row>
    <row r="1241" spans="1:20" ht="15.75" customHeight="1">
      <c r="A1241" s="39"/>
      <c r="B1241" s="39"/>
      <c r="C1241" s="39"/>
      <c r="D1241" s="39"/>
      <c r="T1241" s="40"/>
    </row>
    <row r="1242" spans="1:20" ht="15.75" customHeight="1">
      <c r="A1242" s="39"/>
      <c r="B1242" s="39"/>
      <c r="C1242" s="39"/>
      <c r="D1242" s="39"/>
      <c r="T1242" s="40"/>
    </row>
    <row r="1243" spans="1:20" ht="15.75" customHeight="1">
      <c r="A1243" s="39"/>
      <c r="B1243" s="39"/>
      <c r="C1243" s="39"/>
      <c r="D1243" s="39"/>
      <c r="T1243" s="40"/>
    </row>
    <row r="1244" spans="1:20" ht="15.75" customHeight="1">
      <c r="A1244" s="39"/>
      <c r="B1244" s="39"/>
      <c r="C1244" s="39"/>
      <c r="D1244" s="39"/>
      <c r="T1244" s="40"/>
    </row>
    <row r="1245" spans="1:20" ht="15.75" customHeight="1">
      <c r="A1245" s="39"/>
      <c r="B1245" s="39"/>
      <c r="C1245" s="39"/>
      <c r="D1245" s="39"/>
      <c r="T1245" s="40"/>
    </row>
    <row r="1246" spans="1:20" ht="15.75" customHeight="1">
      <c r="A1246" s="39"/>
      <c r="B1246" s="39"/>
      <c r="C1246" s="39"/>
      <c r="D1246" s="39"/>
      <c r="T1246" s="40"/>
    </row>
    <row r="1247" spans="1:20" ht="15.75" customHeight="1">
      <c r="A1247" s="39"/>
      <c r="B1247" s="39"/>
      <c r="C1247" s="39"/>
      <c r="D1247" s="39"/>
      <c r="T1247" s="40"/>
    </row>
    <row r="1248" spans="1:20" ht="15.75" customHeight="1">
      <c r="A1248" s="39"/>
      <c r="B1248" s="39"/>
      <c r="C1248" s="39"/>
      <c r="D1248" s="39"/>
      <c r="T1248" s="40"/>
    </row>
    <row r="1249" spans="1:20" ht="15.75" customHeight="1">
      <c r="A1249" s="39"/>
      <c r="B1249" s="39"/>
      <c r="C1249" s="39"/>
      <c r="D1249" s="39"/>
      <c r="T1249" s="40"/>
    </row>
    <row r="1250" spans="1:20" ht="15.75" customHeight="1">
      <c r="A1250" s="39"/>
      <c r="B1250" s="39"/>
      <c r="C1250" s="39"/>
      <c r="D1250" s="39"/>
      <c r="T1250" s="40"/>
    </row>
    <row r="1251" spans="1:20" ht="15.75" customHeight="1">
      <c r="A1251" s="39"/>
      <c r="B1251" s="39"/>
      <c r="C1251" s="39"/>
      <c r="D1251" s="39"/>
      <c r="T1251" s="40"/>
    </row>
    <row r="1252" spans="1:20" ht="15.75" customHeight="1">
      <c r="A1252" s="39"/>
      <c r="B1252" s="39"/>
      <c r="C1252" s="39"/>
      <c r="D1252" s="39"/>
      <c r="T1252" s="40"/>
    </row>
    <row r="1253" spans="1:20" ht="15.75" customHeight="1">
      <c r="A1253" s="39"/>
      <c r="B1253" s="39"/>
      <c r="C1253" s="39"/>
      <c r="D1253" s="39"/>
      <c r="T1253" s="40"/>
    </row>
    <row r="1254" spans="1:20" ht="15.75" customHeight="1">
      <c r="A1254" s="39"/>
      <c r="B1254" s="39"/>
      <c r="C1254" s="39"/>
      <c r="D1254" s="39"/>
      <c r="T1254" s="40"/>
    </row>
    <row r="1255" spans="1:20" ht="15.75" customHeight="1">
      <c r="A1255" s="39"/>
      <c r="B1255" s="39"/>
      <c r="C1255" s="39"/>
      <c r="D1255" s="39"/>
      <c r="T1255" s="40"/>
    </row>
    <row r="1256" spans="1:20" ht="15.75" customHeight="1">
      <c r="A1256" s="39"/>
      <c r="B1256" s="39"/>
      <c r="C1256" s="39"/>
      <c r="D1256" s="39"/>
      <c r="T1256" s="40"/>
    </row>
    <row r="1257" spans="1:20" ht="15.75" customHeight="1">
      <c r="A1257" s="39"/>
      <c r="B1257" s="39"/>
      <c r="C1257" s="39"/>
      <c r="D1257" s="39"/>
      <c r="T1257" s="40"/>
    </row>
    <row r="1258" spans="1:20" ht="15.75" customHeight="1">
      <c r="A1258" s="39"/>
      <c r="B1258" s="39"/>
      <c r="C1258" s="39"/>
      <c r="D1258" s="39"/>
      <c r="T1258" s="40"/>
    </row>
    <row r="1259" spans="1:20" ht="15.75" customHeight="1">
      <c r="A1259" s="39"/>
      <c r="B1259" s="39"/>
      <c r="C1259" s="39"/>
      <c r="D1259" s="39"/>
      <c r="T1259" s="40"/>
    </row>
    <row r="1260" spans="1:20" ht="15.75" customHeight="1">
      <c r="A1260" s="39"/>
      <c r="B1260" s="39"/>
      <c r="C1260" s="39"/>
      <c r="D1260" s="39"/>
      <c r="T1260" s="40"/>
    </row>
    <row r="1261" spans="1:20" ht="15.75" customHeight="1">
      <c r="A1261" s="39"/>
      <c r="B1261" s="39"/>
      <c r="C1261" s="39"/>
      <c r="D1261" s="39"/>
      <c r="T1261" s="40"/>
    </row>
    <row r="1262" spans="1:20" ht="15.75" customHeight="1">
      <c r="A1262" s="39"/>
      <c r="B1262" s="39"/>
      <c r="C1262" s="39"/>
      <c r="D1262" s="39"/>
      <c r="T1262" s="40"/>
    </row>
    <row r="1263" spans="1:20" ht="15.75" customHeight="1">
      <c r="A1263" s="39"/>
      <c r="B1263" s="39"/>
      <c r="C1263" s="39"/>
      <c r="D1263" s="39"/>
      <c r="T1263" s="40"/>
    </row>
    <row r="1264" spans="1:20" ht="15.75" customHeight="1">
      <c r="A1264" s="39"/>
      <c r="B1264" s="39"/>
      <c r="C1264" s="39"/>
      <c r="D1264" s="39"/>
      <c r="T1264" s="40"/>
    </row>
    <row r="1265" spans="1:20" ht="15.75" customHeight="1">
      <c r="A1265" s="39"/>
      <c r="B1265" s="39"/>
      <c r="C1265" s="39"/>
      <c r="D1265" s="39"/>
      <c r="T1265" s="40"/>
    </row>
    <row r="1266" spans="1:20" ht="15.75" customHeight="1">
      <c r="A1266" s="39"/>
      <c r="B1266" s="39"/>
      <c r="C1266" s="39"/>
      <c r="D1266" s="39"/>
      <c r="T1266" s="40"/>
    </row>
    <row r="1267" spans="1:20" ht="15.75" customHeight="1">
      <c r="A1267" s="39"/>
      <c r="B1267" s="39"/>
      <c r="C1267" s="39"/>
      <c r="D1267" s="39"/>
      <c r="T1267" s="40"/>
    </row>
    <row r="1268" spans="1:20" ht="15.75" customHeight="1">
      <c r="A1268" s="39"/>
      <c r="B1268" s="39"/>
      <c r="C1268" s="39"/>
      <c r="D1268" s="39"/>
      <c r="T1268" s="40"/>
    </row>
    <row r="1269" spans="1:20" ht="15.75" customHeight="1">
      <c r="A1269" s="39"/>
      <c r="B1269" s="39"/>
      <c r="C1269" s="39"/>
      <c r="D1269" s="39"/>
      <c r="T1269" s="40"/>
    </row>
    <row r="1270" spans="1:20" ht="15.75" customHeight="1">
      <c r="A1270" s="39"/>
      <c r="B1270" s="39"/>
      <c r="C1270" s="39"/>
      <c r="D1270" s="39"/>
      <c r="T1270" s="40"/>
    </row>
    <row r="1271" spans="1:20" ht="15.75" customHeight="1">
      <c r="A1271" s="39"/>
      <c r="B1271" s="39"/>
      <c r="C1271" s="39"/>
      <c r="D1271" s="39"/>
      <c r="T1271" s="40"/>
    </row>
    <row r="1272" spans="1:20" ht="15.75" customHeight="1">
      <c r="A1272" s="39"/>
      <c r="B1272" s="39"/>
      <c r="C1272" s="39"/>
      <c r="D1272" s="39"/>
      <c r="T1272" s="40"/>
    </row>
    <row r="1273" spans="1:20" ht="15.75" customHeight="1">
      <c r="A1273" s="39"/>
      <c r="B1273" s="39"/>
      <c r="C1273" s="39"/>
      <c r="D1273" s="39"/>
      <c r="T1273" s="40"/>
    </row>
    <row r="1274" spans="1:20" ht="15.75" customHeight="1">
      <c r="A1274" s="39"/>
      <c r="B1274" s="39"/>
      <c r="C1274" s="39"/>
      <c r="D1274" s="39"/>
      <c r="T1274" s="40"/>
    </row>
    <row r="1275" spans="1:20" ht="15.75" customHeight="1">
      <c r="A1275" s="39"/>
      <c r="B1275" s="39"/>
      <c r="C1275" s="39"/>
      <c r="D1275" s="39"/>
      <c r="T1275" s="40"/>
    </row>
    <row r="1276" spans="1:20" ht="15.75" customHeight="1">
      <c r="A1276" s="39"/>
      <c r="B1276" s="39"/>
      <c r="C1276" s="39"/>
      <c r="D1276" s="39"/>
      <c r="T1276" s="40"/>
    </row>
    <row r="1277" spans="1:20" ht="15.75" customHeight="1">
      <c r="A1277" s="39"/>
      <c r="B1277" s="39"/>
      <c r="C1277" s="39"/>
      <c r="D1277" s="39"/>
      <c r="T1277" s="40"/>
    </row>
    <row r="1278" spans="1:20" ht="15.75" customHeight="1">
      <c r="A1278" s="39"/>
      <c r="B1278" s="39"/>
      <c r="C1278" s="39"/>
      <c r="D1278" s="39"/>
      <c r="T1278" s="40"/>
    </row>
    <row r="1279" spans="1:20" ht="15.75" customHeight="1">
      <c r="A1279" s="39"/>
      <c r="B1279" s="39"/>
      <c r="C1279" s="39"/>
      <c r="D1279" s="39"/>
      <c r="T1279" s="40"/>
    </row>
    <row r="1280" spans="1:20" ht="15.75" customHeight="1">
      <c r="A1280" s="39"/>
      <c r="B1280" s="39"/>
      <c r="C1280" s="39"/>
      <c r="D1280" s="39"/>
      <c r="T1280" s="40"/>
    </row>
    <row r="1281" spans="1:20" ht="15.75" customHeight="1">
      <c r="A1281" s="39"/>
      <c r="B1281" s="39"/>
      <c r="C1281" s="39"/>
      <c r="D1281" s="39"/>
      <c r="T1281" s="40"/>
    </row>
    <row r="1282" spans="1:20" ht="15.75" customHeight="1">
      <c r="A1282" s="39"/>
      <c r="B1282" s="39"/>
      <c r="C1282" s="39"/>
      <c r="D1282" s="39"/>
      <c r="T1282" s="40"/>
    </row>
    <row r="1283" spans="1:20" ht="15.75" customHeight="1">
      <c r="A1283" s="39"/>
      <c r="B1283" s="39"/>
      <c r="C1283" s="39"/>
      <c r="D1283" s="39"/>
      <c r="T1283" s="40"/>
    </row>
    <row r="1284" spans="1:20" ht="15.75" customHeight="1">
      <c r="A1284" s="39"/>
      <c r="B1284" s="39"/>
      <c r="C1284" s="39"/>
      <c r="D1284" s="39"/>
      <c r="T1284" s="40"/>
    </row>
    <row r="1285" spans="1:20" ht="15.75" customHeight="1">
      <c r="A1285" s="39"/>
      <c r="B1285" s="39"/>
      <c r="C1285" s="39"/>
      <c r="D1285" s="39"/>
      <c r="T1285" s="40"/>
    </row>
    <row r="1286" spans="1:20" ht="15.75" customHeight="1">
      <c r="A1286" s="39"/>
      <c r="B1286" s="39"/>
      <c r="C1286" s="39"/>
      <c r="D1286" s="39"/>
      <c r="T1286" s="40"/>
    </row>
    <row r="1287" spans="1:20" ht="15.75" customHeight="1">
      <c r="A1287" s="39"/>
      <c r="B1287" s="39"/>
      <c r="C1287" s="39"/>
      <c r="D1287" s="39"/>
      <c r="T1287" s="40"/>
    </row>
    <row r="1288" spans="1:20" ht="15.75" customHeight="1">
      <c r="A1288" s="39"/>
      <c r="B1288" s="39"/>
      <c r="C1288" s="39"/>
      <c r="D1288" s="39"/>
      <c r="T1288" s="40"/>
    </row>
    <row r="1289" spans="1:20" ht="15.75" customHeight="1">
      <c r="A1289" s="39"/>
      <c r="B1289" s="39"/>
      <c r="C1289" s="39"/>
      <c r="D1289" s="39"/>
      <c r="T1289" s="40"/>
    </row>
    <row r="1290" spans="1:20" ht="15.75" customHeight="1">
      <c r="A1290" s="39"/>
      <c r="B1290" s="39"/>
      <c r="C1290" s="39"/>
      <c r="D1290" s="39"/>
      <c r="T1290" s="40"/>
    </row>
    <row r="1291" spans="1:20" ht="15.75" customHeight="1">
      <c r="A1291" s="39"/>
      <c r="B1291" s="39"/>
      <c r="C1291" s="39"/>
      <c r="D1291" s="39"/>
      <c r="T1291" s="40"/>
    </row>
    <row r="1292" spans="1:20" ht="15.75" customHeight="1">
      <c r="A1292" s="39"/>
      <c r="B1292" s="39"/>
      <c r="C1292" s="39"/>
      <c r="D1292" s="39"/>
      <c r="T1292" s="40"/>
    </row>
    <row r="1293" spans="1:20" ht="15.75" customHeight="1">
      <c r="A1293" s="39"/>
      <c r="B1293" s="39"/>
      <c r="C1293" s="39"/>
      <c r="D1293" s="39"/>
      <c r="T1293" s="40"/>
    </row>
    <row r="1294" spans="1:20" ht="15.75" customHeight="1">
      <c r="A1294" s="39"/>
      <c r="B1294" s="39"/>
      <c r="C1294" s="39"/>
      <c r="D1294" s="39"/>
      <c r="T1294" s="40"/>
    </row>
    <row r="1295" spans="1:20" ht="15.75" customHeight="1">
      <c r="A1295" s="39"/>
      <c r="B1295" s="39"/>
      <c r="C1295" s="39"/>
      <c r="D1295" s="39"/>
      <c r="T1295" s="40"/>
    </row>
    <row r="1296" spans="1:20" ht="15.75" customHeight="1">
      <c r="A1296" s="39"/>
      <c r="B1296" s="39"/>
      <c r="C1296" s="39"/>
      <c r="D1296" s="39"/>
      <c r="T1296" s="40"/>
    </row>
    <row r="1297" spans="1:20" ht="15.75" customHeight="1">
      <c r="A1297" s="39"/>
      <c r="B1297" s="39"/>
      <c r="C1297" s="39"/>
      <c r="D1297" s="39"/>
      <c r="T1297" s="40"/>
    </row>
    <row r="1298" spans="1:20" ht="15.75" customHeight="1">
      <c r="A1298" s="39"/>
      <c r="B1298" s="39"/>
      <c r="C1298" s="39"/>
      <c r="D1298" s="39"/>
      <c r="T1298" s="40"/>
    </row>
    <row r="1299" spans="1:20" ht="15.75" customHeight="1">
      <c r="A1299" s="39"/>
      <c r="B1299" s="39"/>
      <c r="C1299" s="39"/>
      <c r="D1299" s="39"/>
      <c r="T1299" s="40"/>
    </row>
    <row r="1300" spans="1:20" ht="15.75" customHeight="1">
      <c r="A1300" s="39"/>
      <c r="B1300" s="39"/>
      <c r="C1300" s="39"/>
      <c r="D1300" s="39"/>
      <c r="T1300" s="40"/>
    </row>
    <row r="1301" spans="1:20" ht="15.75" customHeight="1">
      <c r="A1301" s="39"/>
      <c r="B1301" s="39"/>
      <c r="C1301" s="39"/>
      <c r="D1301" s="39"/>
      <c r="T1301" s="40"/>
    </row>
    <row r="1302" spans="1:20" ht="15.75" customHeight="1">
      <c r="A1302" s="39"/>
      <c r="B1302" s="39"/>
      <c r="C1302" s="39"/>
      <c r="D1302" s="39"/>
      <c r="T1302" s="40"/>
    </row>
    <row r="1303" spans="1:20" ht="15.75" customHeight="1">
      <c r="A1303" s="39"/>
      <c r="B1303" s="39"/>
      <c r="C1303" s="39"/>
      <c r="D1303" s="39"/>
      <c r="T1303" s="40"/>
    </row>
    <row r="1304" spans="1:20" ht="15.75" customHeight="1">
      <c r="A1304" s="39"/>
      <c r="B1304" s="39"/>
      <c r="C1304" s="39"/>
      <c r="D1304" s="39"/>
      <c r="T1304" s="40"/>
    </row>
    <row r="1305" spans="1:20" ht="15.75" customHeight="1">
      <c r="A1305" s="39"/>
      <c r="B1305" s="39"/>
      <c r="C1305" s="39"/>
      <c r="D1305" s="39"/>
      <c r="T1305" s="40"/>
    </row>
    <row r="1306" spans="1:20" ht="15.75" customHeight="1">
      <c r="A1306" s="39"/>
      <c r="B1306" s="39"/>
      <c r="C1306" s="39"/>
      <c r="D1306" s="39"/>
      <c r="T1306" s="40"/>
    </row>
    <row r="1307" spans="1:20" ht="15.75" customHeight="1">
      <c r="A1307" s="39"/>
      <c r="B1307" s="39"/>
      <c r="C1307" s="39"/>
      <c r="D1307" s="39"/>
      <c r="T1307" s="40"/>
    </row>
    <row r="1308" spans="1:20" ht="15.75" customHeight="1">
      <c r="A1308" s="39"/>
      <c r="B1308" s="39"/>
      <c r="C1308" s="39"/>
      <c r="D1308" s="39"/>
      <c r="T1308" s="40"/>
    </row>
    <row r="1309" spans="1:20" ht="15.75" customHeight="1">
      <c r="A1309" s="39"/>
      <c r="B1309" s="39"/>
      <c r="C1309" s="39"/>
      <c r="D1309" s="39"/>
      <c r="T1309" s="40"/>
    </row>
    <row r="1310" spans="1:20" ht="15.75" customHeight="1">
      <c r="A1310" s="39"/>
      <c r="B1310" s="39"/>
      <c r="C1310" s="39"/>
      <c r="D1310" s="39"/>
      <c r="T1310" s="40"/>
    </row>
    <row r="1311" spans="1:20" ht="15.75" customHeight="1">
      <c r="A1311" s="39"/>
      <c r="B1311" s="39"/>
      <c r="C1311" s="39"/>
      <c r="D1311" s="39"/>
      <c r="T1311" s="40"/>
    </row>
    <row r="1312" spans="1:20" ht="15.75" customHeight="1">
      <c r="A1312" s="39"/>
      <c r="B1312" s="39"/>
      <c r="C1312" s="39"/>
      <c r="D1312" s="39"/>
      <c r="T1312" s="40"/>
    </row>
    <row r="1313" spans="1:20" ht="15.75" customHeight="1">
      <c r="A1313" s="39"/>
      <c r="B1313" s="39"/>
      <c r="C1313" s="39"/>
      <c r="D1313" s="39"/>
      <c r="T1313" s="40"/>
    </row>
    <row r="1314" spans="1:20" ht="15.75" customHeight="1">
      <c r="A1314" s="39"/>
      <c r="B1314" s="39"/>
      <c r="C1314" s="39"/>
      <c r="D1314" s="39"/>
      <c r="T1314" s="40"/>
    </row>
    <row r="1315" spans="1:20" ht="15.75" customHeight="1">
      <c r="A1315" s="39"/>
      <c r="B1315" s="39"/>
      <c r="C1315" s="39"/>
      <c r="D1315" s="39"/>
      <c r="T1315" s="40"/>
    </row>
    <row r="1316" spans="1:20" ht="15.75" customHeight="1">
      <c r="A1316" s="39"/>
      <c r="B1316" s="39"/>
      <c r="C1316" s="39"/>
      <c r="D1316" s="39"/>
      <c r="T1316" s="40"/>
    </row>
    <row r="1317" spans="1:20" ht="15.75" customHeight="1">
      <c r="A1317" s="39"/>
      <c r="B1317" s="39"/>
      <c r="C1317" s="39"/>
      <c r="D1317" s="39"/>
      <c r="T1317" s="40"/>
    </row>
    <row r="1318" spans="1:20" ht="15.75" customHeight="1">
      <c r="A1318" s="39"/>
      <c r="B1318" s="39"/>
      <c r="C1318" s="39"/>
      <c r="D1318" s="39"/>
      <c r="T1318" s="40"/>
    </row>
    <row r="1319" spans="1:20" ht="15.75" customHeight="1">
      <c r="A1319" s="39"/>
      <c r="B1319" s="39"/>
      <c r="C1319" s="39"/>
      <c r="D1319" s="39"/>
      <c r="T1319" s="40"/>
    </row>
    <row r="1320" spans="1:20" ht="15.75" customHeight="1">
      <c r="A1320" s="39"/>
      <c r="B1320" s="39"/>
      <c r="C1320" s="39"/>
      <c r="D1320" s="39"/>
      <c r="T1320" s="40"/>
    </row>
    <row r="1321" spans="1:20" ht="15.75" customHeight="1">
      <c r="A1321" s="39"/>
      <c r="B1321" s="39"/>
      <c r="C1321" s="39"/>
      <c r="D1321" s="39"/>
      <c r="T1321" s="40"/>
    </row>
    <row r="1322" spans="1:20" ht="15.75" customHeight="1">
      <c r="A1322" s="39"/>
      <c r="B1322" s="39"/>
      <c r="C1322" s="39"/>
      <c r="D1322" s="39"/>
      <c r="T1322" s="40"/>
    </row>
    <row r="1323" spans="1:20" ht="15.75" customHeight="1">
      <c r="A1323" s="39"/>
      <c r="B1323" s="39"/>
      <c r="C1323" s="39"/>
      <c r="D1323" s="39"/>
      <c r="T1323" s="40"/>
    </row>
    <row r="1324" spans="1:20" ht="15.75" customHeight="1">
      <c r="A1324" s="39"/>
      <c r="B1324" s="39"/>
      <c r="C1324" s="39"/>
      <c r="D1324" s="39"/>
      <c r="T1324" s="40"/>
    </row>
    <row r="1325" spans="1:20" ht="15.75" customHeight="1">
      <c r="A1325" s="39"/>
      <c r="B1325" s="39"/>
      <c r="C1325" s="39"/>
      <c r="D1325" s="39"/>
      <c r="T1325" s="40"/>
    </row>
    <row r="1326" spans="1:20" ht="15.75" customHeight="1">
      <c r="A1326" s="39"/>
      <c r="B1326" s="39"/>
      <c r="C1326" s="39"/>
      <c r="D1326" s="39"/>
      <c r="T1326" s="40"/>
    </row>
    <row r="1327" spans="1:20" ht="15.75" customHeight="1">
      <c r="A1327" s="39"/>
      <c r="B1327" s="39"/>
      <c r="C1327" s="39"/>
      <c r="D1327" s="39"/>
      <c r="T1327" s="40"/>
    </row>
    <row r="1328" spans="1:20" ht="15.75" customHeight="1">
      <c r="A1328" s="39"/>
      <c r="B1328" s="39"/>
      <c r="C1328" s="39"/>
      <c r="D1328" s="39"/>
      <c r="T1328" s="40"/>
    </row>
    <row r="1329" spans="1:20" ht="15.75" customHeight="1">
      <c r="A1329" s="39"/>
      <c r="B1329" s="39"/>
      <c r="C1329" s="39"/>
      <c r="D1329" s="39"/>
      <c r="T1329" s="40"/>
    </row>
    <row r="1330" spans="1:20" ht="15.75" customHeight="1">
      <c r="A1330" s="39"/>
      <c r="B1330" s="39"/>
      <c r="C1330" s="39"/>
      <c r="D1330" s="39"/>
      <c r="T1330" s="40"/>
    </row>
    <row r="1331" spans="1:20" ht="15.75" customHeight="1">
      <c r="A1331" s="39"/>
      <c r="B1331" s="39"/>
      <c r="C1331" s="39"/>
      <c r="D1331" s="39"/>
      <c r="T1331" s="40"/>
    </row>
    <row r="1332" spans="1:20" ht="15.75" customHeight="1">
      <c r="A1332" s="39"/>
      <c r="B1332" s="39"/>
      <c r="C1332" s="39"/>
      <c r="D1332" s="39"/>
      <c r="T1332" s="40"/>
    </row>
    <row r="1333" spans="1:20" ht="15.75" customHeight="1">
      <c r="A1333" s="39"/>
      <c r="B1333" s="39"/>
      <c r="C1333" s="39"/>
      <c r="D1333" s="39"/>
      <c r="T1333" s="40"/>
    </row>
    <row r="1334" spans="1:20" ht="15.75" customHeight="1">
      <c r="A1334" s="39"/>
      <c r="B1334" s="39"/>
      <c r="C1334" s="39"/>
      <c r="D1334" s="39"/>
      <c r="T1334" s="40"/>
    </row>
    <row r="1335" spans="1:20" ht="15.75" customHeight="1">
      <c r="A1335" s="39"/>
      <c r="B1335" s="39"/>
      <c r="C1335" s="39"/>
      <c r="D1335" s="39"/>
      <c r="T1335" s="40"/>
    </row>
    <row r="1336" spans="1:20" ht="15.75" customHeight="1">
      <c r="A1336" s="39"/>
      <c r="B1336" s="39"/>
      <c r="C1336" s="39"/>
      <c r="D1336" s="39"/>
      <c r="T1336" s="40"/>
    </row>
    <row r="1337" spans="1:20" ht="15.75" customHeight="1">
      <c r="A1337" s="39"/>
      <c r="B1337" s="39"/>
      <c r="C1337" s="39"/>
      <c r="D1337" s="39"/>
      <c r="T1337" s="40"/>
    </row>
    <row r="1338" spans="1:20" ht="15.75" customHeight="1">
      <c r="A1338" s="39"/>
      <c r="B1338" s="39"/>
      <c r="C1338" s="39"/>
      <c r="D1338" s="39"/>
      <c r="T1338" s="40"/>
    </row>
    <row r="1339" spans="1:20" ht="15.75" customHeight="1">
      <c r="A1339" s="39"/>
      <c r="B1339" s="39"/>
      <c r="C1339" s="39"/>
      <c r="D1339" s="39"/>
      <c r="T1339" s="40"/>
    </row>
    <row r="1340" spans="1:20" ht="15.75" customHeight="1">
      <c r="A1340" s="39"/>
      <c r="B1340" s="39"/>
      <c r="C1340" s="39"/>
      <c r="D1340" s="39"/>
      <c r="T1340" s="40"/>
    </row>
    <row r="1341" spans="1:20" ht="15.75" customHeight="1">
      <c r="A1341" s="39"/>
      <c r="B1341" s="39"/>
      <c r="C1341" s="39"/>
      <c r="D1341" s="39"/>
      <c r="T1341" s="40"/>
    </row>
    <row r="1342" spans="1:20" ht="15.75" customHeight="1">
      <c r="A1342" s="39"/>
      <c r="B1342" s="39"/>
      <c r="C1342" s="39"/>
      <c r="D1342" s="39"/>
      <c r="T1342" s="40"/>
    </row>
    <row r="1343" spans="1:20" ht="15.75" customHeight="1">
      <c r="A1343" s="39"/>
      <c r="B1343" s="39"/>
      <c r="C1343" s="39"/>
      <c r="D1343" s="39"/>
      <c r="T1343" s="40"/>
    </row>
    <row r="1344" spans="1:20" ht="15.75" customHeight="1">
      <c r="A1344" s="39"/>
      <c r="B1344" s="39"/>
      <c r="C1344" s="39"/>
      <c r="D1344" s="39"/>
      <c r="T1344" s="40"/>
    </row>
    <row r="1345" spans="1:20" ht="15.75" customHeight="1">
      <c r="A1345" s="39"/>
      <c r="B1345" s="39"/>
      <c r="C1345" s="39"/>
      <c r="D1345" s="39"/>
      <c r="T1345" s="40"/>
    </row>
    <row r="1346" spans="1:20" ht="15.75" customHeight="1">
      <c r="A1346" s="39"/>
      <c r="B1346" s="39"/>
      <c r="C1346" s="39"/>
      <c r="D1346" s="39"/>
      <c r="T1346" s="40"/>
    </row>
    <row r="1347" spans="1:20" ht="15.75" customHeight="1">
      <c r="A1347" s="39"/>
      <c r="B1347" s="39"/>
      <c r="C1347" s="39"/>
      <c r="D1347" s="39"/>
      <c r="T1347" s="40"/>
    </row>
    <row r="1348" spans="1:20" ht="15.75" customHeight="1">
      <c r="A1348" s="39"/>
      <c r="B1348" s="39"/>
      <c r="C1348" s="39"/>
      <c r="D1348" s="39"/>
      <c r="T1348" s="40"/>
    </row>
    <row r="1349" spans="1:20" ht="15.75" customHeight="1">
      <c r="A1349" s="39"/>
      <c r="B1349" s="39"/>
      <c r="C1349" s="39"/>
      <c r="D1349" s="39"/>
      <c r="T1349" s="40"/>
    </row>
    <row r="1350" spans="1:20" ht="15.75" customHeight="1">
      <c r="A1350" s="39"/>
      <c r="B1350" s="39"/>
      <c r="C1350" s="39"/>
      <c r="D1350" s="39"/>
      <c r="T1350" s="40"/>
    </row>
    <row r="1351" spans="1:20" ht="15.75" customHeight="1">
      <c r="A1351" s="39"/>
      <c r="B1351" s="39"/>
      <c r="C1351" s="39"/>
      <c r="D1351" s="39"/>
      <c r="T1351" s="40"/>
    </row>
    <row r="1352" spans="1:20" ht="15.75" customHeight="1">
      <c r="A1352" s="39"/>
      <c r="B1352" s="39"/>
      <c r="C1352" s="39"/>
      <c r="D1352" s="39"/>
      <c r="T1352" s="40"/>
    </row>
    <row r="1353" spans="1:20" ht="15.75" customHeight="1">
      <c r="A1353" s="39"/>
      <c r="B1353" s="39"/>
      <c r="C1353" s="39"/>
      <c r="D1353" s="39"/>
      <c r="T1353" s="40"/>
    </row>
    <row r="1354" spans="1:20" ht="15.75" customHeight="1">
      <c r="A1354" s="39"/>
      <c r="B1354" s="39"/>
      <c r="C1354" s="39"/>
      <c r="D1354" s="39"/>
      <c r="T1354" s="40"/>
    </row>
    <row r="1355" spans="1:20" ht="15.75" customHeight="1">
      <c r="A1355" s="39"/>
      <c r="B1355" s="39"/>
      <c r="C1355" s="39"/>
      <c r="D1355" s="39"/>
      <c r="T1355" s="40"/>
    </row>
    <row r="1356" spans="1:20" ht="15.75" customHeight="1">
      <c r="A1356" s="39"/>
      <c r="B1356" s="39"/>
      <c r="C1356" s="39"/>
      <c r="D1356" s="39"/>
      <c r="T1356" s="40"/>
    </row>
    <row r="1357" spans="1:20" ht="15.75" customHeight="1">
      <c r="A1357" s="39"/>
      <c r="B1357" s="39"/>
      <c r="C1357" s="39"/>
      <c r="D1357" s="39"/>
      <c r="T1357" s="40"/>
    </row>
    <row r="1358" spans="1:20" ht="15.75" customHeight="1">
      <c r="A1358" s="39"/>
      <c r="B1358" s="39"/>
      <c r="C1358" s="39"/>
      <c r="D1358" s="39"/>
      <c r="T1358" s="40"/>
    </row>
    <row r="1359" spans="1:20" ht="15.75" customHeight="1">
      <c r="A1359" s="39"/>
      <c r="B1359" s="39"/>
      <c r="C1359" s="39"/>
      <c r="D1359" s="39"/>
      <c r="T1359" s="40"/>
    </row>
    <row r="1360" spans="1:20" ht="15.75" customHeight="1">
      <c r="A1360" s="39"/>
      <c r="B1360" s="39"/>
      <c r="C1360" s="39"/>
      <c r="D1360" s="39"/>
      <c r="T1360" s="40"/>
    </row>
    <row r="1361" spans="1:20" ht="15.75" customHeight="1">
      <c r="A1361" s="39"/>
      <c r="B1361" s="39"/>
      <c r="C1361" s="39"/>
      <c r="D1361" s="39"/>
      <c r="T1361" s="40"/>
    </row>
    <row r="1362" spans="1:20" ht="15.75" customHeight="1">
      <c r="A1362" s="39"/>
      <c r="B1362" s="39"/>
      <c r="C1362" s="39"/>
      <c r="D1362" s="39"/>
      <c r="T1362" s="40"/>
    </row>
    <row r="1363" spans="1:20" ht="15.75" customHeight="1">
      <c r="A1363" s="39"/>
      <c r="B1363" s="39"/>
      <c r="C1363" s="39"/>
      <c r="D1363" s="39"/>
      <c r="T1363" s="40"/>
    </row>
    <row r="1364" spans="1:20" ht="15.75" customHeight="1">
      <c r="A1364" s="39"/>
      <c r="B1364" s="39"/>
      <c r="C1364" s="39"/>
      <c r="D1364" s="39"/>
      <c r="T1364" s="40"/>
    </row>
    <row r="1365" spans="1:20" ht="15.75" customHeight="1">
      <c r="A1365" s="39"/>
      <c r="B1365" s="39"/>
      <c r="C1365" s="39"/>
      <c r="D1365" s="39"/>
      <c r="T1365" s="40"/>
    </row>
    <row r="1366" spans="1:20" ht="15.75" customHeight="1">
      <c r="A1366" s="39"/>
      <c r="B1366" s="39"/>
      <c r="C1366" s="39"/>
      <c r="D1366" s="39"/>
      <c r="T1366" s="40"/>
    </row>
    <row r="1367" spans="1:20" ht="15.75" customHeight="1">
      <c r="A1367" s="39"/>
      <c r="B1367" s="39"/>
      <c r="C1367" s="39"/>
      <c r="D1367" s="39"/>
      <c r="T1367" s="40"/>
    </row>
    <row r="1368" spans="1:20" ht="15.75" customHeight="1">
      <c r="A1368" s="39"/>
      <c r="B1368" s="39"/>
      <c r="C1368" s="39"/>
      <c r="D1368" s="39"/>
      <c r="T1368" s="40"/>
    </row>
    <row r="1369" spans="1:20" ht="15.75" customHeight="1">
      <c r="A1369" s="39"/>
      <c r="B1369" s="39"/>
      <c r="C1369" s="39"/>
      <c r="D1369" s="39"/>
      <c r="T1369" s="40"/>
    </row>
    <row r="1370" spans="1:20" ht="15.75" customHeight="1">
      <c r="A1370" s="39"/>
      <c r="B1370" s="39"/>
      <c r="C1370" s="39"/>
      <c r="D1370" s="39"/>
      <c r="T1370" s="40"/>
    </row>
    <row r="1371" spans="1:20" ht="15.75" customHeight="1">
      <c r="A1371" s="39"/>
      <c r="B1371" s="39"/>
      <c r="C1371" s="39"/>
      <c r="D1371" s="39"/>
      <c r="T1371" s="40"/>
    </row>
    <row r="1372" spans="1:20" ht="15.75" customHeight="1">
      <c r="A1372" s="39"/>
      <c r="B1372" s="39"/>
      <c r="C1372" s="39"/>
      <c r="D1372" s="39"/>
      <c r="T1372" s="40"/>
    </row>
    <row r="1373" spans="1:20" ht="15.75" customHeight="1">
      <c r="A1373" s="39"/>
      <c r="B1373" s="39"/>
      <c r="C1373" s="39"/>
      <c r="D1373" s="39"/>
      <c r="T1373" s="40"/>
    </row>
    <row r="1374" spans="1:20" ht="15.75" customHeight="1">
      <c r="A1374" s="39"/>
      <c r="B1374" s="39"/>
      <c r="C1374" s="39"/>
      <c r="D1374" s="39"/>
      <c r="T1374" s="40"/>
    </row>
    <row r="1375" spans="1:20" ht="15.75" customHeight="1">
      <c r="A1375" s="39"/>
      <c r="B1375" s="39"/>
      <c r="C1375" s="39"/>
      <c r="D1375" s="39"/>
      <c r="T1375" s="40"/>
    </row>
    <row r="1376" spans="1:20" ht="15.75" customHeight="1">
      <c r="A1376" s="39"/>
      <c r="B1376" s="39"/>
      <c r="C1376" s="39"/>
      <c r="D1376" s="39"/>
      <c r="T1376" s="40"/>
    </row>
    <row r="1377" spans="1:20" ht="15.75" customHeight="1">
      <c r="A1377" s="39"/>
      <c r="B1377" s="39"/>
      <c r="C1377" s="39"/>
      <c r="D1377" s="39"/>
      <c r="T1377" s="40"/>
    </row>
    <row r="1378" spans="1:20" ht="15.75" customHeight="1">
      <c r="A1378" s="39"/>
      <c r="B1378" s="39"/>
      <c r="C1378" s="39"/>
      <c r="D1378" s="39"/>
      <c r="T1378" s="40"/>
    </row>
    <row r="1379" spans="1:20" ht="15.75" customHeight="1">
      <c r="A1379" s="39"/>
      <c r="B1379" s="39"/>
      <c r="C1379" s="39"/>
      <c r="D1379" s="39"/>
      <c r="T1379" s="40"/>
    </row>
    <row r="1380" spans="1:20" ht="15.75" customHeight="1">
      <c r="A1380" s="39"/>
      <c r="B1380" s="39"/>
      <c r="C1380" s="39"/>
      <c r="D1380" s="39"/>
      <c r="T1380" s="40"/>
    </row>
    <row r="1381" spans="1:20" ht="15.75" customHeight="1">
      <c r="A1381" s="39"/>
      <c r="B1381" s="39"/>
      <c r="C1381" s="39"/>
      <c r="D1381" s="39"/>
      <c r="T1381" s="40"/>
    </row>
    <row r="1382" spans="1:20" ht="15.75" customHeight="1">
      <c r="A1382" s="39"/>
      <c r="B1382" s="39"/>
      <c r="C1382" s="39"/>
      <c r="D1382" s="39"/>
      <c r="T1382" s="40"/>
    </row>
    <row r="1383" spans="1:20" ht="15.75" customHeight="1">
      <c r="A1383" s="39"/>
      <c r="B1383" s="39"/>
      <c r="C1383" s="39"/>
      <c r="D1383" s="39"/>
      <c r="T1383" s="40"/>
    </row>
    <row r="1384" spans="1:20" ht="15.75" customHeight="1">
      <c r="A1384" s="39"/>
      <c r="B1384" s="39"/>
      <c r="C1384" s="39"/>
      <c r="D1384" s="39"/>
      <c r="T1384" s="40"/>
    </row>
    <row r="1385" spans="1:20" ht="15.75" customHeight="1">
      <c r="A1385" s="39"/>
      <c r="B1385" s="39"/>
      <c r="C1385" s="39"/>
      <c r="D1385" s="39"/>
      <c r="T1385" s="40"/>
    </row>
    <row r="1386" spans="1:20" ht="15.75" customHeight="1">
      <c r="A1386" s="39"/>
      <c r="B1386" s="39"/>
      <c r="C1386" s="39"/>
      <c r="D1386" s="39"/>
      <c r="T1386" s="40"/>
    </row>
    <row r="1387" spans="1:20" ht="15.75" customHeight="1">
      <c r="A1387" s="39"/>
      <c r="B1387" s="39"/>
      <c r="C1387" s="39"/>
      <c r="D1387" s="39"/>
      <c r="T1387" s="40"/>
    </row>
    <row r="1388" spans="1:20" ht="15.75" customHeight="1">
      <c r="A1388" s="39"/>
      <c r="B1388" s="39"/>
      <c r="C1388" s="39"/>
      <c r="D1388" s="39"/>
      <c r="T1388" s="40"/>
    </row>
    <row r="1389" spans="1:20" ht="15.75" customHeight="1">
      <c r="A1389" s="39"/>
      <c r="B1389" s="39"/>
      <c r="C1389" s="39"/>
      <c r="D1389" s="39"/>
      <c r="T1389" s="40"/>
    </row>
    <row r="1390" spans="1:20" ht="15.75" customHeight="1">
      <c r="A1390" s="39"/>
      <c r="B1390" s="39"/>
      <c r="C1390" s="39"/>
      <c r="D1390" s="39"/>
      <c r="T1390" s="40"/>
    </row>
    <row r="1391" spans="1:20" ht="15.75" customHeight="1">
      <c r="A1391" s="39"/>
      <c r="B1391" s="39"/>
      <c r="C1391" s="39"/>
      <c r="D1391" s="39"/>
      <c r="T1391" s="40"/>
    </row>
    <row r="1392" spans="1:20" ht="15.75" customHeight="1">
      <c r="A1392" s="39"/>
      <c r="B1392" s="39"/>
      <c r="C1392" s="39"/>
      <c r="D1392" s="39"/>
      <c r="T1392" s="40"/>
    </row>
    <row r="1393" spans="1:20" ht="15.75" customHeight="1">
      <c r="A1393" s="39"/>
      <c r="B1393" s="39"/>
      <c r="C1393" s="39"/>
      <c r="D1393" s="39"/>
      <c r="T1393" s="40"/>
    </row>
    <row r="1394" spans="1:20" ht="15.75" customHeight="1">
      <c r="A1394" s="39"/>
      <c r="B1394" s="39"/>
      <c r="C1394" s="39"/>
      <c r="D1394" s="39"/>
      <c r="T1394" s="40"/>
    </row>
    <row r="1395" spans="1:20" ht="15.75" customHeight="1">
      <c r="A1395" s="39"/>
      <c r="B1395" s="39"/>
      <c r="C1395" s="39"/>
      <c r="D1395" s="39"/>
      <c r="T1395" s="40"/>
    </row>
    <row r="1396" spans="1:20" ht="15.75" customHeight="1">
      <c r="A1396" s="39"/>
      <c r="B1396" s="39"/>
      <c r="C1396" s="39"/>
      <c r="D1396" s="39"/>
      <c r="T1396" s="40"/>
    </row>
    <row r="1397" spans="1:20" ht="15.75" customHeight="1">
      <c r="A1397" s="39"/>
      <c r="B1397" s="39"/>
      <c r="C1397" s="39"/>
      <c r="D1397" s="39"/>
      <c r="T1397" s="40"/>
    </row>
    <row r="1398" spans="1:20" ht="15.75" customHeight="1">
      <c r="A1398" s="39"/>
      <c r="B1398" s="39"/>
      <c r="C1398" s="39"/>
      <c r="D1398" s="39"/>
      <c r="T1398" s="40"/>
    </row>
    <row r="1399" spans="1:20" ht="15.75" customHeight="1">
      <c r="A1399" s="39"/>
      <c r="B1399" s="39"/>
      <c r="C1399" s="39"/>
      <c r="D1399" s="39"/>
      <c r="T1399" s="40"/>
    </row>
    <row r="1400" spans="1:20" ht="15.75" customHeight="1">
      <c r="A1400" s="39"/>
      <c r="B1400" s="39"/>
      <c r="C1400" s="39"/>
      <c r="D1400" s="39"/>
      <c r="T1400" s="40"/>
    </row>
    <row r="1401" spans="1:20" ht="15.75" customHeight="1">
      <c r="A1401" s="39"/>
      <c r="B1401" s="39"/>
      <c r="C1401" s="39"/>
      <c r="D1401" s="39"/>
      <c r="T1401" s="40"/>
    </row>
    <row r="1402" spans="1:20" ht="15.75" customHeight="1">
      <c r="A1402" s="39"/>
      <c r="B1402" s="39"/>
      <c r="C1402" s="39"/>
      <c r="D1402" s="39"/>
      <c r="T1402" s="40"/>
    </row>
    <row r="1403" spans="1:20" ht="15.75" customHeight="1">
      <c r="A1403" s="39"/>
      <c r="B1403" s="39"/>
      <c r="C1403" s="39"/>
      <c r="D1403" s="39"/>
      <c r="T1403" s="40"/>
    </row>
    <row r="1404" spans="1:20" ht="15.75" customHeight="1">
      <c r="A1404" s="39"/>
      <c r="B1404" s="39"/>
      <c r="C1404" s="39"/>
      <c r="D1404" s="39"/>
      <c r="T1404" s="40"/>
    </row>
    <row r="1405" spans="1:20" ht="15.75" customHeight="1">
      <c r="A1405" s="39"/>
      <c r="B1405" s="39"/>
      <c r="C1405" s="39"/>
      <c r="D1405" s="39"/>
      <c r="T1405" s="40"/>
    </row>
    <row r="1406" spans="1:20" ht="15.75" customHeight="1">
      <c r="A1406" s="39"/>
      <c r="B1406" s="39"/>
      <c r="C1406" s="39"/>
      <c r="D1406" s="39"/>
      <c r="T1406" s="40"/>
    </row>
    <row r="1407" spans="1:20" ht="15.75" customHeight="1">
      <c r="A1407" s="39"/>
      <c r="B1407" s="39"/>
      <c r="C1407" s="39"/>
      <c r="D1407" s="39"/>
      <c r="T1407" s="40"/>
    </row>
    <row r="1408" spans="1:20" ht="15.75" customHeight="1">
      <c r="A1408" s="39"/>
      <c r="B1408" s="39"/>
      <c r="C1408" s="39"/>
      <c r="D1408" s="39"/>
      <c r="T1408" s="40"/>
    </row>
    <row r="1409" spans="1:20" ht="15.75" customHeight="1">
      <c r="A1409" s="39"/>
      <c r="B1409" s="39"/>
      <c r="C1409" s="39"/>
      <c r="D1409" s="39"/>
      <c r="T1409" s="40"/>
    </row>
    <row r="1410" spans="1:20" ht="15.75" customHeight="1">
      <c r="A1410" s="39"/>
      <c r="B1410" s="39"/>
      <c r="C1410" s="39"/>
      <c r="D1410" s="39"/>
      <c r="T1410" s="40"/>
    </row>
    <row r="1411" spans="1:20" ht="15.75" customHeight="1">
      <c r="A1411" s="39"/>
      <c r="B1411" s="39"/>
      <c r="C1411" s="39"/>
      <c r="D1411" s="39"/>
      <c r="T1411" s="40"/>
    </row>
    <row r="1412" spans="1:20" ht="15.75" customHeight="1">
      <c r="A1412" s="39"/>
      <c r="B1412" s="39"/>
      <c r="C1412" s="39"/>
      <c r="D1412" s="39"/>
      <c r="T1412" s="40"/>
    </row>
    <row r="1413" spans="1:20" ht="15.75" customHeight="1">
      <c r="A1413" s="39"/>
      <c r="B1413" s="39"/>
      <c r="C1413" s="39"/>
      <c r="D1413" s="39"/>
      <c r="T1413" s="40"/>
    </row>
    <row r="1414" spans="1:20" ht="15.75" customHeight="1">
      <c r="A1414" s="39"/>
      <c r="B1414" s="39"/>
      <c r="C1414" s="39"/>
      <c r="D1414" s="39"/>
      <c r="T1414" s="40"/>
    </row>
    <row r="1415" spans="1:20" ht="15.75" customHeight="1">
      <c r="A1415" s="39"/>
      <c r="B1415" s="39"/>
      <c r="C1415" s="39"/>
      <c r="D1415" s="39"/>
      <c r="T1415" s="40"/>
    </row>
    <row r="1416" spans="1:20" ht="15.75" customHeight="1">
      <c r="A1416" s="39"/>
      <c r="B1416" s="39"/>
      <c r="C1416" s="39"/>
      <c r="D1416" s="39"/>
      <c r="T1416" s="40"/>
    </row>
    <row r="1417" spans="1:20" ht="15.75" customHeight="1">
      <c r="A1417" s="39"/>
      <c r="B1417" s="39"/>
      <c r="C1417" s="39"/>
      <c r="D1417" s="39"/>
      <c r="T1417" s="40"/>
    </row>
  </sheetData>
  <conditionalFormatting sqref="R2:R497">
    <cfRule type="cellIs" dxfId="4" priority="1" operator="greaterThan">
      <formula>1</formula>
    </cfRule>
  </conditionalFormatting>
  <conditionalFormatting sqref="U2:U501">
    <cfRule type="expression" dxfId="3" priority="2">
      <formula>T2&lt;&gt;U2</formula>
    </cfRule>
  </conditionalFormatting>
  <conditionalFormatting sqref="V2:V501">
    <cfRule type="expression" dxfId="2" priority="3">
      <formula>AND(V2&lt;&gt;0, V2&lt;&gt;$T2)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78"/>
  <sheetViews>
    <sheetView workbookViewId="0"/>
  </sheetViews>
  <sheetFormatPr baseColWidth="10" defaultColWidth="14.453125" defaultRowHeight="15" customHeight="1"/>
  <cols>
    <col min="1" max="1" width="11.26953125" customWidth="1"/>
    <col min="2" max="2" width="46.81640625" customWidth="1"/>
    <col min="3" max="3" width="14.26953125" customWidth="1"/>
    <col min="6" max="6" width="39" customWidth="1"/>
  </cols>
  <sheetData>
    <row r="1" spans="1:22" ht="14.5">
      <c r="A1" s="41"/>
      <c r="B1" s="209" t="s">
        <v>612</v>
      </c>
      <c r="C1" s="210"/>
      <c r="D1" s="210"/>
      <c r="F1" s="209" t="s">
        <v>613</v>
      </c>
      <c r="G1" s="210"/>
      <c r="H1" s="210"/>
      <c r="J1" s="34"/>
      <c r="K1" s="34"/>
      <c r="L1" s="34"/>
      <c r="N1" s="34"/>
    </row>
    <row r="2" spans="1:22" ht="14.5">
      <c r="A2" s="42"/>
      <c r="B2" s="42" t="s">
        <v>614</v>
      </c>
      <c r="C2" s="42"/>
      <c r="F2" s="42" t="s">
        <v>614</v>
      </c>
      <c r="G2" s="42"/>
      <c r="J2" s="34"/>
      <c r="K2" s="34"/>
      <c r="L2" s="34"/>
      <c r="M2" s="34"/>
      <c r="N2" s="34"/>
    </row>
    <row r="3" spans="1:22" ht="14.5">
      <c r="A3" s="42" t="s">
        <v>615</v>
      </c>
      <c r="B3" s="42" t="s">
        <v>616</v>
      </c>
      <c r="C3" s="42" t="s">
        <v>617</v>
      </c>
      <c r="F3" s="42" t="s">
        <v>616</v>
      </c>
      <c r="G3" s="42" t="s">
        <v>617</v>
      </c>
      <c r="J3" s="34"/>
      <c r="K3" s="34"/>
      <c r="L3" s="34"/>
      <c r="M3" s="34"/>
      <c r="N3" s="34"/>
    </row>
    <row r="4" spans="1:22" ht="14.5">
      <c r="A4" s="34"/>
      <c r="B4" s="34" t="s">
        <v>618</v>
      </c>
      <c r="C4" s="34">
        <f>Cobranza!AE503</f>
        <v>8654.5</v>
      </c>
      <c r="F4" s="34" t="s">
        <v>619</v>
      </c>
      <c r="G4" s="34">
        <f>Cobranza!AD503</f>
        <v>3105</v>
      </c>
      <c r="H4" s="43"/>
      <c r="J4" s="34"/>
      <c r="K4" s="44"/>
      <c r="L4" s="34"/>
      <c r="M4" s="34"/>
      <c r="N4" s="34"/>
    </row>
    <row r="5" spans="1:22" ht="14.5">
      <c r="A5" s="34"/>
      <c r="B5" s="45" t="s">
        <v>620</v>
      </c>
      <c r="C5" s="46">
        <v>30</v>
      </c>
      <c r="F5" s="34"/>
      <c r="G5" s="34"/>
      <c r="H5" s="34"/>
      <c r="J5" s="34"/>
      <c r="K5" s="44"/>
      <c r="N5" s="34"/>
    </row>
    <row r="6" spans="1:22" ht="14.5">
      <c r="A6" s="47"/>
      <c r="B6" s="34" t="s">
        <v>621</v>
      </c>
      <c r="C6" s="48">
        <v>-83</v>
      </c>
      <c r="D6" s="45"/>
      <c r="E6" s="45"/>
      <c r="F6" s="34" t="s">
        <v>622</v>
      </c>
      <c r="G6" s="49">
        <v>83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</row>
    <row r="7" spans="1:22" ht="14.5">
      <c r="A7" s="34"/>
      <c r="B7" s="34" t="s">
        <v>623</v>
      </c>
      <c r="C7" s="50">
        <v>150</v>
      </c>
      <c r="D7" s="51"/>
      <c r="F7" s="34"/>
      <c r="G7" s="34"/>
      <c r="J7" s="34"/>
      <c r="K7" s="34"/>
      <c r="N7" s="34"/>
    </row>
    <row r="8" spans="1:22" ht="14.5">
      <c r="A8" s="34"/>
      <c r="B8" s="34" t="s">
        <v>624</v>
      </c>
      <c r="C8" s="52">
        <v>-8775.9</v>
      </c>
      <c r="F8" s="34"/>
      <c r="G8" s="34"/>
      <c r="J8" s="34"/>
      <c r="N8" s="34"/>
    </row>
    <row r="9" spans="1:22" ht="14.5">
      <c r="A9" s="34"/>
      <c r="B9" s="34"/>
      <c r="C9" s="50"/>
      <c r="D9" s="34"/>
      <c r="F9" s="34"/>
      <c r="G9" s="34"/>
      <c r="I9" s="34"/>
      <c r="J9" s="34"/>
      <c r="K9" s="34"/>
      <c r="N9" s="34"/>
    </row>
    <row r="10" spans="1:22" ht="14.5">
      <c r="A10" s="34"/>
      <c r="B10" s="34"/>
      <c r="C10" s="50"/>
      <c r="D10" s="34"/>
      <c r="F10" s="34"/>
      <c r="G10" s="34"/>
      <c r="H10" s="38"/>
      <c r="I10" s="34"/>
      <c r="J10" s="34"/>
      <c r="K10" s="34"/>
      <c r="N10" s="34"/>
    </row>
    <row r="11" spans="1:22" ht="14.5">
      <c r="A11" s="34"/>
      <c r="B11" s="34"/>
      <c r="C11" s="34"/>
      <c r="D11" s="34"/>
      <c r="F11" s="34"/>
      <c r="G11" s="34"/>
      <c r="H11" s="38"/>
      <c r="I11" s="43"/>
      <c r="J11" s="34"/>
      <c r="K11" s="34"/>
      <c r="N11" s="34"/>
    </row>
    <row r="12" spans="1:22" ht="14.5">
      <c r="A12" s="34"/>
      <c r="B12" s="34"/>
      <c r="C12" s="34"/>
      <c r="D12" s="34"/>
      <c r="F12" s="34"/>
      <c r="G12" s="34"/>
      <c r="H12" s="34"/>
      <c r="I12" s="43"/>
      <c r="J12" s="34"/>
      <c r="K12" s="34"/>
      <c r="N12" s="34"/>
    </row>
    <row r="13" spans="1:22" ht="14.5">
      <c r="A13" s="34"/>
      <c r="B13" s="34"/>
      <c r="C13" s="34"/>
      <c r="F13" s="34"/>
      <c r="G13" s="34"/>
      <c r="I13" s="43"/>
      <c r="K13" s="34"/>
      <c r="N13" s="34"/>
    </row>
    <row r="14" spans="1:22" ht="14.5">
      <c r="A14" s="34"/>
      <c r="B14" s="34"/>
      <c r="C14" s="34"/>
      <c r="F14" s="34"/>
      <c r="G14" s="34"/>
      <c r="I14" s="43"/>
      <c r="K14" s="34"/>
      <c r="N14" s="34"/>
    </row>
    <row r="15" spans="1:22" ht="14.5">
      <c r="A15" s="34"/>
      <c r="B15" s="34"/>
      <c r="C15" s="34"/>
      <c r="F15" s="34"/>
      <c r="G15" s="34"/>
      <c r="I15" s="43"/>
      <c r="K15" s="34"/>
      <c r="N15" s="34"/>
    </row>
    <row r="16" spans="1:22" ht="14.5">
      <c r="A16" s="34"/>
      <c r="B16" s="34"/>
      <c r="C16" s="34"/>
      <c r="F16" s="34"/>
      <c r="G16" s="34"/>
      <c r="I16" s="43"/>
      <c r="K16" s="34"/>
      <c r="N16" s="34"/>
    </row>
    <row r="17" spans="1:26" ht="14.5">
      <c r="A17" s="34"/>
      <c r="B17" s="34"/>
      <c r="C17" s="34"/>
      <c r="F17" s="34"/>
      <c r="G17" s="34"/>
      <c r="I17" s="43"/>
      <c r="K17" s="34"/>
      <c r="N17" s="34"/>
    </row>
    <row r="18" spans="1:26" ht="14.5">
      <c r="A18" s="34"/>
      <c r="B18" s="34"/>
      <c r="C18" s="34"/>
      <c r="F18" s="34"/>
      <c r="G18" s="34"/>
      <c r="I18" s="43"/>
      <c r="K18" s="34"/>
      <c r="N18" s="34"/>
    </row>
    <row r="19" spans="1:26" ht="14.5">
      <c r="A19" s="34"/>
      <c r="B19" s="34"/>
      <c r="C19" s="34"/>
      <c r="F19" s="34"/>
      <c r="G19" s="34"/>
      <c r="I19" s="43"/>
      <c r="K19" s="34"/>
      <c r="N19" s="34"/>
    </row>
    <row r="20" spans="1:26" ht="14.5">
      <c r="A20" s="34"/>
      <c r="B20" s="34" t="s">
        <v>625</v>
      </c>
      <c r="C20" s="53">
        <f>SUM(C4:C16)</f>
        <v>-24.399999999999636</v>
      </c>
      <c r="F20" s="34" t="s">
        <v>625</v>
      </c>
      <c r="G20" s="54">
        <f>SUM(G4:G19)</f>
        <v>3188</v>
      </c>
      <c r="I20" s="43"/>
      <c r="J20" s="34"/>
      <c r="K20" s="34"/>
      <c r="N20" s="34"/>
    </row>
    <row r="21" spans="1:26" ht="15" customHeight="1">
      <c r="B21" s="34" t="s">
        <v>626</v>
      </c>
      <c r="C21" s="50">
        <v>-24.4</v>
      </c>
      <c r="F21" s="34" t="s">
        <v>627</v>
      </c>
      <c r="G21" s="54">
        <v>3176</v>
      </c>
      <c r="J21" s="34"/>
      <c r="K21" s="34"/>
      <c r="N21" s="34"/>
    </row>
    <row r="22" spans="1:26" ht="14.5">
      <c r="B22" s="34" t="s">
        <v>628</v>
      </c>
      <c r="C22" s="48">
        <f>C21-C20</f>
        <v>-3.6237679523765109E-13</v>
      </c>
      <c r="D22" s="34"/>
      <c r="E22" s="34"/>
      <c r="F22" s="34" t="s">
        <v>628</v>
      </c>
      <c r="G22" s="34">
        <f>G21-G20</f>
        <v>-12</v>
      </c>
      <c r="J22" s="34"/>
      <c r="K22" s="34"/>
    </row>
    <row r="23" spans="1:26" ht="15.75" customHeight="1"/>
    <row r="24" spans="1:26" ht="15.75" customHeight="1">
      <c r="F24" s="38" t="s">
        <v>629</v>
      </c>
    </row>
    <row r="25" spans="1:26" ht="15.75" customHeight="1">
      <c r="F25" s="38" t="s">
        <v>630</v>
      </c>
      <c r="G25" s="38">
        <v>18</v>
      </c>
    </row>
    <row r="26" spans="1:26" ht="15.75" customHeight="1">
      <c r="Z26" s="34">
        <v>2064</v>
      </c>
    </row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"/>
  <sheetViews>
    <sheetView workbookViewId="0"/>
  </sheetViews>
  <sheetFormatPr baseColWidth="10" defaultColWidth="14.453125" defaultRowHeight="15" customHeight="1"/>
  <cols>
    <col min="2" max="2" width="38.08984375" customWidth="1"/>
  </cols>
  <sheetData>
    <row r="1" spans="1:5">
      <c r="A1" s="55" t="s">
        <v>631</v>
      </c>
      <c r="B1" s="34" t="s">
        <v>632</v>
      </c>
      <c r="C1" s="34" t="s">
        <v>2</v>
      </c>
      <c r="D1" s="55" t="s">
        <v>3</v>
      </c>
      <c r="E1" s="38" t="s">
        <v>617</v>
      </c>
    </row>
    <row r="2" spans="1:5">
      <c r="A2" s="56">
        <v>54</v>
      </c>
      <c r="B2" s="57" t="s">
        <v>108</v>
      </c>
      <c r="C2" s="57" t="s">
        <v>80</v>
      </c>
      <c r="D2" s="56">
        <v>24</v>
      </c>
      <c r="E2" s="56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2"/>
  <sheetViews>
    <sheetView workbookViewId="0">
      <selection sqref="A1:E2"/>
    </sheetView>
  </sheetViews>
  <sheetFormatPr baseColWidth="10" defaultColWidth="14.453125" defaultRowHeight="15" customHeight="1"/>
  <cols>
    <col min="2" max="3" width="15.81640625" customWidth="1"/>
    <col min="4" max="4" width="18.7265625" customWidth="1"/>
    <col min="5" max="5" width="10.453125" customWidth="1"/>
    <col min="6" max="6" width="66.54296875" customWidth="1"/>
  </cols>
  <sheetData>
    <row r="1" spans="1:10" ht="14.5">
      <c r="A1" s="211" t="s">
        <v>633</v>
      </c>
      <c r="B1" s="212"/>
      <c r="C1" s="212"/>
      <c r="D1" s="212"/>
      <c r="E1" s="213"/>
    </row>
    <row r="2" spans="1:10" ht="14.5">
      <c r="A2" s="214"/>
      <c r="B2" s="215"/>
      <c r="C2" s="215"/>
      <c r="D2" s="215"/>
      <c r="E2" s="216"/>
    </row>
    <row r="3" spans="1:10" ht="14.5">
      <c r="A3" s="58" t="s">
        <v>634</v>
      </c>
      <c r="B3" s="58" t="s">
        <v>31</v>
      </c>
      <c r="C3" s="58" t="s">
        <v>635</v>
      </c>
      <c r="D3" s="58" t="s">
        <v>636</v>
      </c>
      <c r="E3" s="58" t="s">
        <v>637</v>
      </c>
      <c r="F3" s="59" t="s">
        <v>25</v>
      </c>
    </row>
    <row r="4" spans="1:10" ht="14.5">
      <c r="A4" s="60" t="s">
        <v>34</v>
      </c>
      <c r="B4" s="61" t="str">
        <f t="shared" ref="B4:B37" si="0">TRIM(UPPER(A4))</f>
        <v>A</v>
      </c>
      <c r="C4" s="61">
        <f>SUMIF(Reporte!$F$2:$F$632, 'Yape por MZ'!A4, Reporte!$E$2:$E$632)</f>
        <v>228</v>
      </c>
      <c r="D4" s="62">
        <f>SUMPRODUCT((UPPER(Cobranza!$C$2:$C$500)=UPPER(A4))*(UPPER(Cobranza!$W$2:$W$500)="C")*(UPPER(Cobranza!$Y$2:$Y$500)="Y")*(Cobranza!$T$2:$T$500))</f>
        <v>303</v>
      </c>
      <c r="E4" s="60">
        <f t="shared" ref="E4:E37" si="1">C4-D4</f>
        <v>-75</v>
      </c>
      <c r="F4" s="34"/>
      <c r="G4" s="34">
        <f t="shared" ref="G4:G37" si="2">IF(OR(D4=C4), 0, 1)</f>
        <v>1</v>
      </c>
      <c r="H4" s="34"/>
    </row>
    <row r="5" spans="1:10" ht="14.5">
      <c r="A5" s="60" t="s">
        <v>53</v>
      </c>
      <c r="B5" s="61" t="str">
        <f t="shared" si="0"/>
        <v>B</v>
      </c>
      <c r="C5" s="61">
        <f>SUMIF(Reporte!$F$2:$F$632, 'Yape por MZ'!A5, Reporte!$E$2:$E$632)</f>
        <v>338</v>
      </c>
      <c r="D5" s="62">
        <f>SUMPRODUCT((UPPER(Cobranza!$C$2:$C$500)=UPPER(A5))*(UPPER(Cobranza!$W$2:$W$500)="C")*(UPPER(Cobranza!$Y$2:$Y$500)="Y")*(Cobranza!$T$2:$T$500))</f>
        <v>338</v>
      </c>
      <c r="E5" s="60">
        <f t="shared" si="1"/>
        <v>0</v>
      </c>
      <c r="F5" s="34"/>
      <c r="G5" s="34">
        <f t="shared" si="2"/>
        <v>0</v>
      </c>
      <c r="H5" s="34"/>
      <c r="J5" s="34"/>
    </row>
    <row r="6" spans="1:10" ht="14.5">
      <c r="A6" s="60" t="s">
        <v>80</v>
      </c>
      <c r="B6" s="61" t="str">
        <f t="shared" si="0"/>
        <v>C</v>
      </c>
      <c r="C6" s="61">
        <f>SUMIF(Reporte!$F$2:$F$632, 'Yape por MZ'!A6, Reporte!$E$2:$E$632)</f>
        <v>624</v>
      </c>
      <c r="D6" s="62">
        <f>SUMPRODUCT((UPPER(Cobranza!$C$2:$C$500)=UPPER(A6))*(UPPER(Cobranza!$W$2:$W$500)="C")*(UPPER(Cobranza!$Y$2:$Y$500)="Y")*(Cobranza!$T$2:$T$500))</f>
        <v>624</v>
      </c>
      <c r="E6" s="60">
        <f t="shared" si="1"/>
        <v>0</v>
      </c>
      <c r="F6" s="34"/>
      <c r="G6" s="34">
        <f t="shared" si="2"/>
        <v>0</v>
      </c>
      <c r="H6" s="34"/>
    </row>
    <row r="7" spans="1:10" ht="14.5">
      <c r="A7" s="60" t="s">
        <v>125</v>
      </c>
      <c r="B7" s="61" t="str">
        <f t="shared" si="0"/>
        <v>D</v>
      </c>
      <c r="C7" s="61">
        <f>SUMIF(Reporte!$F$2:$F$632, 'Yape por MZ'!A7, Reporte!$E$2:$E$632)</f>
        <v>726</v>
      </c>
      <c r="D7" s="62">
        <f>SUMPRODUCT((UPPER(Cobranza!$C$2:$C$500)=UPPER(A7))*(UPPER(Cobranza!$W$2:$W$500)="C")*(UPPER(Cobranza!$Y$2:$Y$500)="Y")*(Cobranza!$T$2:$T$500))</f>
        <v>726</v>
      </c>
      <c r="E7" s="60">
        <f t="shared" si="1"/>
        <v>0</v>
      </c>
      <c r="F7" s="34"/>
      <c r="G7" s="34">
        <f t="shared" si="2"/>
        <v>0</v>
      </c>
      <c r="H7" s="34"/>
    </row>
    <row r="8" spans="1:10" ht="14.5">
      <c r="A8" s="60" t="s">
        <v>144</v>
      </c>
      <c r="B8" s="61" t="str">
        <f t="shared" si="0"/>
        <v>E</v>
      </c>
      <c r="C8" s="61">
        <f>SUMIF(Reporte!$F$2:$F$632, 'Yape por MZ'!A8, Reporte!$E$2:$E$632)</f>
        <v>244</v>
      </c>
      <c r="D8" s="62">
        <f>SUMPRODUCT((UPPER(Cobranza!$C$2:$C$500)=UPPER(A8))*(UPPER(Cobranza!$W$2:$W$500)="C")*(UPPER(Cobranza!$Y$2:$Y$500)="Y")*(Cobranza!$T$2:$T$500))</f>
        <v>244</v>
      </c>
      <c r="E8" s="60">
        <f t="shared" si="1"/>
        <v>0</v>
      </c>
      <c r="F8" s="34"/>
      <c r="G8" s="34">
        <f t="shared" si="2"/>
        <v>0</v>
      </c>
      <c r="H8" s="34"/>
    </row>
    <row r="9" spans="1:10" ht="14.5">
      <c r="A9" s="60" t="s">
        <v>161</v>
      </c>
      <c r="B9" s="61" t="str">
        <f t="shared" si="0"/>
        <v>F</v>
      </c>
      <c r="C9" s="61">
        <f>SUMIF(Reporte!$F$2:$F$632, 'Yape por MZ'!A9, Reporte!$E$2:$E$632)</f>
        <v>466</v>
      </c>
      <c r="D9" s="62">
        <f>SUMPRODUCT((UPPER(Cobranza!$C$2:$C$500)=UPPER(A9))*(UPPER(Cobranza!$W$2:$W$500)="C")*(UPPER(Cobranza!$Y$2:$Y$500)="Y")*(Cobranza!$T$2:$T$500))</f>
        <v>466</v>
      </c>
      <c r="E9" s="60">
        <f t="shared" si="1"/>
        <v>0</v>
      </c>
      <c r="F9" s="34"/>
      <c r="G9" s="34">
        <f t="shared" si="2"/>
        <v>0</v>
      </c>
      <c r="H9" s="34"/>
    </row>
    <row r="10" spans="1:10" ht="14.5">
      <c r="A10" s="60" t="s">
        <v>177</v>
      </c>
      <c r="B10" s="61" t="str">
        <f t="shared" si="0"/>
        <v>G</v>
      </c>
      <c r="C10" s="61">
        <f>SUMIF(Reporte!$F$2:$F$632, 'Yape por MZ'!A10, Reporte!$E$2:$E$632)</f>
        <v>470</v>
      </c>
      <c r="D10" s="62">
        <f>SUMPRODUCT((UPPER(Cobranza!$C$2:$C$500)=UPPER(A10))*(UPPER(Cobranza!$W$2:$W$500)="C")*(UPPER(Cobranza!$Y$2:$Y$500)="Y")*(Cobranza!$T$2:$T$500))</f>
        <v>470</v>
      </c>
      <c r="E10" s="60">
        <f t="shared" si="1"/>
        <v>0</v>
      </c>
      <c r="F10" s="34"/>
      <c r="G10" s="34">
        <f t="shared" si="2"/>
        <v>0</v>
      </c>
      <c r="H10" s="34"/>
    </row>
    <row r="11" spans="1:10" ht="14.5">
      <c r="A11" s="60" t="s">
        <v>205</v>
      </c>
      <c r="B11" s="61" t="str">
        <f t="shared" si="0"/>
        <v>H</v>
      </c>
      <c r="C11" s="61">
        <f>SUMIF(Reporte!$F$2:$F$632, 'Yape por MZ'!A11, Reporte!$E$2:$E$632)</f>
        <v>438</v>
      </c>
      <c r="D11" s="62">
        <f>SUMPRODUCT((UPPER(Cobranza!$C$2:$C$500)=UPPER(A11))*(UPPER(Cobranza!$W$2:$W$500)="C")*(UPPER(Cobranza!$Y$2:$Y$500)="Y")*(Cobranza!$T$2:$T$500))</f>
        <v>438</v>
      </c>
      <c r="E11" s="60">
        <f t="shared" si="1"/>
        <v>0</v>
      </c>
      <c r="F11" s="34"/>
      <c r="G11" s="34">
        <f t="shared" si="2"/>
        <v>0</v>
      </c>
      <c r="H11" s="34"/>
    </row>
    <row r="12" spans="1:10" ht="14.5">
      <c r="A12" s="60" t="s">
        <v>228</v>
      </c>
      <c r="B12" s="61" t="str">
        <f t="shared" si="0"/>
        <v>I</v>
      </c>
      <c r="C12" s="61">
        <f>SUMIF(Reporte!$F$2:$F$632, 'Yape por MZ'!A12, Reporte!$E$2:$E$632)</f>
        <v>491</v>
      </c>
      <c r="D12" s="62">
        <f>SUMPRODUCT((UPPER(Cobranza!$C$2:$C$500)=UPPER(A12))*(UPPER(Cobranza!$W$2:$W$500)="C")*(UPPER(Cobranza!$Y$2:$Y$500)="Y")*(Cobranza!$T$2:$T$500))</f>
        <v>491</v>
      </c>
      <c r="E12" s="60">
        <f t="shared" si="1"/>
        <v>0</v>
      </c>
      <c r="F12" s="34"/>
      <c r="G12" s="34">
        <f t="shared" si="2"/>
        <v>0</v>
      </c>
      <c r="H12" s="34"/>
    </row>
    <row r="13" spans="1:10" ht="14.5">
      <c r="A13" s="60" t="s">
        <v>251</v>
      </c>
      <c r="B13" s="61" t="str">
        <f t="shared" si="0"/>
        <v>J</v>
      </c>
      <c r="C13" s="61">
        <f>SUMIF(Reporte!$F$2:$F$632, 'Yape por MZ'!A13, Reporte!$E$2:$E$632)</f>
        <v>206</v>
      </c>
      <c r="D13" s="62">
        <f>SUMPRODUCT((UPPER(Cobranza!$C$2:$C$500)=UPPER(A13))*(UPPER(Cobranza!$W$2:$W$500)="C")*(UPPER(Cobranza!$Y$2:$Y$500)="Y")*(Cobranza!$T$2:$T$500))</f>
        <v>206</v>
      </c>
      <c r="E13" s="60">
        <f t="shared" si="1"/>
        <v>0</v>
      </c>
      <c r="F13" s="34"/>
      <c r="G13" s="34">
        <f t="shared" si="2"/>
        <v>0</v>
      </c>
      <c r="H13" s="34"/>
    </row>
    <row r="14" spans="1:10" ht="14.5">
      <c r="A14" s="60" t="s">
        <v>267</v>
      </c>
      <c r="B14" s="61" t="str">
        <f t="shared" si="0"/>
        <v>K</v>
      </c>
      <c r="C14" s="61">
        <f>SUMIF(Reporte!$F$2:$F$632, 'Yape por MZ'!A14, Reporte!$E$2:$E$632)</f>
        <v>372</v>
      </c>
      <c r="D14" s="62">
        <f>SUMPRODUCT((UPPER(Cobranza!$C$2:$C$500)=UPPER(A14))*(UPPER(Cobranza!$W$2:$W$500)="C")*(UPPER(Cobranza!$Y$2:$Y$500)="Y")*(Cobranza!$T$2:$T$500))</f>
        <v>372</v>
      </c>
      <c r="E14" s="60">
        <f t="shared" si="1"/>
        <v>0</v>
      </c>
      <c r="F14" s="34"/>
      <c r="G14" s="34">
        <f t="shared" si="2"/>
        <v>0</v>
      </c>
      <c r="H14" s="34"/>
    </row>
    <row r="15" spans="1:10" ht="14.5">
      <c r="A15" s="60" t="s">
        <v>284</v>
      </c>
      <c r="B15" s="61" t="str">
        <f t="shared" si="0"/>
        <v>L</v>
      </c>
      <c r="C15" s="61">
        <f>SUMIF(Reporte!$F$2:$F$632, 'Yape por MZ'!A15, Reporte!$E$2:$E$632)</f>
        <v>350</v>
      </c>
      <c r="D15" s="62">
        <f>SUMPRODUCT((UPPER(Cobranza!$C$2:$C$500)=UPPER(A15))*(UPPER(Cobranza!$W$2:$W$500)="C")*(UPPER(Cobranza!$Y$2:$Y$500)="Y")*(Cobranza!$T$2:$T$500))</f>
        <v>350</v>
      </c>
      <c r="E15" s="60">
        <f t="shared" si="1"/>
        <v>0</v>
      </c>
      <c r="F15" s="34"/>
      <c r="G15" s="34">
        <f t="shared" si="2"/>
        <v>0</v>
      </c>
      <c r="H15" s="34"/>
    </row>
    <row r="16" spans="1:10" ht="14.5">
      <c r="A16" s="60" t="s">
        <v>299</v>
      </c>
      <c r="B16" s="61" t="str">
        <f t="shared" si="0"/>
        <v>M</v>
      </c>
      <c r="C16" s="61">
        <f>SUMIF(Reporte!$F$2:$F$632, 'Yape por MZ'!A16, Reporte!$E$2:$E$632)</f>
        <v>261</v>
      </c>
      <c r="D16" s="62">
        <f>SUMPRODUCT((UPPER(Cobranza!$C$2:$C$500)=UPPER(A16))*(UPPER(Cobranza!$W$2:$W$500)="C")*(UPPER(Cobranza!$Y$2:$Y$500)="Y")*(Cobranza!$T$2:$T$500))</f>
        <v>261</v>
      </c>
      <c r="E16" s="60">
        <f t="shared" si="1"/>
        <v>0</v>
      </c>
      <c r="F16" s="34"/>
      <c r="G16" s="34">
        <f t="shared" si="2"/>
        <v>0</v>
      </c>
      <c r="H16" s="34"/>
    </row>
    <row r="17" spans="1:13" ht="14.5">
      <c r="A17" s="60" t="s">
        <v>78</v>
      </c>
      <c r="B17" s="61" t="str">
        <f t="shared" si="0"/>
        <v>N</v>
      </c>
      <c r="C17" s="61">
        <f>SUMIF(Reporte!$F$2:$F$632, 'Yape por MZ'!A17, Reporte!$E$2:$E$632)</f>
        <v>40</v>
      </c>
      <c r="D17" s="62">
        <f>SUMPRODUCT((UPPER(Cobranza!$C$2:$C$500)=UPPER(A17))*(UPPER(Cobranza!$W$2:$W$500)="C")*(UPPER(Cobranza!$Y$2:$Y$500)="Y")*(Cobranza!$T$2:$T$500))</f>
        <v>40</v>
      </c>
      <c r="E17" s="60">
        <f t="shared" si="1"/>
        <v>0</v>
      </c>
      <c r="F17" s="34"/>
      <c r="G17" s="34">
        <f t="shared" si="2"/>
        <v>0</v>
      </c>
      <c r="H17" s="34"/>
    </row>
    <row r="18" spans="1:13" ht="14.5">
      <c r="A18" s="60" t="s">
        <v>327</v>
      </c>
      <c r="B18" s="61" t="str">
        <f t="shared" si="0"/>
        <v>O</v>
      </c>
      <c r="C18" s="61">
        <f>SUMIF(Reporte!$F$2:$F$632, 'Yape por MZ'!A18, Reporte!$E$2:$E$632)</f>
        <v>452</v>
      </c>
      <c r="D18" s="62">
        <f>SUMPRODUCT((UPPER(Cobranza!$C$2:$C$500)=UPPER(A18))*(UPPER(Cobranza!$W$2:$W$500)="C")*(UPPER(Cobranza!$Y$2:$Y$500)="Y")*(Cobranza!$T$2:$T$500))</f>
        <v>452</v>
      </c>
      <c r="E18" s="60">
        <f t="shared" si="1"/>
        <v>0</v>
      </c>
      <c r="F18" s="34"/>
      <c r="G18" s="34">
        <f t="shared" si="2"/>
        <v>0</v>
      </c>
      <c r="H18" s="34"/>
    </row>
    <row r="19" spans="1:13" ht="14.5">
      <c r="A19" s="60" t="s">
        <v>357</v>
      </c>
      <c r="B19" s="61" t="str">
        <f t="shared" si="0"/>
        <v>P</v>
      </c>
      <c r="C19" s="61">
        <f>SUMIF(Reporte!$F$2:$F$632, 'Yape por MZ'!A19, Reporte!$E$2:$E$632)</f>
        <v>287</v>
      </c>
      <c r="D19" s="62">
        <f>SUMPRODUCT((UPPER(Cobranza!$C$2:$C$500)=UPPER(A19))*(UPPER(Cobranza!$W$2:$W$500)="C")*(UPPER(Cobranza!$Y$2:$Y$500)="Y")*(Cobranza!$T$2:$T$500))</f>
        <v>287</v>
      </c>
      <c r="E19" s="60">
        <f t="shared" si="1"/>
        <v>0</v>
      </c>
      <c r="F19" s="34"/>
      <c r="G19" s="34">
        <f t="shared" si="2"/>
        <v>0</v>
      </c>
      <c r="H19" s="34"/>
    </row>
    <row r="20" spans="1:13" ht="14.5">
      <c r="A20" s="60" t="s">
        <v>378</v>
      </c>
      <c r="B20" s="61" t="str">
        <f t="shared" si="0"/>
        <v>Q</v>
      </c>
      <c r="C20" s="61">
        <f>SUMIF(Reporte!$F$2:$F$632, 'Yape por MZ'!A20, Reporte!$E$2:$E$632)</f>
        <v>306</v>
      </c>
      <c r="D20" s="62">
        <f>SUMPRODUCT((UPPER(Cobranza!$C$2:$C$500)=UPPER(A20))*(UPPER(Cobranza!$W$2:$W$500)="C")*(UPPER(Cobranza!$Y$2:$Y$500)="Y")*(Cobranza!$T$2:$T$500))</f>
        <v>306</v>
      </c>
      <c r="E20" s="60">
        <f t="shared" si="1"/>
        <v>0</v>
      </c>
      <c r="F20" s="34"/>
      <c r="G20" s="34">
        <f t="shared" si="2"/>
        <v>0</v>
      </c>
      <c r="H20" s="34"/>
    </row>
    <row r="21" spans="1:13" ht="15.75" customHeight="1">
      <c r="A21" s="60" t="s">
        <v>393</v>
      </c>
      <c r="B21" s="61" t="str">
        <f t="shared" si="0"/>
        <v>R</v>
      </c>
      <c r="C21" s="61">
        <f>SUMIF(Reporte!$F$2:$F$632, 'Yape por MZ'!A21, Reporte!$E$2:$E$632)</f>
        <v>93</v>
      </c>
      <c r="D21" s="62">
        <f>SUMPRODUCT((UPPER(Cobranza!$C$2:$C$500)=UPPER(A21))*(UPPER(Cobranza!$W$2:$W$500)="C")*(UPPER(Cobranza!$Y$2:$Y$500)="Y")*(Cobranza!$T$2:$T$500))</f>
        <v>93</v>
      </c>
      <c r="E21" s="60">
        <f t="shared" si="1"/>
        <v>0</v>
      </c>
      <c r="F21" s="34"/>
      <c r="G21" s="34">
        <f t="shared" si="2"/>
        <v>0</v>
      </c>
      <c r="H21" s="34"/>
      <c r="J21" s="63" t="s">
        <v>629</v>
      </c>
    </row>
    <row r="22" spans="1:13" ht="15.75" customHeight="1">
      <c r="A22" s="60" t="s">
        <v>401</v>
      </c>
      <c r="B22" s="61" t="str">
        <f t="shared" si="0"/>
        <v>S</v>
      </c>
      <c r="C22" s="61">
        <f>SUMIF(Reporte!$F$2:$F$632, 'Yape por MZ'!A22, Reporte!$E$2:$E$632)</f>
        <v>122</v>
      </c>
      <c r="D22" s="62">
        <f>SUMPRODUCT((UPPER(Cobranza!$C$2:$C$500)=UPPER(A22))*(UPPER(Cobranza!$W$2:$W$500)="C")*(UPPER(Cobranza!$Y$2:$Y$500)="Y")*(Cobranza!$T$2:$T$500))</f>
        <v>122</v>
      </c>
      <c r="E22" s="60">
        <f t="shared" si="1"/>
        <v>0</v>
      </c>
      <c r="F22" s="34"/>
      <c r="G22" s="34">
        <f t="shared" si="2"/>
        <v>0</v>
      </c>
      <c r="H22" s="34"/>
      <c r="J22" s="38" t="s">
        <v>638</v>
      </c>
    </row>
    <row r="23" spans="1:13" ht="15.75" customHeight="1">
      <c r="A23" s="60" t="s">
        <v>415</v>
      </c>
      <c r="B23" s="61" t="str">
        <f t="shared" si="0"/>
        <v>T</v>
      </c>
      <c r="C23" s="61">
        <f>SUMIF(Reporte!$F$2:$F$632, 'Yape por MZ'!A23, Reporte!$E$2:$E$632)</f>
        <v>340.5</v>
      </c>
      <c r="D23" s="62">
        <f>SUMPRODUCT((UPPER(Cobranza!$C$2:$C$500)=UPPER(A23))*(UPPER(Cobranza!$W$2:$W$500)="C")*(UPPER(Cobranza!$Y$2:$Y$500)="Y")*(Cobranza!$T$2:$T$500))</f>
        <v>340.5</v>
      </c>
      <c r="E23" s="60">
        <f t="shared" si="1"/>
        <v>0</v>
      </c>
      <c r="F23" s="34"/>
      <c r="G23" s="34">
        <f t="shared" si="2"/>
        <v>0</v>
      </c>
      <c r="H23" s="34"/>
    </row>
    <row r="24" spans="1:13" ht="15.75" customHeight="1">
      <c r="A24" s="60" t="s">
        <v>434</v>
      </c>
      <c r="B24" s="61" t="str">
        <f t="shared" si="0"/>
        <v>U</v>
      </c>
      <c r="C24" s="61">
        <f>SUMIF(Reporte!$F$2:$F$632, 'Yape por MZ'!A24, Reporte!$E$2:$E$632)</f>
        <v>50</v>
      </c>
      <c r="D24" s="62">
        <f>SUMPRODUCT((UPPER(Cobranza!$C$2:$C$500)=UPPER(A24))*(UPPER(Cobranza!$W$2:$W$500)="C")*(UPPER(Cobranza!$Y$2:$Y$500)="Y")*(Cobranza!$T$2:$T$500))</f>
        <v>50</v>
      </c>
      <c r="E24" s="60">
        <f t="shared" si="1"/>
        <v>0</v>
      </c>
      <c r="F24" s="34"/>
      <c r="G24" s="34">
        <f t="shared" si="2"/>
        <v>0</v>
      </c>
      <c r="H24" s="34"/>
      <c r="J24" s="38" t="s">
        <v>30</v>
      </c>
      <c r="K24" s="38">
        <v>-82</v>
      </c>
    </row>
    <row r="25" spans="1:13" ht="15.75" customHeight="1">
      <c r="A25" s="60" t="s">
        <v>441</v>
      </c>
      <c r="B25" s="61" t="str">
        <f t="shared" si="0"/>
        <v>V</v>
      </c>
      <c r="C25" s="61">
        <f>SUMIF(Reporte!$F$2:$F$632, 'Yape por MZ'!A25, Reporte!$E$2:$E$632)</f>
        <v>171</v>
      </c>
      <c r="D25" s="62">
        <f>SUMPRODUCT((UPPER(Cobranza!$C$2:$C$500)=UPPER(A25))*(UPPER(Cobranza!$W$2:$W$500)="C")*(UPPER(Cobranza!$Y$2:$Y$500)="Y")*(Cobranza!$T$2:$T$500))</f>
        <v>171</v>
      </c>
      <c r="E25" s="60">
        <f t="shared" si="1"/>
        <v>0</v>
      </c>
      <c r="F25" s="34"/>
      <c r="G25" s="34">
        <f t="shared" si="2"/>
        <v>0</v>
      </c>
      <c r="H25" s="34"/>
      <c r="J25" s="38" t="s">
        <v>29</v>
      </c>
      <c r="K25" s="38">
        <v>40</v>
      </c>
    </row>
    <row r="26" spans="1:13" ht="15.75" customHeight="1">
      <c r="A26" s="60" t="s">
        <v>458</v>
      </c>
      <c r="B26" s="61" t="str">
        <f t="shared" si="0"/>
        <v>W</v>
      </c>
      <c r="C26" s="61">
        <f>SUMIF(Reporte!$F$2:$F$632, 'Yape por MZ'!A26, Reporte!$E$2:$E$632)</f>
        <v>262</v>
      </c>
      <c r="D26" s="62">
        <f>SUMPRODUCT((UPPER(Cobranza!$C$2:$C$500)=UPPER(A26))*(UPPER(Cobranza!$W$2:$W$500)="C")*(UPPER(Cobranza!$Y$2:$Y$500)="Y")*(Cobranza!$T$2:$T$500))</f>
        <v>262</v>
      </c>
      <c r="E26" s="60">
        <f t="shared" si="1"/>
        <v>0</v>
      </c>
      <c r="F26" s="34"/>
      <c r="G26" s="34">
        <f t="shared" si="2"/>
        <v>0</v>
      </c>
      <c r="H26" s="34"/>
    </row>
    <row r="27" spans="1:13" ht="15.75" customHeight="1">
      <c r="A27" s="60" t="s">
        <v>473</v>
      </c>
      <c r="B27" s="61" t="str">
        <f t="shared" si="0"/>
        <v>X</v>
      </c>
      <c r="C27" s="61">
        <f>SUMIF(Reporte!$F$2:$F$632, 'Yape por MZ'!A27, Reporte!$E$2:$E$632)</f>
        <v>157</v>
      </c>
      <c r="D27" s="62">
        <f>SUMPRODUCT((UPPER(Cobranza!$C$2:$C$500)=UPPER(A27))*(UPPER(Cobranza!$W$2:$W$500)="C")*(UPPER(Cobranza!$Y$2:$Y$500)="Y")*(Cobranza!$T$2:$T$500))</f>
        <v>157</v>
      </c>
      <c r="E27" s="60">
        <f t="shared" si="1"/>
        <v>0</v>
      </c>
      <c r="F27" s="34"/>
      <c r="G27" s="34">
        <f t="shared" si="2"/>
        <v>0</v>
      </c>
      <c r="H27" s="34"/>
      <c r="K27" s="38">
        <f>SUM(K24:K25)</f>
        <v>-42</v>
      </c>
    </row>
    <row r="28" spans="1:13" ht="15.75" customHeight="1">
      <c r="A28" s="60" t="s">
        <v>492</v>
      </c>
      <c r="B28" s="61" t="str">
        <f t="shared" si="0"/>
        <v>Y</v>
      </c>
      <c r="C28" s="61">
        <f>SUMIF(Reporte!$F$2:$F$632, 'Yape por MZ'!A28, Reporte!$E$2:$E$632)</f>
        <v>87</v>
      </c>
      <c r="D28" s="62">
        <f>SUMPRODUCT((UPPER(Cobranza!$C$2:$C$500)=UPPER(A28))*(UPPER(Cobranza!$W$2:$W$500)="C")*(UPPER(Cobranza!$Y$2:$Y$500)="Y")*(Cobranza!$T$2:$T$500))</f>
        <v>87</v>
      </c>
      <c r="E28" s="60">
        <f t="shared" si="1"/>
        <v>0</v>
      </c>
      <c r="F28" s="34"/>
      <c r="G28" s="34">
        <f t="shared" si="2"/>
        <v>0</v>
      </c>
      <c r="H28" s="34"/>
    </row>
    <row r="29" spans="1:13" ht="15.75" customHeight="1">
      <c r="A29" s="60" t="s">
        <v>502</v>
      </c>
      <c r="B29" s="61" t="str">
        <f t="shared" si="0"/>
        <v>Z</v>
      </c>
      <c r="C29" s="61">
        <f>SUMIF(Reporte!$F$2:$F$632, 'Yape por MZ'!A29, Reporte!$E$2:$E$632)</f>
        <v>125</v>
      </c>
      <c r="D29" s="62">
        <f>SUMPRODUCT((UPPER(Cobranza!$C$2:$C$500)=UPPER(A29))*(UPPER(Cobranza!$W$2:$W$500)="C")*(UPPER(Cobranza!$Y$2:$Y$500)="Y")*(Cobranza!$T$2:$T$500))</f>
        <v>133</v>
      </c>
      <c r="E29" s="60">
        <f t="shared" si="1"/>
        <v>-8</v>
      </c>
      <c r="F29" s="34"/>
      <c r="G29" s="34">
        <f t="shared" si="2"/>
        <v>1</v>
      </c>
      <c r="H29" s="34"/>
      <c r="J29" s="59" t="s">
        <v>639</v>
      </c>
    </row>
    <row r="30" spans="1:13" ht="15.75" customHeight="1">
      <c r="A30" s="60" t="s">
        <v>519</v>
      </c>
      <c r="B30" s="61" t="str">
        <f t="shared" si="0"/>
        <v>A1</v>
      </c>
      <c r="C30" s="61">
        <f>SUMIF(Reporte!$F$2:$F$632, 'Yape por MZ'!A30, Reporte!$E$2:$E$632)</f>
        <v>50</v>
      </c>
      <c r="D30" s="62">
        <f>SUMPRODUCT((UPPER(Cobranza!$C$2:$C$500)=UPPER(A30))*(UPPER(Cobranza!$W$2:$W$500)="C")*(UPPER(Cobranza!$Y$2:$Y$500)="Y")*(Cobranza!$T$2:$T$500))</f>
        <v>50</v>
      </c>
      <c r="E30" s="60">
        <f t="shared" si="1"/>
        <v>0</v>
      </c>
      <c r="F30" s="34"/>
      <c r="G30" s="34">
        <f t="shared" si="2"/>
        <v>0</v>
      </c>
      <c r="H30" s="34"/>
      <c r="J30" s="38" t="s">
        <v>640</v>
      </c>
      <c r="M30" s="38">
        <v>42</v>
      </c>
    </row>
    <row r="31" spans="1:13" ht="15.75" customHeight="1">
      <c r="A31" s="60" t="s">
        <v>532</v>
      </c>
      <c r="B31" s="61" t="str">
        <f t="shared" si="0"/>
        <v>B1</v>
      </c>
      <c r="C31" s="61">
        <f>SUMIF(Reporte!$F$2:$F$632, 'Yape por MZ'!A31, Reporte!$E$2:$E$632)</f>
        <v>166</v>
      </c>
      <c r="D31" s="62">
        <f>SUMPRODUCT((UPPER(Cobranza!$C$2:$C$500)=UPPER(A31))*(UPPER(Cobranza!$W$2:$W$500)="C")*(UPPER(Cobranza!$Y$2:$Y$500)="Y")*(Cobranza!$T$2:$T$500))</f>
        <v>166</v>
      </c>
      <c r="E31" s="60">
        <f t="shared" si="1"/>
        <v>0</v>
      </c>
      <c r="F31" s="34"/>
      <c r="G31" s="34">
        <f t="shared" si="2"/>
        <v>0</v>
      </c>
      <c r="H31" s="34"/>
      <c r="J31" s="38" t="s">
        <v>641</v>
      </c>
      <c r="M31" s="38">
        <v>-42</v>
      </c>
    </row>
    <row r="32" spans="1:13" ht="15.75" customHeight="1">
      <c r="A32" s="60" t="s">
        <v>545</v>
      </c>
      <c r="B32" s="61" t="str">
        <f t="shared" si="0"/>
        <v>C1</v>
      </c>
      <c r="C32" s="61">
        <f>SUMIF(Reporte!$F$2:$F$632, 'Yape por MZ'!A32, Reporte!$E$2:$E$632)</f>
        <v>162</v>
      </c>
      <c r="D32" s="62">
        <f>SUMPRODUCT((UPPER(Cobranza!$C$2:$C$500)=UPPER(A32))*(UPPER(Cobranza!$W$2:$W$500)="C")*(UPPER(Cobranza!$Y$2:$Y$500)="Y")*(Cobranza!$T$2:$T$500))</f>
        <v>162</v>
      </c>
      <c r="E32" s="60">
        <f t="shared" si="1"/>
        <v>0</v>
      </c>
      <c r="F32" s="34"/>
      <c r="G32" s="34">
        <f t="shared" si="2"/>
        <v>0</v>
      </c>
      <c r="H32" s="34"/>
    </row>
    <row r="33" spans="1:8" ht="15.75" customHeight="1">
      <c r="A33" s="60" t="s">
        <v>560</v>
      </c>
      <c r="B33" s="61" t="str">
        <f t="shared" si="0"/>
        <v>D1</v>
      </c>
      <c r="C33" s="61">
        <f>SUMIF(Reporte!$F$2:$F$632, 'Yape por MZ'!A33, Reporte!$E$2:$E$632)</f>
        <v>38</v>
      </c>
      <c r="D33" s="62">
        <f>SUMPRODUCT((UPPER(Cobranza!$C$2:$C$500)=UPPER(A33))*(UPPER(Cobranza!$W$2:$W$500)="C")*(UPPER(Cobranza!$Y$2:$Y$500)="Y")*(Cobranza!$T$2:$T$500))</f>
        <v>38</v>
      </c>
      <c r="E33" s="60">
        <f t="shared" si="1"/>
        <v>0</v>
      </c>
      <c r="F33" s="34"/>
      <c r="G33" s="34">
        <f t="shared" si="2"/>
        <v>0</v>
      </c>
      <c r="H33" s="34"/>
    </row>
    <row r="34" spans="1:8" ht="15.75" customHeight="1">
      <c r="A34" s="60" t="s">
        <v>567</v>
      </c>
      <c r="B34" s="61" t="str">
        <f t="shared" si="0"/>
        <v>E1</v>
      </c>
      <c r="C34" s="61">
        <f>SUMIF(Reporte!$F$2:$F$632, 'Yape por MZ'!A34, Reporte!$E$2:$E$632)</f>
        <v>58</v>
      </c>
      <c r="D34" s="62">
        <f>SUMPRODUCT((UPPER(Cobranza!$C$2:$C$500)=UPPER(A34))*(UPPER(Cobranza!$W$2:$W$500)="C")*(UPPER(Cobranza!$Y$2:$Y$500)="Y")*(Cobranza!$T$2:$T$500))</f>
        <v>58</v>
      </c>
      <c r="E34" s="60">
        <f t="shared" si="1"/>
        <v>0</v>
      </c>
      <c r="F34" s="34"/>
      <c r="G34" s="34">
        <f t="shared" si="2"/>
        <v>0</v>
      </c>
      <c r="H34" s="34"/>
    </row>
    <row r="35" spans="1:8" ht="15.75" customHeight="1">
      <c r="A35" s="60" t="s">
        <v>575</v>
      </c>
      <c r="B35" s="61" t="str">
        <f t="shared" si="0"/>
        <v>F1</v>
      </c>
      <c r="C35" s="61">
        <f>SUMIF(Reporte!$F$2:$F$632, 'Yape por MZ'!A35, Reporte!$E$2:$E$632)</f>
        <v>105</v>
      </c>
      <c r="D35" s="62">
        <f>SUMPRODUCT((UPPER(Cobranza!$C$2:$C$500)=UPPER(A35))*(UPPER(Cobranza!$W$2:$W$500)="C")*(UPPER(Cobranza!$Y$2:$Y$500)="Y")*(Cobranza!$T$2:$T$500))</f>
        <v>105</v>
      </c>
      <c r="E35" s="60">
        <f t="shared" si="1"/>
        <v>0</v>
      </c>
      <c r="F35" s="34"/>
      <c r="G35" s="34">
        <f t="shared" si="2"/>
        <v>0</v>
      </c>
      <c r="H35" s="34"/>
    </row>
    <row r="36" spans="1:8" ht="15.75" customHeight="1">
      <c r="A36" s="60" t="s">
        <v>586</v>
      </c>
      <c r="B36" s="61" t="str">
        <f t="shared" si="0"/>
        <v>G1</v>
      </c>
      <c r="C36" s="61">
        <f>SUMIF(Reporte!$F$2:$F$632, 'Yape por MZ'!A36, Reporte!$E$2:$E$632)</f>
        <v>68</v>
      </c>
      <c r="D36" s="62">
        <f>SUMPRODUCT((UPPER(Cobranza!$C$2:$C$500)=UPPER(A36))*(UPPER(Cobranza!$W$2:$W$500)="C")*(UPPER(Cobranza!$Y$2:$Y$500)="Y")*(Cobranza!$T$2:$T$500))</f>
        <v>68</v>
      </c>
      <c r="E36" s="60">
        <f t="shared" si="1"/>
        <v>0</v>
      </c>
      <c r="F36" s="34"/>
      <c r="G36" s="34">
        <f t="shared" si="2"/>
        <v>0</v>
      </c>
      <c r="H36" s="34"/>
    </row>
    <row r="37" spans="1:8" ht="15.75" customHeight="1">
      <c r="A37" s="60" t="s">
        <v>592</v>
      </c>
      <c r="B37" s="61" t="str">
        <f t="shared" si="0"/>
        <v>H1</v>
      </c>
      <c r="C37" s="61">
        <f>SUMIF(Reporte!$F$2:$F$632, 'Yape por MZ'!A37, Reporte!$E$2:$E$632)</f>
        <v>218</v>
      </c>
      <c r="D37" s="62">
        <f>SUMPRODUCT((UPPER(Cobranza!$C$2:$C$501)=UPPER(A37))*(UPPER(Cobranza!$W$2:$W$501)="C")*(UPPER(Cobranza!$Y$2:$Y$501)="Y")*(Cobranza!$T$2:$T$501))</f>
        <v>218</v>
      </c>
      <c r="E37" s="60">
        <f t="shared" si="1"/>
        <v>0</v>
      </c>
      <c r="F37" s="34"/>
      <c r="G37" s="34">
        <f t="shared" si="2"/>
        <v>0</v>
      </c>
      <c r="H37" s="34"/>
    </row>
    <row r="38" spans="1:8" ht="15.75" customHeight="1">
      <c r="A38" s="60"/>
      <c r="B38" s="60"/>
      <c r="C38" s="60"/>
      <c r="D38" s="60"/>
      <c r="E38" s="60"/>
    </row>
    <row r="39" spans="1:8" ht="15.75" customHeight="1">
      <c r="A39" s="60"/>
      <c r="B39" s="61"/>
      <c r="C39" s="61">
        <f t="shared" ref="C39:E39" si="3">SUM(C4:C37)</f>
        <v>8571.5</v>
      </c>
      <c r="D39" s="61">
        <f t="shared" si="3"/>
        <v>8654.5</v>
      </c>
      <c r="E39" s="60">
        <f t="shared" si="3"/>
        <v>-83</v>
      </c>
    </row>
    <row r="40" spans="1:8" ht="15.75" customHeight="1">
      <c r="E40" s="34">
        <f>C39-D39</f>
        <v>-83</v>
      </c>
    </row>
    <row r="41" spans="1:8" ht="15.75" customHeight="1">
      <c r="D41" s="64"/>
    </row>
    <row r="42" spans="1:8" ht="15.75" customHeight="1">
      <c r="D42" s="64"/>
    </row>
    <row r="43" spans="1:8" ht="14.5">
      <c r="A43" s="211" t="s">
        <v>642</v>
      </c>
      <c r="B43" s="212"/>
      <c r="C43" s="212"/>
      <c r="D43" s="212"/>
      <c r="E43" s="213"/>
    </row>
    <row r="44" spans="1:8" ht="14.5">
      <c r="A44" s="214"/>
      <c r="B44" s="215"/>
      <c r="C44" s="215"/>
      <c r="D44" s="215"/>
      <c r="E44" s="216"/>
    </row>
    <row r="45" spans="1:8" ht="15.75" customHeight="1">
      <c r="A45" s="58" t="s">
        <v>634</v>
      </c>
      <c r="B45" s="58" t="s">
        <v>31</v>
      </c>
      <c r="C45" s="58" t="s">
        <v>643</v>
      </c>
      <c r="D45" s="58" t="s">
        <v>636</v>
      </c>
      <c r="E45" s="58" t="s">
        <v>637</v>
      </c>
      <c r="F45" s="59" t="s">
        <v>25</v>
      </c>
    </row>
    <row r="46" spans="1:8" ht="15.75" customHeight="1">
      <c r="A46" s="60" t="s">
        <v>34</v>
      </c>
      <c r="B46" s="61" t="str">
        <f t="shared" ref="B46:B79" si="4">TRIM(UPPER(A46))</f>
        <v>A</v>
      </c>
      <c r="C46" s="61">
        <f>SUMIF(Efectivo!$A$2:$A$333, 'Yape por MZ'!A46, Efectivo!$C$2:$C$333)</f>
        <v>119</v>
      </c>
      <c r="D46" s="62">
        <f ca="1">SUMPRODUCT((UPPER(Cobranza!$C$2:$C$500)=UPPER(B46))*(UPPER(Cobranza!$W$2:$W$500)="C")*(UPPER(Cobranza!$Y$2:$Y$500)&lt;&gt;"Y")*(Cobranza!$V$2:$V$500))</f>
        <v>44</v>
      </c>
      <c r="E46" s="60">
        <f t="shared" ref="E46:E79" ca="1" si="5">C46-D46</f>
        <v>75</v>
      </c>
      <c r="F46" s="34" t="s">
        <v>644</v>
      </c>
      <c r="G46" s="34">
        <f t="shared" ref="G46:G79" ca="1" si="6">IF(OR(D46=C46), 0, 1)</f>
        <v>1</v>
      </c>
    </row>
    <row r="47" spans="1:8" ht="15.75" customHeight="1">
      <c r="A47" s="60" t="s">
        <v>53</v>
      </c>
      <c r="B47" s="61" t="str">
        <f t="shared" si="4"/>
        <v>B</v>
      </c>
      <c r="C47" s="61">
        <f>SUMIF(Efectivo!$A$2:$A$333, 'Yape por MZ'!A47, Efectivo!$C$2:$C$333)</f>
        <v>304</v>
      </c>
      <c r="D47" s="62">
        <f ca="1">SUMPRODUCT((UPPER(Cobranza!$C$2:$C$500)=UPPER(B47))*(UPPER(Cobranza!$W$2:$W$500)="C")*(UPPER(Cobranza!$Y$2:$Y$500)&lt;&gt;"Y")*(Cobranza!$V$2:$V$500))</f>
        <v>304</v>
      </c>
      <c r="E47" s="60">
        <f t="shared" ca="1" si="5"/>
        <v>0</v>
      </c>
      <c r="F47" s="34"/>
      <c r="G47" s="34">
        <f t="shared" ca="1" si="6"/>
        <v>0</v>
      </c>
    </row>
    <row r="48" spans="1:8" ht="15.75" customHeight="1">
      <c r="A48" s="60" t="s">
        <v>80</v>
      </c>
      <c r="B48" s="61" t="str">
        <f t="shared" si="4"/>
        <v>C</v>
      </c>
      <c r="C48" s="61">
        <f>SUMIF(Efectivo!$A$2:$A$333, 'Yape por MZ'!A48, Efectivo!$C$2:$C$333)</f>
        <v>314</v>
      </c>
      <c r="D48" s="62">
        <f ca="1">SUMPRODUCT((UPPER(Cobranza!$C$2:$C$500)=UPPER(B48))*(UPPER(Cobranza!$W$2:$W$500)="C")*(UPPER(Cobranza!$Y$2:$Y$500)&lt;&gt;"Y")*(Cobranza!$V$2:$V$500))</f>
        <v>314</v>
      </c>
      <c r="E48" s="60">
        <f t="shared" ca="1" si="5"/>
        <v>0</v>
      </c>
      <c r="F48" s="34"/>
      <c r="G48" s="34">
        <f t="shared" ca="1" si="6"/>
        <v>0</v>
      </c>
    </row>
    <row r="49" spans="1:7" ht="15.75" customHeight="1">
      <c r="A49" s="60" t="s">
        <v>125</v>
      </c>
      <c r="B49" s="61" t="str">
        <f t="shared" si="4"/>
        <v>D</v>
      </c>
      <c r="C49" s="61">
        <f>SUMIF(Efectivo!$A$2:$A$333, 'Yape por MZ'!A49, Efectivo!$C$2:$C$333)</f>
        <v>97</v>
      </c>
      <c r="D49" s="62">
        <f ca="1">SUMPRODUCT((UPPER(Cobranza!$C$2:$C$500)=UPPER(B49))*(UPPER(Cobranza!$W$2:$W$500)="C")*(UPPER(Cobranza!$Y$2:$Y$500)&lt;&gt;"Y")*(Cobranza!$V$2:$V$500))</f>
        <v>97</v>
      </c>
      <c r="E49" s="60">
        <f t="shared" ca="1" si="5"/>
        <v>0</v>
      </c>
      <c r="F49" s="34"/>
      <c r="G49" s="34">
        <f t="shared" ca="1" si="6"/>
        <v>0</v>
      </c>
    </row>
    <row r="50" spans="1:7" ht="15.75" customHeight="1">
      <c r="A50" s="60" t="s">
        <v>144</v>
      </c>
      <c r="B50" s="61" t="str">
        <f t="shared" si="4"/>
        <v>E</v>
      </c>
      <c r="C50" s="61">
        <f>SUMIF(Efectivo!$A$2:$A$333, 'Yape por MZ'!A50, Efectivo!$C$2:$C$333)</f>
        <v>201</v>
      </c>
      <c r="D50" s="62">
        <f ca="1">SUMPRODUCT((UPPER(Cobranza!$C$2:$C$500)=UPPER(B50))*(UPPER(Cobranza!$W$2:$W$500)="C")*(UPPER(Cobranza!$Y$2:$Y$500)&lt;&gt;"Y")*(Cobranza!$V$2:$V$500))</f>
        <v>201</v>
      </c>
      <c r="E50" s="60">
        <f t="shared" ca="1" si="5"/>
        <v>0</v>
      </c>
      <c r="F50" s="34"/>
      <c r="G50" s="34">
        <f t="shared" ca="1" si="6"/>
        <v>0</v>
      </c>
    </row>
    <row r="51" spans="1:7" ht="15.75" customHeight="1">
      <c r="A51" s="60" t="s">
        <v>161</v>
      </c>
      <c r="B51" s="61" t="str">
        <f t="shared" si="4"/>
        <v>F</v>
      </c>
      <c r="C51" s="61">
        <f>SUMIF(Efectivo!$A$2:$A$333, 'Yape por MZ'!A51, Efectivo!$C$2:$C$333)</f>
        <v>65</v>
      </c>
      <c r="D51" s="62">
        <f ca="1">SUMPRODUCT((UPPER(Cobranza!$C$2:$C$500)=UPPER(B51))*(UPPER(Cobranza!$W$2:$W$500)="C")*(UPPER(Cobranza!$Y$2:$Y$500)&lt;&gt;"Y")*(Cobranza!$V$2:$V$500))</f>
        <v>65</v>
      </c>
      <c r="E51" s="60">
        <f t="shared" ca="1" si="5"/>
        <v>0</v>
      </c>
      <c r="F51" s="34"/>
      <c r="G51" s="34">
        <f t="shared" ca="1" si="6"/>
        <v>0</v>
      </c>
    </row>
    <row r="52" spans="1:7" ht="15.75" customHeight="1">
      <c r="A52" s="60" t="s">
        <v>177</v>
      </c>
      <c r="B52" s="61" t="str">
        <f t="shared" si="4"/>
        <v>G</v>
      </c>
      <c r="C52" s="61">
        <f>SUMIF(Efectivo!$A$2:$A$333, 'Yape por MZ'!A52, Efectivo!$C$2:$C$333)</f>
        <v>345</v>
      </c>
      <c r="D52" s="62">
        <f ca="1">SUMPRODUCT((UPPER(Cobranza!$C$2:$C$500)=UPPER(B52))*(UPPER(Cobranza!$W$2:$W$500)="C")*(UPPER(Cobranza!$Y$2:$Y$500)&lt;&gt;"Y")*(Cobranza!$V$2:$V$500))</f>
        <v>345</v>
      </c>
      <c r="E52" s="60">
        <f t="shared" ca="1" si="5"/>
        <v>0</v>
      </c>
      <c r="F52" s="34"/>
      <c r="G52" s="34">
        <f t="shared" ca="1" si="6"/>
        <v>0</v>
      </c>
    </row>
    <row r="53" spans="1:7" ht="15.75" customHeight="1">
      <c r="A53" s="60" t="s">
        <v>205</v>
      </c>
      <c r="B53" s="61" t="str">
        <f t="shared" si="4"/>
        <v>H</v>
      </c>
      <c r="C53" s="61">
        <f>SUMIF(Efectivo!$A$2:$A$333, 'Yape por MZ'!A53, Efectivo!$C$2:$C$333)</f>
        <v>235</v>
      </c>
      <c r="D53" s="62">
        <f ca="1">SUMPRODUCT((UPPER(Cobranza!$C$2:$C$500)=UPPER(B53))*(UPPER(Cobranza!$W$2:$W$500)="C")*(UPPER(Cobranza!$Y$2:$Y$500)&lt;&gt;"Y")*(Cobranza!$V$2:$V$500))</f>
        <v>235</v>
      </c>
      <c r="E53" s="60">
        <f t="shared" ca="1" si="5"/>
        <v>0</v>
      </c>
      <c r="F53" s="34"/>
      <c r="G53" s="34">
        <f t="shared" ca="1" si="6"/>
        <v>0</v>
      </c>
    </row>
    <row r="54" spans="1:7" ht="15.75" customHeight="1">
      <c r="A54" s="60" t="s">
        <v>228</v>
      </c>
      <c r="B54" s="61" t="str">
        <f t="shared" si="4"/>
        <v>I</v>
      </c>
      <c r="C54" s="61">
        <f>SUMIF(Efectivo!$A$2:$A$333, 'Yape por MZ'!A54, Efectivo!$C$2:$C$333)</f>
        <v>120</v>
      </c>
      <c r="D54" s="62">
        <f ca="1">SUMPRODUCT((UPPER(Cobranza!$C$2:$C$500)=UPPER(B54))*(UPPER(Cobranza!$W$2:$W$500)="C")*(UPPER(Cobranza!$Y$2:$Y$500)&lt;&gt;"Y")*(Cobranza!$V$2:$V$500))</f>
        <v>120</v>
      </c>
      <c r="E54" s="60">
        <f t="shared" ca="1" si="5"/>
        <v>0</v>
      </c>
      <c r="F54" s="34"/>
      <c r="G54" s="34">
        <f t="shared" ca="1" si="6"/>
        <v>0</v>
      </c>
    </row>
    <row r="55" spans="1:7" ht="15.75" customHeight="1">
      <c r="A55" s="60" t="s">
        <v>251</v>
      </c>
      <c r="B55" s="61" t="str">
        <f t="shared" si="4"/>
        <v>J</v>
      </c>
      <c r="C55" s="61">
        <f>SUMIF(Efectivo!$A$2:$A$333, 'Yape por MZ'!A55, Efectivo!$C$2:$C$333)</f>
        <v>109</v>
      </c>
      <c r="D55" s="62">
        <f ca="1">SUMPRODUCT((UPPER(Cobranza!$C$2:$C$500)=UPPER(B55))*(UPPER(Cobranza!$W$2:$W$500)="C")*(UPPER(Cobranza!$Y$2:$Y$500)&lt;&gt;"Y")*(Cobranza!$V$2:$V$500))</f>
        <v>109</v>
      </c>
      <c r="E55" s="60">
        <f t="shared" ca="1" si="5"/>
        <v>0</v>
      </c>
      <c r="F55" s="34"/>
      <c r="G55" s="34">
        <f t="shared" ca="1" si="6"/>
        <v>0</v>
      </c>
    </row>
    <row r="56" spans="1:7" ht="15.75" customHeight="1">
      <c r="A56" s="60" t="s">
        <v>267</v>
      </c>
      <c r="B56" s="61" t="str">
        <f t="shared" si="4"/>
        <v>K</v>
      </c>
      <c r="C56" s="61">
        <f>SUMIF(Efectivo!$A$2:$A$333, 'Yape por MZ'!A56, Efectivo!$C$2:$C$333)</f>
        <v>161</v>
      </c>
      <c r="D56" s="62">
        <f ca="1">SUMPRODUCT((UPPER(Cobranza!$C$2:$C$500)=UPPER(B56))*(UPPER(Cobranza!$W$2:$W$500)="C")*(UPPER(Cobranza!$Y$2:$Y$500)&lt;&gt;"Y")*(Cobranza!$V$2:$V$500))</f>
        <v>161</v>
      </c>
      <c r="E56" s="60">
        <f t="shared" ca="1" si="5"/>
        <v>0</v>
      </c>
      <c r="F56" s="34"/>
      <c r="G56" s="34">
        <f t="shared" ca="1" si="6"/>
        <v>0</v>
      </c>
    </row>
    <row r="57" spans="1:7" ht="15.75" customHeight="1">
      <c r="A57" s="60" t="s">
        <v>284</v>
      </c>
      <c r="B57" s="61" t="str">
        <f t="shared" si="4"/>
        <v>L</v>
      </c>
      <c r="C57" s="61">
        <f>SUMIF(Efectivo!$A$2:$A$333, 'Yape por MZ'!A57, Efectivo!$C$2:$C$333)</f>
        <v>68</v>
      </c>
      <c r="D57" s="62">
        <f ca="1">SUMPRODUCT((UPPER(Cobranza!$C$2:$C$500)=UPPER(B57))*(UPPER(Cobranza!$W$2:$W$500)="C")*(UPPER(Cobranza!$Y$2:$Y$500)&lt;&gt;"Y")*(Cobranza!$V$2:$V$500))</f>
        <v>68</v>
      </c>
      <c r="E57" s="60">
        <f t="shared" ca="1" si="5"/>
        <v>0</v>
      </c>
      <c r="F57" s="34"/>
      <c r="G57" s="34">
        <f t="shared" ca="1" si="6"/>
        <v>0</v>
      </c>
    </row>
    <row r="58" spans="1:7" ht="15.75" customHeight="1">
      <c r="A58" s="60" t="s">
        <v>299</v>
      </c>
      <c r="B58" s="61" t="str">
        <f t="shared" si="4"/>
        <v>M</v>
      </c>
      <c r="C58" s="61">
        <f>SUMIF(Efectivo!$A$2:$A$333, 'Yape por MZ'!A58, Efectivo!$C$2:$C$333)</f>
        <v>123</v>
      </c>
      <c r="D58" s="62">
        <f ca="1">SUMPRODUCT((UPPER(Cobranza!$C$2:$C$500)=UPPER(B58))*(UPPER(Cobranza!$W$2:$W$500)="C")*(UPPER(Cobranza!$Y$2:$Y$500)&lt;&gt;"Y")*(Cobranza!$V$2:$V$500))</f>
        <v>123</v>
      </c>
      <c r="E58" s="60">
        <f t="shared" ca="1" si="5"/>
        <v>0</v>
      </c>
      <c r="F58" s="34"/>
      <c r="G58" s="34">
        <f t="shared" ca="1" si="6"/>
        <v>0</v>
      </c>
    </row>
    <row r="59" spans="1:7" ht="15.75" customHeight="1">
      <c r="A59" s="60" t="s">
        <v>78</v>
      </c>
      <c r="B59" s="61" t="str">
        <f t="shared" si="4"/>
        <v>N</v>
      </c>
      <c r="C59" s="61">
        <f>SUMIF(Efectivo!$A$2:$A$333, 'Yape por MZ'!A59, Efectivo!$C$2:$C$333)</f>
        <v>86</v>
      </c>
      <c r="D59" s="62">
        <f ca="1">SUMPRODUCT((UPPER(Cobranza!$C$2:$C$500)=UPPER(B59))*(UPPER(Cobranza!$W$2:$W$500)="C")*(UPPER(Cobranza!$Y$2:$Y$500)&lt;&gt;"Y")*(Cobranza!$V$2:$V$500))</f>
        <v>86</v>
      </c>
      <c r="E59" s="60">
        <f t="shared" ca="1" si="5"/>
        <v>0</v>
      </c>
      <c r="F59" s="34"/>
      <c r="G59" s="34">
        <f t="shared" ca="1" si="6"/>
        <v>0</v>
      </c>
    </row>
    <row r="60" spans="1:7" ht="15.75" customHeight="1">
      <c r="A60" s="60" t="s">
        <v>327</v>
      </c>
      <c r="B60" s="61" t="str">
        <f t="shared" si="4"/>
        <v>O</v>
      </c>
      <c r="C60" s="61">
        <f>SUMIF(Efectivo!$A$2:$A$333, 'Yape por MZ'!A60, Efectivo!$C$2:$C$333)</f>
        <v>190</v>
      </c>
      <c r="D60" s="62">
        <f ca="1">SUMPRODUCT((UPPER(Cobranza!$C$2:$C$500)=UPPER(B60))*(UPPER(Cobranza!$W$2:$W$500)="C")*(UPPER(Cobranza!$Y$2:$Y$500)&lt;&gt;"Y")*(Cobranza!$V$2:$V$500))</f>
        <v>190</v>
      </c>
      <c r="E60" s="60">
        <f t="shared" ca="1" si="5"/>
        <v>0</v>
      </c>
      <c r="F60" s="34"/>
      <c r="G60" s="34">
        <f t="shared" ca="1" si="6"/>
        <v>0</v>
      </c>
    </row>
    <row r="61" spans="1:7" ht="15.75" customHeight="1">
      <c r="A61" s="60" t="s">
        <v>357</v>
      </c>
      <c r="B61" s="61" t="str">
        <f t="shared" si="4"/>
        <v>P</v>
      </c>
      <c r="C61" s="61">
        <f>SUMIF(Efectivo!$A$2:$A$333, 'Yape por MZ'!A61, Efectivo!$C$2:$C$333)</f>
        <v>56</v>
      </c>
      <c r="D61" s="62">
        <f ca="1">SUMPRODUCT((UPPER(Cobranza!$C$2:$C$500)=UPPER(B61))*(UPPER(Cobranza!$W$2:$W$500)="C")*(UPPER(Cobranza!$Y$2:$Y$500)&lt;&gt;"Y")*(Cobranza!$V$2:$V$500))</f>
        <v>56</v>
      </c>
      <c r="E61" s="60">
        <f t="shared" ca="1" si="5"/>
        <v>0</v>
      </c>
      <c r="F61" s="34"/>
      <c r="G61" s="34">
        <f t="shared" ca="1" si="6"/>
        <v>0</v>
      </c>
    </row>
    <row r="62" spans="1:7" ht="15.75" customHeight="1">
      <c r="A62" s="60" t="s">
        <v>378</v>
      </c>
      <c r="B62" s="61" t="str">
        <f t="shared" si="4"/>
        <v>Q</v>
      </c>
      <c r="C62" s="61">
        <f>SUMIF(Efectivo!$A$2:$A$333, 'Yape por MZ'!A62, Efectivo!$C$2:$C$333)</f>
        <v>110</v>
      </c>
      <c r="D62" s="62">
        <f ca="1">SUMPRODUCT((UPPER(Cobranza!$C$2:$C$500)=UPPER(B62))*(UPPER(Cobranza!$W$2:$W$500)="C")*(UPPER(Cobranza!$Y$2:$Y$500)&lt;&gt;"Y")*(Cobranza!$V$2:$V$500))</f>
        <v>110</v>
      </c>
      <c r="E62" s="60">
        <f t="shared" ca="1" si="5"/>
        <v>0</v>
      </c>
      <c r="F62" s="34"/>
      <c r="G62" s="34">
        <f t="shared" ca="1" si="6"/>
        <v>0</v>
      </c>
    </row>
    <row r="63" spans="1:7" ht="15.75" customHeight="1">
      <c r="A63" s="60" t="s">
        <v>393</v>
      </c>
      <c r="B63" s="61" t="str">
        <f t="shared" si="4"/>
        <v>R</v>
      </c>
      <c r="C63" s="61">
        <f>SUMIF(Efectivo!$A$2:$A$333, 'Yape por MZ'!A63, Efectivo!$C$2:$C$333)</f>
        <v>27</v>
      </c>
      <c r="D63" s="62">
        <f ca="1">SUMPRODUCT((UPPER(Cobranza!$C$2:$C$500)=UPPER(B63))*(UPPER(Cobranza!$W$2:$W$500)="C")*(UPPER(Cobranza!$Y$2:$Y$500)&lt;&gt;"Y")*(Cobranza!$V$2:$V$500))</f>
        <v>27</v>
      </c>
      <c r="E63" s="60">
        <f t="shared" ca="1" si="5"/>
        <v>0</v>
      </c>
      <c r="F63" s="34"/>
      <c r="G63" s="34">
        <f t="shared" ca="1" si="6"/>
        <v>0</v>
      </c>
    </row>
    <row r="64" spans="1:7" ht="15.75" customHeight="1">
      <c r="A64" s="60" t="s">
        <v>401</v>
      </c>
      <c r="B64" s="61" t="str">
        <f t="shared" si="4"/>
        <v>S</v>
      </c>
      <c r="C64" s="61">
        <f>SUMIF(Efectivo!$A$2:$A$333, 'Yape por MZ'!A64, Efectivo!$C$2:$C$333)</f>
        <v>41</v>
      </c>
      <c r="D64" s="62">
        <f ca="1">SUMPRODUCT((UPPER(Cobranza!$C$2:$C$500)=UPPER(B64))*(UPPER(Cobranza!$W$2:$W$500)="C")*(UPPER(Cobranza!$Y$2:$Y$500)&lt;&gt;"Y")*(Cobranza!$V$2:$V$500))</f>
        <v>41</v>
      </c>
      <c r="E64" s="60">
        <f t="shared" ca="1" si="5"/>
        <v>0</v>
      </c>
      <c r="F64" s="34"/>
      <c r="G64" s="34">
        <f t="shared" ca="1" si="6"/>
        <v>0</v>
      </c>
    </row>
    <row r="65" spans="1:7" ht="15.75" customHeight="1">
      <c r="A65" s="60" t="s">
        <v>415</v>
      </c>
      <c r="B65" s="61" t="str">
        <f t="shared" si="4"/>
        <v>T</v>
      </c>
      <c r="C65" s="61">
        <f>SUMIF(Efectivo!$A$2:$A$333, 'Yape por MZ'!A65, Efectivo!$C$2:$C$333)</f>
        <v>62</v>
      </c>
      <c r="D65" s="62">
        <f ca="1">SUMPRODUCT((UPPER(Cobranza!$C$2:$C$500)=UPPER(B65))*(UPPER(Cobranza!$W$2:$W$500)="C")*(UPPER(Cobranza!$Y$2:$Y$500)&lt;&gt;"Y")*(Cobranza!$V$2:$V$500))</f>
        <v>62</v>
      </c>
      <c r="E65" s="60">
        <f t="shared" ca="1" si="5"/>
        <v>0</v>
      </c>
      <c r="F65" s="34"/>
      <c r="G65" s="34">
        <f t="shared" ca="1" si="6"/>
        <v>0</v>
      </c>
    </row>
    <row r="66" spans="1:7" ht="15.75" customHeight="1">
      <c r="A66" s="60" t="s">
        <v>434</v>
      </c>
      <c r="B66" s="61" t="str">
        <f t="shared" si="4"/>
        <v>U</v>
      </c>
      <c r="C66" s="61">
        <f>SUMIF(Efectivo!$A$2:$A$333, 'Yape por MZ'!A66, Efectivo!$C$2:$C$333)</f>
        <v>9</v>
      </c>
      <c r="D66" s="62">
        <f ca="1">SUMPRODUCT((UPPER(Cobranza!$C$2:$C$500)=UPPER(B66))*(UPPER(Cobranza!$W$2:$W$500)="C")*(UPPER(Cobranza!$Y$2:$Y$500)&lt;&gt;"Y")*(Cobranza!$V$2:$V$500))</f>
        <v>9</v>
      </c>
      <c r="E66" s="60">
        <f t="shared" ca="1" si="5"/>
        <v>0</v>
      </c>
      <c r="F66" s="34"/>
      <c r="G66" s="34">
        <f t="shared" ca="1" si="6"/>
        <v>0</v>
      </c>
    </row>
    <row r="67" spans="1:7" ht="15.75" customHeight="1">
      <c r="A67" s="60" t="s">
        <v>441</v>
      </c>
      <c r="B67" s="61" t="str">
        <f t="shared" si="4"/>
        <v>V</v>
      </c>
      <c r="C67" s="61">
        <f>SUMIF(Efectivo!$A$2:$A$333, 'Yape por MZ'!A67, Efectivo!$C$2:$C$333)</f>
        <v>36</v>
      </c>
      <c r="D67" s="62">
        <f ca="1">SUMPRODUCT((UPPER(Cobranza!$C$2:$C$500)=UPPER(B67))*(UPPER(Cobranza!$W$2:$W$500)="C")*(UPPER(Cobranza!$Y$2:$Y$500)&lt;&gt;"Y")*(Cobranza!$V$2:$V$500))</f>
        <v>36</v>
      </c>
      <c r="E67" s="60">
        <f t="shared" ca="1" si="5"/>
        <v>0</v>
      </c>
      <c r="F67" s="34"/>
      <c r="G67" s="34">
        <f t="shared" ca="1" si="6"/>
        <v>0</v>
      </c>
    </row>
    <row r="68" spans="1:7" ht="15.75" customHeight="1">
      <c r="A68" s="60" t="s">
        <v>458</v>
      </c>
      <c r="B68" s="61" t="str">
        <f t="shared" si="4"/>
        <v>W</v>
      </c>
      <c r="C68" s="61">
        <f>SUMIF(Efectivo!$A$2:$A$333, 'Yape por MZ'!A68, Efectivo!$C$2:$C$333)</f>
        <v>16</v>
      </c>
      <c r="D68" s="62">
        <f ca="1">SUMPRODUCT((UPPER(Cobranza!$C$2:$C$500)=UPPER(B68))*(UPPER(Cobranza!$W$2:$W$500)="C")*(UPPER(Cobranza!$Y$2:$Y$500)&lt;&gt;"Y")*(Cobranza!$V$2:$V$500))</f>
        <v>16</v>
      </c>
      <c r="E68" s="60">
        <f t="shared" ca="1" si="5"/>
        <v>0</v>
      </c>
      <c r="F68" s="34"/>
      <c r="G68" s="34">
        <f t="shared" ca="1" si="6"/>
        <v>0</v>
      </c>
    </row>
    <row r="69" spans="1:7" ht="15.75" customHeight="1">
      <c r="A69" s="60" t="s">
        <v>473</v>
      </c>
      <c r="B69" s="61" t="str">
        <f t="shared" si="4"/>
        <v>X</v>
      </c>
      <c r="C69" s="61">
        <f>SUMIF(Efectivo!$A$2:$A$333, 'Yape por MZ'!A69, Efectivo!$C$2:$C$333)</f>
        <v>11</v>
      </c>
      <c r="D69" s="62">
        <f ca="1">SUMPRODUCT((UPPER(Cobranza!$C$2:$C$500)=UPPER(B69))*(UPPER(Cobranza!$W$2:$W$500)="C")*(UPPER(Cobranza!$Y$2:$Y$500)&lt;&gt;"Y")*(Cobranza!$V$2:$V$500))</f>
        <v>11</v>
      </c>
      <c r="E69" s="60">
        <f t="shared" ca="1" si="5"/>
        <v>0</v>
      </c>
      <c r="F69" s="34"/>
      <c r="G69" s="34">
        <f t="shared" ca="1" si="6"/>
        <v>0</v>
      </c>
    </row>
    <row r="70" spans="1:7" ht="15.75" customHeight="1">
      <c r="A70" s="60" t="s">
        <v>492</v>
      </c>
      <c r="B70" s="61" t="str">
        <f t="shared" si="4"/>
        <v>Y</v>
      </c>
      <c r="C70" s="61">
        <f>SUMIF(Efectivo!$A$2:$A$333, 'Yape por MZ'!A70, Efectivo!$C$2:$C$333)</f>
        <v>45</v>
      </c>
      <c r="D70" s="62">
        <f ca="1">SUMPRODUCT((UPPER(Cobranza!$C$2:$C$500)=UPPER(B70))*(UPPER(Cobranza!$W$2:$W$500)="C")*(UPPER(Cobranza!$Y$2:$Y$500)&lt;&gt;"Y")*(Cobranza!$V$2:$V$500))</f>
        <v>45</v>
      </c>
      <c r="E70" s="60">
        <f t="shared" ca="1" si="5"/>
        <v>0</v>
      </c>
      <c r="F70" s="34"/>
      <c r="G70" s="34">
        <f t="shared" ca="1" si="6"/>
        <v>0</v>
      </c>
    </row>
    <row r="71" spans="1:7" ht="15.75" customHeight="1">
      <c r="A71" s="60" t="s">
        <v>502</v>
      </c>
      <c r="B71" s="61" t="str">
        <f t="shared" si="4"/>
        <v>Z</v>
      </c>
      <c r="C71" s="61">
        <f>SUMIF(Efectivo!$A$2:$A$333, 'Yape por MZ'!A71, Efectivo!$C$2:$C$333)</f>
        <v>8</v>
      </c>
      <c r="D71" s="62">
        <f ca="1">SUMPRODUCT((UPPER(Cobranza!$C$2:$C$500)=UPPER(B71))*(UPPER(Cobranza!$W$2:$W$500)="C")*(UPPER(Cobranza!$Y$2:$Y$500)&lt;&gt;"Y")*(Cobranza!$V$2:$V$500))</f>
        <v>0</v>
      </c>
      <c r="E71" s="60">
        <f t="shared" ca="1" si="5"/>
        <v>8</v>
      </c>
      <c r="F71" s="34" t="s">
        <v>645</v>
      </c>
      <c r="G71" s="34">
        <f t="shared" ca="1" si="6"/>
        <v>1</v>
      </c>
    </row>
    <row r="72" spans="1:7" ht="15.75" customHeight="1">
      <c r="A72" s="60" t="s">
        <v>519</v>
      </c>
      <c r="B72" s="61" t="str">
        <f t="shared" si="4"/>
        <v>A1</v>
      </c>
      <c r="C72" s="61">
        <f>SUMIF(Efectivo!$A$2:$A$333, 'Yape por MZ'!A72, Efectivo!$C$2:$C$333)</f>
        <v>129</v>
      </c>
      <c r="D72" s="62">
        <f ca="1">SUMPRODUCT((UPPER(Cobranza!$C$2:$C$500)=UPPER(B72))*(UPPER(Cobranza!$W$2:$W$500)="C")*(UPPER(Cobranza!$Y$2:$Y$500)&lt;&gt;"Y")*(Cobranza!$V$2:$V$500))</f>
        <v>129</v>
      </c>
      <c r="E72" s="60">
        <f t="shared" ca="1" si="5"/>
        <v>0</v>
      </c>
      <c r="F72" s="34"/>
      <c r="G72" s="34">
        <f t="shared" ca="1" si="6"/>
        <v>0</v>
      </c>
    </row>
    <row r="73" spans="1:7" ht="15.75" customHeight="1">
      <c r="A73" s="60" t="s">
        <v>532</v>
      </c>
      <c r="B73" s="61" t="str">
        <f t="shared" si="4"/>
        <v>B1</v>
      </c>
      <c r="C73" s="61">
        <f>SUMIF(Efectivo!$A$2:$A$333, 'Yape por MZ'!A73, Efectivo!$C$2:$C$333)</f>
        <v>23</v>
      </c>
      <c r="D73" s="62">
        <f ca="1">SUMPRODUCT((UPPER(Cobranza!$C$2:$C$500)=UPPER(B73))*(UPPER(Cobranza!$W$2:$W$500)="C")*(UPPER(Cobranza!$Y$2:$Y$500)&lt;&gt;"Y")*(Cobranza!$V$2:$V$500))</f>
        <v>23</v>
      </c>
      <c r="E73" s="60">
        <f t="shared" ca="1" si="5"/>
        <v>0</v>
      </c>
      <c r="F73" s="34"/>
      <c r="G73" s="34">
        <f t="shared" ca="1" si="6"/>
        <v>0</v>
      </c>
    </row>
    <row r="74" spans="1:7" ht="15.75" customHeight="1">
      <c r="A74" s="60" t="s">
        <v>545</v>
      </c>
      <c r="B74" s="61" t="str">
        <f t="shared" si="4"/>
        <v>C1</v>
      </c>
      <c r="C74" s="61">
        <f>SUMIF(Efectivo!$A$2:$A$333, 'Yape por MZ'!A74, Efectivo!$C$2:$C$333)</f>
        <v>24</v>
      </c>
      <c r="D74" s="62">
        <f ca="1">SUMPRODUCT((UPPER(Cobranza!$C$2:$C$500)=UPPER(B74))*(UPPER(Cobranza!$W$2:$W$500)="C")*(UPPER(Cobranza!$Y$2:$Y$500)&lt;&gt;"Y")*(Cobranza!$V$2:$V$500))</f>
        <v>24</v>
      </c>
      <c r="E74" s="60">
        <f t="shared" ca="1" si="5"/>
        <v>0</v>
      </c>
      <c r="F74" s="34"/>
      <c r="G74" s="34">
        <f t="shared" ca="1" si="6"/>
        <v>0</v>
      </c>
    </row>
    <row r="75" spans="1:7" ht="15.75" customHeight="1">
      <c r="A75" s="60" t="s">
        <v>560</v>
      </c>
      <c r="B75" s="61" t="str">
        <f t="shared" si="4"/>
        <v>D1</v>
      </c>
      <c r="C75" s="61">
        <f>SUMIF(Efectivo!$A$2:$A$333, 'Yape por MZ'!A75, Efectivo!$C$2:$C$333)</f>
        <v>11</v>
      </c>
      <c r="D75" s="62">
        <f ca="1">SUMPRODUCT((UPPER(Cobranza!$C$2:$C$500)=UPPER(B75))*(UPPER(Cobranza!$W$2:$W$500)="C")*(UPPER(Cobranza!$Y$2:$Y$500)&lt;&gt;"Y")*(Cobranza!$V$2:$V$500))</f>
        <v>11</v>
      </c>
      <c r="E75" s="60">
        <f t="shared" ca="1" si="5"/>
        <v>0</v>
      </c>
      <c r="F75" s="34"/>
      <c r="G75" s="34">
        <f t="shared" ca="1" si="6"/>
        <v>0</v>
      </c>
    </row>
    <row r="76" spans="1:7" ht="15.75" customHeight="1">
      <c r="A76" s="60" t="s">
        <v>567</v>
      </c>
      <c r="B76" s="61" t="str">
        <f t="shared" si="4"/>
        <v>E1</v>
      </c>
      <c r="C76" s="61">
        <f>SUMIF(Efectivo!$A$2:$A$333, 'Yape por MZ'!A76, Efectivo!$C$2:$C$333)</f>
        <v>27</v>
      </c>
      <c r="D76" s="62">
        <f ca="1">SUMPRODUCT((UPPER(Cobranza!$C$2:$C$500)=UPPER(B76))*(UPPER(Cobranza!$W$2:$W$500)="C")*(UPPER(Cobranza!$Y$2:$Y$500)&lt;&gt;"Y")*(Cobranza!$V$2:$V$500))</f>
        <v>27</v>
      </c>
      <c r="E76" s="60">
        <f t="shared" ca="1" si="5"/>
        <v>0</v>
      </c>
      <c r="F76" s="34"/>
      <c r="G76" s="34">
        <f t="shared" ca="1" si="6"/>
        <v>0</v>
      </c>
    </row>
    <row r="77" spans="1:7" ht="15.75" customHeight="1">
      <c r="A77" s="60" t="s">
        <v>575</v>
      </c>
      <c r="B77" s="61" t="str">
        <f t="shared" si="4"/>
        <v>F1</v>
      </c>
      <c r="C77" s="61">
        <f>SUMIF(Efectivo!$A$2:$A$333, 'Yape por MZ'!A77, Efectivo!$C$2:$C$333)</f>
        <v>16</v>
      </c>
      <c r="D77" s="62">
        <f ca="1">SUMPRODUCT((UPPER(Cobranza!$C$2:$C$500)=UPPER(B77))*(UPPER(Cobranza!$W$2:$W$500)="C")*(UPPER(Cobranza!$Y$2:$Y$500)&lt;&gt;"Y")*(Cobranza!$V$2:$V$500))</f>
        <v>16</v>
      </c>
      <c r="E77" s="60">
        <f t="shared" ca="1" si="5"/>
        <v>0</v>
      </c>
      <c r="F77" s="34"/>
      <c r="G77" s="34">
        <f t="shared" ca="1" si="6"/>
        <v>0</v>
      </c>
    </row>
    <row r="78" spans="1:7" ht="15.75" customHeight="1">
      <c r="A78" s="60" t="s">
        <v>586</v>
      </c>
      <c r="B78" s="61" t="str">
        <f t="shared" si="4"/>
        <v>G1</v>
      </c>
      <c r="C78" s="61">
        <f>SUMIF(Efectivo!$A$2:$A$333, 'Yape por MZ'!A78, Efectivo!$C$2:$C$333)</f>
        <v>0</v>
      </c>
      <c r="D78" s="62">
        <f ca="1">SUMPRODUCT((UPPER(Cobranza!$C$2:$C$500)=UPPER(B78))*(UPPER(Cobranza!$W$2:$W$500)="C")*(UPPER(Cobranza!$Y$2:$Y$500)&lt;&gt;"Y")*(Cobranza!$V$2:$V$500))</f>
        <v>0</v>
      </c>
      <c r="E78" s="60">
        <f t="shared" ca="1" si="5"/>
        <v>0</v>
      </c>
      <c r="F78" s="34"/>
      <c r="G78" s="34">
        <f t="shared" ca="1" si="6"/>
        <v>0</v>
      </c>
    </row>
    <row r="79" spans="1:7" ht="15.75" customHeight="1">
      <c r="A79" s="60" t="s">
        <v>592</v>
      </c>
      <c r="B79" s="61" t="str">
        <f t="shared" si="4"/>
        <v>H1</v>
      </c>
      <c r="C79" s="61">
        <f>SUMIF(Efectivo!$A$2:$A$333, 'Yape por MZ'!A79, Efectivo!$C$2:$C$333)</f>
        <v>0</v>
      </c>
      <c r="D79" s="62">
        <f ca="1">SUMPRODUCT((UPPER(Cobranza!$C$2:$C$500)=UPPER(B79))*(UPPER(Cobranza!$W$2:$W$500)="C")*(UPPER(Cobranza!$Y$2:$Y$500)&lt;&gt;"Y")*(Cobranza!$V$2:$V$500))</f>
        <v>0</v>
      </c>
      <c r="E79" s="60">
        <f t="shared" ca="1" si="5"/>
        <v>0</v>
      </c>
      <c r="F79" s="34"/>
      <c r="G79" s="34">
        <f t="shared" ca="1" si="6"/>
        <v>0</v>
      </c>
    </row>
    <row r="80" spans="1:7" ht="15.75" customHeight="1">
      <c r="A80" s="60"/>
      <c r="B80" s="60"/>
      <c r="C80" s="60"/>
      <c r="D80" s="60"/>
      <c r="E80" s="60"/>
    </row>
    <row r="81" spans="1:7" ht="15.75" customHeight="1">
      <c r="A81" s="60"/>
      <c r="B81" s="61"/>
      <c r="C81" s="61">
        <f t="shared" ref="C81:E81" si="7">SUM(C46:C79)</f>
        <v>3188</v>
      </c>
      <c r="D81" s="61">
        <f t="shared" ca="1" si="7"/>
        <v>3105</v>
      </c>
      <c r="E81" s="60">
        <f t="shared" ca="1" si="7"/>
        <v>83</v>
      </c>
    </row>
    <row r="82" spans="1:7" ht="15.75" customHeight="1"/>
    <row r="83" spans="1:7" ht="15.75" customHeight="1"/>
    <row r="84" spans="1:7" ht="15.75" customHeight="1"/>
    <row r="85" spans="1:7" ht="15.75" customHeight="1">
      <c r="A85" s="38" t="s">
        <v>646</v>
      </c>
    </row>
    <row r="86" spans="1:7" ht="15.75" customHeight="1"/>
    <row r="87" spans="1:7" ht="15.75" customHeight="1">
      <c r="A87" s="38" t="s">
        <v>634</v>
      </c>
      <c r="B87" s="38" t="s">
        <v>31</v>
      </c>
      <c r="C87" s="38" t="s">
        <v>647</v>
      </c>
      <c r="D87" s="38" t="s">
        <v>648</v>
      </c>
      <c r="E87" s="38" t="s">
        <v>637</v>
      </c>
      <c r="F87" s="59" t="s">
        <v>25</v>
      </c>
    </row>
    <row r="88" spans="1:7" ht="15.75" customHeight="1">
      <c r="A88" s="38" t="s">
        <v>34</v>
      </c>
      <c r="B88" s="61" t="str">
        <f t="shared" ref="B88:B121" si="8">TRIM(UPPER(A88))</f>
        <v>A</v>
      </c>
      <c r="C88" s="38">
        <f ca="1">IFERROR(
  SUMIF(
    'Cobro medidores'!$Q:$Q,
    B88,
    'Cobro medidores'!$K:$K
  ),
  0
)</f>
        <v>125</v>
      </c>
      <c r="D88" s="38">
        <f>IFERROR(
  SUMIFS(
    Cobranza!$O:$O,
    Cobranza!$AF:$AF, B88,
    Cobranza!$W:$W, "c"
  ),
  0
)</f>
        <v>125</v>
      </c>
      <c r="E88" s="60">
        <f t="shared" ref="E88:E121" ca="1" si="9">D88-C88</f>
        <v>0</v>
      </c>
      <c r="G88" s="34">
        <f t="shared" ref="G88:G121" ca="1" si="10">IF(OR(D88=C88), 0, 1)</f>
        <v>0</v>
      </c>
    </row>
    <row r="89" spans="1:7" ht="15.75" customHeight="1">
      <c r="A89" s="38" t="s">
        <v>53</v>
      </c>
      <c r="B89" s="61" t="str">
        <f t="shared" si="8"/>
        <v>B</v>
      </c>
      <c r="C89" s="38">
        <f ca="1">IFERROR(
  SUMIF(
    'Cobro medidores'!$Q:$Q,
    B89,
    'Cobro medidores'!$K:$K
  ),
  0
)</f>
        <v>125</v>
      </c>
      <c r="D89" s="38">
        <f>IFERROR(
  SUMIFS(
    Cobranza!$O:$O,
    Cobranza!$AF:$AF, B89,
    Cobranza!$W:$W, "c"
  ),
  0
)</f>
        <v>125</v>
      </c>
      <c r="E89" s="60">
        <f t="shared" ca="1" si="9"/>
        <v>0</v>
      </c>
      <c r="F89" s="38"/>
      <c r="G89" s="34">
        <f t="shared" ca="1" si="10"/>
        <v>0</v>
      </c>
    </row>
    <row r="90" spans="1:7" ht="15.75" customHeight="1">
      <c r="A90" s="38" t="s">
        <v>80</v>
      </c>
      <c r="B90" s="61" t="str">
        <f t="shared" si="8"/>
        <v>C</v>
      </c>
      <c r="C90" s="38">
        <f ca="1">IFERROR(
  SUMIF(
    'Cobro medidores'!$Q:$Q,
    B90,
    'Cobro medidores'!$K:$K
  ),
  0
)</f>
        <v>286</v>
      </c>
      <c r="D90" s="38">
        <f>IFERROR(
  SUMIFS(
    Cobranza!$O:$O,
    Cobranza!$AF:$AF, B90,
    Cobranza!$W:$W, "c"
  ),
  0
)</f>
        <v>286</v>
      </c>
      <c r="E90" s="60">
        <f t="shared" ca="1" si="9"/>
        <v>0</v>
      </c>
      <c r="F90" s="38"/>
      <c r="G90" s="34">
        <f t="shared" ca="1" si="10"/>
        <v>0</v>
      </c>
    </row>
    <row r="91" spans="1:7" ht="15.75" customHeight="1">
      <c r="A91" s="38" t="s">
        <v>125</v>
      </c>
      <c r="B91" s="61" t="str">
        <f t="shared" si="8"/>
        <v>D</v>
      </c>
      <c r="C91" s="38">
        <f ca="1">IFERROR(
  SUMIF(
    'Cobro medidores'!$Q:$Q,
    B91,
    'Cobro medidores'!$K:$K
  ),
  0
)</f>
        <v>125</v>
      </c>
      <c r="D91" s="38">
        <f>IFERROR(
  SUMIFS(
    Cobranza!$O:$O,
    Cobranza!$AF:$AF, B91,
    Cobranza!$W:$W, "c"
  ),
  0
)</f>
        <v>125</v>
      </c>
      <c r="E91" s="60">
        <f t="shared" ca="1" si="9"/>
        <v>0</v>
      </c>
      <c r="G91" s="34">
        <f t="shared" ca="1" si="10"/>
        <v>0</v>
      </c>
    </row>
    <row r="92" spans="1:7" ht="15.75" customHeight="1">
      <c r="A92" s="38" t="s">
        <v>144</v>
      </c>
      <c r="B92" s="61" t="str">
        <f t="shared" si="8"/>
        <v>E</v>
      </c>
      <c r="C92" s="38">
        <f ca="1">IFERROR(
  SUMIF(
    'Cobro medidores'!$Q:$Q,
    B92,
    'Cobro medidores'!$K:$K
  ),
  0
)</f>
        <v>50</v>
      </c>
      <c r="D92" s="38">
        <f>IFERROR(
  SUMIFS(
    Cobranza!$O:$O,
    Cobranza!$AF:$AF, B92,
    Cobranza!$W:$W, "c"
  ),
  0
)</f>
        <v>50</v>
      </c>
      <c r="E92" s="60">
        <f t="shared" ca="1" si="9"/>
        <v>0</v>
      </c>
      <c r="G92" s="34">
        <f t="shared" ca="1" si="10"/>
        <v>0</v>
      </c>
    </row>
    <row r="93" spans="1:7" ht="15.75" customHeight="1">
      <c r="A93" s="38" t="s">
        <v>161</v>
      </c>
      <c r="B93" s="61" t="str">
        <f t="shared" si="8"/>
        <v>F</v>
      </c>
      <c r="C93" s="38">
        <f ca="1">IFERROR(
  SUMIF(
    'Cobro medidores'!$Q:$Q,
    B93,
    'Cobro medidores'!$K:$K
  ),
  0
)</f>
        <v>150</v>
      </c>
      <c r="D93" s="38">
        <f>IFERROR(
  SUMIFS(
    Cobranza!$O:$O,
    Cobranza!$AF:$AF, B93,
    Cobranza!$W:$W, "c"
  ),
  0
)</f>
        <v>150</v>
      </c>
      <c r="E93" s="60">
        <f t="shared" ca="1" si="9"/>
        <v>0</v>
      </c>
      <c r="G93" s="34">
        <f t="shared" ca="1" si="10"/>
        <v>0</v>
      </c>
    </row>
    <row r="94" spans="1:7" ht="15.75" customHeight="1">
      <c r="A94" s="38" t="s">
        <v>177</v>
      </c>
      <c r="B94" s="61" t="str">
        <f t="shared" si="8"/>
        <v>G</v>
      </c>
      <c r="C94" s="38">
        <f ca="1">IFERROR(
  SUMIF(
    'Cobro medidores'!$Q:$Q,
    B94,
    'Cobro medidores'!$K:$K
  ),
  0
)</f>
        <v>325</v>
      </c>
      <c r="D94" s="38">
        <f>IFERROR(
  SUMIFS(
    Cobranza!$O:$O,
    Cobranza!$AF:$AF, B94,
    Cobranza!$W:$W, "c"
  ),
  0
)</f>
        <v>325</v>
      </c>
      <c r="E94" s="60">
        <f t="shared" ca="1" si="9"/>
        <v>0</v>
      </c>
      <c r="G94" s="34">
        <f t="shared" ca="1" si="10"/>
        <v>0</v>
      </c>
    </row>
    <row r="95" spans="1:7" ht="15.75" customHeight="1">
      <c r="A95" s="38" t="s">
        <v>205</v>
      </c>
      <c r="B95" s="61" t="str">
        <f t="shared" si="8"/>
        <v>H</v>
      </c>
      <c r="C95" s="38">
        <f ca="1">IFERROR(
  SUMIF(
    'Cobro medidores'!$Q:$Q,
    B95,
    'Cobro medidores'!$K:$K
  ),
  0
)</f>
        <v>275</v>
      </c>
      <c r="D95" s="38">
        <f>IFERROR(
  SUMIFS(
    Cobranza!$O:$O,
    Cobranza!$AF:$AF, B95,
    Cobranza!$W:$W, "c"
  ),
  0
)</f>
        <v>275</v>
      </c>
      <c r="E95" s="60">
        <f t="shared" ca="1" si="9"/>
        <v>0</v>
      </c>
      <c r="G95" s="34">
        <f t="shared" ca="1" si="10"/>
        <v>0</v>
      </c>
    </row>
    <row r="96" spans="1:7" ht="15.75" customHeight="1">
      <c r="A96" s="38" t="s">
        <v>228</v>
      </c>
      <c r="B96" s="61" t="str">
        <f t="shared" si="8"/>
        <v>I</v>
      </c>
      <c r="C96" s="38">
        <f ca="1">IFERROR(
  SUMIF(
    'Cobro medidores'!$Q:$Q,
    B96,
    'Cobro medidores'!$K:$K
  ),
  0
)</f>
        <v>225</v>
      </c>
      <c r="D96" s="38">
        <f>IFERROR(
  SUMIFS(
    Cobranza!$O:$O,
    Cobranza!$AF:$AF, B96,
    Cobranza!$W:$W, "c"
  ),
  0
)</f>
        <v>225</v>
      </c>
      <c r="E96" s="60">
        <f t="shared" ca="1" si="9"/>
        <v>0</v>
      </c>
      <c r="G96" s="34">
        <f t="shared" ca="1" si="10"/>
        <v>0</v>
      </c>
    </row>
    <row r="97" spans="1:7" ht="15.75" customHeight="1">
      <c r="A97" s="38" t="s">
        <v>251</v>
      </c>
      <c r="B97" s="61" t="str">
        <f t="shared" si="8"/>
        <v>J</v>
      </c>
      <c r="C97" s="38">
        <f ca="1">IFERROR(
  SUMIF(
    'Cobro medidores'!$Q:$Q,
    B97,
    'Cobro medidores'!$K:$K
  ),
  0
)</f>
        <v>125</v>
      </c>
      <c r="D97" s="38">
        <f>IFERROR(
  SUMIFS(
    Cobranza!$O:$O,
    Cobranza!$AF:$AF, B97,
    Cobranza!$W:$W, "c"
  ),
  0
)</f>
        <v>125</v>
      </c>
      <c r="E97" s="60">
        <f t="shared" ca="1" si="9"/>
        <v>0</v>
      </c>
      <c r="G97" s="34">
        <f t="shared" ca="1" si="10"/>
        <v>0</v>
      </c>
    </row>
    <row r="98" spans="1:7" ht="15.75" customHeight="1">
      <c r="A98" s="38" t="s">
        <v>267</v>
      </c>
      <c r="B98" s="61" t="str">
        <f t="shared" si="8"/>
        <v>K</v>
      </c>
      <c r="C98" s="38">
        <f ca="1">IFERROR(
  SUMIF(
    'Cobro medidores'!$Q:$Q,
    B98,
    'Cobro medidores'!$K:$K
  ),
  0
)</f>
        <v>125</v>
      </c>
      <c r="D98" s="38">
        <f>IFERROR(
  SUMIFS(
    Cobranza!$O:$O,
    Cobranza!$AF:$AF, B98,
    Cobranza!$W:$W, "c"
  ),
  0
)</f>
        <v>125</v>
      </c>
      <c r="E98" s="60">
        <f t="shared" ca="1" si="9"/>
        <v>0</v>
      </c>
      <c r="G98" s="34">
        <f t="shared" ca="1" si="10"/>
        <v>0</v>
      </c>
    </row>
    <row r="99" spans="1:7" ht="15.75" customHeight="1">
      <c r="A99" s="38" t="s">
        <v>284</v>
      </c>
      <c r="B99" s="61" t="str">
        <f t="shared" si="8"/>
        <v>L</v>
      </c>
      <c r="C99" s="38">
        <f ca="1">IFERROR(
  SUMIF(
    'Cobro medidores'!$Q:$Q,
    B99,
    'Cobro medidores'!$K:$K
  ),
  0
)</f>
        <v>225</v>
      </c>
      <c r="D99" s="38">
        <f>IFERROR(
  SUMIFS(
    Cobranza!$O:$O,
    Cobranza!$AF:$AF, B99,
    Cobranza!$W:$W, "c"
  ),
  0
)</f>
        <v>225</v>
      </c>
      <c r="E99" s="60">
        <f t="shared" ca="1" si="9"/>
        <v>0</v>
      </c>
      <c r="G99" s="34">
        <f t="shared" ca="1" si="10"/>
        <v>0</v>
      </c>
    </row>
    <row r="100" spans="1:7" ht="15.75" customHeight="1">
      <c r="A100" s="38" t="s">
        <v>299</v>
      </c>
      <c r="B100" s="61" t="str">
        <f t="shared" si="8"/>
        <v>M</v>
      </c>
      <c r="C100" s="38">
        <f ca="1">IFERROR(
  SUMIF(
    'Cobro medidores'!$Q:$Q,
    B100,
    'Cobro medidores'!$K:$K
  ),
  0
)</f>
        <v>75</v>
      </c>
      <c r="D100" s="38">
        <f>IFERROR(
  SUMIFS(
    Cobranza!$O:$O,
    Cobranza!$AF:$AF, B100,
    Cobranza!$W:$W, "c"
  ),
  0
)</f>
        <v>75</v>
      </c>
      <c r="E100" s="60">
        <f t="shared" ca="1" si="9"/>
        <v>0</v>
      </c>
      <c r="G100" s="34">
        <f t="shared" ca="1" si="10"/>
        <v>0</v>
      </c>
    </row>
    <row r="101" spans="1:7" ht="15.75" customHeight="1">
      <c r="A101" s="38" t="s">
        <v>78</v>
      </c>
      <c r="B101" s="61" t="str">
        <f t="shared" si="8"/>
        <v>N</v>
      </c>
      <c r="C101" s="38">
        <f ca="1">IFERROR(
  SUMIF(
    'Cobro medidores'!$Q:$Q,
    B101,
    'Cobro medidores'!$K:$K
  ),
  0
)</f>
        <v>36</v>
      </c>
      <c r="D101" s="38">
        <f>IFERROR(
  SUMIFS(
    Cobranza!$O:$O,
    Cobranza!$AF:$AF, B101,
    Cobranza!$W:$W, "c"
  ),
  0
)</f>
        <v>36</v>
      </c>
      <c r="E101" s="60">
        <f t="shared" ca="1" si="9"/>
        <v>0</v>
      </c>
      <c r="G101" s="34">
        <f t="shared" ca="1" si="10"/>
        <v>0</v>
      </c>
    </row>
    <row r="102" spans="1:7" ht="15.75" customHeight="1">
      <c r="A102" s="38" t="s">
        <v>327</v>
      </c>
      <c r="B102" s="61" t="str">
        <f t="shared" si="8"/>
        <v>O</v>
      </c>
      <c r="C102" s="38">
        <f ca="1">IFERROR(
  SUMIF(
    'Cobro medidores'!$Q:$Q,
    B102,
    'Cobro medidores'!$K:$K
  ),
  0
)</f>
        <v>250</v>
      </c>
      <c r="D102" s="38">
        <f>IFERROR(
  SUMIFS(
    Cobranza!$O:$O,
    Cobranza!$AF:$AF, B102,
    Cobranza!$W:$W, "c"
  ),
  0
)</f>
        <v>250</v>
      </c>
      <c r="E102" s="60">
        <f t="shared" ca="1" si="9"/>
        <v>0</v>
      </c>
      <c r="G102" s="34">
        <f t="shared" ca="1" si="10"/>
        <v>0</v>
      </c>
    </row>
    <row r="103" spans="1:7" ht="15.75" customHeight="1">
      <c r="A103" s="38" t="s">
        <v>357</v>
      </c>
      <c r="B103" s="61" t="str">
        <f t="shared" si="8"/>
        <v>P</v>
      </c>
      <c r="C103" s="38">
        <f ca="1">IFERROR(
  SUMIF(
    'Cobro medidores'!$Q:$Q,
    B103,
    'Cobro medidores'!$K:$K
  ),
  0
)</f>
        <v>50</v>
      </c>
      <c r="D103" s="38">
        <f>IFERROR(
  SUMIFS(
    Cobranza!$O:$O,
    Cobranza!$AF:$AF, B103,
    Cobranza!$W:$W, "c"
  ),
  0
)</f>
        <v>50</v>
      </c>
      <c r="E103" s="60">
        <f t="shared" ca="1" si="9"/>
        <v>0</v>
      </c>
      <c r="G103" s="34">
        <f t="shared" ca="1" si="10"/>
        <v>0</v>
      </c>
    </row>
    <row r="104" spans="1:7" ht="15.75" customHeight="1">
      <c r="A104" s="38" t="s">
        <v>378</v>
      </c>
      <c r="B104" s="61" t="str">
        <f t="shared" si="8"/>
        <v>Q</v>
      </c>
      <c r="C104" s="38">
        <f ca="1">IFERROR(
  SUMIF(
    'Cobro medidores'!$Q:$Q,
    B104,
    'Cobro medidores'!$K:$K
  ),
  0
)</f>
        <v>75</v>
      </c>
      <c r="D104" s="38">
        <f>IFERROR(
  SUMIFS(
    Cobranza!$O:$O,
    Cobranza!$AF:$AF, B104,
    Cobranza!$W:$W, "c"
  ),
  0
)</f>
        <v>75</v>
      </c>
      <c r="E104" s="60">
        <f t="shared" ca="1" si="9"/>
        <v>0</v>
      </c>
      <c r="G104" s="34">
        <f t="shared" ca="1" si="10"/>
        <v>0</v>
      </c>
    </row>
    <row r="105" spans="1:7" ht="15.75" customHeight="1">
      <c r="A105" s="38" t="s">
        <v>393</v>
      </c>
      <c r="B105" s="61" t="str">
        <f t="shared" si="8"/>
        <v>R</v>
      </c>
      <c r="C105" s="38">
        <f ca="1">IFERROR(
  SUMIF(
    'Cobro medidores'!$Q:$Q,
    B105,
    'Cobro medidores'!$K:$K
  ),
  0
)</f>
        <v>25</v>
      </c>
      <c r="D105" s="38">
        <f>IFERROR(
  SUMIFS(
    Cobranza!$O:$O,
    Cobranza!$AF:$AF, B105,
    Cobranza!$W:$W, "c"
  ),
  0
)</f>
        <v>25</v>
      </c>
      <c r="E105" s="60">
        <f t="shared" ca="1" si="9"/>
        <v>0</v>
      </c>
      <c r="G105" s="34">
        <f t="shared" ca="1" si="10"/>
        <v>0</v>
      </c>
    </row>
    <row r="106" spans="1:7" ht="15.75" customHeight="1">
      <c r="A106" s="38" t="s">
        <v>401</v>
      </c>
      <c r="B106" s="61" t="str">
        <f t="shared" si="8"/>
        <v>S</v>
      </c>
      <c r="C106" s="38">
        <f ca="1">IFERROR(
  SUMIF(
    'Cobro medidores'!$Q:$Q,
    B106,
    'Cobro medidores'!$K:$K
  ),
  0
)</f>
        <v>25</v>
      </c>
      <c r="D106" s="38">
        <f>IFERROR(
  SUMIFS(
    Cobranza!$O:$O,
    Cobranza!$AF:$AF, B106,
    Cobranza!$W:$W, "c"
  ),
  0
)</f>
        <v>25</v>
      </c>
      <c r="E106" s="60">
        <f t="shared" ca="1" si="9"/>
        <v>0</v>
      </c>
      <c r="G106" s="34">
        <f t="shared" ca="1" si="10"/>
        <v>0</v>
      </c>
    </row>
    <row r="107" spans="1:7" ht="15.75" customHeight="1">
      <c r="A107" s="38" t="s">
        <v>415</v>
      </c>
      <c r="B107" s="61" t="str">
        <f t="shared" si="8"/>
        <v>T</v>
      </c>
      <c r="C107" s="38">
        <f ca="1">IFERROR(
  SUMIF(
    'Cobro medidores'!$Q:$Q,
    B107,
    'Cobro medidores'!$K:$K
  ),
  0
)</f>
        <v>75</v>
      </c>
      <c r="D107" s="38">
        <f>IFERROR(
  SUMIFS(
    Cobranza!$O:$O,
    Cobranza!$AF:$AF, B107,
    Cobranza!$W:$W, "c"
  ),
  0
)</f>
        <v>75</v>
      </c>
      <c r="E107" s="60">
        <f t="shared" ca="1" si="9"/>
        <v>0</v>
      </c>
      <c r="G107" s="34">
        <f t="shared" ca="1" si="10"/>
        <v>0</v>
      </c>
    </row>
    <row r="108" spans="1:7" ht="15.75" customHeight="1">
      <c r="A108" s="38" t="s">
        <v>434</v>
      </c>
      <c r="B108" s="61" t="str">
        <f t="shared" si="8"/>
        <v>U</v>
      </c>
      <c r="C108" s="38">
        <f>IFERROR(
  SUMIF(
    'Cobro medidores'!$Q:$Q,
    B108,
    'Cobro medidores'!$K:$K
  ),
  0
)</f>
        <v>0</v>
      </c>
      <c r="D108" s="38">
        <f>IFERROR(
  SUMIFS(
    Cobranza!$O:$O,
    Cobranza!$AF:$AF, B108,
    Cobranza!$W:$W, "c"
  ),
  0
)</f>
        <v>0</v>
      </c>
      <c r="E108" s="60">
        <f t="shared" si="9"/>
        <v>0</v>
      </c>
      <c r="G108" s="34">
        <f t="shared" si="10"/>
        <v>0</v>
      </c>
    </row>
    <row r="109" spans="1:7" ht="15.75" customHeight="1">
      <c r="A109" s="38" t="s">
        <v>441</v>
      </c>
      <c r="B109" s="61" t="str">
        <f t="shared" si="8"/>
        <v>V</v>
      </c>
      <c r="C109" s="38">
        <f>IFERROR(
  SUMIF(
    'Cobro medidores'!$Q:$Q,
    B109,
    'Cobro medidores'!$K:$K
  ),
  0
)</f>
        <v>0</v>
      </c>
      <c r="D109" s="38">
        <f>IFERROR(
  SUMIFS(
    Cobranza!$O:$O,
    Cobranza!$AF:$AF, B109,
    Cobranza!$W:$W, "c"
  ),
  0
)</f>
        <v>0</v>
      </c>
      <c r="E109" s="60">
        <f t="shared" si="9"/>
        <v>0</v>
      </c>
      <c r="G109" s="34">
        <f t="shared" si="10"/>
        <v>0</v>
      </c>
    </row>
    <row r="110" spans="1:7" ht="15.75" customHeight="1">
      <c r="A110" s="38" t="s">
        <v>458</v>
      </c>
      <c r="B110" s="61" t="str">
        <f t="shared" si="8"/>
        <v>W</v>
      </c>
      <c r="C110" s="38">
        <f ca="1">IFERROR(
  SUMIF(
    'Cobro medidores'!$Q:$Q,
    B110,
    'Cobro medidores'!$K:$K
  ),
  0
)</f>
        <v>43</v>
      </c>
      <c r="D110" s="38">
        <f>IFERROR(
  SUMIFS(
    Cobranza!$O:$O,
    Cobranza!$AF:$AF, B110,
    Cobranza!$W:$W, "c"
  ),
  0
)</f>
        <v>43</v>
      </c>
      <c r="E110" s="60">
        <f t="shared" ca="1" si="9"/>
        <v>0</v>
      </c>
      <c r="G110" s="34">
        <f t="shared" ca="1" si="10"/>
        <v>0</v>
      </c>
    </row>
    <row r="111" spans="1:7" ht="15.75" customHeight="1">
      <c r="A111" s="38" t="s">
        <v>473</v>
      </c>
      <c r="B111" s="61" t="str">
        <f t="shared" si="8"/>
        <v>X</v>
      </c>
      <c r="C111" s="38">
        <f>IFERROR(
  SUMIF(
    'Cobro medidores'!$Q:$Q,
    B111,
    'Cobro medidores'!$K:$K
  ),
  0
)</f>
        <v>0</v>
      </c>
      <c r="D111" s="38">
        <f>IFERROR(
  SUMIFS(
    Cobranza!$O:$O,
    Cobranza!$AF:$AF, B111,
    Cobranza!$W:$W, "c"
  ),
  0
)</f>
        <v>0</v>
      </c>
      <c r="E111" s="60">
        <f t="shared" si="9"/>
        <v>0</v>
      </c>
      <c r="G111" s="34">
        <f t="shared" si="10"/>
        <v>0</v>
      </c>
    </row>
    <row r="112" spans="1:7" ht="15.75" customHeight="1">
      <c r="A112" s="38" t="s">
        <v>492</v>
      </c>
      <c r="B112" s="61" t="str">
        <f t="shared" si="8"/>
        <v>Y</v>
      </c>
      <c r="C112" s="38">
        <f>IFERROR(
  SUMIF(
    'Cobro medidores'!$Q:$Q,
    B112,
    'Cobro medidores'!$K:$K
  ),
  0
)</f>
        <v>0</v>
      </c>
      <c r="D112" s="38">
        <f>IFERROR(
  SUMIFS(
    Cobranza!$O:$O,
    Cobranza!$AF:$AF, B112,
    Cobranza!$W:$W, "c"
  ),
  0
)</f>
        <v>0</v>
      </c>
      <c r="E112" s="60">
        <f t="shared" si="9"/>
        <v>0</v>
      </c>
      <c r="F112" s="38"/>
      <c r="G112" s="34">
        <f t="shared" si="10"/>
        <v>0</v>
      </c>
    </row>
    <row r="113" spans="1:7" ht="15.75" customHeight="1">
      <c r="A113" s="38" t="s">
        <v>502</v>
      </c>
      <c r="B113" s="61" t="str">
        <f t="shared" si="8"/>
        <v>Z</v>
      </c>
      <c r="C113" s="38">
        <f>IFERROR(
  SUMIF(
    'Cobro medidores'!$Q:$Q,
    B113,
    'Cobro medidores'!$K:$K
  ),
  0
)</f>
        <v>0</v>
      </c>
      <c r="D113" s="38">
        <f>IFERROR(
  SUMIFS(
    Cobranza!$O:$O,
    Cobranza!$AF:$AF, B113,
    Cobranza!$W:$W, "c"
  ),
  0
)</f>
        <v>0</v>
      </c>
      <c r="E113" s="60">
        <f t="shared" si="9"/>
        <v>0</v>
      </c>
      <c r="G113" s="34">
        <f t="shared" si="10"/>
        <v>0</v>
      </c>
    </row>
    <row r="114" spans="1:7" ht="15.75" customHeight="1">
      <c r="A114" s="38" t="s">
        <v>519</v>
      </c>
      <c r="B114" s="61" t="str">
        <f t="shared" si="8"/>
        <v>A1</v>
      </c>
      <c r="C114" s="38">
        <f>IFERROR(
  SUMIF(
    'Cobro medidores'!$Q:$Q,
    B114,
    'Cobro medidores'!$K:$K
  ),
  0
)</f>
        <v>0</v>
      </c>
      <c r="D114" s="38">
        <f>IFERROR(
  SUMIFS(
    Cobranza!$O:$O,
    Cobranza!$AF:$AF, B114,
    Cobranza!$W:$W, "c"
  ),
  0
)</f>
        <v>0</v>
      </c>
      <c r="E114" s="60">
        <f t="shared" si="9"/>
        <v>0</v>
      </c>
      <c r="G114" s="34">
        <f t="shared" si="10"/>
        <v>0</v>
      </c>
    </row>
    <row r="115" spans="1:7" ht="15.75" customHeight="1">
      <c r="A115" s="38" t="s">
        <v>532</v>
      </c>
      <c r="B115" s="61" t="str">
        <f t="shared" si="8"/>
        <v>B1</v>
      </c>
      <c r="C115" s="38">
        <f>IFERROR(
  SUMIF(
    'Cobro medidores'!$Q:$Q,
    B115,
    'Cobro medidores'!$K:$K
  ),
  0
)</f>
        <v>0</v>
      </c>
      <c r="D115" s="38">
        <f>IFERROR(
  SUMIFS(
    Cobranza!$O:$O,
    Cobranza!$AF:$AF, B115,
    Cobranza!$W:$W, "c"
  ),
  0
)</f>
        <v>0</v>
      </c>
      <c r="E115" s="60">
        <f t="shared" si="9"/>
        <v>0</v>
      </c>
      <c r="G115" s="34">
        <f t="shared" si="10"/>
        <v>0</v>
      </c>
    </row>
    <row r="116" spans="1:7" ht="15.75" customHeight="1">
      <c r="A116" s="38" t="s">
        <v>545</v>
      </c>
      <c r="B116" s="61" t="str">
        <f t="shared" si="8"/>
        <v>C1</v>
      </c>
      <c r="C116" s="38">
        <f>IFERROR(
  SUMIF(
    'Cobro medidores'!$Q:$Q,
    B116,
    'Cobro medidores'!$K:$K
  ),
  0
)</f>
        <v>0</v>
      </c>
      <c r="D116" s="38">
        <f>IFERROR(
  SUMIFS(
    Cobranza!$O:$O,
    Cobranza!$AF:$AF, B116,
    Cobranza!$W:$W, "c"
  ),
  0
)</f>
        <v>0</v>
      </c>
      <c r="E116" s="60">
        <f t="shared" si="9"/>
        <v>0</v>
      </c>
      <c r="G116" s="34">
        <f t="shared" si="10"/>
        <v>0</v>
      </c>
    </row>
    <row r="117" spans="1:7" ht="15.75" customHeight="1">
      <c r="A117" s="38" t="s">
        <v>560</v>
      </c>
      <c r="B117" s="61" t="str">
        <f t="shared" si="8"/>
        <v>D1</v>
      </c>
      <c r="C117" s="38">
        <f>IFERROR(
  SUMIF(
    'Cobro medidores'!$Q:$Q,
    B117,
    'Cobro medidores'!$K:$K
  ),
  0
)</f>
        <v>0</v>
      </c>
      <c r="D117" s="38">
        <f>IFERROR(
  SUMIFS(
    Cobranza!$O:$O,
    Cobranza!$AF:$AF, B117,
    Cobranza!$W:$W, "c"
  ),
  0
)</f>
        <v>0</v>
      </c>
      <c r="E117" s="60">
        <f t="shared" si="9"/>
        <v>0</v>
      </c>
      <c r="G117" s="34">
        <f t="shared" si="10"/>
        <v>0</v>
      </c>
    </row>
    <row r="118" spans="1:7" ht="15.75" customHeight="1">
      <c r="A118" s="38" t="s">
        <v>567</v>
      </c>
      <c r="B118" s="61" t="str">
        <f t="shared" si="8"/>
        <v>E1</v>
      </c>
      <c r="C118" s="38">
        <f>IFERROR(
  SUMIF(
    'Cobro medidores'!$Q:$Q,
    B118,
    'Cobro medidores'!$K:$K
  ),
  0
)</f>
        <v>0</v>
      </c>
      <c r="D118" s="38">
        <f>IFERROR(
  SUMIFS(
    Cobranza!$O:$O,
    Cobranza!$AF:$AF, B118,
    Cobranza!$W:$W, "c"
  ),
  0
)</f>
        <v>0</v>
      </c>
      <c r="E118" s="60">
        <f t="shared" si="9"/>
        <v>0</v>
      </c>
      <c r="G118" s="34">
        <f t="shared" si="10"/>
        <v>0</v>
      </c>
    </row>
    <row r="119" spans="1:7" ht="15.75" customHeight="1">
      <c r="A119" s="38" t="s">
        <v>575</v>
      </c>
      <c r="B119" s="61" t="str">
        <f t="shared" si="8"/>
        <v>F1</v>
      </c>
      <c r="C119" s="38">
        <f ca="1">IFERROR(
  SUMIF(
    'Cobro medidores'!$Q:$Q,
    B119,
    'Cobro medidores'!$K:$K
  ),
  0
)</f>
        <v>25</v>
      </c>
      <c r="D119" s="38">
        <f>IFERROR(
  SUMIFS(
    Cobranza!$O:$O,
    Cobranza!$AF:$AF, B119,
    Cobranza!$W:$W, "c"
  ),
  0
)</f>
        <v>25</v>
      </c>
      <c r="E119" s="60">
        <f t="shared" ca="1" si="9"/>
        <v>0</v>
      </c>
      <c r="F119" s="38" t="s">
        <v>649</v>
      </c>
      <c r="G119" s="34">
        <f t="shared" ca="1" si="10"/>
        <v>0</v>
      </c>
    </row>
    <row r="120" spans="1:7" ht="15.75" customHeight="1">
      <c r="A120" s="38" t="s">
        <v>586</v>
      </c>
      <c r="B120" s="61" t="str">
        <f t="shared" si="8"/>
        <v>G1</v>
      </c>
      <c r="C120" s="38">
        <f ca="1">IFERROR(
  SUMIF(
    'Cobro medidores'!$Q:$Q,
    B120,
    'Cobro medidores'!$K:$K
  ),
  0
)</f>
        <v>25</v>
      </c>
      <c r="D120" s="38">
        <f>IFERROR(
  SUMIFS(
    Cobranza!$O:$O,
    Cobranza!$AF:$AF, B120,
    Cobranza!$W:$W, "c"
  ),
  0
)</f>
        <v>25</v>
      </c>
      <c r="E120" s="60">
        <f t="shared" ca="1" si="9"/>
        <v>0</v>
      </c>
      <c r="G120" s="34">
        <f t="shared" ca="1" si="10"/>
        <v>0</v>
      </c>
    </row>
    <row r="121" spans="1:7" ht="15.75" customHeight="1">
      <c r="A121" s="38" t="s">
        <v>592</v>
      </c>
      <c r="B121" s="61" t="str">
        <f t="shared" si="8"/>
        <v>H1</v>
      </c>
      <c r="C121" s="38">
        <f>IFERROR(
  SUMIF(
    'Cobro medidores'!$Q:$Q,
    B121,
    'Cobro medidores'!$K:$K
  ),
  0
)</f>
        <v>0</v>
      </c>
      <c r="D121" s="38">
        <f>IFERROR(
  SUMIFS(
    Cobranza!$O:$O,
    Cobranza!$AF:$AF, B121,
    Cobranza!$W:$W, "c"
  ),
  0
)</f>
        <v>0</v>
      </c>
      <c r="E121" s="60">
        <f t="shared" si="9"/>
        <v>0</v>
      </c>
      <c r="G121" s="34">
        <f t="shared" si="10"/>
        <v>0</v>
      </c>
    </row>
    <row r="122" spans="1:7" ht="15.75" customHeight="1">
      <c r="A122" s="38"/>
      <c r="B122" s="38"/>
      <c r="C122" s="38"/>
      <c r="D122" s="38"/>
      <c r="E122" s="38"/>
    </row>
    <row r="123" spans="1:7" ht="15.75" customHeight="1">
      <c r="A123" s="38"/>
      <c r="B123" s="38"/>
      <c r="C123" s="63">
        <f t="shared" ref="C123:D123" ca="1" si="11">SUM(C88:C121)</f>
        <v>2865</v>
      </c>
      <c r="D123" s="38">
        <f t="shared" si="11"/>
        <v>2865</v>
      </c>
      <c r="E123" s="38">
        <f ca="1">D123-C123</f>
        <v>0</v>
      </c>
    </row>
    <row r="124" spans="1:7" ht="15.75" customHeight="1">
      <c r="D124" s="63">
        <f ca="1">D123-E123</f>
        <v>2865</v>
      </c>
    </row>
    <row r="125" spans="1:7" ht="15.75" customHeight="1"/>
    <row r="126" spans="1:7" ht="15.75" customHeight="1"/>
    <row r="127" spans="1:7" ht="15.75" customHeight="1"/>
    <row r="128" spans="1:7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1" priority="1">
      <formula>$G4=1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V505"/>
  <sheetViews>
    <sheetView workbookViewId="0"/>
  </sheetViews>
  <sheetFormatPr baseColWidth="10" defaultColWidth="14.453125" defaultRowHeight="15" customHeight="1"/>
  <cols>
    <col min="1" max="1" width="17.54296875" customWidth="1"/>
    <col min="2" max="2" width="28.54296875" customWidth="1"/>
    <col min="3" max="3" width="18.81640625" customWidth="1"/>
    <col min="9" max="9" width="35.08984375" customWidth="1"/>
    <col min="10" max="10" width="28.7265625" customWidth="1"/>
    <col min="12" max="12" width="12.08984375" customWidth="1"/>
    <col min="13" max="13" width="11.81640625" customWidth="1"/>
    <col min="14" max="14" width="13.26953125" customWidth="1"/>
  </cols>
  <sheetData>
    <row r="1" spans="1:22" ht="36" customHeight="1">
      <c r="A1" s="65" t="s">
        <v>650</v>
      </c>
      <c r="B1" s="65" t="s">
        <v>651</v>
      </c>
      <c r="C1" s="65" t="s">
        <v>652</v>
      </c>
      <c r="D1" s="65" t="s">
        <v>653</v>
      </c>
      <c r="E1" s="66" t="s">
        <v>654</v>
      </c>
      <c r="F1" s="66" t="s">
        <v>655</v>
      </c>
      <c r="G1" s="66" t="s">
        <v>656</v>
      </c>
      <c r="H1" s="65" t="s">
        <v>657</v>
      </c>
      <c r="I1" s="65" t="s">
        <v>658</v>
      </c>
      <c r="J1" s="65" t="s">
        <v>659</v>
      </c>
      <c r="K1" s="67" t="s">
        <v>660</v>
      </c>
      <c r="L1" s="68" t="s">
        <v>661</v>
      </c>
      <c r="M1" s="69" t="s">
        <v>662</v>
      </c>
      <c r="N1" s="67" t="s">
        <v>663</v>
      </c>
    </row>
    <row r="2" spans="1:22" ht="22.5" hidden="1" customHeight="1">
      <c r="A2" s="70" t="s">
        <v>664</v>
      </c>
      <c r="B2" s="70" t="s">
        <v>665</v>
      </c>
      <c r="C2" s="70" t="s">
        <v>666</v>
      </c>
      <c r="D2" s="70" t="s">
        <v>667</v>
      </c>
      <c r="E2" s="71">
        <f t="shared" ref="E2:E3" si="0">-VALUE(SUBSTITUTE(D2, ".", ","))</f>
        <v>-171</v>
      </c>
      <c r="F2" s="71"/>
      <c r="G2" s="71"/>
      <c r="H2" s="72"/>
      <c r="I2" s="70" t="s">
        <v>668</v>
      </c>
      <c r="J2" s="70" t="s">
        <v>669</v>
      </c>
      <c r="K2" s="73" t="str">
        <f t="shared" ref="K2:K190" si="1">MID(J2,7,4)</f>
        <v>2026</v>
      </c>
      <c r="L2" s="73" t="str">
        <f t="shared" ref="L2:L190" si="2">MID(J2,4,2)</f>
        <v>05</v>
      </c>
      <c r="M2" s="73" t="str">
        <f t="shared" ref="M2:M190" si="3">LEFT(J2,2)</f>
        <v>09</v>
      </c>
      <c r="N2" s="73" t="str">
        <f t="shared" ref="N2:N190" si="4">RIGHT(J2,8)</f>
        <v>12:35:32</v>
      </c>
      <c r="O2" s="74"/>
      <c r="P2" s="74"/>
      <c r="Q2" s="74"/>
      <c r="R2" s="74"/>
      <c r="S2" s="74"/>
      <c r="T2" s="74"/>
      <c r="U2" s="74"/>
      <c r="V2" s="74"/>
    </row>
    <row r="3" spans="1:22" ht="22.5" hidden="1" customHeight="1">
      <c r="A3" s="70" t="s">
        <v>670</v>
      </c>
      <c r="B3" s="70" t="s">
        <v>671</v>
      </c>
      <c r="C3" s="70" t="s">
        <v>672</v>
      </c>
      <c r="D3" s="70" t="s">
        <v>673</v>
      </c>
      <c r="E3" s="71">
        <f t="shared" si="0"/>
        <v>-300</v>
      </c>
      <c r="F3" s="71"/>
      <c r="G3" s="71"/>
      <c r="H3" s="72"/>
      <c r="I3" s="70" t="s">
        <v>674</v>
      </c>
      <c r="J3" s="70" t="s">
        <v>675</v>
      </c>
      <c r="K3" s="73" t="str">
        <f t="shared" si="1"/>
        <v>2026</v>
      </c>
      <c r="L3" s="73" t="str">
        <f t="shared" si="2"/>
        <v>05</v>
      </c>
      <c r="M3" s="73" t="str">
        <f t="shared" si="3"/>
        <v>09</v>
      </c>
      <c r="N3" s="73" t="str">
        <f t="shared" si="4"/>
        <v>11:39:20</v>
      </c>
      <c r="O3" s="74"/>
      <c r="P3" s="74"/>
      <c r="Q3" s="74"/>
      <c r="R3" s="74"/>
      <c r="S3" s="74"/>
      <c r="T3" s="74"/>
      <c r="U3" s="74"/>
      <c r="V3" s="74"/>
    </row>
    <row r="4" spans="1:22" ht="22.5" customHeight="1">
      <c r="A4" s="70" t="s">
        <v>676</v>
      </c>
      <c r="B4" s="70" t="s">
        <v>677</v>
      </c>
      <c r="C4" s="70" t="s">
        <v>678</v>
      </c>
      <c r="D4" s="70" t="s">
        <v>679</v>
      </c>
      <c r="E4" s="71">
        <f t="shared" ref="E4:E14" si="5">VALUE(SUBSTITUTE(D4, ".", ","))</f>
        <v>8</v>
      </c>
      <c r="F4" s="71" t="s">
        <v>680</v>
      </c>
      <c r="G4" s="71"/>
      <c r="H4" s="72" t="str">
        <f t="shared" ref="H4:H14" si="6">TRIM(UPPER(F4)) &amp; "-" &amp; TRIM(UPPER(G4))</f>
        <v>BLANCO-</v>
      </c>
      <c r="I4" s="75"/>
      <c r="J4" s="70" t="s">
        <v>681</v>
      </c>
      <c r="K4" s="73" t="str">
        <f t="shared" si="1"/>
        <v>2026</v>
      </c>
      <c r="L4" s="73" t="str">
        <f t="shared" si="2"/>
        <v>05</v>
      </c>
      <c r="M4" s="73" t="str">
        <f t="shared" si="3"/>
        <v>08</v>
      </c>
      <c r="N4" s="73" t="str">
        <f t="shared" si="4"/>
        <v>10:35:55</v>
      </c>
      <c r="O4" s="74"/>
      <c r="P4" s="74"/>
      <c r="Q4" s="74"/>
      <c r="R4" s="74"/>
      <c r="S4" s="74"/>
      <c r="T4" s="74"/>
      <c r="U4" s="74"/>
      <c r="V4" s="74"/>
    </row>
    <row r="5" spans="1:22" ht="22.5" customHeight="1">
      <c r="A5" s="70" t="s">
        <v>682</v>
      </c>
      <c r="B5" s="70" t="s">
        <v>683</v>
      </c>
      <c r="C5" s="70" t="s">
        <v>684</v>
      </c>
      <c r="D5" s="70" t="s">
        <v>685</v>
      </c>
      <c r="E5" s="71">
        <f t="shared" si="5"/>
        <v>22</v>
      </c>
      <c r="F5" s="71" t="s">
        <v>680</v>
      </c>
      <c r="G5" s="71"/>
      <c r="H5" s="72" t="str">
        <f t="shared" si="6"/>
        <v>BLANCO-</v>
      </c>
      <c r="I5" s="75"/>
      <c r="J5" s="70" t="s">
        <v>686</v>
      </c>
      <c r="K5" s="73" t="str">
        <f t="shared" si="1"/>
        <v>2026</v>
      </c>
      <c r="L5" s="73" t="str">
        <f t="shared" si="2"/>
        <v>05</v>
      </c>
      <c r="M5" s="73" t="str">
        <f t="shared" si="3"/>
        <v>08</v>
      </c>
      <c r="N5" s="73" t="str">
        <f t="shared" si="4"/>
        <v>10:35:18</v>
      </c>
      <c r="O5" s="74"/>
      <c r="P5" s="74"/>
      <c r="Q5" s="74"/>
      <c r="R5" s="74"/>
      <c r="S5" s="74"/>
      <c r="T5" s="74"/>
      <c r="U5" s="74"/>
      <c r="V5" s="74"/>
    </row>
    <row r="6" spans="1:22" ht="22.5" customHeight="1">
      <c r="A6" s="70" t="s">
        <v>687</v>
      </c>
      <c r="B6" s="70" t="s">
        <v>688</v>
      </c>
      <c r="C6" s="70" t="s">
        <v>689</v>
      </c>
      <c r="D6" s="70" t="s">
        <v>690</v>
      </c>
      <c r="E6" s="71">
        <f t="shared" si="5"/>
        <v>35</v>
      </c>
      <c r="F6" s="71" t="s">
        <v>125</v>
      </c>
      <c r="G6" s="71">
        <v>9</v>
      </c>
      <c r="H6" s="72" t="str">
        <f t="shared" si="6"/>
        <v>D-9</v>
      </c>
      <c r="I6" s="70" t="s">
        <v>691</v>
      </c>
      <c r="J6" s="70" t="s">
        <v>692</v>
      </c>
      <c r="K6" s="73" t="str">
        <f t="shared" si="1"/>
        <v>2026</v>
      </c>
      <c r="L6" s="73" t="str">
        <f t="shared" si="2"/>
        <v>05</v>
      </c>
      <c r="M6" s="73" t="str">
        <f t="shared" si="3"/>
        <v>08</v>
      </c>
      <c r="N6" s="73" t="str">
        <f t="shared" si="4"/>
        <v>10:06:11</v>
      </c>
      <c r="O6" s="74"/>
      <c r="P6" s="74"/>
      <c r="Q6" s="74"/>
      <c r="R6" s="74"/>
      <c r="S6" s="74"/>
      <c r="T6" s="74"/>
      <c r="U6" s="74"/>
      <c r="V6" s="74"/>
    </row>
    <row r="7" spans="1:22" ht="22.5" customHeight="1">
      <c r="A7" s="70" t="s">
        <v>693</v>
      </c>
      <c r="B7" s="70" t="s">
        <v>694</v>
      </c>
      <c r="C7" s="70" t="s">
        <v>695</v>
      </c>
      <c r="D7" s="70" t="s">
        <v>696</v>
      </c>
      <c r="E7" s="71">
        <f t="shared" si="5"/>
        <v>19</v>
      </c>
      <c r="F7" s="71" t="s">
        <v>228</v>
      </c>
      <c r="G7" s="71">
        <v>16</v>
      </c>
      <c r="H7" s="72" t="str">
        <f t="shared" si="6"/>
        <v>I-16</v>
      </c>
      <c r="I7" s="70" t="s">
        <v>697</v>
      </c>
      <c r="J7" s="70" t="s">
        <v>698</v>
      </c>
      <c r="K7" s="73" t="str">
        <f t="shared" si="1"/>
        <v>2026</v>
      </c>
      <c r="L7" s="73" t="str">
        <f t="shared" si="2"/>
        <v>05</v>
      </c>
      <c r="M7" s="73" t="str">
        <f t="shared" si="3"/>
        <v>08</v>
      </c>
      <c r="N7" s="73" t="str">
        <f t="shared" si="4"/>
        <v>08:20:08</v>
      </c>
      <c r="O7" s="74"/>
      <c r="P7" s="74"/>
      <c r="Q7" s="74"/>
      <c r="R7" s="74"/>
      <c r="S7" s="74"/>
      <c r="T7" s="74"/>
      <c r="U7" s="74"/>
      <c r="V7" s="74"/>
    </row>
    <row r="8" spans="1:22" ht="22.5" customHeight="1">
      <c r="A8" s="70" t="s">
        <v>699</v>
      </c>
      <c r="B8" s="70" t="s">
        <v>700</v>
      </c>
      <c r="C8" s="70" t="s">
        <v>701</v>
      </c>
      <c r="D8" s="70" t="s">
        <v>702</v>
      </c>
      <c r="E8" s="71">
        <f t="shared" si="5"/>
        <v>45</v>
      </c>
      <c r="F8" s="71" t="s">
        <v>53</v>
      </c>
      <c r="G8" s="71">
        <v>21</v>
      </c>
      <c r="H8" s="72" t="str">
        <f t="shared" si="6"/>
        <v>B-21</v>
      </c>
      <c r="I8" s="75"/>
      <c r="J8" s="70" t="s">
        <v>703</v>
      </c>
      <c r="K8" s="73" t="str">
        <f t="shared" si="1"/>
        <v>2026</v>
      </c>
      <c r="L8" s="73" t="str">
        <f t="shared" si="2"/>
        <v>05</v>
      </c>
      <c r="M8" s="73" t="str">
        <f t="shared" si="3"/>
        <v>07</v>
      </c>
      <c r="N8" s="73" t="str">
        <f t="shared" si="4"/>
        <v>18:05:28</v>
      </c>
      <c r="O8" s="74"/>
      <c r="P8" s="74"/>
      <c r="Q8" s="74"/>
      <c r="R8" s="74"/>
      <c r="S8" s="74"/>
      <c r="T8" s="74"/>
      <c r="U8" s="74"/>
      <c r="V8" s="74"/>
    </row>
    <row r="9" spans="1:22" ht="22.5" customHeight="1">
      <c r="A9" s="70" t="s">
        <v>704</v>
      </c>
      <c r="B9" s="70" t="s">
        <v>705</v>
      </c>
      <c r="C9" s="70" t="s">
        <v>706</v>
      </c>
      <c r="D9" s="70" t="s">
        <v>707</v>
      </c>
      <c r="E9" s="71">
        <f t="shared" si="5"/>
        <v>41</v>
      </c>
      <c r="F9" s="71" t="s">
        <v>251</v>
      </c>
      <c r="G9" s="71">
        <v>3</v>
      </c>
      <c r="H9" s="72" t="str">
        <f t="shared" si="6"/>
        <v>J-3</v>
      </c>
      <c r="I9" s="75"/>
      <c r="J9" s="70" t="s">
        <v>708</v>
      </c>
      <c r="K9" s="73" t="str">
        <f t="shared" si="1"/>
        <v>2026</v>
      </c>
      <c r="L9" s="73" t="str">
        <f t="shared" si="2"/>
        <v>05</v>
      </c>
      <c r="M9" s="73" t="str">
        <f t="shared" si="3"/>
        <v>07</v>
      </c>
      <c r="N9" s="73" t="str">
        <f t="shared" si="4"/>
        <v>13:17:23</v>
      </c>
      <c r="O9" s="74"/>
      <c r="P9" s="74"/>
      <c r="Q9" s="74"/>
      <c r="R9" s="74"/>
      <c r="S9" s="74"/>
      <c r="T9" s="74"/>
      <c r="U9" s="74"/>
      <c r="V9" s="74"/>
    </row>
    <row r="10" spans="1:22" ht="22.5" customHeight="1">
      <c r="A10" s="70" t="s">
        <v>709</v>
      </c>
      <c r="B10" s="70" t="s">
        <v>710</v>
      </c>
      <c r="C10" s="70" t="s">
        <v>711</v>
      </c>
      <c r="D10" s="70" t="s">
        <v>712</v>
      </c>
      <c r="E10" s="71">
        <f t="shared" si="5"/>
        <v>63</v>
      </c>
      <c r="F10" s="71" t="s">
        <v>53</v>
      </c>
      <c r="G10" s="71">
        <v>17</v>
      </c>
      <c r="H10" s="72" t="str">
        <f t="shared" si="6"/>
        <v>B-17</v>
      </c>
      <c r="I10" s="75"/>
      <c r="J10" s="70" t="s">
        <v>713</v>
      </c>
      <c r="K10" s="73" t="str">
        <f t="shared" si="1"/>
        <v>2026</v>
      </c>
      <c r="L10" s="73" t="str">
        <f t="shared" si="2"/>
        <v>05</v>
      </c>
      <c r="M10" s="73" t="str">
        <f t="shared" si="3"/>
        <v>06</v>
      </c>
      <c r="N10" s="73" t="str">
        <f t="shared" si="4"/>
        <v>21:37:25</v>
      </c>
      <c r="O10" s="74"/>
      <c r="P10" s="74"/>
      <c r="Q10" s="74"/>
      <c r="R10" s="74"/>
      <c r="S10" s="74"/>
      <c r="T10" s="74"/>
      <c r="U10" s="74"/>
      <c r="V10" s="74"/>
    </row>
    <row r="11" spans="1:22" ht="22.5" customHeight="1">
      <c r="A11" s="70" t="s">
        <v>714</v>
      </c>
      <c r="B11" s="70" t="s">
        <v>715</v>
      </c>
      <c r="C11" s="70" t="s">
        <v>716</v>
      </c>
      <c r="D11" s="70" t="s">
        <v>717</v>
      </c>
      <c r="E11" s="71">
        <f t="shared" si="5"/>
        <v>65</v>
      </c>
      <c r="F11" s="71" t="s">
        <v>357</v>
      </c>
      <c r="G11" s="71">
        <v>11</v>
      </c>
      <c r="H11" s="72" t="str">
        <f t="shared" si="6"/>
        <v>P-11</v>
      </c>
      <c r="I11" s="75"/>
      <c r="J11" s="70" t="s">
        <v>718</v>
      </c>
      <c r="K11" s="73" t="str">
        <f t="shared" si="1"/>
        <v>2026</v>
      </c>
      <c r="L11" s="73" t="str">
        <f t="shared" si="2"/>
        <v>05</v>
      </c>
      <c r="M11" s="73" t="str">
        <f t="shared" si="3"/>
        <v>06</v>
      </c>
      <c r="N11" s="73" t="str">
        <f t="shared" si="4"/>
        <v>21:20:42</v>
      </c>
      <c r="O11" s="74"/>
      <c r="P11" s="74"/>
      <c r="Q11" s="74"/>
      <c r="R11" s="74"/>
      <c r="S11" s="74"/>
      <c r="T11" s="74"/>
      <c r="U11" s="74"/>
      <c r="V11" s="74"/>
    </row>
    <row r="12" spans="1:22" ht="22.5" customHeight="1">
      <c r="A12" s="70" t="s">
        <v>719</v>
      </c>
      <c r="B12" s="70" t="s">
        <v>720</v>
      </c>
      <c r="C12" s="70" t="s">
        <v>721</v>
      </c>
      <c r="D12" s="70" t="s">
        <v>722</v>
      </c>
      <c r="E12" s="71">
        <f t="shared" si="5"/>
        <v>20</v>
      </c>
      <c r="F12" s="71" t="s">
        <v>378</v>
      </c>
      <c r="G12" s="71">
        <v>12</v>
      </c>
      <c r="H12" s="72" t="str">
        <f t="shared" si="6"/>
        <v>Q-12</v>
      </c>
      <c r="I12" s="70" t="s">
        <v>723</v>
      </c>
      <c r="J12" s="70" t="s">
        <v>724</v>
      </c>
      <c r="K12" s="73" t="str">
        <f t="shared" si="1"/>
        <v>2026</v>
      </c>
      <c r="L12" s="73" t="str">
        <f t="shared" si="2"/>
        <v>05</v>
      </c>
      <c r="M12" s="73" t="str">
        <f t="shared" si="3"/>
        <v>06</v>
      </c>
      <c r="N12" s="73" t="str">
        <f t="shared" si="4"/>
        <v>15:55:48</v>
      </c>
      <c r="O12" s="74"/>
      <c r="P12" s="74"/>
      <c r="Q12" s="74"/>
      <c r="R12" s="74"/>
      <c r="S12" s="74"/>
      <c r="T12" s="74"/>
      <c r="U12" s="74"/>
      <c r="V12" s="74"/>
    </row>
    <row r="13" spans="1:22" ht="22.5" customHeight="1">
      <c r="A13" s="70" t="s">
        <v>725</v>
      </c>
      <c r="B13" s="70" t="s">
        <v>726</v>
      </c>
      <c r="C13" s="70" t="s">
        <v>727</v>
      </c>
      <c r="D13" s="70" t="s">
        <v>728</v>
      </c>
      <c r="E13" s="71">
        <f t="shared" si="5"/>
        <v>38</v>
      </c>
      <c r="F13" s="71" t="s">
        <v>53</v>
      </c>
      <c r="G13" s="71" t="s">
        <v>67</v>
      </c>
      <c r="H13" s="72" t="str">
        <f t="shared" si="6"/>
        <v>B-12A</v>
      </c>
      <c r="I13" s="70" t="s">
        <v>729</v>
      </c>
      <c r="J13" s="70" t="s">
        <v>730</v>
      </c>
      <c r="K13" s="73" t="str">
        <f t="shared" si="1"/>
        <v>2026</v>
      </c>
      <c r="L13" s="73" t="str">
        <f t="shared" si="2"/>
        <v>05</v>
      </c>
      <c r="M13" s="73" t="str">
        <f t="shared" si="3"/>
        <v>06</v>
      </c>
      <c r="N13" s="73" t="str">
        <f t="shared" si="4"/>
        <v>14:50:50</v>
      </c>
      <c r="O13" s="74"/>
      <c r="P13" s="74"/>
      <c r="Q13" s="74"/>
      <c r="R13" s="74"/>
      <c r="S13" s="74"/>
      <c r="T13" s="74"/>
      <c r="U13" s="74"/>
      <c r="V13" s="74"/>
    </row>
    <row r="14" spans="1:22" ht="22.5" customHeight="1">
      <c r="A14" s="70" t="s">
        <v>731</v>
      </c>
      <c r="B14" s="70" t="s">
        <v>732</v>
      </c>
      <c r="C14" s="70" t="s">
        <v>733</v>
      </c>
      <c r="D14" s="70" t="s">
        <v>734</v>
      </c>
      <c r="E14" s="71">
        <f t="shared" si="5"/>
        <v>20</v>
      </c>
      <c r="F14" s="71" t="s">
        <v>592</v>
      </c>
      <c r="G14" s="71">
        <v>10</v>
      </c>
      <c r="H14" s="72" t="str">
        <f t="shared" si="6"/>
        <v>H1-10</v>
      </c>
      <c r="I14" s="70" t="s">
        <v>735</v>
      </c>
      <c r="J14" s="70" t="s">
        <v>736</v>
      </c>
      <c r="K14" s="73" t="str">
        <f t="shared" si="1"/>
        <v>2026</v>
      </c>
      <c r="L14" s="73" t="str">
        <f t="shared" si="2"/>
        <v>05</v>
      </c>
      <c r="M14" s="73" t="str">
        <f t="shared" si="3"/>
        <v>06</v>
      </c>
      <c r="N14" s="73" t="str">
        <f t="shared" si="4"/>
        <v>11:34:56</v>
      </c>
      <c r="O14" s="74"/>
      <c r="P14" s="74"/>
      <c r="Q14" s="74"/>
      <c r="R14" s="74"/>
      <c r="S14" s="74"/>
      <c r="T14" s="74"/>
      <c r="U14" s="74"/>
      <c r="V14" s="74"/>
    </row>
    <row r="15" spans="1:22" ht="22.5" hidden="1" customHeight="1">
      <c r="A15" s="70" t="s">
        <v>737</v>
      </c>
      <c r="B15" s="70" t="s">
        <v>738</v>
      </c>
      <c r="C15" s="70" t="s">
        <v>739</v>
      </c>
      <c r="D15" s="70" t="s">
        <v>740</v>
      </c>
      <c r="E15" s="71">
        <f>-VALUE(SUBSTITUTE(D15, ".", ","))</f>
        <v>-95</v>
      </c>
      <c r="F15" s="71"/>
      <c r="G15" s="71"/>
      <c r="H15" s="72"/>
      <c r="I15" s="70" t="s">
        <v>741</v>
      </c>
      <c r="J15" s="70" t="s">
        <v>742</v>
      </c>
      <c r="K15" s="73" t="str">
        <f t="shared" si="1"/>
        <v>2026</v>
      </c>
      <c r="L15" s="73" t="str">
        <f t="shared" si="2"/>
        <v>05</v>
      </c>
      <c r="M15" s="73" t="str">
        <f t="shared" si="3"/>
        <v>06</v>
      </c>
      <c r="N15" s="73" t="str">
        <f t="shared" si="4"/>
        <v>07:24:35</v>
      </c>
      <c r="O15" s="74"/>
      <c r="P15" s="74"/>
      <c r="Q15" s="74"/>
      <c r="R15" s="74"/>
      <c r="S15" s="74"/>
      <c r="T15" s="74"/>
      <c r="U15" s="74"/>
      <c r="V15" s="74"/>
    </row>
    <row r="16" spans="1:22" ht="22.5" customHeight="1">
      <c r="A16" s="70" t="s">
        <v>743</v>
      </c>
      <c r="B16" s="70" t="s">
        <v>744</v>
      </c>
      <c r="C16" s="70" t="s">
        <v>745</v>
      </c>
      <c r="D16" s="70" t="s">
        <v>746</v>
      </c>
      <c r="E16" s="71">
        <f t="shared" ref="E16:E146" si="7">VALUE(SUBSTITUTE(D16, ".", ","))</f>
        <v>11</v>
      </c>
      <c r="F16" s="71" t="s">
        <v>284</v>
      </c>
      <c r="G16" s="71">
        <v>13</v>
      </c>
      <c r="H16" s="72" t="str">
        <f t="shared" ref="H16:H146" si="8">TRIM(UPPER(F16)) &amp; "-" &amp; TRIM(UPPER(G16))</f>
        <v>L-13</v>
      </c>
      <c r="I16" s="70" t="s">
        <v>747</v>
      </c>
      <c r="J16" s="70" t="s">
        <v>748</v>
      </c>
      <c r="K16" s="73" t="str">
        <f t="shared" si="1"/>
        <v>2026</v>
      </c>
      <c r="L16" s="73" t="str">
        <f t="shared" si="2"/>
        <v>05</v>
      </c>
      <c r="M16" s="73" t="str">
        <f t="shared" si="3"/>
        <v>05</v>
      </c>
      <c r="N16" s="73" t="str">
        <f t="shared" si="4"/>
        <v>17:59:10</v>
      </c>
      <c r="O16" s="74"/>
      <c r="P16" s="74"/>
      <c r="Q16" s="74"/>
      <c r="R16" s="74"/>
      <c r="S16" s="74"/>
      <c r="T16" s="74"/>
      <c r="U16" s="74"/>
      <c r="V16" s="74"/>
    </row>
    <row r="17" spans="1:22" ht="22.5" customHeight="1">
      <c r="A17" s="70" t="s">
        <v>749</v>
      </c>
      <c r="B17" s="70" t="s">
        <v>750</v>
      </c>
      <c r="C17" s="70" t="s">
        <v>751</v>
      </c>
      <c r="D17" s="70" t="s">
        <v>752</v>
      </c>
      <c r="E17" s="71">
        <f t="shared" si="7"/>
        <v>16</v>
      </c>
      <c r="F17" s="71" t="s">
        <v>592</v>
      </c>
      <c r="G17" s="71">
        <v>10</v>
      </c>
      <c r="H17" s="72" t="str">
        <f t="shared" si="8"/>
        <v>H1-10</v>
      </c>
      <c r="I17" s="70" t="s">
        <v>753</v>
      </c>
      <c r="J17" s="70" t="s">
        <v>754</v>
      </c>
      <c r="K17" s="73" t="str">
        <f t="shared" si="1"/>
        <v>2026</v>
      </c>
      <c r="L17" s="73" t="str">
        <f t="shared" si="2"/>
        <v>05</v>
      </c>
      <c r="M17" s="73" t="str">
        <f t="shared" si="3"/>
        <v>05</v>
      </c>
      <c r="N17" s="73" t="str">
        <f t="shared" si="4"/>
        <v>17:37:37</v>
      </c>
      <c r="O17" s="74"/>
      <c r="P17" s="74"/>
      <c r="Q17" s="74"/>
      <c r="R17" s="74"/>
      <c r="S17" s="74"/>
      <c r="T17" s="74"/>
      <c r="U17" s="74"/>
      <c r="V17" s="74"/>
    </row>
    <row r="18" spans="1:22" ht="22.5" customHeight="1">
      <c r="A18" s="70" t="s">
        <v>755</v>
      </c>
      <c r="B18" s="70" t="s">
        <v>756</v>
      </c>
      <c r="C18" s="70" t="s">
        <v>757</v>
      </c>
      <c r="D18" s="70" t="s">
        <v>758</v>
      </c>
      <c r="E18" s="71">
        <f t="shared" si="7"/>
        <v>17</v>
      </c>
      <c r="F18" s="71" t="s">
        <v>415</v>
      </c>
      <c r="G18" s="71">
        <v>19</v>
      </c>
      <c r="H18" s="72" t="str">
        <f t="shared" si="8"/>
        <v>T-19</v>
      </c>
      <c r="I18" s="70" t="s">
        <v>759</v>
      </c>
      <c r="J18" s="70" t="s">
        <v>760</v>
      </c>
      <c r="K18" s="73" t="str">
        <f t="shared" si="1"/>
        <v>2026</v>
      </c>
      <c r="L18" s="73" t="str">
        <f t="shared" si="2"/>
        <v>05</v>
      </c>
      <c r="M18" s="73" t="str">
        <f t="shared" si="3"/>
        <v>05</v>
      </c>
      <c r="N18" s="73" t="str">
        <f t="shared" si="4"/>
        <v>16:42:49</v>
      </c>
      <c r="O18" s="74"/>
      <c r="P18" s="74"/>
      <c r="Q18" s="74"/>
      <c r="R18" s="74"/>
      <c r="S18" s="74"/>
      <c r="T18" s="74"/>
      <c r="U18" s="74"/>
      <c r="V18" s="74"/>
    </row>
    <row r="19" spans="1:22" ht="22.5" customHeight="1">
      <c r="A19" s="70" t="s">
        <v>761</v>
      </c>
      <c r="B19" s="70" t="s">
        <v>762</v>
      </c>
      <c r="C19" s="70" t="s">
        <v>763</v>
      </c>
      <c r="D19" s="70" t="s">
        <v>764</v>
      </c>
      <c r="E19" s="71">
        <f t="shared" si="7"/>
        <v>41</v>
      </c>
      <c r="F19" s="71" t="s">
        <v>34</v>
      </c>
      <c r="G19" s="71">
        <v>4</v>
      </c>
      <c r="H19" s="72" t="str">
        <f t="shared" si="8"/>
        <v>A-4</v>
      </c>
      <c r="I19" s="70" t="s">
        <v>765</v>
      </c>
      <c r="J19" s="70" t="s">
        <v>766</v>
      </c>
      <c r="K19" s="73" t="str">
        <f t="shared" si="1"/>
        <v>2026</v>
      </c>
      <c r="L19" s="73" t="str">
        <f t="shared" si="2"/>
        <v>05</v>
      </c>
      <c r="M19" s="73" t="str">
        <f t="shared" si="3"/>
        <v>05</v>
      </c>
      <c r="N19" s="73" t="str">
        <f t="shared" si="4"/>
        <v>16:35:28</v>
      </c>
      <c r="O19" s="74"/>
      <c r="P19" s="74"/>
      <c r="Q19" s="74"/>
      <c r="R19" s="74"/>
      <c r="S19" s="74"/>
      <c r="T19" s="74"/>
      <c r="U19" s="74"/>
      <c r="V19" s="74"/>
    </row>
    <row r="20" spans="1:22" ht="33" customHeight="1">
      <c r="A20" s="70" t="s">
        <v>767</v>
      </c>
      <c r="B20" s="70" t="s">
        <v>768</v>
      </c>
      <c r="C20" s="70" t="s">
        <v>769</v>
      </c>
      <c r="D20" s="70" t="s">
        <v>770</v>
      </c>
      <c r="E20" s="71">
        <f t="shared" si="7"/>
        <v>51</v>
      </c>
      <c r="F20" s="71" t="s">
        <v>34</v>
      </c>
      <c r="G20" s="71">
        <v>9</v>
      </c>
      <c r="H20" s="72" t="str">
        <f t="shared" si="8"/>
        <v>A-9</v>
      </c>
      <c r="I20" s="71" t="s">
        <v>771</v>
      </c>
      <c r="J20" s="70" t="s">
        <v>772</v>
      </c>
      <c r="K20" s="73" t="str">
        <f t="shared" si="1"/>
        <v>2026</v>
      </c>
      <c r="L20" s="73" t="str">
        <f t="shared" si="2"/>
        <v>05</v>
      </c>
      <c r="M20" s="73" t="str">
        <f t="shared" si="3"/>
        <v>05</v>
      </c>
      <c r="N20" s="73" t="str">
        <f t="shared" si="4"/>
        <v>15:40:40</v>
      </c>
      <c r="O20" s="74"/>
      <c r="P20" s="74"/>
      <c r="Q20" s="74"/>
      <c r="R20" s="74"/>
      <c r="S20" s="74"/>
      <c r="T20" s="74"/>
      <c r="U20" s="74"/>
      <c r="V20" s="74"/>
    </row>
    <row r="21" spans="1:22" ht="22.5" customHeight="1">
      <c r="A21" s="76" t="s">
        <v>773</v>
      </c>
      <c r="B21" s="76" t="s">
        <v>774</v>
      </c>
      <c r="C21" s="76" t="s">
        <v>775</v>
      </c>
      <c r="D21" s="76" t="s">
        <v>776</v>
      </c>
      <c r="E21" s="77">
        <f t="shared" si="7"/>
        <v>10</v>
      </c>
      <c r="F21" s="77" t="s">
        <v>519</v>
      </c>
      <c r="G21" s="77">
        <v>8</v>
      </c>
      <c r="H21" s="78" t="str">
        <f t="shared" si="8"/>
        <v>A1-8</v>
      </c>
      <c r="I21" s="76" t="s">
        <v>777</v>
      </c>
      <c r="J21" s="79" t="s">
        <v>778</v>
      </c>
      <c r="K21" s="73" t="str">
        <f t="shared" si="1"/>
        <v>2026</v>
      </c>
      <c r="L21" s="73" t="str">
        <f t="shared" si="2"/>
        <v>05</v>
      </c>
      <c r="M21" s="73" t="str">
        <f t="shared" si="3"/>
        <v>05</v>
      </c>
      <c r="N21" s="73" t="str">
        <f t="shared" si="4"/>
        <v>07:51:48</v>
      </c>
      <c r="O21" s="74"/>
      <c r="P21" s="74"/>
      <c r="Q21" s="74"/>
      <c r="R21" s="74"/>
      <c r="S21" s="74"/>
      <c r="T21" s="74"/>
      <c r="U21" s="74"/>
      <c r="V21" s="74"/>
    </row>
    <row r="22" spans="1:22" ht="22.5" customHeight="1">
      <c r="A22" s="70" t="s">
        <v>773</v>
      </c>
      <c r="B22" s="70" t="s">
        <v>779</v>
      </c>
      <c r="C22" s="70" t="s">
        <v>775</v>
      </c>
      <c r="D22" s="70" t="s">
        <v>780</v>
      </c>
      <c r="E22" s="71">
        <f t="shared" si="7"/>
        <v>16</v>
      </c>
      <c r="F22" s="71" t="s">
        <v>502</v>
      </c>
      <c r="G22" s="71">
        <v>13</v>
      </c>
      <c r="H22" s="72" t="str">
        <f t="shared" si="8"/>
        <v>Z-13</v>
      </c>
      <c r="I22" s="75"/>
      <c r="J22" s="80" t="s">
        <v>781</v>
      </c>
      <c r="K22" s="73" t="str">
        <f t="shared" si="1"/>
        <v>2026</v>
      </c>
      <c r="L22" s="73" t="str">
        <f t="shared" si="2"/>
        <v>05</v>
      </c>
      <c r="M22" s="73" t="str">
        <f t="shared" si="3"/>
        <v>04</v>
      </c>
      <c r="N22" s="73" t="str">
        <f t="shared" si="4"/>
        <v>16:32:03</v>
      </c>
      <c r="O22" s="74"/>
      <c r="P22" s="74"/>
      <c r="Q22" s="74"/>
      <c r="R22" s="74"/>
      <c r="S22" s="74"/>
      <c r="T22" s="74"/>
      <c r="U22" s="74"/>
      <c r="V22" s="74"/>
    </row>
    <row r="23" spans="1:22" ht="22.5" customHeight="1">
      <c r="A23" s="70" t="s">
        <v>773</v>
      </c>
      <c r="B23" s="70" t="s">
        <v>782</v>
      </c>
      <c r="C23" s="70" t="s">
        <v>775</v>
      </c>
      <c r="D23" s="70" t="s">
        <v>783</v>
      </c>
      <c r="E23" s="71">
        <f t="shared" si="7"/>
        <v>42</v>
      </c>
      <c r="F23" s="71" t="s">
        <v>80</v>
      </c>
      <c r="G23" s="71">
        <v>14</v>
      </c>
      <c r="H23" s="72" t="str">
        <f t="shared" si="8"/>
        <v>C-14</v>
      </c>
      <c r="I23" s="70" t="s">
        <v>784</v>
      </c>
      <c r="J23" s="80" t="s">
        <v>785</v>
      </c>
      <c r="K23" s="73" t="str">
        <f t="shared" si="1"/>
        <v>2026</v>
      </c>
      <c r="L23" s="73" t="str">
        <f t="shared" si="2"/>
        <v>05</v>
      </c>
      <c r="M23" s="73" t="str">
        <f t="shared" si="3"/>
        <v>04</v>
      </c>
      <c r="N23" s="73" t="str">
        <f t="shared" si="4"/>
        <v>09:59:15</v>
      </c>
      <c r="O23" s="74"/>
      <c r="P23" s="74"/>
      <c r="Q23" s="74"/>
      <c r="R23" s="74"/>
      <c r="S23" s="74"/>
      <c r="T23" s="74"/>
      <c r="U23" s="74"/>
      <c r="V23" s="74"/>
    </row>
    <row r="24" spans="1:22" ht="22.5" customHeight="1">
      <c r="A24" s="70" t="s">
        <v>773</v>
      </c>
      <c r="B24" s="70" t="s">
        <v>786</v>
      </c>
      <c r="C24" s="70" t="s">
        <v>775</v>
      </c>
      <c r="D24" s="70" t="s">
        <v>787</v>
      </c>
      <c r="E24" s="71">
        <f t="shared" si="7"/>
        <v>20</v>
      </c>
      <c r="F24" s="71" t="s">
        <v>441</v>
      </c>
      <c r="G24" s="71">
        <v>9</v>
      </c>
      <c r="H24" s="72" t="str">
        <f t="shared" si="8"/>
        <v>V-9</v>
      </c>
      <c r="I24" s="70" t="s">
        <v>788</v>
      </c>
      <c r="J24" s="80" t="s">
        <v>789</v>
      </c>
      <c r="K24" s="73" t="str">
        <f t="shared" si="1"/>
        <v>2026</v>
      </c>
      <c r="L24" s="73" t="str">
        <f t="shared" si="2"/>
        <v>05</v>
      </c>
      <c r="M24" s="73" t="str">
        <f t="shared" si="3"/>
        <v>04</v>
      </c>
      <c r="N24" s="73" t="str">
        <f t="shared" si="4"/>
        <v>09:46:00</v>
      </c>
      <c r="O24" s="74"/>
      <c r="P24" s="74"/>
      <c r="Q24" s="74"/>
      <c r="R24" s="74"/>
      <c r="S24" s="74"/>
      <c r="T24" s="74"/>
      <c r="U24" s="74"/>
      <c r="V24" s="74"/>
    </row>
    <row r="25" spans="1:22" ht="22.5" customHeight="1">
      <c r="A25" s="70" t="s">
        <v>773</v>
      </c>
      <c r="B25" s="70" t="s">
        <v>790</v>
      </c>
      <c r="C25" s="70" t="s">
        <v>775</v>
      </c>
      <c r="D25" s="70" t="s">
        <v>791</v>
      </c>
      <c r="E25" s="71">
        <f t="shared" si="7"/>
        <v>43</v>
      </c>
      <c r="F25" s="71" t="s">
        <v>378</v>
      </c>
      <c r="G25" s="71">
        <v>12</v>
      </c>
      <c r="H25" s="72" t="str">
        <f t="shared" si="8"/>
        <v>Q-12</v>
      </c>
      <c r="I25" s="75"/>
      <c r="J25" s="80" t="s">
        <v>792</v>
      </c>
      <c r="K25" s="73" t="str">
        <f t="shared" si="1"/>
        <v>2026</v>
      </c>
      <c r="L25" s="73" t="str">
        <f t="shared" si="2"/>
        <v>05</v>
      </c>
      <c r="M25" s="73" t="str">
        <f t="shared" si="3"/>
        <v>04</v>
      </c>
      <c r="N25" s="73" t="str">
        <f t="shared" si="4"/>
        <v>08:33:12</v>
      </c>
      <c r="O25" s="74"/>
      <c r="P25" s="74"/>
      <c r="Q25" s="74"/>
      <c r="R25" s="74"/>
      <c r="S25" s="74"/>
      <c r="T25" s="74"/>
      <c r="U25" s="74"/>
      <c r="V25" s="74"/>
    </row>
    <row r="26" spans="1:22" ht="22.5" customHeight="1">
      <c r="A26" s="70" t="s">
        <v>773</v>
      </c>
      <c r="B26" s="70" t="s">
        <v>793</v>
      </c>
      <c r="C26" s="70" t="s">
        <v>442</v>
      </c>
      <c r="D26" s="70" t="s">
        <v>794</v>
      </c>
      <c r="E26" s="71">
        <f t="shared" si="7"/>
        <v>110</v>
      </c>
      <c r="F26" s="71" t="s">
        <v>267</v>
      </c>
      <c r="G26" s="71">
        <v>15</v>
      </c>
      <c r="H26" s="72" t="str">
        <f t="shared" si="8"/>
        <v>K-15</v>
      </c>
      <c r="I26" s="70" t="s">
        <v>795</v>
      </c>
      <c r="J26" s="80" t="s">
        <v>796</v>
      </c>
      <c r="K26" s="73" t="str">
        <f t="shared" si="1"/>
        <v>2026</v>
      </c>
      <c r="L26" s="73" t="str">
        <f t="shared" si="2"/>
        <v>05</v>
      </c>
      <c r="M26" s="73" t="str">
        <f t="shared" si="3"/>
        <v>04</v>
      </c>
      <c r="N26" s="73" t="str">
        <f t="shared" si="4"/>
        <v>06:56:43</v>
      </c>
      <c r="O26" s="74"/>
      <c r="P26" s="74"/>
      <c r="Q26" s="74"/>
      <c r="R26" s="74"/>
      <c r="S26" s="74"/>
      <c r="T26" s="74"/>
      <c r="U26" s="74"/>
      <c r="V26" s="74"/>
    </row>
    <row r="27" spans="1:22" ht="22.5" customHeight="1">
      <c r="A27" s="70" t="s">
        <v>773</v>
      </c>
      <c r="B27" s="70" t="s">
        <v>797</v>
      </c>
      <c r="C27" s="70" t="s">
        <v>775</v>
      </c>
      <c r="D27" s="70" t="s">
        <v>798</v>
      </c>
      <c r="E27" s="71">
        <f t="shared" si="7"/>
        <v>50</v>
      </c>
      <c r="F27" s="71" t="s">
        <v>284</v>
      </c>
      <c r="G27" s="71">
        <v>10</v>
      </c>
      <c r="H27" s="72" t="str">
        <f t="shared" si="8"/>
        <v>L-10</v>
      </c>
      <c r="I27" s="70" t="s">
        <v>799</v>
      </c>
      <c r="J27" s="80" t="s">
        <v>800</v>
      </c>
      <c r="K27" s="73" t="str">
        <f t="shared" si="1"/>
        <v>2026</v>
      </c>
      <c r="L27" s="73" t="str">
        <f t="shared" si="2"/>
        <v>05</v>
      </c>
      <c r="M27" s="73" t="str">
        <f t="shared" si="3"/>
        <v>03</v>
      </c>
      <c r="N27" s="73" t="str">
        <f t="shared" si="4"/>
        <v>21:24:26</v>
      </c>
      <c r="O27" s="74"/>
      <c r="P27" s="74"/>
      <c r="Q27" s="74"/>
      <c r="R27" s="74"/>
      <c r="S27" s="74"/>
      <c r="T27" s="74"/>
      <c r="U27" s="74"/>
      <c r="V27" s="74"/>
    </row>
    <row r="28" spans="1:22" ht="22.5" customHeight="1">
      <c r="A28" s="70" t="s">
        <v>773</v>
      </c>
      <c r="B28" s="70" t="s">
        <v>801</v>
      </c>
      <c r="C28" s="70" t="s">
        <v>775</v>
      </c>
      <c r="D28" s="70" t="s">
        <v>802</v>
      </c>
      <c r="E28" s="71">
        <f t="shared" si="7"/>
        <v>41</v>
      </c>
      <c r="F28" s="71" t="s">
        <v>205</v>
      </c>
      <c r="G28" s="71">
        <v>9</v>
      </c>
      <c r="H28" s="72" t="str">
        <f t="shared" si="8"/>
        <v>H-9</v>
      </c>
      <c r="I28" s="70" t="s">
        <v>803</v>
      </c>
      <c r="J28" s="80" t="s">
        <v>804</v>
      </c>
      <c r="K28" s="73" t="str">
        <f t="shared" si="1"/>
        <v>2026</v>
      </c>
      <c r="L28" s="73" t="str">
        <f t="shared" si="2"/>
        <v>05</v>
      </c>
      <c r="M28" s="73" t="str">
        <f t="shared" si="3"/>
        <v>03</v>
      </c>
      <c r="N28" s="73" t="str">
        <f t="shared" si="4"/>
        <v>20:44:22</v>
      </c>
      <c r="O28" s="74"/>
      <c r="P28" s="74"/>
      <c r="Q28" s="74"/>
      <c r="R28" s="74"/>
      <c r="S28" s="74"/>
      <c r="T28" s="74"/>
      <c r="U28" s="74"/>
      <c r="V28" s="74"/>
    </row>
    <row r="29" spans="1:22" ht="22.5" customHeight="1">
      <c r="A29" s="70" t="s">
        <v>773</v>
      </c>
      <c r="B29" s="70" t="s">
        <v>805</v>
      </c>
      <c r="C29" s="70" t="s">
        <v>775</v>
      </c>
      <c r="D29" s="70" t="s">
        <v>806</v>
      </c>
      <c r="E29" s="71">
        <f t="shared" si="7"/>
        <v>19</v>
      </c>
      <c r="F29" s="71" t="s">
        <v>53</v>
      </c>
      <c r="G29" s="71">
        <v>15</v>
      </c>
      <c r="H29" s="72" t="str">
        <f t="shared" si="8"/>
        <v>B-15</v>
      </c>
      <c r="I29" s="70" t="s">
        <v>807</v>
      </c>
      <c r="J29" s="80" t="s">
        <v>808</v>
      </c>
      <c r="K29" s="73" t="str">
        <f t="shared" si="1"/>
        <v>2026</v>
      </c>
      <c r="L29" s="73" t="str">
        <f t="shared" si="2"/>
        <v>05</v>
      </c>
      <c r="M29" s="73" t="str">
        <f t="shared" si="3"/>
        <v>03</v>
      </c>
      <c r="N29" s="73" t="str">
        <f t="shared" si="4"/>
        <v>20:03:26</v>
      </c>
      <c r="O29" s="74"/>
      <c r="P29" s="74"/>
      <c r="Q29" s="74"/>
      <c r="R29" s="74"/>
      <c r="S29" s="74"/>
      <c r="T29" s="74"/>
      <c r="U29" s="74"/>
      <c r="V29" s="74"/>
    </row>
    <row r="30" spans="1:22" ht="22.5" customHeight="1">
      <c r="A30" s="70" t="s">
        <v>773</v>
      </c>
      <c r="B30" s="70" t="s">
        <v>809</v>
      </c>
      <c r="C30" s="70" t="s">
        <v>775</v>
      </c>
      <c r="D30" s="70" t="s">
        <v>810</v>
      </c>
      <c r="E30" s="71">
        <f t="shared" si="7"/>
        <v>25</v>
      </c>
      <c r="F30" s="71" t="s">
        <v>401</v>
      </c>
      <c r="G30" s="71">
        <v>2</v>
      </c>
      <c r="H30" s="72" t="str">
        <f t="shared" si="8"/>
        <v>S-2</v>
      </c>
      <c r="I30" s="70" t="s">
        <v>811</v>
      </c>
      <c r="J30" s="80" t="s">
        <v>812</v>
      </c>
      <c r="K30" s="73" t="str">
        <f t="shared" si="1"/>
        <v>2026</v>
      </c>
      <c r="L30" s="73" t="str">
        <f t="shared" si="2"/>
        <v>05</v>
      </c>
      <c r="M30" s="73" t="str">
        <f t="shared" si="3"/>
        <v>03</v>
      </c>
      <c r="N30" s="73" t="str">
        <f t="shared" si="4"/>
        <v>19:40:34</v>
      </c>
      <c r="O30" s="74"/>
      <c r="P30" s="74"/>
      <c r="Q30" s="74"/>
      <c r="R30" s="74"/>
      <c r="S30" s="74"/>
      <c r="T30" s="74"/>
      <c r="U30" s="74"/>
      <c r="V30" s="74"/>
    </row>
    <row r="31" spans="1:22" ht="22.5" customHeight="1">
      <c r="A31" s="70" t="s">
        <v>773</v>
      </c>
      <c r="B31" s="70" t="s">
        <v>813</v>
      </c>
      <c r="C31" s="70" t="s">
        <v>775</v>
      </c>
      <c r="D31" s="70" t="s">
        <v>814</v>
      </c>
      <c r="E31" s="71">
        <f t="shared" si="7"/>
        <v>8</v>
      </c>
      <c r="F31" s="71" t="s">
        <v>575</v>
      </c>
      <c r="G31" s="71">
        <v>2</v>
      </c>
      <c r="H31" s="72" t="str">
        <f t="shared" si="8"/>
        <v>F1-2</v>
      </c>
      <c r="I31" s="70" t="s">
        <v>815</v>
      </c>
      <c r="J31" s="80" t="s">
        <v>816</v>
      </c>
      <c r="K31" s="73" t="str">
        <f t="shared" si="1"/>
        <v>2026</v>
      </c>
      <c r="L31" s="73" t="str">
        <f t="shared" si="2"/>
        <v>05</v>
      </c>
      <c r="M31" s="73" t="str">
        <f t="shared" si="3"/>
        <v>03</v>
      </c>
      <c r="N31" s="73" t="str">
        <f t="shared" si="4"/>
        <v>18:56:56</v>
      </c>
      <c r="O31" s="74"/>
      <c r="P31" s="74"/>
      <c r="Q31" s="74"/>
      <c r="R31" s="74"/>
      <c r="S31" s="74"/>
      <c r="T31" s="74"/>
      <c r="U31" s="74"/>
      <c r="V31" s="74"/>
    </row>
    <row r="32" spans="1:22" ht="22.5" customHeight="1">
      <c r="A32" s="70" t="s">
        <v>773</v>
      </c>
      <c r="B32" s="70" t="s">
        <v>817</v>
      </c>
      <c r="C32" s="70" t="s">
        <v>775</v>
      </c>
      <c r="D32" s="70" t="s">
        <v>814</v>
      </c>
      <c r="E32" s="71">
        <f t="shared" si="7"/>
        <v>8</v>
      </c>
      <c r="F32" s="71" t="s">
        <v>560</v>
      </c>
      <c r="G32" s="71">
        <v>2</v>
      </c>
      <c r="H32" s="72" t="str">
        <f t="shared" si="8"/>
        <v>D1-2</v>
      </c>
      <c r="I32" s="70" t="s">
        <v>818</v>
      </c>
      <c r="J32" s="80" t="s">
        <v>819</v>
      </c>
      <c r="K32" s="73" t="str">
        <f t="shared" si="1"/>
        <v>2026</v>
      </c>
      <c r="L32" s="73" t="str">
        <f t="shared" si="2"/>
        <v>05</v>
      </c>
      <c r="M32" s="73" t="str">
        <f t="shared" si="3"/>
        <v>03</v>
      </c>
      <c r="N32" s="73" t="str">
        <f t="shared" si="4"/>
        <v>18:44:29</v>
      </c>
      <c r="O32" s="74"/>
      <c r="P32" s="74"/>
      <c r="Q32" s="74"/>
      <c r="R32" s="74"/>
      <c r="S32" s="74"/>
      <c r="T32" s="74"/>
      <c r="U32" s="74"/>
      <c r="V32" s="74"/>
    </row>
    <row r="33" spans="1:22" ht="22.5" customHeight="1">
      <c r="A33" s="76" t="s">
        <v>820</v>
      </c>
      <c r="B33" s="76" t="s">
        <v>821</v>
      </c>
      <c r="C33" s="76" t="s">
        <v>822</v>
      </c>
      <c r="D33" s="76" t="s">
        <v>823</v>
      </c>
      <c r="E33" s="71">
        <f t="shared" si="7"/>
        <v>34</v>
      </c>
      <c r="F33" s="77" t="s">
        <v>299</v>
      </c>
      <c r="G33" s="77">
        <v>14</v>
      </c>
      <c r="H33" s="78" t="str">
        <f t="shared" si="8"/>
        <v>M-14</v>
      </c>
      <c r="I33" s="76" t="s">
        <v>824</v>
      </c>
      <c r="J33" s="76" t="s">
        <v>825</v>
      </c>
      <c r="K33" s="81" t="str">
        <f t="shared" si="1"/>
        <v>2026</v>
      </c>
      <c r="L33" s="81" t="str">
        <f t="shared" si="2"/>
        <v>05</v>
      </c>
      <c r="M33" s="81" t="str">
        <f t="shared" si="3"/>
        <v>03</v>
      </c>
      <c r="N33" s="81" t="str">
        <f t="shared" si="4"/>
        <v>16:15:51</v>
      </c>
      <c r="O33" s="40"/>
      <c r="P33" s="40"/>
      <c r="Q33" s="40"/>
      <c r="R33" s="40"/>
      <c r="S33" s="40"/>
      <c r="T33" s="40"/>
      <c r="U33" s="40"/>
      <c r="V33" s="40"/>
    </row>
    <row r="34" spans="1:22" ht="22.5" customHeight="1">
      <c r="A34" s="70" t="s">
        <v>826</v>
      </c>
      <c r="B34" s="70" t="s">
        <v>827</v>
      </c>
      <c r="C34" s="70" t="s">
        <v>828</v>
      </c>
      <c r="D34" s="70" t="s">
        <v>829</v>
      </c>
      <c r="E34" s="71">
        <f t="shared" si="7"/>
        <v>8</v>
      </c>
      <c r="F34" s="71" t="s">
        <v>401</v>
      </c>
      <c r="G34" s="71">
        <v>8</v>
      </c>
      <c r="H34" s="72" t="str">
        <f t="shared" si="8"/>
        <v>S-8</v>
      </c>
      <c r="I34" s="70" t="s">
        <v>830</v>
      </c>
      <c r="J34" s="70" t="s">
        <v>831</v>
      </c>
      <c r="K34" s="73" t="str">
        <f t="shared" si="1"/>
        <v>2026</v>
      </c>
      <c r="L34" s="73" t="str">
        <f t="shared" si="2"/>
        <v>05</v>
      </c>
      <c r="M34" s="73" t="str">
        <f t="shared" si="3"/>
        <v>03</v>
      </c>
      <c r="N34" s="73" t="str">
        <f t="shared" si="4"/>
        <v>16:09:12</v>
      </c>
      <c r="O34" s="74"/>
      <c r="P34" s="74"/>
      <c r="Q34" s="74"/>
      <c r="R34" s="74"/>
      <c r="S34" s="74"/>
      <c r="T34" s="74"/>
      <c r="U34" s="74"/>
      <c r="V34" s="74"/>
    </row>
    <row r="35" spans="1:22" ht="22.5" customHeight="1">
      <c r="A35" s="70" t="s">
        <v>832</v>
      </c>
      <c r="B35" s="70" t="s">
        <v>833</v>
      </c>
      <c r="C35" s="70" t="s">
        <v>834</v>
      </c>
      <c r="D35" s="70" t="s">
        <v>835</v>
      </c>
      <c r="E35" s="71">
        <f t="shared" si="7"/>
        <v>22</v>
      </c>
      <c r="F35" s="71" t="s">
        <v>228</v>
      </c>
      <c r="G35" s="71">
        <v>13</v>
      </c>
      <c r="H35" s="72" t="str">
        <f t="shared" si="8"/>
        <v>I-13</v>
      </c>
      <c r="I35" s="70" t="s">
        <v>836</v>
      </c>
      <c r="J35" s="70" t="s">
        <v>837</v>
      </c>
      <c r="K35" s="73" t="str">
        <f t="shared" si="1"/>
        <v>2026</v>
      </c>
      <c r="L35" s="73" t="str">
        <f t="shared" si="2"/>
        <v>05</v>
      </c>
      <c r="M35" s="73" t="str">
        <f t="shared" si="3"/>
        <v>03</v>
      </c>
      <c r="N35" s="73" t="str">
        <f t="shared" si="4"/>
        <v>16:07:30</v>
      </c>
      <c r="O35" s="74"/>
      <c r="P35" s="74"/>
      <c r="Q35" s="74"/>
      <c r="R35" s="74"/>
      <c r="S35" s="74"/>
      <c r="T35" s="74"/>
      <c r="U35" s="74"/>
      <c r="V35" s="74"/>
    </row>
    <row r="36" spans="1:22" ht="22.5" customHeight="1">
      <c r="A36" s="70" t="s">
        <v>838</v>
      </c>
      <c r="B36" s="70" t="s">
        <v>839</v>
      </c>
      <c r="C36" s="70" t="s">
        <v>840</v>
      </c>
      <c r="D36" s="70" t="s">
        <v>841</v>
      </c>
      <c r="E36" s="71">
        <f t="shared" si="7"/>
        <v>8</v>
      </c>
      <c r="F36" s="71" t="s">
        <v>441</v>
      </c>
      <c r="G36" s="71">
        <v>2</v>
      </c>
      <c r="H36" s="72" t="str">
        <f t="shared" si="8"/>
        <v>V-2</v>
      </c>
      <c r="I36" s="70" t="s">
        <v>842</v>
      </c>
      <c r="J36" s="70" t="s">
        <v>843</v>
      </c>
      <c r="K36" s="73" t="str">
        <f t="shared" si="1"/>
        <v>2026</v>
      </c>
      <c r="L36" s="73" t="str">
        <f t="shared" si="2"/>
        <v>05</v>
      </c>
      <c r="M36" s="73" t="str">
        <f t="shared" si="3"/>
        <v>03</v>
      </c>
      <c r="N36" s="73" t="str">
        <f t="shared" si="4"/>
        <v>15:26:55</v>
      </c>
      <c r="O36" s="74"/>
      <c r="P36" s="74"/>
      <c r="Q36" s="74"/>
      <c r="R36" s="74"/>
      <c r="S36" s="74"/>
      <c r="T36" s="74"/>
      <c r="U36" s="74"/>
      <c r="V36" s="74"/>
    </row>
    <row r="37" spans="1:22" ht="22.5" customHeight="1">
      <c r="A37" s="70" t="s">
        <v>844</v>
      </c>
      <c r="B37" s="70" t="s">
        <v>845</v>
      </c>
      <c r="C37" s="70" t="s">
        <v>846</v>
      </c>
      <c r="D37" s="70" t="s">
        <v>847</v>
      </c>
      <c r="E37" s="71">
        <f t="shared" si="7"/>
        <v>8</v>
      </c>
      <c r="F37" s="71" t="s">
        <v>545</v>
      </c>
      <c r="G37" s="71">
        <v>15</v>
      </c>
      <c r="H37" s="72" t="str">
        <f t="shared" si="8"/>
        <v>C1-15</v>
      </c>
      <c r="I37" s="70" t="s">
        <v>848</v>
      </c>
      <c r="J37" s="70" t="s">
        <v>849</v>
      </c>
      <c r="K37" s="73" t="str">
        <f t="shared" si="1"/>
        <v>2026</v>
      </c>
      <c r="L37" s="73" t="str">
        <f t="shared" si="2"/>
        <v>05</v>
      </c>
      <c r="M37" s="73" t="str">
        <f t="shared" si="3"/>
        <v>03</v>
      </c>
      <c r="N37" s="73" t="str">
        <f t="shared" si="4"/>
        <v>15:26:18</v>
      </c>
      <c r="O37" s="74"/>
      <c r="P37" s="74"/>
      <c r="Q37" s="74"/>
      <c r="R37" s="74"/>
      <c r="S37" s="74"/>
      <c r="T37" s="74"/>
      <c r="U37" s="74"/>
      <c r="V37" s="74"/>
    </row>
    <row r="38" spans="1:22" ht="22.5" customHeight="1">
      <c r="A38" s="70" t="s">
        <v>850</v>
      </c>
      <c r="B38" s="70" t="s">
        <v>851</v>
      </c>
      <c r="C38" s="70" t="s">
        <v>852</v>
      </c>
      <c r="D38" s="70" t="s">
        <v>853</v>
      </c>
      <c r="E38" s="71">
        <f t="shared" si="7"/>
        <v>10</v>
      </c>
      <c r="F38" s="71" t="s">
        <v>592</v>
      </c>
      <c r="G38" s="71">
        <v>1</v>
      </c>
      <c r="H38" s="72" t="str">
        <f t="shared" si="8"/>
        <v>H1-1</v>
      </c>
      <c r="I38" s="70" t="s">
        <v>854</v>
      </c>
      <c r="J38" s="70" t="s">
        <v>855</v>
      </c>
      <c r="K38" s="73" t="str">
        <f t="shared" si="1"/>
        <v>2026</v>
      </c>
      <c r="L38" s="73" t="str">
        <f t="shared" si="2"/>
        <v>05</v>
      </c>
      <c r="M38" s="73" t="str">
        <f t="shared" si="3"/>
        <v>03</v>
      </c>
      <c r="N38" s="73" t="str">
        <f t="shared" si="4"/>
        <v>15:25:05</v>
      </c>
      <c r="O38" s="74"/>
      <c r="P38" s="74"/>
      <c r="Q38" s="74"/>
      <c r="R38" s="74"/>
      <c r="S38" s="74"/>
      <c r="T38" s="74"/>
      <c r="U38" s="74"/>
      <c r="V38" s="74"/>
    </row>
    <row r="39" spans="1:22" ht="22.5" customHeight="1">
      <c r="A39" s="70" t="s">
        <v>856</v>
      </c>
      <c r="B39" s="70" t="s">
        <v>857</v>
      </c>
      <c r="C39" s="70" t="s">
        <v>858</v>
      </c>
      <c r="D39" s="70" t="s">
        <v>859</v>
      </c>
      <c r="E39" s="71">
        <f t="shared" si="7"/>
        <v>79</v>
      </c>
      <c r="F39" s="71" t="s">
        <v>80</v>
      </c>
      <c r="G39" s="71">
        <v>16</v>
      </c>
      <c r="H39" s="72" t="str">
        <f t="shared" si="8"/>
        <v>C-16</v>
      </c>
      <c r="I39" s="70" t="s">
        <v>860</v>
      </c>
      <c r="J39" s="70" t="s">
        <v>861</v>
      </c>
      <c r="K39" s="73" t="str">
        <f t="shared" si="1"/>
        <v>2026</v>
      </c>
      <c r="L39" s="73" t="str">
        <f t="shared" si="2"/>
        <v>05</v>
      </c>
      <c r="M39" s="73" t="str">
        <f t="shared" si="3"/>
        <v>03</v>
      </c>
      <c r="N39" s="73" t="str">
        <f t="shared" si="4"/>
        <v>15:24:12</v>
      </c>
      <c r="O39" s="74"/>
      <c r="P39" s="74"/>
      <c r="Q39" s="74"/>
      <c r="R39" s="74"/>
      <c r="S39" s="74"/>
      <c r="T39" s="74"/>
      <c r="U39" s="74"/>
      <c r="V39" s="74"/>
    </row>
    <row r="40" spans="1:22" ht="22.5" customHeight="1">
      <c r="A40" s="70" t="s">
        <v>862</v>
      </c>
      <c r="B40" s="70" t="s">
        <v>863</v>
      </c>
      <c r="C40" s="70" t="s">
        <v>864</v>
      </c>
      <c r="D40" s="70" t="s">
        <v>865</v>
      </c>
      <c r="E40" s="71">
        <f t="shared" si="7"/>
        <v>16</v>
      </c>
      <c r="F40" s="71" t="s">
        <v>393</v>
      </c>
      <c r="G40" s="71">
        <v>5</v>
      </c>
      <c r="H40" s="72" t="str">
        <f t="shared" si="8"/>
        <v>R-5</v>
      </c>
      <c r="I40" s="70" t="s">
        <v>866</v>
      </c>
      <c r="J40" s="70" t="s">
        <v>867</v>
      </c>
      <c r="K40" s="73" t="str">
        <f t="shared" si="1"/>
        <v>2026</v>
      </c>
      <c r="L40" s="73" t="str">
        <f t="shared" si="2"/>
        <v>05</v>
      </c>
      <c r="M40" s="73" t="str">
        <f t="shared" si="3"/>
        <v>03</v>
      </c>
      <c r="N40" s="73" t="str">
        <f t="shared" si="4"/>
        <v>15:22:21</v>
      </c>
      <c r="O40" s="40"/>
      <c r="P40" s="40"/>
      <c r="Q40" s="40"/>
      <c r="R40" s="40"/>
      <c r="S40" s="40"/>
      <c r="T40" s="40"/>
      <c r="U40" s="40"/>
      <c r="V40" s="40"/>
    </row>
    <row r="41" spans="1:22" ht="22.5" customHeight="1">
      <c r="A41" s="70" t="s">
        <v>868</v>
      </c>
      <c r="B41" s="70" t="s">
        <v>869</v>
      </c>
      <c r="C41" s="70" t="s">
        <v>870</v>
      </c>
      <c r="D41" s="70" t="s">
        <v>871</v>
      </c>
      <c r="E41" s="71">
        <f t="shared" si="7"/>
        <v>16</v>
      </c>
      <c r="F41" s="71" t="s">
        <v>492</v>
      </c>
      <c r="G41" s="71">
        <v>5</v>
      </c>
      <c r="H41" s="72" t="str">
        <f t="shared" si="8"/>
        <v>Y-5</v>
      </c>
      <c r="I41" s="70" t="s">
        <v>872</v>
      </c>
      <c r="J41" s="70" t="s">
        <v>873</v>
      </c>
      <c r="K41" s="73" t="str">
        <f t="shared" si="1"/>
        <v>2026</v>
      </c>
      <c r="L41" s="73" t="str">
        <f t="shared" si="2"/>
        <v>05</v>
      </c>
      <c r="M41" s="73" t="str">
        <f t="shared" si="3"/>
        <v>03</v>
      </c>
      <c r="N41" s="73" t="str">
        <f t="shared" si="4"/>
        <v>15:07:52</v>
      </c>
      <c r="O41" s="74"/>
      <c r="P41" s="74"/>
      <c r="Q41" s="74"/>
      <c r="R41" s="74"/>
      <c r="S41" s="74"/>
      <c r="T41" s="74"/>
      <c r="U41" s="74"/>
      <c r="V41" s="74"/>
    </row>
    <row r="42" spans="1:22" ht="22.5" customHeight="1">
      <c r="A42" s="70" t="s">
        <v>874</v>
      </c>
      <c r="B42" s="70" t="s">
        <v>875</v>
      </c>
      <c r="C42" s="70" t="s">
        <v>876</v>
      </c>
      <c r="D42" s="70" t="s">
        <v>877</v>
      </c>
      <c r="E42" s="71">
        <f t="shared" si="7"/>
        <v>18</v>
      </c>
      <c r="F42" s="71" t="s">
        <v>415</v>
      </c>
      <c r="G42" s="71">
        <v>1</v>
      </c>
      <c r="H42" s="72" t="str">
        <f t="shared" si="8"/>
        <v>T-1</v>
      </c>
      <c r="I42" s="70" t="s">
        <v>878</v>
      </c>
      <c r="J42" s="70" t="s">
        <v>879</v>
      </c>
      <c r="K42" s="73" t="str">
        <f t="shared" si="1"/>
        <v>2026</v>
      </c>
      <c r="L42" s="73" t="str">
        <f t="shared" si="2"/>
        <v>05</v>
      </c>
      <c r="M42" s="73" t="str">
        <f t="shared" si="3"/>
        <v>03</v>
      </c>
      <c r="N42" s="73" t="str">
        <f t="shared" si="4"/>
        <v>12:30:29</v>
      </c>
      <c r="O42" s="74"/>
      <c r="P42" s="74"/>
      <c r="Q42" s="74"/>
      <c r="R42" s="74"/>
      <c r="S42" s="74"/>
      <c r="T42" s="74"/>
      <c r="U42" s="74"/>
      <c r="V42" s="74"/>
    </row>
    <row r="43" spans="1:22" ht="22.5" customHeight="1">
      <c r="A43" s="70" t="s">
        <v>880</v>
      </c>
      <c r="B43" s="70" t="s">
        <v>881</v>
      </c>
      <c r="C43" s="70" t="s">
        <v>882</v>
      </c>
      <c r="D43" s="70" t="s">
        <v>883</v>
      </c>
      <c r="E43" s="71">
        <f t="shared" si="7"/>
        <v>36</v>
      </c>
      <c r="F43" s="71" t="s">
        <v>415</v>
      </c>
      <c r="G43" s="71">
        <v>18</v>
      </c>
      <c r="H43" s="72" t="str">
        <f t="shared" si="8"/>
        <v>T-18</v>
      </c>
      <c r="I43" s="70" t="s">
        <v>884</v>
      </c>
      <c r="J43" s="70" t="s">
        <v>885</v>
      </c>
      <c r="K43" s="73" t="str">
        <f t="shared" si="1"/>
        <v>2026</v>
      </c>
      <c r="L43" s="73" t="str">
        <f t="shared" si="2"/>
        <v>05</v>
      </c>
      <c r="M43" s="73" t="str">
        <f t="shared" si="3"/>
        <v>03</v>
      </c>
      <c r="N43" s="73" t="str">
        <f t="shared" si="4"/>
        <v>09:30:52</v>
      </c>
      <c r="O43" s="74"/>
      <c r="P43" s="74"/>
      <c r="Q43" s="74"/>
      <c r="R43" s="74"/>
      <c r="S43" s="74"/>
      <c r="T43" s="74"/>
      <c r="U43" s="74"/>
      <c r="V43" s="74"/>
    </row>
    <row r="44" spans="1:22" ht="22.5" customHeight="1">
      <c r="A44" s="70" t="s">
        <v>886</v>
      </c>
      <c r="B44" s="70" t="s">
        <v>887</v>
      </c>
      <c r="C44" s="70" t="s">
        <v>888</v>
      </c>
      <c r="D44" s="70" t="s">
        <v>889</v>
      </c>
      <c r="E44" s="71">
        <f t="shared" si="7"/>
        <v>59</v>
      </c>
      <c r="F44" s="71" t="s">
        <v>177</v>
      </c>
      <c r="G44" s="71">
        <v>17</v>
      </c>
      <c r="H44" s="72" t="str">
        <f t="shared" si="8"/>
        <v>G-17</v>
      </c>
      <c r="I44" s="70" t="s">
        <v>890</v>
      </c>
      <c r="J44" s="70" t="s">
        <v>891</v>
      </c>
      <c r="K44" s="73" t="str">
        <f t="shared" si="1"/>
        <v>2026</v>
      </c>
      <c r="L44" s="73" t="str">
        <f t="shared" si="2"/>
        <v>05</v>
      </c>
      <c r="M44" s="73" t="str">
        <f t="shared" si="3"/>
        <v>03</v>
      </c>
      <c r="N44" s="73" t="str">
        <f t="shared" si="4"/>
        <v>06:31:26</v>
      </c>
      <c r="O44" s="74"/>
      <c r="P44" s="74"/>
      <c r="Q44" s="74"/>
      <c r="R44" s="74"/>
      <c r="S44" s="74"/>
      <c r="T44" s="74"/>
      <c r="U44" s="74"/>
      <c r="V44" s="74"/>
    </row>
    <row r="45" spans="1:22" ht="22.5" customHeight="1">
      <c r="A45" s="70" t="s">
        <v>892</v>
      </c>
      <c r="B45" s="70" t="s">
        <v>893</v>
      </c>
      <c r="C45" s="70" t="s">
        <v>894</v>
      </c>
      <c r="D45" s="70" t="s">
        <v>895</v>
      </c>
      <c r="E45" s="71">
        <f t="shared" si="7"/>
        <v>18</v>
      </c>
      <c r="F45" s="71" t="s">
        <v>34</v>
      </c>
      <c r="G45" s="71">
        <v>10</v>
      </c>
      <c r="H45" s="72" t="str">
        <f t="shared" si="8"/>
        <v>A-10</v>
      </c>
      <c r="I45" s="75"/>
      <c r="J45" s="70" t="s">
        <v>896</v>
      </c>
      <c r="K45" s="73" t="str">
        <f t="shared" si="1"/>
        <v>2026</v>
      </c>
      <c r="L45" s="73" t="str">
        <f t="shared" si="2"/>
        <v>05</v>
      </c>
      <c r="M45" s="73" t="str">
        <f t="shared" si="3"/>
        <v>03</v>
      </c>
      <c r="N45" s="73" t="str">
        <f t="shared" si="4"/>
        <v>05:45:29</v>
      </c>
      <c r="O45" s="74"/>
      <c r="P45" s="74"/>
      <c r="Q45" s="74"/>
      <c r="R45" s="74"/>
      <c r="S45" s="74"/>
      <c r="T45" s="74"/>
      <c r="U45" s="74"/>
      <c r="V45" s="74"/>
    </row>
    <row r="46" spans="1:22" ht="22.5" customHeight="1">
      <c r="A46" s="70" t="s">
        <v>897</v>
      </c>
      <c r="B46" s="70" t="s">
        <v>898</v>
      </c>
      <c r="C46" s="70" t="s">
        <v>899</v>
      </c>
      <c r="D46" s="70" t="s">
        <v>900</v>
      </c>
      <c r="E46" s="71">
        <f t="shared" si="7"/>
        <v>43</v>
      </c>
      <c r="F46" s="71" t="s">
        <v>267</v>
      </c>
      <c r="G46" s="71">
        <v>17</v>
      </c>
      <c r="H46" s="72" t="str">
        <f t="shared" si="8"/>
        <v>K-17</v>
      </c>
      <c r="I46" s="75"/>
      <c r="J46" s="70" t="s">
        <v>901</v>
      </c>
      <c r="K46" s="73" t="str">
        <f t="shared" si="1"/>
        <v>2026</v>
      </c>
      <c r="L46" s="73" t="str">
        <f t="shared" si="2"/>
        <v>05</v>
      </c>
      <c r="M46" s="73" t="str">
        <f t="shared" si="3"/>
        <v>03</v>
      </c>
      <c r="N46" s="73" t="str">
        <f t="shared" si="4"/>
        <v>00:07:56</v>
      </c>
      <c r="O46" s="74"/>
      <c r="P46" s="74"/>
      <c r="Q46" s="74"/>
      <c r="R46" s="74"/>
      <c r="S46" s="74"/>
      <c r="T46" s="74"/>
      <c r="U46" s="74"/>
      <c r="V46" s="74"/>
    </row>
    <row r="47" spans="1:22" ht="22.5" customHeight="1">
      <c r="A47" s="70" t="s">
        <v>902</v>
      </c>
      <c r="B47" s="70" t="s">
        <v>903</v>
      </c>
      <c r="C47" s="70" t="s">
        <v>904</v>
      </c>
      <c r="D47" s="70" t="s">
        <v>905</v>
      </c>
      <c r="E47" s="71">
        <f t="shared" si="7"/>
        <v>15</v>
      </c>
      <c r="F47" s="71" t="s">
        <v>125</v>
      </c>
      <c r="G47" s="71">
        <v>2</v>
      </c>
      <c r="H47" s="72" t="str">
        <f t="shared" si="8"/>
        <v>D-2</v>
      </c>
      <c r="I47" s="75"/>
      <c r="J47" s="70" t="s">
        <v>906</v>
      </c>
      <c r="K47" s="73" t="str">
        <f t="shared" si="1"/>
        <v>2026</v>
      </c>
      <c r="L47" s="73" t="str">
        <f t="shared" si="2"/>
        <v>05</v>
      </c>
      <c r="M47" s="73" t="str">
        <f t="shared" si="3"/>
        <v>02</v>
      </c>
      <c r="N47" s="73" t="str">
        <f t="shared" si="4"/>
        <v>23:08:41</v>
      </c>
      <c r="O47" s="74"/>
      <c r="P47" s="74"/>
      <c r="Q47" s="74"/>
      <c r="R47" s="74"/>
      <c r="S47" s="74"/>
      <c r="T47" s="74"/>
      <c r="U47" s="74"/>
      <c r="V47" s="74"/>
    </row>
    <row r="48" spans="1:22" ht="22.5" customHeight="1">
      <c r="A48" s="70" t="s">
        <v>907</v>
      </c>
      <c r="B48" s="70" t="s">
        <v>908</v>
      </c>
      <c r="C48" s="70" t="s">
        <v>909</v>
      </c>
      <c r="D48" s="70" t="s">
        <v>910</v>
      </c>
      <c r="E48" s="71">
        <f t="shared" si="7"/>
        <v>38</v>
      </c>
      <c r="F48" s="71" t="s">
        <v>125</v>
      </c>
      <c r="G48" s="71">
        <v>1</v>
      </c>
      <c r="H48" s="72" t="str">
        <f t="shared" si="8"/>
        <v>D-1</v>
      </c>
      <c r="I48" s="75"/>
      <c r="J48" s="70" t="s">
        <v>911</v>
      </c>
      <c r="K48" s="73" t="str">
        <f t="shared" si="1"/>
        <v>2026</v>
      </c>
      <c r="L48" s="73" t="str">
        <f t="shared" si="2"/>
        <v>05</v>
      </c>
      <c r="M48" s="73" t="str">
        <f t="shared" si="3"/>
        <v>02</v>
      </c>
      <c r="N48" s="73" t="str">
        <f t="shared" si="4"/>
        <v>23:02:47</v>
      </c>
      <c r="O48" s="74"/>
      <c r="P48" s="74"/>
      <c r="Q48" s="74"/>
      <c r="R48" s="74"/>
      <c r="S48" s="74"/>
      <c r="T48" s="74"/>
      <c r="U48" s="74"/>
      <c r="V48" s="74"/>
    </row>
    <row r="49" spans="1:22" ht="22.5" customHeight="1">
      <c r="A49" s="70" t="s">
        <v>912</v>
      </c>
      <c r="B49" s="70" t="s">
        <v>913</v>
      </c>
      <c r="C49" s="70" t="s">
        <v>914</v>
      </c>
      <c r="D49" s="70" t="s">
        <v>915</v>
      </c>
      <c r="E49" s="71">
        <f t="shared" si="7"/>
        <v>16</v>
      </c>
      <c r="F49" s="71" t="s">
        <v>473</v>
      </c>
      <c r="G49" s="71">
        <v>32</v>
      </c>
      <c r="H49" s="72" t="str">
        <f t="shared" si="8"/>
        <v>X-32</v>
      </c>
      <c r="I49" s="70" t="s">
        <v>916</v>
      </c>
      <c r="J49" s="70" t="s">
        <v>917</v>
      </c>
      <c r="K49" s="73" t="str">
        <f t="shared" si="1"/>
        <v>2026</v>
      </c>
      <c r="L49" s="73" t="str">
        <f t="shared" si="2"/>
        <v>05</v>
      </c>
      <c r="M49" s="73" t="str">
        <f t="shared" si="3"/>
        <v>02</v>
      </c>
      <c r="N49" s="73" t="str">
        <f t="shared" si="4"/>
        <v>22:59:05</v>
      </c>
      <c r="O49" s="74"/>
      <c r="P49" s="74"/>
      <c r="Q49" s="74"/>
      <c r="R49" s="74"/>
      <c r="S49" s="74"/>
      <c r="T49" s="74"/>
      <c r="U49" s="74"/>
      <c r="V49" s="74"/>
    </row>
    <row r="50" spans="1:22" ht="22.5" customHeight="1">
      <c r="A50" s="70" t="s">
        <v>918</v>
      </c>
      <c r="B50" s="70" t="s">
        <v>919</v>
      </c>
      <c r="C50" s="70" t="s">
        <v>920</v>
      </c>
      <c r="D50" s="70" t="s">
        <v>921</v>
      </c>
      <c r="E50" s="71">
        <f t="shared" si="7"/>
        <v>10</v>
      </c>
      <c r="F50" s="71" t="s">
        <v>592</v>
      </c>
      <c r="G50" s="71">
        <v>11</v>
      </c>
      <c r="H50" s="72" t="str">
        <f t="shared" si="8"/>
        <v>H1-11</v>
      </c>
      <c r="I50" s="70" t="s">
        <v>922</v>
      </c>
      <c r="J50" s="70" t="s">
        <v>923</v>
      </c>
      <c r="K50" s="73" t="str">
        <f t="shared" si="1"/>
        <v>2026</v>
      </c>
      <c r="L50" s="73" t="str">
        <f t="shared" si="2"/>
        <v>05</v>
      </c>
      <c r="M50" s="73" t="str">
        <f t="shared" si="3"/>
        <v>02</v>
      </c>
      <c r="N50" s="73" t="str">
        <f t="shared" si="4"/>
        <v>22:07:36</v>
      </c>
      <c r="O50" s="74"/>
      <c r="P50" s="74"/>
      <c r="Q50" s="74"/>
      <c r="R50" s="74"/>
      <c r="S50" s="74"/>
      <c r="T50" s="74"/>
      <c r="U50" s="74"/>
      <c r="V50" s="74"/>
    </row>
    <row r="51" spans="1:22" ht="22.5" customHeight="1">
      <c r="A51" s="70" t="s">
        <v>924</v>
      </c>
      <c r="B51" s="70" t="s">
        <v>925</v>
      </c>
      <c r="C51" s="70" t="s">
        <v>926</v>
      </c>
      <c r="D51" s="70" t="s">
        <v>927</v>
      </c>
      <c r="E51" s="71">
        <f t="shared" si="7"/>
        <v>58</v>
      </c>
      <c r="F51" s="71" t="s">
        <v>177</v>
      </c>
      <c r="G51" s="71">
        <v>2</v>
      </c>
      <c r="H51" s="72" t="str">
        <f t="shared" si="8"/>
        <v>G-2</v>
      </c>
      <c r="I51" s="70" t="s">
        <v>928</v>
      </c>
      <c r="J51" s="70" t="s">
        <v>929</v>
      </c>
      <c r="K51" s="73" t="str">
        <f t="shared" si="1"/>
        <v>2026</v>
      </c>
      <c r="L51" s="73" t="str">
        <f t="shared" si="2"/>
        <v>05</v>
      </c>
      <c r="M51" s="73" t="str">
        <f t="shared" si="3"/>
        <v>02</v>
      </c>
      <c r="N51" s="73" t="str">
        <f t="shared" si="4"/>
        <v>22:04:28</v>
      </c>
      <c r="O51" s="74"/>
      <c r="P51" s="74"/>
      <c r="Q51" s="74"/>
      <c r="R51" s="74"/>
      <c r="S51" s="74"/>
      <c r="T51" s="74"/>
      <c r="U51" s="74"/>
      <c r="V51" s="74"/>
    </row>
    <row r="52" spans="1:22" ht="22.5" customHeight="1">
      <c r="A52" s="70" t="s">
        <v>930</v>
      </c>
      <c r="B52" s="70" t="s">
        <v>931</v>
      </c>
      <c r="C52" s="70" t="s">
        <v>932</v>
      </c>
      <c r="D52" s="70" t="s">
        <v>933</v>
      </c>
      <c r="E52" s="71">
        <f t="shared" si="7"/>
        <v>59</v>
      </c>
      <c r="F52" s="71" t="s">
        <v>357</v>
      </c>
      <c r="G52" s="71">
        <v>8</v>
      </c>
      <c r="H52" s="72" t="str">
        <f t="shared" si="8"/>
        <v>P-8</v>
      </c>
      <c r="I52" s="70" t="s">
        <v>934</v>
      </c>
      <c r="J52" s="70" t="s">
        <v>935</v>
      </c>
      <c r="K52" s="73" t="str">
        <f t="shared" si="1"/>
        <v>2026</v>
      </c>
      <c r="L52" s="73" t="str">
        <f t="shared" si="2"/>
        <v>05</v>
      </c>
      <c r="M52" s="73" t="str">
        <f t="shared" si="3"/>
        <v>02</v>
      </c>
      <c r="N52" s="73" t="str">
        <f t="shared" si="4"/>
        <v>21:43:58</v>
      </c>
      <c r="O52" s="74"/>
      <c r="P52" s="74"/>
      <c r="Q52" s="74"/>
      <c r="R52" s="74"/>
      <c r="S52" s="74"/>
      <c r="T52" s="74"/>
      <c r="U52" s="74"/>
      <c r="V52" s="74"/>
    </row>
    <row r="53" spans="1:22" ht="22.5" customHeight="1">
      <c r="A53" s="70" t="s">
        <v>936</v>
      </c>
      <c r="B53" s="70" t="s">
        <v>937</v>
      </c>
      <c r="C53" s="70" t="s">
        <v>938</v>
      </c>
      <c r="D53" s="70" t="s">
        <v>939</v>
      </c>
      <c r="E53" s="71">
        <f t="shared" si="7"/>
        <v>16</v>
      </c>
      <c r="F53" s="71" t="s">
        <v>586</v>
      </c>
      <c r="G53" s="71">
        <v>1</v>
      </c>
      <c r="H53" s="72" t="str">
        <f t="shared" si="8"/>
        <v>G1-1</v>
      </c>
      <c r="I53" s="70" t="s">
        <v>940</v>
      </c>
      <c r="J53" s="70" t="s">
        <v>941</v>
      </c>
      <c r="K53" s="73" t="str">
        <f t="shared" si="1"/>
        <v>2026</v>
      </c>
      <c r="L53" s="73" t="str">
        <f t="shared" si="2"/>
        <v>05</v>
      </c>
      <c r="M53" s="73" t="str">
        <f t="shared" si="3"/>
        <v>02</v>
      </c>
      <c r="N53" s="73" t="str">
        <f t="shared" si="4"/>
        <v>20:59:54</v>
      </c>
      <c r="O53" s="74"/>
      <c r="P53" s="74"/>
      <c r="Q53" s="74"/>
      <c r="R53" s="74"/>
      <c r="S53" s="74"/>
      <c r="T53" s="74"/>
      <c r="U53" s="74"/>
      <c r="V53" s="74"/>
    </row>
    <row r="54" spans="1:22" ht="22.5" customHeight="1">
      <c r="A54" s="70" t="s">
        <v>942</v>
      </c>
      <c r="B54" s="70" t="s">
        <v>943</v>
      </c>
      <c r="C54" s="70" t="s">
        <v>944</v>
      </c>
      <c r="D54" s="70" t="s">
        <v>945</v>
      </c>
      <c r="E54" s="71">
        <f t="shared" si="7"/>
        <v>44</v>
      </c>
      <c r="F54" s="71" t="s">
        <v>161</v>
      </c>
      <c r="G54" s="71">
        <v>5</v>
      </c>
      <c r="H54" s="72" t="str">
        <f t="shared" si="8"/>
        <v>F-5</v>
      </c>
      <c r="I54" s="70" t="s">
        <v>946</v>
      </c>
      <c r="J54" s="70" t="s">
        <v>947</v>
      </c>
      <c r="K54" s="73" t="str">
        <f t="shared" si="1"/>
        <v>2026</v>
      </c>
      <c r="L54" s="73" t="str">
        <f t="shared" si="2"/>
        <v>05</v>
      </c>
      <c r="M54" s="73" t="str">
        <f t="shared" si="3"/>
        <v>02</v>
      </c>
      <c r="N54" s="73" t="str">
        <f t="shared" si="4"/>
        <v>20:45:32</v>
      </c>
      <c r="O54" s="74"/>
      <c r="P54" s="74"/>
      <c r="Q54" s="74"/>
      <c r="R54" s="74"/>
      <c r="S54" s="74"/>
      <c r="T54" s="74"/>
      <c r="U54" s="74"/>
      <c r="V54" s="74"/>
    </row>
    <row r="55" spans="1:22" ht="22.5" customHeight="1">
      <c r="A55" s="70" t="s">
        <v>948</v>
      </c>
      <c r="B55" s="70" t="s">
        <v>949</v>
      </c>
      <c r="C55" s="70" t="s">
        <v>950</v>
      </c>
      <c r="D55" s="70" t="s">
        <v>951</v>
      </c>
      <c r="E55" s="71">
        <f t="shared" si="7"/>
        <v>8</v>
      </c>
      <c r="F55" s="71" t="s">
        <v>473</v>
      </c>
      <c r="G55" s="71">
        <v>11</v>
      </c>
      <c r="H55" s="72" t="str">
        <f t="shared" si="8"/>
        <v>X-11</v>
      </c>
      <c r="I55" s="70" t="s">
        <v>952</v>
      </c>
      <c r="J55" s="70" t="s">
        <v>953</v>
      </c>
      <c r="K55" s="73" t="str">
        <f t="shared" si="1"/>
        <v>2026</v>
      </c>
      <c r="L55" s="73" t="str">
        <f t="shared" si="2"/>
        <v>05</v>
      </c>
      <c r="M55" s="73" t="str">
        <f t="shared" si="3"/>
        <v>02</v>
      </c>
      <c r="N55" s="73" t="str">
        <f t="shared" si="4"/>
        <v>20:35:19</v>
      </c>
      <c r="O55" s="74"/>
      <c r="P55" s="74"/>
      <c r="Q55" s="74"/>
      <c r="R55" s="74"/>
      <c r="S55" s="74"/>
      <c r="T55" s="74"/>
      <c r="U55" s="74"/>
      <c r="V55" s="74"/>
    </row>
    <row r="56" spans="1:22" ht="22.5" customHeight="1">
      <c r="A56" s="70" t="s">
        <v>954</v>
      </c>
      <c r="B56" s="70" t="s">
        <v>955</v>
      </c>
      <c r="C56" s="70" t="s">
        <v>956</v>
      </c>
      <c r="D56" s="70" t="s">
        <v>957</v>
      </c>
      <c r="E56" s="71">
        <f t="shared" si="7"/>
        <v>44</v>
      </c>
      <c r="F56" s="71" t="s">
        <v>458</v>
      </c>
      <c r="G56" s="71">
        <v>20</v>
      </c>
      <c r="H56" s="72" t="str">
        <f t="shared" si="8"/>
        <v>W-20</v>
      </c>
      <c r="I56" s="75"/>
      <c r="J56" s="70" t="s">
        <v>958</v>
      </c>
      <c r="K56" s="73" t="str">
        <f t="shared" si="1"/>
        <v>2026</v>
      </c>
      <c r="L56" s="73" t="str">
        <f t="shared" si="2"/>
        <v>05</v>
      </c>
      <c r="M56" s="73" t="str">
        <f t="shared" si="3"/>
        <v>02</v>
      </c>
      <c r="N56" s="73" t="str">
        <f t="shared" si="4"/>
        <v>20:28:28</v>
      </c>
      <c r="O56" s="74"/>
      <c r="P56" s="74"/>
      <c r="Q56" s="74"/>
      <c r="R56" s="74"/>
      <c r="S56" s="74"/>
      <c r="T56" s="74"/>
      <c r="U56" s="74"/>
      <c r="V56" s="74"/>
    </row>
    <row r="57" spans="1:22" ht="22.5" customHeight="1">
      <c r="A57" s="70" t="s">
        <v>959</v>
      </c>
      <c r="B57" s="70" t="s">
        <v>960</v>
      </c>
      <c r="C57" s="70" t="s">
        <v>961</v>
      </c>
      <c r="D57" s="70" t="s">
        <v>962</v>
      </c>
      <c r="E57" s="71">
        <f t="shared" si="7"/>
        <v>8</v>
      </c>
      <c r="F57" s="71" t="s">
        <v>502</v>
      </c>
      <c r="G57" s="71">
        <v>7</v>
      </c>
      <c r="H57" s="72" t="str">
        <f t="shared" si="8"/>
        <v>Z-7</v>
      </c>
      <c r="I57" s="70" t="s">
        <v>963</v>
      </c>
      <c r="J57" s="70" t="s">
        <v>964</v>
      </c>
      <c r="K57" s="73" t="str">
        <f t="shared" si="1"/>
        <v>2026</v>
      </c>
      <c r="L57" s="73" t="str">
        <f t="shared" si="2"/>
        <v>05</v>
      </c>
      <c r="M57" s="73" t="str">
        <f t="shared" si="3"/>
        <v>02</v>
      </c>
      <c r="N57" s="73" t="str">
        <f t="shared" si="4"/>
        <v>20:20:24</v>
      </c>
      <c r="O57" s="74"/>
      <c r="P57" s="74"/>
      <c r="Q57" s="74"/>
      <c r="R57" s="74"/>
      <c r="S57" s="74"/>
      <c r="T57" s="74"/>
      <c r="U57" s="74"/>
      <c r="V57" s="74"/>
    </row>
    <row r="58" spans="1:22" ht="22.5" customHeight="1">
      <c r="A58" s="70" t="s">
        <v>965</v>
      </c>
      <c r="B58" s="70" t="s">
        <v>966</v>
      </c>
      <c r="C58" s="70" t="s">
        <v>967</v>
      </c>
      <c r="D58" s="70" t="s">
        <v>968</v>
      </c>
      <c r="E58" s="71">
        <f t="shared" si="7"/>
        <v>8</v>
      </c>
      <c r="F58" s="71" t="s">
        <v>592</v>
      </c>
      <c r="G58" s="71">
        <v>16</v>
      </c>
      <c r="H58" s="72" t="str">
        <f t="shared" si="8"/>
        <v>H1-16</v>
      </c>
      <c r="I58" s="70" t="s">
        <v>969</v>
      </c>
      <c r="J58" s="70" t="s">
        <v>970</v>
      </c>
      <c r="K58" s="73" t="str">
        <f t="shared" si="1"/>
        <v>2026</v>
      </c>
      <c r="L58" s="73" t="str">
        <f t="shared" si="2"/>
        <v>05</v>
      </c>
      <c r="M58" s="73" t="str">
        <f t="shared" si="3"/>
        <v>02</v>
      </c>
      <c r="N58" s="73" t="str">
        <f t="shared" si="4"/>
        <v>20:18:59</v>
      </c>
      <c r="O58" s="74"/>
      <c r="P58" s="74"/>
      <c r="Q58" s="74"/>
      <c r="R58" s="74"/>
      <c r="S58" s="74"/>
      <c r="T58" s="74"/>
      <c r="U58" s="74"/>
      <c r="V58" s="74"/>
    </row>
    <row r="59" spans="1:22" ht="22.5" customHeight="1">
      <c r="A59" s="70" t="s">
        <v>971</v>
      </c>
      <c r="B59" s="70" t="s">
        <v>972</v>
      </c>
      <c r="C59" s="70" t="s">
        <v>973</v>
      </c>
      <c r="D59" s="70" t="s">
        <v>974</v>
      </c>
      <c r="E59" s="71">
        <f t="shared" si="7"/>
        <v>10</v>
      </c>
      <c r="F59" s="71" t="s">
        <v>80</v>
      </c>
      <c r="G59" s="71">
        <v>6</v>
      </c>
      <c r="H59" s="72" t="str">
        <f t="shared" si="8"/>
        <v>C-6</v>
      </c>
      <c r="I59" s="70" t="s">
        <v>975</v>
      </c>
      <c r="J59" s="70" t="s">
        <v>976</v>
      </c>
      <c r="K59" s="73" t="str">
        <f t="shared" si="1"/>
        <v>2026</v>
      </c>
      <c r="L59" s="73" t="str">
        <f t="shared" si="2"/>
        <v>05</v>
      </c>
      <c r="M59" s="73" t="str">
        <f t="shared" si="3"/>
        <v>02</v>
      </c>
      <c r="N59" s="73" t="str">
        <f t="shared" si="4"/>
        <v>20:15:55</v>
      </c>
      <c r="O59" s="74"/>
      <c r="P59" s="74"/>
      <c r="Q59" s="74"/>
      <c r="R59" s="74"/>
      <c r="S59" s="74"/>
      <c r="T59" s="74"/>
      <c r="U59" s="74"/>
      <c r="V59" s="74"/>
    </row>
    <row r="60" spans="1:22" ht="22.5" customHeight="1">
      <c r="A60" s="70" t="s">
        <v>977</v>
      </c>
      <c r="B60" s="70" t="s">
        <v>978</v>
      </c>
      <c r="C60" s="70" t="s">
        <v>979</v>
      </c>
      <c r="D60" s="70" t="s">
        <v>980</v>
      </c>
      <c r="E60" s="71">
        <f t="shared" si="7"/>
        <v>27</v>
      </c>
      <c r="F60" s="71" t="s">
        <v>458</v>
      </c>
      <c r="G60" s="71">
        <v>17</v>
      </c>
      <c r="H60" s="72" t="str">
        <f t="shared" si="8"/>
        <v>W-17</v>
      </c>
      <c r="I60" s="70" t="s">
        <v>981</v>
      </c>
      <c r="J60" s="70" t="s">
        <v>982</v>
      </c>
      <c r="K60" s="73" t="str">
        <f t="shared" si="1"/>
        <v>2026</v>
      </c>
      <c r="L60" s="73" t="str">
        <f t="shared" si="2"/>
        <v>05</v>
      </c>
      <c r="M60" s="73" t="str">
        <f t="shared" si="3"/>
        <v>02</v>
      </c>
      <c r="N60" s="73" t="str">
        <f t="shared" si="4"/>
        <v>20:07:18</v>
      </c>
      <c r="O60" s="74"/>
      <c r="P60" s="74"/>
      <c r="Q60" s="74"/>
      <c r="R60" s="74"/>
      <c r="S60" s="74"/>
      <c r="T60" s="74"/>
      <c r="U60" s="74"/>
      <c r="V60" s="74"/>
    </row>
    <row r="61" spans="1:22" ht="22.5" customHeight="1">
      <c r="A61" s="70" t="s">
        <v>983</v>
      </c>
      <c r="B61" s="70" t="s">
        <v>984</v>
      </c>
      <c r="C61" s="70" t="s">
        <v>985</v>
      </c>
      <c r="D61" s="70" t="s">
        <v>986</v>
      </c>
      <c r="E61" s="71">
        <f t="shared" si="7"/>
        <v>26</v>
      </c>
      <c r="F61" s="71" t="s">
        <v>177</v>
      </c>
      <c r="G61" s="71">
        <v>15</v>
      </c>
      <c r="H61" s="72" t="str">
        <f t="shared" si="8"/>
        <v>G-15</v>
      </c>
      <c r="I61" s="70" t="s">
        <v>987</v>
      </c>
      <c r="J61" s="70" t="s">
        <v>988</v>
      </c>
      <c r="K61" s="73" t="str">
        <f t="shared" si="1"/>
        <v>2026</v>
      </c>
      <c r="L61" s="73" t="str">
        <f t="shared" si="2"/>
        <v>05</v>
      </c>
      <c r="M61" s="73" t="str">
        <f t="shared" si="3"/>
        <v>02</v>
      </c>
      <c r="N61" s="73" t="str">
        <f t="shared" si="4"/>
        <v>19:55:36</v>
      </c>
      <c r="O61" s="74"/>
      <c r="P61" s="74"/>
      <c r="Q61" s="74"/>
      <c r="R61" s="74"/>
      <c r="S61" s="74"/>
      <c r="T61" s="74"/>
      <c r="U61" s="74"/>
      <c r="V61" s="74"/>
    </row>
    <row r="62" spans="1:22" ht="22.5" customHeight="1">
      <c r="A62" s="70" t="s">
        <v>989</v>
      </c>
      <c r="B62" s="70" t="s">
        <v>990</v>
      </c>
      <c r="C62" s="70" t="s">
        <v>991</v>
      </c>
      <c r="D62" s="70" t="s">
        <v>992</v>
      </c>
      <c r="E62" s="71">
        <f t="shared" si="7"/>
        <v>22</v>
      </c>
      <c r="F62" s="71" t="s">
        <v>161</v>
      </c>
      <c r="G62" s="71">
        <v>1</v>
      </c>
      <c r="H62" s="72" t="str">
        <f t="shared" si="8"/>
        <v>F-1</v>
      </c>
      <c r="I62" s="75"/>
      <c r="J62" s="70" t="s">
        <v>993</v>
      </c>
      <c r="K62" s="73" t="str">
        <f t="shared" si="1"/>
        <v>2026</v>
      </c>
      <c r="L62" s="73" t="str">
        <f t="shared" si="2"/>
        <v>05</v>
      </c>
      <c r="M62" s="73" t="str">
        <f t="shared" si="3"/>
        <v>02</v>
      </c>
      <c r="N62" s="73" t="str">
        <f t="shared" si="4"/>
        <v>19:54:37</v>
      </c>
      <c r="O62" s="74"/>
      <c r="P62" s="74"/>
      <c r="Q62" s="74"/>
      <c r="R62" s="74"/>
      <c r="S62" s="74"/>
      <c r="T62" s="74"/>
      <c r="U62" s="74"/>
      <c r="V62" s="74"/>
    </row>
    <row r="63" spans="1:22" ht="22.5" customHeight="1">
      <c r="A63" s="70" t="s">
        <v>994</v>
      </c>
      <c r="B63" s="70" t="s">
        <v>995</v>
      </c>
      <c r="C63" s="70" t="s">
        <v>996</v>
      </c>
      <c r="D63" s="70" t="s">
        <v>997</v>
      </c>
      <c r="E63" s="71">
        <f t="shared" si="7"/>
        <v>42</v>
      </c>
      <c r="F63" s="71" t="s">
        <v>575</v>
      </c>
      <c r="G63" s="71">
        <v>8</v>
      </c>
      <c r="H63" s="72" t="str">
        <f t="shared" si="8"/>
        <v>F1-8</v>
      </c>
      <c r="I63" s="75"/>
      <c r="J63" s="70" t="s">
        <v>998</v>
      </c>
      <c r="K63" s="73" t="str">
        <f t="shared" si="1"/>
        <v>2026</v>
      </c>
      <c r="L63" s="73" t="str">
        <f t="shared" si="2"/>
        <v>05</v>
      </c>
      <c r="M63" s="73" t="str">
        <f t="shared" si="3"/>
        <v>02</v>
      </c>
      <c r="N63" s="73" t="str">
        <f t="shared" si="4"/>
        <v>19:54:19</v>
      </c>
      <c r="O63" s="74"/>
      <c r="P63" s="74"/>
      <c r="Q63" s="74"/>
      <c r="R63" s="74"/>
      <c r="S63" s="74"/>
      <c r="T63" s="74"/>
      <c r="U63" s="74"/>
      <c r="V63" s="74"/>
    </row>
    <row r="64" spans="1:22" ht="22.5" customHeight="1">
      <c r="A64" s="70" t="s">
        <v>999</v>
      </c>
      <c r="B64" s="70" t="s">
        <v>1000</v>
      </c>
      <c r="C64" s="70" t="s">
        <v>1001</v>
      </c>
      <c r="D64" s="70" t="s">
        <v>1002</v>
      </c>
      <c r="E64" s="71">
        <f t="shared" si="7"/>
        <v>17</v>
      </c>
      <c r="F64" s="71" t="s">
        <v>441</v>
      </c>
      <c r="G64" s="71">
        <v>11</v>
      </c>
      <c r="H64" s="72" t="str">
        <f t="shared" si="8"/>
        <v>V-11</v>
      </c>
      <c r="I64" s="70" t="s">
        <v>1003</v>
      </c>
      <c r="J64" s="70" t="s">
        <v>1004</v>
      </c>
      <c r="K64" s="73" t="str">
        <f t="shared" si="1"/>
        <v>2026</v>
      </c>
      <c r="L64" s="73" t="str">
        <f t="shared" si="2"/>
        <v>05</v>
      </c>
      <c r="M64" s="73" t="str">
        <f t="shared" si="3"/>
        <v>02</v>
      </c>
      <c r="N64" s="73" t="str">
        <f t="shared" si="4"/>
        <v>19:49:19</v>
      </c>
      <c r="O64" s="74"/>
      <c r="P64" s="74"/>
      <c r="Q64" s="74"/>
      <c r="R64" s="74"/>
      <c r="S64" s="74"/>
      <c r="T64" s="74"/>
      <c r="U64" s="74"/>
      <c r="V64" s="74"/>
    </row>
    <row r="65" spans="1:22" ht="22.5" customHeight="1">
      <c r="A65" s="70" t="s">
        <v>1005</v>
      </c>
      <c r="B65" s="70" t="s">
        <v>1006</v>
      </c>
      <c r="C65" s="70" t="s">
        <v>1007</v>
      </c>
      <c r="D65" s="70" t="s">
        <v>1008</v>
      </c>
      <c r="E65" s="71">
        <f t="shared" si="7"/>
        <v>40</v>
      </c>
      <c r="F65" s="71" t="s">
        <v>284</v>
      </c>
      <c r="G65" s="71">
        <v>7</v>
      </c>
      <c r="H65" s="72" t="str">
        <f t="shared" si="8"/>
        <v>L-7</v>
      </c>
      <c r="I65" s="70" t="s">
        <v>1009</v>
      </c>
      <c r="J65" s="70" t="s">
        <v>1010</v>
      </c>
      <c r="K65" s="73" t="str">
        <f t="shared" si="1"/>
        <v>2026</v>
      </c>
      <c r="L65" s="73" t="str">
        <f t="shared" si="2"/>
        <v>05</v>
      </c>
      <c r="M65" s="73" t="str">
        <f t="shared" si="3"/>
        <v>02</v>
      </c>
      <c r="N65" s="73" t="str">
        <f t="shared" si="4"/>
        <v>19:45:25</v>
      </c>
      <c r="O65" s="74"/>
      <c r="P65" s="74"/>
      <c r="Q65" s="74"/>
      <c r="R65" s="74"/>
      <c r="S65" s="74"/>
      <c r="T65" s="74"/>
      <c r="U65" s="74"/>
      <c r="V65" s="74"/>
    </row>
    <row r="66" spans="1:22" ht="22.5" customHeight="1">
      <c r="A66" s="70" t="s">
        <v>1011</v>
      </c>
      <c r="B66" s="70" t="s">
        <v>1012</v>
      </c>
      <c r="C66" s="70" t="s">
        <v>1013</v>
      </c>
      <c r="D66" s="70" t="s">
        <v>1014</v>
      </c>
      <c r="E66" s="71">
        <f t="shared" si="7"/>
        <v>41</v>
      </c>
      <c r="F66" s="71" t="s">
        <v>284</v>
      </c>
      <c r="G66" s="71">
        <v>4</v>
      </c>
      <c r="H66" s="72" t="str">
        <f t="shared" si="8"/>
        <v>L-4</v>
      </c>
      <c r="I66" s="70" t="s">
        <v>1015</v>
      </c>
      <c r="J66" s="70" t="s">
        <v>1016</v>
      </c>
      <c r="K66" s="73" t="str">
        <f t="shared" si="1"/>
        <v>2026</v>
      </c>
      <c r="L66" s="73" t="str">
        <f t="shared" si="2"/>
        <v>05</v>
      </c>
      <c r="M66" s="73" t="str">
        <f t="shared" si="3"/>
        <v>02</v>
      </c>
      <c r="N66" s="73" t="str">
        <f t="shared" si="4"/>
        <v>19:45:06</v>
      </c>
      <c r="O66" s="74"/>
      <c r="P66" s="74"/>
      <c r="Q66" s="74"/>
      <c r="R66" s="74"/>
      <c r="S66" s="74"/>
      <c r="T66" s="74"/>
      <c r="U66" s="74"/>
      <c r="V66" s="74"/>
    </row>
    <row r="67" spans="1:22" ht="22.5" customHeight="1">
      <c r="A67" s="70" t="s">
        <v>1017</v>
      </c>
      <c r="B67" s="70" t="s">
        <v>1018</v>
      </c>
      <c r="C67" s="70" t="s">
        <v>1019</v>
      </c>
      <c r="D67" s="70" t="s">
        <v>1020</v>
      </c>
      <c r="E67" s="71">
        <f t="shared" si="7"/>
        <v>16</v>
      </c>
      <c r="F67" s="71" t="s">
        <v>441</v>
      </c>
      <c r="G67" s="71">
        <v>1</v>
      </c>
      <c r="H67" s="72" t="str">
        <f t="shared" si="8"/>
        <v>V-1</v>
      </c>
      <c r="I67" s="70" t="s">
        <v>1021</v>
      </c>
      <c r="J67" s="70" t="s">
        <v>1022</v>
      </c>
      <c r="K67" s="73" t="str">
        <f t="shared" si="1"/>
        <v>2026</v>
      </c>
      <c r="L67" s="73" t="str">
        <f t="shared" si="2"/>
        <v>05</v>
      </c>
      <c r="M67" s="73" t="str">
        <f t="shared" si="3"/>
        <v>02</v>
      </c>
      <c r="N67" s="73" t="str">
        <f t="shared" si="4"/>
        <v>19:44:28</v>
      </c>
      <c r="O67" s="74"/>
      <c r="P67" s="74"/>
      <c r="Q67" s="74"/>
      <c r="R67" s="74"/>
      <c r="S67" s="74"/>
      <c r="T67" s="74"/>
      <c r="U67" s="74"/>
      <c r="V67" s="74"/>
    </row>
    <row r="68" spans="1:22" ht="22.5" customHeight="1">
      <c r="A68" s="70" t="s">
        <v>1023</v>
      </c>
      <c r="B68" s="70" t="s">
        <v>1024</v>
      </c>
      <c r="C68" s="70" t="s">
        <v>1025</v>
      </c>
      <c r="D68" s="70" t="s">
        <v>1026</v>
      </c>
      <c r="E68" s="71">
        <f t="shared" si="7"/>
        <v>46</v>
      </c>
      <c r="F68" s="71" t="s">
        <v>299</v>
      </c>
      <c r="G68" s="71">
        <v>19</v>
      </c>
      <c r="H68" s="72" t="str">
        <f t="shared" si="8"/>
        <v>M-19</v>
      </c>
      <c r="I68" s="70" t="s">
        <v>1027</v>
      </c>
      <c r="J68" s="70" t="s">
        <v>1028</v>
      </c>
      <c r="K68" s="73" t="str">
        <f t="shared" si="1"/>
        <v>2026</v>
      </c>
      <c r="L68" s="73" t="str">
        <f t="shared" si="2"/>
        <v>05</v>
      </c>
      <c r="M68" s="73" t="str">
        <f t="shared" si="3"/>
        <v>02</v>
      </c>
      <c r="N68" s="73" t="str">
        <f t="shared" si="4"/>
        <v>19:43:23</v>
      </c>
      <c r="O68" s="74"/>
      <c r="P68" s="74"/>
      <c r="Q68" s="74"/>
      <c r="R68" s="74"/>
      <c r="S68" s="74"/>
      <c r="T68" s="74"/>
      <c r="U68" s="74"/>
      <c r="V68" s="74"/>
    </row>
    <row r="69" spans="1:22" ht="22.5" customHeight="1">
      <c r="A69" s="70" t="s">
        <v>1029</v>
      </c>
      <c r="B69" s="70" t="s">
        <v>1030</v>
      </c>
      <c r="C69" s="70" t="s">
        <v>1031</v>
      </c>
      <c r="D69" s="70" t="s">
        <v>1032</v>
      </c>
      <c r="E69" s="71">
        <f t="shared" si="7"/>
        <v>21</v>
      </c>
      <c r="F69" s="71" t="s">
        <v>415</v>
      </c>
      <c r="G69" s="71">
        <v>4</v>
      </c>
      <c r="H69" s="72" t="str">
        <f t="shared" si="8"/>
        <v>T-4</v>
      </c>
      <c r="I69" s="70" t="s">
        <v>1033</v>
      </c>
      <c r="J69" s="70" t="s">
        <v>1034</v>
      </c>
      <c r="K69" s="73" t="str">
        <f t="shared" si="1"/>
        <v>2026</v>
      </c>
      <c r="L69" s="73" t="str">
        <f t="shared" si="2"/>
        <v>05</v>
      </c>
      <c r="M69" s="73" t="str">
        <f t="shared" si="3"/>
        <v>02</v>
      </c>
      <c r="N69" s="73" t="str">
        <f t="shared" si="4"/>
        <v>19:39:42</v>
      </c>
      <c r="O69" s="74"/>
      <c r="P69" s="74"/>
      <c r="Q69" s="74"/>
      <c r="R69" s="74"/>
      <c r="S69" s="74"/>
      <c r="T69" s="74"/>
      <c r="U69" s="74"/>
      <c r="V69" s="74"/>
    </row>
    <row r="70" spans="1:22" ht="22.5" customHeight="1">
      <c r="A70" s="70" t="s">
        <v>1035</v>
      </c>
      <c r="B70" s="70" t="s">
        <v>1036</v>
      </c>
      <c r="C70" s="70" t="s">
        <v>1037</v>
      </c>
      <c r="D70" s="70" t="s">
        <v>1038</v>
      </c>
      <c r="E70" s="71">
        <f t="shared" si="7"/>
        <v>44</v>
      </c>
      <c r="F70" s="71" t="s">
        <v>357</v>
      </c>
      <c r="G70" s="71">
        <v>3</v>
      </c>
      <c r="H70" s="72" t="str">
        <f t="shared" si="8"/>
        <v>P-3</v>
      </c>
      <c r="I70" s="70" t="s">
        <v>1039</v>
      </c>
      <c r="J70" s="70" t="s">
        <v>1040</v>
      </c>
      <c r="K70" s="73" t="str">
        <f t="shared" si="1"/>
        <v>2026</v>
      </c>
      <c r="L70" s="73" t="str">
        <f t="shared" si="2"/>
        <v>05</v>
      </c>
      <c r="M70" s="73" t="str">
        <f t="shared" si="3"/>
        <v>02</v>
      </c>
      <c r="N70" s="73" t="str">
        <f t="shared" si="4"/>
        <v>19:38:45</v>
      </c>
      <c r="O70" s="74"/>
      <c r="P70" s="74"/>
      <c r="Q70" s="74"/>
      <c r="R70" s="74"/>
      <c r="S70" s="74"/>
      <c r="T70" s="74"/>
      <c r="U70" s="74"/>
      <c r="V70" s="74"/>
    </row>
    <row r="71" spans="1:22" ht="22.5" customHeight="1">
      <c r="A71" s="70" t="s">
        <v>1041</v>
      </c>
      <c r="B71" s="70" t="s">
        <v>1042</v>
      </c>
      <c r="C71" s="70" t="s">
        <v>1043</v>
      </c>
      <c r="D71" s="70" t="s">
        <v>1044</v>
      </c>
      <c r="E71" s="71">
        <f t="shared" si="7"/>
        <v>39</v>
      </c>
      <c r="F71" s="71" t="s">
        <v>144</v>
      </c>
      <c r="G71" s="71">
        <v>4</v>
      </c>
      <c r="H71" s="72" t="str">
        <f t="shared" si="8"/>
        <v>E-4</v>
      </c>
      <c r="I71" s="70" t="s">
        <v>1045</v>
      </c>
      <c r="J71" s="70" t="s">
        <v>1046</v>
      </c>
      <c r="K71" s="73" t="str">
        <f t="shared" si="1"/>
        <v>2026</v>
      </c>
      <c r="L71" s="73" t="str">
        <f t="shared" si="2"/>
        <v>05</v>
      </c>
      <c r="M71" s="73" t="str">
        <f t="shared" si="3"/>
        <v>02</v>
      </c>
      <c r="N71" s="73" t="str">
        <f t="shared" si="4"/>
        <v>19:33:40</v>
      </c>
      <c r="O71" s="74"/>
      <c r="P71" s="74"/>
      <c r="Q71" s="74"/>
      <c r="R71" s="74"/>
      <c r="S71" s="74"/>
      <c r="T71" s="74"/>
      <c r="U71" s="74"/>
      <c r="V71" s="74"/>
    </row>
    <row r="72" spans="1:22" ht="22.5" customHeight="1">
      <c r="A72" s="70" t="s">
        <v>1047</v>
      </c>
      <c r="B72" s="70" t="s">
        <v>1048</v>
      </c>
      <c r="C72" s="70" t="s">
        <v>1049</v>
      </c>
      <c r="D72" s="70" t="s">
        <v>1050</v>
      </c>
      <c r="E72" s="71">
        <f t="shared" si="7"/>
        <v>22</v>
      </c>
      <c r="F72" s="71" t="s">
        <v>327</v>
      </c>
      <c r="G72" s="71">
        <v>15</v>
      </c>
      <c r="H72" s="72" t="str">
        <f t="shared" si="8"/>
        <v>O-15</v>
      </c>
      <c r="I72" s="70" t="s">
        <v>1051</v>
      </c>
      <c r="J72" s="70" t="s">
        <v>1052</v>
      </c>
      <c r="K72" s="73" t="str">
        <f t="shared" si="1"/>
        <v>2026</v>
      </c>
      <c r="L72" s="73" t="str">
        <f t="shared" si="2"/>
        <v>05</v>
      </c>
      <c r="M72" s="73" t="str">
        <f t="shared" si="3"/>
        <v>02</v>
      </c>
      <c r="N72" s="73" t="str">
        <f t="shared" si="4"/>
        <v>19:28:34</v>
      </c>
      <c r="O72" s="40"/>
      <c r="P72" s="40"/>
      <c r="Q72" s="40"/>
      <c r="R72" s="40"/>
      <c r="S72" s="40"/>
      <c r="T72" s="40"/>
      <c r="U72" s="40"/>
      <c r="V72" s="40"/>
    </row>
    <row r="73" spans="1:22" ht="22.5" customHeight="1">
      <c r="A73" s="70" t="s">
        <v>1053</v>
      </c>
      <c r="B73" s="70" t="s">
        <v>1054</v>
      </c>
      <c r="C73" s="70" t="s">
        <v>1055</v>
      </c>
      <c r="D73" s="70" t="s">
        <v>1056</v>
      </c>
      <c r="E73" s="71">
        <f t="shared" si="7"/>
        <v>22</v>
      </c>
      <c r="F73" s="71" t="s">
        <v>441</v>
      </c>
      <c r="G73" s="71">
        <v>12</v>
      </c>
      <c r="H73" s="72" t="str">
        <f t="shared" si="8"/>
        <v>V-12</v>
      </c>
      <c r="I73" s="70" t="s">
        <v>1057</v>
      </c>
      <c r="J73" s="70" t="s">
        <v>1058</v>
      </c>
      <c r="K73" s="73" t="str">
        <f t="shared" si="1"/>
        <v>2026</v>
      </c>
      <c r="L73" s="73" t="str">
        <f t="shared" si="2"/>
        <v>05</v>
      </c>
      <c r="M73" s="73" t="str">
        <f t="shared" si="3"/>
        <v>02</v>
      </c>
      <c r="N73" s="73" t="str">
        <f t="shared" si="4"/>
        <v>19:19:18</v>
      </c>
      <c r="O73" s="40"/>
      <c r="P73" s="40"/>
      <c r="Q73" s="40"/>
      <c r="R73" s="40"/>
      <c r="S73" s="40"/>
      <c r="T73" s="40"/>
      <c r="U73" s="40"/>
      <c r="V73" s="40"/>
    </row>
    <row r="74" spans="1:22" ht="22.5" customHeight="1">
      <c r="A74" s="70" t="s">
        <v>1059</v>
      </c>
      <c r="B74" s="70" t="s">
        <v>1060</v>
      </c>
      <c r="C74" s="70" t="s">
        <v>1061</v>
      </c>
      <c r="D74" s="70" t="s">
        <v>1062</v>
      </c>
      <c r="E74" s="71">
        <f t="shared" si="7"/>
        <v>9</v>
      </c>
      <c r="F74" s="71" t="s">
        <v>401</v>
      </c>
      <c r="G74" s="71">
        <v>10</v>
      </c>
      <c r="H74" s="72" t="str">
        <f t="shared" si="8"/>
        <v>S-10</v>
      </c>
      <c r="I74" s="70" t="s">
        <v>1063</v>
      </c>
      <c r="J74" s="70" t="s">
        <v>1064</v>
      </c>
      <c r="K74" s="73" t="str">
        <f t="shared" si="1"/>
        <v>2026</v>
      </c>
      <c r="L74" s="73" t="str">
        <f t="shared" si="2"/>
        <v>05</v>
      </c>
      <c r="M74" s="73" t="str">
        <f t="shared" si="3"/>
        <v>02</v>
      </c>
      <c r="N74" s="73" t="str">
        <f t="shared" si="4"/>
        <v>19:17:42</v>
      </c>
      <c r="O74" s="74"/>
      <c r="P74" s="74"/>
      <c r="Q74" s="74"/>
      <c r="R74" s="74"/>
      <c r="S74" s="74"/>
      <c r="T74" s="74"/>
      <c r="U74" s="74"/>
      <c r="V74" s="74"/>
    </row>
    <row r="75" spans="1:22" ht="22.5" customHeight="1">
      <c r="A75" s="70" t="s">
        <v>1065</v>
      </c>
      <c r="B75" s="70" t="s">
        <v>1066</v>
      </c>
      <c r="C75" s="70" t="s">
        <v>1067</v>
      </c>
      <c r="D75" s="70" t="s">
        <v>1068</v>
      </c>
      <c r="E75" s="71">
        <f t="shared" si="7"/>
        <v>26</v>
      </c>
      <c r="F75" s="71" t="s">
        <v>415</v>
      </c>
      <c r="G75" s="71">
        <v>10</v>
      </c>
      <c r="H75" s="72" t="str">
        <f t="shared" si="8"/>
        <v>T-10</v>
      </c>
      <c r="I75" s="70" t="s">
        <v>1069</v>
      </c>
      <c r="J75" s="70" t="s">
        <v>1070</v>
      </c>
      <c r="K75" s="73" t="str">
        <f t="shared" si="1"/>
        <v>2026</v>
      </c>
      <c r="L75" s="73" t="str">
        <f t="shared" si="2"/>
        <v>05</v>
      </c>
      <c r="M75" s="73" t="str">
        <f t="shared" si="3"/>
        <v>02</v>
      </c>
      <c r="N75" s="73" t="str">
        <f t="shared" si="4"/>
        <v>19:14:36</v>
      </c>
      <c r="O75" s="74"/>
      <c r="P75" s="74"/>
      <c r="Q75" s="74"/>
      <c r="R75" s="74"/>
      <c r="S75" s="74"/>
      <c r="T75" s="74"/>
      <c r="U75" s="74"/>
      <c r="V75" s="74"/>
    </row>
    <row r="76" spans="1:22" ht="22.5" customHeight="1">
      <c r="A76" s="70" t="s">
        <v>1071</v>
      </c>
      <c r="B76" s="70" t="s">
        <v>1072</v>
      </c>
      <c r="C76" s="70" t="s">
        <v>1073</v>
      </c>
      <c r="D76" s="70" t="s">
        <v>1074</v>
      </c>
      <c r="E76" s="71">
        <f t="shared" si="7"/>
        <v>18</v>
      </c>
      <c r="F76" s="71" t="s">
        <v>357</v>
      </c>
      <c r="G76" s="71">
        <v>7</v>
      </c>
      <c r="H76" s="72" t="str">
        <f t="shared" si="8"/>
        <v>P-7</v>
      </c>
      <c r="I76" s="75"/>
      <c r="J76" s="70" t="s">
        <v>1075</v>
      </c>
      <c r="K76" s="73" t="str">
        <f t="shared" si="1"/>
        <v>2026</v>
      </c>
      <c r="L76" s="73" t="str">
        <f t="shared" si="2"/>
        <v>05</v>
      </c>
      <c r="M76" s="73" t="str">
        <f t="shared" si="3"/>
        <v>02</v>
      </c>
      <c r="N76" s="73" t="str">
        <f t="shared" si="4"/>
        <v>19:12:56</v>
      </c>
      <c r="O76" s="74"/>
      <c r="P76" s="74"/>
      <c r="Q76" s="74"/>
      <c r="R76" s="74"/>
      <c r="S76" s="74"/>
      <c r="T76" s="74"/>
      <c r="U76" s="74"/>
      <c r="V76" s="74"/>
    </row>
    <row r="77" spans="1:22" ht="22.5" customHeight="1">
      <c r="A77" s="70" t="s">
        <v>1076</v>
      </c>
      <c r="B77" s="70" t="s">
        <v>1077</v>
      </c>
      <c r="C77" s="70" t="s">
        <v>1078</v>
      </c>
      <c r="D77" s="70" t="s">
        <v>1079</v>
      </c>
      <c r="E77" s="71">
        <f t="shared" si="7"/>
        <v>9</v>
      </c>
      <c r="F77" s="71" t="s">
        <v>53</v>
      </c>
      <c r="G77" s="71">
        <v>13</v>
      </c>
      <c r="H77" s="72" t="str">
        <f t="shared" si="8"/>
        <v>B-13</v>
      </c>
      <c r="I77" s="70" t="s">
        <v>1080</v>
      </c>
      <c r="J77" s="70" t="s">
        <v>1081</v>
      </c>
      <c r="K77" s="73" t="str">
        <f t="shared" si="1"/>
        <v>2026</v>
      </c>
      <c r="L77" s="73" t="str">
        <f t="shared" si="2"/>
        <v>05</v>
      </c>
      <c r="M77" s="73" t="str">
        <f t="shared" si="3"/>
        <v>02</v>
      </c>
      <c r="N77" s="73" t="str">
        <f t="shared" si="4"/>
        <v>19:12:51</v>
      </c>
      <c r="O77" s="74"/>
      <c r="P77" s="74"/>
      <c r="Q77" s="74"/>
      <c r="R77" s="74"/>
      <c r="S77" s="74"/>
      <c r="T77" s="74"/>
      <c r="U77" s="74"/>
      <c r="V77" s="74"/>
    </row>
    <row r="78" spans="1:22" ht="22.5" customHeight="1">
      <c r="A78" s="70" t="s">
        <v>1082</v>
      </c>
      <c r="B78" s="70" t="s">
        <v>1083</v>
      </c>
      <c r="C78" s="70" t="s">
        <v>1084</v>
      </c>
      <c r="D78" s="70" t="s">
        <v>1085</v>
      </c>
      <c r="E78" s="71">
        <f t="shared" si="7"/>
        <v>24</v>
      </c>
      <c r="F78" s="71" t="s">
        <v>458</v>
      </c>
      <c r="G78" s="71">
        <v>5</v>
      </c>
      <c r="H78" s="72" t="str">
        <f t="shared" si="8"/>
        <v>W-5</v>
      </c>
      <c r="I78" s="70" t="s">
        <v>1086</v>
      </c>
      <c r="J78" s="70" t="s">
        <v>1087</v>
      </c>
      <c r="K78" s="73" t="str">
        <f t="shared" si="1"/>
        <v>2026</v>
      </c>
      <c r="L78" s="73" t="str">
        <f t="shared" si="2"/>
        <v>05</v>
      </c>
      <c r="M78" s="73" t="str">
        <f t="shared" si="3"/>
        <v>02</v>
      </c>
      <c r="N78" s="73" t="str">
        <f t="shared" si="4"/>
        <v>19:11:00</v>
      </c>
      <c r="O78" s="74"/>
      <c r="P78" s="74"/>
      <c r="Q78" s="74"/>
      <c r="R78" s="74"/>
      <c r="S78" s="74"/>
      <c r="T78" s="74"/>
      <c r="U78" s="74"/>
      <c r="V78" s="74"/>
    </row>
    <row r="79" spans="1:22" ht="22.5" customHeight="1">
      <c r="A79" s="70" t="s">
        <v>1088</v>
      </c>
      <c r="B79" s="70" t="s">
        <v>1089</v>
      </c>
      <c r="C79" s="70" t="s">
        <v>1090</v>
      </c>
      <c r="D79" s="70" t="s">
        <v>1091</v>
      </c>
      <c r="E79" s="71">
        <f t="shared" si="7"/>
        <v>16</v>
      </c>
      <c r="F79" s="71" t="s">
        <v>441</v>
      </c>
      <c r="G79" s="71">
        <v>8</v>
      </c>
      <c r="H79" s="72" t="str">
        <f t="shared" si="8"/>
        <v>V-8</v>
      </c>
      <c r="I79" s="70" t="s">
        <v>1092</v>
      </c>
      <c r="J79" s="70" t="s">
        <v>1093</v>
      </c>
      <c r="K79" s="73" t="str">
        <f t="shared" si="1"/>
        <v>2026</v>
      </c>
      <c r="L79" s="73" t="str">
        <f t="shared" si="2"/>
        <v>05</v>
      </c>
      <c r="M79" s="73" t="str">
        <f t="shared" si="3"/>
        <v>02</v>
      </c>
      <c r="N79" s="73" t="str">
        <f t="shared" si="4"/>
        <v>19:06:54</v>
      </c>
      <c r="O79" s="74"/>
      <c r="P79" s="74"/>
      <c r="Q79" s="74"/>
      <c r="R79" s="74"/>
      <c r="S79" s="74"/>
      <c r="T79" s="74"/>
      <c r="U79" s="74"/>
      <c r="V79" s="74"/>
    </row>
    <row r="80" spans="1:22" ht="22.5" customHeight="1">
      <c r="A80" s="70" t="s">
        <v>1094</v>
      </c>
      <c r="B80" s="70" t="s">
        <v>1095</v>
      </c>
      <c r="C80" s="70" t="s">
        <v>1096</v>
      </c>
      <c r="D80" s="70" t="s">
        <v>1097</v>
      </c>
      <c r="E80" s="71">
        <f t="shared" si="7"/>
        <v>80</v>
      </c>
      <c r="F80" s="71" t="s">
        <v>378</v>
      </c>
      <c r="G80" s="71">
        <v>6</v>
      </c>
      <c r="H80" s="72" t="str">
        <f t="shared" si="8"/>
        <v>Q-6</v>
      </c>
      <c r="I80" s="70" t="s">
        <v>1098</v>
      </c>
      <c r="J80" s="70" t="s">
        <v>1099</v>
      </c>
      <c r="K80" s="73" t="str">
        <f t="shared" si="1"/>
        <v>2026</v>
      </c>
      <c r="L80" s="73" t="str">
        <f t="shared" si="2"/>
        <v>05</v>
      </c>
      <c r="M80" s="73" t="str">
        <f t="shared" si="3"/>
        <v>02</v>
      </c>
      <c r="N80" s="73" t="str">
        <f t="shared" si="4"/>
        <v>19:05:43</v>
      </c>
      <c r="O80" s="74"/>
      <c r="P80" s="74"/>
      <c r="Q80" s="74"/>
      <c r="R80" s="74"/>
      <c r="S80" s="74"/>
      <c r="T80" s="74"/>
      <c r="U80" s="74"/>
      <c r="V80" s="74"/>
    </row>
    <row r="81" spans="1:22" ht="22.5" customHeight="1">
      <c r="A81" s="70" t="s">
        <v>1100</v>
      </c>
      <c r="B81" s="70" t="s">
        <v>1101</v>
      </c>
      <c r="C81" s="70" t="s">
        <v>1102</v>
      </c>
      <c r="D81" s="70" t="s">
        <v>1103</v>
      </c>
      <c r="E81" s="71">
        <f t="shared" si="7"/>
        <v>48</v>
      </c>
      <c r="F81" s="71" t="s">
        <v>284</v>
      </c>
      <c r="G81" s="71">
        <v>14</v>
      </c>
      <c r="H81" s="72" t="str">
        <f t="shared" si="8"/>
        <v>L-14</v>
      </c>
      <c r="I81" s="75"/>
      <c r="J81" s="70" t="s">
        <v>1104</v>
      </c>
      <c r="K81" s="73" t="str">
        <f t="shared" si="1"/>
        <v>2026</v>
      </c>
      <c r="L81" s="73" t="str">
        <f t="shared" si="2"/>
        <v>05</v>
      </c>
      <c r="M81" s="73" t="str">
        <f t="shared" si="3"/>
        <v>02</v>
      </c>
      <c r="N81" s="73" t="str">
        <f t="shared" si="4"/>
        <v>19:05:17</v>
      </c>
      <c r="O81" s="74"/>
      <c r="P81" s="74"/>
      <c r="Q81" s="74"/>
      <c r="R81" s="74"/>
      <c r="S81" s="74"/>
      <c r="T81" s="74"/>
      <c r="U81" s="74"/>
      <c r="V81" s="74"/>
    </row>
    <row r="82" spans="1:22" ht="22.5" customHeight="1">
      <c r="A82" s="70" t="s">
        <v>1105</v>
      </c>
      <c r="B82" s="70" t="s">
        <v>1106</v>
      </c>
      <c r="C82" s="70" t="s">
        <v>1107</v>
      </c>
      <c r="D82" s="70" t="s">
        <v>1108</v>
      </c>
      <c r="E82" s="71">
        <f t="shared" si="7"/>
        <v>17</v>
      </c>
      <c r="F82" s="71" t="s">
        <v>545</v>
      </c>
      <c r="G82" s="71">
        <v>1</v>
      </c>
      <c r="H82" s="72" t="str">
        <f t="shared" si="8"/>
        <v>C1-1</v>
      </c>
      <c r="I82" s="70" t="s">
        <v>1109</v>
      </c>
      <c r="J82" s="70" t="s">
        <v>1110</v>
      </c>
      <c r="K82" s="73" t="str">
        <f t="shared" si="1"/>
        <v>2026</v>
      </c>
      <c r="L82" s="73" t="str">
        <f t="shared" si="2"/>
        <v>05</v>
      </c>
      <c r="M82" s="73" t="str">
        <f t="shared" si="3"/>
        <v>02</v>
      </c>
      <c r="N82" s="73" t="str">
        <f t="shared" si="4"/>
        <v>19:05:01</v>
      </c>
      <c r="O82" s="74"/>
      <c r="P82" s="74"/>
      <c r="Q82" s="74"/>
      <c r="R82" s="74"/>
      <c r="S82" s="74"/>
      <c r="T82" s="74"/>
      <c r="U82" s="74"/>
      <c r="V82" s="74"/>
    </row>
    <row r="83" spans="1:22" ht="22.5" customHeight="1">
      <c r="A83" s="70" t="s">
        <v>1111</v>
      </c>
      <c r="B83" s="70" t="s">
        <v>1112</v>
      </c>
      <c r="C83" s="70" t="s">
        <v>1113</v>
      </c>
      <c r="D83" s="70" t="s">
        <v>1114</v>
      </c>
      <c r="E83" s="71">
        <f t="shared" si="7"/>
        <v>26</v>
      </c>
      <c r="F83" s="71" t="s">
        <v>177</v>
      </c>
      <c r="G83" s="71">
        <v>21</v>
      </c>
      <c r="H83" s="72" t="str">
        <f t="shared" si="8"/>
        <v>G-21</v>
      </c>
      <c r="I83" s="75"/>
      <c r="J83" s="70" t="s">
        <v>1115</v>
      </c>
      <c r="K83" s="73" t="str">
        <f t="shared" si="1"/>
        <v>2026</v>
      </c>
      <c r="L83" s="73" t="str">
        <f t="shared" si="2"/>
        <v>05</v>
      </c>
      <c r="M83" s="73" t="str">
        <f t="shared" si="3"/>
        <v>02</v>
      </c>
      <c r="N83" s="73" t="str">
        <f t="shared" si="4"/>
        <v>19:02:55</v>
      </c>
      <c r="O83" s="74"/>
      <c r="P83" s="74"/>
      <c r="Q83" s="74"/>
      <c r="R83" s="74"/>
      <c r="S83" s="74"/>
      <c r="T83" s="74"/>
      <c r="U83" s="74"/>
      <c r="V83" s="74"/>
    </row>
    <row r="84" spans="1:22" ht="22.5" customHeight="1">
      <c r="A84" s="70" t="s">
        <v>1116</v>
      </c>
      <c r="B84" s="70" t="s">
        <v>1117</v>
      </c>
      <c r="C84" s="70" t="s">
        <v>1118</v>
      </c>
      <c r="D84" s="70" t="s">
        <v>1119</v>
      </c>
      <c r="E84" s="71">
        <f t="shared" si="7"/>
        <v>8</v>
      </c>
      <c r="F84" s="71" t="s">
        <v>519</v>
      </c>
      <c r="G84" s="71">
        <v>12</v>
      </c>
      <c r="H84" s="72" t="str">
        <f t="shared" si="8"/>
        <v>A1-12</v>
      </c>
      <c r="I84" s="70" t="s">
        <v>1120</v>
      </c>
      <c r="J84" s="70" t="s">
        <v>1121</v>
      </c>
      <c r="K84" s="73" t="str">
        <f t="shared" si="1"/>
        <v>2026</v>
      </c>
      <c r="L84" s="73" t="str">
        <f t="shared" si="2"/>
        <v>05</v>
      </c>
      <c r="M84" s="73" t="str">
        <f t="shared" si="3"/>
        <v>02</v>
      </c>
      <c r="N84" s="73" t="str">
        <f t="shared" si="4"/>
        <v>19:01:25</v>
      </c>
      <c r="O84" s="74"/>
      <c r="P84" s="74"/>
      <c r="Q84" s="74"/>
      <c r="R84" s="74"/>
      <c r="S84" s="74"/>
      <c r="T84" s="74"/>
      <c r="U84" s="74"/>
      <c r="V84" s="74"/>
    </row>
    <row r="85" spans="1:22" ht="22.5" customHeight="1">
      <c r="A85" s="70" t="s">
        <v>1122</v>
      </c>
      <c r="B85" s="70" t="s">
        <v>1123</v>
      </c>
      <c r="C85" s="70" t="s">
        <v>1124</v>
      </c>
      <c r="D85" s="70" t="s">
        <v>1125</v>
      </c>
      <c r="E85" s="71">
        <f t="shared" si="7"/>
        <v>20</v>
      </c>
      <c r="F85" s="71" t="s">
        <v>327</v>
      </c>
      <c r="G85" s="71">
        <v>7</v>
      </c>
      <c r="H85" s="72" t="str">
        <f t="shared" si="8"/>
        <v>O-7</v>
      </c>
      <c r="I85" s="70" t="s">
        <v>1126</v>
      </c>
      <c r="J85" s="70" t="s">
        <v>1127</v>
      </c>
      <c r="K85" s="73" t="str">
        <f t="shared" si="1"/>
        <v>2026</v>
      </c>
      <c r="L85" s="73" t="str">
        <f t="shared" si="2"/>
        <v>05</v>
      </c>
      <c r="M85" s="73" t="str">
        <f t="shared" si="3"/>
        <v>02</v>
      </c>
      <c r="N85" s="73" t="str">
        <f t="shared" si="4"/>
        <v>19:00:36</v>
      </c>
      <c r="O85" s="74"/>
      <c r="P85" s="74"/>
      <c r="Q85" s="74"/>
      <c r="R85" s="74"/>
      <c r="S85" s="74"/>
      <c r="T85" s="74"/>
      <c r="U85" s="74"/>
      <c r="V85" s="74"/>
    </row>
    <row r="86" spans="1:22" ht="22.5" customHeight="1">
      <c r="A86" s="70" t="s">
        <v>1128</v>
      </c>
      <c r="B86" s="70" t="s">
        <v>1129</v>
      </c>
      <c r="C86" s="70" t="s">
        <v>1130</v>
      </c>
      <c r="D86" s="70" t="s">
        <v>1131</v>
      </c>
      <c r="E86" s="71">
        <f t="shared" si="7"/>
        <v>18</v>
      </c>
      <c r="F86" s="71" t="s">
        <v>327</v>
      </c>
      <c r="G86" s="71">
        <v>27</v>
      </c>
      <c r="H86" s="72" t="str">
        <f t="shared" si="8"/>
        <v>O-27</v>
      </c>
      <c r="I86" s="70" t="s">
        <v>1132</v>
      </c>
      <c r="J86" s="70" t="s">
        <v>1133</v>
      </c>
      <c r="K86" s="73" t="str">
        <f t="shared" si="1"/>
        <v>2026</v>
      </c>
      <c r="L86" s="73" t="str">
        <f t="shared" si="2"/>
        <v>05</v>
      </c>
      <c r="M86" s="73" t="str">
        <f t="shared" si="3"/>
        <v>02</v>
      </c>
      <c r="N86" s="73" t="str">
        <f t="shared" si="4"/>
        <v>18:59:50</v>
      </c>
      <c r="O86" s="74"/>
      <c r="P86" s="74"/>
      <c r="Q86" s="74"/>
      <c r="R86" s="74"/>
      <c r="S86" s="74"/>
      <c r="T86" s="74"/>
      <c r="U86" s="74"/>
      <c r="V86" s="74"/>
    </row>
    <row r="87" spans="1:22" ht="22.5" customHeight="1">
      <c r="A87" s="70" t="s">
        <v>1134</v>
      </c>
      <c r="B87" s="70" t="s">
        <v>1135</v>
      </c>
      <c r="C87" s="70" t="s">
        <v>1136</v>
      </c>
      <c r="D87" s="70" t="s">
        <v>1137</v>
      </c>
      <c r="E87" s="71">
        <f t="shared" si="7"/>
        <v>37</v>
      </c>
      <c r="F87" s="71" t="s">
        <v>327</v>
      </c>
      <c r="G87" s="71">
        <v>6</v>
      </c>
      <c r="H87" s="72" t="str">
        <f t="shared" si="8"/>
        <v>O-6</v>
      </c>
      <c r="I87" s="70" t="s">
        <v>1138</v>
      </c>
      <c r="J87" s="70" t="s">
        <v>1139</v>
      </c>
      <c r="K87" s="73" t="str">
        <f t="shared" si="1"/>
        <v>2026</v>
      </c>
      <c r="L87" s="73" t="str">
        <f t="shared" si="2"/>
        <v>05</v>
      </c>
      <c r="M87" s="73" t="str">
        <f t="shared" si="3"/>
        <v>02</v>
      </c>
      <c r="N87" s="73" t="str">
        <f t="shared" si="4"/>
        <v>18:59:23</v>
      </c>
      <c r="O87" s="74"/>
      <c r="P87" s="74"/>
      <c r="Q87" s="74"/>
      <c r="R87" s="74"/>
      <c r="S87" s="74"/>
      <c r="T87" s="74"/>
      <c r="U87" s="74"/>
      <c r="V87" s="74"/>
    </row>
    <row r="88" spans="1:22" ht="22.5" customHeight="1">
      <c r="A88" s="70" t="s">
        <v>1140</v>
      </c>
      <c r="B88" s="70" t="s">
        <v>1141</v>
      </c>
      <c r="C88" s="70" t="s">
        <v>1142</v>
      </c>
      <c r="D88" s="70" t="s">
        <v>1143</v>
      </c>
      <c r="E88" s="71">
        <f t="shared" si="7"/>
        <v>23</v>
      </c>
      <c r="F88" s="71" t="s">
        <v>415</v>
      </c>
      <c r="G88" s="71">
        <v>16</v>
      </c>
      <c r="H88" s="72" t="str">
        <f t="shared" si="8"/>
        <v>T-16</v>
      </c>
      <c r="I88" s="75"/>
      <c r="J88" s="70" t="s">
        <v>1144</v>
      </c>
      <c r="K88" s="73" t="str">
        <f t="shared" si="1"/>
        <v>2026</v>
      </c>
      <c r="L88" s="73" t="str">
        <f t="shared" si="2"/>
        <v>05</v>
      </c>
      <c r="M88" s="73" t="str">
        <f t="shared" si="3"/>
        <v>02</v>
      </c>
      <c r="N88" s="73" t="str">
        <f t="shared" si="4"/>
        <v>18:53:24</v>
      </c>
      <c r="O88" s="74"/>
      <c r="P88" s="74"/>
      <c r="Q88" s="74"/>
      <c r="R88" s="74"/>
      <c r="S88" s="74"/>
      <c r="T88" s="74"/>
      <c r="U88" s="74"/>
      <c r="V88" s="74"/>
    </row>
    <row r="89" spans="1:22" ht="22.5" customHeight="1">
      <c r="A89" s="70" t="s">
        <v>1145</v>
      </c>
      <c r="B89" s="70" t="s">
        <v>1146</v>
      </c>
      <c r="C89" s="70" t="s">
        <v>1147</v>
      </c>
      <c r="D89" s="70" t="s">
        <v>1148</v>
      </c>
      <c r="E89" s="71">
        <f t="shared" si="7"/>
        <v>17</v>
      </c>
      <c r="F89" s="71" t="s">
        <v>473</v>
      </c>
      <c r="G89" s="71">
        <v>3</v>
      </c>
      <c r="H89" s="72" t="str">
        <f t="shared" si="8"/>
        <v>X-3</v>
      </c>
      <c r="I89" s="70" t="s">
        <v>1149</v>
      </c>
      <c r="J89" s="70" t="s">
        <v>1150</v>
      </c>
      <c r="K89" s="73" t="str">
        <f t="shared" si="1"/>
        <v>2026</v>
      </c>
      <c r="L89" s="73" t="str">
        <f t="shared" si="2"/>
        <v>05</v>
      </c>
      <c r="M89" s="73" t="str">
        <f t="shared" si="3"/>
        <v>02</v>
      </c>
      <c r="N89" s="73" t="str">
        <f t="shared" si="4"/>
        <v>18:52:31</v>
      </c>
      <c r="O89" s="74"/>
      <c r="P89" s="74"/>
      <c r="Q89" s="74"/>
      <c r="R89" s="74"/>
      <c r="S89" s="74"/>
      <c r="T89" s="74"/>
      <c r="U89" s="74"/>
      <c r="V89" s="74"/>
    </row>
    <row r="90" spans="1:22" ht="22.5" customHeight="1">
      <c r="A90" s="70" t="s">
        <v>1151</v>
      </c>
      <c r="B90" s="70" t="s">
        <v>1152</v>
      </c>
      <c r="C90" s="70" t="s">
        <v>1153</v>
      </c>
      <c r="D90" s="70" t="s">
        <v>1154</v>
      </c>
      <c r="E90" s="71">
        <f t="shared" si="7"/>
        <v>9</v>
      </c>
      <c r="F90" s="71" t="s">
        <v>473</v>
      </c>
      <c r="G90" s="71">
        <v>21</v>
      </c>
      <c r="H90" s="72" t="str">
        <f t="shared" si="8"/>
        <v>X-21</v>
      </c>
      <c r="I90" s="70" t="s">
        <v>1155</v>
      </c>
      <c r="J90" s="70" t="s">
        <v>1156</v>
      </c>
      <c r="K90" s="73" t="str">
        <f t="shared" si="1"/>
        <v>2026</v>
      </c>
      <c r="L90" s="73" t="str">
        <f t="shared" si="2"/>
        <v>05</v>
      </c>
      <c r="M90" s="73" t="str">
        <f t="shared" si="3"/>
        <v>02</v>
      </c>
      <c r="N90" s="73" t="str">
        <f t="shared" si="4"/>
        <v>18:42:38</v>
      </c>
      <c r="O90" s="74"/>
      <c r="P90" s="74"/>
      <c r="Q90" s="74"/>
      <c r="R90" s="74"/>
      <c r="S90" s="74"/>
      <c r="T90" s="74"/>
      <c r="U90" s="74"/>
      <c r="V90" s="74"/>
    </row>
    <row r="91" spans="1:22" ht="22.5" customHeight="1">
      <c r="A91" s="70" t="s">
        <v>1157</v>
      </c>
      <c r="B91" s="70" t="s">
        <v>1158</v>
      </c>
      <c r="C91" s="70" t="s">
        <v>1159</v>
      </c>
      <c r="D91" s="70" t="s">
        <v>1160</v>
      </c>
      <c r="E91" s="71">
        <f t="shared" si="7"/>
        <v>64</v>
      </c>
      <c r="F91" s="71" t="s">
        <v>205</v>
      </c>
      <c r="G91" s="71">
        <v>21</v>
      </c>
      <c r="H91" s="72" t="str">
        <f t="shared" si="8"/>
        <v>H-21</v>
      </c>
      <c r="I91" s="70" t="s">
        <v>1161</v>
      </c>
      <c r="J91" s="70" t="s">
        <v>1162</v>
      </c>
      <c r="K91" s="73" t="str">
        <f t="shared" si="1"/>
        <v>2026</v>
      </c>
      <c r="L91" s="73" t="str">
        <f t="shared" si="2"/>
        <v>05</v>
      </c>
      <c r="M91" s="73" t="str">
        <f t="shared" si="3"/>
        <v>02</v>
      </c>
      <c r="N91" s="73" t="str">
        <f t="shared" si="4"/>
        <v>18:41:39</v>
      </c>
      <c r="O91" s="74"/>
      <c r="P91" s="74"/>
      <c r="Q91" s="74"/>
      <c r="R91" s="74"/>
      <c r="S91" s="74"/>
      <c r="T91" s="74"/>
      <c r="U91" s="74"/>
      <c r="V91" s="74"/>
    </row>
    <row r="92" spans="1:22" ht="22.5" customHeight="1">
      <c r="A92" s="70" t="s">
        <v>1163</v>
      </c>
      <c r="B92" s="70" t="s">
        <v>1164</v>
      </c>
      <c r="C92" s="70" t="s">
        <v>1165</v>
      </c>
      <c r="D92" s="70" t="s">
        <v>1166</v>
      </c>
      <c r="E92" s="71">
        <f t="shared" si="7"/>
        <v>20</v>
      </c>
      <c r="F92" s="71" t="s">
        <v>357</v>
      </c>
      <c r="G92" s="71">
        <v>19</v>
      </c>
      <c r="H92" s="72" t="str">
        <f t="shared" si="8"/>
        <v>P-19</v>
      </c>
      <c r="I92" s="70" t="s">
        <v>1167</v>
      </c>
      <c r="J92" s="70" t="s">
        <v>1168</v>
      </c>
      <c r="K92" s="73" t="str">
        <f t="shared" si="1"/>
        <v>2026</v>
      </c>
      <c r="L92" s="73" t="str">
        <f t="shared" si="2"/>
        <v>05</v>
      </c>
      <c r="M92" s="73" t="str">
        <f t="shared" si="3"/>
        <v>02</v>
      </c>
      <c r="N92" s="73" t="str">
        <f t="shared" si="4"/>
        <v>18:41:21</v>
      </c>
      <c r="O92" s="74"/>
      <c r="P92" s="74"/>
      <c r="Q92" s="74"/>
      <c r="R92" s="74"/>
      <c r="S92" s="74"/>
      <c r="T92" s="74"/>
      <c r="U92" s="74"/>
      <c r="V92" s="74"/>
    </row>
    <row r="93" spans="1:22" ht="22.5" customHeight="1">
      <c r="A93" s="70" t="s">
        <v>1169</v>
      </c>
      <c r="B93" s="70" t="s">
        <v>1170</v>
      </c>
      <c r="C93" s="70" t="s">
        <v>1171</v>
      </c>
      <c r="D93" s="70" t="s">
        <v>1172</v>
      </c>
      <c r="E93" s="71">
        <f t="shared" si="7"/>
        <v>14</v>
      </c>
      <c r="F93" s="71" t="s">
        <v>144</v>
      </c>
      <c r="G93" s="71">
        <v>13</v>
      </c>
      <c r="H93" s="72" t="str">
        <f t="shared" si="8"/>
        <v>E-13</v>
      </c>
      <c r="I93" s="70" t="s">
        <v>1173</v>
      </c>
      <c r="J93" s="70" t="s">
        <v>1174</v>
      </c>
      <c r="K93" s="73" t="str">
        <f t="shared" si="1"/>
        <v>2026</v>
      </c>
      <c r="L93" s="73" t="str">
        <f t="shared" si="2"/>
        <v>05</v>
      </c>
      <c r="M93" s="73" t="str">
        <f t="shared" si="3"/>
        <v>02</v>
      </c>
      <c r="N93" s="73" t="str">
        <f t="shared" si="4"/>
        <v>18:40:46</v>
      </c>
      <c r="O93" s="74"/>
      <c r="P93" s="74"/>
      <c r="Q93" s="74"/>
      <c r="R93" s="74"/>
      <c r="S93" s="74"/>
      <c r="T93" s="74"/>
      <c r="U93" s="74"/>
      <c r="V93" s="74"/>
    </row>
    <row r="94" spans="1:22" ht="22.5" customHeight="1">
      <c r="A94" s="70" t="s">
        <v>1175</v>
      </c>
      <c r="B94" s="70" t="s">
        <v>1176</v>
      </c>
      <c r="C94" s="70" t="s">
        <v>1177</v>
      </c>
      <c r="D94" s="70" t="s">
        <v>1178</v>
      </c>
      <c r="E94" s="71">
        <f t="shared" si="7"/>
        <v>8</v>
      </c>
      <c r="F94" s="71" t="s">
        <v>144</v>
      </c>
      <c r="G94" s="71">
        <v>19</v>
      </c>
      <c r="H94" s="72" t="str">
        <f t="shared" si="8"/>
        <v>E-19</v>
      </c>
      <c r="I94" s="70" t="s">
        <v>1179</v>
      </c>
      <c r="J94" s="70" t="s">
        <v>1180</v>
      </c>
      <c r="K94" s="73" t="str">
        <f t="shared" si="1"/>
        <v>2026</v>
      </c>
      <c r="L94" s="73" t="str">
        <f t="shared" si="2"/>
        <v>05</v>
      </c>
      <c r="M94" s="73" t="str">
        <f t="shared" si="3"/>
        <v>02</v>
      </c>
      <c r="N94" s="73" t="str">
        <f t="shared" si="4"/>
        <v>18:39:22</v>
      </c>
      <c r="O94" s="74"/>
      <c r="P94" s="74"/>
      <c r="Q94" s="74"/>
      <c r="R94" s="74"/>
      <c r="S94" s="74"/>
      <c r="T94" s="74"/>
      <c r="U94" s="74"/>
      <c r="V94" s="74"/>
    </row>
    <row r="95" spans="1:22" ht="22.5" customHeight="1">
      <c r="A95" s="70" t="s">
        <v>1181</v>
      </c>
      <c r="B95" s="70" t="s">
        <v>1182</v>
      </c>
      <c r="C95" s="70" t="s">
        <v>1183</v>
      </c>
      <c r="D95" s="70" t="s">
        <v>1184</v>
      </c>
      <c r="E95" s="71">
        <f t="shared" si="7"/>
        <v>90</v>
      </c>
      <c r="F95" s="71" t="s">
        <v>299</v>
      </c>
      <c r="G95" s="71">
        <v>21</v>
      </c>
      <c r="H95" s="72" t="str">
        <f t="shared" si="8"/>
        <v>M-21</v>
      </c>
      <c r="I95" s="75"/>
      <c r="J95" s="70" t="s">
        <v>1185</v>
      </c>
      <c r="K95" s="73" t="str">
        <f t="shared" si="1"/>
        <v>2026</v>
      </c>
      <c r="L95" s="73" t="str">
        <f t="shared" si="2"/>
        <v>05</v>
      </c>
      <c r="M95" s="73" t="str">
        <f t="shared" si="3"/>
        <v>02</v>
      </c>
      <c r="N95" s="73" t="str">
        <f t="shared" si="4"/>
        <v>18:37:28</v>
      </c>
      <c r="O95" s="74"/>
      <c r="P95" s="74"/>
      <c r="Q95" s="74"/>
      <c r="R95" s="74"/>
      <c r="S95" s="74"/>
      <c r="T95" s="74"/>
      <c r="U95" s="74"/>
      <c r="V95" s="74"/>
    </row>
    <row r="96" spans="1:22" ht="22.5" customHeight="1">
      <c r="A96" s="70" t="s">
        <v>1186</v>
      </c>
      <c r="B96" s="70" t="s">
        <v>1187</v>
      </c>
      <c r="C96" s="70" t="s">
        <v>1188</v>
      </c>
      <c r="D96" s="70" t="s">
        <v>1189</v>
      </c>
      <c r="E96" s="71">
        <f t="shared" si="7"/>
        <v>36</v>
      </c>
      <c r="F96" s="71" t="s">
        <v>284</v>
      </c>
      <c r="G96" s="71">
        <v>1</v>
      </c>
      <c r="H96" s="72" t="str">
        <f t="shared" si="8"/>
        <v>L-1</v>
      </c>
      <c r="I96" s="70" t="s">
        <v>1190</v>
      </c>
      <c r="J96" s="70" t="s">
        <v>1191</v>
      </c>
      <c r="K96" s="73" t="str">
        <f t="shared" si="1"/>
        <v>2026</v>
      </c>
      <c r="L96" s="73" t="str">
        <f t="shared" si="2"/>
        <v>05</v>
      </c>
      <c r="M96" s="73" t="str">
        <f t="shared" si="3"/>
        <v>02</v>
      </c>
      <c r="N96" s="73" t="str">
        <f t="shared" si="4"/>
        <v>18:33:17</v>
      </c>
      <c r="O96" s="74"/>
      <c r="P96" s="74"/>
      <c r="Q96" s="74"/>
      <c r="R96" s="74"/>
      <c r="S96" s="74"/>
      <c r="T96" s="74"/>
      <c r="U96" s="74"/>
      <c r="V96" s="74"/>
    </row>
    <row r="97" spans="1:22" ht="22.5" customHeight="1">
      <c r="A97" s="70" t="s">
        <v>1192</v>
      </c>
      <c r="B97" s="70" t="s">
        <v>1193</v>
      </c>
      <c r="C97" s="70" t="s">
        <v>1194</v>
      </c>
      <c r="D97" s="70" t="s">
        <v>1195</v>
      </c>
      <c r="E97" s="71">
        <f t="shared" si="7"/>
        <v>108</v>
      </c>
      <c r="F97" s="71" t="s">
        <v>125</v>
      </c>
      <c r="G97" s="71">
        <v>6</v>
      </c>
      <c r="H97" s="72" t="str">
        <f t="shared" si="8"/>
        <v>D-6</v>
      </c>
      <c r="I97" s="75"/>
      <c r="J97" s="70" t="s">
        <v>1196</v>
      </c>
      <c r="K97" s="73" t="str">
        <f t="shared" si="1"/>
        <v>2026</v>
      </c>
      <c r="L97" s="73" t="str">
        <f t="shared" si="2"/>
        <v>05</v>
      </c>
      <c r="M97" s="73" t="str">
        <f t="shared" si="3"/>
        <v>02</v>
      </c>
      <c r="N97" s="73" t="str">
        <f t="shared" si="4"/>
        <v>18:27:59</v>
      </c>
      <c r="O97" s="74"/>
      <c r="P97" s="74"/>
      <c r="Q97" s="74"/>
      <c r="R97" s="74"/>
      <c r="S97" s="74"/>
      <c r="T97" s="74"/>
      <c r="U97" s="74"/>
      <c r="V97" s="74"/>
    </row>
    <row r="98" spans="1:22" ht="22.5" customHeight="1">
      <c r="A98" s="70" t="s">
        <v>1197</v>
      </c>
      <c r="B98" s="70" t="s">
        <v>1198</v>
      </c>
      <c r="C98" s="70" t="s">
        <v>1199</v>
      </c>
      <c r="D98" s="70" t="s">
        <v>1200</v>
      </c>
      <c r="E98" s="71">
        <f t="shared" si="7"/>
        <v>29</v>
      </c>
      <c r="F98" s="71" t="s">
        <v>492</v>
      </c>
      <c r="G98" s="71">
        <v>9</v>
      </c>
      <c r="H98" s="72" t="str">
        <f t="shared" si="8"/>
        <v>Y-9</v>
      </c>
      <c r="I98" s="70" t="s">
        <v>1201</v>
      </c>
      <c r="J98" s="70" t="s">
        <v>1202</v>
      </c>
      <c r="K98" s="73" t="str">
        <f t="shared" si="1"/>
        <v>2026</v>
      </c>
      <c r="L98" s="73" t="str">
        <f t="shared" si="2"/>
        <v>05</v>
      </c>
      <c r="M98" s="73" t="str">
        <f t="shared" si="3"/>
        <v>02</v>
      </c>
      <c r="N98" s="73" t="str">
        <f t="shared" si="4"/>
        <v>18:20:42</v>
      </c>
      <c r="O98" s="74"/>
      <c r="P98" s="74"/>
      <c r="Q98" s="74"/>
      <c r="R98" s="74"/>
      <c r="S98" s="74"/>
      <c r="T98" s="74"/>
      <c r="U98" s="74"/>
      <c r="V98" s="74"/>
    </row>
    <row r="99" spans="1:22" ht="22.5" customHeight="1">
      <c r="A99" s="70" t="s">
        <v>1203</v>
      </c>
      <c r="B99" s="70" t="s">
        <v>1204</v>
      </c>
      <c r="C99" s="70" t="s">
        <v>1205</v>
      </c>
      <c r="D99" s="70" t="s">
        <v>1206</v>
      </c>
      <c r="E99" s="71">
        <f t="shared" si="7"/>
        <v>24</v>
      </c>
      <c r="F99" s="71" t="s">
        <v>545</v>
      </c>
      <c r="G99" s="71">
        <v>5</v>
      </c>
      <c r="H99" s="72" t="str">
        <f t="shared" si="8"/>
        <v>C1-5</v>
      </c>
      <c r="I99" s="70" t="s">
        <v>1207</v>
      </c>
      <c r="J99" s="70" t="s">
        <v>1208</v>
      </c>
      <c r="K99" s="73" t="str">
        <f t="shared" si="1"/>
        <v>2026</v>
      </c>
      <c r="L99" s="73" t="str">
        <f t="shared" si="2"/>
        <v>05</v>
      </c>
      <c r="M99" s="73" t="str">
        <f t="shared" si="3"/>
        <v>02</v>
      </c>
      <c r="N99" s="73" t="str">
        <f t="shared" si="4"/>
        <v>18:18:22</v>
      </c>
      <c r="O99" s="74"/>
      <c r="P99" s="74"/>
      <c r="Q99" s="74"/>
      <c r="R99" s="74"/>
      <c r="S99" s="74"/>
      <c r="T99" s="74"/>
      <c r="U99" s="74"/>
      <c r="V99" s="74"/>
    </row>
    <row r="100" spans="1:22" ht="22.5" customHeight="1">
      <c r="A100" s="70" t="s">
        <v>1209</v>
      </c>
      <c r="B100" s="70" t="s">
        <v>1210</v>
      </c>
      <c r="C100" s="70" t="s">
        <v>1211</v>
      </c>
      <c r="D100" s="70" t="s">
        <v>1212</v>
      </c>
      <c r="E100" s="71">
        <f t="shared" si="7"/>
        <v>8</v>
      </c>
      <c r="F100" s="71" t="s">
        <v>299</v>
      </c>
      <c r="G100" s="71">
        <v>17</v>
      </c>
      <c r="H100" s="72" t="str">
        <f t="shared" si="8"/>
        <v>M-17</v>
      </c>
      <c r="I100" s="70" t="s">
        <v>1213</v>
      </c>
      <c r="J100" s="70" t="s">
        <v>1214</v>
      </c>
      <c r="K100" s="73" t="str">
        <f t="shared" si="1"/>
        <v>2026</v>
      </c>
      <c r="L100" s="73" t="str">
        <f t="shared" si="2"/>
        <v>05</v>
      </c>
      <c r="M100" s="73" t="str">
        <f t="shared" si="3"/>
        <v>02</v>
      </c>
      <c r="N100" s="73" t="str">
        <f t="shared" si="4"/>
        <v>18:16:29</v>
      </c>
      <c r="O100" s="74"/>
      <c r="P100" s="74"/>
      <c r="Q100" s="74"/>
      <c r="R100" s="74"/>
      <c r="S100" s="74"/>
      <c r="T100" s="74"/>
      <c r="U100" s="74"/>
      <c r="V100" s="74"/>
    </row>
    <row r="101" spans="1:22" ht="22.5" customHeight="1">
      <c r="A101" s="70" t="s">
        <v>1215</v>
      </c>
      <c r="B101" s="70" t="s">
        <v>1216</v>
      </c>
      <c r="C101" s="70" t="s">
        <v>1217</v>
      </c>
      <c r="D101" s="70" t="s">
        <v>1218</v>
      </c>
      <c r="E101" s="71">
        <f t="shared" si="7"/>
        <v>132</v>
      </c>
      <c r="F101" s="71" t="s">
        <v>161</v>
      </c>
      <c r="G101" s="71">
        <v>7</v>
      </c>
      <c r="H101" s="72" t="str">
        <f t="shared" si="8"/>
        <v>F-7</v>
      </c>
      <c r="I101" s="70" t="s">
        <v>1219</v>
      </c>
      <c r="J101" s="70" t="s">
        <v>1220</v>
      </c>
      <c r="K101" s="73" t="str">
        <f t="shared" si="1"/>
        <v>2026</v>
      </c>
      <c r="L101" s="73" t="str">
        <f t="shared" si="2"/>
        <v>05</v>
      </c>
      <c r="M101" s="73" t="str">
        <f t="shared" si="3"/>
        <v>02</v>
      </c>
      <c r="N101" s="73" t="str">
        <f t="shared" si="4"/>
        <v>18:16:10</v>
      </c>
      <c r="O101" s="74"/>
      <c r="P101" s="74"/>
      <c r="Q101" s="74"/>
      <c r="R101" s="74"/>
      <c r="S101" s="74"/>
      <c r="T101" s="74"/>
      <c r="U101" s="74"/>
      <c r="V101" s="74"/>
    </row>
    <row r="102" spans="1:22" ht="22.5" customHeight="1">
      <c r="A102" s="70" t="s">
        <v>1221</v>
      </c>
      <c r="B102" s="70" t="s">
        <v>1222</v>
      </c>
      <c r="C102" s="70" t="s">
        <v>1223</v>
      </c>
      <c r="D102" s="70" t="s">
        <v>1224</v>
      </c>
      <c r="E102" s="71">
        <f t="shared" si="7"/>
        <v>12</v>
      </c>
      <c r="F102" s="71" t="s">
        <v>357</v>
      </c>
      <c r="G102" s="71">
        <v>17</v>
      </c>
      <c r="H102" s="72" t="str">
        <f t="shared" si="8"/>
        <v>P-17</v>
      </c>
      <c r="I102" s="70" t="s">
        <v>1225</v>
      </c>
      <c r="J102" s="70" t="s">
        <v>1226</v>
      </c>
      <c r="K102" s="73" t="str">
        <f t="shared" si="1"/>
        <v>2026</v>
      </c>
      <c r="L102" s="73" t="str">
        <f t="shared" si="2"/>
        <v>05</v>
      </c>
      <c r="M102" s="73" t="str">
        <f t="shared" si="3"/>
        <v>02</v>
      </c>
      <c r="N102" s="73" t="str">
        <f t="shared" si="4"/>
        <v>18:15:27</v>
      </c>
      <c r="O102" s="74"/>
      <c r="P102" s="74"/>
      <c r="Q102" s="74"/>
      <c r="R102" s="74"/>
      <c r="S102" s="74"/>
      <c r="T102" s="74"/>
      <c r="U102" s="74"/>
      <c r="V102" s="74"/>
    </row>
    <row r="103" spans="1:22" ht="22.5" customHeight="1">
      <c r="A103" s="70" t="s">
        <v>1227</v>
      </c>
      <c r="B103" s="70" t="s">
        <v>1228</v>
      </c>
      <c r="C103" s="70" t="s">
        <v>1229</v>
      </c>
      <c r="D103" s="70" t="s">
        <v>1230</v>
      </c>
      <c r="E103" s="71">
        <f t="shared" si="7"/>
        <v>52</v>
      </c>
      <c r="F103" s="71" t="s">
        <v>327</v>
      </c>
      <c r="G103" s="71">
        <v>9</v>
      </c>
      <c r="H103" s="72" t="str">
        <f t="shared" si="8"/>
        <v>O-9</v>
      </c>
      <c r="I103" s="70" t="s">
        <v>1231</v>
      </c>
      <c r="J103" s="70" t="s">
        <v>1232</v>
      </c>
      <c r="K103" s="73" t="str">
        <f t="shared" si="1"/>
        <v>2026</v>
      </c>
      <c r="L103" s="73" t="str">
        <f t="shared" si="2"/>
        <v>05</v>
      </c>
      <c r="M103" s="73" t="str">
        <f t="shared" si="3"/>
        <v>02</v>
      </c>
      <c r="N103" s="73" t="str">
        <f t="shared" si="4"/>
        <v>18:15:19</v>
      </c>
      <c r="O103" s="74"/>
      <c r="P103" s="74"/>
      <c r="Q103" s="74"/>
      <c r="R103" s="74"/>
      <c r="S103" s="74"/>
      <c r="T103" s="74"/>
      <c r="U103" s="74"/>
      <c r="V103" s="74"/>
    </row>
    <row r="104" spans="1:22" ht="22.5" customHeight="1">
      <c r="A104" s="70" t="s">
        <v>1233</v>
      </c>
      <c r="B104" s="70" t="s">
        <v>1234</v>
      </c>
      <c r="C104" s="70" t="s">
        <v>1235</v>
      </c>
      <c r="D104" s="70" t="s">
        <v>1236</v>
      </c>
      <c r="E104" s="71">
        <f t="shared" si="7"/>
        <v>50</v>
      </c>
      <c r="F104" s="71" t="s">
        <v>161</v>
      </c>
      <c r="G104" s="71">
        <v>9</v>
      </c>
      <c r="H104" s="72" t="str">
        <f t="shared" si="8"/>
        <v>F-9</v>
      </c>
      <c r="I104" s="70" t="s">
        <v>1237</v>
      </c>
      <c r="J104" s="70" t="s">
        <v>1238</v>
      </c>
      <c r="K104" s="73" t="str">
        <f t="shared" si="1"/>
        <v>2026</v>
      </c>
      <c r="L104" s="73" t="str">
        <f t="shared" si="2"/>
        <v>05</v>
      </c>
      <c r="M104" s="73" t="str">
        <f t="shared" si="3"/>
        <v>02</v>
      </c>
      <c r="N104" s="73" t="str">
        <f t="shared" si="4"/>
        <v>18:12:55</v>
      </c>
      <c r="O104" s="74"/>
      <c r="P104" s="74"/>
      <c r="Q104" s="74"/>
      <c r="R104" s="74"/>
      <c r="S104" s="74"/>
      <c r="T104" s="74"/>
      <c r="U104" s="74"/>
      <c r="V104" s="74"/>
    </row>
    <row r="105" spans="1:22" ht="22.5" customHeight="1">
      <c r="A105" s="70" t="s">
        <v>1239</v>
      </c>
      <c r="B105" s="70" t="s">
        <v>1240</v>
      </c>
      <c r="C105" s="70" t="s">
        <v>1241</v>
      </c>
      <c r="D105" s="70" t="s">
        <v>1242</v>
      </c>
      <c r="E105" s="71">
        <f t="shared" si="7"/>
        <v>8</v>
      </c>
      <c r="F105" s="71" t="s">
        <v>80</v>
      </c>
      <c r="G105" s="71">
        <v>26</v>
      </c>
      <c r="H105" s="72" t="str">
        <f t="shared" si="8"/>
        <v>C-26</v>
      </c>
      <c r="I105" s="70" t="s">
        <v>1243</v>
      </c>
      <c r="J105" s="70" t="s">
        <v>1244</v>
      </c>
      <c r="K105" s="73" t="str">
        <f t="shared" si="1"/>
        <v>2026</v>
      </c>
      <c r="L105" s="73" t="str">
        <f t="shared" si="2"/>
        <v>05</v>
      </c>
      <c r="M105" s="73" t="str">
        <f t="shared" si="3"/>
        <v>02</v>
      </c>
      <c r="N105" s="73" t="str">
        <f t="shared" si="4"/>
        <v>18:10:51</v>
      </c>
      <c r="O105" s="74"/>
      <c r="P105" s="74"/>
      <c r="Q105" s="74"/>
      <c r="R105" s="74"/>
      <c r="S105" s="74"/>
      <c r="T105" s="74"/>
      <c r="U105" s="74"/>
      <c r="V105" s="74"/>
    </row>
    <row r="106" spans="1:22" ht="22.5" customHeight="1">
      <c r="A106" s="70" t="s">
        <v>1245</v>
      </c>
      <c r="B106" s="70" t="s">
        <v>1246</v>
      </c>
      <c r="C106" s="70" t="s">
        <v>1247</v>
      </c>
      <c r="D106" s="70" t="s">
        <v>1248</v>
      </c>
      <c r="E106" s="71">
        <f t="shared" si="7"/>
        <v>37</v>
      </c>
      <c r="F106" s="71" t="s">
        <v>205</v>
      </c>
      <c r="G106" s="71">
        <v>5</v>
      </c>
      <c r="H106" s="72" t="str">
        <f t="shared" si="8"/>
        <v>H-5</v>
      </c>
      <c r="I106" s="75"/>
      <c r="J106" s="70" t="s">
        <v>1249</v>
      </c>
      <c r="K106" s="73" t="str">
        <f t="shared" si="1"/>
        <v>2026</v>
      </c>
      <c r="L106" s="73" t="str">
        <f t="shared" si="2"/>
        <v>05</v>
      </c>
      <c r="M106" s="73" t="str">
        <f t="shared" si="3"/>
        <v>02</v>
      </c>
      <c r="N106" s="73" t="str">
        <f t="shared" si="4"/>
        <v>18:07:03</v>
      </c>
      <c r="O106" s="74"/>
      <c r="P106" s="74"/>
      <c r="Q106" s="74"/>
      <c r="R106" s="74"/>
      <c r="S106" s="74"/>
      <c r="T106" s="74"/>
      <c r="U106" s="74"/>
      <c r="V106" s="74"/>
    </row>
    <row r="107" spans="1:22" ht="22.5" customHeight="1">
      <c r="A107" s="70" t="s">
        <v>1250</v>
      </c>
      <c r="B107" s="70" t="s">
        <v>1251</v>
      </c>
      <c r="C107" s="70" t="s">
        <v>1252</v>
      </c>
      <c r="D107" s="70" t="s">
        <v>1253</v>
      </c>
      <c r="E107" s="71">
        <f t="shared" si="7"/>
        <v>25</v>
      </c>
      <c r="F107" s="71" t="s">
        <v>80</v>
      </c>
      <c r="G107" s="71">
        <v>20</v>
      </c>
      <c r="H107" s="72" t="str">
        <f t="shared" si="8"/>
        <v>C-20</v>
      </c>
      <c r="I107" s="70" t="s">
        <v>1254</v>
      </c>
      <c r="J107" s="70" t="s">
        <v>1255</v>
      </c>
      <c r="K107" s="73" t="str">
        <f t="shared" si="1"/>
        <v>2026</v>
      </c>
      <c r="L107" s="73" t="str">
        <f t="shared" si="2"/>
        <v>05</v>
      </c>
      <c r="M107" s="73" t="str">
        <f t="shared" si="3"/>
        <v>02</v>
      </c>
      <c r="N107" s="73" t="str">
        <f t="shared" si="4"/>
        <v>18:00:22</v>
      </c>
      <c r="O107" s="74"/>
      <c r="P107" s="74"/>
      <c r="Q107" s="74"/>
      <c r="R107" s="74"/>
      <c r="S107" s="74"/>
      <c r="T107" s="74"/>
      <c r="U107" s="74"/>
      <c r="V107" s="74"/>
    </row>
    <row r="108" spans="1:22" ht="22.5" customHeight="1">
      <c r="A108" s="70" t="s">
        <v>1256</v>
      </c>
      <c r="B108" s="70" t="s">
        <v>1257</v>
      </c>
      <c r="C108" s="70" t="s">
        <v>1258</v>
      </c>
      <c r="D108" s="70" t="s">
        <v>1259</v>
      </c>
      <c r="E108" s="71">
        <f t="shared" si="7"/>
        <v>11</v>
      </c>
      <c r="F108" s="71" t="s">
        <v>357</v>
      </c>
      <c r="G108" s="71">
        <v>18</v>
      </c>
      <c r="H108" s="72" t="str">
        <f t="shared" si="8"/>
        <v>P-18</v>
      </c>
      <c r="I108" s="75"/>
      <c r="J108" s="70" t="s">
        <v>1260</v>
      </c>
      <c r="K108" s="73" t="str">
        <f t="shared" si="1"/>
        <v>2026</v>
      </c>
      <c r="L108" s="73" t="str">
        <f t="shared" si="2"/>
        <v>05</v>
      </c>
      <c r="M108" s="73" t="str">
        <f t="shared" si="3"/>
        <v>02</v>
      </c>
      <c r="N108" s="73" t="str">
        <f t="shared" si="4"/>
        <v>17:59:50</v>
      </c>
      <c r="O108" s="74"/>
      <c r="P108" s="74"/>
      <c r="Q108" s="74"/>
      <c r="R108" s="74"/>
      <c r="S108" s="74"/>
      <c r="T108" s="74"/>
      <c r="U108" s="74"/>
      <c r="V108" s="74"/>
    </row>
    <row r="109" spans="1:22" ht="22.5" customHeight="1">
      <c r="A109" s="70" t="s">
        <v>1261</v>
      </c>
      <c r="B109" s="70" t="s">
        <v>1262</v>
      </c>
      <c r="C109" s="70" t="s">
        <v>1263</v>
      </c>
      <c r="D109" s="70" t="s">
        <v>1264</v>
      </c>
      <c r="E109" s="71">
        <f t="shared" si="7"/>
        <v>20</v>
      </c>
      <c r="F109" s="71" t="s">
        <v>80</v>
      </c>
      <c r="G109" s="71">
        <v>20</v>
      </c>
      <c r="H109" s="72" t="str">
        <f t="shared" si="8"/>
        <v>C-20</v>
      </c>
      <c r="I109" s="70" t="s">
        <v>1265</v>
      </c>
      <c r="J109" s="70" t="s">
        <v>1266</v>
      </c>
      <c r="K109" s="73" t="str">
        <f t="shared" si="1"/>
        <v>2026</v>
      </c>
      <c r="L109" s="73" t="str">
        <f t="shared" si="2"/>
        <v>05</v>
      </c>
      <c r="M109" s="73" t="str">
        <f t="shared" si="3"/>
        <v>02</v>
      </c>
      <c r="N109" s="73" t="str">
        <f t="shared" si="4"/>
        <v>17:58:35</v>
      </c>
      <c r="O109" s="74"/>
      <c r="P109" s="74"/>
      <c r="Q109" s="74"/>
      <c r="R109" s="74"/>
      <c r="S109" s="74"/>
      <c r="T109" s="74"/>
      <c r="U109" s="74"/>
      <c r="V109" s="74"/>
    </row>
    <row r="110" spans="1:22" ht="22.5" customHeight="1">
      <c r="A110" s="70" t="s">
        <v>1267</v>
      </c>
      <c r="B110" s="70" t="s">
        <v>1268</v>
      </c>
      <c r="C110" s="70" t="s">
        <v>1269</v>
      </c>
      <c r="D110" s="70" t="s">
        <v>1270</v>
      </c>
      <c r="E110" s="71">
        <f t="shared" si="7"/>
        <v>22</v>
      </c>
      <c r="F110" s="71" t="s">
        <v>35</v>
      </c>
      <c r="G110" s="71">
        <v>27</v>
      </c>
      <c r="H110" s="72" t="str">
        <f t="shared" si="8"/>
        <v>C-27</v>
      </c>
      <c r="I110" s="70" t="s">
        <v>1271</v>
      </c>
      <c r="J110" s="70" t="s">
        <v>1272</v>
      </c>
      <c r="K110" s="73" t="str">
        <f t="shared" si="1"/>
        <v>2026</v>
      </c>
      <c r="L110" s="73" t="str">
        <f t="shared" si="2"/>
        <v>05</v>
      </c>
      <c r="M110" s="73" t="str">
        <f t="shared" si="3"/>
        <v>02</v>
      </c>
      <c r="N110" s="73" t="str">
        <f t="shared" si="4"/>
        <v>17:57:19</v>
      </c>
      <c r="O110" s="74"/>
      <c r="P110" s="74"/>
      <c r="Q110" s="74"/>
      <c r="R110" s="74"/>
      <c r="S110" s="74"/>
      <c r="T110" s="74"/>
      <c r="U110" s="74"/>
      <c r="V110" s="74"/>
    </row>
    <row r="111" spans="1:22" ht="22.5" customHeight="1">
      <c r="A111" s="70" t="s">
        <v>1273</v>
      </c>
      <c r="B111" s="70" t="s">
        <v>1274</v>
      </c>
      <c r="C111" s="70" t="s">
        <v>1275</v>
      </c>
      <c r="D111" s="70" t="s">
        <v>1276</v>
      </c>
      <c r="E111" s="71">
        <f t="shared" si="7"/>
        <v>30</v>
      </c>
      <c r="F111" s="71" t="s">
        <v>1277</v>
      </c>
      <c r="G111" s="71">
        <v>8</v>
      </c>
      <c r="H111" s="72" t="str">
        <f t="shared" si="8"/>
        <v>C1-8</v>
      </c>
      <c r="I111" s="70" t="s">
        <v>1278</v>
      </c>
      <c r="J111" s="70" t="s">
        <v>1279</v>
      </c>
      <c r="K111" s="73" t="str">
        <f t="shared" si="1"/>
        <v>2026</v>
      </c>
      <c r="L111" s="73" t="str">
        <f t="shared" si="2"/>
        <v>05</v>
      </c>
      <c r="M111" s="73" t="str">
        <f t="shared" si="3"/>
        <v>02</v>
      </c>
      <c r="N111" s="73" t="str">
        <f t="shared" si="4"/>
        <v>17:55:25</v>
      </c>
      <c r="O111" s="74"/>
      <c r="P111" s="74"/>
      <c r="Q111" s="74"/>
      <c r="R111" s="74"/>
      <c r="S111" s="74"/>
      <c r="T111" s="74"/>
      <c r="U111" s="74"/>
      <c r="V111" s="74"/>
    </row>
    <row r="112" spans="1:22" ht="22.5" customHeight="1">
      <c r="A112" s="70" t="s">
        <v>1280</v>
      </c>
      <c r="B112" s="70" t="s">
        <v>1281</v>
      </c>
      <c r="C112" s="70" t="s">
        <v>1282</v>
      </c>
      <c r="D112" s="70" t="s">
        <v>1283</v>
      </c>
      <c r="E112" s="71">
        <f t="shared" si="7"/>
        <v>8</v>
      </c>
      <c r="F112" s="71" t="s">
        <v>228</v>
      </c>
      <c r="G112" s="71">
        <v>2</v>
      </c>
      <c r="H112" s="72" t="str">
        <f t="shared" si="8"/>
        <v>I-2</v>
      </c>
      <c r="I112" s="70" t="s">
        <v>1284</v>
      </c>
      <c r="J112" s="70" t="s">
        <v>1285</v>
      </c>
      <c r="K112" s="73" t="str">
        <f t="shared" si="1"/>
        <v>2026</v>
      </c>
      <c r="L112" s="73" t="str">
        <f t="shared" si="2"/>
        <v>05</v>
      </c>
      <c r="M112" s="73" t="str">
        <f t="shared" si="3"/>
        <v>02</v>
      </c>
      <c r="N112" s="73" t="str">
        <f t="shared" si="4"/>
        <v>17:48:53</v>
      </c>
      <c r="O112" s="74"/>
      <c r="P112" s="74"/>
      <c r="Q112" s="74"/>
      <c r="R112" s="74"/>
      <c r="S112" s="74"/>
      <c r="T112" s="74"/>
      <c r="U112" s="74"/>
      <c r="V112" s="74"/>
    </row>
    <row r="113" spans="1:22" ht="22.5" customHeight="1">
      <c r="A113" s="70" t="s">
        <v>1286</v>
      </c>
      <c r="B113" s="70" t="s">
        <v>1287</v>
      </c>
      <c r="C113" s="70" t="s">
        <v>1288</v>
      </c>
      <c r="D113" s="70" t="s">
        <v>1289</v>
      </c>
      <c r="E113" s="71">
        <f t="shared" si="7"/>
        <v>8</v>
      </c>
      <c r="F113" s="71" t="s">
        <v>502</v>
      </c>
      <c r="G113" s="71">
        <v>16</v>
      </c>
      <c r="H113" s="72" t="str">
        <f t="shared" si="8"/>
        <v>Z-16</v>
      </c>
      <c r="I113" s="70" t="s">
        <v>1290</v>
      </c>
      <c r="J113" s="70" t="s">
        <v>1291</v>
      </c>
      <c r="K113" s="73" t="str">
        <f t="shared" si="1"/>
        <v>2026</v>
      </c>
      <c r="L113" s="73" t="str">
        <f t="shared" si="2"/>
        <v>05</v>
      </c>
      <c r="M113" s="73" t="str">
        <f t="shared" si="3"/>
        <v>02</v>
      </c>
      <c r="N113" s="73" t="str">
        <f t="shared" si="4"/>
        <v>17:48:33</v>
      </c>
      <c r="O113" s="74"/>
      <c r="P113" s="74"/>
      <c r="Q113" s="74"/>
      <c r="R113" s="74"/>
      <c r="S113" s="74"/>
      <c r="T113" s="74"/>
      <c r="U113" s="74"/>
      <c r="V113" s="74"/>
    </row>
    <row r="114" spans="1:22" ht="22.5" customHeight="1">
      <c r="A114" s="70" t="s">
        <v>1292</v>
      </c>
      <c r="B114" s="70" t="s">
        <v>1293</v>
      </c>
      <c r="C114" s="70" t="s">
        <v>1294</v>
      </c>
      <c r="D114" s="70" t="s">
        <v>1295</v>
      </c>
      <c r="E114" s="71">
        <f t="shared" si="7"/>
        <v>21</v>
      </c>
      <c r="F114" s="71" t="s">
        <v>560</v>
      </c>
      <c r="G114" s="71">
        <v>3</v>
      </c>
      <c r="H114" s="72" t="str">
        <f t="shared" si="8"/>
        <v>D1-3</v>
      </c>
      <c r="I114" s="70" t="s">
        <v>1296</v>
      </c>
      <c r="J114" s="70" t="s">
        <v>1297</v>
      </c>
      <c r="K114" s="73" t="str">
        <f t="shared" si="1"/>
        <v>2026</v>
      </c>
      <c r="L114" s="73" t="str">
        <f t="shared" si="2"/>
        <v>05</v>
      </c>
      <c r="M114" s="73" t="str">
        <f t="shared" si="3"/>
        <v>02</v>
      </c>
      <c r="N114" s="73" t="str">
        <f t="shared" si="4"/>
        <v>17:41:15</v>
      </c>
      <c r="O114" s="74"/>
      <c r="P114" s="74"/>
      <c r="Q114" s="74"/>
      <c r="R114" s="74"/>
      <c r="S114" s="74"/>
      <c r="T114" s="74"/>
      <c r="U114" s="74"/>
      <c r="V114" s="74"/>
    </row>
    <row r="115" spans="1:22" ht="22.5" customHeight="1">
      <c r="A115" s="70" t="s">
        <v>1298</v>
      </c>
      <c r="B115" s="70" t="s">
        <v>1299</v>
      </c>
      <c r="C115" s="70" t="s">
        <v>1300</v>
      </c>
      <c r="D115" s="70" t="s">
        <v>1301</v>
      </c>
      <c r="E115" s="71">
        <f t="shared" si="7"/>
        <v>16</v>
      </c>
      <c r="F115" s="71" t="s">
        <v>228</v>
      </c>
      <c r="G115" s="71">
        <v>4</v>
      </c>
      <c r="H115" s="72" t="str">
        <f t="shared" si="8"/>
        <v>I-4</v>
      </c>
      <c r="I115" s="70" t="s">
        <v>1302</v>
      </c>
      <c r="J115" s="70" t="s">
        <v>1303</v>
      </c>
      <c r="K115" s="73" t="str">
        <f t="shared" si="1"/>
        <v>2026</v>
      </c>
      <c r="L115" s="73" t="str">
        <f t="shared" si="2"/>
        <v>05</v>
      </c>
      <c r="M115" s="73" t="str">
        <f t="shared" si="3"/>
        <v>02</v>
      </c>
      <c r="N115" s="73" t="str">
        <f t="shared" si="4"/>
        <v>17:40:40</v>
      </c>
      <c r="O115" s="74"/>
      <c r="P115" s="74"/>
      <c r="Q115" s="74"/>
      <c r="R115" s="74"/>
      <c r="S115" s="74"/>
      <c r="T115" s="74"/>
      <c r="U115" s="74"/>
      <c r="V115" s="74"/>
    </row>
    <row r="116" spans="1:22" ht="22.5" customHeight="1">
      <c r="A116" s="70" t="s">
        <v>1304</v>
      </c>
      <c r="B116" s="70" t="s">
        <v>1305</v>
      </c>
      <c r="C116" s="70" t="s">
        <v>1306</v>
      </c>
      <c r="D116" s="70" t="s">
        <v>1307</v>
      </c>
      <c r="E116" s="71">
        <f t="shared" si="7"/>
        <v>32</v>
      </c>
      <c r="F116" s="71" t="s">
        <v>592</v>
      </c>
      <c r="G116" s="71">
        <v>15</v>
      </c>
      <c r="H116" s="72" t="str">
        <f t="shared" si="8"/>
        <v>H1-15</v>
      </c>
      <c r="I116" s="70" t="s">
        <v>1308</v>
      </c>
      <c r="J116" s="70" t="s">
        <v>1309</v>
      </c>
      <c r="K116" s="73" t="str">
        <f t="shared" si="1"/>
        <v>2026</v>
      </c>
      <c r="L116" s="73" t="str">
        <f t="shared" si="2"/>
        <v>05</v>
      </c>
      <c r="M116" s="73" t="str">
        <f t="shared" si="3"/>
        <v>02</v>
      </c>
      <c r="N116" s="73" t="str">
        <f t="shared" si="4"/>
        <v>17:36:30</v>
      </c>
      <c r="O116" s="74"/>
      <c r="P116" s="74"/>
      <c r="Q116" s="74"/>
      <c r="R116" s="74"/>
      <c r="S116" s="74"/>
      <c r="T116" s="74"/>
      <c r="U116" s="74"/>
      <c r="V116" s="74"/>
    </row>
    <row r="117" spans="1:22" ht="22.5" customHeight="1">
      <c r="A117" s="70" t="s">
        <v>1310</v>
      </c>
      <c r="B117" s="70" t="s">
        <v>1311</v>
      </c>
      <c r="C117" s="70" t="s">
        <v>1312</v>
      </c>
      <c r="D117" s="70" t="s">
        <v>1313</v>
      </c>
      <c r="E117" s="71">
        <f t="shared" si="7"/>
        <v>37</v>
      </c>
      <c r="F117" s="71" t="s">
        <v>228</v>
      </c>
      <c r="G117" s="71">
        <v>14</v>
      </c>
      <c r="H117" s="72" t="str">
        <f t="shared" si="8"/>
        <v>I-14</v>
      </c>
      <c r="I117" s="70" t="s">
        <v>1314</v>
      </c>
      <c r="J117" s="70" t="s">
        <v>1315</v>
      </c>
      <c r="K117" s="73" t="str">
        <f t="shared" si="1"/>
        <v>2026</v>
      </c>
      <c r="L117" s="73" t="str">
        <f t="shared" si="2"/>
        <v>05</v>
      </c>
      <c r="M117" s="73" t="str">
        <f t="shared" si="3"/>
        <v>02</v>
      </c>
      <c r="N117" s="73" t="str">
        <f t="shared" si="4"/>
        <v>17:26:50</v>
      </c>
      <c r="O117" s="74"/>
      <c r="P117" s="74"/>
      <c r="Q117" s="74"/>
      <c r="R117" s="74"/>
      <c r="S117" s="74"/>
      <c r="T117" s="74"/>
      <c r="U117" s="74"/>
      <c r="V117" s="74"/>
    </row>
    <row r="118" spans="1:22" ht="22.5" customHeight="1">
      <c r="A118" s="70" t="s">
        <v>1316</v>
      </c>
      <c r="B118" s="70" t="s">
        <v>1317</v>
      </c>
      <c r="C118" s="70" t="s">
        <v>1318</v>
      </c>
      <c r="D118" s="70" t="s">
        <v>1319</v>
      </c>
      <c r="E118" s="71">
        <f t="shared" si="7"/>
        <v>15</v>
      </c>
      <c r="F118" s="71" t="s">
        <v>473</v>
      </c>
      <c r="G118" s="71">
        <v>33</v>
      </c>
      <c r="H118" s="72" t="str">
        <f t="shared" si="8"/>
        <v>X-33</v>
      </c>
      <c r="I118" s="70" t="s">
        <v>1320</v>
      </c>
      <c r="J118" s="70" t="s">
        <v>1321</v>
      </c>
      <c r="K118" s="73" t="str">
        <f t="shared" si="1"/>
        <v>2026</v>
      </c>
      <c r="L118" s="73" t="str">
        <f t="shared" si="2"/>
        <v>05</v>
      </c>
      <c r="M118" s="73" t="str">
        <f t="shared" si="3"/>
        <v>02</v>
      </c>
      <c r="N118" s="73" t="str">
        <f t="shared" si="4"/>
        <v>17:26:09</v>
      </c>
      <c r="O118" s="74"/>
      <c r="P118" s="74"/>
      <c r="Q118" s="74"/>
      <c r="R118" s="74"/>
      <c r="S118" s="74"/>
      <c r="T118" s="74"/>
      <c r="U118" s="74"/>
      <c r="V118" s="74"/>
    </row>
    <row r="119" spans="1:22" ht="22.5" customHeight="1">
      <c r="A119" s="70" t="s">
        <v>1322</v>
      </c>
      <c r="B119" s="70" t="s">
        <v>1323</v>
      </c>
      <c r="C119" s="70" t="s">
        <v>1324</v>
      </c>
      <c r="D119" s="70" t="s">
        <v>1325</v>
      </c>
      <c r="E119" s="71">
        <f t="shared" si="7"/>
        <v>8</v>
      </c>
      <c r="F119" s="71" t="s">
        <v>441</v>
      </c>
      <c r="G119" s="71">
        <v>7</v>
      </c>
      <c r="H119" s="72" t="str">
        <f t="shared" si="8"/>
        <v>V-7</v>
      </c>
      <c r="I119" s="70" t="s">
        <v>1326</v>
      </c>
      <c r="J119" s="70" t="s">
        <v>1327</v>
      </c>
      <c r="K119" s="73" t="str">
        <f t="shared" si="1"/>
        <v>2026</v>
      </c>
      <c r="L119" s="73" t="str">
        <f t="shared" si="2"/>
        <v>05</v>
      </c>
      <c r="M119" s="73" t="str">
        <f t="shared" si="3"/>
        <v>02</v>
      </c>
      <c r="N119" s="73" t="str">
        <f t="shared" si="4"/>
        <v>17:20:14</v>
      </c>
      <c r="O119" s="74"/>
      <c r="P119" s="74"/>
      <c r="Q119" s="74"/>
      <c r="R119" s="74"/>
      <c r="S119" s="74"/>
      <c r="T119" s="74"/>
      <c r="U119" s="74"/>
      <c r="V119" s="74"/>
    </row>
    <row r="120" spans="1:22" ht="22.5" customHeight="1">
      <c r="A120" s="70" t="s">
        <v>1328</v>
      </c>
      <c r="B120" s="70" t="s">
        <v>1329</v>
      </c>
      <c r="C120" s="70" t="s">
        <v>1330</v>
      </c>
      <c r="D120" s="70" t="s">
        <v>1331</v>
      </c>
      <c r="E120" s="71">
        <f t="shared" si="7"/>
        <v>40</v>
      </c>
      <c r="F120" s="71" t="s">
        <v>327</v>
      </c>
      <c r="G120" s="71">
        <v>8</v>
      </c>
      <c r="H120" s="72" t="str">
        <f t="shared" si="8"/>
        <v>O-8</v>
      </c>
      <c r="I120" s="70" t="s">
        <v>1332</v>
      </c>
      <c r="J120" s="70" t="s">
        <v>1333</v>
      </c>
      <c r="K120" s="73" t="str">
        <f t="shared" si="1"/>
        <v>2026</v>
      </c>
      <c r="L120" s="73" t="str">
        <f t="shared" si="2"/>
        <v>05</v>
      </c>
      <c r="M120" s="73" t="str">
        <f t="shared" si="3"/>
        <v>02</v>
      </c>
      <c r="N120" s="73" t="str">
        <f t="shared" si="4"/>
        <v>17:15:34</v>
      </c>
      <c r="O120" s="74"/>
      <c r="P120" s="74"/>
      <c r="Q120" s="74"/>
      <c r="R120" s="74"/>
      <c r="S120" s="74"/>
      <c r="T120" s="74"/>
      <c r="U120" s="74"/>
      <c r="V120" s="74"/>
    </row>
    <row r="121" spans="1:22" ht="22.5" customHeight="1">
      <c r="A121" s="70" t="s">
        <v>1334</v>
      </c>
      <c r="B121" s="70" t="s">
        <v>1335</v>
      </c>
      <c r="C121" s="70" t="s">
        <v>1336</v>
      </c>
      <c r="D121" s="70" t="s">
        <v>1337</v>
      </c>
      <c r="E121" s="71">
        <f t="shared" si="7"/>
        <v>14</v>
      </c>
      <c r="F121" s="71" t="s">
        <v>519</v>
      </c>
      <c r="G121" s="71">
        <v>6</v>
      </c>
      <c r="H121" s="72" t="str">
        <f t="shared" si="8"/>
        <v>A1-6</v>
      </c>
      <c r="I121" s="71" t="s">
        <v>1338</v>
      </c>
      <c r="J121" s="70" t="s">
        <v>1339</v>
      </c>
      <c r="K121" s="73" t="str">
        <f t="shared" si="1"/>
        <v>2026</v>
      </c>
      <c r="L121" s="73" t="str">
        <f t="shared" si="2"/>
        <v>05</v>
      </c>
      <c r="M121" s="73" t="str">
        <f t="shared" si="3"/>
        <v>02</v>
      </c>
      <c r="N121" s="73" t="str">
        <f t="shared" si="4"/>
        <v>17:08:34</v>
      </c>
      <c r="O121" s="74"/>
      <c r="P121" s="74"/>
      <c r="Q121" s="74"/>
      <c r="R121" s="74"/>
      <c r="S121" s="74"/>
      <c r="T121" s="74"/>
      <c r="U121" s="74"/>
      <c r="V121" s="74"/>
    </row>
    <row r="122" spans="1:22" ht="22.5" customHeight="1">
      <c r="A122" s="70" t="s">
        <v>1340</v>
      </c>
      <c r="B122" s="70" t="s">
        <v>1341</v>
      </c>
      <c r="C122" s="70" t="s">
        <v>1342</v>
      </c>
      <c r="D122" s="70" t="s">
        <v>1343</v>
      </c>
      <c r="E122" s="71">
        <f t="shared" si="7"/>
        <v>8</v>
      </c>
      <c r="F122" s="71" t="s">
        <v>567</v>
      </c>
      <c r="G122" s="71">
        <v>1</v>
      </c>
      <c r="H122" s="72" t="str">
        <f t="shared" si="8"/>
        <v>E1-1</v>
      </c>
      <c r="I122" s="70" t="s">
        <v>1344</v>
      </c>
      <c r="J122" s="70" t="s">
        <v>1345</v>
      </c>
      <c r="K122" s="73" t="str">
        <f t="shared" si="1"/>
        <v>2026</v>
      </c>
      <c r="L122" s="73" t="str">
        <f t="shared" si="2"/>
        <v>05</v>
      </c>
      <c r="M122" s="73" t="str">
        <f t="shared" si="3"/>
        <v>02</v>
      </c>
      <c r="N122" s="73" t="str">
        <f t="shared" si="4"/>
        <v>17:06:00</v>
      </c>
      <c r="O122" s="74"/>
      <c r="P122" s="74"/>
      <c r="Q122" s="74"/>
      <c r="R122" s="74"/>
      <c r="S122" s="74"/>
      <c r="T122" s="74"/>
      <c r="U122" s="74"/>
      <c r="V122" s="74"/>
    </row>
    <row r="123" spans="1:22" ht="22.5" customHeight="1">
      <c r="A123" s="70" t="s">
        <v>1346</v>
      </c>
      <c r="B123" s="70" t="s">
        <v>1347</v>
      </c>
      <c r="C123" s="70" t="s">
        <v>1348</v>
      </c>
      <c r="D123" s="70" t="s">
        <v>1349</v>
      </c>
      <c r="E123" s="71">
        <f t="shared" si="7"/>
        <v>36</v>
      </c>
      <c r="F123" s="71" t="s">
        <v>327</v>
      </c>
      <c r="G123" s="71">
        <v>19</v>
      </c>
      <c r="H123" s="72" t="str">
        <f t="shared" si="8"/>
        <v>O-19</v>
      </c>
      <c r="I123" s="70" t="s">
        <v>1350</v>
      </c>
      <c r="J123" s="70" t="s">
        <v>1351</v>
      </c>
      <c r="K123" s="73" t="str">
        <f t="shared" si="1"/>
        <v>2026</v>
      </c>
      <c r="L123" s="73" t="str">
        <f t="shared" si="2"/>
        <v>05</v>
      </c>
      <c r="M123" s="73" t="str">
        <f t="shared" si="3"/>
        <v>02</v>
      </c>
      <c r="N123" s="73" t="str">
        <f t="shared" si="4"/>
        <v>17:00:18</v>
      </c>
      <c r="O123" s="74"/>
      <c r="P123" s="74"/>
      <c r="Q123" s="74"/>
      <c r="R123" s="74"/>
      <c r="S123" s="74"/>
      <c r="T123" s="74"/>
      <c r="U123" s="74"/>
      <c r="V123" s="74"/>
    </row>
    <row r="124" spans="1:22" ht="22.5" customHeight="1">
      <c r="A124" s="70" t="s">
        <v>1352</v>
      </c>
      <c r="B124" s="70" t="s">
        <v>1353</v>
      </c>
      <c r="C124" s="70" t="s">
        <v>1354</v>
      </c>
      <c r="D124" s="70" t="s">
        <v>1355</v>
      </c>
      <c r="E124" s="71">
        <f t="shared" si="7"/>
        <v>108</v>
      </c>
      <c r="F124" s="71" t="s">
        <v>205</v>
      </c>
      <c r="G124" s="71">
        <v>7</v>
      </c>
      <c r="H124" s="72" t="str">
        <f t="shared" si="8"/>
        <v>H-7</v>
      </c>
      <c r="I124" s="70" t="s">
        <v>1356</v>
      </c>
      <c r="J124" s="70" t="s">
        <v>1357</v>
      </c>
      <c r="K124" s="73" t="str">
        <f t="shared" si="1"/>
        <v>2026</v>
      </c>
      <c r="L124" s="73" t="str">
        <f t="shared" si="2"/>
        <v>05</v>
      </c>
      <c r="M124" s="73" t="str">
        <f t="shared" si="3"/>
        <v>02</v>
      </c>
      <c r="N124" s="73" t="str">
        <f t="shared" si="4"/>
        <v>16:55:51</v>
      </c>
      <c r="O124" s="74"/>
      <c r="P124" s="74"/>
      <c r="Q124" s="74"/>
      <c r="R124" s="74"/>
      <c r="S124" s="74"/>
      <c r="T124" s="74"/>
      <c r="U124" s="74"/>
      <c r="V124" s="74"/>
    </row>
    <row r="125" spans="1:22" ht="22.5" customHeight="1">
      <c r="A125" s="70" t="s">
        <v>1358</v>
      </c>
      <c r="B125" s="70" t="s">
        <v>1359</v>
      </c>
      <c r="C125" s="70" t="s">
        <v>1360</v>
      </c>
      <c r="D125" s="70" t="s">
        <v>1361</v>
      </c>
      <c r="E125" s="71">
        <f t="shared" si="7"/>
        <v>29</v>
      </c>
      <c r="F125" s="71" t="s">
        <v>327</v>
      </c>
      <c r="G125" s="71">
        <v>18</v>
      </c>
      <c r="H125" s="72" t="str">
        <f t="shared" si="8"/>
        <v>O-18</v>
      </c>
      <c r="I125" s="70" t="s">
        <v>1362</v>
      </c>
      <c r="J125" s="70" t="s">
        <v>1363</v>
      </c>
      <c r="K125" s="73" t="str">
        <f t="shared" si="1"/>
        <v>2026</v>
      </c>
      <c r="L125" s="73" t="str">
        <f t="shared" si="2"/>
        <v>05</v>
      </c>
      <c r="M125" s="73" t="str">
        <f t="shared" si="3"/>
        <v>02</v>
      </c>
      <c r="N125" s="73" t="str">
        <f t="shared" si="4"/>
        <v>16:54:48</v>
      </c>
      <c r="O125" s="74"/>
      <c r="P125" s="74"/>
      <c r="Q125" s="74"/>
      <c r="R125" s="74"/>
      <c r="S125" s="74"/>
      <c r="T125" s="74"/>
      <c r="U125" s="74"/>
      <c r="V125" s="74"/>
    </row>
    <row r="126" spans="1:22" ht="22.5" customHeight="1">
      <c r="A126" s="70" t="s">
        <v>1364</v>
      </c>
      <c r="B126" s="70" t="s">
        <v>1365</v>
      </c>
      <c r="C126" s="70" t="s">
        <v>1366</v>
      </c>
      <c r="D126" s="70" t="s">
        <v>1367</v>
      </c>
      <c r="E126" s="71">
        <f t="shared" si="7"/>
        <v>15</v>
      </c>
      <c r="F126" s="71" t="s">
        <v>393</v>
      </c>
      <c r="G126" s="71">
        <v>1</v>
      </c>
      <c r="H126" s="72" t="str">
        <f t="shared" si="8"/>
        <v>R-1</v>
      </c>
      <c r="I126" s="70" t="s">
        <v>1368</v>
      </c>
      <c r="J126" s="70" t="s">
        <v>1369</v>
      </c>
      <c r="K126" s="73" t="str">
        <f t="shared" si="1"/>
        <v>2026</v>
      </c>
      <c r="L126" s="73" t="str">
        <f t="shared" si="2"/>
        <v>05</v>
      </c>
      <c r="M126" s="73" t="str">
        <f t="shared" si="3"/>
        <v>02</v>
      </c>
      <c r="N126" s="73" t="str">
        <f t="shared" si="4"/>
        <v>16:48:14</v>
      </c>
      <c r="O126" s="74"/>
      <c r="P126" s="74"/>
      <c r="Q126" s="74"/>
      <c r="R126" s="74"/>
      <c r="S126" s="74"/>
      <c r="T126" s="74"/>
      <c r="U126" s="74"/>
      <c r="V126" s="74"/>
    </row>
    <row r="127" spans="1:22" ht="22.5" customHeight="1">
      <c r="A127" s="70" t="s">
        <v>1370</v>
      </c>
      <c r="B127" s="70" t="s">
        <v>1371</v>
      </c>
      <c r="C127" s="70" t="s">
        <v>1372</v>
      </c>
      <c r="D127" s="70" t="s">
        <v>1373</v>
      </c>
      <c r="E127" s="71">
        <f t="shared" si="7"/>
        <v>8</v>
      </c>
      <c r="F127" s="71" t="s">
        <v>592</v>
      </c>
      <c r="G127" s="71">
        <v>35</v>
      </c>
      <c r="H127" s="72" t="str">
        <f t="shared" si="8"/>
        <v>H1-35</v>
      </c>
      <c r="I127" s="75"/>
      <c r="J127" s="70" t="s">
        <v>1374</v>
      </c>
      <c r="K127" s="73" t="str">
        <f t="shared" si="1"/>
        <v>2026</v>
      </c>
      <c r="L127" s="73" t="str">
        <f t="shared" si="2"/>
        <v>05</v>
      </c>
      <c r="M127" s="73" t="str">
        <f t="shared" si="3"/>
        <v>02</v>
      </c>
      <c r="N127" s="73" t="str">
        <f t="shared" si="4"/>
        <v>16:37:45</v>
      </c>
      <c r="O127" s="74"/>
      <c r="P127" s="74"/>
      <c r="Q127" s="74"/>
      <c r="R127" s="74"/>
      <c r="S127" s="74"/>
      <c r="T127" s="74"/>
      <c r="U127" s="74"/>
      <c r="V127" s="74"/>
    </row>
    <row r="128" spans="1:22" ht="22.5" customHeight="1">
      <c r="A128" s="70" t="s">
        <v>1375</v>
      </c>
      <c r="B128" s="70" t="s">
        <v>1376</v>
      </c>
      <c r="C128" s="70" t="s">
        <v>1377</v>
      </c>
      <c r="D128" s="70" t="s">
        <v>1378</v>
      </c>
      <c r="E128" s="71">
        <f t="shared" si="7"/>
        <v>14</v>
      </c>
      <c r="F128" s="71" t="s">
        <v>492</v>
      </c>
      <c r="G128" s="71">
        <v>1</v>
      </c>
      <c r="H128" s="72" t="str">
        <f t="shared" si="8"/>
        <v>Y-1</v>
      </c>
      <c r="I128" s="70" t="s">
        <v>1379</v>
      </c>
      <c r="J128" s="70" t="s">
        <v>1380</v>
      </c>
      <c r="K128" s="73" t="str">
        <f t="shared" si="1"/>
        <v>2026</v>
      </c>
      <c r="L128" s="73" t="str">
        <f t="shared" si="2"/>
        <v>05</v>
      </c>
      <c r="M128" s="73" t="str">
        <f t="shared" si="3"/>
        <v>02</v>
      </c>
      <c r="N128" s="73" t="str">
        <f t="shared" si="4"/>
        <v>16:33:51</v>
      </c>
      <c r="O128" s="74"/>
      <c r="P128" s="74"/>
      <c r="Q128" s="74"/>
      <c r="R128" s="74"/>
      <c r="S128" s="74"/>
      <c r="T128" s="74"/>
      <c r="U128" s="74"/>
      <c r="V128" s="74"/>
    </row>
    <row r="129" spans="1:22" ht="22.5" customHeight="1">
      <c r="A129" s="70" t="s">
        <v>1381</v>
      </c>
      <c r="B129" s="70" t="s">
        <v>1382</v>
      </c>
      <c r="C129" s="70" t="s">
        <v>1383</v>
      </c>
      <c r="D129" s="70" t="s">
        <v>1384</v>
      </c>
      <c r="E129" s="71">
        <f t="shared" si="7"/>
        <v>13</v>
      </c>
      <c r="F129" s="71" t="s">
        <v>53</v>
      </c>
      <c r="G129" s="71">
        <v>1</v>
      </c>
      <c r="H129" s="72" t="str">
        <f t="shared" si="8"/>
        <v>B-1</v>
      </c>
      <c r="I129" s="70" t="s">
        <v>1385</v>
      </c>
      <c r="J129" s="70" t="s">
        <v>1386</v>
      </c>
      <c r="K129" s="73" t="str">
        <f t="shared" si="1"/>
        <v>2026</v>
      </c>
      <c r="L129" s="73" t="str">
        <f t="shared" si="2"/>
        <v>05</v>
      </c>
      <c r="M129" s="73" t="str">
        <f t="shared" si="3"/>
        <v>02</v>
      </c>
      <c r="N129" s="73" t="str">
        <f t="shared" si="4"/>
        <v>16:32:36</v>
      </c>
      <c r="O129" s="74"/>
      <c r="P129" s="74"/>
      <c r="Q129" s="74"/>
      <c r="R129" s="74"/>
      <c r="S129" s="74"/>
      <c r="T129" s="74"/>
      <c r="U129" s="74"/>
      <c r="V129" s="74"/>
    </row>
    <row r="130" spans="1:22" ht="22.5" customHeight="1">
      <c r="A130" s="70" t="s">
        <v>1387</v>
      </c>
      <c r="B130" s="70" t="s">
        <v>1388</v>
      </c>
      <c r="C130" s="70" t="s">
        <v>1389</v>
      </c>
      <c r="D130" s="70" t="s">
        <v>1390</v>
      </c>
      <c r="E130" s="71">
        <f t="shared" si="7"/>
        <v>58</v>
      </c>
      <c r="F130" s="71" t="s">
        <v>53</v>
      </c>
      <c r="G130" s="71">
        <v>7</v>
      </c>
      <c r="H130" s="72" t="str">
        <f t="shared" si="8"/>
        <v>B-7</v>
      </c>
      <c r="I130" s="70" t="s">
        <v>1391</v>
      </c>
      <c r="J130" s="70" t="s">
        <v>1392</v>
      </c>
      <c r="K130" s="73" t="str">
        <f t="shared" si="1"/>
        <v>2026</v>
      </c>
      <c r="L130" s="73" t="str">
        <f t="shared" si="2"/>
        <v>05</v>
      </c>
      <c r="M130" s="73" t="str">
        <f t="shared" si="3"/>
        <v>02</v>
      </c>
      <c r="N130" s="73" t="str">
        <f t="shared" si="4"/>
        <v>16:28:34</v>
      </c>
      <c r="O130" s="74"/>
      <c r="P130" s="74"/>
      <c r="Q130" s="74"/>
      <c r="R130" s="74"/>
      <c r="S130" s="74"/>
      <c r="T130" s="74"/>
      <c r="U130" s="74"/>
      <c r="V130" s="74"/>
    </row>
    <row r="131" spans="1:22" ht="22.5" customHeight="1">
      <c r="A131" s="70" t="s">
        <v>1393</v>
      </c>
      <c r="B131" s="70" t="s">
        <v>1394</v>
      </c>
      <c r="C131" s="70" t="s">
        <v>1395</v>
      </c>
      <c r="D131" s="70" t="s">
        <v>1396</v>
      </c>
      <c r="E131" s="71">
        <f t="shared" si="7"/>
        <v>14</v>
      </c>
      <c r="F131" s="71" t="s">
        <v>575</v>
      </c>
      <c r="G131" s="71">
        <v>6</v>
      </c>
      <c r="H131" s="72" t="str">
        <f t="shared" si="8"/>
        <v>F1-6</v>
      </c>
      <c r="I131" s="70" t="s">
        <v>1397</v>
      </c>
      <c r="J131" s="70" t="s">
        <v>1398</v>
      </c>
      <c r="K131" s="73" t="str">
        <f t="shared" si="1"/>
        <v>2026</v>
      </c>
      <c r="L131" s="73" t="str">
        <f t="shared" si="2"/>
        <v>05</v>
      </c>
      <c r="M131" s="73" t="str">
        <f t="shared" si="3"/>
        <v>02</v>
      </c>
      <c r="N131" s="73" t="str">
        <f t="shared" si="4"/>
        <v>16:21:50</v>
      </c>
      <c r="O131" s="74"/>
      <c r="P131" s="74"/>
      <c r="Q131" s="74"/>
      <c r="R131" s="74"/>
      <c r="S131" s="74"/>
      <c r="T131" s="74"/>
      <c r="U131" s="74"/>
      <c r="V131" s="74"/>
    </row>
    <row r="132" spans="1:22" ht="22.5" customHeight="1">
      <c r="A132" s="70" t="s">
        <v>1399</v>
      </c>
      <c r="B132" s="70" t="s">
        <v>1400</v>
      </c>
      <c r="C132" s="70" t="s">
        <v>1401</v>
      </c>
      <c r="D132" s="70" t="s">
        <v>1402</v>
      </c>
      <c r="E132" s="71">
        <f t="shared" si="7"/>
        <v>40</v>
      </c>
      <c r="F132" s="71" t="s">
        <v>401</v>
      </c>
      <c r="G132" s="71">
        <v>3</v>
      </c>
      <c r="H132" s="72" t="str">
        <f t="shared" si="8"/>
        <v>S-3</v>
      </c>
      <c r="I132" s="70" t="s">
        <v>1403</v>
      </c>
      <c r="J132" s="70" t="s">
        <v>1404</v>
      </c>
      <c r="K132" s="73" t="str">
        <f t="shared" si="1"/>
        <v>2026</v>
      </c>
      <c r="L132" s="73" t="str">
        <f t="shared" si="2"/>
        <v>05</v>
      </c>
      <c r="M132" s="73" t="str">
        <f t="shared" si="3"/>
        <v>02</v>
      </c>
      <c r="N132" s="73" t="str">
        <f t="shared" si="4"/>
        <v>16:16:30</v>
      </c>
      <c r="O132" s="74"/>
      <c r="P132" s="74"/>
      <c r="Q132" s="74"/>
      <c r="R132" s="74"/>
      <c r="S132" s="74"/>
      <c r="T132" s="74"/>
      <c r="U132" s="74"/>
      <c r="V132" s="74"/>
    </row>
    <row r="133" spans="1:22" ht="22.5" customHeight="1">
      <c r="A133" s="70" t="s">
        <v>1405</v>
      </c>
      <c r="B133" s="70" t="s">
        <v>1406</v>
      </c>
      <c r="C133" s="70" t="s">
        <v>1407</v>
      </c>
      <c r="D133" s="70" t="s">
        <v>1408</v>
      </c>
      <c r="E133" s="71">
        <f t="shared" si="7"/>
        <v>16</v>
      </c>
      <c r="F133" s="71" t="s">
        <v>327</v>
      </c>
      <c r="G133" s="71">
        <v>20</v>
      </c>
      <c r="H133" s="72" t="str">
        <f t="shared" si="8"/>
        <v>O-20</v>
      </c>
      <c r="I133" s="70" t="s">
        <v>1409</v>
      </c>
      <c r="J133" s="70" t="s">
        <v>1410</v>
      </c>
      <c r="K133" s="73" t="str">
        <f t="shared" si="1"/>
        <v>2026</v>
      </c>
      <c r="L133" s="73" t="str">
        <f t="shared" si="2"/>
        <v>05</v>
      </c>
      <c r="M133" s="73" t="str">
        <f t="shared" si="3"/>
        <v>02</v>
      </c>
      <c r="N133" s="73" t="str">
        <f t="shared" si="4"/>
        <v>16:14:30</v>
      </c>
      <c r="O133" s="74"/>
      <c r="P133" s="74"/>
      <c r="Q133" s="74"/>
      <c r="R133" s="74"/>
      <c r="S133" s="74"/>
      <c r="T133" s="74"/>
      <c r="U133" s="74"/>
      <c r="V133" s="74"/>
    </row>
    <row r="134" spans="1:22" ht="22.5" customHeight="1">
      <c r="A134" s="70" t="s">
        <v>1411</v>
      </c>
      <c r="B134" s="70" t="s">
        <v>1412</v>
      </c>
      <c r="C134" s="70" t="s">
        <v>1413</v>
      </c>
      <c r="D134" s="70" t="s">
        <v>1414</v>
      </c>
      <c r="E134" s="71">
        <f t="shared" si="7"/>
        <v>10</v>
      </c>
      <c r="F134" s="71" t="s">
        <v>473</v>
      </c>
      <c r="G134" s="71">
        <v>17</v>
      </c>
      <c r="H134" s="72" t="str">
        <f t="shared" si="8"/>
        <v>X-17</v>
      </c>
      <c r="I134" s="75"/>
      <c r="J134" s="70" t="s">
        <v>1415</v>
      </c>
      <c r="K134" s="73" t="str">
        <f t="shared" si="1"/>
        <v>2026</v>
      </c>
      <c r="L134" s="73" t="str">
        <f t="shared" si="2"/>
        <v>05</v>
      </c>
      <c r="M134" s="73" t="str">
        <f t="shared" si="3"/>
        <v>02</v>
      </c>
      <c r="N134" s="73" t="str">
        <f t="shared" si="4"/>
        <v>16:13:17</v>
      </c>
      <c r="O134" s="74"/>
      <c r="P134" s="74"/>
      <c r="Q134" s="74"/>
      <c r="R134" s="74"/>
      <c r="S134" s="74"/>
      <c r="T134" s="74"/>
      <c r="U134" s="74"/>
      <c r="V134" s="74"/>
    </row>
    <row r="135" spans="1:22" ht="22.5" customHeight="1">
      <c r="A135" s="70" t="s">
        <v>1416</v>
      </c>
      <c r="B135" s="70" t="s">
        <v>1417</v>
      </c>
      <c r="C135" s="70" t="s">
        <v>1418</v>
      </c>
      <c r="D135" s="70" t="s">
        <v>1419</v>
      </c>
      <c r="E135" s="71">
        <f t="shared" si="7"/>
        <v>14</v>
      </c>
      <c r="F135" s="71" t="s">
        <v>567</v>
      </c>
      <c r="G135" s="71">
        <v>7</v>
      </c>
      <c r="H135" s="72" t="str">
        <f t="shared" si="8"/>
        <v>E1-7</v>
      </c>
      <c r="I135" s="70" t="s">
        <v>1420</v>
      </c>
      <c r="J135" s="70" t="s">
        <v>1421</v>
      </c>
      <c r="K135" s="73" t="str">
        <f t="shared" si="1"/>
        <v>2026</v>
      </c>
      <c r="L135" s="73" t="str">
        <f t="shared" si="2"/>
        <v>05</v>
      </c>
      <c r="M135" s="73" t="str">
        <f t="shared" si="3"/>
        <v>02</v>
      </c>
      <c r="N135" s="73" t="str">
        <f t="shared" si="4"/>
        <v>16:09:48</v>
      </c>
      <c r="O135" s="74"/>
      <c r="P135" s="74"/>
      <c r="Q135" s="74"/>
      <c r="R135" s="74"/>
      <c r="S135" s="74"/>
      <c r="T135" s="74"/>
      <c r="U135" s="74"/>
      <c r="V135" s="74"/>
    </row>
    <row r="136" spans="1:22" ht="22.5" customHeight="1">
      <c r="A136" s="70" t="s">
        <v>1422</v>
      </c>
      <c r="B136" s="70" t="s">
        <v>1423</v>
      </c>
      <c r="C136" s="70" t="s">
        <v>1424</v>
      </c>
      <c r="D136" s="70" t="s">
        <v>1425</v>
      </c>
      <c r="E136" s="71">
        <f t="shared" si="7"/>
        <v>13</v>
      </c>
      <c r="F136" s="71" t="s">
        <v>592</v>
      </c>
      <c r="G136" s="71">
        <v>6</v>
      </c>
      <c r="H136" s="72" t="str">
        <f t="shared" si="8"/>
        <v>H1-6</v>
      </c>
      <c r="I136" s="70" t="s">
        <v>1426</v>
      </c>
      <c r="J136" s="70" t="s">
        <v>1427</v>
      </c>
      <c r="K136" s="73" t="str">
        <f t="shared" si="1"/>
        <v>2026</v>
      </c>
      <c r="L136" s="73" t="str">
        <f t="shared" si="2"/>
        <v>05</v>
      </c>
      <c r="M136" s="73" t="str">
        <f t="shared" si="3"/>
        <v>02</v>
      </c>
      <c r="N136" s="73" t="str">
        <f t="shared" si="4"/>
        <v>16:08:00</v>
      </c>
      <c r="O136" s="74"/>
      <c r="P136" s="74"/>
      <c r="Q136" s="74"/>
      <c r="R136" s="74"/>
      <c r="S136" s="74"/>
      <c r="T136" s="74"/>
      <c r="U136" s="74"/>
      <c r="V136" s="74"/>
    </row>
    <row r="137" spans="1:22" ht="22.5" customHeight="1">
      <c r="A137" s="70" t="s">
        <v>1428</v>
      </c>
      <c r="B137" s="70" t="s">
        <v>1429</v>
      </c>
      <c r="C137" s="70" t="s">
        <v>1430</v>
      </c>
      <c r="D137" s="70" t="s">
        <v>1431</v>
      </c>
      <c r="E137" s="71">
        <f t="shared" si="7"/>
        <v>10</v>
      </c>
      <c r="F137" s="71" t="s">
        <v>545</v>
      </c>
      <c r="G137" s="71">
        <v>6</v>
      </c>
      <c r="H137" s="72" t="str">
        <f t="shared" si="8"/>
        <v>C1-6</v>
      </c>
      <c r="I137" s="70" t="s">
        <v>1432</v>
      </c>
      <c r="J137" s="70" t="s">
        <v>1433</v>
      </c>
      <c r="K137" s="73" t="str">
        <f t="shared" si="1"/>
        <v>2026</v>
      </c>
      <c r="L137" s="73" t="str">
        <f t="shared" si="2"/>
        <v>05</v>
      </c>
      <c r="M137" s="73" t="str">
        <f t="shared" si="3"/>
        <v>02</v>
      </c>
      <c r="N137" s="73" t="str">
        <f t="shared" si="4"/>
        <v>16:03:20</v>
      </c>
      <c r="O137" s="74"/>
      <c r="P137" s="74"/>
      <c r="Q137" s="74"/>
      <c r="R137" s="74"/>
      <c r="S137" s="74"/>
      <c r="T137" s="74"/>
      <c r="U137" s="74"/>
      <c r="V137" s="74"/>
    </row>
    <row r="138" spans="1:22" ht="22.5" customHeight="1">
      <c r="A138" s="70" t="s">
        <v>1434</v>
      </c>
      <c r="B138" s="70" t="s">
        <v>1435</v>
      </c>
      <c r="C138" s="70" t="s">
        <v>1436</v>
      </c>
      <c r="D138" s="70" t="s">
        <v>1437</v>
      </c>
      <c r="E138" s="71">
        <f t="shared" si="7"/>
        <v>66</v>
      </c>
      <c r="F138" s="71" t="s">
        <v>267</v>
      </c>
      <c r="G138" s="71">
        <v>6</v>
      </c>
      <c r="H138" s="72" t="str">
        <f t="shared" si="8"/>
        <v>K-6</v>
      </c>
      <c r="I138" s="70" t="s">
        <v>1438</v>
      </c>
      <c r="J138" s="70" t="s">
        <v>1439</v>
      </c>
      <c r="K138" s="73" t="str">
        <f t="shared" si="1"/>
        <v>2026</v>
      </c>
      <c r="L138" s="73" t="str">
        <f t="shared" si="2"/>
        <v>05</v>
      </c>
      <c r="M138" s="73" t="str">
        <f t="shared" si="3"/>
        <v>02</v>
      </c>
      <c r="N138" s="73" t="str">
        <f t="shared" si="4"/>
        <v>15:58:33</v>
      </c>
      <c r="O138" s="74"/>
      <c r="P138" s="74"/>
      <c r="Q138" s="74"/>
      <c r="R138" s="74"/>
      <c r="S138" s="74"/>
      <c r="T138" s="74"/>
      <c r="U138" s="74"/>
      <c r="V138" s="74"/>
    </row>
    <row r="139" spans="1:22" ht="22.5" customHeight="1">
      <c r="A139" s="70" t="s">
        <v>1440</v>
      </c>
      <c r="B139" s="70" t="s">
        <v>1441</v>
      </c>
      <c r="C139" s="70" t="s">
        <v>1442</v>
      </c>
      <c r="D139" s="70" t="s">
        <v>1443</v>
      </c>
      <c r="E139" s="71">
        <f t="shared" si="7"/>
        <v>14</v>
      </c>
      <c r="F139" s="71" t="s">
        <v>34</v>
      </c>
      <c r="G139" s="71">
        <v>7</v>
      </c>
      <c r="H139" s="72" t="str">
        <f t="shared" si="8"/>
        <v>A-7</v>
      </c>
      <c r="I139" s="70" t="s">
        <v>1444</v>
      </c>
      <c r="J139" s="70" t="s">
        <v>1445</v>
      </c>
      <c r="K139" s="73" t="str">
        <f t="shared" si="1"/>
        <v>2026</v>
      </c>
      <c r="L139" s="73" t="str">
        <f t="shared" si="2"/>
        <v>05</v>
      </c>
      <c r="M139" s="73" t="str">
        <f t="shared" si="3"/>
        <v>02</v>
      </c>
      <c r="N139" s="73" t="str">
        <f t="shared" si="4"/>
        <v>15:57:56</v>
      </c>
      <c r="O139" s="74"/>
      <c r="P139" s="74"/>
      <c r="Q139" s="74"/>
      <c r="R139" s="74"/>
      <c r="S139" s="74"/>
      <c r="T139" s="74"/>
      <c r="U139" s="74"/>
      <c r="V139" s="74"/>
    </row>
    <row r="140" spans="1:22" ht="22.5" customHeight="1">
      <c r="A140" s="70" t="s">
        <v>1446</v>
      </c>
      <c r="B140" s="70" t="s">
        <v>1447</v>
      </c>
      <c r="C140" s="70" t="s">
        <v>1448</v>
      </c>
      <c r="D140" s="70" t="s">
        <v>1449</v>
      </c>
      <c r="E140" s="71">
        <f t="shared" si="7"/>
        <v>23</v>
      </c>
      <c r="F140" s="71" t="s">
        <v>473</v>
      </c>
      <c r="G140" s="71">
        <v>9</v>
      </c>
      <c r="H140" s="72" t="str">
        <f t="shared" si="8"/>
        <v>X-9</v>
      </c>
      <c r="I140" s="75"/>
      <c r="J140" s="70" t="s">
        <v>1450</v>
      </c>
      <c r="K140" s="73" t="str">
        <f t="shared" si="1"/>
        <v>2026</v>
      </c>
      <c r="L140" s="73" t="str">
        <f t="shared" si="2"/>
        <v>05</v>
      </c>
      <c r="M140" s="73" t="str">
        <f t="shared" si="3"/>
        <v>02</v>
      </c>
      <c r="N140" s="73" t="str">
        <f t="shared" si="4"/>
        <v>15:42:55</v>
      </c>
      <c r="O140" s="74"/>
      <c r="P140" s="74"/>
      <c r="Q140" s="74"/>
      <c r="R140" s="74"/>
      <c r="S140" s="74"/>
      <c r="T140" s="74"/>
      <c r="U140" s="74"/>
      <c r="V140" s="74"/>
    </row>
    <row r="141" spans="1:22" ht="22.5" customHeight="1">
      <c r="A141" s="70" t="s">
        <v>1451</v>
      </c>
      <c r="B141" s="70" t="s">
        <v>1452</v>
      </c>
      <c r="C141" s="70" t="s">
        <v>1453</v>
      </c>
      <c r="D141" s="70" t="s">
        <v>1454</v>
      </c>
      <c r="E141" s="71">
        <f t="shared" si="7"/>
        <v>46</v>
      </c>
      <c r="F141" s="71" t="s">
        <v>378</v>
      </c>
      <c r="G141" s="71">
        <v>5</v>
      </c>
      <c r="H141" s="72" t="str">
        <f t="shared" si="8"/>
        <v>Q-5</v>
      </c>
      <c r="I141" s="75"/>
      <c r="J141" s="70" t="s">
        <v>1455</v>
      </c>
      <c r="K141" s="73" t="str">
        <f t="shared" si="1"/>
        <v>2026</v>
      </c>
      <c r="L141" s="73" t="str">
        <f t="shared" si="2"/>
        <v>05</v>
      </c>
      <c r="M141" s="73" t="str">
        <f t="shared" si="3"/>
        <v>02</v>
      </c>
      <c r="N141" s="73" t="str">
        <f t="shared" si="4"/>
        <v>15:35:40</v>
      </c>
      <c r="O141" s="74"/>
      <c r="P141" s="74"/>
      <c r="Q141" s="74"/>
      <c r="R141" s="74"/>
      <c r="S141" s="74"/>
      <c r="T141" s="74"/>
      <c r="U141" s="74"/>
      <c r="V141" s="74"/>
    </row>
    <row r="142" spans="1:22" ht="22.5" customHeight="1">
      <c r="A142" s="70" t="s">
        <v>1456</v>
      </c>
      <c r="B142" s="70" t="s">
        <v>1457</v>
      </c>
      <c r="C142" s="70" t="s">
        <v>1458</v>
      </c>
      <c r="D142" s="70" t="s">
        <v>1459</v>
      </c>
      <c r="E142" s="71">
        <f t="shared" si="7"/>
        <v>209</v>
      </c>
      <c r="F142" s="71" t="s">
        <v>125</v>
      </c>
      <c r="G142" s="71">
        <v>7</v>
      </c>
      <c r="H142" s="72" t="str">
        <f t="shared" si="8"/>
        <v>D-7</v>
      </c>
      <c r="I142" s="70" t="s">
        <v>1460</v>
      </c>
      <c r="J142" s="70" t="s">
        <v>1461</v>
      </c>
      <c r="K142" s="73" t="str">
        <f t="shared" si="1"/>
        <v>2026</v>
      </c>
      <c r="L142" s="73" t="str">
        <f t="shared" si="2"/>
        <v>05</v>
      </c>
      <c r="M142" s="73" t="str">
        <f t="shared" si="3"/>
        <v>02</v>
      </c>
      <c r="N142" s="73" t="str">
        <f t="shared" si="4"/>
        <v>15:35:27</v>
      </c>
      <c r="O142" s="74"/>
      <c r="P142" s="74"/>
      <c r="Q142" s="74"/>
      <c r="R142" s="74"/>
      <c r="S142" s="74"/>
      <c r="T142" s="74"/>
      <c r="U142" s="74"/>
      <c r="V142" s="74"/>
    </row>
    <row r="143" spans="1:22" ht="22.5" customHeight="1">
      <c r="A143" s="70" t="s">
        <v>1462</v>
      </c>
      <c r="B143" s="70" t="s">
        <v>1463</v>
      </c>
      <c r="C143" s="70" t="s">
        <v>1464</v>
      </c>
      <c r="D143" s="70" t="s">
        <v>1465</v>
      </c>
      <c r="E143" s="71">
        <f t="shared" si="7"/>
        <v>8</v>
      </c>
      <c r="F143" s="71" t="s">
        <v>415</v>
      </c>
      <c r="G143" s="71">
        <v>11</v>
      </c>
      <c r="H143" s="72" t="str">
        <f t="shared" si="8"/>
        <v>T-11</v>
      </c>
      <c r="I143" s="70" t="s">
        <v>1466</v>
      </c>
      <c r="J143" s="70" t="s">
        <v>1467</v>
      </c>
      <c r="K143" s="73" t="str">
        <f t="shared" si="1"/>
        <v>2026</v>
      </c>
      <c r="L143" s="73" t="str">
        <f t="shared" si="2"/>
        <v>05</v>
      </c>
      <c r="M143" s="73" t="str">
        <f t="shared" si="3"/>
        <v>02</v>
      </c>
      <c r="N143" s="73" t="str">
        <f t="shared" si="4"/>
        <v>15:17:10</v>
      </c>
      <c r="O143" s="74"/>
      <c r="P143" s="74"/>
      <c r="Q143" s="74"/>
      <c r="R143" s="74"/>
      <c r="S143" s="74"/>
      <c r="T143" s="74"/>
      <c r="U143" s="74"/>
      <c r="V143" s="74"/>
    </row>
    <row r="144" spans="1:22" ht="22.5" customHeight="1">
      <c r="A144" s="70" t="s">
        <v>1468</v>
      </c>
      <c r="B144" s="70" t="s">
        <v>1469</v>
      </c>
      <c r="C144" s="70" t="s">
        <v>1470</v>
      </c>
      <c r="D144" s="70" t="s">
        <v>1471</v>
      </c>
      <c r="E144" s="71">
        <f t="shared" si="7"/>
        <v>8</v>
      </c>
      <c r="F144" s="71" t="s">
        <v>592</v>
      </c>
      <c r="G144" s="71">
        <v>8</v>
      </c>
      <c r="H144" s="72" t="str">
        <f t="shared" si="8"/>
        <v>H1-8</v>
      </c>
      <c r="I144" s="70" t="s">
        <v>1472</v>
      </c>
      <c r="J144" s="70" t="s">
        <v>1473</v>
      </c>
      <c r="K144" s="73" t="str">
        <f t="shared" si="1"/>
        <v>2026</v>
      </c>
      <c r="L144" s="73" t="str">
        <f t="shared" si="2"/>
        <v>05</v>
      </c>
      <c r="M144" s="73" t="str">
        <f t="shared" si="3"/>
        <v>02</v>
      </c>
      <c r="N144" s="73" t="str">
        <f t="shared" si="4"/>
        <v>15:14:17</v>
      </c>
      <c r="O144" s="74"/>
      <c r="P144" s="74"/>
      <c r="Q144" s="74"/>
      <c r="R144" s="74"/>
      <c r="S144" s="74"/>
      <c r="T144" s="74"/>
      <c r="U144" s="74"/>
      <c r="V144" s="74"/>
    </row>
    <row r="145" spans="1:22" ht="22.5" customHeight="1">
      <c r="A145" s="70" t="s">
        <v>1474</v>
      </c>
      <c r="B145" s="70" t="s">
        <v>1475</v>
      </c>
      <c r="C145" s="70" t="s">
        <v>1476</v>
      </c>
      <c r="D145" s="70" t="s">
        <v>1477</v>
      </c>
      <c r="E145" s="71">
        <f t="shared" si="7"/>
        <v>8</v>
      </c>
      <c r="F145" s="71" t="s">
        <v>592</v>
      </c>
      <c r="G145" s="71">
        <v>5</v>
      </c>
      <c r="H145" s="72" t="str">
        <f t="shared" si="8"/>
        <v>H1-5</v>
      </c>
      <c r="I145" s="70" t="s">
        <v>1478</v>
      </c>
      <c r="J145" s="70" t="s">
        <v>1479</v>
      </c>
      <c r="K145" s="73" t="str">
        <f t="shared" si="1"/>
        <v>2026</v>
      </c>
      <c r="L145" s="73" t="str">
        <f t="shared" si="2"/>
        <v>05</v>
      </c>
      <c r="M145" s="73" t="str">
        <f t="shared" si="3"/>
        <v>02</v>
      </c>
      <c r="N145" s="73" t="str">
        <f t="shared" si="4"/>
        <v>15:12:02</v>
      </c>
      <c r="O145" s="74"/>
      <c r="P145" s="74"/>
      <c r="Q145" s="74"/>
      <c r="R145" s="74"/>
      <c r="S145" s="74"/>
      <c r="T145" s="74"/>
      <c r="U145" s="74"/>
      <c r="V145" s="74"/>
    </row>
    <row r="146" spans="1:22" ht="22.5" customHeight="1">
      <c r="A146" s="70" t="s">
        <v>1480</v>
      </c>
      <c r="B146" s="70" t="s">
        <v>1481</v>
      </c>
      <c r="C146" s="70" t="s">
        <v>1482</v>
      </c>
      <c r="D146" s="70" t="s">
        <v>1483</v>
      </c>
      <c r="E146" s="71">
        <f t="shared" si="7"/>
        <v>10</v>
      </c>
      <c r="F146" s="71" t="s">
        <v>519</v>
      </c>
      <c r="G146" s="71">
        <v>7</v>
      </c>
      <c r="H146" s="72" t="str">
        <f t="shared" si="8"/>
        <v>A1-7</v>
      </c>
      <c r="I146" s="70" t="s">
        <v>1484</v>
      </c>
      <c r="J146" s="70" t="s">
        <v>1485</v>
      </c>
      <c r="K146" s="73" t="str">
        <f t="shared" si="1"/>
        <v>2026</v>
      </c>
      <c r="L146" s="73" t="str">
        <f t="shared" si="2"/>
        <v>05</v>
      </c>
      <c r="M146" s="73" t="str">
        <f t="shared" si="3"/>
        <v>02</v>
      </c>
      <c r="N146" s="73" t="str">
        <f t="shared" si="4"/>
        <v>15:10:16</v>
      </c>
      <c r="O146" s="74"/>
      <c r="P146" s="74"/>
      <c r="Q146" s="74"/>
      <c r="R146" s="74"/>
      <c r="S146" s="74"/>
      <c r="T146" s="74"/>
      <c r="U146" s="74"/>
      <c r="V146" s="74"/>
    </row>
    <row r="147" spans="1:22" ht="22.5" hidden="1" customHeight="1">
      <c r="A147" s="70" t="s">
        <v>1486</v>
      </c>
      <c r="B147" s="70" t="s">
        <v>1487</v>
      </c>
      <c r="C147" s="70" t="s">
        <v>1488</v>
      </c>
      <c r="D147" s="70" t="s">
        <v>1489</v>
      </c>
      <c r="E147" s="71">
        <f>-VALUE(SUBSTITUTE(D147, ".", ","))</f>
        <v>-6</v>
      </c>
      <c r="F147" s="75"/>
      <c r="G147" s="75"/>
      <c r="H147" s="75"/>
      <c r="I147" s="70" t="s">
        <v>1490</v>
      </c>
      <c r="J147" s="70" t="s">
        <v>1491</v>
      </c>
      <c r="K147" s="73" t="str">
        <f t="shared" si="1"/>
        <v>2026</v>
      </c>
      <c r="L147" s="73" t="str">
        <f t="shared" si="2"/>
        <v>05</v>
      </c>
      <c r="M147" s="73" t="str">
        <f t="shared" si="3"/>
        <v>02</v>
      </c>
      <c r="N147" s="73" t="str">
        <f t="shared" si="4"/>
        <v>15:08:18</v>
      </c>
      <c r="O147" s="74"/>
      <c r="P147" s="74"/>
      <c r="Q147" s="74"/>
      <c r="R147" s="74"/>
      <c r="S147" s="74"/>
      <c r="T147" s="74"/>
      <c r="U147" s="74"/>
      <c r="V147" s="74"/>
    </row>
    <row r="148" spans="1:22" ht="22.5" customHeight="1">
      <c r="A148" s="70" t="s">
        <v>1492</v>
      </c>
      <c r="B148" s="70" t="s">
        <v>1493</v>
      </c>
      <c r="C148" s="70" t="s">
        <v>1494</v>
      </c>
      <c r="D148" s="70" t="s">
        <v>1495</v>
      </c>
      <c r="E148" s="71">
        <f t="shared" ref="E148:E189" si="9">VALUE(SUBSTITUTE(D148, ".", ","))</f>
        <v>9</v>
      </c>
      <c r="F148" s="71" t="s">
        <v>434</v>
      </c>
      <c r="G148" s="71">
        <v>1</v>
      </c>
      <c r="H148" s="72" t="str">
        <f t="shared" ref="H148:H343" si="10">TRIM(UPPER(F148)) &amp; "-" &amp; TRIM(UPPER(G148))</f>
        <v>U-1</v>
      </c>
      <c r="I148" s="70" t="s">
        <v>1496</v>
      </c>
      <c r="J148" s="70" t="s">
        <v>1497</v>
      </c>
      <c r="K148" s="73" t="str">
        <f t="shared" si="1"/>
        <v>2026</v>
      </c>
      <c r="L148" s="73" t="str">
        <f t="shared" si="2"/>
        <v>05</v>
      </c>
      <c r="M148" s="73" t="str">
        <f t="shared" si="3"/>
        <v>02</v>
      </c>
      <c r="N148" s="73" t="str">
        <f t="shared" si="4"/>
        <v>15:08:00</v>
      </c>
      <c r="O148" s="74"/>
      <c r="P148" s="74"/>
      <c r="Q148" s="74"/>
      <c r="R148" s="74"/>
      <c r="S148" s="74"/>
      <c r="T148" s="74"/>
      <c r="U148" s="74"/>
      <c r="V148" s="74"/>
    </row>
    <row r="149" spans="1:22" ht="22.5" customHeight="1">
      <c r="A149" s="70" t="s">
        <v>1498</v>
      </c>
      <c r="B149" s="70" t="s">
        <v>1499</v>
      </c>
      <c r="C149" s="70" t="s">
        <v>1500</v>
      </c>
      <c r="D149" s="70" t="s">
        <v>1501</v>
      </c>
      <c r="E149" s="71">
        <f t="shared" si="9"/>
        <v>14</v>
      </c>
      <c r="F149" s="71" t="s">
        <v>401</v>
      </c>
      <c r="G149" s="71">
        <v>11</v>
      </c>
      <c r="H149" s="72" t="str">
        <f t="shared" si="10"/>
        <v>S-11</v>
      </c>
      <c r="I149" s="70" t="s">
        <v>1502</v>
      </c>
      <c r="J149" s="70" t="s">
        <v>1503</v>
      </c>
      <c r="K149" s="73" t="str">
        <f t="shared" si="1"/>
        <v>2026</v>
      </c>
      <c r="L149" s="73" t="str">
        <f t="shared" si="2"/>
        <v>05</v>
      </c>
      <c r="M149" s="73" t="str">
        <f t="shared" si="3"/>
        <v>02</v>
      </c>
      <c r="N149" s="73" t="str">
        <f t="shared" si="4"/>
        <v>15:06:18</v>
      </c>
      <c r="O149" s="74"/>
      <c r="P149" s="74"/>
      <c r="Q149" s="74"/>
      <c r="R149" s="74"/>
      <c r="S149" s="74"/>
      <c r="T149" s="74"/>
      <c r="U149" s="74"/>
      <c r="V149" s="74"/>
    </row>
    <row r="150" spans="1:22" ht="22.5" customHeight="1">
      <c r="A150" s="70" t="s">
        <v>1504</v>
      </c>
      <c r="B150" s="70" t="s">
        <v>1505</v>
      </c>
      <c r="C150" s="70" t="s">
        <v>1506</v>
      </c>
      <c r="D150" s="70" t="s">
        <v>1507</v>
      </c>
      <c r="E150" s="71">
        <f t="shared" si="9"/>
        <v>8</v>
      </c>
      <c r="F150" s="71" t="s">
        <v>441</v>
      </c>
      <c r="G150" s="71">
        <v>3</v>
      </c>
      <c r="H150" s="72" t="str">
        <f t="shared" si="10"/>
        <v>V-3</v>
      </c>
      <c r="I150" s="70" t="s">
        <v>1508</v>
      </c>
      <c r="J150" s="70" t="s">
        <v>1509</v>
      </c>
      <c r="K150" s="73" t="str">
        <f t="shared" si="1"/>
        <v>2026</v>
      </c>
      <c r="L150" s="73" t="str">
        <f t="shared" si="2"/>
        <v>05</v>
      </c>
      <c r="M150" s="73" t="str">
        <f t="shared" si="3"/>
        <v>02</v>
      </c>
      <c r="N150" s="73" t="str">
        <f t="shared" si="4"/>
        <v>15:05:10</v>
      </c>
      <c r="O150" s="74"/>
      <c r="P150" s="74"/>
      <c r="Q150" s="74"/>
      <c r="R150" s="74"/>
      <c r="S150" s="74"/>
      <c r="T150" s="74"/>
      <c r="U150" s="74"/>
      <c r="V150" s="74"/>
    </row>
    <row r="151" spans="1:22" ht="22.5" customHeight="1">
      <c r="A151" s="70" t="s">
        <v>1510</v>
      </c>
      <c r="B151" s="70" t="s">
        <v>1511</v>
      </c>
      <c r="C151" s="70" t="s">
        <v>1512</v>
      </c>
      <c r="D151" s="70" t="s">
        <v>1513</v>
      </c>
      <c r="E151" s="71">
        <f t="shared" si="9"/>
        <v>15</v>
      </c>
      <c r="F151" s="71" t="s">
        <v>357</v>
      </c>
      <c r="G151" s="71">
        <v>5</v>
      </c>
      <c r="H151" s="72" t="str">
        <f t="shared" si="10"/>
        <v>P-5</v>
      </c>
      <c r="I151" s="70" t="s">
        <v>1514</v>
      </c>
      <c r="J151" s="70" t="s">
        <v>1515</v>
      </c>
      <c r="K151" s="73" t="str">
        <f t="shared" si="1"/>
        <v>2026</v>
      </c>
      <c r="L151" s="73" t="str">
        <f t="shared" si="2"/>
        <v>05</v>
      </c>
      <c r="M151" s="73" t="str">
        <f t="shared" si="3"/>
        <v>02</v>
      </c>
      <c r="N151" s="73" t="str">
        <f t="shared" si="4"/>
        <v>15:02:26</v>
      </c>
      <c r="O151" s="74"/>
      <c r="P151" s="74"/>
      <c r="Q151" s="74"/>
      <c r="R151" s="74"/>
      <c r="S151" s="74"/>
      <c r="T151" s="74"/>
      <c r="U151" s="74"/>
      <c r="V151" s="74"/>
    </row>
    <row r="152" spans="1:22" ht="22.5" customHeight="1">
      <c r="A152" s="70" t="s">
        <v>1516</v>
      </c>
      <c r="B152" s="70" t="s">
        <v>1517</v>
      </c>
      <c r="C152" s="70" t="s">
        <v>1518</v>
      </c>
      <c r="D152" s="70" t="s">
        <v>1519</v>
      </c>
      <c r="E152" s="71">
        <f t="shared" si="9"/>
        <v>10</v>
      </c>
      <c r="F152" s="71" t="s">
        <v>357</v>
      </c>
      <c r="G152" s="71">
        <v>10</v>
      </c>
      <c r="H152" s="72" t="str">
        <f t="shared" si="10"/>
        <v>P-10</v>
      </c>
      <c r="I152" s="70" t="s">
        <v>1520</v>
      </c>
      <c r="J152" s="70" t="s">
        <v>1521</v>
      </c>
      <c r="K152" s="73" t="str">
        <f t="shared" si="1"/>
        <v>2026</v>
      </c>
      <c r="L152" s="73" t="str">
        <f t="shared" si="2"/>
        <v>05</v>
      </c>
      <c r="M152" s="73" t="str">
        <f t="shared" si="3"/>
        <v>02</v>
      </c>
      <c r="N152" s="73" t="str">
        <f t="shared" si="4"/>
        <v>15:00:53</v>
      </c>
      <c r="O152" s="74"/>
      <c r="P152" s="74"/>
      <c r="Q152" s="74"/>
      <c r="R152" s="74"/>
      <c r="S152" s="74"/>
      <c r="T152" s="74"/>
      <c r="U152" s="74"/>
      <c r="V152" s="74"/>
    </row>
    <row r="153" spans="1:22" ht="22.5" customHeight="1">
      <c r="A153" s="70" t="s">
        <v>1522</v>
      </c>
      <c r="B153" s="70" t="s">
        <v>1523</v>
      </c>
      <c r="C153" s="70" t="s">
        <v>1524</v>
      </c>
      <c r="D153" s="70" t="s">
        <v>1525</v>
      </c>
      <c r="E153" s="71">
        <f t="shared" si="9"/>
        <v>8</v>
      </c>
      <c r="F153" s="71" t="s">
        <v>299</v>
      </c>
      <c r="G153" s="71">
        <v>11</v>
      </c>
      <c r="H153" s="72" t="str">
        <f t="shared" si="10"/>
        <v>M-11</v>
      </c>
      <c r="I153" s="75"/>
      <c r="J153" s="70" t="s">
        <v>1526</v>
      </c>
      <c r="K153" s="73" t="str">
        <f t="shared" si="1"/>
        <v>2026</v>
      </c>
      <c r="L153" s="73" t="str">
        <f t="shared" si="2"/>
        <v>05</v>
      </c>
      <c r="M153" s="73" t="str">
        <f t="shared" si="3"/>
        <v>02</v>
      </c>
      <c r="N153" s="73" t="str">
        <f t="shared" si="4"/>
        <v>14:56:37</v>
      </c>
      <c r="O153" s="74"/>
      <c r="P153" s="74"/>
      <c r="Q153" s="74"/>
      <c r="R153" s="74"/>
      <c r="S153" s="74"/>
      <c r="T153" s="74"/>
      <c r="U153" s="74"/>
      <c r="V153" s="74"/>
    </row>
    <row r="154" spans="1:22" ht="22.5" customHeight="1">
      <c r="A154" s="70" t="s">
        <v>1527</v>
      </c>
      <c r="B154" s="70" t="s">
        <v>1528</v>
      </c>
      <c r="C154" s="70" t="s">
        <v>1529</v>
      </c>
      <c r="D154" s="70" t="s">
        <v>1530</v>
      </c>
      <c r="E154" s="71">
        <f t="shared" si="9"/>
        <v>24</v>
      </c>
      <c r="F154" s="71" t="s">
        <v>532</v>
      </c>
      <c r="G154" s="71">
        <v>9</v>
      </c>
      <c r="H154" s="72" t="str">
        <f t="shared" si="10"/>
        <v>B1-9</v>
      </c>
      <c r="I154" s="70" t="s">
        <v>1531</v>
      </c>
      <c r="J154" s="70" t="s">
        <v>1532</v>
      </c>
      <c r="K154" s="73" t="str">
        <f t="shared" si="1"/>
        <v>2026</v>
      </c>
      <c r="L154" s="73" t="str">
        <f t="shared" si="2"/>
        <v>05</v>
      </c>
      <c r="M154" s="73" t="str">
        <f t="shared" si="3"/>
        <v>02</v>
      </c>
      <c r="N154" s="73" t="str">
        <f t="shared" si="4"/>
        <v>14:38:17</v>
      </c>
      <c r="O154" s="74"/>
      <c r="P154" s="74"/>
      <c r="Q154" s="74"/>
      <c r="R154" s="74"/>
      <c r="S154" s="74"/>
      <c r="T154" s="74"/>
      <c r="U154" s="74"/>
      <c r="V154" s="74"/>
    </row>
    <row r="155" spans="1:22" ht="22.5" customHeight="1">
      <c r="A155" s="70" t="s">
        <v>1533</v>
      </c>
      <c r="B155" s="70" t="s">
        <v>1534</v>
      </c>
      <c r="C155" s="70" t="s">
        <v>1535</v>
      </c>
      <c r="D155" s="70" t="s">
        <v>1536</v>
      </c>
      <c r="E155" s="71">
        <f t="shared" si="9"/>
        <v>54</v>
      </c>
      <c r="F155" s="71" t="s">
        <v>161</v>
      </c>
      <c r="G155" s="71">
        <v>14</v>
      </c>
      <c r="H155" s="72" t="str">
        <f t="shared" si="10"/>
        <v>F-14</v>
      </c>
      <c r="I155" s="70" t="s">
        <v>1537</v>
      </c>
      <c r="J155" s="70" t="s">
        <v>1538</v>
      </c>
      <c r="K155" s="73" t="str">
        <f t="shared" si="1"/>
        <v>2026</v>
      </c>
      <c r="L155" s="73" t="str">
        <f t="shared" si="2"/>
        <v>05</v>
      </c>
      <c r="M155" s="73" t="str">
        <f t="shared" si="3"/>
        <v>02</v>
      </c>
      <c r="N155" s="73" t="str">
        <f t="shared" si="4"/>
        <v>14:37:32</v>
      </c>
      <c r="O155" s="74"/>
      <c r="P155" s="74"/>
      <c r="Q155" s="74"/>
      <c r="R155" s="74"/>
      <c r="S155" s="74"/>
      <c r="T155" s="74"/>
      <c r="U155" s="74"/>
      <c r="V155" s="74"/>
    </row>
    <row r="156" spans="1:22" ht="22.5" customHeight="1">
      <c r="A156" s="70" t="s">
        <v>1539</v>
      </c>
      <c r="B156" s="70" t="s">
        <v>1540</v>
      </c>
      <c r="C156" s="70" t="s">
        <v>1541</v>
      </c>
      <c r="D156" s="70" t="s">
        <v>1542</v>
      </c>
      <c r="E156" s="71">
        <f t="shared" si="9"/>
        <v>9</v>
      </c>
      <c r="F156" s="71" t="s">
        <v>560</v>
      </c>
      <c r="G156" s="71">
        <v>6</v>
      </c>
      <c r="H156" s="72" t="str">
        <f t="shared" si="10"/>
        <v>D1-6</v>
      </c>
      <c r="I156" s="70" t="s">
        <v>1543</v>
      </c>
      <c r="J156" s="70" t="s">
        <v>1544</v>
      </c>
      <c r="K156" s="73" t="str">
        <f t="shared" si="1"/>
        <v>2026</v>
      </c>
      <c r="L156" s="73" t="str">
        <f t="shared" si="2"/>
        <v>05</v>
      </c>
      <c r="M156" s="73" t="str">
        <f t="shared" si="3"/>
        <v>02</v>
      </c>
      <c r="N156" s="73" t="str">
        <f t="shared" si="4"/>
        <v>14:36:17</v>
      </c>
      <c r="O156" s="74"/>
      <c r="P156" s="74"/>
      <c r="Q156" s="74"/>
      <c r="R156" s="74"/>
      <c r="S156" s="74"/>
      <c r="T156" s="74"/>
      <c r="U156" s="74"/>
      <c r="V156" s="74"/>
    </row>
    <row r="157" spans="1:22" ht="22.5" customHeight="1">
      <c r="A157" s="70" t="s">
        <v>1545</v>
      </c>
      <c r="B157" s="70" t="s">
        <v>1546</v>
      </c>
      <c r="C157" s="70" t="s">
        <v>1547</v>
      </c>
      <c r="D157" s="70" t="s">
        <v>1548</v>
      </c>
      <c r="E157" s="71">
        <f t="shared" si="9"/>
        <v>10</v>
      </c>
      <c r="F157" s="71" t="s">
        <v>575</v>
      </c>
      <c r="G157" s="71">
        <v>1</v>
      </c>
      <c r="H157" s="72" t="str">
        <f t="shared" si="10"/>
        <v>F1-1</v>
      </c>
      <c r="I157" s="70" t="s">
        <v>1549</v>
      </c>
      <c r="J157" s="70" t="s">
        <v>1550</v>
      </c>
      <c r="K157" s="73" t="str">
        <f t="shared" si="1"/>
        <v>2026</v>
      </c>
      <c r="L157" s="73" t="str">
        <f t="shared" si="2"/>
        <v>05</v>
      </c>
      <c r="M157" s="73" t="str">
        <f t="shared" si="3"/>
        <v>02</v>
      </c>
      <c r="N157" s="73" t="str">
        <f t="shared" si="4"/>
        <v>14:06:07</v>
      </c>
      <c r="O157" s="74"/>
      <c r="P157" s="74"/>
      <c r="Q157" s="74"/>
      <c r="R157" s="74"/>
      <c r="S157" s="74"/>
      <c r="T157" s="74"/>
      <c r="U157" s="74"/>
      <c r="V157" s="74"/>
    </row>
    <row r="158" spans="1:22" ht="22.5" customHeight="1">
      <c r="A158" s="70" t="s">
        <v>1551</v>
      </c>
      <c r="B158" s="70" t="s">
        <v>1552</v>
      </c>
      <c r="C158" s="70" t="s">
        <v>1553</v>
      </c>
      <c r="D158" s="70" t="s">
        <v>1554</v>
      </c>
      <c r="E158" s="71">
        <f t="shared" si="9"/>
        <v>35</v>
      </c>
      <c r="F158" s="71" t="s">
        <v>228</v>
      </c>
      <c r="G158" s="71">
        <v>5</v>
      </c>
      <c r="H158" s="72" t="str">
        <f t="shared" si="10"/>
        <v>I-5</v>
      </c>
      <c r="I158" s="70" t="s">
        <v>1555</v>
      </c>
      <c r="J158" s="70" t="s">
        <v>1556</v>
      </c>
      <c r="K158" s="73" t="str">
        <f t="shared" si="1"/>
        <v>2026</v>
      </c>
      <c r="L158" s="73" t="str">
        <f t="shared" si="2"/>
        <v>05</v>
      </c>
      <c r="M158" s="73" t="str">
        <f t="shared" si="3"/>
        <v>02</v>
      </c>
      <c r="N158" s="73" t="str">
        <f t="shared" si="4"/>
        <v>14:04:15</v>
      </c>
      <c r="O158" s="74"/>
      <c r="P158" s="74"/>
      <c r="Q158" s="74"/>
      <c r="R158" s="74"/>
      <c r="S158" s="74"/>
      <c r="T158" s="74"/>
      <c r="U158" s="74"/>
      <c r="V158" s="74"/>
    </row>
    <row r="159" spans="1:22" ht="22.5" customHeight="1">
      <c r="A159" s="70" t="s">
        <v>1557</v>
      </c>
      <c r="B159" s="70" t="s">
        <v>1558</v>
      </c>
      <c r="C159" s="70" t="s">
        <v>1559</v>
      </c>
      <c r="D159" s="70" t="s">
        <v>1560</v>
      </c>
      <c r="E159" s="71">
        <f t="shared" si="9"/>
        <v>19</v>
      </c>
      <c r="F159" s="71" t="s">
        <v>441</v>
      </c>
      <c r="G159" s="71">
        <v>6</v>
      </c>
      <c r="H159" s="72" t="str">
        <f t="shared" si="10"/>
        <v>V-6</v>
      </c>
      <c r="I159" s="70" t="s">
        <v>1561</v>
      </c>
      <c r="J159" s="70" t="s">
        <v>1562</v>
      </c>
      <c r="K159" s="73" t="str">
        <f t="shared" si="1"/>
        <v>2026</v>
      </c>
      <c r="L159" s="73" t="str">
        <f t="shared" si="2"/>
        <v>05</v>
      </c>
      <c r="M159" s="73" t="str">
        <f t="shared" si="3"/>
        <v>02</v>
      </c>
      <c r="N159" s="73" t="str">
        <f t="shared" si="4"/>
        <v>13:58:00</v>
      </c>
      <c r="O159" s="74"/>
      <c r="P159" s="74"/>
      <c r="Q159" s="74"/>
      <c r="R159" s="74"/>
      <c r="S159" s="74"/>
      <c r="T159" s="74"/>
      <c r="U159" s="74"/>
      <c r="V159" s="74"/>
    </row>
    <row r="160" spans="1:22" ht="34.5" customHeight="1">
      <c r="A160" s="70" t="s">
        <v>1563</v>
      </c>
      <c r="B160" s="70" t="s">
        <v>1564</v>
      </c>
      <c r="C160" s="70" t="s">
        <v>1565</v>
      </c>
      <c r="D160" s="70" t="s">
        <v>1566</v>
      </c>
      <c r="E160" s="71">
        <f t="shared" si="9"/>
        <v>9</v>
      </c>
      <c r="F160" s="82" t="s">
        <v>228</v>
      </c>
      <c r="G160" s="83">
        <v>9</v>
      </c>
      <c r="H160" s="84" t="str">
        <f t="shared" si="10"/>
        <v>I-9</v>
      </c>
      <c r="I160" s="70" t="s">
        <v>1567</v>
      </c>
      <c r="J160" s="70" t="s">
        <v>1568</v>
      </c>
      <c r="K160" s="73" t="str">
        <f t="shared" si="1"/>
        <v>2026</v>
      </c>
      <c r="L160" s="73" t="str">
        <f t="shared" si="2"/>
        <v>05</v>
      </c>
      <c r="M160" s="73" t="str">
        <f t="shared" si="3"/>
        <v>02</v>
      </c>
      <c r="N160" s="73" t="str">
        <f t="shared" si="4"/>
        <v>13:54:17</v>
      </c>
      <c r="O160" s="74"/>
      <c r="P160" s="74"/>
      <c r="Q160" s="74"/>
      <c r="R160" s="74"/>
      <c r="S160" s="74"/>
      <c r="T160" s="74"/>
      <c r="U160" s="74"/>
      <c r="V160" s="74"/>
    </row>
    <row r="161" spans="1:22" ht="22.5" customHeight="1">
      <c r="A161" s="70" t="s">
        <v>1569</v>
      </c>
      <c r="B161" s="70" t="s">
        <v>1570</v>
      </c>
      <c r="C161" s="70" t="s">
        <v>1571</v>
      </c>
      <c r="D161" s="70" t="s">
        <v>1572</v>
      </c>
      <c r="E161" s="71">
        <f t="shared" si="9"/>
        <v>36</v>
      </c>
      <c r="F161" s="71" t="s">
        <v>125</v>
      </c>
      <c r="G161" s="71">
        <v>10</v>
      </c>
      <c r="H161" s="72" t="str">
        <f t="shared" si="10"/>
        <v>D-10</v>
      </c>
      <c r="I161" s="75"/>
      <c r="J161" s="70" t="s">
        <v>1573</v>
      </c>
      <c r="K161" s="73" t="str">
        <f t="shared" si="1"/>
        <v>2026</v>
      </c>
      <c r="L161" s="73" t="str">
        <f t="shared" si="2"/>
        <v>05</v>
      </c>
      <c r="M161" s="73" t="str">
        <f t="shared" si="3"/>
        <v>02</v>
      </c>
      <c r="N161" s="73" t="str">
        <f t="shared" si="4"/>
        <v>13:48:05</v>
      </c>
      <c r="O161" s="74"/>
      <c r="P161" s="74"/>
      <c r="Q161" s="74"/>
      <c r="R161" s="74"/>
      <c r="S161" s="74"/>
      <c r="T161" s="74"/>
      <c r="U161" s="74"/>
      <c r="V161" s="74"/>
    </row>
    <row r="162" spans="1:22" ht="22.5" customHeight="1">
      <c r="A162" s="70" t="s">
        <v>1574</v>
      </c>
      <c r="B162" s="70" t="s">
        <v>1575</v>
      </c>
      <c r="C162" s="70" t="s">
        <v>1576</v>
      </c>
      <c r="D162" s="70" t="s">
        <v>1577</v>
      </c>
      <c r="E162" s="71">
        <f t="shared" si="9"/>
        <v>8</v>
      </c>
      <c r="F162" s="71" t="s">
        <v>532</v>
      </c>
      <c r="G162" s="71">
        <v>14</v>
      </c>
      <c r="H162" s="72" t="str">
        <f t="shared" si="10"/>
        <v>B1-14</v>
      </c>
      <c r="I162" s="70" t="s">
        <v>1578</v>
      </c>
      <c r="J162" s="70" t="s">
        <v>1579</v>
      </c>
      <c r="K162" s="73" t="str">
        <f t="shared" si="1"/>
        <v>2026</v>
      </c>
      <c r="L162" s="73" t="str">
        <f t="shared" si="2"/>
        <v>05</v>
      </c>
      <c r="M162" s="73" t="str">
        <f t="shared" si="3"/>
        <v>02</v>
      </c>
      <c r="N162" s="73" t="str">
        <f t="shared" si="4"/>
        <v>13:46:32</v>
      </c>
      <c r="O162" s="74"/>
      <c r="P162" s="74"/>
      <c r="Q162" s="74"/>
      <c r="R162" s="74"/>
      <c r="S162" s="74"/>
      <c r="T162" s="74"/>
      <c r="U162" s="74"/>
      <c r="V162" s="74"/>
    </row>
    <row r="163" spans="1:22" ht="22.5" customHeight="1">
      <c r="A163" s="70" t="s">
        <v>1580</v>
      </c>
      <c r="B163" s="70" t="s">
        <v>1581</v>
      </c>
      <c r="C163" s="70" t="s">
        <v>1582</v>
      </c>
      <c r="D163" s="70" t="s">
        <v>1583</v>
      </c>
      <c r="E163" s="71">
        <f t="shared" si="9"/>
        <v>51</v>
      </c>
      <c r="F163" s="71" t="s">
        <v>532</v>
      </c>
      <c r="G163" s="71">
        <v>13</v>
      </c>
      <c r="H163" s="72" t="str">
        <f t="shared" si="10"/>
        <v>B1-13</v>
      </c>
      <c r="I163" s="70" t="s">
        <v>1584</v>
      </c>
      <c r="J163" s="70" t="s">
        <v>1585</v>
      </c>
      <c r="K163" s="73" t="str">
        <f t="shared" si="1"/>
        <v>2026</v>
      </c>
      <c r="L163" s="73" t="str">
        <f t="shared" si="2"/>
        <v>05</v>
      </c>
      <c r="M163" s="73" t="str">
        <f t="shared" si="3"/>
        <v>02</v>
      </c>
      <c r="N163" s="73" t="str">
        <f t="shared" si="4"/>
        <v>13:45:43</v>
      </c>
      <c r="O163" s="74"/>
      <c r="P163" s="74"/>
      <c r="Q163" s="74"/>
      <c r="R163" s="74"/>
      <c r="S163" s="74"/>
      <c r="T163" s="74"/>
      <c r="U163" s="74"/>
      <c r="V163" s="74"/>
    </row>
    <row r="164" spans="1:22" ht="22.5" customHeight="1">
      <c r="A164" s="70" t="s">
        <v>1586</v>
      </c>
      <c r="B164" s="70" t="s">
        <v>1587</v>
      </c>
      <c r="C164" s="70" t="s">
        <v>1588</v>
      </c>
      <c r="D164" s="70" t="s">
        <v>1589</v>
      </c>
      <c r="E164" s="71">
        <f t="shared" si="9"/>
        <v>11</v>
      </c>
      <c r="F164" s="71" t="s">
        <v>34</v>
      </c>
      <c r="G164" s="71">
        <v>1</v>
      </c>
      <c r="H164" s="72" t="str">
        <f t="shared" si="10"/>
        <v>A-1</v>
      </c>
      <c r="I164" s="70" t="s">
        <v>1590</v>
      </c>
      <c r="J164" s="70" t="s">
        <v>1591</v>
      </c>
      <c r="K164" s="73" t="str">
        <f t="shared" si="1"/>
        <v>2026</v>
      </c>
      <c r="L164" s="73" t="str">
        <f t="shared" si="2"/>
        <v>05</v>
      </c>
      <c r="M164" s="73" t="str">
        <f t="shared" si="3"/>
        <v>02</v>
      </c>
      <c r="N164" s="73" t="str">
        <f t="shared" si="4"/>
        <v>13:45:01</v>
      </c>
      <c r="O164" s="74"/>
      <c r="P164" s="74"/>
      <c r="Q164" s="74"/>
      <c r="R164" s="74"/>
      <c r="S164" s="74"/>
      <c r="T164" s="74"/>
      <c r="U164" s="74"/>
      <c r="V164" s="74"/>
    </row>
    <row r="165" spans="1:22" ht="22.5" customHeight="1">
      <c r="A165" s="70" t="s">
        <v>1592</v>
      </c>
      <c r="B165" s="70" t="s">
        <v>1593</v>
      </c>
      <c r="C165" s="70" t="s">
        <v>1594</v>
      </c>
      <c r="D165" s="70" t="s">
        <v>1595</v>
      </c>
      <c r="E165" s="71">
        <f t="shared" si="9"/>
        <v>16</v>
      </c>
      <c r="F165" s="71" t="s">
        <v>299</v>
      </c>
      <c r="G165" s="71">
        <v>5</v>
      </c>
      <c r="H165" s="72" t="str">
        <f t="shared" si="10"/>
        <v>M-5</v>
      </c>
      <c r="I165" s="70" t="s">
        <v>1596</v>
      </c>
      <c r="J165" s="70" t="s">
        <v>1597</v>
      </c>
      <c r="K165" s="73" t="str">
        <f t="shared" si="1"/>
        <v>2026</v>
      </c>
      <c r="L165" s="73" t="str">
        <f t="shared" si="2"/>
        <v>05</v>
      </c>
      <c r="M165" s="73" t="str">
        <f t="shared" si="3"/>
        <v>02</v>
      </c>
      <c r="N165" s="73" t="str">
        <f t="shared" si="4"/>
        <v>13:44:21</v>
      </c>
      <c r="O165" s="74"/>
      <c r="P165" s="74"/>
      <c r="Q165" s="74"/>
      <c r="R165" s="74"/>
      <c r="S165" s="74"/>
      <c r="T165" s="74"/>
      <c r="U165" s="74"/>
      <c r="V165" s="74"/>
    </row>
    <row r="166" spans="1:22" ht="22.5" customHeight="1">
      <c r="A166" s="70" t="s">
        <v>1598</v>
      </c>
      <c r="B166" s="70" t="s">
        <v>1599</v>
      </c>
      <c r="C166" s="70" t="s">
        <v>1600</v>
      </c>
      <c r="D166" s="70" t="s">
        <v>1601</v>
      </c>
      <c r="E166" s="71">
        <f t="shared" si="9"/>
        <v>10</v>
      </c>
      <c r="F166" s="71" t="s">
        <v>205</v>
      </c>
      <c r="G166" s="71">
        <v>10</v>
      </c>
      <c r="H166" s="72" t="str">
        <f t="shared" si="10"/>
        <v>H-10</v>
      </c>
      <c r="I166" s="70" t="s">
        <v>1602</v>
      </c>
      <c r="J166" s="70" t="s">
        <v>1603</v>
      </c>
      <c r="K166" s="73" t="str">
        <f t="shared" si="1"/>
        <v>2026</v>
      </c>
      <c r="L166" s="73" t="str">
        <f t="shared" si="2"/>
        <v>05</v>
      </c>
      <c r="M166" s="73" t="str">
        <f t="shared" si="3"/>
        <v>02</v>
      </c>
      <c r="N166" s="73" t="str">
        <f t="shared" si="4"/>
        <v>13:43:38</v>
      </c>
      <c r="O166" s="74"/>
      <c r="P166" s="74"/>
      <c r="Q166" s="74"/>
      <c r="R166" s="74"/>
      <c r="S166" s="74"/>
      <c r="T166" s="74"/>
      <c r="U166" s="74"/>
      <c r="V166" s="74"/>
    </row>
    <row r="167" spans="1:22" ht="22.5" customHeight="1">
      <c r="A167" s="70" t="s">
        <v>1604</v>
      </c>
      <c r="B167" s="70" t="s">
        <v>1605</v>
      </c>
      <c r="C167" s="70" t="s">
        <v>1606</v>
      </c>
      <c r="D167" s="70" t="s">
        <v>1607</v>
      </c>
      <c r="E167" s="71">
        <f t="shared" si="9"/>
        <v>8</v>
      </c>
      <c r="F167" s="85" t="s">
        <v>575</v>
      </c>
      <c r="G167" s="86">
        <v>13</v>
      </c>
      <c r="H167" s="72" t="str">
        <f t="shared" si="10"/>
        <v>F1-13</v>
      </c>
      <c r="I167" s="75"/>
      <c r="J167" s="70" t="s">
        <v>1608</v>
      </c>
      <c r="K167" s="73" t="str">
        <f t="shared" si="1"/>
        <v>2026</v>
      </c>
      <c r="L167" s="73" t="str">
        <f t="shared" si="2"/>
        <v>05</v>
      </c>
      <c r="M167" s="73" t="str">
        <f t="shared" si="3"/>
        <v>02</v>
      </c>
      <c r="N167" s="73" t="str">
        <f t="shared" si="4"/>
        <v>13:31:48</v>
      </c>
      <c r="O167" s="74"/>
      <c r="P167" s="74"/>
      <c r="Q167" s="74"/>
      <c r="R167" s="74"/>
      <c r="S167" s="74"/>
      <c r="T167" s="74"/>
      <c r="U167" s="74"/>
      <c r="V167" s="74"/>
    </row>
    <row r="168" spans="1:22" ht="22.5" customHeight="1">
      <c r="A168" s="76" t="s">
        <v>1609</v>
      </c>
      <c r="B168" s="76" t="s">
        <v>1610</v>
      </c>
      <c r="C168" s="76" t="s">
        <v>1611</v>
      </c>
      <c r="D168" s="76" t="s">
        <v>1612</v>
      </c>
      <c r="E168" s="71">
        <f t="shared" si="9"/>
        <v>91</v>
      </c>
      <c r="F168" s="71" t="s">
        <v>228</v>
      </c>
      <c r="G168" s="75">
        <v>8</v>
      </c>
      <c r="H168" s="72" t="str">
        <f t="shared" si="10"/>
        <v>I-8</v>
      </c>
      <c r="I168" s="70" t="s">
        <v>1613</v>
      </c>
      <c r="J168" s="70" t="s">
        <v>1614</v>
      </c>
      <c r="K168" s="73" t="str">
        <f t="shared" si="1"/>
        <v>2026</v>
      </c>
      <c r="L168" s="73" t="str">
        <f t="shared" si="2"/>
        <v>05</v>
      </c>
      <c r="M168" s="73" t="str">
        <f t="shared" si="3"/>
        <v>02</v>
      </c>
      <c r="N168" s="73" t="str">
        <f t="shared" si="4"/>
        <v>13:29:40</v>
      </c>
      <c r="O168" s="74"/>
      <c r="P168" s="74"/>
      <c r="Q168" s="74"/>
      <c r="R168" s="74"/>
      <c r="S168" s="74"/>
      <c r="T168" s="74"/>
      <c r="U168" s="74"/>
      <c r="V168" s="74"/>
    </row>
    <row r="169" spans="1:22" ht="22.5" customHeight="1">
      <c r="A169" s="70" t="s">
        <v>1615</v>
      </c>
      <c r="B169" s="70" t="s">
        <v>1616</v>
      </c>
      <c r="C169" s="70" t="s">
        <v>1617</v>
      </c>
      <c r="D169" s="70" t="s">
        <v>1618</v>
      </c>
      <c r="E169" s="71">
        <f t="shared" si="9"/>
        <v>64</v>
      </c>
      <c r="F169" s="71" t="s">
        <v>415</v>
      </c>
      <c r="G169" s="71">
        <v>7</v>
      </c>
      <c r="H169" s="72" t="str">
        <f t="shared" si="10"/>
        <v>T-7</v>
      </c>
      <c r="I169" s="70" t="s">
        <v>1619</v>
      </c>
      <c r="J169" s="70" t="s">
        <v>1620</v>
      </c>
      <c r="K169" s="73" t="str">
        <f t="shared" si="1"/>
        <v>2026</v>
      </c>
      <c r="L169" s="73" t="str">
        <f t="shared" si="2"/>
        <v>05</v>
      </c>
      <c r="M169" s="73" t="str">
        <f t="shared" si="3"/>
        <v>02</v>
      </c>
      <c r="N169" s="73" t="str">
        <f t="shared" si="4"/>
        <v>13:06:23</v>
      </c>
    </row>
    <row r="170" spans="1:22" ht="22.5" customHeight="1">
      <c r="A170" s="70" t="s">
        <v>1621</v>
      </c>
      <c r="B170" s="70" t="s">
        <v>1622</v>
      </c>
      <c r="C170" s="70" t="s">
        <v>1623</v>
      </c>
      <c r="D170" s="70" t="s">
        <v>1624</v>
      </c>
      <c r="E170" s="71">
        <f t="shared" si="9"/>
        <v>87</v>
      </c>
      <c r="F170" s="71" t="s">
        <v>177</v>
      </c>
      <c r="G170" s="71">
        <v>6</v>
      </c>
      <c r="H170" s="72" t="str">
        <f t="shared" si="10"/>
        <v>G-6</v>
      </c>
      <c r="I170" s="75"/>
      <c r="J170" s="70" t="s">
        <v>1625</v>
      </c>
      <c r="K170" s="73" t="str">
        <f t="shared" si="1"/>
        <v>2026</v>
      </c>
      <c r="L170" s="73" t="str">
        <f t="shared" si="2"/>
        <v>05</v>
      </c>
      <c r="M170" s="73" t="str">
        <f t="shared" si="3"/>
        <v>02</v>
      </c>
      <c r="N170" s="73" t="str">
        <f t="shared" si="4"/>
        <v>12:49:52</v>
      </c>
      <c r="O170" s="74"/>
      <c r="P170" s="74"/>
      <c r="Q170" s="74"/>
      <c r="R170" s="74"/>
      <c r="S170" s="74"/>
      <c r="T170" s="74"/>
      <c r="U170" s="74"/>
      <c r="V170" s="74"/>
    </row>
    <row r="171" spans="1:22" ht="22.5" customHeight="1">
      <c r="A171" s="70" t="s">
        <v>1626</v>
      </c>
      <c r="B171" s="70" t="s">
        <v>1627</v>
      </c>
      <c r="C171" s="70" t="s">
        <v>1628</v>
      </c>
      <c r="D171" s="70" t="s">
        <v>1629</v>
      </c>
      <c r="E171" s="71">
        <f t="shared" si="9"/>
        <v>42</v>
      </c>
      <c r="F171" s="71" t="s">
        <v>415</v>
      </c>
      <c r="G171" s="71">
        <v>8</v>
      </c>
      <c r="H171" s="72" t="str">
        <f t="shared" si="10"/>
        <v>T-8</v>
      </c>
      <c r="I171" s="70" t="s">
        <v>1630</v>
      </c>
      <c r="J171" s="70" t="s">
        <v>1631</v>
      </c>
      <c r="K171" s="73" t="str">
        <f t="shared" si="1"/>
        <v>2026</v>
      </c>
      <c r="L171" s="73" t="str">
        <f t="shared" si="2"/>
        <v>05</v>
      </c>
      <c r="M171" s="73" t="str">
        <f t="shared" si="3"/>
        <v>02</v>
      </c>
      <c r="N171" s="73" t="str">
        <f t="shared" si="4"/>
        <v>12:03:55</v>
      </c>
      <c r="O171" s="74"/>
      <c r="P171" s="74"/>
      <c r="Q171" s="74"/>
      <c r="R171" s="74"/>
      <c r="S171" s="74"/>
      <c r="T171" s="74"/>
      <c r="U171" s="74"/>
      <c r="V171" s="74"/>
    </row>
    <row r="172" spans="1:22" ht="22.5" customHeight="1">
      <c r="A172" s="70" t="s">
        <v>1632</v>
      </c>
      <c r="B172" s="70" t="s">
        <v>1633</v>
      </c>
      <c r="C172" s="70" t="s">
        <v>1634</v>
      </c>
      <c r="D172" s="70" t="s">
        <v>1635</v>
      </c>
      <c r="E172" s="71">
        <f t="shared" si="9"/>
        <v>8</v>
      </c>
      <c r="F172" s="71" t="s">
        <v>473</v>
      </c>
      <c r="G172" s="71">
        <v>34</v>
      </c>
      <c r="H172" s="72" t="str">
        <f t="shared" si="10"/>
        <v>X-34</v>
      </c>
      <c r="I172" s="70" t="s">
        <v>1636</v>
      </c>
      <c r="J172" s="70" t="s">
        <v>1637</v>
      </c>
      <c r="K172" s="73" t="str">
        <f t="shared" si="1"/>
        <v>2026</v>
      </c>
      <c r="L172" s="73" t="str">
        <f t="shared" si="2"/>
        <v>05</v>
      </c>
      <c r="M172" s="73" t="str">
        <f t="shared" si="3"/>
        <v>02</v>
      </c>
      <c r="N172" s="73" t="str">
        <f t="shared" si="4"/>
        <v>12:01:59</v>
      </c>
      <c r="O172" s="74"/>
      <c r="P172" s="74"/>
      <c r="Q172" s="74"/>
      <c r="R172" s="74"/>
      <c r="S172" s="74"/>
      <c r="T172" s="74"/>
      <c r="U172" s="74"/>
      <c r="V172" s="74"/>
    </row>
    <row r="173" spans="1:22" ht="22.5" customHeight="1">
      <c r="A173" s="70" t="s">
        <v>1638</v>
      </c>
      <c r="B173" s="70" t="s">
        <v>1639</v>
      </c>
      <c r="C173" s="70" t="s">
        <v>1640</v>
      </c>
      <c r="D173" s="70" t="s">
        <v>1641</v>
      </c>
      <c r="E173" s="71">
        <f t="shared" si="9"/>
        <v>52</v>
      </c>
      <c r="F173" s="71" t="s">
        <v>144</v>
      </c>
      <c r="G173" s="71">
        <v>2</v>
      </c>
      <c r="H173" s="72" t="str">
        <f t="shared" si="10"/>
        <v>E-2</v>
      </c>
      <c r="I173" s="75"/>
      <c r="J173" s="70" t="s">
        <v>1642</v>
      </c>
      <c r="K173" s="73" t="str">
        <f t="shared" si="1"/>
        <v>2026</v>
      </c>
      <c r="L173" s="73" t="str">
        <f t="shared" si="2"/>
        <v>05</v>
      </c>
      <c r="M173" s="73" t="str">
        <f t="shared" si="3"/>
        <v>02</v>
      </c>
      <c r="N173" s="73" t="str">
        <f t="shared" si="4"/>
        <v>11:34:31</v>
      </c>
      <c r="O173" s="74"/>
      <c r="P173" s="74"/>
      <c r="Q173" s="74"/>
      <c r="R173" s="74"/>
      <c r="S173" s="74"/>
      <c r="T173" s="74"/>
      <c r="U173" s="74"/>
      <c r="V173" s="74"/>
    </row>
    <row r="174" spans="1:22" ht="22.5" customHeight="1">
      <c r="A174" s="70" t="s">
        <v>1643</v>
      </c>
      <c r="B174" s="70" t="s">
        <v>1644</v>
      </c>
      <c r="C174" s="70" t="s">
        <v>1645</v>
      </c>
      <c r="D174" s="70" t="s">
        <v>1646</v>
      </c>
      <c r="E174" s="71">
        <f t="shared" si="9"/>
        <v>8</v>
      </c>
      <c r="F174" s="71" t="s">
        <v>492</v>
      </c>
      <c r="G174" s="71">
        <v>2</v>
      </c>
      <c r="H174" s="72" t="str">
        <f t="shared" si="10"/>
        <v>Y-2</v>
      </c>
      <c r="I174" s="70" t="s">
        <v>1647</v>
      </c>
      <c r="J174" s="70" t="s">
        <v>1648</v>
      </c>
      <c r="K174" s="73" t="str">
        <f t="shared" si="1"/>
        <v>2026</v>
      </c>
      <c r="L174" s="73" t="str">
        <f t="shared" si="2"/>
        <v>05</v>
      </c>
      <c r="M174" s="73" t="str">
        <f t="shared" si="3"/>
        <v>02</v>
      </c>
      <c r="N174" s="73" t="str">
        <f t="shared" si="4"/>
        <v>11:23:46</v>
      </c>
      <c r="O174" s="74"/>
      <c r="P174" s="74"/>
      <c r="Q174" s="74"/>
      <c r="R174" s="74"/>
      <c r="S174" s="74"/>
      <c r="T174" s="74"/>
      <c r="U174" s="74"/>
      <c r="V174" s="74"/>
    </row>
    <row r="175" spans="1:22" ht="30.75" customHeight="1">
      <c r="A175" s="70" t="s">
        <v>1649</v>
      </c>
      <c r="B175" s="70" t="s">
        <v>1650</v>
      </c>
      <c r="C175" s="70" t="s">
        <v>1651</v>
      </c>
      <c r="D175" s="70" t="s">
        <v>1652</v>
      </c>
      <c r="E175" s="71">
        <f t="shared" si="9"/>
        <v>33</v>
      </c>
      <c r="F175" s="71" t="s">
        <v>251</v>
      </c>
      <c r="G175" s="71">
        <v>4</v>
      </c>
      <c r="H175" s="72" t="str">
        <f t="shared" si="10"/>
        <v>J-4</v>
      </c>
      <c r="I175" s="75"/>
      <c r="J175" s="70" t="s">
        <v>1653</v>
      </c>
      <c r="K175" s="73" t="str">
        <f t="shared" si="1"/>
        <v>2026</v>
      </c>
      <c r="L175" s="73" t="str">
        <f t="shared" si="2"/>
        <v>05</v>
      </c>
      <c r="M175" s="73" t="str">
        <f t="shared" si="3"/>
        <v>02</v>
      </c>
      <c r="N175" s="73" t="str">
        <f t="shared" si="4"/>
        <v>11:22:08</v>
      </c>
      <c r="O175" s="74"/>
      <c r="P175" s="74"/>
      <c r="Q175" s="74"/>
      <c r="R175" s="74"/>
      <c r="S175" s="74"/>
      <c r="T175" s="74"/>
      <c r="U175" s="74"/>
      <c r="V175" s="74"/>
    </row>
    <row r="176" spans="1:22" ht="30" customHeight="1">
      <c r="A176" s="70" t="s">
        <v>1654</v>
      </c>
      <c r="B176" s="70" t="s">
        <v>1655</v>
      </c>
      <c r="C176" s="70" t="s">
        <v>1656</v>
      </c>
      <c r="D176" s="70" t="s">
        <v>1657</v>
      </c>
      <c r="E176" s="71">
        <f t="shared" si="9"/>
        <v>38</v>
      </c>
      <c r="F176" s="71" t="s">
        <v>177</v>
      </c>
      <c r="G176" s="71">
        <v>4</v>
      </c>
      <c r="H176" s="72" t="str">
        <f t="shared" si="10"/>
        <v>G-4</v>
      </c>
      <c r="I176" s="70" t="s">
        <v>1658</v>
      </c>
      <c r="J176" s="70" t="s">
        <v>1659</v>
      </c>
      <c r="K176" s="73" t="str">
        <f t="shared" si="1"/>
        <v>2026</v>
      </c>
      <c r="L176" s="73" t="str">
        <f t="shared" si="2"/>
        <v>05</v>
      </c>
      <c r="M176" s="73" t="str">
        <f t="shared" si="3"/>
        <v>02</v>
      </c>
      <c r="N176" s="73" t="str">
        <f t="shared" si="4"/>
        <v>11:22:04</v>
      </c>
      <c r="O176" s="74"/>
      <c r="P176" s="74"/>
      <c r="Q176" s="74"/>
      <c r="R176" s="74"/>
      <c r="S176" s="74"/>
      <c r="T176" s="74"/>
      <c r="U176" s="74"/>
      <c r="V176" s="74"/>
    </row>
    <row r="177" spans="1:22" ht="31.5" customHeight="1">
      <c r="A177" s="70" t="s">
        <v>1660</v>
      </c>
      <c r="B177" s="70" t="s">
        <v>1661</v>
      </c>
      <c r="C177" s="70" t="s">
        <v>1662</v>
      </c>
      <c r="D177" s="70" t="s">
        <v>1663</v>
      </c>
      <c r="E177" s="71">
        <f t="shared" si="9"/>
        <v>19</v>
      </c>
      <c r="F177" s="71" t="s">
        <v>267</v>
      </c>
      <c r="G177" s="71">
        <v>7</v>
      </c>
      <c r="H177" s="72" t="str">
        <f t="shared" si="10"/>
        <v>K-7</v>
      </c>
      <c r="I177" s="70" t="s">
        <v>1664</v>
      </c>
      <c r="J177" s="70" t="s">
        <v>1665</v>
      </c>
      <c r="K177" s="73" t="str">
        <f t="shared" si="1"/>
        <v>2026</v>
      </c>
      <c r="L177" s="73" t="str">
        <f t="shared" si="2"/>
        <v>05</v>
      </c>
      <c r="M177" s="73" t="str">
        <f t="shared" si="3"/>
        <v>02</v>
      </c>
      <c r="N177" s="73" t="str">
        <f t="shared" si="4"/>
        <v>11:16:10</v>
      </c>
      <c r="O177" s="74"/>
      <c r="P177" s="74"/>
      <c r="Q177" s="74"/>
      <c r="R177" s="74"/>
      <c r="S177" s="74"/>
      <c r="T177" s="74"/>
      <c r="U177" s="74"/>
      <c r="V177" s="74"/>
    </row>
    <row r="178" spans="1:22" ht="33.75" customHeight="1">
      <c r="A178" s="70" t="s">
        <v>1666</v>
      </c>
      <c r="B178" s="70" t="s">
        <v>1667</v>
      </c>
      <c r="C178" s="70" t="s">
        <v>1668</v>
      </c>
      <c r="D178" s="70" t="s">
        <v>1669</v>
      </c>
      <c r="E178" s="71">
        <f t="shared" si="9"/>
        <v>12</v>
      </c>
      <c r="F178" s="71" t="s">
        <v>434</v>
      </c>
      <c r="G178" s="71">
        <v>6</v>
      </c>
      <c r="H178" s="72" t="str">
        <f t="shared" si="10"/>
        <v>U-6</v>
      </c>
      <c r="I178" s="70" t="s">
        <v>1670</v>
      </c>
      <c r="J178" s="70" t="s">
        <v>1671</v>
      </c>
      <c r="K178" s="73" t="str">
        <f t="shared" si="1"/>
        <v>2026</v>
      </c>
      <c r="L178" s="73" t="str">
        <f t="shared" si="2"/>
        <v>05</v>
      </c>
      <c r="M178" s="73" t="str">
        <f t="shared" si="3"/>
        <v>02</v>
      </c>
      <c r="N178" s="73" t="str">
        <f t="shared" si="4"/>
        <v>10:55:30</v>
      </c>
      <c r="O178" s="74"/>
      <c r="P178" s="74"/>
      <c r="Q178" s="74"/>
      <c r="R178" s="74"/>
      <c r="S178" s="74"/>
      <c r="T178" s="74"/>
      <c r="U178" s="74"/>
      <c r="V178" s="74"/>
    </row>
    <row r="179" spans="1:22" ht="22.5" customHeight="1">
      <c r="A179" s="70" t="s">
        <v>1672</v>
      </c>
      <c r="B179" s="70" t="s">
        <v>1673</v>
      </c>
      <c r="C179" s="70" t="s">
        <v>1674</v>
      </c>
      <c r="D179" s="70" t="s">
        <v>1675</v>
      </c>
      <c r="E179" s="71">
        <f t="shared" si="9"/>
        <v>42</v>
      </c>
      <c r="F179" s="71" t="s">
        <v>327</v>
      </c>
      <c r="G179" s="71">
        <v>1</v>
      </c>
      <c r="H179" s="72" t="str">
        <f t="shared" si="10"/>
        <v>O-1</v>
      </c>
      <c r="I179" s="70" t="s">
        <v>1676</v>
      </c>
      <c r="J179" s="70" t="s">
        <v>1677</v>
      </c>
      <c r="K179" s="73" t="str">
        <f t="shared" si="1"/>
        <v>2026</v>
      </c>
      <c r="L179" s="73" t="str">
        <f t="shared" si="2"/>
        <v>05</v>
      </c>
      <c r="M179" s="73" t="str">
        <f t="shared" si="3"/>
        <v>02</v>
      </c>
      <c r="N179" s="73" t="str">
        <f t="shared" si="4"/>
        <v>10:54:18</v>
      </c>
      <c r="O179" s="74"/>
      <c r="P179" s="74"/>
      <c r="Q179" s="74"/>
      <c r="R179" s="74"/>
      <c r="S179" s="74"/>
      <c r="T179" s="74"/>
      <c r="U179" s="74"/>
      <c r="V179" s="74"/>
    </row>
    <row r="180" spans="1:22" ht="22.5" customHeight="1">
      <c r="A180" s="70" t="s">
        <v>1678</v>
      </c>
      <c r="B180" s="70" t="s">
        <v>1679</v>
      </c>
      <c r="C180" s="70" t="s">
        <v>1680</v>
      </c>
      <c r="D180" s="70" t="s">
        <v>1681</v>
      </c>
      <c r="E180" s="71">
        <f t="shared" si="9"/>
        <v>49</v>
      </c>
      <c r="F180" s="71" t="s">
        <v>125</v>
      </c>
      <c r="G180" s="71">
        <v>16</v>
      </c>
      <c r="H180" s="72" t="str">
        <f t="shared" si="10"/>
        <v>D-16</v>
      </c>
      <c r="I180" s="70" t="s">
        <v>1682</v>
      </c>
      <c r="J180" s="70" t="s">
        <v>1683</v>
      </c>
      <c r="K180" s="73" t="str">
        <f t="shared" si="1"/>
        <v>2026</v>
      </c>
      <c r="L180" s="73" t="str">
        <f t="shared" si="2"/>
        <v>05</v>
      </c>
      <c r="M180" s="73" t="str">
        <f t="shared" si="3"/>
        <v>02</v>
      </c>
      <c r="N180" s="73" t="str">
        <f t="shared" si="4"/>
        <v>10:53:08</v>
      </c>
      <c r="O180" s="74"/>
      <c r="P180" s="74"/>
      <c r="Q180" s="74"/>
      <c r="R180" s="74"/>
      <c r="S180" s="74"/>
      <c r="T180" s="74"/>
      <c r="U180" s="74"/>
      <c r="V180" s="74"/>
    </row>
    <row r="181" spans="1:22" ht="22.5" customHeight="1">
      <c r="A181" s="70" t="s">
        <v>1684</v>
      </c>
      <c r="B181" s="70" t="s">
        <v>1685</v>
      </c>
      <c r="C181" s="70" t="s">
        <v>1686</v>
      </c>
      <c r="D181" s="70" t="s">
        <v>1687</v>
      </c>
      <c r="E181" s="71">
        <f t="shared" si="9"/>
        <v>37</v>
      </c>
      <c r="F181" s="71" t="s">
        <v>177</v>
      </c>
      <c r="G181" s="71">
        <v>3</v>
      </c>
      <c r="H181" s="72" t="str">
        <f t="shared" si="10"/>
        <v>G-3</v>
      </c>
      <c r="I181" s="70" t="s">
        <v>1688</v>
      </c>
      <c r="J181" s="70" t="s">
        <v>1689</v>
      </c>
      <c r="K181" s="73" t="str">
        <f t="shared" si="1"/>
        <v>2026</v>
      </c>
      <c r="L181" s="73" t="str">
        <f t="shared" si="2"/>
        <v>05</v>
      </c>
      <c r="M181" s="73" t="str">
        <f t="shared" si="3"/>
        <v>02</v>
      </c>
      <c r="N181" s="73" t="str">
        <f t="shared" si="4"/>
        <v>10:35:23</v>
      </c>
      <c r="O181" s="74"/>
      <c r="P181" s="74"/>
      <c r="Q181" s="74"/>
      <c r="R181" s="74"/>
      <c r="S181" s="74"/>
      <c r="T181" s="74"/>
      <c r="U181" s="74"/>
      <c r="V181" s="74"/>
    </row>
    <row r="182" spans="1:22" ht="22.5" customHeight="1">
      <c r="A182" s="70" t="s">
        <v>1690</v>
      </c>
      <c r="B182" s="70" t="s">
        <v>1691</v>
      </c>
      <c r="C182" s="70" t="s">
        <v>1692</v>
      </c>
      <c r="D182" s="70" t="s">
        <v>1693</v>
      </c>
      <c r="E182" s="71">
        <f t="shared" si="9"/>
        <v>42</v>
      </c>
      <c r="F182" s="71" t="s">
        <v>125</v>
      </c>
      <c r="G182" s="71">
        <v>18</v>
      </c>
      <c r="H182" s="72" t="str">
        <f t="shared" si="10"/>
        <v>D-18</v>
      </c>
      <c r="I182" s="70" t="s">
        <v>1694</v>
      </c>
      <c r="J182" s="70" t="s">
        <v>1695</v>
      </c>
      <c r="K182" s="73" t="str">
        <f t="shared" si="1"/>
        <v>2026</v>
      </c>
      <c r="L182" s="73" t="str">
        <f t="shared" si="2"/>
        <v>05</v>
      </c>
      <c r="M182" s="73" t="str">
        <f t="shared" si="3"/>
        <v>02</v>
      </c>
      <c r="N182" s="73" t="str">
        <f t="shared" si="4"/>
        <v>10:30:31</v>
      </c>
      <c r="O182" s="74"/>
      <c r="P182" s="74"/>
      <c r="Q182" s="74"/>
      <c r="R182" s="74"/>
      <c r="S182" s="74"/>
      <c r="T182" s="74"/>
      <c r="U182" s="74"/>
      <c r="V182" s="74"/>
    </row>
    <row r="183" spans="1:22" ht="22.5" customHeight="1">
      <c r="A183" s="70" t="s">
        <v>1696</v>
      </c>
      <c r="B183" s="70" t="s">
        <v>1697</v>
      </c>
      <c r="C183" s="70" t="s">
        <v>1698</v>
      </c>
      <c r="D183" s="70" t="s">
        <v>1699</v>
      </c>
      <c r="E183" s="71">
        <f t="shared" si="9"/>
        <v>40</v>
      </c>
      <c r="F183" s="71" t="s">
        <v>228</v>
      </c>
      <c r="G183" s="71">
        <v>6</v>
      </c>
      <c r="H183" s="72" t="str">
        <f t="shared" si="10"/>
        <v>I-6</v>
      </c>
      <c r="I183" s="70" t="s">
        <v>1700</v>
      </c>
      <c r="J183" s="70" t="s">
        <v>1701</v>
      </c>
      <c r="K183" s="73" t="str">
        <f t="shared" si="1"/>
        <v>2026</v>
      </c>
      <c r="L183" s="73" t="str">
        <f t="shared" si="2"/>
        <v>05</v>
      </c>
      <c r="M183" s="73" t="str">
        <f t="shared" si="3"/>
        <v>02</v>
      </c>
      <c r="N183" s="73" t="str">
        <f t="shared" si="4"/>
        <v>10:25:11</v>
      </c>
      <c r="O183" s="74"/>
      <c r="P183" s="74"/>
      <c r="Q183" s="74"/>
      <c r="R183" s="74"/>
      <c r="S183" s="74"/>
      <c r="T183" s="74"/>
      <c r="U183" s="74"/>
      <c r="V183" s="74"/>
    </row>
    <row r="184" spans="1:22" ht="22.5" customHeight="1">
      <c r="A184" s="70" t="s">
        <v>1702</v>
      </c>
      <c r="B184" s="70" t="s">
        <v>1703</v>
      </c>
      <c r="C184" s="70" t="s">
        <v>1704</v>
      </c>
      <c r="D184" s="70" t="s">
        <v>1705</v>
      </c>
      <c r="E184" s="71">
        <f t="shared" si="9"/>
        <v>12</v>
      </c>
      <c r="F184" s="71" t="s">
        <v>592</v>
      </c>
      <c r="G184" s="71">
        <v>3</v>
      </c>
      <c r="H184" s="72" t="str">
        <f t="shared" si="10"/>
        <v>H1-3</v>
      </c>
      <c r="I184" s="75"/>
      <c r="J184" s="70" t="s">
        <v>1706</v>
      </c>
      <c r="K184" s="73" t="str">
        <f t="shared" si="1"/>
        <v>2026</v>
      </c>
      <c r="L184" s="73" t="str">
        <f t="shared" si="2"/>
        <v>05</v>
      </c>
      <c r="M184" s="73" t="str">
        <f t="shared" si="3"/>
        <v>02</v>
      </c>
      <c r="N184" s="73" t="str">
        <f t="shared" si="4"/>
        <v>10:21:57</v>
      </c>
      <c r="O184" s="74"/>
      <c r="P184" s="74"/>
      <c r="Q184" s="74"/>
      <c r="R184" s="74"/>
      <c r="S184" s="74"/>
      <c r="T184" s="74"/>
      <c r="U184" s="74"/>
      <c r="V184" s="74"/>
    </row>
    <row r="185" spans="1:22" ht="22.5" customHeight="1">
      <c r="A185" s="70" t="s">
        <v>1707</v>
      </c>
      <c r="B185" s="70" t="s">
        <v>1708</v>
      </c>
      <c r="C185" s="70" t="s">
        <v>1709</v>
      </c>
      <c r="D185" s="70" t="s">
        <v>1710</v>
      </c>
      <c r="E185" s="71">
        <f t="shared" si="9"/>
        <v>19</v>
      </c>
      <c r="F185" s="71" t="s">
        <v>80</v>
      </c>
      <c r="G185" s="71">
        <v>11</v>
      </c>
      <c r="H185" s="72" t="str">
        <f t="shared" si="10"/>
        <v>C-11</v>
      </c>
      <c r="I185" s="70" t="s">
        <v>1711</v>
      </c>
      <c r="J185" s="70" t="s">
        <v>1712</v>
      </c>
      <c r="K185" s="73" t="str">
        <f t="shared" si="1"/>
        <v>2026</v>
      </c>
      <c r="L185" s="73" t="str">
        <f t="shared" si="2"/>
        <v>05</v>
      </c>
      <c r="M185" s="73" t="str">
        <f t="shared" si="3"/>
        <v>02</v>
      </c>
      <c r="N185" s="73" t="str">
        <f t="shared" si="4"/>
        <v>09:57:33</v>
      </c>
      <c r="O185" s="74"/>
      <c r="P185" s="74"/>
      <c r="Q185" s="74"/>
      <c r="R185" s="74"/>
      <c r="S185" s="74"/>
      <c r="T185" s="74"/>
      <c r="U185" s="74"/>
      <c r="V185" s="74"/>
    </row>
    <row r="186" spans="1:22" ht="22.5" customHeight="1">
      <c r="A186" s="70" t="s">
        <v>1713</v>
      </c>
      <c r="B186" s="70" t="s">
        <v>1714</v>
      </c>
      <c r="C186" s="70" t="s">
        <v>1715</v>
      </c>
      <c r="D186" s="70" t="s">
        <v>1716</v>
      </c>
      <c r="E186" s="71">
        <f t="shared" si="9"/>
        <v>13</v>
      </c>
      <c r="F186" s="71" t="s">
        <v>434</v>
      </c>
      <c r="G186" s="71">
        <v>3</v>
      </c>
      <c r="H186" s="72" t="str">
        <f t="shared" si="10"/>
        <v>U-3</v>
      </c>
      <c r="I186" s="70" t="s">
        <v>1717</v>
      </c>
      <c r="J186" s="70" t="s">
        <v>1718</v>
      </c>
      <c r="K186" s="73" t="str">
        <f t="shared" si="1"/>
        <v>2026</v>
      </c>
      <c r="L186" s="73" t="str">
        <f t="shared" si="2"/>
        <v>05</v>
      </c>
      <c r="M186" s="73" t="str">
        <f t="shared" si="3"/>
        <v>02</v>
      </c>
      <c r="N186" s="73" t="str">
        <f t="shared" si="4"/>
        <v>09:45:21</v>
      </c>
      <c r="O186" s="74"/>
      <c r="P186" s="74"/>
      <c r="Q186" s="74"/>
      <c r="R186" s="74"/>
      <c r="S186" s="74"/>
      <c r="T186" s="74"/>
      <c r="U186" s="74"/>
      <c r="V186" s="74"/>
    </row>
    <row r="187" spans="1:22" ht="22.5" customHeight="1">
      <c r="A187" s="70" t="s">
        <v>1719</v>
      </c>
      <c r="B187" s="70" t="s">
        <v>1720</v>
      </c>
      <c r="C187" s="70" t="s">
        <v>1721</v>
      </c>
      <c r="D187" s="70" t="s">
        <v>1722</v>
      </c>
      <c r="E187" s="71">
        <f t="shared" si="9"/>
        <v>8</v>
      </c>
      <c r="F187" s="71" t="s">
        <v>415</v>
      </c>
      <c r="G187" s="71">
        <v>15</v>
      </c>
      <c r="H187" s="72" t="str">
        <f t="shared" si="10"/>
        <v>T-15</v>
      </c>
      <c r="I187" s="70" t="s">
        <v>1723</v>
      </c>
      <c r="J187" s="70" t="s">
        <v>1724</v>
      </c>
      <c r="K187" s="73" t="str">
        <f t="shared" si="1"/>
        <v>2026</v>
      </c>
      <c r="L187" s="73" t="str">
        <f t="shared" si="2"/>
        <v>05</v>
      </c>
      <c r="M187" s="73" t="str">
        <f t="shared" si="3"/>
        <v>02</v>
      </c>
      <c r="N187" s="73" t="str">
        <f t="shared" si="4"/>
        <v>09:37:16</v>
      </c>
      <c r="O187" s="74"/>
      <c r="P187" s="74"/>
      <c r="Q187" s="74"/>
      <c r="R187" s="74"/>
      <c r="S187" s="74"/>
      <c r="T187" s="74"/>
      <c r="U187" s="74"/>
      <c r="V187" s="74"/>
    </row>
    <row r="188" spans="1:22" ht="22.5" customHeight="1">
      <c r="A188" s="70" t="s">
        <v>1725</v>
      </c>
      <c r="B188" s="70" t="s">
        <v>1726</v>
      </c>
      <c r="C188" s="70" t="s">
        <v>1727</v>
      </c>
      <c r="D188" s="70" t="s">
        <v>1728</v>
      </c>
      <c r="E188" s="71">
        <f t="shared" si="9"/>
        <v>8</v>
      </c>
      <c r="F188" s="71" t="s">
        <v>567</v>
      </c>
      <c r="G188" s="71">
        <v>8</v>
      </c>
      <c r="H188" s="72" t="str">
        <f t="shared" si="10"/>
        <v>E1-8</v>
      </c>
      <c r="I188" s="70" t="s">
        <v>1729</v>
      </c>
      <c r="J188" s="70" t="s">
        <v>1730</v>
      </c>
      <c r="K188" s="73" t="str">
        <f t="shared" si="1"/>
        <v>2026</v>
      </c>
      <c r="L188" s="73" t="str">
        <f t="shared" si="2"/>
        <v>05</v>
      </c>
      <c r="M188" s="73" t="str">
        <f t="shared" si="3"/>
        <v>02</v>
      </c>
      <c r="N188" s="73" t="str">
        <f t="shared" si="4"/>
        <v>09:29:23</v>
      </c>
      <c r="O188" s="74"/>
      <c r="P188" s="74"/>
      <c r="Q188" s="74"/>
      <c r="R188" s="74"/>
      <c r="S188" s="74"/>
      <c r="T188" s="74"/>
      <c r="U188" s="74"/>
      <c r="V188" s="74"/>
    </row>
    <row r="189" spans="1:22" ht="22.5" customHeight="1">
      <c r="A189" s="70" t="s">
        <v>1731</v>
      </c>
      <c r="B189" s="70" t="s">
        <v>1732</v>
      </c>
      <c r="C189" s="70" t="s">
        <v>1733</v>
      </c>
      <c r="D189" s="70" t="s">
        <v>1734</v>
      </c>
      <c r="E189" s="71">
        <f t="shared" si="9"/>
        <v>40</v>
      </c>
      <c r="F189" s="71" t="s">
        <v>78</v>
      </c>
      <c r="G189" s="71">
        <v>5</v>
      </c>
      <c r="H189" s="72" t="str">
        <f t="shared" si="10"/>
        <v>N-5</v>
      </c>
      <c r="I189" s="70" t="s">
        <v>1735</v>
      </c>
      <c r="J189" s="70" t="s">
        <v>1736</v>
      </c>
      <c r="K189" s="73" t="str">
        <f t="shared" si="1"/>
        <v>2026</v>
      </c>
      <c r="L189" s="73" t="str">
        <f t="shared" si="2"/>
        <v>05</v>
      </c>
      <c r="M189" s="73" t="str">
        <f t="shared" si="3"/>
        <v>02</v>
      </c>
      <c r="N189" s="73" t="str">
        <f t="shared" si="4"/>
        <v>09:26:24</v>
      </c>
      <c r="O189" s="74"/>
      <c r="P189" s="74"/>
      <c r="Q189" s="74"/>
      <c r="R189" s="74"/>
      <c r="S189" s="74"/>
      <c r="T189" s="74"/>
      <c r="U189" s="74"/>
      <c r="V189" s="74"/>
    </row>
    <row r="190" spans="1:22" ht="41.25" customHeight="1">
      <c r="A190" s="70" t="s">
        <v>1737</v>
      </c>
      <c r="B190" s="70" t="s">
        <v>1738</v>
      </c>
      <c r="C190" s="70" t="s">
        <v>1739</v>
      </c>
      <c r="D190" s="70" t="s">
        <v>1740</v>
      </c>
      <c r="E190" s="85">
        <v>13</v>
      </c>
      <c r="F190" s="71" t="s">
        <v>473</v>
      </c>
      <c r="G190" s="71">
        <v>14</v>
      </c>
      <c r="H190" s="72" t="str">
        <f t="shared" si="10"/>
        <v>X-14</v>
      </c>
      <c r="I190" s="70" t="s">
        <v>1741</v>
      </c>
      <c r="J190" s="70" t="s">
        <v>1742</v>
      </c>
      <c r="K190" s="73" t="str">
        <f t="shared" si="1"/>
        <v>2026</v>
      </c>
      <c r="L190" s="73" t="str">
        <f t="shared" si="2"/>
        <v>05</v>
      </c>
      <c r="M190" s="73" t="str">
        <f t="shared" si="3"/>
        <v>02</v>
      </c>
      <c r="N190" s="73" t="str">
        <f t="shared" si="4"/>
        <v>09:12:40</v>
      </c>
      <c r="O190" s="74"/>
      <c r="P190" s="74"/>
      <c r="Q190" s="74"/>
      <c r="R190" s="74"/>
      <c r="S190" s="74"/>
      <c r="T190" s="74"/>
      <c r="U190" s="74"/>
      <c r="V190" s="74"/>
    </row>
    <row r="191" spans="1:22" ht="22.5" customHeight="1">
      <c r="A191" s="70" t="s">
        <v>1743</v>
      </c>
      <c r="B191" s="70" t="s">
        <v>1744</v>
      </c>
      <c r="C191" s="70" t="s">
        <v>1745</v>
      </c>
      <c r="D191" s="70" t="s">
        <v>1746</v>
      </c>
      <c r="E191" s="85">
        <v>8</v>
      </c>
      <c r="F191" s="87" t="s">
        <v>441</v>
      </c>
      <c r="G191" s="87">
        <v>14</v>
      </c>
      <c r="H191" s="72" t="str">
        <f t="shared" si="10"/>
        <v>V-14</v>
      </c>
      <c r="I191" s="88"/>
      <c r="J191" s="88"/>
      <c r="K191" s="73"/>
      <c r="L191" s="73"/>
      <c r="M191" s="73"/>
      <c r="N191" s="73"/>
      <c r="O191" s="74"/>
      <c r="P191" s="74"/>
      <c r="Q191" s="74"/>
      <c r="R191" s="74"/>
      <c r="S191" s="74"/>
      <c r="T191" s="74"/>
      <c r="U191" s="74"/>
      <c r="V191" s="74"/>
    </row>
    <row r="192" spans="1:22" ht="22.5" customHeight="1">
      <c r="A192" s="88" t="s">
        <v>1747</v>
      </c>
      <c r="B192" s="88" t="s">
        <v>1748</v>
      </c>
      <c r="C192" s="88" t="s">
        <v>1749</v>
      </c>
      <c r="D192" s="89"/>
      <c r="E192" s="71">
        <v>21</v>
      </c>
      <c r="F192" s="90" t="s">
        <v>357</v>
      </c>
      <c r="G192" s="90" t="s">
        <v>368</v>
      </c>
      <c r="H192" s="72" t="str">
        <f t="shared" si="10"/>
        <v>P-11A</v>
      </c>
      <c r="I192" s="88" t="s">
        <v>1750</v>
      </c>
      <c r="J192" s="88" t="s">
        <v>1751</v>
      </c>
      <c r="K192" s="73" t="str">
        <f t="shared" ref="K192:K343" si="11">MID(J192,7,4)</f>
        <v>2026</v>
      </c>
      <c r="L192" s="73" t="str">
        <f t="shared" ref="L192:L343" si="12">MID(J192,4,2)</f>
        <v>05</v>
      </c>
      <c r="M192" s="73" t="str">
        <f t="shared" ref="M192:M343" si="13">LEFT(J192,2)</f>
        <v>02</v>
      </c>
      <c r="N192" s="73" t="str">
        <f t="shared" ref="N192:N343" si="14">RIGHT(J192,8)</f>
        <v>09:02:50</v>
      </c>
      <c r="O192" s="74"/>
      <c r="P192" s="74"/>
      <c r="Q192" s="74"/>
      <c r="R192" s="74"/>
      <c r="S192" s="74"/>
      <c r="T192" s="74"/>
      <c r="U192" s="74"/>
      <c r="V192" s="74"/>
    </row>
    <row r="193" spans="1:22" ht="22.5" customHeight="1">
      <c r="A193" s="88" t="s">
        <v>1752</v>
      </c>
      <c r="B193" s="88" t="s">
        <v>1753</v>
      </c>
      <c r="C193" s="88" t="s">
        <v>1754</v>
      </c>
      <c r="D193" s="88" t="s">
        <v>1755</v>
      </c>
      <c r="E193" s="71">
        <v>17</v>
      </c>
      <c r="F193" s="90" t="s">
        <v>144</v>
      </c>
      <c r="G193" s="90">
        <v>7</v>
      </c>
      <c r="H193" s="72" t="str">
        <f t="shared" si="10"/>
        <v>E-7</v>
      </c>
      <c r="I193" s="88" t="s">
        <v>1756</v>
      </c>
      <c r="J193" s="88" t="s">
        <v>1757</v>
      </c>
      <c r="K193" s="73" t="str">
        <f t="shared" si="11"/>
        <v>2026</v>
      </c>
      <c r="L193" s="73" t="str">
        <f t="shared" si="12"/>
        <v>05</v>
      </c>
      <c r="M193" s="73" t="str">
        <f t="shared" si="13"/>
        <v>02</v>
      </c>
      <c r="N193" s="73" t="str">
        <f t="shared" si="14"/>
        <v>09:02:49</v>
      </c>
      <c r="O193" s="74"/>
      <c r="P193" s="74"/>
      <c r="Q193" s="74"/>
      <c r="R193" s="74"/>
      <c r="S193" s="74"/>
      <c r="T193" s="74"/>
      <c r="U193" s="74"/>
      <c r="V193" s="74"/>
    </row>
    <row r="194" spans="1:22" ht="39" customHeight="1">
      <c r="A194" s="88" t="s">
        <v>1758</v>
      </c>
      <c r="B194" s="88" t="s">
        <v>1759</v>
      </c>
      <c r="C194" s="88" t="s">
        <v>1760</v>
      </c>
      <c r="D194" s="89"/>
      <c r="E194" s="71">
        <v>55</v>
      </c>
      <c r="F194" s="71" t="s">
        <v>267</v>
      </c>
      <c r="G194" s="71">
        <v>4</v>
      </c>
      <c r="H194" s="72" t="str">
        <f t="shared" si="10"/>
        <v>K-4</v>
      </c>
      <c r="I194" s="90" t="s">
        <v>1761</v>
      </c>
      <c r="J194" s="88" t="s">
        <v>1762</v>
      </c>
      <c r="K194" s="73" t="str">
        <f t="shared" si="11"/>
        <v>2026</v>
      </c>
      <c r="L194" s="73" t="str">
        <f t="shared" si="12"/>
        <v>05</v>
      </c>
      <c r="M194" s="73" t="str">
        <f t="shared" si="13"/>
        <v>02</v>
      </c>
      <c r="N194" s="73" t="str">
        <f t="shared" si="14"/>
        <v>08:58:09</v>
      </c>
      <c r="O194" s="74"/>
      <c r="P194" s="74"/>
      <c r="Q194" s="74"/>
      <c r="R194" s="74"/>
      <c r="S194" s="74"/>
      <c r="T194" s="74"/>
      <c r="U194" s="74"/>
      <c r="V194" s="74"/>
    </row>
    <row r="195" spans="1:22" ht="48" customHeight="1">
      <c r="A195" s="88" t="s">
        <v>1763</v>
      </c>
      <c r="B195" s="88" t="s">
        <v>1764</v>
      </c>
      <c r="C195" s="88" t="s">
        <v>1765</v>
      </c>
      <c r="D195" s="88" t="s">
        <v>1766</v>
      </c>
      <c r="E195" s="71">
        <v>8</v>
      </c>
      <c r="F195" s="90" t="s">
        <v>267</v>
      </c>
      <c r="G195" s="90">
        <v>3</v>
      </c>
      <c r="H195" s="72" t="str">
        <f t="shared" si="10"/>
        <v>K-3</v>
      </c>
      <c r="I195" s="88" t="s">
        <v>1767</v>
      </c>
      <c r="J195" s="88" t="s">
        <v>1768</v>
      </c>
      <c r="K195" s="73" t="str">
        <f t="shared" si="11"/>
        <v>2026</v>
      </c>
      <c r="L195" s="73" t="str">
        <f t="shared" si="12"/>
        <v>05</v>
      </c>
      <c r="M195" s="73" t="str">
        <f t="shared" si="13"/>
        <v>02</v>
      </c>
      <c r="N195" s="73" t="str">
        <f t="shared" si="14"/>
        <v>08:58:08</v>
      </c>
      <c r="O195" s="74"/>
      <c r="P195" s="74"/>
      <c r="Q195" s="74"/>
      <c r="R195" s="74"/>
      <c r="S195" s="74"/>
      <c r="T195" s="74"/>
      <c r="U195" s="74"/>
      <c r="V195" s="74"/>
    </row>
    <row r="196" spans="1:22" ht="22.5" customHeight="1">
      <c r="A196" s="70" t="s">
        <v>1769</v>
      </c>
      <c r="B196" s="70" t="s">
        <v>1770</v>
      </c>
      <c r="C196" s="70" t="s">
        <v>1771</v>
      </c>
      <c r="D196" s="70" t="s">
        <v>1772</v>
      </c>
      <c r="E196" s="71">
        <f t="shared" ref="E196:E316" si="15">VALUE(SUBSTITUTE(D196, ".", ","))</f>
        <v>16</v>
      </c>
      <c r="F196" s="71" t="s">
        <v>228</v>
      </c>
      <c r="G196" s="71">
        <v>7</v>
      </c>
      <c r="H196" s="72" t="str">
        <f t="shared" si="10"/>
        <v>I-7</v>
      </c>
      <c r="I196" s="75"/>
      <c r="J196" s="70" t="s">
        <v>1773</v>
      </c>
      <c r="K196" s="73" t="str">
        <f t="shared" si="11"/>
        <v>2026</v>
      </c>
      <c r="L196" s="73" t="str">
        <f t="shared" si="12"/>
        <v>05</v>
      </c>
      <c r="M196" s="73" t="str">
        <f t="shared" si="13"/>
        <v>02</v>
      </c>
      <c r="N196" s="73" t="str">
        <f t="shared" si="14"/>
        <v>08:34:41</v>
      </c>
      <c r="O196" s="74"/>
      <c r="P196" s="74"/>
      <c r="Q196" s="74"/>
      <c r="R196" s="74"/>
      <c r="S196" s="74"/>
      <c r="T196" s="74"/>
      <c r="U196" s="74"/>
      <c r="V196" s="74"/>
    </row>
    <row r="197" spans="1:22" ht="22.5" customHeight="1">
      <c r="A197" s="70" t="s">
        <v>1774</v>
      </c>
      <c r="B197" s="70" t="s">
        <v>1775</v>
      </c>
      <c r="C197" s="70" t="s">
        <v>1776</v>
      </c>
      <c r="D197" s="70" t="s">
        <v>1777</v>
      </c>
      <c r="E197" s="71">
        <f t="shared" si="15"/>
        <v>12</v>
      </c>
      <c r="F197" s="71" t="s">
        <v>251</v>
      </c>
      <c r="G197" s="71">
        <v>10</v>
      </c>
      <c r="H197" s="72" t="str">
        <f t="shared" si="10"/>
        <v>J-10</v>
      </c>
      <c r="I197" s="70" t="s">
        <v>1778</v>
      </c>
      <c r="J197" s="70" t="s">
        <v>1779</v>
      </c>
      <c r="K197" s="73" t="str">
        <f t="shared" si="11"/>
        <v>2026</v>
      </c>
      <c r="L197" s="73" t="str">
        <f t="shared" si="12"/>
        <v>05</v>
      </c>
      <c r="M197" s="73" t="str">
        <f t="shared" si="13"/>
        <v>02</v>
      </c>
      <c r="N197" s="73" t="str">
        <f t="shared" si="14"/>
        <v>08:29:31</v>
      </c>
      <c r="O197" s="74"/>
      <c r="P197" s="74"/>
      <c r="Q197" s="74"/>
      <c r="R197" s="74"/>
      <c r="S197" s="74"/>
      <c r="T197" s="74"/>
      <c r="U197" s="74"/>
      <c r="V197" s="74"/>
    </row>
    <row r="198" spans="1:22" ht="22.5" customHeight="1">
      <c r="A198" s="70" t="s">
        <v>1780</v>
      </c>
      <c r="B198" s="70" t="s">
        <v>1781</v>
      </c>
      <c r="C198" s="70" t="s">
        <v>1782</v>
      </c>
      <c r="D198" s="70" t="s">
        <v>1783</v>
      </c>
      <c r="E198" s="71">
        <f t="shared" si="15"/>
        <v>12</v>
      </c>
      <c r="F198" s="71" t="s">
        <v>575</v>
      </c>
      <c r="G198" s="71">
        <v>10</v>
      </c>
      <c r="H198" s="72" t="str">
        <f t="shared" si="10"/>
        <v>F1-10</v>
      </c>
      <c r="I198" s="70" t="s">
        <v>1784</v>
      </c>
      <c r="J198" s="70" t="s">
        <v>1785</v>
      </c>
      <c r="K198" s="73" t="str">
        <f t="shared" si="11"/>
        <v>2026</v>
      </c>
      <c r="L198" s="73" t="str">
        <f t="shared" si="12"/>
        <v>05</v>
      </c>
      <c r="M198" s="73" t="str">
        <f t="shared" si="13"/>
        <v>02</v>
      </c>
      <c r="N198" s="73" t="str">
        <f t="shared" si="14"/>
        <v>08:25:48</v>
      </c>
      <c r="O198" s="74"/>
      <c r="P198" s="74"/>
      <c r="Q198" s="74"/>
      <c r="R198" s="74"/>
      <c r="S198" s="74"/>
      <c r="T198" s="74"/>
      <c r="U198" s="74"/>
      <c r="V198" s="74"/>
    </row>
    <row r="199" spans="1:22" ht="22.5" customHeight="1">
      <c r="A199" s="70" t="s">
        <v>1786</v>
      </c>
      <c r="B199" s="70" t="s">
        <v>1787</v>
      </c>
      <c r="C199" s="70" t="s">
        <v>1788</v>
      </c>
      <c r="D199" s="70" t="s">
        <v>1789</v>
      </c>
      <c r="E199" s="71">
        <f t="shared" si="15"/>
        <v>8</v>
      </c>
      <c r="F199" s="71" t="s">
        <v>80</v>
      </c>
      <c r="G199" s="71">
        <v>34</v>
      </c>
      <c r="H199" s="72" t="str">
        <f t="shared" si="10"/>
        <v>C-34</v>
      </c>
      <c r="I199" s="70" t="s">
        <v>1790</v>
      </c>
      <c r="J199" s="70" t="s">
        <v>1791</v>
      </c>
      <c r="K199" s="73" t="str">
        <f t="shared" si="11"/>
        <v>2026</v>
      </c>
      <c r="L199" s="73" t="str">
        <f t="shared" si="12"/>
        <v>05</v>
      </c>
      <c r="M199" s="73" t="str">
        <f t="shared" si="13"/>
        <v>02</v>
      </c>
      <c r="N199" s="73" t="str">
        <f t="shared" si="14"/>
        <v>08:25:07</v>
      </c>
      <c r="O199" s="74"/>
      <c r="P199" s="74"/>
      <c r="Q199" s="74"/>
      <c r="R199" s="74"/>
      <c r="S199" s="74"/>
      <c r="T199" s="74"/>
      <c r="U199" s="74"/>
      <c r="V199" s="74"/>
    </row>
    <row r="200" spans="1:22" ht="22.5" customHeight="1">
      <c r="A200" s="70" t="s">
        <v>1792</v>
      </c>
      <c r="B200" s="70" t="s">
        <v>1793</v>
      </c>
      <c r="C200" s="70" t="s">
        <v>1794</v>
      </c>
      <c r="D200" s="70" t="s">
        <v>1795</v>
      </c>
      <c r="E200" s="71">
        <f t="shared" si="15"/>
        <v>109</v>
      </c>
      <c r="F200" s="71" t="s">
        <v>80</v>
      </c>
      <c r="G200" s="71">
        <v>28</v>
      </c>
      <c r="H200" s="72" t="str">
        <f t="shared" si="10"/>
        <v>C-28</v>
      </c>
      <c r="I200" s="70" t="s">
        <v>1796</v>
      </c>
      <c r="J200" s="70" t="s">
        <v>1797</v>
      </c>
      <c r="K200" s="73" t="str">
        <f t="shared" si="11"/>
        <v>2026</v>
      </c>
      <c r="L200" s="73" t="str">
        <f t="shared" si="12"/>
        <v>05</v>
      </c>
      <c r="M200" s="73" t="str">
        <f t="shared" si="13"/>
        <v>02</v>
      </c>
      <c r="N200" s="73" t="str">
        <f t="shared" si="14"/>
        <v>08:24:23</v>
      </c>
      <c r="O200" s="74"/>
      <c r="P200" s="74"/>
      <c r="Q200" s="74"/>
      <c r="R200" s="74"/>
      <c r="S200" s="74"/>
      <c r="T200" s="74"/>
      <c r="U200" s="74"/>
      <c r="V200" s="74"/>
    </row>
    <row r="201" spans="1:22" ht="22.5" customHeight="1">
      <c r="A201" s="70" t="s">
        <v>1798</v>
      </c>
      <c r="B201" s="70" t="s">
        <v>1799</v>
      </c>
      <c r="C201" s="70" t="s">
        <v>1800</v>
      </c>
      <c r="D201" s="70" t="s">
        <v>1801</v>
      </c>
      <c r="E201" s="71">
        <f t="shared" si="15"/>
        <v>26</v>
      </c>
      <c r="F201" s="71" t="s">
        <v>458</v>
      </c>
      <c r="G201" s="71">
        <v>19</v>
      </c>
      <c r="H201" s="72" t="str">
        <f t="shared" si="10"/>
        <v>W-19</v>
      </c>
      <c r="I201" s="70" t="s">
        <v>1802</v>
      </c>
      <c r="J201" s="70" t="s">
        <v>1803</v>
      </c>
      <c r="K201" s="73" t="str">
        <f t="shared" si="11"/>
        <v>2026</v>
      </c>
      <c r="L201" s="73" t="str">
        <f t="shared" si="12"/>
        <v>05</v>
      </c>
      <c r="M201" s="73" t="str">
        <f t="shared" si="13"/>
        <v>02</v>
      </c>
      <c r="N201" s="73" t="str">
        <f t="shared" si="14"/>
        <v>08:17:01</v>
      </c>
      <c r="O201" s="40"/>
      <c r="P201" s="40"/>
      <c r="Q201" s="40"/>
      <c r="R201" s="40"/>
      <c r="S201" s="40"/>
      <c r="T201" s="40"/>
      <c r="U201" s="40"/>
      <c r="V201" s="40"/>
    </row>
    <row r="202" spans="1:22" ht="22.5" customHeight="1">
      <c r="A202" s="70" t="s">
        <v>1804</v>
      </c>
      <c r="B202" s="70" t="s">
        <v>1805</v>
      </c>
      <c r="C202" s="70" t="s">
        <v>1806</v>
      </c>
      <c r="D202" s="70" t="s">
        <v>1807</v>
      </c>
      <c r="E202" s="71">
        <f t="shared" si="15"/>
        <v>15</v>
      </c>
      <c r="F202" s="71" t="s">
        <v>532</v>
      </c>
      <c r="G202" s="71">
        <v>4</v>
      </c>
      <c r="H202" s="72" t="str">
        <f t="shared" si="10"/>
        <v>B1-4</v>
      </c>
      <c r="I202" s="70" t="s">
        <v>1808</v>
      </c>
      <c r="J202" s="70" t="s">
        <v>1809</v>
      </c>
      <c r="K202" s="73" t="str">
        <f t="shared" si="11"/>
        <v>2026</v>
      </c>
      <c r="L202" s="73" t="str">
        <f t="shared" si="12"/>
        <v>05</v>
      </c>
      <c r="M202" s="73" t="str">
        <f t="shared" si="13"/>
        <v>02</v>
      </c>
      <c r="N202" s="73" t="str">
        <f t="shared" si="14"/>
        <v>08:07:05</v>
      </c>
      <c r="O202" s="74"/>
      <c r="P202" s="74"/>
      <c r="Q202" s="74"/>
      <c r="R202" s="74"/>
      <c r="S202" s="74"/>
      <c r="T202" s="74"/>
      <c r="U202" s="74"/>
      <c r="V202" s="74"/>
    </row>
    <row r="203" spans="1:22" ht="22.5" customHeight="1">
      <c r="A203" s="70" t="s">
        <v>1810</v>
      </c>
      <c r="B203" s="70" t="s">
        <v>1811</v>
      </c>
      <c r="C203" s="70" t="s">
        <v>1812</v>
      </c>
      <c r="D203" s="70" t="s">
        <v>1813</v>
      </c>
      <c r="E203" s="71">
        <f t="shared" si="15"/>
        <v>48</v>
      </c>
      <c r="F203" s="71" t="s">
        <v>458</v>
      </c>
      <c r="G203" s="71">
        <v>4</v>
      </c>
      <c r="H203" s="72" t="str">
        <f t="shared" si="10"/>
        <v>W-4</v>
      </c>
      <c r="I203" s="70" t="s">
        <v>1814</v>
      </c>
      <c r="J203" s="70" t="s">
        <v>1815</v>
      </c>
      <c r="K203" s="73" t="str">
        <f t="shared" si="11"/>
        <v>2026</v>
      </c>
      <c r="L203" s="73" t="str">
        <f t="shared" si="12"/>
        <v>05</v>
      </c>
      <c r="M203" s="73" t="str">
        <f t="shared" si="13"/>
        <v>02</v>
      </c>
      <c r="N203" s="73" t="str">
        <f t="shared" si="14"/>
        <v>08:02:01</v>
      </c>
      <c r="O203" s="74"/>
      <c r="P203" s="74"/>
      <c r="Q203" s="74"/>
      <c r="R203" s="74"/>
      <c r="S203" s="74"/>
      <c r="T203" s="74"/>
      <c r="U203" s="74"/>
      <c r="V203" s="74"/>
    </row>
    <row r="204" spans="1:22" ht="22.5" customHeight="1">
      <c r="A204" s="70" t="s">
        <v>1816</v>
      </c>
      <c r="B204" s="70" t="s">
        <v>1817</v>
      </c>
      <c r="C204" s="70" t="s">
        <v>1818</v>
      </c>
      <c r="D204" s="70" t="s">
        <v>1819</v>
      </c>
      <c r="E204" s="71">
        <f t="shared" si="15"/>
        <v>10</v>
      </c>
      <c r="F204" s="71" t="s">
        <v>228</v>
      </c>
      <c r="G204" s="71">
        <v>10</v>
      </c>
      <c r="H204" s="72" t="str">
        <f t="shared" si="10"/>
        <v>I-10</v>
      </c>
      <c r="I204" s="75"/>
      <c r="J204" s="70" t="s">
        <v>1820</v>
      </c>
      <c r="K204" s="73" t="str">
        <f t="shared" si="11"/>
        <v>2026</v>
      </c>
      <c r="L204" s="73" t="str">
        <f t="shared" si="12"/>
        <v>05</v>
      </c>
      <c r="M204" s="73" t="str">
        <f t="shared" si="13"/>
        <v>02</v>
      </c>
      <c r="N204" s="73" t="str">
        <f t="shared" si="14"/>
        <v>08:00:03</v>
      </c>
      <c r="O204" s="74"/>
      <c r="P204" s="74"/>
      <c r="Q204" s="74"/>
      <c r="R204" s="74"/>
      <c r="S204" s="74"/>
      <c r="T204" s="74"/>
      <c r="U204" s="74"/>
      <c r="V204" s="74"/>
    </row>
    <row r="205" spans="1:22" ht="22.5" customHeight="1">
      <c r="A205" s="70" t="s">
        <v>1821</v>
      </c>
      <c r="B205" s="70" t="s">
        <v>1822</v>
      </c>
      <c r="C205" s="70" t="s">
        <v>1823</v>
      </c>
      <c r="D205" s="70" t="s">
        <v>1824</v>
      </c>
      <c r="E205" s="71">
        <f t="shared" si="15"/>
        <v>40</v>
      </c>
      <c r="F205" s="71" t="s">
        <v>125</v>
      </c>
      <c r="G205" s="71">
        <v>3</v>
      </c>
      <c r="H205" s="72" t="str">
        <f t="shared" si="10"/>
        <v>D-3</v>
      </c>
      <c r="I205" s="70" t="s">
        <v>1825</v>
      </c>
      <c r="J205" s="70" t="s">
        <v>1826</v>
      </c>
      <c r="K205" s="73" t="str">
        <f t="shared" si="11"/>
        <v>2026</v>
      </c>
      <c r="L205" s="73" t="str">
        <f t="shared" si="12"/>
        <v>05</v>
      </c>
      <c r="M205" s="73" t="str">
        <f t="shared" si="13"/>
        <v>02</v>
      </c>
      <c r="N205" s="73" t="str">
        <f t="shared" si="14"/>
        <v>07:55:39</v>
      </c>
      <c r="O205" s="74"/>
      <c r="P205" s="74"/>
      <c r="Q205" s="74"/>
      <c r="R205" s="74"/>
      <c r="S205" s="74"/>
      <c r="T205" s="74"/>
      <c r="U205" s="74"/>
      <c r="V205" s="74"/>
    </row>
    <row r="206" spans="1:22" ht="22.5" customHeight="1">
      <c r="A206" s="70" t="s">
        <v>1827</v>
      </c>
      <c r="B206" s="70" t="s">
        <v>1828</v>
      </c>
      <c r="C206" s="70" t="s">
        <v>1829</v>
      </c>
      <c r="D206" s="70" t="s">
        <v>1830</v>
      </c>
      <c r="E206" s="71">
        <f t="shared" si="15"/>
        <v>35</v>
      </c>
      <c r="F206" s="71" t="s">
        <v>53</v>
      </c>
      <c r="G206" s="71">
        <v>4</v>
      </c>
      <c r="H206" s="72" t="str">
        <f t="shared" si="10"/>
        <v>B-4</v>
      </c>
      <c r="I206" s="70" t="s">
        <v>1831</v>
      </c>
      <c r="J206" s="70" t="s">
        <v>1832</v>
      </c>
      <c r="K206" s="73" t="str">
        <f t="shared" si="11"/>
        <v>2026</v>
      </c>
      <c r="L206" s="73" t="str">
        <f t="shared" si="12"/>
        <v>05</v>
      </c>
      <c r="M206" s="73" t="str">
        <f t="shared" si="13"/>
        <v>02</v>
      </c>
      <c r="N206" s="73" t="str">
        <f t="shared" si="14"/>
        <v>07:53:45</v>
      </c>
      <c r="O206" s="74"/>
      <c r="P206" s="74"/>
      <c r="Q206" s="74"/>
      <c r="R206" s="74"/>
      <c r="S206" s="74"/>
      <c r="T206" s="74"/>
      <c r="U206" s="74"/>
      <c r="V206" s="74"/>
    </row>
    <row r="207" spans="1:22" ht="22.5" customHeight="1">
      <c r="A207" s="70" t="s">
        <v>1833</v>
      </c>
      <c r="B207" s="70" t="s">
        <v>1834</v>
      </c>
      <c r="C207" s="70" t="s">
        <v>1835</v>
      </c>
      <c r="D207" s="70" t="s">
        <v>1836</v>
      </c>
      <c r="E207" s="71">
        <f t="shared" si="15"/>
        <v>19</v>
      </c>
      <c r="F207" s="71" t="s">
        <v>144</v>
      </c>
      <c r="G207" s="71">
        <v>6</v>
      </c>
      <c r="H207" s="72" t="str">
        <f t="shared" si="10"/>
        <v>E-6</v>
      </c>
      <c r="I207" s="70" t="s">
        <v>1837</v>
      </c>
      <c r="J207" s="70" t="s">
        <v>1838</v>
      </c>
      <c r="K207" s="73" t="str">
        <f t="shared" si="11"/>
        <v>2026</v>
      </c>
      <c r="L207" s="73" t="str">
        <f t="shared" si="12"/>
        <v>05</v>
      </c>
      <c r="M207" s="73" t="str">
        <f t="shared" si="13"/>
        <v>02</v>
      </c>
      <c r="N207" s="73" t="str">
        <f t="shared" si="14"/>
        <v>07:50:41</v>
      </c>
      <c r="O207" s="74"/>
      <c r="P207" s="74"/>
      <c r="Q207" s="74"/>
      <c r="R207" s="74"/>
      <c r="S207" s="74"/>
      <c r="T207" s="74"/>
      <c r="U207" s="74"/>
      <c r="V207" s="74"/>
    </row>
    <row r="208" spans="1:22" ht="22.5" customHeight="1">
      <c r="A208" s="70" t="s">
        <v>1839</v>
      </c>
      <c r="B208" s="70" t="s">
        <v>1840</v>
      </c>
      <c r="C208" s="70" t="s">
        <v>1841</v>
      </c>
      <c r="D208" s="70" t="s">
        <v>1842</v>
      </c>
      <c r="E208" s="71">
        <f t="shared" si="15"/>
        <v>37</v>
      </c>
      <c r="F208" s="71" t="s">
        <v>228</v>
      </c>
      <c r="G208" s="71">
        <v>17</v>
      </c>
      <c r="H208" s="72" t="str">
        <f t="shared" si="10"/>
        <v>I-17</v>
      </c>
      <c r="I208" s="70" t="s">
        <v>1843</v>
      </c>
      <c r="J208" s="70" t="s">
        <v>1844</v>
      </c>
      <c r="K208" s="73" t="str">
        <f t="shared" si="11"/>
        <v>2026</v>
      </c>
      <c r="L208" s="73" t="str">
        <f t="shared" si="12"/>
        <v>05</v>
      </c>
      <c r="M208" s="73" t="str">
        <f t="shared" si="13"/>
        <v>02</v>
      </c>
      <c r="N208" s="73" t="str">
        <f t="shared" si="14"/>
        <v>07:45:50</v>
      </c>
      <c r="O208" s="74"/>
      <c r="P208" s="74"/>
      <c r="Q208" s="74"/>
      <c r="R208" s="74"/>
      <c r="S208" s="74"/>
      <c r="T208" s="74"/>
      <c r="U208" s="74"/>
      <c r="V208" s="74"/>
    </row>
    <row r="209" spans="1:22" ht="22.5" customHeight="1">
      <c r="A209" s="70" t="s">
        <v>1845</v>
      </c>
      <c r="B209" s="70" t="s">
        <v>1846</v>
      </c>
      <c r="C209" s="70" t="s">
        <v>1847</v>
      </c>
      <c r="D209" s="70" t="s">
        <v>1848</v>
      </c>
      <c r="E209" s="71">
        <f t="shared" si="15"/>
        <v>45</v>
      </c>
      <c r="F209" s="71" t="s">
        <v>205</v>
      </c>
      <c r="G209" s="71">
        <v>8</v>
      </c>
      <c r="H209" s="72" t="str">
        <f t="shared" si="10"/>
        <v>H-8</v>
      </c>
      <c r="I209" s="70" t="s">
        <v>1849</v>
      </c>
      <c r="J209" s="70" t="s">
        <v>1850</v>
      </c>
      <c r="K209" s="73" t="str">
        <f t="shared" si="11"/>
        <v>2026</v>
      </c>
      <c r="L209" s="73" t="str">
        <f t="shared" si="12"/>
        <v>05</v>
      </c>
      <c r="M209" s="73" t="str">
        <f t="shared" si="13"/>
        <v>02</v>
      </c>
      <c r="N209" s="73" t="str">
        <f t="shared" si="14"/>
        <v>07:45:41</v>
      </c>
      <c r="O209" s="74"/>
      <c r="P209" s="74"/>
      <c r="Q209" s="74"/>
      <c r="R209" s="74"/>
      <c r="S209" s="74"/>
      <c r="T209" s="74"/>
      <c r="U209" s="74"/>
      <c r="V209" s="74"/>
    </row>
    <row r="210" spans="1:22" ht="22.5" customHeight="1">
      <c r="A210" s="70" t="s">
        <v>1851</v>
      </c>
      <c r="B210" s="70" t="s">
        <v>1852</v>
      </c>
      <c r="C210" s="70" t="s">
        <v>1853</v>
      </c>
      <c r="D210" s="70" t="s">
        <v>1854</v>
      </c>
      <c r="E210" s="71">
        <f t="shared" si="15"/>
        <v>24</v>
      </c>
      <c r="F210" s="71" t="s">
        <v>592</v>
      </c>
      <c r="G210" s="71">
        <v>7</v>
      </c>
      <c r="H210" s="72" t="str">
        <f t="shared" si="10"/>
        <v>H1-7</v>
      </c>
      <c r="I210" s="70" t="s">
        <v>1855</v>
      </c>
      <c r="J210" s="70" t="s">
        <v>1856</v>
      </c>
      <c r="K210" s="73" t="str">
        <f t="shared" si="11"/>
        <v>2026</v>
      </c>
      <c r="L210" s="73" t="str">
        <f t="shared" si="12"/>
        <v>05</v>
      </c>
      <c r="M210" s="73" t="str">
        <f t="shared" si="13"/>
        <v>02</v>
      </c>
      <c r="N210" s="73" t="str">
        <f t="shared" si="14"/>
        <v>07:43:47</v>
      </c>
      <c r="O210" s="74"/>
      <c r="P210" s="74"/>
      <c r="Q210" s="74"/>
      <c r="R210" s="74"/>
      <c r="S210" s="74"/>
      <c r="T210" s="74"/>
      <c r="U210" s="74"/>
      <c r="V210" s="74"/>
    </row>
    <row r="211" spans="1:22" ht="22.5" customHeight="1">
      <c r="A211" s="70" t="s">
        <v>1857</v>
      </c>
      <c r="B211" s="70" t="s">
        <v>1858</v>
      </c>
      <c r="C211" s="70" t="s">
        <v>1859</v>
      </c>
      <c r="D211" s="70" t="s">
        <v>1860</v>
      </c>
      <c r="E211" s="71">
        <f t="shared" si="15"/>
        <v>17</v>
      </c>
      <c r="F211" s="71" t="s">
        <v>532</v>
      </c>
      <c r="G211" s="71">
        <v>11</v>
      </c>
      <c r="H211" s="72" t="str">
        <f t="shared" si="10"/>
        <v>B1-11</v>
      </c>
      <c r="I211" s="70" t="s">
        <v>1861</v>
      </c>
      <c r="J211" s="70" t="s">
        <v>1862</v>
      </c>
      <c r="K211" s="73" t="str">
        <f t="shared" si="11"/>
        <v>2026</v>
      </c>
      <c r="L211" s="73" t="str">
        <f t="shared" si="12"/>
        <v>05</v>
      </c>
      <c r="M211" s="73" t="str">
        <f t="shared" si="13"/>
        <v>02</v>
      </c>
      <c r="N211" s="73" t="str">
        <f t="shared" si="14"/>
        <v>07:42:04</v>
      </c>
      <c r="O211" s="74"/>
      <c r="P211" s="74"/>
      <c r="Q211" s="74"/>
      <c r="R211" s="74"/>
      <c r="S211" s="74"/>
      <c r="T211" s="74"/>
      <c r="U211" s="74"/>
      <c r="V211" s="74"/>
    </row>
    <row r="212" spans="1:22" ht="22.5" customHeight="1">
      <c r="A212" s="70" t="s">
        <v>1863</v>
      </c>
      <c r="B212" s="70" t="s">
        <v>1864</v>
      </c>
      <c r="C212" s="70" t="s">
        <v>1865</v>
      </c>
      <c r="D212" s="70" t="s">
        <v>1866</v>
      </c>
      <c r="E212" s="71">
        <f t="shared" si="15"/>
        <v>8</v>
      </c>
      <c r="F212" s="71" t="s">
        <v>458</v>
      </c>
      <c r="G212" s="71">
        <v>14</v>
      </c>
      <c r="H212" s="72" t="str">
        <f t="shared" si="10"/>
        <v>W-14</v>
      </c>
      <c r="I212" s="70" t="s">
        <v>1867</v>
      </c>
      <c r="J212" s="70" t="s">
        <v>1868</v>
      </c>
      <c r="K212" s="73" t="str">
        <f t="shared" si="11"/>
        <v>2026</v>
      </c>
      <c r="L212" s="73" t="str">
        <f t="shared" si="12"/>
        <v>05</v>
      </c>
      <c r="M212" s="73" t="str">
        <f t="shared" si="13"/>
        <v>02</v>
      </c>
      <c r="N212" s="73" t="str">
        <f t="shared" si="14"/>
        <v>07:34:15</v>
      </c>
      <c r="O212" s="74"/>
      <c r="P212" s="74"/>
      <c r="Q212" s="74"/>
      <c r="R212" s="74"/>
      <c r="S212" s="74"/>
      <c r="T212" s="74"/>
      <c r="U212" s="74"/>
      <c r="V212" s="74"/>
    </row>
    <row r="213" spans="1:22" ht="22.5" customHeight="1">
      <c r="A213" s="70" t="s">
        <v>1869</v>
      </c>
      <c r="B213" s="70" t="s">
        <v>1870</v>
      </c>
      <c r="C213" s="70" t="s">
        <v>1871</v>
      </c>
      <c r="D213" s="70" t="s">
        <v>1872</v>
      </c>
      <c r="E213" s="71">
        <f t="shared" si="15"/>
        <v>58</v>
      </c>
      <c r="F213" s="71" t="s">
        <v>53</v>
      </c>
      <c r="G213" s="71">
        <v>6</v>
      </c>
      <c r="H213" s="72" t="str">
        <f t="shared" si="10"/>
        <v>B-6</v>
      </c>
      <c r="I213" s="70" t="s">
        <v>1873</v>
      </c>
      <c r="J213" s="70" t="s">
        <v>1874</v>
      </c>
      <c r="K213" s="73" t="str">
        <f t="shared" si="11"/>
        <v>2026</v>
      </c>
      <c r="L213" s="73" t="str">
        <f t="shared" si="12"/>
        <v>05</v>
      </c>
      <c r="M213" s="73" t="str">
        <f t="shared" si="13"/>
        <v>02</v>
      </c>
      <c r="N213" s="73" t="str">
        <f t="shared" si="14"/>
        <v>07:25:57</v>
      </c>
      <c r="O213" s="74"/>
      <c r="P213" s="74"/>
      <c r="Q213" s="74"/>
      <c r="R213" s="74"/>
      <c r="S213" s="74"/>
      <c r="T213" s="74"/>
      <c r="U213" s="74"/>
      <c r="V213" s="74"/>
    </row>
    <row r="214" spans="1:22" ht="22.5" customHeight="1">
      <c r="A214" s="70" t="s">
        <v>1875</v>
      </c>
      <c r="B214" s="70" t="s">
        <v>1876</v>
      </c>
      <c r="C214" s="70" t="s">
        <v>1877</v>
      </c>
      <c r="D214" s="70" t="s">
        <v>1878</v>
      </c>
      <c r="E214" s="71">
        <f t="shared" si="15"/>
        <v>23</v>
      </c>
      <c r="F214" s="71" t="s">
        <v>378</v>
      </c>
      <c r="G214" s="71">
        <v>16</v>
      </c>
      <c r="H214" s="72" t="str">
        <f t="shared" si="10"/>
        <v>Q-16</v>
      </c>
      <c r="I214" s="70" t="s">
        <v>1879</v>
      </c>
      <c r="J214" s="70" t="s">
        <v>1880</v>
      </c>
      <c r="K214" s="73" t="str">
        <f t="shared" si="11"/>
        <v>2026</v>
      </c>
      <c r="L214" s="73" t="str">
        <f t="shared" si="12"/>
        <v>05</v>
      </c>
      <c r="M214" s="73" t="str">
        <f t="shared" si="13"/>
        <v>02</v>
      </c>
      <c r="N214" s="73" t="str">
        <f t="shared" si="14"/>
        <v>07:24:20</v>
      </c>
      <c r="O214" s="74"/>
      <c r="P214" s="74"/>
      <c r="Q214" s="74"/>
      <c r="R214" s="74"/>
      <c r="S214" s="74"/>
      <c r="T214" s="74"/>
      <c r="U214" s="74"/>
      <c r="V214" s="74"/>
    </row>
    <row r="215" spans="1:22" ht="22.5" customHeight="1">
      <c r="A215" s="70" t="s">
        <v>1881</v>
      </c>
      <c r="B215" s="70" t="s">
        <v>1882</v>
      </c>
      <c r="C215" s="70" t="s">
        <v>1883</v>
      </c>
      <c r="D215" s="70" t="s">
        <v>1884</v>
      </c>
      <c r="E215" s="71">
        <f t="shared" si="15"/>
        <v>17</v>
      </c>
      <c r="F215" s="71" t="s">
        <v>502</v>
      </c>
      <c r="G215" s="71">
        <v>9</v>
      </c>
      <c r="H215" s="72" t="str">
        <f t="shared" si="10"/>
        <v>Z-9</v>
      </c>
      <c r="I215" s="75"/>
      <c r="J215" s="70" t="s">
        <v>1885</v>
      </c>
      <c r="K215" s="73" t="str">
        <f t="shared" si="11"/>
        <v>2026</v>
      </c>
      <c r="L215" s="73" t="str">
        <f t="shared" si="12"/>
        <v>05</v>
      </c>
      <c r="M215" s="73" t="str">
        <f t="shared" si="13"/>
        <v>02</v>
      </c>
      <c r="N215" s="73" t="str">
        <f t="shared" si="14"/>
        <v>07:22:05</v>
      </c>
      <c r="O215" s="74"/>
      <c r="P215" s="74"/>
      <c r="Q215" s="74"/>
      <c r="R215" s="74"/>
      <c r="S215" s="74"/>
      <c r="T215" s="74"/>
      <c r="U215" s="74"/>
      <c r="V215" s="74"/>
    </row>
    <row r="216" spans="1:22" ht="22.5" customHeight="1">
      <c r="A216" s="70" t="s">
        <v>1886</v>
      </c>
      <c r="B216" s="70" t="s">
        <v>1887</v>
      </c>
      <c r="C216" s="70" t="s">
        <v>1888</v>
      </c>
      <c r="D216" s="70" t="s">
        <v>1889</v>
      </c>
      <c r="E216" s="71">
        <f t="shared" si="15"/>
        <v>51</v>
      </c>
      <c r="F216" s="71" t="s">
        <v>161</v>
      </c>
      <c r="G216" s="71">
        <v>4</v>
      </c>
      <c r="H216" s="72" t="str">
        <f t="shared" si="10"/>
        <v>F-4</v>
      </c>
      <c r="I216" s="75"/>
      <c r="J216" s="70" t="s">
        <v>1890</v>
      </c>
      <c r="K216" s="73" t="str">
        <f t="shared" si="11"/>
        <v>2026</v>
      </c>
      <c r="L216" s="73" t="str">
        <f t="shared" si="12"/>
        <v>05</v>
      </c>
      <c r="M216" s="73" t="str">
        <f t="shared" si="13"/>
        <v>02</v>
      </c>
      <c r="N216" s="73" t="str">
        <f t="shared" si="14"/>
        <v>07:11:43</v>
      </c>
      <c r="O216" s="74"/>
      <c r="P216" s="74"/>
      <c r="Q216" s="74"/>
      <c r="R216" s="74"/>
      <c r="S216" s="74"/>
      <c r="T216" s="74"/>
      <c r="U216" s="74"/>
      <c r="V216" s="74"/>
    </row>
    <row r="217" spans="1:22" ht="22.5" customHeight="1">
      <c r="A217" s="70" t="s">
        <v>1891</v>
      </c>
      <c r="B217" s="70" t="s">
        <v>1892</v>
      </c>
      <c r="C217" s="70" t="s">
        <v>1893</v>
      </c>
      <c r="D217" s="70" t="s">
        <v>1894</v>
      </c>
      <c r="E217" s="71">
        <f t="shared" si="15"/>
        <v>10</v>
      </c>
      <c r="F217" s="71" t="s">
        <v>586</v>
      </c>
      <c r="G217" s="71">
        <v>2</v>
      </c>
      <c r="H217" s="72" t="str">
        <f t="shared" si="10"/>
        <v>G1-2</v>
      </c>
      <c r="I217" s="70" t="s">
        <v>1895</v>
      </c>
      <c r="J217" s="70" t="s">
        <v>1896</v>
      </c>
      <c r="K217" s="73" t="str">
        <f t="shared" si="11"/>
        <v>2026</v>
      </c>
      <c r="L217" s="73" t="str">
        <f t="shared" si="12"/>
        <v>05</v>
      </c>
      <c r="M217" s="73" t="str">
        <f t="shared" si="13"/>
        <v>02</v>
      </c>
      <c r="N217" s="73" t="str">
        <f t="shared" si="14"/>
        <v>06:53:31</v>
      </c>
      <c r="O217" s="74"/>
      <c r="P217" s="74"/>
      <c r="Q217" s="74"/>
      <c r="R217" s="74"/>
      <c r="S217" s="74"/>
      <c r="T217" s="74"/>
      <c r="U217" s="74"/>
      <c r="V217" s="74"/>
    </row>
    <row r="218" spans="1:22" ht="22.5" customHeight="1">
      <c r="A218" s="70" t="s">
        <v>1897</v>
      </c>
      <c r="B218" s="70" t="s">
        <v>1898</v>
      </c>
      <c r="C218" s="70" t="s">
        <v>1899</v>
      </c>
      <c r="D218" s="70" t="s">
        <v>1900</v>
      </c>
      <c r="E218" s="71">
        <f t="shared" si="15"/>
        <v>14</v>
      </c>
      <c r="F218" s="71" t="s">
        <v>502</v>
      </c>
      <c r="G218" s="71">
        <v>2</v>
      </c>
      <c r="H218" s="72" t="str">
        <f t="shared" si="10"/>
        <v>Z-2</v>
      </c>
      <c r="I218" s="70" t="s">
        <v>1901</v>
      </c>
      <c r="J218" s="70" t="s">
        <v>1902</v>
      </c>
      <c r="K218" s="73" t="str">
        <f t="shared" si="11"/>
        <v>2026</v>
      </c>
      <c r="L218" s="73" t="str">
        <f t="shared" si="12"/>
        <v>05</v>
      </c>
      <c r="M218" s="73" t="str">
        <f t="shared" si="13"/>
        <v>02</v>
      </c>
      <c r="N218" s="73" t="str">
        <f t="shared" si="14"/>
        <v>05:37:34</v>
      </c>
      <c r="O218" s="74"/>
      <c r="P218" s="74"/>
      <c r="Q218" s="74"/>
      <c r="R218" s="74"/>
      <c r="S218" s="74"/>
      <c r="T218" s="74"/>
      <c r="U218" s="74"/>
      <c r="V218" s="74"/>
    </row>
    <row r="219" spans="1:22" ht="22.5" customHeight="1">
      <c r="A219" s="91" t="s">
        <v>1903</v>
      </c>
      <c r="B219" s="92" t="s">
        <v>1904</v>
      </c>
      <c r="C219" s="92" t="s">
        <v>1905</v>
      </c>
      <c r="D219" s="91" t="s">
        <v>1906</v>
      </c>
      <c r="E219" s="71">
        <f t="shared" si="15"/>
        <v>8</v>
      </c>
      <c r="F219" s="93" t="s">
        <v>80</v>
      </c>
      <c r="G219" s="93">
        <v>36</v>
      </c>
      <c r="H219" s="72" t="str">
        <f t="shared" si="10"/>
        <v>C-36</v>
      </c>
      <c r="I219" s="91" t="s">
        <v>1907</v>
      </c>
      <c r="J219" s="91" t="s">
        <v>1908</v>
      </c>
      <c r="K219" s="73" t="str">
        <f t="shared" si="11"/>
        <v>2026</v>
      </c>
      <c r="L219" s="73" t="str">
        <f t="shared" si="12"/>
        <v>05</v>
      </c>
      <c r="M219" s="73" t="str">
        <f t="shared" si="13"/>
        <v>01</v>
      </c>
      <c r="N219" s="73" t="str">
        <f t="shared" si="14"/>
        <v>22:10:44</v>
      </c>
      <c r="O219" s="74"/>
      <c r="P219" s="74"/>
      <c r="Q219" s="74"/>
      <c r="R219" s="74"/>
      <c r="S219" s="74"/>
      <c r="T219" s="74"/>
      <c r="U219" s="74"/>
      <c r="V219" s="74"/>
    </row>
    <row r="220" spans="1:22" ht="22.5" customHeight="1">
      <c r="A220" s="70" t="s">
        <v>1909</v>
      </c>
      <c r="B220" s="70" t="s">
        <v>1910</v>
      </c>
      <c r="C220" s="70" t="s">
        <v>1911</v>
      </c>
      <c r="D220" s="70" t="s">
        <v>1912</v>
      </c>
      <c r="E220" s="71">
        <f t="shared" si="15"/>
        <v>62</v>
      </c>
      <c r="F220" s="71" t="s">
        <v>80</v>
      </c>
      <c r="G220" s="71">
        <v>1</v>
      </c>
      <c r="H220" s="72" t="str">
        <f t="shared" si="10"/>
        <v>C-1</v>
      </c>
      <c r="I220" s="70" t="s">
        <v>1913</v>
      </c>
      <c r="J220" s="70" t="s">
        <v>1914</v>
      </c>
      <c r="K220" s="73" t="str">
        <f t="shared" si="11"/>
        <v>2026</v>
      </c>
      <c r="L220" s="73" t="str">
        <f t="shared" si="12"/>
        <v>05</v>
      </c>
      <c r="M220" s="73" t="str">
        <f t="shared" si="13"/>
        <v>01</v>
      </c>
      <c r="N220" s="73" t="str">
        <f t="shared" si="14"/>
        <v>19:38:56</v>
      </c>
      <c r="O220" s="74"/>
      <c r="P220" s="74"/>
      <c r="Q220" s="74"/>
      <c r="R220" s="74"/>
      <c r="S220" s="74"/>
      <c r="T220" s="74"/>
      <c r="U220" s="74"/>
      <c r="V220" s="74"/>
    </row>
    <row r="221" spans="1:22" ht="22.5" customHeight="1">
      <c r="A221" s="70" t="s">
        <v>1915</v>
      </c>
      <c r="B221" s="70" t="s">
        <v>1916</v>
      </c>
      <c r="C221" s="70" t="s">
        <v>1917</v>
      </c>
      <c r="D221" s="70" t="s">
        <v>1918</v>
      </c>
      <c r="E221" s="71">
        <f t="shared" si="15"/>
        <v>47</v>
      </c>
      <c r="F221" s="71" t="s">
        <v>80</v>
      </c>
      <c r="G221" s="71">
        <v>30</v>
      </c>
      <c r="H221" s="72" t="str">
        <f t="shared" si="10"/>
        <v>C-30</v>
      </c>
      <c r="I221" s="70" t="s">
        <v>1919</v>
      </c>
      <c r="J221" s="70" t="s">
        <v>1920</v>
      </c>
      <c r="K221" s="73" t="str">
        <f t="shared" si="11"/>
        <v>2026</v>
      </c>
      <c r="L221" s="73" t="str">
        <f t="shared" si="12"/>
        <v>05</v>
      </c>
      <c r="M221" s="73" t="str">
        <f t="shared" si="13"/>
        <v>01</v>
      </c>
      <c r="N221" s="73" t="str">
        <f t="shared" si="14"/>
        <v>19:37:58</v>
      </c>
      <c r="O221" s="74"/>
      <c r="P221" s="74"/>
      <c r="Q221" s="74"/>
      <c r="R221" s="74"/>
      <c r="S221" s="74"/>
      <c r="T221" s="74"/>
      <c r="U221" s="74"/>
      <c r="V221" s="74"/>
    </row>
    <row r="222" spans="1:22" ht="22.5" customHeight="1">
      <c r="A222" s="70" t="s">
        <v>1921</v>
      </c>
      <c r="B222" s="70" t="s">
        <v>1922</v>
      </c>
      <c r="C222" s="70" t="s">
        <v>1923</v>
      </c>
      <c r="D222" s="70" t="s">
        <v>1924</v>
      </c>
      <c r="E222" s="71">
        <f t="shared" si="15"/>
        <v>33</v>
      </c>
      <c r="F222" s="71" t="s">
        <v>378</v>
      </c>
      <c r="G222" s="71">
        <v>9</v>
      </c>
      <c r="H222" s="72" t="str">
        <f t="shared" si="10"/>
        <v>Q-9</v>
      </c>
      <c r="I222" s="70" t="s">
        <v>1925</v>
      </c>
      <c r="J222" s="70" t="s">
        <v>1926</v>
      </c>
      <c r="K222" s="73" t="str">
        <f t="shared" si="11"/>
        <v>2026</v>
      </c>
      <c r="L222" s="73" t="str">
        <f t="shared" si="12"/>
        <v>05</v>
      </c>
      <c r="M222" s="73" t="str">
        <f t="shared" si="13"/>
        <v>01</v>
      </c>
      <c r="N222" s="73" t="str">
        <f t="shared" si="14"/>
        <v>19:19:02</v>
      </c>
      <c r="O222" s="74"/>
      <c r="P222" s="74"/>
      <c r="Q222" s="74"/>
      <c r="R222" s="74"/>
      <c r="S222" s="74"/>
      <c r="T222" s="74"/>
      <c r="U222" s="74"/>
      <c r="V222" s="74"/>
    </row>
    <row r="223" spans="1:22" ht="22.5" customHeight="1">
      <c r="A223" s="70" t="s">
        <v>1927</v>
      </c>
      <c r="B223" s="70" t="s">
        <v>1928</v>
      </c>
      <c r="C223" s="70" t="s">
        <v>1929</v>
      </c>
      <c r="D223" s="70" t="s">
        <v>1930</v>
      </c>
      <c r="E223" s="71">
        <f t="shared" si="15"/>
        <v>13</v>
      </c>
      <c r="F223" s="71" t="s">
        <v>401</v>
      </c>
      <c r="G223" s="71">
        <v>9</v>
      </c>
      <c r="H223" s="72" t="str">
        <f t="shared" si="10"/>
        <v>S-9</v>
      </c>
      <c r="I223" s="70" t="s">
        <v>1931</v>
      </c>
      <c r="J223" s="70" t="s">
        <v>1932</v>
      </c>
      <c r="K223" s="73" t="str">
        <f t="shared" si="11"/>
        <v>2026</v>
      </c>
      <c r="L223" s="73" t="str">
        <f t="shared" si="12"/>
        <v>05</v>
      </c>
      <c r="M223" s="73" t="str">
        <f t="shared" si="13"/>
        <v>01</v>
      </c>
      <c r="N223" s="73" t="str">
        <f t="shared" si="14"/>
        <v>19:10:23</v>
      </c>
      <c r="O223" s="74"/>
      <c r="P223" s="74"/>
      <c r="Q223" s="74"/>
      <c r="R223" s="74"/>
      <c r="S223" s="74"/>
      <c r="T223" s="74"/>
      <c r="U223" s="74"/>
      <c r="V223" s="74"/>
    </row>
    <row r="224" spans="1:22" ht="34.5" customHeight="1">
      <c r="A224" s="70" t="s">
        <v>1933</v>
      </c>
      <c r="B224" s="70" t="s">
        <v>1934</v>
      </c>
      <c r="C224" s="70" t="s">
        <v>1935</v>
      </c>
      <c r="D224" s="70" t="s">
        <v>1936</v>
      </c>
      <c r="E224" s="71">
        <f t="shared" si="15"/>
        <v>8</v>
      </c>
      <c r="F224" s="71" t="s">
        <v>415</v>
      </c>
      <c r="G224" s="71">
        <v>3</v>
      </c>
      <c r="H224" s="72" t="str">
        <f t="shared" si="10"/>
        <v>T-3</v>
      </c>
      <c r="I224" s="70" t="s">
        <v>1937</v>
      </c>
      <c r="J224" s="70" t="s">
        <v>1938</v>
      </c>
      <c r="K224" s="73" t="str">
        <f t="shared" si="11"/>
        <v>2026</v>
      </c>
      <c r="L224" s="73" t="str">
        <f t="shared" si="12"/>
        <v>05</v>
      </c>
      <c r="M224" s="73" t="str">
        <f t="shared" si="13"/>
        <v>01</v>
      </c>
      <c r="N224" s="73" t="str">
        <f t="shared" si="14"/>
        <v>19:06:09</v>
      </c>
      <c r="O224" s="74"/>
      <c r="P224" s="74"/>
      <c r="Q224" s="74"/>
      <c r="R224" s="74"/>
      <c r="S224" s="74"/>
      <c r="T224" s="74"/>
      <c r="U224" s="74"/>
      <c r="V224" s="74"/>
    </row>
    <row r="225" spans="1:22" ht="22.5" customHeight="1">
      <c r="A225" s="70" t="s">
        <v>1939</v>
      </c>
      <c r="B225" s="70" t="s">
        <v>1940</v>
      </c>
      <c r="C225" s="70" t="s">
        <v>1941</v>
      </c>
      <c r="D225" s="70" t="s">
        <v>1942</v>
      </c>
      <c r="E225" s="71">
        <f t="shared" si="15"/>
        <v>46</v>
      </c>
      <c r="F225" s="71" t="s">
        <v>251</v>
      </c>
      <c r="G225" s="71">
        <v>5</v>
      </c>
      <c r="H225" s="72" t="str">
        <f t="shared" si="10"/>
        <v>J-5</v>
      </c>
      <c r="I225" s="70" t="s">
        <v>1943</v>
      </c>
      <c r="J225" s="70" t="s">
        <v>1944</v>
      </c>
      <c r="K225" s="73" t="str">
        <f t="shared" si="11"/>
        <v>2026</v>
      </c>
      <c r="L225" s="73" t="str">
        <f t="shared" si="12"/>
        <v>05</v>
      </c>
      <c r="M225" s="73" t="str">
        <f t="shared" si="13"/>
        <v>01</v>
      </c>
      <c r="N225" s="73" t="str">
        <f t="shared" si="14"/>
        <v>19:04:57</v>
      </c>
      <c r="O225" s="74"/>
      <c r="P225" s="74"/>
      <c r="Q225" s="74"/>
      <c r="R225" s="74"/>
      <c r="S225" s="74"/>
      <c r="T225" s="74"/>
      <c r="U225" s="74"/>
      <c r="V225" s="74"/>
    </row>
    <row r="226" spans="1:22" ht="22.5" customHeight="1">
      <c r="A226" s="70" t="s">
        <v>1945</v>
      </c>
      <c r="B226" s="70" t="s">
        <v>1946</v>
      </c>
      <c r="C226" s="70" t="s">
        <v>1947</v>
      </c>
      <c r="D226" s="70" t="s">
        <v>1948</v>
      </c>
      <c r="E226" s="71">
        <f t="shared" si="15"/>
        <v>13</v>
      </c>
      <c r="F226" s="71" t="s">
        <v>378</v>
      </c>
      <c r="G226" s="71">
        <v>3</v>
      </c>
      <c r="H226" s="72" t="str">
        <f t="shared" si="10"/>
        <v>Q-3</v>
      </c>
      <c r="I226" s="70" t="s">
        <v>1949</v>
      </c>
      <c r="J226" s="70" t="s">
        <v>1950</v>
      </c>
      <c r="K226" s="73" t="str">
        <f t="shared" si="11"/>
        <v>2026</v>
      </c>
      <c r="L226" s="73" t="str">
        <f t="shared" si="12"/>
        <v>05</v>
      </c>
      <c r="M226" s="73" t="str">
        <f t="shared" si="13"/>
        <v>01</v>
      </c>
      <c r="N226" s="73" t="str">
        <f t="shared" si="14"/>
        <v>18:51:16</v>
      </c>
      <c r="O226" s="74"/>
      <c r="P226" s="74"/>
      <c r="Q226" s="74"/>
      <c r="R226" s="74"/>
      <c r="S226" s="74"/>
      <c r="T226" s="74"/>
      <c r="U226" s="74"/>
      <c r="V226" s="74"/>
    </row>
    <row r="227" spans="1:22" ht="22.5" customHeight="1">
      <c r="A227" s="70" t="s">
        <v>1951</v>
      </c>
      <c r="B227" s="70" t="s">
        <v>1952</v>
      </c>
      <c r="C227" s="70" t="s">
        <v>1953</v>
      </c>
      <c r="D227" s="70" t="s">
        <v>1954</v>
      </c>
      <c r="E227" s="71">
        <f t="shared" si="15"/>
        <v>15</v>
      </c>
      <c r="F227" s="71" t="s">
        <v>441</v>
      </c>
      <c r="G227" s="71">
        <v>13</v>
      </c>
      <c r="H227" s="72" t="str">
        <f t="shared" si="10"/>
        <v>V-13</v>
      </c>
      <c r="I227" s="70" t="s">
        <v>1955</v>
      </c>
      <c r="J227" s="70" t="s">
        <v>1956</v>
      </c>
      <c r="K227" s="73" t="str">
        <f t="shared" si="11"/>
        <v>2026</v>
      </c>
      <c r="L227" s="73" t="str">
        <f t="shared" si="12"/>
        <v>05</v>
      </c>
      <c r="M227" s="73" t="str">
        <f t="shared" si="13"/>
        <v>01</v>
      </c>
      <c r="N227" s="73" t="str">
        <f t="shared" si="14"/>
        <v>18:36:58</v>
      </c>
      <c r="O227" s="74"/>
      <c r="P227" s="74"/>
      <c r="Q227" s="74"/>
      <c r="R227" s="74"/>
      <c r="S227" s="74"/>
      <c r="T227" s="74"/>
      <c r="U227" s="74"/>
      <c r="V227" s="74"/>
    </row>
    <row r="228" spans="1:22" ht="22.5" customHeight="1">
      <c r="A228" s="70" t="s">
        <v>1957</v>
      </c>
      <c r="B228" s="70" t="s">
        <v>1958</v>
      </c>
      <c r="C228" s="70" t="s">
        <v>1959</v>
      </c>
      <c r="D228" s="70" t="s">
        <v>1960</v>
      </c>
      <c r="E228" s="71">
        <f t="shared" si="15"/>
        <v>17</v>
      </c>
      <c r="F228" s="71" t="s">
        <v>545</v>
      </c>
      <c r="G228" s="71">
        <v>13</v>
      </c>
      <c r="H228" s="72" t="str">
        <f t="shared" si="10"/>
        <v>C1-13</v>
      </c>
      <c r="I228" s="70" t="s">
        <v>1961</v>
      </c>
      <c r="J228" s="70" t="s">
        <v>1962</v>
      </c>
      <c r="K228" s="73" t="str">
        <f t="shared" si="11"/>
        <v>2026</v>
      </c>
      <c r="L228" s="73" t="str">
        <f t="shared" si="12"/>
        <v>05</v>
      </c>
      <c r="M228" s="73" t="str">
        <f t="shared" si="13"/>
        <v>01</v>
      </c>
      <c r="N228" s="73" t="str">
        <f t="shared" si="14"/>
        <v>18:34:58</v>
      </c>
      <c r="O228" s="74"/>
      <c r="P228" s="74"/>
      <c r="Q228" s="74"/>
      <c r="R228" s="74"/>
      <c r="S228" s="74"/>
      <c r="T228" s="74"/>
      <c r="U228" s="74"/>
      <c r="V228" s="74"/>
    </row>
    <row r="229" spans="1:22" ht="22.5" customHeight="1">
      <c r="A229" s="70" t="s">
        <v>1963</v>
      </c>
      <c r="B229" s="70" t="s">
        <v>1964</v>
      </c>
      <c r="C229" s="70" t="s">
        <v>1965</v>
      </c>
      <c r="D229" s="70" t="s">
        <v>1966</v>
      </c>
      <c r="E229" s="71">
        <f t="shared" si="15"/>
        <v>19</v>
      </c>
      <c r="F229" s="71" t="s">
        <v>144</v>
      </c>
      <c r="G229" s="71" t="s">
        <v>158</v>
      </c>
      <c r="H229" s="72" t="str">
        <f t="shared" si="10"/>
        <v>E-14B</v>
      </c>
      <c r="I229" s="70" t="s">
        <v>1967</v>
      </c>
      <c r="J229" s="70" t="s">
        <v>1968</v>
      </c>
      <c r="K229" s="73" t="str">
        <f t="shared" si="11"/>
        <v>2026</v>
      </c>
      <c r="L229" s="73" t="str">
        <f t="shared" si="12"/>
        <v>05</v>
      </c>
      <c r="M229" s="73" t="str">
        <f t="shared" si="13"/>
        <v>01</v>
      </c>
      <c r="N229" s="73" t="str">
        <f t="shared" si="14"/>
        <v>18:31:50</v>
      </c>
    </row>
    <row r="230" spans="1:22" ht="22.5" customHeight="1">
      <c r="A230" s="70" t="s">
        <v>1969</v>
      </c>
      <c r="B230" s="70" t="s">
        <v>1970</v>
      </c>
      <c r="C230" s="70" t="s">
        <v>1971</v>
      </c>
      <c r="D230" s="70" t="s">
        <v>1972</v>
      </c>
      <c r="E230" s="71">
        <f t="shared" si="15"/>
        <v>10</v>
      </c>
      <c r="F230" s="71" t="s">
        <v>177</v>
      </c>
      <c r="G230" s="71">
        <v>23</v>
      </c>
      <c r="H230" s="72" t="str">
        <f t="shared" si="10"/>
        <v>G-23</v>
      </c>
      <c r="I230" s="70" t="s">
        <v>1973</v>
      </c>
      <c r="J230" s="70" t="s">
        <v>1974</v>
      </c>
      <c r="K230" s="73" t="str">
        <f t="shared" si="11"/>
        <v>2026</v>
      </c>
      <c r="L230" s="73" t="str">
        <f t="shared" si="12"/>
        <v>05</v>
      </c>
      <c r="M230" s="73" t="str">
        <f t="shared" si="13"/>
        <v>01</v>
      </c>
      <c r="N230" s="73" t="str">
        <f t="shared" si="14"/>
        <v>18:31:48</v>
      </c>
    </row>
    <row r="231" spans="1:22" ht="22.5" customHeight="1">
      <c r="A231" s="70" t="s">
        <v>1975</v>
      </c>
      <c r="B231" s="70" t="s">
        <v>1976</v>
      </c>
      <c r="C231" s="70" t="s">
        <v>1977</v>
      </c>
      <c r="D231" s="70" t="s">
        <v>1978</v>
      </c>
      <c r="E231" s="71">
        <f t="shared" si="15"/>
        <v>15</v>
      </c>
      <c r="F231" s="71" t="s">
        <v>299</v>
      </c>
      <c r="G231" s="71">
        <v>2</v>
      </c>
      <c r="H231" s="72" t="str">
        <f t="shared" si="10"/>
        <v>M-2</v>
      </c>
      <c r="I231" s="75"/>
      <c r="J231" s="70" t="s">
        <v>1979</v>
      </c>
      <c r="K231" s="73" t="str">
        <f t="shared" si="11"/>
        <v>2026</v>
      </c>
      <c r="L231" s="73" t="str">
        <f t="shared" si="12"/>
        <v>05</v>
      </c>
      <c r="M231" s="73" t="str">
        <f t="shared" si="13"/>
        <v>01</v>
      </c>
      <c r="N231" s="73" t="str">
        <f t="shared" si="14"/>
        <v>18:11:05</v>
      </c>
    </row>
    <row r="232" spans="1:22" ht="22.5" customHeight="1">
      <c r="A232" s="70" t="s">
        <v>1980</v>
      </c>
      <c r="B232" s="70" t="s">
        <v>1981</v>
      </c>
      <c r="C232" s="70" t="s">
        <v>1982</v>
      </c>
      <c r="D232" s="70" t="s">
        <v>1983</v>
      </c>
      <c r="E232" s="71">
        <f t="shared" si="15"/>
        <v>33</v>
      </c>
      <c r="F232" s="71" t="s">
        <v>378</v>
      </c>
      <c r="G232" s="71">
        <v>13</v>
      </c>
      <c r="H232" s="72" t="str">
        <f t="shared" si="10"/>
        <v>Q-13</v>
      </c>
      <c r="I232" s="70" t="s">
        <v>1984</v>
      </c>
      <c r="J232" s="70" t="s">
        <v>1985</v>
      </c>
      <c r="K232" s="73" t="str">
        <f t="shared" si="11"/>
        <v>2026</v>
      </c>
      <c r="L232" s="73" t="str">
        <f t="shared" si="12"/>
        <v>05</v>
      </c>
      <c r="M232" s="73" t="str">
        <f t="shared" si="13"/>
        <v>01</v>
      </c>
      <c r="N232" s="73" t="str">
        <f t="shared" si="14"/>
        <v>17:54:51</v>
      </c>
    </row>
    <row r="233" spans="1:22" ht="22.5" customHeight="1">
      <c r="A233" s="70" t="s">
        <v>1986</v>
      </c>
      <c r="B233" s="70" t="s">
        <v>1987</v>
      </c>
      <c r="C233" s="70" t="s">
        <v>1988</v>
      </c>
      <c r="D233" s="70" t="s">
        <v>1989</v>
      </c>
      <c r="E233" s="71">
        <f t="shared" si="15"/>
        <v>16</v>
      </c>
      <c r="F233" s="71" t="s">
        <v>567</v>
      </c>
      <c r="G233" s="71">
        <v>4</v>
      </c>
      <c r="H233" s="72" t="str">
        <f t="shared" si="10"/>
        <v>E1-4</v>
      </c>
      <c r="I233" s="71" t="s">
        <v>1990</v>
      </c>
      <c r="J233" s="70" t="s">
        <v>1991</v>
      </c>
      <c r="K233" s="73" t="str">
        <f t="shared" si="11"/>
        <v>2026</v>
      </c>
      <c r="L233" s="73" t="str">
        <f t="shared" si="12"/>
        <v>05</v>
      </c>
      <c r="M233" s="73" t="str">
        <f t="shared" si="13"/>
        <v>01</v>
      </c>
      <c r="N233" s="73" t="str">
        <f t="shared" si="14"/>
        <v>17:52:26</v>
      </c>
    </row>
    <row r="234" spans="1:22" ht="22.5" customHeight="1">
      <c r="A234" s="70" t="s">
        <v>1992</v>
      </c>
      <c r="B234" s="70" t="s">
        <v>1993</v>
      </c>
      <c r="C234" s="70" t="s">
        <v>1994</v>
      </c>
      <c r="D234" s="70" t="s">
        <v>1995</v>
      </c>
      <c r="E234" s="71">
        <f t="shared" si="15"/>
        <v>27</v>
      </c>
      <c r="F234" s="71" t="s">
        <v>532</v>
      </c>
      <c r="G234" s="71">
        <v>6</v>
      </c>
      <c r="H234" s="72" t="str">
        <f t="shared" si="10"/>
        <v>B1-6</v>
      </c>
      <c r="I234" s="70" t="s">
        <v>1996</v>
      </c>
      <c r="J234" s="70" t="s">
        <v>1997</v>
      </c>
      <c r="K234" s="73" t="str">
        <f t="shared" si="11"/>
        <v>2026</v>
      </c>
      <c r="L234" s="73" t="str">
        <f t="shared" si="12"/>
        <v>05</v>
      </c>
      <c r="M234" s="73" t="str">
        <f t="shared" si="13"/>
        <v>01</v>
      </c>
      <c r="N234" s="73" t="str">
        <f t="shared" si="14"/>
        <v>17:50:27</v>
      </c>
    </row>
    <row r="235" spans="1:22" ht="39.75" customHeight="1">
      <c r="A235" s="70" t="s">
        <v>1998</v>
      </c>
      <c r="B235" s="70" t="s">
        <v>1999</v>
      </c>
      <c r="C235" s="70" t="s">
        <v>2000</v>
      </c>
      <c r="D235" s="70" t="s">
        <v>2001</v>
      </c>
      <c r="E235" s="71">
        <f t="shared" si="15"/>
        <v>11</v>
      </c>
      <c r="F235" s="71" t="s">
        <v>267</v>
      </c>
      <c r="G235" s="71">
        <v>13</v>
      </c>
      <c r="H235" s="72" t="str">
        <f t="shared" si="10"/>
        <v>K-13</v>
      </c>
      <c r="I235" s="70" t="s">
        <v>2002</v>
      </c>
      <c r="J235" s="70" t="s">
        <v>2003</v>
      </c>
      <c r="K235" s="73" t="str">
        <f t="shared" si="11"/>
        <v>2026</v>
      </c>
      <c r="L235" s="73" t="str">
        <f t="shared" si="12"/>
        <v>05</v>
      </c>
      <c r="M235" s="73" t="str">
        <f t="shared" si="13"/>
        <v>01</v>
      </c>
      <c r="N235" s="73" t="str">
        <f t="shared" si="14"/>
        <v>17:15:00</v>
      </c>
    </row>
    <row r="236" spans="1:22" ht="22.5" customHeight="1">
      <c r="A236" s="70" t="s">
        <v>2004</v>
      </c>
      <c r="B236" s="70" t="s">
        <v>2005</v>
      </c>
      <c r="C236" s="70" t="s">
        <v>2006</v>
      </c>
      <c r="D236" s="70" t="s">
        <v>2007</v>
      </c>
      <c r="E236" s="71">
        <f t="shared" si="15"/>
        <v>52</v>
      </c>
      <c r="F236" s="71" t="s">
        <v>177</v>
      </c>
      <c r="G236" s="71">
        <v>14</v>
      </c>
      <c r="H236" s="72" t="str">
        <f t="shared" si="10"/>
        <v>G-14</v>
      </c>
      <c r="I236" s="70" t="s">
        <v>2008</v>
      </c>
      <c r="J236" s="70" t="s">
        <v>2009</v>
      </c>
      <c r="K236" s="73" t="str">
        <f t="shared" si="11"/>
        <v>2026</v>
      </c>
      <c r="L236" s="73" t="str">
        <f t="shared" si="12"/>
        <v>05</v>
      </c>
      <c r="M236" s="73" t="str">
        <f t="shared" si="13"/>
        <v>01</v>
      </c>
      <c r="N236" s="73" t="str">
        <f t="shared" si="14"/>
        <v>16:37:29</v>
      </c>
    </row>
    <row r="237" spans="1:22" ht="22.5" customHeight="1">
      <c r="A237" s="70" t="s">
        <v>2010</v>
      </c>
      <c r="B237" s="70" t="s">
        <v>2011</v>
      </c>
      <c r="C237" s="70" t="s">
        <v>2012</v>
      </c>
      <c r="D237" s="70" t="s">
        <v>2013</v>
      </c>
      <c r="E237" s="71">
        <f t="shared" si="15"/>
        <v>10</v>
      </c>
      <c r="F237" s="71" t="s">
        <v>458</v>
      </c>
      <c r="G237" s="71">
        <v>13</v>
      </c>
      <c r="H237" s="72" t="str">
        <f t="shared" si="10"/>
        <v>W-13</v>
      </c>
      <c r="I237" s="75"/>
      <c r="J237" s="70" t="s">
        <v>2014</v>
      </c>
      <c r="K237" s="73" t="str">
        <f t="shared" si="11"/>
        <v>2026</v>
      </c>
      <c r="L237" s="73" t="str">
        <f t="shared" si="12"/>
        <v>05</v>
      </c>
      <c r="M237" s="73" t="str">
        <f t="shared" si="13"/>
        <v>01</v>
      </c>
      <c r="N237" s="73" t="str">
        <f t="shared" si="14"/>
        <v>15:18:07</v>
      </c>
    </row>
    <row r="238" spans="1:22" ht="22.5" customHeight="1">
      <c r="A238" s="70" t="s">
        <v>2015</v>
      </c>
      <c r="B238" s="70" t="s">
        <v>2016</v>
      </c>
      <c r="C238" s="70" t="s">
        <v>2017</v>
      </c>
      <c r="D238" s="70" t="s">
        <v>2018</v>
      </c>
      <c r="E238" s="71">
        <f t="shared" si="15"/>
        <v>12</v>
      </c>
      <c r="F238" s="71" t="s">
        <v>567</v>
      </c>
      <c r="G238" s="71">
        <v>3</v>
      </c>
      <c r="H238" s="72" t="str">
        <f t="shared" si="10"/>
        <v>E1-3</v>
      </c>
      <c r="I238" s="75"/>
      <c r="J238" s="70" t="s">
        <v>2019</v>
      </c>
      <c r="K238" s="73" t="str">
        <f t="shared" si="11"/>
        <v>2026</v>
      </c>
      <c r="L238" s="73" t="str">
        <f t="shared" si="12"/>
        <v>05</v>
      </c>
      <c r="M238" s="73" t="str">
        <f t="shared" si="13"/>
        <v>01</v>
      </c>
      <c r="N238" s="73" t="str">
        <f t="shared" si="14"/>
        <v>15:17:04</v>
      </c>
    </row>
    <row r="239" spans="1:22" ht="22.5" customHeight="1">
      <c r="A239" s="70" t="s">
        <v>2020</v>
      </c>
      <c r="B239" s="70" t="s">
        <v>2021</v>
      </c>
      <c r="C239" s="70" t="s">
        <v>2022</v>
      </c>
      <c r="D239" s="70" t="s">
        <v>2023</v>
      </c>
      <c r="E239" s="71">
        <f t="shared" si="15"/>
        <v>10</v>
      </c>
      <c r="F239" s="71" t="s">
        <v>267</v>
      </c>
      <c r="G239" s="71">
        <v>10</v>
      </c>
      <c r="H239" s="72" t="str">
        <f t="shared" si="10"/>
        <v>K-10</v>
      </c>
      <c r="I239" s="75"/>
      <c r="J239" s="70" t="s">
        <v>2024</v>
      </c>
      <c r="K239" s="73" t="str">
        <f t="shared" si="11"/>
        <v>2026</v>
      </c>
      <c r="L239" s="73" t="str">
        <f t="shared" si="12"/>
        <v>05</v>
      </c>
      <c r="M239" s="73" t="str">
        <f t="shared" si="13"/>
        <v>01</v>
      </c>
      <c r="N239" s="73" t="str">
        <f t="shared" si="14"/>
        <v>15:16:04</v>
      </c>
    </row>
    <row r="240" spans="1:22" ht="22.5" customHeight="1">
      <c r="A240" s="70" t="s">
        <v>2025</v>
      </c>
      <c r="B240" s="70" t="s">
        <v>2026</v>
      </c>
      <c r="C240" s="70" t="s">
        <v>2027</v>
      </c>
      <c r="D240" s="70" t="s">
        <v>2028</v>
      </c>
      <c r="E240" s="71">
        <f t="shared" si="15"/>
        <v>8</v>
      </c>
      <c r="F240" s="71" t="s">
        <v>458</v>
      </c>
      <c r="G240" s="71">
        <v>7</v>
      </c>
      <c r="H240" s="72" t="str">
        <f t="shared" si="10"/>
        <v>W-7</v>
      </c>
      <c r="I240" s="75"/>
      <c r="J240" s="70" t="s">
        <v>2029</v>
      </c>
      <c r="K240" s="73" t="str">
        <f t="shared" si="11"/>
        <v>2026</v>
      </c>
      <c r="L240" s="73" t="str">
        <f t="shared" si="12"/>
        <v>05</v>
      </c>
      <c r="M240" s="73" t="str">
        <f t="shared" si="13"/>
        <v>01</v>
      </c>
      <c r="N240" s="73" t="str">
        <f t="shared" si="14"/>
        <v>15:14:59</v>
      </c>
    </row>
    <row r="241" spans="1:14" ht="22.5" customHeight="1">
      <c r="A241" s="70" t="s">
        <v>2030</v>
      </c>
      <c r="B241" s="70" t="s">
        <v>2031</v>
      </c>
      <c r="C241" s="70" t="s">
        <v>2032</v>
      </c>
      <c r="D241" s="70" t="s">
        <v>2033</v>
      </c>
      <c r="E241" s="71">
        <f t="shared" si="15"/>
        <v>24</v>
      </c>
      <c r="F241" s="71" t="s">
        <v>80</v>
      </c>
      <c r="G241" s="71">
        <v>31</v>
      </c>
      <c r="H241" s="72" t="str">
        <f t="shared" si="10"/>
        <v>C-31</v>
      </c>
      <c r="I241" s="70" t="s">
        <v>2034</v>
      </c>
      <c r="J241" s="70" t="s">
        <v>2035</v>
      </c>
      <c r="K241" s="73" t="str">
        <f t="shared" si="11"/>
        <v>2026</v>
      </c>
      <c r="L241" s="73" t="str">
        <f t="shared" si="12"/>
        <v>05</v>
      </c>
      <c r="M241" s="73" t="str">
        <f t="shared" si="13"/>
        <v>01</v>
      </c>
      <c r="N241" s="73" t="str">
        <f t="shared" si="14"/>
        <v>15:04:10</v>
      </c>
    </row>
    <row r="242" spans="1:14" ht="22.5" customHeight="1">
      <c r="A242" s="70" t="s">
        <v>2036</v>
      </c>
      <c r="B242" s="70" t="s">
        <v>2037</v>
      </c>
      <c r="C242" s="70" t="s">
        <v>2038</v>
      </c>
      <c r="D242" s="70" t="s">
        <v>2039</v>
      </c>
      <c r="E242" s="71">
        <f t="shared" si="15"/>
        <v>13</v>
      </c>
      <c r="F242" s="71" t="s">
        <v>80</v>
      </c>
      <c r="G242" s="71">
        <v>22</v>
      </c>
      <c r="H242" s="72" t="str">
        <f t="shared" si="10"/>
        <v>C-22</v>
      </c>
      <c r="I242" s="75"/>
      <c r="J242" s="70" t="s">
        <v>2040</v>
      </c>
      <c r="K242" s="73" t="str">
        <f t="shared" si="11"/>
        <v>2026</v>
      </c>
      <c r="L242" s="73" t="str">
        <f t="shared" si="12"/>
        <v>05</v>
      </c>
      <c r="M242" s="73" t="str">
        <f t="shared" si="13"/>
        <v>01</v>
      </c>
      <c r="N242" s="73" t="str">
        <f t="shared" si="14"/>
        <v>14:39:58</v>
      </c>
    </row>
    <row r="243" spans="1:14" ht="22.5" customHeight="1">
      <c r="A243" s="70" t="s">
        <v>2041</v>
      </c>
      <c r="B243" s="70" t="s">
        <v>2042</v>
      </c>
      <c r="C243" s="70" t="s">
        <v>2043</v>
      </c>
      <c r="D243" s="70" t="s">
        <v>2044</v>
      </c>
      <c r="E243" s="71">
        <f t="shared" si="15"/>
        <v>26</v>
      </c>
      <c r="F243" s="71" t="s">
        <v>473</v>
      </c>
      <c r="G243" s="71">
        <v>10</v>
      </c>
      <c r="H243" s="72" t="str">
        <f t="shared" si="10"/>
        <v>X-10</v>
      </c>
      <c r="I243" s="75"/>
      <c r="J243" s="70" t="s">
        <v>2045</v>
      </c>
      <c r="K243" s="73" t="str">
        <f t="shared" si="11"/>
        <v>2026</v>
      </c>
      <c r="L243" s="73" t="str">
        <f t="shared" si="12"/>
        <v>05</v>
      </c>
      <c r="M243" s="73" t="str">
        <f t="shared" si="13"/>
        <v>01</v>
      </c>
      <c r="N243" s="73" t="str">
        <f t="shared" si="14"/>
        <v>14:30:15</v>
      </c>
    </row>
    <row r="244" spans="1:14" ht="22.5" customHeight="1">
      <c r="A244" s="70" t="s">
        <v>2046</v>
      </c>
      <c r="B244" s="70" t="s">
        <v>2047</v>
      </c>
      <c r="C244" s="70" t="s">
        <v>2048</v>
      </c>
      <c r="D244" s="70" t="s">
        <v>2049</v>
      </c>
      <c r="E244" s="71">
        <f t="shared" si="15"/>
        <v>8</v>
      </c>
      <c r="F244" s="71" t="s">
        <v>327</v>
      </c>
      <c r="G244" s="71">
        <v>16</v>
      </c>
      <c r="H244" s="72" t="str">
        <f t="shared" si="10"/>
        <v>O-16</v>
      </c>
      <c r="I244" s="70" t="s">
        <v>2050</v>
      </c>
      <c r="J244" s="70" t="s">
        <v>2051</v>
      </c>
      <c r="K244" s="73" t="str">
        <f t="shared" si="11"/>
        <v>2026</v>
      </c>
      <c r="L244" s="73" t="str">
        <f t="shared" si="12"/>
        <v>05</v>
      </c>
      <c r="M244" s="73" t="str">
        <f t="shared" si="13"/>
        <v>01</v>
      </c>
      <c r="N244" s="73" t="str">
        <f t="shared" si="14"/>
        <v>14:10:16</v>
      </c>
    </row>
    <row r="245" spans="1:14" ht="22.5" customHeight="1">
      <c r="A245" s="70" t="s">
        <v>2052</v>
      </c>
      <c r="B245" s="70" t="s">
        <v>2053</v>
      </c>
      <c r="C245" s="70" t="s">
        <v>2054</v>
      </c>
      <c r="D245" s="70" t="s">
        <v>2055</v>
      </c>
      <c r="E245" s="71">
        <f t="shared" si="15"/>
        <v>20</v>
      </c>
      <c r="F245" s="71" t="s">
        <v>161</v>
      </c>
      <c r="G245" s="71">
        <v>10</v>
      </c>
      <c r="H245" s="72" t="str">
        <f t="shared" si="10"/>
        <v>F-10</v>
      </c>
      <c r="I245" s="70" t="s">
        <v>2056</v>
      </c>
      <c r="J245" s="70" t="s">
        <v>2057</v>
      </c>
      <c r="K245" s="73" t="str">
        <f t="shared" si="11"/>
        <v>2026</v>
      </c>
      <c r="L245" s="73" t="str">
        <f t="shared" si="12"/>
        <v>05</v>
      </c>
      <c r="M245" s="73" t="str">
        <f t="shared" si="13"/>
        <v>01</v>
      </c>
      <c r="N245" s="73" t="str">
        <f t="shared" si="14"/>
        <v>13:43:06</v>
      </c>
    </row>
    <row r="246" spans="1:14" ht="22.5" customHeight="1">
      <c r="A246" s="70" t="s">
        <v>2058</v>
      </c>
      <c r="B246" s="70" t="s">
        <v>2059</v>
      </c>
      <c r="C246" s="70" t="s">
        <v>2060</v>
      </c>
      <c r="D246" s="70" t="s">
        <v>2061</v>
      </c>
      <c r="E246" s="71">
        <f t="shared" si="15"/>
        <v>47</v>
      </c>
      <c r="F246" s="71" t="s">
        <v>125</v>
      </c>
      <c r="G246" s="71">
        <v>19</v>
      </c>
      <c r="H246" s="72" t="str">
        <f t="shared" si="10"/>
        <v>D-19</v>
      </c>
      <c r="I246" s="75"/>
      <c r="J246" s="70" t="s">
        <v>2062</v>
      </c>
      <c r="K246" s="73" t="str">
        <f t="shared" si="11"/>
        <v>2026</v>
      </c>
      <c r="L246" s="73" t="str">
        <f t="shared" si="12"/>
        <v>05</v>
      </c>
      <c r="M246" s="73" t="str">
        <f t="shared" si="13"/>
        <v>01</v>
      </c>
      <c r="N246" s="73" t="str">
        <f t="shared" si="14"/>
        <v>12:57:33</v>
      </c>
    </row>
    <row r="247" spans="1:14" ht="22.5" customHeight="1">
      <c r="A247" s="70" t="s">
        <v>2063</v>
      </c>
      <c r="B247" s="70" t="s">
        <v>2064</v>
      </c>
      <c r="C247" s="70" t="s">
        <v>2065</v>
      </c>
      <c r="D247" s="70" t="s">
        <v>2066</v>
      </c>
      <c r="E247" s="71">
        <f t="shared" si="15"/>
        <v>16</v>
      </c>
      <c r="F247" s="71" t="s">
        <v>502</v>
      </c>
      <c r="G247" s="71">
        <v>5</v>
      </c>
      <c r="H247" s="72" t="str">
        <f t="shared" si="10"/>
        <v>Z-5</v>
      </c>
      <c r="I247" s="75"/>
      <c r="J247" s="70" t="s">
        <v>2067</v>
      </c>
      <c r="K247" s="73" t="str">
        <f t="shared" si="11"/>
        <v>2026</v>
      </c>
      <c r="L247" s="73" t="str">
        <f t="shared" si="12"/>
        <v>05</v>
      </c>
      <c r="M247" s="73" t="str">
        <f t="shared" si="13"/>
        <v>01</v>
      </c>
      <c r="N247" s="73" t="str">
        <f t="shared" si="14"/>
        <v>12:40:36</v>
      </c>
    </row>
    <row r="248" spans="1:14" ht="22.5" customHeight="1">
      <c r="A248" s="70" t="s">
        <v>2068</v>
      </c>
      <c r="B248" s="70" t="s">
        <v>2069</v>
      </c>
      <c r="C248" s="70" t="s">
        <v>2070</v>
      </c>
      <c r="D248" s="70" t="s">
        <v>2071</v>
      </c>
      <c r="E248" s="71">
        <f t="shared" si="15"/>
        <v>21</v>
      </c>
      <c r="F248" s="71" t="s">
        <v>161</v>
      </c>
      <c r="G248" s="71">
        <v>11</v>
      </c>
      <c r="H248" s="72" t="str">
        <f t="shared" si="10"/>
        <v>F-11</v>
      </c>
      <c r="I248" s="75"/>
      <c r="J248" s="70" t="s">
        <v>2072</v>
      </c>
      <c r="K248" s="73" t="str">
        <f t="shared" si="11"/>
        <v>2026</v>
      </c>
      <c r="L248" s="73" t="str">
        <f t="shared" si="12"/>
        <v>05</v>
      </c>
      <c r="M248" s="73" t="str">
        <f t="shared" si="13"/>
        <v>01</v>
      </c>
      <c r="N248" s="73" t="str">
        <f t="shared" si="14"/>
        <v>12:26:54</v>
      </c>
    </row>
    <row r="249" spans="1:14" ht="22.5" customHeight="1">
      <c r="A249" s="70" t="s">
        <v>2073</v>
      </c>
      <c r="B249" s="70" t="s">
        <v>2074</v>
      </c>
      <c r="C249" s="70" t="s">
        <v>2075</v>
      </c>
      <c r="D249" s="70" t="s">
        <v>2076</v>
      </c>
      <c r="E249" s="71">
        <f t="shared" si="15"/>
        <v>11</v>
      </c>
      <c r="F249" s="71" t="s">
        <v>80</v>
      </c>
      <c r="G249" s="71" t="s">
        <v>91</v>
      </c>
      <c r="H249" s="72" t="str">
        <f t="shared" si="10"/>
        <v>C-9C</v>
      </c>
      <c r="I249" s="70" t="s">
        <v>2077</v>
      </c>
      <c r="J249" s="70" t="s">
        <v>2078</v>
      </c>
      <c r="K249" s="73" t="str">
        <f t="shared" si="11"/>
        <v>2026</v>
      </c>
      <c r="L249" s="73" t="str">
        <f t="shared" si="12"/>
        <v>05</v>
      </c>
      <c r="M249" s="73" t="str">
        <f t="shared" si="13"/>
        <v>01</v>
      </c>
      <c r="N249" s="73" t="str">
        <f t="shared" si="14"/>
        <v>12:15:12</v>
      </c>
    </row>
    <row r="250" spans="1:14" ht="22.5" customHeight="1">
      <c r="A250" s="70" t="s">
        <v>2079</v>
      </c>
      <c r="B250" s="70" t="s">
        <v>2080</v>
      </c>
      <c r="C250" s="70" t="s">
        <v>2081</v>
      </c>
      <c r="D250" s="70" t="s">
        <v>2082</v>
      </c>
      <c r="E250" s="71">
        <f t="shared" si="15"/>
        <v>42</v>
      </c>
      <c r="F250" s="71" t="s">
        <v>228</v>
      </c>
      <c r="G250" s="71">
        <v>11</v>
      </c>
      <c r="H250" s="72" t="str">
        <f t="shared" si="10"/>
        <v>I-11</v>
      </c>
      <c r="I250" s="70" t="s">
        <v>2083</v>
      </c>
      <c r="J250" s="70" t="s">
        <v>2084</v>
      </c>
      <c r="K250" s="73" t="str">
        <f t="shared" si="11"/>
        <v>2026</v>
      </c>
      <c r="L250" s="73" t="str">
        <f t="shared" si="12"/>
        <v>05</v>
      </c>
      <c r="M250" s="73" t="str">
        <f t="shared" si="13"/>
        <v>01</v>
      </c>
      <c r="N250" s="73" t="str">
        <f t="shared" si="14"/>
        <v>12:07:47</v>
      </c>
    </row>
    <row r="251" spans="1:14" ht="22.5" customHeight="1">
      <c r="A251" s="70" t="s">
        <v>2085</v>
      </c>
      <c r="B251" s="70" t="s">
        <v>2086</v>
      </c>
      <c r="C251" s="70" t="s">
        <v>2087</v>
      </c>
      <c r="D251" s="70" t="s">
        <v>2088</v>
      </c>
      <c r="E251" s="71">
        <f t="shared" si="15"/>
        <v>64</v>
      </c>
      <c r="F251" s="71" t="s">
        <v>125</v>
      </c>
      <c r="G251" s="71">
        <v>17</v>
      </c>
      <c r="H251" s="72" t="str">
        <f t="shared" si="10"/>
        <v>D-17</v>
      </c>
      <c r="I251" s="70" t="s">
        <v>2089</v>
      </c>
      <c r="J251" s="70" t="s">
        <v>2090</v>
      </c>
      <c r="K251" s="73" t="str">
        <f t="shared" si="11"/>
        <v>2026</v>
      </c>
      <c r="L251" s="73" t="str">
        <f t="shared" si="12"/>
        <v>05</v>
      </c>
      <c r="M251" s="73" t="str">
        <f t="shared" si="13"/>
        <v>01</v>
      </c>
      <c r="N251" s="73" t="str">
        <f t="shared" si="14"/>
        <v>11:56:37</v>
      </c>
    </row>
    <row r="252" spans="1:14" ht="22.5" customHeight="1">
      <c r="A252" s="70" t="s">
        <v>2091</v>
      </c>
      <c r="B252" s="70" t="s">
        <v>2092</v>
      </c>
      <c r="C252" s="70" t="s">
        <v>2093</v>
      </c>
      <c r="D252" s="70" t="s">
        <v>2094</v>
      </c>
      <c r="E252" s="71">
        <f t="shared" si="15"/>
        <v>10</v>
      </c>
      <c r="F252" s="71" t="s">
        <v>393</v>
      </c>
      <c r="G252" s="71">
        <v>4</v>
      </c>
      <c r="H252" s="72" t="str">
        <f t="shared" si="10"/>
        <v>R-4</v>
      </c>
      <c r="I252" s="70" t="s">
        <v>2095</v>
      </c>
      <c r="J252" s="70" t="s">
        <v>2096</v>
      </c>
      <c r="K252" s="73" t="str">
        <f t="shared" si="11"/>
        <v>2026</v>
      </c>
      <c r="L252" s="73" t="str">
        <f t="shared" si="12"/>
        <v>05</v>
      </c>
      <c r="M252" s="73" t="str">
        <f t="shared" si="13"/>
        <v>01</v>
      </c>
      <c r="N252" s="73" t="str">
        <f t="shared" si="14"/>
        <v>11:56:30</v>
      </c>
    </row>
    <row r="253" spans="1:14" ht="22.5" customHeight="1">
      <c r="A253" s="70" t="s">
        <v>2097</v>
      </c>
      <c r="B253" s="70" t="s">
        <v>2098</v>
      </c>
      <c r="C253" s="70" t="s">
        <v>2099</v>
      </c>
      <c r="D253" s="70" t="s">
        <v>2100</v>
      </c>
      <c r="E253" s="71">
        <f t="shared" si="15"/>
        <v>13</v>
      </c>
      <c r="F253" s="71" t="s">
        <v>401</v>
      </c>
      <c r="G253" s="71">
        <v>15</v>
      </c>
      <c r="H253" s="72" t="str">
        <f t="shared" si="10"/>
        <v>S-15</v>
      </c>
      <c r="I253" s="70" t="s">
        <v>2101</v>
      </c>
      <c r="J253" s="70" t="s">
        <v>2102</v>
      </c>
      <c r="K253" s="73" t="str">
        <f t="shared" si="11"/>
        <v>2026</v>
      </c>
      <c r="L253" s="73" t="str">
        <f t="shared" si="12"/>
        <v>05</v>
      </c>
      <c r="M253" s="73" t="str">
        <f t="shared" si="13"/>
        <v>01</v>
      </c>
      <c r="N253" s="73" t="str">
        <f t="shared" si="14"/>
        <v>11:43:49</v>
      </c>
    </row>
    <row r="254" spans="1:14" ht="22.5" customHeight="1">
      <c r="A254" s="70" t="s">
        <v>2103</v>
      </c>
      <c r="B254" s="70" t="s">
        <v>2104</v>
      </c>
      <c r="C254" s="70" t="s">
        <v>2105</v>
      </c>
      <c r="D254" s="70" t="s">
        <v>2106</v>
      </c>
      <c r="E254" s="71">
        <f t="shared" si="15"/>
        <v>33</v>
      </c>
      <c r="F254" s="71" t="s">
        <v>161</v>
      </c>
      <c r="G254" s="71" t="s">
        <v>164</v>
      </c>
      <c r="H254" s="72" t="str">
        <f t="shared" si="10"/>
        <v>F-3B</v>
      </c>
      <c r="I254" s="70" t="s">
        <v>2107</v>
      </c>
      <c r="J254" s="70" t="s">
        <v>2108</v>
      </c>
      <c r="K254" s="73" t="str">
        <f t="shared" si="11"/>
        <v>2026</v>
      </c>
      <c r="L254" s="73" t="str">
        <f t="shared" si="12"/>
        <v>05</v>
      </c>
      <c r="M254" s="73" t="str">
        <f t="shared" si="13"/>
        <v>01</v>
      </c>
      <c r="N254" s="73" t="str">
        <f t="shared" si="14"/>
        <v>11:38:46</v>
      </c>
    </row>
    <row r="255" spans="1:14" ht="22.5" customHeight="1">
      <c r="A255" s="70" t="s">
        <v>2109</v>
      </c>
      <c r="B255" s="70" t="s">
        <v>2110</v>
      </c>
      <c r="C255" s="70" t="s">
        <v>2111</v>
      </c>
      <c r="D255" s="70" t="s">
        <v>2112</v>
      </c>
      <c r="E255" s="71">
        <f t="shared" si="15"/>
        <v>46</v>
      </c>
      <c r="F255" s="71" t="s">
        <v>144</v>
      </c>
      <c r="G255" s="71">
        <v>12</v>
      </c>
      <c r="H255" s="72" t="str">
        <f t="shared" si="10"/>
        <v>E-12</v>
      </c>
      <c r="I255" s="70" t="s">
        <v>2113</v>
      </c>
      <c r="J255" s="70" t="s">
        <v>2114</v>
      </c>
      <c r="K255" s="73" t="str">
        <f t="shared" si="11"/>
        <v>2026</v>
      </c>
      <c r="L255" s="73" t="str">
        <f t="shared" si="12"/>
        <v>05</v>
      </c>
      <c r="M255" s="73" t="str">
        <f t="shared" si="13"/>
        <v>01</v>
      </c>
      <c r="N255" s="73" t="str">
        <f t="shared" si="14"/>
        <v>11:34:51</v>
      </c>
    </row>
    <row r="256" spans="1:14" ht="22.5" customHeight="1">
      <c r="A256" s="70" t="s">
        <v>2115</v>
      </c>
      <c r="B256" s="70" t="s">
        <v>2116</v>
      </c>
      <c r="C256" s="70" t="s">
        <v>2117</v>
      </c>
      <c r="D256" s="70" t="s">
        <v>2118</v>
      </c>
      <c r="E256" s="71">
        <f t="shared" si="15"/>
        <v>23</v>
      </c>
      <c r="F256" s="71" t="s">
        <v>458</v>
      </c>
      <c r="G256" s="71">
        <v>16</v>
      </c>
      <c r="H256" s="72" t="str">
        <f t="shared" si="10"/>
        <v>W-16</v>
      </c>
      <c r="I256" s="70" t="s">
        <v>2119</v>
      </c>
      <c r="J256" s="70" t="s">
        <v>2120</v>
      </c>
      <c r="K256" s="73" t="str">
        <f t="shared" si="11"/>
        <v>2026</v>
      </c>
      <c r="L256" s="73" t="str">
        <f t="shared" si="12"/>
        <v>05</v>
      </c>
      <c r="M256" s="73" t="str">
        <f t="shared" si="13"/>
        <v>01</v>
      </c>
      <c r="N256" s="73" t="str">
        <f t="shared" si="14"/>
        <v>11:31:04</v>
      </c>
    </row>
    <row r="257" spans="1:14" ht="22.5" customHeight="1">
      <c r="A257" s="70" t="s">
        <v>2121</v>
      </c>
      <c r="B257" s="70" t="s">
        <v>2122</v>
      </c>
      <c r="C257" s="70" t="s">
        <v>2123</v>
      </c>
      <c r="D257" s="70" t="s">
        <v>2124</v>
      </c>
      <c r="E257" s="71">
        <f t="shared" si="15"/>
        <v>53</v>
      </c>
      <c r="F257" s="71" t="s">
        <v>284</v>
      </c>
      <c r="G257" s="71">
        <v>2</v>
      </c>
      <c r="H257" s="72" t="str">
        <f t="shared" si="10"/>
        <v>L-2</v>
      </c>
      <c r="I257" s="70" t="s">
        <v>2125</v>
      </c>
      <c r="J257" s="70" t="s">
        <v>2126</v>
      </c>
      <c r="K257" s="73" t="str">
        <f t="shared" si="11"/>
        <v>2026</v>
      </c>
      <c r="L257" s="73" t="str">
        <f t="shared" si="12"/>
        <v>05</v>
      </c>
      <c r="M257" s="73" t="str">
        <f t="shared" si="13"/>
        <v>01</v>
      </c>
      <c r="N257" s="73" t="str">
        <f t="shared" si="14"/>
        <v>11:19:09</v>
      </c>
    </row>
    <row r="258" spans="1:14" ht="22.5" customHeight="1">
      <c r="A258" s="70" t="s">
        <v>2127</v>
      </c>
      <c r="B258" s="70" t="s">
        <v>2128</v>
      </c>
      <c r="C258" s="70" t="s">
        <v>2129</v>
      </c>
      <c r="D258" s="70" t="s">
        <v>2130</v>
      </c>
      <c r="E258" s="71">
        <f t="shared" si="15"/>
        <v>10</v>
      </c>
      <c r="F258" s="71" t="s">
        <v>415</v>
      </c>
      <c r="G258" s="71">
        <v>20</v>
      </c>
      <c r="H258" s="72" t="str">
        <f t="shared" si="10"/>
        <v>T-20</v>
      </c>
      <c r="I258" s="70" t="s">
        <v>2131</v>
      </c>
      <c r="J258" s="70" t="s">
        <v>2132</v>
      </c>
      <c r="K258" s="73" t="str">
        <f t="shared" si="11"/>
        <v>2026</v>
      </c>
      <c r="L258" s="73" t="str">
        <f t="shared" si="12"/>
        <v>05</v>
      </c>
      <c r="M258" s="73" t="str">
        <f t="shared" si="13"/>
        <v>01</v>
      </c>
      <c r="N258" s="73" t="str">
        <f t="shared" si="14"/>
        <v>11:17:07</v>
      </c>
    </row>
    <row r="259" spans="1:14" ht="22.5" customHeight="1">
      <c r="A259" s="70" t="s">
        <v>2133</v>
      </c>
      <c r="B259" s="70" t="s">
        <v>2134</v>
      </c>
      <c r="C259" s="70" t="s">
        <v>2135</v>
      </c>
      <c r="D259" s="70" t="s">
        <v>2136</v>
      </c>
      <c r="E259" s="71">
        <f t="shared" si="15"/>
        <v>16.5</v>
      </c>
      <c r="F259" s="71" t="s">
        <v>415</v>
      </c>
      <c r="G259" s="71">
        <v>13</v>
      </c>
      <c r="H259" s="72" t="str">
        <f t="shared" si="10"/>
        <v>T-13</v>
      </c>
      <c r="I259" s="70" t="s">
        <v>2137</v>
      </c>
      <c r="J259" s="70" t="s">
        <v>2138</v>
      </c>
      <c r="K259" s="73" t="str">
        <f t="shared" si="11"/>
        <v>2026</v>
      </c>
      <c r="L259" s="73" t="str">
        <f t="shared" si="12"/>
        <v>05</v>
      </c>
      <c r="M259" s="73" t="str">
        <f t="shared" si="13"/>
        <v>01</v>
      </c>
      <c r="N259" s="73" t="str">
        <f t="shared" si="14"/>
        <v>11:00:57</v>
      </c>
    </row>
    <row r="260" spans="1:14" ht="22.5" customHeight="1">
      <c r="A260" s="70" t="s">
        <v>2139</v>
      </c>
      <c r="B260" s="70" t="s">
        <v>2140</v>
      </c>
      <c r="C260" s="70" t="s">
        <v>2141</v>
      </c>
      <c r="D260" s="70" t="s">
        <v>2142</v>
      </c>
      <c r="E260" s="71">
        <f t="shared" si="15"/>
        <v>8</v>
      </c>
      <c r="F260" s="71" t="s">
        <v>586</v>
      </c>
      <c r="G260" s="71">
        <v>4</v>
      </c>
      <c r="H260" s="72" t="str">
        <f t="shared" si="10"/>
        <v>G1-4</v>
      </c>
      <c r="I260" s="70" t="s">
        <v>2143</v>
      </c>
      <c r="J260" s="70" t="s">
        <v>2144</v>
      </c>
      <c r="K260" s="73" t="str">
        <f t="shared" si="11"/>
        <v>2026</v>
      </c>
      <c r="L260" s="73" t="str">
        <f t="shared" si="12"/>
        <v>05</v>
      </c>
      <c r="M260" s="73" t="str">
        <f t="shared" si="13"/>
        <v>01</v>
      </c>
      <c r="N260" s="73" t="str">
        <f t="shared" si="14"/>
        <v>10:56:06</v>
      </c>
    </row>
    <row r="261" spans="1:14" ht="22.5" customHeight="1">
      <c r="A261" s="70" t="s">
        <v>2145</v>
      </c>
      <c r="B261" s="70" t="s">
        <v>2146</v>
      </c>
      <c r="C261" s="70" t="s">
        <v>2147</v>
      </c>
      <c r="D261" s="70" t="s">
        <v>2148</v>
      </c>
      <c r="E261" s="71">
        <f t="shared" si="15"/>
        <v>8</v>
      </c>
      <c r="F261" s="71" t="s">
        <v>34</v>
      </c>
      <c r="G261" s="71">
        <v>3</v>
      </c>
      <c r="H261" s="72" t="str">
        <f t="shared" si="10"/>
        <v>A-3</v>
      </c>
      <c r="I261" s="70" t="s">
        <v>2149</v>
      </c>
      <c r="J261" s="70" t="s">
        <v>2150</v>
      </c>
      <c r="K261" s="73" t="str">
        <f t="shared" si="11"/>
        <v>2026</v>
      </c>
      <c r="L261" s="73" t="str">
        <f t="shared" si="12"/>
        <v>05</v>
      </c>
      <c r="M261" s="73" t="str">
        <f t="shared" si="13"/>
        <v>01</v>
      </c>
      <c r="N261" s="73" t="str">
        <f t="shared" si="14"/>
        <v>10:48:44</v>
      </c>
    </row>
    <row r="262" spans="1:14" ht="22.5" customHeight="1">
      <c r="A262" s="70" t="s">
        <v>2151</v>
      </c>
      <c r="B262" s="70" t="s">
        <v>2152</v>
      </c>
      <c r="C262" s="70" t="s">
        <v>2153</v>
      </c>
      <c r="D262" s="70" t="s">
        <v>2154</v>
      </c>
      <c r="E262" s="71">
        <f t="shared" si="15"/>
        <v>11</v>
      </c>
      <c r="F262" s="71" t="s">
        <v>575</v>
      </c>
      <c r="G262" s="71">
        <v>7</v>
      </c>
      <c r="H262" s="72" t="str">
        <f t="shared" si="10"/>
        <v>F1-7</v>
      </c>
      <c r="I262" s="70" t="s">
        <v>2155</v>
      </c>
      <c r="J262" s="70" t="s">
        <v>2156</v>
      </c>
      <c r="K262" s="73" t="str">
        <f t="shared" si="11"/>
        <v>2026</v>
      </c>
      <c r="L262" s="73" t="str">
        <f t="shared" si="12"/>
        <v>05</v>
      </c>
      <c r="M262" s="73" t="str">
        <f t="shared" si="13"/>
        <v>01</v>
      </c>
      <c r="N262" s="73" t="str">
        <f t="shared" si="14"/>
        <v>10:21:22</v>
      </c>
    </row>
    <row r="263" spans="1:14" ht="22.5" customHeight="1">
      <c r="A263" s="70" t="s">
        <v>2157</v>
      </c>
      <c r="B263" s="70" t="s">
        <v>2158</v>
      </c>
      <c r="C263" s="70" t="s">
        <v>2159</v>
      </c>
      <c r="D263" s="70" t="s">
        <v>2160</v>
      </c>
      <c r="E263" s="71">
        <f t="shared" si="15"/>
        <v>43</v>
      </c>
      <c r="F263" s="71" t="s">
        <v>393</v>
      </c>
      <c r="G263" s="71">
        <v>2</v>
      </c>
      <c r="H263" s="72" t="str">
        <f t="shared" si="10"/>
        <v>R-2</v>
      </c>
      <c r="I263" s="75"/>
      <c r="J263" s="70" t="s">
        <v>2161</v>
      </c>
      <c r="K263" s="73" t="str">
        <f t="shared" si="11"/>
        <v>2026</v>
      </c>
      <c r="L263" s="73" t="str">
        <f t="shared" si="12"/>
        <v>05</v>
      </c>
      <c r="M263" s="73" t="str">
        <f t="shared" si="13"/>
        <v>01</v>
      </c>
      <c r="N263" s="73" t="str">
        <f t="shared" si="14"/>
        <v>10:17:29</v>
      </c>
    </row>
    <row r="264" spans="1:14" ht="33" customHeight="1">
      <c r="A264" s="70" t="s">
        <v>2162</v>
      </c>
      <c r="B264" s="70" t="s">
        <v>2163</v>
      </c>
      <c r="C264" s="70" t="s">
        <v>2164</v>
      </c>
      <c r="D264" s="70" t="s">
        <v>2165</v>
      </c>
      <c r="E264" s="71">
        <f t="shared" si="15"/>
        <v>18</v>
      </c>
      <c r="F264" s="71" t="s">
        <v>80</v>
      </c>
      <c r="G264" s="71">
        <v>33</v>
      </c>
      <c r="H264" s="72" t="str">
        <f t="shared" si="10"/>
        <v>C-33</v>
      </c>
      <c r="I264" s="70" t="s">
        <v>2166</v>
      </c>
      <c r="J264" s="70" t="s">
        <v>2167</v>
      </c>
      <c r="K264" s="73" t="str">
        <f t="shared" si="11"/>
        <v>2026</v>
      </c>
      <c r="L264" s="73" t="str">
        <f t="shared" si="12"/>
        <v>05</v>
      </c>
      <c r="M264" s="73" t="str">
        <f t="shared" si="13"/>
        <v>01</v>
      </c>
      <c r="N264" s="73" t="str">
        <f t="shared" si="14"/>
        <v>10:14:14</v>
      </c>
    </row>
    <row r="265" spans="1:14" ht="22.5" customHeight="1">
      <c r="A265" s="70" t="s">
        <v>2168</v>
      </c>
      <c r="B265" s="70" t="s">
        <v>2169</v>
      </c>
      <c r="C265" s="70" t="s">
        <v>2170</v>
      </c>
      <c r="D265" s="70" t="s">
        <v>2171</v>
      </c>
      <c r="E265" s="71">
        <f t="shared" si="15"/>
        <v>20</v>
      </c>
      <c r="F265" s="71" t="s">
        <v>492</v>
      </c>
      <c r="G265" s="71">
        <v>8</v>
      </c>
      <c r="H265" s="72" t="str">
        <f t="shared" si="10"/>
        <v>Y-8</v>
      </c>
      <c r="I265" s="70" t="s">
        <v>2172</v>
      </c>
      <c r="J265" s="70" t="s">
        <v>2173</v>
      </c>
      <c r="K265" s="73" t="str">
        <f t="shared" si="11"/>
        <v>2026</v>
      </c>
      <c r="L265" s="73" t="str">
        <f t="shared" si="12"/>
        <v>05</v>
      </c>
      <c r="M265" s="73" t="str">
        <f t="shared" si="13"/>
        <v>01</v>
      </c>
      <c r="N265" s="73" t="str">
        <f t="shared" si="14"/>
        <v>09:27:11</v>
      </c>
    </row>
    <row r="266" spans="1:14" ht="22.5" customHeight="1">
      <c r="A266" s="70" t="s">
        <v>2174</v>
      </c>
      <c r="B266" s="70" t="s">
        <v>2175</v>
      </c>
      <c r="C266" s="70" t="s">
        <v>2176</v>
      </c>
      <c r="D266" s="70" t="s">
        <v>2177</v>
      </c>
      <c r="E266" s="71">
        <f t="shared" si="15"/>
        <v>21</v>
      </c>
      <c r="F266" s="71" t="s">
        <v>125</v>
      </c>
      <c r="G266" s="71">
        <v>12</v>
      </c>
      <c r="H266" s="72" t="str">
        <f t="shared" si="10"/>
        <v>D-12</v>
      </c>
      <c r="I266" s="70" t="s">
        <v>2178</v>
      </c>
      <c r="J266" s="70" t="s">
        <v>2179</v>
      </c>
      <c r="K266" s="73" t="str">
        <f t="shared" si="11"/>
        <v>2026</v>
      </c>
      <c r="L266" s="73" t="str">
        <f t="shared" si="12"/>
        <v>05</v>
      </c>
      <c r="M266" s="73" t="str">
        <f t="shared" si="13"/>
        <v>01</v>
      </c>
      <c r="N266" s="73" t="str">
        <f t="shared" si="14"/>
        <v>08:04:19</v>
      </c>
    </row>
    <row r="267" spans="1:14" ht="22.5" customHeight="1">
      <c r="A267" s="70" t="s">
        <v>2180</v>
      </c>
      <c r="B267" s="70" t="s">
        <v>2181</v>
      </c>
      <c r="C267" s="70" t="s">
        <v>2182</v>
      </c>
      <c r="D267" s="70" t="s">
        <v>2183</v>
      </c>
      <c r="E267" s="71">
        <f t="shared" si="15"/>
        <v>12</v>
      </c>
      <c r="F267" s="71" t="s">
        <v>357</v>
      </c>
      <c r="G267" s="71">
        <v>15</v>
      </c>
      <c r="H267" s="72" t="str">
        <f t="shared" si="10"/>
        <v>P-15</v>
      </c>
      <c r="I267" s="70" t="s">
        <v>2184</v>
      </c>
      <c r="J267" s="70" t="s">
        <v>2185</v>
      </c>
      <c r="K267" s="73" t="str">
        <f t="shared" si="11"/>
        <v>2026</v>
      </c>
      <c r="L267" s="73" t="str">
        <f t="shared" si="12"/>
        <v>04</v>
      </c>
      <c r="M267" s="73" t="str">
        <f t="shared" si="13"/>
        <v>30</v>
      </c>
      <c r="N267" s="73" t="str">
        <f t="shared" si="14"/>
        <v>20:34:17</v>
      </c>
    </row>
    <row r="268" spans="1:14" ht="22.5" customHeight="1">
      <c r="A268" s="70" t="s">
        <v>2186</v>
      </c>
      <c r="B268" s="70" t="s">
        <v>2187</v>
      </c>
      <c r="C268" s="70" t="s">
        <v>2188</v>
      </c>
      <c r="D268" s="70" t="s">
        <v>2189</v>
      </c>
      <c r="E268" s="71">
        <f t="shared" si="15"/>
        <v>8</v>
      </c>
      <c r="F268" s="71" t="s">
        <v>434</v>
      </c>
      <c r="G268" s="71">
        <v>4</v>
      </c>
      <c r="H268" s="72" t="str">
        <f t="shared" si="10"/>
        <v>U-4</v>
      </c>
      <c r="I268" s="70" t="s">
        <v>2190</v>
      </c>
      <c r="J268" s="70" t="s">
        <v>2191</v>
      </c>
      <c r="K268" s="73" t="str">
        <f t="shared" si="11"/>
        <v>2026</v>
      </c>
      <c r="L268" s="73" t="str">
        <f t="shared" si="12"/>
        <v>04</v>
      </c>
      <c r="M268" s="73" t="str">
        <f t="shared" si="13"/>
        <v>30</v>
      </c>
      <c r="N268" s="73" t="str">
        <f t="shared" si="14"/>
        <v>20:27:31</v>
      </c>
    </row>
    <row r="269" spans="1:14" ht="22.5" customHeight="1">
      <c r="A269" s="70" t="s">
        <v>2192</v>
      </c>
      <c r="B269" s="70" t="s">
        <v>2193</v>
      </c>
      <c r="C269" s="70" t="s">
        <v>2194</v>
      </c>
      <c r="D269" s="70" t="s">
        <v>2195</v>
      </c>
      <c r="E269" s="71">
        <f t="shared" si="15"/>
        <v>8</v>
      </c>
      <c r="F269" s="71" t="s">
        <v>458</v>
      </c>
      <c r="G269" s="71">
        <v>2</v>
      </c>
      <c r="H269" s="72" t="str">
        <f t="shared" si="10"/>
        <v>W-2</v>
      </c>
      <c r="I269" s="70" t="s">
        <v>2196</v>
      </c>
      <c r="J269" s="70" t="s">
        <v>2197</v>
      </c>
      <c r="K269" s="73" t="str">
        <f t="shared" si="11"/>
        <v>2026</v>
      </c>
      <c r="L269" s="73" t="str">
        <f t="shared" si="12"/>
        <v>04</v>
      </c>
      <c r="M269" s="73" t="str">
        <f t="shared" si="13"/>
        <v>30</v>
      </c>
      <c r="N269" s="73" t="str">
        <f t="shared" si="14"/>
        <v>20:23:39</v>
      </c>
    </row>
    <row r="270" spans="1:14" ht="22.5" customHeight="1">
      <c r="A270" s="70" t="s">
        <v>2198</v>
      </c>
      <c r="B270" s="70" t="s">
        <v>2199</v>
      </c>
      <c r="C270" s="70" t="s">
        <v>2200</v>
      </c>
      <c r="D270" s="70" t="s">
        <v>2201</v>
      </c>
      <c r="E270" s="71">
        <f t="shared" si="15"/>
        <v>25</v>
      </c>
      <c r="F270" s="71" t="s">
        <v>502</v>
      </c>
      <c r="G270" s="71">
        <v>18</v>
      </c>
      <c r="H270" s="72" t="str">
        <f t="shared" si="10"/>
        <v>Z-18</v>
      </c>
      <c r="I270" s="70" t="s">
        <v>2202</v>
      </c>
      <c r="J270" s="70" t="s">
        <v>2203</v>
      </c>
      <c r="K270" s="73" t="str">
        <f t="shared" si="11"/>
        <v>2026</v>
      </c>
      <c r="L270" s="73" t="str">
        <f t="shared" si="12"/>
        <v>04</v>
      </c>
      <c r="M270" s="73" t="str">
        <f t="shared" si="13"/>
        <v>30</v>
      </c>
      <c r="N270" s="73" t="str">
        <f t="shared" si="14"/>
        <v>19:20:20</v>
      </c>
    </row>
    <row r="271" spans="1:14" ht="22.5" customHeight="1">
      <c r="A271" s="70" t="s">
        <v>2204</v>
      </c>
      <c r="B271" s="70" t="s">
        <v>2205</v>
      </c>
      <c r="C271" s="70" t="s">
        <v>2206</v>
      </c>
      <c r="D271" s="70" t="s">
        <v>2207</v>
      </c>
      <c r="E271" s="71">
        <f t="shared" si="15"/>
        <v>8</v>
      </c>
      <c r="F271" s="71" t="s">
        <v>434</v>
      </c>
      <c r="G271" s="71">
        <v>5</v>
      </c>
      <c r="H271" s="72" t="str">
        <f t="shared" si="10"/>
        <v>U-5</v>
      </c>
      <c r="I271" s="70" t="s">
        <v>2208</v>
      </c>
      <c r="J271" s="70" t="s">
        <v>2209</v>
      </c>
      <c r="K271" s="73" t="str">
        <f t="shared" si="11"/>
        <v>2026</v>
      </c>
      <c r="L271" s="73" t="str">
        <f t="shared" si="12"/>
        <v>04</v>
      </c>
      <c r="M271" s="73" t="str">
        <f t="shared" si="13"/>
        <v>30</v>
      </c>
      <c r="N271" s="73" t="str">
        <f t="shared" si="14"/>
        <v>19:10:44</v>
      </c>
    </row>
    <row r="272" spans="1:14" ht="22.5" customHeight="1">
      <c r="A272" s="70" t="s">
        <v>2210</v>
      </c>
      <c r="B272" s="70" t="s">
        <v>2211</v>
      </c>
      <c r="C272" s="70" t="s">
        <v>2212</v>
      </c>
      <c r="D272" s="70" t="s">
        <v>2213</v>
      </c>
      <c r="E272" s="71">
        <f t="shared" si="15"/>
        <v>18</v>
      </c>
      <c r="F272" s="71" t="s">
        <v>327</v>
      </c>
      <c r="G272" s="71">
        <v>10</v>
      </c>
      <c r="H272" s="72" t="str">
        <f t="shared" si="10"/>
        <v>O-10</v>
      </c>
      <c r="I272" s="75"/>
      <c r="J272" s="70" t="s">
        <v>2214</v>
      </c>
      <c r="K272" s="73" t="str">
        <f t="shared" si="11"/>
        <v>2026</v>
      </c>
      <c r="L272" s="73" t="str">
        <f t="shared" si="12"/>
        <v>04</v>
      </c>
      <c r="M272" s="73" t="str">
        <f t="shared" si="13"/>
        <v>30</v>
      </c>
      <c r="N272" s="73" t="str">
        <f t="shared" si="14"/>
        <v>18:11:34</v>
      </c>
    </row>
    <row r="273" spans="1:14" ht="22.5" customHeight="1">
      <c r="A273" s="70" t="s">
        <v>2215</v>
      </c>
      <c r="B273" s="70" t="s">
        <v>2216</v>
      </c>
      <c r="C273" s="70" t="s">
        <v>2217</v>
      </c>
      <c r="D273" s="70" t="s">
        <v>2218</v>
      </c>
      <c r="E273" s="71">
        <f t="shared" si="15"/>
        <v>8</v>
      </c>
      <c r="F273" s="71" t="s">
        <v>532</v>
      </c>
      <c r="G273" s="71">
        <v>3</v>
      </c>
      <c r="H273" s="72" t="str">
        <f t="shared" si="10"/>
        <v>B1-3</v>
      </c>
      <c r="I273" s="70" t="s">
        <v>2219</v>
      </c>
      <c r="J273" s="70" t="s">
        <v>2220</v>
      </c>
      <c r="K273" s="73" t="str">
        <f t="shared" si="11"/>
        <v>2026</v>
      </c>
      <c r="L273" s="73" t="str">
        <f t="shared" si="12"/>
        <v>04</v>
      </c>
      <c r="M273" s="73" t="str">
        <f t="shared" si="13"/>
        <v>30</v>
      </c>
      <c r="N273" s="73" t="str">
        <f t="shared" si="14"/>
        <v>15:07:46</v>
      </c>
    </row>
    <row r="274" spans="1:14" ht="22.5" customHeight="1">
      <c r="A274" s="70" t="s">
        <v>2221</v>
      </c>
      <c r="B274" s="70" t="s">
        <v>2222</v>
      </c>
      <c r="C274" s="70" t="s">
        <v>2223</v>
      </c>
      <c r="D274" s="70" t="s">
        <v>2224</v>
      </c>
      <c r="E274" s="71">
        <f t="shared" si="15"/>
        <v>18</v>
      </c>
      <c r="F274" s="71" t="s">
        <v>299</v>
      </c>
      <c r="G274" s="71">
        <v>6</v>
      </c>
      <c r="H274" s="72" t="str">
        <f t="shared" si="10"/>
        <v>M-6</v>
      </c>
      <c r="I274" s="70" t="s">
        <v>2225</v>
      </c>
      <c r="J274" s="70" t="s">
        <v>2226</v>
      </c>
      <c r="K274" s="73" t="str">
        <f t="shared" si="11"/>
        <v>2026</v>
      </c>
      <c r="L274" s="73" t="str">
        <f t="shared" si="12"/>
        <v>04</v>
      </c>
      <c r="M274" s="73" t="str">
        <f t="shared" si="13"/>
        <v>30</v>
      </c>
      <c r="N274" s="73" t="str">
        <f t="shared" si="14"/>
        <v>12:31:53</v>
      </c>
    </row>
    <row r="275" spans="1:14" ht="22.5" customHeight="1">
      <c r="A275" s="70" t="s">
        <v>2227</v>
      </c>
      <c r="B275" s="70" t="s">
        <v>2228</v>
      </c>
      <c r="C275" s="70" t="s">
        <v>2229</v>
      </c>
      <c r="D275" s="70" t="s">
        <v>2230</v>
      </c>
      <c r="E275" s="71">
        <f t="shared" si="15"/>
        <v>13</v>
      </c>
      <c r="F275" s="71" t="s">
        <v>592</v>
      </c>
      <c r="G275" s="71">
        <v>13</v>
      </c>
      <c r="H275" s="72" t="str">
        <f t="shared" si="10"/>
        <v>H1-13</v>
      </c>
      <c r="I275" s="70" t="s">
        <v>2231</v>
      </c>
      <c r="J275" s="70" t="s">
        <v>2232</v>
      </c>
      <c r="K275" s="73" t="str">
        <f t="shared" si="11"/>
        <v>2026</v>
      </c>
      <c r="L275" s="73" t="str">
        <f t="shared" si="12"/>
        <v>04</v>
      </c>
      <c r="M275" s="73" t="str">
        <f t="shared" si="13"/>
        <v>30</v>
      </c>
      <c r="N275" s="73" t="str">
        <f t="shared" si="14"/>
        <v>12:29:24</v>
      </c>
    </row>
    <row r="276" spans="1:14" ht="22.5" customHeight="1">
      <c r="A276" s="70" t="s">
        <v>2233</v>
      </c>
      <c r="B276" s="70" t="s">
        <v>2234</v>
      </c>
      <c r="C276" s="70" t="s">
        <v>2235</v>
      </c>
      <c r="D276" s="70" t="s">
        <v>2236</v>
      </c>
      <c r="E276" s="71">
        <f t="shared" si="15"/>
        <v>72</v>
      </c>
      <c r="F276" s="71" t="s">
        <v>205</v>
      </c>
      <c r="G276" s="71">
        <v>17</v>
      </c>
      <c r="H276" s="72" t="str">
        <f t="shared" si="10"/>
        <v>H-17</v>
      </c>
      <c r="I276" s="70" t="s">
        <v>2237</v>
      </c>
      <c r="J276" s="70" t="s">
        <v>2238</v>
      </c>
      <c r="K276" s="73" t="str">
        <f t="shared" si="11"/>
        <v>2026</v>
      </c>
      <c r="L276" s="73" t="str">
        <f t="shared" si="12"/>
        <v>04</v>
      </c>
      <c r="M276" s="73" t="str">
        <f t="shared" si="13"/>
        <v>30</v>
      </c>
      <c r="N276" s="73" t="str">
        <f t="shared" si="14"/>
        <v>12:12:06</v>
      </c>
    </row>
    <row r="277" spans="1:14" ht="22.5" customHeight="1">
      <c r="A277" s="70" t="s">
        <v>2239</v>
      </c>
      <c r="B277" s="70" t="s">
        <v>2240</v>
      </c>
      <c r="C277" s="70" t="s">
        <v>2241</v>
      </c>
      <c r="D277" s="70" t="s">
        <v>2242</v>
      </c>
      <c r="E277" s="71">
        <f t="shared" si="15"/>
        <v>43</v>
      </c>
      <c r="F277" s="71" t="s">
        <v>415</v>
      </c>
      <c r="G277" s="71">
        <v>6</v>
      </c>
      <c r="H277" s="72" t="str">
        <f t="shared" si="10"/>
        <v>T-6</v>
      </c>
      <c r="I277" s="70" t="s">
        <v>2243</v>
      </c>
      <c r="J277" s="70" t="s">
        <v>2244</v>
      </c>
      <c r="K277" s="73" t="str">
        <f t="shared" si="11"/>
        <v>2026</v>
      </c>
      <c r="L277" s="73" t="str">
        <f t="shared" si="12"/>
        <v>04</v>
      </c>
      <c r="M277" s="73" t="str">
        <f t="shared" si="13"/>
        <v>30</v>
      </c>
      <c r="N277" s="73" t="str">
        <f t="shared" si="14"/>
        <v>11:25:02</v>
      </c>
    </row>
    <row r="278" spans="1:14" ht="22.5" customHeight="1">
      <c r="A278" s="70" t="s">
        <v>2245</v>
      </c>
      <c r="B278" s="70" t="s">
        <v>2246</v>
      </c>
      <c r="C278" s="70" t="s">
        <v>2247</v>
      </c>
      <c r="D278" s="70" t="s">
        <v>2248</v>
      </c>
      <c r="E278" s="71">
        <f t="shared" si="15"/>
        <v>15</v>
      </c>
      <c r="F278" s="71" t="s">
        <v>378</v>
      </c>
      <c r="G278" s="71">
        <v>2</v>
      </c>
      <c r="H278" s="72" t="str">
        <f t="shared" si="10"/>
        <v>Q-2</v>
      </c>
      <c r="I278" s="70" t="s">
        <v>2249</v>
      </c>
      <c r="J278" s="70" t="s">
        <v>2250</v>
      </c>
      <c r="K278" s="73" t="str">
        <f t="shared" si="11"/>
        <v>2026</v>
      </c>
      <c r="L278" s="73" t="str">
        <f t="shared" si="12"/>
        <v>04</v>
      </c>
      <c r="M278" s="73" t="str">
        <f t="shared" si="13"/>
        <v>30</v>
      </c>
      <c r="N278" s="73" t="str">
        <f t="shared" si="14"/>
        <v>10:10:15</v>
      </c>
    </row>
    <row r="279" spans="1:14" ht="22.5" customHeight="1">
      <c r="A279" s="70" t="s">
        <v>2251</v>
      </c>
      <c r="B279" s="70" t="s">
        <v>2252</v>
      </c>
      <c r="C279" s="70" t="s">
        <v>2253</v>
      </c>
      <c r="D279" s="70" t="s">
        <v>2254</v>
      </c>
      <c r="E279" s="71">
        <f t="shared" si="15"/>
        <v>22</v>
      </c>
      <c r="F279" s="71" t="s">
        <v>125</v>
      </c>
      <c r="G279" s="71">
        <v>4</v>
      </c>
      <c r="H279" s="72" t="str">
        <f t="shared" si="10"/>
        <v>D-4</v>
      </c>
      <c r="I279" s="70" t="s">
        <v>2255</v>
      </c>
      <c r="J279" s="70" t="s">
        <v>2256</v>
      </c>
      <c r="K279" s="73" t="str">
        <f t="shared" si="11"/>
        <v>2026</v>
      </c>
      <c r="L279" s="73" t="str">
        <f t="shared" si="12"/>
        <v>04</v>
      </c>
      <c r="M279" s="73" t="str">
        <f t="shared" si="13"/>
        <v>30</v>
      </c>
      <c r="N279" s="73" t="str">
        <f t="shared" si="14"/>
        <v>07:19:39</v>
      </c>
    </row>
    <row r="280" spans="1:14" ht="22.5" customHeight="1">
      <c r="A280" s="70" t="s">
        <v>2257</v>
      </c>
      <c r="B280" s="70" t="s">
        <v>2258</v>
      </c>
      <c r="C280" s="70" t="s">
        <v>2259</v>
      </c>
      <c r="D280" s="70" t="s">
        <v>2260</v>
      </c>
      <c r="E280" s="71">
        <f t="shared" si="15"/>
        <v>26</v>
      </c>
      <c r="F280" s="71" t="s">
        <v>592</v>
      </c>
      <c r="G280" s="71">
        <v>12</v>
      </c>
      <c r="H280" s="72" t="str">
        <f t="shared" si="10"/>
        <v>H1-12</v>
      </c>
      <c r="I280" s="70" t="s">
        <v>2261</v>
      </c>
      <c r="J280" s="70" t="s">
        <v>2262</v>
      </c>
      <c r="K280" s="73" t="str">
        <f t="shared" si="11"/>
        <v>2026</v>
      </c>
      <c r="L280" s="73" t="str">
        <f t="shared" si="12"/>
        <v>04</v>
      </c>
      <c r="M280" s="73" t="str">
        <f t="shared" si="13"/>
        <v>30</v>
      </c>
      <c r="N280" s="73" t="str">
        <f t="shared" si="14"/>
        <v>06:44:03</v>
      </c>
    </row>
    <row r="281" spans="1:14" ht="22.5" customHeight="1">
      <c r="A281" s="70" t="s">
        <v>2263</v>
      </c>
      <c r="B281" s="70" t="s">
        <v>2264</v>
      </c>
      <c r="C281" s="70" t="s">
        <v>2265</v>
      </c>
      <c r="D281" s="70" t="s">
        <v>2266</v>
      </c>
      <c r="E281" s="71">
        <f t="shared" si="15"/>
        <v>48</v>
      </c>
      <c r="F281" s="71" t="s">
        <v>545</v>
      </c>
      <c r="G281" s="71">
        <v>7</v>
      </c>
      <c r="H281" s="72" t="str">
        <f t="shared" si="10"/>
        <v>C1-7</v>
      </c>
      <c r="I281" s="70" t="s">
        <v>2267</v>
      </c>
      <c r="J281" s="70" t="s">
        <v>2268</v>
      </c>
      <c r="K281" s="73" t="str">
        <f t="shared" si="11"/>
        <v>2026</v>
      </c>
      <c r="L281" s="73" t="str">
        <f t="shared" si="12"/>
        <v>04</v>
      </c>
      <c r="M281" s="73" t="str">
        <f t="shared" si="13"/>
        <v>29</v>
      </c>
      <c r="N281" s="73" t="str">
        <f t="shared" si="14"/>
        <v>20:42:40</v>
      </c>
    </row>
    <row r="282" spans="1:14" ht="22.5" customHeight="1">
      <c r="A282" s="70" t="s">
        <v>2269</v>
      </c>
      <c r="B282" s="70" t="s">
        <v>2270</v>
      </c>
      <c r="C282" s="70" t="s">
        <v>2271</v>
      </c>
      <c r="D282" s="70" t="s">
        <v>2272</v>
      </c>
      <c r="E282" s="71">
        <f t="shared" si="15"/>
        <v>34</v>
      </c>
      <c r="F282" s="71" t="s">
        <v>586</v>
      </c>
      <c r="G282" s="71">
        <v>5</v>
      </c>
      <c r="H282" s="72" t="str">
        <f t="shared" si="10"/>
        <v>G1-5</v>
      </c>
      <c r="I282" s="70" t="s">
        <v>2273</v>
      </c>
      <c r="J282" s="70" t="s">
        <v>2274</v>
      </c>
      <c r="K282" s="73" t="str">
        <f t="shared" si="11"/>
        <v>2026</v>
      </c>
      <c r="L282" s="73" t="str">
        <f t="shared" si="12"/>
        <v>04</v>
      </c>
      <c r="M282" s="73" t="str">
        <f t="shared" si="13"/>
        <v>29</v>
      </c>
      <c r="N282" s="73" t="str">
        <f t="shared" si="14"/>
        <v>20:40:16</v>
      </c>
    </row>
    <row r="283" spans="1:14" ht="22.5" customHeight="1">
      <c r="A283" s="70" t="s">
        <v>2275</v>
      </c>
      <c r="B283" s="70" t="s">
        <v>2276</v>
      </c>
      <c r="C283" s="70" t="s">
        <v>2277</v>
      </c>
      <c r="D283" s="70" t="s">
        <v>2278</v>
      </c>
      <c r="E283" s="71">
        <f t="shared" si="15"/>
        <v>9</v>
      </c>
      <c r="F283" s="71" t="s">
        <v>393</v>
      </c>
      <c r="G283" s="75">
        <v>3</v>
      </c>
      <c r="H283" s="72" t="str">
        <f t="shared" si="10"/>
        <v>R-3</v>
      </c>
      <c r="I283" s="75"/>
      <c r="J283" s="70" t="s">
        <v>2279</v>
      </c>
      <c r="K283" s="73" t="str">
        <f t="shared" si="11"/>
        <v>2026</v>
      </c>
      <c r="L283" s="73" t="str">
        <f t="shared" si="12"/>
        <v>04</v>
      </c>
      <c r="M283" s="73" t="str">
        <f t="shared" si="13"/>
        <v>29</v>
      </c>
      <c r="N283" s="73" t="str">
        <f t="shared" si="14"/>
        <v>19:57:27</v>
      </c>
    </row>
    <row r="284" spans="1:14" ht="22.5" customHeight="1">
      <c r="A284" s="70" t="s">
        <v>2280</v>
      </c>
      <c r="B284" s="70" t="s">
        <v>2281</v>
      </c>
      <c r="C284" s="70" t="s">
        <v>2282</v>
      </c>
      <c r="D284" s="70" t="s">
        <v>2283</v>
      </c>
      <c r="E284" s="71">
        <f t="shared" si="15"/>
        <v>8</v>
      </c>
      <c r="F284" s="71" t="s">
        <v>545</v>
      </c>
      <c r="G284" s="71">
        <v>15</v>
      </c>
      <c r="H284" s="72" t="str">
        <f t="shared" si="10"/>
        <v>C1-15</v>
      </c>
      <c r="I284" s="70" t="s">
        <v>2284</v>
      </c>
      <c r="J284" s="70" t="s">
        <v>2285</v>
      </c>
      <c r="K284" s="73" t="str">
        <f t="shared" si="11"/>
        <v>2026</v>
      </c>
      <c r="L284" s="73" t="str">
        <f t="shared" si="12"/>
        <v>04</v>
      </c>
      <c r="M284" s="73" t="str">
        <f t="shared" si="13"/>
        <v>29</v>
      </c>
      <c r="N284" s="73" t="str">
        <f t="shared" si="14"/>
        <v>18:47:15</v>
      </c>
    </row>
    <row r="285" spans="1:14" ht="22.5" customHeight="1">
      <c r="A285" s="70" t="s">
        <v>2286</v>
      </c>
      <c r="B285" s="70" t="s">
        <v>2287</v>
      </c>
      <c r="C285" s="70" t="s">
        <v>2288</v>
      </c>
      <c r="D285" s="70" t="s">
        <v>2289</v>
      </c>
      <c r="E285" s="71">
        <f t="shared" si="15"/>
        <v>10</v>
      </c>
      <c r="F285" s="71" t="s">
        <v>592</v>
      </c>
      <c r="G285" s="71">
        <v>36</v>
      </c>
      <c r="H285" s="72" t="str">
        <f t="shared" si="10"/>
        <v>H1-36</v>
      </c>
      <c r="I285" s="70" t="s">
        <v>2290</v>
      </c>
      <c r="J285" s="70" t="s">
        <v>2291</v>
      </c>
      <c r="K285" s="73" t="str">
        <f t="shared" si="11"/>
        <v>2026</v>
      </c>
      <c r="L285" s="73" t="str">
        <f t="shared" si="12"/>
        <v>04</v>
      </c>
      <c r="M285" s="73" t="str">
        <f t="shared" si="13"/>
        <v>29</v>
      </c>
      <c r="N285" s="73" t="str">
        <f t="shared" si="14"/>
        <v>17:44:18</v>
      </c>
    </row>
    <row r="286" spans="1:14" ht="22.5" customHeight="1">
      <c r="A286" s="70" t="s">
        <v>2292</v>
      </c>
      <c r="B286" s="70" t="s">
        <v>2293</v>
      </c>
      <c r="C286" s="70" t="s">
        <v>2294</v>
      </c>
      <c r="D286" s="70" t="s">
        <v>2295</v>
      </c>
      <c r="E286" s="71">
        <f t="shared" si="15"/>
        <v>51</v>
      </c>
      <c r="F286" s="71" t="s">
        <v>80</v>
      </c>
      <c r="G286" s="71">
        <v>5</v>
      </c>
      <c r="H286" s="72" t="str">
        <f t="shared" si="10"/>
        <v>C-5</v>
      </c>
      <c r="I286" s="70" t="s">
        <v>2296</v>
      </c>
      <c r="J286" s="70" t="s">
        <v>2297</v>
      </c>
      <c r="K286" s="73" t="str">
        <f t="shared" si="11"/>
        <v>2026</v>
      </c>
      <c r="L286" s="73" t="str">
        <f t="shared" si="12"/>
        <v>04</v>
      </c>
      <c r="M286" s="73" t="str">
        <f t="shared" si="13"/>
        <v>29</v>
      </c>
      <c r="N286" s="73" t="str">
        <f t="shared" si="14"/>
        <v>17:22:30</v>
      </c>
    </row>
    <row r="287" spans="1:14" ht="22.5" customHeight="1">
      <c r="A287" s="70" t="s">
        <v>2298</v>
      </c>
      <c r="B287" s="70" t="s">
        <v>2299</v>
      </c>
      <c r="C287" s="70" t="s">
        <v>2300</v>
      </c>
      <c r="D287" s="70" t="s">
        <v>2301</v>
      </c>
      <c r="E287" s="71">
        <f t="shared" si="15"/>
        <v>17</v>
      </c>
      <c r="F287" s="71" t="s">
        <v>205</v>
      </c>
      <c r="G287" s="71">
        <v>15</v>
      </c>
      <c r="H287" s="72" t="str">
        <f t="shared" si="10"/>
        <v>H-15</v>
      </c>
      <c r="I287" s="70" t="s">
        <v>2302</v>
      </c>
      <c r="J287" s="70" t="s">
        <v>2303</v>
      </c>
      <c r="K287" s="73" t="str">
        <f t="shared" si="11"/>
        <v>2026</v>
      </c>
      <c r="L287" s="73" t="str">
        <f t="shared" si="12"/>
        <v>04</v>
      </c>
      <c r="M287" s="73" t="str">
        <f t="shared" si="13"/>
        <v>29</v>
      </c>
      <c r="N287" s="73" t="str">
        <f t="shared" si="14"/>
        <v>16:46:23</v>
      </c>
    </row>
    <row r="288" spans="1:14" ht="22.5" customHeight="1">
      <c r="A288" s="70" t="s">
        <v>2304</v>
      </c>
      <c r="B288" s="70" t="s">
        <v>2305</v>
      </c>
      <c r="C288" s="70" t="s">
        <v>2306</v>
      </c>
      <c r="D288" s="70" t="s">
        <v>2307</v>
      </c>
      <c r="E288" s="71">
        <f t="shared" si="15"/>
        <v>45</v>
      </c>
      <c r="F288" s="71" t="s">
        <v>228</v>
      </c>
      <c r="G288" s="71">
        <v>3</v>
      </c>
      <c r="H288" s="72" t="str">
        <f t="shared" si="10"/>
        <v>I-3</v>
      </c>
      <c r="I288" s="70" t="s">
        <v>2308</v>
      </c>
      <c r="J288" s="70" t="s">
        <v>2309</v>
      </c>
      <c r="K288" s="73" t="str">
        <f t="shared" si="11"/>
        <v>2026</v>
      </c>
      <c r="L288" s="73" t="str">
        <f t="shared" si="12"/>
        <v>04</v>
      </c>
      <c r="M288" s="73" t="str">
        <f t="shared" si="13"/>
        <v>29</v>
      </c>
      <c r="N288" s="73" t="str">
        <f t="shared" si="14"/>
        <v>15:47:16</v>
      </c>
    </row>
    <row r="289" spans="1:14" ht="22.5" customHeight="1">
      <c r="A289" s="70" t="s">
        <v>2310</v>
      </c>
      <c r="B289" s="70" t="s">
        <v>2311</v>
      </c>
      <c r="C289" s="70" t="s">
        <v>2312</v>
      </c>
      <c r="D289" s="70" t="s">
        <v>2313</v>
      </c>
      <c r="E289" s="71">
        <f t="shared" si="15"/>
        <v>36</v>
      </c>
      <c r="F289" s="71" t="s">
        <v>458</v>
      </c>
      <c r="G289" s="71">
        <v>3</v>
      </c>
      <c r="H289" s="72" t="str">
        <f t="shared" si="10"/>
        <v>W-3</v>
      </c>
      <c r="I289" s="70" t="s">
        <v>2314</v>
      </c>
      <c r="J289" s="70" t="s">
        <v>2315</v>
      </c>
      <c r="K289" s="73" t="str">
        <f t="shared" si="11"/>
        <v>2026</v>
      </c>
      <c r="L289" s="73" t="str">
        <f t="shared" si="12"/>
        <v>04</v>
      </c>
      <c r="M289" s="73" t="str">
        <f t="shared" si="13"/>
        <v>29</v>
      </c>
      <c r="N289" s="73" t="str">
        <f t="shared" si="14"/>
        <v>15:20:33</v>
      </c>
    </row>
    <row r="290" spans="1:14" ht="22.5" customHeight="1">
      <c r="A290" s="70" t="s">
        <v>2316</v>
      </c>
      <c r="B290" s="70" t="s">
        <v>2317</v>
      </c>
      <c r="C290" s="70" t="s">
        <v>2318</v>
      </c>
      <c r="D290" s="70" t="s">
        <v>2319</v>
      </c>
      <c r="E290" s="71">
        <f t="shared" si="15"/>
        <v>77</v>
      </c>
      <c r="F290" s="71" t="s">
        <v>177</v>
      </c>
      <c r="G290" s="71">
        <v>13</v>
      </c>
      <c r="H290" s="72" t="str">
        <f t="shared" si="10"/>
        <v>G-13</v>
      </c>
      <c r="I290" s="70" t="s">
        <v>2320</v>
      </c>
      <c r="J290" s="70" t="s">
        <v>2321</v>
      </c>
      <c r="K290" s="73" t="str">
        <f t="shared" si="11"/>
        <v>2026</v>
      </c>
      <c r="L290" s="73" t="str">
        <f t="shared" si="12"/>
        <v>04</v>
      </c>
      <c r="M290" s="73" t="str">
        <f t="shared" si="13"/>
        <v>29</v>
      </c>
      <c r="N290" s="73" t="str">
        <f t="shared" si="14"/>
        <v>11:57:08</v>
      </c>
    </row>
    <row r="291" spans="1:14" ht="39" customHeight="1">
      <c r="A291" s="91" t="s">
        <v>2322</v>
      </c>
      <c r="B291" s="92" t="s">
        <v>2323</v>
      </c>
      <c r="C291" s="91" t="s">
        <v>2324</v>
      </c>
      <c r="D291" s="91" t="s">
        <v>2325</v>
      </c>
      <c r="E291" s="71">
        <f t="shared" si="15"/>
        <v>15</v>
      </c>
      <c r="F291" s="93" t="s">
        <v>34</v>
      </c>
      <c r="G291" s="93" t="s">
        <v>47</v>
      </c>
      <c r="H291" s="72" t="str">
        <f t="shared" si="10"/>
        <v>A-8A</v>
      </c>
      <c r="I291" s="94"/>
      <c r="J291" s="91" t="s">
        <v>2326</v>
      </c>
      <c r="K291" s="73" t="str">
        <f t="shared" si="11"/>
        <v>2026</v>
      </c>
      <c r="L291" s="73" t="str">
        <f t="shared" si="12"/>
        <v>04</v>
      </c>
      <c r="M291" s="73" t="str">
        <f t="shared" si="13"/>
        <v>29</v>
      </c>
      <c r="N291" s="73" t="str">
        <f t="shared" si="14"/>
        <v>11:14:30</v>
      </c>
    </row>
    <row r="292" spans="1:14" ht="22.5" customHeight="1">
      <c r="A292" s="70" t="s">
        <v>2327</v>
      </c>
      <c r="B292" s="70" t="s">
        <v>2328</v>
      </c>
      <c r="C292" s="70" t="s">
        <v>2329</v>
      </c>
      <c r="D292" s="70" t="s">
        <v>2330</v>
      </c>
      <c r="E292" s="71">
        <f t="shared" si="15"/>
        <v>33</v>
      </c>
      <c r="F292" s="71" t="s">
        <v>327</v>
      </c>
      <c r="G292" s="71">
        <v>25</v>
      </c>
      <c r="H292" s="72" t="str">
        <f t="shared" si="10"/>
        <v>O-25</v>
      </c>
      <c r="I292" s="70" t="s">
        <v>2331</v>
      </c>
      <c r="J292" s="70" t="s">
        <v>2332</v>
      </c>
      <c r="K292" s="73" t="str">
        <f t="shared" si="11"/>
        <v>2026</v>
      </c>
      <c r="L292" s="73" t="str">
        <f t="shared" si="12"/>
        <v>04</v>
      </c>
      <c r="M292" s="73" t="str">
        <f t="shared" si="13"/>
        <v>29</v>
      </c>
      <c r="N292" s="73" t="str">
        <f t="shared" si="14"/>
        <v>10:34:58</v>
      </c>
    </row>
    <row r="293" spans="1:14" ht="22.5" customHeight="1">
      <c r="A293" s="70" t="s">
        <v>2333</v>
      </c>
      <c r="B293" s="70" t="s">
        <v>2334</v>
      </c>
      <c r="C293" s="70" t="s">
        <v>2335</v>
      </c>
      <c r="D293" s="70" t="s">
        <v>2336</v>
      </c>
      <c r="E293" s="71">
        <f t="shared" si="15"/>
        <v>34</v>
      </c>
      <c r="F293" s="71" t="s">
        <v>80</v>
      </c>
      <c r="G293" s="71">
        <v>13</v>
      </c>
      <c r="H293" s="72" t="str">
        <f t="shared" si="10"/>
        <v>C-13</v>
      </c>
      <c r="I293" s="70" t="s">
        <v>2337</v>
      </c>
      <c r="J293" s="70" t="s">
        <v>2338</v>
      </c>
      <c r="K293" s="73" t="str">
        <f t="shared" si="11"/>
        <v>2026</v>
      </c>
      <c r="L293" s="73" t="str">
        <f t="shared" si="12"/>
        <v>04</v>
      </c>
      <c r="M293" s="73" t="str">
        <f t="shared" si="13"/>
        <v>29</v>
      </c>
      <c r="N293" s="73" t="str">
        <f t="shared" si="14"/>
        <v>10:18:17</v>
      </c>
    </row>
    <row r="294" spans="1:14" ht="22.5" customHeight="1">
      <c r="A294" s="70" t="s">
        <v>2339</v>
      </c>
      <c r="B294" s="70" t="s">
        <v>2340</v>
      </c>
      <c r="C294" s="70" t="s">
        <v>2341</v>
      </c>
      <c r="D294" s="70" t="s">
        <v>2342</v>
      </c>
      <c r="E294" s="71">
        <f t="shared" si="15"/>
        <v>16</v>
      </c>
      <c r="F294" s="71" t="s">
        <v>34</v>
      </c>
      <c r="G294" s="71">
        <v>11</v>
      </c>
      <c r="H294" s="72" t="str">
        <f t="shared" si="10"/>
        <v>A-11</v>
      </c>
      <c r="I294" s="70" t="s">
        <v>2343</v>
      </c>
      <c r="J294" s="70" t="s">
        <v>2344</v>
      </c>
      <c r="K294" s="73" t="str">
        <f t="shared" si="11"/>
        <v>2026</v>
      </c>
      <c r="L294" s="73" t="str">
        <f t="shared" si="12"/>
        <v>04</v>
      </c>
      <c r="M294" s="73" t="str">
        <f t="shared" si="13"/>
        <v>29</v>
      </c>
      <c r="N294" s="73" t="str">
        <f t="shared" si="14"/>
        <v>10:06:38</v>
      </c>
    </row>
    <row r="295" spans="1:14" ht="22.5" customHeight="1">
      <c r="A295" s="70" t="s">
        <v>2345</v>
      </c>
      <c r="B295" s="70" t="s">
        <v>2346</v>
      </c>
      <c r="C295" s="70" t="s">
        <v>2347</v>
      </c>
      <c r="D295" s="70" t="s">
        <v>2348</v>
      </c>
      <c r="E295" s="71">
        <f t="shared" si="15"/>
        <v>34</v>
      </c>
      <c r="F295" s="71" t="s">
        <v>267</v>
      </c>
      <c r="G295" s="71">
        <v>11</v>
      </c>
      <c r="H295" s="72" t="str">
        <f t="shared" si="10"/>
        <v>K-11</v>
      </c>
      <c r="I295" s="70" t="s">
        <v>2349</v>
      </c>
      <c r="J295" s="70" t="s">
        <v>2350</v>
      </c>
      <c r="K295" s="73" t="str">
        <f t="shared" si="11"/>
        <v>2026</v>
      </c>
      <c r="L295" s="73" t="str">
        <f t="shared" si="12"/>
        <v>04</v>
      </c>
      <c r="M295" s="73" t="str">
        <f t="shared" si="13"/>
        <v>29</v>
      </c>
      <c r="N295" s="73" t="str">
        <f t="shared" si="14"/>
        <v>10:05:53</v>
      </c>
    </row>
    <row r="296" spans="1:14" ht="22.5" customHeight="1">
      <c r="A296" s="70" t="s">
        <v>2351</v>
      </c>
      <c r="B296" s="70" t="s">
        <v>2352</v>
      </c>
      <c r="C296" s="70" t="s">
        <v>2353</v>
      </c>
      <c r="D296" s="70" t="s">
        <v>2354</v>
      </c>
      <c r="E296" s="71">
        <f t="shared" si="15"/>
        <v>44</v>
      </c>
      <c r="F296" s="71" t="s">
        <v>228</v>
      </c>
      <c r="G296" s="71">
        <v>15</v>
      </c>
      <c r="H296" s="72" t="str">
        <f t="shared" si="10"/>
        <v>I-15</v>
      </c>
      <c r="I296" s="70" t="s">
        <v>2355</v>
      </c>
      <c r="J296" s="70" t="s">
        <v>2356</v>
      </c>
      <c r="K296" s="73" t="str">
        <f t="shared" si="11"/>
        <v>2026</v>
      </c>
      <c r="L296" s="73" t="str">
        <f t="shared" si="12"/>
        <v>04</v>
      </c>
      <c r="M296" s="73" t="str">
        <f t="shared" si="13"/>
        <v>29</v>
      </c>
      <c r="N296" s="73" t="str">
        <f t="shared" si="14"/>
        <v>08:18:41</v>
      </c>
    </row>
    <row r="297" spans="1:14" ht="22.5" customHeight="1">
      <c r="A297" s="70" t="s">
        <v>2357</v>
      </c>
      <c r="B297" s="70" t="s">
        <v>2358</v>
      </c>
      <c r="C297" s="70" t="s">
        <v>2359</v>
      </c>
      <c r="D297" s="70" t="s">
        <v>2360</v>
      </c>
      <c r="E297" s="71">
        <f t="shared" si="15"/>
        <v>17</v>
      </c>
      <c r="F297" s="71" t="s">
        <v>299</v>
      </c>
      <c r="G297" s="71">
        <v>13</v>
      </c>
      <c r="H297" s="72" t="str">
        <f t="shared" si="10"/>
        <v>M-13</v>
      </c>
      <c r="I297" s="70" t="s">
        <v>2361</v>
      </c>
      <c r="J297" s="70" t="s">
        <v>2362</v>
      </c>
      <c r="K297" s="73" t="str">
        <f t="shared" si="11"/>
        <v>2026</v>
      </c>
      <c r="L297" s="73" t="str">
        <f t="shared" si="12"/>
        <v>04</v>
      </c>
      <c r="M297" s="73" t="str">
        <f t="shared" si="13"/>
        <v>28</v>
      </c>
      <c r="N297" s="73" t="str">
        <f t="shared" si="14"/>
        <v>21:42:46</v>
      </c>
    </row>
    <row r="298" spans="1:14" ht="22.5" customHeight="1">
      <c r="A298" s="70" t="s">
        <v>2363</v>
      </c>
      <c r="B298" s="70" t="s">
        <v>2364</v>
      </c>
      <c r="C298" s="70" t="s">
        <v>2365</v>
      </c>
      <c r="D298" s="70" t="s">
        <v>2366</v>
      </c>
      <c r="E298" s="71">
        <f t="shared" si="15"/>
        <v>18</v>
      </c>
      <c r="F298" s="71" t="s">
        <v>327</v>
      </c>
      <c r="G298" s="71">
        <v>21</v>
      </c>
      <c r="H298" s="72" t="str">
        <f t="shared" si="10"/>
        <v>O-21</v>
      </c>
      <c r="I298" s="70" t="s">
        <v>2367</v>
      </c>
      <c r="J298" s="70" t="s">
        <v>2368</v>
      </c>
      <c r="K298" s="73" t="str">
        <f t="shared" si="11"/>
        <v>2026</v>
      </c>
      <c r="L298" s="73" t="str">
        <f t="shared" si="12"/>
        <v>04</v>
      </c>
      <c r="M298" s="73" t="str">
        <f t="shared" si="13"/>
        <v>28</v>
      </c>
      <c r="N298" s="73" t="str">
        <f t="shared" si="14"/>
        <v>20:26:37</v>
      </c>
    </row>
    <row r="299" spans="1:14" ht="22.5" customHeight="1">
      <c r="A299" s="70" t="s">
        <v>2369</v>
      </c>
      <c r="B299" s="70" t="s">
        <v>2370</v>
      </c>
      <c r="C299" s="70" t="s">
        <v>2371</v>
      </c>
      <c r="D299" s="70" t="s">
        <v>2372</v>
      </c>
      <c r="E299" s="71">
        <f t="shared" si="15"/>
        <v>55</v>
      </c>
      <c r="F299" s="71" t="s">
        <v>327</v>
      </c>
      <c r="G299" s="71">
        <v>22</v>
      </c>
      <c r="H299" s="72" t="str">
        <f t="shared" si="10"/>
        <v>O-22</v>
      </c>
      <c r="I299" s="70" t="s">
        <v>2373</v>
      </c>
      <c r="J299" s="70" t="s">
        <v>2374</v>
      </c>
      <c r="K299" s="73" t="str">
        <f t="shared" si="11"/>
        <v>2026</v>
      </c>
      <c r="L299" s="73" t="str">
        <f t="shared" si="12"/>
        <v>04</v>
      </c>
      <c r="M299" s="73" t="str">
        <f t="shared" si="13"/>
        <v>28</v>
      </c>
      <c r="N299" s="73" t="str">
        <f t="shared" si="14"/>
        <v>20:24:35</v>
      </c>
    </row>
    <row r="300" spans="1:14" ht="22.5" customHeight="1">
      <c r="A300" s="70" t="s">
        <v>2375</v>
      </c>
      <c r="B300" s="70" t="s">
        <v>2376</v>
      </c>
      <c r="C300" s="70" t="s">
        <v>2377</v>
      </c>
      <c r="D300" s="70" t="s">
        <v>2378</v>
      </c>
      <c r="E300" s="71">
        <f t="shared" si="15"/>
        <v>44</v>
      </c>
      <c r="F300" s="71" t="s">
        <v>205</v>
      </c>
      <c r="G300" s="71">
        <v>1</v>
      </c>
      <c r="H300" s="72" t="str">
        <f t="shared" si="10"/>
        <v>H-1</v>
      </c>
      <c r="I300" s="70" t="s">
        <v>2379</v>
      </c>
      <c r="J300" s="70" t="s">
        <v>2380</v>
      </c>
      <c r="K300" s="73" t="str">
        <f t="shared" si="11"/>
        <v>2026</v>
      </c>
      <c r="L300" s="73" t="str">
        <f t="shared" si="12"/>
        <v>04</v>
      </c>
      <c r="M300" s="73" t="str">
        <f t="shared" si="13"/>
        <v>28</v>
      </c>
      <c r="N300" s="73" t="str">
        <f t="shared" si="14"/>
        <v>20:02:39</v>
      </c>
    </row>
    <row r="301" spans="1:14" ht="22.5" customHeight="1">
      <c r="A301" s="70" t="s">
        <v>2381</v>
      </c>
      <c r="B301" s="70" t="s">
        <v>2382</v>
      </c>
      <c r="C301" s="70" t="s">
        <v>2383</v>
      </c>
      <c r="D301" s="70" t="s">
        <v>2384</v>
      </c>
      <c r="E301" s="71">
        <f t="shared" si="15"/>
        <v>39</v>
      </c>
      <c r="F301" s="71" t="s">
        <v>161</v>
      </c>
      <c r="G301" s="71">
        <v>8</v>
      </c>
      <c r="H301" s="72" t="str">
        <f t="shared" si="10"/>
        <v>F-8</v>
      </c>
      <c r="I301" s="70" t="s">
        <v>2385</v>
      </c>
      <c r="J301" s="70" t="s">
        <v>2386</v>
      </c>
      <c r="K301" s="73" t="str">
        <f t="shared" si="11"/>
        <v>2026</v>
      </c>
      <c r="L301" s="73" t="str">
        <f t="shared" si="12"/>
        <v>04</v>
      </c>
      <c r="M301" s="73" t="str">
        <f t="shared" si="13"/>
        <v>28</v>
      </c>
      <c r="N301" s="73" t="str">
        <f t="shared" si="14"/>
        <v>18:27:08</v>
      </c>
    </row>
    <row r="302" spans="1:14" ht="22.5" customHeight="1">
      <c r="A302" s="70" t="s">
        <v>2387</v>
      </c>
      <c r="B302" s="70" t="s">
        <v>2388</v>
      </c>
      <c r="C302" s="70" t="s">
        <v>2389</v>
      </c>
      <c r="D302" s="70" t="s">
        <v>2390</v>
      </c>
      <c r="E302" s="71">
        <f t="shared" si="15"/>
        <v>14</v>
      </c>
      <c r="F302" s="71" t="s">
        <v>80</v>
      </c>
      <c r="G302" s="71">
        <v>15</v>
      </c>
      <c r="H302" s="72" t="str">
        <f t="shared" si="10"/>
        <v>C-15</v>
      </c>
      <c r="I302" s="70" t="s">
        <v>2391</v>
      </c>
      <c r="J302" s="70" t="s">
        <v>2392</v>
      </c>
      <c r="K302" s="73" t="str">
        <f t="shared" si="11"/>
        <v>2026</v>
      </c>
      <c r="L302" s="73" t="str">
        <f t="shared" si="12"/>
        <v>04</v>
      </c>
      <c r="M302" s="73" t="str">
        <f t="shared" si="13"/>
        <v>28</v>
      </c>
      <c r="N302" s="73" t="str">
        <f t="shared" si="14"/>
        <v>18:22:01</v>
      </c>
    </row>
    <row r="303" spans="1:14" ht="22.5" customHeight="1">
      <c r="A303" s="70" t="s">
        <v>2393</v>
      </c>
      <c r="B303" s="70" t="s">
        <v>2394</v>
      </c>
      <c r="C303" s="70" t="s">
        <v>2395</v>
      </c>
      <c r="D303" s="70" t="s">
        <v>2396</v>
      </c>
      <c r="E303" s="71">
        <f t="shared" si="15"/>
        <v>16</v>
      </c>
      <c r="F303" s="71" t="s">
        <v>267</v>
      </c>
      <c r="G303" s="71">
        <v>14</v>
      </c>
      <c r="H303" s="72" t="str">
        <f t="shared" si="10"/>
        <v>K-14</v>
      </c>
      <c r="I303" s="75"/>
      <c r="J303" s="70" t="s">
        <v>2397</v>
      </c>
      <c r="K303" s="73" t="str">
        <f t="shared" si="11"/>
        <v>2026</v>
      </c>
      <c r="L303" s="73" t="str">
        <f t="shared" si="12"/>
        <v>04</v>
      </c>
      <c r="M303" s="73" t="str">
        <f t="shared" si="13"/>
        <v>28</v>
      </c>
      <c r="N303" s="73" t="str">
        <f t="shared" si="14"/>
        <v>18:07:07</v>
      </c>
    </row>
    <row r="304" spans="1:14" ht="22.5" customHeight="1">
      <c r="A304" s="70" t="s">
        <v>2398</v>
      </c>
      <c r="B304" s="70" t="s">
        <v>2399</v>
      </c>
      <c r="C304" s="70" t="s">
        <v>2400</v>
      </c>
      <c r="D304" s="70" t="s">
        <v>2401</v>
      </c>
      <c r="E304" s="71">
        <f t="shared" si="15"/>
        <v>12</v>
      </c>
      <c r="F304" s="71" t="s">
        <v>473</v>
      </c>
      <c r="G304" s="71">
        <v>1</v>
      </c>
      <c r="H304" s="72" t="str">
        <f t="shared" si="10"/>
        <v>X-1</v>
      </c>
      <c r="I304" s="70" t="s">
        <v>2402</v>
      </c>
      <c r="J304" s="70" t="s">
        <v>2403</v>
      </c>
      <c r="K304" s="73" t="str">
        <f t="shared" si="11"/>
        <v>2026</v>
      </c>
      <c r="L304" s="73" t="str">
        <f t="shared" si="12"/>
        <v>04</v>
      </c>
      <c r="M304" s="73" t="str">
        <f t="shared" si="13"/>
        <v>28</v>
      </c>
      <c r="N304" s="73" t="str">
        <f t="shared" si="14"/>
        <v>17:53:27</v>
      </c>
    </row>
    <row r="305" spans="1:14" ht="22.5" customHeight="1">
      <c r="A305" s="70" t="s">
        <v>2404</v>
      </c>
      <c r="B305" s="70" t="s">
        <v>2405</v>
      </c>
      <c r="C305" s="70" t="s">
        <v>2406</v>
      </c>
      <c r="D305" s="70" t="s">
        <v>2407</v>
      </c>
      <c r="E305" s="71">
        <f t="shared" si="15"/>
        <v>8</v>
      </c>
      <c r="F305" s="71" t="s">
        <v>519</v>
      </c>
      <c r="G305" s="71">
        <v>5</v>
      </c>
      <c r="H305" s="72" t="str">
        <f t="shared" si="10"/>
        <v>A1-5</v>
      </c>
      <c r="I305" s="70" t="s">
        <v>2408</v>
      </c>
      <c r="J305" s="70" t="s">
        <v>2409</v>
      </c>
      <c r="K305" s="73" t="str">
        <f t="shared" si="11"/>
        <v>2026</v>
      </c>
      <c r="L305" s="73" t="str">
        <f t="shared" si="12"/>
        <v>04</v>
      </c>
      <c r="M305" s="73" t="str">
        <f t="shared" si="13"/>
        <v>28</v>
      </c>
      <c r="N305" s="73" t="str">
        <f t="shared" si="14"/>
        <v>17:07:34</v>
      </c>
    </row>
    <row r="306" spans="1:14" ht="22.5" customHeight="1">
      <c r="A306" s="70" t="s">
        <v>2410</v>
      </c>
      <c r="B306" s="70" t="s">
        <v>2411</v>
      </c>
      <c r="C306" s="70" t="s">
        <v>2412</v>
      </c>
      <c r="D306" s="70" t="s">
        <v>2413</v>
      </c>
      <c r="E306" s="71">
        <f t="shared" si="15"/>
        <v>43</v>
      </c>
      <c r="F306" s="71" t="s">
        <v>251</v>
      </c>
      <c r="G306" s="71">
        <v>7</v>
      </c>
      <c r="H306" s="72" t="str">
        <f t="shared" si="10"/>
        <v>J-7</v>
      </c>
      <c r="I306" s="70" t="s">
        <v>2414</v>
      </c>
      <c r="J306" s="70" t="s">
        <v>2415</v>
      </c>
      <c r="K306" s="73" t="str">
        <f t="shared" si="11"/>
        <v>2026</v>
      </c>
      <c r="L306" s="73" t="str">
        <f t="shared" si="12"/>
        <v>04</v>
      </c>
      <c r="M306" s="73" t="str">
        <f t="shared" si="13"/>
        <v>28</v>
      </c>
      <c r="N306" s="73" t="str">
        <f t="shared" si="14"/>
        <v>17:04:45</v>
      </c>
    </row>
    <row r="307" spans="1:14" ht="22.5" customHeight="1">
      <c r="A307" s="70" t="s">
        <v>2416</v>
      </c>
      <c r="B307" s="70" t="s">
        <v>2417</v>
      </c>
      <c r="C307" s="70" t="s">
        <v>2418</v>
      </c>
      <c r="D307" s="70" t="s">
        <v>2419</v>
      </c>
      <c r="E307" s="71">
        <f t="shared" si="15"/>
        <v>8</v>
      </c>
      <c r="F307" s="71" t="s">
        <v>502</v>
      </c>
      <c r="G307" s="71">
        <v>4</v>
      </c>
      <c r="H307" s="72" t="str">
        <f t="shared" si="10"/>
        <v>Z-4</v>
      </c>
      <c r="I307" s="70" t="s">
        <v>2420</v>
      </c>
      <c r="J307" s="70" t="s">
        <v>2421</v>
      </c>
      <c r="K307" s="73" t="str">
        <f t="shared" si="11"/>
        <v>2026</v>
      </c>
      <c r="L307" s="73" t="str">
        <f t="shared" si="12"/>
        <v>04</v>
      </c>
      <c r="M307" s="73" t="str">
        <f t="shared" si="13"/>
        <v>28</v>
      </c>
      <c r="N307" s="73" t="str">
        <f t="shared" si="14"/>
        <v>17:04:11</v>
      </c>
    </row>
    <row r="308" spans="1:14" ht="22.5" customHeight="1">
      <c r="A308" s="70" t="s">
        <v>2422</v>
      </c>
      <c r="B308" s="70" t="s">
        <v>2423</v>
      </c>
      <c r="C308" s="70" t="s">
        <v>2424</v>
      </c>
      <c r="D308" s="70" t="s">
        <v>2425</v>
      </c>
      <c r="E308" s="71">
        <f t="shared" si="15"/>
        <v>14</v>
      </c>
      <c r="F308" s="71" t="s">
        <v>284</v>
      </c>
      <c r="G308" s="71">
        <v>15</v>
      </c>
      <c r="H308" s="72" t="str">
        <f t="shared" si="10"/>
        <v>L-15</v>
      </c>
      <c r="I308" s="70" t="s">
        <v>2426</v>
      </c>
      <c r="J308" s="70" t="s">
        <v>2427</v>
      </c>
      <c r="K308" s="73" t="str">
        <f t="shared" si="11"/>
        <v>2026</v>
      </c>
      <c r="L308" s="73" t="str">
        <f t="shared" si="12"/>
        <v>04</v>
      </c>
      <c r="M308" s="73" t="str">
        <f t="shared" si="13"/>
        <v>28</v>
      </c>
      <c r="N308" s="73" t="str">
        <f t="shared" si="14"/>
        <v>15:16:41</v>
      </c>
    </row>
    <row r="309" spans="1:14" ht="22.5" customHeight="1">
      <c r="A309" s="70" t="s">
        <v>2428</v>
      </c>
      <c r="B309" s="70" t="s">
        <v>2429</v>
      </c>
      <c r="C309" s="70" t="s">
        <v>2430</v>
      </c>
      <c r="D309" s="70" t="s">
        <v>2431</v>
      </c>
      <c r="E309" s="71">
        <f t="shared" si="15"/>
        <v>9</v>
      </c>
      <c r="F309" s="71" t="s">
        <v>299</v>
      </c>
      <c r="G309" s="71">
        <v>16</v>
      </c>
      <c r="H309" s="72" t="str">
        <f t="shared" si="10"/>
        <v>M-16</v>
      </c>
      <c r="I309" s="70" t="s">
        <v>2432</v>
      </c>
      <c r="J309" s="70" t="s">
        <v>2433</v>
      </c>
      <c r="K309" s="73" t="str">
        <f t="shared" si="11"/>
        <v>2026</v>
      </c>
      <c r="L309" s="73" t="str">
        <f t="shared" si="12"/>
        <v>04</v>
      </c>
      <c r="M309" s="73" t="str">
        <f t="shared" si="13"/>
        <v>28</v>
      </c>
      <c r="N309" s="73" t="str">
        <f t="shared" si="14"/>
        <v>14:05:20</v>
      </c>
    </row>
    <row r="310" spans="1:14" ht="22.5" customHeight="1">
      <c r="A310" s="70" t="s">
        <v>2434</v>
      </c>
      <c r="B310" s="70" t="s">
        <v>2435</v>
      </c>
      <c r="C310" s="70" t="s">
        <v>2436</v>
      </c>
      <c r="D310" s="70" t="s">
        <v>2437</v>
      </c>
      <c r="E310" s="71">
        <f t="shared" si="15"/>
        <v>16</v>
      </c>
      <c r="F310" s="71" t="s">
        <v>532</v>
      </c>
      <c r="G310" s="71">
        <v>8</v>
      </c>
      <c r="H310" s="72" t="str">
        <f t="shared" si="10"/>
        <v>B1-8</v>
      </c>
      <c r="I310" s="70" t="s">
        <v>2438</v>
      </c>
      <c r="J310" s="70" t="s">
        <v>2439</v>
      </c>
      <c r="K310" s="73" t="str">
        <f t="shared" si="11"/>
        <v>2026</v>
      </c>
      <c r="L310" s="73" t="str">
        <f t="shared" si="12"/>
        <v>04</v>
      </c>
      <c r="M310" s="73" t="str">
        <f t="shared" si="13"/>
        <v>28</v>
      </c>
      <c r="N310" s="73" t="str">
        <f t="shared" si="14"/>
        <v>13:49:57</v>
      </c>
    </row>
    <row r="311" spans="1:14" ht="22.5" customHeight="1">
      <c r="A311" s="70" t="s">
        <v>2440</v>
      </c>
      <c r="B311" s="70" t="s">
        <v>2441</v>
      </c>
      <c r="C311" s="70" t="s">
        <v>2442</v>
      </c>
      <c r="D311" s="70" t="s">
        <v>2443</v>
      </c>
      <c r="E311" s="71">
        <f t="shared" si="15"/>
        <v>13</v>
      </c>
      <c r="F311" s="71" t="s">
        <v>502</v>
      </c>
      <c r="G311" s="71">
        <v>3</v>
      </c>
      <c r="H311" s="72" t="str">
        <f t="shared" si="10"/>
        <v>Z-3</v>
      </c>
      <c r="I311" s="70" t="s">
        <v>2444</v>
      </c>
      <c r="J311" s="70" t="s">
        <v>2445</v>
      </c>
      <c r="K311" s="73" t="str">
        <f t="shared" si="11"/>
        <v>2026</v>
      </c>
      <c r="L311" s="73" t="str">
        <f t="shared" si="12"/>
        <v>04</v>
      </c>
      <c r="M311" s="73" t="str">
        <f t="shared" si="13"/>
        <v>28</v>
      </c>
      <c r="N311" s="73" t="str">
        <f t="shared" si="14"/>
        <v>11:30:06</v>
      </c>
    </row>
    <row r="312" spans="1:14" ht="22.5" customHeight="1">
      <c r="A312" s="70" t="s">
        <v>2446</v>
      </c>
      <c r="B312" s="70" t="s">
        <v>2447</v>
      </c>
      <c r="C312" s="70" t="s">
        <v>2448</v>
      </c>
      <c r="D312" s="70" t="s">
        <v>2449</v>
      </c>
      <c r="E312" s="71">
        <f t="shared" si="15"/>
        <v>30</v>
      </c>
      <c r="F312" s="71" t="s">
        <v>144</v>
      </c>
      <c r="G312" s="71">
        <v>3</v>
      </c>
      <c r="H312" s="72" t="str">
        <f t="shared" si="10"/>
        <v>E-3</v>
      </c>
      <c r="I312" s="70" t="s">
        <v>2450</v>
      </c>
      <c r="J312" s="70" t="s">
        <v>2451</v>
      </c>
      <c r="K312" s="73" t="str">
        <f t="shared" si="11"/>
        <v>2026</v>
      </c>
      <c r="L312" s="73" t="str">
        <f t="shared" si="12"/>
        <v>04</v>
      </c>
      <c r="M312" s="73" t="str">
        <f t="shared" si="13"/>
        <v>28</v>
      </c>
      <c r="N312" s="73" t="str">
        <f t="shared" si="14"/>
        <v>10:33:52</v>
      </c>
    </row>
    <row r="313" spans="1:14" ht="22.5" customHeight="1">
      <c r="A313" s="70" t="s">
        <v>2452</v>
      </c>
      <c r="B313" s="70" t="s">
        <v>2453</v>
      </c>
      <c r="C313" s="70" t="s">
        <v>2454</v>
      </c>
      <c r="D313" s="70" t="s">
        <v>2455</v>
      </c>
      <c r="E313" s="71">
        <f t="shared" si="15"/>
        <v>14</v>
      </c>
      <c r="F313" s="71" t="s">
        <v>441</v>
      </c>
      <c r="G313" s="71">
        <v>16</v>
      </c>
      <c r="H313" s="72" t="str">
        <f t="shared" si="10"/>
        <v>V-16</v>
      </c>
      <c r="I313" s="70" t="s">
        <v>2456</v>
      </c>
      <c r="J313" s="70" t="s">
        <v>2457</v>
      </c>
      <c r="K313" s="73" t="str">
        <f t="shared" si="11"/>
        <v>2026</v>
      </c>
      <c r="L313" s="73" t="str">
        <f t="shared" si="12"/>
        <v>04</v>
      </c>
      <c r="M313" s="73" t="str">
        <f t="shared" si="13"/>
        <v>28</v>
      </c>
      <c r="N313" s="73" t="str">
        <f t="shared" si="14"/>
        <v>09:54:03</v>
      </c>
    </row>
    <row r="314" spans="1:14" ht="22.5" customHeight="1">
      <c r="A314" s="70" t="s">
        <v>2458</v>
      </c>
      <c r="B314" s="70" t="s">
        <v>2459</v>
      </c>
      <c r="C314" s="70" t="s">
        <v>2460</v>
      </c>
      <c r="D314" s="70" t="s">
        <v>2461</v>
      </c>
      <c r="E314" s="71">
        <f t="shared" si="15"/>
        <v>54</v>
      </c>
      <c r="F314" s="71" t="s">
        <v>34</v>
      </c>
      <c r="G314" s="71">
        <v>6</v>
      </c>
      <c r="H314" s="72" t="str">
        <f t="shared" si="10"/>
        <v>A-6</v>
      </c>
      <c r="I314" s="70" t="s">
        <v>2462</v>
      </c>
      <c r="J314" s="70" t="s">
        <v>2463</v>
      </c>
      <c r="K314" s="73" t="str">
        <f t="shared" si="11"/>
        <v>2026</v>
      </c>
      <c r="L314" s="73" t="str">
        <f t="shared" si="12"/>
        <v>04</v>
      </c>
      <c r="M314" s="73" t="str">
        <f t="shared" si="13"/>
        <v>28</v>
      </c>
      <c r="N314" s="73" t="str">
        <f t="shared" si="14"/>
        <v>08:50:04</v>
      </c>
    </row>
    <row r="315" spans="1:14" ht="22.5" customHeight="1">
      <c r="A315" s="70" t="s">
        <v>2464</v>
      </c>
      <c r="B315" s="70" t="s">
        <v>2465</v>
      </c>
      <c r="C315" s="70" t="s">
        <v>2466</v>
      </c>
      <c r="D315" s="70" t="s">
        <v>2467</v>
      </c>
      <c r="E315" s="71">
        <f t="shared" si="15"/>
        <v>57</v>
      </c>
      <c r="F315" s="71" t="s">
        <v>284</v>
      </c>
      <c r="G315" s="71">
        <v>8</v>
      </c>
      <c r="H315" s="72" t="str">
        <f t="shared" si="10"/>
        <v>L-8</v>
      </c>
      <c r="I315" s="70" t="s">
        <v>2468</v>
      </c>
      <c r="J315" s="70" t="s">
        <v>2469</v>
      </c>
      <c r="K315" s="73" t="str">
        <f t="shared" si="11"/>
        <v>2026</v>
      </c>
      <c r="L315" s="73" t="str">
        <f t="shared" si="12"/>
        <v>04</v>
      </c>
      <c r="M315" s="73" t="str">
        <f t="shared" si="13"/>
        <v>28</v>
      </c>
      <c r="N315" s="73" t="str">
        <f t="shared" si="14"/>
        <v>08:35:42</v>
      </c>
    </row>
    <row r="316" spans="1:14" ht="22.5" customHeight="1">
      <c r="A316" s="70" t="s">
        <v>2470</v>
      </c>
      <c r="B316" s="70" t="s">
        <v>2471</v>
      </c>
      <c r="C316" s="70" t="s">
        <v>2472</v>
      </c>
      <c r="D316" s="70" t="s">
        <v>2473</v>
      </c>
      <c r="E316" s="71">
        <f t="shared" si="15"/>
        <v>31</v>
      </c>
      <c r="F316" s="71" t="s">
        <v>251</v>
      </c>
      <c r="G316" s="71">
        <v>2</v>
      </c>
      <c r="H316" s="72" t="str">
        <f t="shared" si="10"/>
        <v>J-2</v>
      </c>
      <c r="I316" s="75"/>
      <c r="J316" s="70" t="s">
        <v>2474</v>
      </c>
      <c r="K316" s="73" t="str">
        <f t="shared" si="11"/>
        <v>2026</v>
      </c>
      <c r="L316" s="73" t="str">
        <f t="shared" si="12"/>
        <v>04</v>
      </c>
      <c r="M316" s="73" t="str">
        <f t="shared" si="13"/>
        <v>28</v>
      </c>
      <c r="N316" s="73" t="str">
        <f t="shared" si="14"/>
        <v>08:32:32</v>
      </c>
    </row>
    <row r="317" spans="1:14" ht="22.5" hidden="1" customHeight="1">
      <c r="A317" s="70" t="s">
        <v>2475</v>
      </c>
      <c r="B317" s="70" t="s">
        <v>2476</v>
      </c>
      <c r="C317" s="70" t="s">
        <v>2477</v>
      </c>
      <c r="D317" s="70" t="s">
        <v>2478</v>
      </c>
      <c r="E317" s="71">
        <f t="shared" ref="E317:E332" si="16">-VALUE(SUBSTITUTE(D317, ".", ","))</f>
        <v>-12.5</v>
      </c>
      <c r="F317" s="75"/>
      <c r="G317" s="75"/>
      <c r="H317" s="72" t="str">
        <f t="shared" si="10"/>
        <v>-</v>
      </c>
      <c r="I317" s="70" t="s">
        <v>2479</v>
      </c>
      <c r="J317" s="70" t="s">
        <v>2480</v>
      </c>
      <c r="K317" s="73" t="str">
        <f t="shared" si="11"/>
        <v>2026</v>
      </c>
      <c r="L317" s="73" t="str">
        <f t="shared" si="12"/>
        <v>04</v>
      </c>
      <c r="M317" s="73" t="str">
        <f t="shared" si="13"/>
        <v>27</v>
      </c>
      <c r="N317" s="73" t="str">
        <f t="shared" si="14"/>
        <v>08:12:21</v>
      </c>
    </row>
    <row r="318" spans="1:14" ht="22.5" hidden="1" customHeight="1">
      <c r="A318" s="70" t="s">
        <v>2481</v>
      </c>
      <c r="B318" s="70" t="s">
        <v>2482</v>
      </c>
      <c r="C318" s="70" t="s">
        <v>2483</v>
      </c>
      <c r="D318" s="70" t="s">
        <v>2484</v>
      </c>
      <c r="E318" s="71">
        <f t="shared" si="16"/>
        <v>-82</v>
      </c>
      <c r="F318" s="75"/>
      <c r="G318" s="75"/>
      <c r="H318" s="72" t="str">
        <f t="shared" si="10"/>
        <v>-</v>
      </c>
      <c r="I318" s="70" t="s">
        <v>2485</v>
      </c>
      <c r="J318" s="70" t="s">
        <v>2486</v>
      </c>
      <c r="K318" s="73" t="str">
        <f t="shared" si="11"/>
        <v>2026</v>
      </c>
      <c r="L318" s="73" t="str">
        <f t="shared" si="12"/>
        <v>04</v>
      </c>
      <c r="M318" s="73" t="str">
        <f t="shared" si="13"/>
        <v>26</v>
      </c>
      <c r="N318" s="73" t="str">
        <f t="shared" si="14"/>
        <v>20:33:00</v>
      </c>
    </row>
    <row r="319" spans="1:14" ht="22.5" hidden="1" customHeight="1">
      <c r="A319" s="70" t="s">
        <v>2487</v>
      </c>
      <c r="B319" s="70" t="s">
        <v>2488</v>
      </c>
      <c r="C319" s="70" t="s">
        <v>2489</v>
      </c>
      <c r="D319" s="70" t="s">
        <v>2490</v>
      </c>
      <c r="E319" s="71">
        <f t="shared" si="16"/>
        <v>-500</v>
      </c>
      <c r="F319" s="75"/>
      <c r="G319" s="75"/>
      <c r="H319" s="72" t="str">
        <f t="shared" si="10"/>
        <v>-</v>
      </c>
      <c r="I319" s="70" t="s">
        <v>2491</v>
      </c>
      <c r="J319" s="70" t="s">
        <v>2492</v>
      </c>
      <c r="K319" s="73" t="str">
        <f t="shared" si="11"/>
        <v>2026</v>
      </c>
      <c r="L319" s="73" t="str">
        <f t="shared" si="12"/>
        <v>04</v>
      </c>
      <c r="M319" s="73" t="str">
        <f t="shared" si="13"/>
        <v>25</v>
      </c>
      <c r="N319" s="73" t="str">
        <f t="shared" si="14"/>
        <v>09:59:46</v>
      </c>
    </row>
    <row r="320" spans="1:14" ht="22.5" hidden="1" customHeight="1">
      <c r="A320" s="70" t="s">
        <v>2493</v>
      </c>
      <c r="B320" s="70" t="s">
        <v>2494</v>
      </c>
      <c r="C320" s="70" t="s">
        <v>2495</v>
      </c>
      <c r="D320" s="70" t="s">
        <v>2496</v>
      </c>
      <c r="E320" s="71">
        <f t="shared" si="16"/>
        <v>-500</v>
      </c>
      <c r="F320" s="75"/>
      <c r="G320" s="75"/>
      <c r="H320" s="72" t="str">
        <f t="shared" si="10"/>
        <v>-</v>
      </c>
      <c r="I320" s="70" t="s">
        <v>2497</v>
      </c>
      <c r="J320" s="70" t="s">
        <v>2498</v>
      </c>
      <c r="K320" s="73" t="str">
        <f t="shared" si="11"/>
        <v>2026</v>
      </c>
      <c r="L320" s="73" t="str">
        <f t="shared" si="12"/>
        <v>04</v>
      </c>
      <c r="M320" s="73" t="str">
        <f t="shared" si="13"/>
        <v>25</v>
      </c>
      <c r="N320" s="73" t="str">
        <f t="shared" si="14"/>
        <v>09:58:51</v>
      </c>
    </row>
    <row r="321" spans="1:14" ht="22.5" hidden="1" customHeight="1">
      <c r="A321" s="70" t="s">
        <v>2499</v>
      </c>
      <c r="B321" s="70" t="s">
        <v>2500</v>
      </c>
      <c r="C321" s="70" t="s">
        <v>2501</v>
      </c>
      <c r="D321" s="70" t="s">
        <v>2502</v>
      </c>
      <c r="E321" s="71">
        <f t="shared" si="16"/>
        <v>-500</v>
      </c>
      <c r="F321" s="75"/>
      <c r="G321" s="75"/>
      <c r="H321" s="72" t="str">
        <f t="shared" si="10"/>
        <v>-</v>
      </c>
      <c r="I321" s="70" t="s">
        <v>2503</v>
      </c>
      <c r="J321" s="70" t="s">
        <v>2504</v>
      </c>
      <c r="K321" s="73" t="str">
        <f t="shared" si="11"/>
        <v>2026</v>
      </c>
      <c r="L321" s="73" t="str">
        <f t="shared" si="12"/>
        <v>04</v>
      </c>
      <c r="M321" s="73" t="str">
        <f t="shared" si="13"/>
        <v>25</v>
      </c>
      <c r="N321" s="73" t="str">
        <f t="shared" si="14"/>
        <v>09:58:00</v>
      </c>
    </row>
    <row r="322" spans="1:14" ht="22.5" hidden="1" customHeight="1">
      <c r="A322" s="70" t="s">
        <v>2505</v>
      </c>
      <c r="B322" s="70" t="s">
        <v>2506</v>
      </c>
      <c r="C322" s="70" t="s">
        <v>2507</v>
      </c>
      <c r="D322" s="70" t="s">
        <v>2508</v>
      </c>
      <c r="E322" s="71">
        <f t="shared" si="16"/>
        <v>-500</v>
      </c>
      <c r="F322" s="75"/>
      <c r="G322" s="75"/>
      <c r="H322" s="72" t="str">
        <f t="shared" si="10"/>
        <v>-</v>
      </c>
      <c r="I322" s="70" t="s">
        <v>2509</v>
      </c>
      <c r="J322" s="70" t="s">
        <v>2510</v>
      </c>
      <c r="K322" s="73" t="str">
        <f t="shared" si="11"/>
        <v>2026</v>
      </c>
      <c r="L322" s="73" t="str">
        <f t="shared" si="12"/>
        <v>04</v>
      </c>
      <c r="M322" s="73" t="str">
        <f t="shared" si="13"/>
        <v>25</v>
      </c>
      <c r="N322" s="73" t="str">
        <f t="shared" si="14"/>
        <v>09:57:21</v>
      </c>
    </row>
    <row r="323" spans="1:14" ht="22.5" hidden="1" customHeight="1">
      <c r="A323" s="70" t="s">
        <v>2511</v>
      </c>
      <c r="B323" s="70" t="s">
        <v>2512</v>
      </c>
      <c r="C323" s="70" t="s">
        <v>2513</v>
      </c>
      <c r="D323" s="70" t="s">
        <v>2514</v>
      </c>
      <c r="E323" s="71">
        <f t="shared" si="16"/>
        <v>-500</v>
      </c>
      <c r="F323" s="75"/>
      <c r="G323" s="75"/>
      <c r="H323" s="72" t="str">
        <f t="shared" si="10"/>
        <v>-</v>
      </c>
      <c r="I323" s="70" t="s">
        <v>2515</v>
      </c>
      <c r="J323" s="70" t="s">
        <v>2516</v>
      </c>
      <c r="K323" s="73" t="str">
        <f t="shared" si="11"/>
        <v>2026</v>
      </c>
      <c r="L323" s="73" t="str">
        <f t="shared" si="12"/>
        <v>04</v>
      </c>
      <c r="M323" s="73" t="str">
        <f t="shared" si="13"/>
        <v>24</v>
      </c>
      <c r="N323" s="73" t="str">
        <f t="shared" si="14"/>
        <v>12:21:28</v>
      </c>
    </row>
    <row r="324" spans="1:14" ht="22.5" hidden="1" customHeight="1">
      <c r="A324" s="70" t="s">
        <v>2517</v>
      </c>
      <c r="B324" s="70" t="s">
        <v>2518</v>
      </c>
      <c r="C324" s="70" t="s">
        <v>2519</v>
      </c>
      <c r="D324" s="70" t="s">
        <v>2520</v>
      </c>
      <c r="E324" s="71">
        <f t="shared" si="16"/>
        <v>-500</v>
      </c>
      <c r="F324" s="75"/>
      <c r="G324" s="75"/>
      <c r="H324" s="72" t="str">
        <f t="shared" si="10"/>
        <v>-</v>
      </c>
      <c r="I324" s="70" t="s">
        <v>2521</v>
      </c>
      <c r="J324" s="70" t="s">
        <v>2522</v>
      </c>
      <c r="K324" s="73" t="str">
        <f t="shared" si="11"/>
        <v>2026</v>
      </c>
      <c r="L324" s="73" t="str">
        <f t="shared" si="12"/>
        <v>04</v>
      </c>
      <c r="M324" s="73" t="str">
        <f t="shared" si="13"/>
        <v>24</v>
      </c>
      <c r="N324" s="73" t="str">
        <f t="shared" si="14"/>
        <v>12:20:52</v>
      </c>
    </row>
    <row r="325" spans="1:14" ht="22.5" hidden="1" customHeight="1">
      <c r="A325" s="70" t="s">
        <v>2523</v>
      </c>
      <c r="B325" s="70" t="s">
        <v>2524</v>
      </c>
      <c r="C325" s="70" t="s">
        <v>2525</v>
      </c>
      <c r="D325" s="70" t="s">
        <v>2526</v>
      </c>
      <c r="E325" s="71">
        <f t="shared" si="16"/>
        <v>-500</v>
      </c>
      <c r="F325" s="75"/>
      <c r="G325" s="75"/>
      <c r="H325" s="72" t="str">
        <f t="shared" si="10"/>
        <v>-</v>
      </c>
      <c r="I325" s="70" t="s">
        <v>2527</v>
      </c>
      <c r="J325" s="70" t="s">
        <v>2528</v>
      </c>
      <c r="K325" s="73" t="str">
        <f t="shared" si="11"/>
        <v>2026</v>
      </c>
      <c r="L325" s="73" t="str">
        <f t="shared" si="12"/>
        <v>04</v>
      </c>
      <c r="M325" s="73" t="str">
        <f t="shared" si="13"/>
        <v>24</v>
      </c>
      <c r="N325" s="73" t="str">
        <f t="shared" si="14"/>
        <v>12:20:00</v>
      </c>
    </row>
    <row r="326" spans="1:14" ht="22.5" hidden="1" customHeight="1">
      <c r="A326" s="70" t="s">
        <v>2529</v>
      </c>
      <c r="B326" s="70" t="s">
        <v>2530</v>
      </c>
      <c r="C326" s="70" t="s">
        <v>2531</v>
      </c>
      <c r="D326" s="70" t="s">
        <v>2532</v>
      </c>
      <c r="E326" s="71">
        <f t="shared" si="16"/>
        <v>-500</v>
      </c>
      <c r="F326" s="75"/>
      <c r="G326" s="75"/>
      <c r="H326" s="72" t="str">
        <f t="shared" si="10"/>
        <v>-</v>
      </c>
      <c r="I326" s="70" t="s">
        <v>2533</v>
      </c>
      <c r="J326" s="70" t="s">
        <v>2534</v>
      </c>
      <c r="K326" s="73" t="str">
        <f t="shared" si="11"/>
        <v>2026</v>
      </c>
      <c r="L326" s="73" t="str">
        <f t="shared" si="12"/>
        <v>04</v>
      </c>
      <c r="M326" s="73" t="str">
        <f t="shared" si="13"/>
        <v>24</v>
      </c>
      <c r="N326" s="73" t="str">
        <f t="shared" si="14"/>
        <v>12:19:16</v>
      </c>
    </row>
    <row r="327" spans="1:14" ht="22.5" hidden="1" customHeight="1">
      <c r="A327" s="70" t="s">
        <v>2535</v>
      </c>
      <c r="B327" s="70" t="s">
        <v>2536</v>
      </c>
      <c r="C327" s="70" t="s">
        <v>2537</v>
      </c>
      <c r="D327" s="70" t="s">
        <v>2538</v>
      </c>
      <c r="E327" s="71">
        <f t="shared" si="16"/>
        <v>-90</v>
      </c>
      <c r="F327" s="75"/>
      <c r="G327" s="75"/>
      <c r="H327" s="72" t="str">
        <f t="shared" si="10"/>
        <v>-</v>
      </c>
      <c r="I327" s="70" t="s">
        <v>2539</v>
      </c>
      <c r="J327" s="70" t="s">
        <v>2540</v>
      </c>
      <c r="K327" s="73" t="str">
        <f t="shared" si="11"/>
        <v>2026</v>
      </c>
      <c r="L327" s="73" t="str">
        <f t="shared" si="12"/>
        <v>04</v>
      </c>
      <c r="M327" s="73" t="str">
        <f t="shared" si="13"/>
        <v>23</v>
      </c>
      <c r="N327" s="73" t="str">
        <f t="shared" si="14"/>
        <v>13:19:47</v>
      </c>
    </row>
    <row r="328" spans="1:14" ht="22.5" hidden="1" customHeight="1">
      <c r="A328" s="70" t="s">
        <v>2541</v>
      </c>
      <c r="B328" s="70" t="s">
        <v>2542</v>
      </c>
      <c r="C328" s="70" t="s">
        <v>2543</v>
      </c>
      <c r="D328" s="70" t="s">
        <v>2544</v>
      </c>
      <c r="E328" s="71">
        <f t="shared" si="16"/>
        <v>-115</v>
      </c>
      <c r="F328" s="75"/>
      <c r="G328" s="75"/>
      <c r="H328" s="72" t="str">
        <f t="shared" si="10"/>
        <v>-</v>
      </c>
      <c r="I328" s="70" t="s">
        <v>2545</v>
      </c>
      <c r="J328" s="70" t="s">
        <v>2546</v>
      </c>
      <c r="K328" s="73" t="str">
        <f t="shared" si="11"/>
        <v>2026</v>
      </c>
      <c r="L328" s="73" t="str">
        <f t="shared" si="12"/>
        <v>04</v>
      </c>
      <c r="M328" s="73" t="str">
        <f t="shared" si="13"/>
        <v>20</v>
      </c>
      <c r="N328" s="73" t="str">
        <f t="shared" si="14"/>
        <v>10:59:44</v>
      </c>
    </row>
    <row r="329" spans="1:14" ht="22.5" hidden="1" customHeight="1">
      <c r="A329" s="70" t="s">
        <v>2547</v>
      </c>
      <c r="B329" s="70" t="s">
        <v>2548</v>
      </c>
      <c r="C329" s="70" t="s">
        <v>2549</v>
      </c>
      <c r="D329" s="70" t="s">
        <v>2550</v>
      </c>
      <c r="E329" s="71">
        <f t="shared" si="16"/>
        <v>-300</v>
      </c>
      <c r="F329" s="75"/>
      <c r="G329" s="75"/>
      <c r="H329" s="72" t="str">
        <f t="shared" si="10"/>
        <v>-</v>
      </c>
      <c r="I329" s="70" t="s">
        <v>2551</v>
      </c>
      <c r="J329" s="70" t="s">
        <v>2552</v>
      </c>
      <c r="K329" s="73" t="str">
        <f t="shared" si="11"/>
        <v>2026</v>
      </c>
      <c r="L329" s="73" t="str">
        <f t="shared" si="12"/>
        <v>04</v>
      </c>
      <c r="M329" s="73" t="str">
        <f t="shared" si="13"/>
        <v>20</v>
      </c>
      <c r="N329" s="73" t="str">
        <f t="shared" si="14"/>
        <v>10:39:40</v>
      </c>
    </row>
    <row r="330" spans="1:14" ht="22.5" hidden="1" customHeight="1">
      <c r="A330" s="70" t="s">
        <v>2553</v>
      </c>
      <c r="B330" s="70" t="s">
        <v>2554</v>
      </c>
      <c r="C330" s="70" t="s">
        <v>2555</v>
      </c>
      <c r="D330" s="70" t="s">
        <v>2556</v>
      </c>
      <c r="E330" s="71">
        <f t="shared" si="16"/>
        <v>-500</v>
      </c>
      <c r="F330" s="75"/>
      <c r="G330" s="75"/>
      <c r="H330" s="72" t="str">
        <f t="shared" si="10"/>
        <v>-</v>
      </c>
      <c r="I330" s="70" t="s">
        <v>2557</v>
      </c>
      <c r="J330" s="70" t="s">
        <v>2558</v>
      </c>
      <c r="K330" s="73" t="str">
        <f t="shared" si="11"/>
        <v>2026</v>
      </c>
      <c r="L330" s="73" t="str">
        <f t="shared" si="12"/>
        <v>04</v>
      </c>
      <c r="M330" s="73" t="str">
        <f t="shared" si="13"/>
        <v>20</v>
      </c>
      <c r="N330" s="73" t="str">
        <f t="shared" si="14"/>
        <v>10:37:22</v>
      </c>
    </row>
    <row r="331" spans="1:14" ht="22.5" hidden="1" customHeight="1">
      <c r="A331" s="70" t="s">
        <v>2559</v>
      </c>
      <c r="B331" s="70" t="s">
        <v>2560</v>
      </c>
      <c r="C331" s="70" t="s">
        <v>2561</v>
      </c>
      <c r="D331" s="70" t="s">
        <v>2562</v>
      </c>
      <c r="E331" s="71">
        <f t="shared" si="16"/>
        <v>-500</v>
      </c>
      <c r="F331" s="75"/>
      <c r="G331" s="75"/>
      <c r="H331" s="72" t="str">
        <f t="shared" si="10"/>
        <v>-</v>
      </c>
      <c r="I331" s="70" t="s">
        <v>2563</v>
      </c>
      <c r="J331" s="70" t="s">
        <v>2564</v>
      </c>
      <c r="K331" s="73" t="str">
        <f t="shared" si="11"/>
        <v>2026</v>
      </c>
      <c r="L331" s="73" t="str">
        <f t="shared" si="12"/>
        <v>04</v>
      </c>
      <c r="M331" s="73" t="str">
        <f t="shared" si="13"/>
        <v>20</v>
      </c>
      <c r="N331" s="73" t="str">
        <f t="shared" si="14"/>
        <v>10:36:29</v>
      </c>
    </row>
    <row r="332" spans="1:14" ht="22.5" hidden="1" customHeight="1">
      <c r="A332" s="70" t="s">
        <v>2565</v>
      </c>
      <c r="B332" s="70" t="s">
        <v>2566</v>
      </c>
      <c r="C332" s="70" t="s">
        <v>2567</v>
      </c>
      <c r="D332" s="70" t="s">
        <v>2568</v>
      </c>
      <c r="E332" s="71">
        <f t="shared" si="16"/>
        <v>-500</v>
      </c>
      <c r="F332" s="75"/>
      <c r="G332" s="75"/>
      <c r="H332" s="72" t="str">
        <f t="shared" si="10"/>
        <v>-</v>
      </c>
      <c r="I332" s="70" t="s">
        <v>2569</v>
      </c>
      <c r="J332" s="70" t="s">
        <v>2570</v>
      </c>
      <c r="K332" s="73" t="str">
        <f t="shared" si="11"/>
        <v>2026</v>
      </c>
      <c r="L332" s="73" t="str">
        <f t="shared" si="12"/>
        <v>04</v>
      </c>
      <c r="M332" s="73" t="str">
        <f t="shared" si="13"/>
        <v>20</v>
      </c>
      <c r="N332" s="73" t="str">
        <f t="shared" si="14"/>
        <v>10:35:55</v>
      </c>
    </row>
    <row r="333" spans="1:14" ht="22.5" customHeight="1">
      <c r="A333" s="70" t="s">
        <v>2571</v>
      </c>
      <c r="B333" s="70" t="s">
        <v>2572</v>
      </c>
      <c r="C333" s="70" t="s">
        <v>2573</v>
      </c>
      <c r="D333" s="70" t="s">
        <v>2574</v>
      </c>
      <c r="E333" s="71">
        <f>VALUE(SUBSTITUTE(D333, ".", ","))</f>
        <v>150</v>
      </c>
      <c r="F333" s="75" t="s">
        <v>2575</v>
      </c>
      <c r="G333" s="75"/>
      <c r="H333" s="72" t="str">
        <f t="shared" si="10"/>
        <v>ROSA CORONADO-</v>
      </c>
      <c r="I333" s="70" t="s">
        <v>2576</v>
      </c>
      <c r="J333" s="70" t="s">
        <v>2577</v>
      </c>
      <c r="K333" s="73" t="str">
        <f t="shared" si="11"/>
        <v>2026</v>
      </c>
      <c r="L333" s="73" t="str">
        <f t="shared" si="12"/>
        <v>04</v>
      </c>
      <c r="M333" s="73" t="str">
        <f t="shared" si="13"/>
        <v>19</v>
      </c>
      <c r="N333" s="73" t="str">
        <f t="shared" si="14"/>
        <v>15:08:20</v>
      </c>
    </row>
    <row r="334" spans="1:14" ht="22.5" hidden="1" customHeight="1">
      <c r="A334" s="70" t="s">
        <v>2578</v>
      </c>
      <c r="B334" s="70" t="s">
        <v>2579</v>
      </c>
      <c r="C334" s="70" t="s">
        <v>2580</v>
      </c>
      <c r="D334" s="70" t="s">
        <v>2581</v>
      </c>
      <c r="E334" s="71">
        <f t="shared" ref="E334:E339" si="17">-VALUE(SUBSTITUTE(D334, ".", ","))</f>
        <v>-500</v>
      </c>
      <c r="F334" s="75"/>
      <c r="G334" s="75"/>
      <c r="H334" s="72" t="str">
        <f t="shared" si="10"/>
        <v>-</v>
      </c>
      <c r="I334" s="70" t="s">
        <v>2582</v>
      </c>
      <c r="J334" s="70" t="s">
        <v>2583</v>
      </c>
      <c r="K334" s="73" t="str">
        <f t="shared" si="11"/>
        <v>2026</v>
      </c>
      <c r="L334" s="73" t="str">
        <f t="shared" si="12"/>
        <v>04</v>
      </c>
      <c r="M334" s="73" t="str">
        <f t="shared" si="13"/>
        <v>18</v>
      </c>
      <c r="N334" s="73" t="str">
        <f t="shared" si="14"/>
        <v>08:47:23</v>
      </c>
    </row>
    <row r="335" spans="1:14" ht="22.5" hidden="1" customHeight="1">
      <c r="A335" s="70" t="s">
        <v>2584</v>
      </c>
      <c r="B335" s="70" t="s">
        <v>2585</v>
      </c>
      <c r="C335" s="70" t="s">
        <v>2586</v>
      </c>
      <c r="D335" s="70" t="s">
        <v>2587</v>
      </c>
      <c r="E335" s="71">
        <f t="shared" si="17"/>
        <v>-500</v>
      </c>
      <c r="F335" s="75"/>
      <c r="G335" s="75"/>
      <c r="H335" s="72" t="str">
        <f t="shared" si="10"/>
        <v>-</v>
      </c>
      <c r="I335" s="70" t="s">
        <v>2588</v>
      </c>
      <c r="J335" s="70" t="s">
        <v>2589</v>
      </c>
      <c r="K335" s="73" t="str">
        <f t="shared" si="11"/>
        <v>2026</v>
      </c>
      <c r="L335" s="73" t="str">
        <f t="shared" si="12"/>
        <v>04</v>
      </c>
      <c r="M335" s="73" t="str">
        <f t="shared" si="13"/>
        <v>18</v>
      </c>
      <c r="N335" s="73" t="str">
        <f t="shared" si="14"/>
        <v>08:46:51</v>
      </c>
    </row>
    <row r="336" spans="1:14" ht="22.5" hidden="1" customHeight="1">
      <c r="A336" s="70" t="s">
        <v>2590</v>
      </c>
      <c r="B336" s="70" t="s">
        <v>2591</v>
      </c>
      <c r="C336" s="70" t="s">
        <v>2592</v>
      </c>
      <c r="D336" s="70" t="s">
        <v>2593</v>
      </c>
      <c r="E336" s="71">
        <f t="shared" si="17"/>
        <v>-500</v>
      </c>
      <c r="F336" s="75"/>
      <c r="G336" s="75"/>
      <c r="H336" s="72" t="str">
        <f t="shared" si="10"/>
        <v>-</v>
      </c>
      <c r="I336" s="70" t="s">
        <v>2594</v>
      </c>
      <c r="J336" s="70" t="s">
        <v>2595</v>
      </c>
      <c r="K336" s="73" t="str">
        <f t="shared" si="11"/>
        <v>2026</v>
      </c>
      <c r="L336" s="73" t="str">
        <f t="shared" si="12"/>
        <v>04</v>
      </c>
      <c r="M336" s="73" t="str">
        <f t="shared" si="13"/>
        <v>18</v>
      </c>
      <c r="N336" s="73" t="str">
        <f t="shared" si="14"/>
        <v>08:46:16</v>
      </c>
    </row>
    <row r="337" spans="1:14" ht="22.5" hidden="1" customHeight="1">
      <c r="A337" s="70" t="s">
        <v>2596</v>
      </c>
      <c r="B337" s="70" t="s">
        <v>2597</v>
      </c>
      <c r="C337" s="70" t="s">
        <v>2598</v>
      </c>
      <c r="D337" s="70" t="s">
        <v>2599</v>
      </c>
      <c r="E337" s="71">
        <f t="shared" si="17"/>
        <v>-500</v>
      </c>
      <c r="F337" s="75"/>
      <c r="G337" s="75"/>
      <c r="H337" s="72" t="str">
        <f t="shared" si="10"/>
        <v>-</v>
      </c>
      <c r="I337" s="70" t="s">
        <v>2600</v>
      </c>
      <c r="J337" s="70" t="s">
        <v>2601</v>
      </c>
      <c r="K337" s="73" t="str">
        <f t="shared" si="11"/>
        <v>2026</v>
      </c>
      <c r="L337" s="73" t="str">
        <f t="shared" si="12"/>
        <v>04</v>
      </c>
      <c r="M337" s="73" t="str">
        <f t="shared" si="13"/>
        <v>18</v>
      </c>
      <c r="N337" s="73" t="str">
        <f t="shared" si="14"/>
        <v>08:45:48</v>
      </c>
    </row>
    <row r="338" spans="1:14" ht="22.5" hidden="1" customHeight="1">
      <c r="A338" s="70" t="s">
        <v>2602</v>
      </c>
      <c r="B338" s="70" t="s">
        <v>2603</v>
      </c>
      <c r="C338" s="70" t="s">
        <v>2604</v>
      </c>
      <c r="D338" s="70" t="s">
        <v>2605</v>
      </c>
      <c r="E338" s="71">
        <f t="shared" si="17"/>
        <v>-6</v>
      </c>
      <c r="F338" s="75"/>
      <c r="G338" s="75"/>
      <c r="H338" s="72" t="str">
        <f t="shared" si="10"/>
        <v>-</v>
      </c>
      <c r="I338" s="70" t="s">
        <v>2606</v>
      </c>
      <c r="J338" s="70" t="s">
        <v>2607</v>
      </c>
      <c r="K338" s="73" t="str">
        <f t="shared" si="11"/>
        <v>2026</v>
      </c>
      <c r="L338" s="73" t="str">
        <f t="shared" si="12"/>
        <v>04</v>
      </c>
      <c r="M338" s="73" t="str">
        <f t="shared" si="13"/>
        <v>17</v>
      </c>
      <c r="N338" s="73" t="str">
        <f t="shared" si="14"/>
        <v>13:08:47</v>
      </c>
    </row>
    <row r="339" spans="1:14" ht="33.75" hidden="1" customHeight="1">
      <c r="A339" s="70" t="s">
        <v>2608</v>
      </c>
      <c r="B339" s="70" t="s">
        <v>2609</v>
      </c>
      <c r="C339" s="70" t="s">
        <v>2610</v>
      </c>
      <c r="D339" s="70" t="s">
        <v>2611</v>
      </c>
      <c r="E339" s="71">
        <f t="shared" si="17"/>
        <v>-70</v>
      </c>
      <c r="F339" s="75"/>
      <c r="G339" s="75"/>
      <c r="H339" s="72" t="str">
        <f t="shared" si="10"/>
        <v>-</v>
      </c>
      <c r="I339" s="70" t="s">
        <v>2612</v>
      </c>
      <c r="J339" s="70" t="s">
        <v>2613</v>
      </c>
      <c r="K339" s="73" t="str">
        <f t="shared" si="11"/>
        <v>2026</v>
      </c>
      <c r="L339" s="73" t="str">
        <f t="shared" si="12"/>
        <v>04</v>
      </c>
      <c r="M339" s="73" t="str">
        <f t="shared" si="13"/>
        <v>15</v>
      </c>
      <c r="N339" s="73" t="str">
        <f t="shared" si="14"/>
        <v>17:36:04</v>
      </c>
    </row>
    <row r="340" spans="1:14" ht="22.5" customHeight="1">
      <c r="A340" s="70" t="s">
        <v>2614</v>
      </c>
      <c r="B340" s="70" t="s">
        <v>2615</v>
      </c>
      <c r="C340" s="70" t="s">
        <v>2616</v>
      </c>
      <c r="D340" s="70" t="s">
        <v>2617</v>
      </c>
      <c r="E340" s="71">
        <f t="shared" ref="E340:E341" si="18">VALUE(SUBSTITUTE(D340, ".", ","))</f>
        <v>8</v>
      </c>
      <c r="F340" s="71" t="s">
        <v>327</v>
      </c>
      <c r="G340" s="71">
        <v>16</v>
      </c>
      <c r="H340" s="72" t="str">
        <f t="shared" si="10"/>
        <v>O-16</v>
      </c>
      <c r="I340" s="70" t="s">
        <v>2618</v>
      </c>
      <c r="J340" s="70" t="s">
        <v>2619</v>
      </c>
      <c r="K340" s="73" t="str">
        <f t="shared" si="11"/>
        <v>2026</v>
      </c>
      <c r="L340" s="73" t="str">
        <f t="shared" si="12"/>
        <v>04</v>
      </c>
      <c r="M340" s="73" t="str">
        <f t="shared" si="13"/>
        <v>14</v>
      </c>
      <c r="N340" s="73" t="str">
        <f t="shared" si="14"/>
        <v>21:37:20</v>
      </c>
    </row>
    <row r="341" spans="1:14" ht="22.5" customHeight="1">
      <c r="A341" s="70" t="s">
        <v>2620</v>
      </c>
      <c r="B341" s="70" t="s">
        <v>2621</v>
      </c>
      <c r="C341" s="70" t="s">
        <v>2622</v>
      </c>
      <c r="D341" s="70" t="s">
        <v>2623</v>
      </c>
      <c r="E341" s="71">
        <f t="shared" si="18"/>
        <v>20</v>
      </c>
      <c r="F341" s="71" t="s">
        <v>228</v>
      </c>
      <c r="G341" s="71">
        <v>10</v>
      </c>
      <c r="H341" s="72" t="str">
        <f t="shared" si="10"/>
        <v>I-10</v>
      </c>
      <c r="I341" s="75"/>
      <c r="J341" s="70" t="s">
        <v>2624</v>
      </c>
      <c r="K341" s="73" t="str">
        <f t="shared" si="11"/>
        <v>2026</v>
      </c>
      <c r="L341" s="73" t="str">
        <f t="shared" si="12"/>
        <v>04</v>
      </c>
      <c r="M341" s="73" t="str">
        <f t="shared" si="13"/>
        <v>14</v>
      </c>
      <c r="N341" s="73" t="str">
        <f t="shared" si="14"/>
        <v>19:01:18</v>
      </c>
    </row>
    <row r="342" spans="1:14" ht="22.5" hidden="1" customHeight="1">
      <c r="A342" s="70" t="s">
        <v>2625</v>
      </c>
      <c r="B342" s="70" t="s">
        <v>2626</v>
      </c>
      <c r="C342" s="70" t="s">
        <v>2627</v>
      </c>
      <c r="D342" s="70" t="s">
        <v>2628</v>
      </c>
      <c r="E342" s="71">
        <f t="shared" ref="E342:E343" si="19">-VALUE(SUBSTITUTE(D342, ".", ","))</f>
        <v>-16</v>
      </c>
      <c r="F342" s="75"/>
      <c r="G342" s="75"/>
      <c r="H342" s="72" t="str">
        <f t="shared" si="10"/>
        <v>-</v>
      </c>
      <c r="I342" s="75"/>
      <c r="J342" s="70" t="s">
        <v>2629</v>
      </c>
      <c r="K342" s="73" t="str">
        <f t="shared" si="11"/>
        <v>2026</v>
      </c>
      <c r="L342" s="73" t="str">
        <f t="shared" si="12"/>
        <v>04</v>
      </c>
      <c r="M342" s="73" t="str">
        <f t="shared" si="13"/>
        <v>13</v>
      </c>
      <c r="N342" s="73" t="str">
        <f t="shared" si="14"/>
        <v>21:14:14</v>
      </c>
    </row>
    <row r="343" spans="1:14" ht="22.5" hidden="1" customHeight="1">
      <c r="A343" s="70" t="s">
        <v>2630</v>
      </c>
      <c r="B343" s="70" t="s">
        <v>2631</v>
      </c>
      <c r="C343" s="70" t="s">
        <v>2632</v>
      </c>
      <c r="D343" s="70" t="s">
        <v>2633</v>
      </c>
      <c r="E343" s="71">
        <f t="shared" si="19"/>
        <v>-12.4</v>
      </c>
      <c r="F343" s="75"/>
      <c r="G343" s="75"/>
      <c r="H343" s="72" t="str">
        <f t="shared" si="10"/>
        <v>-</v>
      </c>
      <c r="I343" s="70" t="s">
        <v>2634</v>
      </c>
      <c r="J343" s="70" t="s">
        <v>2635</v>
      </c>
      <c r="K343" s="73" t="str">
        <f t="shared" si="11"/>
        <v>2026</v>
      </c>
      <c r="L343" s="73" t="str">
        <f t="shared" si="12"/>
        <v>04</v>
      </c>
      <c r="M343" s="73" t="str">
        <f t="shared" si="13"/>
        <v>10</v>
      </c>
      <c r="N343" s="73" t="str">
        <f t="shared" si="14"/>
        <v>00:34:52</v>
      </c>
    </row>
    <row r="344" spans="1:14" ht="22.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6"/>
      <c r="L344" s="96"/>
      <c r="M344" s="96"/>
      <c r="N344" s="96"/>
    </row>
    <row r="345" spans="1:14" ht="22.5" customHeight="1">
      <c r="A345" s="95"/>
      <c r="B345" s="95"/>
      <c r="C345" s="95"/>
      <c r="D345" s="95"/>
      <c r="E345" s="95">
        <f>SUBTOTAL(109,E2:E343)</f>
        <v>8751.5</v>
      </c>
      <c r="F345" s="95"/>
      <c r="G345" s="95"/>
      <c r="H345" s="95"/>
      <c r="I345" s="95"/>
      <c r="J345" s="95"/>
      <c r="K345" s="96"/>
      <c r="L345" s="96"/>
      <c r="M345" s="96"/>
      <c r="N345" s="96"/>
    </row>
    <row r="346" spans="1:14" ht="22.5" customHeight="1">
      <c r="B346" s="38" t="s">
        <v>2636</v>
      </c>
      <c r="C346" s="38" t="s">
        <v>2637</v>
      </c>
    </row>
    <row r="347" spans="1:14" ht="22.5" customHeight="1">
      <c r="C347" s="38" t="s">
        <v>2638</v>
      </c>
    </row>
    <row r="348" spans="1:14" ht="22.5" customHeight="1">
      <c r="C348" s="38" t="s">
        <v>2639</v>
      </c>
    </row>
    <row r="349" spans="1:14" ht="22.5" customHeight="1">
      <c r="C349" s="38" t="s">
        <v>2640</v>
      </c>
    </row>
    <row r="350" spans="1:14" ht="22.5" customHeight="1"/>
    <row r="351" spans="1:14" ht="22.5" customHeight="1"/>
    <row r="352" spans="1:14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53.2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</sheetData>
  <autoFilter ref="A1:N343" xr:uid="{00000000-0009-0000-0000-000004000000}">
    <filterColumn colId="0">
      <filters>
        <filter val="TE PAGÓ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U123"/>
  <sheetViews>
    <sheetView workbookViewId="0"/>
  </sheetViews>
  <sheetFormatPr baseColWidth="10" defaultColWidth="14.453125" defaultRowHeight="15" customHeight="1"/>
  <cols>
    <col min="6" max="6" width="37.7265625" customWidth="1"/>
    <col min="7" max="7" width="34.54296875" customWidth="1"/>
    <col min="13" max="13" width="36.7265625" customWidth="1"/>
  </cols>
  <sheetData>
    <row r="1" spans="1:16" ht="22.5" customHeight="1">
      <c r="A1" s="97" t="s">
        <v>2641</v>
      </c>
      <c r="B1" s="97" t="s">
        <v>2642</v>
      </c>
      <c r="C1" s="97" t="s">
        <v>2643</v>
      </c>
      <c r="D1" s="97" t="s">
        <v>657</v>
      </c>
      <c r="E1" s="97" t="s">
        <v>2644</v>
      </c>
      <c r="F1" s="97" t="s">
        <v>25</v>
      </c>
      <c r="G1" s="97" t="s">
        <v>23</v>
      </c>
      <c r="I1" s="97" t="s">
        <v>2641</v>
      </c>
      <c r="J1" s="97" t="s">
        <v>2642</v>
      </c>
      <c r="K1" s="97" t="s">
        <v>2643</v>
      </c>
      <c r="L1" s="97" t="s">
        <v>2645</v>
      </c>
      <c r="M1" s="97" t="s">
        <v>25</v>
      </c>
    </row>
    <row r="2" spans="1:16" ht="22.5" hidden="1" customHeight="1">
      <c r="A2" s="98" t="s">
        <v>78</v>
      </c>
      <c r="B2" s="99">
        <v>2</v>
      </c>
      <c r="C2" s="99">
        <v>58</v>
      </c>
      <c r="D2" s="100" t="str">
        <f t="shared" ref="D2:D55" si="0">TRIM(UPPER(A2)) &amp; "-" &amp; TRIM(UPPER(B2))</f>
        <v>N-2</v>
      </c>
      <c r="E2" s="100" t="str">
        <f t="shared" ref="E2:E55" si="1">TRIM(UPPER(A2)) &amp; "-" &amp; TRIM(UPPER(B2) &amp; "-" &amp; TEXT(C2, "0"))</f>
        <v>N-2-58</v>
      </c>
      <c r="F2" s="101" t="s">
        <v>2646</v>
      </c>
      <c r="G2" s="102">
        <v>46144</v>
      </c>
      <c r="I2" s="98" t="s">
        <v>78</v>
      </c>
      <c r="J2" s="99">
        <v>2</v>
      </c>
      <c r="K2" s="99">
        <v>58</v>
      </c>
      <c r="L2" s="101" t="str">
        <f t="shared" ref="L2:L121" si="2">TRIM(UPPER(I2)) &amp; "-" &amp; TRIM(UPPER(J2) &amp; "-" &amp; TEXT(K2, "0"))</f>
        <v>N-2-58</v>
      </c>
      <c r="M2" s="101"/>
    </row>
    <row r="3" spans="1:16" ht="22.5" hidden="1" customHeight="1">
      <c r="A3" s="98" t="s">
        <v>78</v>
      </c>
      <c r="B3" s="99">
        <v>4</v>
      </c>
      <c r="C3" s="99">
        <v>8</v>
      </c>
      <c r="D3" s="100" t="str">
        <f t="shared" si="0"/>
        <v>N-4</v>
      </c>
      <c r="E3" s="100" t="str">
        <f t="shared" si="1"/>
        <v>N-4-8</v>
      </c>
      <c r="F3" s="101"/>
      <c r="G3" s="102">
        <v>46144</v>
      </c>
      <c r="I3" s="98" t="s">
        <v>78</v>
      </c>
      <c r="J3" s="99">
        <v>4</v>
      </c>
      <c r="K3" s="99">
        <v>8</v>
      </c>
      <c r="L3" s="101" t="str">
        <f t="shared" si="2"/>
        <v>N-4-8</v>
      </c>
      <c r="M3" s="101"/>
    </row>
    <row r="4" spans="1:16" ht="22.5" hidden="1" customHeight="1">
      <c r="A4" s="98" t="s">
        <v>327</v>
      </c>
      <c r="B4" s="99">
        <v>26</v>
      </c>
      <c r="C4" s="99">
        <v>33</v>
      </c>
      <c r="D4" s="100" t="str">
        <f t="shared" si="0"/>
        <v>O-26</v>
      </c>
      <c r="E4" s="100" t="str">
        <f t="shared" si="1"/>
        <v>O-26-33</v>
      </c>
      <c r="F4" s="101"/>
      <c r="G4" s="102">
        <v>46144</v>
      </c>
      <c r="I4" s="98" t="s">
        <v>327</v>
      </c>
      <c r="J4" s="99">
        <v>26</v>
      </c>
      <c r="K4" s="99">
        <v>33</v>
      </c>
      <c r="L4" s="101" t="str">
        <f t="shared" si="2"/>
        <v>O-26-33</v>
      </c>
      <c r="M4" s="101"/>
    </row>
    <row r="5" spans="1:16" ht="22.5" hidden="1" customHeight="1">
      <c r="A5" s="98" t="s">
        <v>492</v>
      </c>
      <c r="B5" s="99">
        <v>3</v>
      </c>
      <c r="C5" s="99">
        <v>20</v>
      </c>
      <c r="D5" s="100" t="str">
        <f t="shared" si="0"/>
        <v>Y-3</v>
      </c>
      <c r="E5" s="100" t="str">
        <f t="shared" si="1"/>
        <v>Y-3-20</v>
      </c>
      <c r="F5" s="101"/>
      <c r="G5" s="102">
        <v>46144</v>
      </c>
      <c r="I5" s="98" t="s">
        <v>492</v>
      </c>
      <c r="J5" s="99">
        <v>3</v>
      </c>
      <c r="K5" s="99">
        <v>20</v>
      </c>
      <c r="L5" s="101" t="str">
        <f t="shared" si="2"/>
        <v>Y-3-20</v>
      </c>
      <c r="M5" s="101"/>
      <c r="N5" s="40"/>
      <c r="O5" s="40">
        <f>SUM(K2:K5)</f>
        <v>119</v>
      </c>
      <c r="P5" s="38" t="s">
        <v>2647</v>
      </c>
    </row>
    <row r="6" spans="1:16" ht="22.5" hidden="1" customHeight="1">
      <c r="A6" s="98" t="s">
        <v>532</v>
      </c>
      <c r="B6" s="99">
        <v>1</v>
      </c>
      <c r="C6" s="99">
        <v>12</v>
      </c>
      <c r="D6" s="100" t="str">
        <f t="shared" si="0"/>
        <v>B1-1</v>
      </c>
      <c r="E6" s="100" t="str">
        <f t="shared" si="1"/>
        <v>B1-1-12</v>
      </c>
      <c r="F6" s="101" t="s">
        <v>2648</v>
      </c>
      <c r="G6" s="102">
        <v>46144</v>
      </c>
      <c r="I6" s="98" t="s">
        <v>532</v>
      </c>
      <c r="J6" s="99">
        <v>1</v>
      </c>
      <c r="K6" s="99">
        <v>12</v>
      </c>
      <c r="L6" s="101" t="str">
        <f t="shared" si="2"/>
        <v>B1-1-12</v>
      </c>
      <c r="M6" s="101" t="s">
        <v>2649</v>
      </c>
    </row>
    <row r="7" spans="1:16" ht="22.5" hidden="1" customHeight="1">
      <c r="A7" s="98" t="s">
        <v>177</v>
      </c>
      <c r="B7" s="99">
        <v>11</v>
      </c>
      <c r="C7" s="99">
        <v>44</v>
      </c>
      <c r="D7" s="100" t="str">
        <f t="shared" si="0"/>
        <v>G-11</v>
      </c>
      <c r="E7" s="100" t="str">
        <f t="shared" si="1"/>
        <v>G-11-44</v>
      </c>
      <c r="F7" s="101"/>
      <c r="G7" s="102">
        <v>46144</v>
      </c>
      <c r="I7" s="98" t="s">
        <v>177</v>
      </c>
      <c r="J7" s="99">
        <v>11</v>
      </c>
      <c r="K7" s="99">
        <v>44</v>
      </c>
      <c r="L7" s="101" t="str">
        <f t="shared" si="2"/>
        <v>G-11-44</v>
      </c>
      <c r="M7" s="101"/>
    </row>
    <row r="8" spans="1:16" ht="22.5" hidden="1" customHeight="1">
      <c r="A8" s="98" t="s">
        <v>327</v>
      </c>
      <c r="B8" s="99">
        <v>28</v>
      </c>
      <c r="C8" s="99">
        <v>8</v>
      </c>
      <c r="D8" s="100" t="str">
        <f t="shared" si="0"/>
        <v>O-28</v>
      </c>
      <c r="E8" s="100" t="str">
        <f t="shared" si="1"/>
        <v>O-28-8</v>
      </c>
      <c r="F8" s="101" t="s">
        <v>2650</v>
      </c>
      <c r="G8" s="102">
        <v>46144</v>
      </c>
      <c r="I8" s="98" t="s">
        <v>327</v>
      </c>
      <c r="J8" s="99">
        <v>28</v>
      </c>
      <c r="K8" s="99">
        <v>8</v>
      </c>
      <c r="L8" s="101" t="str">
        <f t="shared" si="2"/>
        <v>O-28-8</v>
      </c>
      <c r="M8" s="101" t="s">
        <v>2651</v>
      </c>
    </row>
    <row r="9" spans="1:16" ht="22.5" hidden="1" customHeight="1">
      <c r="A9" s="98" t="s">
        <v>327</v>
      </c>
      <c r="B9" s="99">
        <v>5</v>
      </c>
      <c r="C9" s="99">
        <v>8</v>
      </c>
      <c r="D9" s="100" t="str">
        <f t="shared" si="0"/>
        <v>O-5</v>
      </c>
      <c r="E9" s="100" t="str">
        <f t="shared" si="1"/>
        <v>O-5-8</v>
      </c>
      <c r="F9" s="101"/>
      <c r="G9" s="102">
        <v>46144</v>
      </c>
      <c r="I9" s="98" t="s">
        <v>327</v>
      </c>
      <c r="J9" s="99">
        <v>5</v>
      </c>
      <c r="K9" s="99">
        <v>8</v>
      </c>
      <c r="L9" s="101" t="str">
        <f t="shared" si="2"/>
        <v>O-5-8</v>
      </c>
      <c r="M9" s="101"/>
    </row>
    <row r="10" spans="1:16" ht="22.5" hidden="1" customHeight="1">
      <c r="A10" s="98" t="s">
        <v>53</v>
      </c>
      <c r="B10" s="99">
        <v>2</v>
      </c>
      <c r="C10" s="99">
        <v>38</v>
      </c>
      <c r="D10" s="100" t="str">
        <f t="shared" si="0"/>
        <v>B-2</v>
      </c>
      <c r="E10" s="100" t="str">
        <f t="shared" si="1"/>
        <v>B-2-38</v>
      </c>
      <c r="F10" s="101"/>
      <c r="G10" s="102">
        <v>46144</v>
      </c>
      <c r="I10" s="98" t="s">
        <v>53</v>
      </c>
      <c r="J10" s="99">
        <v>2</v>
      </c>
      <c r="K10" s="99">
        <v>38</v>
      </c>
      <c r="L10" s="101" t="str">
        <f t="shared" si="2"/>
        <v>B-2-38</v>
      </c>
      <c r="M10" s="101"/>
    </row>
    <row r="11" spans="1:16" ht="22.5" hidden="1" customHeight="1">
      <c r="A11" s="98" t="s">
        <v>53</v>
      </c>
      <c r="B11" s="99">
        <v>3</v>
      </c>
      <c r="C11" s="99">
        <v>12</v>
      </c>
      <c r="D11" s="100" t="str">
        <f t="shared" si="0"/>
        <v>B-3</v>
      </c>
      <c r="E11" s="100" t="str">
        <f t="shared" si="1"/>
        <v>B-3-12</v>
      </c>
      <c r="F11" s="101"/>
      <c r="G11" s="102">
        <v>46144</v>
      </c>
      <c r="I11" s="98" t="s">
        <v>53</v>
      </c>
      <c r="J11" s="99">
        <v>3</v>
      </c>
      <c r="K11" s="99">
        <v>12</v>
      </c>
      <c r="L11" s="101" t="str">
        <f t="shared" si="2"/>
        <v>B-3-12</v>
      </c>
      <c r="M11" s="101"/>
    </row>
    <row r="12" spans="1:16" ht="22.5" hidden="1" customHeight="1">
      <c r="A12" s="98" t="s">
        <v>80</v>
      </c>
      <c r="B12" s="99">
        <v>4</v>
      </c>
      <c r="C12" s="99">
        <v>38</v>
      </c>
      <c r="D12" s="100" t="str">
        <f t="shared" si="0"/>
        <v>C-4</v>
      </c>
      <c r="E12" s="100" t="str">
        <f t="shared" si="1"/>
        <v>C-4-38</v>
      </c>
      <c r="F12" s="101"/>
      <c r="G12" s="102">
        <v>46144</v>
      </c>
      <c r="I12" s="98" t="s">
        <v>80</v>
      </c>
      <c r="J12" s="99">
        <v>4</v>
      </c>
      <c r="K12" s="99">
        <v>38</v>
      </c>
      <c r="L12" s="101" t="str">
        <f t="shared" si="2"/>
        <v>C-4-38</v>
      </c>
      <c r="M12" s="101"/>
    </row>
    <row r="13" spans="1:16" ht="22.5" hidden="1" customHeight="1">
      <c r="A13" s="98" t="s">
        <v>78</v>
      </c>
      <c r="B13" s="99">
        <v>3</v>
      </c>
      <c r="C13" s="99">
        <v>20</v>
      </c>
      <c r="D13" s="100" t="str">
        <f t="shared" si="0"/>
        <v>N-3</v>
      </c>
      <c r="E13" s="100" t="str">
        <f t="shared" si="1"/>
        <v>N-3-20</v>
      </c>
      <c r="F13" s="101"/>
      <c r="G13" s="102">
        <v>46144</v>
      </c>
      <c r="I13" s="98" t="s">
        <v>78</v>
      </c>
      <c r="J13" s="99">
        <v>3</v>
      </c>
      <c r="K13" s="99">
        <v>20</v>
      </c>
      <c r="L13" s="101" t="str">
        <f t="shared" si="2"/>
        <v>N-3-20</v>
      </c>
      <c r="M13" s="101"/>
    </row>
    <row r="14" spans="1:16" ht="22.5" hidden="1" customHeight="1">
      <c r="A14" s="98" t="s">
        <v>177</v>
      </c>
      <c r="B14" s="99">
        <v>20</v>
      </c>
      <c r="C14" s="99">
        <v>50</v>
      </c>
      <c r="D14" s="100" t="str">
        <f t="shared" si="0"/>
        <v>G-20</v>
      </c>
      <c r="E14" s="100" t="str">
        <f t="shared" si="1"/>
        <v>G-20-50</v>
      </c>
      <c r="F14" s="101"/>
      <c r="G14" s="102">
        <v>46144</v>
      </c>
      <c r="I14" s="98" t="s">
        <v>177</v>
      </c>
      <c r="J14" s="99">
        <v>20</v>
      </c>
      <c r="K14" s="99">
        <v>50</v>
      </c>
      <c r="L14" s="101" t="str">
        <f t="shared" si="2"/>
        <v>G-20-50</v>
      </c>
      <c r="M14" s="101"/>
    </row>
    <row r="15" spans="1:16" ht="22.5" hidden="1" customHeight="1">
      <c r="A15" s="98" t="s">
        <v>378</v>
      </c>
      <c r="B15" s="99">
        <v>1</v>
      </c>
      <c r="C15" s="99">
        <v>12</v>
      </c>
      <c r="D15" s="100" t="str">
        <f t="shared" si="0"/>
        <v>Q-1</v>
      </c>
      <c r="E15" s="100" t="str">
        <f t="shared" si="1"/>
        <v>Q-1-12</v>
      </c>
      <c r="F15" s="101"/>
      <c r="G15" s="102">
        <v>46144</v>
      </c>
      <c r="I15" s="98" t="s">
        <v>378</v>
      </c>
      <c r="J15" s="99">
        <v>1</v>
      </c>
      <c r="K15" s="99">
        <v>12</v>
      </c>
      <c r="L15" s="101" t="str">
        <f t="shared" si="2"/>
        <v>Q-1-12</v>
      </c>
      <c r="M15" s="101"/>
    </row>
    <row r="16" spans="1:16" ht="22.5" hidden="1" customHeight="1">
      <c r="A16" s="98" t="s">
        <v>434</v>
      </c>
      <c r="B16" s="99">
        <v>2</v>
      </c>
      <c r="C16" s="99">
        <v>9</v>
      </c>
      <c r="D16" s="100" t="str">
        <f t="shared" si="0"/>
        <v>U-2</v>
      </c>
      <c r="E16" s="100" t="str">
        <f t="shared" si="1"/>
        <v>U-2-9</v>
      </c>
      <c r="F16" s="101" t="s">
        <v>2652</v>
      </c>
      <c r="G16" s="102">
        <v>46144</v>
      </c>
      <c r="I16" s="98" t="s">
        <v>434</v>
      </c>
      <c r="J16" s="99">
        <v>2</v>
      </c>
      <c r="K16" s="99">
        <v>9</v>
      </c>
      <c r="L16" s="101" t="str">
        <f t="shared" si="2"/>
        <v>U-2-9</v>
      </c>
      <c r="M16" s="101" t="s">
        <v>2653</v>
      </c>
    </row>
    <row r="17" spans="1:16" ht="22.5" hidden="1" customHeight="1">
      <c r="A17" s="98" t="s">
        <v>251</v>
      </c>
      <c r="B17" s="99">
        <v>8</v>
      </c>
      <c r="C17" s="99">
        <v>42</v>
      </c>
      <c r="D17" s="100" t="str">
        <f t="shared" si="0"/>
        <v>J-8</v>
      </c>
      <c r="E17" s="100" t="str">
        <f t="shared" si="1"/>
        <v>J-8-42</v>
      </c>
      <c r="F17" s="101"/>
      <c r="G17" s="102">
        <v>46144</v>
      </c>
      <c r="I17" s="98" t="s">
        <v>251</v>
      </c>
      <c r="J17" s="99">
        <v>8</v>
      </c>
      <c r="K17" s="99">
        <v>42</v>
      </c>
      <c r="L17" s="101" t="str">
        <f t="shared" si="2"/>
        <v>J-8-42</v>
      </c>
      <c r="M17" s="101"/>
    </row>
    <row r="18" spans="1:16" ht="22.5" hidden="1" customHeight="1">
      <c r="A18" s="98" t="s">
        <v>357</v>
      </c>
      <c r="B18" s="99">
        <v>13</v>
      </c>
      <c r="C18" s="99">
        <v>10</v>
      </c>
      <c r="D18" s="100" t="str">
        <f t="shared" si="0"/>
        <v>P-13</v>
      </c>
      <c r="E18" s="100" t="str">
        <f t="shared" si="1"/>
        <v>P-13-10</v>
      </c>
      <c r="F18" s="101"/>
      <c r="G18" s="102">
        <v>46144</v>
      </c>
      <c r="I18" s="98" t="s">
        <v>357</v>
      </c>
      <c r="J18" s="99">
        <v>13</v>
      </c>
      <c r="K18" s="99">
        <v>10</v>
      </c>
      <c r="L18" s="101" t="str">
        <f t="shared" si="2"/>
        <v>P-13-10</v>
      </c>
      <c r="M18" s="101"/>
    </row>
    <row r="19" spans="1:16" ht="22.5" hidden="1" customHeight="1">
      <c r="A19" s="98" t="s">
        <v>251</v>
      </c>
      <c r="B19" s="99">
        <v>9</v>
      </c>
      <c r="C19" s="99">
        <v>41</v>
      </c>
      <c r="D19" s="100" t="str">
        <f t="shared" si="0"/>
        <v>J-9</v>
      </c>
      <c r="E19" s="100" t="str">
        <f t="shared" si="1"/>
        <v>J-9-41</v>
      </c>
      <c r="F19" s="101"/>
      <c r="G19" s="102">
        <v>46144</v>
      </c>
      <c r="I19" s="98" t="s">
        <v>251</v>
      </c>
      <c r="J19" s="99">
        <v>9</v>
      </c>
      <c r="K19" s="99">
        <v>41</v>
      </c>
      <c r="L19" s="101" t="str">
        <f t="shared" si="2"/>
        <v>J-9-41</v>
      </c>
      <c r="M19" s="101"/>
    </row>
    <row r="20" spans="1:16" ht="22.5" hidden="1" customHeight="1">
      <c r="A20" s="98" t="s">
        <v>80</v>
      </c>
      <c r="B20" s="99">
        <v>37</v>
      </c>
      <c r="C20" s="99">
        <v>11</v>
      </c>
      <c r="D20" s="100" t="str">
        <f t="shared" si="0"/>
        <v>C-37</v>
      </c>
      <c r="E20" s="100" t="str">
        <f t="shared" si="1"/>
        <v>C-37-11</v>
      </c>
      <c r="F20" s="101"/>
      <c r="G20" s="102">
        <v>46144</v>
      </c>
      <c r="I20" s="98" t="s">
        <v>80</v>
      </c>
      <c r="J20" s="99">
        <v>37</v>
      </c>
      <c r="K20" s="99">
        <v>11</v>
      </c>
      <c r="L20" s="101" t="str">
        <f t="shared" si="2"/>
        <v>C-37-11</v>
      </c>
      <c r="M20" s="101"/>
    </row>
    <row r="21" spans="1:16" ht="22.5" hidden="1" customHeight="1">
      <c r="A21" s="98" t="s">
        <v>299</v>
      </c>
      <c r="B21" s="99">
        <v>4</v>
      </c>
      <c r="C21" s="99">
        <v>12</v>
      </c>
      <c r="D21" s="100" t="str">
        <f t="shared" si="0"/>
        <v>M-4</v>
      </c>
      <c r="E21" s="100" t="str">
        <f t="shared" si="1"/>
        <v>M-4-12</v>
      </c>
      <c r="F21" s="101" t="s">
        <v>2654</v>
      </c>
      <c r="G21" s="102">
        <v>46144</v>
      </c>
      <c r="I21" s="98" t="s">
        <v>299</v>
      </c>
      <c r="J21" s="99">
        <v>4</v>
      </c>
      <c r="K21" s="99">
        <v>12</v>
      </c>
      <c r="L21" s="101" t="str">
        <f t="shared" si="2"/>
        <v>M-4-12</v>
      </c>
      <c r="M21" s="101" t="s">
        <v>2655</v>
      </c>
    </row>
    <row r="22" spans="1:16" ht="22.5" hidden="1" customHeight="1">
      <c r="A22" s="98" t="s">
        <v>205</v>
      </c>
      <c r="B22" s="99">
        <v>11</v>
      </c>
      <c r="C22" s="99">
        <v>33</v>
      </c>
      <c r="D22" s="100" t="str">
        <f t="shared" si="0"/>
        <v>H-11</v>
      </c>
      <c r="E22" s="100" t="str">
        <f t="shared" si="1"/>
        <v>H-11-33</v>
      </c>
      <c r="F22" s="101" t="s">
        <v>2654</v>
      </c>
      <c r="G22" s="102">
        <v>46144</v>
      </c>
      <c r="I22" s="98" t="s">
        <v>205</v>
      </c>
      <c r="J22" s="99">
        <v>11</v>
      </c>
      <c r="K22" s="99">
        <v>33</v>
      </c>
      <c r="L22" s="101" t="str">
        <f t="shared" si="2"/>
        <v>H-11-33</v>
      </c>
      <c r="M22" s="101" t="s">
        <v>2656</v>
      </c>
    </row>
    <row r="23" spans="1:16" ht="22.5" hidden="1" customHeight="1">
      <c r="A23" s="98" t="s">
        <v>378</v>
      </c>
      <c r="B23" s="99">
        <v>8</v>
      </c>
      <c r="C23" s="99">
        <v>70</v>
      </c>
      <c r="D23" s="100" t="str">
        <f t="shared" si="0"/>
        <v>Q-8</v>
      </c>
      <c r="E23" s="100" t="str">
        <f t="shared" si="1"/>
        <v>Q-8-70</v>
      </c>
      <c r="F23" s="101"/>
      <c r="G23" s="102">
        <v>46144</v>
      </c>
      <c r="I23" s="98" t="s">
        <v>378</v>
      </c>
      <c r="J23" s="99">
        <v>8</v>
      </c>
      <c r="K23" s="99">
        <v>70</v>
      </c>
      <c r="L23" s="101" t="str">
        <f t="shared" si="2"/>
        <v>Q-8-70</v>
      </c>
      <c r="M23" s="101" t="s">
        <v>2657</v>
      </c>
    </row>
    <row r="24" spans="1:16" ht="22.5" hidden="1" customHeight="1">
      <c r="A24" s="98" t="s">
        <v>177</v>
      </c>
      <c r="B24" s="99">
        <v>19</v>
      </c>
      <c r="C24" s="99">
        <v>50</v>
      </c>
      <c r="D24" s="100" t="str">
        <f t="shared" si="0"/>
        <v>G-19</v>
      </c>
      <c r="E24" s="100" t="str">
        <f t="shared" si="1"/>
        <v>G-19-50</v>
      </c>
      <c r="F24" s="101"/>
      <c r="G24" s="102">
        <v>46144</v>
      </c>
      <c r="I24" s="98" t="s">
        <v>177</v>
      </c>
      <c r="J24" s="99">
        <v>19</v>
      </c>
      <c r="K24" s="99">
        <v>50</v>
      </c>
      <c r="L24" s="101" t="str">
        <f t="shared" si="2"/>
        <v>G-19-50</v>
      </c>
      <c r="M24" s="101"/>
    </row>
    <row r="25" spans="1:16" ht="22.5" hidden="1" customHeight="1">
      <c r="A25" s="98" t="s">
        <v>473</v>
      </c>
      <c r="B25" s="99">
        <v>13</v>
      </c>
      <c r="C25" s="99">
        <v>11</v>
      </c>
      <c r="D25" s="100" t="str">
        <f t="shared" si="0"/>
        <v>X-13</v>
      </c>
      <c r="E25" s="100" t="str">
        <f t="shared" si="1"/>
        <v>X-13-11</v>
      </c>
      <c r="F25" s="101" t="s">
        <v>2658</v>
      </c>
      <c r="G25" s="102">
        <v>46144</v>
      </c>
      <c r="I25" s="98" t="s">
        <v>473</v>
      </c>
      <c r="J25" s="99">
        <v>13</v>
      </c>
      <c r="K25" s="99">
        <v>11</v>
      </c>
      <c r="L25" s="101" t="str">
        <f t="shared" si="2"/>
        <v>X-13-11</v>
      </c>
      <c r="M25" s="101" t="s">
        <v>2659</v>
      </c>
    </row>
    <row r="26" spans="1:16" ht="22.5" hidden="1" customHeight="1">
      <c r="A26" s="98" t="s">
        <v>284</v>
      </c>
      <c r="B26" s="99">
        <v>12</v>
      </c>
      <c r="C26" s="99">
        <v>31</v>
      </c>
      <c r="D26" s="100" t="str">
        <f t="shared" si="0"/>
        <v>L-12</v>
      </c>
      <c r="E26" s="100" t="str">
        <f t="shared" si="1"/>
        <v>L-12-31</v>
      </c>
      <c r="F26" s="101"/>
      <c r="G26" s="102">
        <v>46144</v>
      </c>
      <c r="I26" s="98" t="s">
        <v>284</v>
      </c>
      <c r="J26" s="99">
        <v>12</v>
      </c>
      <c r="K26" s="99">
        <v>31</v>
      </c>
      <c r="L26" s="101" t="str">
        <f t="shared" si="2"/>
        <v>L-12-31</v>
      </c>
      <c r="M26" s="101" t="s">
        <v>2660</v>
      </c>
    </row>
    <row r="27" spans="1:16" ht="22.5" hidden="1" customHeight="1">
      <c r="A27" s="98" t="s">
        <v>327</v>
      </c>
      <c r="B27" s="99">
        <v>17</v>
      </c>
      <c r="C27" s="99">
        <v>33</v>
      </c>
      <c r="D27" s="100" t="str">
        <f t="shared" si="0"/>
        <v>O-17</v>
      </c>
      <c r="E27" s="100" t="str">
        <f t="shared" si="1"/>
        <v>O-17-33</v>
      </c>
      <c r="F27" s="101"/>
      <c r="G27" s="102">
        <v>46144</v>
      </c>
      <c r="I27" s="98" t="s">
        <v>327</v>
      </c>
      <c r="J27" s="99">
        <v>17</v>
      </c>
      <c r="K27" s="99">
        <v>33</v>
      </c>
      <c r="L27" s="101" t="str">
        <f t="shared" si="2"/>
        <v>O-17-33</v>
      </c>
      <c r="M27" s="101"/>
    </row>
    <row r="28" spans="1:16" ht="22.5" hidden="1" customHeight="1">
      <c r="A28" s="98" t="s">
        <v>205</v>
      </c>
      <c r="B28" s="99">
        <v>2</v>
      </c>
      <c r="C28" s="99">
        <v>24</v>
      </c>
      <c r="D28" s="100" t="str">
        <f t="shared" si="0"/>
        <v>H-2</v>
      </c>
      <c r="E28" s="100" t="str">
        <f t="shared" si="1"/>
        <v>H-2-24</v>
      </c>
      <c r="F28" s="101" t="s">
        <v>2661</v>
      </c>
      <c r="G28" s="102">
        <v>46144</v>
      </c>
      <c r="I28" s="98" t="s">
        <v>205</v>
      </c>
      <c r="J28" s="99">
        <v>2</v>
      </c>
      <c r="K28" s="99">
        <v>24</v>
      </c>
      <c r="L28" s="101" t="str">
        <f t="shared" si="2"/>
        <v>H-2-24</v>
      </c>
      <c r="M28" s="101"/>
    </row>
    <row r="29" spans="1:16" ht="22.5" hidden="1" customHeight="1">
      <c r="A29" s="98" t="s">
        <v>205</v>
      </c>
      <c r="B29" s="99">
        <v>3</v>
      </c>
      <c r="C29" s="99">
        <v>28</v>
      </c>
      <c r="D29" s="100" t="str">
        <f t="shared" si="0"/>
        <v>H-3</v>
      </c>
      <c r="E29" s="100" t="str">
        <f t="shared" si="1"/>
        <v>H-3-28</v>
      </c>
      <c r="F29" s="101"/>
      <c r="G29" s="102">
        <v>46144</v>
      </c>
      <c r="I29" s="98" t="s">
        <v>205</v>
      </c>
      <c r="J29" s="99">
        <v>3</v>
      </c>
      <c r="K29" s="99">
        <v>28</v>
      </c>
      <c r="L29" s="101" t="str">
        <f t="shared" si="2"/>
        <v>H-3-28</v>
      </c>
      <c r="M29" s="101"/>
    </row>
    <row r="30" spans="1:16" ht="22.5" hidden="1" customHeight="1">
      <c r="A30" s="98" t="s">
        <v>80</v>
      </c>
      <c r="B30" s="99">
        <v>23</v>
      </c>
      <c r="C30" s="99">
        <v>27</v>
      </c>
      <c r="D30" s="100" t="str">
        <f t="shared" si="0"/>
        <v>C-23</v>
      </c>
      <c r="E30" s="100" t="str">
        <f t="shared" si="1"/>
        <v>C-23-27</v>
      </c>
      <c r="F30" s="101"/>
      <c r="G30" s="102">
        <v>46144</v>
      </c>
      <c r="I30" s="98" t="s">
        <v>80</v>
      </c>
      <c r="J30" s="99">
        <v>23</v>
      </c>
      <c r="K30" s="99">
        <v>27</v>
      </c>
      <c r="L30" s="101" t="str">
        <f t="shared" si="2"/>
        <v>C-23-27</v>
      </c>
      <c r="M30" s="101"/>
      <c r="P30" s="38" t="s">
        <v>2662</v>
      </c>
    </row>
    <row r="31" spans="1:16" ht="22.5" hidden="1" customHeight="1">
      <c r="A31" s="98" t="s">
        <v>401</v>
      </c>
      <c r="B31" s="99">
        <v>13</v>
      </c>
      <c r="C31" s="99">
        <v>25</v>
      </c>
      <c r="D31" s="100" t="str">
        <f t="shared" si="0"/>
        <v>S-13</v>
      </c>
      <c r="E31" s="100" t="str">
        <f t="shared" si="1"/>
        <v>S-13-25</v>
      </c>
      <c r="F31" s="101"/>
      <c r="G31" s="102">
        <v>46144</v>
      </c>
      <c r="I31" s="98" t="s">
        <v>401</v>
      </c>
      <c r="J31" s="99">
        <v>13</v>
      </c>
      <c r="K31" s="99">
        <v>25</v>
      </c>
      <c r="L31" s="101" t="str">
        <f t="shared" si="2"/>
        <v>S-13-25</v>
      </c>
      <c r="M31" s="101"/>
    </row>
    <row r="32" spans="1:16" ht="22.5" hidden="1" customHeight="1">
      <c r="A32" s="98" t="s">
        <v>458</v>
      </c>
      <c r="B32" s="99">
        <v>9</v>
      </c>
      <c r="C32" s="99">
        <v>8</v>
      </c>
      <c r="D32" s="100" t="str">
        <f t="shared" si="0"/>
        <v>W-9</v>
      </c>
      <c r="E32" s="100" t="str">
        <f t="shared" si="1"/>
        <v>W-9-8</v>
      </c>
      <c r="F32" s="101"/>
      <c r="G32" s="102">
        <v>46144</v>
      </c>
      <c r="I32" s="98" t="s">
        <v>458</v>
      </c>
      <c r="J32" s="99">
        <v>9</v>
      </c>
      <c r="K32" s="99">
        <v>8</v>
      </c>
      <c r="L32" s="101" t="str">
        <f t="shared" si="2"/>
        <v>W-9-8</v>
      </c>
      <c r="M32" s="101"/>
    </row>
    <row r="33" spans="1:13" ht="22.5" hidden="1" customHeight="1">
      <c r="A33" s="98" t="s">
        <v>401</v>
      </c>
      <c r="B33" s="99">
        <v>7</v>
      </c>
      <c r="C33" s="99">
        <v>8</v>
      </c>
      <c r="D33" s="100" t="str">
        <f t="shared" si="0"/>
        <v>S-7</v>
      </c>
      <c r="E33" s="100" t="str">
        <f t="shared" si="1"/>
        <v>S-7-8</v>
      </c>
      <c r="F33" s="101"/>
      <c r="G33" s="102">
        <v>46144</v>
      </c>
      <c r="I33" s="98" t="s">
        <v>401</v>
      </c>
      <c r="J33" s="99">
        <v>7</v>
      </c>
      <c r="K33" s="99">
        <v>8</v>
      </c>
      <c r="L33" s="101" t="str">
        <f t="shared" si="2"/>
        <v>S-7-8</v>
      </c>
      <c r="M33" s="101"/>
    </row>
    <row r="34" spans="1:13" ht="22.5" hidden="1" customHeight="1">
      <c r="A34" s="98" t="s">
        <v>228</v>
      </c>
      <c r="B34" s="99">
        <v>18</v>
      </c>
      <c r="C34" s="99">
        <v>20</v>
      </c>
      <c r="D34" s="100" t="str">
        <f t="shared" si="0"/>
        <v>I-18</v>
      </c>
      <c r="E34" s="100" t="str">
        <f t="shared" si="1"/>
        <v>I-18-20</v>
      </c>
      <c r="F34" s="101"/>
      <c r="G34" s="102">
        <v>46144</v>
      </c>
      <c r="I34" s="98" t="s">
        <v>228</v>
      </c>
      <c r="J34" s="99">
        <v>18</v>
      </c>
      <c r="K34" s="99">
        <v>20</v>
      </c>
      <c r="L34" s="101" t="str">
        <f t="shared" si="2"/>
        <v>I-18-20</v>
      </c>
      <c r="M34" s="101"/>
    </row>
    <row r="35" spans="1:13" ht="22.5" hidden="1" customHeight="1">
      <c r="A35" s="98" t="s">
        <v>80</v>
      </c>
      <c r="B35" s="99">
        <v>32</v>
      </c>
      <c r="C35" s="99">
        <v>33</v>
      </c>
      <c r="D35" s="100" t="str">
        <f t="shared" si="0"/>
        <v>C-32</v>
      </c>
      <c r="E35" s="100" t="str">
        <f t="shared" si="1"/>
        <v>C-32-33</v>
      </c>
      <c r="F35" s="101"/>
      <c r="G35" s="102">
        <v>46144</v>
      </c>
      <c r="I35" s="98" t="s">
        <v>80</v>
      </c>
      <c r="J35" s="99">
        <v>32</v>
      </c>
      <c r="K35" s="99">
        <v>33</v>
      </c>
      <c r="L35" s="101" t="str">
        <f t="shared" si="2"/>
        <v>C-32-33</v>
      </c>
      <c r="M35" s="101"/>
    </row>
    <row r="36" spans="1:13" ht="22.5" hidden="1" customHeight="1">
      <c r="A36" s="98" t="s">
        <v>80</v>
      </c>
      <c r="B36" s="99">
        <v>2</v>
      </c>
      <c r="C36" s="99">
        <v>33</v>
      </c>
      <c r="D36" s="100" t="str">
        <f t="shared" si="0"/>
        <v>C-2</v>
      </c>
      <c r="E36" s="100" t="str">
        <f t="shared" si="1"/>
        <v>C-2-33</v>
      </c>
      <c r="F36" s="101" t="s">
        <v>2663</v>
      </c>
      <c r="G36" s="102">
        <v>46144</v>
      </c>
      <c r="I36" s="98" t="s">
        <v>80</v>
      </c>
      <c r="J36" s="99">
        <v>2</v>
      </c>
      <c r="K36" s="99">
        <v>33</v>
      </c>
      <c r="L36" s="101" t="str">
        <f t="shared" si="2"/>
        <v>C-2-33</v>
      </c>
      <c r="M36" s="101" t="s">
        <v>2664</v>
      </c>
    </row>
    <row r="37" spans="1:13" ht="22.5" hidden="1" customHeight="1">
      <c r="A37" s="103" t="s">
        <v>34</v>
      </c>
      <c r="B37" s="104">
        <v>1</v>
      </c>
      <c r="C37" s="104">
        <v>75</v>
      </c>
      <c r="D37" s="105" t="str">
        <f t="shared" si="0"/>
        <v>A-1</v>
      </c>
      <c r="E37" s="105" t="str">
        <f t="shared" si="1"/>
        <v>A-1-75</v>
      </c>
      <c r="F37" s="106" t="s">
        <v>2665</v>
      </c>
      <c r="G37" s="106" t="s">
        <v>2666</v>
      </c>
      <c r="H37" s="40"/>
      <c r="I37" s="103" t="s">
        <v>34</v>
      </c>
      <c r="J37" s="104">
        <v>1</v>
      </c>
      <c r="K37" s="104">
        <v>75</v>
      </c>
      <c r="L37" s="106" t="str">
        <f t="shared" si="2"/>
        <v>A-1-75</v>
      </c>
      <c r="M37" s="106"/>
    </row>
    <row r="38" spans="1:13" ht="22.5" hidden="1" customHeight="1">
      <c r="A38" s="98" t="s">
        <v>34</v>
      </c>
      <c r="B38" s="99">
        <v>5</v>
      </c>
      <c r="C38" s="99">
        <v>44</v>
      </c>
      <c r="D38" s="100" t="str">
        <f t="shared" si="0"/>
        <v>A-5</v>
      </c>
      <c r="E38" s="100" t="str">
        <f t="shared" si="1"/>
        <v>A-5-44</v>
      </c>
      <c r="F38" s="101"/>
      <c r="G38" s="102">
        <v>46144</v>
      </c>
      <c r="I38" s="98" t="s">
        <v>34</v>
      </c>
      <c r="J38" s="99">
        <v>5</v>
      </c>
      <c r="K38" s="99">
        <v>44</v>
      </c>
      <c r="L38" s="101" t="str">
        <f t="shared" si="2"/>
        <v>A-5-44</v>
      </c>
      <c r="M38" s="101" t="s">
        <v>2667</v>
      </c>
    </row>
    <row r="39" spans="1:13" ht="22.5" hidden="1" customHeight="1">
      <c r="A39" s="98" t="s">
        <v>144</v>
      </c>
      <c r="B39" s="99">
        <v>10</v>
      </c>
      <c r="C39" s="99">
        <v>80</v>
      </c>
      <c r="D39" s="100" t="str">
        <f t="shared" si="0"/>
        <v>E-10</v>
      </c>
      <c r="E39" s="100" t="str">
        <f t="shared" si="1"/>
        <v>E-10-80</v>
      </c>
      <c r="F39" s="101"/>
      <c r="G39" s="102">
        <v>46144</v>
      </c>
      <c r="I39" s="98" t="s">
        <v>144</v>
      </c>
      <c r="J39" s="99">
        <v>10</v>
      </c>
      <c r="K39" s="99">
        <v>80</v>
      </c>
      <c r="L39" s="101" t="str">
        <f t="shared" si="2"/>
        <v>E-10-80</v>
      </c>
      <c r="M39" s="101"/>
    </row>
    <row r="40" spans="1:13" ht="22.5" hidden="1" customHeight="1">
      <c r="A40" s="98" t="s">
        <v>144</v>
      </c>
      <c r="B40" s="99">
        <v>9</v>
      </c>
      <c r="C40" s="99">
        <v>19</v>
      </c>
      <c r="D40" s="100" t="str">
        <f t="shared" si="0"/>
        <v>E-9</v>
      </c>
      <c r="E40" s="100" t="str">
        <f t="shared" si="1"/>
        <v>E-9-19</v>
      </c>
      <c r="F40" s="101"/>
      <c r="G40" s="102">
        <v>46144</v>
      </c>
      <c r="I40" s="98" t="s">
        <v>144</v>
      </c>
      <c r="J40" s="99">
        <v>9</v>
      </c>
      <c r="K40" s="99">
        <v>19</v>
      </c>
      <c r="L40" s="101" t="str">
        <f t="shared" si="2"/>
        <v>E-9-19</v>
      </c>
      <c r="M40" s="101"/>
    </row>
    <row r="41" spans="1:13" ht="22.5" hidden="1" customHeight="1">
      <c r="A41" s="98" t="s">
        <v>177</v>
      </c>
      <c r="B41" s="99">
        <v>1</v>
      </c>
      <c r="C41" s="99">
        <v>29</v>
      </c>
      <c r="D41" s="100" t="str">
        <f t="shared" si="0"/>
        <v>G-1</v>
      </c>
      <c r="E41" s="100" t="str">
        <f t="shared" si="1"/>
        <v>G-1-29</v>
      </c>
      <c r="F41" s="101" t="s">
        <v>2668</v>
      </c>
      <c r="G41" s="102">
        <v>46144</v>
      </c>
      <c r="I41" s="98" t="s">
        <v>177</v>
      </c>
      <c r="J41" s="99">
        <v>1</v>
      </c>
      <c r="K41" s="99">
        <v>29</v>
      </c>
      <c r="L41" s="101" t="str">
        <f t="shared" si="2"/>
        <v>G-1-29</v>
      </c>
      <c r="M41" s="101" t="s">
        <v>2669</v>
      </c>
    </row>
    <row r="42" spans="1:13" ht="22.5" hidden="1" customHeight="1">
      <c r="A42" s="98" t="s">
        <v>299</v>
      </c>
      <c r="B42" s="99">
        <v>15</v>
      </c>
      <c r="C42" s="99">
        <v>8</v>
      </c>
      <c r="D42" s="100" t="str">
        <f t="shared" si="0"/>
        <v>M-15</v>
      </c>
      <c r="E42" s="100" t="str">
        <f t="shared" si="1"/>
        <v>M-15-8</v>
      </c>
      <c r="F42" s="101"/>
      <c r="G42" s="102">
        <v>46144</v>
      </c>
      <c r="I42" s="98" t="s">
        <v>299</v>
      </c>
      <c r="J42" s="99">
        <v>15</v>
      </c>
      <c r="K42" s="99">
        <v>8</v>
      </c>
      <c r="L42" s="101" t="str">
        <f t="shared" si="2"/>
        <v>M-15-8</v>
      </c>
      <c r="M42" s="101"/>
    </row>
    <row r="43" spans="1:13" ht="22.5" hidden="1" customHeight="1">
      <c r="A43" s="98" t="s">
        <v>357</v>
      </c>
      <c r="B43" s="99">
        <v>1</v>
      </c>
      <c r="C43" s="99">
        <v>16</v>
      </c>
      <c r="D43" s="100" t="str">
        <f t="shared" si="0"/>
        <v>P-1</v>
      </c>
      <c r="E43" s="100" t="str">
        <f t="shared" si="1"/>
        <v>P-1-16</v>
      </c>
      <c r="F43" s="101"/>
      <c r="G43" s="102">
        <v>46144</v>
      </c>
      <c r="I43" s="98" t="s">
        <v>357</v>
      </c>
      <c r="J43" s="99">
        <v>1</v>
      </c>
      <c r="K43" s="99">
        <v>16</v>
      </c>
      <c r="L43" s="101" t="str">
        <f t="shared" si="2"/>
        <v>P-1-16</v>
      </c>
      <c r="M43" s="101"/>
    </row>
    <row r="44" spans="1:13" ht="22.5" hidden="1" customHeight="1">
      <c r="A44" s="98" t="s">
        <v>492</v>
      </c>
      <c r="B44" s="99">
        <v>6</v>
      </c>
      <c r="C44" s="99">
        <v>25</v>
      </c>
      <c r="D44" s="100" t="str">
        <f t="shared" si="0"/>
        <v>Y-6</v>
      </c>
      <c r="E44" s="100" t="str">
        <f t="shared" si="1"/>
        <v>Y-6-25</v>
      </c>
      <c r="F44" s="101"/>
      <c r="G44" s="102">
        <v>46144</v>
      </c>
      <c r="I44" s="98" t="s">
        <v>492</v>
      </c>
      <c r="J44" s="99">
        <v>6</v>
      </c>
      <c r="K44" s="99">
        <v>25</v>
      </c>
      <c r="L44" s="101" t="str">
        <f t="shared" si="2"/>
        <v>Y-6-25</v>
      </c>
      <c r="M44" s="101"/>
    </row>
    <row r="45" spans="1:13" ht="22.5" hidden="1" customHeight="1">
      <c r="A45" s="98" t="s">
        <v>205</v>
      </c>
      <c r="B45" s="99">
        <v>18</v>
      </c>
      <c r="C45" s="99">
        <v>38</v>
      </c>
      <c r="D45" s="100" t="str">
        <f t="shared" si="0"/>
        <v>H-18</v>
      </c>
      <c r="E45" s="100" t="str">
        <f t="shared" si="1"/>
        <v>H-18-38</v>
      </c>
      <c r="F45" s="101"/>
      <c r="G45" s="102">
        <v>46144</v>
      </c>
      <c r="I45" s="98" t="s">
        <v>205</v>
      </c>
      <c r="J45" s="99">
        <v>18</v>
      </c>
      <c r="K45" s="99">
        <v>38</v>
      </c>
      <c r="L45" s="101" t="str">
        <f t="shared" si="2"/>
        <v>H-18-38</v>
      </c>
      <c r="M45" s="101"/>
    </row>
    <row r="46" spans="1:13" ht="22.5" hidden="1" customHeight="1">
      <c r="A46" s="98" t="s">
        <v>401</v>
      </c>
      <c r="B46" s="99">
        <v>12</v>
      </c>
      <c r="C46" s="99">
        <v>8</v>
      </c>
      <c r="D46" s="100" t="str">
        <f t="shared" si="0"/>
        <v>S-12</v>
      </c>
      <c r="E46" s="100" t="str">
        <f t="shared" si="1"/>
        <v>S-12-8</v>
      </c>
      <c r="F46" s="101"/>
      <c r="G46" s="102">
        <v>46144</v>
      </c>
      <c r="I46" s="98" t="s">
        <v>401</v>
      </c>
      <c r="J46" s="99">
        <v>12</v>
      </c>
      <c r="K46" s="99">
        <v>8</v>
      </c>
      <c r="L46" s="101" t="str">
        <f t="shared" si="2"/>
        <v>S-12-8</v>
      </c>
      <c r="M46" s="101" t="s">
        <v>2670</v>
      </c>
    </row>
    <row r="47" spans="1:13" ht="22.5" hidden="1" customHeight="1">
      <c r="A47" s="98" t="s">
        <v>393</v>
      </c>
      <c r="B47" s="99">
        <v>8</v>
      </c>
      <c r="C47" s="99">
        <v>27</v>
      </c>
      <c r="D47" s="100" t="str">
        <f t="shared" si="0"/>
        <v>R-8</v>
      </c>
      <c r="E47" s="100" t="str">
        <f t="shared" si="1"/>
        <v>R-8-27</v>
      </c>
      <c r="F47" s="101"/>
      <c r="G47" s="102">
        <v>46144</v>
      </c>
      <c r="I47" s="98" t="s">
        <v>393</v>
      </c>
      <c r="J47" s="99">
        <v>8</v>
      </c>
      <c r="K47" s="99">
        <v>27</v>
      </c>
      <c r="L47" s="101" t="str">
        <f t="shared" si="2"/>
        <v>R-8-27</v>
      </c>
      <c r="M47" s="101"/>
    </row>
    <row r="48" spans="1:13" ht="22.5" hidden="1" customHeight="1">
      <c r="A48" s="98" t="s">
        <v>205</v>
      </c>
      <c r="B48" s="99">
        <v>4</v>
      </c>
      <c r="C48" s="99">
        <v>15</v>
      </c>
      <c r="D48" s="100" t="str">
        <f t="shared" si="0"/>
        <v>H-4</v>
      </c>
      <c r="E48" s="100" t="str">
        <f t="shared" si="1"/>
        <v>H-4-15</v>
      </c>
      <c r="F48" s="101"/>
      <c r="G48" s="102">
        <v>46144</v>
      </c>
      <c r="I48" s="98" t="s">
        <v>205</v>
      </c>
      <c r="J48" s="99">
        <v>4</v>
      </c>
      <c r="K48" s="99">
        <v>15</v>
      </c>
      <c r="L48" s="101" t="str">
        <f t="shared" si="2"/>
        <v>H-4-15</v>
      </c>
      <c r="M48" s="101"/>
    </row>
    <row r="49" spans="1:13" ht="22.5" hidden="1" customHeight="1">
      <c r="A49" s="98" t="s">
        <v>519</v>
      </c>
      <c r="B49" s="99">
        <v>4</v>
      </c>
      <c r="C49" s="99">
        <v>12</v>
      </c>
      <c r="D49" s="100" t="str">
        <f t="shared" si="0"/>
        <v>A1-4</v>
      </c>
      <c r="E49" s="100" t="str">
        <f t="shared" si="1"/>
        <v>A1-4-12</v>
      </c>
      <c r="F49" s="101"/>
      <c r="G49" s="102">
        <v>46144</v>
      </c>
      <c r="I49" s="98" t="s">
        <v>519</v>
      </c>
      <c r="J49" s="99">
        <v>4</v>
      </c>
      <c r="K49" s="99">
        <v>12</v>
      </c>
      <c r="L49" s="101" t="str">
        <f t="shared" si="2"/>
        <v>A1-4-12</v>
      </c>
      <c r="M49" s="101"/>
    </row>
    <row r="50" spans="1:13" ht="22.5" hidden="1" customHeight="1">
      <c r="A50" s="98" t="s">
        <v>519</v>
      </c>
      <c r="B50" s="99">
        <v>11</v>
      </c>
      <c r="C50" s="99">
        <v>14</v>
      </c>
      <c r="D50" s="100" t="str">
        <f t="shared" si="0"/>
        <v>A1-11</v>
      </c>
      <c r="E50" s="100" t="str">
        <f t="shared" si="1"/>
        <v>A1-11-14</v>
      </c>
      <c r="F50" s="101"/>
      <c r="G50" s="102">
        <v>46144</v>
      </c>
      <c r="I50" s="98" t="s">
        <v>519</v>
      </c>
      <c r="J50" s="99">
        <v>11</v>
      </c>
      <c r="K50" s="99">
        <v>14</v>
      </c>
      <c r="L50" s="101" t="str">
        <f t="shared" si="2"/>
        <v>A1-11-14</v>
      </c>
      <c r="M50" s="101"/>
    </row>
    <row r="51" spans="1:13" ht="22.5" hidden="1" customHeight="1">
      <c r="A51" s="98" t="s">
        <v>519</v>
      </c>
      <c r="B51" s="99">
        <v>3</v>
      </c>
      <c r="C51" s="99">
        <v>57</v>
      </c>
      <c r="D51" s="100" t="str">
        <f t="shared" si="0"/>
        <v>A1-3</v>
      </c>
      <c r="E51" s="100" t="str">
        <f t="shared" si="1"/>
        <v>A1-3-57</v>
      </c>
      <c r="F51" s="101"/>
      <c r="G51" s="102">
        <v>46144</v>
      </c>
      <c r="I51" s="98" t="s">
        <v>519</v>
      </c>
      <c r="J51" s="99">
        <v>3</v>
      </c>
      <c r="K51" s="99">
        <v>57</v>
      </c>
      <c r="L51" s="101" t="str">
        <f t="shared" si="2"/>
        <v>A1-3-57</v>
      </c>
      <c r="M51" s="101"/>
    </row>
    <row r="52" spans="1:13" ht="22.5" hidden="1" customHeight="1">
      <c r="A52" s="98" t="s">
        <v>205</v>
      </c>
      <c r="B52" s="99">
        <v>12</v>
      </c>
      <c r="C52" s="99">
        <v>40</v>
      </c>
      <c r="D52" s="100" t="str">
        <f t="shared" si="0"/>
        <v>H-12</v>
      </c>
      <c r="E52" s="100" t="str">
        <f t="shared" si="1"/>
        <v>H-12-40</v>
      </c>
      <c r="F52" s="101" t="s">
        <v>2671</v>
      </c>
      <c r="G52" s="102">
        <v>46144</v>
      </c>
      <c r="I52" s="98" t="s">
        <v>205</v>
      </c>
      <c r="J52" s="99">
        <v>12</v>
      </c>
      <c r="K52" s="99">
        <v>40</v>
      </c>
      <c r="L52" s="101" t="str">
        <f t="shared" si="2"/>
        <v>H-12-40</v>
      </c>
      <c r="M52" s="101"/>
    </row>
    <row r="53" spans="1:13" ht="22.5" hidden="1" customHeight="1">
      <c r="A53" s="98" t="s">
        <v>327</v>
      </c>
      <c r="B53" s="99">
        <v>11</v>
      </c>
      <c r="C53" s="99">
        <v>8</v>
      </c>
      <c r="D53" s="100" t="str">
        <f t="shared" si="0"/>
        <v>O-11</v>
      </c>
      <c r="E53" s="100" t="str">
        <f t="shared" si="1"/>
        <v>O-11-8</v>
      </c>
      <c r="F53" s="101"/>
      <c r="G53" s="102">
        <v>46144</v>
      </c>
      <c r="I53" s="98" t="s">
        <v>327</v>
      </c>
      <c r="J53" s="99">
        <v>11</v>
      </c>
      <c r="K53" s="99">
        <v>8</v>
      </c>
      <c r="L53" s="101" t="str">
        <f t="shared" si="2"/>
        <v>O-11-8</v>
      </c>
      <c r="M53" s="101"/>
    </row>
    <row r="54" spans="1:13" ht="22.5" hidden="1" customHeight="1">
      <c r="A54" s="98" t="s">
        <v>378</v>
      </c>
      <c r="B54" s="99">
        <v>14</v>
      </c>
      <c r="C54" s="99">
        <v>12</v>
      </c>
      <c r="D54" s="100" t="str">
        <f t="shared" si="0"/>
        <v>Q-14</v>
      </c>
      <c r="E54" s="100" t="str">
        <f t="shared" si="1"/>
        <v>Q-14-12</v>
      </c>
      <c r="F54" s="101"/>
      <c r="G54" s="102">
        <v>46144</v>
      </c>
      <c r="I54" s="98" t="s">
        <v>378</v>
      </c>
      <c r="J54" s="99">
        <v>14</v>
      </c>
      <c r="K54" s="99">
        <v>12</v>
      </c>
      <c r="L54" s="101" t="str">
        <f t="shared" si="2"/>
        <v>Q-14-12</v>
      </c>
      <c r="M54" s="101"/>
    </row>
    <row r="55" spans="1:13" ht="22.5" hidden="1" customHeight="1">
      <c r="A55" s="98" t="s">
        <v>2672</v>
      </c>
      <c r="B55" s="98" t="s">
        <v>2672</v>
      </c>
      <c r="C55" s="98" t="s">
        <v>2672</v>
      </c>
      <c r="D55" s="100" t="str">
        <f t="shared" si="0"/>
        <v>[TACHADO]-[TACHADO]</v>
      </c>
      <c r="E55" s="100" t="str">
        <f t="shared" si="1"/>
        <v>[TACHADO]-[TACHADO]-[Tachado]</v>
      </c>
      <c r="F55" s="101"/>
      <c r="G55" s="102">
        <v>46144</v>
      </c>
      <c r="I55" s="98" t="s">
        <v>228</v>
      </c>
      <c r="J55" s="99">
        <v>4</v>
      </c>
      <c r="K55" s="99">
        <v>0</v>
      </c>
      <c r="L55" s="101" t="str">
        <f t="shared" si="2"/>
        <v>I-4-0</v>
      </c>
      <c r="M55" s="101" t="s">
        <v>2673</v>
      </c>
    </row>
    <row r="56" spans="1:13" ht="22.5" hidden="1" customHeight="1">
      <c r="A56" s="98"/>
      <c r="B56" s="99"/>
      <c r="C56" s="99"/>
      <c r="D56" s="100"/>
      <c r="E56" s="100"/>
      <c r="F56" s="101"/>
      <c r="G56" s="102">
        <v>46144</v>
      </c>
      <c r="I56" s="98" t="s">
        <v>560</v>
      </c>
      <c r="J56" s="99">
        <v>4</v>
      </c>
      <c r="K56" s="99">
        <v>0</v>
      </c>
      <c r="L56" s="101" t="str">
        <f t="shared" si="2"/>
        <v>D1-4-0</v>
      </c>
      <c r="M56" s="101" t="s">
        <v>2673</v>
      </c>
    </row>
    <row r="57" spans="1:13" ht="22.5" hidden="1" customHeight="1">
      <c r="A57" s="98" t="s">
        <v>205</v>
      </c>
      <c r="B57" s="99">
        <v>19</v>
      </c>
      <c r="C57" s="99">
        <v>34</v>
      </c>
      <c r="D57" s="100" t="str">
        <f t="shared" ref="D57:D110" si="3">TRIM(UPPER(A57)) &amp; "-" &amp; TRIM(UPPER(B57))</f>
        <v>H-19</v>
      </c>
      <c r="E57" s="100" t="str">
        <f t="shared" ref="E57:E110" si="4">TRIM(UPPER(A57)) &amp; "-" &amp; TRIM(UPPER(B57) &amp; "-" &amp; TEXT(C57, "0"))</f>
        <v>H-19-34</v>
      </c>
      <c r="F57" s="101"/>
      <c r="G57" s="102">
        <v>46144</v>
      </c>
      <c r="I57" s="98" t="s">
        <v>205</v>
      </c>
      <c r="J57" s="99">
        <v>19</v>
      </c>
      <c r="K57" s="99">
        <v>34</v>
      </c>
      <c r="L57" s="101" t="str">
        <f t="shared" si="2"/>
        <v>H-19-34</v>
      </c>
      <c r="M57" s="101"/>
    </row>
    <row r="58" spans="1:13" ht="22.5" hidden="1" customHeight="1">
      <c r="A58" s="98" t="s">
        <v>251</v>
      </c>
      <c r="B58" s="99">
        <v>12</v>
      </c>
      <c r="C58" s="99">
        <v>10</v>
      </c>
      <c r="D58" s="100" t="str">
        <f t="shared" si="3"/>
        <v>J-12</v>
      </c>
      <c r="E58" s="100" t="str">
        <f t="shared" si="4"/>
        <v>J-12-10</v>
      </c>
      <c r="F58" s="101"/>
      <c r="G58" s="102">
        <v>46144</v>
      </c>
      <c r="I58" s="98" t="s">
        <v>251</v>
      </c>
      <c r="J58" s="99">
        <v>12</v>
      </c>
      <c r="K58" s="99">
        <v>10</v>
      </c>
      <c r="L58" s="101" t="str">
        <f t="shared" si="2"/>
        <v>J-12-10</v>
      </c>
      <c r="M58" s="101"/>
    </row>
    <row r="59" spans="1:13" ht="22.5" hidden="1" customHeight="1">
      <c r="A59" s="98" t="s">
        <v>251</v>
      </c>
      <c r="B59" s="99">
        <v>11</v>
      </c>
      <c r="C59" s="99">
        <v>16</v>
      </c>
      <c r="D59" s="100" t="str">
        <f t="shared" si="3"/>
        <v>J-11</v>
      </c>
      <c r="E59" s="100" t="str">
        <f t="shared" si="4"/>
        <v>J-11-16</v>
      </c>
      <c r="F59" s="101"/>
      <c r="G59" s="102">
        <v>46144</v>
      </c>
      <c r="I59" s="98" t="s">
        <v>251</v>
      </c>
      <c r="J59" s="99">
        <v>11</v>
      </c>
      <c r="K59" s="99">
        <v>16</v>
      </c>
      <c r="L59" s="101" t="str">
        <f t="shared" si="2"/>
        <v>J-11-16</v>
      </c>
      <c r="M59" s="101"/>
    </row>
    <row r="60" spans="1:13" ht="22.5" hidden="1" customHeight="1">
      <c r="A60" s="98" t="s">
        <v>575</v>
      </c>
      <c r="B60" s="99">
        <v>9</v>
      </c>
      <c r="C60" s="99">
        <v>8</v>
      </c>
      <c r="D60" s="100" t="str">
        <f t="shared" si="3"/>
        <v>F1-9</v>
      </c>
      <c r="E60" s="100" t="str">
        <f t="shared" si="4"/>
        <v>F1-9-8</v>
      </c>
      <c r="F60" s="101"/>
      <c r="G60" s="102">
        <v>46144</v>
      </c>
      <c r="I60" s="98" t="s">
        <v>575</v>
      </c>
      <c r="J60" s="99">
        <v>9</v>
      </c>
      <c r="K60" s="99">
        <v>8</v>
      </c>
      <c r="L60" s="101" t="str">
        <f t="shared" si="2"/>
        <v>F1-9-8</v>
      </c>
      <c r="M60" s="101"/>
    </row>
    <row r="61" spans="1:13" ht="22.5" hidden="1" customHeight="1">
      <c r="A61" s="98" t="s">
        <v>560</v>
      </c>
      <c r="B61" s="99">
        <v>4</v>
      </c>
      <c r="C61" s="99">
        <v>11</v>
      </c>
      <c r="D61" s="100" t="str">
        <f t="shared" si="3"/>
        <v>D1-4</v>
      </c>
      <c r="E61" s="100" t="str">
        <f t="shared" si="4"/>
        <v>D1-4-11</v>
      </c>
      <c r="F61" s="101"/>
      <c r="G61" s="102">
        <v>46144</v>
      </c>
      <c r="I61" s="98" t="s">
        <v>560</v>
      </c>
      <c r="J61" s="99">
        <v>4</v>
      </c>
      <c r="K61" s="99">
        <v>11</v>
      </c>
      <c r="L61" s="101" t="str">
        <f t="shared" si="2"/>
        <v>D1-4-11</v>
      </c>
      <c r="M61" s="101"/>
    </row>
    <row r="62" spans="1:13" ht="22.5" hidden="1" customHeight="1">
      <c r="A62" s="98" t="s">
        <v>80</v>
      </c>
      <c r="B62" s="99">
        <v>18</v>
      </c>
      <c r="C62" s="99">
        <v>37</v>
      </c>
      <c r="D62" s="100" t="str">
        <f t="shared" si="3"/>
        <v>C-18</v>
      </c>
      <c r="E62" s="100" t="str">
        <f t="shared" si="4"/>
        <v>C-18-37</v>
      </c>
      <c r="F62" s="101"/>
      <c r="G62" s="102">
        <v>46144</v>
      </c>
      <c r="I62" s="98" t="s">
        <v>80</v>
      </c>
      <c r="J62" s="99">
        <v>18</v>
      </c>
      <c r="K62" s="99">
        <v>37</v>
      </c>
      <c r="L62" s="101" t="str">
        <f t="shared" si="2"/>
        <v>C-18-37</v>
      </c>
      <c r="M62" s="101"/>
    </row>
    <row r="63" spans="1:13" ht="22.5" hidden="1" customHeight="1">
      <c r="A63" s="98" t="s">
        <v>177</v>
      </c>
      <c r="B63" s="99">
        <v>12</v>
      </c>
      <c r="C63" s="99">
        <v>36</v>
      </c>
      <c r="D63" s="100" t="str">
        <f t="shared" si="3"/>
        <v>G-12</v>
      </c>
      <c r="E63" s="100" t="str">
        <f t="shared" si="4"/>
        <v>G-12-36</v>
      </c>
      <c r="F63" s="101" t="s">
        <v>2674</v>
      </c>
      <c r="G63" s="102">
        <v>46144</v>
      </c>
      <c r="I63" s="98" t="s">
        <v>177</v>
      </c>
      <c r="J63" s="99">
        <v>12</v>
      </c>
      <c r="K63" s="99">
        <v>36</v>
      </c>
      <c r="L63" s="101" t="str">
        <f t="shared" si="2"/>
        <v>G-12-36</v>
      </c>
      <c r="M63" s="101"/>
    </row>
    <row r="64" spans="1:13" ht="22.5" hidden="1" customHeight="1">
      <c r="A64" s="98" t="s">
        <v>80</v>
      </c>
      <c r="B64" s="99">
        <v>42</v>
      </c>
      <c r="C64" s="99">
        <v>35</v>
      </c>
      <c r="D64" s="100" t="str">
        <f t="shared" si="3"/>
        <v>C-42</v>
      </c>
      <c r="E64" s="100" t="str">
        <f t="shared" si="4"/>
        <v>C-42-35</v>
      </c>
      <c r="F64" s="101"/>
      <c r="G64" s="102">
        <v>46144</v>
      </c>
      <c r="I64" s="98" t="s">
        <v>80</v>
      </c>
      <c r="J64" s="99">
        <v>42</v>
      </c>
      <c r="K64" s="99">
        <v>35</v>
      </c>
      <c r="L64" s="101" t="str">
        <f t="shared" si="2"/>
        <v>C-42-35</v>
      </c>
      <c r="M64" s="101"/>
    </row>
    <row r="65" spans="1:16" ht="22.5" hidden="1" customHeight="1">
      <c r="A65" s="98" t="s">
        <v>327</v>
      </c>
      <c r="B65" s="99">
        <v>13</v>
      </c>
      <c r="C65" s="99">
        <v>22</v>
      </c>
      <c r="D65" s="100" t="str">
        <f t="shared" si="3"/>
        <v>O-13</v>
      </c>
      <c r="E65" s="100" t="str">
        <f t="shared" si="4"/>
        <v>O-13-22</v>
      </c>
      <c r="F65" s="101"/>
      <c r="G65" s="102">
        <v>46144</v>
      </c>
      <c r="I65" s="98" t="s">
        <v>327</v>
      </c>
      <c r="J65" s="99">
        <v>13</v>
      </c>
      <c r="K65" s="99">
        <v>22</v>
      </c>
      <c r="L65" s="101" t="str">
        <f t="shared" si="2"/>
        <v>O-13-22</v>
      </c>
      <c r="M65" s="101" t="s">
        <v>2675</v>
      </c>
    </row>
    <row r="66" spans="1:16" ht="22.5" hidden="1" customHeight="1">
      <c r="A66" s="98" t="s">
        <v>567</v>
      </c>
      <c r="B66" s="99">
        <v>9</v>
      </c>
      <c r="C66" s="99">
        <v>27</v>
      </c>
      <c r="D66" s="100" t="str">
        <f t="shared" si="3"/>
        <v>E1-9</v>
      </c>
      <c r="E66" s="100" t="str">
        <f t="shared" si="4"/>
        <v>E1-9-27</v>
      </c>
      <c r="F66" s="101"/>
      <c r="G66" s="102">
        <v>46144</v>
      </c>
      <c r="I66" s="98" t="s">
        <v>567</v>
      </c>
      <c r="J66" s="99">
        <v>9</v>
      </c>
      <c r="K66" s="99">
        <v>27</v>
      </c>
      <c r="L66" s="101" t="str">
        <f t="shared" si="2"/>
        <v>E1-9-27</v>
      </c>
      <c r="M66" s="101"/>
    </row>
    <row r="67" spans="1:16" ht="22.5" hidden="1" customHeight="1">
      <c r="A67" s="98" t="s">
        <v>177</v>
      </c>
      <c r="B67" s="99">
        <v>8</v>
      </c>
      <c r="C67" s="99">
        <v>31</v>
      </c>
      <c r="D67" s="100" t="str">
        <f t="shared" si="3"/>
        <v>G-8</v>
      </c>
      <c r="E67" s="100" t="str">
        <f t="shared" si="4"/>
        <v>G-8-31</v>
      </c>
      <c r="F67" s="101"/>
      <c r="G67" s="102">
        <v>46144</v>
      </c>
      <c r="I67" s="98" t="s">
        <v>177</v>
      </c>
      <c r="J67" s="99">
        <v>8</v>
      </c>
      <c r="K67" s="99">
        <v>31</v>
      </c>
      <c r="L67" s="101" t="str">
        <f t="shared" si="2"/>
        <v>G-8-31</v>
      </c>
      <c r="M67" s="101"/>
    </row>
    <row r="68" spans="1:16" ht="22.5" hidden="1" customHeight="1">
      <c r="A68" s="98" t="s">
        <v>80</v>
      </c>
      <c r="B68" s="99">
        <v>24</v>
      </c>
      <c r="C68" s="99">
        <v>8</v>
      </c>
      <c r="D68" s="100" t="str">
        <f t="shared" si="3"/>
        <v>C-24</v>
      </c>
      <c r="E68" s="100" t="str">
        <f t="shared" si="4"/>
        <v>C-24-8</v>
      </c>
      <c r="F68" s="101"/>
      <c r="G68" s="102">
        <v>46144</v>
      </c>
      <c r="I68" s="98" t="s">
        <v>80</v>
      </c>
      <c r="J68" s="99">
        <v>24</v>
      </c>
      <c r="K68" s="99">
        <v>8</v>
      </c>
      <c r="L68" s="101" t="str">
        <f t="shared" si="2"/>
        <v>C-24-8</v>
      </c>
      <c r="M68" s="101"/>
      <c r="N68" s="101"/>
      <c r="O68" s="101"/>
      <c r="P68" s="101"/>
    </row>
    <row r="69" spans="1:16" ht="22.5" hidden="1" customHeight="1">
      <c r="A69" s="98" t="s">
        <v>53</v>
      </c>
      <c r="B69" s="99">
        <v>18</v>
      </c>
      <c r="C69" s="99">
        <v>18</v>
      </c>
      <c r="D69" s="100" t="str">
        <f t="shared" si="3"/>
        <v>B-18</v>
      </c>
      <c r="E69" s="100" t="str">
        <f t="shared" si="4"/>
        <v>B-18-18</v>
      </c>
      <c r="F69" s="101"/>
      <c r="G69" s="102">
        <v>46144</v>
      </c>
      <c r="I69" s="98" t="s">
        <v>53</v>
      </c>
      <c r="J69" s="99">
        <v>18</v>
      </c>
      <c r="K69" s="99">
        <v>18</v>
      </c>
      <c r="L69" s="101" t="str">
        <f t="shared" si="2"/>
        <v>B-18-18</v>
      </c>
      <c r="M69" s="101"/>
      <c r="N69" s="101"/>
      <c r="O69" s="101"/>
      <c r="P69" s="101"/>
    </row>
    <row r="70" spans="1:16" ht="22.5" hidden="1" customHeight="1">
      <c r="A70" s="98" t="s">
        <v>267</v>
      </c>
      <c r="B70" s="99">
        <v>9</v>
      </c>
      <c r="C70" s="99">
        <v>110</v>
      </c>
      <c r="D70" s="100" t="str">
        <f t="shared" si="3"/>
        <v>K-9</v>
      </c>
      <c r="E70" s="100" t="str">
        <f t="shared" si="4"/>
        <v>K-9-110</v>
      </c>
      <c r="F70" s="101"/>
      <c r="G70" s="102">
        <v>46144</v>
      </c>
      <c r="I70" s="98" t="s">
        <v>267</v>
      </c>
      <c r="J70" s="99">
        <v>9</v>
      </c>
      <c r="K70" s="99">
        <v>110</v>
      </c>
      <c r="L70" s="101" t="str">
        <f t="shared" si="2"/>
        <v>K-9-110</v>
      </c>
      <c r="M70" s="101"/>
      <c r="N70" s="101"/>
      <c r="O70" s="101"/>
      <c r="P70" s="101"/>
    </row>
    <row r="71" spans="1:16" ht="22.5" hidden="1" customHeight="1">
      <c r="A71" s="98" t="s">
        <v>458</v>
      </c>
      <c r="B71" s="99">
        <v>6</v>
      </c>
      <c r="C71" s="99">
        <v>8</v>
      </c>
      <c r="D71" s="100" t="str">
        <f t="shared" si="3"/>
        <v>W-6</v>
      </c>
      <c r="E71" s="100" t="str">
        <f t="shared" si="4"/>
        <v>W-6-8</v>
      </c>
      <c r="F71" s="101"/>
      <c r="G71" s="102">
        <v>46144</v>
      </c>
      <c r="I71" s="98" t="s">
        <v>458</v>
      </c>
      <c r="J71" s="99">
        <v>6</v>
      </c>
      <c r="K71" s="99">
        <v>8</v>
      </c>
      <c r="L71" s="101" t="str">
        <f t="shared" si="2"/>
        <v>W-6-8</v>
      </c>
      <c r="M71" s="101"/>
      <c r="N71" s="101"/>
      <c r="O71" s="101"/>
      <c r="P71" s="101"/>
    </row>
    <row r="72" spans="1:16" ht="22.5" hidden="1" customHeight="1">
      <c r="A72" s="98" t="s">
        <v>357</v>
      </c>
      <c r="B72" s="99">
        <v>14</v>
      </c>
      <c r="C72" s="99">
        <v>13</v>
      </c>
      <c r="D72" s="100" t="str">
        <f t="shared" si="3"/>
        <v>P-14</v>
      </c>
      <c r="E72" s="100" t="str">
        <f t="shared" si="4"/>
        <v>P-14-13</v>
      </c>
      <c r="F72" s="101"/>
      <c r="G72" s="102">
        <v>46144</v>
      </c>
      <c r="I72" s="98" t="s">
        <v>357</v>
      </c>
      <c r="J72" s="99">
        <v>14</v>
      </c>
      <c r="K72" s="99">
        <v>13</v>
      </c>
      <c r="L72" s="101" t="str">
        <f t="shared" si="2"/>
        <v>P-14-13</v>
      </c>
      <c r="M72" s="101"/>
      <c r="N72" s="101"/>
      <c r="O72" s="101"/>
      <c r="P72" s="101"/>
    </row>
    <row r="73" spans="1:16" ht="22.5" hidden="1" customHeight="1">
      <c r="A73" s="98" t="s">
        <v>299</v>
      </c>
      <c r="B73" s="99">
        <v>20</v>
      </c>
      <c r="C73" s="99">
        <v>28</v>
      </c>
      <c r="D73" s="100" t="str">
        <f t="shared" si="3"/>
        <v>M-20</v>
      </c>
      <c r="E73" s="100" t="str">
        <f t="shared" si="4"/>
        <v>M-20-28</v>
      </c>
      <c r="F73" s="101"/>
      <c r="G73" s="102">
        <v>46144</v>
      </c>
      <c r="I73" s="98" t="s">
        <v>299</v>
      </c>
      <c r="J73" s="99">
        <v>20</v>
      </c>
      <c r="K73" s="99">
        <v>28</v>
      </c>
      <c r="L73" s="101" t="str">
        <f t="shared" si="2"/>
        <v>M-20-28</v>
      </c>
      <c r="M73" s="101"/>
      <c r="N73" s="101"/>
      <c r="O73" s="101"/>
      <c r="P73" s="101"/>
    </row>
    <row r="74" spans="1:16" ht="22.5" hidden="1" customHeight="1">
      <c r="A74" s="98" t="s">
        <v>441</v>
      </c>
      <c r="B74" s="99">
        <v>5</v>
      </c>
      <c r="C74" s="99">
        <v>25</v>
      </c>
      <c r="D74" s="100" t="str">
        <f t="shared" si="3"/>
        <v>V-5</v>
      </c>
      <c r="E74" s="100" t="str">
        <f t="shared" si="4"/>
        <v>V-5-25</v>
      </c>
      <c r="F74" s="101"/>
      <c r="G74" s="102">
        <v>46144</v>
      </c>
      <c r="I74" s="98" t="s">
        <v>441</v>
      </c>
      <c r="J74" s="99">
        <v>5</v>
      </c>
      <c r="K74" s="99">
        <v>25</v>
      </c>
      <c r="L74" s="101" t="str">
        <f t="shared" si="2"/>
        <v>V-5-25</v>
      </c>
      <c r="M74" s="101"/>
      <c r="N74" s="101"/>
      <c r="O74" s="101"/>
      <c r="P74" s="101"/>
    </row>
    <row r="75" spans="1:16" ht="22.5" hidden="1" customHeight="1">
      <c r="A75" s="98" t="s">
        <v>299</v>
      </c>
      <c r="B75" s="99">
        <v>8</v>
      </c>
      <c r="C75" s="99">
        <v>16</v>
      </c>
      <c r="D75" s="100" t="str">
        <f t="shared" si="3"/>
        <v>M-8</v>
      </c>
      <c r="E75" s="100" t="str">
        <f t="shared" si="4"/>
        <v>M-8-16</v>
      </c>
      <c r="F75" s="101"/>
      <c r="G75" s="102">
        <v>46144</v>
      </c>
      <c r="I75" s="98" t="s">
        <v>299</v>
      </c>
      <c r="J75" s="99">
        <v>8</v>
      </c>
      <c r="K75" s="99">
        <v>16</v>
      </c>
      <c r="L75" s="101" t="str">
        <f t="shared" si="2"/>
        <v>M-8-16</v>
      </c>
      <c r="M75" s="101"/>
      <c r="N75" s="101"/>
      <c r="O75" s="101"/>
      <c r="P75" s="101"/>
    </row>
    <row r="76" spans="1:16" ht="22.5" hidden="1" customHeight="1">
      <c r="A76" s="98" t="s">
        <v>177</v>
      </c>
      <c r="B76" s="99">
        <v>16</v>
      </c>
      <c r="C76" s="99">
        <v>8</v>
      </c>
      <c r="D76" s="100" t="str">
        <f t="shared" si="3"/>
        <v>G-16</v>
      </c>
      <c r="E76" s="100" t="str">
        <f t="shared" si="4"/>
        <v>G-16-8</v>
      </c>
      <c r="F76" s="101"/>
      <c r="G76" s="102">
        <v>46144</v>
      </c>
      <c r="I76" s="98" t="s">
        <v>177</v>
      </c>
      <c r="J76" s="99">
        <v>16</v>
      </c>
      <c r="K76" s="99">
        <v>8</v>
      </c>
      <c r="L76" s="101" t="str">
        <f t="shared" si="2"/>
        <v>G-16-8</v>
      </c>
      <c r="M76" s="101"/>
      <c r="N76" s="101"/>
      <c r="O76" s="101"/>
      <c r="P76" s="101"/>
    </row>
    <row r="77" spans="1:16" ht="22.5" hidden="1" customHeight="1">
      <c r="A77" s="98" t="s">
        <v>519</v>
      </c>
      <c r="B77" s="99">
        <v>2</v>
      </c>
      <c r="C77" s="99">
        <v>38</v>
      </c>
      <c r="D77" s="100" t="str">
        <f t="shared" si="3"/>
        <v>A1-2</v>
      </c>
      <c r="E77" s="100" t="str">
        <f t="shared" si="4"/>
        <v>A1-2-38</v>
      </c>
      <c r="F77" s="101"/>
      <c r="G77" s="102">
        <v>46144</v>
      </c>
      <c r="I77" s="98" t="s">
        <v>519</v>
      </c>
      <c r="J77" s="99">
        <v>2</v>
      </c>
      <c r="K77" s="99">
        <v>38</v>
      </c>
      <c r="L77" s="101" t="str">
        <f t="shared" si="2"/>
        <v>A1-2-38</v>
      </c>
      <c r="M77" s="101"/>
      <c r="N77" s="101"/>
      <c r="O77" s="101"/>
      <c r="P77" s="101"/>
    </row>
    <row r="78" spans="1:16" ht="22.5" hidden="1" customHeight="1">
      <c r="A78" s="98" t="s">
        <v>53</v>
      </c>
      <c r="B78" s="99">
        <v>11</v>
      </c>
      <c r="C78" s="99">
        <v>69</v>
      </c>
      <c r="D78" s="100" t="str">
        <f t="shared" si="3"/>
        <v>B-11</v>
      </c>
      <c r="E78" s="100" t="str">
        <f t="shared" si="4"/>
        <v>B-11-69</v>
      </c>
      <c r="F78" s="101"/>
      <c r="G78" s="102">
        <v>46144</v>
      </c>
      <c r="I78" s="98" t="s">
        <v>53</v>
      </c>
      <c r="J78" s="99">
        <v>11</v>
      </c>
      <c r="K78" s="99">
        <v>69</v>
      </c>
      <c r="L78" s="101" t="str">
        <f t="shared" si="2"/>
        <v>B-11-69</v>
      </c>
      <c r="M78" s="101"/>
      <c r="N78" s="101"/>
      <c r="O78" s="101"/>
      <c r="P78" s="101"/>
    </row>
    <row r="79" spans="1:16" ht="22.5" hidden="1" customHeight="1">
      <c r="A79" s="98" t="s">
        <v>267</v>
      </c>
      <c r="B79" s="99">
        <v>1</v>
      </c>
      <c r="C79" s="99">
        <v>40</v>
      </c>
      <c r="D79" s="100" t="str">
        <f t="shared" si="3"/>
        <v>K-1</v>
      </c>
      <c r="E79" s="100" t="str">
        <f t="shared" si="4"/>
        <v>K-1-40</v>
      </c>
      <c r="F79" s="101" t="s">
        <v>2676</v>
      </c>
      <c r="G79" s="102">
        <v>46144</v>
      </c>
      <c r="I79" s="98" t="s">
        <v>267</v>
      </c>
      <c r="J79" s="99">
        <v>1</v>
      </c>
      <c r="K79" s="99">
        <v>40</v>
      </c>
      <c r="L79" s="101" t="str">
        <f t="shared" si="2"/>
        <v>K-1-40</v>
      </c>
      <c r="M79" s="101"/>
      <c r="N79" s="101"/>
      <c r="O79" s="101"/>
      <c r="P79" s="101"/>
    </row>
    <row r="80" spans="1:16" ht="22.5" hidden="1" customHeight="1">
      <c r="A80" s="103" t="s">
        <v>415</v>
      </c>
      <c r="B80" s="104">
        <v>5</v>
      </c>
      <c r="C80" s="104">
        <v>8</v>
      </c>
      <c r="D80" s="105" t="str">
        <f t="shared" si="3"/>
        <v>T-5</v>
      </c>
      <c r="E80" s="105" t="str">
        <f t="shared" si="4"/>
        <v>T-5-8</v>
      </c>
      <c r="F80" s="106" t="s">
        <v>2677</v>
      </c>
      <c r="G80" s="107">
        <v>46144</v>
      </c>
      <c r="H80" s="40"/>
      <c r="I80" s="103" t="s">
        <v>415</v>
      </c>
      <c r="J80" s="104">
        <v>5</v>
      </c>
      <c r="K80" s="104">
        <v>8</v>
      </c>
      <c r="L80" s="106" t="str">
        <f t="shared" si="2"/>
        <v>T-5-8</v>
      </c>
      <c r="M80" s="106"/>
      <c r="N80" s="101"/>
      <c r="O80" s="101"/>
      <c r="P80" s="101"/>
    </row>
    <row r="81" spans="1:21" ht="22.5" hidden="1" customHeight="1">
      <c r="A81" s="98" t="s">
        <v>415</v>
      </c>
      <c r="B81" s="99">
        <v>14</v>
      </c>
      <c r="C81" s="99">
        <v>54</v>
      </c>
      <c r="D81" s="100" t="str">
        <f t="shared" si="3"/>
        <v>T-14</v>
      </c>
      <c r="E81" s="100" t="str">
        <f t="shared" si="4"/>
        <v>T-14-54</v>
      </c>
      <c r="F81" s="101"/>
      <c r="G81" s="101" t="s">
        <v>2678</v>
      </c>
      <c r="I81" s="98" t="s">
        <v>415</v>
      </c>
      <c r="J81" s="99">
        <v>14</v>
      </c>
      <c r="K81" s="99">
        <v>54</v>
      </c>
      <c r="L81" s="101" t="str">
        <f t="shared" si="2"/>
        <v>T-14-54</v>
      </c>
      <c r="M81" s="101" t="s">
        <v>2678</v>
      </c>
      <c r="N81" s="101"/>
      <c r="O81" s="101"/>
      <c r="P81" s="101"/>
    </row>
    <row r="82" spans="1:21" ht="22.5" hidden="1" customHeight="1">
      <c r="A82" s="98" t="s">
        <v>161</v>
      </c>
      <c r="B82" s="99">
        <v>6</v>
      </c>
      <c r="C82" s="99">
        <v>65</v>
      </c>
      <c r="D82" s="100" t="str">
        <f t="shared" si="3"/>
        <v>F-6</v>
      </c>
      <c r="E82" s="100" t="str">
        <f t="shared" si="4"/>
        <v>F-6-65</v>
      </c>
      <c r="F82" s="101"/>
      <c r="G82" s="102">
        <v>46144</v>
      </c>
      <c r="I82" s="98" t="s">
        <v>161</v>
      </c>
      <c r="J82" s="99">
        <v>6</v>
      </c>
      <c r="K82" s="99">
        <v>65</v>
      </c>
      <c r="L82" s="101" t="str">
        <f t="shared" si="2"/>
        <v>F-6-65</v>
      </c>
      <c r="M82" s="101"/>
      <c r="N82" s="101"/>
      <c r="O82" s="101"/>
      <c r="P82" s="101"/>
    </row>
    <row r="83" spans="1:21" ht="22.5" hidden="1" customHeight="1">
      <c r="A83" s="98" t="s">
        <v>327</v>
      </c>
      <c r="B83" s="98" t="s">
        <v>354</v>
      </c>
      <c r="C83" s="99">
        <v>9</v>
      </c>
      <c r="D83" s="100" t="str">
        <f t="shared" si="3"/>
        <v>O-27B</v>
      </c>
      <c r="E83" s="100" t="str">
        <f t="shared" si="4"/>
        <v>O-27B-9</v>
      </c>
      <c r="F83" s="101"/>
      <c r="G83" s="102">
        <v>46144</v>
      </c>
      <c r="I83" s="98" t="s">
        <v>327</v>
      </c>
      <c r="J83" s="98" t="s">
        <v>354</v>
      </c>
      <c r="K83" s="99">
        <v>9</v>
      </c>
      <c r="L83" s="101" t="str">
        <f t="shared" si="2"/>
        <v>O-27B-9</v>
      </c>
      <c r="M83" s="101"/>
      <c r="N83" s="101"/>
      <c r="O83" s="101"/>
      <c r="P83" s="101"/>
    </row>
    <row r="84" spans="1:21" ht="22.5" hidden="1" customHeight="1">
      <c r="A84" s="98" t="s">
        <v>267</v>
      </c>
      <c r="B84" s="99">
        <v>8</v>
      </c>
      <c r="C84" s="99">
        <v>11</v>
      </c>
      <c r="D84" s="100" t="str">
        <f t="shared" si="3"/>
        <v>K-8</v>
      </c>
      <c r="E84" s="100" t="str">
        <f t="shared" si="4"/>
        <v>K-8-11</v>
      </c>
      <c r="F84" s="101"/>
      <c r="G84" s="102">
        <v>46144</v>
      </c>
      <c r="I84" s="98" t="s">
        <v>267</v>
      </c>
      <c r="J84" s="99">
        <v>8</v>
      </c>
      <c r="K84" s="99">
        <v>11</v>
      </c>
      <c r="L84" s="101" t="str">
        <f t="shared" si="2"/>
        <v>K-8-11</v>
      </c>
      <c r="M84" s="101"/>
      <c r="N84" s="101"/>
      <c r="O84" s="101"/>
      <c r="P84" s="101"/>
    </row>
    <row r="85" spans="1:21" ht="22.5" hidden="1" customHeight="1">
      <c r="A85" s="98" t="s">
        <v>327</v>
      </c>
      <c r="B85" s="99">
        <v>12</v>
      </c>
      <c r="C85" s="99">
        <v>10</v>
      </c>
      <c r="D85" s="100" t="str">
        <f t="shared" si="3"/>
        <v>O-12</v>
      </c>
      <c r="E85" s="100" t="str">
        <f t="shared" si="4"/>
        <v>O-12-10</v>
      </c>
      <c r="F85" s="101"/>
      <c r="G85" s="102">
        <v>46144</v>
      </c>
      <c r="I85" s="98" t="s">
        <v>327</v>
      </c>
      <c r="J85" s="99">
        <v>12</v>
      </c>
      <c r="K85" s="99">
        <v>10</v>
      </c>
      <c r="L85" s="101" t="str">
        <f t="shared" si="2"/>
        <v>O-12-10</v>
      </c>
      <c r="M85" s="101"/>
      <c r="N85" s="101"/>
      <c r="O85" s="101"/>
      <c r="P85" s="101"/>
    </row>
    <row r="86" spans="1:21" ht="22.5" hidden="1" customHeight="1">
      <c r="A86" s="108" t="s">
        <v>299</v>
      </c>
      <c r="B86" s="109">
        <v>3</v>
      </c>
      <c r="C86" s="109">
        <v>16</v>
      </c>
      <c r="D86" s="110" t="str">
        <f t="shared" si="3"/>
        <v>M-3</v>
      </c>
      <c r="E86" s="110" t="str">
        <f t="shared" si="4"/>
        <v>M-3-16</v>
      </c>
      <c r="F86" s="111" t="s">
        <v>2679</v>
      </c>
      <c r="G86" s="112">
        <v>46144</v>
      </c>
      <c r="H86" s="113"/>
      <c r="I86" s="108" t="s">
        <v>299</v>
      </c>
      <c r="J86" s="109">
        <v>3</v>
      </c>
      <c r="K86" s="109">
        <v>16</v>
      </c>
      <c r="L86" s="111" t="str">
        <f t="shared" si="2"/>
        <v>M-3-16</v>
      </c>
      <c r="M86" s="111"/>
      <c r="N86" s="111"/>
      <c r="O86" s="111"/>
      <c r="P86" s="111"/>
      <c r="Q86" s="113"/>
      <c r="R86" s="113"/>
      <c r="S86" s="113"/>
      <c r="T86" s="113"/>
      <c r="U86" s="113"/>
    </row>
    <row r="87" spans="1:21" ht="22.5" hidden="1" customHeight="1">
      <c r="A87" s="98" t="s">
        <v>299</v>
      </c>
      <c r="B87" s="99">
        <v>1</v>
      </c>
      <c r="C87" s="99">
        <v>27</v>
      </c>
      <c r="D87" s="100" t="str">
        <f t="shared" si="3"/>
        <v>M-1</v>
      </c>
      <c r="E87" s="100" t="str">
        <f t="shared" si="4"/>
        <v>M-1-27</v>
      </c>
      <c r="F87" s="101"/>
      <c r="G87" s="102">
        <v>46144</v>
      </c>
      <c r="I87" s="98" t="s">
        <v>299</v>
      </c>
      <c r="J87" s="99">
        <v>1</v>
      </c>
      <c r="K87" s="99">
        <v>27</v>
      </c>
      <c r="L87" s="101" t="str">
        <f t="shared" si="2"/>
        <v>M-1-27</v>
      </c>
      <c r="M87" s="101"/>
      <c r="N87" s="101"/>
      <c r="O87" s="101"/>
      <c r="P87" s="101"/>
    </row>
    <row r="88" spans="1:21" ht="22.5" hidden="1" customHeight="1">
      <c r="A88" s="98" t="s">
        <v>327</v>
      </c>
      <c r="B88" s="99">
        <v>4</v>
      </c>
      <c r="C88" s="99">
        <v>33</v>
      </c>
      <c r="D88" s="100" t="str">
        <f t="shared" si="3"/>
        <v>O-4</v>
      </c>
      <c r="E88" s="100" t="str">
        <f t="shared" si="4"/>
        <v>O-4-33</v>
      </c>
      <c r="F88" s="101"/>
      <c r="G88" s="102">
        <v>46144</v>
      </c>
      <c r="I88" s="98" t="s">
        <v>327</v>
      </c>
      <c r="J88" s="99">
        <v>4</v>
      </c>
      <c r="K88" s="99">
        <v>33</v>
      </c>
      <c r="L88" s="101" t="str">
        <f t="shared" si="2"/>
        <v>O-4-33</v>
      </c>
      <c r="M88" s="101"/>
      <c r="N88" s="101"/>
      <c r="O88" s="101"/>
      <c r="P88" s="101"/>
    </row>
    <row r="89" spans="1:21" ht="22.5" hidden="1" customHeight="1">
      <c r="A89" s="98" t="s">
        <v>327</v>
      </c>
      <c r="B89" s="99">
        <v>3</v>
      </c>
      <c r="C89" s="99">
        <v>13</v>
      </c>
      <c r="D89" s="100" t="str">
        <f t="shared" si="3"/>
        <v>O-3</v>
      </c>
      <c r="E89" s="100" t="str">
        <f t="shared" si="4"/>
        <v>O-3-13</v>
      </c>
      <c r="F89" s="101" t="s">
        <v>2680</v>
      </c>
      <c r="G89" s="102">
        <v>46144</v>
      </c>
      <c r="I89" s="98" t="s">
        <v>327</v>
      </c>
      <c r="J89" s="99">
        <v>3</v>
      </c>
      <c r="K89" s="99">
        <v>13</v>
      </c>
      <c r="L89" s="101" t="str">
        <f t="shared" si="2"/>
        <v>O-3-13</v>
      </c>
      <c r="M89" s="101"/>
      <c r="N89" s="101"/>
      <c r="O89" s="101"/>
      <c r="P89" s="101"/>
    </row>
    <row r="90" spans="1:21" ht="22.5" hidden="1" customHeight="1">
      <c r="A90" s="98" t="s">
        <v>284</v>
      </c>
      <c r="B90" s="99">
        <v>11</v>
      </c>
      <c r="C90" s="99">
        <v>37</v>
      </c>
      <c r="D90" s="100" t="str">
        <f t="shared" si="3"/>
        <v>L-11</v>
      </c>
      <c r="E90" s="100" t="str">
        <f t="shared" si="4"/>
        <v>L-11-37</v>
      </c>
      <c r="F90" s="101"/>
      <c r="G90" s="102">
        <v>46144</v>
      </c>
      <c r="I90" s="98" t="s">
        <v>284</v>
      </c>
      <c r="J90" s="99">
        <v>11</v>
      </c>
      <c r="K90" s="99">
        <v>37</v>
      </c>
      <c r="L90" s="101" t="str">
        <f t="shared" si="2"/>
        <v>L-11-37</v>
      </c>
      <c r="M90" s="101" t="s">
        <v>2681</v>
      </c>
      <c r="N90" s="101"/>
      <c r="O90" s="101"/>
      <c r="P90" s="101"/>
    </row>
    <row r="91" spans="1:21" ht="22.5" hidden="1" customHeight="1">
      <c r="A91" s="98" t="s">
        <v>545</v>
      </c>
      <c r="B91" s="99">
        <v>3</v>
      </c>
      <c r="C91" s="99">
        <v>16</v>
      </c>
      <c r="D91" s="100" t="str">
        <f t="shared" si="3"/>
        <v>C1-3</v>
      </c>
      <c r="E91" s="100" t="str">
        <f t="shared" si="4"/>
        <v>C1-3-16</v>
      </c>
      <c r="F91" s="101"/>
      <c r="G91" s="102">
        <v>46144</v>
      </c>
      <c r="I91" s="98" t="s">
        <v>545</v>
      </c>
      <c r="J91" s="99">
        <v>3</v>
      </c>
      <c r="K91" s="99">
        <v>16</v>
      </c>
      <c r="L91" s="101" t="str">
        <f t="shared" si="2"/>
        <v>C1-3-16</v>
      </c>
      <c r="M91" s="101"/>
      <c r="N91" s="101"/>
      <c r="O91" s="101"/>
      <c r="P91" s="101"/>
    </row>
    <row r="92" spans="1:21" ht="22.5" hidden="1" customHeight="1">
      <c r="A92" s="108" t="s">
        <v>299</v>
      </c>
      <c r="B92" s="109">
        <v>3</v>
      </c>
      <c r="C92" s="109">
        <v>16</v>
      </c>
      <c r="D92" s="110" t="str">
        <f t="shared" si="3"/>
        <v>M-3</v>
      </c>
      <c r="E92" s="110" t="str">
        <f t="shared" si="4"/>
        <v>M-3-16</v>
      </c>
      <c r="F92" s="111" t="s">
        <v>2682</v>
      </c>
      <c r="G92" s="112">
        <v>46144</v>
      </c>
      <c r="H92" s="113"/>
      <c r="I92" s="108" t="s">
        <v>299</v>
      </c>
      <c r="J92" s="109">
        <v>3</v>
      </c>
      <c r="K92" s="109">
        <v>16</v>
      </c>
      <c r="L92" s="111" t="str">
        <f t="shared" si="2"/>
        <v>M-3-16</v>
      </c>
      <c r="M92" s="111"/>
      <c r="N92" s="111"/>
      <c r="O92" s="111"/>
      <c r="P92" s="111"/>
      <c r="Q92" s="113"/>
      <c r="R92" s="113"/>
      <c r="S92" s="113"/>
      <c r="T92" s="113"/>
      <c r="U92" s="113"/>
    </row>
    <row r="93" spans="1:21" ht="22.5" hidden="1" customHeight="1">
      <c r="A93" s="98" t="s">
        <v>144</v>
      </c>
      <c r="B93" s="99">
        <v>11</v>
      </c>
      <c r="C93" s="99">
        <v>51</v>
      </c>
      <c r="D93" s="100" t="str">
        <f t="shared" si="3"/>
        <v>E-11</v>
      </c>
      <c r="E93" s="100" t="str">
        <f t="shared" si="4"/>
        <v>E-11-51</v>
      </c>
      <c r="F93" s="101" t="s">
        <v>2683</v>
      </c>
      <c r="G93" s="102">
        <v>46144</v>
      </c>
      <c r="I93" s="98" t="s">
        <v>144</v>
      </c>
      <c r="J93" s="99">
        <v>11</v>
      </c>
      <c r="K93" s="99">
        <v>51</v>
      </c>
      <c r="L93" s="101" t="str">
        <f t="shared" si="2"/>
        <v>E-11-51</v>
      </c>
      <c r="M93" s="101" t="s">
        <v>2684</v>
      </c>
      <c r="N93" s="101"/>
      <c r="O93" s="101"/>
      <c r="P93" s="101"/>
    </row>
    <row r="94" spans="1:21" ht="22.5" hidden="1" customHeight="1">
      <c r="A94" s="98" t="s">
        <v>327</v>
      </c>
      <c r="B94" s="99">
        <v>14</v>
      </c>
      <c r="C94" s="99">
        <v>13</v>
      </c>
      <c r="D94" s="100" t="str">
        <f t="shared" si="3"/>
        <v>O-14</v>
      </c>
      <c r="E94" s="100" t="str">
        <f t="shared" si="4"/>
        <v>O-14-13</v>
      </c>
      <c r="F94" s="101"/>
      <c r="G94" s="102">
        <v>46144</v>
      </c>
      <c r="I94" s="98" t="s">
        <v>327</v>
      </c>
      <c r="J94" s="99">
        <v>14</v>
      </c>
      <c r="K94" s="99">
        <v>13</v>
      </c>
      <c r="L94" s="101" t="str">
        <f t="shared" si="2"/>
        <v>O-14-13</v>
      </c>
      <c r="M94" s="101" t="s">
        <v>2685</v>
      </c>
      <c r="N94" s="101"/>
      <c r="O94" s="101"/>
      <c r="P94" s="101"/>
    </row>
    <row r="95" spans="1:21" ht="22.5" hidden="1" customHeight="1">
      <c r="A95" s="98" t="s">
        <v>80</v>
      </c>
      <c r="B95" s="99">
        <v>25</v>
      </c>
      <c r="C95" s="99">
        <v>44</v>
      </c>
      <c r="D95" s="100" t="str">
        <f t="shared" si="3"/>
        <v>C-25</v>
      </c>
      <c r="E95" s="100" t="str">
        <f t="shared" si="4"/>
        <v>C-25-44</v>
      </c>
      <c r="F95" s="101"/>
      <c r="G95" s="102">
        <v>46144</v>
      </c>
      <c r="I95" s="98" t="s">
        <v>80</v>
      </c>
      <c r="J95" s="99">
        <v>25</v>
      </c>
      <c r="K95" s="99">
        <v>44</v>
      </c>
      <c r="L95" s="101" t="str">
        <f t="shared" si="2"/>
        <v>C-25-44</v>
      </c>
      <c r="M95" s="101"/>
      <c r="N95" s="101"/>
      <c r="O95" s="101"/>
      <c r="P95" s="101"/>
    </row>
    <row r="96" spans="1:21" ht="22.5" hidden="1" customHeight="1">
      <c r="A96" s="98" t="s">
        <v>357</v>
      </c>
      <c r="B96" s="99">
        <v>2</v>
      </c>
      <c r="C96" s="99">
        <v>17</v>
      </c>
      <c r="D96" s="100" t="str">
        <f t="shared" si="3"/>
        <v>P-2</v>
      </c>
      <c r="E96" s="100" t="str">
        <f t="shared" si="4"/>
        <v>P-2-17</v>
      </c>
      <c r="F96" s="101"/>
      <c r="G96" s="102">
        <v>46144</v>
      </c>
      <c r="I96" s="98" t="s">
        <v>357</v>
      </c>
      <c r="J96" s="99">
        <v>2</v>
      </c>
      <c r="K96" s="99">
        <v>17</v>
      </c>
      <c r="L96" s="101" t="str">
        <f t="shared" si="2"/>
        <v>P-2-17</v>
      </c>
      <c r="M96" s="101"/>
      <c r="N96" s="101"/>
      <c r="O96" s="101"/>
      <c r="P96" s="101"/>
    </row>
    <row r="97" spans="1:16" ht="22.5" hidden="1" customHeight="1">
      <c r="A97" s="98" t="s">
        <v>441</v>
      </c>
      <c r="B97" s="99">
        <v>15</v>
      </c>
      <c r="C97" s="99">
        <v>11</v>
      </c>
      <c r="D97" s="100" t="str">
        <f t="shared" si="3"/>
        <v>V-15</v>
      </c>
      <c r="E97" s="100" t="str">
        <f t="shared" si="4"/>
        <v>V-15-11</v>
      </c>
      <c r="F97" s="101"/>
      <c r="G97" s="102">
        <v>46144</v>
      </c>
      <c r="I97" s="98" t="s">
        <v>441</v>
      </c>
      <c r="J97" s="99">
        <v>15</v>
      </c>
      <c r="K97" s="99">
        <v>11</v>
      </c>
      <c r="L97" s="101" t="str">
        <f t="shared" si="2"/>
        <v>V-15-11</v>
      </c>
      <c r="M97" s="101"/>
      <c r="N97" s="101"/>
      <c r="O97" s="101"/>
      <c r="P97" s="101"/>
    </row>
    <row r="98" spans="1:16" ht="22.5" hidden="1" customHeight="1">
      <c r="A98" s="98" t="s">
        <v>80</v>
      </c>
      <c r="B98" s="99">
        <v>19</v>
      </c>
      <c r="C98" s="99">
        <v>31</v>
      </c>
      <c r="D98" s="100" t="str">
        <f t="shared" si="3"/>
        <v>C-19</v>
      </c>
      <c r="E98" s="100" t="str">
        <f t="shared" si="4"/>
        <v>C-19-31</v>
      </c>
      <c r="F98" s="101"/>
      <c r="G98" s="102">
        <v>46144</v>
      </c>
      <c r="I98" s="98" t="s">
        <v>80</v>
      </c>
      <c r="J98" s="99">
        <v>19</v>
      </c>
      <c r="K98" s="99">
        <v>31</v>
      </c>
      <c r="L98" s="101" t="str">
        <f t="shared" si="2"/>
        <v>C-19-31</v>
      </c>
      <c r="M98" s="101"/>
      <c r="N98" s="101"/>
      <c r="O98" s="101"/>
      <c r="P98" s="101"/>
    </row>
    <row r="99" spans="1:16" ht="22.5" hidden="1" customHeight="1">
      <c r="A99" s="98" t="s">
        <v>177</v>
      </c>
      <c r="B99" s="99">
        <v>18</v>
      </c>
      <c r="C99" s="99">
        <v>70</v>
      </c>
      <c r="D99" s="100" t="str">
        <f t="shared" si="3"/>
        <v>G-18</v>
      </c>
      <c r="E99" s="100" t="str">
        <f t="shared" si="4"/>
        <v>G-18-70</v>
      </c>
      <c r="F99" s="101" t="s">
        <v>2686</v>
      </c>
      <c r="G99" s="102">
        <v>46144</v>
      </c>
      <c r="I99" s="98" t="s">
        <v>177</v>
      </c>
      <c r="J99" s="99">
        <v>18</v>
      </c>
      <c r="K99" s="99">
        <v>70</v>
      </c>
      <c r="L99" s="101" t="str">
        <f t="shared" si="2"/>
        <v>G-18-70</v>
      </c>
      <c r="M99" s="101" t="s">
        <v>2687</v>
      </c>
      <c r="N99" s="101"/>
      <c r="O99" s="101"/>
      <c r="P99" s="101"/>
    </row>
    <row r="100" spans="1:16" ht="22.5" hidden="1" customHeight="1">
      <c r="A100" s="98" t="s">
        <v>144</v>
      </c>
      <c r="B100" s="99">
        <v>8</v>
      </c>
      <c r="C100" s="99">
        <v>10</v>
      </c>
      <c r="D100" s="100" t="str">
        <f t="shared" si="3"/>
        <v>E-8</v>
      </c>
      <c r="E100" s="100" t="str">
        <f t="shared" si="4"/>
        <v>E-8-10</v>
      </c>
      <c r="F100" s="101"/>
      <c r="G100" s="102">
        <v>46144</v>
      </c>
      <c r="I100" s="98" t="s">
        <v>144</v>
      </c>
      <c r="J100" s="99">
        <v>8</v>
      </c>
      <c r="K100" s="99">
        <v>10</v>
      </c>
      <c r="L100" s="101" t="str">
        <f t="shared" si="2"/>
        <v>E-8-10</v>
      </c>
      <c r="M100" s="101"/>
      <c r="N100" s="101"/>
      <c r="O100" s="101"/>
      <c r="P100" s="101"/>
    </row>
    <row r="101" spans="1:16" ht="22.5" hidden="1" customHeight="1">
      <c r="A101" s="98" t="s">
        <v>575</v>
      </c>
      <c r="B101" s="99">
        <v>11</v>
      </c>
      <c r="C101" s="99">
        <v>8</v>
      </c>
      <c r="D101" s="100" t="str">
        <f t="shared" si="3"/>
        <v>F1-11</v>
      </c>
      <c r="E101" s="100" t="str">
        <f t="shared" si="4"/>
        <v>F1-11-8</v>
      </c>
      <c r="F101" s="101" t="s">
        <v>2688</v>
      </c>
      <c r="G101" s="102">
        <v>46144</v>
      </c>
      <c r="I101" s="98" t="s">
        <v>575</v>
      </c>
      <c r="J101" s="99">
        <v>11</v>
      </c>
      <c r="K101" s="99">
        <v>8</v>
      </c>
      <c r="L101" s="101" t="str">
        <f t="shared" si="2"/>
        <v>F1-11-8</v>
      </c>
      <c r="M101" s="101"/>
      <c r="N101" s="101"/>
      <c r="O101" s="101"/>
      <c r="P101" s="101"/>
    </row>
    <row r="102" spans="1:16" ht="22.5" customHeight="1">
      <c r="A102" s="98" t="s">
        <v>502</v>
      </c>
      <c r="B102" s="99">
        <v>16</v>
      </c>
      <c r="C102" s="99">
        <v>8</v>
      </c>
      <c r="D102" s="100" t="str">
        <f t="shared" si="3"/>
        <v>Z-16</v>
      </c>
      <c r="E102" s="100" t="str">
        <f t="shared" si="4"/>
        <v>Z-16-8</v>
      </c>
      <c r="F102" s="101"/>
      <c r="G102" s="102">
        <v>46144</v>
      </c>
      <c r="I102" s="98" t="s">
        <v>502</v>
      </c>
      <c r="J102" s="99">
        <v>16</v>
      </c>
      <c r="K102" s="99">
        <v>8</v>
      </c>
      <c r="L102" s="101" t="str">
        <f t="shared" si="2"/>
        <v>Z-16-8</v>
      </c>
      <c r="M102" s="101" t="s">
        <v>2689</v>
      </c>
      <c r="N102" s="101"/>
      <c r="O102" s="101"/>
      <c r="P102" s="101"/>
    </row>
    <row r="103" spans="1:16" ht="22.5" hidden="1" customHeight="1">
      <c r="A103" s="98" t="s">
        <v>205</v>
      </c>
      <c r="B103" s="99">
        <v>22</v>
      </c>
      <c r="C103" s="99">
        <v>14</v>
      </c>
      <c r="D103" s="100" t="str">
        <f t="shared" si="3"/>
        <v>H-22</v>
      </c>
      <c r="E103" s="100" t="str">
        <f t="shared" si="4"/>
        <v>H-22-14</v>
      </c>
      <c r="F103" s="101"/>
      <c r="G103" s="102">
        <v>46144</v>
      </c>
      <c r="I103" s="98" t="s">
        <v>205</v>
      </c>
      <c r="J103" s="99">
        <v>22</v>
      </c>
      <c r="K103" s="99">
        <v>14</v>
      </c>
      <c r="L103" s="101" t="str">
        <f t="shared" si="2"/>
        <v>H-22-14</v>
      </c>
      <c r="M103" s="101"/>
      <c r="N103" s="101"/>
      <c r="O103" s="101"/>
      <c r="P103" s="101"/>
    </row>
    <row r="104" spans="1:16" ht="22.5" hidden="1" customHeight="1">
      <c r="A104" s="98" t="s">
        <v>53</v>
      </c>
      <c r="B104" s="99">
        <v>9</v>
      </c>
      <c r="C104" s="99">
        <v>59</v>
      </c>
      <c r="D104" s="100" t="str">
        <f t="shared" si="3"/>
        <v>B-9</v>
      </c>
      <c r="E104" s="100" t="str">
        <f t="shared" si="4"/>
        <v>B-9-59</v>
      </c>
      <c r="F104" s="101"/>
      <c r="G104" s="101" t="s">
        <v>2690</v>
      </c>
      <c r="I104" s="98" t="s">
        <v>53</v>
      </c>
      <c r="J104" s="99">
        <v>9</v>
      </c>
      <c r="K104" s="99">
        <v>59</v>
      </c>
      <c r="L104" s="101" t="str">
        <f t="shared" si="2"/>
        <v>B-9-59</v>
      </c>
      <c r="M104" s="101" t="s">
        <v>2690</v>
      </c>
      <c r="N104" s="101"/>
      <c r="O104" s="101"/>
      <c r="P104" s="101"/>
    </row>
    <row r="105" spans="1:16" ht="22.5" hidden="1" customHeight="1">
      <c r="A105" s="98" t="s">
        <v>228</v>
      </c>
      <c r="B105" s="99">
        <v>1</v>
      </c>
      <c r="C105" s="99">
        <v>49</v>
      </c>
      <c r="D105" s="100" t="str">
        <f t="shared" si="3"/>
        <v>I-1</v>
      </c>
      <c r="E105" s="100" t="str">
        <f t="shared" si="4"/>
        <v>I-1-49</v>
      </c>
      <c r="F105" s="101"/>
      <c r="G105" s="102">
        <v>46144</v>
      </c>
      <c r="I105" s="98" t="s">
        <v>228</v>
      </c>
      <c r="J105" s="99">
        <v>1</v>
      </c>
      <c r="K105" s="99">
        <v>49</v>
      </c>
      <c r="L105" s="101" t="str">
        <f t="shared" si="2"/>
        <v>I-1-49</v>
      </c>
      <c r="M105" s="101"/>
      <c r="N105" s="101"/>
      <c r="O105" s="101"/>
      <c r="P105" s="101"/>
    </row>
    <row r="106" spans="1:16" ht="22.5" hidden="1" customHeight="1">
      <c r="A106" s="98" t="s">
        <v>177</v>
      </c>
      <c r="B106" s="99">
        <v>5</v>
      </c>
      <c r="C106" s="99">
        <v>27</v>
      </c>
      <c r="D106" s="100" t="str">
        <f t="shared" si="3"/>
        <v>G-5</v>
      </c>
      <c r="E106" s="100" t="str">
        <f t="shared" si="4"/>
        <v>G-5-27</v>
      </c>
      <c r="F106" s="101"/>
      <c r="G106" s="102">
        <v>46144</v>
      </c>
      <c r="I106" s="98" t="s">
        <v>177</v>
      </c>
      <c r="J106" s="99">
        <v>5</v>
      </c>
      <c r="K106" s="99">
        <v>27</v>
      </c>
      <c r="L106" s="101" t="str">
        <f t="shared" si="2"/>
        <v>G-5-27</v>
      </c>
      <c r="M106" s="101"/>
      <c r="N106" s="101"/>
      <c r="O106" s="101"/>
      <c r="P106" s="101"/>
    </row>
    <row r="107" spans="1:16" ht="22.5" hidden="1" customHeight="1">
      <c r="A107" s="98" t="s">
        <v>125</v>
      </c>
      <c r="B107" s="99">
        <v>13</v>
      </c>
      <c r="C107" s="99">
        <v>28</v>
      </c>
      <c r="D107" s="100" t="str">
        <f t="shared" si="3"/>
        <v>D-13</v>
      </c>
      <c r="E107" s="100" t="str">
        <f t="shared" si="4"/>
        <v>D-13-28</v>
      </c>
      <c r="F107" s="101"/>
      <c r="G107" s="102">
        <v>46144</v>
      </c>
      <c r="I107" s="98" t="s">
        <v>125</v>
      </c>
      <c r="J107" s="99">
        <v>13</v>
      </c>
      <c r="K107" s="99">
        <v>28</v>
      </c>
      <c r="L107" s="101" t="str">
        <f t="shared" si="2"/>
        <v>D-13-28</v>
      </c>
      <c r="M107" s="101"/>
      <c r="N107" s="101"/>
      <c r="O107" s="101"/>
      <c r="P107" s="101"/>
    </row>
    <row r="108" spans="1:16" ht="22.5" hidden="1" customHeight="1">
      <c r="A108" s="98" t="s">
        <v>545</v>
      </c>
      <c r="B108" s="99">
        <v>4</v>
      </c>
      <c r="C108" s="99">
        <v>8</v>
      </c>
      <c r="D108" s="100" t="str">
        <f t="shared" si="3"/>
        <v>C1-4</v>
      </c>
      <c r="E108" s="100" t="str">
        <f t="shared" si="4"/>
        <v>C1-4-8</v>
      </c>
      <c r="F108" s="101"/>
      <c r="G108" s="102">
        <v>46144</v>
      </c>
      <c r="I108" s="98" t="s">
        <v>545</v>
      </c>
      <c r="J108" s="99">
        <v>4</v>
      </c>
      <c r="K108" s="99">
        <v>8</v>
      </c>
      <c r="L108" s="101" t="str">
        <f t="shared" si="2"/>
        <v>C1-4-8</v>
      </c>
      <c r="M108" s="101"/>
      <c r="N108" s="101"/>
      <c r="O108" s="101"/>
      <c r="P108" s="101"/>
    </row>
    <row r="109" spans="1:16" ht="22.5" hidden="1" customHeight="1">
      <c r="A109" s="98" t="s">
        <v>125</v>
      </c>
      <c r="B109" s="99">
        <v>5</v>
      </c>
      <c r="C109" s="99">
        <v>31</v>
      </c>
      <c r="D109" s="100" t="str">
        <f t="shared" si="3"/>
        <v>D-5</v>
      </c>
      <c r="E109" s="100" t="str">
        <f t="shared" si="4"/>
        <v>D-5-31</v>
      </c>
      <c r="F109" s="101"/>
      <c r="G109" s="102">
        <v>46144</v>
      </c>
      <c r="I109" s="98" t="s">
        <v>125</v>
      </c>
      <c r="J109" s="99">
        <v>5</v>
      </c>
      <c r="K109" s="99">
        <v>31</v>
      </c>
      <c r="L109" s="101" t="str">
        <f t="shared" si="2"/>
        <v>D-5-31</v>
      </c>
      <c r="M109" s="101"/>
      <c r="N109" s="101"/>
      <c r="O109" s="101"/>
      <c r="P109" s="101"/>
    </row>
    <row r="110" spans="1:16" ht="22.5" hidden="1" customHeight="1">
      <c r="A110" s="98" t="s">
        <v>80</v>
      </c>
      <c r="B110" s="99">
        <v>12</v>
      </c>
      <c r="C110" s="99">
        <v>17</v>
      </c>
      <c r="D110" s="100" t="str">
        <f t="shared" si="3"/>
        <v>C-12</v>
      </c>
      <c r="E110" s="100" t="str">
        <f t="shared" si="4"/>
        <v>C-12-17</v>
      </c>
      <c r="F110" s="101"/>
      <c r="G110" s="102">
        <v>46144</v>
      </c>
      <c r="I110" s="98" t="s">
        <v>80</v>
      </c>
      <c r="J110" s="99">
        <v>12</v>
      </c>
      <c r="K110" s="99">
        <v>17</v>
      </c>
      <c r="L110" s="101" t="str">
        <f t="shared" si="2"/>
        <v>C-12-17</v>
      </c>
      <c r="M110" s="101"/>
      <c r="N110" s="101"/>
      <c r="O110" s="101"/>
      <c r="P110" s="101"/>
    </row>
    <row r="111" spans="1:16" ht="22.5" hidden="1" customHeight="1">
      <c r="A111" s="98"/>
      <c r="B111" s="99"/>
      <c r="C111" s="99"/>
      <c r="D111" s="100"/>
      <c r="E111" s="100"/>
      <c r="F111" s="101"/>
      <c r="G111" s="102">
        <v>46144</v>
      </c>
      <c r="I111" s="98" t="s">
        <v>80</v>
      </c>
      <c r="J111" s="99">
        <v>26</v>
      </c>
      <c r="K111" s="99">
        <v>0</v>
      </c>
      <c r="L111" s="101" t="str">
        <f t="shared" si="2"/>
        <v>C-26-0</v>
      </c>
      <c r="M111" s="101" t="s">
        <v>2673</v>
      </c>
      <c r="N111" s="101"/>
      <c r="O111" s="101"/>
      <c r="P111" s="101"/>
    </row>
    <row r="112" spans="1:16" ht="22.5" hidden="1" customHeight="1">
      <c r="A112" s="98" t="s">
        <v>144</v>
      </c>
      <c r="B112" s="99">
        <v>14</v>
      </c>
      <c r="C112" s="99">
        <v>33</v>
      </c>
      <c r="D112" s="100" t="str">
        <f t="shared" ref="D112:D121" si="5">TRIM(UPPER(A112)) &amp; "-" &amp; TRIM(UPPER(B112))</f>
        <v>E-14</v>
      </c>
      <c r="E112" s="100" t="str">
        <f t="shared" ref="E112:E121" si="6">TRIM(UPPER(A112)) &amp; "-" &amp; TRIM(UPPER(B112) &amp; "-" &amp; TEXT(C112, "0"))</f>
        <v>E-14-33</v>
      </c>
      <c r="F112" s="101"/>
      <c r="G112" s="102">
        <v>46144</v>
      </c>
      <c r="I112" s="98" t="s">
        <v>144</v>
      </c>
      <c r="J112" s="99">
        <v>14</v>
      </c>
      <c r="K112" s="99">
        <v>33</v>
      </c>
      <c r="L112" s="101" t="str">
        <f t="shared" si="2"/>
        <v>E-14-33</v>
      </c>
      <c r="M112" s="101"/>
      <c r="N112" s="101"/>
      <c r="O112" s="101"/>
      <c r="P112" s="101"/>
    </row>
    <row r="113" spans="1:16" ht="22.5" hidden="1" customHeight="1">
      <c r="A113" s="98" t="s">
        <v>228</v>
      </c>
      <c r="B113" s="98" t="s">
        <v>231</v>
      </c>
      <c r="C113" s="99">
        <v>14</v>
      </c>
      <c r="D113" s="100" t="str">
        <f t="shared" si="5"/>
        <v>I-2B</v>
      </c>
      <c r="E113" s="100" t="str">
        <f t="shared" si="6"/>
        <v>I-2B-14</v>
      </c>
      <c r="F113" s="101"/>
      <c r="G113" s="102">
        <v>46144</v>
      </c>
      <c r="I113" s="98" t="s">
        <v>228</v>
      </c>
      <c r="J113" s="98" t="s">
        <v>231</v>
      </c>
      <c r="K113" s="99">
        <v>14</v>
      </c>
      <c r="L113" s="101" t="str">
        <f t="shared" si="2"/>
        <v>I-2B-14</v>
      </c>
      <c r="M113" s="101"/>
      <c r="N113" s="101"/>
      <c r="O113" s="101"/>
      <c r="P113" s="101"/>
    </row>
    <row r="114" spans="1:16" ht="22.5" hidden="1" customHeight="1">
      <c r="A114" s="98" t="s">
        <v>144</v>
      </c>
      <c r="B114" s="99">
        <v>1</v>
      </c>
      <c r="C114" s="99">
        <v>8</v>
      </c>
      <c r="D114" s="100" t="str">
        <f t="shared" si="5"/>
        <v>E-1</v>
      </c>
      <c r="E114" s="100" t="str">
        <f t="shared" si="6"/>
        <v>E-1-8</v>
      </c>
      <c r="F114" s="101"/>
      <c r="G114" s="102">
        <v>46144</v>
      </c>
      <c r="I114" s="98" t="s">
        <v>144</v>
      </c>
      <c r="J114" s="99">
        <v>1</v>
      </c>
      <c r="K114" s="99">
        <v>8</v>
      </c>
      <c r="L114" s="101" t="str">
        <f t="shared" si="2"/>
        <v>E-1-8</v>
      </c>
      <c r="M114" s="101"/>
      <c r="N114" s="101"/>
      <c r="O114" s="101"/>
      <c r="P114" s="101"/>
    </row>
    <row r="115" spans="1:16" ht="22.5" hidden="1" customHeight="1">
      <c r="A115" s="98" t="s">
        <v>228</v>
      </c>
      <c r="B115" s="99">
        <v>12</v>
      </c>
      <c r="C115" s="99">
        <v>37</v>
      </c>
      <c r="D115" s="100" t="str">
        <f t="shared" si="5"/>
        <v>I-12</v>
      </c>
      <c r="E115" s="100" t="str">
        <f t="shared" si="6"/>
        <v>I-12-37</v>
      </c>
      <c r="F115" s="101"/>
      <c r="G115" s="102">
        <v>46144</v>
      </c>
      <c r="I115" s="98" t="s">
        <v>228</v>
      </c>
      <c r="J115" s="99">
        <v>12</v>
      </c>
      <c r="K115" s="99">
        <v>37</v>
      </c>
      <c r="L115" s="101" t="str">
        <f t="shared" si="2"/>
        <v>I-12-37</v>
      </c>
      <c r="M115" s="101"/>
      <c r="N115" s="101"/>
      <c r="O115" s="101"/>
      <c r="P115" s="101"/>
    </row>
    <row r="116" spans="1:16" ht="22.5" hidden="1" customHeight="1">
      <c r="A116" s="98" t="s">
        <v>125</v>
      </c>
      <c r="B116" s="99">
        <v>11</v>
      </c>
      <c r="C116" s="99">
        <v>38</v>
      </c>
      <c r="D116" s="100" t="str">
        <f t="shared" si="5"/>
        <v>D-11</v>
      </c>
      <c r="E116" s="100" t="str">
        <f t="shared" si="6"/>
        <v>D-11-38</v>
      </c>
      <c r="F116" s="101"/>
      <c r="G116" s="102">
        <v>46144</v>
      </c>
      <c r="I116" s="98" t="s">
        <v>125</v>
      </c>
      <c r="J116" s="99">
        <v>11</v>
      </c>
      <c r="K116" s="99">
        <v>38</v>
      </c>
      <c r="L116" s="101" t="str">
        <f t="shared" si="2"/>
        <v>D-11-38</v>
      </c>
      <c r="M116" s="101"/>
      <c r="N116" s="101"/>
      <c r="O116" s="101"/>
      <c r="P116" s="101"/>
    </row>
    <row r="117" spans="1:16" ht="22.5" hidden="1" customHeight="1">
      <c r="A117" s="98" t="s">
        <v>519</v>
      </c>
      <c r="B117" s="99">
        <v>13</v>
      </c>
      <c r="C117" s="99">
        <v>8</v>
      </c>
      <c r="D117" s="100" t="str">
        <f t="shared" si="5"/>
        <v>A1-13</v>
      </c>
      <c r="E117" s="100" t="str">
        <f t="shared" si="6"/>
        <v>A1-13-8</v>
      </c>
      <c r="F117" s="101"/>
      <c r="G117" s="101" t="s">
        <v>2691</v>
      </c>
      <c r="I117" s="98" t="s">
        <v>519</v>
      </c>
      <c r="J117" s="99">
        <v>13</v>
      </c>
      <c r="K117" s="99">
        <v>8</v>
      </c>
      <c r="L117" s="101" t="str">
        <f t="shared" si="2"/>
        <v>A1-13-8</v>
      </c>
      <c r="M117" s="38" t="s">
        <v>2692</v>
      </c>
      <c r="O117" s="101"/>
      <c r="P117" s="101"/>
    </row>
    <row r="118" spans="1:16" ht="14.5" hidden="1">
      <c r="A118" s="98" t="s">
        <v>205</v>
      </c>
      <c r="B118" s="99">
        <v>14</v>
      </c>
      <c r="C118" s="99">
        <v>9</v>
      </c>
      <c r="D118" s="100" t="str">
        <f t="shared" si="5"/>
        <v>H-14</v>
      </c>
      <c r="E118" s="100" t="str">
        <f t="shared" si="6"/>
        <v>H-14-9</v>
      </c>
      <c r="G118" s="38" t="s">
        <v>2691</v>
      </c>
      <c r="I118" s="98" t="s">
        <v>205</v>
      </c>
      <c r="J118" s="99">
        <v>14</v>
      </c>
      <c r="K118" s="99">
        <v>9</v>
      </c>
      <c r="L118" s="101" t="str">
        <f t="shared" si="2"/>
        <v>H-14-9</v>
      </c>
      <c r="M118" s="38" t="s">
        <v>2692</v>
      </c>
    </row>
    <row r="119" spans="1:16" ht="14.5" hidden="1">
      <c r="A119" s="98" t="s">
        <v>378</v>
      </c>
      <c r="B119" s="99">
        <v>15</v>
      </c>
      <c r="C119" s="99">
        <v>16</v>
      </c>
      <c r="D119" s="100" t="str">
        <f t="shared" si="5"/>
        <v>Q-15</v>
      </c>
      <c r="E119" s="100" t="str">
        <f t="shared" si="6"/>
        <v>Q-15-16</v>
      </c>
      <c r="G119" s="38" t="s">
        <v>2691</v>
      </c>
      <c r="I119" s="98" t="s">
        <v>378</v>
      </c>
      <c r="J119" s="99">
        <v>15</v>
      </c>
      <c r="K119" s="99">
        <v>16</v>
      </c>
      <c r="L119" s="101" t="str">
        <f t="shared" si="2"/>
        <v>Q-15-16</v>
      </c>
      <c r="M119" s="38" t="s">
        <v>2692</v>
      </c>
    </row>
    <row r="120" spans="1:16" ht="14.5" hidden="1">
      <c r="A120" s="98" t="s">
        <v>532</v>
      </c>
      <c r="B120" s="99">
        <v>5</v>
      </c>
      <c r="C120" s="99">
        <v>11</v>
      </c>
      <c r="D120" s="100" t="str">
        <f t="shared" si="5"/>
        <v>B1-5</v>
      </c>
      <c r="E120" s="100" t="str">
        <f t="shared" si="6"/>
        <v>B1-5-11</v>
      </c>
      <c r="G120" s="38" t="s">
        <v>2691</v>
      </c>
      <c r="I120" s="98" t="s">
        <v>532</v>
      </c>
      <c r="J120" s="99">
        <v>5</v>
      </c>
      <c r="K120" s="99">
        <v>11</v>
      </c>
      <c r="L120" s="101" t="str">
        <f t="shared" si="2"/>
        <v>B1-5-11</v>
      </c>
      <c r="M120" s="38" t="s">
        <v>2692</v>
      </c>
    </row>
    <row r="121" spans="1:16" ht="14.5" hidden="1">
      <c r="A121" s="98" t="s">
        <v>53</v>
      </c>
      <c r="B121" s="99">
        <v>5</v>
      </c>
      <c r="C121" s="99">
        <v>108</v>
      </c>
      <c r="D121" s="100" t="str">
        <f t="shared" si="5"/>
        <v>B-5</v>
      </c>
      <c r="E121" s="100" t="str">
        <f t="shared" si="6"/>
        <v>B-5-108</v>
      </c>
      <c r="G121" s="38" t="s">
        <v>2691</v>
      </c>
      <c r="I121" s="98" t="s">
        <v>53</v>
      </c>
      <c r="J121" s="99">
        <v>5</v>
      </c>
      <c r="K121" s="99">
        <v>108</v>
      </c>
      <c r="L121" s="101" t="str">
        <f t="shared" si="2"/>
        <v>B-5-108</v>
      </c>
      <c r="M121" s="38" t="s">
        <v>2692</v>
      </c>
    </row>
    <row r="122" spans="1:16" ht="14.5">
      <c r="A122" s="38"/>
      <c r="B122" s="38"/>
      <c r="I122" s="98"/>
      <c r="J122" s="99"/>
      <c r="K122" s="99"/>
    </row>
    <row r="123" spans="1:16" ht="14.5">
      <c r="C123" s="38">
        <f>SUBTOTAL(109,C2:C121)</f>
        <v>8</v>
      </c>
      <c r="I123" s="98"/>
      <c r="J123" s="99"/>
      <c r="K123" s="38">
        <f>SUBTOTAL(109,K2:K121)</f>
        <v>8</v>
      </c>
    </row>
  </sheetData>
  <autoFilter ref="A1:G121" xr:uid="{00000000-0009-0000-0000-000005000000}">
    <filterColumn colId="0">
      <filters>
        <filter val="Z"/>
      </filters>
    </filterColumn>
  </autoFilter>
  <conditionalFormatting sqref="D2:E121">
    <cfRule type="expression" dxfId="0" priority="1">
      <formula>D2&lt;&gt;K2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A1:U1418"/>
  <sheetViews>
    <sheetView tabSelected="1" topLeftCell="B1" workbookViewId="0">
      <pane ySplit="1" topLeftCell="A98" activePane="bottomLeft" state="frozen"/>
      <selection pane="bottomLeft" activeCell="N102" sqref="N102"/>
    </sheetView>
  </sheetViews>
  <sheetFormatPr baseColWidth="10" defaultColWidth="14.453125" defaultRowHeight="15" customHeight="1"/>
  <cols>
    <col min="2" max="2" width="9.08984375" customWidth="1"/>
    <col min="3" max="3" width="6.08984375" customWidth="1"/>
    <col min="6" max="7" width="16.54296875" customWidth="1"/>
  </cols>
  <sheetData>
    <row r="1" spans="1:21" ht="22.5" customHeight="1">
      <c r="A1" s="114" t="s">
        <v>2693</v>
      </c>
      <c r="B1" s="114" t="s">
        <v>2</v>
      </c>
      <c r="C1" s="114" t="s">
        <v>3</v>
      </c>
      <c r="D1" s="115" t="s">
        <v>2694</v>
      </c>
      <c r="E1" s="116" t="s">
        <v>2695</v>
      </c>
      <c r="F1" s="117" t="s">
        <v>2763</v>
      </c>
      <c r="G1" s="117" t="s">
        <v>2764</v>
      </c>
      <c r="H1" s="116" t="s">
        <v>2759</v>
      </c>
      <c r="I1" s="116" t="s">
        <v>2760</v>
      </c>
      <c r="J1" s="116" t="s">
        <v>2761</v>
      </c>
      <c r="K1" s="116" t="s">
        <v>2762</v>
      </c>
      <c r="L1" s="117"/>
      <c r="M1" s="116"/>
      <c r="N1" s="116" t="s">
        <v>2696</v>
      </c>
      <c r="O1" s="115" t="s">
        <v>2697</v>
      </c>
      <c r="P1" s="115" t="s">
        <v>25</v>
      </c>
      <c r="Q1" s="118" t="s">
        <v>31</v>
      </c>
      <c r="R1" s="118" t="s">
        <v>2698</v>
      </c>
      <c r="S1" s="118"/>
      <c r="T1" s="118"/>
      <c r="U1" s="118"/>
    </row>
    <row r="2" spans="1:21" ht="22.5" hidden="1" customHeight="1">
      <c r="A2" s="119"/>
      <c r="B2" s="120" t="s">
        <v>34</v>
      </c>
      <c r="C2" s="121">
        <v>1</v>
      </c>
      <c r="D2" s="122">
        <v>2630</v>
      </c>
      <c r="E2" s="123">
        <v>100</v>
      </c>
      <c r="F2" s="123"/>
      <c r="G2" s="123"/>
      <c r="H2" s="124"/>
      <c r="I2" s="123">
        <v>0</v>
      </c>
      <c r="J2" s="125">
        <v>100</v>
      </c>
      <c r="K2" s="124">
        <f ca="1">IFERROR(__xludf.DUMMYFUNCTION("IFERROR(
  SUM(
    FILTER(
      Cobranza!$O:$O,
      (Cobranza!$AG:$AG &amp; """" = P2 &amp; """") *
      ((Cobranza!$W:$W = ""C"") + (Cobranza!$W:$W = ""c""))
    )
  ),
  0
)"),75)</f>
        <v>75</v>
      </c>
      <c r="L2" s="124"/>
      <c r="M2" s="123"/>
      <c r="N2" s="123">
        <f t="shared" ref="N2:N155" ca="1" si="0">E2-(H2+K2+I2+L2)</f>
        <v>25</v>
      </c>
      <c r="O2" s="126">
        <v>1</v>
      </c>
      <c r="P2" s="127"/>
      <c r="Q2" s="128" t="str">
        <f t="shared" ref="Q2:Q155" si="1">TRIM(UPPER(B2))</f>
        <v>A</v>
      </c>
      <c r="R2" s="129" t="str">
        <f t="shared" ref="R2:R155" si="2">TRIM(UPPER(B2)) &amp; "-" &amp; TRIM(UPPER(C2))</f>
        <v>A-1</v>
      </c>
      <c r="S2" s="14"/>
      <c r="T2" s="14"/>
      <c r="U2" s="14"/>
    </row>
    <row r="3" spans="1:21" ht="22.5" hidden="1" customHeight="1">
      <c r="A3" s="130"/>
      <c r="B3" s="131" t="s">
        <v>34</v>
      </c>
      <c r="C3" s="132">
        <v>4</v>
      </c>
      <c r="D3" s="133">
        <v>1735</v>
      </c>
      <c r="E3" s="134">
        <v>100</v>
      </c>
      <c r="F3" s="166"/>
      <c r="G3" s="166"/>
      <c r="H3" s="135"/>
      <c r="I3" s="136">
        <v>25</v>
      </c>
      <c r="J3" s="137"/>
      <c r="K3" s="138">
        <f ca="1">IFERROR(__xludf.DUMMYFUNCTION("IFERROR(
  SUM(
    FILTER(
      Cobranza!$O:$O,
      (Cobranza!$AG:$AG &amp; """" = P3 &amp; """") *
      ((Cobranza!$W:$W = ""C"") + (Cobranza!$W:$W = ""c""))
    )
  ),
  0
)"),0)</f>
        <v>0</v>
      </c>
      <c r="L3" s="135"/>
      <c r="M3" s="134"/>
      <c r="N3" s="134">
        <f t="shared" ca="1" si="0"/>
        <v>75</v>
      </c>
      <c r="O3" s="139">
        <v>1</v>
      </c>
      <c r="P3" s="140"/>
      <c r="Q3" s="141" t="str">
        <f t="shared" si="1"/>
        <v>A</v>
      </c>
      <c r="R3" s="142" t="str">
        <f t="shared" si="2"/>
        <v>A-4</v>
      </c>
      <c r="S3" s="21"/>
      <c r="T3" s="21"/>
      <c r="U3" s="21"/>
    </row>
    <row r="4" spans="1:21" ht="22.5" hidden="1" customHeight="1">
      <c r="A4" s="119"/>
      <c r="B4" s="120" t="s">
        <v>34</v>
      </c>
      <c r="C4" s="121">
        <v>5</v>
      </c>
      <c r="D4" s="122">
        <v>3441</v>
      </c>
      <c r="E4" s="123">
        <v>100</v>
      </c>
      <c r="F4" s="123"/>
      <c r="G4" s="123"/>
      <c r="H4" s="124"/>
      <c r="I4" s="123">
        <v>25</v>
      </c>
      <c r="J4" s="125">
        <v>25</v>
      </c>
      <c r="K4" s="124">
        <f ca="1">IFERROR(__xludf.DUMMYFUNCTION("IFERROR(
  SUM(
    FILTER(
      Cobranza!$O:$O,
      (Cobranza!$AG:$AG &amp; """" = P4 &amp; """") *
      ((Cobranza!$W:$W = ""C"") + (Cobranza!$W:$W = ""c""))
    )
  ),
  0
)"),25)</f>
        <v>25</v>
      </c>
      <c r="L4" s="124"/>
      <c r="M4" s="123"/>
      <c r="N4" s="123">
        <f t="shared" ca="1" si="0"/>
        <v>50</v>
      </c>
      <c r="O4" s="126">
        <v>1</v>
      </c>
      <c r="P4" s="127"/>
      <c r="Q4" s="128" t="str">
        <f t="shared" si="1"/>
        <v>A</v>
      </c>
      <c r="R4" s="129" t="str">
        <f t="shared" si="2"/>
        <v>A-5</v>
      </c>
      <c r="S4" s="14"/>
      <c r="T4" s="14"/>
      <c r="U4" s="14"/>
    </row>
    <row r="5" spans="1:21" ht="22.5" hidden="1" customHeight="1">
      <c r="A5" s="143" t="s">
        <v>2699</v>
      </c>
      <c r="B5" s="131" t="s">
        <v>34</v>
      </c>
      <c r="C5" s="132">
        <v>6</v>
      </c>
      <c r="D5" s="144"/>
      <c r="E5" s="134">
        <v>100</v>
      </c>
      <c r="F5" s="166"/>
      <c r="G5" s="166"/>
      <c r="H5" s="135"/>
      <c r="I5" s="136">
        <v>25</v>
      </c>
      <c r="J5" s="137">
        <v>25</v>
      </c>
      <c r="K5" s="138">
        <f ca="1">IFERROR(__xludf.DUMMYFUNCTION("IFERROR(
  SUM(
    FILTER(
      Cobranza!$O:$O,
      (Cobranza!$AG:$AG &amp; """" = P5 &amp; """") *
      ((Cobranza!$W:$W = ""C"") + (Cobranza!$W:$W = ""c""))
    )
  ),
  0
)"),25)</f>
        <v>25</v>
      </c>
      <c r="L5" s="135"/>
      <c r="M5" s="134"/>
      <c r="N5" s="134">
        <f t="shared" ca="1" si="0"/>
        <v>50</v>
      </c>
      <c r="O5" s="139">
        <v>1</v>
      </c>
      <c r="P5" s="140"/>
      <c r="Q5" s="141" t="str">
        <f t="shared" si="1"/>
        <v>A</v>
      </c>
      <c r="R5" s="142" t="str">
        <f t="shared" si="2"/>
        <v>A-6</v>
      </c>
      <c r="S5" s="21"/>
      <c r="T5" s="21"/>
      <c r="U5" s="21"/>
    </row>
    <row r="6" spans="1:21" ht="22.5" hidden="1" customHeight="1">
      <c r="A6" s="119"/>
      <c r="B6" s="120" t="s">
        <v>34</v>
      </c>
      <c r="C6" s="121">
        <v>8</v>
      </c>
      <c r="D6" s="122">
        <v>6395</v>
      </c>
      <c r="E6" s="123">
        <v>100</v>
      </c>
      <c r="F6" s="123"/>
      <c r="G6" s="123"/>
      <c r="H6" s="124"/>
      <c r="I6" s="123">
        <v>0</v>
      </c>
      <c r="J6" s="125">
        <v>25</v>
      </c>
      <c r="K6" s="124">
        <f ca="1">IFERROR(__xludf.DUMMYFUNCTION("IFERROR(
  SUM(
    FILTER(
      Cobranza!$O:$O,
      (Cobranza!$AG:$AG &amp; """" = P6 &amp; """") *
      ((Cobranza!$W:$W = ""C"") + (Cobranza!$W:$W = ""c""))
    )
  ),
  0
)"),0)</f>
        <v>0</v>
      </c>
      <c r="L6" s="124"/>
      <c r="M6" s="123"/>
      <c r="N6" s="123">
        <f t="shared" ca="1" si="0"/>
        <v>100</v>
      </c>
      <c r="O6" s="126">
        <v>1</v>
      </c>
      <c r="P6" s="127"/>
      <c r="Q6" s="128" t="str">
        <f t="shared" si="1"/>
        <v>A</v>
      </c>
      <c r="R6" s="129" t="str">
        <f t="shared" si="2"/>
        <v>A-8</v>
      </c>
      <c r="S6" s="14"/>
      <c r="T6" s="14"/>
      <c r="U6" s="14"/>
    </row>
    <row r="7" spans="1:21" ht="22.5" hidden="1" customHeight="1">
      <c r="A7" s="130"/>
      <c r="B7" s="131" t="s">
        <v>53</v>
      </c>
      <c r="C7" s="132">
        <v>1</v>
      </c>
      <c r="D7" s="144"/>
      <c r="E7" s="134">
        <v>100</v>
      </c>
      <c r="F7" s="166"/>
      <c r="G7" s="166"/>
      <c r="H7" s="135"/>
      <c r="I7" s="136">
        <v>100</v>
      </c>
      <c r="J7" s="137"/>
      <c r="K7" s="138">
        <f ca="1">IFERROR(__xludf.DUMMYFUNCTION("IFERROR(
  SUM(
    FILTER(
      Cobranza!$O:$O,
      (Cobranza!$AG:$AG &amp; """" = P7 &amp; """") *
      ((Cobranza!$W:$W = ""C"") + (Cobranza!$W:$W = ""c""))
    )
  ),
  0
)"),0)</f>
        <v>0</v>
      </c>
      <c r="L7" s="135"/>
      <c r="M7" s="134"/>
      <c r="N7" s="134">
        <f t="shared" ca="1" si="0"/>
        <v>0</v>
      </c>
      <c r="O7" s="145"/>
      <c r="P7" s="140"/>
      <c r="Q7" s="141" t="str">
        <f t="shared" si="1"/>
        <v>B</v>
      </c>
      <c r="R7" s="146" t="str">
        <f t="shared" si="2"/>
        <v>B-1</v>
      </c>
      <c r="S7" s="21"/>
      <c r="T7" s="21"/>
      <c r="U7" s="21"/>
    </row>
    <row r="8" spans="1:21" ht="22.5" hidden="1" customHeight="1">
      <c r="A8" s="119"/>
      <c r="B8" s="120" t="s">
        <v>53</v>
      </c>
      <c r="C8" s="121">
        <v>2</v>
      </c>
      <c r="D8" s="122">
        <v>2299</v>
      </c>
      <c r="E8" s="123">
        <v>100</v>
      </c>
      <c r="F8" s="123"/>
      <c r="G8" s="123"/>
      <c r="H8" s="124"/>
      <c r="I8" s="123">
        <v>25</v>
      </c>
      <c r="J8" s="125">
        <v>25</v>
      </c>
      <c r="K8" s="124">
        <f ca="1">IFERROR(__xludf.DUMMYFUNCTION("IFERROR(
  SUM(
    FILTER(
      Cobranza!$O:$O,
      (Cobranza!$AG:$AG &amp; """" = P8 &amp; """") *
      ((Cobranza!$W:$W = ""C"") + (Cobranza!$W:$W = ""c""))
    )
  ),
  0
)"),25)</f>
        <v>25</v>
      </c>
      <c r="L8" s="124"/>
      <c r="M8" s="123"/>
      <c r="N8" s="123">
        <f t="shared" ca="1" si="0"/>
        <v>50</v>
      </c>
      <c r="O8" s="126">
        <v>1</v>
      </c>
      <c r="P8" s="127"/>
      <c r="Q8" s="128" t="str">
        <f t="shared" si="1"/>
        <v>B</v>
      </c>
      <c r="R8" s="129" t="str">
        <f t="shared" si="2"/>
        <v>B-2</v>
      </c>
      <c r="S8" s="14"/>
      <c r="T8" s="14"/>
      <c r="U8" s="14"/>
    </row>
    <row r="9" spans="1:21" ht="22.5" hidden="1" customHeight="1">
      <c r="A9" s="147"/>
      <c r="B9" s="148" t="s">
        <v>53</v>
      </c>
      <c r="C9" s="149">
        <v>5</v>
      </c>
      <c r="D9" s="141"/>
      <c r="E9" s="136">
        <v>100</v>
      </c>
      <c r="F9" s="163"/>
      <c r="G9" s="163"/>
      <c r="H9" s="138"/>
      <c r="I9" s="136">
        <v>25</v>
      </c>
      <c r="J9" s="137"/>
      <c r="K9" s="138">
        <f ca="1">IFERROR(__xludf.DUMMYFUNCTION("IFERROR(
  SUM(
    FILTER(
      Cobranza!$O:$O,
      (Cobranza!$AG:$AG &amp; """" = P9 &amp; """") *
      ((Cobranza!$W:$W = ""C"") + (Cobranza!$W:$W = ""c""))
    )
  ),
  0
)"),25)</f>
        <v>25</v>
      </c>
      <c r="L9" s="138"/>
      <c r="M9" s="136"/>
      <c r="N9" s="136">
        <f t="shared" ca="1" si="0"/>
        <v>50</v>
      </c>
      <c r="O9" s="139">
        <v>1</v>
      </c>
      <c r="P9" s="141"/>
      <c r="Q9" s="141" t="str">
        <f t="shared" si="1"/>
        <v>B</v>
      </c>
      <c r="R9" s="142" t="str">
        <f t="shared" si="2"/>
        <v>B-5</v>
      </c>
      <c r="S9" s="21"/>
      <c r="T9" s="21"/>
      <c r="U9" s="21"/>
    </row>
    <row r="10" spans="1:21" ht="22.5" hidden="1" customHeight="1">
      <c r="A10" s="150"/>
      <c r="B10" s="151" t="s">
        <v>53</v>
      </c>
      <c r="C10" s="152">
        <v>6</v>
      </c>
      <c r="D10" s="128"/>
      <c r="E10" s="153">
        <v>100</v>
      </c>
      <c r="F10" s="153"/>
      <c r="G10" s="153"/>
      <c r="H10" s="154"/>
      <c r="I10" s="153">
        <v>25</v>
      </c>
      <c r="J10" s="125">
        <v>25</v>
      </c>
      <c r="K10" s="124">
        <f ca="1">IFERROR(__xludf.DUMMYFUNCTION("IFERROR(
  SUM(
    FILTER(
      Cobranza!$O:$O,
      (Cobranza!$AG:$AG &amp; """" = P10 &amp; """") *
      ((Cobranza!$W:$W = ""C"") + (Cobranza!$W:$W = ""c""))
    )
  ),
  0
)"),25)</f>
        <v>25</v>
      </c>
      <c r="L10" s="154"/>
      <c r="M10" s="153"/>
      <c r="N10" s="153">
        <f t="shared" ca="1" si="0"/>
        <v>50</v>
      </c>
      <c r="O10" s="126">
        <v>1</v>
      </c>
      <c r="P10" s="128"/>
      <c r="Q10" s="128" t="str">
        <f t="shared" si="1"/>
        <v>B</v>
      </c>
      <c r="R10" s="129" t="str">
        <f t="shared" si="2"/>
        <v>B-6</v>
      </c>
      <c r="S10" s="14"/>
      <c r="T10" s="14"/>
      <c r="U10" s="14"/>
    </row>
    <row r="11" spans="1:21" ht="22.5" hidden="1" customHeight="1">
      <c r="A11" s="147"/>
      <c r="B11" s="148" t="s">
        <v>53</v>
      </c>
      <c r="C11" s="149">
        <v>7</v>
      </c>
      <c r="D11" s="141"/>
      <c r="E11" s="136">
        <v>100</v>
      </c>
      <c r="F11" s="163"/>
      <c r="G11" s="163"/>
      <c r="H11" s="138"/>
      <c r="I11" s="136">
        <v>25</v>
      </c>
      <c r="J11" s="137"/>
      <c r="K11" s="138">
        <f ca="1">IFERROR(__xludf.DUMMYFUNCTION("IFERROR(
  SUM(
    FILTER(
      Cobranza!$O:$O,
      (Cobranza!$AG:$AG &amp; """" = P11 &amp; """") *
      ((Cobranza!$W:$W = ""C"") + (Cobranza!$W:$W = ""c""))
    )
  ),
  0
)"),25)</f>
        <v>25</v>
      </c>
      <c r="L11" s="138"/>
      <c r="M11" s="136"/>
      <c r="N11" s="136">
        <f t="shared" ca="1" si="0"/>
        <v>50</v>
      </c>
      <c r="O11" s="139">
        <v>1</v>
      </c>
      <c r="P11" s="141"/>
      <c r="Q11" s="141" t="str">
        <f t="shared" si="1"/>
        <v>B</v>
      </c>
      <c r="R11" s="142" t="str">
        <f t="shared" si="2"/>
        <v>B-7</v>
      </c>
      <c r="S11" s="21"/>
      <c r="T11" s="21"/>
      <c r="U11" s="21"/>
    </row>
    <row r="12" spans="1:21" ht="22.5" hidden="1" customHeight="1">
      <c r="A12" s="150"/>
      <c r="B12" s="151" t="s">
        <v>53</v>
      </c>
      <c r="C12" s="152">
        <v>8</v>
      </c>
      <c r="D12" s="128"/>
      <c r="E12" s="153">
        <v>100</v>
      </c>
      <c r="F12" s="153"/>
      <c r="G12" s="153"/>
      <c r="H12" s="154"/>
      <c r="I12" s="153">
        <v>0</v>
      </c>
      <c r="J12" s="125">
        <v>25</v>
      </c>
      <c r="K12" s="124">
        <f ca="1">IFERROR(__xludf.DUMMYFUNCTION("IFERROR(
  SUM(
    FILTER(
      Cobranza!$O:$O,
      (Cobranza!$AG:$AG &amp; """" = P12 &amp; """") *
      ((Cobranza!$W:$W = ""C"") + (Cobranza!$W:$W = ""c""))
    )
  ),
  0
)"),0)</f>
        <v>0</v>
      </c>
      <c r="L12" s="154"/>
      <c r="M12" s="153"/>
      <c r="N12" s="153">
        <f t="shared" ca="1" si="0"/>
        <v>100</v>
      </c>
      <c r="O12" s="126">
        <v>1</v>
      </c>
      <c r="P12" s="128"/>
      <c r="Q12" s="128" t="str">
        <f t="shared" si="1"/>
        <v>B</v>
      </c>
      <c r="R12" s="129" t="str">
        <f t="shared" si="2"/>
        <v>B-8</v>
      </c>
      <c r="S12" s="14"/>
      <c r="T12" s="14"/>
      <c r="U12" s="14"/>
    </row>
    <row r="13" spans="1:21" ht="22.5" hidden="1" customHeight="1">
      <c r="A13" s="147"/>
      <c r="B13" s="148" t="s">
        <v>53</v>
      </c>
      <c r="C13" s="149">
        <v>11</v>
      </c>
      <c r="D13" s="141"/>
      <c r="E13" s="136">
        <v>100</v>
      </c>
      <c r="F13" s="163"/>
      <c r="G13" s="163"/>
      <c r="H13" s="138"/>
      <c r="I13" s="136">
        <v>25</v>
      </c>
      <c r="J13" s="137"/>
      <c r="K13" s="138">
        <f ca="1">IFERROR(__xludf.DUMMYFUNCTION("IFERROR(
  SUM(
    FILTER(
      Cobranza!$O:$O,
      (Cobranza!$AG:$AG &amp; """" = P13 &amp; """") *
      ((Cobranza!$W:$W = ""C"") + (Cobranza!$W:$W = ""c""))
    )
  ),
  0
)"),25)</f>
        <v>25</v>
      </c>
      <c r="L13" s="138"/>
      <c r="M13" s="136"/>
      <c r="N13" s="136">
        <f t="shared" ca="1" si="0"/>
        <v>50</v>
      </c>
      <c r="O13" s="139">
        <v>1</v>
      </c>
      <c r="P13" s="141"/>
      <c r="Q13" s="141" t="str">
        <f t="shared" si="1"/>
        <v>B</v>
      </c>
      <c r="R13" s="142" t="str">
        <f t="shared" si="2"/>
        <v>B-11</v>
      </c>
      <c r="S13" s="21"/>
      <c r="T13" s="21"/>
      <c r="U13" s="21"/>
    </row>
    <row r="14" spans="1:21" ht="22.5" hidden="1" customHeight="1">
      <c r="A14" s="150"/>
      <c r="B14" s="151" t="s">
        <v>53</v>
      </c>
      <c r="C14" s="152">
        <v>12</v>
      </c>
      <c r="D14" s="128"/>
      <c r="E14" s="153">
        <v>100</v>
      </c>
      <c r="F14" s="153"/>
      <c r="G14" s="153"/>
      <c r="H14" s="153">
        <v>59</v>
      </c>
      <c r="I14" s="153">
        <v>41</v>
      </c>
      <c r="J14" s="125"/>
      <c r="K14" s="124">
        <f ca="1">IFERROR(__xludf.DUMMYFUNCTION("IFERROR(
  SUM(
    FILTER(
      Cobranza!$O:$O,
      (Cobranza!$AG:$AG &amp; """" = P14 &amp; """") *
      ((Cobranza!$W:$W = ""C"") + (Cobranza!$W:$W = ""c""))
    )
  ),
  0
)"),0)</f>
        <v>0</v>
      </c>
      <c r="L14" s="154"/>
      <c r="M14" s="153"/>
      <c r="N14" s="153">
        <f t="shared" ca="1" si="0"/>
        <v>0</v>
      </c>
      <c r="O14" s="126">
        <v>1</v>
      </c>
      <c r="P14" s="151" t="s">
        <v>2700</v>
      </c>
      <c r="Q14" s="128" t="str">
        <f t="shared" si="1"/>
        <v>B</v>
      </c>
      <c r="R14" s="155" t="str">
        <f t="shared" si="2"/>
        <v>B-12</v>
      </c>
      <c r="S14" s="14"/>
      <c r="T14" s="14"/>
      <c r="U14" s="14"/>
    </row>
    <row r="15" spans="1:21" ht="22.5" hidden="1" customHeight="1">
      <c r="A15" s="147"/>
      <c r="B15" s="148" t="s">
        <v>80</v>
      </c>
      <c r="C15" s="149">
        <v>1</v>
      </c>
      <c r="D15" s="156">
        <v>2119</v>
      </c>
      <c r="E15" s="136">
        <v>100</v>
      </c>
      <c r="F15" s="163"/>
      <c r="G15" s="163"/>
      <c r="H15" s="138"/>
      <c r="I15" s="136">
        <v>25</v>
      </c>
      <c r="J15" s="137"/>
      <c r="K15" s="138">
        <f ca="1">IFERROR(__xludf.DUMMYFUNCTION("IFERROR(
  SUM(
    FILTER(
      Cobranza!$O:$O,
      (Cobranza!$AG:$AG &amp; """" = P15 &amp; """") *
      ((Cobranza!$W:$W = ""C"") + (Cobranza!$W:$W = ""c""))
    )
  ),
  0
)"),25)</f>
        <v>25</v>
      </c>
      <c r="L15" s="138"/>
      <c r="M15" s="136"/>
      <c r="N15" s="136">
        <f t="shared" ca="1" si="0"/>
        <v>50</v>
      </c>
      <c r="O15" s="139">
        <v>1</v>
      </c>
      <c r="P15" s="141"/>
      <c r="Q15" s="141" t="str">
        <f t="shared" si="1"/>
        <v>C</v>
      </c>
      <c r="R15" s="142" t="str">
        <f t="shared" si="2"/>
        <v>C-1</v>
      </c>
      <c r="S15" s="21"/>
      <c r="T15" s="21"/>
      <c r="U15" s="21"/>
    </row>
    <row r="16" spans="1:21" ht="22.5" hidden="1" customHeight="1">
      <c r="A16" s="150"/>
      <c r="B16" s="151" t="s">
        <v>80</v>
      </c>
      <c r="C16" s="152">
        <v>2</v>
      </c>
      <c r="D16" s="157">
        <v>817</v>
      </c>
      <c r="E16" s="153">
        <v>100</v>
      </c>
      <c r="F16" s="153"/>
      <c r="G16" s="153"/>
      <c r="H16" s="154"/>
      <c r="I16" s="153">
        <v>25</v>
      </c>
      <c r="J16" s="125">
        <v>25</v>
      </c>
      <c r="K16" s="124">
        <f ca="1">IFERROR(__xludf.DUMMYFUNCTION("IFERROR(
  SUM(
    FILTER(
      Cobranza!$O:$O,
      (Cobranza!$AG:$AG &amp; """" = P16 &amp; """") *
      ((Cobranza!$W:$W = ""C"") + (Cobranza!$W:$W = ""c""))
    )
  ),
  0
)"),25)</f>
        <v>25</v>
      </c>
      <c r="L16" s="154"/>
      <c r="M16" s="153"/>
      <c r="N16" s="153">
        <f t="shared" ca="1" si="0"/>
        <v>50</v>
      </c>
      <c r="O16" s="126">
        <v>1</v>
      </c>
      <c r="P16" s="128"/>
      <c r="Q16" s="128" t="str">
        <f t="shared" si="1"/>
        <v>C</v>
      </c>
      <c r="R16" s="129" t="str">
        <f t="shared" si="2"/>
        <v>C-2</v>
      </c>
      <c r="S16" s="14"/>
      <c r="T16" s="14"/>
      <c r="U16" s="14"/>
    </row>
    <row r="17" spans="1:21" ht="22.5" hidden="1" customHeight="1">
      <c r="A17" s="147"/>
      <c r="B17" s="148" t="s">
        <v>80</v>
      </c>
      <c r="C17" s="149">
        <v>4</v>
      </c>
      <c r="D17" s="156">
        <v>3391</v>
      </c>
      <c r="E17" s="136">
        <v>100</v>
      </c>
      <c r="F17" s="163"/>
      <c r="G17" s="163"/>
      <c r="H17" s="138"/>
      <c r="I17" s="136">
        <v>25</v>
      </c>
      <c r="J17" s="137">
        <v>25</v>
      </c>
      <c r="K17" s="138">
        <f ca="1">IFERROR(__xludf.DUMMYFUNCTION("IFERROR(
  SUM(
    FILTER(
      Cobranza!$O:$O,
      (Cobranza!$AG:$AG &amp; """" = P17 &amp; """") *
      ((Cobranza!$W:$W = ""C"") + (Cobranza!$W:$W = ""c""))
    )
  ),
  0
)"),25)</f>
        <v>25</v>
      </c>
      <c r="L17" s="138"/>
      <c r="M17" s="136"/>
      <c r="N17" s="136">
        <f t="shared" ca="1" si="0"/>
        <v>50</v>
      </c>
      <c r="O17" s="139">
        <v>1</v>
      </c>
      <c r="P17" s="141"/>
      <c r="Q17" s="141" t="str">
        <f t="shared" si="1"/>
        <v>C</v>
      </c>
      <c r="R17" s="142" t="str">
        <f t="shared" si="2"/>
        <v>C-4</v>
      </c>
      <c r="S17" s="21"/>
      <c r="T17" s="21"/>
      <c r="U17" s="21"/>
    </row>
    <row r="18" spans="1:21" ht="22.5" hidden="1" customHeight="1">
      <c r="A18" s="150"/>
      <c r="B18" s="151" t="s">
        <v>80</v>
      </c>
      <c r="C18" s="152">
        <v>5</v>
      </c>
      <c r="D18" s="157">
        <v>4179</v>
      </c>
      <c r="E18" s="153">
        <v>100</v>
      </c>
      <c r="F18" s="153"/>
      <c r="G18" s="153"/>
      <c r="H18" s="154"/>
      <c r="I18" s="153">
        <v>25</v>
      </c>
      <c r="J18" s="125">
        <v>25</v>
      </c>
      <c r="K18" s="124">
        <f ca="1">IFERROR(__xludf.DUMMYFUNCTION("IFERROR(
  SUM(
    FILTER(
      Cobranza!$O:$O,
      (Cobranza!$AG:$AG &amp; """" = P18 &amp; """") *
      ((Cobranza!$W:$W = ""C"") + (Cobranza!$W:$W = ""c""))
    )
  ),
  0
)"),25)</f>
        <v>25</v>
      </c>
      <c r="L18" s="154"/>
      <c r="M18" s="153"/>
      <c r="N18" s="153">
        <f t="shared" ca="1" si="0"/>
        <v>50</v>
      </c>
      <c r="O18" s="126">
        <v>1</v>
      </c>
      <c r="P18" s="128"/>
      <c r="Q18" s="128" t="str">
        <f t="shared" si="1"/>
        <v>C</v>
      </c>
      <c r="R18" s="129" t="str">
        <f t="shared" si="2"/>
        <v>C-5</v>
      </c>
      <c r="S18" s="14"/>
      <c r="T18" s="14"/>
      <c r="U18" s="14"/>
    </row>
    <row r="19" spans="1:21" ht="22.5" hidden="1" customHeight="1">
      <c r="A19" s="147"/>
      <c r="B19" s="148" t="s">
        <v>80</v>
      </c>
      <c r="C19" s="149">
        <v>7</v>
      </c>
      <c r="D19" s="156">
        <v>2596</v>
      </c>
      <c r="E19" s="136">
        <v>100</v>
      </c>
      <c r="F19" s="163"/>
      <c r="G19" s="163"/>
      <c r="H19" s="138"/>
      <c r="I19" s="136">
        <v>25</v>
      </c>
      <c r="J19" s="137">
        <v>25</v>
      </c>
      <c r="K19" s="138">
        <f ca="1">IFERROR(__xludf.DUMMYFUNCTION("IFERROR(
  SUM(
    FILTER(
      Cobranza!$O:$O,
      (Cobranza!$AG:$AG &amp; """" = P19 &amp; """") *
      ((Cobranza!$W:$W = ""C"") + (Cobranza!$W:$W = ""c""))
    )
  ),
  0
)"),0)</f>
        <v>0</v>
      </c>
      <c r="L19" s="138"/>
      <c r="M19" s="136"/>
      <c r="N19" s="136">
        <f t="shared" ca="1" si="0"/>
        <v>75</v>
      </c>
      <c r="O19" s="139">
        <v>1</v>
      </c>
      <c r="P19" s="141"/>
      <c r="Q19" s="141" t="str">
        <f t="shared" si="1"/>
        <v>C</v>
      </c>
      <c r="R19" s="142" t="str">
        <f t="shared" si="2"/>
        <v>C-7</v>
      </c>
      <c r="S19" s="21"/>
      <c r="T19" s="21"/>
      <c r="U19" s="21"/>
    </row>
    <row r="20" spans="1:21" ht="22.5" hidden="1" customHeight="1">
      <c r="A20" s="150"/>
      <c r="B20" s="151" t="s">
        <v>80</v>
      </c>
      <c r="C20" s="152">
        <v>13</v>
      </c>
      <c r="D20" s="128"/>
      <c r="E20" s="153">
        <v>100</v>
      </c>
      <c r="F20" s="153"/>
      <c r="G20" s="153"/>
      <c r="H20" s="154"/>
      <c r="I20" s="153">
        <v>25</v>
      </c>
      <c r="J20" s="125">
        <v>25</v>
      </c>
      <c r="K20" s="124">
        <f ca="1">IFERROR(__xludf.DUMMYFUNCTION("IFERROR(
  SUM(
    FILTER(
      Cobranza!$O:$O,
      (Cobranza!$AG:$AG &amp; """" = P20 &amp; """") *
      ((Cobranza!$W:$W = ""C"") + (Cobranza!$W:$W = ""c""))
    )
  ),
  0
)"),25)</f>
        <v>25</v>
      </c>
      <c r="L20" s="154"/>
      <c r="M20" s="153"/>
      <c r="N20" s="153">
        <f t="shared" ca="1" si="0"/>
        <v>50</v>
      </c>
      <c r="O20" s="126">
        <v>1</v>
      </c>
      <c r="P20" s="128"/>
      <c r="Q20" s="128" t="str">
        <f t="shared" si="1"/>
        <v>C</v>
      </c>
      <c r="R20" s="129" t="str">
        <f t="shared" si="2"/>
        <v>C-13</v>
      </c>
      <c r="S20" s="14"/>
      <c r="T20" s="14"/>
      <c r="U20" s="14"/>
    </row>
    <row r="21" spans="1:21" ht="22.5" hidden="1" customHeight="1">
      <c r="A21" s="147"/>
      <c r="B21" s="148" t="s">
        <v>80</v>
      </c>
      <c r="C21" s="149">
        <v>14</v>
      </c>
      <c r="D21" s="141"/>
      <c r="E21" s="136">
        <v>100</v>
      </c>
      <c r="F21" s="163"/>
      <c r="G21" s="163"/>
      <c r="H21" s="138"/>
      <c r="I21" s="136">
        <v>25</v>
      </c>
      <c r="J21" s="137"/>
      <c r="K21" s="138">
        <f ca="1">IFERROR(__xludf.DUMMYFUNCTION("IFERROR(
  SUM(
    FILTER(
      Cobranza!$O:$O,
      (Cobranza!$AG:$AG &amp; """" = P21 &amp; """") *
      ((Cobranza!$W:$W = ""C"") + (Cobranza!$W:$W = ""c""))
    )
  ),
  0
)"),33)</f>
        <v>33</v>
      </c>
      <c r="L21" s="138"/>
      <c r="M21" s="136"/>
      <c r="N21" s="136">
        <f t="shared" ca="1" si="0"/>
        <v>42</v>
      </c>
      <c r="O21" s="139">
        <v>1</v>
      </c>
      <c r="P21" s="141"/>
      <c r="Q21" s="141" t="str">
        <f t="shared" si="1"/>
        <v>C</v>
      </c>
      <c r="R21" s="142" t="str">
        <f t="shared" si="2"/>
        <v>C-14</v>
      </c>
      <c r="S21" s="21"/>
      <c r="T21" s="21"/>
      <c r="U21" s="21"/>
    </row>
    <row r="22" spans="1:21" ht="22.5" hidden="1" customHeight="1">
      <c r="A22" s="158" t="s">
        <v>2701</v>
      </c>
      <c r="B22" s="151" t="s">
        <v>80</v>
      </c>
      <c r="C22" s="152">
        <v>16</v>
      </c>
      <c r="D22" s="128"/>
      <c r="E22" s="153">
        <v>100</v>
      </c>
      <c r="F22" s="153"/>
      <c r="G22" s="153"/>
      <c r="H22" s="154"/>
      <c r="I22" s="153">
        <v>25</v>
      </c>
      <c r="J22" s="125"/>
      <c r="K22" s="124">
        <f ca="1">IFERROR(__xludf.DUMMYFUNCTION("IFERROR(
  SUM(
    FILTER(
      Cobranza!$O:$O,
      (Cobranza!$AG:$AG &amp; """" = P22 &amp; """") *
      ((Cobranza!$W:$W = ""C"") + (Cobranza!$W:$W = ""c""))
    )
  ),
  0
)"),25)</f>
        <v>25</v>
      </c>
      <c r="L22" s="154"/>
      <c r="M22" s="153"/>
      <c r="N22" s="153">
        <f t="shared" ca="1" si="0"/>
        <v>50</v>
      </c>
      <c r="O22" s="126">
        <v>1</v>
      </c>
      <c r="P22" s="128"/>
      <c r="Q22" s="128" t="str">
        <f t="shared" si="1"/>
        <v>C</v>
      </c>
      <c r="R22" s="129" t="str">
        <f t="shared" si="2"/>
        <v>C-16</v>
      </c>
      <c r="S22" s="14"/>
      <c r="T22" s="14"/>
      <c r="U22" s="14"/>
    </row>
    <row r="23" spans="1:21" ht="22.5" hidden="1" customHeight="1">
      <c r="A23" s="147"/>
      <c r="B23" s="148" t="s">
        <v>80</v>
      </c>
      <c r="C23" s="149">
        <v>18</v>
      </c>
      <c r="D23" s="156">
        <v>426</v>
      </c>
      <c r="E23" s="136">
        <v>100</v>
      </c>
      <c r="F23" s="163"/>
      <c r="G23" s="163"/>
      <c r="H23" s="138"/>
      <c r="I23" s="136">
        <v>25</v>
      </c>
      <c r="J23" s="137">
        <v>25</v>
      </c>
      <c r="K23" s="138">
        <f ca="1">IFERROR(__xludf.DUMMYFUNCTION("IFERROR(
  SUM(
    FILTER(
      Cobranza!$O:$O,
      (Cobranza!$AG:$AG &amp; """" = P23 &amp; """") *
      ((Cobranza!$W:$W = ""C"") + (Cobranza!$W:$W = ""c""))
    )
  ),
  0
)"),25)</f>
        <v>25</v>
      </c>
      <c r="L23" s="138"/>
      <c r="M23" s="136"/>
      <c r="N23" s="136">
        <f t="shared" ca="1" si="0"/>
        <v>50</v>
      </c>
      <c r="O23" s="139">
        <v>1</v>
      </c>
      <c r="P23" s="141"/>
      <c r="Q23" s="141" t="str">
        <f t="shared" si="1"/>
        <v>C</v>
      </c>
      <c r="R23" s="142" t="str">
        <f t="shared" si="2"/>
        <v>C-18</v>
      </c>
      <c r="S23" s="21"/>
      <c r="T23" s="21"/>
      <c r="U23" s="21"/>
    </row>
    <row r="24" spans="1:21" ht="22.5" hidden="1" customHeight="1">
      <c r="A24" s="150"/>
      <c r="B24" s="151" t="s">
        <v>80</v>
      </c>
      <c r="C24" s="152">
        <v>19</v>
      </c>
      <c r="D24" s="157">
        <v>3737</v>
      </c>
      <c r="E24" s="153">
        <v>100</v>
      </c>
      <c r="F24" s="153"/>
      <c r="G24" s="153"/>
      <c r="H24" s="154"/>
      <c r="I24" s="153">
        <v>50</v>
      </c>
      <c r="J24" s="125">
        <v>47</v>
      </c>
      <c r="K24" s="124">
        <f ca="1">IFERROR(__xludf.DUMMYFUNCTION("IFERROR(
  SUM(
    FILTER(
      Cobranza!$O:$O,
      (Cobranza!$AG:$AG &amp; """" = P24 &amp; """") *
      ((Cobranza!$W:$W = ""C"") + (Cobranza!$W:$W = ""c""))
    )
  ),
  0
)"),3)</f>
        <v>3</v>
      </c>
      <c r="L24" s="154"/>
      <c r="M24" s="153"/>
      <c r="N24" s="153">
        <f t="shared" ca="1" si="0"/>
        <v>47</v>
      </c>
      <c r="O24" s="126">
        <v>1</v>
      </c>
      <c r="P24" s="128"/>
      <c r="Q24" s="128" t="str">
        <f t="shared" si="1"/>
        <v>C</v>
      </c>
      <c r="R24" s="129" t="str">
        <f t="shared" si="2"/>
        <v>C-19</v>
      </c>
      <c r="S24" s="14"/>
      <c r="T24" s="14"/>
      <c r="U24" s="14"/>
    </row>
    <row r="25" spans="1:21" ht="22.5" hidden="1" customHeight="1">
      <c r="A25" s="147"/>
      <c r="B25" s="148" t="s">
        <v>80</v>
      </c>
      <c r="C25" s="149">
        <v>20</v>
      </c>
      <c r="D25" s="141"/>
      <c r="E25" s="136">
        <v>100</v>
      </c>
      <c r="F25" s="163"/>
      <c r="G25" s="163"/>
      <c r="H25" s="136">
        <v>25</v>
      </c>
      <c r="I25" s="136">
        <v>15</v>
      </c>
      <c r="J25" s="137">
        <v>25</v>
      </c>
      <c r="K25" s="138">
        <f ca="1">IFERROR(__xludf.DUMMYFUNCTION("IFERROR(
  SUM(
    FILTER(
      Cobranza!$O:$O,
      (Cobranza!$AG:$AG &amp; """" = P25 &amp; """") *
      ((Cobranza!$W:$W = ""C"") + (Cobranza!$W:$W = ""c""))
    )
  ),
  0
)"),25)</f>
        <v>25</v>
      </c>
      <c r="L25" s="138"/>
      <c r="M25" s="136"/>
      <c r="N25" s="136">
        <f t="shared" ca="1" si="0"/>
        <v>35</v>
      </c>
      <c r="O25" s="139">
        <v>1</v>
      </c>
      <c r="P25" s="148" t="s">
        <v>2700</v>
      </c>
      <c r="Q25" s="141" t="str">
        <f t="shared" si="1"/>
        <v>C</v>
      </c>
      <c r="R25" s="142" t="str">
        <f t="shared" si="2"/>
        <v>C-20</v>
      </c>
      <c r="S25" s="21"/>
      <c r="T25" s="21"/>
      <c r="U25" s="21"/>
    </row>
    <row r="26" spans="1:21" ht="22.5" hidden="1" customHeight="1">
      <c r="A26" s="150"/>
      <c r="B26" s="151" t="s">
        <v>80</v>
      </c>
      <c r="C26" s="152">
        <v>28</v>
      </c>
      <c r="D26" s="157">
        <v>5610</v>
      </c>
      <c r="E26" s="153">
        <v>100</v>
      </c>
      <c r="F26" s="153"/>
      <c r="G26" s="153"/>
      <c r="H26" s="153">
        <v>100</v>
      </c>
      <c r="I26" s="153">
        <v>0</v>
      </c>
      <c r="J26" s="125"/>
      <c r="K26" s="124">
        <f ca="1">IFERROR(__xludf.DUMMYFUNCTION("IFERROR(
  SUM(
    FILTER(
      Cobranza!$O:$O,
      (Cobranza!$AG:$AG &amp; """" = P26 &amp; """") *
      ((Cobranza!$W:$W = ""C"") + (Cobranza!$W:$W = ""c""))
    )
  ),
  0
)"),0)</f>
        <v>0</v>
      </c>
      <c r="L26" s="154"/>
      <c r="M26" s="153"/>
      <c r="N26" s="153">
        <f t="shared" ca="1" si="0"/>
        <v>0</v>
      </c>
      <c r="O26" s="126">
        <v>1</v>
      </c>
      <c r="P26" s="151" t="s">
        <v>2668</v>
      </c>
      <c r="Q26" s="128" t="str">
        <f t="shared" si="1"/>
        <v>C</v>
      </c>
      <c r="R26" s="155" t="str">
        <f t="shared" si="2"/>
        <v>C-28</v>
      </c>
      <c r="S26" s="14"/>
      <c r="T26" s="14"/>
      <c r="U26" s="14"/>
    </row>
    <row r="27" spans="1:21" ht="22.5" hidden="1" customHeight="1">
      <c r="A27" s="147"/>
      <c r="B27" s="148" t="s">
        <v>80</v>
      </c>
      <c r="C27" s="149">
        <v>25</v>
      </c>
      <c r="D27" s="156">
        <v>3966</v>
      </c>
      <c r="E27" s="136">
        <v>100</v>
      </c>
      <c r="F27" s="163"/>
      <c r="G27" s="163"/>
      <c r="H27" s="138"/>
      <c r="I27" s="136">
        <v>25</v>
      </c>
      <c r="J27" s="137">
        <v>15</v>
      </c>
      <c r="K27" s="138">
        <f ca="1">IFERROR(__xludf.DUMMYFUNCTION("IFERROR(
  SUM(
    FILTER(
      Cobranza!$O:$O,
      (Cobranza!$AG:$AG &amp; """" = P27 &amp; """") *
      ((Cobranza!$W:$W = ""C"") + (Cobranza!$W:$W = ""c""))
    )
  ),
  0
)"),25)</f>
        <v>25</v>
      </c>
      <c r="L27" s="138"/>
      <c r="M27" s="136"/>
      <c r="N27" s="136">
        <f t="shared" ca="1" si="0"/>
        <v>50</v>
      </c>
      <c r="O27" s="139">
        <v>1</v>
      </c>
      <c r="P27" s="141"/>
      <c r="Q27" s="141" t="str">
        <f t="shared" si="1"/>
        <v>C</v>
      </c>
      <c r="R27" s="142" t="str">
        <f t="shared" si="2"/>
        <v>C-25</v>
      </c>
      <c r="S27" s="21"/>
      <c r="T27" s="21"/>
      <c r="U27" s="21"/>
    </row>
    <row r="28" spans="1:21" ht="22.5" hidden="1" customHeight="1">
      <c r="A28" s="150"/>
      <c r="B28" s="151" t="s">
        <v>80</v>
      </c>
      <c r="C28" s="152">
        <v>32</v>
      </c>
      <c r="D28" s="157">
        <v>1678</v>
      </c>
      <c r="E28" s="153">
        <v>100</v>
      </c>
      <c r="F28" s="153"/>
      <c r="G28" s="153"/>
      <c r="H28" s="154"/>
      <c r="I28" s="153">
        <v>25</v>
      </c>
      <c r="J28" s="125">
        <v>25</v>
      </c>
      <c r="K28" s="124">
        <f ca="1">IFERROR(__xludf.DUMMYFUNCTION("IFERROR(
  SUM(
    FILTER(
      Cobranza!$O:$O,
      (Cobranza!$AG:$AG &amp; """" = P28 &amp; """") *
      ((Cobranza!$W:$W = ""C"") + (Cobranza!$W:$W = ""c""))
    )
  ),
  0
)"),25)</f>
        <v>25</v>
      </c>
      <c r="L28" s="154"/>
      <c r="M28" s="153"/>
      <c r="N28" s="153">
        <f t="shared" ca="1" si="0"/>
        <v>50</v>
      </c>
      <c r="O28" s="126">
        <v>1</v>
      </c>
      <c r="P28" s="128"/>
      <c r="Q28" s="128" t="str">
        <f t="shared" si="1"/>
        <v>C</v>
      </c>
      <c r="R28" s="129" t="str">
        <f t="shared" si="2"/>
        <v>C-32</v>
      </c>
      <c r="S28" s="14"/>
      <c r="T28" s="14"/>
      <c r="U28" s="14"/>
    </row>
    <row r="29" spans="1:21" ht="22.5" hidden="1" customHeight="1">
      <c r="A29" s="147"/>
      <c r="B29" s="148" t="s">
        <v>80</v>
      </c>
      <c r="C29" s="149">
        <v>24</v>
      </c>
      <c r="D29" s="141"/>
      <c r="E29" s="136">
        <v>100</v>
      </c>
      <c r="F29" s="163"/>
      <c r="G29" s="163"/>
      <c r="H29" s="136">
        <v>100</v>
      </c>
      <c r="I29" s="136">
        <v>0</v>
      </c>
      <c r="J29" s="137"/>
      <c r="K29" s="138">
        <f ca="1">IFERROR(__xludf.DUMMYFUNCTION("IFERROR(
  SUM(
    FILTER(
      Cobranza!$O:$O,
      (Cobranza!$AG:$AG &amp; """" = P29 &amp; """") *
      ((Cobranza!$W:$W = ""C"") + (Cobranza!$W:$W = ""c""))
    )
  ),
  0
)"),0)</f>
        <v>0</v>
      </c>
      <c r="L29" s="138"/>
      <c r="M29" s="136"/>
      <c r="N29" s="136">
        <f t="shared" ca="1" si="0"/>
        <v>0</v>
      </c>
      <c r="O29" s="139">
        <v>1</v>
      </c>
      <c r="P29" s="141"/>
      <c r="Q29" s="141" t="str">
        <f t="shared" si="1"/>
        <v>C</v>
      </c>
      <c r="R29" s="146" t="str">
        <f t="shared" si="2"/>
        <v>C-24</v>
      </c>
      <c r="S29" s="21"/>
      <c r="T29" s="21"/>
      <c r="U29" s="21"/>
    </row>
    <row r="30" spans="1:21" ht="22.5" hidden="1" customHeight="1">
      <c r="A30" s="150"/>
      <c r="B30" s="151" t="s">
        <v>125</v>
      </c>
      <c r="C30" s="152">
        <v>1</v>
      </c>
      <c r="D30" s="128"/>
      <c r="E30" s="153">
        <v>100</v>
      </c>
      <c r="F30" s="153"/>
      <c r="G30" s="153"/>
      <c r="H30" s="154"/>
      <c r="I30" s="153">
        <v>0</v>
      </c>
      <c r="J30" s="125">
        <v>25</v>
      </c>
      <c r="K30" s="124">
        <f ca="1">IFERROR(__xludf.DUMMYFUNCTION("IFERROR(
  SUM(
    FILTER(
      Cobranza!$O:$O,
      (Cobranza!$AG:$AG &amp; """" = P30 &amp; """") *
      ((Cobranza!$W:$W = ""C"") + (Cobranza!$W:$W = ""c""))
    )
  ),
  0
)"),25)</f>
        <v>25</v>
      </c>
      <c r="L30" s="154"/>
      <c r="M30" s="153"/>
      <c r="N30" s="153">
        <f t="shared" ca="1" si="0"/>
        <v>75</v>
      </c>
      <c r="O30" s="126">
        <v>1</v>
      </c>
      <c r="P30" s="128"/>
      <c r="Q30" s="128" t="str">
        <f t="shared" si="1"/>
        <v>D</v>
      </c>
      <c r="R30" s="129" t="str">
        <f t="shared" si="2"/>
        <v>D-1</v>
      </c>
      <c r="S30" s="14"/>
      <c r="T30" s="14"/>
      <c r="U30" s="14"/>
    </row>
    <row r="31" spans="1:21" ht="22.5" hidden="1" customHeight="1">
      <c r="A31" s="130"/>
      <c r="B31" s="131" t="s">
        <v>125</v>
      </c>
      <c r="C31" s="132">
        <v>3</v>
      </c>
      <c r="D31" s="133">
        <v>1377</v>
      </c>
      <c r="E31" s="134">
        <v>100</v>
      </c>
      <c r="F31" s="166"/>
      <c r="G31" s="166"/>
      <c r="H31" s="135"/>
      <c r="I31" s="136">
        <v>25</v>
      </c>
      <c r="J31" s="137">
        <v>25</v>
      </c>
      <c r="K31" s="138">
        <f ca="1">IFERROR(__xludf.DUMMYFUNCTION("IFERROR(
  SUM(
    FILTER(
      Cobranza!$O:$O,
      (Cobranza!$AG:$AG &amp; """" = P31 &amp; """") *
      ((Cobranza!$W:$W = ""C"") + (Cobranza!$W:$W = ""c""))
    )
  ),
  0
)"),25)</f>
        <v>25</v>
      </c>
      <c r="L31" s="135"/>
      <c r="M31" s="134"/>
      <c r="N31" s="134">
        <f t="shared" ca="1" si="0"/>
        <v>50</v>
      </c>
      <c r="O31" s="139">
        <v>1</v>
      </c>
      <c r="P31" s="140"/>
      <c r="Q31" s="141" t="str">
        <f t="shared" si="1"/>
        <v>D</v>
      </c>
      <c r="R31" s="142" t="str">
        <f t="shared" si="2"/>
        <v>D-3</v>
      </c>
      <c r="S31" s="21"/>
      <c r="T31" s="21"/>
      <c r="U31" s="21"/>
    </row>
    <row r="32" spans="1:21" ht="22.5" hidden="1" customHeight="1">
      <c r="A32" s="119"/>
      <c r="B32" s="120" t="s">
        <v>125</v>
      </c>
      <c r="C32" s="121">
        <v>6</v>
      </c>
      <c r="D32" s="159"/>
      <c r="E32" s="123">
        <v>100</v>
      </c>
      <c r="F32" s="123"/>
      <c r="G32" s="123"/>
      <c r="H32" s="124"/>
      <c r="I32" s="123">
        <v>25</v>
      </c>
      <c r="J32" s="125">
        <v>25</v>
      </c>
      <c r="K32" s="124">
        <f ca="1">IFERROR(__xludf.DUMMYFUNCTION("IFERROR(
  SUM(
    FILTER(
      Cobranza!$O:$O,
      (Cobranza!$AG:$AG &amp; """" = P32 &amp; """") *
      ((Cobranza!$W:$W = ""C"") + (Cobranza!$W:$W = ""c""))
    )
  ),
  0
)"),25)</f>
        <v>25</v>
      </c>
      <c r="L32" s="124"/>
      <c r="M32" s="123"/>
      <c r="N32" s="123">
        <f t="shared" ca="1" si="0"/>
        <v>50</v>
      </c>
      <c r="O32" s="126">
        <v>1</v>
      </c>
      <c r="P32" s="127"/>
      <c r="Q32" s="128" t="str">
        <f t="shared" si="1"/>
        <v>D</v>
      </c>
      <c r="R32" s="129" t="str">
        <f t="shared" si="2"/>
        <v>D-6</v>
      </c>
      <c r="S32" s="14"/>
      <c r="T32" s="14"/>
      <c r="U32" s="14"/>
    </row>
    <row r="33" spans="1:21" ht="22.5" hidden="1" customHeight="1">
      <c r="A33" s="147"/>
      <c r="B33" s="148" t="s">
        <v>125</v>
      </c>
      <c r="C33" s="149">
        <v>19</v>
      </c>
      <c r="D33" s="141"/>
      <c r="E33" s="136">
        <v>100</v>
      </c>
      <c r="F33" s="163"/>
      <c r="G33" s="163"/>
      <c r="H33" s="138"/>
      <c r="I33" s="136">
        <v>25</v>
      </c>
      <c r="J33" s="137">
        <v>25</v>
      </c>
      <c r="K33" s="138">
        <f ca="1">IFERROR(__xludf.DUMMYFUNCTION("IFERROR(
  SUM(
    FILTER(
      Cobranza!$O:$O,
      (Cobranza!$AG:$AG &amp; """" = P33 &amp; """") *
      ((Cobranza!$W:$W = ""C"") + (Cobranza!$W:$W = ""c""))
    )
  ),
  0
)"),25)</f>
        <v>25</v>
      </c>
      <c r="L33" s="138"/>
      <c r="M33" s="136"/>
      <c r="N33" s="136">
        <f t="shared" ca="1" si="0"/>
        <v>50</v>
      </c>
      <c r="O33" s="139">
        <v>1</v>
      </c>
      <c r="P33" s="141"/>
      <c r="Q33" s="141" t="str">
        <f t="shared" si="1"/>
        <v>D</v>
      </c>
      <c r="R33" s="142" t="str">
        <f t="shared" si="2"/>
        <v>D-19</v>
      </c>
      <c r="S33" s="21"/>
      <c r="T33" s="21"/>
      <c r="U33" s="21"/>
    </row>
    <row r="34" spans="1:21" ht="22.5" hidden="1" customHeight="1">
      <c r="A34" s="150"/>
      <c r="B34" s="151" t="s">
        <v>125</v>
      </c>
      <c r="C34" s="152">
        <v>8</v>
      </c>
      <c r="D34" s="157">
        <v>1790</v>
      </c>
      <c r="E34" s="153">
        <v>100</v>
      </c>
      <c r="F34" s="153"/>
      <c r="G34" s="153"/>
      <c r="H34" s="154"/>
      <c r="I34" s="153">
        <v>0</v>
      </c>
      <c r="J34" s="125">
        <v>25</v>
      </c>
      <c r="K34" s="124">
        <f ca="1">IFERROR(__xludf.DUMMYFUNCTION("IFERROR(
  SUM(
    FILTER(
      Cobranza!$O:$O,
      (Cobranza!$AG:$AG &amp; """" = P34 &amp; """") *
      ((Cobranza!$W:$W = ""C"") + (Cobranza!$W:$W = ""c""))
    )
  ),
  0
)"),0)</f>
        <v>0</v>
      </c>
      <c r="L34" s="154"/>
      <c r="M34" s="153"/>
      <c r="N34" s="153">
        <f t="shared" ca="1" si="0"/>
        <v>100</v>
      </c>
      <c r="O34" s="126">
        <v>1</v>
      </c>
      <c r="P34" s="128"/>
      <c r="Q34" s="128" t="str">
        <f t="shared" si="1"/>
        <v>D</v>
      </c>
      <c r="R34" s="129" t="str">
        <f t="shared" si="2"/>
        <v>D-8</v>
      </c>
      <c r="S34" s="14"/>
      <c r="T34" s="14"/>
      <c r="U34" s="14"/>
    </row>
    <row r="35" spans="1:21" ht="22.5" hidden="1" customHeight="1">
      <c r="A35" s="147"/>
      <c r="B35" s="148" t="s">
        <v>125</v>
      </c>
      <c r="C35" s="149">
        <v>16</v>
      </c>
      <c r="D35" s="156">
        <v>1651</v>
      </c>
      <c r="E35" s="136">
        <v>100</v>
      </c>
      <c r="F35" s="163"/>
      <c r="G35" s="163"/>
      <c r="H35" s="138"/>
      <c r="I35" s="136">
        <v>25</v>
      </c>
      <c r="J35" s="137"/>
      <c r="K35" s="138">
        <f ca="1">IFERROR(__xludf.DUMMYFUNCTION("IFERROR(
  SUM(
    FILTER(
      Cobranza!$O:$O,
      (Cobranza!$AG:$AG &amp; """" = P35 &amp; """") *
      ((Cobranza!$W:$W = ""C"") + (Cobranza!$W:$W = ""c""))
    )
  ),
  0
)"),25)</f>
        <v>25</v>
      </c>
      <c r="L35" s="138"/>
      <c r="M35" s="136"/>
      <c r="N35" s="136">
        <f t="shared" ca="1" si="0"/>
        <v>50</v>
      </c>
      <c r="O35" s="139">
        <v>1</v>
      </c>
      <c r="P35" s="141"/>
      <c r="Q35" s="141" t="str">
        <f t="shared" si="1"/>
        <v>D</v>
      </c>
      <c r="R35" s="142" t="str">
        <f t="shared" si="2"/>
        <v>D-16</v>
      </c>
      <c r="S35" s="21"/>
      <c r="T35" s="21"/>
      <c r="U35" s="21"/>
    </row>
    <row r="36" spans="1:21" ht="22.5" hidden="1" customHeight="1">
      <c r="A36" s="150"/>
      <c r="B36" s="151" t="s">
        <v>144</v>
      </c>
      <c r="C36" s="152">
        <v>2</v>
      </c>
      <c r="D36" s="157">
        <v>3282</v>
      </c>
      <c r="E36" s="153">
        <v>100</v>
      </c>
      <c r="F36" s="153"/>
      <c r="G36" s="153"/>
      <c r="H36" s="154"/>
      <c r="I36" s="153">
        <v>25</v>
      </c>
      <c r="J36" s="125">
        <v>25</v>
      </c>
      <c r="K36" s="124">
        <f ca="1">IFERROR(__xludf.DUMMYFUNCTION("IFERROR(
  SUM(
    FILTER(
      Cobranza!$O:$O,
      (Cobranza!$AG:$AG &amp; """" = P36 &amp; """") *
      ((Cobranza!$W:$W = ""C"") + (Cobranza!$W:$W = ""c""))
    )
  ),
  0
)"),25)</f>
        <v>25</v>
      </c>
      <c r="L36" s="154"/>
      <c r="M36" s="153"/>
      <c r="N36" s="153">
        <f t="shared" ca="1" si="0"/>
        <v>50</v>
      </c>
      <c r="O36" s="126">
        <v>1</v>
      </c>
      <c r="P36" s="128"/>
      <c r="Q36" s="128" t="str">
        <f t="shared" si="1"/>
        <v>E</v>
      </c>
      <c r="R36" s="129" t="str">
        <f t="shared" si="2"/>
        <v>E-2</v>
      </c>
      <c r="S36" s="14"/>
      <c r="T36" s="14"/>
      <c r="U36" s="14"/>
    </row>
    <row r="37" spans="1:21" ht="22.5" hidden="1" customHeight="1">
      <c r="A37" s="147"/>
      <c r="B37" s="148" t="s">
        <v>144</v>
      </c>
      <c r="C37" s="149">
        <v>7</v>
      </c>
      <c r="D37" s="156">
        <v>1902</v>
      </c>
      <c r="E37" s="136">
        <v>100</v>
      </c>
      <c r="F37" s="163"/>
      <c r="G37" s="163"/>
      <c r="H37" s="136">
        <v>100</v>
      </c>
      <c r="I37" s="136">
        <v>0</v>
      </c>
      <c r="J37" s="137"/>
      <c r="K37" s="138">
        <f ca="1">IFERROR(__xludf.DUMMYFUNCTION("IFERROR(
  SUM(
    FILTER(
      Cobranza!$O:$O,
      (Cobranza!$AG:$AG &amp; """" = P37 &amp; """") *
      ((Cobranza!$W:$W = ""C"") + (Cobranza!$W:$W = ""c""))
    )
  ),
  0
)"),0)</f>
        <v>0</v>
      </c>
      <c r="L37" s="138"/>
      <c r="M37" s="136"/>
      <c r="N37" s="136">
        <f t="shared" ca="1" si="0"/>
        <v>0</v>
      </c>
      <c r="O37" s="139">
        <v>1</v>
      </c>
      <c r="P37" s="141"/>
      <c r="Q37" s="141" t="str">
        <f t="shared" si="1"/>
        <v>E</v>
      </c>
      <c r="R37" s="146" t="str">
        <f t="shared" si="2"/>
        <v>E-7</v>
      </c>
      <c r="S37" s="21"/>
      <c r="T37" s="21"/>
      <c r="U37" s="21"/>
    </row>
    <row r="38" spans="1:21" ht="22.5" hidden="1" customHeight="1">
      <c r="A38" s="150"/>
      <c r="B38" s="151" t="s">
        <v>144</v>
      </c>
      <c r="C38" s="152">
        <v>9</v>
      </c>
      <c r="D38" s="157">
        <v>3667</v>
      </c>
      <c r="E38" s="153">
        <v>100</v>
      </c>
      <c r="F38" s="153"/>
      <c r="G38" s="153"/>
      <c r="H38" s="154"/>
      <c r="I38" s="153">
        <v>0</v>
      </c>
      <c r="J38" s="125">
        <v>100</v>
      </c>
      <c r="K38" s="124">
        <f ca="1">IFERROR(__xludf.DUMMYFUNCTION("IFERROR(
  SUM(
    FILTER(
      Cobranza!$O:$O,
      (Cobranza!$AG:$AG &amp; """" = P38 &amp; """") *
      ((Cobranza!$W:$W = ""C"") + (Cobranza!$W:$W = ""c""))
    )
  ),
  0
)"),0)</f>
        <v>0</v>
      </c>
      <c r="L38" s="154"/>
      <c r="M38" s="153"/>
      <c r="N38" s="153">
        <f t="shared" ca="1" si="0"/>
        <v>100</v>
      </c>
      <c r="O38" s="126">
        <v>1</v>
      </c>
      <c r="P38" s="128"/>
      <c r="Q38" s="128" t="str">
        <f t="shared" si="1"/>
        <v>E</v>
      </c>
      <c r="R38" s="129" t="str">
        <f t="shared" si="2"/>
        <v>E-9</v>
      </c>
      <c r="S38" s="14"/>
      <c r="T38" s="14"/>
      <c r="U38" s="14"/>
    </row>
    <row r="39" spans="1:21" ht="22.5" hidden="1" customHeight="1">
      <c r="A39" s="147"/>
      <c r="B39" s="148" t="s">
        <v>144</v>
      </c>
      <c r="C39" s="149">
        <v>12</v>
      </c>
      <c r="D39" s="156">
        <v>3705</v>
      </c>
      <c r="E39" s="136">
        <v>100</v>
      </c>
      <c r="F39" s="163"/>
      <c r="G39" s="163"/>
      <c r="H39" s="138"/>
      <c r="I39" s="136">
        <v>24</v>
      </c>
      <c r="J39" s="137">
        <v>25</v>
      </c>
      <c r="K39" s="138">
        <f ca="1">IFERROR(__xludf.DUMMYFUNCTION("IFERROR(
  SUM(
    FILTER(
      Cobranza!$O:$O,
      (Cobranza!$AG:$AG &amp; """" = P39 &amp; """") *
      ((Cobranza!$W:$W = ""C"") + (Cobranza!$W:$W = ""c""))
    )
  ),
  0
)"),25)</f>
        <v>25</v>
      </c>
      <c r="L39" s="138"/>
      <c r="M39" s="136"/>
      <c r="N39" s="136">
        <f t="shared" ca="1" si="0"/>
        <v>51</v>
      </c>
      <c r="O39" s="139">
        <v>1</v>
      </c>
      <c r="P39" s="141"/>
      <c r="Q39" s="141" t="str">
        <f t="shared" si="1"/>
        <v>E</v>
      </c>
      <c r="R39" s="142" t="str">
        <f t="shared" si="2"/>
        <v>E-12</v>
      </c>
      <c r="S39" s="21"/>
      <c r="T39" s="21"/>
      <c r="U39" s="21"/>
    </row>
    <row r="40" spans="1:21" ht="22.5" hidden="1" customHeight="1">
      <c r="A40" s="150"/>
      <c r="B40" s="151" t="s">
        <v>161</v>
      </c>
      <c r="C40" s="152">
        <v>6</v>
      </c>
      <c r="D40" s="157">
        <v>3222</v>
      </c>
      <c r="E40" s="153">
        <v>100</v>
      </c>
      <c r="F40" s="153"/>
      <c r="G40" s="153"/>
      <c r="H40" s="154"/>
      <c r="I40" s="153">
        <v>25</v>
      </c>
      <c r="J40" s="125"/>
      <c r="K40" s="124">
        <f ca="1">IFERROR(__xludf.DUMMYFUNCTION("IFERROR(
  SUM(
    FILTER(
      Cobranza!$O:$O,
      (Cobranza!$AG:$AG &amp; """" = P40 &amp; """") *
      ((Cobranza!$W:$W = ""C"") + (Cobranza!$W:$W = ""c""))
    )
  ),
  0
)"),25)</f>
        <v>25</v>
      </c>
      <c r="L40" s="154"/>
      <c r="M40" s="153"/>
      <c r="N40" s="153">
        <f t="shared" ca="1" si="0"/>
        <v>50</v>
      </c>
      <c r="O40" s="126">
        <v>1</v>
      </c>
      <c r="P40" s="128"/>
      <c r="Q40" s="128" t="str">
        <f t="shared" si="1"/>
        <v>F</v>
      </c>
      <c r="R40" s="129" t="str">
        <f t="shared" si="2"/>
        <v>F-6</v>
      </c>
      <c r="S40" s="14"/>
      <c r="T40" s="14"/>
      <c r="U40" s="14"/>
    </row>
    <row r="41" spans="1:21" ht="22.5" hidden="1" customHeight="1">
      <c r="A41" s="147"/>
      <c r="B41" s="148" t="s">
        <v>161</v>
      </c>
      <c r="C41" s="149">
        <v>7</v>
      </c>
      <c r="D41" s="156">
        <v>7360</v>
      </c>
      <c r="E41" s="136">
        <v>100</v>
      </c>
      <c r="F41" s="163"/>
      <c r="G41" s="163"/>
      <c r="H41" s="138"/>
      <c r="I41" s="136">
        <v>25</v>
      </c>
      <c r="J41" s="137">
        <v>25</v>
      </c>
      <c r="K41" s="138">
        <f ca="1">IFERROR(__xludf.DUMMYFUNCTION("IFERROR(
  SUM(
    FILTER(
      Cobranza!$O:$O,
      (Cobranza!$AG:$AG &amp; """" = P41 &amp; """") *
      ((Cobranza!$W:$W = ""C"") + (Cobranza!$W:$W = ""c""))
    )
  ),
  0
)"),25)</f>
        <v>25</v>
      </c>
      <c r="L41" s="138"/>
      <c r="M41" s="136"/>
      <c r="N41" s="136">
        <f t="shared" ca="1" si="0"/>
        <v>50</v>
      </c>
      <c r="O41" s="139">
        <v>1</v>
      </c>
      <c r="P41" s="141"/>
      <c r="Q41" s="141" t="str">
        <f t="shared" si="1"/>
        <v>F</v>
      </c>
      <c r="R41" s="142" t="str">
        <f t="shared" si="2"/>
        <v>F-7</v>
      </c>
      <c r="S41" s="21"/>
      <c r="T41" s="21"/>
      <c r="U41" s="21"/>
    </row>
    <row r="42" spans="1:21" ht="22.5" hidden="1" customHeight="1">
      <c r="A42" s="150"/>
      <c r="B42" s="151" t="s">
        <v>161</v>
      </c>
      <c r="C42" s="152">
        <v>8</v>
      </c>
      <c r="D42" s="128"/>
      <c r="E42" s="153">
        <v>100</v>
      </c>
      <c r="F42" s="153"/>
      <c r="G42" s="153"/>
      <c r="H42" s="154"/>
      <c r="I42" s="153">
        <v>25</v>
      </c>
      <c r="J42" s="125">
        <v>25</v>
      </c>
      <c r="K42" s="124">
        <f ca="1">IFERROR(__xludf.DUMMYFUNCTION("IFERROR(
  SUM(
    FILTER(
      Cobranza!$O:$O,
      (Cobranza!$AG:$AG &amp; """" = P42 &amp; """") *
      ((Cobranza!$W:$W = ""C"") + (Cobranza!$W:$W = ""c""))
    )
  ),
  0
)"),25)</f>
        <v>25</v>
      </c>
      <c r="L42" s="154"/>
      <c r="M42" s="153"/>
      <c r="N42" s="153">
        <f t="shared" ca="1" si="0"/>
        <v>50</v>
      </c>
      <c r="O42" s="126">
        <v>1</v>
      </c>
      <c r="P42" s="128"/>
      <c r="Q42" s="128" t="str">
        <f t="shared" si="1"/>
        <v>F</v>
      </c>
      <c r="R42" s="129" t="str">
        <f t="shared" si="2"/>
        <v>F-8</v>
      </c>
      <c r="S42" s="14"/>
      <c r="T42" s="14"/>
      <c r="U42" s="14"/>
    </row>
    <row r="43" spans="1:21" ht="22.5" hidden="1" customHeight="1">
      <c r="A43" s="147"/>
      <c r="B43" s="148" t="s">
        <v>161</v>
      </c>
      <c r="C43" s="149">
        <v>9</v>
      </c>
      <c r="D43" s="156">
        <v>4150</v>
      </c>
      <c r="E43" s="136">
        <v>100</v>
      </c>
      <c r="F43" s="163"/>
      <c r="G43" s="163"/>
      <c r="H43" s="138"/>
      <c r="I43" s="136">
        <v>0</v>
      </c>
      <c r="J43" s="137">
        <v>25</v>
      </c>
      <c r="K43" s="138">
        <f ca="1">IFERROR(__xludf.DUMMYFUNCTION("IFERROR(
  SUM(
    FILTER(
      Cobranza!$O:$O,
      (Cobranza!$AG:$AG &amp; """" = P43 &amp; """") *
      ((Cobranza!$W:$W = ""C"") + (Cobranza!$W:$W = ""c""))
    )
  ),
  0
)"),25)</f>
        <v>25</v>
      </c>
      <c r="L43" s="138"/>
      <c r="M43" s="136"/>
      <c r="N43" s="136">
        <f t="shared" ca="1" si="0"/>
        <v>75</v>
      </c>
      <c r="O43" s="139">
        <v>1</v>
      </c>
      <c r="P43" s="141"/>
      <c r="Q43" s="141" t="str">
        <f t="shared" si="1"/>
        <v>F</v>
      </c>
      <c r="R43" s="142" t="str">
        <f t="shared" si="2"/>
        <v>F-9</v>
      </c>
      <c r="S43" s="21"/>
      <c r="T43" s="21"/>
      <c r="U43" s="21"/>
    </row>
    <row r="44" spans="1:21" ht="22.5" hidden="1" customHeight="1">
      <c r="A44" s="150"/>
      <c r="B44" s="151" t="s">
        <v>161</v>
      </c>
      <c r="C44" s="152">
        <v>12</v>
      </c>
      <c r="D44" s="128"/>
      <c r="E44" s="153">
        <v>100</v>
      </c>
      <c r="F44" s="153"/>
      <c r="G44" s="153"/>
      <c r="H44" s="154"/>
      <c r="I44" s="153">
        <v>25</v>
      </c>
      <c r="J44" s="125">
        <v>25</v>
      </c>
      <c r="K44" s="124">
        <f ca="1">IFERROR(__xludf.DUMMYFUNCTION("IFERROR(
  SUM(
    FILTER(
      Cobranza!$O:$O,
      (Cobranza!$AG:$AG &amp; """" = P44 &amp; """") *
      ((Cobranza!$W:$W = ""C"") + (Cobranza!$W:$W = ""c""))
    )
  ),
  0
)"),0)</f>
        <v>0</v>
      </c>
      <c r="L44" s="154"/>
      <c r="M44" s="153"/>
      <c r="N44" s="153">
        <f t="shared" ca="1" si="0"/>
        <v>75</v>
      </c>
      <c r="O44" s="126">
        <v>1</v>
      </c>
      <c r="P44" s="128"/>
      <c r="Q44" s="128" t="str">
        <f t="shared" si="1"/>
        <v>F</v>
      </c>
      <c r="R44" s="129" t="str">
        <f t="shared" si="2"/>
        <v>F-12</v>
      </c>
      <c r="S44" s="14"/>
      <c r="T44" s="14"/>
      <c r="U44" s="14"/>
    </row>
    <row r="45" spans="1:21" ht="22.5" hidden="1" customHeight="1">
      <c r="A45" s="147"/>
      <c r="B45" s="148" t="s">
        <v>161</v>
      </c>
      <c r="C45" s="149">
        <v>14</v>
      </c>
      <c r="D45" s="156">
        <v>1464</v>
      </c>
      <c r="E45" s="136">
        <v>100</v>
      </c>
      <c r="F45" s="163"/>
      <c r="G45" s="163"/>
      <c r="H45" s="138"/>
      <c r="I45" s="136">
        <v>0</v>
      </c>
      <c r="J45" s="137">
        <v>50</v>
      </c>
      <c r="K45" s="138">
        <f ca="1">IFERROR(__xludf.DUMMYFUNCTION("IFERROR(
  SUM(
    FILTER(
      Cobranza!$O:$O,
      (Cobranza!$AG:$AG &amp; """" = P45 &amp; """") *
      ((Cobranza!$W:$W = ""C"") + (Cobranza!$W:$W = ""c""))
    )
  ),
  0
)"),25)</f>
        <v>25</v>
      </c>
      <c r="L45" s="138"/>
      <c r="M45" s="136"/>
      <c r="N45" s="136">
        <f t="shared" ca="1" si="0"/>
        <v>75</v>
      </c>
      <c r="O45" s="139">
        <v>1</v>
      </c>
      <c r="P45" s="141"/>
      <c r="Q45" s="141" t="str">
        <f t="shared" si="1"/>
        <v>F</v>
      </c>
      <c r="R45" s="142" t="str">
        <f t="shared" si="2"/>
        <v>F-14</v>
      </c>
      <c r="S45" s="21"/>
      <c r="T45" s="21"/>
      <c r="U45" s="21"/>
    </row>
    <row r="46" spans="1:21" ht="22.5" hidden="1" customHeight="1">
      <c r="A46" s="150"/>
      <c r="B46" s="151" t="s">
        <v>161</v>
      </c>
      <c r="C46" s="152" t="s">
        <v>164</v>
      </c>
      <c r="D46" s="157">
        <v>2971</v>
      </c>
      <c r="E46" s="153">
        <v>100</v>
      </c>
      <c r="F46" s="153"/>
      <c r="G46" s="153"/>
      <c r="H46" s="154"/>
      <c r="I46" s="153">
        <v>25</v>
      </c>
      <c r="J46" s="125">
        <v>25</v>
      </c>
      <c r="K46" s="124">
        <f ca="1">IFERROR(__xludf.DUMMYFUNCTION("IFERROR(
  SUM(
    FILTER(
      Cobranza!$O:$O,
      (Cobranza!$AG:$AG &amp; """" = P46 &amp; """") *
      ((Cobranza!$W:$W = ""C"") + (Cobranza!$W:$W = ""c""))
    )
  ),
  0
)"),25)</f>
        <v>25</v>
      </c>
      <c r="L46" s="154"/>
      <c r="M46" s="153"/>
      <c r="N46" s="153">
        <f t="shared" ca="1" si="0"/>
        <v>50</v>
      </c>
      <c r="O46" s="126">
        <v>1</v>
      </c>
      <c r="P46" s="128"/>
      <c r="Q46" s="128" t="str">
        <f t="shared" si="1"/>
        <v>F</v>
      </c>
      <c r="R46" s="129" t="str">
        <f t="shared" si="2"/>
        <v>F-3B</v>
      </c>
      <c r="S46" s="14"/>
      <c r="T46" s="14"/>
      <c r="U46" s="14"/>
    </row>
    <row r="47" spans="1:21" ht="22.5" hidden="1" customHeight="1">
      <c r="A47" s="147"/>
      <c r="B47" s="148" t="s">
        <v>575</v>
      </c>
      <c r="C47" s="149">
        <v>8</v>
      </c>
      <c r="D47" s="141"/>
      <c r="E47" s="136">
        <v>100</v>
      </c>
      <c r="F47" s="163"/>
      <c r="G47" s="163"/>
      <c r="H47" s="138"/>
      <c r="I47" s="136">
        <v>25</v>
      </c>
      <c r="J47" s="137">
        <v>25</v>
      </c>
      <c r="K47" s="138">
        <f ca="1">IFERROR(__xludf.DUMMYFUNCTION("IFERROR(
  SUM(
    FILTER(
      Cobranza!$O:$O,
      (Cobranza!$AG:$AG &amp; """" = P47 &amp; """") *
      ((Cobranza!$W:$W = ""C"") + (Cobranza!$W:$W = ""c""))
    )
  ),
  0
)"),25)</f>
        <v>25</v>
      </c>
      <c r="L47" s="138"/>
      <c r="M47" s="136"/>
      <c r="N47" s="136">
        <f t="shared" ca="1" si="0"/>
        <v>50</v>
      </c>
      <c r="O47" s="139">
        <v>1</v>
      </c>
      <c r="P47" s="141"/>
      <c r="Q47" s="141" t="str">
        <f t="shared" si="1"/>
        <v>F1</v>
      </c>
      <c r="R47" s="142" t="str">
        <f t="shared" si="2"/>
        <v>F1-8</v>
      </c>
      <c r="S47" s="21"/>
      <c r="T47" s="21"/>
      <c r="U47" s="21"/>
    </row>
    <row r="48" spans="1:21" ht="22.5" hidden="1" customHeight="1">
      <c r="A48" s="150"/>
      <c r="B48" s="151" t="s">
        <v>177</v>
      </c>
      <c r="C48" s="152">
        <v>2</v>
      </c>
      <c r="D48" s="157">
        <v>3922</v>
      </c>
      <c r="E48" s="153">
        <v>100</v>
      </c>
      <c r="F48" s="153"/>
      <c r="G48" s="153"/>
      <c r="H48" s="154"/>
      <c r="I48" s="153">
        <v>25</v>
      </c>
      <c r="J48" s="125">
        <v>25</v>
      </c>
      <c r="K48" s="124">
        <f ca="1">IFERROR(__xludf.DUMMYFUNCTION("IFERROR(
  SUM(
    FILTER(
      Cobranza!$O:$O,
      (Cobranza!$AG:$AG &amp; """" = P48 &amp; """") *
      ((Cobranza!$W:$W = ""C"") + (Cobranza!$W:$W = ""c""))
    )
  ),
  0
)"),25)</f>
        <v>25</v>
      </c>
      <c r="L48" s="154"/>
      <c r="M48" s="153"/>
      <c r="N48" s="153">
        <f t="shared" ca="1" si="0"/>
        <v>50</v>
      </c>
      <c r="O48" s="126">
        <v>1</v>
      </c>
      <c r="P48" s="128"/>
      <c r="Q48" s="128" t="str">
        <f t="shared" si="1"/>
        <v>G</v>
      </c>
      <c r="R48" s="129" t="str">
        <f t="shared" si="2"/>
        <v>G-2</v>
      </c>
      <c r="S48" s="14"/>
      <c r="T48" s="14"/>
      <c r="U48" s="14"/>
    </row>
    <row r="49" spans="1:21" ht="22.5" hidden="1" customHeight="1">
      <c r="A49" s="147"/>
      <c r="B49" s="148" t="s">
        <v>177</v>
      </c>
      <c r="C49" s="149">
        <v>3</v>
      </c>
      <c r="D49" s="156">
        <v>2757</v>
      </c>
      <c r="E49" s="136">
        <v>100</v>
      </c>
      <c r="F49" s="163"/>
      <c r="G49" s="163"/>
      <c r="H49" s="138"/>
      <c r="I49" s="136">
        <v>25</v>
      </c>
      <c r="J49" s="137">
        <v>25</v>
      </c>
      <c r="K49" s="138">
        <f ca="1">IFERROR(__xludf.DUMMYFUNCTION("IFERROR(
  SUM(
    FILTER(
      Cobranza!$O:$O,
      (Cobranza!$AG:$AG &amp; """" = P49 &amp; """") *
      ((Cobranza!$W:$W = ""C"") + (Cobranza!$W:$W = ""c""))
    )
  ),
  0
)"),25)</f>
        <v>25</v>
      </c>
      <c r="L49" s="138"/>
      <c r="M49" s="136"/>
      <c r="N49" s="136">
        <f t="shared" ca="1" si="0"/>
        <v>50</v>
      </c>
      <c r="O49" s="139">
        <v>1</v>
      </c>
      <c r="P49" s="141"/>
      <c r="Q49" s="141" t="str">
        <f t="shared" si="1"/>
        <v>G</v>
      </c>
      <c r="R49" s="142" t="str">
        <f t="shared" si="2"/>
        <v>G-3</v>
      </c>
      <c r="S49" s="21"/>
      <c r="T49" s="21"/>
      <c r="U49" s="21"/>
    </row>
    <row r="50" spans="1:21" ht="22.5" hidden="1" customHeight="1">
      <c r="A50" s="150"/>
      <c r="B50" s="151" t="s">
        <v>177</v>
      </c>
      <c r="C50" s="152">
        <v>4</v>
      </c>
      <c r="D50" s="128"/>
      <c r="E50" s="153">
        <v>100</v>
      </c>
      <c r="F50" s="153"/>
      <c r="G50" s="153"/>
      <c r="H50" s="154"/>
      <c r="I50" s="153">
        <v>0</v>
      </c>
      <c r="J50" s="125"/>
      <c r="K50" s="124">
        <f ca="1">IFERROR(__xludf.DUMMYFUNCTION("IFERROR(
  SUM(
    FILTER(
      Cobranza!$O:$O,
      (Cobranza!$AG:$AG &amp; """" = P50 &amp; """") *
      ((Cobranza!$W:$W = ""C"") + (Cobranza!$W:$W = ""c""))
    )
  ),
  0
)"),25)</f>
        <v>25</v>
      </c>
      <c r="L50" s="154"/>
      <c r="M50" s="153"/>
      <c r="N50" s="153">
        <f t="shared" ca="1" si="0"/>
        <v>75</v>
      </c>
      <c r="O50" s="126">
        <v>1</v>
      </c>
      <c r="P50" s="128"/>
      <c r="Q50" s="128" t="str">
        <f t="shared" si="1"/>
        <v>G</v>
      </c>
      <c r="R50" s="129" t="str">
        <f t="shared" si="2"/>
        <v>G-4</v>
      </c>
      <c r="S50" s="14"/>
      <c r="T50" s="14"/>
      <c r="U50" s="14"/>
    </row>
    <row r="51" spans="1:21" ht="22.5" hidden="1" customHeight="1">
      <c r="A51" s="147"/>
      <c r="B51" s="148" t="s">
        <v>177</v>
      </c>
      <c r="C51" s="149">
        <v>6</v>
      </c>
      <c r="D51" s="156">
        <v>3882</v>
      </c>
      <c r="E51" s="136">
        <v>100</v>
      </c>
      <c r="F51" s="163"/>
      <c r="G51" s="163"/>
      <c r="H51" s="138"/>
      <c r="I51" s="136">
        <v>25</v>
      </c>
      <c r="J51" s="137"/>
      <c r="K51" s="138">
        <f ca="1">IFERROR(__xludf.DUMMYFUNCTION("IFERROR(
  SUM(
    FILTER(
      Cobranza!$O:$O,
      (Cobranza!$AG:$AG &amp; """" = P51 &amp; """") *
      ((Cobranza!$W:$W = ""C"") + (Cobranza!$W:$W = ""c""))
    )
  ),
  0
)"),25)</f>
        <v>25</v>
      </c>
      <c r="L51" s="138"/>
      <c r="M51" s="136"/>
      <c r="N51" s="136">
        <f t="shared" ca="1" si="0"/>
        <v>50</v>
      </c>
      <c r="O51" s="139">
        <v>1</v>
      </c>
      <c r="P51" s="141"/>
      <c r="Q51" s="141" t="str">
        <f t="shared" si="1"/>
        <v>G</v>
      </c>
      <c r="R51" s="142" t="str">
        <f t="shared" si="2"/>
        <v>G-6</v>
      </c>
      <c r="S51" s="21"/>
      <c r="T51" s="21"/>
      <c r="U51" s="21"/>
    </row>
    <row r="52" spans="1:21" ht="22.5" hidden="1" customHeight="1">
      <c r="A52" s="150"/>
      <c r="B52" s="151" t="s">
        <v>177</v>
      </c>
      <c r="C52" s="152">
        <v>11</v>
      </c>
      <c r="D52" s="160"/>
      <c r="E52" s="153">
        <v>100</v>
      </c>
      <c r="F52" s="153"/>
      <c r="G52" s="153"/>
      <c r="H52" s="154"/>
      <c r="I52" s="153">
        <v>25</v>
      </c>
      <c r="J52" s="125">
        <v>25</v>
      </c>
      <c r="K52" s="124">
        <f ca="1">IFERROR(__xludf.DUMMYFUNCTION("IFERROR(
  SUM(
    FILTER(
      Cobranza!$O:$O,
      (Cobranza!$AG:$AG &amp; """" = P52 &amp; """") *
      ((Cobranza!$W:$W = ""C"") + (Cobranza!$W:$W = ""c""))
    )
  ),
  0
)"),25)</f>
        <v>25</v>
      </c>
      <c r="L52" s="154"/>
      <c r="M52" s="153"/>
      <c r="N52" s="153">
        <f t="shared" ca="1" si="0"/>
        <v>50</v>
      </c>
      <c r="O52" s="126">
        <v>1</v>
      </c>
      <c r="P52" s="128"/>
      <c r="Q52" s="128" t="str">
        <f t="shared" si="1"/>
        <v>G</v>
      </c>
      <c r="R52" s="129" t="str">
        <f t="shared" si="2"/>
        <v>G-11</v>
      </c>
      <c r="S52" s="14"/>
      <c r="T52" s="14"/>
      <c r="U52" s="14"/>
    </row>
    <row r="53" spans="1:21" ht="22.5" hidden="1" customHeight="1">
      <c r="A53" s="147"/>
      <c r="B53" s="148" t="s">
        <v>177</v>
      </c>
      <c r="C53" s="149">
        <v>12</v>
      </c>
      <c r="D53" s="139">
        <v>2143</v>
      </c>
      <c r="E53" s="136">
        <v>100</v>
      </c>
      <c r="F53" s="163"/>
      <c r="G53" s="163"/>
      <c r="H53" s="138"/>
      <c r="I53" s="136">
        <v>25</v>
      </c>
      <c r="J53" s="137">
        <v>25</v>
      </c>
      <c r="K53" s="138">
        <f ca="1">IFERROR(__xludf.DUMMYFUNCTION("IFERROR(
  SUM(
    FILTER(
      Cobranza!$O:$O,
      (Cobranza!$AG:$AG &amp; """" = P53 &amp; """") *
      ((Cobranza!$W:$W = ""C"") + (Cobranza!$W:$W = ""c""))
    )
  ),
  0
)"),25)</f>
        <v>25</v>
      </c>
      <c r="L53" s="138"/>
      <c r="M53" s="136"/>
      <c r="N53" s="136">
        <f t="shared" ca="1" si="0"/>
        <v>50</v>
      </c>
      <c r="O53" s="139">
        <v>1</v>
      </c>
      <c r="P53" s="141"/>
      <c r="Q53" s="141" t="str">
        <f t="shared" si="1"/>
        <v>G</v>
      </c>
      <c r="R53" s="142" t="str">
        <f t="shared" si="2"/>
        <v>G-12</v>
      </c>
      <c r="S53" s="21"/>
      <c r="T53" s="21"/>
      <c r="U53" s="21"/>
    </row>
    <row r="54" spans="1:21" ht="22.5" hidden="1" customHeight="1">
      <c r="A54" s="150"/>
      <c r="B54" s="151" t="s">
        <v>177</v>
      </c>
      <c r="C54" s="152">
        <v>13</v>
      </c>
      <c r="D54" s="160"/>
      <c r="E54" s="153">
        <v>100</v>
      </c>
      <c r="F54" s="153"/>
      <c r="G54" s="153"/>
      <c r="H54" s="154"/>
      <c r="I54" s="153">
        <v>25</v>
      </c>
      <c r="J54" s="125"/>
      <c r="K54" s="124">
        <f ca="1">IFERROR(__xludf.DUMMYFUNCTION("IFERROR(
  SUM(
    FILTER(
      Cobranza!$O:$O,
      (Cobranza!$AG:$AG &amp; """" = P54 &amp; """") *
      ((Cobranza!$W:$W = ""C"") + (Cobranza!$W:$W = ""c""))
    )
  ),
  0
)"),25)</f>
        <v>25</v>
      </c>
      <c r="L54" s="154"/>
      <c r="M54" s="153"/>
      <c r="N54" s="153">
        <f t="shared" ca="1" si="0"/>
        <v>50</v>
      </c>
      <c r="O54" s="126">
        <v>1</v>
      </c>
      <c r="P54" s="128"/>
      <c r="Q54" s="128" t="str">
        <f t="shared" si="1"/>
        <v>G</v>
      </c>
      <c r="R54" s="129" t="str">
        <f t="shared" si="2"/>
        <v>G-13</v>
      </c>
      <c r="S54" s="14"/>
      <c r="T54" s="14"/>
      <c r="U54" s="14"/>
    </row>
    <row r="55" spans="1:21" ht="22.5" hidden="1" customHeight="1">
      <c r="A55" s="147"/>
      <c r="B55" s="148" t="s">
        <v>177</v>
      </c>
      <c r="C55" s="149">
        <v>14</v>
      </c>
      <c r="D55" s="139">
        <v>2030</v>
      </c>
      <c r="E55" s="136">
        <v>100</v>
      </c>
      <c r="F55" s="163"/>
      <c r="G55" s="163"/>
      <c r="H55" s="138"/>
      <c r="I55" s="136">
        <v>11</v>
      </c>
      <c r="J55" s="137">
        <v>26</v>
      </c>
      <c r="K55" s="138">
        <f ca="1">IFERROR(__xludf.DUMMYFUNCTION("IFERROR(
  SUM(
    FILTER(
      Cobranza!$O:$O,
      (Cobranza!$AG:$AG &amp; """" = P55 &amp; """") *
      ((Cobranza!$W:$W = ""C"") + (Cobranza!$W:$W = ""c""))
    )
  ),
  0
)"),25)</f>
        <v>25</v>
      </c>
      <c r="L55" s="138"/>
      <c r="M55" s="136"/>
      <c r="N55" s="136">
        <f t="shared" ca="1" si="0"/>
        <v>64</v>
      </c>
      <c r="O55" s="139">
        <v>1</v>
      </c>
      <c r="P55" s="141"/>
      <c r="Q55" s="141" t="str">
        <f t="shared" si="1"/>
        <v>G</v>
      </c>
      <c r="R55" s="142" t="str">
        <f t="shared" si="2"/>
        <v>G-14</v>
      </c>
      <c r="S55" s="21"/>
      <c r="T55" s="21"/>
      <c r="U55" s="21"/>
    </row>
    <row r="56" spans="1:21" ht="22.5" hidden="1" customHeight="1">
      <c r="A56" s="150"/>
      <c r="B56" s="151" t="s">
        <v>177</v>
      </c>
      <c r="C56" s="152">
        <v>17</v>
      </c>
      <c r="D56" s="160"/>
      <c r="E56" s="153">
        <v>100</v>
      </c>
      <c r="F56" s="153"/>
      <c r="G56" s="153"/>
      <c r="H56" s="154"/>
      <c r="I56" s="153">
        <v>25</v>
      </c>
      <c r="J56" s="125">
        <v>25</v>
      </c>
      <c r="K56" s="124">
        <f ca="1">IFERROR(__xludf.DUMMYFUNCTION("IFERROR(
  SUM(
    FILTER(
      Cobranza!$O:$O,
      (Cobranza!$AG:$AG &amp; """" = P56 &amp; """") *
      ((Cobranza!$W:$W = ""C"") + (Cobranza!$W:$W = ""c""))
    )
  ),
  0
)"),25)</f>
        <v>25</v>
      </c>
      <c r="L56" s="154"/>
      <c r="M56" s="153"/>
      <c r="N56" s="153">
        <f t="shared" ca="1" si="0"/>
        <v>50</v>
      </c>
      <c r="O56" s="126">
        <v>1</v>
      </c>
      <c r="P56" s="128"/>
      <c r="Q56" s="128" t="str">
        <f t="shared" si="1"/>
        <v>G</v>
      </c>
      <c r="R56" s="155" t="str">
        <f t="shared" si="2"/>
        <v>G-17</v>
      </c>
      <c r="S56" s="14"/>
      <c r="T56" s="14"/>
      <c r="U56" s="14"/>
    </row>
    <row r="57" spans="1:21" ht="22.5" hidden="1" customHeight="1">
      <c r="A57" s="147"/>
      <c r="B57" s="148" t="s">
        <v>177</v>
      </c>
      <c r="C57" s="149">
        <v>16</v>
      </c>
      <c r="D57" s="145"/>
      <c r="E57" s="136">
        <v>100</v>
      </c>
      <c r="F57" s="163"/>
      <c r="G57" s="163"/>
      <c r="H57" s="138"/>
      <c r="I57" s="136">
        <v>100</v>
      </c>
      <c r="J57" s="137"/>
      <c r="K57" s="138">
        <f ca="1">IFERROR(__xludf.DUMMYFUNCTION("IFERROR(
  SUM(
    FILTER(
      Cobranza!$O:$O,
      (Cobranza!$AG:$AG &amp; """" = P57 &amp; """") *
      ((Cobranza!$W:$W = ""C"") + (Cobranza!$W:$W = ""c""))
    )
  ),
  0
)"),0)</f>
        <v>0</v>
      </c>
      <c r="L57" s="138"/>
      <c r="M57" s="136"/>
      <c r="N57" s="136">
        <f t="shared" ca="1" si="0"/>
        <v>0</v>
      </c>
      <c r="O57" s="139">
        <v>1</v>
      </c>
      <c r="P57" s="141"/>
      <c r="Q57" s="141" t="str">
        <f t="shared" si="1"/>
        <v>G</v>
      </c>
      <c r="R57" s="142" t="str">
        <f t="shared" si="2"/>
        <v>G-16</v>
      </c>
      <c r="S57" s="21"/>
      <c r="T57" s="21"/>
      <c r="U57" s="21"/>
    </row>
    <row r="58" spans="1:21" ht="22.5" hidden="1" customHeight="1">
      <c r="A58" s="150"/>
      <c r="B58" s="151" t="s">
        <v>177</v>
      </c>
      <c r="C58" s="152">
        <v>18</v>
      </c>
      <c r="D58" s="160"/>
      <c r="E58" s="153">
        <v>100</v>
      </c>
      <c r="F58" s="153"/>
      <c r="G58" s="153"/>
      <c r="H58" s="154"/>
      <c r="I58" s="153">
        <v>0</v>
      </c>
      <c r="J58" s="125"/>
      <c r="K58" s="124">
        <f ca="1">IFERROR(__xludf.DUMMYFUNCTION("IFERROR(
  SUM(
    FILTER(
      Cobranza!$O:$O,
      (Cobranza!$AG:$AG &amp; """" = P58 &amp; """") *
      ((Cobranza!$W:$W = ""C"") + (Cobranza!$W:$W = ""c""))
    )
  ),
  0
)"),50)</f>
        <v>50</v>
      </c>
      <c r="L58" s="154"/>
      <c r="M58" s="153"/>
      <c r="N58" s="153">
        <f t="shared" ca="1" si="0"/>
        <v>50</v>
      </c>
      <c r="O58" s="160"/>
      <c r="P58" s="128"/>
      <c r="Q58" s="128" t="str">
        <f t="shared" si="1"/>
        <v>G</v>
      </c>
      <c r="R58" s="155" t="str">
        <f t="shared" si="2"/>
        <v>G-18</v>
      </c>
      <c r="S58" s="14"/>
      <c r="T58" s="14"/>
      <c r="U58" s="14"/>
    </row>
    <row r="59" spans="1:21" ht="22.5" hidden="1" customHeight="1">
      <c r="A59" s="130"/>
      <c r="B59" s="131" t="s">
        <v>177</v>
      </c>
      <c r="C59" s="132">
        <v>19</v>
      </c>
      <c r="D59" s="139">
        <v>3327</v>
      </c>
      <c r="E59" s="134">
        <v>100</v>
      </c>
      <c r="F59" s="166"/>
      <c r="G59" s="166"/>
      <c r="H59" s="135"/>
      <c r="I59" s="136">
        <v>0</v>
      </c>
      <c r="J59" s="137">
        <v>75</v>
      </c>
      <c r="K59" s="138">
        <f ca="1">IFERROR(__xludf.DUMMYFUNCTION("IFERROR(
  SUM(
    FILTER(
      Cobranza!$O:$O,
      (Cobranza!$AG:$AG &amp; """" = P59 &amp; """") *
      ((Cobranza!$W:$W = ""C"") + (Cobranza!$W:$W = ""c""))
    )
  ),
  0
)"),25)</f>
        <v>25</v>
      </c>
      <c r="L59" s="135"/>
      <c r="M59" s="134"/>
      <c r="N59" s="134">
        <f t="shared" ca="1" si="0"/>
        <v>75</v>
      </c>
      <c r="O59" s="139">
        <v>1</v>
      </c>
      <c r="P59" s="140"/>
      <c r="Q59" s="141" t="str">
        <f t="shared" si="1"/>
        <v>G</v>
      </c>
      <c r="R59" s="142" t="str">
        <f t="shared" si="2"/>
        <v>G-19</v>
      </c>
      <c r="S59" s="21"/>
      <c r="T59" s="21"/>
      <c r="U59" s="21"/>
    </row>
    <row r="60" spans="1:21" ht="22.5" hidden="1" customHeight="1">
      <c r="A60" s="119"/>
      <c r="B60" s="120" t="s">
        <v>177</v>
      </c>
      <c r="C60" s="121">
        <v>20</v>
      </c>
      <c r="D60" s="126">
        <v>3062</v>
      </c>
      <c r="E60" s="123">
        <v>100</v>
      </c>
      <c r="F60" s="123"/>
      <c r="G60" s="123"/>
      <c r="H60" s="124"/>
      <c r="I60" s="123">
        <v>25</v>
      </c>
      <c r="J60" s="125">
        <v>25</v>
      </c>
      <c r="K60" s="124">
        <f ca="1">IFERROR(__xludf.DUMMYFUNCTION("IFERROR(
  SUM(
    FILTER(
      Cobranza!$O:$O,
      (Cobranza!$AG:$AG &amp; """" = P60 &amp; """") *
      ((Cobranza!$W:$W = ""C"") + (Cobranza!$W:$W = ""c""))
    )
  ),
  0
)"),25)</f>
        <v>25</v>
      </c>
      <c r="L60" s="124"/>
      <c r="M60" s="123"/>
      <c r="N60" s="123">
        <f t="shared" ca="1" si="0"/>
        <v>50</v>
      </c>
      <c r="O60" s="126">
        <v>1</v>
      </c>
      <c r="P60" s="127"/>
      <c r="Q60" s="128" t="str">
        <f t="shared" si="1"/>
        <v>G</v>
      </c>
      <c r="R60" s="129" t="str">
        <f t="shared" si="2"/>
        <v>G-20</v>
      </c>
      <c r="S60" s="14"/>
      <c r="T60" s="14"/>
      <c r="U60" s="14"/>
    </row>
    <row r="61" spans="1:21" ht="22.5" hidden="1" customHeight="1">
      <c r="A61" s="130"/>
      <c r="B61" s="131" t="s">
        <v>205</v>
      </c>
      <c r="C61" s="132">
        <v>1</v>
      </c>
      <c r="D61" s="133">
        <v>2665</v>
      </c>
      <c r="E61" s="134">
        <v>100</v>
      </c>
      <c r="F61" s="166"/>
      <c r="G61" s="166"/>
      <c r="H61" s="135"/>
      <c r="I61" s="136">
        <v>0</v>
      </c>
      <c r="J61" s="137">
        <v>25</v>
      </c>
      <c r="K61" s="138">
        <f ca="1">IFERROR(__xludf.DUMMYFUNCTION("IFERROR(
  SUM(
    FILTER(
      Cobranza!$O:$O,
      (Cobranza!$AG:$AG &amp; """" = P61 &amp; """") *
      ((Cobranza!$W:$W = ""C"") + (Cobranza!$W:$W = ""c""))
    )
  ),
  0
)"),25)</f>
        <v>25</v>
      </c>
      <c r="L61" s="135"/>
      <c r="M61" s="134"/>
      <c r="N61" s="134">
        <f t="shared" ca="1" si="0"/>
        <v>75</v>
      </c>
      <c r="O61" s="139">
        <v>1</v>
      </c>
      <c r="P61" s="140"/>
      <c r="Q61" s="141" t="str">
        <f t="shared" si="1"/>
        <v>H</v>
      </c>
      <c r="R61" s="142" t="str">
        <f t="shared" si="2"/>
        <v>H-1</v>
      </c>
      <c r="S61" s="21"/>
      <c r="T61" s="21"/>
      <c r="U61" s="21"/>
    </row>
    <row r="62" spans="1:21" ht="22.5" hidden="1" customHeight="1">
      <c r="A62" s="119"/>
      <c r="B62" s="120" t="s">
        <v>586</v>
      </c>
      <c r="C62" s="121">
        <v>5</v>
      </c>
      <c r="D62" s="160"/>
      <c r="E62" s="123">
        <v>100</v>
      </c>
      <c r="F62" s="123"/>
      <c r="G62" s="123"/>
      <c r="H62" s="124"/>
      <c r="I62" s="123">
        <v>25</v>
      </c>
      <c r="J62" s="125">
        <v>25</v>
      </c>
      <c r="K62" s="124">
        <f ca="1">IFERROR(__xludf.DUMMYFUNCTION("IFERROR(
  SUM(
    FILTER(
      Cobranza!$O:$O,
      (Cobranza!$AG:$AG &amp; """" = P62 &amp; """") *
      ((Cobranza!$W:$W = ""C"") + (Cobranza!$W:$W = ""c""))
    )
  ),
  0
)"),25)</f>
        <v>25</v>
      </c>
      <c r="L62" s="124"/>
      <c r="M62" s="123"/>
      <c r="N62" s="123">
        <f t="shared" ca="1" si="0"/>
        <v>50</v>
      </c>
      <c r="O62" s="126">
        <v>1</v>
      </c>
      <c r="P62" s="127"/>
      <c r="Q62" s="128" t="str">
        <f t="shared" si="1"/>
        <v>G1</v>
      </c>
      <c r="R62" s="129" t="str">
        <f t="shared" si="2"/>
        <v>G1-5</v>
      </c>
      <c r="S62" s="14"/>
      <c r="T62" s="14"/>
      <c r="U62" s="14"/>
    </row>
    <row r="63" spans="1:21" ht="22.5" hidden="1" customHeight="1">
      <c r="A63" s="130"/>
      <c r="B63" s="131" t="s">
        <v>205</v>
      </c>
      <c r="C63" s="132">
        <v>5</v>
      </c>
      <c r="D63" s="145"/>
      <c r="E63" s="134">
        <v>100</v>
      </c>
      <c r="F63" s="166"/>
      <c r="G63" s="166"/>
      <c r="H63" s="135"/>
      <c r="I63" s="136">
        <v>25</v>
      </c>
      <c r="J63" s="137">
        <v>25</v>
      </c>
      <c r="K63" s="138">
        <f ca="1">IFERROR(__xludf.DUMMYFUNCTION("IFERROR(
  SUM(
    FILTER(
      Cobranza!$O:$O,
      (Cobranza!$AG:$AG &amp; """" = P63 &amp; """") *
      ((Cobranza!$W:$W = ""C"") + (Cobranza!$W:$W = ""c""))
    )
  ),
  0
)"),25)</f>
        <v>25</v>
      </c>
      <c r="L63" s="135"/>
      <c r="M63" s="134"/>
      <c r="N63" s="134">
        <f t="shared" ca="1" si="0"/>
        <v>50</v>
      </c>
      <c r="O63" s="139">
        <v>1</v>
      </c>
      <c r="P63" s="140"/>
      <c r="Q63" s="141" t="str">
        <f t="shared" si="1"/>
        <v>H</v>
      </c>
      <c r="R63" s="142" t="str">
        <f t="shared" si="2"/>
        <v>H-5</v>
      </c>
      <c r="S63" s="21"/>
      <c r="T63" s="21"/>
      <c r="U63" s="21"/>
    </row>
    <row r="64" spans="1:21" ht="22.5" hidden="1" customHeight="1">
      <c r="A64" s="119"/>
      <c r="B64" s="120" t="s">
        <v>205</v>
      </c>
      <c r="C64" s="121">
        <v>7</v>
      </c>
      <c r="D64" s="160"/>
      <c r="E64" s="123">
        <v>100</v>
      </c>
      <c r="F64" s="123"/>
      <c r="G64" s="123"/>
      <c r="H64" s="124"/>
      <c r="I64" s="123">
        <v>25</v>
      </c>
      <c r="J64" s="125"/>
      <c r="K64" s="124">
        <f ca="1">IFERROR(__xludf.DUMMYFUNCTION("IFERROR(
  SUM(
    FILTER(
      Cobranza!$O:$O,
      (Cobranza!$AG:$AG &amp; """" = P64 &amp; """") *
      ((Cobranza!$W:$W = ""C"") + (Cobranza!$W:$W = ""c""))
    )
  ),
  0
)"),25)</f>
        <v>25</v>
      </c>
      <c r="L64" s="124"/>
      <c r="M64" s="123"/>
      <c r="N64" s="123">
        <f t="shared" ca="1" si="0"/>
        <v>50</v>
      </c>
      <c r="O64" s="126">
        <v>1</v>
      </c>
      <c r="P64" s="127"/>
      <c r="Q64" s="128" t="str">
        <f t="shared" si="1"/>
        <v>H</v>
      </c>
      <c r="R64" s="129" t="str">
        <f t="shared" si="2"/>
        <v>H-7</v>
      </c>
      <c r="S64" s="14"/>
      <c r="T64" s="14"/>
      <c r="U64" s="14"/>
    </row>
    <row r="65" spans="1:21" ht="22.5" hidden="1" customHeight="1">
      <c r="A65" s="147"/>
      <c r="B65" s="148" t="s">
        <v>205</v>
      </c>
      <c r="C65" s="149">
        <v>8</v>
      </c>
      <c r="D65" s="145"/>
      <c r="E65" s="136">
        <v>100</v>
      </c>
      <c r="F65" s="163"/>
      <c r="G65" s="163"/>
      <c r="H65" s="138"/>
      <c r="I65" s="136">
        <v>25</v>
      </c>
      <c r="J65" s="137">
        <v>25</v>
      </c>
      <c r="K65" s="138">
        <f ca="1">IFERROR(__xludf.DUMMYFUNCTION("IFERROR(
  SUM(
    FILTER(
      Cobranza!$O:$O,
      (Cobranza!$AG:$AG &amp; """" = P65 &amp; """") *
      ((Cobranza!$W:$W = ""C"") + (Cobranza!$W:$W = ""c""))
    )
  ),
  0
)"),25)</f>
        <v>25</v>
      </c>
      <c r="L65" s="138"/>
      <c r="M65" s="136"/>
      <c r="N65" s="136">
        <f t="shared" ca="1" si="0"/>
        <v>50</v>
      </c>
      <c r="O65" s="139">
        <v>1</v>
      </c>
      <c r="P65" s="141"/>
      <c r="Q65" s="141" t="str">
        <f t="shared" si="1"/>
        <v>H</v>
      </c>
      <c r="R65" s="142" t="str">
        <f t="shared" si="2"/>
        <v>H-8</v>
      </c>
      <c r="S65" s="21"/>
      <c r="T65" s="21"/>
      <c r="U65" s="21"/>
    </row>
    <row r="66" spans="1:21" ht="22.5" hidden="1" customHeight="1">
      <c r="A66" s="150"/>
      <c r="B66" s="151" t="s">
        <v>205</v>
      </c>
      <c r="C66" s="152">
        <v>10</v>
      </c>
      <c r="D66" s="160"/>
      <c r="E66" s="153">
        <v>100</v>
      </c>
      <c r="F66" s="153"/>
      <c r="G66" s="153"/>
      <c r="H66" s="153">
        <v>100</v>
      </c>
      <c r="I66" s="153">
        <v>0</v>
      </c>
      <c r="J66" s="125"/>
      <c r="K66" s="124">
        <f ca="1">IFERROR(__xludf.DUMMYFUNCTION("IFERROR(
  SUM(
    FILTER(
      Cobranza!$O:$O,
      (Cobranza!$AG:$AG &amp; """" = P66 &amp; """") *
      ((Cobranza!$W:$W = ""C"") + (Cobranza!$W:$W = ""c""))
    )
  ),
  0
)"),0)</f>
        <v>0</v>
      </c>
      <c r="L66" s="154"/>
      <c r="M66" s="153"/>
      <c r="N66" s="153">
        <f t="shared" ca="1" si="0"/>
        <v>0</v>
      </c>
      <c r="O66" s="126">
        <v>1</v>
      </c>
      <c r="P66" s="151" t="s">
        <v>2702</v>
      </c>
      <c r="Q66" s="128" t="str">
        <f t="shared" si="1"/>
        <v>H</v>
      </c>
      <c r="R66" s="155" t="str">
        <f t="shared" si="2"/>
        <v>H-10</v>
      </c>
      <c r="S66" s="14"/>
      <c r="T66" s="14"/>
      <c r="U66" s="14"/>
    </row>
    <row r="67" spans="1:21" ht="22.5" hidden="1" customHeight="1">
      <c r="A67" s="130"/>
      <c r="B67" s="131" t="s">
        <v>205</v>
      </c>
      <c r="C67" s="132">
        <v>9</v>
      </c>
      <c r="D67" s="145"/>
      <c r="E67" s="134">
        <v>100</v>
      </c>
      <c r="F67" s="166"/>
      <c r="G67" s="166"/>
      <c r="H67" s="135"/>
      <c r="I67" s="136">
        <v>25</v>
      </c>
      <c r="J67" s="137">
        <v>25</v>
      </c>
      <c r="K67" s="138">
        <f ca="1">IFERROR(__xludf.DUMMYFUNCTION("IFERROR(
  SUM(
    FILTER(
      Cobranza!$O:$O,
      (Cobranza!$AG:$AG &amp; """" = P67 &amp; """") *
      ((Cobranza!$W:$W = ""C"") + (Cobranza!$W:$W = ""c""))
    )
  ),
  0
)"),25)</f>
        <v>25</v>
      </c>
      <c r="L67" s="135"/>
      <c r="M67" s="134"/>
      <c r="N67" s="134">
        <f t="shared" ca="1" si="0"/>
        <v>50</v>
      </c>
      <c r="O67" s="139">
        <v>1</v>
      </c>
      <c r="P67" s="140"/>
      <c r="Q67" s="141" t="str">
        <f t="shared" si="1"/>
        <v>H</v>
      </c>
      <c r="R67" s="142" t="str">
        <f t="shared" si="2"/>
        <v>H-9</v>
      </c>
      <c r="S67" s="21"/>
      <c r="T67" s="21"/>
      <c r="U67" s="21"/>
    </row>
    <row r="68" spans="1:21" ht="22.5" hidden="1" customHeight="1">
      <c r="A68" s="119"/>
      <c r="B68" s="120" t="s">
        <v>205</v>
      </c>
      <c r="C68" s="121">
        <v>11</v>
      </c>
      <c r="D68" s="160"/>
      <c r="E68" s="123">
        <v>100</v>
      </c>
      <c r="F68" s="123"/>
      <c r="G68" s="123"/>
      <c r="H68" s="124"/>
      <c r="I68" s="123">
        <v>25</v>
      </c>
      <c r="J68" s="125">
        <v>25</v>
      </c>
      <c r="K68" s="124">
        <f ca="1">IFERROR(__xludf.DUMMYFUNCTION("IFERROR(
  SUM(
    FILTER(
      Cobranza!$O:$O,
      (Cobranza!$AG:$AG &amp; """" = P68 &amp; """") *
      ((Cobranza!$W:$W = ""C"") + (Cobranza!$W:$W = ""c""))
    )
  ),
  0
)"),25)</f>
        <v>25</v>
      </c>
      <c r="L68" s="124"/>
      <c r="M68" s="123"/>
      <c r="N68" s="123">
        <f t="shared" ca="1" si="0"/>
        <v>50</v>
      </c>
      <c r="O68" s="126">
        <v>1</v>
      </c>
      <c r="P68" s="127"/>
      <c r="Q68" s="128" t="str">
        <f t="shared" si="1"/>
        <v>H</v>
      </c>
      <c r="R68" s="129" t="str">
        <f t="shared" si="2"/>
        <v>H-11</v>
      </c>
      <c r="S68" s="14"/>
      <c r="T68" s="14"/>
      <c r="U68" s="14"/>
    </row>
    <row r="69" spans="1:21" ht="22.5" hidden="1" customHeight="1">
      <c r="A69" s="130"/>
      <c r="B69" s="131" t="s">
        <v>205</v>
      </c>
      <c r="C69" s="132">
        <v>12</v>
      </c>
      <c r="D69" s="145"/>
      <c r="E69" s="134">
        <v>100</v>
      </c>
      <c r="F69" s="166"/>
      <c r="G69" s="166"/>
      <c r="H69" s="135"/>
      <c r="I69" s="136">
        <v>25</v>
      </c>
      <c r="J69" s="137">
        <v>25</v>
      </c>
      <c r="K69" s="138">
        <f ca="1">IFERROR(__xludf.DUMMYFUNCTION("IFERROR(
  SUM(
    FILTER(
      Cobranza!$O:$O,
      (Cobranza!$AG:$AG &amp; """" = P69 &amp; """") *
      ((Cobranza!$W:$W = ""C"") + (Cobranza!$W:$W = ""c""))
    )
  ),
  0
)"),25)</f>
        <v>25</v>
      </c>
      <c r="L69" s="135"/>
      <c r="M69" s="134"/>
      <c r="N69" s="134">
        <f t="shared" ca="1" si="0"/>
        <v>50</v>
      </c>
      <c r="O69" s="139">
        <v>1</v>
      </c>
      <c r="P69" s="140"/>
      <c r="Q69" s="141" t="str">
        <f t="shared" si="1"/>
        <v>H</v>
      </c>
      <c r="R69" s="142" t="str">
        <f t="shared" si="2"/>
        <v>H-12</v>
      </c>
      <c r="S69" s="21"/>
      <c r="T69" s="21"/>
      <c r="U69" s="21"/>
    </row>
    <row r="70" spans="1:21" ht="22.5" hidden="1" customHeight="1">
      <c r="A70" s="119"/>
      <c r="B70" s="120" t="s">
        <v>205</v>
      </c>
      <c r="C70" s="121">
        <v>17</v>
      </c>
      <c r="D70" s="126">
        <v>2814</v>
      </c>
      <c r="E70" s="123">
        <v>100</v>
      </c>
      <c r="F70" s="123"/>
      <c r="G70" s="123"/>
      <c r="H70" s="124"/>
      <c r="I70" s="123">
        <v>25</v>
      </c>
      <c r="J70" s="125"/>
      <c r="K70" s="124">
        <f ca="1">IFERROR(__xludf.DUMMYFUNCTION("IFERROR(
  SUM(
    FILTER(
      Cobranza!$O:$O,
      (Cobranza!$AG:$AG &amp; """" = P70 &amp; """") *
      ((Cobranza!$W:$W = ""C"") + (Cobranza!$W:$W = ""c""))
    )
  ),
  0
)"),25)</f>
        <v>25</v>
      </c>
      <c r="L70" s="124"/>
      <c r="M70" s="123"/>
      <c r="N70" s="123">
        <f t="shared" ca="1" si="0"/>
        <v>50</v>
      </c>
      <c r="O70" s="126">
        <v>1</v>
      </c>
      <c r="P70" s="127"/>
      <c r="Q70" s="128" t="str">
        <f t="shared" si="1"/>
        <v>H</v>
      </c>
      <c r="R70" s="129" t="str">
        <f t="shared" si="2"/>
        <v>H-17</v>
      </c>
      <c r="S70" s="14"/>
      <c r="T70" s="14"/>
      <c r="U70" s="14"/>
    </row>
    <row r="71" spans="1:21" ht="22.5" hidden="1" customHeight="1">
      <c r="A71" s="130"/>
      <c r="B71" s="131" t="s">
        <v>205</v>
      </c>
      <c r="C71" s="132">
        <v>18</v>
      </c>
      <c r="D71" s="139">
        <v>1803</v>
      </c>
      <c r="E71" s="134">
        <v>100</v>
      </c>
      <c r="F71" s="166"/>
      <c r="G71" s="166"/>
      <c r="H71" s="135"/>
      <c r="I71" s="136">
        <v>25</v>
      </c>
      <c r="J71" s="137">
        <v>25</v>
      </c>
      <c r="K71" s="138">
        <f ca="1">IFERROR(__xludf.DUMMYFUNCTION("IFERROR(
  SUM(
    FILTER(
      Cobranza!$O:$O,
      (Cobranza!$AG:$AG &amp; """" = P71 &amp; """") *
      ((Cobranza!$W:$W = ""C"") + (Cobranza!$W:$W = ""c""))
    )
  ),
  0
)"),25)</f>
        <v>25</v>
      </c>
      <c r="L71" s="135"/>
      <c r="M71" s="134"/>
      <c r="N71" s="134">
        <f t="shared" ca="1" si="0"/>
        <v>50</v>
      </c>
      <c r="O71" s="139">
        <v>1</v>
      </c>
      <c r="P71" s="140"/>
      <c r="Q71" s="141" t="str">
        <f t="shared" si="1"/>
        <v>H</v>
      </c>
      <c r="R71" s="142" t="str">
        <f t="shared" si="2"/>
        <v>H-18</v>
      </c>
      <c r="S71" s="21"/>
      <c r="T71" s="21"/>
      <c r="U71" s="21"/>
    </row>
    <row r="72" spans="1:21" ht="22.5" hidden="1" customHeight="1">
      <c r="A72" s="119"/>
      <c r="B72" s="120" t="s">
        <v>205</v>
      </c>
      <c r="C72" s="121">
        <v>19</v>
      </c>
      <c r="D72" s="126">
        <v>1774</v>
      </c>
      <c r="E72" s="123">
        <v>100</v>
      </c>
      <c r="F72" s="123"/>
      <c r="G72" s="123"/>
      <c r="H72" s="124"/>
      <c r="I72" s="123">
        <v>25</v>
      </c>
      <c r="J72" s="125">
        <v>25</v>
      </c>
      <c r="K72" s="124">
        <f ca="1">IFERROR(__xludf.DUMMYFUNCTION("IFERROR(
  SUM(
    FILTER(
      Cobranza!$O:$O,
      (Cobranza!$AG:$AG &amp; """" = P72 &amp; """") *
      ((Cobranza!$W:$W = ""C"") + (Cobranza!$W:$W = ""c""))
    )
  ),
  0
)"),25)</f>
        <v>25</v>
      </c>
      <c r="L72" s="124"/>
      <c r="M72" s="123"/>
      <c r="N72" s="123">
        <f t="shared" ca="1" si="0"/>
        <v>50</v>
      </c>
      <c r="O72" s="126">
        <v>1</v>
      </c>
      <c r="P72" s="127"/>
      <c r="Q72" s="128" t="str">
        <f t="shared" si="1"/>
        <v>H</v>
      </c>
      <c r="R72" s="129" t="str">
        <f t="shared" si="2"/>
        <v>H-19</v>
      </c>
      <c r="S72" s="14"/>
      <c r="T72" s="14"/>
      <c r="U72" s="14"/>
    </row>
    <row r="73" spans="1:21" ht="22.5" hidden="1" customHeight="1">
      <c r="A73" s="130"/>
      <c r="B73" s="131" t="s">
        <v>205</v>
      </c>
      <c r="C73" s="132">
        <v>21</v>
      </c>
      <c r="D73" s="139">
        <v>2367</v>
      </c>
      <c r="E73" s="134">
        <v>100</v>
      </c>
      <c r="F73" s="166"/>
      <c r="G73" s="166"/>
      <c r="H73" s="135"/>
      <c r="I73" s="136">
        <v>25</v>
      </c>
      <c r="J73" s="137"/>
      <c r="K73" s="138">
        <f ca="1">IFERROR(__xludf.DUMMYFUNCTION("IFERROR(
  SUM(
    FILTER(
      Cobranza!$O:$O,
      (Cobranza!$AG:$AG &amp; """" = P73 &amp; """") *
      ((Cobranza!$W:$W = ""C"") + (Cobranza!$W:$W = ""c""))
    )
  ),
  0
)"),25)</f>
        <v>25</v>
      </c>
      <c r="L73" s="135"/>
      <c r="M73" s="134"/>
      <c r="N73" s="134">
        <f t="shared" ca="1" si="0"/>
        <v>50</v>
      </c>
      <c r="O73" s="139">
        <v>1</v>
      </c>
      <c r="P73" s="140"/>
      <c r="Q73" s="141" t="str">
        <f t="shared" si="1"/>
        <v>H</v>
      </c>
      <c r="R73" s="142" t="str">
        <f t="shared" si="2"/>
        <v>H-21</v>
      </c>
      <c r="S73" s="21"/>
      <c r="T73" s="21"/>
      <c r="U73" s="21"/>
    </row>
    <row r="74" spans="1:21" ht="22.5" hidden="1" customHeight="1">
      <c r="A74" s="119"/>
      <c r="B74" s="120" t="s">
        <v>228</v>
      </c>
      <c r="C74" s="121">
        <v>1</v>
      </c>
      <c r="D74" s="126">
        <v>3191</v>
      </c>
      <c r="E74" s="123">
        <v>100</v>
      </c>
      <c r="F74" s="123"/>
      <c r="G74" s="123"/>
      <c r="H74" s="124"/>
      <c r="I74" s="123">
        <v>25</v>
      </c>
      <c r="J74" s="125">
        <v>25</v>
      </c>
      <c r="K74" s="124">
        <f ca="1">IFERROR(__xludf.DUMMYFUNCTION("IFERROR(
  SUM(
    FILTER(
      Cobranza!$O:$O,
      (Cobranza!$AG:$AG &amp; """" = P74 &amp; """") *
      ((Cobranza!$W:$W = ""C"") + (Cobranza!$W:$W = ""c""))
    )
  ),
  0
)"),25)</f>
        <v>25</v>
      </c>
      <c r="L74" s="124"/>
      <c r="M74" s="123"/>
      <c r="N74" s="123">
        <f t="shared" ca="1" si="0"/>
        <v>50</v>
      </c>
      <c r="O74" s="126">
        <v>1</v>
      </c>
      <c r="P74" s="127"/>
      <c r="Q74" s="128" t="str">
        <f t="shared" si="1"/>
        <v>I</v>
      </c>
      <c r="R74" s="129" t="str">
        <f t="shared" si="2"/>
        <v>I-1</v>
      </c>
      <c r="S74" s="14"/>
      <c r="T74" s="14"/>
      <c r="U74" s="14"/>
    </row>
    <row r="75" spans="1:21" ht="22.5" hidden="1" customHeight="1">
      <c r="A75" s="147"/>
      <c r="B75" s="148" t="s">
        <v>228</v>
      </c>
      <c r="C75" s="149">
        <v>8</v>
      </c>
      <c r="D75" s="139">
        <v>612</v>
      </c>
      <c r="E75" s="136">
        <v>100</v>
      </c>
      <c r="F75" s="163"/>
      <c r="G75" s="163"/>
      <c r="H75" s="138"/>
      <c r="I75" s="136">
        <v>25</v>
      </c>
      <c r="J75" s="137"/>
      <c r="K75" s="138">
        <f ca="1">IFERROR(__xludf.DUMMYFUNCTION("IFERROR(
  SUM(
    FILTER(
      Cobranza!$O:$O,
      (Cobranza!$AG:$AG &amp; """" = P75 &amp; """") *
      ((Cobranza!$W:$W = ""C"") + (Cobranza!$W:$W = ""c""))
    )
  ),
  0
)"),75)</f>
        <v>75</v>
      </c>
      <c r="L75" s="138"/>
      <c r="M75" s="136"/>
      <c r="N75" s="136">
        <f t="shared" ca="1" si="0"/>
        <v>0</v>
      </c>
      <c r="O75" s="139">
        <v>1</v>
      </c>
      <c r="P75" s="161"/>
      <c r="Q75" s="144" t="str">
        <f t="shared" si="1"/>
        <v>I</v>
      </c>
      <c r="R75" s="142" t="str">
        <f t="shared" si="2"/>
        <v>I-8</v>
      </c>
      <c r="S75" s="21"/>
      <c r="T75" s="21"/>
      <c r="U75" s="21"/>
    </row>
    <row r="76" spans="1:21" ht="22.5" hidden="1" customHeight="1">
      <c r="A76" s="150"/>
      <c r="B76" s="151" t="s">
        <v>228</v>
      </c>
      <c r="C76" s="152">
        <v>11</v>
      </c>
      <c r="D76" s="160"/>
      <c r="E76" s="153">
        <v>100</v>
      </c>
      <c r="F76" s="153"/>
      <c r="G76" s="153"/>
      <c r="H76" s="154"/>
      <c r="I76" s="123">
        <v>0</v>
      </c>
      <c r="J76" s="125">
        <v>25</v>
      </c>
      <c r="K76" s="124">
        <f ca="1">IFERROR(__xludf.DUMMYFUNCTION("IFERROR(
  SUM(
    FILTER(
      Cobranza!$O:$O,
      (Cobranza!$AG:$AG &amp; """" = P76 &amp; """") *
      ((Cobranza!$W:$W = ""C"") + (Cobranza!$W:$W = ""c""))
    )
  ),
  0
)"),25)</f>
        <v>25</v>
      </c>
      <c r="L76" s="154"/>
      <c r="M76" s="153"/>
      <c r="N76" s="153">
        <f t="shared" ca="1" si="0"/>
        <v>75</v>
      </c>
      <c r="O76" s="126">
        <v>1</v>
      </c>
      <c r="P76" s="162"/>
      <c r="Q76" s="159" t="str">
        <f t="shared" si="1"/>
        <v>I</v>
      </c>
      <c r="R76" s="129" t="str">
        <f t="shared" si="2"/>
        <v>I-11</v>
      </c>
      <c r="S76" s="14"/>
      <c r="T76" s="14"/>
      <c r="U76" s="14"/>
    </row>
    <row r="77" spans="1:21" ht="22.5" hidden="1" customHeight="1">
      <c r="A77" s="147"/>
      <c r="B77" s="148" t="s">
        <v>228</v>
      </c>
      <c r="C77" s="149">
        <v>12</v>
      </c>
      <c r="D77" s="139">
        <v>2191</v>
      </c>
      <c r="E77" s="136">
        <v>100</v>
      </c>
      <c r="F77" s="163"/>
      <c r="G77" s="163"/>
      <c r="H77" s="138"/>
      <c r="I77" s="136">
        <v>25</v>
      </c>
      <c r="J77" s="137">
        <v>25</v>
      </c>
      <c r="K77" s="138">
        <f ca="1">IFERROR(__xludf.DUMMYFUNCTION("IFERROR(
  SUM(
    FILTER(
      Cobranza!$O:$O,
      (Cobranza!$AG:$AG &amp; """" = P77 &amp; """") *
      ((Cobranza!$W:$W = ""C"") + (Cobranza!$W:$W = ""c""))
    )
  ),
  0
)"),25)</f>
        <v>25</v>
      </c>
      <c r="L77" s="138"/>
      <c r="M77" s="136"/>
      <c r="N77" s="136">
        <f t="shared" ca="1" si="0"/>
        <v>50</v>
      </c>
      <c r="O77" s="139">
        <v>1</v>
      </c>
      <c r="P77" s="161"/>
      <c r="Q77" s="144" t="str">
        <f t="shared" si="1"/>
        <v>I</v>
      </c>
      <c r="R77" s="142" t="str">
        <f t="shared" si="2"/>
        <v>I-12</v>
      </c>
      <c r="S77" s="21"/>
      <c r="T77" s="21"/>
      <c r="U77" s="21"/>
    </row>
    <row r="78" spans="1:21" ht="22.5" hidden="1" customHeight="1">
      <c r="A78" s="150"/>
      <c r="B78" s="151" t="s">
        <v>228</v>
      </c>
      <c r="C78" s="152">
        <v>13</v>
      </c>
      <c r="D78" s="126">
        <v>1898</v>
      </c>
      <c r="E78" s="153">
        <v>100</v>
      </c>
      <c r="F78" s="153"/>
      <c r="G78" s="153"/>
      <c r="H78" s="154"/>
      <c r="I78" s="123">
        <v>50</v>
      </c>
      <c r="J78" s="125">
        <v>50</v>
      </c>
      <c r="K78" s="124">
        <f ca="1">IFERROR(__xludf.DUMMYFUNCTION("IFERROR(
  SUM(
    FILTER(
      Cobranza!$O:$O,
      (Cobranza!$AG:$AG &amp; """" = P78 &amp; """") *
      ((Cobranza!$W:$W = ""C"") + (Cobranza!$W:$W = ""c""))
    )
  ),
  0
)"),0)</f>
        <v>0</v>
      </c>
      <c r="L78" s="154"/>
      <c r="M78" s="153"/>
      <c r="N78" s="153">
        <f t="shared" ca="1" si="0"/>
        <v>50</v>
      </c>
      <c r="O78" s="126">
        <v>1</v>
      </c>
      <c r="P78" s="162"/>
      <c r="Q78" s="159" t="str">
        <f t="shared" si="1"/>
        <v>I</v>
      </c>
      <c r="R78" s="129" t="str">
        <f t="shared" si="2"/>
        <v>I-13</v>
      </c>
      <c r="S78" s="14"/>
      <c r="T78" s="14"/>
      <c r="U78" s="14"/>
    </row>
    <row r="79" spans="1:21" ht="22.5" hidden="1" customHeight="1">
      <c r="A79" s="147"/>
      <c r="B79" s="148" t="s">
        <v>228</v>
      </c>
      <c r="C79" s="149">
        <v>14</v>
      </c>
      <c r="D79" s="139">
        <v>2321</v>
      </c>
      <c r="E79" s="136">
        <v>100</v>
      </c>
      <c r="F79" s="163"/>
      <c r="G79" s="163"/>
      <c r="H79" s="138"/>
      <c r="I79" s="136">
        <v>25</v>
      </c>
      <c r="J79" s="137">
        <v>25</v>
      </c>
      <c r="K79" s="138">
        <f ca="1">IFERROR(__xludf.DUMMYFUNCTION("IFERROR(
  SUM(
    FILTER(
      Cobranza!$O:$O,
      (Cobranza!$AG:$AG &amp; """" = P79 &amp; """") *
      ((Cobranza!$W:$W = ""C"") + (Cobranza!$W:$W = ""c""))
    )
  ),
  0
)"),25)</f>
        <v>25</v>
      </c>
      <c r="L79" s="138"/>
      <c r="M79" s="136"/>
      <c r="N79" s="136">
        <f t="shared" ca="1" si="0"/>
        <v>50</v>
      </c>
      <c r="O79" s="139">
        <v>1</v>
      </c>
      <c r="P79" s="161"/>
      <c r="Q79" s="144" t="str">
        <f t="shared" si="1"/>
        <v>I</v>
      </c>
      <c r="R79" s="142" t="str">
        <f t="shared" si="2"/>
        <v>I-14</v>
      </c>
      <c r="S79" s="21"/>
      <c r="T79" s="21"/>
      <c r="U79" s="21"/>
    </row>
    <row r="80" spans="1:21" ht="22.5" hidden="1" customHeight="1">
      <c r="A80" s="150"/>
      <c r="B80" s="151" t="s">
        <v>228</v>
      </c>
      <c r="C80" s="152">
        <v>15</v>
      </c>
      <c r="D80" s="126">
        <v>2530</v>
      </c>
      <c r="E80" s="153">
        <v>100</v>
      </c>
      <c r="F80" s="153"/>
      <c r="G80" s="153"/>
      <c r="H80" s="154"/>
      <c r="I80" s="123">
        <v>25</v>
      </c>
      <c r="J80" s="125">
        <v>25</v>
      </c>
      <c r="K80" s="124">
        <f ca="1">IFERROR(__xludf.DUMMYFUNCTION("IFERROR(
  SUM(
    FILTER(
      Cobranza!$O:$O,
      (Cobranza!$AG:$AG &amp; """" = P80 &amp; """") *
      ((Cobranza!$W:$W = ""C"") + (Cobranza!$W:$W = ""c""))
    )
  ),
  0
)"),25)</f>
        <v>25</v>
      </c>
      <c r="L80" s="154"/>
      <c r="M80" s="153"/>
      <c r="N80" s="153">
        <f t="shared" ca="1" si="0"/>
        <v>50</v>
      </c>
      <c r="O80" s="126">
        <v>1</v>
      </c>
      <c r="P80" s="162"/>
      <c r="Q80" s="159" t="str">
        <f t="shared" si="1"/>
        <v>I</v>
      </c>
      <c r="R80" s="129" t="str">
        <f t="shared" si="2"/>
        <v>I-15</v>
      </c>
      <c r="S80" s="14"/>
      <c r="T80" s="14"/>
      <c r="U80" s="14"/>
    </row>
    <row r="81" spans="1:21" ht="22.5" hidden="1" customHeight="1">
      <c r="A81" s="147"/>
      <c r="B81" s="148" t="s">
        <v>228</v>
      </c>
      <c r="C81" s="149">
        <v>16</v>
      </c>
      <c r="D81" s="139">
        <v>1144</v>
      </c>
      <c r="E81" s="136">
        <v>100</v>
      </c>
      <c r="F81" s="163"/>
      <c r="G81" s="163"/>
      <c r="H81" s="138"/>
      <c r="I81" s="136">
        <v>0</v>
      </c>
      <c r="J81" s="137"/>
      <c r="K81" s="138">
        <f ca="1">IFERROR(__xludf.DUMMYFUNCTION("IFERROR(
  SUM(
    FILTER(
      Cobranza!$O:$O,
      (Cobranza!$AG:$AG &amp; """" = P81 &amp; """") *
      ((Cobranza!$W:$W = ""C"") + (Cobranza!$W:$W = ""c""))
    )
  ),
  0
)"),0)</f>
        <v>0</v>
      </c>
      <c r="L81" s="138"/>
      <c r="M81" s="136"/>
      <c r="N81" s="136">
        <f t="shared" ca="1" si="0"/>
        <v>100</v>
      </c>
      <c r="O81" s="139">
        <v>1</v>
      </c>
      <c r="P81" s="161"/>
      <c r="Q81" s="144" t="str">
        <f t="shared" si="1"/>
        <v>I</v>
      </c>
      <c r="R81" s="142" t="str">
        <f t="shared" si="2"/>
        <v>I-16</v>
      </c>
      <c r="S81" s="21"/>
      <c r="T81" s="21"/>
      <c r="U81" s="21"/>
    </row>
    <row r="82" spans="1:21" ht="22.5" hidden="1" customHeight="1">
      <c r="A82" s="150"/>
      <c r="B82" s="151" t="s">
        <v>228</v>
      </c>
      <c r="C82" s="152">
        <v>17</v>
      </c>
      <c r="D82" s="126">
        <v>1157</v>
      </c>
      <c r="E82" s="153">
        <v>100</v>
      </c>
      <c r="F82" s="153"/>
      <c r="G82" s="153"/>
      <c r="H82" s="154"/>
      <c r="I82" s="123">
        <v>25</v>
      </c>
      <c r="J82" s="125">
        <v>25</v>
      </c>
      <c r="K82" s="124">
        <f ca="1">IFERROR(__xludf.DUMMYFUNCTION("IFERROR(
  SUM(
    FILTER(
      Cobranza!$O:$O,
      (Cobranza!$AG:$AG &amp; """" = P82 &amp; """") *
      ((Cobranza!$W:$W = ""C"") + (Cobranza!$W:$W = ""c""))
    )
  ),
  0
)"),25)</f>
        <v>25</v>
      </c>
      <c r="L82" s="154"/>
      <c r="M82" s="153"/>
      <c r="N82" s="153">
        <f t="shared" ca="1" si="0"/>
        <v>50</v>
      </c>
      <c r="O82" s="126">
        <v>1</v>
      </c>
      <c r="P82" s="162"/>
      <c r="Q82" s="159" t="str">
        <f t="shared" si="1"/>
        <v>I</v>
      </c>
      <c r="R82" s="129" t="str">
        <f t="shared" si="2"/>
        <v>I-17</v>
      </c>
      <c r="S82" s="14"/>
      <c r="T82" s="14"/>
      <c r="U82" s="14"/>
    </row>
    <row r="83" spans="1:21" ht="22.5" hidden="1" customHeight="1">
      <c r="A83" s="147"/>
      <c r="B83" s="148" t="s">
        <v>251</v>
      </c>
      <c r="C83" s="149">
        <v>1</v>
      </c>
      <c r="D83" s="145"/>
      <c r="E83" s="136">
        <v>100</v>
      </c>
      <c r="F83" s="163"/>
      <c r="G83" s="163"/>
      <c r="H83" s="138"/>
      <c r="I83" s="136">
        <v>25</v>
      </c>
      <c r="J83" s="137"/>
      <c r="K83" s="138">
        <f ca="1">IFERROR(__xludf.DUMMYFUNCTION("IFERROR(
  SUM(
    FILTER(
      Cobranza!$O:$O,
      (Cobranza!$AG:$AG &amp; """" = P83 &amp; """") *
      ((Cobranza!$W:$W = ""C"") + (Cobranza!$W:$W = ""c""))
    )
  ),
  0
)"),0)</f>
        <v>0</v>
      </c>
      <c r="L83" s="138"/>
      <c r="M83" s="136"/>
      <c r="N83" s="136">
        <f t="shared" ca="1" si="0"/>
        <v>75</v>
      </c>
      <c r="O83" s="139">
        <v>1</v>
      </c>
      <c r="P83" s="161"/>
      <c r="Q83" s="144" t="str">
        <f t="shared" si="1"/>
        <v>J</v>
      </c>
      <c r="R83" s="142" t="str">
        <f t="shared" si="2"/>
        <v>J-1</v>
      </c>
      <c r="S83" s="21"/>
      <c r="T83" s="21"/>
      <c r="U83" s="21"/>
    </row>
    <row r="84" spans="1:21" ht="22.5" hidden="1" customHeight="1">
      <c r="A84" s="150"/>
      <c r="B84" s="151" t="s">
        <v>251</v>
      </c>
      <c r="C84" s="152">
        <v>3</v>
      </c>
      <c r="D84" s="160"/>
      <c r="E84" s="153">
        <v>100</v>
      </c>
      <c r="F84" s="153"/>
      <c r="G84" s="153"/>
      <c r="H84" s="154"/>
      <c r="I84" s="123">
        <v>25</v>
      </c>
      <c r="J84" s="125"/>
      <c r="K84" s="124">
        <f ca="1">IFERROR(__xludf.DUMMYFUNCTION("IFERROR(
  SUM(
    FILTER(
      Cobranza!$O:$O,
      (Cobranza!$AG:$AG &amp; """" = P84 &amp; """") *
      ((Cobranza!$W:$W = ""C"") + (Cobranza!$W:$W = ""c""))
    )
  ),
  0
)"),0)</f>
        <v>0</v>
      </c>
      <c r="L84" s="154"/>
      <c r="M84" s="153"/>
      <c r="N84" s="153">
        <f t="shared" ca="1" si="0"/>
        <v>75</v>
      </c>
      <c r="O84" s="126">
        <v>1</v>
      </c>
      <c r="P84" s="162"/>
      <c r="Q84" s="159" t="str">
        <f t="shared" si="1"/>
        <v>J</v>
      </c>
      <c r="R84" s="129" t="str">
        <f t="shared" si="2"/>
        <v>J-3</v>
      </c>
      <c r="S84" s="14"/>
      <c r="T84" s="14"/>
      <c r="U84" s="14"/>
    </row>
    <row r="85" spans="1:21" ht="22.5" hidden="1" customHeight="1">
      <c r="A85" s="147"/>
      <c r="B85" s="148" t="s">
        <v>251</v>
      </c>
      <c r="C85" s="149">
        <v>4</v>
      </c>
      <c r="D85" s="145"/>
      <c r="E85" s="136">
        <v>100</v>
      </c>
      <c r="F85" s="163"/>
      <c r="G85" s="163"/>
      <c r="H85" s="138"/>
      <c r="I85" s="136">
        <v>25</v>
      </c>
      <c r="J85" s="137">
        <v>25</v>
      </c>
      <c r="K85" s="138">
        <f ca="1">IFERROR(__xludf.DUMMYFUNCTION("IFERROR(
  SUM(
    FILTER(
      Cobranza!$O:$O,
      (Cobranza!$AG:$AG &amp; """" = P85 &amp; """") *
      ((Cobranza!$W:$W = ""C"") + (Cobranza!$W:$W = ""c""))
    )
  ),
  0
)"),25)</f>
        <v>25</v>
      </c>
      <c r="L85" s="138"/>
      <c r="M85" s="136"/>
      <c r="N85" s="136">
        <f t="shared" ca="1" si="0"/>
        <v>50</v>
      </c>
      <c r="O85" s="139">
        <v>1</v>
      </c>
      <c r="P85" s="161"/>
      <c r="Q85" s="144" t="str">
        <f t="shared" si="1"/>
        <v>J</v>
      </c>
      <c r="R85" s="142" t="str">
        <f t="shared" si="2"/>
        <v>J-4</v>
      </c>
      <c r="S85" s="21"/>
      <c r="T85" s="21"/>
      <c r="U85" s="21"/>
    </row>
    <row r="86" spans="1:21" ht="22.5" hidden="1" customHeight="1">
      <c r="A86" s="150"/>
      <c r="B86" s="151" t="s">
        <v>251</v>
      </c>
      <c r="C86" s="152">
        <v>5</v>
      </c>
      <c r="D86" s="160"/>
      <c r="E86" s="153">
        <v>100</v>
      </c>
      <c r="F86" s="153"/>
      <c r="G86" s="153"/>
      <c r="H86" s="154"/>
      <c r="I86" s="123">
        <v>25</v>
      </c>
      <c r="J86" s="125">
        <v>25</v>
      </c>
      <c r="K86" s="124">
        <f ca="1">IFERROR(__xludf.DUMMYFUNCTION("IFERROR(
  SUM(
    FILTER(
      Cobranza!$O:$O,
      (Cobranza!$AG:$AG &amp; """" = P86 &amp; """") *
      ((Cobranza!$W:$W = ""C"") + (Cobranza!$W:$W = ""c""))
    )
  ),
  0
)"),25)</f>
        <v>25</v>
      </c>
      <c r="L86" s="154"/>
      <c r="M86" s="153"/>
      <c r="N86" s="153">
        <f t="shared" ca="1" si="0"/>
        <v>50</v>
      </c>
      <c r="O86" s="126">
        <v>1</v>
      </c>
      <c r="P86" s="162"/>
      <c r="Q86" s="159" t="str">
        <f t="shared" si="1"/>
        <v>J</v>
      </c>
      <c r="R86" s="129" t="str">
        <f t="shared" si="2"/>
        <v>J-5</v>
      </c>
      <c r="S86" s="14"/>
      <c r="T86" s="14"/>
      <c r="U86" s="14"/>
    </row>
    <row r="87" spans="1:21" ht="22.5" hidden="1" customHeight="1">
      <c r="A87" s="147"/>
      <c r="B87" s="148" t="s">
        <v>251</v>
      </c>
      <c r="C87" s="149">
        <v>6</v>
      </c>
      <c r="D87" s="139">
        <v>495</v>
      </c>
      <c r="E87" s="136">
        <v>100</v>
      </c>
      <c r="F87" s="163"/>
      <c r="G87" s="163"/>
      <c r="H87" s="138"/>
      <c r="I87" s="136">
        <v>0</v>
      </c>
      <c r="J87" s="137"/>
      <c r="K87" s="138">
        <f ca="1">IFERROR(__xludf.DUMMYFUNCTION("IFERROR(
  SUM(
    FILTER(
      Cobranza!$O:$O,
      (Cobranza!$AG:$AG &amp; """" = P87 &amp; """") *
      ((Cobranza!$W:$W = ""C"") + (Cobranza!$W:$W = ""c""))
    )
  ),
  0
)"),0)</f>
        <v>0</v>
      </c>
      <c r="L87" s="138"/>
      <c r="M87" s="136"/>
      <c r="N87" s="136">
        <f t="shared" ca="1" si="0"/>
        <v>100</v>
      </c>
      <c r="O87" s="139">
        <v>1</v>
      </c>
      <c r="P87" s="161"/>
      <c r="Q87" s="144" t="str">
        <f t="shared" si="1"/>
        <v>J</v>
      </c>
      <c r="R87" s="142" t="str">
        <f t="shared" si="2"/>
        <v>J-6</v>
      </c>
      <c r="S87" s="21"/>
      <c r="T87" s="21"/>
      <c r="U87" s="21"/>
    </row>
    <row r="88" spans="1:21" ht="22.5" hidden="1" customHeight="1">
      <c r="A88" s="150"/>
      <c r="B88" s="151" t="s">
        <v>251</v>
      </c>
      <c r="C88" s="152">
        <v>7</v>
      </c>
      <c r="D88" s="160"/>
      <c r="E88" s="153">
        <v>100</v>
      </c>
      <c r="F88" s="153"/>
      <c r="G88" s="153"/>
      <c r="H88" s="154"/>
      <c r="I88" s="123">
        <v>25</v>
      </c>
      <c r="J88" s="125">
        <v>25</v>
      </c>
      <c r="K88" s="124">
        <f ca="1">IFERROR(__xludf.DUMMYFUNCTION("IFERROR(
  SUM(
    FILTER(
      Cobranza!$O:$O,
      (Cobranza!$AG:$AG &amp; """" = P88 &amp; """") *
      ((Cobranza!$W:$W = ""C"") + (Cobranza!$W:$W = ""c""))
    )
  ),
  0
)"),25)</f>
        <v>25</v>
      </c>
      <c r="L88" s="154"/>
      <c r="M88" s="153"/>
      <c r="N88" s="153">
        <f t="shared" ca="1" si="0"/>
        <v>50</v>
      </c>
      <c r="O88" s="126">
        <v>1</v>
      </c>
      <c r="P88" s="162"/>
      <c r="Q88" s="159" t="str">
        <f t="shared" si="1"/>
        <v>J</v>
      </c>
      <c r="R88" s="129" t="str">
        <f t="shared" si="2"/>
        <v>J-7</v>
      </c>
      <c r="S88" s="14"/>
      <c r="T88" s="14"/>
      <c r="U88" s="14"/>
    </row>
    <row r="89" spans="1:21" ht="22.5" hidden="1" customHeight="1">
      <c r="A89" s="147"/>
      <c r="B89" s="148" t="s">
        <v>251</v>
      </c>
      <c r="C89" s="149">
        <v>8</v>
      </c>
      <c r="D89" s="145"/>
      <c r="E89" s="136">
        <v>100</v>
      </c>
      <c r="F89" s="163"/>
      <c r="G89" s="163"/>
      <c r="H89" s="138"/>
      <c r="I89" s="136">
        <v>25</v>
      </c>
      <c r="J89" s="137">
        <v>25</v>
      </c>
      <c r="K89" s="138">
        <f ca="1">IFERROR(__xludf.DUMMYFUNCTION("IFERROR(
  SUM(
    FILTER(
      Cobranza!$O:$O,
      (Cobranza!$AG:$AG &amp; """" = P89 &amp; """") *
      ((Cobranza!$W:$W = ""C"") + (Cobranza!$W:$W = ""c""))
    )
  ),
  0
)"),25)</f>
        <v>25</v>
      </c>
      <c r="L89" s="138"/>
      <c r="M89" s="136"/>
      <c r="N89" s="136">
        <f t="shared" ca="1" si="0"/>
        <v>50</v>
      </c>
      <c r="O89" s="139">
        <v>1</v>
      </c>
      <c r="P89" s="161"/>
      <c r="Q89" s="144" t="str">
        <f t="shared" si="1"/>
        <v>J</v>
      </c>
      <c r="R89" s="142" t="str">
        <f t="shared" si="2"/>
        <v>J-8</v>
      </c>
      <c r="S89" s="21"/>
      <c r="T89" s="21"/>
      <c r="U89" s="21"/>
    </row>
    <row r="90" spans="1:21" ht="22.5" hidden="1" customHeight="1">
      <c r="A90" s="150"/>
      <c r="B90" s="151" t="s">
        <v>251</v>
      </c>
      <c r="C90" s="152">
        <v>9</v>
      </c>
      <c r="D90" s="160"/>
      <c r="E90" s="153">
        <v>100</v>
      </c>
      <c r="F90" s="153"/>
      <c r="G90" s="153"/>
      <c r="H90" s="154"/>
      <c r="I90" s="123">
        <v>25</v>
      </c>
      <c r="J90" s="125">
        <v>25</v>
      </c>
      <c r="K90" s="124">
        <f ca="1">IFERROR(__xludf.DUMMYFUNCTION("IFERROR(
  SUM(
    FILTER(
      Cobranza!$O:$O,
      (Cobranza!$AG:$AG &amp; """" = P90 &amp; """") *
      ((Cobranza!$W:$W = ""C"") + (Cobranza!$W:$W = ""c""))
    )
  ),
  0
)"),25)</f>
        <v>25</v>
      </c>
      <c r="L90" s="154"/>
      <c r="M90" s="153"/>
      <c r="N90" s="153">
        <f t="shared" ca="1" si="0"/>
        <v>50</v>
      </c>
      <c r="O90" s="126">
        <v>1</v>
      </c>
      <c r="P90" s="162"/>
      <c r="Q90" s="159" t="str">
        <f t="shared" si="1"/>
        <v>J</v>
      </c>
      <c r="R90" s="129" t="str">
        <f t="shared" si="2"/>
        <v>J-9</v>
      </c>
      <c r="S90" s="14"/>
      <c r="T90" s="14"/>
      <c r="U90" s="14"/>
    </row>
    <row r="91" spans="1:21" ht="22.5" hidden="1" customHeight="1">
      <c r="A91" s="147"/>
      <c r="B91" s="148" t="s">
        <v>267</v>
      </c>
      <c r="C91" s="149">
        <v>1</v>
      </c>
      <c r="D91" s="139">
        <v>2273</v>
      </c>
      <c r="E91" s="136">
        <v>100</v>
      </c>
      <c r="F91" s="163"/>
      <c r="G91" s="163"/>
      <c r="H91" s="138"/>
      <c r="I91" s="136">
        <v>25</v>
      </c>
      <c r="J91" s="137">
        <v>25</v>
      </c>
      <c r="K91" s="138">
        <f ca="1">IFERROR(__xludf.DUMMYFUNCTION("IFERROR(
  SUM(
    FILTER(
      Cobranza!$O:$O,
      (Cobranza!$AG:$AG &amp; """" = P91 &amp; """") *
      ((Cobranza!$W:$W = ""C"") + (Cobranza!$W:$W = ""c""))
    )
  ),
  0
)"),25)</f>
        <v>25</v>
      </c>
      <c r="L91" s="138"/>
      <c r="M91" s="136"/>
      <c r="N91" s="136">
        <f t="shared" ca="1" si="0"/>
        <v>50</v>
      </c>
      <c r="O91" s="139">
        <v>1</v>
      </c>
      <c r="P91" s="161"/>
      <c r="Q91" s="144" t="str">
        <f t="shared" si="1"/>
        <v>K</v>
      </c>
      <c r="R91" s="142" t="str">
        <f t="shared" si="2"/>
        <v>K-1</v>
      </c>
      <c r="S91" s="21"/>
      <c r="T91" s="21"/>
      <c r="U91" s="21"/>
    </row>
    <row r="92" spans="1:21" ht="22.5" hidden="1" customHeight="1">
      <c r="A92" s="150"/>
      <c r="B92" s="151" t="s">
        <v>267</v>
      </c>
      <c r="C92" s="152">
        <v>2</v>
      </c>
      <c r="D92" s="126">
        <v>2450</v>
      </c>
      <c r="E92" s="153">
        <v>100</v>
      </c>
      <c r="F92" s="153"/>
      <c r="G92" s="153"/>
      <c r="H92" s="154"/>
      <c r="I92" s="123">
        <v>25</v>
      </c>
      <c r="J92" s="125">
        <v>25</v>
      </c>
      <c r="K92" s="124">
        <f ca="1">IFERROR(__xludf.DUMMYFUNCTION("IFERROR(
  SUM(
    FILTER(
      Cobranza!$O:$O,
      (Cobranza!$AG:$AG &amp; """" = P92 &amp; """") *
      ((Cobranza!$W:$W = ""C"") + (Cobranza!$W:$W = ""c""))
    )
  ),
  0
)"),0)</f>
        <v>0</v>
      </c>
      <c r="L92" s="154"/>
      <c r="M92" s="153"/>
      <c r="N92" s="153">
        <f t="shared" ca="1" si="0"/>
        <v>75</v>
      </c>
      <c r="O92" s="126">
        <v>1</v>
      </c>
      <c r="P92" s="162"/>
      <c r="Q92" s="159" t="str">
        <f t="shared" si="1"/>
        <v>K</v>
      </c>
      <c r="R92" s="129" t="str">
        <f t="shared" si="2"/>
        <v>K-2</v>
      </c>
      <c r="S92" s="14"/>
      <c r="T92" s="14"/>
      <c r="U92" s="14"/>
    </row>
    <row r="93" spans="1:21" ht="22.5" hidden="1" customHeight="1">
      <c r="A93" s="147"/>
      <c r="B93" s="148" t="s">
        <v>267</v>
      </c>
      <c r="C93" s="149">
        <v>4</v>
      </c>
      <c r="D93" s="156">
        <v>3422</v>
      </c>
      <c r="E93" s="136">
        <v>100</v>
      </c>
      <c r="F93" s="163"/>
      <c r="G93" s="163"/>
      <c r="H93" s="138"/>
      <c r="I93" s="136">
        <v>0</v>
      </c>
      <c r="J93" s="137">
        <v>25</v>
      </c>
      <c r="K93" s="138">
        <f ca="1">IFERROR(__xludf.DUMMYFUNCTION("IFERROR(
  SUM(
    FILTER(
      Cobranza!$O:$O,
      (Cobranza!$AG:$AG &amp; """" = P93 &amp; """") *
      ((Cobranza!$W:$W = ""C"") + (Cobranza!$W:$W = ""c""))
    )
  ),
  0
)"),25)</f>
        <v>25</v>
      </c>
      <c r="L93" s="138"/>
      <c r="M93" s="136"/>
      <c r="N93" s="136">
        <f t="shared" ca="1" si="0"/>
        <v>75</v>
      </c>
      <c r="O93" s="139">
        <v>1</v>
      </c>
      <c r="P93" s="161"/>
      <c r="Q93" s="144" t="str">
        <f t="shared" si="1"/>
        <v>K</v>
      </c>
      <c r="R93" s="142" t="str">
        <f t="shared" si="2"/>
        <v>K-4</v>
      </c>
      <c r="S93" s="21"/>
      <c r="T93" s="21"/>
      <c r="U93" s="21"/>
    </row>
    <row r="94" spans="1:21" ht="22.5" hidden="1" customHeight="1">
      <c r="A94" s="150"/>
      <c r="B94" s="151" t="s">
        <v>267</v>
      </c>
      <c r="C94" s="152">
        <v>6</v>
      </c>
      <c r="D94" s="157">
        <v>3757</v>
      </c>
      <c r="E94" s="153">
        <v>100</v>
      </c>
      <c r="F94" s="153"/>
      <c r="G94" s="153"/>
      <c r="H94" s="154"/>
      <c r="I94" s="123">
        <v>25</v>
      </c>
      <c r="J94" s="125">
        <v>25</v>
      </c>
      <c r="K94" s="124">
        <f ca="1">IFERROR(__xludf.DUMMYFUNCTION("IFERROR(
  SUM(
    FILTER(
      Cobranza!$O:$O,
      (Cobranza!$AG:$AG &amp; """" = P94 &amp; """") *
      ((Cobranza!$W:$W = ""C"") + (Cobranza!$W:$W = ""c""))
    )
  ),
  0
)"),25)</f>
        <v>25</v>
      </c>
      <c r="L94" s="154"/>
      <c r="M94" s="153"/>
      <c r="N94" s="153">
        <f t="shared" ca="1" si="0"/>
        <v>50</v>
      </c>
      <c r="O94" s="126">
        <v>1</v>
      </c>
      <c r="P94" s="162"/>
      <c r="Q94" s="159" t="str">
        <f t="shared" si="1"/>
        <v>K</v>
      </c>
      <c r="R94" s="129" t="str">
        <f t="shared" si="2"/>
        <v>K-6</v>
      </c>
      <c r="S94" s="14"/>
      <c r="T94" s="14"/>
      <c r="U94" s="14"/>
    </row>
    <row r="95" spans="1:21" ht="22.5" hidden="1" customHeight="1">
      <c r="A95" s="147"/>
      <c r="B95" s="148" t="s">
        <v>267</v>
      </c>
      <c r="C95" s="149">
        <v>8</v>
      </c>
      <c r="D95" s="141"/>
      <c r="E95" s="136">
        <v>100</v>
      </c>
      <c r="F95" s="163"/>
      <c r="G95" s="163"/>
      <c r="H95" s="138"/>
      <c r="I95" s="136">
        <v>0</v>
      </c>
      <c r="J95" s="137">
        <v>100</v>
      </c>
      <c r="K95" s="138">
        <f ca="1">IFERROR(__xludf.DUMMYFUNCTION("IFERROR(
  SUM(
    FILTER(
      Cobranza!$O:$O,
      (Cobranza!$AG:$AG &amp; """" = P95 &amp; """") *
      ((Cobranza!$W:$W = ""C"") + (Cobranza!$W:$W = ""c""))
    )
  ),
  0
)"),0)</f>
        <v>0</v>
      </c>
      <c r="L95" s="138"/>
      <c r="M95" s="136"/>
      <c r="N95" s="136">
        <f t="shared" ca="1" si="0"/>
        <v>100</v>
      </c>
      <c r="O95" s="139">
        <v>1</v>
      </c>
      <c r="P95" s="161"/>
      <c r="Q95" s="144" t="str">
        <f t="shared" si="1"/>
        <v>K</v>
      </c>
      <c r="R95" s="142" t="str">
        <f t="shared" si="2"/>
        <v>K-8</v>
      </c>
      <c r="S95" s="21"/>
      <c r="T95" s="21"/>
      <c r="U95" s="21"/>
    </row>
    <row r="96" spans="1:21" ht="22.5" hidden="1" customHeight="1">
      <c r="A96" s="150"/>
      <c r="B96" s="151" t="s">
        <v>267</v>
      </c>
      <c r="C96" s="152">
        <v>9</v>
      </c>
      <c r="D96" s="128"/>
      <c r="E96" s="153">
        <v>100</v>
      </c>
      <c r="F96" s="153"/>
      <c r="G96" s="153"/>
      <c r="H96" s="154"/>
      <c r="I96" s="123">
        <v>0</v>
      </c>
      <c r="J96" s="125"/>
      <c r="K96" s="124">
        <f ca="1">IFERROR(__xludf.DUMMYFUNCTION("IFERROR(
  SUM(
    FILTER(
      Cobranza!$O:$O,
      (Cobranza!$AG:$AG &amp; """" = P96 &amp; """") *
      ((Cobranza!$W:$W = ""C"") + (Cobranza!$W:$W = ""c""))
    )
  ),
  0
)"),25)</f>
        <v>25</v>
      </c>
      <c r="L96" s="154"/>
      <c r="M96" s="153"/>
      <c r="N96" s="153">
        <f t="shared" ca="1" si="0"/>
        <v>75</v>
      </c>
      <c r="O96" s="126">
        <v>1</v>
      </c>
      <c r="P96" s="162"/>
      <c r="Q96" s="159" t="str">
        <f t="shared" si="1"/>
        <v>K</v>
      </c>
      <c r="R96" s="129" t="str">
        <f t="shared" si="2"/>
        <v>K-9</v>
      </c>
      <c r="S96" s="14"/>
      <c r="T96" s="14"/>
      <c r="U96" s="14"/>
    </row>
    <row r="97" spans="1:21" ht="22.5" hidden="1" customHeight="1">
      <c r="A97" s="147"/>
      <c r="B97" s="148" t="s">
        <v>267</v>
      </c>
      <c r="C97" s="149">
        <v>17</v>
      </c>
      <c r="D97" s="145"/>
      <c r="E97" s="136">
        <v>100</v>
      </c>
      <c r="F97" s="163"/>
      <c r="G97" s="163"/>
      <c r="H97" s="138"/>
      <c r="I97" s="136">
        <v>0</v>
      </c>
      <c r="J97" s="137">
        <v>25</v>
      </c>
      <c r="K97" s="138">
        <f ca="1">IFERROR(__xludf.DUMMYFUNCTION("IFERROR(
  SUM(
    FILTER(
      Cobranza!$O:$O,
      (Cobranza!$AG:$AG &amp; """" = P97 &amp; """") *
      ((Cobranza!$W:$W = ""C"") + (Cobranza!$W:$W = ""c""))
    )
  ),
  0
)"),25)</f>
        <v>25</v>
      </c>
      <c r="L97" s="138"/>
      <c r="M97" s="136"/>
      <c r="N97" s="136">
        <f t="shared" ca="1" si="0"/>
        <v>75</v>
      </c>
      <c r="O97" s="139">
        <v>1</v>
      </c>
      <c r="P97" s="161"/>
      <c r="Q97" s="144" t="str">
        <f t="shared" si="1"/>
        <v>K</v>
      </c>
      <c r="R97" s="142" t="str">
        <f t="shared" si="2"/>
        <v>K-17</v>
      </c>
      <c r="S97" s="21"/>
      <c r="T97" s="21"/>
      <c r="U97" s="21"/>
    </row>
    <row r="98" spans="1:21" ht="22.5" customHeight="1">
      <c r="A98" s="150"/>
      <c r="B98" s="151" t="s">
        <v>284</v>
      </c>
      <c r="C98" s="152">
        <v>1</v>
      </c>
      <c r="D98" s="160"/>
      <c r="E98" s="153">
        <v>100</v>
      </c>
      <c r="F98" s="153"/>
      <c r="G98" s="153"/>
      <c r="H98" s="154"/>
      <c r="I98" s="123">
        <v>25</v>
      </c>
      <c r="J98" s="125">
        <v>25</v>
      </c>
      <c r="K98" s="124">
        <f ca="1">IFERROR(__xludf.DUMMYFUNCTION("IFERROR(
  SUM(
    FILTER(
      Cobranza!$O:$O,
      (Cobranza!$AG:$AG &amp; """" = P98 &amp; """") *
      ((Cobranza!$W:$W = ""C"") + (Cobranza!$W:$W = ""c""))
    )
  ),
  0
)"),25)</f>
        <v>25</v>
      </c>
      <c r="L98" s="154"/>
      <c r="M98" s="153"/>
      <c r="N98" s="153">
        <f t="shared" ca="1" si="0"/>
        <v>50</v>
      </c>
      <c r="O98" s="126">
        <v>1</v>
      </c>
      <c r="P98" s="162"/>
      <c r="Q98" s="159" t="str">
        <f t="shared" si="1"/>
        <v>L</v>
      </c>
      <c r="R98" s="129" t="str">
        <f t="shared" si="2"/>
        <v>L-1</v>
      </c>
      <c r="S98" s="14"/>
      <c r="T98" s="14"/>
      <c r="U98" s="14"/>
    </row>
    <row r="99" spans="1:21" ht="22.5" customHeight="1">
      <c r="A99" s="147"/>
      <c r="B99" s="148" t="s">
        <v>284</v>
      </c>
      <c r="C99" s="149">
        <v>2</v>
      </c>
      <c r="D99" s="139">
        <v>4297</v>
      </c>
      <c r="E99" s="136">
        <v>100</v>
      </c>
      <c r="F99" s="163"/>
      <c r="G99" s="163"/>
      <c r="H99" s="138"/>
      <c r="I99" s="136">
        <v>25</v>
      </c>
      <c r="J99" s="137">
        <v>25</v>
      </c>
      <c r="K99" s="138">
        <f ca="1">IFERROR(__xludf.DUMMYFUNCTION("IFERROR(
  SUM(
    FILTER(
      Cobranza!$O:$O,
      (Cobranza!$AG:$AG &amp; """" = P99 &amp; """") *
      ((Cobranza!$W:$W = ""C"") + (Cobranza!$W:$W = ""c""))
    )
  ),
  0
)"),25)</f>
        <v>25</v>
      </c>
      <c r="L99" s="138"/>
      <c r="M99" s="136"/>
      <c r="N99" s="136">
        <f t="shared" ca="1" si="0"/>
        <v>50</v>
      </c>
      <c r="O99" s="139">
        <v>1</v>
      </c>
      <c r="P99" s="161"/>
      <c r="Q99" s="144" t="str">
        <f t="shared" si="1"/>
        <v>L</v>
      </c>
      <c r="R99" s="142" t="str">
        <f t="shared" si="2"/>
        <v>L-2</v>
      </c>
      <c r="S99" s="21"/>
      <c r="T99" s="21"/>
      <c r="U99" s="21"/>
    </row>
    <row r="100" spans="1:21" ht="22.5" customHeight="1">
      <c r="A100" s="150"/>
      <c r="B100" s="151" t="s">
        <v>284</v>
      </c>
      <c r="C100" s="152">
        <v>3</v>
      </c>
      <c r="D100" s="126">
        <v>3336</v>
      </c>
      <c r="E100" s="153">
        <v>100</v>
      </c>
      <c r="F100" s="153"/>
      <c r="G100" s="153"/>
      <c r="H100" s="154"/>
      <c r="I100" s="123">
        <v>0</v>
      </c>
      <c r="J100" s="125">
        <v>25</v>
      </c>
      <c r="K100" s="124">
        <f ca="1">IFERROR(__xludf.DUMMYFUNCTION("IFERROR(
  SUM(
    FILTER(
      Cobranza!$O:$O,
      (Cobranza!$AG:$AG &amp; """" = P100 &amp; """") *
      ((Cobranza!$W:$W = ""C"") + (Cobranza!$W:$W = ""c""))
    )
  ),
  0
)"),0)</f>
        <v>0</v>
      </c>
      <c r="L100" s="154"/>
      <c r="M100" s="153"/>
      <c r="N100" s="153">
        <f t="shared" ca="1" si="0"/>
        <v>100</v>
      </c>
      <c r="O100" s="126">
        <v>1</v>
      </c>
      <c r="P100" s="162"/>
      <c r="Q100" s="159" t="str">
        <f t="shared" si="1"/>
        <v>L</v>
      </c>
      <c r="R100" s="129" t="str">
        <f t="shared" si="2"/>
        <v>L-3</v>
      </c>
      <c r="S100" s="14"/>
      <c r="T100" s="14"/>
      <c r="U100" s="14"/>
    </row>
    <row r="101" spans="1:21" ht="22.5" customHeight="1">
      <c r="A101" s="147"/>
      <c r="B101" s="148" t="s">
        <v>284</v>
      </c>
      <c r="C101" s="149">
        <v>4</v>
      </c>
      <c r="D101" s="139">
        <v>2534</v>
      </c>
      <c r="E101" s="136">
        <v>100</v>
      </c>
      <c r="F101" s="163"/>
      <c r="G101" s="163"/>
      <c r="H101" s="138"/>
      <c r="I101" s="136">
        <v>25</v>
      </c>
      <c r="J101" s="137">
        <v>25</v>
      </c>
      <c r="K101" s="138">
        <f ca="1">IFERROR(__xludf.DUMMYFUNCTION("IFERROR(
  SUM(
    FILTER(
      Cobranza!$O:$O,
      (Cobranza!$AG:$AG &amp; """" = P101 &amp; """") *
      ((Cobranza!$W:$W = ""C"") + (Cobranza!$W:$W = ""c""))
    )
  ),
  0
)"),25)</f>
        <v>25</v>
      </c>
      <c r="L101" s="138"/>
      <c r="M101" s="136"/>
      <c r="N101" s="136">
        <f t="shared" ca="1" si="0"/>
        <v>50</v>
      </c>
      <c r="O101" s="139">
        <v>1</v>
      </c>
      <c r="P101" s="161"/>
      <c r="Q101" s="144" t="str">
        <f t="shared" si="1"/>
        <v>L</v>
      </c>
      <c r="R101" s="142" t="str">
        <f t="shared" si="2"/>
        <v>L-4</v>
      </c>
      <c r="S101" s="21"/>
      <c r="T101" s="21"/>
      <c r="U101" s="21"/>
    </row>
    <row r="102" spans="1:21" ht="22.5" customHeight="1">
      <c r="A102" s="217"/>
      <c r="B102" s="218" t="s">
        <v>284</v>
      </c>
      <c r="C102" s="219">
        <v>5</v>
      </c>
      <c r="D102" s="220"/>
      <c r="E102" s="221">
        <v>100</v>
      </c>
      <c r="F102" s="221">
        <v>20</v>
      </c>
      <c r="G102" s="221"/>
      <c r="H102" s="222">
        <v>20</v>
      </c>
      <c r="I102" s="163"/>
      <c r="J102" s="137"/>
      <c r="K102" s="138"/>
      <c r="L102" s="222"/>
      <c r="M102" s="221"/>
      <c r="N102" s="163">
        <f>E102-(F102+G102+H102+K102+I102+J102+L102+M102)</f>
        <v>60</v>
      </c>
      <c r="O102" s="220"/>
      <c r="P102" s="223"/>
      <c r="Q102" s="223"/>
      <c r="R102" s="142"/>
      <c r="S102" s="29"/>
      <c r="T102" s="29"/>
      <c r="U102" s="29"/>
    </row>
    <row r="103" spans="1:21" ht="22.5" customHeight="1">
      <c r="A103" s="150"/>
      <c r="B103" s="151" t="s">
        <v>284</v>
      </c>
      <c r="C103" s="152">
        <v>6</v>
      </c>
      <c r="D103" s="126">
        <v>3763</v>
      </c>
      <c r="E103" s="153">
        <v>100</v>
      </c>
      <c r="F103" s="153"/>
      <c r="G103" s="153"/>
      <c r="H103" s="154"/>
      <c r="I103" s="123">
        <v>25</v>
      </c>
      <c r="J103" s="125">
        <v>25</v>
      </c>
      <c r="K103" s="124">
        <f ca="1">IFERROR(__xludf.DUMMYFUNCTION("IFERROR(
  SUM(
    FILTER(
      Cobranza!$O:$O,
      (Cobranza!$AG:$AG &amp; """" = P102 &amp; """") *
      ((Cobranza!$W:$W = ""C"") + (Cobranza!$W:$W = ""c""))
    )
  ),
  0
)"),0)</f>
        <v>0</v>
      </c>
      <c r="L103" s="154"/>
      <c r="M103" s="153"/>
      <c r="N103" s="153">
        <f t="shared" ca="1" si="0"/>
        <v>75</v>
      </c>
      <c r="O103" s="126">
        <v>1</v>
      </c>
      <c r="P103" s="162"/>
      <c r="Q103" s="159" t="str">
        <f t="shared" si="1"/>
        <v>L</v>
      </c>
      <c r="R103" s="129" t="str">
        <f t="shared" si="2"/>
        <v>L-6</v>
      </c>
      <c r="S103" s="14"/>
      <c r="T103" s="14"/>
      <c r="U103" s="14"/>
    </row>
    <row r="104" spans="1:21" ht="22.5" customHeight="1">
      <c r="A104" s="147"/>
      <c r="B104" s="148" t="s">
        <v>284</v>
      </c>
      <c r="C104" s="149">
        <v>7</v>
      </c>
      <c r="D104" s="139">
        <v>2379</v>
      </c>
      <c r="E104" s="136">
        <v>100</v>
      </c>
      <c r="F104" s="163"/>
      <c r="G104" s="163"/>
      <c r="H104" s="138"/>
      <c r="I104" s="136">
        <v>25</v>
      </c>
      <c r="J104" s="137">
        <v>25</v>
      </c>
      <c r="K104" s="138">
        <f ca="1">IFERROR(__xludf.DUMMYFUNCTION("IFERROR(
  SUM(
    FILTER(
      Cobranza!$O:$O,
      (Cobranza!$AG:$AG &amp; """" = P103 &amp; """") *
      ((Cobranza!$W:$W = ""C"") + (Cobranza!$W:$W = ""c""))
    )
  ),
  0
)"),25)</f>
        <v>25</v>
      </c>
      <c r="L104" s="138"/>
      <c r="M104" s="136"/>
      <c r="N104" s="136">
        <f t="shared" ca="1" si="0"/>
        <v>50</v>
      </c>
      <c r="O104" s="139">
        <v>1</v>
      </c>
      <c r="P104" s="161"/>
      <c r="Q104" s="144" t="str">
        <f t="shared" si="1"/>
        <v>L</v>
      </c>
      <c r="R104" s="142" t="str">
        <f t="shared" si="2"/>
        <v>L-7</v>
      </c>
      <c r="S104" s="21"/>
      <c r="T104" s="21"/>
      <c r="U104" s="21"/>
    </row>
    <row r="105" spans="1:21" ht="22.5" customHeight="1">
      <c r="A105" s="150"/>
      <c r="B105" s="151" t="s">
        <v>284</v>
      </c>
      <c r="C105" s="152">
        <v>8</v>
      </c>
      <c r="D105" s="126">
        <v>2351</v>
      </c>
      <c r="E105" s="153">
        <v>100</v>
      </c>
      <c r="F105" s="153"/>
      <c r="G105" s="153"/>
      <c r="H105" s="154"/>
      <c r="I105" s="123">
        <v>25</v>
      </c>
      <c r="J105" s="125">
        <v>25</v>
      </c>
      <c r="K105" s="124">
        <f ca="1">IFERROR(__xludf.DUMMYFUNCTION("IFERROR(
  SUM(
    FILTER(
      Cobranza!$O:$O,
      (Cobranza!$AG:$AG &amp; """" = P104 &amp; """") *
      ((Cobranza!$W:$W = ""C"") + (Cobranza!$W:$W = ""c""))
    )
  ),
  0
)"),25)</f>
        <v>25</v>
      </c>
      <c r="L105" s="154"/>
      <c r="M105" s="153"/>
      <c r="N105" s="153">
        <f t="shared" ca="1" si="0"/>
        <v>50</v>
      </c>
      <c r="O105" s="126">
        <v>1</v>
      </c>
      <c r="P105" s="162"/>
      <c r="Q105" s="159" t="str">
        <f t="shared" si="1"/>
        <v>L</v>
      </c>
      <c r="R105" s="129" t="str">
        <f t="shared" si="2"/>
        <v>L-8</v>
      </c>
      <c r="S105" s="14"/>
      <c r="T105" s="14"/>
      <c r="U105" s="14"/>
    </row>
    <row r="106" spans="1:21" ht="22.5" customHeight="1">
      <c r="A106" s="147"/>
      <c r="B106" s="148" t="s">
        <v>284</v>
      </c>
      <c r="C106" s="149">
        <v>10</v>
      </c>
      <c r="D106" s="139">
        <v>666</v>
      </c>
      <c r="E106" s="136">
        <v>100</v>
      </c>
      <c r="F106" s="163"/>
      <c r="G106" s="163"/>
      <c r="H106" s="138"/>
      <c r="I106" s="136">
        <v>5</v>
      </c>
      <c r="J106" s="137">
        <v>25</v>
      </c>
      <c r="K106" s="138">
        <f ca="1">IFERROR(__xludf.DUMMYFUNCTION("IFERROR(
  SUM(
    FILTER(
      Cobranza!$O:$O,
      (Cobranza!$AG:$AG &amp; """" = P105 &amp; """") *
      ((Cobranza!$W:$W = ""C"") + (Cobranza!$W:$W = ""c""))
    )
  ),
  0
)"),25)</f>
        <v>25</v>
      </c>
      <c r="L106" s="138"/>
      <c r="M106" s="136"/>
      <c r="N106" s="136">
        <f t="shared" ca="1" si="0"/>
        <v>70</v>
      </c>
      <c r="O106" s="139">
        <v>1</v>
      </c>
      <c r="P106" s="161"/>
      <c r="Q106" s="144" t="str">
        <f t="shared" si="1"/>
        <v>L</v>
      </c>
      <c r="R106" s="142" t="str">
        <f t="shared" si="2"/>
        <v>L-10</v>
      </c>
      <c r="S106" s="21"/>
      <c r="T106" s="21"/>
      <c r="U106" s="21"/>
    </row>
    <row r="107" spans="1:21" ht="22.5" customHeight="1">
      <c r="A107" s="150"/>
      <c r="B107" s="151" t="s">
        <v>284</v>
      </c>
      <c r="C107" s="152">
        <v>11</v>
      </c>
      <c r="D107" s="126">
        <v>1740</v>
      </c>
      <c r="E107" s="153">
        <v>100</v>
      </c>
      <c r="F107" s="153"/>
      <c r="G107" s="153"/>
      <c r="H107" s="154"/>
      <c r="I107" s="123">
        <v>25</v>
      </c>
      <c r="J107" s="125">
        <v>25</v>
      </c>
      <c r="K107" s="124">
        <f ca="1">IFERROR(__xludf.DUMMYFUNCTION("IFERROR(
  SUM(
    FILTER(
      Cobranza!$O:$O,
      (Cobranza!$AG:$AG &amp; """" = P106 &amp; """") *
      ((Cobranza!$W:$W = ""C"") + (Cobranza!$W:$W = ""c""))
    )
  ),
  0
)"),25)</f>
        <v>25</v>
      </c>
      <c r="L107" s="154"/>
      <c r="M107" s="153"/>
      <c r="N107" s="153">
        <f t="shared" ca="1" si="0"/>
        <v>50</v>
      </c>
      <c r="O107" s="126">
        <v>1</v>
      </c>
      <c r="P107" s="162"/>
      <c r="Q107" s="159" t="str">
        <f t="shared" si="1"/>
        <v>L</v>
      </c>
      <c r="R107" s="129" t="str">
        <f t="shared" si="2"/>
        <v>L-11</v>
      </c>
      <c r="S107" s="14"/>
      <c r="T107" s="14"/>
      <c r="U107" s="14"/>
    </row>
    <row r="108" spans="1:21" ht="22.5" customHeight="1">
      <c r="A108" s="147"/>
      <c r="B108" s="148" t="s">
        <v>284</v>
      </c>
      <c r="C108" s="149">
        <v>12</v>
      </c>
      <c r="D108" s="139">
        <v>4655</v>
      </c>
      <c r="E108" s="136">
        <v>100</v>
      </c>
      <c r="F108" s="163"/>
      <c r="G108" s="163"/>
      <c r="H108" s="138"/>
      <c r="I108" s="163">
        <v>25</v>
      </c>
      <c r="J108" s="137">
        <v>25</v>
      </c>
      <c r="K108" s="138">
        <f ca="1">IFERROR(__xludf.DUMMYFUNCTION("IFERROR(
  SUM(
    FILTER(
      Cobranza!$O:$O,
      (Cobranza!$AG:$AG &amp; """" = P107 &amp; """") *
      ((Cobranza!$W:$W = ""C"") + (Cobranza!$W:$W = ""c""))
    )
  ),
  0
)"),25)</f>
        <v>25</v>
      </c>
      <c r="L108" s="138"/>
      <c r="M108" s="136"/>
      <c r="N108" s="136">
        <f t="shared" ca="1" si="0"/>
        <v>50</v>
      </c>
      <c r="O108" s="139">
        <v>1</v>
      </c>
      <c r="P108" s="161"/>
      <c r="Q108" s="144" t="str">
        <f t="shared" si="1"/>
        <v>L</v>
      </c>
      <c r="R108" s="142" t="str">
        <f t="shared" si="2"/>
        <v>L-12</v>
      </c>
      <c r="S108" s="21"/>
      <c r="T108" s="21"/>
      <c r="U108" s="21"/>
    </row>
    <row r="109" spans="1:21" ht="22.5" hidden="1" customHeight="1">
      <c r="A109" s="150"/>
      <c r="B109" s="151" t="s">
        <v>299</v>
      </c>
      <c r="C109" s="152">
        <v>4</v>
      </c>
      <c r="D109" s="160"/>
      <c r="E109" s="153">
        <v>100</v>
      </c>
      <c r="F109" s="153"/>
      <c r="G109" s="153"/>
      <c r="H109" s="154"/>
      <c r="I109" s="123">
        <v>100</v>
      </c>
      <c r="J109" s="125"/>
      <c r="K109" s="124">
        <f ca="1">IFERROR(__xludf.DUMMYFUNCTION("IFERROR(
  SUM(
    FILTER(
      Cobranza!$O:$O,
      (Cobranza!$AG:$AG &amp; """" = P108 &amp; """") *
      ((Cobranza!$W:$W = ""C"") + (Cobranza!$W:$W = ""c""))
    )
  ),
  0
)"),0)</f>
        <v>0</v>
      </c>
      <c r="L109" s="154"/>
      <c r="M109" s="153"/>
      <c r="N109" s="153">
        <f t="shared" ca="1" si="0"/>
        <v>0</v>
      </c>
      <c r="O109" s="126">
        <v>1</v>
      </c>
      <c r="P109" s="162"/>
      <c r="Q109" s="159" t="str">
        <f t="shared" si="1"/>
        <v>M</v>
      </c>
      <c r="R109" s="164" t="str">
        <f t="shared" si="2"/>
        <v>M-4</v>
      </c>
      <c r="S109" s="14"/>
      <c r="T109" s="14"/>
      <c r="U109" s="14"/>
    </row>
    <row r="110" spans="1:21" ht="22.5" customHeight="1">
      <c r="A110" s="147"/>
      <c r="B110" s="148" t="s">
        <v>284</v>
      </c>
      <c r="C110" s="149">
        <v>14</v>
      </c>
      <c r="D110" s="139">
        <v>4490</v>
      </c>
      <c r="E110" s="136">
        <v>100</v>
      </c>
      <c r="F110" s="163"/>
      <c r="G110" s="163"/>
      <c r="H110" s="138"/>
      <c r="I110" s="136">
        <v>25</v>
      </c>
      <c r="J110" s="137">
        <v>25</v>
      </c>
      <c r="K110" s="138">
        <f ca="1">IFERROR(__xludf.DUMMYFUNCTION("IFERROR(
  SUM(
    FILTER(
      Cobranza!$O:$O,
      (Cobranza!$AG:$AG &amp; """" = P109 &amp; """") *
      ((Cobranza!$W:$W = ""C"") + (Cobranza!$W:$W = ""c""))
    )
  ),
  0
)"),25)</f>
        <v>25</v>
      </c>
      <c r="L110" s="138"/>
      <c r="M110" s="136"/>
      <c r="N110" s="136">
        <f t="shared" ca="1" si="0"/>
        <v>50</v>
      </c>
      <c r="O110" s="139">
        <v>1</v>
      </c>
      <c r="P110" s="161"/>
      <c r="Q110" s="144" t="str">
        <f t="shared" si="1"/>
        <v>L</v>
      </c>
      <c r="R110" s="142" t="str">
        <f t="shared" si="2"/>
        <v>L-14</v>
      </c>
      <c r="S110" s="21"/>
      <c r="T110" s="21"/>
      <c r="U110" s="21"/>
    </row>
    <row r="111" spans="1:21" ht="22.5" hidden="1" customHeight="1">
      <c r="A111" s="150"/>
      <c r="B111" s="151" t="s">
        <v>299</v>
      </c>
      <c r="C111" s="152">
        <v>9</v>
      </c>
      <c r="D111" s="126">
        <v>921</v>
      </c>
      <c r="E111" s="153">
        <v>100</v>
      </c>
      <c r="F111" s="153"/>
      <c r="G111" s="153"/>
      <c r="H111" s="154"/>
      <c r="I111" s="123">
        <v>25</v>
      </c>
      <c r="J111" s="125">
        <v>25</v>
      </c>
      <c r="K111" s="124">
        <f ca="1">IFERROR(__xludf.DUMMYFUNCTION("IFERROR(
  SUM(
    FILTER(
      Cobranza!$O:$O,
      (Cobranza!$AG:$AG &amp; """" = P110 &amp; """") *
      ((Cobranza!$W:$W = ""C"") + (Cobranza!$W:$W = ""c""))
    )
  ),
  0
)"),0)</f>
        <v>0</v>
      </c>
      <c r="L111" s="154"/>
      <c r="M111" s="153"/>
      <c r="N111" s="153">
        <f t="shared" ca="1" si="0"/>
        <v>75</v>
      </c>
      <c r="O111" s="126">
        <v>1</v>
      </c>
      <c r="P111" s="162"/>
      <c r="Q111" s="159" t="str">
        <f t="shared" si="1"/>
        <v>M</v>
      </c>
      <c r="R111" s="129" t="str">
        <f t="shared" si="2"/>
        <v>M-9</v>
      </c>
      <c r="S111" s="14"/>
      <c r="T111" s="14"/>
      <c r="U111" s="14"/>
    </row>
    <row r="112" spans="1:21" ht="22.5" hidden="1" customHeight="1">
      <c r="A112" s="147"/>
      <c r="B112" s="148" t="s">
        <v>299</v>
      </c>
      <c r="C112" s="149">
        <v>14</v>
      </c>
      <c r="D112" s="145"/>
      <c r="E112" s="136">
        <v>100</v>
      </c>
      <c r="F112" s="163"/>
      <c r="G112" s="163"/>
      <c r="H112" s="138"/>
      <c r="I112" s="136">
        <v>0</v>
      </c>
      <c r="J112" s="137">
        <v>25</v>
      </c>
      <c r="K112" s="138">
        <f ca="1">IFERROR(__xludf.DUMMYFUNCTION("IFERROR(
  SUM(
    FILTER(
      Cobranza!$O:$O,
      (Cobranza!$AG:$AG &amp; """" = P111 &amp; """") *
      ((Cobranza!$W:$W = ""C"") + (Cobranza!$W:$W = ""c""))
    )
  ),
  0
)"),25)</f>
        <v>25</v>
      </c>
      <c r="L112" s="138"/>
      <c r="M112" s="136"/>
      <c r="N112" s="136">
        <f t="shared" ca="1" si="0"/>
        <v>75</v>
      </c>
      <c r="O112" s="139">
        <v>1</v>
      </c>
      <c r="P112" s="161"/>
      <c r="Q112" s="144" t="str">
        <f t="shared" si="1"/>
        <v>M</v>
      </c>
      <c r="R112" s="142" t="str">
        <f t="shared" si="2"/>
        <v>M-14</v>
      </c>
      <c r="S112" s="21"/>
      <c r="T112" s="21"/>
      <c r="U112" s="21"/>
    </row>
    <row r="113" spans="1:21" ht="22.5" hidden="1" customHeight="1">
      <c r="A113" s="119"/>
      <c r="B113" s="120" t="s">
        <v>299</v>
      </c>
      <c r="C113" s="121">
        <v>20</v>
      </c>
      <c r="D113" s="160"/>
      <c r="E113" s="123">
        <v>100</v>
      </c>
      <c r="F113" s="123"/>
      <c r="G113" s="123"/>
      <c r="H113" s="124"/>
      <c r="I113" s="123">
        <v>100</v>
      </c>
      <c r="J113" s="125"/>
      <c r="K113" s="124">
        <f ca="1">IFERROR(__xludf.DUMMYFUNCTION("IFERROR(
  SUM(
    FILTER(
      Cobranza!$O:$O,
      (Cobranza!$AG:$AG &amp; """" = P112 &amp; """") *
      ((Cobranza!$W:$W = ""C"") + (Cobranza!$W:$W = ""c""))
    )
  ),
  0
)"),0)</f>
        <v>0</v>
      </c>
      <c r="L113" s="124"/>
      <c r="M113" s="123"/>
      <c r="N113" s="123">
        <f t="shared" ca="1" si="0"/>
        <v>0</v>
      </c>
      <c r="O113" s="126">
        <v>1</v>
      </c>
      <c r="P113" s="159"/>
      <c r="Q113" s="159" t="str">
        <f t="shared" si="1"/>
        <v>M</v>
      </c>
      <c r="R113" s="164" t="str">
        <f t="shared" si="2"/>
        <v>M-20</v>
      </c>
      <c r="S113" s="14"/>
      <c r="T113" s="14"/>
      <c r="U113" s="14"/>
    </row>
    <row r="114" spans="1:21" ht="22.5" hidden="1" customHeight="1">
      <c r="A114" s="130"/>
      <c r="B114" s="131" t="s">
        <v>299</v>
      </c>
      <c r="C114" s="132">
        <v>18</v>
      </c>
      <c r="D114" s="145"/>
      <c r="E114" s="134">
        <v>100</v>
      </c>
      <c r="F114" s="166"/>
      <c r="G114" s="166"/>
      <c r="H114" s="134">
        <v>100</v>
      </c>
      <c r="I114" s="134">
        <v>0</v>
      </c>
      <c r="J114" s="137"/>
      <c r="K114" s="138">
        <f ca="1">IFERROR(__xludf.DUMMYFUNCTION("IFERROR(
  SUM(
    FILTER(
      Cobranza!$O:$O,
      (Cobranza!$AG:$AG &amp; """" = P113 &amp; """") *
      ((Cobranza!$W:$W = ""C"") + (Cobranza!$W:$W = ""c""))
    )
  ),
  0
)"),0)</f>
        <v>0</v>
      </c>
      <c r="L114" s="135"/>
      <c r="M114" s="134"/>
      <c r="N114" s="134">
        <f t="shared" ca="1" si="0"/>
        <v>0</v>
      </c>
      <c r="O114" s="139">
        <v>1</v>
      </c>
      <c r="P114" s="131" t="s">
        <v>2703</v>
      </c>
      <c r="Q114" s="144" t="str">
        <f t="shared" si="1"/>
        <v>M</v>
      </c>
      <c r="R114" s="165" t="str">
        <f t="shared" si="2"/>
        <v>M-18</v>
      </c>
      <c r="S114" s="21"/>
      <c r="T114" s="21"/>
      <c r="U114" s="21"/>
    </row>
    <row r="115" spans="1:21" ht="22.5" hidden="1" customHeight="1">
      <c r="A115" s="150"/>
      <c r="B115" s="151" t="s">
        <v>299</v>
      </c>
      <c r="C115" s="152">
        <v>19</v>
      </c>
      <c r="D115" s="160"/>
      <c r="E115" s="153">
        <v>100</v>
      </c>
      <c r="F115" s="153"/>
      <c r="G115" s="153"/>
      <c r="H115" s="154"/>
      <c r="I115" s="123">
        <v>25</v>
      </c>
      <c r="J115" s="125">
        <v>25</v>
      </c>
      <c r="K115" s="124">
        <f ca="1">IFERROR(__xludf.DUMMYFUNCTION("IFERROR(
  SUM(
    FILTER(
      Cobranza!$O:$O,
      (Cobranza!$AG:$AG &amp; """" = P114 &amp; """") *
      ((Cobranza!$W:$W = ""C"") + (Cobranza!$W:$W = ""c""))
    )
  ),
  0
)"),25)</f>
        <v>25</v>
      </c>
      <c r="L115" s="154"/>
      <c r="M115" s="153"/>
      <c r="N115" s="153">
        <f t="shared" ca="1" si="0"/>
        <v>50</v>
      </c>
      <c r="O115" s="126">
        <v>1</v>
      </c>
      <c r="P115" s="162"/>
      <c r="Q115" s="159" t="str">
        <f t="shared" si="1"/>
        <v>M</v>
      </c>
      <c r="R115" s="129" t="str">
        <f t="shared" si="2"/>
        <v>M-19</v>
      </c>
      <c r="S115" s="14"/>
      <c r="T115" s="14"/>
      <c r="U115" s="14"/>
    </row>
    <row r="116" spans="1:21" ht="22.5" hidden="1" customHeight="1">
      <c r="A116" s="130"/>
      <c r="B116" s="131" t="s">
        <v>299</v>
      </c>
      <c r="C116" s="132">
        <v>21</v>
      </c>
      <c r="D116" s="145"/>
      <c r="E116" s="134">
        <v>100</v>
      </c>
      <c r="F116" s="166"/>
      <c r="G116" s="166"/>
      <c r="H116" s="135"/>
      <c r="I116" s="134">
        <v>25</v>
      </c>
      <c r="J116" s="137"/>
      <c r="K116" s="138">
        <f ca="1">IFERROR(__xludf.DUMMYFUNCTION("IFERROR(
  SUM(
    FILTER(
      Cobranza!$O:$O,
      (Cobranza!$AG:$AG &amp; """" = P115 &amp; """") *
      ((Cobranza!$W:$W = ""C"") + (Cobranza!$W:$W = ""c""))
    )
  ),
  0
)"),25)</f>
        <v>25</v>
      </c>
      <c r="L116" s="135"/>
      <c r="M116" s="134"/>
      <c r="N116" s="134">
        <f t="shared" ca="1" si="0"/>
        <v>50</v>
      </c>
      <c r="O116" s="139">
        <v>1</v>
      </c>
      <c r="P116" s="144"/>
      <c r="Q116" s="144" t="str">
        <f t="shared" si="1"/>
        <v>M</v>
      </c>
      <c r="R116" s="142" t="str">
        <f t="shared" si="2"/>
        <v>M-21</v>
      </c>
      <c r="S116" s="21"/>
      <c r="T116" s="21"/>
      <c r="U116" s="21"/>
    </row>
    <row r="117" spans="1:21" ht="22.5" hidden="1" customHeight="1">
      <c r="A117" s="119"/>
      <c r="B117" s="120" t="s">
        <v>299</v>
      </c>
      <c r="C117" s="121">
        <v>11</v>
      </c>
      <c r="D117" s="126">
        <v>831</v>
      </c>
      <c r="E117" s="123">
        <v>100</v>
      </c>
      <c r="F117" s="123"/>
      <c r="G117" s="123"/>
      <c r="H117" s="123">
        <v>100</v>
      </c>
      <c r="I117" s="123">
        <v>0</v>
      </c>
      <c r="J117" s="125"/>
      <c r="K117" s="124">
        <f ca="1">IFERROR(__xludf.DUMMYFUNCTION("IFERROR(
  SUM(
    FILTER(
      Cobranza!$O:$O,
      (Cobranza!$AG:$AG &amp; """" = P116 &amp; """") *
      ((Cobranza!$W:$W = ""C"") + (Cobranza!$W:$W = ""c""))
    )
  ),
  0
)"),0)</f>
        <v>0</v>
      </c>
      <c r="L117" s="124"/>
      <c r="M117" s="123"/>
      <c r="N117" s="123">
        <f t="shared" ca="1" si="0"/>
        <v>0</v>
      </c>
      <c r="O117" s="126">
        <v>1</v>
      </c>
      <c r="P117" s="120" t="s">
        <v>2703</v>
      </c>
      <c r="Q117" s="159" t="str">
        <f t="shared" si="1"/>
        <v>M</v>
      </c>
      <c r="R117" s="164" t="str">
        <f t="shared" si="2"/>
        <v>M-11</v>
      </c>
      <c r="S117" s="14"/>
      <c r="T117" s="14"/>
      <c r="U117" s="14"/>
    </row>
    <row r="118" spans="1:21" ht="22.5" hidden="1" customHeight="1">
      <c r="A118" s="147"/>
      <c r="B118" s="148" t="s">
        <v>299</v>
      </c>
      <c r="C118" s="149">
        <v>22</v>
      </c>
      <c r="D118" s="139">
        <v>13912</v>
      </c>
      <c r="E118" s="136">
        <v>100</v>
      </c>
      <c r="F118" s="163"/>
      <c r="G118" s="163"/>
      <c r="H118" s="138"/>
      <c r="I118" s="136">
        <v>25</v>
      </c>
      <c r="J118" s="137">
        <v>25</v>
      </c>
      <c r="K118" s="138">
        <f ca="1">IFERROR(__xludf.DUMMYFUNCTION("IFERROR(
  SUM(
    FILTER(
      Cobranza!$O:$O,
      (Cobranza!$AG:$AG &amp; """" = P117 &amp; """") *
      ((Cobranza!$W:$W = ""C"") + (Cobranza!$W:$W = ""c""))
    )
  ),
  0
)"),0)</f>
        <v>0</v>
      </c>
      <c r="L118" s="138"/>
      <c r="M118" s="136"/>
      <c r="N118" s="136">
        <f t="shared" ca="1" si="0"/>
        <v>75</v>
      </c>
      <c r="O118" s="139">
        <v>1</v>
      </c>
      <c r="P118" s="161"/>
      <c r="Q118" s="144" t="str">
        <f t="shared" si="1"/>
        <v>M</v>
      </c>
      <c r="R118" s="142" t="str">
        <f t="shared" si="2"/>
        <v>M-22</v>
      </c>
      <c r="S118" s="21"/>
      <c r="T118" s="21"/>
      <c r="U118" s="21"/>
    </row>
    <row r="119" spans="1:21" ht="22.5" hidden="1" customHeight="1">
      <c r="A119" s="119"/>
      <c r="B119" s="120" t="s">
        <v>299</v>
      </c>
      <c r="C119" s="121">
        <v>5</v>
      </c>
      <c r="D119" s="160"/>
      <c r="E119" s="123">
        <v>100</v>
      </c>
      <c r="F119" s="123"/>
      <c r="G119" s="123"/>
      <c r="H119" s="123">
        <v>100</v>
      </c>
      <c r="I119" s="123">
        <v>0</v>
      </c>
      <c r="J119" s="125"/>
      <c r="K119" s="124">
        <f ca="1">IFERROR(__xludf.DUMMYFUNCTION("IFERROR(
  SUM(
    FILTER(
      Cobranza!$O:$O,
      (Cobranza!$AG:$AG &amp; """" = P118 &amp; """") *
      ((Cobranza!$W:$W = ""C"") + (Cobranza!$W:$W = ""c""))
    )
  ),
  0
)"),0)</f>
        <v>0</v>
      </c>
      <c r="L119" s="124"/>
      <c r="M119" s="123"/>
      <c r="N119" s="123">
        <f t="shared" ca="1" si="0"/>
        <v>0</v>
      </c>
      <c r="O119" s="126">
        <v>1</v>
      </c>
      <c r="P119" s="159"/>
      <c r="Q119" s="159" t="str">
        <f t="shared" si="1"/>
        <v>M</v>
      </c>
      <c r="R119" s="164" t="str">
        <f t="shared" si="2"/>
        <v>M-5</v>
      </c>
      <c r="S119" s="14"/>
      <c r="T119" s="14"/>
      <c r="U119" s="14"/>
    </row>
    <row r="120" spans="1:21" ht="22.5" hidden="1" customHeight="1">
      <c r="A120" s="150"/>
      <c r="B120" s="151" t="s">
        <v>78</v>
      </c>
      <c r="C120" s="152">
        <v>1</v>
      </c>
      <c r="D120" s="160"/>
      <c r="E120" s="153">
        <v>100</v>
      </c>
      <c r="F120" s="153"/>
      <c r="G120" s="153"/>
      <c r="H120" s="154"/>
      <c r="I120" s="123">
        <v>25</v>
      </c>
      <c r="J120" s="125">
        <v>25</v>
      </c>
      <c r="K120" s="124">
        <f ca="1">IFERROR(__xludf.DUMMYFUNCTION("IFERROR(
  SUM(
    FILTER(
      Cobranza!$O:$O,
      (Cobranza!$AG:$AG &amp; """" = P119 &amp; """") *
      ((Cobranza!$W:$W = ""C"") + (Cobranza!$W:$W = ""c""))
    )
  ),
  0
)"),0)</f>
        <v>0</v>
      </c>
      <c r="L120" s="154"/>
      <c r="M120" s="153"/>
      <c r="N120" s="153">
        <f t="shared" ca="1" si="0"/>
        <v>75</v>
      </c>
      <c r="O120" s="126">
        <v>1</v>
      </c>
      <c r="P120" s="162"/>
      <c r="Q120" s="159" t="str">
        <f t="shared" si="1"/>
        <v>N</v>
      </c>
      <c r="R120" s="129" t="str">
        <f t="shared" si="2"/>
        <v>N-1</v>
      </c>
      <c r="S120" s="14"/>
      <c r="T120" s="14"/>
      <c r="U120" s="14"/>
    </row>
    <row r="121" spans="1:21" ht="22.5" hidden="1" customHeight="1">
      <c r="A121" s="147"/>
      <c r="B121" s="148" t="s">
        <v>78</v>
      </c>
      <c r="C121" s="149">
        <v>2</v>
      </c>
      <c r="D121" s="139">
        <v>4235</v>
      </c>
      <c r="E121" s="136">
        <v>100</v>
      </c>
      <c r="F121" s="163"/>
      <c r="G121" s="163"/>
      <c r="H121" s="138"/>
      <c r="I121" s="136">
        <v>25</v>
      </c>
      <c r="J121" s="137">
        <v>25</v>
      </c>
      <c r="K121" s="138">
        <f ca="1">IFERROR(__xludf.DUMMYFUNCTION("IFERROR(
  SUM(
    FILTER(
      Cobranza!$O:$O,
      (Cobranza!$AG:$AG &amp; """" = P120 &amp; """") *
      ((Cobranza!$W:$W = ""C"") + (Cobranza!$W:$W = ""c""))
    )
  ),
  0
)"),25)</f>
        <v>25</v>
      </c>
      <c r="L121" s="138"/>
      <c r="M121" s="136"/>
      <c r="N121" s="136">
        <f t="shared" ca="1" si="0"/>
        <v>50</v>
      </c>
      <c r="O121" s="139">
        <v>1</v>
      </c>
      <c r="P121" s="161"/>
      <c r="Q121" s="144" t="str">
        <f t="shared" si="1"/>
        <v>N</v>
      </c>
      <c r="R121" s="142" t="str">
        <f t="shared" si="2"/>
        <v>N-2</v>
      </c>
      <c r="S121" s="21"/>
      <c r="T121" s="21"/>
      <c r="U121" s="21"/>
    </row>
    <row r="122" spans="1:21" ht="22.5" hidden="1" customHeight="1">
      <c r="A122" s="150"/>
      <c r="B122" s="151" t="s">
        <v>78</v>
      </c>
      <c r="C122" s="152">
        <v>3</v>
      </c>
      <c r="D122" s="157">
        <v>1422</v>
      </c>
      <c r="E122" s="153">
        <v>100</v>
      </c>
      <c r="F122" s="153"/>
      <c r="G122" s="153"/>
      <c r="H122" s="154"/>
      <c r="I122" s="123">
        <v>20</v>
      </c>
      <c r="J122" s="125">
        <v>25</v>
      </c>
      <c r="K122" s="124">
        <f ca="1">IFERROR(__xludf.DUMMYFUNCTION("IFERROR(
  SUM(
    FILTER(
      Cobranza!$O:$O,
      (Cobranza!$AG:$AG &amp; """" = P121 &amp; """") *
      ((Cobranza!$W:$W = ""C"") + (Cobranza!$W:$W = ""c""))
    )
  ),
  0
)"),11)</f>
        <v>11</v>
      </c>
      <c r="L122" s="154"/>
      <c r="M122" s="153"/>
      <c r="N122" s="153">
        <f t="shared" ca="1" si="0"/>
        <v>69</v>
      </c>
      <c r="O122" s="126">
        <v>1</v>
      </c>
      <c r="P122" s="162"/>
      <c r="Q122" s="159" t="str">
        <f t="shared" si="1"/>
        <v>N</v>
      </c>
      <c r="R122" s="129" t="str">
        <f t="shared" si="2"/>
        <v>N-3</v>
      </c>
      <c r="S122" s="14"/>
      <c r="T122" s="14"/>
      <c r="U122" s="14"/>
    </row>
    <row r="123" spans="1:21" ht="22.5" hidden="1" customHeight="1">
      <c r="A123" s="147"/>
      <c r="B123" s="148" t="s">
        <v>327</v>
      </c>
      <c r="C123" s="149">
        <v>3</v>
      </c>
      <c r="D123" s="139">
        <v>1807</v>
      </c>
      <c r="E123" s="136">
        <v>100</v>
      </c>
      <c r="F123" s="163"/>
      <c r="G123" s="163"/>
      <c r="H123" s="138"/>
      <c r="I123" s="136">
        <v>100</v>
      </c>
      <c r="J123" s="137"/>
      <c r="K123" s="138">
        <f ca="1">IFERROR(__xludf.DUMMYFUNCTION("IFERROR(
  SUM(
    FILTER(
      Cobranza!$O:$O,
      (Cobranza!$AG:$AG &amp; """" = P122 &amp; """") *
      ((Cobranza!$W:$W = ""C"") + (Cobranza!$W:$W = ""c""))
    )
  ),
  0
)"),0)</f>
        <v>0</v>
      </c>
      <c r="L123" s="138"/>
      <c r="M123" s="136"/>
      <c r="N123" s="136">
        <f t="shared" ca="1" si="0"/>
        <v>0</v>
      </c>
      <c r="O123" s="139">
        <v>1</v>
      </c>
      <c r="P123" s="161"/>
      <c r="Q123" s="144" t="str">
        <f t="shared" si="1"/>
        <v>O</v>
      </c>
      <c r="R123" s="165" t="str">
        <f t="shared" si="2"/>
        <v>O-3</v>
      </c>
      <c r="S123" s="21"/>
      <c r="T123" s="21"/>
      <c r="U123" s="21"/>
    </row>
    <row r="124" spans="1:21" ht="22.5" hidden="1" customHeight="1">
      <c r="A124" s="150"/>
      <c r="B124" s="151" t="s">
        <v>327</v>
      </c>
      <c r="C124" s="152">
        <v>1</v>
      </c>
      <c r="D124" s="126">
        <v>1552</v>
      </c>
      <c r="E124" s="153">
        <v>100</v>
      </c>
      <c r="F124" s="153"/>
      <c r="G124" s="153"/>
      <c r="H124" s="154"/>
      <c r="I124" s="123">
        <v>25</v>
      </c>
      <c r="J124" s="125">
        <v>25</v>
      </c>
      <c r="K124" s="124">
        <f ca="1">IFERROR(__xludf.DUMMYFUNCTION("IFERROR(
  SUM(
    FILTER(
      Cobranza!$O:$O,
      (Cobranza!$AG:$AG &amp; """" = P123 &amp; """") *
      ((Cobranza!$W:$W = ""C"") + (Cobranza!$W:$W = ""c""))
    )
  ),
  0
)"),25)</f>
        <v>25</v>
      </c>
      <c r="L124" s="154"/>
      <c r="M124" s="153"/>
      <c r="N124" s="153">
        <f t="shared" ca="1" si="0"/>
        <v>50</v>
      </c>
      <c r="O124" s="126">
        <v>1</v>
      </c>
      <c r="P124" s="162"/>
      <c r="Q124" s="159" t="str">
        <f t="shared" si="1"/>
        <v>O</v>
      </c>
      <c r="R124" s="129" t="str">
        <f t="shared" si="2"/>
        <v>O-1</v>
      </c>
      <c r="S124" s="14"/>
      <c r="T124" s="14"/>
      <c r="U124" s="14"/>
    </row>
    <row r="125" spans="1:21" ht="22.5" hidden="1" customHeight="1">
      <c r="A125" s="147"/>
      <c r="B125" s="148" t="s">
        <v>327</v>
      </c>
      <c r="C125" s="149">
        <v>4</v>
      </c>
      <c r="D125" s="139">
        <v>1597</v>
      </c>
      <c r="E125" s="136">
        <v>100</v>
      </c>
      <c r="F125" s="163"/>
      <c r="G125" s="163"/>
      <c r="H125" s="138"/>
      <c r="I125" s="136">
        <v>25</v>
      </c>
      <c r="J125" s="137">
        <v>25</v>
      </c>
      <c r="K125" s="138">
        <f ca="1">IFERROR(__xludf.DUMMYFUNCTION("IFERROR(
  SUM(
    FILTER(
      Cobranza!$O:$O,
      (Cobranza!$AG:$AG &amp; """" = P124 &amp; """") *
      ((Cobranza!$W:$W = ""C"") + (Cobranza!$W:$W = ""c""))
    )
  ),
  0
)"),25)</f>
        <v>25</v>
      </c>
      <c r="L125" s="138"/>
      <c r="M125" s="136"/>
      <c r="N125" s="136">
        <f t="shared" ca="1" si="0"/>
        <v>50</v>
      </c>
      <c r="O125" s="139">
        <v>1</v>
      </c>
      <c r="P125" s="161"/>
      <c r="Q125" s="144" t="str">
        <f t="shared" si="1"/>
        <v>O</v>
      </c>
      <c r="R125" s="142" t="str">
        <f t="shared" si="2"/>
        <v>O-4</v>
      </c>
      <c r="S125" s="21"/>
      <c r="T125" s="21"/>
      <c r="U125" s="21"/>
    </row>
    <row r="126" spans="1:21" ht="22.5" hidden="1" customHeight="1">
      <c r="A126" s="150"/>
      <c r="B126" s="151" t="s">
        <v>327</v>
      </c>
      <c r="C126" s="152">
        <v>6</v>
      </c>
      <c r="D126" s="126">
        <v>917</v>
      </c>
      <c r="E126" s="153">
        <v>100</v>
      </c>
      <c r="F126" s="153"/>
      <c r="G126" s="153"/>
      <c r="H126" s="154"/>
      <c r="I126" s="123">
        <v>0</v>
      </c>
      <c r="J126" s="125">
        <v>25</v>
      </c>
      <c r="K126" s="124">
        <f ca="1">IFERROR(__xludf.DUMMYFUNCTION("IFERROR(
  SUM(
    FILTER(
      Cobranza!$O:$O,
      (Cobranza!$AG:$AG &amp; """" = P125 &amp; """") *
      ((Cobranza!$W:$W = ""C"") + (Cobranza!$W:$W = ""c""))
    )
  ),
  0
)"),25)</f>
        <v>25</v>
      </c>
      <c r="L126" s="154"/>
      <c r="M126" s="153"/>
      <c r="N126" s="153">
        <f t="shared" ca="1" si="0"/>
        <v>75</v>
      </c>
      <c r="O126" s="126">
        <v>1</v>
      </c>
      <c r="P126" s="162"/>
      <c r="Q126" s="159" t="str">
        <f t="shared" si="1"/>
        <v>O</v>
      </c>
      <c r="R126" s="129" t="str">
        <f t="shared" si="2"/>
        <v>O-6</v>
      </c>
      <c r="S126" s="14"/>
      <c r="T126" s="14"/>
      <c r="U126" s="14"/>
    </row>
    <row r="127" spans="1:21" ht="22.5" hidden="1" customHeight="1">
      <c r="A127" s="147"/>
      <c r="B127" s="148" t="s">
        <v>327</v>
      </c>
      <c r="C127" s="149">
        <v>8</v>
      </c>
      <c r="D127" s="139">
        <v>1980</v>
      </c>
      <c r="E127" s="136">
        <v>100</v>
      </c>
      <c r="F127" s="163"/>
      <c r="G127" s="163"/>
      <c r="H127" s="138"/>
      <c r="I127" s="136">
        <v>25</v>
      </c>
      <c r="J127" s="137">
        <v>25</v>
      </c>
      <c r="K127" s="138">
        <f ca="1">IFERROR(__xludf.DUMMYFUNCTION("IFERROR(
  SUM(
    FILTER(
      Cobranza!$O:$O,
      (Cobranza!$AG:$AG &amp; """" = P126 &amp; """") *
      ((Cobranza!$W:$W = ""C"") + (Cobranza!$W:$W = ""c""))
    )
  ),
  0
)"),25)</f>
        <v>25</v>
      </c>
      <c r="L127" s="138"/>
      <c r="M127" s="136"/>
      <c r="N127" s="136">
        <f t="shared" ca="1" si="0"/>
        <v>50</v>
      </c>
      <c r="O127" s="139">
        <v>1</v>
      </c>
      <c r="P127" s="161"/>
      <c r="Q127" s="144" t="str">
        <f t="shared" si="1"/>
        <v>O</v>
      </c>
      <c r="R127" s="142" t="str">
        <f t="shared" si="2"/>
        <v>O-8</v>
      </c>
      <c r="S127" s="21"/>
      <c r="T127" s="21"/>
      <c r="U127" s="21"/>
    </row>
    <row r="128" spans="1:21" ht="22.5" hidden="1" customHeight="1">
      <c r="A128" s="150"/>
      <c r="B128" s="151" t="s">
        <v>327</v>
      </c>
      <c r="C128" s="152">
        <v>9</v>
      </c>
      <c r="D128" s="126">
        <v>2809</v>
      </c>
      <c r="E128" s="153">
        <v>100</v>
      </c>
      <c r="F128" s="153"/>
      <c r="G128" s="153"/>
      <c r="H128" s="154"/>
      <c r="I128" s="123">
        <v>25</v>
      </c>
      <c r="J128" s="125">
        <v>25</v>
      </c>
      <c r="K128" s="124">
        <f ca="1">IFERROR(__xludf.DUMMYFUNCTION("IFERROR(
  SUM(
    FILTER(
      Cobranza!$O:$O,
      (Cobranza!$AG:$AG &amp; """" = P127 &amp; """") *
      ((Cobranza!$W:$W = ""C"") + (Cobranza!$W:$W = ""c""))
    )
  ),
  0
)"),25)</f>
        <v>25</v>
      </c>
      <c r="L128" s="154"/>
      <c r="M128" s="153"/>
      <c r="N128" s="153">
        <f t="shared" ca="1" si="0"/>
        <v>50</v>
      </c>
      <c r="O128" s="126">
        <v>1</v>
      </c>
      <c r="P128" s="162"/>
      <c r="Q128" s="159" t="str">
        <f t="shared" si="1"/>
        <v>O</v>
      </c>
      <c r="R128" s="129" t="str">
        <f t="shared" si="2"/>
        <v>O-9</v>
      </c>
      <c r="S128" s="14"/>
      <c r="T128" s="14"/>
      <c r="U128" s="14"/>
    </row>
    <row r="129" spans="1:21" ht="22.5" hidden="1" customHeight="1">
      <c r="A129" s="130"/>
      <c r="B129" s="131" t="s">
        <v>2704</v>
      </c>
      <c r="C129" s="132">
        <v>13</v>
      </c>
      <c r="D129" s="139">
        <v>2640</v>
      </c>
      <c r="E129" s="134">
        <v>100</v>
      </c>
      <c r="F129" s="166"/>
      <c r="G129" s="166"/>
      <c r="H129" s="135"/>
      <c r="I129" s="134">
        <v>100</v>
      </c>
      <c r="J129" s="137"/>
      <c r="K129" s="138">
        <f ca="1">IFERROR(__xludf.DUMMYFUNCTION("IFERROR(
  SUM(
    FILTER(
      Cobranza!$O:$O,
      (Cobranza!$AG:$AG &amp; """" = P128 &amp; """") *
      ((Cobranza!$W:$W = ""C"") + (Cobranza!$W:$W = ""c""))
    )
  ),
  0
)"),0)</f>
        <v>0</v>
      </c>
      <c r="L129" s="135"/>
      <c r="M129" s="134"/>
      <c r="N129" s="134">
        <f t="shared" ca="1" si="0"/>
        <v>0</v>
      </c>
      <c r="O129" s="139">
        <v>1</v>
      </c>
      <c r="P129" s="144"/>
      <c r="Q129" s="144" t="str">
        <f t="shared" si="1"/>
        <v>O</v>
      </c>
      <c r="R129" s="165" t="str">
        <f t="shared" si="2"/>
        <v>O-13</v>
      </c>
      <c r="S129" s="21"/>
      <c r="T129" s="21"/>
      <c r="U129" s="21"/>
    </row>
    <row r="130" spans="1:21" ht="22.5" hidden="1" customHeight="1">
      <c r="A130" s="119"/>
      <c r="B130" s="120" t="s">
        <v>327</v>
      </c>
      <c r="C130" s="121">
        <v>12</v>
      </c>
      <c r="D130" s="126">
        <v>1849</v>
      </c>
      <c r="E130" s="123">
        <v>100</v>
      </c>
      <c r="F130" s="123"/>
      <c r="G130" s="123"/>
      <c r="H130" s="124"/>
      <c r="I130" s="123">
        <v>0</v>
      </c>
      <c r="J130" s="125">
        <v>100</v>
      </c>
      <c r="K130" s="124">
        <f ca="1">IFERROR(__xludf.DUMMYFUNCTION("IFERROR(
  SUM(
    FILTER(
      Cobranza!$O:$O,
      (Cobranza!$AG:$AG &amp; """" = P129 &amp; """") *
      ((Cobranza!$W:$W = ""C"") + (Cobranza!$W:$W = ""c""))
    )
  ),
  0
)"),0)</f>
        <v>0</v>
      </c>
      <c r="L130" s="124"/>
      <c r="M130" s="123"/>
      <c r="N130" s="123">
        <f t="shared" ca="1" si="0"/>
        <v>100</v>
      </c>
      <c r="O130" s="126">
        <v>1</v>
      </c>
      <c r="P130" s="159"/>
      <c r="Q130" s="159" t="str">
        <f t="shared" si="1"/>
        <v>O</v>
      </c>
      <c r="R130" s="129" t="str">
        <f t="shared" si="2"/>
        <v>O-12</v>
      </c>
      <c r="S130" s="14"/>
      <c r="T130" s="14"/>
      <c r="U130" s="14"/>
    </row>
    <row r="131" spans="1:21" ht="22.5" hidden="1" customHeight="1">
      <c r="A131" s="130"/>
      <c r="B131" s="131" t="s">
        <v>327</v>
      </c>
      <c r="C131" s="132">
        <v>17</v>
      </c>
      <c r="D131" s="139">
        <v>1370</v>
      </c>
      <c r="E131" s="134">
        <v>100</v>
      </c>
      <c r="F131" s="166"/>
      <c r="G131" s="166"/>
      <c r="H131" s="135"/>
      <c r="I131" s="166">
        <v>25</v>
      </c>
      <c r="J131" s="137">
        <v>25</v>
      </c>
      <c r="K131" s="138">
        <f ca="1">IFERROR(__xludf.DUMMYFUNCTION("IFERROR(
  SUM(
    FILTER(
      Cobranza!$O:$O,
      (Cobranza!$AG:$AG &amp; """" = P130 &amp; """") *
      ((Cobranza!$W:$W = ""C"") + (Cobranza!$W:$W = ""c""))
    )
  ),
  0
)"),25)</f>
        <v>25</v>
      </c>
      <c r="L131" s="135"/>
      <c r="M131" s="134"/>
      <c r="N131" s="134">
        <f t="shared" ca="1" si="0"/>
        <v>50</v>
      </c>
      <c r="O131" s="139">
        <v>1</v>
      </c>
      <c r="P131" s="144"/>
      <c r="Q131" s="144" t="str">
        <f t="shared" si="1"/>
        <v>O</v>
      </c>
      <c r="R131" s="142" t="str">
        <f t="shared" si="2"/>
        <v>O-17</v>
      </c>
      <c r="S131" s="21"/>
      <c r="T131" s="21"/>
      <c r="U131" s="21"/>
    </row>
    <row r="132" spans="1:21" ht="22.5" hidden="1" customHeight="1">
      <c r="A132" s="119"/>
      <c r="B132" s="120" t="s">
        <v>327</v>
      </c>
      <c r="C132" s="121">
        <v>19</v>
      </c>
      <c r="D132" s="126">
        <v>2394</v>
      </c>
      <c r="E132" s="123">
        <v>100</v>
      </c>
      <c r="F132" s="123"/>
      <c r="G132" s="123"/>
      <c r="H132" s="124"/>
      <c r="I132" s="123">
        <v>25</v>
      </c>
      <c r="J132" s="125">
        <v>25</v>
      </c>
      <c r="K132" s="124">
        <f ca="1">IFERROR(__xludf.DUMMYFUNCTION("IFERROR(
  SUM(
    FILTER(
      Cobranza!$O:$O,
      (Cobranza!$AG:$AG &amp; """" = P131 &amp; """") *
      ((Cobranza!$W:$W = ""C"") + (Cobranza!$W:$W = ""c""))
    )
  ),
  0
)"),25)</f>
        <v>25</v>
      </c>
      <c r="L132" s="124"/>
      <c r="M132" s="123"/>
      <c r="N132" s="123">
        <f t="shared" ca="1" si="0"/>
        <v>50</v>
      </c>
      <c r="O132" s="126">
        <v>1</v>
      </c>
      <c r="P132" s="159"/>
      <c r="Q132" s="159" t="str">
        <f t="shared" si="1"/>
        <v>O</v>
      </c>
      <c r="R132" s="129" t="str">
        <f t="shared" si="2"/>
        <v>O-19</v>
      </c>
      <c r="S132" s="14"/>
      <c r="T132" s="14"/>
      <c r="U132" s="14"/>
    </row>
    <row r="133" spans="1:21" ht="22.5" hidden="1" customHeight="1">
      <c r="A133" s="130"/>
      <c r="B133" s="131" t="s">
        <v>327</v>
      </c>
      <c r="C133" s="132">
        <v>22</v>
      </c>
      <c r="D133" s="139">
        <v>1197</v>
      </c>
      <c r="E133" s="134">
        <v>100</v>
      </c>
      <c r="F133" s="166"/>
      <c r="G133" s="166"/>
      <c r="H133" s="135"/>
      <c r="I133" s="134">
        <v>0</v>
      </c>
      <c r="J133" s="137">
        <v>25</v>
      </c>
      <c r="K133" s="138">
        <f ca="1">IFERROR(__xludf.DUMMYFUNCTION("IFERROR(
  SUM(
    FILTER(
      Cobranza!$O:$O,
      (Cobranza!$AG:$AG &amp; """" = P132 &amp; """") *
      ((Cobranza!$W:$W = ""C"") + (Cobranza!$W:$W = ""c""))
    )
  ),
  0
)"),25)</f>
        <v>25</v>
      </c>
      <c r="L133" s="135"/>
      <c r="M133" s="134"/>
      <c r="N133" s="134">
        <f t="shared" ca="1" si="0"/>
        <v>75</v>
      </c>
      <c r="O133" s="139">
        <v>1</v>
      </c>
      <c r="P133" s="144"/>
      <c r="Q133" s="144" t="str">
        <f t="shared" si="1"/>
        <v>O</v>
      </c>
      <c r="R133" s="142" t="str">
        <f t="shared" si="2"/>
        <v>O-22</v>
      </c>
      <c r="S133" s="21"/>
      <c r="T133" s="21"/>
      <c r="U133" s="21"/>
    </row>
    <row r="134" spans="1:21" ht="22.5" hidden="1" customHeight="1">
      <c r="A134" s="150"/>
      <c r="B134" s="151" t="s">
        <v>327</v>
      </c>
      <c r="C134" s="152">
        <v>25</v>
      </c>
      <c r="D134" s="126">
        <v>1184</v>
      </c>
      <c r="E134" s="153">
        <v>100</v>
      </c>
      <c r="F134" s="153"/>
      <c r="G134" s="153"/>
      <c r="H134" s="154"/>
      <c r="I134" s="123">
        <v>25</v>
      </c>
      <c r="J134" s="125">
        <v>25</v>
      </c>
      <c r="K134" s="124">
        <f ca="1">IFERROR(__xludf.DUMMYFUNCTION("IFERROR(
  SUM(
    FILTER(
      Cobranza!$O:$O,
      (Cobranza!$AG:$AG &amp; """" = P133 &amp; """") *
      ((Cobranza!$W:$W = ""C"") + (Cobranza!$W:$W = ""c""))
    )
  ),
  0
)"),25)</f>
        <v>25</v>
      </c>
      <c r="L134" s="154"/>
      <c r="M134" s="153"/>
      <c r="N134" s="153">
        <f t="shared" ca="1" si="0"/>
        <v>50</v>
      </c>
      <c r="O134" s="126">
        <v>1</v>
      </c>
      <c r="P134" s="162"/>
      <c r="Q134" s="159" t="str">
        <f t="shared" si="1"/>
        <v>O</v>
      </c>
      <c r="R134" s="129" t="str">
        <f t="shared" si="2"/>
        <v>O-25</v>
      </c>
      <c r="S134" s="14"/>
      <c r="T134" s="14"/>
      <c r="U134" s="14"/>
    </row>
    <row r="135" spans="1:21" ht="22.5" hidden="1" customHeight="1">
      <c r="A135" s="147"/>
      <c r="B135" s="148" t="s">
        <v>327</v>
      </c>
      <c r="C135" s="149">
        <v>26</v>
      </c>
      <c r="D135" s="139">
        <v>619</v>
      </c>
      <c r="E135" s="136">
        <v>100</v>
      </c>
      <c r="F135" s="163"/>
      <c r="G135" s="163"/>
      <c r="H135" s="138"/>
      <c r="I135" s="136">
        <v>25</v>
      </c>
      <c r="J135" s="137">
        <v>25</v>
      </c>
      <c r="K135" s="138">
        <f ca="1">IFERROR(__xludf.DUMMYFUNCTION("IFERROR(
  SUM(
    FILTER(
      Cobranza!$O:$O,
      (Cobranza!$AG:$AG &amp; """" = P134 &amp; """") *
      ((Cobranza!$W:$W = ""C"") + (Cobranza!$W:$W = ""c""))
    )
  ),
  0
)"),25)</f>
        <v>25</v>
      </c>
      <c r="L135" s="138"/>
      <c r="M135" s="136"/>
      <c r="N135" s="136">
        <f t="shared" ca="1" si="0"/>
        <v>50</v>
      </c>
      <c r="O135" s="139">
        <v>1</v>
      </c>
      <c r="P135" s="161"/>
      <c r="Q135" s="144" t="str">
        <f t="shared" si="1"/>
        <v>O</v>
      </c>
      <c r="R135" s="142" t="str">
        <f t="shared" si="2"/>
        <v>O-26</v>
      </c>
      <c r="S135" s="21"/>
      <c r="T135" s="21"/>
      <c r="U135" s="21"/>
    </row>
    <row r="136" spans="1:21" ht="22.5" hidden="1" customHeight="1">
      <c r="A136" s="119"/>
      <c r="B136" s="120" t="s">
        <v>327</v>
      </c>
      <c r="C136" s="121">
        <v>28</v>
      </c>
      <c r="D136" s="160"/>
      <c r="E136" s="123">
        <v>100</v>
      </c>
      <c r="F136" s="123"/>
      <c r="G136" s="123"/>
      <c r="H136" s="124"/>
      <c r="I136" s="123">
        <v>25</v>
      </c>
      <c r="J136" s="125">
        <v>75</v>
      </c>
      <c r="K136" s="124">
        <f ca="1">IFERROR(__xludf.DUMMYFUNCTION("IFERROR(
  SUM(
    FILTER(
      Cobranza!$O:$O,
      (Cobranza!$AG:$AG &amp; """" = P135 &amp; """") *
      ((Cobranza!$W:$W = ""C"") + (Cobranza!$W:$W = ""c""))
    )
  ),
  0
)"),0)</f>
        <v>0</v>
      </c>
      <c r="L136" s="124"/>
      <c r="M136" s="123"/>
      <c r="N136" s="123">
        <f t="shared" ca="1" si="0"/>
        <v>75</v>
      </c>
      <c r="O136" s="126">
        <v>1</v>
      </c>
      <c r="P136" s="159"/>
      <c r="Q136" s="159" t="str">
        <f t="shared" si="1"/>
        <v>O</v>
      </c>
      <c r="R136" s="129" t="str">
        <f t="shared" si="2"/>
        <v>O-28</v>
      </c>
      <c r="S136" s="14"/>
      <c r="T136" s="14"/>
      <c r="U136" s="14"/>
    </row>
    <row r="137" spans="1:21" ht="22.5" hidden="1" customHeight="1">
      <c r="A137" s="130"/>
      <c r="B137" s="131" t="s">
        <v>327</v>
      </c>
      <c r="C137" s="132">
        <v>24</v>
      </c>
      <c r="D137" s="139">
        <v>5745</v>
      </c>
      <c r="E137" s="134">
        <v>100</v>
      </c>
      <c r="F137" s="166"/>
      <c r="G137" s="166"/>
      <c r="H137" s="134">
        <v>100</v>
      </c>
      <c r="I137" s="134">
        <v>0</v>
      </c>
      <c r="J137" s="137"/>
      <c r="K137" s="138">
        <f ca="1">IFERROR(__xludf.DUMMYFUNCTION("IFERROR(
  SUM(
    FILTER(
      Cobranza!$O:$O,
      (Cobranza!$AG:$AG &amp; """" = P136 &amp; """") *
      ((Cobranza!$W:$W = ""C"") + (Cobranza!$W:$W = ""c""))
    )
  ),
  0
)"),0)</f>
        <v>0</v>
      </c>
      <c r="L137" s="135"/>
      <c r="M137" s="134"/>
      <c r="N137" s="134">
        <f t="shared" ca="1" si="0"/>
        <v>0</v>
      </c>
      <c r="O137" s="139">
        <v>1</v>
      </c>
      <c r="P137" s="131" t="s">
        <v>2668</v>
      </c>
      <c r="Q137" s="144" t="str">
        <f t="shared" si="1"/>
        <v>O</v>
      </c>
      <c r="R137" s="165" t="str">
        <f t="shared" si="2"/>
        <v>O-24</v>
      </c>
      <c r="S137" s="21"/>
      <c r="T137" s="21"/>
      <c r="U137" s="21"/>
    </row>
    <row r="138" spans="1:21" ht="22.5" hidden="1" customHeight="1">
      <c r="A138" s="150"/>
      <c r="B138" s="151" t="s">
        <v>357</v>
      </c>
      <c r="C138" s="152">
        <v>3</v>
      </c>
      <c r="D138" s="126">
        <v>2534</v>
      </c>
      <c r="E138" s="153">
        <v>100</v>
      </c>
      <c r="F138" s="153"/>
      <c r="G138" s="153"/>
      <c r="H138" s="154"/>
      <c r="I138" s="153">
        <v>25</v>
      </c>
      <c r="J138" s="125">
        <v>25</v>
      </c>
      <c r="K138" s="124">
        <f ca="1">IFERROR(__xludf.DUMMYFUNCTION("IFERROR(
  SUM(
    FILTER(
      Cobranza!$O:$O,
      (Cobranza!$AG:$AG &amp; """" = P137 &amp; """") *
      ((Cobranza!$W:$W = ""C"") + (Cobranza!$W:$W = ""c""))
    )
  ),
  0
)"),25)</f>
        <v>25</v>
      </c>
      <c r="L138" s="154"/>
      <c r="M138" s="153"/>
      <c r="N138" s="153">
        <f t="shared" ca="1" si="0"/>
        <v>50</v>
      </c>
      <c r="O138" s="126">
        <v>1</v>
      </c>
      <c r="P138" s="128"/>
      <c r="Q138" s="128" t="str">
        <f t="shared" si="1"/>
        <v>P</v>
      </c>
      <c r="R138" s="129" t="str">
        <f t="shared" si="2"/>
        <v>P-3</v>
      </c>
      <c r="S138" s="14"/>
      <c r="T138" s="14"/>
      <c r="U138" s="14"/>
    </row>
    <row r="139" spans="1:21" ht="22.5" hidden="1" customHeight="1">
      <c r="A139" s="147"/>
      <c r="B139" s="148" t="s">
        <v>357</v>
      </c>
      <c r="C139" s="149">
        <v>8</v>
      </c>
      <c r="D139" s="139">
        <v>2047</v>
      </c>
      <c r="E139" s="136">
        <v>100</v>
      </c>
      <c r="F139" s="163"/>
      <c r="G139" s="163"/>
      <c r="H139" s="138"/>
      <c r="I139" s="136">
        <v>21</v>
      </c>
      <c r="J139" s="137"/>
      <c r="K139" s="138">
        <f ca="1">IFERROR(__xludf.DUMMYFUNCTION("IFERROR(
  SUM(
    FILTER(
      Cobranza!$O:$O,
      (Cobranza!$AG:$AG &amp; """" = P138 &amp; """") *
      ((Cobranza!$W:$W = ""C"") + (Cobranza!$W:$W = ""c""))
    )
  ),
  0
)"),25)</f>
        <v>25</v>
      </c>
      <c r="L139" s="138"/>
      <c r="M139" s="136"/>
      <c r="N139" s="136">
        <f t="shared" ca="1" si="0"/>
        <v>54</v>
      </c>
      <c r="O139" s="139">
        <v>1</v>
      </c>
      <c r="P139" s="141"/>
      <c r="Q139" s="141" t="str">
        <f t="shared" si="1"/>
        <v>P</v>
      </c>
      <c r="R139" s="142" t="str">
        <f t="shared" si="2"/>
        <v>P-8</v>
      </c>
      <c r="S139" s="21"/>
      <c r="T139" s="21"/>
      <c r="U139" s="21"/>
    </row>
    <row r="140" spans="1:21" ht="22.5" hidden="1" customHeight="1">
      <c r="A140" s="150"/>
      <c r="B140" s="151" t="s">
        <v>357</v>
      </c>
      <c r="C140" s="152">
        <v>11</v>
      </c>
      <c r="D140" s="126">
        <v>1954</v>
      </c>
      <c r="E140" s="153">
        <v>100</v>
      </c>
      <c r="F140" s="153"/>
      <c r="G140" s="153"/>
      <c r="H140" s="154"/>
      <c r="I140" s="153">
        <v>25</v>
      </c>
      <c r="J140" s="125"/>
      <c r="K140" s="124">
        <f ca="1">IFERROR(__xludf.DUMMYFUNCTION("IFERROR(
  SUM(
    FILTER(
      Cobranza!$O:$O,
      (Cobranza!$AG:$AG &amp; """" = P139 &amp; """") *
      ((Cobranza!$W:$W = ""C"") + (Cobranza!$W:$W = ""c""))
    )
  ),
  0
)"),0)</f>
        <v>0</v>
      </c>
      <c r="L140" s="154"/>
      <c r="M140" s="153"/>
      <c r="N140" s="153">
        <f t="shared" ca="1" si="0"/>
        <v>75</v>
      </c>
      <c r="O140" s="126">
        <v>1</v>
      </c>
      <c r="P140" s="128"/>
      <c r="Q140" s="128" t="str">
        <f t="shared" si="1"/>
        <v>P</v>
      </c>
      <c r="R140" s="129" t="str">
        <f t="shared" si="2"/>
        <v>P-11</v>
      </c>
      <c r="S140" s="14"/>
      <c r="T140" s="14"/>
      <c r="U140" s="14"/>
    </row>
    <row r="141" spans="1:21" ht="22.5" hidden="1" customHeight="1">
      <c r="A141" s="130"/>
      <c r="B141" s="131" t="s">
        <v>357</v>
      </c>
      <c r="C141" s="132">
        <v>12</v>
      </c>
      <c r="D141" s="139">
        <v>2177</v>
      </c>
      <c r="E141" s="134">
        <v>100</v>
      </c>
      <c r="F141" s="166"/>
      <c r="G141" s="166"/>
      <c r="H141" s="135"/>
      <c r="I141" s="136">
        <v>0</v>
      </c>
      <c r="J141" s="137">
        <v>25</v>
      </c>
      <c r="K141" s="138">
        <f ca="1">IFERROR(__xludf.DUMMYFUNCTION("IFERROR(
  SUM(
    FILTER(
      Cobranza!$O:$O,
      (Cobranza!$AG:$AG &amp; """" = P140 &amp; """") *
      ((Cobranza!$W:$W = ""C"") + (Cobranza!$W:$W = ""c""))
    )
  ),
  0
)"),0)</f>
        <v>0</v>
      </c>
      <c r="L141" s="135"/>
      <c r="M141" s="134"/>
      <c r="N141" s="134">
        <f t="shared" ca="1" si="0"/>
        <v>100</v>
      </c>
      <c r="O141" s="139">
        <v>1</v>
      </c>
      <c r="P141" s="140"/>
      <c r="Q141" s="141" t="str">
        <f t="shared" si="1"/>
        <v>P</v>
      </c>
      <c r="R141" s="142" t="str">
        <f t="shared" si="2"/>
        <v>P-12</v>
      </c>
      <c r="S141" s="21"/>
      <c r="T141" s="21"/>
      <c r="U141" s="21"/>
    </row>
    <row r="142" spans="1:21" ht="22.5" hidden="1" customHeight="1">
      <c r="A142" s="119"/>
      <c r="B142" s="120" t="s">
        <v>357</v>
      </c>
      <c r="C142" s="121">
        <v>13</v>
      </c>
      <c r="D142" s="126">
        <v>1707</v>
      </c>
      <c r="E142" s="123">
        <v>50</v>
      </c>
      <c r="F142" s="123"/>
      <c r="G142" s="123"/>
      <c r="H142" s="124"/>
      <c r="I142" s="123">
        <v>25</v>
      </c>
      <c r="J142" s="125">
        <v>25</v>
      </c>
      <c r="K142" s="124">
        <f ca="1">IFERROR(__xludf.DUMMYFUNCTION("IFERROR(
  SUM(
    FILTER(
      Cobranza!$O:$O,
      (Cobranza!$AG:$AG &amp; """" = P141 &amp; """") *
      ((Cobranza!$W:$W = ""C"") + (Cobranza!$W:$W = ""c""))
    )
  ),
  0
)"),0)</f>
        <v>0</v>
      </c>
      <c r="L142" s="124"/>
      <c r="M142" s="123"/>
      <c r="N142" s="123">
        <f t="shared" ca="1" si="0"/>
        <v>25</v>
      </c>
      <c r="O142" s="126">
        <v>1</v>
      </c>
      <c r="P142" s="127" t="s">
        <v>2705</v>
      </c>
      <c r="Q142" s="128" t="str">
        <f t="shared" si="1"/>
        <v>P</v>
      </c>
      <c r="R142" s="129" t="str">
        <f t="shared" si="2"/>
        <v>P-13</v>
      </c>
      <c r="S142" s="14"/>
      <c r="T142" s="14"/>
      <c r="U142" s="14"/>
    </row>
    <row r="143" spans="1:21" ht="22.5" hidden="1" customHeight="1">
      <c r="A143" s="147"/>
      <c r="B143" s="148" t="s">
        <v>357</v>
      </c>
      <c r="C143" s="149">
        <v>19</v>
      </c>
      <c r="D143" s="139">
        <v>2153</v>
      </c>
      <c r="E143" s="136">
        <v>100</v>
      </c>
      <c r="F143" s="163"/>
      <c r="G143" s="163"/>
      <c r="H143" s="136">
        <v>100</v>
      </c>
      <c r="I143" s="136">
        <v>0</v>
      </c>
      <c r="J143" s="137"/>
      <c r="K143" s="138">
        <f ca="1">IFERROR(__xludf.DUMMYFUNCTION("IFERROR(
  SUM(
    FILTER(
      Cobranza!$O:$O,
      (Cobranza!$AG:$AG &amp; """" = P142 &amp; """") *
      ((Cobranza!$W:$W = ""C"") + (Cobranza!$W:$W = ""c""))
    )
  ),
  0
)"),0)</f>
        <v>0</v>
      </c>
      <c r="L143" s="138"/>
      <c r="M143" s="136"/>
      <c r="N143" s="136">
        <f t="shared" ca="1" si="0"/>
        <v>0</v>
      </c>
      <c r="O143" s="139">
        <v>1</v>
      </c>
      <c r="P143" s="148" t="s">
        <v>613</v>
      </c>
      <c r="Q143" s="141" t="str">
        <f t="shared" si="1"/>
        <v>P</v>
      </c>
      <c r="R143" s="146" t="str">
        <f t="shared" si="2"/>
        <v>P-19</v>
      </c>
      <c r="S143" s="21"/>
      <c r="T143" s="21"/>
      <c r="U143" s="21"/>
    </row>
    <row r="144" spans="1:21" ht="22.5" hidden="1" customHeight="1">
      <c r="A144" s="150"/>
      <c r="B144" s="151" t="s">
        <v>378</v>
      </c>
      <c r="C144" s="152">
        <v>5</v>
      </c>
      <c r="D144" s="126">
        <v>3417</v>
      </c>
      <c r="E144" s="153">
        <v>100</v>
      </c>
      <c r="F144" s="153"/>
      <c r="G144" s="153"/>
      <c r="H144" s="154"/>
      <c r="I144" s="153">
        <v>25</v>
      </c>
      <c r="J144" s="125">
        <v>25</v>
      </c>
      <c r="K144" s="124">
        <f ca="1">IFERROR(__xludf.DUMMYFUNCTION("IFERROR(
  SUM(
    FILTER(
      Cobranza!$O:$O,
      (Cobranza!$AG:$AG &amp; """" = P143 &amp; """") *
      ((Cobranza!$W:$W = ""C"") + (Cobranza!$W:$W = ""c""))
    )
  ),
  0
)"),25)</f>
        <v>25</v>
      </c>
      <c r="L144" s="154"/>
      <c r="M144" s="153"/>
      <c r="N144" s="153">
        <f t="shared" ca="1" si="0"/>
        <v>50</v>
      </c>
      <c r="O144" s="126">
        <v>1</v>
      </c>
      <c r="P144" s="128"/>
      <c r="Q144" s="128" t="str">
        <f t="shared" si="1"/>
        <v>Q</v>
      </c>
      <c r="R144" s="129" t="str">
        <f t="shared" si="2"/>
        <v>Q-5</v>
      </c>
      <c r="S144" s="14"/>
      <c r="T144" s="14"/>
      <c r="U144" s="14"/>
    </row>
    <row r="145" spans="1:21" ht="22.5" hidden="1" customHeight="1">
      <c r="A145" s="147"/>
      <c r="B145" s="148" t="s">
        <v>378</v>
      </c>
      <c r="C145" s="149">
        <v>8</v>
      </c>
      <c r="D145" s="139">
        <v>2602</v>
      </c>
      <c r="E145" s="136">
        <v>100</v>
      </c>
      <c r="F145" s="163"/>
      <c r="G145" s="163"/>
      <c r="H145" s="138"/>
      <c r="I145" s="136">
        <v>0</v>
      </c>
      <c r="J145" s="137">
        <v>30</v>
      </c>
      <c r="K145" s="138">
        <f ca="1">IFERROR(__xludf.DUMMYFUNCTION("IFERROR(
  SUM(
    FILTER(
      Cobranza!$O:$O,
      (Cobranza!$AG:$AG &amp; """" = P144 &amp; """") *
      ((Cobranza!$W:$W = ""C"") + (Cobranza!$W:$W = ""c""))
    )
  ),
  0
)"),50)</f>
        <v>50</v>
      </c>
      <c r="L145" s="138"/>
      <c r="M145" s="136"/>
      <c r="N145" s="136">
        <f t="shared" ca="1" si="0"/>
        <v>50</v>
      </c>
      <c r="O145" s="139">
        <v>1</v>
      </c>
      <c r="P145" s="141"/>
      <c r="Q145" s="141" t="str">
        <f t="shared" si="1"/>
        <v>Q</v>
      </c>
      <c r="R145" s="142" t="str">
        <f t="shared" si="2"/>
        <v>Q-8</v>
      </c>
      <c r="S145" s="21"/>
      <c r="T145" s="21"/>
      <c r="U145" s="21"/>
    </row>
    <row r="146" spans="1:21" ht="22.5" hidden="1" customHeight="1">
      <c r="A146" s="150"/>
      <c r="B146" s="151" t="s">
        <v>393</v>
      </c>
      <c r="C146" s="152">
        <v>2</v>
      </c>
      <c r="D146" s="126">
        <v>2509</v>
      </c>
      <c r="E146" s="153">
        <v>100</v>
      </c>
      <c r="F146" s="153"/>
      <c r="G146" s="153"/>
      <c r="H146" s="154"/>
      <c r="I146" s="153">
        <v>25</v>
      </c>
      <c r="J146" s="125">
        <v>25</v>
      </c>
      <c r="K146" s="124">
        <f ca="1">IFERROR(__xludf.DUMMYFUNCTION("IFERROR(
  SUM(
    FILTER(
      Cobranza!$O:$O,
      (Cobranza!$AG:$AG &amp; """" = P145 &amp; """") *
      ((Cobranza!$W:$W = ""C"") + (Cobranza!$W:$W = ""c""))
    )
  ),
  0
)"),25)</f>
        <v>25</v>
      </c>
      <c r="L146" s="154"/>
      <c r="M146" s="153"/>
      <c r="N146" s="153">
        <f t="shared" ca="1" si="0"/>
        <v>50</v>
      </c>
      <c r="O146" s="126">
        <v>1</v>
      </c>
      <c r="P146" s="128"/>
      <c r="Q146" s="128" t="str">
        <f t="shared" si="1"/>
        <v>R</v>
      </c>
      <c r="R146" s="129" t="str">
        <f t="shared" si="2"/>
        <v>R-2</v>
      </c>
      <c r="S146" s="14"/>
      <c r="T146" s="14"/>
      <c r="U146" s="14"/>
    </row>
    <row r="147" spans="1:21" ht="22.5" hidden="1" customHeight="1">
      <c r="A147" s="147"/>
      <c r="B147" s="148" t="s">
        <v>401</v>
      </c>
      <c r="C147" s="149">
        <v>3</v>
      </c>
      <c r="D147" s="139">
        <v>1614</v>
      </c>
      <c r="E147" s="136">
        <v>100</v>
      </c>
      <c r="F147" s="163"/>
      <c r="G147" s="163"/>
      <c r="H147" s="138"/>
      <c r="I147" s="136">
        <v>0</v>
      </c>
      <c r="J147" s="137">
        <v>25</v>
      </c>
      <c r="K147" s="138">
        <f ca="1">IFERROR(__xludf.DUMMYFUNCTION("IFERROR(
  SUM(
    FILTER(
      Cobranza!$O:$O,
      (Cobranza!$AG:$AG &amp; """" = P146 &amp; """") *
      ((Cobranza!$W:$W = ""C"") + (Cobranza!$W:$W = ""c""))
    )
  ),
  0
)"),25)</f>
        <v>25</v>
      </c>
      <c r="L147" s="138"/>
      <c r="M147" s="136"/>
      <c r="N147" s="136">
        <f t="shared" ca="1" si="0"/>
        <v>75</v>
      </c>
      <c r="O147" s="139">
        <v>1</v>
      </c>
      <c r="P147" s="141"/>
      <c r="Q147" s="141" t="str">
        <f t="shared" si="1"/>
        <v>S</v>
      </c>
      <c r="R147" s="142" t="str">
        <f t="shared" si="2"/>
        <v>S-3</v>
      </c>
      <c r="S147" s="21"/>
      <c r="T147" s="21"/>
      <c r="U147" s="21"/>
    </row>
    <row r="148" spans="1:21" ht="22.5" hidden="1" customHeight="1">
      <c r="A148" s="150"/>
      <c r="B148" s="151" t="s">
        <v>401</v>
      </c>
      <c r="C148" s="152">
        <v>4</v>
      </c>
      <c r="D148" s="126">
        <v>3630</v>
      </c>
      <c r="E148" s="123">
        <v>100</v>
      </c>
      <c r="F148" s="224"/>
      <c r="G148" s="224"/>
      <c r="H148" s="154"/>
      <c r="I148" s="153">
        <v>25</v>
      </c>
      <c r="J148" s="125">
        <v>25</v>
      </c>
      <c r="K148" s="124">
        <f ca="1">IFERROR(__xludf.DUMMYFUNCTION("IFERROR(
  SUM(
    FILTER(
      Cobranza!$O:$O,
      (Cobranza!$AG:$AG &amp; """" = P147 &amp; """") *
      ((Cobranza!$W:$W = ""C"") + (Cobranza!$W:$W = ""c""))
    )
  ),
  0
)"),0)</f>
        <v>0</v>
      </c>
      <c r="L148" s="154"/>
      <c r="M148" s="167"/>
      <c r="N148" s="123">
        <f t="shared" ca="1" si="0"/>
        <v>75</v>
      </c>
      <c r="O148" s="126">
        <v>1</v>
      </c>
      <c r="P148" s="128"/>
      <c r="Q148" s="128" t="str">
        <f t="shared" si="1"/>
        <v>S</v>
      </c>
      <c r="R148" s="129" t="str">
        <f t="shared" si="2"/>
        <v>S-4</v>
      </c>
      <c r="S148" s="14"/>
      <c r="T148" s="14"/>
      <c r="U148" s="14"/>
    </row>
    <row r="149" spans="1:21" ht="22.5" hidden="1" customHeight="1">
      <c r="A149" s="130"/>
      <c r="B149" s="131" t="s">
        <v>415</v>
      </c>
      <c r="C149" s="132">
        <v>7</v>
      </c>
      <c r="D149" s="139">
        <v>3516</v>
      </c>
      <c r="E149" s="134">
        <v>100</v>
      </c>
      <c r="F149" s="166"/>
      <c r="G149" s="166"/>
      <c r="H149" s="135"/>
      <c r="I149" s="136">
        <v>25</v>
      </c>
      <c r="J149" s="137"/>
      <c r="K149" s="138">
        <f ca="1">IFERROR(__xludf.DUMMYFUNCTION("IFERROR(
  SUM(
    FILTER(
      Cobranza!$O:$O,
      (Cobranza!$AG:$AG &amp; """" = P148 &amp; """") *
      ((Cobranza!$W:$W = ""C"") + (Cobranza!$W:$W = ""c""))
    )
  ),
  0
)"),25)</f>
        <v>25</v>
      </c>
      <c r="L149" s="135"/>
      <c r="M149" s="134"/>
      <c r="N149" s="134">
        <f t="shared" ca="1" si="0"/>
        <v>50</v>
      </c>
      <c r="O149" s="139">
        <v>1</v>
      </c>
      <c r="P149" s="140"/>
      <c r="Q149" s="141" t="str">
        <f t="shared" si="1"/>
        <v>T</v>
      </c>
      <c r="R149" s="142" t="str">
        <f t="shared" si="2"/>
        <v>T-7</v>
      </c>
      <c r="S149" s="21"/>
      <c r="T149" s="21"/>
      <c r="U149" s="21"/>
    </row>
    <row r="150" spans="1:21" ht="22.5" hidden="1" customHeight="1">
      <c r="A150" s="119"/>
      <c r="B150" s="120" t="s">
        <v>415</v>
      </c>
      <c r="C150" s="121">
        <v>8</v>
      </c>
      <c r="D150" s="126">
        <v>2213</v>
      </c>
      <c r="E150" s="123">
        <v>100</v>
      </c>
      <c r="F150" s="123"/>
      <c r="G150" s="123"/>
      <c r="H150" s="124"/>
      <c r="I150" s="123">
        <v>25</v>
      </c>
      <c r="J150" s="125">
        <v>25</v>
      </c>
      <c r="K150" s="124">
        <f ca="1">IFERROR(__xludf.DUMMYFUNCTION("IFERROR(
  SUM(
    FILTER(
      Cobranza!$O:$O,
      (Cobranza!$AG:$AG &amp; """" = P149 &amp; """") *
      ((Cobranza!$W:$W = ""C"") + (Cobranza!$W:$W = ""c""))
    )
  ),
  0
)"),25)</f>
        <v>25</v>
      </c>
      <c r="L150" s="124"/>
      <c r="M150" s="123"/>
      <c r="N150" s="123">
        <f t="shared" ca="1" si="0"/>
        <v>50</v>
      </c>
      <c r="O150" s="126">
        <v>1</v>
      </c>
      <c r="P150" s="127"/>
      <c r="Q150" s="128" t="str">
        <f t="shared" si="1"/>
        <v>T</v>
      </c>
      <c r="R150" s="129" t="str">
        <f t="shared" si="2"/>
        <v>T-8</v>
      </c>
      <c r="S150" s="14"/>
      <c r="T150" s="14"/>
      <c r="U150" s="14"/>
    </row>
    <row r="151" spans="1:21" ht="22.5" hidden="1" customHeight="1">
      <c r="A151" s="130"/>
      <c r="B151" s="131" t="s">
        <v>415</v>
      </c>
      <c r="C151" s="132">
        <v>14</v>
      </c>
      <c r="D151" s="139">
        <v>1895</v>
      </c>
      <c r="E151" s="134">
        <v>100</v>
      </c>
      <c r="F151" s="166"/>
      <c r="G151" s="166"/>
      <c r="H151" s="135"/>
      <c r="I151" s="136">
        <v>25</v>
      </c>
      <c r="J151" s="137"/>
      <c r="K151" s="138">
        <f ca="1">IFERROR(__xludf.DUMMYFUNCTION("IFERROR(
  SUM(
    FILTER(
      Cobranza!$O:$O,
      (Cobranza!$AG:$AG &amp; """" = P150 &amp; """") *
      ((Cobranza!$W:$W = ""C"") + (Cobranza!$W:$W = ""c""))
    )
  ),
  0
)"),25)</f>
        <v>25</v>
      </c>
      <c r="L151" s="135"/>
      <c r="M151" s="134"/>
      <c r="N151" s="134">
        <f t="shared" ca="1" si="0"/>
        <v>50</v>
      </c>
      <c r="O151" s="139">
        <v>1</v>
      </c>
      <c r="P151" s="140"/>
      <c r="Q151" s="141" t="str">
        <f t="shared" si="1"/>
        <v>T</v>
      </c>
      <c r="R151" s="142" t="str">
        <f t="shared" si="2"/>
        <v>T-14</v>
      </c>
      <c r="S151" s="21"/>
      <c r="T151" s="21"/>
      <c r="U151" s="21"/>
    </row>
    <row r="152" spans="1:21" ht="22.5" hidden="1" customHeight="1">
      <c r="A152" s="168" t="s">
        <v>2706</v>
      </c>
      <c r="B152" s="120" t="s">
        <v>458</v>
      </c>
      <c r="C152" s="121">
        <v>3</v>
      </c>
      <c r="D152" s="160"/>
      <c r="E152" s="123">
        <v>100</v>
      </c>
      <c r="F152" s="123"/>
      <c r="G152" s="123"/>
      <c r="H152" s="124"/>
      <c r="I152" s="123">
        <v>25</v>
      </c>
      <c r="J152" s="169">
        <v>1</v>
      </c>
      <c r="K152" s="124">
        <f ca="1">IFERROR(__xludf.DUMMYFUNCTION("IFERROR(
  SUM(
    FILTER(
      Cobranza!$O:$O,
      (Cobranza!$AG:$AG &amp; """" = P151 &amp; """") *
      ((Cobranza!$W:$W = ""C"") + (Cobranza!$W:$W = ""c""))
    )
  ),
  0
)"),15)</f>
        <v>15</v>
      </c>
      <c r="L152" s="124"/>
      <c r="M152" s="123"/>
      <c r="N152" s="123">
        <f t="shared" ca="1" si="0"/>
        <v>60</v>
      </c>
      <c r="O152" s="126">
        <v>1</v>
      </c>
      <c r="P152" s="127"/>
      <c r="Q152" s="128" t="str">
        <f t="shared" si="1"/>
        <v>W</v>
      </c>
      <c r="R152" s="129" t="str">
        <f t="shared" si="2"/>
        <v>W-3</v>
      </c>
      <c r="S152" s="14"/>
      <c r="T152" s="14"/>
      <c r="U152" s="14"/>
    </row>
    <row r="153" spans="1:21" ht="22.5" hidden="1" customHeight="1">
      <c r="A153" s="130"/>
      <c r="B153" s="131" t="s">
        <v>458</v>
      </c>
      <c r="C153" s="132">
        <v>4</v>
      </c>
      <c r="D153" s="145"/>
      <c r="E153" s="134">
        <v>100</v>
      </c>
      <c r="F153" s="166"/>
      <c r="G153" s="166"/>
      <c r="H153" s="135"/>
      <c r="I153" s="136">
        <v>25</v>
      </c>
      <c r="J153" s="137">
        <v>25</v>
      </c>
      <c r="K153" s="138">
        <f ca="1">IFERROR(__xludf.DUMMYFUNCTION("IFERROR(
  SUM(
    FILTER(
      Cobranza!$O:$O,
      (Cobranza!$AG:$AG &amp; """" = P152 &amp; """") *
      ((Cobranza!$W:$W = ""C"") + (Cobranza!$W:$W = ""c""))
    )
  ),
  0
)"),25)</f>
        <v>25</v>
      </c>
      <c r="L153" s="135"/>
      <c r="M153" s="134"/>
      <c r="N153" s="134">
        <f t="shared" ca="1" si="0"/>
        <v>50</v>
      </c>
      <c r="O153" s="139">
        <v>1</v>
      </c>
      <c r="P153" s="140"/>
      <c r="Q153" s="141" t="str">
        <f t="shared" si="1"/>
        <v>W</v>
      </c>
      <c r="R153" s="142" t="str">
        <f t="shared" si="2"/>
        <v>W-4</v>
      </c>
      <c r="S153" s="21"/>
      <c r="T153" s="21"/>
      <c r="U153" s="21"/>
    </row>
    <row r="154" spans="1:21" ht="22.5" hidden="1" customHeight="1">
      <c r="A154" s="170" t="s">
        <v>2706</v>
      </c>
      <c r="B154" s="170" t="s">
        <v>458</v>
      </c>
      <c r="C154" s="171">
        <v>5</v>
      </c>
      <c r="D154" s="160"/>
      <c r="E154" s="172">
        <v>100</v>
      </c>
      <c r="F154" s="224"/>
      <c r="G154" s="224"/>
      <c r="H154" s="173"/>
      <c r="I154" s="153">
        <v>22</v>
      </c>
      <c r="J154" s="174">
        <v>72</v>
      </c>
      <c r="K154" s="124">
        <f ca="1">IFERROR(__xludf.DUMMYFUNCTION("IFERROR(
  SUM(
    FILTER(
      Cobranza!$O:$O,
      (Cobranza!$AG:$AG &amp; """" = P153 &amp; """") *
      ((Cobranza!$W:$W = ""C"") + (Cobranza!$W:$W = ""c""))
    )
  ),
  0
)"),3)</f>
        <v>3</v>
      </c>
      <c r="L154" s="173"/>
      <c r="M154" s="172"/>
      <c r="N154" s="172">
        <f t="shared" ca="1" si="0"/>
        <v>75</v>
      </c>
      <c r="O154" s="126">
        <v>1</v>
      </c>
      <c r="P154" s="127"/>
      <c r="Q154" s="128" t="str">
        <f t="shared" si="1"/>
        <v>W</v>
      </c>
      <c r="R154" s="129" t="str">
        <f t="shared" si="2"/>
        <v>W-5</v>
      </c>
      <c r="S154" s="14"/>
      <c r="T154" s="14"/>
      <c r="U154" s="14"/>
    </row>
    <row r="155" spans="1:21" ht="22.5" hidden="1" customHeight="1">
      <c r="A155" s="145"/>
      <c r="B155" s="175" t="s">
        <v>458</v>
      </c>
      <c r="C155" s="176">
        <v>6</v>
      </c>
      <c r="D155" s="145"/>
      <c r="E155" s="177">
        <v>100</v>
      </c>
      <c r="F155" s="221"/>
      <c r="G155" s="221"/>
      <c r="H155" s="178"/>
      <c r="I155" s="179">
        <v>0</v>
      </c>
      <c r="J155" s="137"/>
      <c r="K155" s="138">
        <f ca="1">IFERROR(__xludf.DUMMYFUNCTION("IFERROR(
  SUM(
    FILTER(
      Cobranza!$O:$O,
      (Cobranza!$AG:$AG &amp; """" = P154 &amp; """") *
      ((Cobranza!$W:$W = ""C"") + (Cobranza!$W:$W = ""c""))
    )
  ),
  0
)"),0)</f>
        <v>0</v>
      </c>
      <c r="L155" s="145"/>
      <c r="M155" s="177"/>
      <c r="N155" s="177">
        <f t="shared" ca="1" si="0"/>
        <v>100</v>
      </c>
      <c r="O155" s="139">
        <v>1</v>
      </c>
      <c r="P155" s="180"/>
      <c r="Q155" s="181" t="str">
        <f t="shared" si="1"/>
        <v>W</v>
      </c>
      <c r="R155" s="182" t="str">
        <f t="shared" si="2"/>
        <v>W-6</v>
      </c>
      <c r="S155" s="21"/>
      <c r="T155" s="21"/>
      <c r="U155" s="21"/>
    </row>
    <row r="156" spans="1:21" ht="14.5">
      <c r="A156" s="183"/>
      <c r="B156" s="183"/>
      <c r="C156" s="183"/>
      <c r="D156" s="183"/>
      <c r="E156" s="183"/>
      <c r="F156" s="185"/>
      <c r="G156" s="185"/>
      <c r="H156" s="184"/>
      <c r="I156" s="96"/>
      <c r="J156" s="96"/>
      <c r="K156" s="96"/>
      <c r="L156" s="183"/>
      <c r="M156" s="183"/>
      <c r="N156" s="183"/>
      <c r="O156" s="183"/>
      <c r="P156" s="185"/>
      <c r="Q156" s="96"/>
      <c r="R156" s="96"/>
      <c r="S156" s="96"/>
      <c r="T156" s="96"/>
      <c r="U156" s="96"/>
    </row>
    <row r="157" spans="1:21" ht="14.5">
      <c r="A157" s="186"/>
      <c r="B157" s="186"/>
      <c r="C157" s="186"/>
      <c r="D157" s="186"/>
      <c r="E157" s="187">
        <f>SUBTOTAL(109,'Cobro medidores'!$E$2:$E$155)</f>
        <v>1200</v>
      </c>
      <c r="F157" s="225"/>
      <c r="G157" s="225"/>
      <c r="H157" s="187">
        <f>SUBTOTAL(109,'Cobro medidores'!$H$2:$H$155)</f>
        <v>20</v>
      </c>
      <c r="I157" s="187">
        <f>SUBTOTAL(109,'Cobro medidores'!$I$2:$I$155)</f>
        <v>230</v>
      </c>
      <c r="J157" s="187">
        <f>SUBTOTAL(109,J2:J155)</f>
        <v>275</v>
      </c>
      <c r="K157" s="187">
        <f ca="1">SUBTOTAL(109,'Cobro medidores'!$K$2:$K$155)</f>
        <v>225</v>
      </c>
      <c r="L157" s="187">
        <f>SUBTOTAL(109,'Cobro medidores'!$L$2:$L$155)</f>
        <v>0</v>
      </c>
      <c r="M157" s="187"/>
      <c r="N157" s="187">
        <f ca="1">SUBTOTAL(109,'Cobro medidores'!$N$2:$N$155)</f>
        <v>705</v>
      </c>
      <c r="O157" s="187">
        <f>SUBTOTAL(109, 'Cobro medidores'!$O$2:$O$155)</f>
        <v>11</v>
      </c>
      <c r="P157" s="186"/>
      <c r="Q157" s="188"/>
      <c r="R157" s="188"/>
      <c r="S157" s="188"/>
      <c r="T157" s="188"/>
      <c r="U157" s="188"/>
    </row>
    <row r="158" spans="1:21" ht="14.5">
      <c r="A158" s="96"/>
      <c r="B158" s="96"/>
      <c r="C158" s="96"/>
      <c r="D158" s="96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96"/>
      <c r="P158" s="96"/>
      <c r="Q158" s="39"/>
      <c r="R158" s="39"/>
      <c r="S158" s="39"/>
      <c r="T158" s="39"/>
      <c r="U158" s="39"/>
    </row>
    <row r="159" spans="1:21" ht="14.5">
      <c r="A159" s="96"/>
      <c r="B159" s="96"/>
      <c r="C159" s="96"/>
      <c r="D159" s="96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96"/>
      <c r="P159" s="96"/>
      <c r="Q159" s="39"/>
      <c r="R159" s="39"/>
      <c r="S159" s="39"/>
      <c r="T159" s="39"/>
      <c r="U159" s="39"/>
    </row>
    <row r="160" spans="1:21" ht="14.5">
      <c r="A160" s="96"/>
      <c r="B160" s="96"/>
      <c r="C160" s="96"/>
      <c r="D160" s="96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96"/>
      <c r="P160" s="96"/>
      <c r="Q160" s="39"/>
      <c r="R160" s="39"/>
      <c r="S160" s="39"/>
      <c r="T160" s="39"/>
      <c r="U160" s="39"/>
    </row>
    <row r="161" spans="1:21" ht="14.5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</row>
    <row r="162" spans="1:21" ht="14.5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</row>
    <row r="163" spans="1:21" ht="14.5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</row>
    <row r="164" spans="1:21" ht="14.5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</row>
    <row r="165" spans="1:21" ht="14.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</row>
    <row r="166" spans="1:21" ht="14.5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</row>
    <row r="167" spans="1:21" ht="14.5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</row>
    <row r="168" spans="1:21" ht="14.5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</row>
    <row r="169" spans="1:21" ht="14.5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</row>
    <row r="170" spans="1:21" ht="14.5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</row>
    <row r="171" spans="1:21" ht="14.5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</row>
    <row r="172" spans="1:21" ht="14.5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</row>
    <row r="173" spans="1:21" ht="14.5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</row>
    <row r="174" spans="1:21" ht="14.5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</row>
    <row r="175" spans="1:21" ht="14.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</row>
    <row r="176" spans="1:21" ht="14.5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</row>
    <row r="177" spans="1:21" ht="14.5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</row>
    <row r="178" spans="1:21" ht="14.5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</row>
    <row r="179" spans="1:21" ht="14.5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</row>
    <row r="180" spans="1:21" ht="14.5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</row>
    <row r="181" spans="1:21" ht="14.5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</row>
    <row r="182" spans="1:21" ht="14.5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</row>
    <row r="183" spans="1:21" ht="14.5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</row>
    <row r="184" spans="1:21" ht="14.5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</row>
    <row r="185" spans="1:21" ht="14.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</row>
    <row r="186" spans="1:21" ht="14.5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</row>
    <row r="187" spans="1:21" ht="14.5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</row>
    <row r="188" spans="1:21" ht="14.5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</row>
    <row r="189" spans="1:21" ht="14.5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</row>
    <row r="190" spans="1:21" ht="14.5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</row>
    <row r="191" spans="1:21" ht="14.5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</row>
    <row r="192" spans="1:21" ht="14.5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</row>
    <row r="193" spans="1:21" ht="14.5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</row>
    <row r="194" spans="1:21" ht="14.5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</row>
    <row r="195" spans="1:21" ht="14.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</row>
    <row r="196" spans="1:21" ht="14.5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</row>
    <row r="197" spans="1:21" ht="14.5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</row>
    <row r="198" spans="1:21" ht="14.5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</row>
    <row r="199" spans="1:21" ht="14.5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</row>
    <row r="200" spans="1:21" ht="14.5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</row>
    <row r="201" spans="1:21" ht="14.5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</row>
    <row r="202" spans="1:21" ht="14.5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</row>
    <row r="203" spans="1:21" ht="14.5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</row>
    <row r="204" spans="1:21" ht="14.5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</row>
    <row r="205" spans="1:21" ht="14.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</row>
    <row r="206" spans="1:21" ht="14.5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</row>
    <row r="207" spans="1:21" ht="14.5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</row>
    <row r="208" spans="1:21" ht="14.5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</row>
    <row r="209" spans="1:21" ht="14.5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</row>
    <row r="210" spans="1:21" ht="14.5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</row>
    <row r="211" spans="1:21" ht="14.5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</row>
    <row r="212" spans="1:21" ht="14.5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</row>
    <row r="213" spans="1:21" ht="14.5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</row>
    <row r="214" spans="1:21" ht="14.5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</row>
    <row r="215" spans="1:21" ht="14.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</row>
    <row r="216" spans="1:21" ht="14.5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</row>
    <row r="217" spans="1:21" ht="14.5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</row>
    <row r="218" spans="1:21" ht="14.5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</row>
    <row r="219" spans="1:21" ht="14.5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</row>
    <row r="220" spans="1:21" ht="14.5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</row>
    <row r="221" spans="1:21" ht="14.5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</row>
    <row r="222" spans="1:21" ht="14.5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</row>
    <row r="223" spans="1:21" ht="14.5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</row>
    <row r="224" spans="1:21" ht="14.5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</row>
    <row r="225" spans="1:21" ht="14.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</row>
    <row r="226" spans="1:21" ht="14.5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</row>
    <row r="227" spans="1:21" ht="14.5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</row>
    <row r="228" spans="1:21" ht="14.5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</row>
    <row r="229" spans="1:21" ht="14.5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</row>
    <row r="230" spans="1:21" ht="14.5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</row>
    <row r="231" spans="1:21" ht="14.5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</row>
    <row r="232" spans="1:21" ht="14.5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</row>
    <row r="233" spans="1:21" ht="14.5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</row>
    <row r="234" spans="1:21" ht="14.5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</row>
    <row r="235" spans="1:21" ht="14.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</row>
    <row r="236" spans="1:21" ht="14.5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</row>
    <row r="237" spans="1:21" ht="14.5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</row>
    <row r="238" spans="1:21" ht="14.5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</row>
    <row r="239" spans="1:21" ht="14.5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</row>
    <row r="240" spans="1:21" ht="14.5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</row>
    <row r="241" spans="1:21" ht="14.5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</row>
    <row r="242" spans="1:21" ht="14.5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</row>
    <row r="243" spans="1:21" ht="14.5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</row>
    <row r="244" spans="1:21" ht="14.5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</row>
    <row r="245" spans="1:21" ht="14.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</row>
    <row r="246" spans="1:21" ht="14.5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</row>
    <row r="247" spans="1:21" ht="14.5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</row>
    <row r="248" spans="1:21" ht="14.5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</row>
    <row r="249" spans="1:21" ht="14.5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</row>
    <row r="250" spans="1:21" ht="14.5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</row>
    <row r="251" spans="1:21" ht="14.5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</row>
    <row r="252" spans="1:21" ht="14.5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</row>
    <row r="253" spans="1:21" ht="14.5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</row>
    <row r="254" spans="1:21" ht="14.5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</row>
    <row r="255" spans="1:21" ht="14.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</row>
    <row r="256" spans="1:21" ht="14.5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</row>
    <row r="257" spans="1:21" ht="14.5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</row>
    <row r="258" spans="1:21" ht="14.5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</row>
    <row r="259" spans="1:21" ht="14.5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</row>
    <row r="260" spans="1:21" ht="14.5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</row>
    <row r="261" spans="1:21" ht="14.5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</row>
    <row r="262" spans="1:21" ht="14.5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</row>
    <row r="263" spans="1:21" ht="14.5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</row>
    <row r="264" spans="1:21" ht="14.5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</row>
    <row r="265" spans="1:21" ht="14.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</row>
    <row r="266" spans="1:21" ht="14.5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</row>
    <row r="267" spans="1:21" ht="14.5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</row>
    <row r="268" spans="1:21" ht="14.5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</row>
    <row r="269" spans="1:21" ht="14.5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</row>
    <row r="270" spans="1:21" ht="14.5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</row>
    <row r="271" spans="1:21" ht="14.5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</row>
    <row r="272" spans="1:21" ht="14.5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</row>
    <row r="273" spans="1:21" ht="14.5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</row>
    <row r="274" spans="1:21" ht="14.5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</row>
    <row r="275" spans="1:21" ht="14.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</row>
    <row r="276" spans="1:21" ht="14.5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</row>
    <row r="277" spans="1:21" ht="14.5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</row>
    <row r="278" spans="1:21" ht="14.5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</row>
    <row r="279" spans="1:21" ht="14.5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</row>
    <row r="280" spans="1:21" ht="14.5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</row>
    <row r="281" spans="1:21" ht="14.5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</row>
    <row r="282" spans="1:21" ht="14.5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</row>
    <row r="283" spans="1:21" ht="14.5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</row>
    <row r="284" spans="1:21" ht="14.5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</row>
    <row r="285" spans="1:21" ht="14.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</row>
    <row r="286" spans="1:21" ht="14.5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</row>
    <row r="287" spans="1:21" ht="14.5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</row>
    <row r="288" spans="1:21" ht="14.5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</row>
    <row r="289" spans="1:21" ht="14.5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</row>
    <row r="290" spans="1:21" ht="14.5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</row>
    <row r="291" spans="1:21" ht="14.5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</row>
    <row r="292" spans="1:21" ht="14.5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</row>
    <row r="293" spans="1:21" ht="14.5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</row>
    <row r="294" spans="1:21" ht="14.5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</row>
    <row r="295" spans="1:21" ht="14.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</row>
    <row r="296" spans="1:21" ht="14.5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</row>
    <row r="297" spans="1:21" ht="14.5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</row>
    <row r="298" spans="1:21" ht="14.5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</row>
    <row r="299" spans="1:21" ht="14.5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</row>
    <row r="300" spans="1:21" ht="14.5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</row>
    <row r="301" spans="1:21" ht="14.5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</row>
    <row r="302" spans="1:21" ht="14.5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</row>
    <row r="303" spans="1:21" ht="14.5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</row>
    <row r="304" spans="1:21" ht="14.5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</row>
    <row r="305" spans="1:21" ht="14.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</row>
    <row r="306" spans="1:21" ht="14.5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</row>
    <row r="307" spans="1:21" ht="14.5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</row>
    <row r="308" spans="1:21" ht="14.5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</row>
    <row r="309" spans="1:21" ht="14.5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</row>
    <row r="310" spans="1:21" ht="14.5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</row>
    <row r="311" spans="1:21" ht="14.5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</row>
    <row r="312" spans="1:21" ht="14.5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</row>
    <row r="313" spans="1:21" ht="14.5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</row>
    <row r="314" spans="1:21" ht="14.5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</row>
    <row r="315" spans="1:21" ht="14.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</row>
    <row r="316" spans="1:21" ht="14.5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</row>
    <row r="317" spans="1:21" ht="14.5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</row>
    <row r="318" spans="1:21" ht="14.5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</row>
    <row r="319" spans="1:21" ht="14.5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</row>
    <row r="320" spans="1:21" ht="14.5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</row>
    <row r="321" spans="1:21" ht="14.5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</row>
    <row r="322" spans="1:21" ht="14.5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</row>
    <row r="323" spans="1:21" ht="14.5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</row>
    <row r="324" spans="1:21" ht="14.5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</row>
    <row r="325" spans="1:21" ht="14.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</row>
    <row r="326" spans="1:21" ht="14.5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</row>
    <row r="327" spans="1:21" ht="14.5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</row>
    <row r="328" spans="1:21" ht="14.5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</row>
    <row r="329" spans="1:21" ht="14.5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</row>
    <row r="330" spans="1:21" ht="14.5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</row>
    <row r="331" spans="1:21" ht="14.5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</row>
    <row r="332" spans="1:21" ht="14.5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</row>
    <row r="333" spans="1:21" ht="14.5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</row>
    <row r="334" spans="1:21" ht="14.5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</row>
    <row r="335" spans="1:21" ht="14.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</row>
    <row r="336" spans="1:21" ht="14.5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</row>
    <row r="337" spans="1:21" ht="14.5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</row>
    <row r="338" spans="1:21" ht="14.5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</row>
    <row r="339" spans="1:21" ht="14.5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</row>
    <row r="340" spans="1:21" ht="14.5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</row>
    <row r="341" spans="1:21" ht="14.5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</row>
    <row r="342" spans="1:21" ht="14.5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</row>
    <row r="343" spans="1:21" ht="14.5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</row>
    <row r="344" spans="1:21" ht="14.5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</row>
    <row r="345" spans="1:21" ht="14.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</row>
    <row r="346" spans="1:21" ht="14.5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</row>
    <row r="347" spans="1:21" ht="14.5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</row>
    <row r="348" spans="1:21" ht="14.5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</row>
    <row r="349" spans="1:21" ht="14.5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</row>
    <row r="350" spans="1:21" ht="14.5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</row>
    <row r="351" spans="1:21" ht="14.5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</row>
    <row r="352" spans="1:21" ht="14.5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</row>
    <row r="353" spans="1:21" ht="14.5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</row>
    <row r="354" spans="1:21" ht="14.5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</row>
    <row r="355" spans="1:21" ht="14.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</row>
    <row r="356" spans="1:21" ht="14.5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</row>
    <row r="357" spans="1:21" ht="14.5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</row>
    <row r="358" spans="1:21" ht="14.5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</row>
    <row r="359" spans="1:21" ht="14.5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</row>
    <row r="360" spans="1:21" ht="14.5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</row>
    <row r="361" spans="1:21" ht="14.5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</row>
    <row r="362" spans="1:21" ht="14.5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</row>
    <row r="363" spans="1:21" ht="14.5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</row>
    <row r="364" spans="1:21" ht="14.5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</row>
    <row r="365" spans="1:21" ht="14.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</row>
    <row r="366" spans="1:21" ht="14.5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</row>
    <row r="367" spans="1:21" ht="14.5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</row>
    <row r="368" spans="1:21" ht="14.5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</row>
    <row r="369" spans="1:21" ht="14.5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</row>
    <row r="370" spans="1:21" ht="14.5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</row>
    <row r="371" spans="1:21" ht="14.5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</row>
    <row r="372" spans="1:21" ht="14.5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</row>
    <row r="373" spans="1:21" ht="14.5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</row>
    <row r="374" spans="1:21" ht="14.5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</row>
    <row r="375" spans="1:21" ht="14.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</row>
    <row r="376" spans="1:21" ht="14.5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</row>
    <row r="377" spans="1:21" ht="14.5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</row>
    <row r="378" spans="1:21" ht="14.5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</row>
    <row r="379" spans="1:21" ht="14.5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</row>
    <row r="380" spans="1:21" ht="14.5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</row>
    <row r="381" spans="1:21" ht="14.5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</row>
    <row r="382" spans="1:21" ht="14.5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</row>
    <row r="383" spans="1:21" ht="14.5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</row>
    <row r="384" spans="1:21" ht="14.5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</row>
    <row r="385" spans="1:21" ht="14.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</row>
    <row r="386" spans="1:21" ht="14.5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</row>
    <row r="387" spans="1:21" ht="14.5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</row>
    <row r="388" spans="1:21" ht="14.5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</row>
    <row r="389" spans="1:21" ht="14.5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</row>
    <row r="390" spans="1:21" ht="14.5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</row>
    <row r="391" spans="1:21" ht="14.5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</row>
    <row r="392" spans="1:21" ht="14.5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</row>
    <row r="393" spans="1:21" ht="14.5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</row>
    <row r="394" spans="1:21" ht="14.5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</row>
    <row r="395" spans="1:21" ht="14.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</row>
    <row r="396" spans="1:21" ht="14.5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</row>
    <row r="397" spans="1:21" ht="14.5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</row>
    <row r="398" spans="1:21" ht="14.5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</row>
    <row r="399" spans="1:21" ht="14.5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</row>
    <row r="400" spans="1:21" ht="14.5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</row>
    <row r="401" spans="1:21" ht="14.5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</row>
    <row r="402" spans="1:21" ht="14.5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</row>
    <row r="403" spans="1:21" ht="14.5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</row>
    <row r="404" spans="1:21" ht="14.5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</row>
    <row r="405" spans="1:21" ht="14.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</row>
    <row r="406" spans="1:21" ht="14.5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</row>
    <row r="407" spans="1:21" ht="14.5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</row>
    <row r="408" spans="1:21" ht="14.5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</row>
    <row r="409" spans="1:21" ht="14.5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</row>
    <row r="410" spans="1:21" ht="14.5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</row>
    <row r="411" spans="1:21" ht="14.5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</row>
    <row r="412" spans="1:21" ht="14.5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</row>
    <row r="413" spans="1:21" ht="14.5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</row>
    <row r="414" spans="1:21" ht="14.5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</row>
    <row r="415" spans="1:21" ht="14.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</row>
    <row r="416" spans="1:21" ht="14.5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</row>
    <row r="417" spans="1:21" ht="14.5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</row>
    <row r="418" spans="1:21" ht="14.5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</row>
    <row r="419" spans="1:21" ht="14.5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</row>
    <row r="420" spans="1:21" ht="14.5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</row>
    <row r="421" spans="1:21" ht="14.5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</row>
    <row r="422" spans="1:21" ht="14.5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</row>
    <row r="423" spans="1:21" ht="14.5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</row>
    <row r="424" spans="1:21" ht="14.5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</row>
    <row r="425" spans="1:21" ht="14.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</row>
    <row r="426" spans="1:21" ht="14.5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</row>
    <row r="427" spans="1:21" ht="14.5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</row>
    <row r="428" spans="1:21" ht="14.5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</row>
    <row r="429" spans="1:21" ht="14.5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</row>
    <row r="430" spans="1:21" ht="14.5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</row>
    <row r="431" spans="1:21" ht="14.5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</row>
    <row r="432" spans="1:21" ht="14.5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</row>
    <row r="433" spans="1:21" ht="14.5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</row>
    <row r="434" spans="1:21" ht="14.5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</row>
    <row r="435" spans="1:21" ht="14.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</row>
    <row r="436" spans="1:21" ht="14.5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</row>
    <row r="437" spans="1:21" ht="14.5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</row>
    <row r="438" spans="1:21" ht="14.5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</row>
    <row r="439" spans="1:21" ht="14.5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</row>
    <row r="440" spans="1:21" ht="14.5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</row>
    <row r="441" spans="1:21" ht="14.5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</row>
    <row r="442" spans="1:21" ht="14.5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</row>
    <row r="443" spans="1:21" ht="14.5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</row>
    <row r="444" spans="1:21" ht="14.5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</row>
    <row r="445" spans="1:21" ht="14.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</row>
    <row r="446" spans="1:21" ht="14.5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</row>
    <row r="447" spans="1:21" ht="14.5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</row>
    <row r="448" spans="1:21" ht="14.5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</row>
    <row r="449" spans="1:21" ht="14.5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</row>
    <row r="450" spans="1:21" ht="14.5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</row>
    <row r="451" spans="1:21" ht="14.5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</row>
    <row r="452" spans="1:21" ht="14.5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</row>
    <row r="453" spans="1:21" ht="14.5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</row>
    <row r="454" spans="1:21" ht="14.5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</row>
    <row r="455" spans="1:21" ht="14.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</row>
    <row r="456" spans="1:21" ht="14.5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</row>
    <row r="457" spans="1:21" ht="14.5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</row>
    <row r="458" spans="1:21" ht="14.5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</row>
    <row r="459" spans="1:21" ht="14.5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</row>
    <row r="460" spans="1:21" ht="14.5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</row>
    <row r="461" spans="1:21" ht="14.5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</row>
    <row r="462" spans="1:21" ht="14.5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</row>
    <row r="463" spans="1:21" ht="14.5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</row>
    <row r="464" spans="1:21" ht="14.5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</row>
    <row r="465" spans="1:21" ht="14.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</row>
    <row r="466" spans="1:21" ht="14.5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</row>
    <row r="467" spans="1:21" ht="14.5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</row>
    <row r="468" spans="1:21" ht="14.5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</row>
    <row r="469" spans="1:21" ht="14.5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</row>
    <row r="470" spans="1:21" ht="14.5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</row>
    <row r="471" spans="1:21" ht="14.5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</row>
    <row r="472" spans="1:21" ht="14.5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</row>
    <row r="473" spans="1:21" ht="14.5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</row>
    <row r="474" spans="1:21" ht="14.5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</row>
    <row r="475" spans="1:21" ht="14.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</row>
    <row r="476" spans="1:21" ht="14.5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</row>
    <row r="477" spans="1:21" ht="14.5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</row>
    <row r="478" spans="1:21" ht="14.5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</row>
    <row r="479" spans="1:21" ht="14.5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</row>
    <row r="480" spans="1:21" ht="14.5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</row>
    <row r="481" spans="1:21" ht="14.5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</row>
    <row r="482" spans="1:21" ht="14.5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</row>
    <row r="483" spans="1:21" ht="14.5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</row>
    <row r="484" spans="1:21" ht="14.5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</row>
    <row r="485" spans="1:21" ht="14.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</row>
    <row r="486" spans="1:21" ht="14.5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</row>
    <row r="487" spans="1:21" ht="14.5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</row>
    <row r="488" spans="1:21" ht="14.5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</row>
    <row r="489" spans="1:21" ht="14.5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</row>
    <row r="490" spans="1:21" ht="14.5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</row>
    <row r="491" spans="1:21" ht="14.5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</row>
    <row r="492" spans="1:21" ht="14.5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</row>
    <row r="493" spans="1:21" ht="14.5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</row>
    <row r="494" spans="1:21" ht="14.5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</row>
    <row r="495" spans="1:21" ht="14.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</row>
    <row r="496" spans="1:21" ht="14.5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</row>
    <row r="497" spans="1:21" ht="14.5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</row>
    <row r="498" spans="1:21" ht="14.5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</row>
    <row r="499" spans="1:21" ht="14.5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</row>
    <row r="500" spans="1:21" ht="14.5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</row>
    <row r="501" spans="1:21" ht="14.5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</row>
    <row r="502" spans="1:21" ht="14.5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</row>
    <row r="503" spans="1:21" ht="14.5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</row>
    <row r="504" spans="1:21" ht="14.5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</row>
    <row r="505" spans="1:21" ht="14.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</row>
    <row r="506" spans="1:21" ht="14.5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</row>
    <row r="507" spans="1:21" ht="14.5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</row>
    <row r="508" spans="1:21" ht="14.5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</row>
    <row r="509" spans="1:21" ht="14.5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</row>
    <row r="510" spans="1:21" ht="14.5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</row>
    <row r="511" spans="1:21" ht="14.5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</row>
    <row r="512" spans="1:21" ht="14.5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</row>
    <row r="513" spans="1:21" ht="14.5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</row>
    <row r="514" spans="1:21" ht="14.5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</row>
    <row r="515" spans="1:21" ht="14.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</row>
    <row r="516" spans="1:21" ht="14.5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</row>
    <row r="517" spans="1:21" ht="14.5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</row>
    <row r="518" spans="1:21" ht="14.5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</row>
    <row r="519" spans="1:21" ht="14.5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</row>
    <row r="520" spans="1:21" ht="14.5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</row>
    <row r="521" spans="1:21" ht="14.5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</row>
    <row r="522" spans="1:21" ht="14.5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</row>
    <row r="523" spans="1:21" ht="14.5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</row>
    <row r="524" spans="1:21" ht="14.5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</row>
    <row r="525" spans="1:21" ht="14.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</row>
    <row r="526" spans="1:21" ht="14.5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</row>
    <row r="527" spans="1:21" ht="14.5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</row>
    <row r="528" spans="1:21" ht="14.5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</row>
    <row r="529" spans="1:21" ht="14.5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</row>
    <row r="530" spans="1:21" ht="14.5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</row>
    <row r="531" spans="1:21" ht="14.5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</row>
    <row r="532" spans="1:21" ht="14.5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</row>
    <row r="533" spans="1:21" ht="14.5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</row>
    <row r="534" spans="1:21" ht="14.5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</row>
    <row r="535" spans="1:21" ht="14.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</row>
    <row r="536" spans="1:21" ht="14.5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</row>
    <row r="537" spans="1:21" ht="14.5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</row>
    <row r="538" spans="1:21" ht="14.5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</row>
    <row r="539" spans="1:21" ht="14.5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</row>
    <row r="540" spans="1:21" ht="14.5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</row>
    <row r="541" spans="1:21" ht="14.5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</row>
    <row r="542" spans="1:21" ht="14.5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</row>
    <row r="543" spans="1:21" ht="14.5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</row>
    <row r="544" spans="1:21" ht="14.5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</row>
    <row r="545" spans="1:21" ht="14.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</row>
    <row r="546" spans="1:21" ht="14.5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</row>
    <row r="547" spans="1:21" ht="14.5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</row>
    <row r="548" spans="1:21" ht="14.5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</row>
    <row r="549" spans="1:21" ht="14.5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</row>
    <row r="550" spans="1:21" ht="14.5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</row>
    <row r="551" spans="1:21" ht="14.5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</row>
    <row r="552" spans="1:21" ht="14.5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</row>
    <row r="553" spans="1:21" ht="14.5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</row>
    <row r="554" spans="1:21" ht="14.5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</row>
    <row r="555" spans="1:21" ht="14.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</row>
    <row r="556" spans="1:21" ht="14.5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</row>
    <row r="557" spans="1:21" ht="14.5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</row>
    <row r="558" spans="1:21" ht="14.5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</row>
    <row r="559" spans="1:21" ht="14.5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</row>
    <row r="560" spans="1:21" ht="14.5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</row>
    <row r="561" spans="1:21" ht="14.5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</row>
    <row r="562" spans="1:21" ht="14.5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</row>
    <row r="563" spans="1:21" ht="14.5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</row>
    <row r="564" spans="1:21" ht="14.5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</row>
    <row r="565" spans="1:21" ht="14.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</row>
    <row r="566" spans="1:21" ht="14.5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</row>
    <row r="567" spans="1:21" ht="14.5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</row>
    <row r="568" spans="1:21" ht="14.5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</row>
    <row r="569" spans="1:21" ht="14.5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</row>
    <row r="570" spans="1:21" ht="14.5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</row>
    <row r="571" spans="1:21" ht="14.5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</row>
    <row r="572" spans="1:21" ht="14.5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</row>
    <row r="573" spans="1:21" ht="14.5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</row>
    <row r="574" spans="1:21" ht="14.5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</row>
    <row r="575" spans="1:21" ht="14.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</row>
    <row r="576" spans="1:21" ht="14.5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</row>
    <row r="577" spans="1:21" ht="14.5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</row>
    <row r="578" spans="1:21" ht="14.5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</row>
    <row r="579" spans="1:21" ht="14.5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</row>
    <row r="580" spans="1:21" ht="14.5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</row>
    <row r="581" spans="1:21" ht="14.5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</row>
    <row r="582" spans="1:21" ht="14.5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</row>
    <row r="583" spans="1:21" ht="14.5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</row>
    <row r="584" spans="1:21" ht="14.5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</row>
    <row r="585" spans="1:21" ht="14.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</row>
    <row r="586" spans="1:21" ht="14.5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</row>
    <row r="587" spans="1:21" ht="14.5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</row>
    <row r="588" spans="1:21" ht="14.5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</row>
    <row r="589" spans="1:21" ht="14.5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</row>
    <row r="590" spans="1:21" ht="14.5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</row>
    <row r="591" spans="1:21" ht="14.5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</row>
    <row r="592" spans="1:21" ht="14.5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</row>
    <row r="593" spans="1:21" ht="14.5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</row>
    <row r="594" spans="1:21" ht="14.5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</row>
    <row r="595" spans="1:21" ht="14.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</row>
    <row r="596" spans="1:21" ht="14.5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</row>
    <row r="597" spans="1:21" ht="14.5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</row>
    <row r="598" spans="1:21" ht="14.5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</row>
    <row r="599" spans="1:21" ht="14.5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</row>
    <row r="600" spans="1:21" ht="14.5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</row>
    <row r="601" spans="1:21" ht="14.5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</row>
    <row r="602" spans="1:21" ht="14.5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</row>
    <row r="603" spans="1:21" ht="14.5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</row>
    <row r="604" spans="1:21" ht="14.5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</row>
    <row r="605" spans="1:21" ht="14.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</row>
    <row r="606" spans="1:21" ht="14.5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</row>
    <row r="607" spans="1:21" ht="14.5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</row>
    <row r="608" spans="1:21" ht="14.5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</row>
    <row r="609" spans="1:21" ht="14.5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</row>
    <row r="610" spans="1:21" ht="14.5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</row>
    <row r="611" spans="1:21" ht="14.5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</row>
    <row r="612" spans="1:21" ht="14.5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</row>
    <row r="613" spans="1:21" ht="14.5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</row>
    <row r="614" spans="1:21" ht="14.5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</row>
    <row r="615" spans="1:21" ht="14.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</row>
    <row r="616" spans="1:21" ht="14.5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</row>
    <row r="617" spans="1:21" ht="14.5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</row>
    <row r="618" spans="1:21" ht="14.5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</row>
    <row r="619" spans="1:21" ht="14.5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</row>
    <row r="620" spans="1:21" ht="14.5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</row>
    <row r="621" spans="1:21" ht="14.5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</row>
    <row r="622" spans="1:21" ht="14.5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</row>
    <row r="623" spans="1:21" ht="14.5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</row>
    <row r="624" spans="1:21" ht="14.5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</row>
    <row r="625" spans="1:21" ht="14.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</row>
    <row r="626" spans="1:21" ht="14.5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</row>
    <row r="627" spans="1:21" ht="14.5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</row>
    <row r="628" spans="1:21" ht="14.5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</row>
    <row r="629" spans="1:21" ht="14.5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</row>
    <row r="630" spans="1:21" ht="14.5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</row>
    <row r="631" spans="1:21" ht="14.5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</row>
    <row r="632" spans="1:21" ht="14.5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</row>
    <row r="633" spans="1:21" ht="14.5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</row>
    <row r="634" spans="1:21" ht="14.5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</row>
    <row r="635" spans="1:21" ht="14.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</row>
    <row r="636" spans="1:21" ht="14.5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</row>
    <row r="637" spans="1:21" ht="14.5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</row>
    <row r="638" spans="1:21" ht="14.5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</row>
    <row r="639" spans="1:21" ht="14.5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</row>
    <row r="640" spans="1:21" ht="14.5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</row>
    <row r="641" spans="1:21" ht="14.5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</row>
    <row r="642" spans="1:21" ht="14.5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</row>
    <row r="643" spans="1:21" ht="14.5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</row>
    <row r="644" spans="1:21" ht="14.5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</row>
    <row r="645" spans="1:21" ht="14.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</row>
    <row r="646" spans="1:21" ht="14.5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</row>
    <row r="647" spans="1:21" ht="14.5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</row>
    <row r="648" spans="1:21" ht="14.5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</row>
    <row r="649" spans="1:21" ht="14.5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</row>
    <row r="650" spans="1:21" ht="14.5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</row>
    <row r="651" spans="1:21" ht="14.5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</row>
    <row r="652" spans="1:21" ht="14.5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</row>
    <row r="653" spans="1:21" ht="14.5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</row>
    <row r="654" spans="1:21" ht="14.5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</row>
    <row r="655" spans="1:21" ht="14.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</row>
    <row r="656" spans="1:21" ht="14.5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</row>
    <row r="657" spans="1:21" ht="14.5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</row>
    <row r="658" spans="1:21" ht="14.5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</row>
    <row r="659" spans="1:21" ht="14.5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</row>
    <row r="660" spans="1:21" ht="14.5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</row>
    <row r="661" spans="1:21" ht="14.5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</row>
    <row r="662" spans="1:21" ht="14.5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</row>
    <row r="663" spans="1:21" ht="14.5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</row>
    <row r="664" spans="1:21" ht="14.5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</row>
    <row r="665" spans="1:21" ht="14.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</row>
    <row r="666" spans="1:21" ht="14.5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</row>
    <row r="667" spans="1:21" ht="14.5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</row>
    <row r="668" spans="1:21" ht="14.5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</row>
    <row r="669" spans="1:21" ht="14.5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</row>
    <row r="670" spans="1:21" ht="14.5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</row>
    <row r="671" spans="1:21" ht="14.5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</row>
    <row r="672" spans="1:21" ht="14.5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</row>
    <row r="673" spans="1:21" ht="14.5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</row>
    <row r="674" spans="1:21" ht="14.5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</row>
    <row r="675" spans="1:21" ht="14.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</row>
    <row r="676" spans="1:21" ht="14.5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</row>
    <row r="677" spans="1:21" ht="14.5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</row>
    <row r="678" spans="1:21" ht="14.5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</row>
    <row r="679" spans="1:21" ht="14.5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</row>
    <row r="680" spans="1:21" ht="14.5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</row>
    <row r="681" spans="1:21" ht="14.5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</row>
    <row r="682" spans="1:21" ht="14.5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</row>
    <row r="683" spans="1:21" ht="14.5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</row>
    <row r="684" spans="1:21" ht="14.5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</row>
    <row r="685" spans="1:21" ht="14.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</row>
    <row r="686" spans="1:21" ht="14.5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</row>
    <row r="687" spans="1:21" ht="14.5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</row>
    <row r="688" spans="1:21" ht="14.5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</row>
    <row r="689" spans="1:21" ht="14.5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</row>
    <row r="690" spans="1:21" ht="14.5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</row>
    <row r="691" spans="1:21" ht="14.5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</row>
    <row r="692" spans="1:21" ht="14.5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</row>
    <row r="693" spans="1:21" ht="14.5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</row>
    <row r="694" spans="1:21" ht="14.5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</row>
    <row r="695" spans="1:21" ht="14.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</row>
    <row r="696" spans="1:21" ht="14.5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</row>
    <row r="697" spans="1:21" ht="14.5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</row>
    <row r="698" spans="1:21" ht="14.5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</row>
    <row r="699" spans="1:21" ht="14.5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</row>
    <row r="700" spans="1:21" ht="14.5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</row>
    <row r="701" spans="1:21" ht="14.5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</row>
    <row r="702" spans="1:21" ht="14.5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</row>
    <row r="703" spans="1:21" ht="14.5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</row>
    <row r="704" spans="1:21" ht="14.5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</row>
    <row r="705" spans="1:21" ht="14.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</row>
    <row r="706" spans="1:21" ht="14.5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</row>
    <row r="707" spans="1:21" ht="14.5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</row>
    <row r="708" spans="1:21" ht="14.5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</row>
    <row r="709" spans="1:21" ht="14.5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</row>
    <row r="710" spans="1:21" ht="14.5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</row>
    <row r="711" spans="1:21" ht="14.5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</row>
    <row r="712" spans="1:21" ht="14.5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</row>
    <row r="713" spans="1:21" ht="14.5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</row>
    <row r="714" spans="1:21" ht="14.5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</row>
    <row r="715" spans="1:21" ht="14.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</row>
    <row r="716" spans="1:21" ht="14.5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</row>
    <row r="717" spans="1:21" ht="14.5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</row>
    <row r="718" spans="1:21" ht="14.5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</row>
    <row r="719" spans="1:21" ht="14.5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</row>
    <row r="720" spans="1:21" ht="14.5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</row>
    <row r="721" spans="1:21" ht="14.5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</row>
    <row r="722" spans="1:21" ht="14.5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</row>
    <row r="723" spans="1:21" ht="14.5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</row>
    <row r="724" spans="1:21" ht="14.5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</row>
    <row r="725" spans="1:21" ht="14.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</row>
    <row r="726" spans="1:21" ht="14.5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</row>
    <row r="727" spans="1:21" ht="14.5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</row>
    <row r="728" spans="1:21" ht="14.5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</row>
    <row r="729" spans="1:21" ht="14.5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</row>
    <row r="730" spans="1:21" ht="14.5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</row>
    <row r="731" spans="1:21" ht="14.5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</row>
    <row r="732" spans="1:21" ht="14.5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</row>
    <row r="733" spans="1:21" ht="14.5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</row>
    <row r="734" spans="1:21" ht="14.5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</row>
    <row r="735" spans="1:21" ht="14.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</row>
    <row r="736" spans="1:21" ht="14.5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</row>
    <row r="737" spans="1:21" ht="14.5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</row>
    <row r="738" spans="1:21" ht="14.5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</row>
    <row r="739" spans="1:21" ht="14.5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</row>
    <row r="740" spans="1:21" ht="14.5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</row>
    <row r="741" spans="1:21" ht="14.5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</row>
    <row r="742" spans="1:21" ht="14.5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</row>
    <row r="743" spans="1:21" ht="14.5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</row>
    <row r="744" spans="1:21" ht="14.5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</row>
    <row r="745" spans="1:21" ht="14.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</row>
    <row r="746" spans="1:21" ht="14.5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</row>
    <row r="747" spans="1:21" ht="14.5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</row>
    <row r="748" spans="1:21" ht="14.5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</row>
    <row r="749" spans="1:21" ht="14.5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</row>
    <row r="750" spans="1:21" ht="14.5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</row>
    <row r="751" spans="1:21" ht="14.5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</row>
    <row r="752" spans="1:21" ht="14.5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</row>
    <row r="753" spans="1:21" ht="14.5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</row>
    <row r="754" spans="1:21" ht="14.5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</row>
    <row r="755" spans="1:21" ht="14.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</row>
    <row r="756" spans="1:21" ht="14.5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</row>
    <row r="757" spans="1:21" ht="14.5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</row>
    <row r="758" spans="1:21" ht="14.5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</row>
    <row r="759" spans="1:21" ht="14.5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</row>
    <row r="760" spans="1:21" ht="14.5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</row>
    <row r="761" spans="1:21" ht="14.5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</row>
    <row r="762" spans="1:21" ht="14.5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</row>
    <row r="763" spans="1:21" ht="14.5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</row>
    <row r="764" spans="1:21" ht="14.5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</row>
    <row r="765" spans="1:21" ht="14.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</row>
    <row r="766" spans="1:21" ht="14.5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</row>
    <row r="767" spans="1:21" ht="14.5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</row>
    <row r="768" spans="1:21" ht="14.5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</row>
    <row r="769" spans="1:21" ht="14.5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</row>
    <row r="770" spans="1:21" ht="14.5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</row>
    <row r="771" spans="1:21" ht="14.5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</row>
    <row r="772" spans="1:21" ht="14.5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</row>
    <row r="773" spans="1:21" ht="14.5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</row>
    <row r="774" spans="1:21" ht="14.5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</row>
    <row r="775" spans="1:21" ht="14.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</row>
    <row r="776" spans="1:21" ht="14.5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</row>
    <row r="777" spans="1:21" ht="14.5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</row>
    <row r="778" spans="1:21" ht="14.5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</row>
    <row r="779" spans="1:21" ht="14.5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</row>
    <row r="780" spans="1:21" ht="14.5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</row>
    <row r="781" spans="1:21" ht="14.5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</row>
    <row r="782" spans="1:21" ht="14.5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</row>
    <row r="783" spans="1:21" ht="14.5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</row>
    <row r="784" spans="1:21" ht="14.5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</row>
    <row r="785" spans="1:21" ht="14.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</row>
    <row r="786" spans="1:21" ht="14.5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</row>
    <row r="787" spans="1:21" ht="14.5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</row>
    <row r="788" spans="1:21" ht="14.5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</row>
    <row r="789" spans="1:21" ht="14.5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</row>
    <row r="790" spans="1:21" ht="14.5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</row>
    <row r="791" spans="1:21" ht="14.5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</row>
    <row r="792" spans="1:21" ht="14.5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</row>
    <row r="793" spans="1:21" ht="14.5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</row>
    <row r="794" spans="1:21" ht="14.5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</row>
    <row r="795" spans="1:21" ht="14.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</row>
    <row r="796" spans="1:21" ht="14.5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</row>
    <row r="797" spans="1:21" ht="14.5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</row>
    <row r="798" spans="1:21" ht="14.5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</row>
    <row r="799" spans="1:21" ht="14.5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</row>
    <row r="800" spans="1:21" ht="14.5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</row>
    <row r="801" spans="1:21" ht="14.5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</row>
    <row r="802" spans="1:21" ht="14.5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</row>
    <row r="803" spans="1:21" ht="14.5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</row>
    <row r="804" spans="1:21" ht="14.5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</row>
    <row r="805" spans="1:21" ht="14.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</row>
    <row r="806" spans="1:21" ht="14.5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</row>
    <row r="807" spans="1:21" ht="14.5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</row>
    <row r="808" spans="1:21" ht="14.5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</row>
    <row r="809" spans="1:21" ht="14.5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</row>
    <row r="810" spans="1:21" ht="14.5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</row>
    <row r="811" spans="1:21" ht="14.5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</row>
    <row r="812" spans="1:21" ht="14.5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</row>
    <row r="813" spans="1:21" ht="14.5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</row>
    <row r="814" spans="1:21" ht="14.5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</row>
    <row r="815" spans="1:21" ht="14.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</row>
    <row r="816" spans="1:21" ht="14.5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</row>
    <row r="817" spans="1:21" ht="14.5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</row>
    <row r="818" spans="1:21" ht="14.5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</row>
    <row r="819" spans="1:21" ht="14.5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</row>
    <row r="820" spans="1:21" ht="14.5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</row>
    <row r="821" spans="1:21" ht="14.5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</row>
    <row r="822" spans="1:21" ht="14.5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</row>
    <row r="823" spans="1:21" ht="14.5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</row>
    <row r="824" spans="1:21" ht="14.5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</row>
    <row r="825" spans="1:21" ht="14.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</row>
    <row r="826" spans="1:21" ht="14.5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</row>
    <row r="827" spans="1:21" ht="14.5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</row>
    <row r="828" spans="1:21" ht="14.5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</row>
    <row r="829" spans="1:21" ht="14.5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</row>
    <row r="830" spans="1:21" ht="14.5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</row>
    <row r="831" spans="1:21" ht="14.5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</row>
    <row r="832" spans="1:21" ht="14.5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</row>
    <row r="833" spans="1:21" ht="14.5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</row>
    <row r="834" spans="1:21" ht="14.5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</row>
    <row r="835" spans="1:21" ht="14.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</row>
    <row r="836" spans="1:21" ht="14.5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</row>
    <row r="837" spans="1:21" ht="14.5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</row>
    <row r="838" spans="1:21" ht="14.5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</row>
    <row r="839" spans="1:21" ht="14.5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</row>
    <row r="840" spans="1:21" ht="14.5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</row>
    <row r="841" spans="1:21" ht="14.5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</row>
    <row r="842" spans="1:21" ht="14.5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</row>
    <row r="843" spans="1:21" ht="14.5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</row>
    <row r="844" spans="1:21" ht="14.5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</row>
    <row r="845" spans="1:21" ht="14.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</row>
    <row r="846" spans="1:21" ht="14.5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</row>
    <row r="847" spans="1:21" ht="14.5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</row>
    <row r="848" spans="1:21" ht="14.5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</row>
    <row r="849" spans="1:21" ht="14.5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</row>
    <row r="850" spans="1:21" ht="14.5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</row>
    <row r="851" spans="1:21" ht="14.5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</row>
    <row r="852" spans="1:21" ht="14.5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</row>
    <row r="853" spans="1:21" ht="14.5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</row>
    <row r="854" spans="1:21" ht="14.5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</row>
    <row r="855" spans="1:21" ht="14.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</row>
    <row r="856" spans="1:21" ht="14.5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</row>
    <row r="857" spans="1:21" ht="14.5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</row>
    <row r="858" spans="1:21" ht="14.5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</row>
    <row r="859" spans="1:21" ht="14.5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</row>
    <row r="860" spans="1:21" ht="14.5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</row>
    <row r="861" spans="1:21" ht="14.5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</row>
    <row r="862" spans="1:21" ht="14.5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</row>
    <row r="863" spans="1:21" ht="14.5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</row>
    <row r="864" spans="1:21" ht="14.5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</row>
    <row r="865" spans="1:21" ht="14.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</row>
    <row r="866" spans="1:21" ht="14.5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</row>
    <row r="867" spans="1:21" ht="14.5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</row>
    <row r="868" spans="1:21" ht="14.5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</row>
    <row r="869" spans="1:21" ht="14.5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</row>
    <row r="870" spans="1:21" ht="14.5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</row>
    <row r="871" spans="1:21" ht="14.5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</row>
    <row r="872" spans="1:21" ht="14.5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</row>
    <row r="873" spans="1:21" ht="14.5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</row>
    <row r="874" spans="1:21" ht="14.5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</row>
    <row r="875" spans="1:21" ht="14.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</row>
    <row r="876" spans="1:21" ht="14.5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</row>
    <row r="877" spans="1:21" ht="14.5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</row>
    <row r="878" spans="1:21" ht="14.5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</row>
    <row r="879" spans="1:21" ht="14.5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</row>
    <row r="880" spans="1:21" ht="14.5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</row>
    <row r="881" spans="1:21" ht="14.5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</row>
    <row r="882" spans="1:21" ht="14.5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</row>
    <row r="883" spans="1:21" ht="14.5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</row>
    <row r="884" spans="1:21" ht="14.5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</row>
    <row r="885" spans="1:21" ht="14.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</row>
    <row r="886" spans="1:21" ht="14.5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</row>
    <row r="887" spans="1:21" ht="14.5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</row>
    <row r="888" spans="1:21" ht="14.5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</row>
    <row r="889" spans="1:21" ht="14.5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</row>
    <row r="890" spans="1:21" ht="14.5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</row>
    <row r="891" spans="1:21" ht="14.5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</row>
    <row r="892" spans="1:21" ht="14.5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</row>
    <row r="893" spans="1:21" ht="14.5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</row>
    <row r="894" spans="1:21" ht="14.5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</row>
    <row r="895" spans="1:21" ht="14.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</row>
    <row r="896" spans="1:21" ht="14.5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</row>
    <row r="897" spans="1:21" ht="14.5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</row>
    <row r="898" spans="1:21" ht="14.5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</row>
    <row r="899" spans="1:21" ht="14.5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</row>
    <row r="900" spans="1:21" ht="14.5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</row>
    <row r="901" spans="1:21" ht="14.5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</row>
    <row r="902" spans="1:21" ht="14.5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</row>
    <row r="903" spans="1:21" ht="14.5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</row>
    <row r="904" spans="1:21" ht="14.5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</row>
    <row r="905" spans="1:21" ht="14.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</row>
    <row r="906" spans="1:21" ht="14.5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</row>
    <row r="907" spans="1:21" ht="14.5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</row>
    <row r="908" spans="1:21" ht="14.5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</row>
    <row r="909" spans="1:21" ht="14.5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</row>
    <row r="910" spans="1:21" ht="14.5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</row>
    <row r="911" spans="1:21" ht="14.5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</row>
    <row r="912" spans="1:21" ht="14.5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</row>
    <row r="913" spans="1:21" ht="14.5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</row>
    <row r="914" spans="1:21" ht="14.5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</row>
    <row r="915" spans="1:21" ht="14.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</row>
    <row r="916" spans="1:21" ht="14.5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</row>
    <row r="917" spans="1:21" ht="14.5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</row>
    <row r="918" spans="1:21" ht="14.5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</row>
    <row r="919" spans="1:21" ht="14.5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</row>
    <row r="920" spans="1:21" ht="14.5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</row>
    <row r="921" spans="1:21" ht="14.5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</row>
    <row r="922" spans="1:21" ht="14.5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</row>
    <row r="923" spans="1:21" ht="14.5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</row>
    <row r="924" spans="1:21" ht="14.5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</row>
    <row r="925" spans="1:21" ht="14.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</row>
    <row r="926" spans="1:21" ht="14.5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</row>
    <row r="927" spans="1:21" ht="14.5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</row>
    <row r="928" spans="1:21" ht="14.5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</row>
    <row r="929" spans="1:21" ht="14.5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</row>
    <row r="930" spans="1:21" ht="14.5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</row>
    <row r="931" spans="1:21" ht="14.5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</row>
    <row r="932" spans="1:21" ht="14.5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</row>
    <row r="933" spans="1:21" ht="14.5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</row>
    <row r="934" spans="1:21" ht="14.5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</row>
    <row r="935" spans="1:21" ht="14.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</row>
    <row r="936" spans="1:21" ht="14.5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</row>
    <row r="937" spans="1:21" ht="14.5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</row>
    <row r="938" spans="1:21" ht="14.5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</row>
    <row r="939" spans="1:21" ht="14.5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</row>
    <row r="940" spans="1:21" ht="14.5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</row>
    <row r="941" spans="1:21" ht="14.5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</row>
    <row r="942" spans="1:21" ht="14.5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</row>
    <row r="943" spans="1:21" ht="14.5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</row>
    <row r="944" spans="1:21" ht="14.5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</row>
    <row r="945" spans="1:21" ht="14.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</row>
    <row r="946" spans="1:21" ht="14.5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</row>
    <row r="947" spans="1:21" ht="14.5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</row>
    <row r="948" spans="1:21" ht="14.5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</row>
    <row r="949" spans="1:21" ht="14.5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</row>
    <row r="950" spans="1:21" ht="14.5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</row>
    <row r="951" spans="1:21" ht="14.5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</row>
    <row r="952" spans="1:21" ht="14.5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</row>
    <row r="953" spans="1:21" ht="14.5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</row>
    <row r="954" spans="1:21" ht="14.5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</row>
    <row r="955" spans="1:21" ht="14.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</row>
    <row r="956" spans="1:21" ht="14.5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</row>
    <row r="957" spans="1:21" ht="14.5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</row>
    <row r="958" spans="1:21" ht="14.5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</row>
    <row r="959" spans="1:21" ht="14.5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</row>
    <row r="960" spans="1:21" ht="14.5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</row>
    <row r="961" spans="1:21" ht="14.5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</row>
    <row r="962" spans="1:21" ht="14.5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</row>
    <row r="963" spans="1:21" ht="14.5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</row>
    <row r="964" spans="1:21" ht="14.5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1" ht="14.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1" ht="14.5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1" ht="14.5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</row>
    <row r="968" spans="1:21" ht="14.5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</row>
    <row r="969" spans="1:21" ht="14.5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</row>
    <row r="970" spans="1:21" ht="14.5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</row>
    <row r="971" spans="1:21" ht="14.5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</row>
    <row r="972" spans="1:21" ht="14.5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</row>
    <row r="973" spans="1:21" ht="14.5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</row>
    <row r="974" spans="1:21" ht="14.5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</row>
    <row r="975" spans="1:21" ht="14.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</row>
    <row r="976" spans="1:21" ht="14.5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</row>
    <row r="977" spans="1:21" ht="14.5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</row>
    <row r="978" spans="1:21" ht="14.5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</row>
    <row r="979" spans="1:21" ht="14.5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</row>
    <row r="980" spans="1:21" ht="14.5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</row>
    <row r="981" spans="1:21" ht="14.5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</row>
    <row r="982" spans="1:21" ht="14.5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</row>
    <row r="983" spans="1:21" ht="14.5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</row>
    <row r="984" spans="1:21" ht="14.5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</row>
    <row r="985" spans="1:21" ht="14.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</row>
    <row r="986" spans="1:21" ht="14.5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</row>
    <row r="987" spans="1:21" ht="14.5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</row>
    <row r="988" spans="1:21" ht="14.5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</row>
    <row r="989" spans="1:21" ht="14.5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</row>
    <row r="990" spans="1:21" ht="14.5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</row>
    <row r="991" spans="1:21" ht="14.5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</row>
    <row r="992" spans="1:21" ht="14.5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</row>
    <row r="993" spans="1:21" ht="14.5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</row>
    <row r="994" spans="1:21" ht="14.5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</row>
    <row r="995" spans="1:21" ht="14.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</row>
    <row r="996" spans="1:21" ht="14.5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</row>
    <row r="997" spans="1:21" ht="14.5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</row>
    <row r="998" spans="1:21" ht="14.5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</row>
    <row r="999" spans="1:21" ht="14.5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</row>
    <row r="1000" spans="1:21" ht="14.5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</row>
    <row r="1001" spans="1:21" ht="14.5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</row>
    <row r="1002" spans="1:21" ht="14.5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</row>
    <row r="1003" spans="1:21" ht="14.5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</row>
    <row r="1004" spans="1:21" ht="14.5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</row>
    <row r="1005" spans="1:21" ht="14.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</row>
    <row r="1006" spans="1:21" ht="14.5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</row>
    <row r="1007" spans="1:21" ht="14.5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</row>
    <row r="1008" spans="1:21" ht="14.5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</row>
    <row r="1009" spans="1:21" ht="14.5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</row>
    <row r="1010" spans="1:21" ht="14.5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39"/>
      <c r="O1010" s="39"/>
      <c r="P1010" s="39"/>
      <c r="Q1010" s="39"/>
      <c r="R1010" s="39"/>
      <c r="S1010" s="39"/>
      <c r="T1010" s="39"/>
      <c r="U1010" s="39"/>
    </row>
    <row r="1011" spans="1:21" ht="14.5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39"/>
      <c r="O1011" s="39"/>
      <c r="P1011" s="39"/>
      <c r="Q1011" s="39"/>
      <c r="R1011" s="39"/>
      <c r="S1011" s="39"/>
      <c r="T1011" s="39"/>
      <c r="U1011" s="39"/>
    </row>
    <row r="1012" spans="1:21" ht="14.5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39"/>
      <c r="O1012" s="39"/>
      <c r="P1012" s="39"/>
      <c r="Q1012" s="39"/>
      <c r="R1012" s="39"/>
      <c r="S1012" s="39"/>
      <c r="T1012" s="39"/>
      <c r="U1012" s="39"/>
    </row>
    <row r="1013" spans="1:21" ht="14.5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39"/>
      <c r="O1013" s="39"/>
      <c r="P1013" s="39"/>
      <c r="Q1013" s="39"/>
      <c r="R1013" s="39"/>
      <c r="S1013" s="39"/>
      <c r="T1013" s="39"/>
      <c r="U1013" s="39"/>
    </row>
    <row r="1014" spans="1:21" ht="14.5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39"/>
      <c r="O1014" s="39"/>
      <c r="P1014" s="39"/>
      <c r="Q1014" s="39"/>
      <c r="R1014" s="39"/>
      <c r="S1014" s="39"/>
      <c r="T1014" s="39"/>
      <c r="U1014" s="39"/>
    </row>
    <row r="1015" spans="1:21" ht="14.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39"/>
      <c r="O1015" s="39"/>
      <c r="P1015" s="39"/>
      <c r="Q1015" s="39"/>
      <c r="R1015" s="39"/>
      <c r="S1015" s="39"/>
      <c r="T1015" s="39"/>
      <c r="U1015" s="39"/>
    </row>
    <row r="1016" spans="1:21" ht="14.5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39"/>
      <c r="O1016" s="39"/>
      <c r="P1016" s="39"/>
      <c r="Q1016" s="39"/>
      <c r="R1016" s="39"/>
      <c r="S1016" s="39"/>
      <c r="T1016" s="39"/>
      <c r="U1016" s="39"/>
    </row>
    <row r="1017" spans="1:21" ht="14.5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39"/>
      <c r="R1017" s="39"/>
      <c r="S1017" s="39"/>
      <c r="T1017" s="39"/>
      <c r="U1017" s="39"/>
    </row>
    <row r="1018" spans="1:21" ht="14.5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39"/>
      <c r="S1018" s="39"/>
      <c r="T1018" s="39"/>
      <c r="U1018" s="39"/>
    </row>
    <row r="1019" spans="1:21" ht="14.5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39"/>
      <c r="O1019" s="39"/>
      <c r="P1019" s="39"/>
      <c r="Q1019" s="39"/>
      <c r="R1019" s="39"/>
      <c r="S1019" s="39"/>
      <c r="T1019" s="39"/>
      <c r="U1019" s="39"/>
    </row>
    <row r="1020" spans="1:21" ht="14.5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39"/>
      <c r="O1020" s="39"/>
      <c r="P1020" s="39"/>
      <c r="Q1020" s="39"/>
      <c r="R1020" s="39"/>
      <c r="S1020" s="39"/>
      <c r="T1020" s="39"/>
      <c r="U1020" s="39"/>
    </row>
    <row r="1021" spans="1:21" ht="14.5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39"/>
      <c r="O1021" s="39"/>
      <c r="P1021" s="39"/>
      <c r="Q1021" s="39"/>
      <c r="R1021" s="39"/>
      <c r="S1021" s="39"/>
      <c r="T1021" s="39"/>
      <c r="U1021" s="39"/>
    </row>
    <row r="1022" spans="1:21" ht="14.5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39"/>
      <c r="O1022" s="39"/>
      <c r="P1022" s="39"/>
      <c r="Q1022" s="39"/>
      <c r="R1022" s="39"/>
      <c r="S1022" s="39"/>
      <c r="T1022" s="39"/>
      <c r="U1022" s="39"/>
    </row>
    <row r="1023" spans="1:21" ht="14.5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39"/>
      <c r="O1023" s="39"/>
      <c r="P1023" s="39"/>
      <c r="Q1023" s="39"/>
      <c r="R1023" s="39"/>
      <c r="S1023" s="39"/>
      <c r="T1023" s="39"/>
      <c r="U1023" s="39"/>
    </row>
    <row r="1024" spans="1:21" ht="14.5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39"/>
      <c r="O1024" s="39"/>
      <c r="P1024" s="39"/>
      <c r="Q1024" s="39"/>
      <c r="R1024" s="39"/>
      <c r="S1024" s="39"/>
      <c r="T1024" s="39"/>
      <c r="U1024" s="39"/>
    </row>
    <row r="1025" spans="1:21" ht="14.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39"/>
      <c r="O1025" s="39"/>
      <c r="P1025" s="39"/>
      <c r="Q1025" s="39"/>
      <c r="R1025" s="39"/>
      <c r="S1025" s="39"/>
      <c r="T1025" s="39"/>
      <c r="U1025" s="39"/>
    </row>
    <row r="1026" spans="1:21" ht="14.5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39"/>
      <c r="O1026" s="39"/>
      <c r="P1026" s="39"/>
      <c r="Q1026" s="39"/>
      <c r="R1026" s="39"/>
      <c r="S1026" s="39"/>
      <c r="T1026" s="39"/>
      <c r="U1026" s="39"/>
    </row>
    <row r="1027" spans="1:21" ht="14.5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39"/>
      <c r="O1027" s="39"/>
      <c r="P1027" s="39"/>
      <c r="Q1027" s="39"/>
      <c r="R1027" s="39"/>
      <c r="S1027" s="39"/>
      <c r="T1027" s="39"/>
      <c r="U1027" s="39"/>
    </row>
    <row r="1028" spans="1:21" ht="14.5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39"/>
      <c r="O1028" s="39"/>
      <c r="P1028" s="39"/>
      <c r="Q1028" s="39"/>
      <c r="R1028" s="39"/>
      <c r="S1028" s="39"/>
      <c r="T1028" s="39"/>
      <c r="U1028" s="39"/>
    </row>
    <row r="1029" spans="1:21" ht="14.5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39"/>
      <c r="O1029" s="39"/>
      <c r="P1029" s="39"/>
      <c r="Q1029" s="39"/>
      <c r="R1029" s="39"/>
      <c r="S1029" s="39"/>
      <c r="T1029" s="39"/>
      <c r="U1029" s="39"/>
    </row>
    <row r="1030" spans="1:21" ht="14.5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39"/>
      <c r="O1030" s="39"/>
      <c r="P1030" s="39"/>
      <c r="Q1030" s="39"/>
      <c r="R1030" s="39"/>
      <c r="S1030" s="39"/>
      <c r="T1030" s="39"/>
      <c r="U1030" s="39"/>
    </row>
    <row r="1031" spans="1:21" ht="14.5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39"/>
      <c r="O1031" s="39"/>
      <c r="P1031" s="39"/>
      <c r="Q1031" s="39"/>
      <c r="R1031" s="39"/>
      <c r="S1031" s="39"/>
      <c r="T1031" s="39"/>
      <c r="U1031" s="39"/>
    </row>
    <row r="1032" spans="1:21" ht="14.5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39"/>
      <c r="O1032" s="39"/>
      <c r="P1032" s="39"/>
      <c r="Q1032" s="39"/>
      <c r="R1032" s="39"/>
      <c r="S1032" s="39"/>
      <c r="T1032" s="39"/>
      <c r="U1032" s="39"/>
    </row>
    <row r="1033" spans="1:21" ht="14.5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39"/>
      <c r="O1033" s="39"/>
      <c r="P1033" s="39"/>
      <c r="Q1033" s="39"/>
      <c r="R1033" s="39"/>
      <c r="S1033" s="39"/>
      <c r="T1033" s="39"/>
      <c r="U1033" s="39"/>
    </row>
    <row r="1034" spans="1:21" ht="14.5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39"/>
      <c r="O1034" s="39"/>
      <c r="P1034" s="39"/>
      <c r="Q1034" s="39"/>
      <c r="R1034" s="39"/>
      <c r="S1034" s="39"/>
      <c r="T1034" s="39"/>
      <c r="U1034" s="39"/>
    </row>
    <row r="1035" spans="1:21" ht="14.5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39"/>
      <c r="O1035" s="39"/>
      <c r="P1035" s="39"/>
      <c r="Q1035" s="39"/>
      <c r="R1035" s="39"/>
      <c r="S1035" s="39"/>
      <c r="T1035" s="39"/>
      <c r="U1035" s="39"/>
    </row>
    <row r="1036" spans="1:21" ht="14.5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39"/>
      <c r="O1036" s="39"/>
      <c r="P1036" s="39"/>
      <c r="Q1036" s="39"/>
      <c r="R1036" s="39"/>
      <c r="S1036" s="39"/>
      <c r="T1036" s="39"/>
      <c r="U1036" s="39"/>
    </row>
    <row r="1037" spans="1:21" ht="14.5">
      <c r="A1037" s="39"/>
      <c r="B1037" s="39"/>
      <c r="C1037" s="39"/>
      <c r="D1037" s="39"/>
      <c r="E1037" s="39"/>
      <c r="F1037" s="39"/>
      <c r="G1037" s="39"/>
      <c r="H1037" s="39"/>
      <c r="I1037" s="39"/>
      <c r="J1037" s="39"/>
      <c r="K1037" s="39"/>
      <c r="L1037" s="39"/>
      <c r="M1037" s="39"/>
      <c r="N1037" s="39"/>
      <c r="O1037" s="39"/>
      <c r="P1037" s="39"/>
      <c r="Q1037" s="39"/>
      <c r="R1037" s="39"/>
      <c r="S1037" s="39"/>
      <c r="T1037" s="39"/>
      <c r="U1037" s="39"/>
    </row>
    <row r="1038" spans="1:21" ht="14.5">
      <c r="A1038" s="39"/>
      <c r="B1038" s="39"/>
      <c r="C1038" s="39"/>
      <c r="D1038" s="39"/>
      <c r="E1038" s="39"/>
      <c r="F1038" s="39"/>
      <c r="G1038" s="39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39"/>
      <c r="S1038" s="39"/>
      <c r="T1038" s="39"/>
      <c r="U1038" s="39"/>
    </row>
    <row r="1039" spans="1:21" ht="14.5">
      <c r="A1039" s="39"/>
      <c r="B1039" s="39"/>
      <c r="C1039" s="39"/>
      <c r="D1039" s="39"/>
      <c r="E1039" s="39"/>
      <c r="F1039" s="39"/>
      <c r="G1039" s="39"/>
      <c r="H1039" s="39"/>
      <c r="I1039" s="39"/>
      <c r="J1039" s="39"/>
      <c r="K1039" s="39"/>
      <c r="L1039" s="39"/>
      <c r="M1039" s="39"/>
      <c r="N1039" s="39"/>
      <c r="O1039" s="39"/>
      <c r="P1039" s="39"/>
      <c r="Q1039" s="39"/>
      <c r="R1039" s="39"/>
      <c r="S1039" s="39"/>
      <c r="T1039" s="39"/>
      <c r="U1039" s="39"/>
    </row>
    <row r="1040" spans="1:21" ht="14.5">
      <c r="A1040" s="39"/>
      <c r="B1040" s="39"/>
      <c r="C1040" s="39"/>
      <c r="D1040" s="39"/>
      <c r="E1040" s="39"/>
      <c r="F1040" s="39"/>
      <c r="G1040" s="39"/>
      <c r="H1040" s="39"/>
      <c r="I1040" s="39"/>
      <c r="J1040" s="39"/>
      <c r="K1040" s="39"/>
      <c r="L1040" s="39"/>
      <c r="M1040" s="39"/>
      <c r="N1040" s="39"/>
      <c r="O1040" s="39"/>
      <c r="P1040" s="39"/>
      <c r="Q1040" s="39"/>
      <c r="R1040" s="39"/>
      <c r="S1040" s="39"/>
      <c r="T1040" s="39"/>
      <c r="U1040" s="39"/>
    </row>
    <row r="1041" spans="1:21" ht="14.5">
      <c r="A1041" s="39"/>
      <c r="B1041" s="39"/>
      <c r="C1041" s="39"/>
      <c r="D1041" s="39"/>
      <c r="E1041" s="39"/>
      <c r="F1041" s="39"/>
      <c r="G1041" s="39"/>
      <c r="H1041" s="39"/>
      <c r="I1041" s="39"/>
      <c r="J1041" s="39"/>
      <c r="K1041" s="39"/>
      <c r="L1041" s="39"/>
      <c r="M1041" s="39"/>
      <c r="N1041" s="39"/>
      <c r="O1041" s="39"/>
      <c r="P1041" s="39"/>
      <c r="Q1041" s="39"/>
      <c r="R1041" s="39"/>
      <c r="S1041" s="39"/>
      <c r="T1041" s="39"/>
      <c r="U1041" s="39"/>
    </row>
    <row r="1042" spans="1:21" ht="14.5">
      <c r="A1042" s="39"/>
      <c r="B1042" s="39"/>
      <c r="C1042" s="39"/>
      <c r="D1042" s="39"/>
      <c r="E1042" s="39"/>
      <c r="F1042" s="39"/>
      <c r="G1042" s="39"/>
      <c r="H1042" s="39"/>
      <c r="I1042" s="39"/>
      <c r="J1042" s="39"/>
      <c r="K1042" s="39"/>
      <c r="L1042" s="39"/>
      <c r="M1042" s="39"/>
      <c r="N1042" s="39"/>
      <c r="O1042" s="39"/>
      <c r="P1042" s="39"/>
      <c r="Q1042" s="39"/>
      <c r="R1042" s="39"/>
      <c r="S1042" s="39"/>
      <c r="T1042" s="39"/>
      <c r="U1042" s="39"/>
    </row>
    <row r="1043" spans="1:21" ht="14.5">
      <c r="A1043" s="39"/>
      <c r="B1043" s="39"/>
      <c r="C1043" s="39"/>
      <c r="D1043" s="39"/>
      <c r="E1043" s="39"/>
      <c r="F1043" s="39"/>
      <c r="G1043" s="39"/>
      <c r="H1043" s="39"/>
      <c r="I1043" s="39"/>
      <c r="J1043" s="39"/>
      <c r="K1043" s="39"/>
      <c r="L1043" s="39"/>
      <c r="M1043" s="39"/>
      <c r="N1043" s="39"/>
      <c r="O1043" s="39"/>
      <c r="P1043" s="39"/>
      <c r="Q1043" s="39"/>
      <c r="R1043" s="39"/>
      <c r="S1043" s="39"/>
      <c r="T1043" s="39"/>
      <c r="U1043" s="39"/>
    </row>
    <row r="1044" spans="1:21" ht="14.5">
      <c r="A1044" s="39"/>
      <c r="B1044" s="39"/>
      <c r="C1044" s="39"/>
      <c r="D1044" s="39"/>
      <c r="E1044" s="39"/>
      <c r="F1044" s="39"/>
      <c r="G1044" s="39"/>
      <c r="H1044" s="39"/>
      <c r="I1044" s="39"/>
      <c r="J1044" s="39"/>
      <c r="K1044" s="39"/>
      <c r="L1044" s="39"/>
      <c r="M1044" s="39"/>
      <c r="N1044" s="39"/>
      <c r="O1044" s="39"/>
      <c r="P1044" s="39"/>
      <c r="Q1044" s="39"/>
      <c r="R1044" s="39"/>
      <c r="S1044" s="39"/>
      <c r="T1044" s="39"/>
      <c r="U1044" s="39"/>
    </row>
    <row r="1045" spans="1:21" ht="14.5">
      <c r="A1045" s="39"/>
      <c r="B1045" s="39"/>
      <c r="C1045" s="39"/>
      <c r="D1045" s="39"/>
      <c r="E1045" s="39"/>
      <c r="F1045" s="39"/>
      <c r="G1045" s="39"/>
      <c r="H1045" s="39"/>
      <c r="I1045" s="39"/>
      <c r="J1045" s="39"/>
      <c r="K1045" s="39"/>
      <c r="L1045" s="39"/>
      <c r="M1045" s="39"/>
      <c r="N1045" s="39"/>
      <c r="O1045" s="39"/>
      <c r="P1045" s="39"/>
      <c r="Q1045" s="39"/>
      <c r="R1045" s="39"/>
      <c r="S1045" s="39"/>
      <c r="T1045" s="39"/>
      <c r="U1045" s="39"/>
    </row>
    <row r="1046" spans="1:21" ht="14.5">
      <c r="A1046" s="39"/>
      <c r="B1046" s="39"/>
      <c r="C1046" s="39"/>
      <c r="D1046" s="39"/>
      <c r="E1046" s="39"/>
      <c r="F1046" s="39"/>
      <c r="G1046" s="39"/>
      <c r="H1046" s="39"/>
      <c r="I1046" s="39"/>
      <c r="J1046" s="39"/>
      <c r="K1046" s="39"/>
      <c r="L1046" s="39"/>
      <c r="M1046" s="39"/>
      <c r="N1046" s="39"/>
      <c r="O1046" s="39"/>
      <c r="P1046" s="39"/>
      <c r="Q1046" s="39"/>
      <c r="R1046" s="39"/>
      <c r="S1046" s="39"/>
      <c r="T1046" s="39"/>
      <c r="U1046" s="39"/>
    </row>
    <row r="1047" spans="1:21" ht="14.5">
      <c r="A1047" s="39"/>
      <c r="B1047" s="39"/>
      <c r="C1047" s="39"/>
      <c r="D1047" s="39"/>
      <c r="E1047" s="39"/>
      <c r="F1047" s="39"/>
      <c r="G1047" s="39"/>
      <c r="H1047" s="39"/>
      <c r="I1047" s="39"/>
      <c r="J1047" s="39"/>
      <c r="K1047" s="39"/>
      <c r="L1047" s="39"/>
      <c r="M1047" s="39"/>
      <c r="N1047" s="39"/>
      <c r="O1047" s="39"/>
      <c r="P1047" s="39"/>
      <c r="Q1047" s="39"/>
      <c r="R1047" s="39"/>
      <c r="S1047" s="39"/>
      <c r="T1047" s="39"/>
      <c r="U1047" s="39"/>
    </row>
    <row r="1048" spans="1:21" ht="14.5">
      <c r="A1048" s="39"/>
      <c r="B1048" s="39"/>
      <c r="C1048" s="39"/>
      <c r="D1048" s="39"/>
      <c r="E1048" s="39"/>
      <c r="F1048" s="39"/>
      <c r="G1048" s="39"/>
      <c r="H1048" s="39"/>
      <c r="I1048" s="39"/>
      <c r="J1048" s="39"/>
      <c r="K1048" s="39"/>
      <c r="L1048" s="39"/>
      <c r="M1048" s="39"/>
      <c r="N1048" s="39"/>
      <c r="O1048" s="39"/>
      <c r="P1048" s="39"/>
      <c r="Q1048" s="39"/>
      <c r="R1048" s="39"/>
      <c r="S1048" s="39"/>
      <c r="T1048" s="39"/>
      <c r="U1048" s="39"/>
    </row>
    <row r="1049" spans="1:21" ht="14.5">
      <c r="A1049" s="39"/>
      <c r="B1049" s="39"/>
      <c r="C1049" s="39"/>
      <c r="D1049" s="39"/>
      <c r="E1049" s="39"/>
      <c r="F1049" s="39"/>
      <c r="G1049" s="39"/>
      <c r="H1049" s="39"/>
      <c r="I1049" s="39"/>
      <c r="J1049" s="39"/>
      <c r="K1049" s="39"/>
      <c r="L1049" s="39"/>
      <c r="M1049" s="39"/>
      <c r="N1049" s="39"/>
      <c r="O1049" s="39"/>
      <c r="P1049" s="39"/>
      <c r="Q1049" s="39"/>
      <c r="R1049" s="39"/>
      <c r="S1049" s="39"/>
      <c r="T1049" s="39"/>
      <c r="U1049" s="39"/>
    </row>
    <row r="1050" spans="1:21" ht="14.5">
      <c r="A1050" s="39"/>
      <c r="B1050" s="39"/>
      <c r="C1050" s="39"/>
      <c r="D1050" s="39"/>
      <c r="E1050" s="39"/>
      <c r="F1050" s="39"/>
      <c r="G1050" s="39"/>
      <c r="H1050" s="39"/>
      <c r="I1050" s="39"/>
      <c r="J1050" s="39"/>
      <c r="K1050" s="39"/>
      <c r="L1050" s="39"/>
      <c r="M1050" s="39"/>
      <c r="N1050" s="39"/>
      <c r="O1050" s="39"/>
      <c r="P1050" s="39"/>
      <c r="Q1050" s="39"/>
      <c r="R1050" s="39"/>
      <c r="S1050" s="39"/>
      <c r="T1050" s="39"/>
      <c r="U1050" s="39"/>
    </row>
    <row r="1051" spans="1:21" ht="14.5">
      <c r="A1051" s="39"/>
      <c r="B1051" s="39"/>
      <c r="C1051" s="39"/>
      <c r="D1051" s="39"/>
      <c r="E1051" s="39"/>
      <c r="F1051" s="39"/>
      <c r="G1051" s="39"/>
      <c r="H1051" s="39"/>
      <c r="I1051" s="39"/>
      <c r="J1051" s="39"/>
      <c r="K1051" s="39"/>
      <c r="L1051" s="39"/>
      <c r="M1051" s="39"/>
      <c r="N1051" s="39"/>
      <c r="O1051" s="39"/>
      <c r="P1051" s="39"/>
      <c r="Q1051" s="39"/>
      <c r="R1051" s="39"/>
      <c r="S1051" s="39"/>
      <c r="T1051" s="39"/>
      <c r="U1051" s="39"/>
    </row>
    <row r="1052" spans="1:21" ht="14.5">
      <c r="A1052" s="39"/>
      <c r="B1052" s="39"/>
      <c r="C1052" s="39"/>
      <c r="D1052" s="39"/>
      <c r="E1052" s="39"/>
      <c r="F1052" s="39"/>
      <c r="G1052" s="39"/>
      <c r="H1052" s="39"/>
      <c r="I1052" s="39"/>
      <c r="J1052" s="39"/>
      <c r="K1052" s="39"/>
      <c r="L1052" s="39"/>
      <c r="M1052" s="39"/>
      <c r="N1052" s="39"/>
      <c r="O1052" s="39"/>
      <c r="P1052" s="39"/>
      <c r="Q1052" s="39"/>
      <c r="R1052" s="39"/>
      <c r="S1052" s="39"/>
      <c r="T1052" s="39"/>
      <c r="U1052" s="39"/>
    </row>
    <row r="1053" spans="1:21" ht="14.5">
      <c r="A1053" s="39"/>
      <c r="B1053" s="39"/>
      <c r="C1053" s="39"/>
      <c r="D1053" s="39"/>
      <c r="E1053" s="39"/>
      <c r="F1053" s="39"/>
      <c r="G1053" s="39"/>
      <c r="H1053" s="39"/>
      <c r="I1053" s="39"/>
      <c r="J1053" s="39"/>
      <c r="K1053" s="39"/>
      <c r="L1053" s="39"/>
      <c r="M1053" s="39"/>
      <c r="N1053" s="39"/>
      <c r="O1053" s="39"/>
      <c r="P1053" s="39"/>
      <c r="Q1053" s="39"/>
      <c r="R1053" s="39"/>
      <c r="S1053" s="39"/>
      <c r="T1053" s="39"/>
      <c r="U1053" s="39"/>
    </row>
    <row r="1054" spans="1:21" ht="14.5">
      <c r="A1054" s="39"/>
      <c r="B1054" s="39"/>
      <c r="C1054" s="39"/>
      <c r="D1054" s="39"/>
      <c r="E1054" s="39"/>
      <c r="F1054" s="39"/>
      <c r="G1054" s="39"/>
      <c r="H1054" s="39"/>
      <c r="I1054" s="39"/>
      <c r="J1054" s="39"/>
      <c r="K1054" s="39"/>
      <c r="L1054" s="39"/>
      <c r="M1054" s="39"/>
      <c r="N1054" s="39"/>
      <c r="O1054" s="39"/>
      <c r="P1054" s="39"/>
      <c r="Q1054" s="39"/>
      <c r="R1054" s="39"/>
      <c r="S1054" s="39"/>
      <c r="T1054" s="39"/>
      <c r="U1054" s="39"/>
    </row>
    <row r="1055" spans="1:21" ht="14.5">
      <c r="A1055" s="39"/>
      <c r="B1055" s="39"/>
      <c r="C1055" s="39"/>
      <c r="D1055" s="39"/>
      <c r="E1055" s="39"/>
      <c r="F1055" s="39"/>
      <c r="G1055" s="39"/>
      <c r="H1055" s="39"/>
      <c r="I1055" s="39"/>
      <c r="J1055" s="39"/>
      <c r="K1055" s="39"/>
      <c r="L1055" s="39"/>
      <c r="M1055" s="39"/>
      <c r="N1055" s="39"/>
      <c r="O1055" s="39"/>
      <c r="P1055" s="39"/>
      <c r="Q1055" s="39"/>
      <c r="R1055" s="39"/>
      <c r="S1055" s="39"/>
      <c r="T1055" s="39"/>
      <c r="U1055" s="39"/>
    </row>
    <row r="1056" spans="1:21" ht="14.5">
      <c r="A1056" s="39"/>
      <c r="B1056" s="39"/>
      <c r="C1056" s="39"/>
      <c r="D1056" s="39"/>
      <c r="E1056" s="39"/>
      <c r="F1056" s="39"/>
      <c r="G1056" s="39"/>
      <c r="H1056" s="39"/>
      <c r="I1056" s="39"/>
      <c r="J1056" s="39"/>
      <c r="K1056" s="39"/>
      <c r="L1056" s="39"/>
      <c r="M1056" s="39"/>
      <c r="N1056" s="39"/>
      <c r="O1056" s="39"/>
      <c r="P1056" s="39"/>
      <c r="Q1056" s="39"/>
      <c r="R1056" s="39"/>
      <c r="S1056" s="39"/>
      <c r="T1056" s="39"/>
      <c r="U1056" s="39"/>
    </row>
    <row r="1057" spans="1:21" ht="14.5">
      <c r="A1057" s="39"/>
      <c r="B1057" s="39"/>
      <c r="C1057" s="39"/>
      <c r="D1057" s="39"/>
      <c r="E1057" s="39"/>
      <c r="F1057" s="39"/>
      <c r="G1057" s="39"/>
      <c r="H1057" s="39"/>
      <c r="I1057" s="39"/>
      <c r="J1057" s="39"/>
      <c r="K1057" s="39"/>
      <c r="L1057" s="39"/>
      <c r="M1057" s="39"/>
      <c r="N1057" s="39"/>
      <c r="O1057" s="39"/>
      <c r="P1057" s="39"/>
      <c r="Q1057" s="39"/>
      <c r="R1057" s="39"/>
      <c r="S1057" s="39"/>
      <c r="T1057" s="39"/>
      <c r="U1057" s="39"/>
    </row>
    <row r="1058" spans="1:21" ht="14.5">
      <c r="A1058" s="39"/>
      <c r="B1058" s="39"/>
      <c r="C1058" s="39"/>
      <c r="D1058" s="39"/>
      <c r="E1058" s="39"/>
      <c r="F1058" s="39"/>
      <c r="G1058" s="39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39"/>
      <c r="S1058" s="39"/>
      <c r="T1058" s="39"/>
      <c r="U1058" s="39"/>
    </row>
    <row r="1059" spans="1:21" ht="14.5">
      <c r="A1059" s="39"/>
      <c r="B1059" s="39"/>
      <c r="C1059" s="39"/>
      <c r="D1059" s="39"/>
      <c r="E1059" s="39"/>
      <c r="F1059" s="39"/>
      <c r="G1059" s="39"/>
      <c r="H1059" s="39"/>
      <c r="I1059" s="39"/>
      <c r="J1059" s="39"/>
      <c r="K1059" s="39"/>
      <c r="L1059" s="39"/>
      <c r="M1059" s="39"/>
      <c r="N1059" s="39"/>
      <c r="O1059" s="39"/>
      <c r="P1059" s="39"/>
      <c r="Q1059" s="39"/>
      <c r="R1059" s="39"/>
      <c r="S1059" s="39"/>
      <c r="T1059" s="39"/>
      <c r="U1059" s="39"/>
    </row>
    <row r="1060" spans="1:21" ht="14.5">
      <c r="A1060" s="39"/>
      <c r="B1060" s="39"/>
      <c r="C1060" s="39"/>
      <c r="D1060" s="39"/>
      <c r="E1060" s="39"/>
      <c r="F1060" s="39"/>
      <c r="G1060" s="39"/>
      <c r="H1060" s="39"/>
      <c r="I1060" s="39"/>
      <c r="J1060" s="39"/>
      <c r="K1060" s="39"/>
      <c r="L1060" s="39"/>
      <c r="M1060" s="39"/>
      <c r="N1060" s="39"/>
      <c r="O1060" s="39"/>
      <c r="P1060" s="39"/>
      <c r="Q1060" s="39"/>
      <c r="R1060" s="39"/>
      <c r="S1060" s="39"/>
      <c r="T1060" s="39"/>
      <c r="U1060" s="39"/>
    </row>
    <row r="1061" spans="1:21" ht="14.5">
      <c r="A1061" s="39"/>
      <c r="B1061" s="39"/>
      <c r="C1061" s="39"/>
      <c r="D1061" s="39"/>
      <c r="E1061" s="39"/>
      <c r="F1061" s="39"/>
      <c r="G1061" s="39"/>
      <c r="H1061" s="39"/>
      <c r="I1061" s="39"/>
      <c r="J1061" s="39"/>
      <c r="K1061" s="39"/>
      <c r="L1061" s="39"/>
      <c r="M1061" s="39"/>
      <c r="N1061" s="39"/>
      <c r="O1061" s="39"/>
      <c r="P1061" s="39"/>
      <c r="Q1061" s="39"/>
      <c r="R1061" s="39"/>
      <c r="S1061" s="39"/>
      <c r="T1061" s="39"/>
      <c r="U1061" s="39"/>
    </row>
    <row r="1062" spans="1:21" ht="14.5">
      <c r="A1062" s="39"/>
      <c r="B1062" s="39"/>
      <c r="C1062" s="39"/>
      <c r="D1062" s="39"/>
      <c r="E1062" s="39"/>
      <c r="F1062" s="39"/>
      <c r="G1062" s="39"/>
      <c r="H1062" s="39"/>
      <c r="I1062" s="39"/>
      <c r="J1062" s="39"/>
      <c r="K1062" s="39"/>
      <c r="L1062" s="39"/>
      <c r="M1062" s="39"/>
      <c r="N1062" s="39"/>
      <c r="O1062" s="39"/>
      <c r="P1062" s="39"/>
      <c r="Q1062" s="39"/>
      <c r="R1062" s="39"/>
      <c r="S1062" s="39"/>
      <c r="T1062" s="39"/>
      <c r="U1062" s="39"/>
    </row>
    <row r="1063" spans="1:21" ht="14.5">
      <c r="A1063" s="39"/>
      <c r="B1063" s="39"/>
      <c r="C1063" s="39"/>
      <c r="D1063" s="39"/>
      <c r="E1063" s="39"/>
      <c r="F1063" s="39"/>
      <c r="G1063" s="39"/>
      <c r="H1063" s="39"/>
      <c r="I1063" s="39"/>
      <c r="J1063" s="39"/>
      <c r="K1063" s="39"/>
      <c r="L1063" s="39"/>
      <c r="M1063" s="39"/>
      <c r="N1063" s="39"/>
      <c r="O1063" s="39"/>
      <c r="P1063" s="39"/>
      <c r="Q1063" s="39"/>
      <c r="R1063" s="39"/>
      <c r="S1063" s="39"/>
      <c r="T1063" s="39"/>
      <c r="U1063" s="39"/>
    </row>
    <row r="1064" spans="1:21" ht="14.5">
      <c r="A1064" s="39"/>
      <c r="B1064" s="39"/>
      <c r="C1064" s="39"/>
      <c r="D1064" s="39"/>
      <c r="E1064" s="39"/>
      <c r="F1064" s="39"/>
      <c r="G1064" s="39"/>
      <c r="H1064" s="39"/>
      <c r="I1064" s="39"/>
      <c r="J1064" s="39"/>
      <c r="K1064" s="39"/>
      <c r="L1064" s="39"/>
      <c r="M1064" s="39"/>
      <c r="N1064" s="39"/>
      <c r="O1064" s="39"/>
      <c r="P1064" s="39"/>
      <c r="Q1064" s="39"/>
      <c r="R1064" s="39"/>
      <c r="S1064" s="39"/>
      <c r="T1064" s="39"/>
      <c r="U1064" s="39"/>
    </row>
    <row r="1065" spans="1:21" ht="14.5">
      <c r="A1065" s="39"/>
      <c r="B1065" s="39"/>
      <c r="C1065" s="39"/>
      <c r="D1065" s="39"/>
      <c r="E1065" s="39"/>
      <c r="F1065" s="39"/>
      <c r="G1065" s="39"/>
      <c r="H1065" s="39"/>
      <c r="I1065" s="39"/>
      <c r="J1065" s="39"/>
      <c r="K1065" s="39"/>
      <c r="L1065" s="39"/>
      <c r="M1065" s="39"/>
      <c r="N1065" s="39"/>
      <c r="O1065" s="39"/>
      <c r="P1065" s="39"/>
      <c r="Q1065" s="39"/>
      <c r="R1065" s="39"/>
      <c r="S1065" s="39"/>
      <c r="T1065" s="39"/>
      <c r="U1065" s="39"/>
    </row>
    <row r="1066" spans="1:21" ht="14.5">
      <c r="A1066" s="39"/>
      <c r="B1066" s="39"/>
      <c r="C1066" s="39"/>
      <c r="D1066" s="39"/>
      <c r="E1066" s="39"/>
      <c r="F1066" s="39"/>
      <c r="G1066" s="39"/>
      <c r="H1066" s="39"/>
      <c r="I1066" s="39"/>
      <c r="J1066" s="39"/>
      <c r="K1066" s="39"/>
      <c r="L1066" s="39"/>
      <c r="M1066" s="39"/>
      <c r="N1066" s="39"/>
      <c r="O1066" s="39"/>
      <c r="P1066" s="39"/>
      <c r="Q1066" s="39"/>
      <c r="R1066" s="39"/>
      <c r="S1066" s="39"/>
      <c r="T1066" s="39"/>
      <c r="U1066" s="39"/>
    </row>
    <row r="1067" spans="1:21" ht="14.5">
      <c r="A1067" s="39"/>
      <c r="B1067" s="39"/>
      <c r="C1067" s="39"/>
      <c r="D1067" s="39"/>
      <c r="E1067" s="39"/>
      <c r="F1067" s="39"/>
      <c r="G1067" s="39"/>
      <c r="H1067" s="39"/>
      <c r="I1067" s="39"/>
      <c r="J1067" s="39"/>
      <c r="K1067" s="39"/>
      <c r="L1067" s="39"/>
      <c r="M1067" s="39"/>
      <c r="N1067" s="39"/>
      <c r="O1067" s="39"/>
      <c r="P1067" s="39"/>
      <c r="Q1067" s="39"/>
      <c r="R1067" s="39"/>
      <c r="S1067" s="39"/>
      <c r="T1067" s="39"/>
      <c r="U1067" s="39"/>
    </row>
    <row r="1068" spans="1:21" ht="14.5">
      <c r="A1068" s="39"/>
      <c r="B1068" s="39"/>
      <c r="C1068" s="39"/>
      <c r="D1068" s="39"/>
      <c r="E1068" s="39"/>
      <c r="F1068" s="39"/>
      <c r="G1068" s="39"/>
      <c r="H1068" s="39"/>
      <c r="I1068" s="39"/>
      <c r="J1068" s="39"/>
      <c r="K1068" s="39"/>
      <c r="L1068" s="39"/>
      <c r="M1068" s="39"/>
      <c r="N1068" s="39"/>
      <c r="O1068" s="39"/>
      <c r="P1068" s="39"/>
      <c r="Q1068" s="39"/>
      <c r="R1068" s="39"/>
      <c r="S1068" s="39"/>
      <c r="T1068" s="39"/>
      <c r="U1068" s="39"/>
    </row>
    <row r="1069" spans="1:21" ht="14.5">
      <c r="A1069" s="39"/>
      <c r="B1069" s="39"/>
      <c r="C1069" s="39"/>
      <c r="D1069" s="39"/>
      <c r="E1069" s="39"/>
      <c r="F1069" s="39"/>
      <c r="G1069" s="39"/>
      <c r="H1069" s="39"/>
      <c r="I1069" s="39"/>
      <c r="J1069" s="39"/>
      <c r="K1069" s="39"/>
      <c r="L1069" s="39"/>
      <c r="M1069" s="39"/>
      <c r="N1069" s="39"/>
      <c r="O1069" s="39"/>
      <c r="P1069" s="39"/>
      <c r="Q1069" s="39"/>
      <c r="R1069" s="39"/>
      <c r="S1069" s="39"/>
      <c r="T1069" s="39"/>
      <c r="U1069" s="39"/>
    </row>
    <row r="1070" spans="1:21" ht="14.5">
      <c r="A1070" s="39"/>
      <c r="B1070" s="39"/>
      <c r="C1070" s="39"/>
      <c r="D1070" s="39"/>
      <c r="E1070" s="39"/>
      <c r="F1070" s="39"/>
      <c r="G1070" s="39"/>
      <c r="H1070" s="39"/>
      <c r="I1070" s="39"/>
      <c r="J1070" s="39"/>
      <c r="K1070" s="39"/>
      <c r="L1070" s="39"/>
      <c r="M1070" s="39"/>
      <c r="N1070" s="39"/>
      <c r="O1070" s="39"/>
      <c r="P1070" s="39"/>
      <c r="Q1070" s="39"/>
      <c r="R1070" s="39"/>
      <c r="S1070" s="39"/>
      <c r="T1070" s="39"/>
      <c r="U1070" s="39"/>
    </row>
    <row r="1071" spans="1:21" ht="14.5">
      <c r="A1071" s="39"/>
      <c r="B1071" s="39"/>
      <c r="C1071" s="39"/>
      <c r="D1071" s="39"/>
      <c r="E1071" s="39"/>
      <c r="F1071" s="39"/>
      <c r="G1071" s="39"/>
      <c r="H1071" s="39"/>
      <c r="I1071" s="39"/>
      <c r="J1071" s="39"/>
      <c r="K1071" s="39"/>
      <c r="L1071" s="39"/>
      <c r="M1071" s="39"/>
      <c r="N1071" s="39"/>
      <c r="O1071" s="39"/>
      <c r="P1071" s="39"/>
      <c r="Q1071" s="39"/>
      <c r="R1071" s="39"/>
      <c r="S1071" s="39"/>
      <c r="T1071" s="39"/>
      <c r="U1071" s="39"/>
    </row>
    <row r="1072" spans="1:21" ht="14.5">
      <c r="A1072" s="39"/>
      <c r="B1072" s="39"/>
      <c r="C1072" s="39"/>
      <c r="D1072" s="39"/>
      <c r="E1072" s="39"/>
      <c r="F1072" s="39"/>
      <c r="G1072" s="39"/>
      <c r="H1072" s="39"/>
      <c r="I1072" s="39"/>
      <c r="J1072" s="39"/>
      <c r="K1072" s="39"/>
      <c r="L1072" s="39"/>
      <c r="M1072" s="39"/>
      <c r="N1072" s="39"/>
      <c r="O1072" s="39"/>
      <c r="P1072" s="39"/>
      <c r="Q1072" s="39"/>
      <c r="R1072" s="39"/>
      <c r="S1072" s="39"/>
      <c r="T1072" s="39"/>
      <c r="U1072" s="39"/>
    </row>
    <row r="1073" spans="1:21" ht="14.5">
      <c r="A1073" s="39"/>
      <c r="B1073" s="39"/>
      <c r="C1073" s="39"/>
      <c r="D1073" s="39"/>
      <c r="E1073" s="39"/>
      <c r="F1073" s="39"/>
      <c r="G1073" s="39"/>
      <c r="H1073" s="39"/>
      <c r="I1073" s="39"/>
      <c r="J1073" s="39"/>
      <c r="K1073" s="39"/>
      <c r="L1073" s="39"/>
      <c r="M1073" s="39"/>
      <c r="N1073" s="39"/>
      <c r="O1073" s="39"/>
      <c r="P1073" s="39"/>
      <c r="Q1073" s="39"/>
      <c r="R1073" s="39"/>
      <c r="S1073" s="39"/>
      <c r="T1073" s="39"/>
      <c r="U1073" s="39"/>
    </row>
    <row r="1074" spans="1:21" ht="14.5">
      <c r="A1074" s="39"/>
      <c r="B1074" s="39"/>
      <c r="C1074" s="39"/>
      <c r="D1074" s="39"/>
      <c r="E1074" s="39"/>
      <c r="F1074" s="39"/>
      <c r="G1074" s="39"/>
      <c r="H1074" s="39"/>
      <c r="I1074" s="39"/>
      <c r="J1074" s="39"/>
      <c r="K1074" s="39"/>
      <c r="L1074" s="39"/>
      <c r="M1074" s="39"/>
      <c r="N1074" s="39"/>
      <c r="O1074" s="39"/>
      <c r="P1074" s="39"/>
      <c r="Q1074" s="39"/>
      <c r="R1074" s="39"/>
      <c r="S1074" s="39"/>
      <c r="T1074" s="39"/>
      <c r="U1074" s="39"/>
    </row>
    <row r="1075" spans="1:21" ht="14.5">
      <c r="A1075" s="39"/>
      <c r="B1075" s="39"/>
      <c r="C1075" s="39"/>
      <c r="D1075" s="39"/>
      <c r="E1075" s="39"/>
      <c r="F1075" s="39"/>
      <c r="G1075" s="39"/>
      <c r="H1075" s="39"/>
      <c r="I1075" s="39"/>
      <c r="J1075" s="39"/>
      <c r="K1075" s="39"/>
      <c r="L1075" s="39"/>
      <c r="M1075" s="39"/>
      <c r="N1075" s="39"/>
      <c r="O1075" s="39"/>
      <c r="P1075" s="39"/>
      <c r="Q1075" s="39"/>
      <c r="R1075" s="39"/>
      <c r="S1075" s="39"/>
      <c r="T1075" s="39"/>
      <c r="U1075" s="39"/>
    </row>
    <row r="1076" spans="1:21" ht="14.5">
      <c r="A1076" s="39"/>
      <c r="B1076" s="39"/>
      <c r="C1076" s="39"/>
      <c r="D1076" s="39"/>
      <c r="E1076" s="39"/>
      <c r="F1076" s="39"/>
      <c r="G1076" s="39"/>
      <c r="H1076" s="39"/>
      <c r="I1076" s="39"/>
      <c r="J1076" s="39"/>
      <c r="K1076" s="39"/>
      <c r="L1076" s="39"/>
      <c r="M1076" s="39"/>
      <c r="N1076" s="39"/>
      <c r="O1076" s="39"/>
      <c r="P1076" s="39"/>
      <c r="Q1076" s="39"/>
      <c r="R1076" s="39"/>
      <c r="S1076" s="39"/>
      <c r="T1076" s="39"/>
      <c r="U1076" s="39"/>
    </row>
    <row r="1077" spans="1:21" ht="14.5">
      <c r="A1077" s="39"/>
      <c r="B1077" s="39"/>
      <c r="C1077" s="39"/>
      <c r="D1077" s="39"/>
      <c r="E1077" s="39"/>
      <c r="F1077" s="39"/>
      <c r="G1077" s="39"/>
      <c r="H1077" s="39"/>
      <c r="I1077" s="39"/>
      <c r="J1077" s="39"/>
      <c r="K1077" s="39"/>
      <c r="L1077" s="39"/>
      <c r="M1077" s="39"/>
      <c r="N1077" s="39"/>
      <c r="O1077" s="39"/>
      <c r="P1077" s="39"/>
      <c r="Q1077" s="39"/>
      <c r="R1077" s="39"/>
      <c r="S1077" s="39"/>
      <c r="T1077" s="39"/>
      <c r="U1077" s="39"/>
    </row>
    <row r="1078" spans="1:21" ht="14.5">
      <c r="A1078" s="39"/>
      <c r="B1078" s="39"/>
      <c r="C1078" s="39"/>
      <c r="D1078" s="39"/>
      <c r="E1078" s="39"/>
      <c r="F1078" s="39"/>
      <c r="G1078" s="39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39"/>
      <c r="S1078" s="39"/>
      <c r="T1078" s="39"/>
      <c r="U1078" s="39"/>
    </row>
    <row r="1079" spans="1:21" ht="14.5">
      <c r="A1079" s="39"/>
      <c r="B1079" s="39"/>
      <c r="C1079" s="39"/>
      <c r="D1079" s="39"/>
      <c r="E1079" s="39"/>
      <c r="F1079" s="39"/>
      <c r="G1079" s="39"/>
      <c r="H1079" s="39"/>
      <c r="I1079" s="39"/>
      <c r="J1079" s="39"/>
      <c r="K1079" s="39"/>
      <c r="L1079" s="39"/>
      <c r="M1079" s="39"/>
      <c r="N1079" s="39"/>
      <c r="O1079" s="39"/>
      <c r="P1079" s="39"/>
      <c r="Q1079" s="39"/>
      <c r="R1079" s="39"/>
      <c r="S1079" s="39"/>
      <c r="T1079" s="39"/>
      <c r="U1079" s="39"/>
    </row>
    <row r="1080" spans="1:21" ht="14.5">
      <c r="A1080" s="39"/>
      <c r="B1080" s="39"/>
      <c r="C1080" s="39"/>
      <c r="D1080" s="39"/>
      <c r="E1080" s="39"/>
      <c r="F1080" s="39"/>
      <c r="G1080" s="39"/>
      <c r="H1080" s="39"/>
      <c r="I1080" s="39"/>
      <c r="J1080" s="39"/>
      <c r="K1080" s="39"/>
      <c r="L1080" s="39"/>
      <c r="M1080" s="39"/>
      <c r="N1080" s="39"/>
      <c r="O1080" s="39"/>
      <c r="P1080" s="39"/>
      <c r="Q1080" s="39"/>
      <c r="R1080" s="39"/>
      <c r="S1080" s="39"/>
      <c r="T1080" s="39"/>
      <c r="U1080" s="39"/>
    </row>
    <row r="1081" spans="1:21" ht="14.5">
      <c r="A1081" s="39"/>
      <c r="B1081" s="39"/>
      <c r="C1081" s="39"/>
      <c r="D1081" s="39"/>
      <c r="E1081" s="39"/>
      <c r="F1081" s="39"/>
      <c r="G1081" s="39"/>
      <c r="H1081" s="39"/>
      <c r="I1081" s="39"/>
      <c r="J1081" s="39"/>
      <c r="K1081" s="39"/>
      <c r="L1081" s="39"/>
      <c r="M1081" s="39"/>
      <c r="N1081" s="39"/>
      <c r="O1081" s="39"/>
      <c r="P1081" s="39"/>
      <c r="Q1081" s="39"/>
      <c r="R1081" s="39"/>
      <c r="S1081" s="39"/>
      <c r="T1081" s="39"/>
      <c r="U1081" s="39"/>
    </row>
    <row r="1082" spans="1:21" ht="14.5">
      <c r="A1082" s="39"/>
      <c r="B1082" s="39"/>
      <c r="C1082" s="39"/>
      <c r="D1082" s="39"/>
      <c r="E1082" s="39"/>
      <c r="F1082" s="39"/>
      <c r="G1082" s="39"/>
      <c r="H1082" s="39"/>
      <c r="I1082" s="39"/>
      <c r="J1082" s="39"/>
      <c r="K1082" s="39"/>
      <c r="L1082" s="39"/>
      <c r="M1082" s="39"/>
      <c r="N1082" s="39"/>
      <c r="O1082" s="39"/>
      <c r="P1082" s="39"/>
      <c r="Q1082" s="39"/>
      <c r="R1082" s="39"/>
      <c r="S1082" s="39"/>
      <c r="T1082" s="39"/>
      <c r="U1082" s="39"/>
    </row>
    <row r="1083" spans="1:21" ht="14.5">
      <c r="A1083" s="39"/>
      <c r="B1083" s="39"/>
      <c r="C1083" s="39"/>
      <c r="D1083" s="39"/>
      <c r="E1083" s="39"/>
      <c r="F1083" s="39"/>
      <c r="G1083" s="39"/>
      <c r="H1083" s="39"/>
      <c r="I1083" s="39"/>
      <c r="J1083" s="39"/>
      <c r="K1083" s="39"/>
      <c r="L1083" s="39"/>
      <c r="M1083" s="39"/>
      <c r="N1083" s="39"/>
      <c r="O1083" s="39"/>
      <c r="P1083" s="39"/>
      <c r="Q1083" s="39"/>
      <c r="R1083" s="39"/>
      <c r="S1083" s="39"/>
      <c r="T1083" s="39"/>
      <c r="U1083" s="39"/>
    </row>
    <row r="1084" spans="1:21" ht="14.5">
      <c r="A1084" s="39"/>
      <c r="B1084" s="39"/>
      <c r="C1084" s="39"/>
      <c r="D1084" s="39"/>
      <c r="E1084" s="39"/>
      <c r="F1084" s="39"/>
      <c r="G1084" s="39"/>
      <c r="H1084" s="39"/>
      <c r="I1084" s="39"/>
      <c r="J1084" s="39"/>
      <c r="K1084" s="39"/>
      <c r="L1084" s="39"/>
      <c r="M1084" s="39"/>
      <c r="N1084" s="39"/>
      <c r="O1084" s="39"/>
      <c r="P1084" s="39"/>
      <c r="Q1084" s="39"/>
      <c r="R1084" s="39"/>
      <c r="S1084" s="39"/>
      <c r="T1084" s="39"/>
      <c r="U1084" s="39"/>
    </row>
    <row r="1085" spans="1:21" ht="14.5">
      <c r="A1085" s="39"/>
      <c r="B1085" s="39"/>
      <c r="C1085" s="39"/>
      <c r="D1085" s="39"/>
      <c r="E1085" s="39"/>
      <c r="F1085" s="39"/>
      <c r="G1085" s="39"/>
      <c r="H1085" s="39"/>
      <c r="I1085" s="39"/>
      <c r="J1085" s="39"/>
      <c r="K1085" s="39"/>
      <c r="L1085" s="39"/>
      <c r="M1085" s="39"/>
      <c r="N1085" s="39"/>
      <c r="O1085" s="39"/>
      <c r="P1085" s="39"/>
      <c r="Q1085" s="39"/>
      <c r="R1085" s="39"/>
      <c r="S1085" s="39"/>
      <c r="T1085" s="39"/>
      <c r="U1085" s="39"/>
    </row>
    <row r="1086" spans="1:21" ht="14.5">
      <c r="A1086" s="39"/>
      <c r="B1086" s="39"/>
      <c r="C1086" s="39"/>
      <c r="D1086" s="39"/>
      <c r="E1086" s="39"/>
      <c r="F1086" s="39"/>
      <c r="G1086" s="39"/>
      <c r="H1086" s="39"/>
      <c r="I1086" s="39"/>
      <c r="J1086" s="39"/>
      <c r="K1086" s="39"/>
      <c r="L1086" s="39"/>
      <c r="M1086" s="39"/>
      <c r="N1086" s="39"/>
      <c r="O1086" s="39"/>
      <c r="P1086" s="39"/>
      <c r="Q1086" s="39"/>
      <c r="R1086" s="39"/>
      <c r="S1086" s="39"/>
      <c r="T1086" s="39"/>
      <c r="U1086" s="39"/>
    </row>
    <row r="1087" spans="1:21" ht="14.5">
      <c r="A1087" s="39"/>
      <c r="B1087" s="39"/>
      <c r="C1087" s="39"/>
      <c r="D1087" s="39"/>
      <c r="E1087" s="39"/>
      <c r="F1087" s="39"/>
      <c r="G1087" s="39"/>
      <c r="H1087" s="39"/>
      <c r="I1087" s="39"/>
      <c r="J1087" s="39"/>
      <c r="K1087" s="39"/>
      <c r="L1087" s="39"/>
      <c r="M1087" s="39"/>
      <c r="N1087" s="39"/>
      <c r="O1087" s="39"/>
      <c r="P1087" s="39"/>
      <c r="Q1087" s="39"/>
      <c r="R1087" s="39"/>
      <c r="S1087" s="39"/>
      <c r="T1087" s="39"/>
      <c r="U1087" s="39"/>
    </row>
    <row r="1088" spans="1:21" ht="14.5">
      <c r="A1088" s="39"/>
      <c r="B1088" s="39"/>
      <c r="C1088" s="39"/>
      <c r="D1088" s="39"/>
      <c r="E1088" s="39"/>
      <c r="F1088" s="39"/>
      <c r="G1088" s="39"/>
      <c r="H1088" s="39"/>
      <c r="I1088" s="39"/>
      <c r="J1088" s="39"/>
      <c r="K1088" s="39"/>
      <c r="L1088" s="39"/>
      <c r="M1088" s="39"/>
      <c r="N1088" s="39"/>
      <c r="O1088" s="39"/>
      <c r="P1088" s="39"/>
      <c r="Q1088" s="39"/>
      <c r="R1088" s="39"/>
      <c r="S1088" s="39"/>
      <c r="T1088" s="39"/>
      <c r="U1088" s="39"/>
    </row>
    <row r="1089" spans="1:21" ht="14.5">
      <c r="A1089" s="39"/>
      <c r="B1089" s="39"/>
      <c r="C1089" s="39"/>
      <c r="D1089" s="39"/>
      <c r="E1089" s="39"/>
      <c r="F1089" s="39"/>
      <c r="G1089" s="39"/>
      <c r="H1089" s="39"/>
      <c r="I1089" s="39"/>
      <c r="J1089" s="39"/>
      <c r="K1089" s="39"/>
      <c r="L1089" s="39"/>
      <c r="M1089" s="39"/>
      <c r="N1089" s="39"/>
      <c r="O1089" s="39"/>
      <c r="P1089" s="39"/>
      <c r="Q1089" s="39"/>
      <c r="R1089" s="39"/>
      <c r="S1089" s="39"/>
      <c r="T1089" s="39"/>
      <c r="U1089" s="39"/>
    </row>
    <row r="1090" spans="1:21" ht="14.5">
      <c r="A1090" s="39"/>
      <c r="B1090" s="39"/>
      <c r="C1090" s="39"/>
      <c r="D1090" s="39"/>
      <c r="E1090" s="39"/>
      <c r="F1090" s="39"/>
      <c r="G1090" s="39"/>
      <c r="H1090" s="39"/>
      <c r="I1090" s="39"/>
      <c r="J1090" s="39"/>
      <c r="K1090" s="39"/>
      <c r="L1090" s="39"/>
      <c r="M1090" s="39"/>
      <c r="N1090" s="39"/>
      <c r="O1090" s="39"/>
      <c r="P1090" s="39"/>
      <c r="Q1090" s="39"/>
      <c r="R1090" s="39"/>
      <c r="S1090" s="39"/>
      <c r="T1090" s="39"/>
      <c r="U1090" s="39"/>
    </row>
    <row r="1091" spans="1:21" ht="14.5">
      <c r="A1091" s="39"/>
      <c r="B1091" s="39"/>
      <c r="C1091" s="39"/>
      <c r="D1091" s="39"/>
      <c r="E1091" s="39"/>
      <c r="F1091" s="39"/>
      <c r="G1091" s="39"/>
      <c r="H1091" s="39"/>
      <c r="I1091" s="39"/>
      <c r="J1091" s="39"/>
      <c r="K1091" s="39"/>
      <c r="L1091" s="39"/>
      <c r="M1091" s="39"/>
      <c r="N1091" s="39"/>
      <c r="O1091" s="39"/>
      <c r="P1091" s="39"/>
      <c r="Q1091" s="39"/>
      <c r="R1091" s="39"/>
      <c r="S1091" s="39"/>
      <c r="T1091" s="39"/>
      <c r="U1091" s="39"/>
    </row>
    <row r="1092" spans="1:21" ht="14.5">
      <c r="A1092" s="39"/>
      <c r="B1092" s="39"/>
      <c r="C1092" s="39"/>
      <c r="D1092" s="39"/>
      <c r="E1092" s="39"/>
      <c r="F1092" s="39"/>
      <c r="G1092" s="39"/>
      <c r="H1092" s="39"/>
      <c r="I1092" s="39"/>
      <c r="J1092" s="39"/>
      <c r="K1092" s="39"/>
      <c r="L1092" s="39"/>
      <c r="M1092" s="39"/>
      <c r="N1092" s="39"/>
      <c r="O1092" s="39"/>
      <c r="P1092" s="39"/>
      <c r="Q1092" s="39"/>
      <c r="R1092" s="39"/>
      <c r="S1092" s="39"/>
      <c r="T1092" s="39"/>
      <c r="U1092" s="39"/>
    </row>
    <row r="1093" spans="1:21" ht="14.5">
      <c r="A1093" s="39"/>
      <c r="B1093" s="39"/>
      <c r="C1093" s="39"/>
      <c r="D1093" s="39"/>
      <c r="E1093" s="39"/>
      <c r="F1093" s="39"/>
      <c r="G1093" s="39"/>
      <c r="H1093" s="39"/>
      <c r="I1093" s="39"/>
      <c r="J1093" s="39"/>
      <c r="K1093" s="39"/>
      <c r="L1093" s="39"/>
      <c r="M1093" s="39"/>
      <c r="N1093" s="39"/>
      <c r="O1093" s="39"/>
      <c r="P1093" s="39"/>
      <c r="Q1093" s="39"/>
      <c r="R1093" s="39"/>
      <c r="S1093" s="39"/>
      <c r="T1093" s="39"/>
      <c r="U1093" s="39"/>
    </row>
    <row r="1094" spans="1:21" ht="14.5">
      <c r="A1094" s="39"/>
      <c r="B1094" s="39"/>
      <c r="C1094" s="39"/>
      <c r="D1094" s="39"/>
      <c r="E1094" s="39"/>
      <c r="F1094" s="39"/>
      <c r="G1094" s="39"/>
      <c r="H1094" s="39"/>
      <c r="I1094" s="39"/>
      <c r="J1094" s="39"/>
      <c r="K1094" s="39"/>
      <c r="L1094" s="39"/>
      <c r="M1094" s="39"/>
      <c r="N1094" s="39"/>
      <c r="O1094" s="39"/>
      <c r="P1094" s="39"/>
      <c r="Q1094" s="39"/>
      <c r="R1094" s="39"/>
      <c r="S1094" s="39"/>
      <c r="T1094" s="39"/>
      <c r="U1094" s="39"/>
    </row>
    <row r="1095" spans="1:21" ht="14.5">
      <c r="A1095" s="39"/>
      <c r="B1095" s="39"/>
      <c r="C1095" s="39"/>
      <c r="D1095" s="39"/>
      <c r="E1095" s="39"/>
      <c r="F1095" s="39"/>
      <c r="G1095" s="39"/>
      <c r="H1095" s="39"/>
      <c r="I1095" s="39"/>
      <c r="J1095" s="39"/>
      <c r="K1095" s="39"/>
      <c r="L1095" s="39"/>
      <c r="M1095" s="39"/>
      <c r="N1095" s="39"/>
      <c r="O1095" s="39"/>
      <c r="P1095" s="39"/>
      <c r="Q1095" s="39"/>
      <c r="R1095" s="39"/>
      <c r="S1095" s="39"/>
      <c r="T1095" s="39"/>
      <c r="U1095" s="39"/>
    </row>
    <row r="1096" spans="1:21" ht="14.5">
      <c r="A1096" s="39"/>
      <c r="B1096" s="39"/>
      <c r="C1096" s="39"/>
      <c r="D1096" s="39"/>
      <c r="E1096" s="39"/>
      <c r="F1096" s="39"/>
      <c r="G1096" s="39"/>
      <c r="H1096" s="39"/>
      <c r="I1096" s="39"/>
      <c r="J1096" s="39"/>
      <c r="K1096" s="39"/>
      <c r="L1096" s="39"/>
      <c r="M1096" s="39"/>
      <c r="N1096" s="39"/>
      <c r="O1096" s="39"/>
      <c r="P1096" s="39"/>
      <c r="Q1096" s="39"/>
      <c r="R1096" s="39"/>
      <c r="S1096" s="39"/>
      <c r="T1096" s="39"/>
      <c r="U1096" s="39"/>
    </row>
    <row r="1097" spans="1:21" ht="14.5">
      <c r="A1097" s="39"/>
      <c r="B1097" s="39"/>
      <c r="C1097" s="39"/>
      <c r="D1097" s="39"/>
      <c r="E1097" s="39"/>
      <c r="F1097" s="39"/>
      <c r="G1097" s="39"/>
      <c r="H1097" s="39"/>
      <c r="I1097" s="39"/>
      <c r="J1097" s="39"/>
      <c r="K1097" s="39"/>
      <c r="L1097" s="39"/>
      <c r="M1097" s="39"/>
      <c r="N1097" s="39"/>
      <c r="O1097" s="39"/>
      <c r="P1097" s="39"/>
      <c r="Q1097" s="39"/>
      <c r="R1097" s="39"/>
      <c r="S1097" s="39"/>
      <c r="T1097" s="39"/>
      <c r="U1097" s="39"/>
    </row>
    <row r="1098" spans="1:21" ht="14.5">
      <c r="A1098" s="39"/>
      <c r="B1098" s="39"/>
      <c r="C1098" s="39"/>
      <c r="D1098" s="39"/>
      <c r="E1098" s="39"/>
      <c r="F1098" s="39"/>
      <c r="G1098" s="39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39"/>
      <c r="S1098" s="39"/>
      <c r="T1098" s="39"/>
      <c r="U1098" s="39"/>
    </row>
    <row r="1099" spans="1:21" ht="14.5">
      <c r="A1099" s="39"/>
      <c r="B1099" s="39"/>
      <c r="C1099" s="39"/>
      <c r="D1099" s="39"/>
      <c r="E1099" s="39"/>
      <c r="F1099" s="39"/>
      <c r="G1099" s="39"/>
      <c r="H1099" s="39"/>
      <c r="I1099" s="39"/>
      <c r="J1099" s="39"/>
      <c r="K1099" s="39"/>
      <c r="L1099" s="39"/>
      <c r="M1099" s="39"/>
      <c r="N1099" s="39"/>
      <c r="O1099" s="39"/>
      <c r="P1099" s="39"/>
      <c r="Q1099" s="39"/>
      <c r="R1099" s="39"/>
      <c r="S1099" s="39"/>
      <c r="T1099" s="39"/>
      <c r="U1099" s="39"/>
    </row>
    <row r="1100" spans="1:21" ht="14.5">
      <c r="A1100" s="39"/>
      <c r="B1100" s="39"/>
      <c r="C1100" s="39"/>
      <c r="D1100" s="39"/>
      <c r="E1100" s="39"/>
      <c r="F1100" s="39"/>
      <c r="G1100" s="39"/>
      <c r="H1100" s="39"/>
      <c r="I1100" s="39"/>
      <c r="J1100" s="39"/>
      <c r="K1100" s="39"/>
      <c r="L1100" s="39"/>
      <c r="M1100" s="39"/>
      <c r="N1100" s="39"/>
      <c r="O1100" s="39"/>
      <c r="P1100" s="39"/>
      <c r="Q1100" s="39"/>
      <c r="R1100" s="39"/>
      <c r="S1100" s="39"/>
      <c r="T1100" s="39"/>
      <c r="U1100" s="39"/>
    </row>
    <row r="1101" spans="1:21" ht="14.5">
      <c r="A1101" s="39"/>
      <c r="B1101" s="39"/>
      <c r="C1101" s="39"/>
      <c r="D1101" s="39"/>
      <c r="E1101" s="39"/>
      <c r="F1101" s="39"/>
      <c r="G1101" s="39"/>
      <c r="H1101" s="39"/>
      <c r="I1101" s="39"/>
      <c r="J1101" s="39"/>
      <c r="K1101" s="39"/>
      <c r="L1101" s="39"/>
      <c r="M1101" s="39"/>
      <c r="N1101" s="39"/>
      <c r="O1101" s="39"/>
      <c r="P1101" s="39"/>
      <c r="Q1101" s="39"/>
      <c r="R1101" s="39"/>
      <c r="S1101" s="39"/>
      <c r="T1101" s="39"/>
      <c r="U1101" s="39"/>
    </row>
    <row r="1102" spans="1:21" ht="14.5">
      <c r="A1102" s="39"/>
      <c r="B1102" s="39"/>
      <c r="C1102" s="39"/>
      <c r="D1102" s="39"/>
      <c r="E1102" s="39"/>
      <c r="F1102" s="39"/>
      <c r="G1102" s="39"/>
      <c r="H1102" s="39"/>
      <c r="I1102" s="39"/>
      <c r="J1102" s="39"/>
      <c r="K1102" s="39"/>
      <c r="L1102" s="39"/>
      <c r="M1102" s="39"/>
      <c r="N1102" s="39"/>
      <c r="O1102" s="39"/>
      <c r="P1102" s="39"/>
      <c r="Q1102" s="39"/>
      <c r="R1102" s="39"/>
      <c r="S1102" s="39"/>
      <c r="T1102" s="39"/>
      <c r="U1102" s="39"/>
    </row>
    <row r="1103" spans="1:21" ht="14.5">
      <c r="A1103" s="39"/>
      <c r="B1103" s="39"/>
      <c r="C1103" s="39"/>
      <c r="D1103" s="39"/>
      <c r="E1103" s="39"/>
      <c r="F1103" s="39"/>
      <c r="G1103" s="39"/>
      <c r="H1103" s="39"/>
      <c r="I1103" s="39"/>
      <c r="J1103" s="39"/>
      <c r="K1103" s="39"/>
      <c r="L1103" s="39"/>
      <c r="M1103" s="39"/>
      <c r="N1103" s="39"/>
      <c r="O1103" s="39"/>
      <c r="P1103" s="39"/>
      <c r="Q1103" s="39"/>
      <c r="R1103" s="39"/>
      <c r="S1103" s="39"/>
      <c r="T1103" s="39"/>
      <c r="U1103" s="39"/>
    </row>
    <row r="1104" spans="1:21" ht="14.5">
      <c r="A1104" s="39"/>
      <c r="B1104" s="39"/>
      <c r="C1104" s="39"/>
      <c r="D1104" s="39"/>
      <c r="E1104" s="39"/>
      <c r="F1104" s="39"/>
      <c r="G1104" s="39"/>
      <c r="H1104" s="39"/>
      <c r="I1104" s="39"/>
      <c r="J1104" s="39"/>
      <c r="K1104" s="39"/>
      <c r="L1104" s="39"/>
      <c r="M1104" s="39"/>
      <c r="N1104" s="39"/>
      <c r="O1104" s="39"/>
      <c r="P1104" s="39"/>
      <c r="Q1104" s="39"/>
      <c r="R1104" s="39"/>
      <c r="S1104" s="39"/>
      <c r="T1104" s="39"/>
      <c r="U1104" s="39"/>
    </row>
    <row r="1105" spans="1:21" ht="14.5">
      <c r="A1105" s="39"/>
      <c r="B1105" s="39"/>
      <c r="C1105" s="39"/>
      <c r="D1105" s="39"/>
      <c r="E1105" s="39"/>
      <c r="F1105" s="39"/>
      <c r="G1105" s="39"/>
      <c r="H1105" s="39"/>
      <c r="I1105" s="39"/>
      <c r="J1105" s="39"/>
      <c r="K1105" s="39"/>
      <c r="L1105" s="39"/>
      <c r="M1105" s="39"/>
      <c r="N1105" s="39"/>
      <c r="O1105" s="39"/>
      <c r="P1105" s="39"/>
      <c r="Q1105" s="39"/>
      <c r="R1105" s="39"/>
      <c r="S1105" s="39"/>
      <c r="T1105" s="39"/>
      <c r="U1105" s="39"/>
    </row>
    <row r="1106" spans="1:21" ht="14.5">
      <c r="A1106" s="39"/>
      <c r="B1106" s="39"/>
      <c r="C1106" s="39"/>
      <c r="D1106" s="39"/>
      <c r="E1106" s="39"/>
      <c r="F1106" s="39"/>
      <c r="G1106" s="39"/>
      <c r="H1106" s="39"/>
      <c r="I1106" s="39"/>
      <c r="J1106" s="39"/>
      <c r="K1106" s="39"/>
      <c r="L1106" s="39"/>
      <c r="M1106" s="39"/>
      <c r="N1106" s="39"/>
      <c r="O1106" s="39"/>
      <c r="P1106" s="39"/>
      <c r="Q1106" s="39"/>
      <c r="R1106" s="39"/>
      <c r="S1106" s="39"/>
      <c r="T1106" s="39"/>
      <c r="U1106" s="39"/>
    </row>
    <row r="1107" spans="1:21" ht="14.5">
      <c r="A1107" s="39"/>
      <c r="B1107" s="39"/>
      <c r="C1107" s="39"/>
      <c r="D1107" s="39"/>
      <c r="E1107" s="39"/>
      <c r="F1107" s="39"/>
      <c r="G1107" s="39"/>
      <c r="H1107" s="39"/>
      <c r="I1107" s="39"/>
      <c r="J1107" s="39"/>
      <c r="K1107" s="39"/>
      <c r="L1107" s="39"/>
      <c r="M1107" s="39"/>
      <c r="N1107" s="39"/>
      <c r="O1107" s="39"/>
      <c r="P1107" s="39"/>
      <c r="Q1107" s="39"/>
      <c r="R1107" s="39"/>
      <c r="S1107" s="39"/>
      <c r="T1107" s="39"/>
      <c r="U1107" s="39"/>
    </row>
    <row r="1108" spans="1:21" ht="14.5">
      <c r="A1108" s="39"/>
      <c r="B1108" s="39"/>
      <c r="C1108" s="39"/>
      <c r="D1108" s="39"/>
      <c r="E1108" s="39"/>
      <c r="F1108" s="39"/>
      <c r="G1108" s="39"/>
      <c r="H1108" s="39"/>
      <c r="I1108" s="39"/>
      <c r="J1108" s="39"/>
      <c r="K1108" s="39"/>
      <c r="L1108" s="39"/>
      <c r="M1108" s="39"/>
      <c r="N1108" s="39"/>
      <c r="O1108" s="39"/>
      <c r="P1108" s="39"/>
      <c r="Q1108" s="39"/>
      <c r="R1108" s="39"/>
      <c r="S1108" s="39"/>
      <c r="T1108" s="39"/>
      <c r="U1108" s="39"/>
    </row>
    <row r="1109" spans="1:21" ht="14.5">
      <c r="A1109" s="39"/>
      <c r="B1109" s="39"/>
      <c r="C1109" s="39"/>
      <c r="D1109" s="39"/>
      <c r="E1109" s="39"/>
      <c r="F1109" s="39"/>
      <c r="G1109" s="39"/>
      <c r="H1109" s="39"/>
      <c r="I1109" s="39"/>
      <c r="J1109" s="39"/>
      <c r="K1109" s="39"/>
      <c r="L1109" s="39"/>
      <c r="M1109" s="39"/>
      <c r="N1109" s="39"/>
      <c r="O1109" s="39"/>
      <c r="P1109" s="39"/>
      <c r="Q1109" s="39"/>
      <c r="R1109" s="39"/>
      <c r="S1109" s="39"/>
      <c r="T1109" s="39"/>
      <c r="U1109" s="39"/>
    </row>
    <row r="1110" spans="1:21" ht="14.5">
      <c r="A1110" s="39"/>
      <c r="B1110" s="39"/>
      <c r="C1110" s="39"/>
      <c r="D1110" s="39"/>
      <c r="E1110" s="39"/>
      <c r="F1110" s="39"/>
      <c r="G1110" s="39"/>
      <c r="H1110" s="39"/>
      <c r="I1110" s="39"/>
      <c r="J1110" s="39"/>
      <c r="K1110" s="39"/>
      <c r="L1110" s="39"/>
      <c r="M1110" s="39"/>
      <c r="N1110" s="39"/>
      <c r="O1110" s="39"/>
      <c r="P1110" s="39"/>
      <c r="Q1110" s="39"/>
      <c r="R1110" s="39"/>
      <c r="S1110" s="39"/>
      <c r="T1110" s="39"/>
      <c r="U1110" s="39"/>
    </row>
    <row r="1111" spans="1:21" ht="14.5">
      <c r="A1111" s="39"/>
      <c r="B1111" s="39"/>
      <c r="C1111" s="39"/>
      <c r="D1111" s="39"/>
      <c r="E1111" s="39"/>
      <c r="F1111" s="39"/>
      <c r="G1111" s="39"/>
      <c r="H1111" s="39"/>
      <c r="I1111" s="39"/>
      <c r="J1111" s="39"/>
      <c r="K1111" s="39"/>
      <c r="L1111" s="39"/>
      <c r="M1111" s="39"/>
      <c r="N1111" s="39"/>
      <c r="O1111" s="39"/>
      <c r="P1111" s="39"/>
      <c r="Q1111" s="39"/>
      <c r="R1111" s="39"/>
      <c r="S1111" s="39"/>
      <c r="T1111" s="39"/>
      <c r="U1111" s="39"/>
    </row>
    <row r="1112" spans="1:21" ht="14.5">
      <c r="A1112" s="39"/>
      <c r="B1112" s="39"/>
      <c r="C1112" s="39"/>
      <c r="D1112" s="39"/>
      <c r="E1112" s="39"/>
      <c r="F1112" s="39"/>
      <c r="G1112" s="39"/>
      <c r="H1112" s="39"/>
      <c r="I1112" s="39"/>
      <c r="J1112" s="39"/>
      <c r="K1112" s="39"/>
      <c r="L1112" s="39"/>
      <c r="M1112" s="39"/>
      <c r="N1112" s="39"/>
      <c r="O1112" s="39"/>
      <c r="P1112" s="39"/>
      <c r="Q1112" s="39"/>
      <c r="R1112" s="39"/>
      <c r="S1112" s="39"/>
      <c r="T1112" s="39"/>
      <c r="U1112" s="39"/>
    </row>
    <row r="1113" spans="1:21" ht="14.5">
      <c r="A1113" s="39"/>
      <c r="B1113" s="39"/>
      <c r="C1113" s="39"/>
      <c r="D1113" s="39"/>
      <c r="E1113" s="39"/>
      <c r="F1113" s="39"/>
      <c r="G1113" s="39"/>
      <c r="H1113" s="39"/>
      <c r="I1113" s="39"/>
      <c r="J1113" s="39"/>
      <c r="K1113" s="39"/>
      <c r="L1113" s="39"/>
      <c r="M1113" s="39"/>
      <c r="N1113" s="39"/>
      <c r="O1113" s="39"/>
      <c r="P1113" s="39"/>
      <c r="Q1113" s="39"/>
      <c r="R1113" s="39"/>
      <c r="S1113" s="39"/>
      <c r="T1113" s="39"/>
      <c r="U1113" s="39"/>
    </row>
    <row r="1114" spans="1:21" ht="14.5">
      <c r="A1114" s="39"/>
      <c r="B1114" s="39"/>
      <c r="C1114" s="39"/>
      <c r="D1114" s="39"/>
      <c r="E1114" s="39"/>
      <c r="F1114" s="39"/>
      <c r="G1114" s="39"/>
      <c r="H1114" s="39"/>
      <c r="I1114" s="39"/>
      <c r="J1114" s="39"/>
      <c r="K1114" s="39"/>
      <c r="L1114" s="39"/>
      <c r="M1114" s="39"/>
      <c r="N1114" s="39"/>
      <c r="O1114" s="39"/>
      <c r="P1114" s="39"/>
      <c r="Q1114" s="39"/>
      <c r="R1114" s="39"/>
      <c r="S1114" s="39"/>
      <c r="T1114" s="39"/>
      <c r="U1114" s="39"/>
    </row>
    <row r="1115" spans="1:21" ht="14.5">
      <c r="A1115" s="39"/>
      <c r="B1115" s="39"/>
      <c r="C1115" s="39"/>
      <c r="D1115" s="39"/>
      <c r="E1115" s="39"/>
      <c r="F1115" s="39"/>
      <c r="G1115" s="39"/>
      <c r="H1115" s="39"/>
      <c r="I1115" s="39"/>
      <c r="J1115" s="39"/>
      <c r="K1115" s="39"/>
      <c r="L1115" s="39"/>
      <c r="M1115" s="39"/>
      <c r="N1115" s="39"/>
      <c r="O1115" s="39"/>
      <c r="P1115" s="39"/>
      <c r="Q1115" s="39"/>
      <c r="R1115" s="39"/>
      <c r="S1115" s="39"/>
      <c r="T1115" s="39"/>
      <c r="U1115" s="39"/>
    </row>
    <row r="1116" spans="1:21" ht="14.5">
      <c r="A1116" s="39"/>
      <c r="B1116" s="39"/>
      <c r="C1116" s="39"/>
      <c r="D1116" s="39"/>
      <c r="E1116" s="39"/>
      <c r="F1116" s="39"/>
      <c r="G1116" s="39"/>
      <c r="H1116" s="39"/>
      <c r="I1116" s="39"/>
      <c r="J1116" s="39"/>
      <c r="K1116" s="39"/>
      <c r="L1116" s="39"/>
      <c r="M1116" s="39"/>
      <c r="N1116" s="39"/>
      <c r="O1116" s="39"/>
      <c r="P1116" s="39"/>
      <c r="Q1116" s="39"/>
      <c r="R1116" s="39"/>
      <c r="S1116" s="39"/>
      <c r="T1116" s="39"/>
      <c r="U1116" s="39"/>
    </row>
    <row r="1117" spans="1:21" ht="14.5">
      <c r="A1117" s="39"/>
      <c r="B1117" s="39"/>
      <c r="C1117" s="39"/>
      <c r="D1117" s="39"/>
      <c r="E1117" s="39"/>
      <c r="F1117" s="39"/>
      <c r="G1117" s="39"/>
      <c r="H1117" s="39"/>
      <c r="I1117" s="39"/>
      <c r="J1117" s="39"/>
      <c r="K1117" s="39"/>
      <c r="L1117" s="39"/>
      <c r="M1117" s="39"/>
      <c r="N1117" s="39"/>
      <c r="O1117" s="39"/>
      <c r="P1117" s="39"/>
      <c r="Q1117" s="39"/>
      <c r="R1117" s="39"/>
      <c r="S1117" s="39"/>
      <c r="T1117" s="39"/>
      <c r="U1117" s="39"/>
    </row>
    <row r="1118" spans="1:21" ht="14.5">
      <c r="A1118" s="39"/>
      <c r="B1118" s="39"/>
      <c r="C1118" s="39"/>
      <c r="D1118" s="39"/>
      <c r="E1118" s="39"/>
      <c r="F1118" s="39"/>
      <c r="G1118" s="39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39"/>
      <c r="S1118" s="39"/>
      <c r="T1118" s="39"/>
      <c r="U1118" s="39"/>
    </row>
    <row r="1119" spans="1:21" ht="14.5">
      <c r="A1119" s="39"/>
      <c r="B1119" s="39"/>
      <c r="C1119" s="39"/>
      <c r="D1119" s="39"/>
      <c r="E1119" s="39"/>
      <c r="F1119" s="39"/>
      <c r="G1119" s="39"/>
      <c r="H1119" s="39"/>
      <c r="I1119" s="39"/>
      <c r="J1119" s="39"/>
      <c r="K1119" s="39"/>
      <c r="L1119" s="39"/>
      <c r="M1119" s="39"/>
      <c r="N1119" s="39"/>
      <c r="O1119" s="39"/>
      <c r="P1119" s="39"/>
      <c r="Q1119" s="39"/>
      <c r="R1119" s="39"/>
      <c r="S1119" s="39"/>
      <c r="T1119" s="39"/>
      <c r="U1119" s="39"/>
    </row>
    <row r="1120" spans="1:21" ht="14.5">
      <c r="A1120" s="39"/>
      <c r="B1120" s="39"/>
      <c r="C1120" s="39"/>
      <c r="D1120" s="39"/>
      <c r="E1120" s="39"/>
      <c r="F1120" s="39"/>
      <c r="G1120" s="39"/>
      <c r="H1120" s="39"/>
      <c r="I1120" s="39"/>
      <c r="J1120" s="39"/>
      <c r="K1120" s="39"/>
      <c r="L1120" s="39"/>
      <c r="M1120" s="39"/>
      <c r="N1120" s="39"/>
      <c r="O1120" s="39"/>
      <c r="P1120" s="39"/>
      <c r="Q1120" s="39"/>
      <c r="R1120" s="39"/>
      <c r="S1120" s="39"/>
      <c r="T1120" s="39"/>
      <c r="U1120" s="39"/>
    </row>
    <row r="1121" spans="1:21" ht="14.5">
      <c r="A1121" s="39"/>
      <c r="B1121" s="39"/>
      <c r="C1121" s="39"/>
      <c r="D1121" s="39"/>
      <c r="E1121" s="39"/>
      <c r="F1121" s="39"/>
      <c r="G1121" s="39"/>
      <c r="H1121" s="39"/>
      <c r="I1121" s="39"/>
      <c r="J1121" s="39"/>
      <c r="K1121" s="39"/>
      <c r="L1121" s="39"/>
      <c r="M1121" s="39"/>
      <c r="N1121" s="39"/>
      <c r="O1121" s="39"/>
      <c r="P1121" s="39"/>
      <c r="Q1121" s="39"/>
      <c r="R1121" s="39"/>
      <c r="S1121" s="39"/>
      <c r="T1121" s="39"/>
      <c r="U1121" s="39"/>
    </row>
    <row r="1122" spans="1:21" ht="14.5">
      <c r="A1122" s="39"/>
      <c r="B1122" s="39"/>
      <c r="C1122" s="39"/>
      <c r="D1122" s="39"/>
      <c r="E1122" s="39"/>
      <c r="F1122" s="39"/>
      <c r="G1122" s="39"/>
      <c r="H1122" s="39"/>
      <c r="I1122" s="39"/>
      <c r="J1122" s="39"/>
      <c r="K1122" s="39"/>
      <c r="L1122" s="39"/>
      <c r="M1122" s="39"/>
      <c r="N1122" s="39"/>
      <c r="O1122" s="39"/>
      <c r="P1122" s="39"/>
      <c r="Q1122" s="39"/>
      <c r="R1122" s="39"/>
      <c r="S1122" s="39"/>
      <c r="T1122" s="39"/>
      <c r="U1122" s="39"/>
    </row>
    <row r="1123" spans="1:21" ht="14.5">
      <c r="A1123" s="39"/>
      <c r="B1123" s="39"/>
      <c r="C1123" s="39"/>
      <c r="D1123" s="39"/>
      <c r="E1123" s="39"/>
      <c r="F1123" s="39"/>
      <c r="G1123" s="39"/>
      <c r="H1123" s="39"/>
      <c r="I1123" s="39"/>
      <c r="J1123" s="39"/>
      <c r="K1123" s="39"/>
      <c r="L1123" s="39"/>
      <c r="M1123" s="39"/>
      <c r="N1123" s="39"/>
      <c r="O1123" s="39"/>
      <c r="P1123" s="39"/>
      <c r="Q1123" s="39"/>
      <c r="R1123" s="39"/>
      <c r="S1123" s="39"/>
      <c r="T1123" s="39"/>
      <c r="U1123" s="39"/>
    </row>
    <row r="1124" spans="1:21" ht="14.5">
      <c r="A1124" s="39"/>
      <c r="B1124" s="39"/>
      <c r="C1124" s="39"/>
      <c r="D1124" s="39"/>
      <c r="E1124" s="39"/>
      <c r="F1124" s="39"/>
      <c r="G1124" s="39"/>
      <c r="H1124" s="39"/>
      <c r="I1124" s="39"/>
      <c r="J1124" s="39"/>
      <c r="K1124" s="39"/>
      <c r="L1124" s="39"/>
      <c r="M1124" s="39"/>
      <c r="N1124" s="39"/>
      <c r="O1124" s="39"/>
      <c r="P1124" s="39"/>
      <c r="Q1124" s="39"/>
      <c r="R1124" s="39"/>
      <c r="S1124" s="39"/>
      <c r="T1124" s="39"/>
      <c r="U1124" s="39"/>
    </row>
    <row r="1125" spans="1:21" ht="14.5">
      <c r="A1125" s="39"/>
      <c r="B1125" s="39"/>
      <c r="C1125" s="39"/>
      <c r="D1125" s="39"/>
      <c r="E1125" s="39"/>
      <c r="F1125" s="39"/>
      <c r="G1125" s="39"/>
      <c r="H1125" s="39"/>
      <c r="I1125" s="39"/>
      <c r="J1125" s="39"/>
      <c r="K1125" s="39"/>
      <c r="L1125" s="39"/>
      <c r="M1125" s="39"/>
      <c r="N1125" s="39"/>
      <c r="O1125" s="39"/>
      <c r="P1125" s="39"/>
      <c r="Q1125" s="39"/>
      <c r="R1125" s="39"/>
      <c r="S1125" s="39"/>
      <c r="T1125" s="39"/>
      <c r="U1125" s="39"/>
    </row>
    <row r="1126" spans="1:21" ht="14.5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39"/>
      <c r="R1126" s="39"/>
      <c r="S1126" s="39"/>
      <c r="T1126" s="39"/>
      <c r="U1126" s="39"/>
    </row>
    <row r="1127" spans="1:21" ht="14.5">
      <c r="A1127" s="39"/>
      <c r="B1127" s="39"/>
      <c r="C1127" s="39"/>
      <c r="D1127" s="39"/>
      <c r="E1127" s="39"/>
      <c r="F1127" s="39"/>
      <c r="G1127" s="39"/>
      <c r="H1127" s="39"/>
      <c r="I1127" s="39"/>
      <c r="J1127" s="39"/>
      <c r="K1127" s="39"/>
      <c r="L1127" s="39"/>
      <c r="M1127" s="39"/>
      <c r="N1127" s="39"/>
      <c r="O1127" s="39"/>
      <c r="P1127" s="39"/>
      <c r="Q1127" s="39"/>
      <c r="R1127" s="39"/>
      <c r="S1127" s="39"/>
      <c r="T1127" s="39"/>
      <c r="U1127" s="39"/>
    </row>
    <row r="1128" spans="1:21" ht="14.5">
      <c r="A1128" s="39"/>
      <c r="B1128" s="39"/>
      <c r="C1128" s="39"/>
      <c r="D1128" s="39"/>
      <c r="E1128" s="39"/>
      <c r="F1128" s="39"/>
      <c r="G1128" s="39"/>
      <c r="H1128" s="39"/>
      <c r="I1128" s="39"/>
      <c r="J1128" s="39"/>
      <c r="K1128" s="39"/>
      <c r="L1128" s="39"/>
      <c r="M1128" s="39"/>
      <c r="N1128" s="39"/>
      <c r="O1128" s="39"/>
      <c r="P1128" s="39"/>
      <c r="Q1128" s="39"/>
      <c r="R1128" s="39"/>
      <c r="S1128" s="39"/>
      <c r="T1128" s="39"/>
      <c r="U1128" s="39"/>
    </row>
    <row r="1129" spans="1:21" ht="14.5">
      <c r="A1129" s="39"/>
      <c r="B1129" s="39"/>
      <c r="C1129" s="39"/>
      <c r="D1129" s="39"/>
      <c r="E1129" s="39"/>
      <c r="F1129" s="39"/>
      <c r="G1129" s="39"/>
      <c r="H1129" s="39"/>
      <c r="I1129" s="39"/>
      <c r="J1129" s="39"/>
      <c r="K1129" s="39"/>
      <c r="L1129" s="39"/>
      <c r="M1129" s="39"/>
      <c r="N1129" s="39"/>
      <c r="O1129" s="39"/>
      <c r="P1129" s="39"/>
      <c r="Q1129" s="39"/>
      <c r="R1129" s="39"/>
      <c r="S1129" s="39"/>
      <c r="T1129" s="39"/>
      <c r="U1129" s="39"/>
    </row>
    <row r="1130" spans="1:21" ht="14.5">
      <c r="A1130" s="39"/>
      <c r="B1130" s="39"/>
      <c r="C1130" s="39"/>
      <c r="D1130" s="39"/>
      <c r="E1130" s="39"/>
      <c r="F1130" s="39"/>
      <c r="G1130" s="39"/>
      <c r="H1130" s="39"/>
      <c r="I1130" s="39"/>
      <c r="J1130" s="39"/>
      <c r="K1130" s="39"/>
      <c r="L1130" s="39"/>
      <c r="M1130" s="39"/>
      <c r="N1130" s="39"/>
      <c r="O1130" s="39"/>
      <c r="P1130" s="39"/>
      <c r="Q1130" s="39"/>
      <c r="R1130" s="39"/>
      <c r="S1130" s="39"/>
      <c r="T1130" s="39"/>
      <c r="U1130" s="39"/>
    </row>
    <row r="1131" spans="1:21" ht="14.5">
      <c r="A1131" s="39"/>
      <c r="B1131" s="39"/>
      <c r="C1131" s="39"/>
      <c r="D1131" s="39"/>
      <c r="E1131" s="39"/>
      <c r="F1131" s="39"/>
      <c r="G1131" s="39"/>
      <c r="H1131" s="39"/>
      <c r="I1131" s="39"/>
      <c r="J1131" s="39"/>
      <c r="K1131" s="39"/>
      <c r="L1131" s="39"/>
      <c r="M1131" s="39"/>
      <c r="N1131" s="39"/>
      <c r="O1131" s="39"/>
      <c r="P1131" s="39"/>
      <c r="Q1131" s="39"/>
      <c r="R1131" s="39"/>
      <c r="S1131" s="39"/>
      <c r="T1131" s="39"/>
      <c r="U1131" s="39"/>
    </row>
    <row r="1132" spans="1:21" ht="14.5">
      <c r="A1132" s="39"/>
      <c r="B1132" s="39"/>
      <c r="C1132" s="39"/>
      <c r="D1132" s="39"/>
      <c r="E1132" s="39"/>
      <c r="F1132" s="39"/>
      <c r="G1132" s="39"/>
      <c r="H1132" s="39"/>
      <c r="I1132" s="39"/>
      <c r="J1132" s="39"/>
      <c r="K1132" s="39"/>
      <c r="L1132" s="39"/>
      <c r="M1132" s="39"/>
      <c r="N1132" s="39"/>
      <c r="O1132" s="39"/>
      <c r="P1132" s="39"/>
      <c r="Q1132" s="39"/>
      <c r="R1132" s="39"/>
      <c r="S1132" s="39"/>
      <c r="T1132" s="39"/>
      <c r="U1132" s="39"/>
    </row>
    <row r="1133" spans="1:21" ht="14.5">
      <c r="A1133" s="39"/>
      <c r="B1133" s="39"/>
      <c r="C1133" s="39"/>
      <c r="D1133" s="39"/>
      <c r="E1133" s="39"/>
      <c r="F1133" s="39"/>
      <c r="G1133" s="39"/>
      <c r="H1133" s="39"/>
      <c r="I1133" s="39"/>
      <c r="J1133" s="39"/>
      <c r="K1133" s="39"/>
      <c r="L1133" s="39"/>
      <c r="M1133" s="39"/>
      <c r="N1133" s="39"/>
      <c r="O1133" s="39"/>
      <c r="P1133" s="39"/>
      <c r="Q1133" s="39"/>
      <c r="R1133" s="39"/>
      <c r="S1133" s="39"/>
      <c r="T1133" s="39"/>
      <c r="U1133" s="39"/>
    </row>
    <row r="1134" spans="1:21" ht="14.5">
      <c r="A1134" s="39"/>
      <c r="B1134" s="39"/>
      <c r="C1134" s="39"/>
      <c r="D1134" s="39"/>
      <c r="E1134" s="39"/>
      <c r="F1134" s="39"/>
      <c r="G1134" s="39"/>
      <c r="H1134" s="39"/>
      <c r="I1134" s="39"/>
      <c r="J1134" s="39"/>
      <c r="K1134" s="39"/>
      <c r="L1134" s="39"/>
      <c r="M1134" s="39"/>
      <c r="N1134" s="39"/>
      <c r="O1134" s="39"/>
      <c r="P1134" s="39"/>
      <c r="Q1134" s="39"/>
      <c r="R1134" s="39"/>
      <c r="S1134" s="39"/>
      <c r="T1134" s="39"/>
      <c r="U1134" s="39"/>
    </row>
    <row r="1135" spans="1:21" ht="14.5">
      <c r="A1135" s="39"/>
      <c r="B1135" s="39"/>
      <c r="C1135" s="39"/>
      <c r="D1135" s="39"/>
      <c r="E1135" s="39"/>
      <c r="F1135" s="39"/>
      <c r="G1135" s="39"/>
      <c r="H1135" s="39"/>
      <c r="I1135" s="39"/>
      <c r="J1135" s="39"/>
      <c r="K1135" s="39"/>
      <c r="L1135" s="39"/>
      <c r="M1135" s="39"/>
      <c r="N1135" s="39"/>
      <c r="O1135" s="39"/>
      <c r="P1135" s="39"/>
      <c r="Q1135" s="39"/>
      <c r="R1135" s="39"/>
      <c r="S1135" s="39"/>
      <c r="T1135" s="39"/>
      <c r="U1135" s="39"/>
    </row>
    <row r="1136" spans="1:21" ht="14.5">
      <c r="A1136" s="39"/>
      <c r="B1136" s="39"/>
      <c r="C1136" s="39"/>
      <c r="D1136" s="39"/>
      <c r="E1136" s="39"/>
      <c r="F1136" s="39"/>
      <c r="G1136" s="39"/>
      <c r="H1136" s="39"/>
      <c r="I1136" s="39"/>
      <c r="J1136" s="39"/>
      <c r="K1136" s="39"/>
      <c r="L1136" s="39"/>
      <c r="M1136" s="39"/>
      <c r="N1136" s="39"/>
      <c r="O1136" s="39"/>
      <c r="P1136" s="39"/>
      <c r="Q1136" s="39"/>
      <c r="R1136" s="39"/>
      <c r="S1136" s="39"/>
      <c r="T1136" s="39"/>
      <c r="U1136" s="39"/>
    </row>
    <row r="1137" spans="1:21" ht="14.5">
      <c r="A1137" s="39"/>
      <c r="B1137" s="39"/>
      <c r="C1137" s="39"/>
      <c r="D1137" s="39"/>
      <c r="E1137" s="39"/>
      <c r="F1137" s="39"/>
      <c r="G1137" s="39"/>
      <c r="H1137" s="39"/>
      <c r="I1137" s="39"/>
      <c r="J1137" s="39"/>
      <c r="K1137" s="39"/>
      <c r="L1137" s="39"/>
      <c r="M1137" s="39"/>
      <c r="N1137" s="39"/>
      <c r="O1137" s="39"/>
      <c r="P1137" s="39"/>
      <c r="Q1137" s="39"/>
      <c r="R1137" s="39"/>
      <c r="S1137" s="39"/>
      <c r="T1137" s="39"/>
      <c r="U1137" s="39"/>
    </row>
    <row r="1138" spans="1:21" ht="14.5">
      <c r="A1138" s="39"/>
      <c r="B1138" s="39"/>
      <c r="C1138" s="39"/>
      <c r="D1138" s="39"/>
      <c r="E1138" s="39"/>
      <c r="F1138" s="39"/>
      <c r="G1138" s="39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39"/>
      <c r="S1138" s="39"/>
      <c r="T1138" s="39"/>
      <c r="U1138" s="39"/>
    </row>
    <row r="1139" spans="1:21" ht="14.5">
      <c r="A1139" s="39"/>
      <c r="B1139" s="39"/>
      <c r="C1139" s="39"/>
      <c r="D1139" s="39"/>
      <c r="E1139" s="39"/>
      <c r="F1139" s="39"/>
      <c r="G1139" s="39"/>
      <c r="H1139" s="39"/>
      <c r="I1139" s="39"/>
      <c r="J1139" s="39"/>
      <c r="K1139" s="39"/>
      <c r="L1139" s="39"/>
      <c r="M1139" s="39"/>
      <c r="N1139" s="39"/>
      <c r="O1139" s="39"/>
      <c r="P1139" s="39"/>
      <c r="Q1139" s="39"/>
      <c r="R1139" s="39"/>
      <c r="S1139" s="39"/>
      <c r="T1139" s="39"/>
      <c r="U1139" s="39"/>
    </row>
    <row r="1140" spans="1:21" ht="14.5">
      <c r="A1140" s="39"/>
      <c r="B1140" s="39"/>
      <c r="C1140" s="39"/>
      <c r="D1140" s="39"/>
      <c r="E1140" s="39"/>
      <c r="F1140" s="39"/>
      <c r="G1140" s="39"/>
      <c r="H1140" s="39"/>
      <c r="I1140" s="39"/>
      <c r="J1140" s="39"/>
      <c r="K1140" s="39"/>
      <c r="L1140" s="39"/>
      <c r="M1140" s="39"/>
      <c r="N1140" s="39"/>
      <c r="O1140" s="39"/>
      <c r="P1140" s="39"/>
      <c r="Q1140" s="39"/>
      <c r="R1140" s="39"/>
      <c r="S1140" s="39"/>
      <c r="T1140" s="39"/>
      <c r="U1140" s="39"/>
    </row>
    <row r="1141" spans="1:21" ht="14.5">
      <c r="A1141" s="39"/>
      <c r="B1141" s="39"/>
      <c r="C1141" s="39"/>
      <c r="D1141" s="39"/>
      <c r="E1141" s="39"/>
      <c r="F1141" s="39"/>
      <c r="G1141" s="39"/>
      <c r="H1141" s="39"/>
      <c r="I1141" s="39"/>
      <c r="J1141" s="39"/>
      <c r="K1141" s="39"/>
      <c r="L1141" s="39"/>
      <c r="M1141" s="39"/>
      <c r="N1141" s="39"/>
      <c r="O1141" s="39"/>
      <c r="P1141" s="39"/>
      <c r="Q1141" s="39"/>
      <c r="R1141" s="39"/>
      <c r="S1141" s="39"/>
      <c r="T1141" s="39"/>
      <c r="U1141" s="39"/>
    </row>
    <row r="1142" spans="1:21" ht="14.5">
      <c r="A1142" s="39"/>
      <c r="B1142" s="39"/>
      <c r="C1142" s="39"/>
      <c r="D1142" s="39"/>
      <c r="E1142" s="39"/>
      <c r="F1142" s="39"/>
      <c r="G1142" s="39"/>
      <c r="H1142" s="39"/>
      <c r="I1142" s="39"/>
      <c r="J1142" s="39"/>
      <c r="K1142" s="39"/>
      <c r="L1142" s="39"/>
      <c r="M1142" s="39"/>
      <c r="N1142" s="39"/>
      <c r="O1142" s="39"/>
      <c r="P1142" s="39"/>
      <c r="Q1142" s="39"/>
      <c r="R1142" s="39"/>
      <c r="S1142" s="39"/>
      <c r="T1142" s="39"/>
      <c r="U1142" s="39"/>
    </row>
    <row r="1143" spans="1:21" ht="14.5">
      <c r="A1143" s="39"/>
      <c r="B1143" s="39"/>
      <c r="C1143" s="39"/>
      <c r="D1143" s="39"/>
      <c r="E1143" s="39"/>
      <c r="F1143" s="39"/>
      <c r="G1143" s="39"/>
      <c r="H1143" s="39"/>
      <c r="I1143" s="39"/>
      <c r="J1143" s="39"/>
      <c r="K1143" s="39"/>
      <c r="L1143" s="39"/>
      <c r="M1143" s="39"/>
      <c r="N1143" s="39"/>
      <c r="O1143" s="39"/>
      <c r="P1143" s="39"/>
      <c r="Q1143" s="39"/>
      <c r="R1143" s="39"/>
      <c r="S1143" s="39"/>
      <c r="T1143" s="39"/>
      <c r="U1143" s="39"/>
    </row>
    <row r="1144" spans="1:21" ht="14.5">
      <c r="A1144" s="39"/>
      <c r="B1144" s="39"/>
      <c r="C1144" s="39"/>
      <c r="D1144" s="39"/>
      <c r="E1144" s="39"/>
      <c r="F1144" s="39"/>
      <c r="G1144" s="39"/>
      <c r="H1144" s="39"/>
      <c r="I1144" s="39"/>
      <c r="J1144" s="39"/>
      <c r="K1144" s="39"/>
      <c r="L1144" s="39"/>
      <c r="M1144" s="39"/>
      <c r="N1144" s="39"/>
      <c r="O1144" s="39"/>
      <c r="P1144" s="39"/>
      <c r="Q1144" s="39"/>
      <c r="R1144" s="39"/>
      <c r="S1144" s="39"/>
      <c r="T1144" s="39"/>
      <c r="U1144" s="39"/>
    </row>
    <row r="1145" spans="1:21" ht="14.5">
      <c r="A1145" s="39"/>
      <c r="B1145" s="39"/>
      <c r="C1145" s="39"/>
      <c r="D1145" s="39"/>
      <c r="E1145" s="39"/>
      <c r="F1145" s="39"/>
      <c r="G1145" s="39"/>
      <c r="H1145" s="39"/>
      <c r="I1145" s="39"/>
      <c r="J1145" s="39"/>
      <c r="K1145" s="39"/>
      <c r="L1145" s="39"/>
      <c r="M1145" s="39"/>
      <c r="N1145" s="39"/>
      <c r="O1145" s="39"/>
      <c r="P1145" s="39"/>
      <c r="Q1145" s="39"/>
      <c r="R1145" s="39"/>
      <c r="S1145" s="39"/>
      <c r="T1145" s="39"/>
      <c r="U1145" s="39"/>
    </row>
    <row r="1146" spans="1:21" ht="14.5">
      <c r="A1146" s="39"/>
      <c r="B1146" s="39"/>
      <c r="C1146" s="39"/>
      <c r="D1146" s="39"/>
      <c r="E1146" s="39"/>
      <c r="F1146" s="39"/>
      <c r="G1146" s="39"/>
      <c r="H1146" s="39"/>
      <c r="I1146" s="39"/>
      <c r="J1146" s="39"/>
      <c r="K1146" s="39"/>
      <c r="L1146" s="39"/>
      <c r="M1146" s="39"/>
      <c r="N1146" s="39"/>
      <c r="O1146" s="39"/>
      <c r="P1146" s="39"/>
      <c r="Q1146" s="39"/>
      <c r="R1146" s="39"/>
      <c r="S1146" s="39"/>
      <c r="T1146" s="39"/>
      <c r="U1146" s="39"/>
    </row>
    <row r="1147" spans="1:21" ht="14.5">
      <c r="A1147" s="39"/>
      <c r="B1147" s="39"/>
      <c r="C1147" s="39"/>
      <c r="D1147" s="39"/>
      <c r="E1147" s="39"/>
      <c r="F1147" s="39"/>
      <c r="G1147" s="39"/>
      <c r="H1147" s="39"/>
      <c r="I1147" s="39"/>
      <c r="J1147" s="39"/>
      <c r="K1147" s="39"/>
      <c r="L1147" s="39"/>
      <c r="M1147" s="39"/>
      <c r="N1147" s="39"/>
      <c r="O1147" s="39"/>
      <c r="P1147" s="39"/>
      <c r="Q1147" s="39"/>
      <c r="R1147" s="39"/>
      <c r="S1147" s="39"/>
      <c r="T1147" s="39"/>
      <c r="U1147" s="39"/>
    </row>
    <row r="1148" spans="1:21" ht="14.5">
      <c r="A1148" s="39"/>
      <c r="B1148" s="39"/>
      <c r="C1148" s="39"/>
      <c r="D1148" s="39"/>
      <c r="E1148" s="39"/>
      <c r="F1148" s="39"/>
      <c r="G1148" s="39"/>
      <c r="H1148" s="39"/>
      <c r="I1148" s="39"/>
      <c r="J1148" s="39"/>
      <c r="K1148" s="39"/>
      <c r="L1148" s="39"/>
      <c r="M1148" s="39"/>
      <c r="N1148" s="39"/>
      <c r="O1148" s="39"/>
      <c r="P1148" s="39"/>
      <c r="Q1148" s="39"/>
      <c r="R1148" s="39"/>
      <c r="S1148" s="39"/>
      <c r="T1148" s="39"/>
      <c r="U1148" s="39"/>
    </row>
    <row r="1149" spans="1:21" ht="14.5">
      <c r="A1149" s="39"/>
      <c r="B1149" s="39"/>
      <c r="C1149" s="39"/>
      <c r="D1149" s="39"/>
      <c r="E1149" s="39"/>
      <c r="F1149" s="39"/>
      <c r="G1149" s="39"/>
      <c r="H1149" s="39"/>
      <c r="I1149" s="39"/>
      <c r="J1149" s="39"/>
      <c r="K1149" s="39"/>
      <c r="L1149" s="39"/>
      <c r="M1149" s="39"/>
      <c r="N1149" s="39"/>
      <c r="O1149" s="39"/>
      <c r="P1149" s="39"/>
      <c r="Q1149" s="39"/>
      <c r="R1149" s="39"/>
      <c r="S1149" s="39"/>
      <c r="T1149" s="39"/>
      <c r="U1149" s="39"/>
    </row>
    <row r="1150" spans="1:21" ht="14.5">
      <c r="A1150" s="39"/>
      <c r="B1150" s="39"/>
      <c r="C1150" s="39"/>
      <c r="D1150" s="39"/>
      <c r="E1150" s="39"/>
      <c r="F1150" s="39"/>
      <c r="G1150" s="39"/>
      <c r="H1150" s="39"/>
      <c r="I1150" s="39"/>
      <c r="J1150" s="39"/>
      <c r="K1150" s="39"/>
      <c r="L1150" s="39"/>
      <c r="M1150" s="39"/>
      <c r="N1150" s="39"/>
      <c r="O1150" s="39"/>
      <c r="P1150" s="39"/>
      <c r="Q1150" s="39"/>
      <c r="R1150" s="39"/>
      <c r="S1150" s="39"/>
      <c r="T1150" s="39"/>
      <c r="U1150" s="39"/>
    </row>
    <row r="1151" spans="1:21" ht="14.5">
      <c r="A1151" s="39"/>
      <c r="B1151" s="39"/>
      <c r="C1151" s="39"/>
      <c r="D1151" s="39"/>
      <c r="E1151" s="39"/>
      <c r="F1151" s="39"/>
      <c r="G1151" s="39"/>
      <c r="H1151" s="39"/>
      <c r="I1151" s="39"/>
      <c r="J1151" s="39"/>
      <c r="K1151" s="39"/>
      <c r="L1151" s="39"/>
      <c r="M1151" s="39"/>
      <c r="N1151" s="39"/>
      <c r="O1151" s="39"/>
      <c r="P1151" s="39"/>
      <c r="Q1151" s="39"/>
      <c r="R1151" s="39"/>
      <c r="S1151" s="39"/>
      <c r="T1151" s="39"/>
      <c r="U1151" s="39"/>
    </row>
    <row r="1152" spans="1:21" ht="14.5">
      <c r="A1152" s="39"/>
      <c r="B1152" s="39"/>
      <c r="C1152" s="39"/>
      <c r="D1152" s="39"/>
      <c r="E1152" s="39"/>
      <c r="F1152" s="39"/>
      <c r="G1152" s="39"/>
      <c r="H1152" s="39"/>
      <c r="I1152" s="39"/>
      <c r="J1152" s="39"/>
      <c r="K1152" s="39"/>
      <c r="L1152" s="39"/>
      <c r="M1152" s="39"/>
      <c r="N1152" s="39"/>
      <c r="O1152" s="39"/>
      <c r="P1152" s="39"/>
      <c r="Q1152" s="39"/>
      <c r="R1152" s="39"/>
      <c r="S1152" s="39"/>
      <c r="T1152" s="39"/>
      <c r="U1152" s="39"/>
    </row>
    <row r="1153" spans="1:21" ht="14.5">
      <c r="A1153" s="39"/>
      <c r="B1153" s="39"/>
      <c r="C1153" s="39"/>
      <c r="D1153" s="39"/>
      <c r="E1153" s="39"/>
      <c r="F1153" s="39"/>
      <c r="G1153" s="39"/>
      <c r="H1153" s="39"/>
      <c r="I1153" s="39"/>
      <c r="J1153" s="39"/>
      <c r="K1153" s="39"/>
      <c r="L1153" s="39"/>
      <c r="M1153" s="39"/>
      <c r="N1153" s="39"/>
      <c r="O1153" s="39"/>
      <c r="P1153" s="39"/>
      <c r="Q1153" s="39"/>
      <c r="R1153" s="39"/>
      <c r="S1153" s="39"/>
      <c r="T1153" s="39"/>
      <c r="U1153" s="39"/>
    </row>
    <row r="1154" spans="1:21" ht="14.5">
      <c r="A1154" s="39"/>
      <c r="B1154" s="39"/>
      <c r="C1154" s="39"/>
      <c r="D1154" s="39"/>
      <c r="E1154" s="39"/>
      <c r="F1154" s="39"/>
      <c r="G1154" s="39"/>
      <c r="H1154" s="39"/>
      <c r="I1154" s="39"/>
      <c r="J1154" s="39"/>
      <c r="K1154" s="39"/>
      <c r="L1154" s="39"/>
      <c r="M1154" s="39"/>
      <c r="N1154" s="39"/>
      <c r="O1154" s="39"/>
      <c r="P1154" s="39"/>
      <c r="Q1154" s="39"/>
      <c r="R1154" s="39"/>
      <c r="S1154" s="39"/>
      <c r="T1154" s="39"/>
      <c r="U1154" s="39"/>
    </row>
    <row r="1155" spans="1:21" ht="14.5">
      <c r="A1155" s="39"/>
      <c r="B1155" s="39"/>
      <c r="C1155" s="39"/>
      <c r="D1155" s="39"/>
      <c r="E1155" s="39"/>
      <c r="F1155" s="39"/>
      <c r="G1155" s="39"/>
      <c r="H1155" s="39"/>
      <c r="I1155" s="39"/>
      <c r="J1155" s="39"/>
      <c r="K1155" s="39"/>
      <c r="L1155" s="39"/>
      <c r="M1155" s="39"/>
      <c r="N1155" s="39"/>
      <c r="O1155" s="39"/>
      <c r="P1155" s="39"/>
      <c r="Q1155" s="39"/>
      <c r="R1155" s="39"/>
      <c r="S1155" s="39"/>
      <c r="T1155" s="39"/>
      <c r="U1155" s="39"/>
    </row>
    <row r="1156" spans="1:21" ht="14.5">
      <c r="A1156" s="39"/>
      <c r="B1156" s="39"/>
      <c r="C1156" s="39"/>
      <c r="D1156" s="39"/>
      <c r="E1156" s="39"/>
      <c r="F1156" s="39"/>
      <c r="G1156" s="39"/>
      <c r="H1156" s="39"/>
      <c r="I1156" s="39"/>
      <c r="J1156" s="39"/>
      <c r="K1156" s="39"/>
      <c r="L1156" s="39"/>
      <c r="M1156" s="39"/>
      <c r="N1156" s="39"/>
      <c r="O1156" s="39"/>
      <c r="P1156" s="39"/>
      <c r="Q1156" s="39"/>
      <c r="R1156" s="39"/>
      <c r="S1156" s="39"/>
      <c r="T1156" s="39"/>
      <c r="U1156" s="39"/>
    </row>
    <row r="1157" spans="1:21" ht="14.5">
      <c r="A1157" s="39"/>
      <c r="B1157" s="39"/>
      <c r="C1157" s="39"/>
      <c r="D1157" s="39"/>
      <c r="E1157" s="39"/>
      <c r="F1157" s="39"/>
      <c r="G1157" s="39"/>
      <c r="H1157" s="39"/>
      <c r="I1157" s="39"/>
      <c r="J1157" s="39"/>
      <c r="K1157" s="39"/>
      <c r="L1157" s="39"/>
      <c r="M1157" s="39"/>
      <c r="N1157" s="39"/>
      <c r="O1157" s="39"/>
      <c r="P1157" s="39"/>
      <c r="Q1157" s="39"/>
      <c r="R1157" s="39"/>
      <c r="S1157" s="39"/>
      <c r="T1157" s="39"/>
      <c r="U1157" s="39"/>
    </row>
    <row r="1158" spans="1:21" ht="14.5">
      <c r="A1158" s="39"/>
      <c r="B1158" s="39"/>
      <c r="C1158" s="39"/>
      <c r="D1158" s="39"/>
      <c r="E1158" s="39"/>
      <c r="F1158" s="39"/>
      <c r="G1158" s="39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39"/>
      <c r="S1158" s="39"/>
      <c r="T1158" s="39"/>
      <c r="U1158" s="39"/>
    </row>
    <row r="1159" spans="1:21" ht="14.5">
      <c r="A1159" s="39"/>
      <c r="B1159" s="39"/>
      <c r="C1159" s="39"/>
      <c r="D1159" s="39"/>
      <c r="E1159" s="39"/>
      <c r="F1159" s="39"/>
      <c r="G1159" s="39"/>
      <c r="H1159" s="39"/>
      <c r="I1159" s="39"/>
      <c r="J1159" s="39"/>
      <c r="K1159" s="39"/>
      <c r="L1159" s="39"/>
      <c r="M1159" s="39"/>
      <c r="N1159" s="39"/>
      <c r="O1159" s="39"/>
      <c r="P1159" s="39"/>
      <c r="Q1159" s="39"/>
      <c r="R1159" s="39"/>
      <c r="S1159" s="39"/>
      <c r="T1159" s="39"/>
      <c r="U1159" s="39"/>
    </row>
    <row r="1160" spans="1:21" ht="14.5">
      <c r="A1160" s="39"/>
      <c r="B1160" s="39"/>
      <c r="C1160" s="39"/>
      <c r="D1160" s="39"/>
      <c r="E1160" s="39"/>
      <c r="F1160" s="39"/>
      <c r="G1160" s="39"/>
      <c r="H1160" s="39"/>
      <c r="I1160" s="39"/>
      <c r="J1160" s="39"/>
      <c r="K1160" s="39"/>
      <c r="L1160" s="39"/>
      <c r="M1160" s="39"/>
      <c r="N1160" s="39"/>
      <c r="O1160" s="39"/>
      <c r="P1160" s="39"/>
      <c r="Q1160" s="39"/>
      <c r="R1160" s="39"/>
      <c r="S1160" s="39"/>
      <c r="T1160" s="39"/>
      <c r="U1160" s="39"/>
    </row>
    <row r="1161" spans="1:21" ht="14.5">
      <c r="A1161" s="39"/>
      <c r="B1161" s="39"/>
      <c r="C1161" s="39"/>
      <c r="D1161" s="39"/>
      <c r="E1161" s="39"/>
      <c r="F1161" s="39"/>
      <c r="G1161" s="39"/>
      <c r="H1161" s="39"/>
      <c r="I1161" s="39"/>
      <c r="J1161" s="39"/>
      <c r="K1161" s="39"/>
      <c r="L1161" s="39"/>
      <c r="M1161" s="39"/>
      <c r="N1161" s="39"/>
      <c r="O1161" s="39"/>
      <c r="P1161" s="39"/>
      <c r="Q1161" s="39"/>
      <c r="R1161" s="39"/>
      <c r="S1161" s="39"/>
      <c r="T1161" s="39"/>
      <c r="U1161" s="39"/>
    </row>
    <row r="1162" spans="1:21" ht="14.5">
      <c r="A1162" s="39"/>
      <c r="B1162" s="39"/>
      <c r="C1162" s="39"/>
      <c r="D1162" s="39"/>
      <c r="E1162" s="39"/>
      <c r="F1162" s="39"/>
      <c r="G1162" s="39"/>
      <c r="H1162" s="39"/>
      <c r="I1162" s="39"/>
      <c r="J1162" s="39"/>
      <c r="K1162" s="39"/>
      <c r="L1162" s="39"/>
      <c r="M1162" s="39"/>
      <c r="N1162" s="39"/>
      <c r="O1162" s="39"/>
      <c r="P1162" s="39"/>
      <c r="Q1162" s="39"/>
      <c r="R1162" s="39"/>
      <c r="S1162" s="39"/>
      <c r="T1162" s="39"/>
      <c r="U1162" s="39"/>
    </row>
    <row r="1163" spans="1:21" ht="14.5">
      <c r="A1163" s="39"/>
      <c r="B1163" s="39"/>
      <c r="C1163" s="39"/>
      <c r="D1163" s="39"/>
      <c r="E1163" s="39"/>
      <c r="F1163" s="39"/>
      <c r="G1163" s="39"/>
      <c r="H1163" s="39"/>
      <c r="I1163" s="39"/>
      <c r="J1163" s="39"/>
      <c r="K1163" s="39"/>
      <c r="L1163" s="39"/>
      <c r="M1163" s="39"/>
      <c r="N1163" s="39"/>
      <c r="O1163" s="39"/>
      <c r="P1163" s="39"/>
      <c r="Q1163" s="39"/>
      <c r="R1163" s="39"/>
      <c r="S1163" s="39"/>
      <c r="T1163" s="39"/>
      <c r="U1163" s="39"/>
    </row>
    <row r="1164" spans="1:21" ht="14.5">
      <c r="A1164" s="39"/>
      <c r="B1164" s="39"/>
      <c r="C1164" s="39"/>
      <c r="D1164" s="39"/>
      <c r="E1164" s="39"/>
      <c r="F1164" s="39"/>
      <c r="G1164" s="39"/>
      <c r="H1164" s="39"/>
      <c r="I1164" s="39"/>
      <c r="J1164" s="39"/>
      <c r="K1164" s="39"/>
      <c r="L1164" s="39"/>
      <c r="M1164" s="39"/>
      <c r="N1164" s="39"/>
      <c r="O1164" s="39"/>
      <c r="P1164" s="39"/>
      <c r="Q1164" s="39"/>
      <c r="R1164" s="39"/>
      <c r="S1164" s="39"/>
      <c r="T1164" s="39"/>
      <c r="U1164" s="39"/>
    </row>
    <row r="1165" spans="1:21" ht="14.5">
      <c r="A1165" s="39"/>
      <c r="B1165" s="39"/>
      <c r="C1165" s="39"/>
      <c r="D1165" s="39"/>
      <c r="E1165" s="39"/>
      <c r="F1165" s="39"/>
      <c r="G1165" s="39"/>
      <c r="H1165" s="39"/>
      <c r="I1165" s="39"/>
      <c r="J1165" s="39"/>
      <c r="K1165" s="39"/>
      <c r="L1165" s="39"/>
      <c r="M1165" s="39"/>
      <c r="N1165" s="39"/>
      <c r="O1165" s="39"/>
      <c r="P1165" s="39"/>
      <c r="Q1165" s="39"/>
      <c r="R1165" s="39"/>
      <c r="S1165" s="39"/>
      <c r="T1165" s="39"/>
      <c r="U1165" s="39"/>
    </row>
    <row r="1166" spans="1:21" ht="14.5">
      <c r="A1166" s="39"/>
      <c r="B1166" s="39"/>
      <c r="C1166" s="39"/>
      <c r="D1166" s="39"/>
      <c r="E1166" s="39"/>
      <c r="F1166" s="39"/>
      <c r="G1166" s="39"/>
      <c r="H1166" s="39"/>
      <c r="I1166" s="39"/>
      <c r="J1166" s="39"/>
      <c r="K1166" s="39"/>
      <c r="L1166" s="39"/>
      <c r="M1166" s="39"/>
      <c r="N1166" s="39"/>
      <c r="O1166" s="39"/>
      <c r="P1166" s="39"/>
      <c r="Q1166" s="39"/>
      <c r="R1166" s="39"/>
      <c r="S1166" s="39"/>
      <c r="T1166" s="39"/>
      <c r="U1166" s="39"/>
    </row>
    <row r="1167" spans="1:21" ht="14.5">
      <c r="A1167" s="39"/>
      <c r="B1167" s="39"/>
      <c r="C1167" s="39"/>
      <c r="D1167" s="39"/>
      <c r="E1167" s="39"/>
      <c r="F1167" s="39"/>
      <c r="G1167" s="39"/>
      <c r="H1167" s="39"/>
      <c r="I1167" s="39"/>
      <c r="J1167" s="39"/>
      <c r="K1167" s="39"/>
      <c r="L1167" s="39"/>
      <c r="M1167" s="39"/>
      <c r="N1167" s="39"/>
      <c r="O1167" s="39"/>
      <c r="P1167" s="39"/>
      <c r="Q1167" s="39"/>
      <c r="R1167" s="39"/>
      <c r="S1167" s="39"/>
      <c r="T1167" s="39"/>
      <c r="U1167" s="39"/>
    </row>
    <row r="1168" spans="1:21" ht="14.5">
      <c r="A1168" s="39"/>
      <c r="B1168" s="39"/>
      <c r="C1168" s="39"/>
      <c r="D1168" s="39"/>
      <c r="E1168" s="39"/>
      <c r="F1168" s="39"/>
      <c r="G1168" s="39"/>
      <c r="H1168" s="39"/>
      <c r="I1168" s="39"/>
      <c r="J1168" s="39"/>
      <c r="K1168" s="39"/>
      <c r="L1168" s="39"/>
      <c r="M1168" s="39"/>
      <c r="N1168" s="39"/>
      <c r="O1168" s="39"/>
      <c r="P1168" s="39"/>
      <c r="Q1168" s="39"/>
      <c r="R1168" s="39"/>
      <c r="S1168" s="39"/>
      <c r="T1168" s="39"/>
      <c r="U1168" s="39"/>
    </row>
    <row r="1169" spans="1:21" ht="14.5">
      <c r="A1169" s="39"/>
      <c r="B1169" s="39"/>
      <c r="C1169" s="39"/>
      <c r="D1169" s="39"/>
      <c r="E1169" s="39"/>
      <c r="F1169" s="39"/>
      <c r="G1169" s="39"/>
      <c r="H1169" s="39"/>
      <c r="I1169" s="39"/>
      <c r="J1169" s="39"/>
      <c r="K1169" s="39"/>
      <c r="L1169" s="39"/>
      <c r="M1169" s="39"/>
      <c r="N1169" s="39"/>
      <c r="O1169" s="39"/>
      <c r="P1169" s="39"/>
      <c r="Q1169" s="39"/>
      <c r="R1169" s="39"/>
      <c r="S1169" s="39"/>
      <c r="T1169" s="39"/>
      <c r="U1169" s="39"/>
    </row>
    <row r="1170" spans="1:21" ht="14.5">
      <c r="A1170" s="39"/>
      <c r="B1170" s="39"/>
      <c r="C1170" s="39"/>
      <c r="D1170" s="39"/>
      <c r="E1170" s="39"/>
      <c r="F1170" s="39"/>
      <c r="G1170" s="39"/>
      <c r="H1170" s="39"/>
      <c r="I1170" s="39"/>
      <c r="J1170" s="39"/>
      <c r="K1170" s="39"/>
      <c r="L1170" s="39"/>
      <c r="M1170" s="39"/>
      <c r="N1170" s="39"/>
      <c r="O1170" s="39"/>
      <c r="P1170" s="39"/>
      <c r="Q1170" s="39"/>
      <c r="R1170" s="39"/>
      <c r="S1170" s="39"/>
      <c r="T1170" s="39"/>
      <c r="U1170" s="39"/>
    </row>
    <row r="1171" spans="1:21" ht="14.5">
      <c r="A1171" s="39"/>
      <c r="B1171" s="39"/>
      <c r="C1171" s="39"/>
      <c r="D1171" s="39"/>
      <c r="E1171" s="39"/>
      <c r="F1171" s="39"/>
      <c r="G1171" s="39"/>
      <c r="H1171" s="39"/>
      <c r="I1171" s="39"/>
      <c r="J1171" s="39"/>
      <c r="K1171" s="39"/>
      <c r="L1171" s="39"/>
      <c r="M1171" s="39"/>
      <c r="N1171" s="39"/>
      <c r="O1171" s="39"/>
      <c r="P1171" s="39"/>
      <c r="Q1171" s="39"/>
      <c r="R1171" s="39"/>
      <c r="S1171" s="39"/>
      <c r="T1171" s="39"/>
      <c r="U1171" s="39"/>
    </row>
    <row r="1172" spans="1:21" ht="14.5">
      <c r="A1172" s="39"/>
      <c r="B1172" s="39"/>
      <c r="C1172" s="39"/>
      <c r="D1172" s="39"/>
      <c r="E1172" s="39"/>
      <c r="F1172" s="39"/>
      <c r="G1172" s="39"/>
      <c r="H1172" s="39"/>
      <c r="I1172" s="39"/>
      <c r="J1172" s="39"/>
      <c r="K1172" s="39"/>
      <c r="L1172" s="39"/>
      <c r="M1172" s="39"/>
      <c r="N1172" s="39"/>
      <c r="O1172" s="39"/>
      <c r="P1172" s="39"/>
      <c r="Q1172" s="39"/>
      <c r="R1172" s="39"/>
      <c r="S1172" s="39"/>
      <c r="T1172" s="39"/>
      <c r="U1172" s="39"/>
    </row>
    <row r="1173" spans="1:21" ht="14.5">
      <c r="A1173" s="39"/>
      <c r="B1173" s="39"/>
      <c r="C1173" s="39"/>
      <c r="D1173" s="39"/>
      <c r="E1173" s="39"/>
      <c r="F1173" s="39"/>
      <c r="G1173" s="39"/>
      <c r="H1173" s="39"/>
      <c r="I1173" s="39"/>
      <c r="J1173" s="39"/>
      <c r="K1173" s="39"/>
      <c r="L1173" s="39"/>
      <c r="M1173" s="39"/>
      <c r="N1173" s="39"/>
      <c r="O1173" s="39"/>
      <c r="P1173" s="39"/>
      <c r="Q1173" s="39"/>
      <c r="R1173" s="39"/>
      <c r="S1173" s="39"/>
      <c r="T1173" s="39"/>
      <c r="U1173" s="39"/>
    </row>
    <row r="1174" spans="1:21" ht="14.5">
      <c r="A1174" s="39"/>
      <c r="B1174" s="39"/>
      <c r="C1174" s="39"/>
      <c r="D1174" s="39"/>
      <c r="E1174" s="39"/>
      <c r="F1174" s="39"/>
      <c r="G1174" s="39"/>
      <c r="H1174" s="39"/>
      <c r="I1174" s="39"/>
      <c r="J1174" s="39"/>
      <c r="K1174" s="39"/>
      <c r="L1174" s="39"/>
      <c r="M1174" s="39"/>
      <c r="N1174" s="39"/>
      <c r="O1174" s="39"/>
      <c r="P1174" s="39"/>
      <c r="Q1174" s="39"/>
      <c r="R1174" s="39"/>
      <c r="S1174" s="39"/>
      <c r="T1174" s="39"/>
      <c r="U1174" s="39"/>
    </row>
    <row r="1175" spans="1:21" ht="14.5">
      <c r="A1175" s="39"/>
      <c r="B1175" s="39"/>
      <c r="C1175" s="39"/>
      <c r="D1175" s="39"/>
      <c r="E1175" s="39"/>
      <c r="F1175" s="39"/>
      <c r="G1175" s="39"/>
      <c r="H1175" s="39"/>
      <c r="I1175" s="39"/>
      <c r="J1175" s="39"/>
      <c r="K1175" s="39"/>
      <c r="L1175" s="39"/>
      <c r="M1175" s="39"/>
      <c r="N1175" s="39"/>
      <c r="O1175" s="39"/>
      <c r="P1175" s="39"/>
      <c r="Q1175" s="39"/>
      <c r="R1175" s="39"/>
      <c r="S1175" s="39"/>
      <c r="T1175" s="39"/>
      <c r="U1175" s="39"/>
    </row>
    <row r="1176" spans="1:21" ht="14.5">
      <c r="A1176" s="39"/>
      <c r="B1176" s="39"/>
      <c r="C1176" s="39"/>
      <c r="D1176" s="39"/>
      <c r="E1176" s="39"/>
      <c r="F1176" s="39"/>
      <c r="G1176" s="39"/>
      <c r="H1176" s="39"/>
      <c r="I1176" s="39"/>
      <c r="J1176" s="39"/>
      <c r="K1176" s="39"/>
      <c r="L1176" s="39"/>
      <c r="M1176" s="39"/>
      <c r="N1176" s="39"/>
      <c r="O1176" s="39"/>
      <c r="P1176" s="39"/>
      <c r="Q1176" s="39"/>
      <c r="R1176" s="39"/>
      <c r="S1176" s="39"/>
      <c r="T1176" s="39"/>
      <c r="U1176" s="39"/>
    </row>
    <row r="1177" spans="1:21" ht="14.5">
      <c r="A1177" s="39"/>
      <c r="B1177" s="39"/>
      <c r="C1177" s="39"/>
      <c r="D1177" s="39"/>
      <c r="E1177" s="39"/>
      <c r="F1177" s="39"/>
      <c r="G1177" s="39"/>
      <c r="H1177" s="39"/>
      <c r="I1177" s="39"/>
      <c r="J1177" s="39"/>
      <c r="K1177" s="39"/>
      <c r="L1177" s="39"/>
      <c r="M1177" s="39"/>
      <c r="N1177" s="39"/>
      <c r="O1177" s="39"/>
      <c r="P1177" s="39"/>
      <c r="Q1177" s="39"/>
      <c r="R1177" s="39"/>
      <c r="S1177" s="39"/>
      <c r="T1177" s="39"/>
      <c r="U1177" s="39"/>
    </row>
    <row r="1178" spans="1:21" ht="14.5">
      <c r="A1178" s="39"/>
      <c r="B1178" s="39"/>
      <c r="C1178" s="39"/>
      <c r="D1178" s="39"/>
      <c r="E1178" s="39"/>
      <c r="F1178" s="39"/>
      <c r="G1178" s="39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39"/>
      <c r="S1178" s="39"/>
      <c r="T1178" s="39"/>
      <c r="U1178" s="39"/>
    </row>
    <row r="1179" spans="1:21" ht="14.5">
      <c r="A1179" s="39"/>
      <c r="B1179" s="39"/>
      <c r="C1179" s="39"/>
      <c r="D1179" s="39"/>
      <c r="E1179" s="39"/>
      <c r="F1179" s="39"/>
      <c r="G1179" s="39"/>
      <c r="H1179" s="39"/>
      <c r="I1179" s="39"/>
      <c r="J1179" s="39"/>
      <c r="K1179" s="39"/>
      <c r="L1179" s="39"/>
      <c r="M1179" s="39"/>
      <c r="N1179" s="39"/>
      <c r="O1179" s="39"/>
      <c r="P1179" s="39"/>
      <c r="Q1179" s="39"/>
      <c r="R1179" s="39"/>
      <c r="S1179" s="39"/>
      <c r="T1179" s="39"/>
      <c r="U1179" s="39"/>
    </row>
    <row r="1180" spans="1:21" ht="14.5">
      <c r="A1180" s="39"/>
      <c r="B1180" s="39"/>
      <c r="C1180" s="39"/>
      <c r="D1180" s="39"/>
      <c r="E1180" s="39"/>
      <c r="F1180" s="39"/>
      <c r="G1180" s="39"/>
      <c r="H1180" s="39"/>
      <c r="I1180" s="39"/>
      <c r="J1180" s="39"/>
      <c r="K1180" s="39"/>
      <c r="L1180" s="39"/>
      <c r="M1180" s="39"/>
      <c r="N1180" s="39"/>
      <c r="O1180" s="39"/>
      <c r="P1180" s="39"/>
      <c r="Q1180" s="39"/>
      <c r="R1180" s="39"/>
      <c r="S1180" s="39"/>
      <c r="T1180" s="39"/>
      <c r="U1180" s="39"/>
    </row>
    <row r="1181" spans="1:21" ht="14.5">
      <c r="A1181" s="39"/>
      <c r="B1181" s="39"/>
      <c r="C1181" s="39"/>
      <c r="D1181" s="39"/>
      <c r="E1181" s="39"/>
      <c r="F1181" s="39"/>
      <c r="G1181" s="39"/>
      <c r="H1181" s="39"/>
      <c r="I1181" s="39"/>
      <c r="J1181" s="39"/>
      <c r="K1181" s="39"/>
      <c r="L1181" s="39"/>
      <c r="M1181" s="39"/>
      <c r="N1181" s="39"/>
      <c r="O1181" s="39"/>
      <c r="P1181" s="39"/>
      <c r="Q1181" s="39"/>
      <c r="R1181" s="39"/>
      <c r="S1181" s="39"/>
      <c r="T1181" s="39"/>
      <c r="U1181" s="39"/>
    </row>
    <row r="1182" spans="1:21" ht="14.5">
      <c r="A1182" s="39"/>
      <c r="B1182" s="39"/>
      <c r="C1182" s="39"/>
      <c r="D1182" s="39"/>
      <c r="E1182" s="39"/>
      <c r="F1182" s="39"/>
      <c r="G1182" s="39"/>
      <c r="H1182" s="39"/>
      <c r="I1182" s="39"/>
      <c r="J1182" s="39"/>
      <c r="K1182" s="39"/>
      <c r="L1182" s="39"/>
      <c r="M1182" s="39"/>
      <c r="N1182" s="39"/>
      <c r="O1182" s="39"/>
      <c r="P1182" s="39"/>
      <c r="Q1182" s="39"/>
      <c r="R1182" s="39"/>
      <c r="S1182" s="39"/>
      <c r="T1182" s="39"/>
      <c r="U1182" s="39"/>
    </row>
    <row r="1183" spans="1:21" ht="14.5">
      <c r="A1183" s="39"/>
      <c r="B1183" s="39"/>
      <c r="C1183" s="39"/>
      <c r="D1183" s="39"/>
      <c r="E1183" s="39"/>
      <c r="F1183" s="39"/>
      <c r="G1183" s="39"/>
      <c r="H1183" s="39"/>
      <c r="I1183" s="39"/>
      <c r="J1183" s="39"/>
      <c r="K1183" s="39"/>
      <c r="L1183" s="39"/>
      <c r="M1183" s="39"/>
      <c r="N1183" s="39"/>
      <c r="O1183" s="39"/>
      <c r="P1183" s="39"/>
      <c r="Q1183" s="39"/>
      <c r="R1183" s="39"/>
      <c r="S1183" s="39"/>
      <c r="T1183" s="39"/>
      <c r="U1183" s="39"/>
    </row>
    <row r="1184" spans="1:21" ht="14.5">
      <c r="A1184" s="39"/>
      <c r="B1184" s="39"/>
      <c r="C1184" s="39"/>
      <c r="D1184" s="39"/>
      <c r="E1184" s="39"/>
      <c r="F1184" s="39"/>
      <c r="G1184" s="39"/>
      <c r="H1184" s="39"/>
      <c r="I1184" s="39"/>
      <c r="J1184" s="39"/>
      <c r="K1184" s="39"/>
      <c r="L1184" s="39"/>
      <c r="M1184" s="39"/>
      <c r="N1184" s="39"/>
      <c r="O1184" s="39"/>
      <c r="P1184" s="39"/>
      <c r="Q1184" s="39"/>
      <c r="R1184" s="39"/>
      <c r="S1184" s="39"/>
      <c r="T1184" s="39"/>
      <c r="U1184" s="39"/>
    </row>
    <row r="1185" spans="1:21" ht="14.5">
      <c r="A1185" s="39"/>
      <c r="B1185" s="39"/>
      <c r="C1185" s="39"/>
      <c r="D1185" s="39"/>
      <c r="E1185" s="39"/>
      <c r="F1185" s="39"/>
      <c r="G1185" s="39"/>
      <c r="H1185" s="39"/>
      <c r="I1185" s="39"/>
      <c r="J1185" s="39"/>
      <c r="K1185" s="39"/>
      <c r="L1185" s="39"/>
      <c r="M1185" s="39"/>
      <c r="N1185" s="39"/>
      <c r="O1185" s="39"/>
      <c r="P1185" s="39"/>
      <c r="Q1185" s="39"/>
      <c r="R1185" s="39"/>
      <c r="S1185" s="39"/>
      <c r="T1185" s="39"/>
      <c r="U1185" s="39"/>
    </row>
    <row r="1186" spans="1:21" ht="14.5">
      <c r="A1186" s="39"/>
      <c r="B1186" s="39"/>
      <c r="C1186" s="39"/>
      <c r="D1186" s="39"/>
      <c r="E1186" s="39"/>
      <c r="F1186" s="39"/>
      <c r="G1186" s="39"/>
      <c r="H1186" s="39"/>
      <c r="I1186" s="39"/>
      <c r="J1186" s="39"/>
      <c r="K1186" s="39"/>
      <c r="L1186" s="39"/>
      <c r="M1186" s="39"/>
      <c r="N1186" s="39"/>
      <c r="O1186" s="39"/>
      <c r="P1186" s="39"/>
      <c r="Q1186" s="39"/>
      <c r="R1186" s="39"/>
      <c r="S1186" s="39"/>
      <c r="T1186" s="39"/>
      <c r="U1186" s="39"/>
    </row>
    <row r="1187" spans="1:21" ht="14.5">
      <c r="A1187" s="39"/>
      <c r="B1187" s="39"/>
      <c r="C1187" s="39"/>
      <c r="D1187" s="39"/>
      <c r="E1187" s="39"/>
      <c r="F1187" s="39"/>
      <c r="G1187" s="39"/>
      <c r="H1187" s="39"/>
      <c r="I1187" s="39"/>
      <c r="J1187" s="39"/>
      <c r="K1187" s="39"/>
      <c r="L1187" s="39"/>
      <c r="M1187" s="39"/>
      <c r="N1187" s="39"/>
      <c r="O1187" s="39"/>
      <c r="P1187" s="39"/>
      <c r="Q1187" s="39"/>
      <c r="R1187" s="39"/>
      <c r="S1187" s="39"/>
      <c r="T1187" s="39"/>
      <c r="U1187" s="39"/>
    </row>
    <row r="1188" spans="1:21" ht="14.5">
      <c r="A1188" s="39"/>
      <c r="B1188" s="39"/>
      <c r="C1188" s="39"/>
      <c r="D1188" s="39"/>
      <c r="E1188" s="39"/>
      <c r="F1188" s="39"/>
      <c r="G1188" s="39"/>
      <c r="H1188" s="39"/>
      <c r="I1188" s="39"/>
      <c r="J1188" s="39"/>
      <c r="K1188" s="39"/>
      <c r="L1188" s="39"/>
      <c r="M1188" s="39"/>
      <c r="N1188" s="39"/>
      <c r="O1188" s="39"/>
      <c r="P1188" s="39"/>
      <c r="Q1188" s="39"/>
      <c r="R1188" s="39"/>
      <c r="S1188" s="39"/>
      <c r="T1188" s="39"/>
      <c r="U1188" s="39"/>
    </row>
    <row r="1189" spans="1:21" ht="14.5">
      <c r="A1189" s="39"/>
      <c r="B1189" s="39"/>
      <c r="C1189" s="39"/>
      <c r="D1189" s="39"/>
      <c r="E1189" s="39"/>
      <c r="F1189" s="39"/>
      <c r="G1189" s="39"/>
      <c r="H1189" s="39"/>
      <c r="I1189" s="39"/>
      <c r="J1189" s="39"/>
      <c r="K1189" s="39"/>
      <c r="L1189" s="39"/>
      <c r="M1189" s="39"/>
      <c r="N1189" s="39"/>
      <c r="O1189" s="39"/>
      <c r="P1189" s="39"/>
      <c r="Q1189" s="39"/>
      <c r="R1189" s="39"/>
      <c r="S1189" s="39"/>
      <c r="T1189" s="39"/>
      <c r="U1189" s="39"/>
    </row>
    <row r="1190" spans="1:21" ht="14.5">
      <c r="A1190" s="39"/>
      <c r="B1190" s="39"/>
      <c r="C1190" s="39"/>
      <c r="D1190" s="39"/>
      <c r="E1190" s="39"/>
      <c r="F1190" s="39"/>
      <c r="G1190" s="39"/>
      <c r="H1190" s="39"/>
      <c r="I1190" s="39"/>
      <c r="J1190" s="39"/>
      <c r="K1190" s="39"/>
      <c r="L1190" s="39"/>
      <c r="M1190" s="39"/>
      <c r="N1190" s="39"/>
      <c r="O1190" s="39"/>
      <c r="P1190" s="39"/>
      <c r="Q1190" s="39"/>
      <c r="R1190" s="39"/>
      <c r="S1190" s="39"/>
      <c r="T1190" s="39"/>
      <c r="U1190" s="39"/>
    </row>
    <row r="1191" spans="1:21" ht="14.5">
      <c r="A1191" s="39"/>
      <c r="B1191" s="39"/>
      <c r="C1191" s="39"/>
      <c r="D1191" s="39"/>
      <c r="E1191" s="39"/>
      <c r="F1191" s="39"/>
      <c r="G1191" s="39"/>
      <c r="H1191" s="39"/>
      <c r="I1191" s="39"/>
      <c r="J1191" s="39"/>
      <c r="K1191" s="39"/>
      <c r="L1191" s="39"/>
      <c r="M1191" s="39"/>
      <c r="N1191" s="39"/>
      <c r="O1191" s="39"/>
      <c r="P1191" s="39"/>
      <c r="Q1191" s="39"/>
      <c r="R1191" s="39"/>
      <c r="S1191" s="39"/>
      <c r="T1191" s="39"/>
      <c r="U1191" s="39"/>
    </row>
    <row r="1192" spans="1:21" ht="14.5">
      <c r="A1192" s="39"/>
      <c r="B1192" s="39"/>
      <c r="C1192" s="39"/>
      <c r="D1192" s="39"/>
      <c r="E1192" s="39"/>
      <c r="F1192" s="39"/>
      <c r="G1192" s="39"/>
      <c r="H1192" s="39"/>
      <c r="I1192" s="39"/>
      <c r="J1192" s="39"/>
      <c r="K1192" s="39"/>
      <c r="L1192" s="39"/>
      <c r="M1192" s="39"/>
      <c r="N1192" s="39"/>
      <c r="O1192" s="39"/>
      <c r="P1192" s="39"/>
      <c r="Q1192" s="39"/>
      <c r="R1192" s="39"/>
      <c r="S1192" s="39"/>
      <c r="T1192" s="39"/>
      <c r="U1192" s="39"/>
    </row>
    <row r="1193" spans="1:21" ht="14.5">
      <c r="A1193" s="39"/>
      <c r="B1193" s="39"/>
      <c r="C1193" s="39"/>
      <c r="D1193" s="39"/>
      <c r="E1193" s="39"/>
      <c r="F1193" s="39"/>
      <c r="G1193" s="39"/>
      <c r="H1193" s="39"/>
      <c r="I1193" s="39"/>
      <c r="J1193" s="39"/>
      <c r="K1193" s="39"/>
      <c r="L1193" s="39"/>
      <c r="M1193" s="39"/>
      <c r="N1193" s="39"/>
      <c r="O1193" s="39"/>
      <c r="P1193" s="39"/>
      <c r="Q1193" s="39"/>
      <c r="R1193" s="39"/>
      <c r="S1193" s="39"/>
      <c r="T1193" s="39"/>
      <c r="U1193" s="39"/>
    </row>
    <row r="1194" spans="1:21" ht="14.5">
      <c r="A1194" s="39"/>
      <c r="B1194" s="39"/>
      <c r="C1194" s="39"/>
      <c r="D1194" s="39"/>
      <c r="E1194" s="39"/>
      <c r="F1194" s="39"/>
      <c r="G1194" s="39"/>
      <c r="H1194" s="39"/>
      <c r="I1194" s="39"/>
      <c r="J1194" s="39"/>
      <c r="K1194" s="39"/>
      <c r="L1194" s="39"/>
      <c r="M1194" s="39"/>
      <c r="N1194" s="39"/>
      <c r="O1194" s="39"/>
      <c r="P1194" s="39"/>
      <c r="Q1194" s="39"/>
      <c r="R1194" s="39"/>
      <c r="S1194" s="39"/>
      <c r="T1194" s="39"/>
      <c r="U1194" s="39"/>
    </row>
    <row r="1195" spans="1:21" ht="14.5">
      <c r="A1195" s="39"/>
      <c r="B1195" s="39"/>
      <c r="C1195" s="39"/>
      <c r="D1195" s="39"/>
      <c r="E1195" s="39"/>
      <c r="F1195" s="39"/>
      <c r="G1195" s="39"/>
      <c r="H1195" s="39"/>
      <c r="I1195" s="39"/>
      <c r="J1195" s="39"/>
      <c r="K1195" s="39"/>
      <c r="L1195" s="39"/>
      <c r="M1195" s="39"/>
      <c r="N1195" s="39"/>
      <c r="O1195" s="39"/>
      <c r="P1195" s="39"/>
      <c r="Q1195" s="39"/>
      <c r="R1195" s="39"/>
      <c r="S1195" s="39"/>
      <c r="T1195" s="39"/>
      <c r="U1195" s="39"/>
    </row>
    <row r="1196" spans="1:21" ht="14.5">
      <c r="A1196" s="39"/>
      <c r="B1196" s="39"/>
      <c r="C1196" s="39"/>
      <c r="D1196" s="39"/>
      <c r="E1196" s="39"/>
      <c r="F1196" s="39"/>
      <c r="G1196" s="39"/>
      <c r="H1196" s="39"/>
      <c r="I1196" s="39"/>
      <c r="J1196" s="39"/>
      <c r="K1196" s="39"/>
      <c r="L1196" s="39"/>
      <c r="M1196" s="39"/>
      <c r="N1196" s="39"/>
      <c r="O1196" s="39"/>
      <c r="P1196" s="39"/>
      <c r="Q1196" s="39"/>
      <c r="R1196" s="39"/>
      <c r="S1196" s="39"/>
      <c r="T1196" s="39"/>
      <c r="U1196" s="39"/>
    </row>
    <row r="1197" spans="1:21" ht="14.5">
      <c r="A1197" s="39"/>
      <c r="B1197" s="39"/>
      <c r="C1197" s="39"/>
      <c r="D1197" s="39"/>
      <c r="E1197" s="39"/>
      <c r="F1197" s="39"/>
      <c r="G1197" s="39"/>
      <c r="H1197" s="39"/>
      <c r="I1197" s="39"/>
      <c r="J1197" s="39"/>
      <c r="K1197" s="39"/>
      <c r="L1197" s="39"/>
      <c r="M1197" s="39"/>
      <c r="N1197" s="39"/>
      <c r="O1197" s="39"/>
      <c r="P1197" s="39"/>
      <c r="Q1197" s="39"/>
      <c r="R1197" s="39"/>
      <c r="S1197" s="39"/>
      <c r="T1197" s="39"/>
      <c r="U1197" s="39"/>
    </row>
    <row r="1198" spans="1:21" ht="14.5">
      <c r="A1198" s="39"/>
      <c r="B1198" s="39"/>
      <c r="C1198" s="39"/>
      <c r="D1198" s="39"/>
      <c r="E1198" s="39"/>
      <c r="F1198" s="39"/>
      <c r="G1198" s="39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39"/>
      <c r="S1198" s="39"/>
      <c r="T1198" s="39"/>
      <c r="U1198" s="39"/>
    </row>
    <row r="1199" spans="1:21" ht="14.5">
      <c r="A1199" s="39"/>
      <c r="B1199" s="39"/>
      <c r="C1199" s="39"/>
      <c r="D1199" s="39"/>
      <c r="E1199" s="39"/>
      <c r="F1199" s="39"/>
      <c r="G1199" s="39"/>
      <c r="H1199" s="39"/>
      <c r="I1199" s="39"/>
      <c r="J1199" s="39"/>
      <c r="K1199" s="39"/>
      <c r="L1199" s="39"/>
      <c r="M1199" s="39"/>
      <c r="N1199" s="39"/>
      <c r="O1199" s="39"/>
      <c r="P1199" s="39"/>
      <c r="Q1199" s="39"/>
      <c r="R1199" s="39"/>
      <c r="S1199" s="39"/>
      <c r="T1199" s="39"/>
      <c r="U1199" s="39"/>
    </row>
    <row r="1200" spans="1:21" ht="14.5">
      <c r="A1200" s="39"/>
      <c r="B1200" s="39"/>
      <c r="C1200" s="39"/>
      <c r="D1200" s="39"/>
      <c r="E1200" s="39"/>
      <c r="F1200" s="39"/>
      <c r="G1200" s="39"/>
      <c r="H1200" s="39"/>
      <c r="I1200" s="39"/>
      <c r="J1200" s="39"/>
      <c r="K1200" s="39"/>
      <c r="L1200" s="39"/>
      <c r="M1200" s="39"/>
      <c r="N1200" s="39"/>
      <c r="O1200" s="39"/>
      <c r="P1200" s="39"/>
      <c r="Q1200" s="39"/>
      <c r="R1200" s="39"/>
      <c r="S1200" s="39"/>
      <c r="T1200" s="39"/>
      <c r="U1200" s="39"/>
    </row>
    <row r="1201" spans="1:21" ht="14.5">
      <c r="A1201" s="39"/>
      <c r="B1201" s="39"/>
      <c r="C1201" s="39"/>
      <c r="D1201" s="39"/>
      <c r="E1201" s="39"/>
      <c r="F1201" s="39"/>
      <c r="G1201" s="39"/>
      <c r="H1201" s="39"/>
      <c r="I1201" s="39"/>
      <c r="J1201" s="39"/>
      <c r="K1201" s="39"/>
      <c r="L1201" s="39"/>
      <c r="M1201" s="39"/>
      <c r="N1201" s="39"/>
      <c r="O1201" s="39"/>
      <c r="P1201" s="39"/>
      <c r="Q1201" s="39"/>
      <c r="R1201" s="39"/>
      <c r="S1201" s="39"/>
      <c r="T1201" s="39"/>
      <c r="U1201" s="39"/>
    </row>
    <row r="1202" spans="1:21" ht="14.5">
      <c r="A1202" s="39"/>
      <c r="B1202" s="39"/>
      <c r="C1202" s="39"/>
      <c r="D1202" s="39"/>
      <c r="E1202" s="39"/>
      <c r="F1202" s="39"/>
      <c r="G1202" s="39"/>
      <c r="H1202" s="39"/>
      <c r="I1202" s="39"/>
      <c r="J1202" s="39"/>
      <c r="K1202" s="39"/>
      <c r="L1202" s="39"/>
      <c r="M1202" s="39"/>
      <c r="N1202" s="39"/>
      <c r="O1202" s="39"/>
      <c r="P1202" s="39"/>
      <c r="Q1202" s="39"/>
      <c r="R1202" s="39"/>
      <c r="S1202" s="39"/>
      <c r="T1202" s="39"/>
      <c r="U1202" s="39"/>
    </row>
    <row r="1203" spans="1:21" ht="14.5">
      <c r="A1203" s="39"/>
      <c r="B1203" s="39"/>
      <c r="C1203" s="39"/>
      <c r="D1203" s="39"/>
      <c r="E1203" s="39"/>
      <c r="F1203" s="39"/>
      <c r="G1203" s="39"/>
      <c r="H1203" s="39"/>
      <c r="I1203" s="39"/>
      <c r="J1203" s="39"/>
      <c r="K1203" s="39"/>
      <c r="L1203" s="39"/>
      <c r="M1203" s="39"/>
      <c r="N1203" s="39"/>
      <c r="O1203" s="39"/>
      <c r="P1203" s="39"/>
      <c r="Q1203" s="39"/>
      <c r="R1203" s="39"/>
      <c r="S1203" s="39"/>
      <c r="T1203" s="39"/>
      <c r="U1203" s="39"/>
    </row>
    <row r="1204" spans="1:21" ht="14.5">
      <c r="A1204" s="39"/>
      <c r="B1204" s="39"/>
      <c r="C1204" s="39"/>
      <c r="D1204" s="39"/>
      <c r="E1204" s="39"/>
      <c r="F1204" s="39"/>
      <c r="G1204" s="39"/>
      <c r="H1204" s="39"/>
      <c r="I1204" s="39"/>
      <c r="J1204" s="39"/>
      <c r="K1204" s="39"/>
      <c r="L1204" s="39"/>
      <c r="M1204" s="39"/>
      <c r="N1204" s="39"/>
      <c r="O1204" s="39"/>
      <c r="P1204" s="39"/>
      <c r="Q1204" s="39"/>
      <c r="R1204" s="39"/>
      <c r="S1204" s="39"/>
      <c r="T1204" s="39"/>
      <c r="U1204" s="39"/>
    </row>
    <row r="1205" spans="1:21" ht="14.5">
      <c r="A1205" s="39"/>
      <c r="B1205" s="39"/>
      <c r="C1205" s="39"/>
      <c r="D1205" s="39"/>
      <c r="E1205" s="39"/>
      <c r="F1205" s="39"/>
      <c r="G1205" s="39"/>
      <c r="H1205" s="39"/>
      <c r="I1205" s="39"/>
      <c r="J1205" s="39"/>
      <c r="K1205" s="39"/>
      <c r="L1205" s="39"/>
      <c r="M1205" s="39"/>
      <c r="N1205" s="39"/>
      <c r="O1205" s="39"/>
      <c r="P1205" s="39"/>
      <c r="Q1205" s="39"/>
      <c r="R1205" s="39"/>
      <c r="S1205" s="39"/>
      <c r="T1205" s="39"/>
      <c r="U1205" s="39"/>
    </row>
    <row r="1206" spans="1:21" ht="14.5">
      <c r="A1206" s="39"/>
      <c r="B1206" s="39"/>
      <c r="C1206" s="39"/>
      <c r="D1206" s="39"/>
      <c r="E1206" s="39"/>
      <c r="F1206" s="39"/>
      <c r="G1206" s="39"/>
      <c r="H1206" s="39"/>
      <c r="I1206" s="39"/>
      <c r="J1206" s="39"/>
      <c r="K1206" s="39"/>
      <c r="L1206" s="39"/>
      <c r="M1206" s="39"/>
      <c r="N1206" s="39"/>
      <c r="O1206" s="39"/>
      <c r="P1206" s="39"/>
      <c r="Q1206" s="39"/>
      <c r="R1206" s="39"/>
      <c r="S1206" s="39"/>
      <c r="T1206" s="39"/>
      <c r="U1206" s="39"/>
    </row>
    <row r="1207" spans="1:21" ht="14.5">
      <c r="A1207" s="39"/>
      <c r="B1207" s="39"/>
      <c r="C1207" s="39"/>
      <c r="D1207" s="39"/>
      <c r="E1207" s="39"/>
      <c r="F1207" s="39"/>
      <c r="G1207" s="39"/>
      <c r="H1207" s="39"/>
      <c r="I1207" s="39"/>
      <c r="J1207" s="39"/>
      <c r="K1207" s="39"/>
      <c r="L1207" s="39"/>
      <c r="M1207" s="39"/>
      <c r="N1207" s="39"/>
      <c r="O1207" s="39"/>
      <c r="P1207" s="39"/>
      <c r="Q1207" s="39"/>
      <c r="R1207" s="39"/>
      <c r="S1207" s="39"/>
      <c r="T1207" s="39"/>
      <c r="U1207" s="39"/>
    </row>
    <row r="1208" spans="1:21" ht="14.5">
      <c r="A1208" s="39"/>
      <c r="B1208" s="39"/>
      <c r="C1208" s="39"/>
      <c r="D1208" s="39"/>
      <c r="E1208" s="39"/>
      <c r="F1208" s="39"/>
      <c r="G1208" s="39"/>
      <c r="H1208" s="39"/>
      <c r="I1208" s="39"/>
      <c r="J1208" s="39"/>
      <c r="K1208" s="39"/>
      <c r="L1208" s="39"/>
      <c r="M1208" s="39"/>
      <c r="N1208" s="39"/>
      <c r="O1208" s="39"/>
      <c r="P1208" s="39"/>
      <c r="Q1208" s="39"/>
      <c r="R1208" s="39"/>
      <c r="S1208" s="39"/>
      <c r="T1208" s="39"/>
      <c r="U1208" s="39"/>
    </row>
    <row r="1209" spans="1:21" ht="14.5">
      <c r="A1209" s="39"/>
      <c r="B1209" s="39"/>
      <c r="C1209" s="39"/>
      <c r="D1209" s="39"/>
      <c r="E1209" s="39"/>
      <c r="F1209" s="39"/>
      <c r="G1209" s="39"/>
      <c r="H1209" s="39"/>
      <c r="I1209" s="39"/>
      <c r="J1209" s="39"/>
      <c r="K1209" s="39"/>
      <c r="L1209" s="39"/>
      <c r="M1209" s="39"/>
      <c r="N1209" s="39"/>
      <c r="O1209" s="39"/>
      <c r="P1209" s="39"/>
      <c r="Q1209" s="39"/>
      <c r="R1209" s="39"/>
      <c r="S1209" s="39"/>
      <c r="T1209" s="39"/>
      <c r="U1209" s="39"/>
    </row>
    <row r="1210" spans="1:21" ht="14.5">
      <c r="A1210" s="39"/>
      <c r="B1210" s="39"/>
      <c r="C1210" s="39"/>
      <c r="D1210" s="39"/>
      <c r="E1210" s="39"/>
      <c r="F1210" s="39"/>
      <c r="G1210" s="39"/>
      <c r="H1210" s="39"/>
      <c r="I1210" s="39"/>
      <c r="J1210" s="39"/>
      <c r="K1210" s="39"/>
      <c r="L1210" s="39"/>
      <c r="M1210" s="39"/>
      <c r="N1210" s="39"/>
      <c r="O1210" s="39"/>
      <c r="P1210" s="39"/>
      <c r="Q1210" s="39"/>
      <c r="R1210" s="39"/>
      <c r="S1210" s="39"/>
      <c r="T1210" s="39"/>
      <c r="U1210" s="39"/>
    </row>
    <row r="1211" spans="1:21" ht="14.5">
      <c r="A1211" s="39"/>
      <c r="B1211" s="39"/>
      <c r="C1211" s="39"/>
      <c r="D1211" s="39"/>
      <c r="E1211" s="39"/>
      <c r="F1211" s="39"/>
      <c r="G1211" s="39"/>
      <c r="H1211" s="39"/>
      <c r="I1211" s="39"/>
      <c r="J1211" s="39"/>
      <c r="K1211" s="39"/>
      <c r="L1211" s="39"/>
      <c r="M1211" s="39"/>
      <c r="N1211" s="39"/>
      <c r="O1211" s="39"/>
      <c r="P1211" s="39"/>
      <c r="Q1211" s="39"/>
      <c r="R1211" s="39"/>
      <c r="S1211" s="39"/>
      <c r="T1211" s="39"/>
      <c r="U1211" s="39"/>
    </row>
    <row r="1212" spans="1:21" ht="14.5">
      <c r="A1212" s="39"/>
      <c r="B1212" s="39"/>
      <c r="C1212" s="39"/>
      <c r="D1212" s="39"/>
      <c r="E1212" s="39"/>
      <c r="F1212" s="39"/>
      <c r="G1212" s="39"/>
      <c r="H1212" s="39"/>
      <c r="I1212" s="39"/>
      <c r="J1212" s="39"/>
      <c r="K1212" s="39"/>
      <c r="L1212" s="39"/>
      <c r="M1212" s="39"/>
      <c r="N1212" s="39"/>
      <c r="O1212" s="39"/>
      <c r="P1212" s="39"/>
      <c r="Q1212" s="39"/>
      <c r="R1212" s="39"/>
      <c r="S1212" s="39"/>
      <c r="T1212" s="39"/>
      <c r="U1212" s="39"/>
    </row>
    <row r="1213" spans="1:21" ht="14.5">
      <c r="A1213" s="39"/>
      <c r="B1213" s="39"/>
      <c r="C1213" s="39"/>
      <c r="D1213" s="39"/>
      <c r="E1213" s="39"/>
      <c r="F1213" s="39"/>
      <c r="G1213" s="39"/>
      <c r="H1213" s="39"/>
      <c r="I1213" s="39"/>
      <c r="J1213" s="39"/>
      <c r="K1213" s="39"/>
      <c r="L1213" s="39"/>
      <c r="M1213" s="39"/>
      <c r="N1213" s="39"/>
      <c r="O1213" s="39"/>
      <c r="P1213" s="39"/>
      <c r="Q1213" s="39"/>
      <c r="R1213" s="39"/>
      <c r="S1213" s="39"/>
      <c r="T1213" s="39"/>
      <c r="U1213" s="39"/>
    </row>
    <row r="1214" spans="1:21" ht="14.5">
      <c r="A1214" s="39"/>
      <c r="B1214" s="39"/>
      <c r="C1214" s="39"/>
      <c r="D1214" s="39"/>
      <c r="E1214" s="39"/>
      <c r="F1214" s="39"/>
      <c r="G1214" s="39"/>
      <c r="H1214" s="39"/>
      <c r="I1214" s="39"/>
      <c r="J1214" s="39"/>
      <c r="K1214" s="39"/>
      <c r="L1214" s="39"/>
      <c r="M1214" s="39"/>
      <c r="N1214" s="39"/>
      <c r="O1214" s="39"/>
      <c r="P1214" s="39"/>
      <c r="Q1214" s="39"/>
      <c r="R1214" s="39"/>
      <c r="S1214" s="39"/>
      <c r="T1214" s="39"/>
      <c r="U1214" s="39"/>
    </row>
    <row r="1215" spans="1:21" ht="14.5">
      <c r="A1215" s="39"/>
      <c r="B1215" s="39"/>
      <c r="C1215" s="39"/>
      <c r="D1215" s="39"/>
      <c r="E1215" s="39"/>
      <c r="F1215" s="39"/>
      <c r="G1215" s="39"/>
      <c r="H1215" s="39"/>
      <c r="I1215" s="39"/>
      <c r="J1215" s="39"/>
      <c r="K1215" s="39"/>
      <c r="L1215" s="39"/>
      <c r="M1215" s="39"/>
      <c r="N1215" s="39"/>
      <c r="O1215" s="39"/>
      <c r="P1215" s="39"/>
      <c r="Q1215" s="39"/>
      <c r="R1215" s="39"/>
      <c r="S1215" s="39"/>
      <c r="T1215" s="39"/>
      <c r="U1215" s="39"/>
    </row>
    <row r="1216" spans="1:21" ht="14.5">
      <c r="A1216" s="39"/>
      <c r="B1216" s="39"/>
      <c r="C1216" s="39"/>
      <c r="D1216" s="39"/>
      <c r="E1216" s="39"/>
      <c r="F1216" s="39"/>
      <c r="G1216" s="39"/>
      <c r="H1216" s="39"/>
      <c r="I1216" s="39"/>
      <c r="J1216" s="39"/>
      <c r="K1216" s="39"/>
      <c r="L1216" s="39"/>
      <c r="M1216" s="39"/>
      <c r="N1216" s="39"/>
      <c r="O1216" s="39"/>
      <c r="P1216" s="39"/>
      <c r="Q1216" s="39"/>
      <c r="R1216" s="39"/>
      <c r="S1216" s="39"/>
      <c r="T1216" s="39"/>
      <c r="U1216" s="39"/>
    </row>
    <row r="1217" spans="1:21" ht="14.5">
      <c r="A1217" s="39"/>
      <c r="B1217" s="39"/>
      <c r="C1217" s="39"/>
      <c r="D1217" s="39"/>
      <c r="E1217" s="39"/>
      <c r="F1217" s="39"/>
      <c r="G1217" s="39"/>
      <c r="H1217" s="39"/>
      <c r="I1217" s="39"/>
      <c r="J1217" s="39"/>
      <c r="K1217" s="39"/>
      <c r="L1217" s="39"/>
      <c r="M1217" s="39"/>
      <c r="N1217" s="39"/>
      <c r="O1217" s="39"/>
      <c r="P1217" s="39"/>
      <c r="Q1217" s="39"/>
      <c r="R1217" s="39"/>
      <c r="S1217" s="39"/>
      <c r="T1217" s="39"/>
      <c r="U1217" s="39"/>
    </row>
    <row r="1218" spans="1:21" ht="14.5">
      <c r="A1218" s="39"/>
      <c r="B1218" s="39"/>
      <c r="C1218" s="39"/>
      <c r="D1218" s="39"/>
      <c r="E1218" s="39"/>
      <c r="F1218" s="39"/>
      <c r="G1218" s="39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39"/>
      <c r="S1218" s="39"/>
      <c r="T1218" s="39"/>
      <c r="U1218" s="39"/>
    </row>
    <row r="1219" spans="1:21" ht="14.5">
      <c r="A1219" s="39"/>
      <c r="B1219" s="39"/>
      <c r="C1219" s="39"/>
      <c r="D1219" s="39"/>
      <c r="E1219" s="39"/>
      <c r="F1219" s="39"/>
      <c r="G1219" s="39"/>
      <c r="H1219" s="39"/>
      <c r="I1219" s="39"/>
      <c r="J1219" s="39"/>
      <c r="K1219" s="39"/>
      <c r="L1219" s="39"/>
      <c r="M1219" s="39"/>
      <c r="N1219" s="39"/>
      <c r="O1219" s="39"/>
      <c r="P1219" s="39"/>
      <c r="Q1219" s="39"/>
      <c r="R1219" s="39"/>
      <c r="S1219" s="39"/>
      <c r="T1219" s="39"/>
      <c r="U1219" s="39"/>
    </row>
    <row r="1220" spans="1:21" ht="14.5">
      <c r="A1220" s="39"/>
      <c r="B1220" s="39"/>
      <c r="C1220" s="39"/>
      <c r="D1220" s="39"/>
      <c r="E1220" s="39"/>
      <c r="F1220" s="39"/>
      <c r="G1220" s="39"/>
      <c r="H1220" s="39"/>
      <c r="I1220" s="39"/>
      <c r="J1220" s="39"/>
      <c r="K1220" s="39"/>
      <c r="L1220" s="39"/>
      <c r="M1220" s="39"/>
      <c r="N1220" s="39"/>
      <c r="O1220" s="39"/>
      <c r="P1220" s="39"/>
      <c r="Q1220" s="39"/>
      <c r="R1220" s="39"/>
      <c r="S1220" s="39"/>
      <c r="T1220" s="39"/>
      <c r="U1220" s="39"/>
    </row>
    <row r="1221" spans="1:21" ht="14.5">
      <c r="A1221" s="39"/>
      <c r="B1221" s="39"/>
      <c r="C1221" s="39"/>
      <c r="D1221" s="39"/>
      <c r="E1221" s="39"/>
      <c r="F1221" s="39"/>
      <c r="G1221" s="39"/>
      <c r="H1221" s="39"/>
      <c r="I1221" s="39"/>
      <c r="J1221" s="39"/>
      <c r="K1221" s="39"/>
      <c r="L1221" s="39"/>
      <c r="M1221" s="39"/>
      <c r="N1221" s="39"/>
      <c r="O1221" s="39"/>
      <c r="P1221" s="39"/>
      <c r="Q1221" s="39"/>
      <c r="R1221" s="39"/>
      <c r="S1221" s="39"/>
      <c r="T1221" s="39"/>
      <c r="U1221" s="39"/>
    </row>
    <row r="1222" spans="1:21" ht="14.5">
      <c r="A1222" s="39"/>
      <c r="B1222" s="39"/>
      <c r="C1222" s="39"/>
      <c r="D1222" s="39"/>
      <c r="E1222" s="39"/>
      <c r="F1222" s="39"/>
      <c r="G1222" s="39"/>
      <c r="H1222" s="39"/>
      <c r="I1222" s="39"/>
      <c r="J1222" s="39"/>
      <c r="K1222" s="39"/>
      <c r="L1222" s="39"/>
      <c r="M1222" s="39"/>
      <c r="N1222" s="39"/>
      <c r="O1222" s="39"/>
      <c r="P1222" s="39"/>
      <c r="Q1222" s="39"/>
      <c r="R1222" s="39"/>
      <c r="S1222" s="39"/>
      <c r="T1222" s="39"/>
      <c r="U1222" s="39"/>
    </row>
    <row r="1223" spans="1:21" ht="14.5">
      <c r="A1223" s="39"/>
      <c r="B1223" s="39"/>
      <c r="C1223" s="39"/>
      <c r="D1223" s="39"/>
      <c r="E1223" s="39"/>
      <c r="F1223" s="39"/>
      <c r="G1223" s="39"/>
      <c r="H1223" s="39"/>
      <c r="I1223" s="39"/>
      <c r="J1223" s="39"/>
      <c r="K1223" s="39"/>
      <c r="L1223" s="39"/>
      <c r="M1223" s="39"/>
      <c r="N1223" s="39"/>
      <c r="O1223" s="39"/>
      <c r="P1223" s="39"/>
      <c r="Q1223" s="39"/>
      <c r="R1223" s="39"/>
      <c r="S1223" s="39"/>
      <c r="T1223" s="39"/>
      <c r="U1223" s="39"/>
    </row>
    <row r="1224" spans="1:21" ht="14.5">
      <c r="A1224" s="39"/>
      <c r="B1224" s="39"/>
      <c r="C1224" s="39"/>
      <c r="D1224" s="39"/>
      <c r="E1224" s="39"/>
      <c r="F1224" s="39"/>
      <c r="G1224" s="39"/>
      <c r="H1224" s="39"/>
      <c r="I1224" s="39"/>
      <c r="J1224" s="39"/>
      <c r="K1224" s="39"/>
      <c r="L1224" s="39"/>
      <c r="M1224" s="39"/>
      <c r="N1224" s="39"/>
      <c r="O1224" s="39"/>
      <c r="P1224" s="39"/>
      <c r="Q1224" s="39"/>
      <c r="R1224" s="39"/>
      <c r="S1224" s="39"/>
      <c r="T1224" s="39"/>
      <c r="U1224" s="39"/>
    </row>
    <row r="1225" spans="1:21" ht="14.5">
      <c r="A1225" s="39"/>
      <c r="B1225" s="39"/>
      <c r="C1225" s="39"/>
      <c r="D1225" s="39"/>
      <c r="E1225" s="39"/>
      <c r="F1225" s="39"/>
      <c r="G1225" s="39"/>
      <c r="H1225" s="39"/>
      <c r="I1225" s="39"/>
      <c r="J1225" s="39"/>
      <c r="K1225" s="39"/>
      <c r="L1225" s="39"/>
      <c r="M1225" s="39"/>
      <c r="N1225" s="39"/>
      <c r="O1225" s="39"/>
      <c r="P1225" s="39"/>
      <c r="Q1225" s="39"/>
      <c r="R1225" s="39"/>
      <c r="S1225" s="39"/>
      <c r="T1225" s="39"/>
      <c r="U1225" s="39"/>
    </row>
    <row r="1226" spans="1:21" ht="14.5">
      <c r="A1226" s="39"/>
      <c r="B1226" s="39"/>
      <c r="C1226" s="39"/>
      <c r="D1226" s="39"/>
      <c r="E1226" s="39"/>
      <c r="F1226" s="39"/>
      <c r="G1226" s="39"/>
      <c r="H1226" s="39"/>
      <c r="I1226" s="39"/>
      <c r="J1226" s="39"/>
      <c r="K1226" s="39"/>
      <c r="L1226" s="39"/>
      <c r="M1226" s="39"/>
      <c r="N1226" s="39"/>
      <c r="O1226" s="39"/>
      <c r="P1226" s="39"/>
      <c r="Q1226" s="39"/>
      <c r="R1226" s="39"/>
      <c r="S1226" s="39"/>
      <c r="T1226" s="39"/>
      <c r="U1226" s="39"/>
    </row>
    <row r="1227" spans="1:21" ht="14.5">
      <c r="A1227" s="39"/>
      <c r="B1227" s="39"/>
      <c r="C1227" s="39"/>
      <c r="D1227" s="39"/>
      <c r="E1227" s="39"/>
      <c r="F1227" s="39"/>
      <c r="G1227" s="39"/>
      <c r="H1227" s="39"/>
      <c r="I1227" s="39"/>
      <c r="J1227" s="39"/>
      <c r="K1227" s="39"/>
      <c r="L1227" s="39"/>
      <c r="M1227" s="39"/>
      <c r="N1227" s="39"/>
      <c r="O1227" s="39"/>
      <c r="P1227" s="39"/>
      <c r="Q1227" s="39"/>
      <c r="R1227" s="39"/>
      <c r="S1227" s="39"/>
      <c r="T1227" s="39"/>
      <c r="U1227" s="39"/>
    </row>
    <row r="1228" spans="1:21" ht="14.5">
      <c r="A1228" s="39"/>
      <c r="B1228" s="39"/>
      <c r="C1228" s="39"/>
      <c r="D1228" s="39"/>
      <c r="E1228" s="39"/>
      <c r="F1228" s="39"/>
      <c r="G1228" s="39"/>
      <c r="H1228" s="39"/>
      <c r="I1228" s="39"/>
      <c r="J1228" s="39"/>
      <c r="K1228" s="39"/>
      <c r="L1228" s="39"/>
      <c r="M1228" s="39"/>
      <c r="N1228" s="39"/>
      <c r="O1228" s="39"/>
      <c r="P1228" s="39"/>
      <c r="Q1228" s="39"/>
      <c r="R1228" s="39"/>
      <c r="S1228" s="39"/>
      <c r="T1228" s="39"/>
      <c r="U1228" s="39"/>
    </row>
    <row r="1229" spans="1:21" ht="14.5">
      <c r="A1229" s="39"/>
      <c r="B1229" s="39"/>
      <c r="C1229" s="39"/>
      <c r="D1229" s="39"/>
      <c r="E1229" s="39"/>
      <c r="F1229" s="39"/>
      <c r="G1229" s="39"/>
      <c r="H1229" s="39"/>
      <c r="I1229" s="39"/>
      <c r="J1229" s="39"/>
      <c r="K1229" s="39"/>
      <c r="L1229" s="39"/>
      <c r="M1229" s="39"/>
      <c r="N1229" s="39"/>
      <c r="O1229" s="39"/>
      <c r="P1229" s="39"/>
      <c r="Q1229" s="39"/>
      <c r="R1229" s="39"/>
      <c r="S1229" s="39"/>
      <c r="T1229" s="39"/>
      <c r="U1229" s="39"/>
    </row>
    <row r="1230" spans="1:21" ht="14.5">
      <c r="A1230" s="39"/>
      <c r="B1230" s="39"/>
      <c r="C1230" s="39"/>
      <c r="D1230" s="39"/>
      <c r="E1230" s="39"/>
      <c r="F1230" s="39"/>
      <c r="G1230" s="39"/>
      <c r="H1230" s="39"/>
      <c r="I1230" s="39"/>
      <c r="J1230" s="39"/>
      <c r="K1230" s="39"/>
      <c r="L1230" s="39"/>
      <c r="M1230" s="39"/>
      <c r="N1230" s="39"/>
      <c r="O1230" s="39"/>
      <c r="P1230" s="39"/>
      <c r="Q1230" s="39"/>
      <c r="R1230" s="39"/>
      <c r="S1230" s="39"/>
      <c r="T1230" s="39"/>
      <c r="U1230" s="39"/>
    </row>
    <row r="1231" spans="1:21" ht="14.5">
      <c r="A1231" s="39"/>
      <c r="B1231" s="39"/>
      <c r="C1231" s="39"/>
      <c r="D1231" s="39"/>
      <c r="E1231" s="39"/>
      <c r="F1231" s="39"/>
      <c r="G1231" s="39"/>
      <c r="H1231" s="39"/>
      <c r="I1231" s="39"/>
      <c r="J1231" s="39"/>
      <c r="K1231" s="39"/>
      <c r="L1231" s="39"/>
      <c r="M1231" s="39"/>
      <c r="N1231" s="39"/>
      <c r="O1231" s="39"/>
      <c r="P1231" s="39"/>
      <c r="Q1231" s="39"/>
      <c r="R1231" s="39"/>
      <c r="S1231" s="39"/>
      <c r="T1231" s="39"/>
      <c r="U1231" s="39"/>
    </row>
    <row r="1232" spans="1:21" ht="14.5">
      <c r="A1232" s="39"/>
      <c r="B1232" s="39"/>
      <c r="C1232" s="39"/>
      <c r="D1232" s="39"/>
      <c r="E1232" s="39"/>
      <c r="F1232" s="39"/>
      <c r="G1232" s="39"/>
      <c r="H1232" s="39"/>
      <c r="I1232" s="39"/>
      <c r="J1232" s="39"/>
      <c r="K1232" s="39"/>
      <c r="L1232" s="39"/>
      <c r="M1232" s="39"/>
      <c r="N1232" s="39"/>
      <c r="O1232" s="39"/>
      <c r="P1232" s="39"/>
      <c r="Q1232" s="39"/>
      <c r="R1232" s="39"/>
      <c r="S1232" s="39"/>
      <c r="T1232" s="39"/>
      <c r="U1232" s="39"/>
    </row>
    <row r="1233" spans="1:21" ht="14.5">
      <c r="A1233" s="39"/>
      <c r="B1233" s="39"/>
      <c r="C1233" s="39"/>
      <c r="D1233" s="39"/>
      <c r="E1233" s="39"/>
      <c r="F1233" s="39"/>
      <c r="G1233" s="39"/>
      <c r="H1233" s="39"/>
      <c r="I1233" s="39"/>
      <c r="J1233" s="39"/>
      <c r="K1233" s="39"/>
      <c r="L1233" s="39"/>
      <c r="M1233" s="39"/>
      <c r="N1233" s="39"/>
      <c r="O1233" s="39"/>
      <c r="P1233" s="39"/>
      <c r="Q1233" s="39"/>
      <c r="R1233" s="39"/>
      <c r="S1233" s="39"/>
      <c r="T1233" s="39"/>
      <c r="U1233" s="39"/>
    </row>
    <row r="1234" spans="1:21" ht="14.5">
      <c r="A1234" s="39"/>
      <c r="B1234" s="39"/>
      <c r="C1234" s="39"/>
      <c r="D1234" s="39"/>
      <c r="E1234" s="39"/>
      <c r="F1234" s="39"/>
      <c r="G1234" s="39"/>
      <c r="H1234" s="39"/>
      <c r="I1234" s="39"/>
      <c r="J1234" s="39"/>
      <c r="K1234" s="39"/>
      <c r="L1234" s="39"/>
      <c r="M1234" s="39"/>
      <c r="N1234" s="39"/>
      <c r="O1234" s="39"/>
      <c r="P1234" s="39"/>
      <c r="Q1234" s="39"/>
      <c r="R1234" s="39"/>
      <c r="S1234" s="39"/>
      <c r="T1234" s="39"/>
      <c r="U1234" s="39"/>
    </row>
    <row r="1235" spans="1:21" ht="14.5">
      <c r="A1235" s="39"/>
      <c r="B1235" s="39"/>
      <c r="C1235" s="39"/>
      <c r="D1235" s="39"/>
      <c r="E1235" s="39"/>
      <c r="F1235" s="39"/>
      <c r="G1235" s="39"/>
      <c r="H1235" s="39"/>
      <c r="I1235" s="39"/>
      <c r="J1235" s="39"/>
      <c r="K1235" s="39"/>
      <c r="L1235" s="39"/>
      <c r="M1235" s="39"/>
      <c r="N1235" s="39"/>
      <c r="O1235" s="39"/>
      <c r="P1235" s="39"/>
      <c r="Q1235" s="39"/>
      <c r="R1235" s="39"/>
      <c r="S1235" s="39"/>
      <c r="T1235" s="39"/>
      <c r="U1235" s="39"/>
    </row>
    <row r="1236" spans="1:21" ht="14.5">
      <c r="A1236" s="39"/>
      <c r="B1236" s="39"/>
      <c r="C1236" s="39"/>
      <c r="D1236" s="39"/>
      <c r="E1236" s="39"/>
      <c r="F1236" s="39"/>
      <c r="G1236" s="39"/>
      <c r="H1236" s="39"/>
      <c r="I1236" s="39"/>
      <c r="J1236" s="39"/>
      <c r="K1236" s="39"/>
      <c r="L1236" s="39"/>
      <c r="M1236" s="39"/>
      <c r="N1236" s="39"/>
      <c r="O1236" s="39"/>
      <c r="P1236" s="39"/>
      <c r="Q1236" s="39"/>
      <c r="R1236" s="39"/>
      <c r="S1236" s="39"/>
      <c r="T1236" s="39"/>
      <c r="U1236" s="39"/>
    </row>
    <row r="1237" spans="1:21" ht="14.5">
      <c r="A1237" s="39"/>
      <c r="B1237" s="39"/>
      <c r="C1237" s="39"/>
      <c r="D1237" s="39"/>
      <c r="E1237" s="39"/>
      <c r="F1237" s="39"/>
      <c r="G1237" s="39"/>
      <c r="H1237" s="39"/>
      <c r="I1237" s="39"/>
      <c r="J1237" s="39"/>
      <c r="K1237" s="39"/>
      <c r="L1237" s="39"/>
      <c r="M1237" s="39"/>
      <c r="N1237" s="39"/>
      <c r="O1237" s="39"/>
      <c r="P1237" s="39"/>
      <c r="Q1237" s="39"/>
      <c r="R1237" s="39"/>
      <c r="S1237" s="39"/>
      <c r="T1237" s="39"/>
      <c r="U1237" s="39"/>
    </row>
    <row r="1238" spans="1:21" ht="14.5">
      <c r="A1238" s="39"/>
      <c r="B1238" s="39"/>
      <c r="C1238" s="39"/>
      <c r="D1238" s="39"/>
      <c r="E1238" s="39"/>
      <c r="F1238" s="39"/>
      <c r="G1238" s="39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39"/>
      <c r="S1238" s="39"/>
      <c r="T1238" s="39"/>
      <c r="U1238" s="39"/>
    </row>
    <row r="1239" spans="1:21" ht="14.5">
      <c r="A1239" s="39"/>
      <c r="B1239" s="39"/>
      <c r="C1239" s="39"/>
      <c r="D1239" s="39"/>
      <c r="E1239" s="39"/>
      <c r="F1239" s="39"/>
      <c r="G1239" s="39"/>
      <c r="H1239" s="39"/>
      <c r="I1239" s="39"/>
      <c r="J1239" s="39"/>
      <c r="K1239" s="39"/>
      <c r="L1239" s="39"/>
      <c r="M1239" s="39"/>
      <c r="N1239" s="39"/>
      <c r="O1239" s="39"/>
      <c r="P1239" s="39"/>
      <c r="Q1239" s="39"/>
      <c r="R1239" s="39"/>
      <c r="S1239" s="39"/>
      <c r="T1239" s="39"/>
      <c r="U1239" s="39"/>
    </row>
    <row r="1240" spans="1:21" ht="14.5">
      <c r="A1240" s="39"/>
      <c r="B1240" s="39"/>
      <c r="C1240" s="39"/>
      <c r="D1240" s="39"/>
      <c r="E1240" s="39"/>
      <c r="F1240" s="39"/>
      <c r="G1240" s="39"/>
      <c r="H1240" s="39"/>
      <c r="I1240" s="39"/>
      <c r="J1240" s="39"/>
      <c r="K1240" s="39"/>
      <c r="L1240" s="39"/>
      <c r="M1240" s="39"/>
      <c r="N1240" s="39"/>
      <c r="O1240" s="39"/>
      <c r="P1240" s="39"/>
      <c r="Q1240" s="39"/>
      <c r="R1240" s="39"/>
      <c r="S1240" s="39"/>
      <c r="T1240" s="39"/>
      <c r="U1240" s="39"/>
    </row>
    <row r="1241" spans="1:21" ht="14.5">
      <c r="A1241" s="39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39"/>
      <c r="R1241" s="39"/>
      <c r="S1241" s="39"/>
      <c r="T1241" s="39"/>
      <c r="U1241" s="39"/>
    </row>
    <row r="1242" spans="1:21" ht="14.5">
      <c r="A1242" s="39"/>
      <c r="B1242" s="39"/>
      <c r="C1242" s="39"/>
      <c r="D1242" s="39"/>
      <c r="E1242" s="39"/>
      <c r="F1242" s="39"/>
      <c r="G1242" s="39"/>
      <c r="H1242" s="39"/>
      <c r="I1242" s="39"/>
      <c r="J1242" s="39"/>
      <c r="K1242" s="39"/>
      <c r="L1242" s="39"/>
      <c r="M1242" s="39"/>
      <c r="N1242" s="39"/>
      <c r="O1242" s="39"/>
      <c r="P1242" s="39"/>
      <c r="Q1242" s="39"/>
      <c r="R1242" s="39"/>
      <c r="S1242" s="39"/>
      <c r="T1242" s="39"/>
      <c r="U1242" s="39"/>
    </row>
    <row r="1243" spans="1:21" ht="14.5">
      <c r="A1243" s="39"/>
      <c r="B1243" s="39"/>
      <c r="C1243" s="39"/>
      <c r="D1243" s="39"/>
      <c r="E1243" s="39"/>
      <c r="F1243" s="39"/>
      <c r="G1243" s="39"/>
      <c r="H1243" s="39"/>
      <c r="I1243" s="39"/>
      <c r="J1243" s="39"/>
      <c r="K1243" s="39"/>
      <c r="L1243" s="39"/>
      <c r="M1243" s="39"/>
      <c r="N1243" s="39"/>
      <c r="O1243" s="39"/>
      <c r="P1243" s="39"/>
      <c r="Q1243" s="39"/>
      <c r="R1243" s="39"/>
      <c r="S1243" s="39"/>
      <c r="T1243" s="39"/>
      <c r="U1243" s="39"/>
    </row>
    <row r="1244" spans="1:21" ht="14.5">
      <c r="A1244" s="39"/>
      <c r="B1244" s="39"/>
      <c r="C1244" s="39"/>
      <c r="D1244" s="39"/>
      <c r="E1244" s="39"/>
      <c r="F1244" s="39"/>
      <c r="G1244" s="39"/>
      <c r="H1244" s="39"/>
      <c r="I1244" s="39"/>
      <c r="J1244" s="39"/>
      <c r="K1244" s="39"/>
      <c r="L1244" s="39"/>
      <c r="M1244" s="39"/>
      <c r="N1244" s="39"/>
      <c r="O1244" s="39"/>
      <c r="P1244" s="39"/>
      <c r="Q1244" s="39"/>
      <c r="R1244" s="39"/>
      <c r="S1244" s="39"/>
      <c r="T1244" s="39"/>
      <c r="U1244" s="39"/>
    </row>
    <row r="1245" spans="1:21" ht="14.5">
      <c r="A1245" s="39"/>
      <c r="B1245" s="39"/>
      <c r="C1245" s="39"/>
      <c r="D1245" s="39"/>
      <c r="E1245" s="39"/>
      <c r="F1245" s="39"/>
      <c r="G1245" s="39"/>
      <c r="H1245" s="39"/>
      <c r="I1245" s="39"/>
      <c r="J1245" s="39"/>
      <c r="K1245" s="39"/>
      <c r="L1245" s="39"/>
      <c r="M1245" s="39"/>
      <c r="N1245" s="39"/>
      <c r="O1245" s="39"/>
      <c r="P1245" s="39"/>
      <c r="Q1245" s="39"/>
      <c r="R1245" s="39"/>
      <c r="S1245" s="39"/>
      <c r="T1245" s="39"/>
      <c r="U1245" s="39"/>
    </row>
    <row r="1246" spans="1:21" ht="14.5">
      <c r="A1246" s="39"/>
      <c r="B1246" s="39"/>
      <c r="C1246" s="39"/>
      <c r="D1246" s="39"/>
      <c r="E1246" s="39"/>
      <c r="F1246" s="39"/>
      <c r="G1246" s="39"/>
      <c r="H1246" s="39"/>
      <c r="I1246" s="39"/>
      <c r="J1246" s="39"/>
      <c r="K1246" s="39"/>
      <c r="L1246" s="39"/>
      <c r="M1246" s="39"/>
      <c r="N1246" s="39"/>
      <c r="O1246" s="39"/>
      <c r="P1246" s="39"/>
      <c r="Q1246" s="39"/>
      <c r="R1246" s="39"/>
      <c r="S1246" s="39"/>
      <c r="T1246" s="39"/>
      <c r="U1246" s="39"/>
    </row>
    <row r="1247" spans="1:21" ht="14.5">
      <c r="A1247" s="39"/>
      <c r="B1247" s="39"/>
      <c r="C1247" s="39"/>
      <c r="D1247" s="39"/>
      <c r="E1247" s="39"/>
      <c r="F1247" s="39"/>
      <c r="G1247" s="39"/>
      <c r="H1247" s="39"/>
      <c r="I1247" s="39"/>
      <c r="J1247" s="39"/>
      <c r="K1247" s="39"/>
      <c r="L1247" s="39"/>
      <c r="M1247" s="39"/>
      <c r="N1247" s="39"/>
      <c r="O1247" s="39"/>
      <c r="P1247" s="39"/>
      <c r="Q1247" s="39"/>
      <c r="R1247" s="39"/>
      <c r="S1247" s="39"/>
      <c r="T1247" s="39"/>
      <c r="U1247" s="39"/>
    </row>
    <row r="1248" spans="1:21" ht="14.5">
      <c r="A1248" s="39"/>
      <c r="B1248" s="39"/>
      <c r="C1248" s="39"/>
      <c r="D1248" s="39"/>
      <c r="E1248" s="39"/>
      <c r="F1248" s="39"/>
      <c r="G1248" s="39"/>
      <c r="H1248" s="39"/>
      <c r="I1248" s="39"/>
      <c r="J1248" s="39"/>
      <c r="K1248" s="39"/>
      <c r="L1248" s="39"/>
      <c r="M1248" s="39"/>
      <c r="N1248" s="39"/>
      <c r="O1248" s="39"/>
      <c r="P1248" s="39"/>
      <c r="Q1248" s="39"/>
      <c r="R1248" s="39"/>
      <c r="S1248" s="39"/>
      <c r="T1248" s="39"/>
      <c r="U1248" s="39"/>
    </row>
    <row r="1249" spans="1:21" ht="14.5">
      <c r="A1249" s="39"/>
      <c r="B1249" s="39"/>
      <c r="C1249" s="39"/>
      <c r="D1249" s="39"/>
      <c r="E1249" s="39"/>
      <c r="F1249" s="39"/>
      <c r="G1249" s="39"/>
      <c r="H1249" s="39"/>
      <c r="I1249" s="39"/>
      <c r="J1249" s="39"/>
      <c r="K1249" s="39"/>
      <c r="L1249" s="39"/>
      <c r="M1249" s="39"/>
      <c r="N1249" s="39"/>
      <c r="O1249" s="39"/>
      <c r="P1249" s="39"/>
      <c r="Q1249" s="39"/>
      <c r="R1249" s="39"/>
      <c r="S1249" s="39"/>
      <c r="T1249" s="39"/>
      <c r="U1249" s="39"/>
    </row>
    <row r="1250" spans="1:21" ht="14.5">
      <c r="A1250" s="39"/>
      <c r="B1250" s="39"/>
      <c r="C1250" s="39"/>
      <c r="D1250" s="39"/>
      <c r="E1250" s="39"/>
      <c r="F1250" s="39"/>
      <c r="G1250" s="39"/>
      <c r="H1250" s="39"/>
      <c r="I1250" s="39"/>
      <c r="J1250" s="39"/>
      <c r="K1250" s="39"/>
      <c r="L1250" s="39"/>
      <c r="M1250" s="39"/>
      <c r="N1250" s="39"/>
      <c r="O1250" s="39"/>
      <c r="P1250" s="39"/>
      <c r="Q1250" s="39"/>
      <c r="R1250" s="39"/>
      <c r="S1250" s="39"/>
      <c r="T1250" s="39"/>
      <c r="U1250" s="39"/>
    </row>
    <row r="1251" spans="1:21" ht="14.5">
      <c r="A1251" s="39"/>
      <c r="B1251" s="39"/>
      <c r="C1251" s="39"/>
      <c r="D1251" s="39"/>
      <c r="E1251" s="39"/>
      <c r="F1251" s="39"/>
      <c r="G1251" s="39"/>
      <c r="H1251" s="39"/>
      <c r="I1251" s="39"/>
      <c r="J1251" s="39"/>
      <c r="K1251" s="39"/>
      <c r="L1251" s="39"/>
      <c r="M1251" s="39"/>
      <c r="N1251" s="39"/>
      <c r="O1251" s="39"/>
      <c r="P1251" s="39"/>
      <c r="Q1251" s="39"/>
      <c r="R1251" s="39"/>
      <c r="S1251" s="39"/>
      <c r="T1251" s="39"/>
      <c r="U1251" s="39"/>
    </row>
    <row r="1252" spans="1:21" ht="14.5">
      <c r="A1252" s="39"/>
      <c r="B1252" s="39"/>
      <c r="C1252" s="39"/>
      <c r="D1252" s="39"/>
      <c r="E1252" s="39"/>
      <c r="F1252" s="39"/>
      <c r="G1252" s="39"/>
      <c r="H1252" s="39"/>
      <c r="I1252" s="39"/>
      <c r="J1252" s="39"/>
      <c r="K1252" s="39"/>
      <c r="L1252" s="39"/>
      <c r="M1252" s="39"/>
      <c r="N1252" s="39"/>
      <c r="O1252" s="39"/>
      <c r="P1252" s="39"/>
      <c r="Q1252" s="39"/>
      <c r="R1252" s="39"/>
      <c r="S1252" s="39"/>
      <c r="T1252" s="39"/>
      <c r="U1252" s="39"/>
    </row>
    <row r="1253" spans="1:21" ht="14.5">
      <c r="A1253" s="39"/>
      <c r="B1253" s="39"/>
      <c r="C1253" s="39"/>
      <c r="D1253" s="39"/>
      <c r="E1253" s="39"/>
      <c r="F1253" s="39"/>
      <c r="G1253" s="39"/>
      <c r="H1253" s="39"/>
      <c r="I1253" s="39"/>
      <c r="J1253" s="39"/>
      <c r="K1253" s="39"/>
      <c r="L1253" s="39"/>
      <c r="M1253" s="39"/>
      <c r="N1253" s="39"/>
      <c r="O1253" s="39"/>
      <c r="P1253" s="39"/>
      <c r="Q1253" s="39"/>
      <c r="R1253" s="39"/>
      <c r="S1253" s="39"/>
      <c r="T1253" s="39"/>
      <c r="U1253" s="39"/>
    </row>
    <row r="1254" spans="1:21" ht="14.5">
      <c r="A1254" s="39"/>
      <c r="B1254" s="39"/>
      <c r="C1254" s="39"/>
      <c r="D1254" s="39"/>
      <c r="E1254" s="39"/>
      <c r="F1254" s="39"/>
      <c r="G1254" s="39"/>
      <c r="H1254" s="39"/>
      <c r="I1254" s="39"/>
      <c r="J1254" s="39"/>
      <c r="K1254" s="39"/>
      <c r="L1254" s="39"/>
      <c r="M1254" s="39"/>
      <c r="N1254" s="39"/>
      <c r="O1254" s="39"/>
      <c r="P1254" s="39"/>
      <c r="Q1254" s="39"/>
      <c r="R1254" s="39"/>
      <c r="S1254" s="39"/>
      <c r="T1254" s="39"/>
      <c r="U1254" s="39"/>
    </row>
    <row r="1255" spans="1:21" ht="14.5">
      <c r="A1255" s="39"/>
      <c r="B1255" s="39"/>
      <c r="C1255" s="39"/>
      <c r="D1255" s="39"/>
      <c r="E1255" s="39"/>
      <c r="F1255" s="39"/>
      <c r="G1255" s="39"/>
      <c r="H1255" s="39"/>
      <c r="I1255" s="39"/>
      <c r="J1255" s="39"/>
      <c r="K1255" s="39"/>
      <c r="L1255" s="39"/>
      <c r="M1255" s="39"/>
      <c r="N1255" s="39"/>
      <c r="O1255" s="39"/>
      <c r="P1255" s="39"/>
      <c r="Q1255" s="39"/>
      <c r="R1255" s="39"/>
      <c r="S1255" s="39"/>
      <c r="T1255" s="39"/>
      <c r="U1255" s="39"/>
    </row>
    <row r="1256" spans="1:21" ht="14.5">
      <c r="A1256" s="39"/>
      <c r="B1256" s="39"/>
      <c r="C1256" s="39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39"/>
      <c r="R1256" s="39"/>
      <c r="S1256" s="39"/>
      <c r="T1256" s="39"/>
      <c r="U1256" s="39"/>
    </row>
    <row r="1257" spans="1:21" ht="14.5">
      <c r="A1257" s="39"/>
      <c r="B1257" s="39"/>
      <c r="C1257" s="39"/>
      <c r="D1257" s="39"/>
      <c r="E1257" s="39"/>
      <c r="F1257" s="39"/>
      <c r="G1257" s="39"/>
      <c r="H1257" s="39"/>
      <c r="I1257" s="39"/>
      <c r="J1257" s="39"/>
      <c r="K1257" s="39"/>
      <c r="L1257" s="39"/>
      <c r="M1257" s="39"/>
      <c r="N1257" s="39"/>
      <c r="O1257" s="39"/>
      <c r="P1257" s="39"/>
      <c r="Q1257" s="39"/>
      <c r="R1257" s="39"/>
      <c r="S1257" s="39"/>
      <c r="T1257" s="39"/>
      <c r="U1257" s="39"/>
    </row>
    <row r="1258" spans="1:21" ht="14.5">
      <c r="A1258" s="39"/>
      <c r="B1258" s="39"/>
      <c r="C1258" s="39"/>
      <c r="D1258" s="39"/>
      <c r="E1258" s="39"/>
      <c r="F1258" s="39"/>
      <c r="G1258" s="39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39"/>
      <c r="S1258" s="39"/>
      <c r="T1258" s="39"/>
      <c r="U1258" s="39"/>
    </row>
    <row r="1259" spans="1:21" ht="14.5">
      <c r="A1259" s="39"/>
      <c r="B1259" s="39"/>
      <c r="C1259" s="39"/>
      <c r="D1259" s="39"/>
      <c r="E1259" s="39"/>
      <c r="F1259" s="39"/>
      <c r="G1259" s="39"/>
      <c r="H1259" s="39"/>
      <c r="I1259" s="39"/>
      <c r="J1259" s="39"/>
      <c r="K1259" s="39"/>
      <c r="L1259" s="39"/>
      <c r="M1259" s="39"/>
      <c r="N1259" s="39"/>
      <c r="O1259" s="39"/>
      <c r="P1259" s="39"/>
      <c r="Q1259" s="39"/>
      <c r="R1259" s="39"/>
      <c r="S1259" s="39"/>
      <c r="T1259" s="39"/>
      <c r="U1259" s="39"/>
    </row>
    <row r="1260" spans="1:21" ht="14.5">
      <c r="A1260" s="39"/>
      <c r="B1260" s="39"/>
      <c r="C1260" s="39"/>
      <c r="D1260" s="39"/>
      <c r="E1260" s="39"/>
      <c r="F1260" s="39"/>
      <c r="G1260" s="39"/>
      <c r="H1260" s="39"/>
      <c r="I1260" s="39"/>
      <c r="J1260" s="39"/>
      <c r="K1260" s="39"/>
      <c r="L1260" s="39"/>
      <c r="M1260" s="39"/>
      <c r="N1260" s="39"/>
      <c r="O1260" s="39"/>
      <c r="P1260" s="39"/>
      <c r="Q1260" s="39"/>
      <c r="R1260" s="39"/>
      <c r="S1260" s="39"/>
      <c r="T1260" s="39"/>
      <c r="U1260" s="39"/>
    </row>
    <row r="1261" spans="1:21" ht="14.5">
      <c r="A1261" s="39"/>
      <c r="B1261" s="39"/>
      <c r="C1261" s="39"/>
      <c r="D1261" s="39"/>
      <c r="E1261" s="39"/>
      <c r="F1261" s="39"/>
      <c r="G1261" s="39"/>
      <c r="H1261" s="39"/>
      <c r="I1261" s="39"/>
      <c r="J1261" s="39"/>
      <c r="K1261" s="39"/>
      <c r="L1261" s="39"/>
      <c r="M1261" s="39"/>
      <c r="N1261" s="39"/>
      <c r="O1261" s="39"/>
      <c r="P1261" s="39"/>
      <c r="Q1261" s="39"/>
      <c r="R1261" s="39"/>
      <c r="S1261" s="39"/>
      <c r="T1261" s="39"/>
      <c r="U1261" s="39"/>
    </row>
    <row r="1262" spans="1:21" ht="14.5">
      <c r="A1262" s="39"/>
      <c r="B1262" s="39"/>
      <c r="C1262" s="39"/>
      <c r="D1262" s="39"/>
      <c r="E1262" s="39"/>
      <c r="F1262" s="39"/>
      <c r="G1262" s="39"/>
      <c r="H1262" s="39"/>
      <c r="I1262" s="39"/>
      <c r="J1262" s="39"/>
      <c r="K1262" s="39"/>
      <c r="L1262" s="39"/>
      <c r="M1262" s="39"/>
      <c r="N1262" s="39"/>
      <c r="O1262" s="39"/>
      <c r="P1262" s="39"/>
      <c r="Q1262" s="39"/>
      <c r="R1262" s="39"/>
      <c r="S1262" s="39"/>
      <c r="T1262" s="39"/>
      <c r="U1262" s="39"/>
    </row>
    <row r="1263" spans="1:21" ht="14.5">
      <c r="A1263" s="39"/>
      <c r="B1263" s="39"/>
      <c r="C1263" s="39"/>
      <c r="D1263" s="39"/>
      <c r="E1263" s="39"/>
      <c r="F1263" s="39"/>
      <c r="G1263" s="39"/>
      <c r="H1263" s="39"/>
      <c r="I1263" s="39"/>
      <c r="J1263" s="39"/>
      <c r="K1263" s="39"/>
      <c r="L1263" s="39"/>
      <c r="M1263" s="39"/>
      <c r="N1263" s="39"/>
      <c r="O1263" s="39"/>
      <c r="P1263" s="39"/>
      <c r="Q1263" s="39"/>
      <c r="R1263" s="39"/>
      <c r="S1263" s="39"/>
      <c r="T1263" s="39"/>
      <c r="U1263" s="39"/>
    </row>
    <row r="1264" spans="1:21" ht="14.5">
      <c r="A1264" s="39"/>
      <c r="B1264" s="39"/>
      <c r="C1264" s="39"/>
      <c r="D1264" s="39"/>
      <c r="E1264" s="39"/>
      <c r="F1264" s="39"/>
      <c r="G1264" s="39"/>
      <c r="H1264" s="39"/>
      <c r="I1264" s="39"/>
      <c r="J1264" s="39"/>
      <c r="K1264" s="39"/>
      <c r="L1264" s="39"/>
      <c r="M1264" s="39"/>
      <c r="N1264" s="39"/>
      <c r="O1264" s="39"/>
      <c r="P1264" s="39"/>
      <c r="Q1264" s="39"/>
      <c r="R1264" s="39"/>
      <c r="S1264" s="39"/>
      <c r="T1264" s="39"/>
      <c r="U1264" s="39"/>
    </row>
    <row r="1265" spans="1:21" ht="14.5">
      <c r="A1265" s="39"/>
      <c r="B1265" s="39"/>
      <c r="C1265" s="39"/>
      <c r="D1265" s="39"/>
      <c r="E1265" s="39"/>
      <c r="F1265" s="39"/>
      <c r="G1265" s="39"/>
      <c r="H1265" s="39"/>
      <c r="I1265" s="39"/>
      <c r="J1265" s="39"/>
      <c r="K1265" s="39"/>
      <c r="L1265" s="39"/>
      <c r="M1265" s="39"/>
      <c r="N1265" s="39"/>
      <c r="O1265" s="39"/>
      <c r="P1265" s="39"/>
      <c r="Q1265" s="39"/>
      <c r="R1265" s="39"/>
      <c r="S1265" s="39"/>
      <c r="T1265" s="39"/>
      <c r="U1265" s="39"/>
    </row>
    <row r="1266" spans="1:21" ht="14.5">
      <c r="A1266" s="39"/>
      <c r="B1266" s="39"/>
      <c r="C1266" s="39"/>
      <c r="D1266" s="39"/>
      <c r="E1266" s="39"/>
      <c r="F1266" s="39"/>
      <c r="G1266" s="39"/>
      <c r="H1266" s="39"/>
      <c r="I1266" s="39"/>
      <c r="J1266" s="39"/>
      <c r="K1266" s="39"/>
      <c r="L1266" s="39"/>
      <c r="M1266" s="39"/>
      <c r="N1266" s="39"/>
      <c r="O1266" s="39"/>
      <c r="P1266" s="39"/>
      <c r="Q1266" s="39"/>
      <c r="R1266" s="39"/>
      <c r="S1266" s="39"/>
      <c r="T1266" s="39"/>
      <c r="U1266" s="39"/>
    </row>
    <row r="1267" spans="1:21" ht="14.5">
      <c r="A1267" s="39"/>
      <c r="B1267" s="39"/>
      <c r="C1267" s="39"/>
      <c r="D1267" s="39"/>
      <c r="E1267" s="39"/>
      <c r="F1267" s="39"/>
      <c r="G1267" s="39"/>
      <c r="H1267" s="39"/>
      <c r="I1267" s="39"/>
      <c r="J1267" s="39"/>
      <c r="K1267" s="39"/>
      <c r="L1267" s="39"/>
      <c r="M1267" s="39"/>
      <c r="N1267" s="39"/>
      <c r="O1267" s="39"/>
      <c r="P1267" s="39"/>
      <c r="Q1267" s="39"/>
      <c r="R1267" s="39"/>
      <c r="S1267" s="39"/>
      <c r="T1267" s="39"/>
      <c r="U1267" s="39"/>
    </row>
    <row r="1268" spans="1:21" ht="14.5">
      <c r="A1268" s="39"/>
      <c r="B1268" s="39"/>
      <c r="C1268" s="39"/>
      <c r="D1268" s="39"/>
      <c r="E1268" s="39"/>
      <c r="F1268" s="39"/>
      <c r="G1268" s="39"/>
      <c r="H1268" s="39"/>
      <c r="I1268" s="39"/>
      <c r="J1268" s="39"/>
      <c r="K1268" s="39"/>
      <c r="L1268" s="39"/>
      <c r="M1268" s="39"/>
      <c r="N1268" s="39"/>
      <c r="O1268" s="39"/>
      <c r="P1268" s="39"/>
      <c r="Q1268" s="39"/>
      <c r="R1268" s="39"/>
      <c r="S1268" s="39"/>
      <c r="T1268" s="39"/>
      <c r="U1268" s="39"/>
    </row>
    <row r="1269" spans="1:21" ht="14.5">
      <c r="A1269" s="39"/>
      <c r="B1269" s="39"/>
      <c r="C1269" s="39"/>
      <c r="D1269" s="39"/>
      <c r="E1269" s="39"/>
      <c r="F1269" s="39"/>
      <c r="G1269" s="39"/>
      <c r="H1269" s="39"/>
      <c r="I1269" s="39"/>
      <c r="J1269" s="39"/>
      <c r="K1269" s="39"/>
      <c r="L1269" s="39"/>
      <c r="M1269" s="39"/>
      <c r="N1269" s="39"/>
      <c r="O1269" s="39"/>
      <c r="P1269" s="39"/>
      <c r="Q1269" s="39"/>
      <c r="R1269" s="39"/>
      <c r="S1269" s="39"/>
      <c r="T1269" s="39"/>
      <c r="U1269" s="39"/>
    </row>
    <row r="1270" spans="1:21" ht="14.5">
      <c r="A1270" s="39"/>
      <c r="B1270" s="39"/>
      <c r="C1270" s="39"/>
      <c r="D1270" s="39"/>
      <c r="E1270" s="39"/>
      <c r="F1270" s="39"/>
      <c r="G1270" s="39"/>
      <c r="H1270" s="39"/>
      <c r="I1270" s="39"/>
      <c r="J1270" s="39"/>
      <c r="K1270" s="39"/>
      <c r="L1270" s="39"/>
      <c r="M1270" s="39"/>
      <c r="N1270" s="39"/>
      <c r="O1270" s="39"/>
      <c r="P1270" s="39"/>
      <c r="Q1270" s="39"/>
      <c r="R1270" s="39"/>
      <c r="S1270" s="39"/>
      <c r="T1270" s="39"/>
      <c r="U1270" s="39"/>
    </row>
    <row r="1271" spans="1:21" ht="14.5">
      <c r="A1271" s="39"/>
      <c r="B1271" s="39"/>
      <c r="C1271" s="39"/>
      <c r="D1271" s="39"/>
      <c r="E1271" s="39"/>
      <c r="F1271" s="39"/>
      <c r="G1271" s="39"/>
      <c r="H1271" s="39"/>
      <c r="I1271" s="39"/>
      <c r="J1271" s="39"/>
      <c r="K1271" s="39"/>
      <c r="L1271" s="39"/>
      <c r="M1271" s="39"/>
      <c r="N1271" s="39"/>
      <c r="O1271" s="39"/>
      <c r="P1271" s="39"/>
      <c r="Q1271" s="39"/>
      <c r="R1271" s="39"/>
      <c r="S1271" s="39"/>
      <c r="T1271" s="39"/>
      <c r="U1271" s="39"/>
    </row>
    <row r="1272" spans="1:21" ht="14.5">
      <c r="A1272" s="39"/>
      <c r="B1272" s="39"/>
      <c r="C1272" s="39"/>
      <c r="D1272" s="39"/>
      <c r="E1272" s="39"/>
      <c r="F1272" s="39"/>
      <c r="G1272" s="39"/>
      <c r="H1272" s="39"/>
      <c r="I1272" s="39"/>
      <c r="J1272" s="39"/>
      <c r="K1272" s="39"/>
      <c r="L1272" s="39"/>
      <c r="M1272" s="39"/>
      <c r="N1272" s="39"/>
      <c r="O1272" s="39"/>
      <c r="P1272" s="39"/>
      <c r="Q1272" s="39"/>
      <c r="R1272" s="39"/>
      <c r="S1272" s="39"/>
      <c r="T1272" s="39"/>
      <c r="U1272" s="39"/>
    </row>
    <row r="1273" spans="1:21" ht="14.5">
      <c r="A1273" s="39"/>
      <c r="B1273" s="39"/>
      <c r="C1273" s="39"/>
      <c r="D1273" s="39"/>
      <c r="E1273" s="39"/>
      <c r="F1273" s="39"/>
      <c r="G1273" s="39"/>
      <c r="H1273" s="39"/>
      <c r="I1273" s="39"/>
      <c r="J1273" s="39"/>
      <c r="K1273" s="39"/>
      <c r="L1273" s="39"/>
      <c r="M1273" s="39"/>
      <c r="N1273" s="39"/>
      <c r="O1273" s="39"/>
      <c r="P1273" s="39"/>
      <c r="Q1273" s="39"/>
      <c r="R1273" s="39"/>
      <c r="S1273" s="39"/>
      <c r="T1273" s="39"/>
      <c r="U1273" s="39"/>
    </row>
    <row r="1274" spans="1:21" ht="14.5">
      <c r="A1274" s="39"/>
      <c r="B1274" s="39"/>
      <c r="C1274" s="39"/>
      <c r="D1274" s="39"/>
      <c r="E1274" s="39"/>
      <c r="F1274" s="39"/>
      <c r="G1274" s="39"/>
      <c r="H1274" s="39"/>
      <c r="I1274" s="39"/>
      <c r="J1274" s="39"/>
      <c r="K1274" s="39"/>
      <c r="L1274" s="39"/>
      <c r="M1274" s="39"/>
      <c r="N1274" s="39"/>
      <c r="O1274" s="39"/>
      <c r="P1274" s="39"/>
      <c r="Q1274" s="39"/>
      <c r="R1274" s="39"/>
      <c r="S1274" s="39"/>
      <c r="T1274" s="39"/>
      <c r="U1274" s="39"/>
    </row>
    <row r="1275" spans="1:21" ht="14.5">
      <c r="A1275" s="39"/>
      <c r="B1275" s="39"/>
      <c r="C1275" s="39"/>
      <c r="D1275" s="39"/>
      <c r="E1275" s="39"/>
      <c r="F1275" s="39"/>
      <c r="G1275" s="39"/>
      <c r="H1275" s="39"/>
      <c r="I1275" s="39"/>
      <c r="J1275" s="39"/>
      <c r="K1275" s="39"/>
      <c r="L1275" s="39"/>
      <c r="M1275" s="39"/>
      <c r="N1275" s="39"/>
      <c r="O1275" s="39"/>
      <c r="P1275" s="39"/>
      <c r="Q1275" s="39"/>
      <c r="R1275" s="39"/>
      <c r="S1275" s="39"/>
      <c r="T1275" s="39"/>
      <c r="U1275" s="39"/>
    </row>
    <row r="1276" spans="1:21" ht="14.5">
      <c r="A1276" s="39"/>
      <c r="B1276" s="39"/>
      <c r="C1276" s="39"/>
      <c r="D1276" s="39"/>
      <c r="E1276" s="39"/>
      <c r="F1276" s="39"/>
      <c r="G1276" s="39"/>
      <c r="H1276" s="39"/>
      <c r="I1276" s="39"/>
      <c r="J1276" s="39"/>
      <c r="K1276" s="39"/>
      <c r="L1276" s="39"/>
      <c r="M1276" s="39"/>
      <c r="N1276" s="39"/>
      <c r="O1276" s="39"/>
      <c r="P1276" s="39"/>
      <c r="Q1276" s="39"/>
      <c r="R1276" s="39"/>
      <c r="S1276" s="39"/>
      <c r="T1276" s="39"/>
      <c r="U1276" s="39"/>
    </row>
    <row r="1277" spans="1:21" ht="14.5">
      <c r="A1277" s="39"/>
      <c r="B1277" s="39"/>
      <c r="C1277" s="39"/>
      <c r="D1277" s="39"/>
      <c r="E1277" s="39"/>
      <c r="F1277" s="39"/>
      <c r="G1277" s="39"/>
      <c r="H1277" s="39"/>
      <c r="I1277" s="39"/>
      <c r="J1277" s="39"/>
      <c r="K1277" s="39"/>
      <c r="L1277" s="39"/>
      <c r="M1277" s="39"/>
      <c r="N1277" s="39"/>
      <c r="O1277" s="39"/>
      <c r="P1277" s="39"/>
      <c r="Q1277" s="39"/>
      <c r="R1277" s="39"/>
      <c r="S1277" s="39"/>
      <c r="T1277" s="39"/>
      <c r="U1277" s="39"/>
    </row>
    <row r="1278" spans="1:21" ht="14.5">
      <c r="A1278" s="39"/>
      <c r="B1278" s="39"/>
      <c r="C1278" s="39"/>
      <c r="D1278" s="39"/>
      <c r="E1278" s="39"/>
      <c r="F1278" s="39"/>
      <c r="G1278" s="39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39"/>
      <c r="S1278" s="39"/>
      <c r="T1278" s="39"/>
      <c r="U1278" s="39"/>
    </row>
    <row r="1279" spans="1:21" ht="14.5">
      <c r="A1279" s="39"/>
      <c r="B1279" s="39"/>
      <c r="C1279" s="39"/>
      <c r="D1279" s="39"/>
      <c r="E1279" s="39"/>
      <c r="F1279" s="39"/>
      <c r="G1279" s="39"/>
      <c r="H1279" s="39"/>
      <c r="I1279" s="39"/>
      <c r="J1279" s="39"/>
      <c r="K1279" s="39"/>
      <c r="L1279" s="39"/>
      <c r="M1279" s="39"/>
      <c r="N1279" s="39"/>
      <c r="O1279" s="39"/>
      <c r="P1279" s="39"/>
      <c r="Q1279" s="39"/>
      <c r="R1279" s="39"/>
      <c r="S1279" s="39"/>
      <c r="T1279" s="39"/>
      <c r="U1279" s="39"/>
    </row>
    <row r="1280" spans="1:21" ht="14.5">
      <c r="A1280" s="39"/>
      <c r="B1280" s="39"/>
      <c r="C1280" s="39"/>
      <c r="D1280" s="39"/>
      <c r="E1280" s="39"/>
      <c r="F1280" s="39"/>
      <c r="G1280" s="39"/>
      <c r="H1280" s="39"/>
      <c r="I1280" s="39"/>
      <c r="J1280" s="39"/>
      <c r="K1280" s="39"/>
      <c r="L1280" s="39"/>
      <c r="M1280" s="39"/>
      <c r="N1280" s="39"/>
      <c r="O1280" s="39"/>
      <c r="P1280" s="39"/>
      <c r="Q1280" s="39"/>
      <c r="R1280" s="39"/>
      <c r="S1280" s="39"/>
      <c r="T1280" s="39"/>
      <c r="U1280" s="39"/>
    </row>
    <row r="1281" spans="1:21" ht="14.5">
      <c r="A1281" s="39"/>
      <c r="B1281" s="39"/>
      <c r="C1281" s="39"/>
      <c r="D1281" s="39"/>
      <c r="E1281" s="39"/>
      <c r="F1281" s="39"/>
      <c r="G1281" s="39"/>
      <c r="H1281" s="39"/>
      <c r="I1281" s="39"/>
      <c r="J1281" s="39"/>
      <c r="K1281" s="39"/>
      <c r="L1281" s="39"/>
      <c r="M1281" s="39"/>
      <c r="N1281" s="39"/>
      <c r="O1281" s="39"/>
      <c r="P1281" s="39"/>
      <c r="Q1281" s="39"/>
      <c r="R1281" s="39"/>
      <c r="S1281" s="39"/>
      <c r="T1281" s="39"/>
      <c r="U1281" s="39"/>
    </row>
    <row r="1282" spans="1:21" ht="14.5">
      <c r="A1282" s="39"/>
      <c r="B1282" s="39"/>
      <c r="C1282" s="39"/>
      <c r="D1282" s="39"/>
      <c r="E1282" s="39"/>
      <c r="F1282" s="39"/>
      <c r="G1282" s="39"/>
      <c r="H1282" s="39"/>
      <c r="I1282" s="39"/>
      <c r="J1282" s="39"/>
      <c r="K1282" s="39"/>
      <c r="L1282" s="39"/>
      <c r="M1282" s="39"/>
      <c r="N1282" s="39"/>
      <c r="O1282" s="39"/>
      <c r="P1282" s="39"/>
      <c r="Q1282" s="39"/>
      <c r="R1282" s="39"/>
      <c r="S1282" s="39"/>
      <c r="T1282" s="39"/>
      <c r="U1282" s="39"/>
    </row>
    <row r="1283" spans="1:21" ht="14.5">
      <c r="A1283" s="39"/>
      <c r="B1283" s="39"/>
      <c r="C1283" s="39"/>
      <c r="D1283" s="39"/>
      <c r="E1283" s="39"/>
      <c r="F1283" s="39"/>
      <c r="G1283" s="39"/>
      <c r="H1283" s="39"/>
      <c r="I1283" s="39"/>
      <c r="J1283" s="39"/>
      <c r="K1283" s="39"/>
      <c r="L1283" s="39"/>
      <c r="M1283" s="39"/>
      <c r="N1283" s="39"/>
      <c r="O1283" s="39"/>
      <c r="P1283" s="39"/>
      <c r="Q1283" s="39"/>
      <c r="R1283" s="39"/>
      <c r="S1283" s="39"/>
      <c r="T1283" s="39"/>
      <c r="U1283" s="39"/>
    </row>
    <row r="1284" spans="1:21" ht="14.5">
      <c r="A1284" s="39"/>
      <c r="B1284" s="39"/>
      <c r="C1284" s="39"/>
      <c r="D1284" s="39"/>
      <c r="E1284" s="39"/>
      <c r="F1284" s="39"/>
      <c r="G1284" s="39"/>
      <c r="H1284" s="39"/>
      <c r="I1284" s="39"/>
      <c r="J1284" s="39"/>
      <c r="K1284" s="39"/>
      <c r="L1284" s="39"/>
      <c r="M1284" s="39"/>
      <c r="N1284" s="39"/>
      <c r="O1284" s="39"/>
      <c r="P1284" s="39"/>
      <c r="Q1284" s="39"/>
      <c r="R1284" s="39"/>
      <c r="S1284" s="39"/>
      <c r="T1284" s="39"/>
      <c r="U1284" s="39"/>
    </row>
    <row r="1285" spans="1:21" ht="14.5">
      <c r="A1285" s="39"/>
      <c r="B1285" s="39"/>
      <c r="C1285" s="39"/>
      <c r="D1285" s="39"/>
      <c r="E1285" s="39"/>
      <c r="F1285" s="39"/>
      <c r="G1285" s="39"/>
      <c r="H1285" s="39"/>
      <c r="I1285" s="39"/>
      <c r="J1285" s="39"/>
      <c r="K1285" s="39"/>
      <c r="L1285" s="39"/>
      <c r="M1285" s="39"/>
      <c r="N1285" s="39"/>
      <c r="O1285" s="39"/>
      <c r="P1285" s="39"/>
      <c r="Q1285" s="39"/>
      <c r="R1285" s="39"/>
      <c r="S1285" s="39"/>
      <c r="T1285" s="39"/>
      <c r="U1285" s="39"/>
    </row>
    <row r="1286" spans="1:21" ht="14.5">
      <c r="A1286" s="39"/>
      <c r="B1286" s="39"/>
      <c r="C1286" s="39"/>
      <c r="D1286" s="39"/>
      <c r="E1286" s="39"/>
      <c r="F1286" s="39"/>
      <c r="G1286" s="39"/>
      <c r="H1286" s="39"/>
      <c r="I1286" s="39"/>
      <c r="J1286" s="39"/>
      <c r="K1286" s="39"/>
      <c r="L1286" s="39"/>
      <c r="M1286" s="39"/>
      <c r="N1286" s="39"/>
      <c r="O1286" s="39"/>
      <c r="P1286" s="39"/>
      <c r="Q1286" s="39"/>
      <c r="R1286" s="39"/>
      <c r="S1286" s="39"/>
      <c r="T1286" s="39"/>
      <c r="U1286" s="39"/>
    </row>
    <row r="1287" spans="1:21" ht="14.5">
      <c r="A1287" s="39"/>
      <c r="B1287" s="39"/>
      <c r="C1287" s="39"/>
      <c r="D1287" s="39"/>
      <c r="E1287" s="39"/>
      <c r="F1287" s="39"/>
      <c r="G1287" s="39"/>
      <c r="H1287" s="39"/>
      <c r="I1287" s="39"/>
      <c r="J1287" s="39"/>
      <c r="K1287" s="39"/>
      <c r="L1287" s="39"/>
      <c r="M1287" s="39"/>
      <c r="N1287" s="39"/>
      <c r="O1287" s="39"/>
      <c r="P1287" s="39"/>
      <c r="Q1287" s="39"/>
      <c r="R1287" s="39"/>
      <c r="S1287" s="39"/>
      <c r="T1287" s="39"/>
      <c r="U1287" s="39"/>
    </row>
    <row r="1288" spans="1:21" ht="14.5">
      <c r="A1288" s="39"/>
      <c r="B1288" s="39"/>
      <c r="C1288" s="39"/>
      <c r="D1288" s="39"/>
      <c r="E1288" s="39"/>
      <c r="F1288" s="39"/>
      <c r="G1288" s="39"/>
      <c r="H1288" s="39"/>
      <c r="I1288" s="39"/>
      <c r="J1288" s="39"/>
      <c r="K1288" s="39"/>
      <c r="L1288" s="39"/>
      <c r="M1288" s="39"/>
      <c r="N1288" s="39"/>
      <c r="O1288" s="39"/>
      <c r="P1288" s="39"/>
      <c r="Q1288" s="39"/>
      <c r="R1288" s="39"/>
      <c r="S1288" s="39"/>
      <c r="T1288" s="39"/>
      <c r="U1288" s="39"/>
    </row>
    <row r="1289" spans="1:21" ht="14.5">
      <c r="A1289" s="39"/>
      <c r="B1289" s="39"/>
      <c r="C1289" s="39"/>
      <c r="D1289" s="39"/>
      <c r="E1289" s="39"/>
      <c r="F1289" s="39"/>
      <c r="G1289" s="39"/>
      <c r="H1289" s="39"/>
      <c r="I1289" s="39"/>
      <c r="J1289" s="39"/>
      <c r="K1289" s="39"/>
      <c r="L1289" s="39"/>
      <c r="M1289" s="39"/>
      <c r="N1289" s="39"/>
      <c r="O1289" s="39"/>
      <c r="P1289" s="39"/>
      <c r="Q1289" s="39"/>
      <c r="R1289" s="39"/>
      <c r="S1289" s="39"/>
      <c r="T1289" s="39"/>
      <c r="U1289" s="39"/>
    </row>
    <row r="1290" spans="1:21" ht="14.5">
      <c r="A1290" s="39"/>
      <c r="B1290" s="39"/>
      <c r="C1290" s="39"/>
      <c r="D1290" s="39"/>
      <c r="E1290" s="39"/>
      <c r="F1290" s="39"/>
      <c r="G1290" s="39"/>
      <c r="H1290" s="39"/>
      <c r="I1290" s="39"/>
      <c r="J1290" s="39"/>
      <c r="K1290" s="39"/>
      <c r="L1290" s="39"/>
      <c r="M1290" s="39"/>
      <c r="N1290" s="39"/>
      <c r="O1290" s="39"/>
      <c r="P1290" s="39"/>
      <c r="Q1290" s="39"/>
      <c r="R1290" s="39"/>
      <c r="S1290" s="39"/>
      <c r="T1290" s="39"/>
      <c r="U1290" s="39"/>
    </row>
    <row r="1291" spans="1:21" ht="14.5">
      <c r="A1291" s="39"/>
      <c r="B1291" s="39"/>
      <c r="C1291" s="39"/>
      <c r="D1291" s="39"/>
      <c r="E1291" s="39"/>
      <c r="F1291" s="39"/>
      <c r="G1291" s="39"/>
      <c r="H1291" s="39"/>
      <c r="I1291" s="39"/>
      <c r="J1291" s="39"/>
      <c r="K1291" s="39"/>
      <c r="L1291" s="39"/>
      <c r="M1291" s="39"/>
      <c r="N1291" s="39"/>
      <c r="O1291" s="39"/>
      <c r="P1291" s="39"/>
      <c r="Q1291" s="39"/>
      <c r="R1291" s="39"/>
      <c r="S1291" s="39"/>
      <c r="T1291" s="39"/>
      <c r="U1291" s="39"/>
    </row>
    <row r="1292" spans="1:21" ht="14.5">
      <c r="A1292" s="39"/>
      <c r="B1292" s="39"/>
      <c r="C1292" s="39"/>
      <c r="D1292" s="39"/>
      <c r="E1292" s="39"/>
      <c r="F1292" s="39"/>
      <c r="G1292" s="39"/>
      <c r="H1292" s="39"/>
      <c r="I1292" s="39"/>
      <c r="J1292" s="39"/>
      <c r="K1292" s="39"/>
      <c r="L1292" s="39"/>
      <c r="M1292" s="39"/>
      <c r="N1292" s="39"/>
      <c r="O1292" s="39"/>
      <c r="P1292" s="39"/>
      <c r="Q1292" s="39"/>
      <c r="R1292" s="39"/>
      <c r="S1292" s="39"/>
      <c r="T1292" s="39"/>
      <c r="U1292" s="39"/>
    </row>
    <row r="1293" spans="1:21" ht="14.5">
      <c r="A1293" s="39"/>
      <c r="B1293" s="39"/>
      <c r="C1293" s="39"/>
      <c r="D1293" s="39"/>
      <c r="E1293" s="39"/>
      <c r="F1293" s="39"/>
      <c r="G1293" s="39"/>
      <c r="H1293" s="39"/>
      <c r="I1293" s="39"/>
      <c r="J1293" s="39"/>
      <c r="K1293" s="39"/>
      <c r="L1293" s="39"/>
      <c r="M1293" s="39"/>
      <c r="N1293" s="39"/>
      <c r="O1293" s="39"/>
      <c r="P1293" s="39"/>
      <c r="Q1293" s="39"/>
      <c r="R1293" s="39"/>
      <c r="S1293" s="39"/>
      <c r="T1293" s="39"/>
      <c r="U1293" s="39"/>
    </row>
    <row r="1294" spans="1:21" ht="14.5">
      <c r="A1294" s="39"/>
      <c r="B1294" s="39"/>
      <c r="C1294" s="39"/>
      <c r="D1294" s="39"/>
      <c r="E1294" s="39"/>
      <c r="F1294" s="39"/>
      <c r="G1294" s="39"/>
      <c r="H1294" s="39"/>
      <c r="I1294" s="39"/>
      <c r="J1294" s="39"/>
      <c r="K1294" s="39"/>
      <c r="L1294" s="39"/>
      <c r="M1294" s="39"/>
      <c r="N1294" s="39"/>
      <c r="O1294" s="39"/>
      <c r="P1294" s="39"/>
      <c r="Q1294" s="39"/>
      <c r="R1294" s="39"/>
      <c r="S1294" s="39"/>
      <c r="T1294" s="39"/>
      <c r="U1294" s="39"/>
    </row>
    <row r="1295" spans="1:21" ht="14.5">
      <c r="A1295" s="39"/>
      <c r="B1295" s="39"/>
      <c r="C1295" s="39"/>
      <c r="D1295" s="39"/>
      <c r="E1295" s="39"/>
      <c r="F1295" s="39"/>
      <c r="G1295" s="39"/>
      <c r="H1295" s="39"/>
      <c r="I1295" s="39"/>
      <c r="J1295" s="39"/>
      <c r="K1295" s="39"/>
      <c r="L1295" s="39"/>
      <c r="M1295" s="39"/>
      <c r="N1295" s="39"/>
      <c r="O1295" s="39"/>
      <c r="P1295" s="39"/>
      <c r="Q1295" s="39"/>
      <c r="R1295" s="39"/>
      <c r="S1295" s="39"/>
      <c r="T1295" s="39"/>
      <c r="U1295" s="39"/>
    </row>
    <row r="1296" spans="1:21" ht="14.5">
      <c r="A1296" s="39"/>
      <c r="B1296" s="39"/>
      <c r="C1296" s="39"/>
      <c r="D1296" s="39"/>
      <c r="E1296" s="39"/>
      <c r="F1296" s="39"/>
      <c r="G1296" s="39"/>
      <c r="H1296" s="39"/>
      <c r="I1296" s="39"/>
      <c r="J1296" s="39"/>
      <c r="K1296" s="39"/>
      <c r="L1296" s="39"/>
      <c r="M1296" s="39"/>
      <c r="N1296" s="39"/>
      <c r="O1296" s="39"/>
      <c r="P1296" s="39"/>
      <c r="Q1296" s="39"/>
      <c r="R1296" s="39"/>
      <c r="S1296" s="39"/>
      <c r="T1296" s="39"/>
      <c r="U1296" s="39"/>
    </row>
    <row r="1297" spans="1:21" ht="14.5">
      <c r="A1297" s="39"/>
      <c r="B1297" s="39"/>
      <c r="C1297" s="39"/>
      <c r="D1297" s="39"/>
      <c r="E1297" s="39"/>
      <c r="F1297" s="39"/>
      <c r="G1297" s="39"/>
      <c r="H1297" s="39"/>
      <c r="I1297" s="39"/>
      <c r="J1297" s="39"/>
      <c r="K1297" s="39"/>
      <c r="L1297" s="39"/>
      <c r="M1297" s="39"/>
      <c r="N1297" s="39"/>
      <c r="O1297" s="39"/>
      <c r="P1297" s="39"/>
      <c r="Q1297" s="39"/>
      <c r="R1297" s="39"/>
      <c r="S1297" s="39"/>
      <c r="T1297" s="39"/>
      <c r="U1297" s="39"/>
    </row>
    <row r="1298" spans="1:21" ht="14.5">
      <c r="A1298" s="39"/>
      <c r="B1298" s="39"/>
      <c r="C1298" s="39"/>
      <c r="D1298" s="39"/>
      <c r="E1298" s="39"/>
      <c r="F1298" s="39"/>
      <c r="G1298" s="39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39"/>
      <c r="S1298" s="39"/>
      <c r="T1298" s="39"/>
      <c r="U1298" s="39"/>
    </row>
    <row r="1299" spans="1:21" ht="14.5">
      <c r="A1299" s="39"/>
      <c r="B1299" s="39"/>
      <c r="C1299" s="39"/>
      <c r="D1299" s="39"/>
      <c r="E1299" s="39"/>
      <c r="F1299" s="39"/>
      <c r="G1299" s="39"/>
      <c r="H1299" s="39"/>
      <c r="I1299" s="39"/>
      <c r="J1299" s="39"/>
      <c r="K1299" s="39"/>
      <c r="L1299" s="39"/>
      <c r="M1299" s="39"/>
      <c r="N1299" s="39"/>
      <c r="O1299" s="39"/>
      <c r="P1299" s="39"/>
      <c r="Q1299" s="39"/>
      <c r="R1299" s="39"/>
      <c r="S1299" s="39"/>
      <c r="T1299" s="39"/>
      <c r="U1299" s="39"/>
    </row>
    <row r="1300" spans="1:21" ht="14.5">
      <c r="A1300" s="39"/>
      <c r="B1300" s="39"/>
      <c r="C1300" s="39"/>
      <c r="D1300" s="39"/>
      <c r="E1300" s="39"/>
      <c r="F1300" s="39"/>
      <c r="G1300" s="39"/>
      <c r="H1300" s="39"/>
      <c r="I1300" s="39"/>
      <c r="J1300" s="39"/>
      <c r="K1300" s="39"/>
      <c r="L1300" s="39"/>
      <c r="M1300" s="39"/>
      <c r="N1300" s="39"/>
      <c r="O1300" s="39"/>
      <c r="P1300" s="39"/>
      <c r="Q1300" s="39"/>
      <c r="R1300" s="39"/>
      <c r="S1300" s="39"/>
      <c r="T1300" s="39"/>
      <c r="U1300" s="39"/>
    </row>
    <row r="1301" spans="1:21" ht="14.5">
      <c r="A1301" s="39"/>
      <c r="B1301" s="39"/>
      <c r="C1301" s="39"/>
      <c r="D1301" s="39"/>
      <c r="E1301" s="39"/>
      <c r="F1301" s="39"/>
      <c r="G1301" s="39"/>
      <c r="H1301" s="39"/>
      <c r="I1301" s="39"/>
      <c r="J1301" s="39"/>
      <c r="K1301" s="39"/>
      <c r="L1301" s="39"/>
      <c r="M1301" s="39"/>
      <c r="N1301" s="39"/>
      <c r="O1301" s="39"/>
      <c r="P1301" s="39"/>
      <c r="Q1301" s="39"/>
      <c r="R1301" s="39"/>
      <c r="S1301" s="39"/>
      <c r="T1301" s="39"/>
      <c r="U1301" s="39"/>
    </row>
    <row r="1302" spans="1:21" ht="14.5">
      <c r="A1302" s="39"/>
      <c r="B1302" s="39"/>
      <c r="C1302" s="39"/>
      <c r="D1302" s="39"/>
      <c r="E1302" s="39"/>
      <c r="F1302" s="39"/>
      <c r="G1302" s="39"/>
      <c r="H1302" s="39"/>
      <c r="I1302" s="39"/>
      <c r="J1302" s="39"/>
      <c r="K1302" s="39"/>
      <c r="L1302" s="39"/>
      <c r="M1302" s="39"/>
      <c r="N1302" s="39"/>
      <c r="O1302" s="39"/>
      <c r="P1302" s="39"/>
      <c r="Q1302" s="39"/>
      <c r="R1302" s="39"/>
      <c r="S1302" s="39"/>
      <c r="T1302" s="39"/>
      <c r="U1302" s="39"/>
    </row>
    <row r="1303" spans="1:21" ht="14.5">
      <c r="A1303" s="39"/>
      <c r="B1303" s="39"/>
      <c r="C1303" s="39"/>
      <c r="D1303" s="39"/>
      <c r="E1303" s="39"/>
      <c r="F1303" s="39"/>
      <c r="G1303" s="39"/>
      <c r="H1303" s="39"/>
      <c r="I1303" s="39"/>
      <c r="J1303" s="39"/>
      <c r="K1303" s="39"/>
      <c r="L1303" s="39"/>
      <c r="M1303" s="39"/>
      <c r="N1303" s="39"/>
      <c r="O1303" s="39"/>
      <c r="P1303" s="39"/>
      <c r="Q1303" s="39"/>
      <c r="R1303" s="39"/>
      <c r="S1303" s="39"/>
      <c r="T1303" s="39"/>
      <c r="U1303" s="39"/>
    </row>
    <row r="1304" spans="1:21" ht="14.5">
      <c r="A1304" s="39"/>
      <c r="B1304" s="39"/>
      <c r="C1304" s="39"/>
      <c r="D1304" s="39"/>
      <c r="E1304" s="39"/>
      <c r="F1304" s="39"/>
      <c r="G1304" s="39"/>
      <c r="H1304" s="39"/>
      <c r="I1304" s="39"/>
      <c r="J1304" s="39"/>
      <c r="K1304" s="39"/>
      <c r="L1304" s="39"/>
      <c r="M1304" s="39"/>
      <c r="N1304" s="39"/>
      <c r="O1304" s="39"/>
      <c r="P1304" s="39"/>
      <c r="Q1304" s="39"/>
      <c r="R1304" s="39"/>
      <c r="S1304" s="39"/>
      <c r="T1304" s="39"/>
      <c r="U1304" s="39"/>
    </row>
    <row r="1305" spans="1:21" ht="14.5">
      <c r="A1305" s="39"/>
      <c r="B1305" s="39"/>
      <c r="C1305" s="39"/>
      <c r="D1305" s="39"/>
      <c r="E1305" s="39"/>
      <c r="F1305" s="39"/>
      <c r="G1305" s="39"/>
      <c r="H1305" s="39"/>
      <c r="I1305" s="39"/>
      <c r="J1305" s="39"/>
      <c r="K1305" s="39"/>
      <c r="L1305" s="39"/>
      <c r="M1305" s="39"/>
      <c r="N1305" s="39"/>
      <c r="O1305" s="39"/>
      <c r="P1305" s="39"/>
      <c r="Q1305" s="39"/>
      <c r="R1305" s="39"/>
      <c r="S1305" s="39"/>
      <c r="T1305" s="39"/>
      <c r="U1305" s="39"/>
    </row>
    <row r="1306" spans="1:21" ht="14.5">
      <c r="A1306" s="39"/>
      <c r="B1306" s="39"/>
      <c r="C1306" s="39"/>
      <c r="D1306" s="39"/>
      <c r="E1306" s="39"/>
      <c r="F1306" s="39"/>
      <c r="G1306" s="39"/>
      <c r="H1306" s="39"/>
      <c r="I1306" s="39"/>
      <c r="J1306" s="39"/>
      <c r="K1306" s="39"/>
      <c r="L1306" s="39"/>
      <c r="M1306" s="39"/>
      <c r="N1306" s="39"/>
      <c r="O1306" s="39"/>
      <c r="P1306" s="39"/>
      <c r="Q1306" s="39"/>
      <c r="R1306" s="39"/>
      <c r="S1306" s="39"/>
      <c r="T1306" s="39"/>
      <c r="U1306" s="39"/>
    </row>
    <row r="1307" spans="1:21" ht="14.5">
      <c r="A1307" s="39"/>
      <c r="B1307" s="39"/>
      <c r="C1307" s="39"/>
      <c r="D1307" s="39"/>
      <c r="E1307" s="39"/>
      <c r="F1307" s="39"/>
      <c r="G1307" s="39"/>
      <c r="H1307" s="39"/>
      <c r="I1307" s="39"/>
      <c r="J1307" s="39"/>
      <c r="K1307" s="39"/>
      <c r="L1307" s="39"/>
      <c r="M1307" s="39"/>
      <c r="N1307" s="39"/>
      <c r="O1307" s="39"/>
      <c r="P1307" s="39"/>
      <c r="Q1307" s="39"/>
      <c r="R1307" s="39"/>
      <c r="S1307" s="39"/>
      <c r="T1307" s="39"/>
      <c r="U1307" s="39"/>
    </row>
    <row r="1308" spans="1:21" ht="14.5">
      <c r="A1308" s="39"/>
      <c r="B1308" s="39"/>
      <c r="C1308" s="39"/>
      <c r="D1308" s="39"/>
      <c r="E1308" s="39"/>
      <c r="F1308" s="39"/>
      <c r="G1308" s="39"/>
      <c r="H1308" s="39"/>
      <c r="I1308" s="39"/>
      <c r="J1308" s="39"/>
      <c r="K1308" s="39"/>
      <c r="L1308" s="39"/>
      <c r="M1308" s="39"/>
      <c r="N1308" s="39"/>
      <c r="O1308" s="39"/>
      <c r="P1308" s="39"/>
      <c r="Q1308" s="39"/>
      <c r="R1308" s="39"/>
      <c r="S1308" s="39"/>
      <c r="T1308" s="39"/>
      <c r="U1308" s="39"/>
    </row>
    <row r="1309" spans="1:21" ht="14.5">
      <c r="A1309" s="39"/>
      <c r="B1309" s="39"/>
      <c r="C1309" s="39"/>
      <c r="D1309" s="39"/>
      <c r="E1309" s="39"/>
      <c r="F1309" s="39"/>
      <c r="G1309" s="39"/>
      <c r="H1309" s="39"/>
      <c r="I1309" s="39"/>
      <c r="J1309" s="39"/>
      <c r="K1309" s="39"/>
      <c r="L1309" s="39"/>
      <c r="M1309" s="39"/>
      <c r="N1309" s="39"/>
      <c r="O1309" s="39"/>
      <c r="P1309" s="39"/>
      <c r="Q1309" s="39"/>
      <c r="R1309" s="39"/>
      <c r="S1309" s="39"/>
      <c r="T1309" s="39"/>
      <c r="U1309" s="39"/>
    </row>
    <row r="1310" spans="1:21" ht="14.5">
      <c r="A1310" s="39"/>
      <c r="B1310" s="39"/>
      <c r="C1310" s="39"/>
      <c r="D1310" s="39"/>
      <c r="E1310" s="39"/>
      <c r="F1310" s="39"/>
      <c r="G1310" s="39"/>
      <c r="H1310" s="39"/>
      <c r="I1310" s="39"/>
      <c r="J1310" s="39"/>
      <c r="K1310" s="39"/>
      <c r="L1310" s="39"/>
      <c r="M1310" s="39"/>
      <c r="N1310" s="39"/>
      <c r="O1310" s="39"/>
      <c r="P1310" s="39"/>
      <c r="Q1310" s="39"/>
      <c r="R1310" s="39"/>
      <c r="S1310" s="39"/>
      <c r="T1310" s="39"/>
      <c r="U1310" s="39"/>
    </row>
    <row r="1311" spans="1:21" ht="14.5">
      <c r="A1311" s="39"/>
      <c r="B1311" s="39"/>
      <c r="C1311" s="39"/>
      <c r="D1311" s="39"/>
      <c r="E1311" s="39"/>
      <c r="F1311" s="39"/>
      <c r="G1311" s="39"/>
      <c r="H1311" s="39"/>
      <c r="I1311" s="39"/>
      <c r="J1311" s="39"/>
      <c r="K1311" s="39"/>
      <c r="L1311" s="39"/>
      <c r="M1311" s="39"/>
      <c r="N1311" s="39"/>
      <c r="O1311" s="39"/>
      <c r="P1311" s="39"/>
      <c r="Q1311" s="39"/>
      <c r="R1311" s="39"/>
      <c r="S1311" s="39"/>
      <c r="T1311" s="39"/>
      <c r="U1311" s="39"/>
    </row>
    <row r="1312" spans="1:21" ht="14.5">
      <c r="A1312" s="39"/>
      <c r="B1312" s="39"/>
      <c r="C1312" s="39"/>
      <c r="D1312" s="39"/>
      <c r="E1312" s="39"/>
      <c r="F1312" s="39"/>
      <c r="G1312" s="39"/>
      <c r="H1312" s="39"/>
      <c r="I1312" s="39"/>
      <c r="J1312" s="39"/>
      <c r="K1312" s="39"/>
      <c r="L1312" s="39"/>
      <c r="M1312" s="39"/>
      <c r="N1312" s="39"/>
      <c r="O1312" s="39"/>
      <c r="P1312" s="39"/>
      <c r="Q1312" s="39"/>
      <c r="R1312" s="39"/>
      <c r="S1312" s="39"/>
      <c r="T1312" s="39"/>
      <c r="U1312" s="39"/>
    </row>
    <row r="1313" spans="1:21" ht="14.5">
      <c r="A1313" s="39"/>
      <c r="B1313" s="39"/>
      <c r="C1313" s="39"/>
      <c r="D1313" s="39"/>
      <c r="E1313" s="39"/>
      <c r="F1313" s="39"/>
      <c r="G1313" s="39"/>
      <c r="H1313" s="39"/>
      <c r="I1313" s="39"/>
      <c r="J1313" s="39"/>
      <c r="K1313" s="39"/>
      <c r="L1313" s="39"/>
      <c r="M1313" s="39"/>
      <c r="N1313" s="39"/>
      <c r="O1313" s="39"/>
      <c r="P1313" s="39"/>
      <c r="Q1313" s="39"/>
      <c r="R1313" s="39"/>
      <c r="S1313" s="39"/>
      <c r="T1313" s="39"/>
      <c r="U1313" s="39"/>
    </row>
    <row r="1314" spans="1:21" ht="14.5">
      <c r="A1314" s="39"/>
      <c r="B1314" s="39"/>
      <c r="C1314" s="39"/>
      <c r="D1314" s="39"/>
      <c r="E1314" s="39"/>
      <c r="F1314" s="39"/>
      <c r="G1314" s="39"/>
      <c r="H1314" s="39"/>
      <c r="I1314" s="39"/>
      <c r="J1314" s="39"/>
      <c r="K1314" s="39"/>
      <c r="L1314" s="39"/>
      <c r="M1314" s="39"/>
      <c r="N1314" s="39"/>
      <c r="O1314" s="39"/>
      <c r="P1314" s="39"/>
      <c r="Q1314" s="39"/>
      <c r="R1314" s="39"/>
      <c r="S1314" s="39"/>
      <c r="T1314" s="39"/>
      <c r="U1314" s="39"/>
    </row>
    <row r="1315" spans="1:21" ht="14.5">
      <c r="A1315" s="39"/>
      <c r="B1315" s="39"/>
      <c r="C1315" s="39"/>
      <c r="D1315" s="39"/>
      <c r="E1315" s="39"/>
      <c r="F1315" s="39"/>
      <c r="G1315" s="39"/>
      <c r="H1315" s="39"/>
      <c r="I1315" s="39"/>
      <c r="J1315" s="39"/>
      <c r="K1315" s="39"/>
      <c r="L1315" s="39"/>
      <c r="M1315" s="39"/>
      <c r="N1315" s="39"/>
      <c r="O1315" s="39"/>
      <c r="P1315" s="39"/>
      <c r="Q1315" s="39"/>
      <c r="R1315" s="39"/>
      <c r="S1315" s="39"/>
      <c r="T1315" s="39"/>
      <c r="U1315" s="39"/>
    </row>
    <row r="1316" spans="1:21" ht="14.5">
      <c r="A1316" s="39"/>
      <c r="B1316" s="39"/>
      <c r="C1316" s="39"/>
      <c r="D1316" s="39"/>
      <c r="E1316" s="39"/>
      <c r="F1316" s="39"/>
      <c r="G1316" s="39"/>
      <c r="H1316" s="39"/>
      <c r="I1316" s="39"/>
      <c r="J1316" s="39"/>
      <c r="K1316" s="39"/>
      <c r="L1316" s="39"/>
      <c r="M1316" s="39"/>
      <c r="N1316" s="39"/>
      <c r="O1316" s="39"/>
      <c r="P1316" s="39"/>
      <c r="Q1316" s="39"/>
      <c r="R1316" s="39"/>
      <c r="S1316" s="39"/>
      <c r="T1316" s="39"/>
      <c r="U1316" s="39"/>
    </row>
    <row r="1317" spans="1:21" ht="14.5">
      <c r="A1317" s="39"/>
      <c r="B1317" s="39"/>
      <c r="C1317" s="39"/>
      <c r="D1317" s="39"/>
      <c r="E1317" s="39"/>
      <c r="F1317" s="39"/>
      <c r="G1317" s="39"/>
      <c r="H1317" s="39"/>
      <c r="I1317" s="39"/>
      <c r="J1317" s="39"/>
      <c r="K1317" s="39"/>
      <c r="L1317" s="39"/>
      <c r="M1317" s="39"/>
      <c r="N1317" s="39"/>
      <c r="O1317" s="39"/>
      <c r="P1317" s="39"/>
      <c r="Q1317" s="39"/>
      <c r="R1317" s="39"/>
      <c r="S1317" s="39"/>
      <c r="T1317" s="39"/>
      <c r="U1317" s="39"/>
    </row>
    <row r="1318" spans="1:21" ht="14.5">
      <c r="A1318" s="39"/>
      <c r="B1318" s="39"/>
      <c r="C1318" s="39"/>
      <c r="D1318" s="39"/>
      <c r="E1318" s="39"/>
      <c r="F1318" s="39"/>
      <c r="G1318" s="39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39"/>
      <c r="S1318" s="39"/>
      <c r="T1318" s="39"/>
      <c r="U1318" s="39"/>
    </row>
    <row r="1319" spans="1:21" ht="14.5">
      <c r="A1319" s="39"/>
      <c r="B1319" s="39"/>
      <c r="C1319" s="39"/>
      <c r="D1319" s="39"/>
      <c r="E1319" s="39"/>
      <c r="F1319" s="39"/>
      <c r="G1319" s="39"/>
      <c r="H1319" s="39"/>
      <c r="I1319" s="39"/>
      <c r="J1319" s="39"/>
      <c r="K1319" s="39"/>
      <c r="L1319" s="39"/>
      <c r="M1319" s="39"/>
      <c r="N1319" s="39"/>
      <c r="O1319" s="39"/>
      <c r="P1319" s="39"/>
      <c r="Q1319" s="39"/>
      <c r="R1319" s="39"/>
      <c r="S1319" s="39"/>
      <c r="T1319" s="39"/>
      <c r="U1319" s="39"/>
    </row>
    <row r="1320" spans="1:21" ht="14.5">
      <c r="A1320" s="39"/>
      <c r="B1320" s="39"/>
      <c r="C1320" s="39"/>
      <c r="D1320" s="39"/>
      <c r="E1320" s="39"/>
      <c r="F1320" s="39"/>
      <c r="G1320" s="39"/>
      <c r="H1320" s="39"/>
      <c r="I1320" s="39"/>
      <c r="J1320" s="39"/>
      <c r="K1320" s="39"/>
      <c r="L1320" s="39"/>
      <c r="M1320" s="39"/>
      <c r="N1320" s="39"/>
      <c r="O1320" s="39"/>
      <c r="P1320" s="39"/>
      <c r="Q1320" s="39"/>
      <c r="R1320" s="39"/>
      <c r="S1320" s="39"/>
      <c r="T1320" s="39"/>
      <c r="U1320" s="39"/>
    </row>
    <row r="1321" spans="1:21" ht="14.5">
      <c r="A1321" s="39"/>
      <c r="B1321" s="39"/>
      <c r="C1321" s="39"/>
      <c r="D1321" s="39"/>
      <c r="E1321" s="39"/>
      <c r="F1321" s="39"/>
      <c r="G1321" s="39"/>
      <c r="H1321" s="39"/>
      <c r="I1321" s="39"/>
      <c r="J1321" s="39"/>
      <c r="K1321" s="39"/>
      <c r="L1321" s="39"/>
      <c r="M1321" s="39"/>
      <c r="N1321" s="39"/>
      <c r="O1321" s="39"/>
      <c r="P1321" s="39"/>
      <c r="Q1321" s="39"/>
      <c r="R1321" s="39"/>
      <c r="S1321" s="39"/>
      <c r="T1321" s="39"/>
      <c r="U1321" s="39"/>
    </row>
    <row r="1322" spans="1:21" ht="14.5">
      <c r="A1322" s="39"/>
      <c r="B1322" s="39"/>
      <c r="C1322" s="39"/>
      <c r="D1322" s="39"/>
      <c r="E1322" s="39"/>
      <c r="F1322" s="39"/>
      <c r="G1322" s="39"/>
      <c r="H1322" s="39"/>
      <c r="I1322" s="39"/>
      <c r="J1322" s="39"/>
      <c r="K1322" s="39"/>
      <c r="L1322" s="39"/>
      <c r="M1322" s="39"/>
      <c r="N1322" s="39"/>
      <c r="O1322" s="39"/>
      <c r="P1322" s="39"/>
      <c r="Q1322" s="39"/>
      <c r="R1322" s="39"/>
      <c r="S1322" s="39"/>
      <c r="T1322" s="39"/>
      <c r="U1322" s="39"/>
    </row>
    <row r="1323" spans="1:21" ht="14.5">
      <c r="A1323" s="39"/>
      <c r="B1323" s="39"/>
      <c r="C1323" s="39"/>
      <c r="D1323" s="39"/>
      <c r="E1323" s="39"/>
      <c r="F1323" s="39"/>
      <c r="G1323" s="39"/>
      <c r="H1323" s="39"/>
      <c r="I1323" s="39"/>
      <c r="J1323" s="39"/>
      <c r="K1323" s="39"/>
      <c r="L1323" s="39"/>
      <c r="M1323" s="39"/>
      <c r="N1323" s="39"/>
      <c r="O1323" s="39"/>
      <c r="P1323" s="39"/>
      <c r="Q1323" s="39"/>
      <c r="R1323" s="39"/>
      <c r="S1323" s="39"/>
      <c r="T1323" s="39"/>
      <c r="U1323" s="39"/>
    </row>
    <row r="1324" spans="1:21" ht="14.5">
      <c r="A1324" s="39"/>
      <c r="B1324" s="39"/>
      <c r="C1324" s="39"/>
      <c r="D1324" s="39"/>
      <c r="E1324" s="39"/>
      <c r="F1324" s="39"/>
      <c r="G1324" s="39"/>
      <c r="H1324" s="39"/>
      <c r="I1324" s="39"/>
      <c r="J1324" s="39"/>
      <c r="K1324" s="39"/>
      <c r="L1324" s="39"/>
      <c r="M1324" s="39"/>
      <c r="N1324" s="39"/>
      <c r="O1324" s="39"/>
      <c r="P1324" s="39"/>
      <c r="Q1324" s="39"/>
      <c r="R1324" s="39"/>
      <c r="S1324" s="39"/>
      <c r="T1324" s="39"/>
      <c r="U1324" s="39"/>
    </row>
    <row r="1325" spans="1:21" ht="14.5">
      <c r="A1325" s="39"/>
      <c r="B1325" s="39"/>
      <c r="C1325" s="39"/>
      <c r="D1325" s="39"/>
      <c r="E1325" s="39"/>
      <c r="F1325" s="39"/>
      <c r="G1325" s="39"/>
      <c r="H1325" s="39"/>
      <c r="I1325" s="39"/>
      <c r="J1325" s="39"/>
      <c r="K1325" s="39"/>
      <c r="L1325" s="39"/>
      <c r="M1325" s="39"/>
      <c r="N1325" s="39"/>
      <c r="O1325" s="39"/>
      <c r="P1325" s="39"/>
      <c r="Q1325" s="39"/>
      <c r="R1325" s="39"/>
      <c r="S1325" s="39"/>
      <c r="T1325" s="39"/>
      <c r="U1325" s="39"/>
    </row>
    <row r="1326" spans="1:21" ht="14.5">
      <c r="A1326" s="39"/>
      <c r="B1326" s="39"/>
      <c r="C1326" s="39"/>
      <c r="D1326" s="39"/>
      <c r="E1326" s="39"/>
      <c r="F1326" s="39"/>
      <c r="G1326" s="39"/>
      <c r="H1326" s="39"/>
      <c r="I1326" s="39"/>
      <c r="J1326" s="39"/>
      <c r="K1326" s="39"/>
      <c r="L1326" s="39"/>
      <c r="M1326" s="39"/>
      <c r="N1326" s="39"/>
      <c r="O1326" s="39"/>
      <c r="P1326" s="39"/>
      <c r="Q1326" s="39"/>
      <c r="R1326" s="39"/>
      <c r="S1326" s="39"/>
      <c r="T1326" s="39"/>
      <c r="U1326" s="39"/>
    </row>
    <row r="1327" spans="1:21" ht="14.5">
      <c r="A1327" s="39"/>
      <c r="B1327" s="39"/>
      <c r="C1327" s="39"/>
      <c r="D1327" s="39"/>
      <c r="E1327" s="39"/>
      <c r="F1327" s="39"/>
      <c r="G1327" s="39"/>
      <c r="H1327" s="39"/>
      <c r="I1327" s="39"/>
      <c r="J1327" s="39"/>
      <c r="K1327" s="39"/>
      <c r="L1327" s="39"/>
      <c r="M1327" s="39"/>
      <c r="N1327" s="39"/>
      <c r="O1327" s="39"/>
      <c r="P1327" s="39"/>
      <c r="Q1327" s="39"/>
      <c r="R1327" s="39"/>
      <c r="S1327" s="39"/>
      <c r="T1327" s="39"/>
      <c r="U1327" s="39"/>
    </row>
    <row r="1328" spans="1:21" ht="14.5">
      <c r="A1328" s="39"/>
      <c r="B1328" s="39"/>
      <c r="C1328" s="39"/>
      <c r="D1328" s="39"/>
      <c r="E1328" s="39"/>
      <c r="F1328" s="39"/>
      <c r="G1328" s="39"/>
      <c r="H1328" s="39"/>
      <c r="I1328" s="39"/>
      <c r="J1328" s="39"/>
      <c r="K1328" s="39"/>
      <c r="L1328" s="39"/>
      <c r="M1328" s="39"/>
      <c r="N1328" s="39"/>
      <c r="O1328" s="39"/>
      <c r="P1328" s="39"/>
      <c r="Q1328" s="39"/>
      <c r="R1328" s="39"/>
      <c r="S1328" s="39"/>
      <c r="T1328" s="39"/>
      <c r="U1328" s="39"/>
    </row>
    <row r="1329" spans="1:21" ht="14.5">
      <c r="A1329" s="39"/>
      <c r="B1329" s="39"/>
      <c r="C1329" s="39"/>
      <c r="D1329" s="39"/>
      <c r="E1329" s="39"/>
      <c r="F1329" s="39"/>
      <c r="G1329" s="39"/>
      <c r="H1329" s="39"/>
      <c r="I1329" s="39"/>
      <c r="J1329" s="39"/>
      <c r="K1329" s="39"/>
      <c r="L1329" s="39"/>
      <c r="M1329" s="39"/>
      <c r="N1329" s="39"/>
      <c r="O1329" s="39"/>
      <c r="P1329" s="39"/>
      <c r="Q1329" s="39"/>
      <c r="R1329" s="39"/>
      <c r="S1329" s="39"/>
      <c r="T1329" s="39"/>
      <c r="U1329" s="39"/>
    </row>
    <row r="1330" spans="1:21" ht="14.5">
      <c r="A1330" s="39"/>
      <c r="B1330" s="39"/>
      <c r="C1330" s="39"/>
      <c r="D1330" s="39"/>
      <c r="E1330" s="39"/>
      <c r="F1330" s="39"/>
      <c r="G1330" s="39"/>
      <c r="H1330" s="39"/>
      <c r="I1330" s="39"/>
      <c r="J1330" s="39"/>
      <c r="K1330" s="39"/>
      <c r="L1330" s="39"/>
      <c r="M1330" s="39"/>
      <c r="N1330" s="39"/>
      <c r="O1330" s="39"/>
      <c r="P1330" s="39"/>
      <c r="Q1330" s="39"/>
      <c r="R1330" s="39"/>
      <c r="S1330" s="39"/>
      <c r="T1330" s="39"/>
      <c r="U1330" s="39"/>
    </row>
    <row r="1331" spans="1:21" ht="14.5">
      <c r="A1331" s="39"/>
      <c r="B1331" s="39"/>
      <c r="C1331" s="39"/>
      <c r="D1331" s="39"/>
      <c r="E1331" s="39"/>
      <c r="F1331" s="39"/>
      <c r="G1331" s="39"/>
      <c r="H1331" s="39"/>
      <c r="I1331" s="39"/>
      <c r="J1331" s="39"/>
      <c r="K1331" s="39"/>
      <c r="L1331" s="39"/>
      <c r="M1331" s="39"/>
      <c r="N1331" s="39"/>
      <c r="O1331" s="39"/>
      <c r="P1331" s="39"/>
      <c r="Q1331" s="39"/>
      <c r="R1331" s="39"/>
      <c r="S1331" s="39"/>
      <c r="T1331" s="39"/>
      <c r="U1331" s="39"/>
    </row>
    <row r="1332" spans="1:21" ht="14.5">
      <c r="A1332" s="39"/>
      <c r="B1332" s="39"/>
      <c r="C1332" s="39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39"/>
      <c r="R1332" s="39"/>
      <c r="S1332" s="39"/>
      <c r="T1332" s="39"/>
      <c r="U1332" s="39"/>
    </row>
    <row r="1333" spans="1:21" ht="14.5">
      <c r="A1333" s="39"/>
      <c r="B1333" s="39"/>
      <c r="C1333" s="39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39"/>
      <c r="R1333" s="39"/>
      <c r="S1333" s="39"/>
      <c r="T1333" s="39"/>
      <c r="U1333" s="39"/>
    </row>
    <row r="1334" spans="1:21" ht="14.5">
      <c r="A1334" s="39"/>
      <c r="B1334" s="39"/>
      <c r="C1334" s="39"/>
      <c r="D1334" s="39"/>
      <c r="E1334" s="39"/>
      <c r="F1334" s="39"/>
      <c r="G1334" s="39"/>
      <c r="H1334" s="39"/>
      <c r="I1334" s="39"/>
      <c r="J1334" s="39"/>
      <c r="K1334" s="39"/>
      <c r="L1334" s="39"/>
      <c r="M1334" s="39"/>
      <c r="N1334" s="39"/>
      <c r="O1334" s="39"/>
      <c r="P1334" s="39"/>
      <c r="Q1334" s="39"/>
      <c r="R1334" s="39"/>
      <c r="S1334" s="39"/>
      <c r="T1334" s="39"/>
      <c r="U1334" s="39"/>
    </row>
    <row r="1335" spans="1:21" ht="14.5">
      <c r="A1335" s="39"/>
      <c r="B1335" s="39"/>
      <c r="C1335" s="39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39"/>
      <c r="R1335" s="39"/>
      <c r="S1335" s="39"/>
      <c r="T1335" s="39"/>
      <c r="U1335" s="39"/>
    </row>
    <row r="1336" spans="1:21" ht="14.5">
      <c r="A1336" s="39"/>
      <c r="B1336" s="39"/>
      <c r="C1336" s="39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39"/>
      <c r="R1336" s="39"/>
      <c r="S1336" s="39"/>
      <c r="T1336" s="39"/>
      <c r="U1336" s="39"/>
    </row>
    <row r="1337" spans="1:21" ht="14.5">
      <c r="A1337" s="39"/>
      <c r="B1337" s="39"/>
      <c r="C1337" s="39"/>
      <c r="D1337" s="39"/>
      <c r="E1337" s="39"/>
      <c r="F1337" s="39"/>
      <c r="G1337" s="39"/>
      <c r="H1337" s="39"/>
      <c r="I1337" s="39"/>
      <c r="J1337" s="39"/>
      <c r="K1337" s="39"/>
      <c r="L1337" s="39"/>
      <c r="M1337" s="39"/>
      <c r="N1337" s="39"/>
      <c r="O1337" s="39"/>
      <c r="P1337" s="39"/>
      <c r="Q1337" s="39"/>
      <c r="R1337" s="39"/>
      <c r="S1337" s="39"/>
      <c r="T1337" s="39"/>
      <c r="U1337" s="39"/>
    </row>
    <row r="1338" spans="1:21" ht="14.5">
      <c r="A1338" s="39"/>
      <c r="B1338" s="39"/>
      <c r="C1338" s="39"/>
      <c r="D1338" s="39"/>
      <c r="E1338" s="39"/>
      <c r="F1338" s="39"/>
      <c r="G1338" s="39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39"/>
      <c r="S1338" s="39"/>
      <c r="T1338" s="39"/>
      <c r="U1338" s="39"/>
    </row>
    <row r="1339" spans="1:21" ht="14.5">
      <c r="A1339" s="39"/>
      <c r="B1339" s="39"/>
      <c r="C1339" s="39"/>
      <c r="D1339" s="39"/>
      <c r="E1339" s="39"/>
      <c r="F1339" s="39"/>
      <c r="G1339" s="39"/>
      <c r="H1339" s="39"/>
      <c r="I1339" s="39"/>
      <c r="J1339" s="39"/>
      <c r="K1339" s="39"/>
      <c r="L1339" s="39"/>
      <c r="M1339" s="39"/>
      <c r="N1339" s="39"/>
      <c r="O1339" s="39"/>
      <c r="P1339" s="39"/>
      <c r="Q1339" s="39"/>
      <c r="R1339" s="39"/>
      <c r="S1339" s="39"/>
      <c r="T1339" s="39"/>
      <c r="U1339" s="39"/>
    </row>
    <row r="1340" spans="1:21" ht="14.5">
      <c r="A1340" s="39"/>
      <c r="B1340" s="39"/>
      <c r="C1340" s="39"/>
      <c r="D1340" s="39"/>
      <c r="E1340" s="39"/>
      <c r="F1340" s="39"/>
      <c r="G1340" s="39"/>
      <c r="H1340" s="39"/>
      <c r="I1340" s="39"/>
      <c r="J1340" s="39"/>
      <c r="K1340" s="39"/>
      <c r="L1340" s="39"/>
      <c r="M1340" s="39"/>
      <c r="N1340" s="39"/>
      <c r="O1340" s="39"/>
      <c r="P1340" s="39"/>
      <c r="Q1340" s="39"/>
      <c r="R1340" s="39"/>
      <c r="S1340" s="39"/>
      <c r="T1340" s="39"/>
      <c r="U1340" s="39"/>
    </row>
    <row r="1341" spans="1:21" ht="14.5">
      <c r="A1341" s="39"/>
      <c r="B1341" s="39"/>
      <c r="C1341" s="39"/>
      <c r="D1341" s="39"/>
      <c r="E1341" s="39"/>
      <c r="F1341" s="39"/>
      <c r="G1341" s="39"/>
      <c r="H1341" s="39"/>
      <c r="I1341" s="39"/>
      <c r="J1341" s="39"/>
      <c r="K1341" s="39"/>
      <c r="L1341" s="39"/>
      <c r="M1341" s="39"/>
      <c r="N1341" s="39"/>
      <c r="O1341" s="39"/>
      <c r="P1341" s="39"/>
      <c r="Q1341" s="39"/>
      <c r="R1341" s="39"/>
      <c r="S1341" s="39"/>
      <c r="T1341" s="39"/>
      <c r="U1341" s="39"/>
    </row>
    <row r="1342" spans="1:21" ht="14.5">
      <c r="A1342" s="39"/>
      <c r="B1342" s="39"/>
      <c r="C1342" s="39"/>
      <c r="D1342" s="39"/>
      <c r="E1342" s="39"/>
      <c r="F1342" s="39"/>
      <c r="G1342" s="39"/>
      <c r="H1342" s="39"/>
      <c r="I1342" s="39"/>
      <c r="J1342" s="39"/>
      <c r="K1342" s="39"/>
      <c r="L1342" s="39"/>
      <c r="M1342" s="39"/>
      <c r="N1342" s="39"/>
      <c r="O1342" s="39"/>
      <c r="P1342" s="39"/>
      <c r="Q1342" s="39"/>
      <c r="R1342" s="39"/>
      <c r="S1342" s="39"/>
      <c r="T1342" s="39"/>
      <c r="U1342" s="39"/>
    </row>
    <row r="1343" spans="1:21" ht="14.5">
      <c r="A1343" s="39"/>
      <c r="B1343" s="39"/>
      <c r="C1343" s="39"/>
      <c r="D1343" s="39"/>
      <c r="E1343" s="39"/>
      <c r="F1343" s="39"/>
      <c r="G1343" s="39"/>
      <c r="H1343" s="39"/>
      <c r="I1343" s="39"/>
      <c r="J1343" s="39"/>
      <c r="K1343" s="39"/>
      <c r="L1343" s="39"/>
      <c r="M1343" s="39"/>
      <c r="N1343" s="39"/>
      <c r="O1343" s="39"/>
      <c r="P1343" s="39"/>
      <c r="Q1343" s="39"/>
      <c r="R1343" s="39"/>
      <c r="S1343" s="39"/>
      <c r="T1343" s="39"/>
      <c r="U1343" s="39"/>
    </row>
    <row r="1344" spans="1:21" ht="14.5">
      <c r="A1344" s="39"/>
      <c r="B1344" s="39"/>
      <c r="C1344" s="39"/>
      <c r="D1344" s="39"/>
      <c r="E1344" s="39"/>
      <c r="F1344" s="39"/>
      <c r="G1344" s="39"/>
      <c r="H1344" s="39"/>
      <c r="I1344" s="39"/>
      <c r="J1344" s="39"/>
      <c r="K1344" s="39"/>
      <c r="L1344" s="39"/>
      <c r="M1344" s="39"/>
      <c r="N1344" s="39"/>
      <c r="O1344" s="39"/>
      <c r="P1344" s="39"/>
      <c r="Q1344" s="39"/>
      <c r="R1344" s="39"/>
      <c r="S1344" s="39"/>
      <c r="T1344" s="39"/>
      <c r="U1344" s="39"/>
    </row>
    <row r="1345" spans="1:21" ht="14.5">
      <c r="A1345" s="39"/>
      <c r="B1345" s="39"/>
      <c r="C1345" s="39"/>
      <c r="D1345" s="39"/>
      <c r="E1345" s="39"/>
      <c r="F1345" s="39"/>
      <c r="G1345" s="39"/>
      <c r="H1345" s="39"/>
      <c r="I1345" s="39"/>
      <c r="J1345" s="39"/>
      <c r="K1345" s="39"/>
      <c r="L1345" s="39"/>
      <c r="M1345" s="39"/>
      <c r="N1345" s="39"/>
      <c r="O1345" s="39"/>
      <c r="P1345" s="39"/>
      <c r="Q1345" s="39"/>
      <c r="R1345" s="39"/>
      <c r="S1345" s="39"/>
      <c r="T1345" s="39"/>
      <c r="U1345" s="39"/>
    </row>
    <row r="1346" spans="1:21" ht="14.5">
      <c r="A1346" s="39"/>
      <c r="B1346" s="39"/>
      <c r="C1346" s="39"/>
      <c r="D1346" s="39"/>
      <c r="E1346" s="39"/>
      <c r="F1346" s="39"/>
      <c r="G1346" s="39"/>
      <c r="H1346" s="39"/>
      <c r="I1346" s="39"/>
      <c r="J1346" s="39"/>
      <c r="K1346" s="39"/>
      <c r="L1346" s="39"/>
      <c r="M1346" s="39"/>
      <c r="N1346" s="39"/>
      <c r="O1346" s="39"/>
      <c r="P1346" s="39"/>
      <c r="Q1346" s="39"/>
      <c r="R1346" s="39"/>
      <c r="S1346" s="39"/>
      <c r="T1346" s="39"/>
      <c r="U1346" s="39"/>
    </row>
    <row r="1347" spans="1:21" ht="14.5">
      <c r="A1347" s="39"/>
      <c r="B1347" s="39"/>
      <c r="C1347" s="39"/>
      <c r="D1347" s="39"/>
      <c r="E1347" s="39"/>
      <c r="F1347" s="39"/>
      <c r="G1347" s="39"/>
      <c r="H1347" s="39"/>
      <c r="I1347" s="39"/>
      <c r="J1347" s="39"/>
      <c r="K1347" s="39"/>
      <c r="L1347" s="39"/>
      <c r="M1347" s="39"/>
      <c r="N1347" s="39"/>
      <c r="O1347" s="39"/>
      <c r="P1347" s="39"/>
      <c r="Q1347" s="39"/>
      <c r="R1347" s="39"/>
      <c r="S1347" s="39"/>
      <c r="T1347" s="39"/>
      <c r="U1347" s="39"/>
    </row>
    <row r="1348" spans="1:21" ht="14.5">
      <c r="A1348" s="39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39"/>
    </row>
    <row r="1349" spans="1:21" ht="14.5">
      <c r="A1349" s="39"/>
      <c r="B1349" s="39"/>
      <c r="C1349" s="39"/>
      <c r="D1349" s="39"/>
      <c r="E1349" s="39"/>
      <c r="F1349" s="39"/>
      <c r="G1349" s="39"/>
      <c r="H1349" s="39"/>
      <c r="I1349" s="39"/>
      <c r="J1349" s="39"/>
      <c r="K1349" s="39"/>
      <c r="L1349" s="39"/>
      <c r="M1349" s="39"/>
      <c r="N1349" s="39"/>
      <c r="O1349" s="39"/>
      <c r="P1349" s="39"/>
      <c r="Q1349" s="39"/>
      <c r="R1349" s="39"/>
      <c r="S1349" s="39"/>
      <c r="T1349" s="39"/>
      <c r="U1349" s="39"/>
    </row>
    <row r="1350" spans="1:21" ht="14.5">
      <c r="A1350" s="39"/>
      <c r="B1350" s="39"/>
      <c r="C1350" s="39"/>
      <c r="D1350" s="39"/>
      <c r="E1350" s="39"/>
      <c r="F1350" s="39"/>
      <c r="G1350" s="39"/>
      <c r="H1350" s="39"/>
      <c r="I1350" s="39"/>
      <c r="J1350" s="39"/>
      <c r="K1350" s="39"/>
      <c r="L1350" s="39"/>
      <c r="M1350" s="39"/>
      <c r="N1350" s="39"/>
      <c r="O1350" s="39"/>
      <c r="P1350" s="39"/>
      <c r="Q1350" s="39"/>
      <c r="R1350" s="39"/>
      <c r="S1350" s="39"/>
      <c r="T1350" s="39"/>
      <c r="U1350" s="39"/>
    </row>
    <row r="1351" spans="1:21" ht="14.5">
      <c r="A1351" s="39"/>
      <c r="B1351" s="39"/>
      <c r="C1351" s="39"/>
      <c r="D1351" s="39"/>
      <c r="E1351" s="39"/>
      <c r="F1351" s="39"/>
      <c r="G1351" s="39"/>
      <c r="H1351" s="39"/>
      <c r="I1351" s="39"/>
      <c r="J1351" s="39"/>
      <c r="K1351" s="39"/>
      <c r="L1351" s="39"/>
      <c r="M1351" s="39"/>
      <c r="N1351" s="39"/>
      <c r="O1351" s="39"/>
      <c r="P1351" s="39"/>
      <c r="Q1351" s="39"/>
      <c r="R1351" s="39"/>
      <c r="S1351" s="39"/>
      <c r="T1351" s="39"/>
      <c r="U1351" s="39"/>
    </row>
    <row r="1352" spans="1:21" ht="14.5">
      <c r="A1352" s="39"/>
      <c r="B1352" s="39"/>
      <c r="C1352" s="39"/>
      <c r="D1352" s="39"/>
      <c r="E1352" s="39"/>
      <c r="F1352" s="39"/>
      <c r="G1352" s="39"/>
      <c r="H1352" s="39"/>
      <c r="I1352" s="39"/>
      <c r="J1352" s="39"/>
      <c r="K1352" s="39"/>
      <c r="L1352" s="39"/>
      <c r="M1352" s="39"/>
      <c r="N1352" s="39"/>
      <c r="O1352" s="39"/>
      <c r="P1352" s="39"/>
      <c r="Q1352" s="39"/>
      <c r="R1352" s="39"/>
      <c r="S1352" s="39"/>
      <c r="T1352" s="39"/>
      <c r="U1352" s="39"/>
    </row>
    <row r="1353" spans="1:21" ht="14.5">
      <c r="A1353" s="39"/>
      <c r="B1353" s="39"/>
      <c r="C1353" s="39"/>
      <c r="D1353" s="39"/>
      <c r="E1353" s="39"/>
      <c r="F1353" s="39"/>
      <c r="G1353" s="39"/>
      <c r="H1353" s="39"/>
      <c r="I1353" s="39"/>
      <c r="J1353" s="39"/>
      <c r="K1353" s="39"/>
      <c r="L1353" s="39"/>
      <c r="M1353" s="39"/>
      <c r="N1353" s="39"/>
      <c r="O1353" s="39"/>
      <c r="P1353" s="39"/>
      <c r="Q1353" s="39"/>
      <c r="R1353" s="39"/>
      <c r="S1353" s="39"/>
      <c r="T1353" s="39"/>
      <c r="U1353" s="39"/>
    </row>
    <row r="1354" spans="1:21" ht="14.5">
      <c r="A1354" s="39"/>
      <c r="B1354" s="39"/>
      <c r="C1354" s="39"/>
      <c r="D1354" s="39"/>
      <c r="E1354" s="39"/>
      <c r="F1354" s="39"/>
      <c r="G1354" s="39"/>
      <c r="H1354" s="39"/>
      <c r="I1354" s="39"/>
      <c r="J1354" s="39"/>
      <c r="K1354" s="39"/>
      <c r="L1354" s="39"/>
      <c r="M1354" s="39"/>
      <c r="N1354" s="39"/>
      <c r="O1354" s="39"/>
      <c r="P1354" s="39"/>
      <c r="Q1354" s="39"/>
      <c r="R1354" s="39"/>
      <c r="S1354" s="39"/>
      <c r="T1354" s="39"/>
      <c r="U1354" s="39"/>
    </row>
    <row r="1355" spans="1:21" ht="14.5">
      <c r="A1355" s="39"/>
      <c r="B1355" s="39"/>
      <c r="C1355" s="39"/>
      <c r="D1355" s="39"/>
      <c r="E1355" s="39"/>
      <c r="F1355" s="39"/>
      <c r="G1355" s="39"/>
      <c r="H1355" s="39"/>
      <c r="I1355" s="39"/>
      <c r="J1355" s="39"/>
      <c r="K1355" s="39"/>
      <c r="L1355" s="39"/>
      <c r="M1355" s="39"/>
      <c r="N1355" s="39"/>
      <c r="O1355" s="39"/>
      <c r="P1355" s="39"/>
      <c r="Q1355" s="39"/>
      <c r="R1355" s="39"/>
      <c r="S1355" s="39"/>
      <c r="T1355" s="39"/>
      <c r="U1355" s="39"/>
    </row>
    <row r="1356" spans="1:21" ht="14.5">
      <c r="A1356" s="39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39"/>
      <c r="R1356" s="39"/>
      <c r="S1356" s="39"/>
      <c r="T1356" s="39"/>
      <c r="U1356" s="39"/>
    </row>
    <row r="1357" spans="1:21" ht="14.5">
      <c r="A1357" s="39"/>
      <c r="B1357" s="39"/>
      <c r="C1357" s="39"/>
      <c r="D1357" s="39"/>
      <c r="E1357" s="39"/>
      <c r="F1357" s="39"/>
      <c r="G1357" s="39"/>
      <c r="H1357" s="39"/>
      <c r="I1357" s="39"/>
      <c r="J1357" s="39"/>
      <c r="K1357" s="39"/>
      <c r="L1357" s="39"/>
      <c r="M1357" s="39"/>
      <c r="N1357" s="39"/>
      <c r="O1357" s="39"/>
      <c r="P1357" s="39"/>
      <c r="Q1357" s="39"/>
      <c r="R1357" s="39"/>
      <c r="S1357" s="39"/>
      <c r="T1357" s="39"/>
      <c r="U1357" s="39"/>
    </row>
    <row r="1358" spans="1:21" ht="14.5">
      <c r="A1358" s="39"/>
      <c r="B1358" s="39"/>
      <c r="C1358" s="39"/>
      <c r="D1358" s="39"/>
      <c r="E1358" s="39"/>
      <c r="F1358" s="39"/>
      <c r="G1358" s="39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39"/>
      <c r="S1358" s="39"/>
      <c r="T1358" s="39"/>
      <c r="U1358" s="39"/>
    </row>
    <row r="1359" spans="1:21" ht="14.5">
      <c r="A1359" s="39"/>
      <c r="B1359" s="39"/>
      <c r="C1359" s="39"/>
      <c r="D1359" s="39"/>
      <c r="E1359" s="39"/>
      <c r="F1359" s="39"/>
      <c r="G1359" s="39"/>
      <c r="H1359" s="39"/>
      <c r="I1359" s="39"/>
      <c r="J1359" s="39"/>
      <c r="K1359" s="39"/>
      <c r="L1359" s="39"/>
      <c r="M1359" s="39"/>
      <c r="N1359" s="39"/>
      <c r="O1359" s="39"/>
      <c r="P1359" s="39"/>
      <c r="Q1359" s="39"/>
      <c r="R1359" s="39"/>
      <c r="S1359" s="39"/>
      <c r="T1359" s="39"/>
      <c r="U1359" s="39"/>
    </row>
    <row r="1360" spans="1:21" ht="14.5">
      <c r="A1360" s="39"/>
      <c r="B1360" s="39"/>
      <c r="C1360" s="39"/>
      <c r="D1360" s="39"/>
      <c r="E1360" s="39"/>
      <c r="F1360" s="39"/>
      <c r="G1360" s="39"/>
      <c r="H1360" s="39"/>
      <c r="I1360" s="39"/>
      <c r="J1360" s="39"/>
      <c r="K1360" s="39"/>
      <c r="L1360" s="39"/>
      <c r="M1360" s="39"/>
      <c r="N1360" s="39"/>
      <c r="O1360" s="39"/>
      <c r="P1360" s="39"/>
      <c r="Q1360" s="39"/>
      <c r="R1360" s="39"/>
      <c r="S1360" s="39"/>
      <c r="T1360" s="39"/>
      <c r="U1360" s="39"/>
    </row>
    <row r="1361" spans="1:21" ht="14.5">
      <c r="A1361" s="39"/>
      <c r="B1361" s="39"/>
      <c r="C1361" s="39"/>
      <c r="D1361" s="39"/>
      <c r="E1361" s="39"/>
      <c r="F1361" s="39"/>
      <c r="G1361" s="39"/>
      <c r="H1361" s="39"/>
      <c r="I1361" s="39"/>
      <c r="J1361" s="39"/>
      <c r="K1361" s="39"/>
      <c r="L1361" s="39"/>
      <c r="M1361" s="39"/>
      <c r="N1361" s="39"/>
      <c r="O1361" s="39"/>
      <c r="P1361" s="39"/>
      <c r="Q1361" s="39"/>
      <c r="R1361" s="39"/>
      <c r="S1361" s="39"/>
      <c r="T1361" s="39"/>
      <c r="U1361" s="39"/>
    </row>
    <row r="1362" spans="1:21" ht="14.5">
      <c r="A1362" s="39"/>
      <c r="B1362" s="39"/>
      <c r="C1362" s="39"/>
      <c r="D1362" s="39"/>
      <c r="E1362" s="39"/>
      <c r="F1362" s="39"/>
      <c r="G1362" s="39"/>
      <c r="H1362" s="39"/>
      <c r="I1362" s="39"/>
      <c r="J1362" s="39"/>
      <c r="K1362" s="39"/>
      <c r="L1362" s="39"/>
      <c r="M1362" s="39"/>
      <c r="N1362" s="39"/>
      <c r="O1362" s="39"/>
      <c r="P1362" s="39"/>
      <c r="Q1362" s="39"/>
      <c r="R1362" s="39"/>
      <c r="S1362" s="39"/>
      <c r="T1362" s="39"/>
      <c r="U1362" s="39"/>
    </row>
    <row r="1363" spans="1:21" ht="14.5">
      <c r="A1363" s="39"/>
      <c r="B1363" s="39"/>
      <c r="C1363" s="39"/>
      <c r="D1363" s="39"/>
      <c r="E1363" s="39"/>
      <c r="F1363" s="39"/>
      <c r="G1363" s="39"/>
      <c r="H1363" s="39"/>
      <c r="I1363" s="39"/>
      <c r="J1363" s="39"/>
      <c r="K1363" s="39"/>
      <c r="L1363" s="39"/>
      <c r="M1363" s="39"/>
      <c r="N1363" s="39"/>
      <c r="O1363" s="39"/>
      <c r="P1363" s="39"/>
      <c r="Q1363" s="39"/>
      <c r="R1363" s="39"/>
      <c r="S1363" s="39"/>
      <c r="T1363" s="39"/>
      <c r="U1363" s="39"/>
    </row>
    <row r="1364" spans="1:21" ht="14.5">
      <c r="A1364" s="39"/>
      <c r="B1364" s="39"/>
      <c r="C1364" s="39"/>
      <c r="D1364" s="39"/>
      <c r="E1364" s="39"/>
      <c r="F1364" s="39"/>
      <c r="G1364" s="39"/>
      <c r="H1364" s="39"/>
      <c r="I1364" s="39"/>
      <c r="J1364" s="39"/>
      <c r="K1364" s="39"/>
      <c r="L1364" s="39"/>
      <c r="M1364" s="39"/>
      <c r="N1364" s="39"/>
      <c r="O1364" s="39"/>
      <c r="P1364" s="39"/>
      <c r="Q1364" s="39"/>
      <c r="R1364" s="39"/>
      <c r="S1364" s="39"/>
      <c r="T1364" s="39"/>
      <c r="U1364" s="39"/>
    </row>
    <row r="1365" spans="1:21" ht="14.5">
      <c r="A1365" s="39"/>
      <c r="B1365" s="39"/>
      <c r="C1365" s="39"/>
      <c r="D1365" s="39"/>
      <c r="E1365" s="39"/>
      <c r="F1365" s="39"/>
      <c r="G1365" s="39"/>
      <c r="H1365" s="39"/>
      <c r="I1365" s="39"/>
      <c r="J1365" s="39"/>
      <c r="K1365" s="39"/>
      <c r="L1365" s="39"/>
      <c r="M1365" s="39"/>
      <c r="N1365" s="39"/>
      <c r="O1365" s="39"/>
      <c r="P1365" s="39"/>
      <c r="Q1365" s="39"/>
      <c r="R1365" s="39"/>
      <c r="S1365" s="39"/>
      <c r="T1365" s="39"/>
      <c r="U1365" s="39"/>
    </row>
    <row r="1366" spans="1:21" ht="14.5">
      <c r="A1366" s="39"/>
      <c r="B1366" s="39"/>
      <c r="C1366" s="39"/>
      <c r="D1366" s="39"/>
      <c r="E1366" s="39"/>
      <c r="F1366" s="39"/>
      <c r="G1366" s="39"/>
      <c r="H1366" s="39"/>
      <c r="I1366" s="39"/>
      <c r="J1366" s="39"/>
      <c r="K1366" s="39"/>
      <c r="L1366" s="39"/>
      <c r="M1366" s="39"/>
      <c r="N1366" s="39"/>
      <c r="O1366" s="39"/>
      <c r="P1366" s="39"/>
      <c r="Q1366" s="39"/>
      <c r="R1366" s="39"/>
      <c r="S1366" s="39"/>
      <c r="T1366" s="39"/>
      <c r="U1366" s="39"/>
    </row>
    <row r="1367" spans="1:21" ht="14.5">
      <c r="A1367" s="39"/>
      <c r="B1367" s="39"/>
      <c r="C1367" s="39"/>
      <c r="D1367" s="39"/>
      <c r="E1367" s="39"/>
      <c r="F1367" s="39"/>
      <c r="G1367" s="39"/>
      <c r="H1367" s="39"/>
      <c r="I1367" s="39"/>
      <c r="J1367" s="39"/>
      <c r="K1367" s="39"/>
      <c r="L1367" s="39"/>
      <c r="M1367" s="39"/>
      <c r="N1367" s="39"/>
      <c r="O1367" s="39"/>
      <c r="P1367" s="39"/>
      <c r="Q1367" s="39"/>
      <c r="R1367" s="39"/>
      <c r="S1367" s="39"/>
      <c r="T1367" s="39"/>
      <c r="U1367" s="39"/>
    </row>
    <row r="1368" spans="1:21" ht="14.5">
      <c r="A1368" s="39"/>
      <c r="B1368" s="39"/>
      <c r="C1368" s="39"/>
      <c r="D1368" s="39"/>
      <c r="E1368" s="39"/>
      <c r="F1368" s="39"/>
      <c r="G1368" s="39"/>
      <c r="H1368" s="39"/>
      <c r="I1368" s="39"/>
      <c r="J1368" s="39"/>
      <c r="K1368" s="39"/>
      <c r="L1368" s="39"/>
      <c r="M1368" s="39"/>
      <c r="N1368" s="39"/>
      <c r="O1368" s="39"/>
      <c r="P1368" s="39"/>
      <c r="Q1368" s="39"/>
      <c r="R1368" s="39"/>
      <c r="S1368" s="39"/>
      <c r="T1368" s="39"/>
      <c r="U1368" s="39"/>
    </row>
    <row r="1369" spans="1:21" ht="14.5">
      <c r="A1369" s="39"/>
      <c r="B1369" s="39"/>
      <c r="C1369" s="39"/>
      <c r="D1369" s="39"/>
      <c r="E1369" s="39"/>
      <c r="F1369" s="39"/>
      <c r="G1369" s="39"/>
      <c r="H1369" s="39"/>
      <c r="I1369" s="39"/>
      <c r="J1369" s="39"/>
      <c r="K1369" s="39"/>
      <c r="L1369" s="39"/>
      <c r="M1369" s="39"/>
      <c r="N1369" s="39"/>
      <c r="O1369" s="39"/>
      <c r="P1369" s="39"/>
      <c r="Q1369" s="39"/>
      <c r="R1369" s="39"/>
      <c r="S1369" s="39"/>
      <c r="T1369" s="39"/>
      <c r="U1369" s="39"/>
    </row>
    <row r="1370" spans="1:21" ht="14.5">
      <c r="A1370" s="39"/>
      <c r="B1370" s="39"/>
      <c r="C1370" s="39"/>
      <c r="D1370" s="39"/>
      <c r="E1370" s="39"/>
      <c r="F1370" s="39"/>
      <c r="G1370" s="39"/>
      <c r="H1370" s="39"/>
      <c r="I1370" s="39"/>
      <c r="J1370" s="39"/>
      <c r="K1370" s="39"/>
      <c r="L1370" s="39"/>
      <c r="M1370" s="39"/>
      <c r="N1370" s="39"/>
      <c r="O1370" s="39"/>
      <c r="P1370" s="39"/>
      <c r="Q1370" s="39"/>
      <c r="R1370" s="39"/>
      <c r="S1370" s="39"/>
      <c r="T1370" s="39"/>
      <c r="U1370" s="39"/>
    </row>
    <row r="1371" spans="1:21" ht="14.5">
      <c r="A1371" s="39"/>
      <c r="B1371" s="39"/>
      <c r="C1371" s="39"/>
      <c r="D1371" s="39"/>
      <c r="E1371" s="39"/>
      <c r="F1371" s="39"/>
      <c r="G1371" s="39"/>
      <c r="H1371" s="39"/>
      <c r="I1371" s="39"/>
      <c r="J1371" s="39"/>
      <c r="K1371" s="39"/>
      <c r="L1371" s="39"/>
      <c r="M1371" s="39"/>
      <c r="N1371" s="39"/>
      <c r="O1371" s="39"/>
      <c r="P1371" s="39"/>
      <c r="Q1371" s="39"/>
      <c r="R1371" s="39"/>
      <c r="S1371" s="39"/>
      <c r="T1371" s="39"/>
      <c r="U1371" s="39"/>
    </row>
    <row r="1372" spans="1:21" ht="14.5">
      <c r="A1372" s="39"/>
      <c r="B1372" s="39"/>
      <c r="C1372" s="39"/>
      <c r="D1372" s="39"/>
      <c r="E1372" s="39"/>
      <c r="F1372" s="39"/>
      <c r="G1372" s="39"/>
      <c r="H1372" s="39"/>
      <c r="I1372" s="39"/>
      <c r="J1372" s="39"/>
      <c r="K1372" s="39"/>
      <c r="L1372" s="39"/>
      <c r="M1372" s="39"/>
      <c r="N1372" s="39"/>
      <c r="O1372" s="39"/>
      <c r="P1372" s="39"/>
      <c r="Q1372" s="39"/>
      <c r="R1372" s="39"/>
      <c r="S1372" s="39"/>
      <c r="T1372" s="39"/>
      <c r="U1372" s="39"/>
    </row>
    <row r="1373" spans="1:21" ht="14.5">
      <c r="A1373" s="39"/>
      <c r="B1373" s="39"/>
      <c r="C1373" s="39"/>
      <c r="D1373" s="39"/>
      <c r="E1373" s="39"/>
      <c r="F1373" s="39"/>
      <c r="G1373" s="39"/>
      <c r="H1373" s="39"/>
      <c r="I1373" s="39"/>
      <c r="J1373" s="39"/>
      <c r="K1373" s="39"/>
      <c r="L1373" s="39"/>
      <c r="M1373" s="39"/>
      <c r="N1373" s="39"/>
      <c r="O1373" s="39"/>
      <c r="P1373" s="39"/>
      <c r="Q1373" s="39"/>
      <c r="R1373" s="39"/>
      <c r="S1373" s="39"/>
      <c r="T1373" s="39"/>
      <c r="U1373" s="39"/>
    </row>
    <row r="1374" spans="1:21" ht="14.5">
      <c r="A1374" s="39"/>
      <c r="B1374" s="39"/>
      <c r="C1374" s="39"/>
      <c r="D1374" s="39"/>
      <c r="E1374" s="39"/>
      <c r="F1374" s="39"/>
      <c r="G1374" s="39"/>
      <c r="H1374" s="39"/>
      <c r="I1374" s="39"/>
      <c r="J1374" s="39"/>
      <c r="K1374" s="39"/>
      <c r="L1374" s="39"/>
      <c r="M1374" s="39"/>
      <c r="N1374" s="39"/>
      <c r="O1374" s="39"/>
      <c r="P1374" s="39"/>
      <c r="Q1374" s="39"/>
      <c r="R1374" s="39"/>
      <c r="S1374" s="39"/>
      <c r="T1374" s="39"/>
      <c r="U1374" s="39"/>
    </row>
    <row r="1375" spans="1:21" ht="14.5">
      <c r="A1375" s="39"/>
      <c r="B1375" s="39"/>
      <c r="C1375" s="39"/>
      <c r="D1375" s="39"/>
      <c r="E1375" s="39"/>
      <c r="F1375" s="39"/>
      <c r="G1375" s="39"/>
      <c r="H1375" s="39"/>
      <c r="I1375" s="39"/>
      <c r="J1375" s="39"/>
      <c r="K1375" s="39"/>
      <c r="L1375" s="39"/>
      <c r="M1375" s="39"/>
      <c r="N1375" s="39"/>
      <c r="O1375" s="39"/>
      <c r="P1375" s="39"/>
      <c r="Q1375" s="39"/>
      <c r="R1375" s="39"/>
      <c r="S1375" s="39"/>
      <c r="T1375" s="39"/>
      <c r="U1375" s="39"/>
    </row>
    <row r="1376" spans="1:21" ht="14.5">
      <c r="A1376" s="39"/>
      <c r="B1376" s="39"/>
      <c r="C1376" s="39"/>
      <c r="D1376" s="39"/>
      <c r="E1376" s="39"/>
      <c r="F1376" s="39"/>
      <c r="G1376" s="39"/>
      <c r="H1376" s="39"/>
      <c r="I1376" s="39"/>
      <c r="J1376" s="39"/>
      <c r="K1376" s="39"/>
      <c r="L1376" s="39"/>
      <c r="M1376" s="39"/>
      <c r="N1376" s="39"/>
      <c r="O1376" s="39"/>
      <c r="P1376" s="39"/>
      <c r="Q1376" s="39"/>
      <c r="R1376" s="39"/>
      <c r="S1376" s="39"/>
      <c r="T1376" s="39"/>
      <c r="U1376" s="39"/>
    </row>
    <row r="1377" spans="1:21" ht="14.5">
      <c r="A1377" s="39"/>
      <c r="B1377" s="39"/>
      <c r="C1377" s="39"/>
      <c r="D1377" s="39"/>
      <c r="E1377" s="39"/>
      <c r="F1377" s="39"/>
      <c r="G1377" s="39"/>
      <c r="H1377" s="39"/>
      <c r="I1377" s="39"/>
      <c r="J1377" s="39"/>
      <c r="K1377" s="39"/>
      <c r="L1377" s="39"/>
      <c r="M1377" s="39"/>
      <c r="N1377" s="39"/>
      <c r="O1377" s="39"/>
      <c r="P1377" s="39"/>
      <c r="Q1377" s="39"/>
      <c r="R1377" s="39"/>
      <c r="S1377" s="39"/>
      <c r="T1377" s="39"/>
      <c r="U1377" s="39"/>
    </row>
    <row r="1378" spans="1:21" ht="14.5">
      <c r="A1378" s="39"/>
      <c r="B1378" s="39"/>
      <c r="C1378" s="39"/>
      <c r="D1378" s="39"/>
      <c r="E1378" s="39"/>
      <c r="F1378" s="39"/>
      <c r="G1378" s="39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39"/>
      <c r="S1378" s="39"/>
      <c r="T1378" s="39"/>
      <c r="U1378" s="39"/>
    </row>
    <row r="1379" spans="1:21" ht="14.5">
      <c r="A1379" s="39"/>
      <c r="B1379" s="39"/>
      <c r="C1379" s="39"/>
      <c r="D1379" s="39"/>
      <c r="E1379" s="39"/>
      <c r="F1379" s="39"/>
      <c r="G1379" s="39"/>
      <c r="H1379" s="39"/>
      <c r="I1379" s="39"/>
      <c r="J1379" s="39"/>
      <c r="K1379" s="39"/>
      <c r="L1379" s="39"/>
      <c r="M1379" s="39"/>
      <c r="N1379" s="39"/>
      <c r="O1379" s="39"/>
      <c r="P1379" s="39"/>
      <c r="Q1379" s="39"/>
      <c r="R1379" s="39"/>
      <c r="S1379" s="39"/>
      <c r="T1379" s="39"/>
      <c r="U1379" s="39"/>
    </row>
    <row r="1380" spans="1:21" ht="14.5">
      <c r="A1380" s="39"/>
      <c r="B1380" s="39"/>
      <c r="C1380" s="39"/>
      <c r="D1380" s="39"/>
      <c r="E1380" s="39"/>
      <c r="F1380" s="39"/>
      <c r="G1380" s="39"/>
      <c r="H1380" s="39"/>
      <c r="I1380" s="39"/>
      <c r="J1380" s="39"/>
      <c r="K1380" s="39"/>
      <c r="L1380" s="39"/>
      <c r="M1380" s="39"/>
      <c r="N1380" s="39"/>
      <c r="O1380" s="39"/>
      <c r="P1380" s="39"/>
      <c r="Q1380" s="39"/>
      <c r="R1380" s="39"/>
      <c r="S1380" s="39"/>
      <c r="T1380" s="39"/>
      <c r="U1380" s="39"/>
    </row>
    <row r="1381" spans="1:21" ht="14.5">
      <c r="A1381" s="39"/>
      <c r="B1381" s="39"/>
      <c r="C1381" s="39"/>
      <c r="D1381" s="39"/>
      <c r="E1381" s="39"/>
      <c r="F1381" s="39"/>
      <c r="G1381" s="39"/>
      <c r="H1381" s="39"/>
      <c r="I1381" s="39"/>
      <c r="J1381" s="39"/>
      <c r="K1381" s="39"/>
      <c r="L1381" s="39"/>
      <c r="M1381" s="39"/>
      <c r="N1381" s="39"/>
      <c r="O1381" s="39"/>
      <c r="P1381" s="39"/>
      <c r="Q1381" s="39"/>
      <c r="R1381" s="39"/>
      <c r="S1381" s="39"/>
      <c r="T1381" s="39"/>
      <c r="U1381" s="39"/>
    </row>
    <row r="1382" spans="1:21" ht="14.5">
      <c r="A1382" s="39"/>
      <c r="B1382" s="39"/>
      <c r="C1382" s="39"/>
      <c r="D1382" s="39"/>
      <c r="E1382" s="39"/>
      <c r="F1382" s="39"/>
      <c r="G1382" s="39"/>
      <c r="H1382" s="39"/>
      <c r="I1382" s="39"/>
      <c r="J1382" s="39"/>
      <c r="K1382" s="39"/>
      <c r="L1382" s="39"/>
      <c r="M1382" s="39"/>
      <c r="N1382" s="39"/>
      <c r="O1382" s="39"/>
      <c r="P1382" s="39"/>
      <c r="Q1382" s="39"/>
      <c r="R1382" s="39"/>
      <c r="S1382" s="39"/>
      <c r="T1382" s="39"/>
      <c r="U1382" s="39"/>
    </row>
    <row r="1383" spans="1:21" ht="14.5">
      <c r="A1383" s="39"/>
      <c r="B1383" s="39"/>
      <c r="C1383" s="39"/>
      <c r="D1383" s="39"/>
      <c r="E1383" s="39"/>
      <c r="F1383" s="39"/>
      <c r="G1383" s="39"/>
      <c r="H1383" s="39"/>
      <c r="I1383" s="39"/>
      <c r="J1383" s="39"/>
      <c r="K1383" s="39"/>
      <c r="L1383" s="39"/>
      <c r="M1383" s="39"/>
      <c r="N1383" s="39"/>
      <c r="O1383" s="39"/>
      <c r="P1383" s="39"/>
      <c r="Q1383" s="39"/>
      <c r="R1383" s="39"/>
      <c r="S1383" s="39"/>
      <c r="T1383" s="39"/>
      <c r="U1383" s="39"/>
    </row>
    <row r="1384" spans="1:21" ht="14.5">
      <c r="A1384" s="39"/>
      <c r="B1384" s="39"/>
      <c r="C1384" s="39"/>
      <c r="D1384" s="39"/>
      <c r="E1384" s="39"/>
      <c r="F1384" s="39"/>
      <c r="G1384" s="39"/>
      <c r="H1384" s="39"/>
      <c r="I1384" s="39"/>
      <c r="J1384" s="39"/>
      <c r="K1384" s="39"/>
      <c r="L1384" s="39"/>
      <c r="M1384" s="39"/>
      <c r="N1384" s="39"/>
      <c r="O1384" s="39"/>
      <c r="P1384" s="39"/>
      <c r="Q1384" s="39"/>
      <c r="R1384" s="39"/>
      <c r="S1384" s="39"/>
      <c r="T1384" s="39"/>
      <c r="U1384" s="39"/>
    </row>
    <row r="1385" spans="1:21" ht="14.5">
      <c r="A1385" s="39"/>
      <c r="B1385" s="39"/>
      <c r="C1385" s="39"/>
      <c r="D1385" s="39"/>
      <c r="E1385" s="39"/>
      <c r="F1385" s="39"/>
      <c r="G1385" s="39"/>
      <c r="H1385" s="39"/>
      <c r="I1385" s="39"/>
      <c r="J1385" s="39"/>
      <c r="K1385" s="39"/>
      <c r="L1385" s="39"/>
      <c r="M1385" s="39"/>
      <c r="N1385" s="39"/>
      <c r="O1385" s="39"/>
      <c r="P1385" s="39"/>
      <c r="Q1385" s="39"/>
      <c r="R1385" s="39"/>
      <c r="S1385" s="39"/>
      <c r="T1385" s="39"/>
      <c r="U1385" s="39"/>
    </row>
    <row r="1386" spans="1:21" ht="14.5">
      <c r="A1386" s="39"/>
      <c r="B1386" s="39"/>
      <c r="C1386" s="39"/>
      <c r="D1386" s="39"/>
      <c r="E1386" s="39"/>
      <c r="F1386" s="39"/>
      <c r="G1386" s="39"/>
      <c r="H1386" s="39"/>
      <c r="I1386" s="39"/>
      <c r="J1386" s="39"/>
      <c r="K1386" s="39"/>
      <c r="L1386" s="39"/>
      <c r="M1386" s="39"/>
      <c r="N1386" s="39"/>
      <c r="O1386" s="39"/>
      <c r="P1386" s="39"/>
      <c r="Q1386" s="39"/>
      <c r="R1386" s="39"/>
      <c r="S1386" s="39"/>
      <c r="T1386" s="39"/>
      <c r="U1386" s="39"/>
    </row>
    <row r="1387" spans="1:21" ht="14.5">
      <c r="A1387" s="39"/>
      <c r="B1387" s="39"/>
      <c r="C1387" s="39"/>
      <c r="D1387" s="39"/>
      <c r="E1387" s="39"/>
      <c r="F1387" s="39"/>
      <c r="G1387" s="39"/>
      <c r="H1387" s="39"/>
      <c r="I1387" s="39"/>
      <c r="J1387" s="39"/>
      <c r="K1387" s="39"/>
      <c r="L1387" s="39"/>
      <c r="M1387" s="39"/>
      <c r="N1387" s="39"/>
      <c r="O1387" s="39"/>
      <c r="P1387" s="39"/>
      <c r="Q1387" s="39"/>
      <c r="R1387" s="39"/>
      <c r="S1387" s="39"/>
      <c r="T1387" s="39"/>
      <c r="U1387" s="39"/>
    </row>
    <row r="1388" spans="1:21" ht="14.5">
      <c r="A1388" s="39"/>
      <c r="B1388" s="39"/>
      <c r="C1388" s="39"/>
      <c r="D1388" s="39"/>
      <c r="E1388" s="39"/>
      <c r="F1388" s="39"/>
      <c r="G1388" s="39"/>
      <c r="H1388" s="39"/>
      <c r="I1388" s="39"/>
      <c r="J1388" s="39"/>
      <c r="K1388" s="39"/>
      <c r="L1388" s="39"/>
      <c r="M1388" s="39"/>
      <c r="N1388" s="39"/>
      <c r="O1388" s="39"/>
      <c r="P1388" s="39"/>
      <c r="Q1388" s="39"/>
      <c r="R1388" s="39"/>
      <c r="S1388" s="39"/>
      <c r="T1388" s="39"/>
      <c r="U1388" s="39"/>
    </row>
    <row r="1389" spans="1:21" ht="14.5">
      <c r="A1389" s="39"/>
      <c r="B1389" s="39"/>
      <c r="C1389" s="39"/>
      <c r="D1389" s="39"/>
      <c r="E1389" s="39"/>
      <c r="F1389" s="39"/>
      <c r="G1389" s="39"/>
      <c r="H1389" s="39"/>
      <c r="I1389" s="39"/>
      <c r="J1389" s="39"/>
      <c r="K1389" s="39"/>
      <c r="L1389" s="39"/>
      <c r="M1389" s="39"/>
      <c r="N1389" s="39"/>
      <c r="O1389" s="39"/>
      <c r="P1389" s="39"/>
      <c r="Q1389" s="39"/>
      <c r="R1389" s="39"/>
      <c r="S1389" s="39"/>
      <c r="T1389" s="39"/>
      <c r="U1389" s="39"/>
    </row>
    <row r="1390" spans="1:21" ht="14.5">
      <c r="A1390" s="39"/>
      <c r="B1390" s="39"/>
      <c r="C1390" s="39"/>
      <c r="D1390" s="39"/>
      <c r="E1390" s="39"/>
      <c r="F1390" s="39"/>
      <c r="G1390" s="39"/>
      <c r="H1390" s="39"/>
      <c r="I1390" s="39"/>
      <c r="J1390" s="39"/>
      <c r="K1390" s="39"/>
      <c r="L1390" s="39"/>
      <c r="M1390" s="39"/>
      <c r="N1390" s="39"/>
      <c r="O1390" s="39"/>
      <c r="P1390" s="39"/>
      <c r="Q1390" s="39"/>
      <c r="R1390" s="39"/>
      <c r="S1390" s="39"/>
      <c r="T1390" s="39"/>
      <c r="U1390" s="39"/>
    </row>
    <row r="1391" spans="1:21" ht="14.5">
      <c r="A1391" s="39"/>
      <c r="B1391" s="39"/>
      <c r="C1391" s="39"/>
      <c r="D1391" s="39"/>
      <c r="E1391" s="39"/>
      <c r="F1391" s="39"/>
      <c r="G1391" s="39"/>
      <c r="H1391" s="39"/>
      <c r="I1391" s="39"/>
      <c r="J1391" s="39"/>
      <c r="K1391" s="39"/>
      <c r="L1391" s="39"/>
      <c r="M1391" s="39"/>
      <c r="N1391" s="39"/>
      <c r="O1391" s="39"/>
      <c r="P1391" s="39"/>
      <c r="Q1391" s="39"/>
      <c r="R1391" s="39"/>
      <c r="S1391" s="39"/>
      <c r="T1391" s="39"/>
      <c r="U1391" s="39"/>
    </row>
    <row r="1392" spans="1:21" ht="14.5">
      <c r="A1392" s="39"/>
      <c r="B1392" s="39"/>
      <c r="C1392" s="39"/>
      <c r="D1392" s="39"/>
      <c r="E1392" s="39"/>
      <c r="F1392" s="39"/>
      <c r="G1392" s="39"/>
      <c r="H1392" s="39"/>
      <c r="I1392" s="39"/>
      <c r="J1392" s="39"/>
      <c r="K1392" s="39"/>
      <c r="L1392" s="39"/>
      <c r="M1392" s="39"/>
      <c r="N1392" s="39"/>
      <c r="O1392" s="39"/>
      <c r="P1392" s="39"/>
      <c r="Q1392" s="39"/>
      <c r="R1392" s="39"/>
      <c r="S1392" s="39"/>
      <c r="T1392" s="39"/>
      <c r="U1392" s="39"/>
    </row>
    <row r="1393" spans="1:21" ht="14.5">
      <c r="A1393" s="39"/>
      <c r="B1393" s="39"/>
      <c r="C1393" s="39"/>
      <c r="D1393" s="39"/>
      <c r="E1393" s="39"/>
      <c r="F1393" s="39"/>
      <c r="G1393" s="39"/>
      <c r="H1393" s="39"/>
      <c r="I1393" s="39"/>
      <c r="J1393" s="39"/>
      <c r="K1393" s="39"/>
      <c r="L1393" s="39"/>
      <c r="M1393" s="39"/>
      <c r="N1393" s="39"/>
      <c r="O1393" s="39"/>
      <c r="P1393" s="39"/>
      <c r="Q1393" s="39"/>
      <c r="R1393" s="39"/>
      <c r="S1393" s="39"/>
      <c r="T1393" s="39"/>
      <c r="U1393" s="39"/>
    </row>
    <row r="1394" spans="1:21" ht="14.5">
      <c r="A1394" s="39"/>
      <c r="B1394" s="39"/>
      <c r="C1394" s="39"/>
      <c r="D1394" s="39"/>
      <c r="E1394" s="39"/>
      <c r="F1394" s="39"/>
      <c r="G1394" s="39"/>
      <c r="H1394" s="39"/>
      <c r="I1394" s="39"/>
      <c r="J1394" s="39"/>
      <c r="K1394" s="39"/>
      <c r="L1394" s="39"/>
      <c r="M1394" s="39"/>
      <c r="N1394" s="39"/>
      <c r="O1394" s="39"/>
      <c r="P1394" s="39"/>
      <c r="Q1394" s="39"/>
      <c r="R1394" s="39"/>
      <c r="S1394" s="39"/>
      <c r="T1394" s="39"/>
      <c r="U1394" s="39"/>
    </row>
    <row r="1395" spans="1:21" ht="14.5">
      <c r="A1395" s="39"/>
      <c r="B1395" s="39"/>
      <c r="C1395" s="39"/>
      <c r="D1395" s="39"/>
      <c r="E1395" s="39"/>
      <c r="F1395" s="39"/>
      <c r="G1395" s="39"/>
      <c r="H1395" s="39"/>
      <c r="I1395" s="39"/>
      <c r="J1395" s="39"/>
      <c r="K1395" s="39"/>
      <c r="L1395" s="39"/>
      <c r="M1395" s="39"/>
      <c r="N1395" s="39"/>
      <c r="O1395" s="39"/>
      <c r="P1395" s="39"/>
      <c r="Q1395" s="39"/>
      <c r="R1395" s="39"/>
      <c r="S1395" s="39"/>
      <c r="T1395" s="39"/>
      <c r="U1395" s="39"/>
    </row>
    <row r="1396" spans="1:21" ht="14.5">
      <c r="A1396" s="39"/>
      <c r="B1396" s="39"/>
      <c r="C1396" s="39"/>
      <c r="D1396" s="39"/>
      <c r="E1396" s="39"/>
      <c r="F1396" s="39"/>
      <c r="G1396" s="39"/>
      <c r="H1396" s="39"/>
      <c r="I1396" s="39"/>
      <c r="J1396" s="39"/>
      <c r="K1396" s="39"/>
      <c r="L1396" s="39"/>
      <c r="M1396" s="39"/>
      <c r="N1396" s="39"/>
      <c r="O1396" s="39"/>
      <c r="P1396" s="39"/>
      <c r="Q1396" s="39"/>
      <c r="R1396" s="39"/>
      <c r="S1396" s="39"/>
      <c r="T1396" s="39"/>
      <c r="U1396" s="39"/>
    </row>
    <row r="1397" spans="1:21" ht="14.5">
      <c r="A1397" s="39"/>
      <c r="B1397" s="39"/>
      <c r="C1397" s="39"/>
      <c r="D1397" s="39"/>
      <c r="E1397" s="39"/>
      <c r="F1397" s="39"/>
      <c r="G1397" s="39"/>
      <c r="H1397" s="39"/>
      <c r="I1397" s="39"/>
      <c r="J1397" s="39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U1397" s="39"/>
    </row>
    <row r="1398" spans="1:21" ht="14.5">
      <c r="A1398" s="39"/>
      <c r="B1398" s="39"/>
      <c r="C1398" s="39"/>
      <c r="D1398" s="39"/>
      <c r="E1398" s="39"/>
      <c r="F1398" s="39"/>
      <c r="G1398" s="39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39"/>
      <c r="S1398" s="39"/>
      <c r="T1398" s="39"/>
      <c r="U1398" s="39"/>
    </row>
    <row r="1399" spans="1:21" ht="14.5">
      <c r="A1399" s="39"/>
      <c r="B1399" s="39"/>
      <c r="C1399" s="39"/>
      <c r="D1399" s="39"/>
      <c r="E1399" s="39"/>
      <c r="F1399" s="39"/>
      <c r="G1399" s="39"/>
      <c r="H1399" s="39"/>
      <c r="I1399" s="39"/>
      <c r="J1399" s="39"/>
      <c r="K1399" s="39"/>
      <c r="L1399" s="39"/>
      <c r="M1399" s="39"/>
      <c r="N1399" s="39"/>
      <c r="O1399" s="39"/>
      <c r="P1399" s="39"/>
      <c r="Q1399" s="39"/>
      <c r="R1399" s="39"/>
      <c r="S1399" s="39"/>
      <c r="T1399" s="39"/>
      <c r="U1399" s="39"/>
    </row>
    <row r="1400" spans="1:21" ht="14.5">
      <c r="A1400" s="39"/>
      <c r="B1400" s="39"/>
      <c r="C1400" s="39"/>
      <c r="D1400" s="39"/>
      <c r="E1400" s="39"/>
      <c r="F1400" s="39"/>
      <c r="G1400" s="39"/>
      <c r="H1400" s="39"/>
      <c r="I1400" s="39"/>
      <c r="J1400" s="39"/>
      <c r="K1400" s="39"/>
      <c r="L1400" s="39"/>
      <c r="M1400" s="39"/>
      <c r="N1400" s="39"/>
      <c r="O1400" s="39"/>
      <c r="P1400" s="39"/>
      <c r="Q1400" s="39"/>
      <c r="R1400" s="39"/>
      <c r="S1400" s="39"/>
      <c r="T1400" s="39"/>
      <c r="U1400" s="39"/>
    </row>
    <row r="1401" spans="1:21" ht="14.5">
      <c r="A1401" s="39"/>
      <c r="B1401" s="39"/>
      <c r="C1401" s="39"/>
      <c r="D1401" s="39"/>
      <c r="E1401" s="39"/>
      <c r="F1401" s="39"/>
      <c r="G1401" s="39"/>
      <c r="H1401" s="39"/>
      <c r="I1401" s="39"/>
      <c r="J1401" s="39"/>
      <c r="K1401" s="39"/>
      <c r="L1401" s="39"/>
      <c r="M1401" s="39"/>
      <c r="N1401" s="39"/>
      <c r="O1401" s="39"/>
      <c r="P1401" s="39"/>
      <c r="Q1401" s="39"/>
      <c r="R1401" s="39"/>
      <c r="S1401" s="39"/>
      <c r="T1401" s="39"/>
      <c r="U1401" s="39"/>
    </row>
    <row r="1402" spans="1:21" ht="14.5">
      <c r="A1402" s="39"/>
      <c r="B1402" s="39"/>
      <c r="C1402" s="39"/>
      <c r="D1402" s="39"/>
      <c r="E1402" s="39"/>
      <c r="F1402" s="39"/>
      <c r="G1402" s="39"/>
      <c r="H1402" s="39"/>
      <c r="I1402" s="39"/>
      <c r="J1402" s="39"/>
      <c r="K1402" s="39"/>
      <c r="L1402" s="39"/>
      <c r="M1402" s="39"/>
      <c r="N1402" s="39"/>
      <c r="O1402" s="39"/>
      <c r="P1402" s="39"/>
      <c r="Q1402" s="39"/>
      <c r="R1402" s="39"/>
      <c r="S1402" s="39"/>
      <c r="T1402" s="39"/>
      <c r="U1402" s="39"/>
    </row>
    <row r="1403" spans="1:21" ht="14.5">
      <c r="A1403" s="39"/>
      <c r="B1403" s="39"/>
      <c r="C1403" s="39"/>
      <c r="D1403" s="39"/>
      <c r="E1403" s="39"/>
      <c r="F1403" s="39"/>
      <c r="G1403" s="39"/>
      <c r="H1403" s="39"/>
      <c r="I1403" s="39"/>
      <c r="J1403" s="39"/>
      <c r="K1403" s="39"/>
      <c r="L1403" s="39"/>
      <c r="M1403" s="39"/>
      <c r="N1403" s="39"/>
      <c r="O1403" s="39"/>
      <c r="P1403" s="39"/>
      <c r="Q1403" s="39"/>
      <c r="R1403" s="39"/>
      <c r="S1403" s="39"/>
      <c r="T1403" s="39"/>
      <c r="U1403" s="39"/>
    </row>
    <row r="1404" spans="1:21" ht="14.5">
      <c r="A1404" s="39"/>
      <c r="B1404" s="39"/>
      <c r="C1404" s="39"/>
      <c r="D1404" s="39"/>
      <c r="E1404" s="39"/>
      <c r="F1404" s="39"/>
      <c r="G1404" s="39"/>
      <c r="H1404" s="39"/>
      <c r="I1404" s="39"/>
      <c r="J1404" s="39"/>
      <c r="K1404" s="39"/>
      <c r="L1404" s="39"/>
      <c r="M1404" s="39"/>
      <c r="N1404" s="39"/>
      <c r="O1404" s="39"/>
      <c r="P1404" s="39"/>
      <c r="Q1404" s="39"/>
      <c r="R1404" s="39"/>
      <c r="S1404" s="39"/>
      <c r="T1404" s="39"/>
      <c r="U1404" s="39"/>
    </row>
    <row r="1405" spans="1:21" ht="14.5">
      <c r="A1405" s="39"/>
      <c r="B1405" s="39"/>
      <c r="C1405" s="39"/>
      <c r="D1405" s="39"/>
      <c r="E1405" s="39"/>
      <c r="F1405" s="39"/>
      <c r="G1405" s="39"/>
      <c r="H1405" s="39"/>
      <c r="I1405" s="39"/>
      <c r="J1405" s="39"/>
      <c r="K1405" s="39"/>
      <c r="L1405" s="39"/>
      <c r="M1405" s="39"/>
      <c r="N1405" s="39"/>
      <c r="O1405" s="39"/>
      <c r="P1405" s="39"/>
      <c r="Q1405" s="39"/>
      <c r="R1405" s="39"/>
      <c r="S1405" s="39"/>
      <c r="T1405" s="39"/>
      <c r="U1405" s="39"/>
    </row>
    <row r="1406" spans="1:21" ht="14.5">
      <c r="A1406" s="39"/>
      <c r="B1406" s="39"/>
      <c r="C1406" s="39"/>
      <c r="D1406" s="39"/>
      <c r="E1406" s="39"/>
      <c r="F1406" s="39"/>
      <c r="G1406" s="39"/>
      <c r="H1406" s="39"/>
      <c r="I1406" s="39"/>
      <c r="J1406" s="39"/>
      <c r="K1406" s="39"/>
      <c r="L1406" s="39"/>
      <c r="M1406" s="39"/>
      <c r="N1406" s="39"/>
      <c r="O1406" s="39"/>
      <c r="P1406" s="39"/>
      <c r="Q1406" s="39"/>
      <c r="R1406" s="39"/>
      <c r="S1406" s="39"/>
      <c r="T1406" s="39"/>
      <c r="U1406" s="39"/>
    </row>
    <row r="1407" spans="1:21" ht="14.5">
      <c r="A1407" s="39"/>
      <c r="B1407" s="39"/>
      <c r="C1407" s="39"/>
      <c r="D1407" s="39"/>
      <c r="E1407" s="39"/>
      <c r="F1407" s="39"/>
      <c r="G1407" s="39"/>
      <c r="H1407" s="39"/>
      <c r="I1407" s="39"/>
      <c r="J1407" s="39"/>
      <c r="K1407" s="39"/>
      <c r="L1407" s="39"/>
      <c r="M1407" s="39"/>
      <c r="N1407" s="39"/>
      <c r="O1407" s="39"/>
      <c r="P1407" s="39"/>
      <c r="Q1407" s="39"/>
      <c r="R1407" s="39"/>
      <c r="S1407" s="39"/>
      <c r="T1407" s="39"/>
      <c r="U1407" s="39"/>
    </row>
    <row r="1408" spans="1:21" ht="14.5">
      <c r="A1408" s="39"/>
      <c r="B1408" s="39"/>
      <c r="C1408" s="39"/>
      <c r="D1408" s="39"/>
      <c r="E1408" s="39"/>
      <c r="F1408" s="39"/>
      <c r="G1408" s="39"/>
      <c r="H1408" s="39"/>
      <c r="I1408" s="39"/>
      <c r="J1408" s="39"/>
      <c r="K1408" s="39"/>
      <c r="L1408" s="39"/>
      <c r="M1408" s="39"/>
      <c r="N1408" s="39"/>
      <c r="O1408" s="39"/>
      <c r="P1408" s="39"/>
      <c r="Q1408" s="39"/>
      <c r="R1408" s="39"/>
      <c r="S1408" s="39"/>
      <c r="T1408" s="39"/>
      <c r="U1408" s="39"/>
    </row>
    <row r="1409" spans="1:21" ht="14.5">
      <c r="A1409" s="39"/>
      <c r="B1409" s="39"/>
      <c r="C1409" s="39"/>
      <c r="D1409" s="39"/>
      <c r="E1409" s="39"/>
      <c r="F1409" s="39"/>
      <c r="G1409" s="39"/>
      <c r="H1409" s="39"/>
      <c r="I1409" s="39"/>
      <c r="J1409" s="39"/>
      <c r="K1409" s="39"/>
      <c r="L1409" s="39"/>
      <c r="M1409" s="39"/>
      <c r="N1409" s="39"/>
      <c r="O1409" s="39"/>
      <c r="P1409" s="39"/>
      <c r="Q1409" s="39"/>
      <c r="R1409" s="39"/>
      <c r="S1409" s="39"/>
      <c r="T1409" s="39"/>
      <c r="U1409" s="39"/>
    </row>
    <row r="1410" spans="1:21" ht="14.5">
      <c r="A1410" s="39"/>
      <c r="B1410" s="39"/>
      <c r="C1410" s="39"/>
      <c r="D1410" s="39"/>
      <c r="E1410" s="39"/>
      <c r="F1410" s="39"/>
      <c r="G1410" s="39"/>
      <c r="H1410" s="39"/>
      <c r="I1410" s="39"/>
      <c r="J1410" s="39"/>
      <c r="K1410" s="39"/>
      <c r="L1410" s="39"/>
      <c r="M1410" s="39"/>
      <c r="N1410" s="39"/>
      <c r="O1410" s="39"/>
      <c r="P1410" s="39"/>
      <c r="Q1410" s="39"/>
      <c r="R1410" s="39"/>
      <c r="S1410" s="39"/>
      <c r="T1410" s="39"/>
      <c r="U1410" s="39"/>
    </row>
    <row r="1411" spans="1:21" ht="14.5">
      <c r="A1411" s="39"/>
      <c r="B1411" s="39"/>
      <c r="C1411" s="39"/>
      <c r="D1411" s="39"/>
      <c r="E1411" s="39"/>
      <c r="F1411" s="39"/>
      <c r="G1411" s="39"/>
      <c r="H1411" s="39"/>
      <c r="I1411" s="39"/>
      <c r="J1411" s="39"/>
      <c r="K1411" s="39"/>
      <c r="L1411" s="39"/>
      <c r="M1411" s="39"/>
      <c r="N1411" s="39"/>
      <c r="O1411" s="39"/>
      <c r="P1411" s="39"/>
      <c r="Q1411" s="39"/>
      <c r="R1411" s="39"/>
      <c r="S1411" s="39"/>
      <c r="T1411" s="39"/>
      <c r="U1411" s="39"/>
    </row>
    <row r="1412" spans="1:21" ht="14.5">
      <c r="A1412" s="39"/>
      <c r="B1412" s="39"/>
      <c r="C1412" s="39"/>
      <c r="D1412" s="39"/>
      <c r="E1412" s="39"/>
      <c r="F1412" s="39"/>
      <c r="G1412" s="39"/>
      <c r="H1412" s="39"/>
      <c r="I1412" s="39"/>
      <c r="J1412" s="39"/>
      <c r="K1412" s="39"/>
      <c r="L1412" s="39"/>
      <c r="M1412" s="39"/>
      <c r="N1412" s="39"/>
      <c r="O1412" s="39"/>
      <c r="P1412" s="39"/>
      <c r="Q1412" s="39"/>
      <c r="R1412" s="39"/>
      <c r="S1412" s="39"/>
      <c r="T1412" s="39"/>
      <c r="U1412" s="39"/>
    </row>
    <row r="1413" spans="1:21" ht="14.5">
      <c r="A1413" s="39"/>
      <c r="B1413" s="39"/>
      <c r="C1413" s="39"/>
      <c r="D1413" s="39"/>
      <c r="E1413" s="39"/>
      <c r="F1413" s="39"/>
      <c r="G1413" s="39"/>
      <c r="H1413" s="39"/>
      <c r="I1413" s="39"/>
      <c r="J1413" s="39"/>
      <c r="K1413" s="39"/>
      <c r="L1413" s="39"/>
      <c r="M1413" s="39"/>
      <c r="N1413" s="39"/>
      <c r="O1413" s="39"/>
      <c r="P1413" s="39"/>
      <c r="Q1413" s="39"/>
      <c r="R1413" s="39"/>
      <c r="S1413" s="39"/>
      <c r="T1413" s="39"/>
      <c r="U1413" s="39"/>
    </row>
    <row r="1414" spans="1:21" ht="14.5">
      <c r="A1414" s="39"/>
      <c r="B1414" s="39"/>
      <c r="C1414" s="39"/>
      <c r="D1414" s="39"/>
      <c r="E1414" s="39"/>
      <c r="F1414" s="39"/>
      <c r="G1414" s="39"/>
      <c r="H1414" s="39"/>
      <c r="I1414" s="39"/>
      <c r="J1414" s="39"/>
      <c r="K1414" s="39"/>
      <c r="L1414" s="39"/>
      <c r="M1414" s="39"/>
      <c r="N1414" s="39"/>
      <c r="O1414" s="39"/>
      <c r="P1414" s="39"/>
      <c r="Q1414" s="39"/>
      <c r="R1414" s="39"/>
      <c r="S1414" s="39"/>
      <c r="T1414" s="39"/>
      <c r="U1414" s="39"/>
    </row>
    <row r="1415" spans="1:21" ht="14.5">
      <c r="A1415" s="39"/>
      <c r="B1415" s="39"/>
      <c r="C1415" s="39"/>
      <c r="D1415" s="39"/>
      <c r="E1415" s="39"/>
      <c r="F1415" s="39"/>
      <c r="G1415" s="39"/>
      <c r="H1415" s="39"/>
      <c r="I1415" s="39"/>
      <c r="J1415" s="39"/>
      <c r="K1415" s="39"/>
      <c r="L1415" s="39"/>
      <c r="M1415" s="39"/>
      <c r="N1415" s="39"/>
      <c r="O1415" s="39"/>
      <c r="P1415" s="39"/>
      <c r="Q1415" s="39"/>
      <c r="R1415" s="39"/>
      <c r="S1415" s="39"/>
      <c r="T1415" s="39"/>
      <c r="U1415" s="39"/>
    </row>
    <row r="1416" spans="1:21" ht="14.5">
      <c r="A1416" s="39"/>
      <c r="B1416" s="39"/>
      <c r="C1416" s="39"/>
      <c r="D1416" s="39"/>
      <c r="E1416" s="39"/>
      <c r="F1416" s="39"/>
      <c r="G1416" s="39"/>
      <c r="H1416" s="39"/>
      <c r="I1416" s="39"/>
      <c r="J1416" s="39"/>
      <c r="K1416" s="39"/>
      <c r="L1416" s="39"/>
      <c r="M1416" s="39"/>
      <c r="N1416" s="39"/>
      <c r="O1416" s="39"/>
      <c r="P1416" s="39"/>
      <c r="Q1416" s="39"/>
      <c r="R1416" s="39"/>
      <c r="S1416" s="39"/>
      <c r="T1416" s="39"/>
      <c r="U1416" s="39"/>
    </row>
    <row r="1417" spans="1:21" ht="14.5">
      <c r="A1417" s="39"/>
      <c r="B1417" s="39"/>
      <c r="C1417" s="39"/>
      <c r="D1417" s="39"/>
      <c r="E1417" s="39"/>
      <c r="F1417" s="39"/>
      <c r="G1417" s="39"/>
      <c r="H1417" s="39"/>
      <c r="I1417" s="39"/>
      <c r="J1417" s="39"/>
      <c r="K1417" s="39"/>
      <c r="L1417" s="39"/>
      <c r="M1417" s="39"/>
      <c r="N1417" s="39"/>
      <c r="O1417" s="39"/>
      <c r="P1417" s="39"/>
      <c r="Q1417" s="39"/>
      <c r="R1417" s="39"/>
      <c r="S1417" s="39"/>
      <c r="T1417" s="39"/>
      <c r="U1417" s="39"/>
    </row>
    <row r="1418" spans="1:21" ht="14.5">
      <c r="A1418" s="39"/>
      <c r="B1418" s="39"/>
      <c r="C1418" s="39"/>
      <c r="D1418" s="39"/>
      <c r="E1418" s="39"/>
      <c r="F1418" s="39"/>
      <c r="G1418" s="39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39"/>
      <c r="S1418" s="39"/>
      <c r="T1418" s="39"/>
      <c r="U1418" s="39"/>
    </row>
  </sheetData>
  <autoFilter ref="A1:R155" xr:uid="{00000000-0009-0000-0000-000006000000}">
    <filterColumn colId="1">
      <filters>
        <filter val="L"/>
      </filters>
    </filterColumn>
  </autoFilter>
  <pageMargins left="0.7" right="0.7" top="0.75" bottom="0.75" header="0" footer="0"/>
  <pageSetup orientation="landscape"/>
  <ignoredErrors>
    <ignoredError sqref="N102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53125" defaultRowHeight="15" customHeight="1"/>
  <cols>
    <col min="1" max="1" width="8" customWidth="1"/>
    <col min="2" max="2" width="34.81640625" customWidth="1"/>
  </cols>
  <sheetData>
    <row r="1" spans="1:5" ht="22.5" customHeight="1">
      <c r="A1" s="190" t="s">
        <v>2707</v>
      </c>
      <c r="B1" s="190" t="s">
        <v>2708</v>
      </c>
      <c r="C1" s="190" t="s">
        <v>2</v>
      </c>
      <c r="D1" s="190" t="s">
        <v>3</v>
      </c>
      <c r="E1" s="191" t="s">
        <v>2709</v>
      </c>
    </row>
    <row r="2" spans="1:5" ht="22.5" customHeight="1">
      <c r="A2" s="192">
        <v>19</v>
      </c>
      <c r="B2" s="192" t="s">
        <v>59</v>
      </c>
      <c r="C2" s="192" t="s">
        <v>53</v>
      </c>
      <c r="D2" s="192">
        <v>7</v>
      </c>
      <c r="E2" s="192">
        <v>30</v>
      </c>
    </row>
    <row r="3" spans="1:5" ht="22.5" customHeight="1">
      <c r="A3" s="192">
        <v>31</v>
      </c>
      <c r="B3" s="192" t="s">
        <v>75</v>
      </c>
      <c r="C3" s="192" t="s">
        <v>53</v>
      </c>
      <c r="D3" s="192">
        <v>21</v>
      </c>
      <c r="E3" s="192">
        <v>30</v>
      </c>
    </row>
    <row r="4" spans="1:5" ht="22.5" customHeight="1">
      <c r="A4" s="192">
        <v>65</v>
      </c>
      <c r="B4" s="192" t="s">
        <v>119</v>
      </c>
      <c r="C4" s="192" t="s">
        <v>80</v>
      </c>
      <c r="D4" s="192">
        <v>35</v>
      </c>
      <c r="E4" s="192">
        <v>30</v>
      </c>
    </row>
    <row r="5" spans="1:5" ht="22.5" customHeight="1">
      <c r="A5" s="192">
        <v>335</v>
      </c>
      <c r="B5" s="192" t="s">
        <v>422</v>
      </c>
      <c r="C5" s="192" t="s">
        <v>415</v>
      </c>
      <c r="D5" s="192">
        <v>9</v>
      </c>
      <c r="E5" s="192">
        <v>30</v>
      </c>
    </row>
    <row r="6" spans="1:5" ht="22.5" customHeight="1">
      <c r="A6" s="192">
        <v>342</v>
      </c>
      <c r="B6" s="192" t="s">
        <v>429</v>
      </c>
      <c r="C6" s="192" t="s">
        <v>415</v>
      </c>
      <c r="D6" s="192">
        <v>17</v>
      </c>
      <c r="E6" s="192">
        <v>30</v>
      </c>
    </row>
    <row r="7" spans="1:5" ht="22.5" customHeight="1">
      <c r="A7" s="192">
        <v>395</v>
      </c>
      <c r="B7" s="192" t="s">
        <v>487</v>
      </c>
      <c r="C7" s="192" t="s">
        <v>473</v>
      </c>
      <c r="D7" s="192">
        <v>31</v>
      </c>
      <c r="E7" s="192">
        <v>30</v>
      </c>
    </row>
    <row r="8" spans="1:5" ht="22.5" customHeight="1">
      <c r="A8" s="192">
        <v>415</v>
      </c>
      <c r="B8" s="192" t="s">
        <v>511</v>
      </c>
      <c r="C8" s="192" t="s">
        <v>502</v>
      </c>
      <c r="D8" s="192">
        <v>12</v>
      </c>
      <c r="E8" s="192">
        <v>30</v>
      </c>
    </row>
    <row r="9" spans="1:5" ht="22.5" customHeight="1">
      <c r="A9" s="192">
        <v>418</v>
      </c>
      <c r="B9" s="192" t="s">
        <v>514</v>
      </c>
      <c r="C9" s="192" t="s">
        <v>502</v>
      </c>
      <c r="D9" s="192">
        <v>15</v>
      </c>
      <c r="E9" s="192">
        <v>30</v>
      </c>
    </row>
    <row r="10" spans="1:5" ht="22.5" hidden="1" customHeight="1">
      <c r="A10" s="192">
        <v>458</v>
      </c>
      <c r="B10" s="192" t="s">
        <v>559</v>
      </c>
      <c r="C10" s="192" t="s">
        <v>560</v>
      </c>
      <c r="D10" s="192">
        <v>1</v>
      </c>
      <c r="E10" s="192">
        <v>30</v>
      </c>
    </row>
    <row r="11" spans="1:5" ht="14.5">
      <c r="A11" s="38"/>
      <c r="B11" s="38"/>
      <c r="C11" s="38"/>
      <c r="D11" s="38"/>
      <c r="E11" s="38"/>
    </row>
    <row r="12" spans="1:5" ht="14.5">
      <c r="A12" s="38"/>
      <c r="B12" s="38"/>
      <c r="C12" s="38"/>
      <c r="D12" s="38"/>
      <c r="E12" s="38"/>
    </row>
    <row r="13" spans="1:5" ht="14.5">
      <c r="A13" s="38"/>
      <c r="B13" s="38"/>
      <c r="C13" s="38"/>
      <c r="D13" s="38"/>
      <c r="E13" s="38"/>
    </row>
    <row r="14" spans="1:5" ht="14.5">
      <c r="A14" s="38"/>
      <c r="B14" s="38"/>
      <c r="C14" s="38"/>
      <c r="D14" s="38"/>
      <c r="E14" s="38"/>
    </row>
    <row r="15" spans="1:5" ht="14.5">
      <c r="A15" s="38"/>
      <c r="B15" s="38"/>
      <c r="C15" s="38"/>
      <c r="D15" s="38"/>
      <c r="E15" s="38"/>
    </row>
    <row r="16" spans="1:5" ht="14.5">
      <c r="A16" s="38"/>
      <c r="B16" s="38"/>
      <c r="C16" s="38"/>
      <c r="D16" s="38"/>
      <c r="E16" s="38"/>
    </row>
    <row r="17" spans="1:5" ht="14.5">
      <c r="A17" s="38"/>
      <c r="B17" s="38"/>
      <c r="C17" s="38"/>
      <c r="D17" s="38"/>
      <c r="E17" s="38"/>
    </row>
    <row r="18" spans="1:5" ht="14.5">
      <c r="A18" s="38"/>
      <c r="B18" s="38"/>
      <c r="C18" s="38"/>
      <c r="D18" s="38"/>
      <c r="E18" s="38"/>
    </row>
    <row r="19" spans="1:5" ht="14.5">
      <c r="A19" s="38"/>
      <c r="B19" s="38"/>
      <c r="C19" s="38"/>
      <c r="D19" s="38"/>
      <c r="E19" s="38"/>
    </row>
    <row r="20" spans="1:5" ht="14.5">
      <c r="A20" s="38"/>
      <c r="B20" s="38"/>
      <c r="C20" s="38"/>
      <c r="D20" s="38"/>
      <c r="E20" s="38"/>
    </row>
    <row r="21" spans="1:5" ht="14.5">
      <c r="A21" s="38"/>
      <c r="B21" s="38"/>
      <c r="C21" s="38"/>
      <c r="D21" s="38"/>
      <c r="E21" s="38"/>
    </row>
    <row r="22" spans="1:5" ht="14.5">
      <c r="A22" s="38"/>
      <c r="B22" s="38"/>
      <c r="C22" s="38"/>
      <c r="D22" s="38"/>
      <c r="E22" s="38"/>
    </row>
    <row r="23" spans="1:5" ht="14.5">
      <c r="A23" s="38"/>
      <c r="B23" s="38"/>
      <c r="C23" s="38"/>
      <c r="D23" s="38"/>
      <c r="E23" s="38"/>
    </row>
    <row r="24" spans="1:5" ht="14.5">
      <c r="A24" s="38"/>
      <c r="B24" s="38"/>
      <c r="C24" s="38"/>
      <c r="D24" s="38"/>
      <c r="E24" s="38"/>
    </row>
    <row r="25" spans="1:5" ht="14.5">
      <c r="A25" s="38"/>
      <c r="B25" s="38"/>
      <c r="C25" s="38"/>
      <c r="D25" s="38"/>
      <c r="E25" s="38"/>
    </row>
    <row r="26" spans="1:5" ht="14.5">
      <c r="A26" s="38"/>
      <c r="B26" s="38"/>
      <c r="C26" s="38"/>
      <c r="D26" s="38"/>
      <c r="E26" s="38"/>
    </row>
    <row r="27" spans="1:5" ht="14.5">
      <c r="A27" s="38"/>
      <c r="B27" s="38"/>
      <c r="C27" s="38"/>
      <c r="D27" s="38"/>
      <c r="E27" s="38"/>
    </row>
    <row r="28" spans="1:5" ht="14.5">
      <c r="A28" s="38"/>
      <c r="B28" s="38"/>
      <c r="C28" s="38"/>
      <c r="D28" s="38"/>
      <c r="E28" s="38"/>
    </row>
    <row r="29" spans="1:5" ht="14.5">
      <c r="A29" s="38"/>
      <c r="B29" s="38"/>
      <c r="C29" s="38"/>
      <c r="D29" s="38"/>
      <c r="E29" s="38"/>
    </row>
    <row r="30" spans="1:5" ht="14.5">
      <c r="A30" s="38"/>
      <c r="B30" s="38"/>
      <c r="C30" s="38"/>
      <c r="D30" s="38"/>
      <c r="E30" s="38"/>
    </row>
    <row r="31" spans="1:5" ht="14.5">
      <c r="A31" s="38"/>
      <c r="B31" s="38"/>
      <c r="C31" s="38"/>
      <c r="D31" s="38"/>
      <c r="E31" s="38"/>
    </row>
    <row r="32" spans="1:5" ht="14.5">
      <c r="A32" s="38"/>
      <c r="B32" s="38"/>
      <c r="C32" s="38"/>
      <c r="D32" s="38"/>
      <c r="E32" s="38"/>
    </row>
    <row r="33" spans="1:5" ht="14.5">
      <c r="A33" s="38"/>
      <c r="B33" s="38"/>
      <c r="C33" s="38"/>
      <c r="D33" s="38"/>
      <c r="E33" s="38"/>
    </row>
    <row r="34" spans="1:5" ht="14.5">
      <c r="A34" s="38"/>
      <c r="B34" s="38"/>
      <c r="C34" s="38"/>
      <c r="D34" s="38"/>
      <c r="E34" s="38"/>
    </row>
    <row r="35" spans="1:5" ht="14.5">
      <c r="A35" s="38"/>
      <c r="B35" s="38"/>
      <c r="C35" s="38"/>
      <c r="D35" s="38"/>
      <c r="E35" s="38"/>
    </row>
    <row r="36" spans="1:5" ht="14.5">
      <c r="A36" s="38"/>
      <c r="B36" s="38"/>
      <c r="C36" s="38"/>
      <c r="D36" s="38"/>
      <c r="E36" s="38"/>
    </row>
    <row r="37" spans="1:5" ht="14.5">
      <c r="A37" s="38"/>
      <c r="B37" s="38"/>
      <c r="C37" s="38"/>
      <c r="D37" s="38"/>
      <c r="E37" s="38"/>
    </row>
    <row r="38" spans="1:5" ht="14.5">
      <c r="A38" s="38"/>
      <c r="B38" s="38"/>
      <c r="C38" s="38"/>
      <c r="D38" s="38"/>
      <c r="E38" s="38"/>
    </row>
    <row r="39" spans="1:5" ht="14.5">
      <c r="A39" s="38"/>
      <c r="B39" s="38"/>
      <c r="C39" s="38"/>
      <c r="D39" s="38"/>
      <c r="E39" s="38"/>
    </row>
    <row r="40" spans="1:5" ht="14.5">
      <c r="A40" s="38"/>
      <c r="B40" s="38"/>
      <c r="C40" s="38"/>
      <c r="D40" s="38"/>
      <c r="E40" s="38"/>
    </row>
    <row r="41" spans="1:5" ht="14.5">
      <c r="A41" s="38"/>
      <c r="B41" s="38"/>
      <c r="C41" s="38"/>
      <c r="D41" s="38"/>
      <c r="E41" s="38"/>
    </row>
    <row r="42" spans="1:5" ht="14.5">
      <c r="A42" s="38"/>
      <c r="B42" s="38"/>
      <c r="C42" s="38"/>
      <c r="D42" s="38"/>
      <c r="E42" s="38"/>
    </row>
    <row r="43" spans="1:5" ht="14.5">
      <c r="A43" s="38"/>
      <c r="B43" s="38"/>
      <c r="C43" s="38"/>
      <c r="D43" s="38"/>
      <c r="E43" s="38"/>
    </row>
    <row r="44" spans="1:5" ht="14.5">
      <c r="A44" s="38"/>
      <c r="B44" s="38"/>
      <c r="C44" s="38"/>
      <c r="D44" s="38"/>
      <c r="E44" s="38"/>
    </row>
    <row r="45" spans="1:5" ht="14.5">
      <c r="A45" s="38"/>
      <c r="B45" s="38"/>
      <c r="C45" s="38"/>
      <c r="D45" s="38"/>
      <c r="E45" s="38"/>
    </row>
    <row r="46" spans="1:5" ht="14.5">
      <c r="A46" s="38"/>
      <c r="B46" s="38"/>
      <c r="C46" s="38"/>
      <c r="D46" s="38"/>
      <c r="E46" s="38"/>
    </row>
    <row r="47" spans="1:5" ht="14.5">
      <c r="A47" s="38"/>
      <c r="B47" s="38"/>
      <c r="C47" s="38"/>
      <c r="D47" s="38"/>
      <c r="E47" s="38"/>
    </row>
    <row r="48" spans="1:5" ht="14.5">
      <c r="A48" s="38"/>
      <c r="B48" s="38"/>
      <c r="C48" s="38"/>
      <c r="D48" s="38"/>
      <c r="E48" s="38"/>
    </row>
    <row r="49" spans="1:5" ht="14.5">
      <c r="A49" s="38"/>
      <c r="B49" s="38"/>
      <c r="C49" s="38"/>
      <c r="D49" s="38"/>
      <c r="E49" s="38"/>
    </row>
    <row r="50" spans="1:5" ht="14.5">
      <c r="A50" s="38"/>
      <c r="B50" s="38"/>
      <c r="C50" s="38"/>
      <c r="D50" s="38"/>
      <c r="E50" s="38"/>
    </row>
    <row r="51" spans="1:5" ht="14.5">
      <c r="A51" s="38"/>
      <c r="B51" s="38"/>
      <c r="C51" s="38"/>
      <c r="D51" s="38"/>
      <c r="E51" s="38"/>
    </row>
    <row r="52" spans="1:5" ht="14.5">
      <c r="A52" s="38"/>
      <c r="B52" s="38"/>
      <c r="C52" s="38"/>
      <c r="D52" s="38"/>
      <c r="E52" s="38"/>
    </row>
    <row r="53" spans="1:5" ht="14.5">
      <c r="A53" s="38"/>
      <c r="B53" s="38"/>
      <c r="C53" s="38"/>
      <c r="D53" s="38"/>
      <c r="E53" s="38"/>
    </row>
    <row r="54" spans="1:5" ht="14.5">
      <c r="A54" s="38"/>
      <c r="B54" s="38"/>
      <c r="C54" s="38"/>
      <c r="D54" s="38"/>
      <c r="E54" s="38"/>
    </row>
    <row r="55" spans="1:5" ht="14.5">
      <c r="A55" s="38"/>
      <c r="B55" s="38"/>
      <c r="C55" s="38"/>
      <c r="D55" s="38"/>
      <c r="E55" s="38"/>
    </row>
    <row r="56" spans="1:5" ht="14.5">
      <c r="A56" s="38"/>
      <c r="B56" s="38"/>
      <c r="C56" s="38"/>
      <c r="D56" s="38"/>
      <c r="E56" s="38"/>
    </row>
    <row r="57" spans="1:5" ht="14.5">
      <c r="A57" s="38"/>
      <c r="B57" s="38"/>
      <c r="C57" s="38"/>
      <c r="D57" s="38"/>
      <c r="E57" s="38"/>
    </row>
    <row r="58" spans="1:5" ht="14.5">
      <c r="A58" s="38"/>
      <c r="B58" s="38"/>
      <c r="C58" s="38"/>
      <c r="D58" s="38"/>
      <c r="E58" s="38"/>
    </row>
    <row r="59" spans="1:5" ht="14.5">
      <c r="A59" s="38"/>
      <c r="B59" s="38"/>
      <c r="C59" s="38"/>
      <c r="D59" s="38"/>
      <c r="E59" s="38"/>
    </row>
    <row r="60" spans="1:5" ht="14.5">
      <c r="A60" s="38"/>
      <c r="B60" s="38"/>
      <c r="C60" s="38"/>
      <c r="D60" s="38"/>
      <c r="E60" s="38"/>
    </row>
    <row r="61" spans="1:5" ht="14.5">
      <c r="A61" s="38"/>
      <c r="B61" s="38"/>
      <c r="C61" s="38"/>
      <c r="D61" s="38"/>
      <c r="E61" s="38"/>
    </row>
    <row r="62" spans="1:5" ht="14.5">
      <c r="A62" s="38"/>
      <c r="B62" s="38"/>
      <c r="C62" s="38"/>
      <c r="D62" s="38"/>
      <c r="E62" s="38"/>
    </row>
    <row r="63" spans="1:5" ht="14.5">
      <c r="A63" s="38"/>
      <c r="B63" s="38"/>
      <c r="C63" s="38"/>
      <c r="D63" s="38"/>
      <c r="E63" s="38"/>
    </row>
    <row r="64" spans="1:5" ht="14.5">
      <c r="A64" s="38"/>
      <c r="B64" s="38"/>
      <c r="C64" s="38"/>
      <c r="D64" s="38"/>
      <c r="E64" s="38"/>
    </row>
    <row r="65" spans="1:5" ht="14.5">
      <c r="A65" s="38"/>
      <c r="B65" s="38"/>
      <c r="C65" s="38"/>
      <c r="D65" s="38"/>
      <c r="E65" s="38"/>
    </row>
    <row r="66" spans="1:5" ht="14.5">
      <c r="A66" s="38"/>
      <c r="B66" s="38"/>
      <c r="C66" s="38"/>
      <c r="D66" s="38"/>
      <c r="E66" s="38"/>
    </row>
    <row r="67" spans="1:5" ht="14.5">
      <c r="A67" s="38"/>
      <c r="B67" s="38"/>
      <c r="C67" s="38"/>
      <c r="D67" s="38"/>
      <c r="E67" s="38"/>
    </row>
    <row r="68" spans="1:5" ht="14.5">
      <c r="A68" s="38"/>
      <c r="B68" s="38"/>
      <c r="C68" s="38"/>
      <c r="D68" s="38"/>
      <c r="E68" s="38"/>
    </row>
    <row r="69" spans="1:5" ht="14.5">
      <c r="A69" s="38"/>
      <c r="B69" s="38"/>
      <c r="C69" s="38"/>
      <c r="D69" s="38"/>
      <c r="E69" s="38"/>
    </row>
    <row r="70" spans="1:5" ht="14.5">
      <c r="A70" s="38"/>
      <c r="B70" s="38"/>
      <c r="C70" s="38"/>
      <c r="D70" s="38"/>
      <c r="E70" s="38"/>
    </row>
    <row r="71" spans="1:5" ht="14.5">
      <c r="A71" s="38"/>
      <c r="B71" s="38"/>
      <c r="C71" s="38"/>
      <c r="D71" s="38"/>
      <c r="E71" s="38"/>
    </row>
    <row r="72" spans="1:5" ht="14.5">
      <c r="A72" s="38"/>
      <c r="B72" s="38"/>
      <c r="C72" s="38"/>
      <c r="D72" s="38"/>
      <c r="E72" s="38"/>
    </row>
    <row r="73" spans="1:5" ht="14.5">
      <c r="A73" s="38"/>
      <c r="B73" s="38"/>
      <c r="C73" s="38"/>
      <c r="D73" s="38"/>
      <c r="E73" s="38"/>
    </row>
    <row r="74" spans="1:5" ht="14.5">
      <c r="A74" s="38"/>
      <c r="B74" s="38"/>
      <c r="C74" s="38"/>
      <c r="D74" s="38"/>
      <c r="E74" s="38"/>
    </row>
    <row r="75" spans="1:5" ht="14.5">
      <c r="A75" s="38"/>
      <c r="B75" s="38"/>
      <c r="C75" s="38"/>
      <c r="D75" s="38"/>
      <c r="E75" s="38"/>
    </row>
    <row r="76" spans="1:5" ht="14.5">
      <c r="A76" s="38"/>
      <c r="B76" s="38"/>
      <c r="C76" s="38"/>
      <c r="D76" s="38"/>
      <c r="E76" s="38"/>
    </row>
    <row r="77" spans="1:5" ht="14.5">
      <c r="A77" s="38"/>
      <c r="B77" s="38"/>
      <c r="C77" s="38"/>
      <c r="D77" s="38"/>
      <c r="E77" s="38"/>
    </row>
    <row r="78" spans="1:5" ht="14.5">
      <c r="A78" s="38"/>
      <c r="B78" s="38"/>
      <c r="C78" s="38"/>
      <c r="D78" s="38"/>
      <c r="E78" s="38"/>
    </row>
    <row r="79" spans="1:5" ht="14.5">
      <c r="A79" s="38"/>
      <c r="B79" s="38"/>
      <c r="C79" s="38"/>
      <c r="D79" s="38"/>
      <c r="E79" s="38"/>
    </row>
    <row r="80" spans="1:5" ht="14.5">
      <c r="A80" s="38"/>
      <c r="B80" s="38"/>
      <c r="C80" s="38"/>
      <c r="D80" s="38"/>
      <c r="E80" s="38"/>
    </row>
    <row r="81" spans="1:5" ht="14.5">
      <c r="A81" s="38"/>
      <c r="B81" s="38"/>
      <c r="C81" s="38"/>
      <c r="D81" s="38"/>
      <c r="E81" s="38"/>
    </row>
    <row r="82" spans="1:5" ht="14.5">
      <c r="A82" s="38"/>
      <c r="B82" s="38"/>
      <c r="C82" s="38"/>
      <c r="D82" s="38"/>
      <c r="E82" s="38"/>
    </row>
    <row r="83" spans="1:5" ht="14.5">
      <c r="A83" s="38"/>
      <c r="B83" s="38"/>
      <c r="C83" s="38"/>
      <c r="D83" s="38"/>
      <c r="E83" s="38"/>
    </row>
    <row r="84" spans="1:5" ht="14.5">
      <c r="A84" s="38"/>
      <c r="B84" s="38"/>
      <c r="C84" s="38"/>
      <c r="D84" s="38"/>
      <c r="E84" s="38"/>
    </row>
    <row r="85" spans="1:5" ht="14.5">
      <c r="A85" s="38"/>
      <c r="B85" s="38"/>
      <c r="C85" s="38"/>
      <c r="D85" s="38"/>
      <c r="E85" s="38"/>
    </row>
    <row r="86" spans="1:5" ht="14.5">
      <c r="A86" s="38"/>
      <c r="B86" s="38"/>
      <c r="C86" s="38"/>
      <c r="D86" s="38"/>
      <c r="E86" s="38"/>
    </row>
    <row r="87" spans="1:5" ht="14.5">
      <c r="A87" s="38"/>
      <c r="B87" s="38"/>
      <c r="C87" s="38"/>
      <c r="D87" s="38"/>
      <c r="E87" s="38"/>
    </row>
    <row r="88" spans="1:5" ht="14.5">
      <c r="A88" s="38"/>
      <c r="B88" s="38"/>
      <c r="C88" s="38"/>
      <c r="D88" s="38"/>
      <c r="E88" s="38"/>
    </row>
    <row r="89" spans="1:5" ht="14.5">
      <c r="A89" s="38"/>
      <c r="B89" s="38"/>
      <c r="C89" s="38"/>
      <c r="D89" s="38"/>
      <c r="E89" s="38"/>
    </row>
    <row r="90" spans="1:5" ht="14.5">
      <c r="A90" s="38"/>
      <c r="B90" s="38"/>
      <c r="C90" s="38"/>
      <c r="D90" s="38"/>
      <c r="E90" s="38"/>
    </row>
    <row r="91" spans="1:5" ht="14.5">
      <c r="A91" s="38"/>
      <c r="B91" s="38"/>
      <c r="C91" s="38"/>
      <c r="D91" s="38"/>
      <c r="E91" s="38"/>
    </row>
    <row r="92" spans="1:5" ht="14.5">
      <c r="A92" s="38"/>
      <c r="B92" s="38"/>
      <c r="C92" s="38"/>
      <c r="D92" s="38"/>
      <c r="E92" s="38"/>
    </row>
    <row r="93" spans="1:5" ht="14.5">
      <c r="A93" s="38"/>
      <c r="B93" s="38"/>
      <c r="C93" s="38"/>
      <c r="D93" s="38"/>
      <c r="E93" s="38"/>
    </row>
    <row r="94" spans="1:5" ht="14.5">
      <c r="A94" s="38"/>
      <c r="B94" s="38"/>
      <c r="C94" s="38"/>
      <c r="D94" s="38"/>
      <c r="E94" s="38"/>
    </row>
    <row r="95" spans="1:5" ht="14.5">
      <c r="A95" s="38"/>
      <c r="B95" s="38"/>
      <c r="C95" s="38"/>
      <c r="D95" s="38"/>
      <c r="E95" s="38"/>
    </row>
    <row r="96" spans="1:5" ht="14.5">
      <c r="A96" s="38"/>
      <c r="B96" s="38"/>
      <c r="C96" s="38"/>
      <c r="D96" s="38"/>
      <c r="E96" s="38"/>
    </row>
    <row r="97" spans="1:5" ht="14.5">
      <c r="A97" s="38"/>
      <c r="B97" s="38"/>
      <c r="C97" s="38"/>
      <c r="D97" s="38"/>
      <c r="E97" s="38"/>
    </row>
    <row r="98" spans="1:5" ht="14.5">
      <c r="A98" s="38"/>
      <c r="B98" s="38"/>
      <c r="C98" s="38"/>
      <c r="D98" s="38"/>
      <c r="E98" s="38"/>
    </row>
    <row r="99" spans="1:5" ht="14.5">
      <c r="A99" s="38"/>
      <c r="B99" s="38"/>
      <c r="C99" s="38"/>
      <c r="D99" s="38"/>
      <c r="E99" s="38"/>
    </row>
    <row r="100" spans="1:5" ht="14.5">
      <c r="A100" s="38"/>
      <c r="B100" s="38"/>
      <c r="C100" s="38"/>
      <c r="D100" s="38"/>
      <c r="E100" s="38"/>
    </row>
    <row r="101" spans="1:5" ht="14.5">
      <c r="A101" s="38"/>
      <c r="B101" s="38"/>
      <c r="C101" s="38"/>
      <c r="D101" s="38"/>
      <c r="E101" s="38"/>
    </row>
    <row r="102" spans="1:5" ht="14.5">
      <c r="A102" s="38"/>
      <c r="B102" s="38"/>
      <c r="C102" s="38"/>
      <c r="D102" s="38"/>
      <c r="E102" s="38"/>
    </row>
    <row r="103" spans="1:5" ht="14.5">
      <c r="A103" s="38"/>
      <c r="B103" s="38"/>
      <c r="C103" s="38"/>
      <c r="D103" s="38"/>
      <c r="E103" s="38"/>
    </row>
    <row r="104" spans="1:5" ht="14.5">
      <c r="A104" s="38"/>
      <c r="B104" s="38"/>
      <c r="C104" s="38"/>
      <c r="D104" s="38"/>
      <c r="E104" s="38"/>
    </row>
    <row r="105" spans="1:5" ht="14.5">
      <c r="A105" s="38"/>
      <c r="B105" s="38"/>
      <c r="C105" s="38"/>
      <c r="D105" s="38"/>
      <c r="E105" s="38"/>
    </row>
    <row r="106" spans="1:5" ht="14.5">
      <c r="A106" s="38"/>
      <c r="B106" s="38"/>
      <c r="C106" s="38"/>
      <c r="D106" s="38"/>
      <c r="E106" s="38"/>
    </row>
    <row r="107" spans="1:5" ht="14.5">
      <c r="A107" s="38"/>
      <c r="B107" s="38"/>
      <c r="C107" s="38"/>
      <c r="D107" s="38"/>
      <c r="E107" s="38"/>
    </row>
    <row r="108" spans="1:5" ht="14.5">
      <c r="A108" s="38"/>
      <c r="B108" s="38"/>
      <c r="C108" s="38"/>
      <c r="D108" s="38"/>
      <c r="E108" s="38"/>
    </row>
    <row r="109" spans="1:5" ht="14.5">
      <c r="A109" s="38"/>
      <c r="B109" s="38"/>
      <c r="C109" s="38"/>
      <c r="D109" s="38"/>
      <c r="E109" s="38"/>
    </row>
    <row r="110" spans="1:5" ht="14.5">
      <c r="A110" s="38"/>
      <c r="B110" s="38"/>
      <c r="C110" s="38"/>
      <c r="D110" s="38"/>
      <c r="E110" s="38"/>
    </row>
    <row r="111" spans="1:5" ht="14.5">
      <c r="A111" s="38"/>
      <c r="B111" s="38"/>
      <c r="C111" s="38"/>
      <c r="D111" s="38"/>
      <c r="E111" s="38"/>
    </row>
    <row r="112" spans="1:5" ht="14.5">
      <c r="A112" s="38"/>
      <c r="B112" s="38"/>
      <c r="C112" s="38"/>
      <c r="D112" s="38"/>
      <c r="E112" s="38"/>
    </row>
    <row r="113" spans="1:5" ht="14.5">
      <c r="A113" s="38"/>
      <c r="B113" s="38"/>
      <c r="C113" s="38"/>
      <c r="D113" s="38"/>
      <c r="E113" s="38"/>
    </row>
    <row r="114" spans="1:5" ht="14.5">
      <c r="A114" s="38"/>
      <c r="B114" s="38"/>
      <c r="C114" s="38"/>
      <c r="D114" s="38"/>
      <c r="E114" s="38"/>
    </row>
    <row r="115" spans="1:5" ht="14.5">
      <c r="A115" s="38"/>
      <c r="B115" s="38"/>
      <c r="C115" s="38"/>
      <c r="D115" s="38"/>
      <c r="E115" s="38"/>
    </row>
    <row r="116" spans="1:5" ht="14.5">
      <c r="A116" s="38"/>
      <c r="B116" s="38"/>
      <c r="C116" s="38"/>
      <c r="D116" s="38"/>
      <c r="E116" s="38"/>
    </row>
    <row r="117" spans="1:5" ht="14.5">
      <c r="A117" s="38"/>
      <c r="B117" s="38"/>
      <c r="C117" s="38"/>
      <c r="D117" s="38"/>
      <c r="E117" s="38"/>
    </row>
    <row r="118" spans="1:5" ht="14.5">
      <c r="A118" s="38"/>
      <c r="B118" s="38"/>
      <c r="C118" s="38"/>
      <c r="D118" s="38"/>
      <c r="E118" s="38"/>
    </row>
    <row r="119" spans="1:5" ht="14.5">
      <c r="A119" s="38"/>
      <c r="B119" s="38"/>
      <c r="C119" s="38"/>
      <c r="D119" s="38"/>
      <c r="E119" s="38"/>
    </row>
    <row r="120" spans="1:5" ht="14.5">
      <c r="A120" s="38"/>
      <c r="B120" s="38"/>
      <c r="C120" s="38"/>
      <c r="D120" s="38"/>
      <c r="E120" s="38"/>
    </row>
    <row r="121" spans="1:5" ht="14.5">
      <c r="A121" s="38"/>
      <c r="B121" s="38"/>
      <c r="C121" s="38"/>
      <c r="D121" s="38"/>
      <c r="E121" s="38"/>
    </row>
    <row r="122" spans="1:5" ht="14.5">
      <c r="A122" s="38"/>
      <c r="B122" s="38"/>
      <c r="C122" s="38"/>
      <c r="D122" s="38"/>
      <c r="E122" s="38"/>
    </row>
    <row r="123" spans="1:5" ht="14.5">
      <c r="A123" s="38"/>
      <c r="B123" s="38"/>
      <c r="C123" s="38"/>
      <c r="D123" s="38"/>
      <c r="E123" s="38"/>
    </row>
    <row r="124" spans="1:5" ht="14.5">
      <c r="A124" s="38"/>
      <c r="B124" s="38"/>
      <c r="C124" s="38"/>
      <c r="D124" s="38"/>
      <c r="E124" s="38"/>
    </row>
    <row r="125" spans="1:5" ht="14.5">
      <c r="A125" s="38"/>
      <c r="B125" s="38"/>
      <c r="C125" s="38"/>
      <c r="D125" s="38"/>
      <c r="E125" s="38"/>
    </row>
    <row r="126" spans="1:5" ht="14.5">
      <c r="A126" s="38"/>
      <c r="B126" s="38"/>
      <c r="C126" s="38"/>
      <c r="D126" s="38"/>
      <c r="E126" s="38"/>
    </row>
    <row r="127" spans="1:5" ht="14.5">
      <c r="A127" s="38"/>
      <c r="B127" s="38"/>
      <c r="C127" s="38"/>
      <c r="D127" s="38"/>
      <c r="E127" s="38"/>
    </row>
    <row r="128" spans="1:5" ht="14.5">
      <c r="A128" s="38"/>
      <c r="B128" s="38"/>
      <c r="C128" s="38"/>
      <c r="D128" s="38"/>
      <c r="E128" s="38"/>
    </row>
    <row r="129" spans="1:5" ht="14.5">
      <c r="A129" s="38"/>
      <c r="B129" s="38"/>
      <c r="C129" s="38"/>
      <c r="D129" s="38"/>
      <c r="E129" s="38"/>
    </row>
    <row r="130" spans="1:5" ht="14.5">
      <c r="A130" s="38"/>
      <c r="B130" s="38"/>
      <c r="C130" s="38"/>
      <c r="D130" s="38"/>
      <c r="E130" s="38"/>
    </row>
    <row r="131" spans="1:5" ht="14.5">
      <c r="A131" s="38"/>
      <c r="B131" s="38"/>
      <c r="C131" s="38"/>
      <c r="D131" s="38"/>
      <c r="E131" s="38"/>
    </row>
    <row r="132" spans="1:5" ht="14.5">
      <c r="A132" s="38"/>
      <c r="B132" s="38"/>
      <c r="C132" s="38"/>
      <c r="D132" s="38"/>
      <c r="E132" s="38"/>
    </row>
    <row r="133" spans="1:5" ht="14.5">
      <c r="A133" s="38"/>
      <c r="B133" s="38"/>
      <c r="C133" s="38"/>
      <c r="D133" s="38"/>
      <c r="E133" s="38"/>
    </row>
    <row r="134" spans="1:5" ht="14.5">
      <c r="A134" s="38"/>
      <c r="B134" s="38"/>
      <c r="C134" s="38"/>
      <c r="D134" s="38"/>
      <c r="E134" s="38"/>
    </row>
    <row r="135" spans="1:5" ht="14.5">
      <c r="A135" s="38"/>
      <c r="B135" s="38"/>
      <c r="C135" s="38"/>
      <c r="D135" s="38"/>
      <c r="E135" s="38"/>
    </row>
    <row r="136" spans="1:5" ht="14.5">
      <c r="A136" s="38"/>
      <c r="B136" s="38"/>
      <c r="C136" s="38"/>
      <c r="D136" s="38"/>
      <c r="E136" s="38"/>
    </row>
    <row r="137" spans="1:5" ht="14.5">
      <c r="A137" s="38"/>
      <c r="B137" s="38"/>
      <c r="C137" s="38"/>
      <c r="D137" s="38"/>
      <c r="E137" s="38"/>
    </row>
    <row r="138" spans="1:5" ht="14.5">
      <c r="A138" s="38"/>
      <c r="B138" s="38"/>
      <c r="C138" s="38"/>
      <c r="D138" s="38"/>
      <c r="E138" s="38"/>
    </row>
    <row r="139" spans="1:5" ht="14.5">
      <c r="A139" s="38"/>
      <c r="B139" s="38"/>
      <c r="C139" s="38"/>
      <c r="D139" s="38"/>
      <c r="E139" s="38"/>
    </row>
    <row r="140" spans="1:5" ht="14.5">
      <c r="A140" s="38"/>
      <c r="B140" s="38"/>
      <c r="C140" s="38"/>
      <c r="D140" s="38"/>
      <c r="E140" s="38"/>
    </row>
    <row r="141" spans="1:5" ht="14.5">
      <c r="A141" s="38"/>
      <c r="B141" s="38"/>
      <c r="C141" s="38"/>
      <c r="D141" s="38"/>
      <c r="E141" s="38"/>
    </row>
    <row r="142" spans="1:5" ht="14.5">
      <c r="A142" s="38"/>
      <c r="B142" s="38"/>
      <c r="C142" s="38"/>
      <c r="D142" s="38"/>
      <c r="E142" s="38"/>
    </row>
    <row r="143" spans="1:5" ht="14.5">
      <c r="A143" s="38"/>
      <c r="B143" s="38"/>
      <c r="C143" s="38"/>
      <c r="D143" s="38"/>
      <c r="E143" s="38"/>
    </row>
    <row r="144" spans="1:5" ht="14.5">
      <c r="A144" s="38"/>
      <c r="B144" s="38"/>
      <c r="C144" s="38"/>
      <c r="D144" s="38"/>
      <c r="E144" s="38"/>
    </row>
    <row r="145" spans="1:5" ht="14.5">
      <c r="A145" s="38"/>
      <c r="B145" s="38"/>
      <c r="C145" s="38"/>
      <c r="D145" s="38"/>
      <c r="E145" s="38"/>
    </row>
    <row r="146" spans="1:5" ht="14.5">
      <c r="A146" s="38"/>
      <c r="B146" s="38"/>
      <c r="C146" s="38"/>
      <c r="D146" s="38"/>
      <c r="E146" s="38"/>
    </row>
    <row r="147" spans="1:5" ht="14.5">
      <c r="A147" s="38"/>
      <c r="B147" s="38"/>
      <c r="C147" s="38"/>
      <c r="D147" s="38"/>
      <c r="E147" s="38"/>
    </row>
    <row r="148" spans="1:5" ht="14.5">
      <c r="A148" s="38"/>
      <c r="B148" s="38"/>
      <c r="C148" s="38"/>
      <c r="D148" s="38"/>
      <c r="E148" s="38"/>
    </row>
    <row r="149" spans="1:5" ht="14.5">
      <c r="A149" s="38"/>
      <c r="B149" s="38"/>
      <c r="C149" s="38"/>
      <c r="D149" s="38"/>
      <c r="E149" s="38"/>
    </row>
    <row r="150" spans="1:5" ht="14.5">
      <c r="A150" s="38"/>
      <c r="B150" s="38"/>
      <c r="C150" s="38"/>
      <c r="D150" s="38"/>
      <c r="E150" s="38"/>
    </row>
    <row r="151" spans="1:5" ht="14.5">
      <c r="A151" s="38"/>
      <c r="B151" s="38"/>
      <c r="C151" s="38"/>
      <c r="D151" s="38"/>
      <c r="E151" s="38"/>
    </row>
    <row r="152" spans="1:5" ht="14.5">
      <c r="A152" s="38"/>
      <c r="B152" s="38"/>
      <c r="C152" s="38"/>
      <c r="D152" s="38"/>
      <c r="E152" s="38"/>
    </row>
    <row r="153" spans="1:5" ht="14.5">
      <c r="A153" s="38"/>
      <c r="B153" s="38"/>
      <c r="C153" s="38"/>
      <c r="D153" s="38"/>
      <c r="E153" s="38"/>
    </row>
    <row r="154" spans="1:5" ht="14.5">
      <c r="A154" s="38"/>
      <c r="B154" s="38"/>
      <c r="C154" s="38"/>
      <c r="D154" s="38"/>
      <c r="E154" s="38"/>
    </row>
    <row r="155" spans="1:5" ht="14.5">
      <c r="A155" s="38"/>
      <c r="B155" s="38"/>
      <c r="C155" s="38"/>
      <c r="D155" s="38"/>
      <c r="E155" s="38"/>
    </row>
    <row r="156" spans="1:5" ht="14.5">
      <c r="A156" s="38"/>
      <c r="B156" s="38"/>
      <c r="C156" s="38"/>
      <c r="D156" s="38"/>
      <c r="E156" s="38"/>
    </row>
    <row r="157" spans="1:5" ht="14.5">
      <c r="A157" s="38"/>
      <c r="B157" s="38"/>
      <c r="C157" s="38"/>
      <c r="D157" s="38"/>
      <c r="E157" s="38"/>
    </row>
    <row r="158" spans="1:5" ht="14.5">
      <c r="A158" s="38"/>
      <c r="B158" s="38"/>
      <c r="C158" s="38"/>
      <c r="D158" s="38"/>
      <c r="E158" s="38"/>
    </row>
    <row r="159" spans="1:5" ht="14.5">
      <c r="A159" s="38"/>
      <c r="B159" s="38"/>
      <c r="C159" s="38"/>
      <c r="D159" s="38"/>
      <c r="E159" s="38"/>
    </row>
    <row r="160" spans="1:5" ht="14.5">
      <c r="A160" s="38"/>
      <c r="B160" s="38"/>
      <c r="C160" s="38"/>
      <c r="D160" s="38"/>
      <c r="E160" s="38"/>
    </row>
    <row r="161" spans="1:5" ht="14.5">
      <c r="A161" s="38"/>
      <c r="B161" s="38"/>
      <c r="C161" s="38"/>
      <c r="D161" s="38"/>
      <c r="E161" s="38"/>
    </row>
    <row r="162" spans="1:5" ht="14.5">
      <c r="A162" s="38"/>
      <c r="B162" s="38"/>
      <c r="C162" s="38"/>
      <c r="D162" s="38"/>
      <c r="E162" s="38"/>
    </row>
    <row r="163" spans="1:5" ht="14.5">
      <c r="A163" s="38"/>
      <c r="B163" s="38"/>
      <c r="C163" s="38"/>
      <c r="D163" s="38"/>
      <c r="E163" s="38"/>
    </row>
    <row r="164" spans="1:5" ht="14.5">
      <c r="A164" s="38"/>
      <c r="B164" s="38"/>
      <c r="C164" s="38"/>
      <c r="D164" s="38"/>
      <c r="E164" s="38"/>
    </row>
    <row r="165" spans="1:5" ht="14.5">
      <c r="A165" s="38"/>
      <c r="B165" s="38"/>
      <c r="C165" s="38"/>
      <c r="D165" s="38"/>
      <c r="E165" s="38"/>
    </row>
    <row r="166" spans="1:5" ht="14.5">
      <c r="A166" s="38"/>
      <c r="B166" s="38"/>
      <c r="C166" s="38"/>
      <c r="D166" s="38"/>
      <c r="E166" s="38"/>
    </row>
    <row r="167" spans="1:5" ht="14.5">
      <c r="A167" s="38"/>
      <c r="B167" s="38"/>
      <c r="C167" s="38"/>
      <c r="D167" s="38"/>
      <c r="E167" s="38"/>
    </row>
    <row r="168" spans="1:5" ht="14.5">
      <c r="A168" s="38"/>
      <c r="B168" s="38"/>
      <c r="C168" s="38"/>
      <c r="D168" s="38"/>
      <c r="E168" s="38"/>
    </row>
    <row r="169" spans="1:5" ht="14.5">
      <c r="A169" s="38"/>
      <c r="B169" s="38"/>
      <c r="C169" s="38"/>
      <c r="D169" s="38"/>
      <c r="E169" s="38"/>
    </row>
    <row r="170" spans="1:5" ht="14.5">
      <c r="A170" s="38"/>
      <c r="B170" s="38"/>
      <c r="C170" s="38"/>
      <c r="D170" s="38"/>
      <c r="E170" s="38"/>
    </row>
    <row r="171" spans="1:5" ht="14.5">
      <c r="A171" s="38"/>
      <c r="B171" s="38"/>
      <c r="C171" s="38"/>
      <c r="D171" s="38"/>
      <c r="E171" s="38"/>
    </row>
    <row r="172" spans="1:5" ht="14.5">
      <c r="A172" s="38"/>
      <c r="B172" s="38"/>
      <c r="C172" s="38"/>
      <c r="D172" s="38"/>
      <c r="E172" s="38"/>
    </row>
    <row r="173" spans="1:5" ht="14.5">
      <c r="A173" s="38"/>
      <c r="B173" s="38"/>
      <c r="C173" s="38"/>
      <c r="D173" s="38"/>
      <c r="E173" s="38"/>
    </row>
    <row r="174" spans="1:5" ht="14.5">
      <c r="A174" s="38"/>
      <c r="B174" s="38"/>
      <c r="C174" s="38"/>
      <c r="D174" s="38"/>
      <c r="E174" s="38"/>
    </row>
    <row r="175" spans="1:5" ht="14.5">
      <c r="A175" s="38"/>
      <c r="B175" s="38"/>
      <c r="C175" s="38"/>
      <c r="D175" s="38"/>
      <c r="E175" s="38"/>
    </row>
    <row r="176" spans="1:5" ht="14.5">
      <c r="A176" s="38"/>
      <c r="B176" s="38"/>
      <c r="C176" s="38"/>
      <c r="D176" s="38"/>
      <c r="E176" s="38"/>
    </row>
    <row r="177" spans="1:5" ht="14.5">
      <c r="A177" s="38"/>
      <c r="B177" s="38"/>
      <c r="C177" s="38"/>
      <c r="D177" s="38"/>
      <c r="E177" s="38"/>
    </row>
    <row r="178" spans="1:5" ht="14.5">
      <c r="A178" s="38"/>
      <c r="B178" s="38"/>
      <c r="C178" s="38"/>
      <c r="D178" s="38"/>
      <c r="E178" s="38"/>
    </row>
    <row r="179" spans="1:5" ht="14.5">
      <c r="A179" s="38"/>
      <c r="B179" s="38"/>
      <c r="C179" s="38"/>
      <c r="D179" s="38"/>
      <c r="E179" s="38"/>
    </row>
    <row r="180" spans="1:5" ht="14.5">
      <c r="A180" s="38"/>
      <c r="B180" s="38"/>
      <c r="C180" s="38"/>
      <c r="D180" s="38"/>
      <c r="E180" s="38"/>
    </row>
    <row r="181" spans="1:5" ht="14.5">
      <c r="A181" s="38"/>
      <c r="B181" s="38"/>
      <c r="C181" s="38"/>
      <c r="D181" s="38"/>
      <c r="E181" s="38"/>
    </row>
    <row r="182" spans="1:5" ht="14.5">
      <c r="A182" s="38"/>
      <c r="B182" s="38"/>
      <c r="C182" s="38"/>
      <c r="D182" s="38"/>
      <c r="E182" s="38"/>
    </row>
    <row r="183" spans="1:5" ht="14.5">
      <c r="A183" s="38"/>
      <c r="B183" s="38"/>
      <c r="C183" s="38"/>
      <c r="D183" s="38"/>
      <c r="E183" s="38"/>
    </row>
    <row r="184" spans="1:5" ht="14.5">
      <c r="A184" s="38"/>
      <c r="B184" s="38"/>
      <c r="C184" s="38"/>
      <c r="D184" s="38"/>
      <c r="E184" s="38"/>
    </row>
    <row r="185" spans="1:5" ht="14.5">
      <c r="A185" s="38"/>
      <c r="B185" s="38"/>
      <c r="C185" s="38"/>
      <c r="D185" s="38"/>
      <c r="E185" s="38"/>
    </row>
    <row r="186" spans="1:5" ht="14.5">
      <c r="A186" s="38"/>
      <c r="B186" s="38"/>
      <c r="C186" s="38"/>
      <c r="D186" s="38"/>
      <c r="E186" s="38"/>
    </row>
    <row r="187" spans="1:5" ht="14.5">
      <c r="A187" s="38"/>
      <c r="B187" s="38"/>
      <c r="C187" s="38"/>
      <c r="D187" s="38"/>
      <c r="E187" s="38"/>
    </row>
    <row r="188" spans="1:5" ht="14.5">
      <c r="A188" s="38"/>
      <c r="B188" s="38"/>
      <c r="C188" s="38"/>
      <c r="D188" s="38"/>
      <c r="E188" s="38"/>
    </row>
    <row r="189" spans="1:5" ht="14.5">
      <c r="A189" s="38"/>
      <c r="B189" s="38"/>
      <c r="C189" s="38"/>
      <c r="D189" s="38"/>
      <c r="E189" s="38"/>
    </row>
    <row r="190" spans="1:5" ht="14.5">
      <c r="A190" s="38"/>
      <c r="B190" s="38"/>
      <c r="C190" s="38"/>
      <c r="D190" s="38"/>
      <c r="E190" s="38"/>
    </row>
    <row r="191" spans="1:5" ht="14.5">
      <c r="A191" s="38"/>
      <c r="B191" s="38"/>
      <c r="C191" s="38"/>
      <c r="D191" s="38"/>
      <c r="E191" s="38"/>
    </row>
    <row r="192" spans="1:5" ht="14.5">
      <c r="A192" s="38"/>
      <c r="B192" s="38"/>
      <c r="C192" s="38"/>
      <c r="D192" s="38"/>
      <c r="E192" s="38"/>
    </row>
    <row r="193" spans="1:5" ht="14.5">
      <c r="A193" s="38"/>
      <c r="B193" s="38"/>
      <c r="C193" s="38"/>
      <c r="D193" s="38"/>
      <c r="E193" s="38"/>
    </row>
    <row r="194" spans="1:5" ht="14.5">
      <c r="A194" s="38"/>
      <c r="B194" s="38"/>
      <c r="C194" s="38"/>
      <c r="D194" s="38"/>
      <c r="E194" s="38"/>
    </row>
    <row r="195" spans="1:5" ht="14.5">
      <c r="A195" s="38"/>
      <c r="B195" s="38"/>
      <c r="C195" s="38"/>
      <c r="D195" s="38"/>
      <c r="E195" s="38"/>
    </row>
    <row r="196" spans="1:5" ht="14.5">
      <c r="A196" s="38"/>
      <c r="B196" s="38"/>
      <c r="C196" s="38"/>
      <c r="D196" s="38"/>
      <c r="E196" s="38"/>
    </row>
    <row r="197" spans="1:5" ht="14.5">
      <c r="A197" s="38"/>
      <c r="B197" s="38"/>
      <c r="C197" s="38"/>
      <c r="D197" s="38"/>
      <c r="E197" s="38"/>
    </row>
    <row r="198" spans="1:5" ht="14.5">
      <c r="A198" s="38"/>
      <c r="B198" s="38"/>
      <c r="C198" s="38"/>
      <c r="D198" s="38"/>
      <c r="E198" s="38"/>
    </row>
    <row r="199" spans="1:5" ht="14.5">
      <c r="A199" s="38"/>
      <c r="B199" s="38"/>
      <c r="C199" s="38"/>
      <c r="D199" s="38"/>
      <c r="E199" s="38"/>
    </row>
    <row r="200" spans="1:5" ht="14.5">
      <c r="A200" s="38"/>
      <c r="B200" s="38"/>
      <c r="C200" s="38"/>
      <c r="D200" s="38"/>
      <c r="E200" s="38"/>
    </row>
    <row r="201" spans="1:5" ht="14.5">
      <c r="A201" s="38"/>
      <c r="B201" s="38"/>
      <c r="C201" s="38"/>
      <c r="D201" s="38"/>
      <c r="E201" s="38"/>
    </row>
    <row r="202" spans="1:5" ht="14.5">
      <c r="A202" s="38"/>
      <c r="B202" s="38"/>
      <c r="C202" s="38"/>
      <c r="D202" s="38"/>
      <c r="E202" s="38"/>
    </row>
    <row r="203" spans="1:5" ht="14.5">
      <c r="A203" s="38"/>
      <c r="B203" s="38"/>
      <c r="C203" s="38"/>
      <c r="D203" s="38"/>
      <c r="E203" s="38"/>
    </row>
    <row r="204" spans="1:5" ht="14.5">
      <c r="A204" s="38"/>
      <c r="B204" s="38"/>
      <c r="C204" s="38"/>
      <c r="D204" s="38"/>
      <c r="E204" s="38"/>
    </row>
    <row r="205" spans="1:5" ht="14.5">
      <c r="A205" s="38"/>
      <c r="B205" s="38"/>
      <c r="C205" s="38"/>
      <c r="D205" s="38"/>
      <c r="E205" s="38"/>
    </row>
    <row r="206" spans="1:5" ht="14.5">
      <c r="A206" s="38"/>
      <c r="B206" s="38"/>
      <c r="C206" s="38"/>
      <c r="D206" s="38"/>
      <c r="E206" s="38"/>
    </row>
    <row r="207" spans="1:5" ht="14.5">
      <c r="A207" s="38"/>
      <c r="B207" s="38"/>
      <c r="C207" s="38"/>
      <c r="D207" s="38"/>
      <c r="E207" s="38"/>
    </row>
    <row r="208" spans="1:5" ht="14.5">
      <c r="A208" s="38"/>
      <c r="B208" s="38"/>
      <c r="C208" s="38"/>
      <c r="D208" s="38"/>
      <c r="E208" s="38"/>
    </row>
    <row r="209" spans="1:5" ht="14.5">
      <c r="A209" s="38"/>
      <c r="B209" s="38"/>
      <c r="C209" s="38"/>
      <c r="D209" s="38"/>
      <c r="E209" s="38"/>
    </row>
    <row r="210" spans="1:5" ht="14.5">
      <c r="A210" s="38"/>
      <c r="B210" s="38"/>
      <c r="C210" s="38"/>
      <c r="D210" s="38"/>
      <c r="E210" s="38"/>
    </row>
    <row r="211" spans="1:5" ht="14.5">
      <c r="A211" s="38"/>
      <c r="B211" s="38"/>
      <c r="C211" s="38"/>
      <c r="D211" s="38"/>
      <c r="E211" s="38"/>
    </row>
    <row r="212" spans="1:5" ht="14.5">
      <c r="A212" s="38"/>
      <c r="B212" s="38"/>
      <c r="C212" s="38"/>
      <c r="D212" s="38"/>
      <c r="E212" s="38"/>
    </row>
    <row r="213" spans="1:5" ht="14.5">
      <c r="A213" s="38"/>
      <c r="B213" s="38"/>
      <c r="C213" s="38"/>
      <c r="D213" s="38"/>
      <c r="E213" s="38"/>
    </row>
    <row r="214" spans="1:5" ht="14.5">
      <c r="A214" s="38"/>
      <c r="B214" s="38"/>
      <c r="C214" s="38"/>
      <c r="D214" s="38"/>
      <c r="E214" s="38"/>
    </row>
    <row r="215" spans="1:5" ht="14.5">
      <c r="A215" s="38"/>
      <c r="B215" s="38"/>
      <c r="C215" s="38"/>
      <c r="D215" s="38"/>
      <c r="E215" s="38"/>
    </row>
    <row r="216" spans="1:5" ht="14.5">
      <c r="A216" s="38"/>
      <c r="B216" s="38"/>
      <c r="C216" s="38"/>
      <c r="D216" s="38"/>
      <c r="E216" s="38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227"/>
  <sheetViews>
    <sheetView workbookViewId="0"/>
  </sheetViews>
  <sheetFormatPr baseColWidth="10" defaultColWidth="14.453125" defaultRowHeight="15" customHeight="1"/>
  <cols>
    <col min="1" max="1" width="11.7265625" customWidth="1"/>
    <col min="2" max="2" width="43" customWidth="1"/>
    <col min="3" max="3" width="10.453125" customWidth="1"/>
    <col min="5" max="8" width="23.54296875" customWidth="1"/>
  </cols>
  <sheetData>
    <row r="1" spans="1:8" ht="22.5" customHeight="1">
      <c r="A1" s="193" t="s">
        <v>0</v>
      </c>
      <c r="B1" s="193" t="s">
        <v>1</v>
      </c>
      <c r="C1" s="193" t="s">
        <v>2</v>
      </c>
      <c r="D1" s="193" t="s">
        <v>3</v>
      </c>
      <c r="E1" s="193" t="s">
        <v>27</v>
      </c>
      <c r="F1" s="193" t="s">
        <v>2710</v>
      </c>
      <c r="G1" s="193" t="s">
        <v>2711</v>
      </c>
      <c r="H1" s="193" t="s">
        <v>625</v>
      </c>
    </row>
    <row r="2" spans="1:8" ht="22.5" customHeight="1">
      <c r="A2" s="194">
        <v>4</v>
      </c>
      <c r="B2" s="194" t="s">
        <v>40</v>
      </c>
      <c r="C2" s="195" t="s">
        <v>34</v>
      </c>
      <c r="D2" s="194">
        <v>4</v>
      </c>
      <c r="E2" s="194" t="s">
        <v>2712</v>
      </c>
      <c r="F2" s="194">
        <v>40</v>
      </c>
      <c r="G2" s="196">
        <v>40</v>
      </c>
      <c r="H2" s="194">
        <f t="shared" ref="H2:H14" si="0">F2-G2</f>
        <v>0</v>
      </c>
    </row>
    <row r="3" spans="1:8" ht="22.5" customHeight="1">
      <c r="A3" s="197">
        <v>25</v>
      </c>
      <c r="B3" s="197" t="s">
        <v>66</v>
      </c>
      <c r="C3" s="198" t="s">
        <v>53</v>
      </c>
      <c r="D3" s="197" t="s">
        <v>67</v>
      </c>
      <c r="E3" s="197" t="s">
        <v>2712</v>
      </c>
      <c r="F3" s="197">
        <v>40</v>
      </c>
      <c r="G3" s="197">
        <v>20</v>
      </c>
      <c r="H3" s="197">
        <f t="shared" si="0"/>
        <v>20</v>
      </c>
    </row>
    <row r="4" spans="1:8" ht="22.5" customHeight="1">
      <c r="A4" s="194">
        <v>28</v>
      </c>
      <c r="B4" s="194" t="s">
        <v>71</v>
      </c>
      <c r="C4" s="195" t="s">
        <v>53</v>
      </c>
      <c r="D4" s="194">
        <v>16</v>
      </c>
      <c r="E4" s="194" t="s">
        <v>2712</v>
      </c>
      <c r="F4" s="194">
        <v>40</v>
      </c>
      <c r="G4" s="194"/>
      <c r="H4" s="194">
        <f t="shared" si="0"/>
        <v>40</v>
      </c>
    </row>
    <row r="5" spans="1:8" ht="22.5" customHeight="1">
      <c r="A5" s="197">
        <v>29</v>
      </c>
      <c r="B5" s="197" t="s">
        <v>72</v>
      </c>
      <c r="C5" s="198" t="s">
        <v>53</v>
      </c>
      <c r="D5" s="197">
        <v>17</v>
      </c>
      <c r="E5" s="197" t="s">
        <v>2712</v>
      </c>
      <c r="F5" s="197">
        <v>40</v>
      </c>
      <c r="G5" s="197">
        <v>40</v>
      </c>
      <c r="H5" s="197">
        <f t="shared" si="0"/>
        <v>0</v>
      </c>
    </row>
    <row r="6" spans="1:8" ht="22.5" customHeight="1">
      <c r="A6" s="194">
        <v>31</v>
      </c>
      <c r="B6" s="194" t="s">
        <v>75</v>
      </c>
      <c r="C6" s="195" t="s">
        <v>53</v>
      </c>
      <c r="D6" s="194">
        <v>21</v>
      </c>
      <c r="E6" s="194" t="s">
        <v>2712</v>
      </c>
      <c r="F6" s="194">
        <v>40</v>
      </c>
      <c r="G6" s="194">
        <v>20</v>
      </c>
      <c r="H6" s="194">
        <f t="shared" si="0"/>
        <v>20</v>
      </c>
    </row>
    <row r="7" spans="1:8" ht="22.5" customHeight="1">
      <c r="A7" s="197">
        <v>178</v>
      </c>
      <c r="B7" s="197" t="s">
        <v>247</v>
      </c>
      <c r="C7" s="198" t="s">
        <v>228</v>
      </c>
      <c r="D7" s="197">
        <v>16</v>
      </c>
      <c r="E7" s="197" t="s">
        <v>2712</v>
      </c>
      <c r="F7" s="197">
        <v>40</v>
      </c>
      <c r="G7" s="197"/>
      <c r="H7" s="197">
        <f t="shared" si="0"/>
        <v>40</v>
      </c>
    </row>
    <row r="8" spans="1:8" ht="22.5" customHeight="1">
      <c r="A8" s="194">
        <v>183</v>
      </c>
      <c r="B8" s="194" t="s">
        <v>253</v>
      </c>
      <c r="C8" s="195" t="s">
        <v>251</v>
      </c>
      <c r="D8" s="194">
        <v>3</v>
      </c>
      <c r="E8" s="194" t="s">
        <v>2712</v>
      </c>
      <c r="F8" s="194">
        <v>40</v>
      </c>
      <c r="G8" s="196">
        <v>40</v>
      </c>
      <c r="H8" s="194">
        <f t="shared" si="0"/>
        <v>0</v>
      </c>
    </row>
    <row r="9" spans="1:8" ht="22.5" customHeight="1">
      <c r="A9" s="197">
        <v>286</v>
      </c>
      <c r="B9" s="197" t="s">
        <v>365</v>
      </c>
      <c r="C9" s="198" t="s">
        <v>357</v>
      </c>
      <c r="D9" s="197">
        <v>11</v>
      </c>
      <c r="E9" s="197" t="s">
        <v>2712</v>
      </c>
      <c r="F9" s="197">
        <v>40</v>
      </c>
      <c r="G9" s="199">
        <v>40</v>
      </c>
      <c r="H9" s="197">
        <f t="shared" si="0"/>
        <v>0</v>
      </c>
    </row>
    <row r="10" spans="1:8" ht="22.5" customHeight="1">
      <c r="A10" s="194">
        <v>303</v>
      </c>
      <c r="B10" s="194" t="s">
        <v>386</v>
      </c>
      <c r="C10" s="195" t="s">
        <v>378</v>
      </c>
      <c r="D10" s="194">
        <v>12</v>
      </c>
      <c r="E10" s="194" t="s">
        <v>2712</v>
      </c>
      <c r="F10" s="194">
        <v>40</v>
      </c>
      <c r="G10" s="196">
        <v>20</v>
      </c>
      <c r="H10" s="194">
        <f t="shared" si="0"/>
        <v>20</v>
      </c>
    </row>
    <row r="11" spans="1:8" ht="22.5" customHeight="1">
      <c r="A11" s="197">
        <v>355</v>
      </c>
      <c r="B11" s="197" t="s">
        <v>444</v>
      </c>
      <c r="C11" s="198" t="s">
        <v>441</v>
      </c>
      <c r="D11" s="197">
        <v>4</v>
      </c>
      <c r="E11" s="197" t="s">
        <v>2712</v>
      </c>
      <c r="F11" s="197">
        <v>40</v>
      </c>
      <c r="G11" s="197"/>
      <c r="H11" s="197">
        <f t="shared" si="0"/>
        <v>40</v>
      </c>
    </row>
    <row r="12" spans="1:8" ht="22.5" customHeight="1">
      <c r="A12" s="194">
        <v>410</v>
      </c>
      <c r="B12" s="194" t="s">
        <v>506</v>
      </c>
      <c r="C12" s="195" t="s">
        <v>502</v>
      </c>
      <c r="D12" s="194">
        <v>6</v>
      </c>
      <c r="E12" s="194" t="s">
        <v>2712</v>
      </c>
      <c r="F12" s="194">
        <v>40</v>
      </c>
      <c r="G12" s="194"/>
      <c r="H12" s="194">
        <f t="shared" si="0"/>
        <v>40</v>
      </c>
    </row>
    <row r="13" spans="1:8" ht="22.5" customHeight="1">
      <c r="A13" s="197">
        <v>467</v>
      </c>
      <c r="B13" s="197" t="s">
        <v>570</v>
      </c>
      <c r="C13" s="198" t="s">
        <v>567</v>
      </c>
      <c r="D13" s="197">
        <v>6</v>
      </c>
      <c r="E13" s="197" t="s">
        <v>2712</v>
      </c>
      <c r="F13" s="197">
        <v>40</v>
      </c>
      <c r="G13" s="197"/>
      <c r="H13" s="197">
        <f t="shared" si="0"/>
        <v>40</v>
      </c>
    </row>
    <row r="14" spans="1:8" ht="22.5" customHeight="1">
      <c r="A14" s="194">
        <v>492</v>
      </c>
      <c r="B14" s="194" t="s">
        <v>598</v>
      </c>
      <c r="C14" s="195" t="s">
        <v>592</v>
      </c>
      <c r="D14" s="194">
        <v>10</v>
      </c>
      <c r="E14" s="194" t="s">
        <v>2712</v>
      </c>
      <c r="F14" s="194">
        <v>40</v>
      </c>
      <c r="G14" s="196">
        <v>20</v>
      </c>
      <c r="H14" s="194">
        <f t="shared" si="0"/>
        <v>20</v>
      </c>
    </row>
    <row r="15" spans="1:8" ht="22.5" customHeight="1">
      <c r="A15" s="197"/>
      <c r="B15" s="197"/>
      <c r="C15" s="198"/>
      <c r="D15" s="197"/>
      <c r="E15" s="197"/>
      <c r="F15" s="197"/>
      <c r="G15" s="197"/>
      <c r="H15" s="197"/>
    </row>
    <row r="16" spans="1:8" ht="22.5" customHeight="1">
      <c r="A16" s="194"/>
      <c r="B16" s="194"/>
      <c r="C16" s="195"/>
      <c r="D16" s="194"/>
      <c r="E16" s="194"/>
      <c r="F16" s="194"/>
      <c r="G16" s="194"/>
      <c r="H16" s="194">
        <f>SUM(H3:H14)</f>
        <v>280</v>
      </c>
    </row>
    <row r="17" spans="1:8" ht="22.5" customHeight="1">
      <c r="A17" s="197"/>
      <c r="B17" s="197"/>
      <c r="C17" s="198"/>
      <c r="D17" s="197"/>
      <c r="E17" s="197"/>
      <c r="F17" s="197"/>
      <c r="G17" s="197"/>
      <c r="H17" s="197"/>
    </row>
    <row r="18" spans="1:8" ht="22.5" customHeight="1">
      <c r="A18" s="194"/>
      <c r="B18" s="194"/>
      <c r="C18" s="195"/>
      <c r="D18" s="194"/>
      <c r="E18" s="194"/>
      <c r="F18" s="194"/>
      <c r="G18" s="194"/>
      <c r="H18" s="194"/>
    </row>
    <row r="19" spans="1:8" ht="22.5" customHeight="1">
      <c r="A19" s="197"/>
      <c r="B19" s="197"/>
      <c r="C19" s="198"/>
      <c r="D19" s="197"/>
      <c r="E19" s="197"/>
      <c r="F19" s="197"/>
      <c r="G19" s="197"/>
      <c r="H19" s="197"/>
    </row>
    <row r="20" spans="1:8" ht="22.5" customHeight="1">
      <c r="A20" s="194"/>
      <c r="B20" s="194"/>
      <c r="C20" s="195"/>
      <c r="D20" s="194"/>
      <c r="E20" s="194"/>
      <c r="F20" s="194"/>
      <c r="G20" s="194"/>
      <c r="H20" s="194"/>
    </row>
    <row r="21" spans="1:8" ht="22.5" customHeight="1">
      <c r="A21" s="197"/>
      <c r="B21" s="197"/>
      <c r="C21" s="200"/>
      <c r="D21" s="201"/>
      <c r="E21" s="197"/>
      <c r="F21" s="197"/>
      <c r="G21" s="197"/>
      <c r="H21" s="197"/>
    </row>
    <row r="22" spans="1:8" ht="22.5" customHeight="1">
      <c r="A22" s="194"/>
      <c r="B22" s="194"/>
      <c r="C22" s="202"/>
      <c r="D22" s="203"/>
      <c r="E22" s="194"/>
      <c r="F22" s="194"/>
      <c r="G22" s="194"/>
      <c r="H22" s="194"/>
    </row>
    <row r="23" spans="1:8" ht="22.5" customHeight="1">
      <c r="A23" s="204"/>
      <c r="B23" s="205"/>
      <c r="C23" s="198"/>
      <c r="D23" s="197"/>
      <c r="E23" s="197"/>
      <c r="F23" s="197"/>
      <c r="G23" s="197"/>
      <c r="H23" s="197"/>
    </row>
    <row r="24" spans="1:8" ht="14.5">
      <c r="A24" s="206"/>
      <c r="B24" s="207"/>
      <c r="C24" s="195"/>
      <c r="D24" s="194"/>
      <c r="E24" s="194"/>
      <c r="F24" s="194"/>
      <c r="G24" s="194"/>
      <c r="H24" s="194"/>
    </row>
    <row r="25" spans="1:8" ht="14.5">
      <c r="A25" s="204"/>
      <c r="B25" s="205"/>
      <c r="C25" s="198"/>
      <c r="D25" s="197"/>
      <c r="E25" s="197"/>
      <c r="F25" s="197"/>
      <c r="G25" s="197"/>
      <c r="H25" s="197"/>
    </row>
    <row r="26" spans="1:8" ht="14.5">
      <c r="A26" s="206"/>
      <c r="B26" s="207"/>
      <c r="C26" s="195"/>
      <c r="D26" s="194"/>
      <c r="E26" s="194"/>
      <c r="F26" s="194"/>
      <c r="G26" s="194"/>
      <c r="H26" s="194"/>
    </row>
    <row r="27" spans="1:8" ht="14.5">
      <c r="A27" s="204"/>
      <c r="B27" s="205"/>
      <c r="C27" s="198"/>
      <c r="D27" s="197"/>
      <c r="E27" s="197"/>
      <c r="F27" s="197"/>
      <c r="G27" s="197"/>
      <c r="H27" s="197"/>
    </row>
    <row r="28" spans="1:8" ht="14.5">
      <c r="A28" s="206"/>
      <c r="B28" s="207"/>
      <c r="C28" s="195"/>
      <c r="D28" s="194"/>
      <c r="E28" s="194"/>
      <c r="F28" s="194"/>
      <c r="G28" s="194"/>
      <c r="H28" s="194"/>
    </row>
    <row r="29" spans="1:8" ht="14.5">
      <c r="A29" s="204"/>
      <c r="B29" s="205"/>
      <c r="C29" s="198"/>
      <c r="D29" s="197"/>
      <c r="E29" s="197"/>
      <c r="F29" s="197"/>
      <c r="G29" s="197"/>
      <c r="H29" s="197"/>
    </row>
    <row r="30" spans="1:8" ht="14.5">
      <c r="A30" s="206"/>
      <c r="B30" s="207"/>
      <c r="C30" s="195"/>
      <c r="D30" s="194"/>
      <c r="E30" s="194"/>
      <c r="F30" s="194"/>
      <c r="G30" s="194"/>
      <c r="H30" s="194"/>
    </row>
    <row r="31" spans="1:8" ht="14.5">
      <c r="A31" s="204"/>
      <c r="B31" s="205"/>
      <c r="C31" s="198"/>
      <c r="D31" s="197"/>
      <c r="E31" s="197"/>
      <c r="F31" s="197"/>
      <c r="G31" s="197"/>
      <c r="H31" s="197"/>
    </row>
    <row r="32" spans="1:8" ht="14.5">
      <c r="A32" s="38"/>
      <c r="B32" s="38"/>
      <c r="C32" s="38"/>
      <c r="D32" s="38"/>
      <c r="E32" s="38"/>
      <c r="F32" s="38"/>
      <c r="G32" s="38"/>
      <c r="H32" s="38"/>
    </row>
    <row r="33" spans="1:8" ht="14.5">
      <c r="A33" s="38"/>
      <c r="B33" s="38"/>
      <c r="C33" s="38"/>
      <c r="D33" s="38"/>
      <c r="E33" s="38"/>
      <c r="F33" s="38"/>
      <c r="G33" s="38"/>
      <c r="H33" s="38"/>
    </row>
    <row r="34" spans="1:8" ht="14.5">
      <c r="A34" s="38"/>
      <c r="B34" s="38"/>
      <c r="C34" s="38"/>
      <c r="D34" s="38"/>
      <c r="E34" s="38"/>
      <c r="F34" s="38"/>
      <c r="G34" s="38"/>
      <c r="H34" s="38"/>
    </row>
    <row r="35" spans="1:8" ht="14.5">
      <c r="A35" s="38"/>
      <c r="B35" s="38"/>
      <c r="C35" s="38"/>
      <c r="D35" s="38"/>
      <c r="E35" s="38"/>
      <c r="F35" s="38"/>
      <c r="G35" s="38"/>
      <c r="H35" s="38"/>
    </row>
    <row r="36" spans="1:8" ht="14.5">
      <c r="A36" s="38"/>
      <c r="B36" s="38"/>
      <c r="C36" s="38"/>
      <c r="D36" s="38"/>
      <c r="E36" s="38"/>
      <c r="F36" s="38"/>
      <c r="G36" s="38"/>
      <c r="H36" s="38"/>
    </row>
    <row r="37" spans="1:8" ht="14.5">
      <c r="A37" s="38"/>
      <c r="B37" s="38"/>
      <c r="C37" s="38"/>
      <c r="D37" s="38"/>
      <c r="E37" s="38"/>
      <c r="F37" s="38"/>
      <c r="G37" s="38"/>
      <c r="H37" s="38"/>
    </row>
    <row r="38" spans="1:8" ht="14.5">
      <c r="A38" s="38"/>
      <c r="B38" s="38"/>
      <c r="C38" s="38"/>
      <c r="D38" s="38"/>
      <c r="E38" s="38"/>
      <c r="F38" s="38"/>
      <c r="G38" s="38"/>
      <c r="H38" s="38"/>
    </row>
    <row r="39" spans="1:8" ht="14.5">
      <c r="A39" s="38"/>
      <c r="B39" s="38"/>
      <c r="C39" s="38"/>
      <c r="D39" s="38"/>
      <c r="E39" s="38"/>
      <c r="F39" s="38"/>
      <c r="G39" s="38"/>
      <c r="H39" s="38"/>
    </row>
    <row r="40" spans="1:8" ht="14.5">
      <c r="A40" s="38"/>
      <c r="B40" s="38"/>
      <c r="C40" s="38"/>
      <c r="D40" s="38"/>
      <c r="E40" s="38"/>
      <c r="F40" s="38"/>
      <c r="G40" s="38"/>
      <c r="H40" s="38"/>
    </row>
    <row r="41" spans="1:8" ht="14.5">
      <c r="A41" s="38"/>
      <c r="B41" s="38"/>
      <c r="C41" s="38"/>
      <c r="D41" s="38"/>
      <c r="E41" s="38"/>
      <c r="F41" s="38"/>
      <c r="G41" s="38"/>
      <c r="H41" s="38"/>
    </row>
    <row r="42" spans="1:8" ht="14.5">
      <c r="A42" s="38"/>
      <c r="B42" s="38"/>
      <c r="C42" s="38"/>
      <c r="D42" s="38"/>
      <c r="E42" s="38"/>
      <c r="F42" s="38"/>
      <c r="G42" s="38"/>
      <c r="H42" s="38"/>
    </row>
    <row r="43" spans="1:8" ht="14.5">
      <c r="A43" s="38"/>
      <c r="B43" s="38"/>
      <c r="C43" s="38"/>
      <c r="D43" s="38"/>
      <c r="E43" s="38"/>
      <c r="F43" s="38"/>
      <c r="G43" s="38"/>
      <c r="H43" s="38"/>
    </row>
    <row r="44" spans="1:8" ht="14.5">
      <c r="A44" s="38"/>
      <c r="B44" s="38"/>
      <c r="C44" s="38"/>
      <c r="D44" s="38"/>
      <c r="E44" s="38"/>
      <c r="F44" s="38"/>
      <c r="G44" s="38"/>
      <c r="H44" s="38"/>
    </row>
    <row r="45" spans="1:8" ht="14.5">
      <c r="A45" s="38"/>
      <c r="B45" s="38"/>
      <c r="C45" s="38"/>
      <c r="D45" s="38"/>
      <c r="E45" s="38"/>
      <c r="F45" s="38"/>
      <c r="G45" s="38"/>
      <c r="H45" s="38"/>
    </row>
    <row r="46" spans="1:8" ht="14.5">
      <c r="A46" s="38"/>
      <c r="B46" s="38"/>
      <c r="C46" s="38"/>
      <c r="D46" s="38"/>
      <c r="E46" s="38"/>
      <c r="F46" s="38"/>
      <c r="G46" s="38"/>
      <c r="H46" s="38"/>
    </row>
    <row r="47" spans="1:8" ht="14.5">
      <c r="A47" s="38"/>
      <c r="B47" s="38"/>
      <c r="C47" s="38"/>
      <c r="D47" s="38"/>
      <c r="E47" s="38"/>
      <c r="F47" s="38"/>
      <c r="G47" s="38"/>
      <c r="H47" s="38"/>
    </row>
    <row r="48" spans="1:8" ht="14.5">
      <c r="A48" s="38"/>
      <c r="B48" s="38"/>
      <c r="C48" s="38"/>
      <c r="D48" s="38"/>
      <c r="E48" s="38"/>
      <c r="F48" s="38"/>
      <c r="G48" s="38"/>
      <c r="H48" s="38"/>
    </row>
    <row r="49" spans="1:8" ht="14.5">
      <c r="A49" s="38"/>
      <c r="B49" s="38"/>
      <c r="C49" s="38"/>
      <c r="D49" s="38"/>
      <c r="E49" s="38"/>
      <c r="F49" s="38"/>
      <c r="G49" s="38"/>
      <c r="H49" s="38"/>
    </row>
    <row r="50" spans="1:8" ht="14.5">
      <c r="A50" s="38"/>
      <c r="B50" s="38"/>
      <c r="C50" s="38"/>
      <c r="D50" s="38"/>
      <c r="E50" s="38"/>
      <c r="F50" s="38"/>
      <c r="G50" s="38"/>
      <c r="H50" s="38"/>
    </row>
    <row r="51" spans="1:8" ht="14.5">
      <c r="A51" s="38"/>
      <c r="B51" s="38"/>
      <c r="C51" s="38"/>
      <c r="D51" s="38"/>
      <c r="E51" s="38"/>
      <c r="F51" s="38"/>
      <c r="G51" s="38"/>
      <c r="H51" s="38"/>
    </row>
    <row r="52" spans="1:8" ht="14.5">
      <c r="A52" s="38"/>
      <c r="B52" s="38"/>
      <c r="C52" s="38"/>
      <c r="D52" s="38"/>
      <c r="E52" s="38"/>
      <c r="F52" s="38"/>
      <c r="G52" s="38"/>
      <c r="H52" s="38"/>
    </row>
    <row r="53" spans="1:8" ht="14.5">
      <c r="A53" s="38"/>
      <c r="B53" s="38"/>
      <c r="C53" s="38"/>
      <c r="D53" s="38"/>
      <c r="E53" s="38"/>
      <c r="F53" s="38"/>
      <c r="G53" s="38"/>
      <c r="H53" s="38"/>
    </row>
    <row r="54" spans="1:8" ht="14.5">
      <c r="A54" s="38"/>
      <c r="B54" s="38"/>
      <c r="C54" s="38"/>
      <c r="D54" s="38"/>
      <c r="E54" s="38"/>
      <c r="F54" s="38"/>
      <c r="G54" s="38"/>
      <c r="H54" s="38"/>
    </row>
    <row r="55" spans="1:8" ht="14.5">
      <c r="A55" s="38"/>
      <c r="B55" s="38"/>
      <c r="C55" s="38"/>
      <c r="D55" s="38"/>
      <c r="E55" s="38"/>
      <c r="F55" s="38"/>
      <c r="G55" s="38"/>
      <c r="H55" s="38"/>
    </row>
    <row r="56" spans="1:8" ht="14.5">
      <c r="A56" s="38"/>
      <c r="B56" s="38"/>
      <c r="C56" s="38"/>
      <c r="D56" s="38"/>
      <c r="E56" s="38"/>
      <c r="F56" s="38"/>
      <c r="G56" s="38"/>
      <c r="H56" s="38"/>
    </row>
    <row r="57" spans="1:8" ht="14.5">
      <c r="A57" s="38"/>
      <c r="B57" s="38"/>
      <c r="C57" s="38"/>
      <c r="D57" s="38"/>
      <c r="E57" s="38"/>
      <c r="F57" s="38"/>
      <c r="G57" s="38"/>
      <c r="H57" s="38"/>
    </row>
    <row r="58" spans="1:8" ht="14.5">
      <c r="A58" s="38"/>
      <c r="B58" s="38"/>
      <c r="C58" s="38"/>
      <c r="D58" s="38"/>
      <c r="E58" s="38"/>
      <c r="F58" s="38"/>
      <c r="G58" s="38"/>
      <c r="H58" s="38"/>
    </row>
    <row r="59" spans="1:8" ht="14.5">
      <c r="A59" s="38"/>
      <c r="B59" s="38"/>
      <c r="C59" s="38"/>
      <c r="D59" s="38"/>
      <c r="E59" s="38"/>
      <c r="F59" s="38"/>
      <c r="G59" s="38"/>
      <c r="H59" s="38"/>
    </row>
    <row r="60" spans="1:8" ht="14.5">
      <c r="A60" s="38"/>
      <c r="B60" s="38"/>
      <c r="C60" s="38"/>
      <c r="D60" s="38"/>
      <c r="E60" s="38"/>
      <c r="F60" s="38"/>
      <c r="G60" s="38"/>
      <c r="H60" s="38"/>
    </row>
    <row r="61" spans="1:8" ht="14.5">
      <c r="A61" s="38"/>
      <c r="B61" s="38"/>
      <c r="C61" s="38"/>
      <c r="D61" s="38"/>
      <c r="E61" s="38"/>
      <c r="F61" s="38"/>
      <c r="G61" s="38"/>
      <c r="H61" s="38"/>
    </row>
    <row r="62" spans="1:8" ht="14.5">
      <c r="A62" s="38"/>
      <c r="B62" s="38"/>
      <c r="C62" s="38"/>
      <c r="D62" s="38"/>
      <c r="E62" s="38"/>
      <c r="F62" s="38"/>
      <c r="G62" s="38"/>
      <c r="H62" s="38"/>
    </row>
    <row r="63" spans="1:8" ht="14.5">
      <c r="A63" s="38"/>
      <c r="B63" s="38"/>
      <c r="C63" s="38"/>
      <c r="D63" s="38"/>
      <c r="E63" s="38"/>
      <c r="F63" s="38"/>
      <c r="G63" s="38"/>
      <c r="H63" s="38"/>
    </row>
    <row r="64" spans="1:8" ht="14.5">
      <c r="A64" s="38"/>
      <c r="B64" s="38"/>
      <c r="C64" s="38"/>
      <c r="D64" s="38"/>
      <c r="E64" s="38"/>
      <c r="F64" s="38"/>
      <c r="G64" s="38"/>
      <c r="H64" s="38"/>
    </row>
    <row r="65" spans="1:8" ht="14.5">
      <c r="A65" s="38"/>
      <c r="B65" s="38"/>
      <c r="C65" s="38"/>
      <c r="D65" s="38"/>
      <c r="E65" s="38"/>
      <c r="F65" s="38"/>
      <c r="G65" s="38"/>
      <c r="H65" s="38"/>
    </row>
    <row r="66" spans="1:8" ht="14.5">
      <c r="A66" s="38"/>
      <c r="B66" s="38"/>
      <c r="C66" s="38"/>
      <c r="D66" s="38"/>
      <c r="E66" s="38"/>
      <c r="F66" s="38"/>
      <c r="G66" s="38"/>
      <c r="H66" s="38"/>
    </row>
    <row r="67" spans="1:8" ht="14.5">
      <c r="A67" s="38"/>
      <c r="B67" s="38"/>
      <c r="C67" s="38"/>
      <c r="D67" s="38"/>
      <c r="E67" s="38"/>
      <c r="F67" s="38"/>
      <c r="G67" s="38"/>
      <c r="H67" s="38"/>
    </row>
    <row r="68" spans="1:8" ht="14.5">
      <c r="A68" s="38"/>
      <c r="B68" s="38"/>
      <c r="C68" s="38"/>
      <c r="D68" s="38"/>
      <c r="E68" s="38"/>
      <c r="F68" s="38"/>
      <c r="G68" s="38"/>
      <c r="H68" s="38"/>
    </row>
    <row r="69" spans="1:8" ht="14.5">
      <c r="A69" s="38"/>
      <c r="B69" s="38"/>
      <c r="C69" s="38"/>
      <c r="D69" s="38"/>
      <c r="E69" s="38"/>
      <c r="F69" s="38"/>
      <c r="G69" s="38"/>
      <c r="H69" s="38"/>
    </row>
    <row r="70" spans="1:8" ht="14.5">
      <c r="A70" s="38"/>
      <c r="B70" s="38"/>
      <c r="C70" s="38"/>
      <c r="D70" s="38"/>
      <c r="E70" s="38"/>
      <c r="F70" s="38"/>
      <c r="G70" s="38"/>
      <c r="H70" s="38"/>
    </row>
    <row r="71" spans="1:8" ht="14.5">
      <c r="A71" s="38"/>
      <c r="B71" s="38"/>
      <c r="C71" s="38"/>
      <c r="D71" s="38"/>
      <c r="E71" s="38"/>
      <c r="F71" s="38"/>
      <c r="G71" s="38"/>
      <c r="H71" s="38"/>
    </row>
    <row r="72" spans="1:8" ht="14.5">
      <c r="A72" s="38"/>
      <c r="B72" s="38"/>
      <c r="C72" s="38"/>
      <c r="D72" s="38"/>
      <c r="E72" s="38"/>
      <c r="F72" s="38"/>
      <c r="G72" s="38"/>
      <c r="H72" s="38"/>
    </row>
    <row r="73" spans="1:8" ht="14.5">
      <c r="A73" s="38"/>
      <c r="B73" s="38"/>
      <c r="C73" s="38"/>
      <c r="D73" s="38"/>
      <c r="E73" s="38"/>
      <c r="F73" s="38"/>
      <c r="G73" s="38"/>
      <c r="H73" s="38"/>
    </row>
    <row r="74" spans="1:8" ht="14.5">
      <c r="A74" s="38"/>
      <c r="B74" s="38"/>
      <c r="C74" s="38"/>
      <c r="D74" s="38"/>
      <c r="E74" s="38"/>
      <c r="F74" s="38"/>
      <c r="G74" s="38"/>
      <c r="H74" s="38"/>
    </row>
    <row r="75" spans="1:8" ht="14.5">
      <c r="A75" s="38"/>
      <c r="B75" s="38"/>
      <c r="C75" s="38"/>
      <c r="D75" s="38"/>
      <c r="E75" s="38"/>
      <c r="F75" s="38"/>
      <c r="G75" s="38"/>
      <c r="H75" s="38"/>
    </row>
    <row r="76" spans="1:8" ht="14.5">
      <c r="A76" s="38"/>
      <c r="B76" s="38"/>
      <c r="C76" s="38"/>
      <c r="D76" s="38"/>
      <c r="E76" s="38"/>
      <c r="F76" s="38"/>
      <c r="G76" s="38"/>
      <c r="H76" s="38"/>
    </row>
    <row r="77" spans="1:8" ht="14.5">
      <c r="A77" s="38"/>
      <c r="B77" s="38"/>
      <c r="C77" s="38"/>
      <c r="D77" s="38"/>
      <c r="E77" s="38"/>
      <c r="F77" s="38"/>
      <c r="G77" s="38"/>
      <c r="H77" s="38"/>
    </row>
    <row r="78" spans="1:8" ht="14.5">
      <c r="A78" s="38"/>
      <c r="B78" s="38"/>
      <c r="C78" s="38"/>
      <c r="D78" s="38"/>
      <c r="E78" s="38"/>
      <c r="F78" s="38"/>
      <c r="G78" s="38"/>
      <c r="H78" s="38"/>
    </row>
    <row r="79" spans="1:8" ht="14.5">
      <c r="A79" s="38"/>
      <c r="B79" s="38"/>
      <c r="C79" s="38"/>
      <c r="D79" s="38"/>
      <c r="E79" s="38"/>
      <c r="F79" s="38"/>
      <c r="G79" s="38"/>
      <c r="H79" s="38"/>
    </row>
    <row r="80" spans="1:8" ht="14.5">
      <c r="A80" s="38"/>
      <c r="B80" s="38"/>
      <c r="C80" s="38"/>
      <c r="D80" s="38"/>
      <c r="E80" s="38"/>
      <c r="F80" s="38"/>
      <c r="G80" s="38"/>
      <c r="H80" s="38"/>
    </row>
    <row r="81" spans="1:8" ht="14.5">
      <c r="A81" s="38"/>
      <c r="B81" s="38"/>
      <c r="C81" s="38"/>
      <c r="D81" s="38"/>
      <c r="E81" s="38"/>
      <c r="F81" s="38"/>
      <c r="G81" s="38"/>
      <c r="H81" s="38"/>
    </row>
    <row r="82" spans="1:8" ht="14.5">
      <c r="A82" s="38"/>
      <c r="B82" s="38"/>
      <c r="C82" s="38"/>
      <c r="D82" s="38"/>
      <c r="E82" s="38"/>
      <c r="F82" s="38"/>
      <c r="G82" s="38"/>
      <c r="H82" s="38"/>
    </row>
    <row r="83" spans="1:8" ht="14.5">
      <c r="A83" s="38"/>
      <c r="B83" s="38"/>
      <c r="C83" s="38"/>
      <c r="D83" s="38"/>
      <c r="E83" s="38"/>
      <c r="F83" s="38"/>
      <c r="G83" s="38"/>
      <c r="H83" s="38"/>
    </row>
    <row r="84" spans="1:8" ht="14.5">
      <c r="A84" s="38"/>
      <c r="B84" s="38"/>
      <c r="C84" s="38"/>
      <c r="D84" s="38"/>
      <c r="E84" s="38"/>
      <c r="F84" s="38"/>
      <c r="G84" s="38"/>
      <c r="H84" s="38"/>
    </row>
    <row r="85" spans="1:8" ht="14.5">
      <c r="A85" s="38"/>
      <c r="B85" s="38"/>
      <c r="C85" s="38"/>
      <c r="D85" s="38"/>
      <c r="E85" s="38"/>
      <c r="F85" s="38"/>
      <c r="G85" s="38"/>
      <c r="H85" s="38"/>
    </row>
    <row r="86" spans="1:8" ht="14.5">
      <c r="A86" s="38"/>
      <c r="B86" s="38"/>
      <c r="C86" s="38"/>
      <c r="D86" s="38"/>
      <c r="E86" s="38"/>
      <c r="F86" s="38"/>
      <c r="G86" s="38"/>
      <c r="H86" s="38"/>
    </row>
    <row r="87" spans="1:8" ht="14.5">
      <c r="A87" s="38"/>
      <c r="B87" s="38"/>
      <c r="C87" s="38"/>
      <c r="D87" s="38"/>
      <c r="E87" s="38"/>
      <c r="F87" s="38"/>
      <c r="G87" s="38"/>
      <c r="H87" s="38"/>
    </row>
    <row r="88" spans="1:8" ht="14.5">
      <c r="A88" s="38"/>
      <c r="B88" s="38"/>
      <c r="C88" s="38"/>
      <c r="D88" s="38"/>
      <c r="E88" s="38"/>
      <c r="F88" s="38"/>
      <c r="G88" s="38"/>
      <c r="H88" s="38"/>
    </row>
    <row r="89" spans="1:8" ht="14.5">
      <c r="A89" s="38"/>
      <c r="B89" s="38"/>
      <c r="C89" s="38"/>
      <c r="D89" s="38"/>
      <c r="E89" s="38"/>
      <c r="F89" s="38"/>
      <c r="G89" s="38"/>
      <c r="H89" s="38"/>
    </row>
    <row r="90" spans="1:8" ht="14.5">
      <c r="A90" s="38"/>
      <c r="B90" s="38"/>
      <c r="C90" s="38"/>
      <c r="D90" s="38"/>
      <c r="E90" s="38"/>
      <c r="F90" s="38"/>
      <c r="G90" s="38"/>
      <c r="H90" s="38"/>
    </row>
    <row r="91" spans="1:8" ht="14.5">
      <c r="A91" s="38"/>
      <c r="B91" s="38"/>
      <c r="C91" s="38"/>
      <c r="D91" s="38"/>
      <c r="E91" s="38"/>
      <c r="F91" s="38"/>
      <c r="G91" s="38"/>
      <c r="H91" s="38"/>
    </row>
    <row r="92" spans="1:8" ht="14.5">
      <c r="A92" s="38"/>
      <c r="B92" s="38"/>
      <c r="C92" s="38"/>
      <c r="D92" s="38"/>
      <c r="E92" s="38"/>
      <c r="F92" s="38"/>
      <c r="G92" s="38"/>
      <c r="H92" s="38"/>
    </row>
    <row r="93" spans="1:8" ht="14.5">
      <c r="A93" s="38"/>
      <c r="B93" s="38"/>
      <c r="C93" s="38"/>
      <c r="D93" s="38"/>
      <c r="E93" s="38"/>
      <c r="F93" s="38"/>
      <c r="G93" s="38"/>
      <c r="H93" s="38"/>
    </row>
    <row r="94" spans="1:8" ht="14.5">
      <c r="A94" s="38"/>
      <c r="B94" s="38"/>
      <c r="C94" s="38"/>
      <c r="D94" s="38"/>
      <c r="E94" s="38"/>
      <c r="F94" s="38"/>
      <c r="G94" s="38"/>
      <c r="H94" s="38"/>
    </row>
    <row r="95" spans="1:8" ht="14.5">
      <c r="A95" s="38"/>
      <c r="B95" s="38"/>
      <c r="C95" s="38"/>
      <c r="D95" s="38"/>
      <c r="E95" s="38"/>
      <c r="F95" s="38"/>
      <c r="G95" s="38"/>
      <c r="H95" s="38"/>
    </row>
    <row r="96" spans="1:8" ht="14.5">
      <c r="A96" s="38"/>
      <c r="B96" s="38"/>
      <c r="C96" s="38"/>
      <c r="D96" s="38"/>
      <c r="E96" s="38"/>
      <c r="F96" s="38"/>
      <c r="G96" s="38"/>
      <c r="H96" s="38"/>
    </row>
    <row r="97" spans="1:8" ht="14.5">
      <c r="A97" s="38"/>
      <c r="B97" s="38"/>
      <c r="C97" s="38"/>
      <c r="D97" s="38"/>
      <c r="E97" s="38"/>
      <c r="F97" s="38"/>
      <c r="G97" s="38"/>
      <c r="H97" s="38"/>
    </row>
    <row r="98" spans="1:8" ht="14.5">
      <c r="A98" s="38"/>
      <c r="B98" s="38"/>
      <c r="C98" s="38"/>
      <c r="D98" s="38"/>
      <c r="E98" s="38"/>
      <c r="F98" s="38"/>
      <c r="G98" s="38"/>
      <c r="H98" s="38"/>
    </row>
    <row r="99" spans="1:8" ht="14.5">
      <c r="A99" s="38"/>
      <c r="B99" s="38"/>
      <c r="C99" s="38"/>
      <c r="D99" s="38"/>
      <c r="E99" s="38"/>
      <c r="F99" s="38"/>
      <c r="G99" s="38"/>
      <c r="H99" s="38"/>
    </row>
    <row r="100" spans="1:8" ht="14.5">
      <c r="A100" s="38"/>
      <c r="B100" s="38"/>
      <c r="C100" s="38"/>
      <c r="D100" s="38"/>
      <c r="E100" s="38"/>
      <c r="F100" s="38"/>
      <c r="G100" s="38"/>
      <c r="H100" s="38"/>
    </row>
    <row r="101" spans="1:8" ht="14.5">
      <c r="A101" s="38"/>
      <c r="B101" s="38"/>
      <c r="C101" s="38"/>
      <c r="D101" s="38"/>
      <c r="E101" s="38"/>
      <c r="F101" s="38"/>
      <c r="G101" s="38"/>
      <c r="H101" s="38"/>
    </row>
    <row r="102" spans="1:8" ht="14.5">
      <c r="A102" s="38"/>
      <c r="B102" s="38"/>
      <c r="C102" s="38"/>
      <c r="D102" s="38"/>
      <c r="E102" s="38"/>
      <c r="F102" s="38"/>
      <c r="G102" s="38"/>
      <c r="H102" s="38"/>
    </row>
    <row r="103" spans="1:8" ht="14.5">
      <c r="A103" s="38"/>
      <c r="B103" s="38"/>
      <c r="C103" s="38"/>
      <c r="D103" s="38"/>
      <c r="E103" s="38"/>
      <c r="F103" s="38"/>
      <c r="G103" s="38"/>
      <c r="H103" s="38"/>
    </row>
    <row r="104" spans="1:8" ht="14.5">
      <c r="A104" s="38"/>
      <c r="B104" s="38"/>
      <c r="C104" s="38"/>
      <c r="D104" s="38"/>
      <c r="E104" s="38"/>
      <c r="F104" s="38"/>
      <c r="G104" s="38"/>
      <c r="H104" s="38"/>
    </row>
    <row r="105" spans="1:8" ht="14.5">
      <c r="A105" s="38"/>
      <c r="B105" s="38"/>
      <c r="C105" s="38"/>
      <c r="D105" s="38"/>
      <c r="E105" s="38"/>
      <c r="F105" s="38"/>
      <c r="G105" s="38"/>
      <c r="H105" s="38"/>
    </row>
    <row r="106" spans="1:8" ht="14.5">
      <c r="A106" s="38"/>
      <c r="B106" s="38"/>
      <c r="C106" s="38"/>
      <c r="D106" s="38"/>
      <c r="E106" s="38"/>
      <c r="F106" s="38"/>
      <c r="G106" s="38"/>
      <c r="H106" s="38"/>
    </row>
    <row r="107" spans="1:8" ht="14.5">
      <c r="A107" s="38"/>
      <c r="B107" s="38"/>
      <c r="C107" s="38"/>
      <c r="D107" s="38"/>
      <c r="E107" s="38"/>
      <c r="F107" s="38"/>
      <c r="G107" s="38"/>
      <c r="H107" s="38"/>
    </row>
    <row r="108" spans="1:8" ht="14.5">
      <c r="A108" s="38"/>
      <c r="B108" s="38"/>
      <c r="C108" s="38"/>
      <c r="D108" s="38"/>
      <c r="E108" s="38"/>
      <c r="F108" s="38"/>
      <c r="G108" s="38"/>
      <c r="H108" s="38"/>
    </row>
    <row r="109" spans="1:8" ht="14.5">
      <c r="A109" s="38"/>
      <c r="B109" s="38"/>
      <c r="C109" s="38"/>
      <c r="D109" s="38"/>
      <c r="E109" s="38"/>
      <c r="F109" s="38"/>
      <c r="G109" s="38"/>
      <c r="H109" s="38"/>
    </row>
    <row r="110" spans="1:8" ht="14.5">
      <c r="A110" s="38"/>
      <c r="B110" s="38"/>
      <c r="C110" s="38"/>
      <c r="D110" s="38"/>
      <c r="E110" s="38"/>
      <c r="F110" s="38"/>
      <c r="G110" s="38"/>
      <c r="H110" s="38"/>
    </row>
    <row r="111" spans="1:8" ht="14.5">
      <c r="A111" s="38"/>
      <c r="B111" s="38"/>
      <c r="C111" s="38"/>
      <c r="D111" s="38"/>
      <c r="E111" s="38"/>
      <c r="F111" s="38"/>
      <c r="G111" s="38"/>
      <c r="H111" s="38"/>
    </row>
    <row r="112" spans="1:8" ht="14.5">
      <c r="A112" s="38"/>
      <c r="B112" s="38"/>
      <c r="C112" s="38"/>
      <c r="D112" s="38"/>
      <c r="E112" s="38"/>
      <c r="F112" s="38"/>
      <c r="G112" s="38"/>
      <c r="H112" s="38"/>
    </row>
    <row r="113" spans="1:8" ht="14.5">
      <c r="A113" s="38"/>
      <c r="B113" s="38"/>
      <c r="C113" s="38"/>
      <c r="D113" s="38"/>
      <c r="E113" s="38"/>
      <c r="F113" s="38"/>
      <c r="G113" s="38"/>
      <c r="H113" s="38"/>
    </row>
    <row r="114" spans="1:8" ht="14.5">
      <c r="A114" s="38"/>
      <c r="B114" s="38"/>
      <c r="C114" s="38"/>
      <c r="D114" s="38"/>
      <c r="E114" s="38"/>
      <c r="F114" s="38"/>
      <c r="G114" s="38"/>
      <c r="H114" s="38"/>
    </row>
    <row r="115" spans="1:8" ht="14.5">
      <c r="A115" s="38"/>
      <c r="B115" s="38"/>
      <c r="C115" s="38"/>
      <c r="D115" s="38"/>
      <c r="E115" s="38"/>
      <c r="F115" s="38"/>
      <c r="G115" s="38"/>
      <c r="H115" s="38"/>
    </row>
    <row r="116" spans="1:8" ht="14.5">
      <c r="A116" s="38"/>
      <c r="B116" s="38"/>
      <c r="C116" s="38"/>
      <c r="D116" s="38"/>
      <c r="E116" s="38"/>
      <c r="F116" s="38"/>
      <c r="G116" s="38"/>
      <c r="H116" s="38"/>
    </row>
    <row r="117" spans="1:8" ht="14.5">
      <c r="A117" s="38"/>
      <c r="B117" s="38"/>
      <c r="C117" s="38"/>
      <c r="D117" s="38"/>
      <c r="E117" s="38"/>
      <c r="F117" s="38"/>
      <c r="G117" s="38"/>
      <c r="H117" s="38"/>
    </row>
    <row r="118" spans="1:8" ht="14.5">
      <c r="A118" s="38"/>
      <c r="B118" s="38"/>
      <c r="C118" s="38"/>
      <c r="D118" s="38"/>
      <c r="E118" s="38"/>
      <c r="F118" s="38"/>
      <c r="G118" s="38"/>
      <c r="H118" s="38"/>
    </row>
    <row r="119" spans="1:8" ht="14.5">
      <c r="A119" s="38"/>
      <c r="B119" s="38"/>
      <c r="C119" s="38"/>
      <c r="D119" s="38"/>
      <c r="E119" s="38"/>
      <c r="F119" s="38"/>
      <c r="G119" s="38"/>
      <c r="H119" s="38"/>
    </row>
    <row r="120" spans="1:8" ht="14.5">
      <c r="A120" s="38"/>
      <c r="B120" s="38"/>
      <c r="C120" s="38"/>
      <c r="D120" s="38"/>
      <c r="E120" s="38"/>
      <c r="F120" s="38"/>
      <c r="G120" s="38"/>
      <c r="H120" s="38"/>
    </row>
    <row r="121" spans="1:8" ht="14.5">
      <c r="A121" s="38"/>
      <c r="B121" s="38"/>
      <c r="C121" s="38"/>
      <c r="D121" s="38"/>
      <c r="E121" s="38"/>
      <c r="F121" s="38"/>
      <c r="G121" s="38"/>
      <c r="H121" s="38"/>
    </row>
    <row r="122" spans="1:8" ht="14.5">
      <c r="A122" s="38"/>
      <c r="B122" s="38"/>
      <c r="C122" s="38"/>
      <c r="D122" s="38"/>
      <c r="E122" s="38"/>
      <c r="F122" s="38"/>
      <c r="G122" s="38"/>
      <c r="H122" s="38"/>
    </row>
    <row r="123" spans="1:8" ht="14.5">
      <c r="A123" s="38"/>
      <c r="B123" s="38"/>
      <c r="C123" s="38"/>
      <c r="D123" s="38"/>
      <c r="E123" s="38"/>
      <c r="F123" s="38"/>
      <c r="G123" s="38"/>
      <c r="H123" s="38"/>
    </row>
    <row r="124" spans="1:8" ht="14.5">
      <c r="A124" s="38"/>
      <c r="B124" s="38"/>
      <c r="C124" s="38"/>
      <c r="D124" s="38"/>
      <c r="E124" s="38"/>
      <c r="F124" s="38"/>
      <c r="G124" s="38"/>
      <c r="H124" s="38"/>
    </row>
    <row r="125" spans="1:8" ht="14.5">
      <c r="A125" s="38"/>
      <c r="B125" s="38"/>
      <c r="C125" s="38"/>
      <c r="D125" s="38"/>
      <c r="E125" s="38"/>
      <c r="F125" s="38"/>
      <c r="G125" s="38"/>
      <c r="H125" s="38"/>
    </row>
    <row r="126" spans="1:8" ht="14.5">
      <c r="A126" s="38"/>
      <c r="B126" s="38"/>
      <c r="C126" s="38"/>
      <c r="D126" s="38"/>
      <c r="E126" s="38"/>
      <c r="F126" s="38"/>
      <c r="G126" s="38"/>
      <c r="H126" s="38"/>
    </row>
    <row r="127" spans="1:8" ht="14.5">
      <c r="A127" s="38"/>
      <c r="B127" s="38"/>
      <c r="C127" s="38"/>
      <c r="D127" s="38"/>
      <c r="E127" s="38"/>
      <c r="F127" s="38"/>
      <c r="G127" s="38"/>
      <c r="H127" s="38"/>
    </row>
    <row r="128" spans="1:8" ht="14.5">
      <c r="A128" s="38"/>
      <c r="B128" s="38"/>
      <c r="C128" s="38"/>
      <c r="D128" s="38"/>
      <c r="E128" s="38"/>
      <c r="F128" s="38"/>
      <c r="G128" s="38"/>
      <c r="H128" s="38"/>
    </row>
    <row r="129" spans="1:8" ht="14.5">
      <c r="A129" s="38"/>
      <c r="B129" s="38"/>
      <c r="C129" s="38"/>
      <c r="D129" s="38"/>
      <c r="E129" s="38"/>
      <c r="F129" s="38"/>
      <c r="G129" s="38"/>
      <c r="H129" s="38"/>
    </row>
    <row r="130" spans="1:8" ht="14.5">
      <c r="A130" s="38"/>
      <c r="B130" s="38"/>
      <c r="C130" s="38"/>
      <c r="D130" s="38"/>
      <c r="E130" s="38"/>
      <c r="F130" s="38"/>
      <c r="G130" s="38"/>
      <c r="H130" s="38"/>
    </row>
    <row r="131" spans="1:8" ht="14.5">
      <c r="A131" s="38"/>
      <c r="B131" s="38"/>
      <c r="C131" s="38"/>
      <c r="D131" s="38"/>
      <c r="E131" s="38"/>
      <c r="F131" s="38"/>
      <c r="G131" s="38"/>
      <c r="H131" s="38"/>
    </row>
    <row r="132" spans="1:8" ht="14.5">
      <c r="A132" s="38"/>
      <c r="B132" s="38"/>
      <c r="C132" s="38"/>
      <c r="D132" s="38"/>
      <c r="E132" s="38"/>
      <c r="F132" s="38"/>
      <c r="G132" s="38"/>
      <c r="H132" s="38"/>
    </row>
    <row r="133" spans="1:8" ht="14.5">
      <c r="A133" s="38"/>
      <c r="B133" s="38"/>
      <c r="C133" s="38"/>
      <c r="D133" s="38"/>
      <c r="E133" s="38"/>
      <c r="F133" s="38"/>
      <c r="G133" s="38"/>
      <c r="H133" s="38"/>
    </row>
    <row r="134" spans="1:8" ht="14.5">
      <c r="A134" s="38"/>
      <c r="B134" s="38"/>
      <c r="C134" s="38"/>
      <c r="D134" s="38"/>
      <c r="E134" s="38"/>
      <c r="F134" s="38"/>
      <c r="G134" s="38"/>
      <c r="H134" s="38"/>
    </row>
    <row r="135" spans="1:8" ht="14.5">
      <c r="A135" s="38"/>
      <c r="B135" s="38"/>
      <c r="C135" s="38"/>
      <c r="D135" s="38"/>
      <c r="E135" s="38"/>
      <c r="F135" s="38"/>
      <c r="G135" s="38"/>
      <c r="H135" s="38"/>
    </row>
    <row r="136" spans="1:8" ht="14.5">
      <c r="A136" s="38"/>
      <c r="B136" s="38"/>
      <c r="C136" s="38"/>
      <c r="D136" s="38"/>
      <c r="E136" s="38"/>
      <c r="F136" s="38"/>
      <c r="G136" s="38"/>
      <c r="H136" s="38"/>
    </row>
    <row r="137" spans="1:8" ht="14.5">
      <c r="A137" s="38"/>
      <c r="B137" s="38"/>
      <c r="C137" s="38"/>
      <c r="D137" s="38"/>
      <c r="E137" s="38"/>
      <c r="F137" s="38"/>
      <c r="G137" s="38"/>
      <c r="H137" s="38"/>
    </row>
    <row r="138" spans="1:8" ht="14.5">
      <c r="A138" s="38"/>
      <c r="B138" s="38"/>
      <c r="C138" s="38"/>
      <c r="D138" s="38"/>
      <c r="E138" s="38"/>
      <c r="F138" s="38"/>
      <c r="G138" s="38"/>
      <c r="H138" s="38"/>
    </row>
    <row r="139" spans="1:8" ht="14.5">
      <c r="A139" s="38"/>
      <c r="B139" s="38"/>
      <c r="C139" s="38"/>
      <c r="D139" s="38"/>
      <c r="E139" s="38"/>
      <c r="F139" s="38"/>
      <c r="G139" s="38"/>
      <c r="H139" s="38"/>
    </row>
    <row r="140" spans="1:8" ht="14.5">
      <c r="A140" s="38"/>
      <c r="B140" s="38"/>
      <c r="C140" s="38"/>
      <c r="D140" s="38"/>
      <c r="E140" s="38"/>
      <c r="F140" s="38"/>
      <c r="G140" s="38"/>
      <c r="H140" s="38"/>
    </row>
    <row r="141" spans="1:8" ht="14.5">
      <c r="A141" s="38"/>
      <c r="B141" s="38"/>
      <c r="C141" s="38"/>
      <c r="D141" s="38"/>
      <c r="E141" s="38"/>
      <c r="F141" s="38"/>
      <c r="G141" s="38"/>
      <c r="H141" s="38"/>
    </row>
    <row r="142" spans="1:8" ht="14.5">
      <c r="A142" s="38"/>
      <c r="B142" s="38"/>
      <c r="C142" s="38"/>
      <c r="D142" s="38"/>
      <c r="E142" s="38"/>
      <c r="F142" s="38"/>
      <c r="G142" s="38"/>
      <c r="H142" s="38"/>
    </row>
    <row r="143" spans="1:8" ht="14.5">
      <c r="A143" s="38"/>
      <c r="B143" s="38"/>
      <c r="C143" s="38"/>
      <c r="D143" s="38"/>
      <c r="E143" s="38"/>
      <c r="F143" s="38"/>
      <c r="G143" s="38"/>
      <c r="H143" s="38"/>
    </row>
    <row r="144" spans="1:8" ht="14.5">
      <c r="A144" s="38"/>
      <c r="B144" s="38"/>
      <c r="C144" s="38"/>
      <c r="D144" s="38"/>
      <c r="E144" s="38"/>
      <c r="F144" s="38"/>
      <c r="G144" s="38"/>
      <c r="H144" s="38"/>
    </row>
    <row r="145" spans="1:8" ht="14.5">
      <c r="A145" s="38"/>
      <c r="B145" s="38"/>
      <c r="C145" s="38"/>
      <c r="D145" s="38"/>
      <c r="E145" s="38"/>
      <c r="F145" s="38"/>
      <c r="G145" s="38"/>
      <c r="H145" s="38"/>
    </row>
    <row r="146" spans="1:8" ht="14.5">
      <c r="A146" s="38"/>
      <c r="B146" s="38"/>
      <c r="C146" s="38"/>
      <c r="D146" s="38"/>
      <c r="E146" s="38"/>
      <c r="F146" s="38"/>
      <c r="G146" s="38"/>
      <c r="H146" s="38"/>
    </row>
    <row r="147" spans="1:8" ht="14.5">
      <c r="A147" s="38"/>
      <c r="B147" s="38"/>
      <c r="C147" s="38"/>
      <c r="D147" s="38"/>
      <c r="E147" s="38"/>
      <c r="F147" s="38"/>
      <c r="G147" s="38"/>
      <c r="H147" s="38"/>
    </row>
    <row r="148" spans="1:8" ht="14.5">
      <c r="A148" s="38"/>
      <c r="B148" s="38"/>
      <c r="C148" s="38"/>
      <c r="D148" s="38"/>
      <c r="E148" s="38"/>
      <c r="F148" s="38"/>
      <c r="G148" s="38"/>
      <c r="H148" s="38"/>
    </row>
    <row r="149" spans="1:8" ht="14.5">
      <c r="A149" s="38"/>
      <c r="B149" s="38"/>
      <c r="C149" s="38"/>
      <c r="D149" s="38"/>
      <c r="E149" s="38"/>
      <c r="F149" s="38"/>
      <c r="G149" s="38"/>
      <c r="H149" s="38"/>
    </row>
    <row r="150" spans="1:8" ht="14.5">
      <c r="A150" s="38"/>
      <c r="B150" s="38"/>
      <c r="C150" s="38"/>
      <c r="D150" s="38"/>
      <c r="E150" s="38"/>
      <c r="F150" s="38"/>
      <c r="G150" s="38"/>
      <c r="H150" s="38"/>
    </row>
    <row r="151" spans="1:8" ht="14.5">
      <c r="A151" s="38"/>
      <c r="B151" s="38"/>
      <c r="C151" s="38"/>
      <c r="D151" s="38"/>
      <c r="E151" s="38"/>
      <c r="F151" s="38"/>
      <c r="G151" s="38"/>
      <c r="H151" s="38"/>
    </row>
    <row r="152" spans="1:8" ht="14.5">
      <c r="A152" s="38"/>
      <c r="B152" s="38"/>
      <c r="C152" s="38"/>
      <c r="D152" s="38"/>
      <c r="E152" s="38"/>
      <c r="F152" s="38"/>
      <c r="G152" s="38"/>
      <c r="H152" s="38"/>
    </row>
    <row r="153" spans="1:8" ht="14.5">
      <c r="A153" s="38"/>
      <c r="B153" s="38"/>
      <c r="C153" s="38"/>
      <c r="D153" s="38"/>
      <c r="E153" s="38"/>
      <c r="F153" s="38"/>
      <c r="G153" s="38"/>
      <c r="H153" s="38"/>
    </row>
    <row r="154" spans="1:8" ht="14.5">
      <c r="A154" s="38"/>
      <c r="B154" s="38"/>
      <c r="C154" s="38"/>
      <c r="D154" s="38"/>
      <c r="E154" s="38"/>
      <c r="F154" s="38"/>
      <c r="G154" s="38"/>
      <c r="H154" s="38"/>
    </row>
    <row r="155" spans="1:8" ht="14.5">
      <c r="A155" s="38"/>
      <c r="B155" s="38"/>
      <c r="C155" s="38"/>
      <c r="D155" s="38"/>
      <c r="E155" s="38"/>
      <c r="F155" s="38"/>
      <c r="G155" s="38"/>
      <c r="H155" s="38"/>
    </row>
    <row r="156" spans="1:8" ht="14.5">
      <c r="A156" s="38"/>
      <c r="B156" s="38"/>
      <c r="C156" s="38"/>
      <c r="D156" s="38"/>
      <c r="E156" s="38"/>
      <c r="F156" s="38"/>
      <c r="G156" s="38"/>
      <c r="H156" s="38"/>
    </row>
    <row r="157" spans="1:8" ht="14.5">
      <c r="A157" s="38"/>
      <c r="B157" s="38"/>
      <c r="C157" s="38"/>
      <c r="D157" s="38"/>
      <c r="E157" s="38"/>
      <c r="F157" s="38"/>
      <c r="G157" s="38"/>
      <c r="H157" s="38"/>
    </row>
    <row r="158" spans="1:8" ht="14.5">
      <c r="A158" s="38"/>
      <c r="B158" s="38"/>
      <c r="C158" s="38"/>
      <c r="D158" s="38"/>
      <c r="E158" s="38"/>
      <c r="F158" s="38"/>
      <c r="G158" s="38"/>
      <c r="H158" s="38"/>
    </row>
    <row r="159" spans="1:8" ht="14.5">
      <c r="A159" s="38"/>
      <c r="B159" s="38"/>
      <c r="C159" s="38"/>
      <c r="D159" s="38"/>
      <c r="E159" s="38"/>
      <c r="F159" s="38"/>
      <c r="G159" s="38"/>
      <c r="H159" s="38"/>
    </row>
    <row r="160" spans="1:8" ht="14.5">
      <c r="A160" s="38"/>
      <c r="B160" s="38"/>
      <c r="C160" s="38"/>
      <c r="D160" s="38"/>
      <c r="E160" s="38"/>
      <c r="F160" s="38"/>
      <c r="G160" s="38"/>
      <c r="H160" s="38"/>
    </row>
    <row r="161" spans="1:8" ht="14.5">
      <c r="A161" s="38"/>
      <c r="B161" s="38"/>
      <c r="C161" s="38"/>
      <c r="D161" s="38"/>
      <c r="E161" s="38"/>
      <c r="F161" s="38"/>
      <c r="G161" s="38"/>
      <c r="H161" s="38"/>
    </row>
    <row r="162" spans="1:8" ht="14.5">
      <c r="A162" s="38"/>
      <c r="B162" s="38"/>
      <c r="C162" s="38"/>
      <c r="D162" s="38"/>
      <c r="E162" s="38"/>
      <c r="F162" s="38"/>
      <c r="G162" s="38"/>
      <c r="H162" s="38"/>
    </row>
    <row r="163" spans="1:8" ht="14.5">
      <c r="A163" s="38"/>
      <c r="B163" s="38"/>
      <c r="C163" s="38"/>
      <c r="D163" s="38"/>
      <c r="E163" s="38"/>
      <c r="F163" s="38"/>
      <c r="G163" s="38"/>
      <c r="H163" s="38"/>
    </row>
    <row r="164" spans="1:8" ht="14.5">
      <c r="A164" s="38"/>
      <c r="B164" s="38"/>
      <c r="C164" s="38"/>
      <c r="D164" s="38"/>
      <c r="E164" s="38"/>
      <c r="F164" s="38"/>
      <c r="G164" s="38"/>
      <c r="H164" s="38"/>
    </row>
    <row r="165" spans="1:8" ht="14.5">
      <c r="A165" s="38"/>
      <c r="B165" s="38"/>
      <c r="C165" s="38"/>
      <c r="D165" s="38"/>
      <c r="E165" s="38"/>
      <c r="F165" s="38"/>
      <c r="G165" s="38"/>
      <c r="H165" s="38"/>
    </row>
    <row r="166" spans="1:8" ht="14.5">
      <c r="A166" s="38"/>
      <c r="B166" s="38"/>
      <c r="C166" s="38"/>
      <c r="D166" s="38"/>
      <c r="E166" s="38"/>
      <c r="F166" s="38"/>
      <c r="G166" s="38"/>
      <c r="H166" s="38"/>
    </row>
    <row r="167" spans="1:8" ht="14.5">
      <c r="A167" s="38"/>
      <c r="B167" s="38"/>
      <c r="C167" s="38"/>
      <c r="D167" s="38"/>
      <c r="E167" s="38"/>
      <c r="F167" s="38"/>
      <c r="G167" s="38"/>
      <c r="H167" s="38"/>
    </row>
    <row r="168" spans="1:8" ht="14.5">
      <c r="A168" s="38"/>
      <c r="B168" s="38"/>
      <c r="C168" s="38"/>
      <c r="D168" s="38"/>
      <c r="E168" s="38"/>
      <c r="F168" s="38"/>
      <c r="G168" s="38"/>
      <c r="H168" s="38"/>
    </row>
    <row r="169" spans="1:8" ht="14.5">
      <c r="A169" s="38"/>
      <c r="B169" s="38"/>
      <c r="C169" s="38"/>
      <c r="D169" s="38"/>
      <c r="E169" s="38"/>
      <c r="F169" s="38"/>
      <c r="G169" s="38"/>
      <c r="H169" s="38"/>
    </row>
    <row r="170" spans="1:8" ht="14.5">
      <c r="A170" s="38"/>
      <c r="B170" s="38"/>
      <c r="C170" s="38"/>
      <c r="D170" s="38"/>
      <c r="E170" s="38"/>
      <c r="F170" s="38"/>
      <c r="G170" s="38"/>
      <c r="H170" s="38"/>
    </row>
    <row r="171" spans="1:8" ht="14.5">
      <c r="A171" s="38"/>
      <c r="B171" s="38"/>
      <c r="C171" s="38"/>
      <c r="D171" s="38"/>
      <c r="E171" s="38"/>
      <c r="F171" s="38"/>
      <c r="G171" s="38"/>
      <c r="H171" s="38"/>
    </row>
    <row r="172" spans="1:8" ht="14.5">
      <c r="A172" s="38"/>
      <c r="B172" s="38"/>
      <c r="C172" s="38"/>
      <c r="D172" s="38"/>
      <c r="E172" s="38"/>
      <c r="F172" s="38"/>
      <c r="G172" s="38"/>
      <c r="H172" s="38"/>
    </row>
    <row r="173" spans="1:8" ht="14.5">
      <c r="A173" s="38"/>
      <c r="B173" s="38"/>
      <c r="C173" s="38"/>
      <c r="D173" s="38"/>
      <c r="E173" s="38"/>
      <c r="F173" s="38"/>
      <c r="G173" s="38"/>
      <c r="H173" s="38"/>
    </row>
    <row r="174" spans="1:8" ht="14.5">
      <c r="A174" s="38"/>
      <c r="B174" s="38"/>
      <c r="C174" s="38"/>
      <c r="D174" s="38"/>
      <c r="E174" s="38"/>
      <c r="F174" s="38"/>
      <c r="G174" s="38"/>
      <c r="H174" s="38"/>
    </row>
    <row r="175" spans="1:8" ht="14.5">
      <c r="A175" s="38"/>
      <c r="B175" s="38"/>
      <c r="C175" s="38"/>
      <c r="D175" s="38"/>
      <c r="E175" s="38"/>
      <c r="F175" s="38"/>
      <c r="G175" s="38"/>
      <c r="H175" s="38"/>
    </row>
    <row r="176" spans="1:8" ht="14.5">
      <c r="A176" s="38"/>
      <c r="B176" s="38"/>
      <c r="C176" s="38"/>
      <c r="D176" s="38"/>
      <c r="E176" s="38"/>
      <c r="F176" s="38"/>
      <c r="G176" s="38"/>
      <c r="H176" s="38"/>
    </row>
    <row r="177" spans="1:8" ht="14.5">
      <c r="A177" s="38"/>
      <c r="B177" s="38"/>
      <c r="C177" s="38"/>
      <c r="D177" s="38"/>
      <c r="E177" s="38"/>
      <c r="F177" s="38"/>
      <c r="G177" s="38"/>
      <c r="H177" s="38"/>
    </row>
    <row r="178" spans="1:8" ht="14.5">
      <c r="A178" s="38"/>
      <c r="B178" s="38"/>
      <c r="C178" s="38"/>
      <c r="D178" s="38"/>
      <c r="E178" s="38"/>
      <c r="F178" s="38"/>
      <c r="G178" s="38"/>
      <c r="H178" s="38"/>
    </row>
    <row r="179" spans="1:8" ht="14.5">
      <c r="A179" s="38"/>
      <c r="B179" s="38"/>
      <c r="C179" s="38"/>
      <c r="D179" s="38"/>
      <c r="E179" s="38"/>
      <c r="F179" s="38"/>
      <c r="G179" s="38"/>
      <c r="H179" s="38"/>
    </row>
    <row r="180" spans="1:8" ht="14.5">
      <c r="A180" s="38"/>
      <c r="B180" s="38"/>
      <c r="C180" s="38"/>
      <c r="D180" s="38"/>
      <c r="E180" s="38"/>
      <c r="F180" s="38"/>
      <c r="G180" s="38"/>
      <c r="H180" s="38"/>
    </row>
    <row r="181" spans="1:8" ht="14.5">
      <c r="A181" s="38"/>
      <c r="B181" s="38"/>
      <c r="C181" s="38"/>
      <c r="D181" s="38"/>
      <c r="E181" s="38"/>
      <c r="F181" s="38"/>
      <c r="G181" s="38"/>
      <c r="H181" s="38"/>
    </row>
    <row r="182" spans="1:8" ht="14.5">
      <c r="A182" s="38"/>
      <c r="B182" s="38"/>
      <c r="C182" s="38"/>
      <c r="D182" s="38"/>
      <c r="E182" s="38"/>
      <c r="F182" s="38"/>
      <c r="G182" s="38"/>
      <c r="H182" s="38"/>
    </row>
    <row r="183" spans="1:8" ht="14.5">
      <c r="A183" s="38"/>
      <c r="B183" s="38"/>
      <c r="C183" s="38"/>
      <c r="D183" s="38"/>
      <c r="E183" s="38"/>
      <c r="F183" s="38"/>
      <c r="G183" s="38"/>
      <c r="H183" s="38"/>
    </row>
    <row r="184" spans="1:8" ht="14.5">
      <c r="A184" s="38"/>
      <c r="B184" s="38"/>
      <c r="C184" s="38"/>
      <c r="D184" s="38"/>
      <c r="E184" s="38"/>
      <c r="F184" s="38"/>
      <c r="G184" s="38"/>
      <c r="H184" s="38"/>
    </row>
    <row r="185" spans="1:8" ht="14.5">
      <c r="A185" s="38"/>
      <c r="B185" s="38"/>
      <c r="C185" s="38"/>
      <c r="D185" s="38"/>
      <c r="E185" s="38"/>
      <c r="F185" s="38"/>
      <c r="G185" s="38"/>
      <c r="H185" s="38"/>
    </row>
    <row r="186" spans="1:8" ht="14.5">
      <c r="A186" s="38"/>
      <c r="B186" s="38"/>
      <c r="C186" s="38"/>
      <c r="D186" s="38"/>
      <c r="E186" s="38"/>
      <c r="F186" s="38"/>
      <c r="G186" s="38"/>
      <c r="H186" s="38"/>
    </row>
    <row r="187" spans="1:8" ht="14.5">
      <c r="A187" s="38"/>
      <c r="B187" s="38"/>
      <c r="C187" s="38"/>
      <c r="D187" s="38"/>
      <c r="E187" s="38"/>
      <c r="F187" s="38"/>
      <c r="G187" s="38"/>
      <c r="H187" s="38"/>
    </row>
    <row r="188" spans="1:8" ht="14.5">
      <c r="A188" s="38"/>
      <c r="B188" s="38"/>
      <c r="C188" s="38"/>
      <c r="D188" s="38"/>
      <c r="E188" s="38"/>
      <c r="F188" s="38"/>
      <c r="G188" s="38"/>
      <c r="H188" s="38"/>
    </row>
    <row r="189" spans="1:8" ht="14.5">
      <c r="A189" s="38"/>
      <c r="B189" s="38"/>
      <c r="C189" s="38"/>
      <c r="D189" s="38"/>
      <c r="E189" s="38"/>
      <c r="F189" s="38"/>
      <c r="G189" s="38"/>
      <c r="H189" s="38"/>
    </row>
    <row r="190" spans="1:8" ht="14.5">
      <c r="A190" s="38"/>
      <c r="B190" s="38"/>
      <c r="C190" s="38"/>
      <c r="D190" s="38"/>
      <c r="E190" s="38"/>
      <c r="F190" s="38"/>
      <c r="G190" s="38"/>
      <c r="H190" s="38"/>
    </row>
    <row r="191" spans="1:8" ht="14.5">
      <c r="A191" s="38"/>
      <c r="B191" s="38"/>
      <c r="C191" s="38"/>
      <c r="D191" s="38"/>
      <c r="E191" s="38"/>
      <c r="F191" s="38"/>
      <c r="G191" s="38"/>
      <c r="H191" s="38"/>
    </row>
    <row r="192" spans="1:8" ht="14.5">
      <c r="A192" s="38"/>
      <c r="B192" s="38"/>
      <c r="C192" s="38"/>
      <c r="D192" s="38"/>
      <c r="E192" s="38"/>
      <c r="F192" s="38"/>
      <c r="G192" s="38"/>
      <c r="H192" s="38"/>
    </row>
    <row r="193" spans="1:8" ht="14.5">
      <c r="A193" s="38"/>
      <c r="B193" s="38"/>
      <c r="C193" s="38"/>
      <c r="D193" s="38"/>
      <c r="E193" s="38"/>
      <c r="F193" s="38"/>
      <c r="G193" s="38"/>
      <c r="H193" s="38"/>
    </row>
    <row r="194" spans="1:8" ht="14.5">
      <c r="A194" s="38"/>
      <c r="B194" s="38"/>
      <c r="C194" s="38"/>
      <c r="D194" s="38"/>
      <c r="E194" s="38"/>
      <c r="F194" s="38"/>
      <c r="G194" s="38"/>
      <c r="H194" s="38"/>
    </row>
    <row r="195" spans="1:8" ht="14.5">
      <c r="A195" s="38"/>
      <c r="B195" s="38"/>
      <c r="C195" s="38"/>
      <c r="D195" s="38"/>
      <c r="E195" s="38"/>
      <c r="F195" s="38"/>
      <c r="G195" s="38"/>
      <c r="H195" s="38"/>
    </row>
    <row r="196" spans="1:8" ht="14.5">
      <c r="A196" s="38"/>
      <c r="B196" s="38"/>
      <c r="C196" s="38"/>
      <c r="D196" s="38"/>
      <c r="E196" s="38"/>
      <c r="F196" s="38"/>
      <c r="G196" s="38"/>
      <c r="H196" s="38"/>
    </row>
    <row r="197" spans="1:8" ht="14.5">
      <c r="A197" s="38"/>
      <c r="B197" s="38"/>
      <c r="C197" s="38"/>
      <c r="D197" s="38"/>
      <c r="E197" s="38"/>
      <c r="F197" s="38"/>
      <c r="G197" s="38"/>
      <c r="H197" s="38"/>
    </row>
    <row r="198" spans="1:8" ht="14.5">
      <c r="A198" s="38"/>
      <c r="B198" s="38"/>
      <c r="C198" s="38"/>
      <c r="D198" s="38"/>
      <c r="E198" s="38"/>
      <c r="F198" s="38"/>
      <c r="G198" s="38"/>
      <c r="H198" s="38"/>
    </row>
    <row r="199" spans="1:8" ht="14.5">
      <c r="A199" s="38"/>
      <c r="B199" s="38"/>
      <c r="C199" s="38"/>
      <c r="D199" s="38"/>
      <c r="E199" s="38"/>
      <c r="F199" s="38"/>
      <c r="G199" s="38"/>
      <c r="H199" s="38"/>
    </row>
    <row r="200" spans="1:8" ht="14.5">
      <c r="A200" s="38"/>
      <c r="B200" s="38"/>
      <c r="C200" s="38"/>
      <c r="D200" s="38"/>
      <c r="E200" s="38"/>
      <c r="F200" s="38"/>
      <c r="G200" s="38"/>
      <c r="H200" s="38"/>
    </row>
    <row r="201" spans="1:8" ht="14.5">
      <c r="A201" s="38"/>
      <c r="B201" s="38"/>
      <c r="C201" s="38"/>
      <c r="D201" s="38"/>
      <c r="E201" s="38"/>
      <c r="F201" s="38"/>
      <c r="G201" s="38"/>
      <c r="H201" s="38"/>
    </row>
    <row r="202" spans="1:8" ht="14.5">
      <c r="A202" s="38"/>
      <c r="B202" s="38"/>
      <c r="C202" s="38"/>
      <c r="D202" s="38"/>
      <c r="E202" s="38"/>
      <c r="F202" s="38"/>
      <c r="G202" s="38"/>
      <c r="H202" s="38"/>
    </row>
    <row r="203" spans="1:8" ht="14.5">
      <c r="A203" s="38"/>
      <c r="B203" s="38"/>
      <c r="C203" s="38"/>
      <c r="D203" s="38"/>
      <c r="E203" s="38"/>
      <c r="F203" s="38"/>
      <c r="G203" s="38"/>
      <c r="H203" s="38"/>
    </row>
    <row r="204" spans="1:8" ht="14.5">
      <c r="A204" s="38"/>
      <c r="B204" s="38"/>
      <c r="C204" s="38"/>
      <c r="D204" s="38"/>
      <c r="E204" s="38"/>
      <c r="F204" s="38"/>
      <c r="G204" s="38"/>
      <c r="H204" s="38"/>
    </row>
    <row r="205" spans="1:8" ht="14.5">
      <c r="A205" s="38"/>
      <c r="B205" s="38"/>
      <c r="C205" s="38"/>
      <c r="D205" s="38"/>
      <c r="E205" s="38"/>
      <c r="F205" s="38"/>
      <c r="G205" s="38"/>
      <c r="H205" s="38"/>
    </row>
    <row r="206" spans="1:8" ht="14.5">
      <c r="A206" s="38"/>
      <c r="B206" s="38"/>
      <c r="C206" s="38"/>
      <c r="D206" s="38"/>
      <c r="E206" s="38"/>
      <c r="F206" s="38"/>
      <c r="G206" s="38"/>
      <c r="H206" s="38"/>
    </row>
    <row r="207" spans="1:8" ht="14.5">
      <c r="A207" s="38"/>
      <c r="B207" s="38"/>
      <c r="C207" s="38"/>
      <c r="D207" s="38"/>
      <c r="E207" s="38"/>
      <c r="F207" s="38"/>
      <c r="G207" s="38"/>
      <c r="H207" s="38"/>
    </row>
    <row r="208" spans="1:8" ht="14.5">
      <c r="A208" s="38"/>
      <c r="B208" s="38"/>
      <c r="C208" s="38"/>
      <c r="D208" s="38"/>
      <c r="E208" s="38"/>
      <c r="F208" s="38"/>
      <c r="G208" s="38"/>
      <c r="H208" s="38"/>
    </row>
    <row r="209" spans="1:8" ht="14.5">
      <c r="A209" s="38"/>
      <c r="B209" s="38"/>
      <c r="C209" s="38"/>
      <c r="D209" s="38"/>
      <c r="E209" s="38"/>
      <c r="F209" s="38"/>
      <c r="G209" s="38"/>
      <c r="H209" s="38"/>
    </row>
    <row r="210" spans="1:8" ht="14.5">
      <c r="A210" s="38"/>
      <c r="B210" s="38"/>
      <c r="C210" s="38"/>
      <c r="D210" s="38"/>
      <c r="E210" s="38"/>
      <c r="F210" s="38"/>
      <c r="G210" s="38"/>
      <c r="H210" s="38"/>
    </row>
    <row r="211" spans="1:8" ht="14.5">
      <c r="A211" s="38"/>
      <c r="B211" s="38"/>
      <c r="C211" s="38"/>
      <c r="D211" s="38"/>
      <c r="E211" s="38"/>
      <c r="F211" s="38"/>
      <c r="G211" s="38"/>
      <c r="H211" s="38"/>
    </row>
    <row r="212" spans="1:8" ht="14.5">
      <c r="A212" s="38"/>
      <c r="B212" s="38"/>
      <c r="C212" s="38"/>
      <c r="D212" s="38"/>
      <c r="E212" s="38"/>
      <c r="F212" s="38"/>
      <c r="G212" s="38"/>
      <c r="H212" s="38"/>
    </row>
    <row r="213" spans="1:8" ht="14.5">
      <c r="A213" s="38"/>
      <c r="B213" s="38"/>
      <c r="C213" s="38"/>
      <c r="D213" s="38"/>
      <c r="E213" s="38"/>
      <c r="F213" s="38"/>
      <c r="G213" s="38"/>
      <c r="H213" s="38"/>
    </row>
    <row r="214" spans="1:8" ht="14.5">
      <c r="A214" s="38"/>
      <c r="B214" s="38"/>
      <c r="C214" s="38"/>
      <c r="D214" s="38"/>
      <c r="E214" s="38"/>
      <c r="F214" s="38"/>
      <c r="G214" s="38"/>
      <c r="H214" s="38"/>
    </row>
    <row r="215" spans="1:8" ht="14.5">
      <c r="A215" s="38"/>
      <c r="B215" s="38"/>
      <c r="C215" s="38"/>
      <c r="D215" s="38"/>
      <c r="E215" s="38"/>
      <c r="F215" s="38"/>
      <c r="G215" s="38"/>
      <c r="H215" s="38"/>
    </row>
    <row r="216" spans="1:8" ht="14.5">
      <c r="A216" s="38"/>
      <c r="B216" s="38"/>
      <c r="C216" s="38"/>
      <c r="D216" s="38"/>
      <c r="E216" s="38"/>
      <c r="F216" s="38"/>
      <c r="G216" s="38"/>
      <c r="H216" s="38"/>
    </row>
    <row r="217" spans="1:8" ht="14.5">
      <c r="A217" s="38"/>
      <c r="B217" s="38"/>
      <c r="C217" s="38"/>
      <c r="D217" s="38"/>
      <c r="E217" s="38"/>
      <c r="F217" s="38"/>
      <c r="G217" s="38"/>
      <c r="H217" s="38"/>
    </row>
    <row r="218" spans="1:8" ht="14.5">
      <c r="A218" s="38"/>
      <c r="B218" s="38"/>
      <c r="C218" s="38"/>
      <c r="D218" s="38"/>
      <c r="E218" s="38"/>
      <c r="F218" s="38"/>
      <c r="G218" s="38"/>
      <c r="H218" s="38"/>
    </row>
    <row r="219" spans="1:8" ht="14.5">
      <c r="A219" s="38"/>
      <c r="B219" s="38"/>
      <c r="C219" s="38"/>
      <c r="D219" s="38"/>
      <c r="E219" s="38"/>
      <c r="F219" s="38"/>
      <c r="G219" s="38"/>
      <c r="H219" s="38"/>
    </row>
    <row r="220" spans="1:8" ht="14.5">
      <c r="A220" s="38"/>
      <c r="B220" s="38"/>
      <c r="C220" s="38"/>
      <c r="D220" s="38"/>
      <c r="E220" s="38"/>
      <c r="F220" s="38"/>
      <c r="G220" s="38"/>
      <c r="H220" s="38"/>
    </row>
    <row r="221" spans="1:8" ht="14.5">
      <c r="A221" s="38"/>
      <c r="B221" s="38"/>
      <c r="C221" s="38"/>
      <c r="D221" s="38"/>
      <c r="E221" s="38"/>
      <c r="F221" s="38"/>
      <c r="G221" s="38"/>
      <c r="H221" s="38"/>
    </row>
    <row r="222" spans="1:8" ht="14.5">
      <c r="A222" s="38"/>
      <c r="B222" s="38"/>
      <c r="C222" s="38"/>
      <c r="D222" s="38"/>
      <c r="E222" s="38"/>
      <c r="F222" s="38"/>
      <c r="G222" s="38"/>
      <c r="H222" s="38"/>
    </row>
    <row r="223" spans="1:8" ht="14.5">
      <c r="A223" s="38"/>
      <c r="B223" s="38"/>
      <c r="C223" s="38"/>
      <c r="D223" s="38"/>
      <c r="E223" s="38"/>
      <c r="F223" s="38"/>
      <c r="G223" s="38"/>
      <c r="H223" s="38"/>
    </row>
    <row r="224" spans="1:8" ht="14.5">
      <c r="A224" s="38"/>
      <c r="B224" s="38"/>
      <c r="C224" s="38"/>
      <c r="D224" s="38"/>
      <c r="E224" s="38"/>
      <c r="F224" s="38"/>
      <c r="G224" s="38"/>
      <c r="H224" s="38"/>
    </row>
    <row r="225" spans="1:8" ht="14.5">
      <c r="A225" s="38"/>
      <c r="B225" s="38"/>
      <c r="C225" s="38"/>
      <c r="D225" s="38"/>
      <c r="E225" s="38"/>
      <c r="F225" s="38"/>
      <c r="G225" s="38"/>
      <c r="H225" s="38"/>
    </row>
    <row r="226" spans="1:8" ht="14.5">
      <c r="A226" s="38"/>
      <c r="B226" s="38"/>
      <c r="C226" s="38"/>
      <c r="D226" s="38"/>
      <c r="E226" s="38"/>
      <c r="F226" s="38"/>
      <c r="G226" s="38"/>
      <c r="H226" s="38"/>
    </row>
    <row r="227" spans="1:8" ht="14.5">
      <c r="A227" s="38"/>
      <c r="B227" s="38"/>
      <c r="C227" s="38"/>
      <c r="D227" s="38"/>
      <c r="E227" s="38"/>
      <c r="F227" s="38"/>
      <c r="G227" s="38"/>
      <c r="H227" s="38"/>
    </row>
  </sheetData>
  <autoFilter ref="A1:H14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E5"/>
  <sheetViews>
    <sheetView workbookViewId="0"/>
  </sheetViews>
  <sheetFormatPr baseColWidth="10" defaultColWidth="14.453125" defaultRowHeight="15" customHeight="1"/>
  <cols>
    <col min="2" max="2" width="28.7265625" customWidth="1"/>
    <col min="3" max="3" width="5.54296875" customWidth="1"/>
    <col min="4" max="4" width="5.7265625" customWidth="1"/>
    <col min="5" max="5" width="18.26953125" customWidth="1"/>
  </cols>
  <sheetData>
    <row r="2" spans="2:5">
      <c r="B2" s="38" t="s">
        <v>2713</v>
      </c>
      <c r="D2" s="38" t="s">
        <v>2714</v>
      </c>
      <c r="E2" s="38"/>
    </row>
    <row r="3" spans="2:5">
      <c r="B3" s="38"/>
    </row>
    <row r="4" spans="2:5">
      <c r="B4" s="38"/>
    </row>
    <row r="5" spans="2:5">
      <c r="B5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208" t="s">
        <v>2715</v>
      </c>
      <c r="B1" s="208" t="s">
        <v>1</v>
      </c>
      <c r="C1" s="208" t="s">
        <v>2</v>
      </c>
      <c r="D1" s="208" t="s">
        <v>3</v>
      </c>
      <c r="E1" s="208" t="s">
        <v>2716</v>
      </c>
      <c r="F1" s="208" t="s">
        <v>2717</v>
      </c>
      <c r="G1" s="208" t="s">
        <v>2716</v>
      </c>
      <c r="H1" s="208" t="s">
        <v>10</v>
      </c>
      <c r="I1" s="208" t="s">
        <v>2716</v>
      </c>
      <c r="J1" s="208" t="s">
        <v>10</v>
      </c>
      <c r="K1" s="208" t="s">
        <v>2716</v>
      </c>
      <c r="L1" s="208" t="s">
        <v>10</v>
      </c>
      <c r="M1" s="208" t="s">
        <v>2716</v>
      </c>
      <c r="N1" s="208" t="s">
        <v>10</v>
      </c>
      <c r="O1" s="208" t="s">
        <v>2716</v>
      </c>
      <c r="P1" s="208" t="s">
        <v>10</v>
      </c>
      <c r="Q1" s="208" t="s">
        <v>2718</v>
      </c>
      <c r="R1" s="208" t="s">
        <v>10</v>
      </c>
      <c r="S1" s="208" t="s">
        <v>2718</v>
      </c>
      <c r="T1" s="208" t="s">
        <v>10</v>
      </c>
      <c r="U1" s="208" t="s">
        <v>2719</v>
      </c>
      <c r="V1" s="208" t="s">
        <v>2717</v>
      </c>
      <c r="W1" s="208" t="s">
        <v>2720</v>
      </c>
      <c r="X1" s="208" t="s">
        <v>2717</v>
      </c>
      <c r="Y1" s="208" t="s">
        <v>2720</v>
      </c>
      <c r="Z1" s="208" t="s">
        <v>2717</v>
      </c>
      <c r="AA1" s="208" t="s">
        <v>2716</v>
      </c>
      <c r="AB1" s="208" t="s">
        <v>10</v>
      </c>
      <c r="AC1" s="208" t="s">
        <v>11</v>
      </c>
      <c r="AD1" s="208" t="s">
        <v>12</v>
      </c>
      <c r="AE1" s="208" t="s">
        <v>2721</v>
      </c>
      <c r="AF1" s="208" t="s">
        <v>14</v>
      </c>
      <c r="AG1" s="208" t="s">
        <v>2722</v>
      </c>
      <c r="AH1" s="208" t="s">
        <v>2723</v>
      </c>
      <c r="AI1" s="208" t="s">
        <v>2724</v>
      </c>
      <c r="AJ1" s="208" t="s">
        <v>22</v>
      </c>
      <c r="AK1" s="208" t="s">
        <v>2725</v>
      </c>
      <c r="AL1" s="208" t="s">
        <v>2726</v>
      </c>
      <c r="AM1" s="208" t="s">
        <v>25</v>
      </c>
    </row>
    <row r="2" spans="1:39" ht="14.5">
      <c r="A2" s="34">
        <v>1</v>
      </c>
      <c r="B2" s="34" t="s">
        <v>33</v>
      </c>
      <c r="C2" s="34" t="s">
        <v>34</v>
      </c>
      <c r="D2" s="34">
        <v>1</v>
      </c>
      <c r="E2" s="34">
        <v>2445</v>
      </c>
      <c r="F2" s="34">
        <v>6</v>
      </c>
      <c r="G2" s="34">
        <v>2451</v>
      </c>
      <c r="H2" s="34">
        <v>7</v>
      </c>
      <c r="I2" s="34">
        <v>2458</v>
      </c>
      <c r="J2" s="34">
        <v>6</v>
      </c>
      <c r="K2" s="34">
        <v>2464</v>
      </c>
      <c r="L2" s="34">
        <v>5</v>
      </c>
      <c r="M2" s="34">
        <v>2469</v>
      </c>
      <c r="N2" s="34">
        <v>7</v>
      </c>
      <c r="O2" s="34">
        <v>2476</v>
      </c>
      <c r="P2" s="34">
        <v>5</v>
      </c>
      <c r="Q2" s="34">
        <v>2481</v>
      </c>
      <c r="R2" s="34">
        <v>5</v>
      </c>
      <c r="S2" s="34">
        <v>2486</v>
      </c>
      <c r="T2" s="34">
        <v>5</v>
      </c>
      <c r="U2" s="34">
        <v>2491</v>
      </c>
      <c r="V2" s="34">
        <v>5</v>
      </c>
      <c r="W2" s="34">
        <v>2496</v>
      </c>
      <c r="X2" s="34">
        <v>5</v>
      </c>
      <c r="Y2" s="34">
        <v>2502</v>
      </c>
      <c r="Z2" s="34">
        <v>6</v>
      </c>
      <c r="AA2" s="34">
        <v>2506</v>
      </c>
      <c r="AB2" s="34">
        <v>4</v>
      </c>
      <c r="AC2" s="34">
        <v>5</v>
      </c>
      <c r="AD2" s="34">
        <v>0</v>
      </c>
      <c r="AE2" s="34">
        <v>0</v>
      </c>
      <c r="AG2" s="34">
        <v>3</v>
      </c>
      <c r="AH2" s="34">
        <v>0</v>
      </c>
      <c r="AI2" s="34">
        <v>8</v>
      </c>
    </row>
    <row r="3" spans="1:39" ht="14.5">
      <c r="A3" s="34">
        <v>2</v>
      </c>
      <c r="B3" s="34" t="s">
        <v>38</v>
      </c>
      <c r="C3" s="34" t="s">
        <v>34</v>
      </c>
      <c r="D3" s="34">
        <v>2</v>
      </c>
      <c r="E3" s="34">
        <v>1975</v>
      </c>
      <c r="F3" s="34">
        <v>37</v>
      </c>
      <c r="G3" s="34">
        <v>2012</v>
      </c>
      <c r="H3" s="34">
        <v>23</v>
      </c>
      <c r="I3" s="34">
        <v>2035</v>
      </c>
      <c r="J3" s="34">
        <v>32</v>
      </c>
      <c r="K3" s="34">
        <v>2067</v>
      </c>
      <c r="L3" s="34">
        <v>27</v>
      </c>
      <c r="M3" s="34">
        <v>2094</v>
      </c>
      <c r="N3" s="34">
        <v>26</v>
      </c>
      <c r="O3" s="34">
        <v>2120</v>
      </c>
      <c r="P3" s="34">
        <v>22</v>
      </c>
      <c r="Q3" s="34">
        <v>2142</v>
      </c>
      <c r="R3" s="34">
        <v>22</v>
      </c>
      <c r="S3" s="34">
        <v>2168</v>
      </c>
      <c r="T3" s="34">
        <v>26</v>
      </c>
      <c r="U3" s="34">
        <v>2193</v>
      </c>
      <c r="V3" s="34">
        <v>25</v>
      </c>
      <c r="W3" s="34">
        <v>2225</v>
      </c>
      <c r="X3" s="34">
        <v>32</v>
      </c>
      <c r="Y3" s="34">
        <v>2248</v>
      </c>
      <c r="Z3" s="34">
        <v>23</v>
      </c>
      <c r="AA3" s="34">
        <v>2288</v>
      </c>
      <c r="AB3" s="34">
        <v>40</v>
      </c>
      <c r="AC3" s="34">
        <v>40</v>
      </c>
      <c r="AD3" s="34">
        <v>0</v>
      </c>
      <c r="AE3" s="34">
        <v>0</v>
      </c>
      <c r="AG3" s="34">
        <v>3</v>
      </c>
      <c r="AH3" s="34">
        <v>0</v>
      </c>
      <c r="AI3" s="34">
        <v>43</v>
      </c>
    </row>
    <row r="4" spans="1:39" ht="14.5">
      <c r="A4" s="34">
        <v>3</v>
      </c>
      <c r="B4" s="34" t="s">
        <v>2727</v>
      </c>
      <c r="C4" s="34" t="s">
        <v>34</v>
      </c>
      <c r="D4" s="34">
        <v>3</v>
      </c>
      <c r="K4" s="34">
        <v>0</v>
      </c>
      <c r="L4" s="34">
        <v>0</v>
      </c>
      <c r="M4" s="34">
        <v>0</v>
      </c>
      <c r="N4" s="34">
        <v>1</v>
      </c>
      <c r="O4" s="34">
        <v>1</v>
      </c>
      <c r="P4" s="34">
        <v>14</v>
      </c>
      <c r="Q4" s="34">
        <v>15</v>
      </c>
      <c r="R4" s="34">
        <v>14</v>
      </c>
      <c r="S4" s="34">
        <v>22</v>
      </c>
      <c r="T4" s="34">
        <v>7</v>
      </c>
      <c r="U4" s="34">
        <v>22</v>
      </c>
      <c r="V4" s="34">
        <v>0</v>
      </c>
      <c r="W4" s="34">
        <v>22</v>
      </c>
      <c r="X4" s="34">
        <v>0</v>
      </c>
      <c r="Y4" s="34">
        <v>22</v>
      </c>
      <c r="Z4" s="34">
        <v>0</v>
      </c>
      <c r="AA4" s="34">
        <v>22</v>
      </c>
      <c r="AB4" s="34">
        <v>0</v>
      </c>
      <c r="AC4" s="34">
        <v>5</v>
      </c>
      <c r="AD4" s="34">
        <v>0</v>
      </c>
      <c r="AE4" s="34">
        <v>0</v>
      </c>
      <c r="AG4" s="34">
        <v>3</v>
      </c>
      <c r="AH4" s="34">
        <v>0</v>
      </c>
      <c r="AI4" s="34">
        <v>8</v>
      </c>
    </row>
    <row r="5" spans="1:39" ht="14.5">
      <c r="A5" s="34">
        <v>4</v>
      </c>
      <c r="B5" s="34" t="s">
        <v>40</v>
      </c>
      <c r="C5" s="34" t="s">
        <v>34</v>
      </c>
      <c r="D5" s="34">
        <v>4</v>
      </c>
      <c r="E5" s="34">
        <v>1759</v>
      </c>
      <c r="F5" s="34">
        <v>0</v>
      </c>
      <c r="G5" s="34">
        <v>1759</v>
      </c>
      <c r="H5" s="34">
        <v>0</v>
      </c>
      <c r="I5" s="34">
        <v>1759</v>
      </c>
      <c r="J5" s="34">
        <v>3</v>
      </c>
      <c r="K5" s="34">
        <v>1762</v>
      </c>
      <c r="L5" s="34">
        <v>0</v>
      </c>
      <c r="M5" s="34">
        <v>1762</v>
      </c>
      <c r="N5" s="34">
        <v>0</v>
      </c>
      <c r="O5" s="34">
        <v>1762</v>
      </c>
      <c r="P5" s="34">
        <v>0</v>
      </c>
      <c r="Q5" s="34">
        <v>1762</v>
      </c>
      <c r="R5" s="34">
        <v>0</v>
      </c>
      <c r="S5" s="34">
        <v>1762</v>
      </c>
      <c r="T5" s="34">
        <v>0</v>
      </c>
      <c r="U5" s="34">
        <v>1732</v>
      </c>
      <c r="V5" s="34">
        <v>0</v>
      </c>
      <c r="W5" s="34">
        <v>1762</v>
      </c>
      <c r="X5" s="34">
        <v>30</v>
      </c>
      <c r="Y5" s="34">
        <v>1763</v>
      </c>
      <c r="Z5" s="34">
        <v>1</v>
      </c>
      <c r="AA5" s="34">
        <v>1763</v>
      </c>
      <c r="AB5" s="34">
        <v>0</v>
      </c>
      <c r="AC5" s="34">
        <v>5</v>
      </c>
      <c r="AD5" s="34">
        <v>41</v>
      </c>
      <c r="AE5" s="34">
        <v>40</v>
      </c>
      <c r="AG5" s="34">
        <v>3</v>
      </c>
      <c r="AH5" s="34">
        <v>20</v>
      </c>
      <c r="AI5" s="34">
        <v>109</v>
      </c>
    </row>
    <row r="6" spans="1:39" ht="14.5">
      <c r="A6" s="34">
        <v>5</v>
      </c>
      <c r="B6" s="34" t="s">
        <v>42</v>
      </c>
      <c r="C6" s="34" t="s">
        <v>34</v>
      </c>
      <c r="D6" s="34">
        <v>5</v>
      </c>
      <c r="E6" s="34">
        <v>2933</v>
      </c>
      <c r="F6" s="34">
        <v>35</v>
      </c>
      <c r="G6" s="34">
        <v>2968</v>
      </c>
      <c r="H6" s="34">
        <v>34</v>
      </c>
      <c r="I6" s="34">
        <v>3002</v>
      </c>
      <c r="J6" s="34">
        <v>23</v>
      </c>
      <c r="K6" s="34">
        <v>3025</v>
      </c>
      <c r="L6" s="34">
        <v>23</v>
      </c>
      <c r="M6" s="34">
        <v>3048</v>
      </c>
      <c r="N6" s="34">
        <v>16</v>
      </c>
      <c r="O6" s="34">
        <v>3064</v>
      </c>
      <c r="P6" s="34">
        <v>14</v>
      </c>
      <c r="Q6" s="34">
        <v>3078</v>
      </c>
      <c r="R6" s="34">
        <v>14</v>
      </c>
      <c r="S6" s="34">
        <v>3092</v>
      </c>
      <c r="T6" s="34">
        <v>14</v>
      </c>
      <c r="U6" s="34">
        <v>3108</v>
      </c>
      <c r="V6" s="34">
        <v>16</v>
      </c>
      <c r="W6" s="34">
        <v>3120</v>
      </c>
      <c r="X6" s="34">
        <v>12</v>
      </c>
      <c r="Y6" s="34">
        <v>3141</v>
      </c>
      <c r="Z6" s="34">
        <v>21</v>
      </c>
      <c r="AA6" s="34">
        <v>3162</v>
      </c>
      <c r="AB6" s="34">
        <v>21</v>
      </c>
      <c r="AC6" s="34">
        <v>21</v>
      </c>
      <c r="AD6" s="34">
        <v>0</v>
      </c>
      <c r="AE6" s="34">
        <v>0</v>
      </c>
      <c r="AG6" s="34">
        <v>3</v>
      </c>
      <c r="AH6" s="34">
        <v>0</v>
      </c>
      <c r="AI6" s="34">
        <v>24</v>
      </c>
    </row>
    <row r="7" spans="1:39" ht="14.5">
      <c r="A7" s="34">
        <v>6</v>
      </c>
      <c r="B7" s="34" t="s">
        <v>43</v>
      </c>
      <c r="C7" s="34" t="s">
        <v>34</v>
      </c>
      <c r="D7" s="34">
        <v>6</v>
      </c>
      <c r="E7" s="34">
        <v>1253</v>
      </c>
      <c r="F7" s="34">
        <v>45</v>
      </c>
      <c r="G7" s="34">
        <v>1298</v>
      </c>
      <c r="H7" s="34">
        <v>35</v>
      </c>
      <c r="I7" s="34">
        <v>1333</v>
      </c>
      <c r="J7" s="34">
        <v>25</v>
      </c>
      <c r="K7" s="34">
        <v>1358</v>
      </c>
      <c r="L7" s="34">
        <v>32</v>
      </c>
      <c r="M7" s="34">
        <v>1390</v>
      </c>
      <c r="N7" s="34">
        <v>22</v>
      </c>
      <c r="O7" s="34">
        <v>1412</v>
      </c>
      <c r="P7" s="34">
        <v>28</v>
      </c>
      <c r="Q7" s="34">
        <v>1440</v>
      </c>
      <c r="R7" s="34">
        <v>28</v>
      </c>
      <c r="S7" s="34">
        <v>1467</v>
      </c>
      <c r="T7" s="34">
        <v>27</v>
      </c>
      <c r="U7" s="34">
        <v>1491</v>
      </c>
      <c r="V7" s="34">
        <v>24</v>
      </c>
      <c r="W7" s="34">
        <v>1517</v>
      </c>
      <c r="X7" s="34">
        <v>26</v>
      </c>
      <c r="Y7" s="34">
        <v>1544</v>
      </c>
      <c r="Z7" s="34">
        <v>27</v>
      </c>
      <c r="AA7" s="34">
        <v>1571</v>
      </c>
      <c r="AB7" s="34">
        <v>27</v>
      </c>
      <c r="AC7" s="34">
        <v>27</v>
      </c>
      <c r="AD7" s="34">
        <v>0</v>
      </c>
      <c r="AE7" s="34">
        <v>0</v>
      </c>
      <c r="AG7" s="34">
        <v>3</v>
      </c>
      <c r="AH7" s="34">
        <v>0</v>
      </c>
      <c r="AI7" s="34">
        <v>30</v>
      </c>
    </row>
    <row r="8" spans="1:39" ht="14.5">
      <c r="A8" s="34">
        <v>7</v>
      </c>
      <c r="B8" s="34" t="s">
        <v>44</v>
      </c>
      <c r="C8" s="34" t="s">
        <v>34</v>
      </c>
      <c r="D8" s="34">
        <v>7</v>
      </c>
      <c r="E8" s="34">
        <v>1358</v>
      </c>
      <c r="F8" s="34">
        <v>24</v>
      </c>
      <c r="G8" s="34">
        <v>1382</v>
      </c>
      <c r="H8" s="34">
        <v>25</v>
      </c>
      <c r="I8" s="34">
        <v>1407</v>
      </c>
      <c r="J8" s="34">
        <v>22</v>
      </c>
      <c r="K8" s="34">
        <v>1429</v>
      </c>
      <c r="L8" s="34">
        <v>23</v>
      </c>
      <c r="M8" s="34">
        <v>1452</v>
      </c>
      <c r="N8" s="34">
        <v>19</v>
      </c>
      <c r="O8" s="34">
        <v>1471</v>
      </c>
      <c r="P8" s="34">
        <v>22</v>
      </c>
      <c r="Q8" s="34">
        <v>1493</v>
      </c>
      <c r="R8" s="34">
        <v>22</v>
      </c>
      <c r="S8" s="34">
        <v>1512</v>
      </c>
      <c r="T8" s="34">
        <v>19</v>
      </c>
      <c r="U8" s="34">
        <v>1529</v>
      </c>
      <c r="V8" s="34">
        <v>17</v>
      </c>
      <c r="W8" s="34">
        <v>1546</v>
      </c>
      <c r="X8" s="34">
        <v>17</v>
      </c>
      <c r="Y8" s="34">
        <v>1562</v>
      </c>
      <c r="Z8" s="34">
        <v>16</v>
      </c>
      <c r="AA8" s="34">
        <v>1579</v>
      </c>
      <c r="AB8" s="34">
        <v>17</v>
      </c>
      <c r="AC8" s="34">
        <v>17</v>
      </c>
      <c r="AD8" s="34">
        <v>19</v>
      </c>
      <c r="AE8" s="34">
        <v>0</v>
      </c>
      <c r="AG8" s="34">
        <v>3</v>
      </c>
      <c r="AH8" s="34">
        <v>0</v>
      </c>
      <c r="AI8" s="34">
        <v>39</v>
      </c>
    </row>
    <row r="9" spans="1:39" ht="14.5">
      <c r="A9" s="34">
        <v>8</v>
      </c>
      <c r="B9" s="34" t="s">
        <v>45</v>
      </c>
      <c r="C9" s="34" t="s">
        <v>34</v>
      </c>
      <c r="D9" s="34">
        <v>8</v>
      </c>
      <c r="E9" s="34">
        <v>5882</v>
      </c>
      <c r="F9" s="34">
        <v>35</v>
      </c>
      <c r="G9" s="34">
        <v>5917</v>
      </c>
      <c r="H9" s="34">
        <v>33</v>
      </c>
      <c r="I9" s="34">
        <v>5950</v>
      </c>
      <c r="J9" s="34">
        <v>25</v>
      </c>
      <c r="K9" s="34">
        <v>5975</v>
      </c>
      <c r="L9" s="34">
        <v>36</v>
      </c>
      <c r="M9" s="34">
        <v>6011</v>
      </c>
      <c r="N9" s="34">
        <v>21</v>
      </c>
      <c r="O9" s="34">
        <v>6032</v>
      </c>
      <c r="P9" s="34">
        <v>13</v>
      </c>
      <c r="Q9" s="34">
        <v>6045</v>
      </c>
      <c r="R9" s="34">
        <v>13</v>
      </c>
      <c r="S9" s="34">
        <v>6055</v>
      </c>
      <c r="T9" s="34">
        <v>10</v>
      </c>
      <c r="U9" s="34">
        <v>6067</v>
      </c>
      <c r="V9" s="34">
        <v>12</v>
      </c>
      <c r="W9" s="34">
        <v>6078</v>
      </c>
      <c r="X9" s="34">
        <v>11</v>
      </c>
      <c r="Y9" s="34">
        <v>6088</v>
      </c>
      <c r="Z9" s="34">
        <v>10</v>
      </c>
      <c r="AA9" s="34">
        <v>6103</v>
      </c>
      <c r="AB9" s="34">
        <v>15</v>
      </c>
      <c r="AC9" s="34">
        <v>15</v>
      </c>
      <c r="AD9" s="34">
        <v>0</v>
      </c>
      <c r="AE9" s="34">
        <v>0</v>
      </c>
      <c r="AG9" s="34">
        <v>3</v>
      </c>
      <c r="AH9" s="34">
        <v>0</v>
      </c>
      <c r="AI9" s="34">
        <v>18</v>
      </c>
    </row>
    <row r="10" spans="1:39" ht="14.5">
      <c r="A10" s="34">
        <v>9</v>
      </c>
      <c r="B10" s="34" t="s">
        <v>46</v>
      </c>
      <c r="C10" s="34" t="s">
        <v>34</v>
      </c>
      <c r="D10" s="34" t="s">
        <v>2728</v>
      </c>
      <c r="P10" s="34">
        <v>18</v>
      </c>
      <c r="Q10" s="34">
        <v>18</v>
      </c>
      <c r="R10" s="34">
        <v>18</v>
      </c>
      <c r="S10" s="34">
        <v>26</v>
      </c>
      <c r="T10" s="34">
        <v>8</v>
      </c>
      <c r="U10" s="34">
        <v>32</v>
      </c>
      <c r="V10" s="34">
        <v>6</v>
      </c>
      <c r="W10" s="34">
        <v>46</v>
      </c>
      <c r="X10" s="34">
        <v>14</v>
      </c>
      <c r="Y10" s="34">
        <v>53</v>
      </c>
      <c r="Z10" s="34">
        <v>7</v>
      </c>
      <c r="AA10" s="34">
        <v>61</v>
      </c>
      <c r="AB10" s="34">
        <v>8</v>
      </c>
      <c r="AC10" s="34">
        <v>8</v>
      </c>
      <c r="AD10" s="34">
        <v>0</v>
      </c>
      <c r="AE10" s="34">
        <v>0</v>
      </c>
      <c r="AG10" s="34">
        <v>3</v>
      </c>
      <c r="AH10" s="34">
        <v>20</v>
      </c>
      <c r="AI10" s="34">
        <v>31</v>
      </c>
    </row>
    <row r="11" spans="1:39" ht="14.5">
      <c r="A11" s="34">
        <v>10</v>
      </c>
      <c r="B11" s="34" t="s">
        <v>48</v>
      </c>
      <c r="C11" s="34" t="s">
        <v>34</v>
      </c>
      <c r="D11" s="34">
        <v>9</v>
      </c>
      <c r="E11" s="34">
        <v>1381</v>
      </c>
      <c r="F11" s="34">
        <v>32</v>
      </c>
      <c r="G11" s="34">
        <v>1413</v>
      </c>
      <c r="H11" s="34">
        <v>30</v>
      </c>
      <c r="I11" s="34">
        <v>1443</v>
      </c>
      <c r="J11" s="34">
        <v>40</v>
      </c>
      <c r="K11" s="34">
        <v>1483</v>
      </c>
      <c r="L11" s="34">
        <v>33</v>
      </c>
      <c r="M11" s="34">
        <v>1516</v>
      </c>
      <c r="N11" s="34">
        <v>33</v>
      </c>
      <c r="O11" s="34">
        <v>1549</v>
      </c>
      <c r="P11" s="34">
        <v>27</v>
      </c>
      <c r="Q11" s="34">
        <v>1576</v>
      </c>
      <c r="R11" s="34">
        <v>27</v>
      </c>
      <c r="S11" s="34">
        <v>1601</v>
      </c>
      <c r="T11" s="34">
        <v>25</v>
      </c>
      <c r="U11" s="34">
        <v>1624</v>
      </c>
      <c r="V11" s="34">
        <v>23</v>
      </c>
      <c r="W11" s="34">
        <v>1646</v>
      </c>
      <c r="X11" s="34">
        <v>22</v>
      </c>
      <c r="Y11" s="34">
        <v>1673</v>
      </c>
      <c r="Z11" s="34">
        <v>27</v>
      </c>
      <c r="AA11" s="34">
        <v>1703</v>
      </c>
      <c r="AB11" s="34">
        <v>30</v>
      </c>
      <c r="AC11" s="34">
        <v>30</v>
      </c>
      <c r="AD11" s="34">
        <v>0</v>
      </c>
      <c r="AE11" s="34">
        <v>0</v>
      </c>
      <c r="AG11" s="34">
        <v>3</v>
      </c>
      <c r="AH11" s="34">
        <v>0</v>
      </c>
      <c r="AI11" s="34">
        <v>33</v>
      </c>
    </row>
    <row r="12" spans="1:39" ht="14.5">
      <c r="A12" s="34">
        <v>11</v>
      </c>
      <c r="B12" s="34" t="s">
        <v>49</v>
      </c>
      <c r="C12" s="34" t="s">
        <v>34</v>
      </c>
      <c r="D12" s="34">
        <v>10</v>
      </c>
      <c r="E12" s="34">
        <v>31</v>
      </c>
      <c r="F12" s="34">
        <v>10</v>
      </c>
      <c r="G12" s="34">
        <v>41</v>
      </c>
      <c r="H12" s="34">
        <v>29</v>
      </c>
      <c r="I12" s="34">
        <v>70</v>
      </c>
      <c r="J12" s="34">
        <v>18</v>
      </c>
      <c r="K12" s="34">
        <v>88</v>
      </c>
      <c r="L12" s="34">
        <v>29</v>
      </c>
      <c r="M12" s="34">
        <v>117</v>
      </c>
      <c r="N12" s="34">
        <v>20</v>
      </c>
      <c r="O12" s="34">
        <v>137</v>
      </c>
      <c r="P12" s="34">
        <v>163</v>
      </c>
      <c r="Q12" s="34">
        <v>300</v>
      </c>
      <c r="R12" s="34">
        <v>163</v>
      </c>
      <c r="S12" s="34">
        <v>371</v>
      </c>
      <c r="T12" s="34">
        <v>71</v>
      </c>
      <c r="U12" s="34">
        <v>379</v>
      </c>
      <c r="V12" s="34">
        <v>8</v>
      </c>
      <c r="W12" s="34">
        <v>384</v>
      </c>
      <c r="X12" s="34">
        <v>5</v>
      </c>
      <c r="Y12" s="34">
        <v>389</v>
      </c>
      <c r="Z12" s="34">
        <v>5</v>
      </c>
      <c r="AA12" s="34">
        <v>395</v>
      </c>
      <c r="AB12" s="34">
        <v>6</v>
      </c>
      <c r="AC12" s="34">
        <v>6</v>
      </c>
      <c r="AD12" s="34">
        <v>0</v>
      </c>
      <c r="AE12" s="34">
        <v>0</v>
      </c>
      <c r="AG12" s="34">
        <v>3</v>
      </c>
      <c r="AH12" s="34">
        <v>20</v>
      </c>
      <c r="AI12" s="34">
        <v>29</v>
      </c>
    </row>
    <row r="13" spans="1:39" ht="14.5">
      <c r="A13" s="34">
        <v>12</v>
      </c>
      <c r="B13" s="34" t="s">
        <v>50</v>
      </c>
      <c r="C13" s="34" t="s">
        <v>34</v>
      </c>
      <c r="D13" s="34">
        <v>11</v>
      </c>
      <c r="E13" s="34">
        <v>341</v>
      </c>
      <c r="F13" s="34">
        <v>0</v>
      </c>
      <c r="G13" s="34">
        <v>341</v>
      </c>
      <c r="H13" s="34">
        <v>1</v>
      </c>
      <c r="I13" s="34">
        <v>342</v>
      </c>
      <c r="J13" s="34">
        <v>1</v>
      </c>
      <c r="K13" s="34">
        <v>343</v>
      </c>
      <c r="L13" s="34">
        <v>0</v>
      </c>
      <c r="M13" s="34">
        <v>343</v>
      </c>
      <c r="N13" s="34">
        <v>1</v>
      </c>
      <c r="O13" s="34">
        <v>344</v>
      </c>
      <c r="P13" s="34">
        <v>0</v>
      </c>
      <c r="Q13" s="34">
        <v>344</v>
      </c>
      <c r="R13" s="34">
        <v>0</v>
      </c>
      <c r="S13" s="34">
        <v>345</v>
      </c>
      <c r="T13" s="34">
        <v>1</v>
      </c>
      <c r="U13" s="34">
        <v>346</v>
      </c>
      <c r="V13" s="34">
        <v>1</v>
      </c>
      <c r="W13" s="34">
        <v>346</v>
      </c>
      <c r="X13" s="34">
        <v>0</v>
      </c>
      <c r="Y13" s="34">
        <v>346</v>
      </c>
      <c r="Z13" s="34">
        <v>0</v>
      </c>
      <c r="AA13" s="34">
        <v>346</v>
      </c>
      <c r="AB13" s="34">
        <v>0</v>
      </c>
      <c r="AC13" s="34">
        <v>5</v>
      </c>
      <c r="AD13" s="34">
        <v>0</v>
      </c>
      <c r="AE13" s="34">
        <v>0</v>
      </c>
      <c r="AG13" s="34">
        <v>3</v>
      </c>
      <c r="AH13" s="34">
        <v>20</v>
      </c>
      <c r="AI13" s="34">
        <v>28</v>
      </c>
    </row>
    <row r="14" spans="1:39" ht="14.5">
      <c r="A14" s="34">
        <v>13</v>
      </c>
      <c r="B14" s="34" t="s">
        <v>52</v>
      </c>
      <c r="C14" s="34" t="s">
        <v>53</v>
      </c>
      <c r="D14" s="34">
        <v>1</v>
      </c>
      <c r="E14" s="34">
        <v>2078</v>
      </c>
      <c r="F14" s="34">
        <v>15</v>
      </c>
      <c r="G14" s="34">
        <v>2093</v>
      </c>
      <c r="H14" s="34">
        <v>0</v>
      </c>
      <c r="I14" s="34">
        <v>2093</v>
      </c>
      <c r="J14" s="34">
        <v>7</v>
      </c>
      <c r="K14" s="34">
        <v>2100</v>
      </c>
      <c r="L14" s="34">
        <v>10</v>
      </c>
      <c r="M14" s="34">
        <v>2110</v>
      </c>
      <c r="N14" s="34">
        <v>8</v>
      </c>
      <c r="O14" s="34">
        <v>2118</v>
      </c>
      <c r="P14" s="34">
        <v>5</v>
      </c>
      <c r="Q14" s="34">
        <v>2123</v>
      </c>
      <c r="R14" s="34">
        <v>5</v>
      </c>
      <c r="S14" s="34">
        <v>2131</v>
      </c>
      <c r="T14" s="34">
        <v>8</v>
      </c>
      <c r="U14" s="34">
        <v>2137</v>
      </c>
      <c r="V14" s="34">
        <v>6</v>
      </c>
      <c r="W14" s="34">
        <v>2141</v>
      </c>
      <c r="X14" s="34">
        <v>4</v>
      </c>
      <c r="Y14" s="34">
        <v>2147</v>
      </c>
      <c r="Z14" s="34">
        <v>6</v>
      </c>
      <c r="AA14" s="34">
        <v>2153</v>
      </c>
      <c r="AB14" s="34">
        <v>6</v>
      </c>
      <c r="AC14" s="34">
        <v>6</v>
      </c>
      <c r="AD14" s="34">
        <v>9</v>
      </c>
      <c r="AE14" s="34">
        <v>0</v>
      </c>
      <c r="AG14" s="34">
        <v>3</v>
      </c>
      <c r="AH14" s="34">
        <v>0</v>
      </c>
      <c r="AI14" s="34">
        <v>18</v>
      </c>
    </row>
    <row r="15" spans="1:39" ht="14.5">
      <c r="A15" s="34">
        <v>14</v>
      </c>
      <c r="B15" s="34" t="s">
        <v>54</v>
      </c>
      <c r="C15" s="34" t="s">
        <v>53</v>
      </c>
      <c r="D15" s="34">
        <v>2</v>
      </c>
      <c r="E15" s="34">
        <v>2104</v>
      </c>
      <c r="F15" s="34">
        <v>6</v>
      </c>
      <c r="G15" s="34">
        <v>2110</v>
      </c>
      <c r="H15" s="34">
        <v>3</v>
      </c>
      <c r="I15" s="34">
        <v>2113</v>
      </c>
      <c r="J15" s="34">
        <v>2</v>
      </c>
      <c r="K15" s="34">
        <v>2115</v>
      </c>
      <c r="L15" s="34">
        <v>11</v>
      </c>
      <c r="M15" s="34">
        <v>2126</v>
      </c>
      <c r="N15" s="34">
        <v>9</v>
      </c>
      <c r="O15" s="34">
        <v>2135</v>
      </c>
      <c r="P15" s="34">
        <v>6</v>
      </c>
      <c r="Q15" s="34">
        <v>2141</v>
      </c>
      <c r="R15" s="34">
        <v>6</v>
      </c>
      <c r="S15" s="34">
        <v>2146</v>
      </c>
      <c r="T15" s="34">
        <v>5</v>
      </c>
      <c r="U15" s="34">
        <v>2152</v>
      </c>
      <c r="V15" s="34">
        <v>6</v>
      </c>
      <c r="W15" s="34">
        <v>2157</v>
      </c>
      <c r="X15" s="34">
        <v>5</v>
      </c>
      <c r="Y15" s="34">
        <v>2164</v>
      </c>
      <c r="Z15" s="34">
        <v>7</v>
      </c>
      <c r="AA15" s="34">
        <v>2171</v>
      </c>
      <c r="AB15" s="34">
        <v>7</v>
      </c>
      <c r="AC15" s="34">
        <v>7</v>
      </c>
      <c r="AD15" s="34">
        <v>0</v>
      </c>
      <c r="AE15" s="34">
        <v>0</v>
      </c>
      <c r="AG15" s="34">
        <v>3</v>
      </c>
      <c r="AH15" s="34">
        <v>20</v>
      </c>
      <c r="AI15" s="34">
        <v>30</v>
      </c>
    </row>
    <row r="16" spans="1:39" ht="14.5">
      <c r="A16" s="34">
        <v>15</v>
      </c>
      <c r="B16" s="34" t="s">
        <v>55</v>
      </c>
      <c r="C16" s="34" t="s">
        <v>53</v>
      </c>
      <c r="D16" s="34">
        <v>3</v>
      </c>
      <c r="E16" s="34">
        <v>602</v>
      </c>
      <c r="F16" s="34">
        <v>9</v>
      </c>
      <c r="G16" s="34">
        <v>611</v>
      </c>
      <c r="H16" s="34">
        <v>10</v>
      </c>
      <c r="I16" s="34">
        <v>621</v>
      </c>
      <c r="J16" s="34">
        <v>10</v>
      </c>
      <c r="K16" s="34">
        <v>631</v>
      </c>
      <c r="L16" s="34">
        <v>9</v>
      </c>
      <c r="M16" s="34">
        <v>640</v>
      </c>
      <c r="N16" s="34">
        <v>8</v>
      </c>
      <c r="O16" s="34">
        <v>648</v>
      </c>
      <c r="P16" s="34">
        <v>10</v>
      </c>
      <c r="Q16" s="34">
        <v>658</v>
      </c>
      <c r="R16" s="34">
        <v>10</v>
      </c>
      <c r="S16" s="34">
        <v>669</v>
      </c>
      <c r="T16" s="34">
        <v>11</v>
      </c>
      <c r="U16" s="34">
        <v>676</v>
      </c>
      <c r="V16" s="34">
        <v>7</v>
      </c>
      <c r="W16" s="34">
        <v>682</v>
      </c>
      <c r="X16" s="34">
        <v>6</v>
      </c>
      <c r="Y16" s="34">
        <v>689</v>
      </c>
      <c r="Z16" s="34">
        <v>7</v>
      </c>
      <c r="AA16" s="34">
        <v>695</v>
      </c>
      <c r="AB16" s="34">
        <v>6</v>
      </c>
      <c r="AC16" s="34">
        <v>6</v>
      </c>
      <c r="AD16" s="34">
        <v>0</v>
      </c>
      <c r="AE16" s="34">
        <v>0</v>
      </c>
      <c r="AG16" s="34">
        <v>3</v>
      </c>
      <c r="AH16" s="34">
        <v>0</v>
      </c>
      <c r="AI16" s="34">
        <v>9</v>
      </c>
    </row>
    <row r="17" spans="1:35" ht="14.5">
      <c r="A17" s="34">
        <v>16</v>
      </c>
      <c r="B17" s="34" t="s">
        <v>56</v>
      </c>
      <c r="C17" s="34" t="s">
        <v>53</v>
      </c>
      <c r="D17" s="34">
        <v>4</v>
      </c>
      <c r="E17" s="34">
        <v>189</v>
      </c>
      <c r="F17" s="34">
        <v>10</v>
      </c>
      <c r="G17" s="34">
        <v>199</v>
      </c>
      <c r="H17" s="34">
        <v>12</v>
      </c>
      <c r="I17" s="34">
        <v>211</v>
      </c>
      <c r="J17" s="34">
        <v>15</v>
      </c>
      <c r="K17" s="34">
        <v>226</v>
      </c>
      <c r="L17" s="34">
        <v>13</v>
      </c>
      <c r="M17" s="34">
        <v>239</v>
      </c>
      <c r="N17" s="34">
        <v>13</v>
      </c>
      <c r="O17" s="34">
        <v>252</v>
      </c>
      <c r="P17" s="34">
        <v>21</v>
      </c>
      <c r="Q17" s="34">
        <v>273</v>
      </c>
      <c r="R17" s="34">
        <v>21</v>
      </c>
      <c r="S17" s="34">
        <v>291</v>
      </c>
      <c r="T17" s="34">
        <v>18</v>
      </c>
      <c r="U17" s="34">
        <v>311</v>
      </c>
      <c r="V17" s="34">
        <v>20</v>
      </c>
      <c r="W17" s="34">
        <v>331</v>
      </c>
      <c r="X17" s="34">
        <v>20</v>
      </c>
      <c r="Y17" s="34">
        <v>348</v>
      </c>
      <c r="Z17" s="34">
        <v>17</v>
      </c>
      <c r="AA17" s="34">
        <v>369</v>
      </c>
      <c r="AB17" s="34">
        <v>21</v>
      </c>
      <c r="AC17" s="34">
        <v>21</v>
      </c>
      <c r="AD17" s="34">
        <v>0</v>
      </c>
      <c r="AE17" s="34">
        <v>0</v>
      </c>
      <c r="AG17" s="34">
        <v>3</v>
      </c>
      <c r="AH17" s="34">
        <v>0</v>
      </c>
      <c r="AI17" s="34">
        <v>24</v>
      </c>
    </row>
    <row r="18" spans="1:35" ht="14.5">
      <c r="A18" s="34">
        <v>17</v>
      </c>
      <c r="B18" s="34" t="s">
        <v>57</v>
      </c>
      <c r="C18" s="34" t="s">
        <v>53</v>
      </c>
      <c r="D18" s="34">
        <v>5</v>
      </c>
      <c r="E18" s="34">
        <v>4425</v>
      </c>
      <c r="F18" s="34">
        <v>58</v>
      </c>
      <c r="G18" s="34">
        <v>4483</v>
      </c>
      <c r="H18" s="34">
        <v>45</v>
      </c>
      <c r="I18" s="34">
        <v>4528</v>
      </c>
      <c r="J18" s="34">
        <v>39</v>
      </c>
      <c r="K18" s="34">
        <v>4567</v>
      </c>
      <c r="L18" s="34">
        <v>33</v>
      </c>
      <c r="M18" s="34">
        <v>4600</v>
      </c>
      <c r="N18" s="34">
        <v>39</v>
      </c>
      <c r="O18" s="34">
        <v>4639</v>
      </c>
      <c r="P18" s="34">
        <v>34</v>
      </c>
      <c r="Q18" s="34">
        <v>4673</v>
      </c>
      <c r="R18" s="34">
        <v>34</v>
      </c>
      <c r="S18" s="34">
        <v>4706</v>
      </c>
      <c r="T18" s="34">
        <v>33</v>
      </c>
      <c r="U18" s="34">
        <v>4742</v>
      </c>
      <c r="V18" s="34">
        <v>36</v>
      </c>
      <c r="W18" s="34">
        <v>4775</v>
      </c>
      <c r="X18" s="34">
        <v>33</v>
      </c>
      <c r="Y18" s="34">
        <v>4810</v>
      </c>
      <c r="Z18" s="34">
        <v>35</v>
      </c>
      <c r="AA18" s="34">
        <v>4848</v>
      </c>
      <c r="AB18" s="34">
        <v>38</v>
      </c>
      <c r="AC18" s="34">
        <v>38</v>
      </c>
      <c r="AD18" s="34">
        <v>0</v>
      </c>
      <c r="AE18" s="34">
        <v>0</v>
      </c>
      <c r="AG18" s="34">
        <v>3</v>
      </c>
      <c r="AH18" s="34">
        <v>20</v>
      </c>
      <c r="AI18" s="34">
        <v>61</v>
      </c>
    </row>
    <row r="19" spans="1:35" ht="14.5">
      <c r="A19" s="34">
        <v>18</v>
      </c>
      <c r="B19" s="34" t="s">
        <v>58</v>
      </c>
      <c r="C19" s="34" t="s">
        <v>53</v>
      </c>
      <c r="D19" s="34">
        <v>6</v>
      </c>
      <c r="E19" s="34">
        <v>3385</v>
      </c>
      <c r="F19" s="34">
        <v>34</v>
      </c>
      <c r="G19" s="34">
        <v>3419</v>
      </c>
      <c r="H19" s="34">
        <v>35</v>
      </c>
      <c r="I19" s="34">
        <v>3454</v>
      </c>
      <c r="J19" s="34">
        <v>23</v>
      </c>
      <c r="K19" s="34">
        <v>3477</v>
      </c>
      <c r="L19" s="34">
        <v>23</v>
      </c>
      <c r="M19" s="34">
        <v>3500</v>
      </c>
      <c r="N19" s="34">
        <v>20</v>
      </c>
      <c r="O19" s="34">
        <v>3520</v>
      </c>
      <c r="P19" s="34">
        <v>26</v>
      </c>
      <c r="Q19" s="34">
        <v>3546</v>
      </c>
      <c r="R19" s="34">
        <v>26</v>
      </c>
      <c r="S19" s="34">
        <v>3570</v>
      </c>
      <c r="T19" s="34">
        <v>24</v>
      </c>
      <c r="U19" s="34">
        <v>3592</v>
      </c>
      <c r="V19" s="34">
        <v>22</v>
      </c>
      <c r="W19" s="34">
        <v>3612</v>
      </c>
      <c r="X19" s="34">
        <v>20</v>
      </c>
      <c r="Y19" s="34">
        <v>3634</v>
      </c>
      <c r="Z19" s="34">
        <v>22</v>
      </c>
      <c r="AA19" s="34">
        <v>3656</v>
      </c>
      <c r="AB19" s="34">
        <v>22</v>
      </c>
      <c r="AC19" s="34">
        <v>22</v>
      </c>
      <c r="AD19" s="34">
        <v>25</v>
      </c>
      <c r="AE19" s="34">
        <v>0</v>
      </c>
      <c r="AG19" s="34">
        <v>3</v>
      </c>
      <c r="AH19" s="34">
        <v>0</v>
      </c>
      <c r="AI19" s="34">
        <v>50</v>
      </c>
    </row>
    <row r="20" spans="1:35" ht="14.5">
      <c r="A20" s="34">
        <v>19</v>
      </c>
      <c r="B20" s="34" t="s">
        <v>59</v>
      </c>
      <c r="C20" s="34" t="s">
        <v>53</v>
      </c>
      <c r="D20" s="34">
        <v>7</v>
      </c>
      <c r="E20" s="34">
        <v>2289</v>
      </c>
      <c r="F20" s="34">
        <v>16</v>
      </c>
      <c r="G20" s="34">
        <v>2305</v>
      </c>
      <c r="H20" s="34">
        <v>17</v>
      </c>
      <c r="I20" s="34">
        <v>2322</v>
      </c>
      <c r="J20" s="34">
        <v>26</v>
      </c>
      <c r="K20" s="34">
        <v>2348</v>
      </c>
      <c r="L20" s="34">
        <v>16</v>
      </c>
      <c r="M20" s="34">
        <v>2364</v>
      </c>
      <c r="N20" s="34">
        <v>17</v>
      </c>
      <c r="O20" s="34">
        <v>2381</v>
      </c>
      <c r="P20" s="34">
        <v>16</v>
      </c>
      <c r="Q20" s="34">
        <v>2397</v>
      </c>
      <c r="R20" s="34">
        <v>16</v>
      </c>
      <c r="S20" s="34">
        <v>2414</v>
      </c>
      <c r="T20" s="34">
        <v>17</v>
      </c>
      <c r="U20" s="34">
        <v>2428</v>
      </c>
      <c r="V20" s="34">
        <v>14</v>
      </c>
      <c r="W20" s="34">
        <v>2443</v>
      </c>
      <c r="X20" s="34">
        <v>15</v>
      </c>
      <c r="Y20" s="34">
        <v>2455</v>
      </c>
      <c r="Z20" s="34">
        <v>12</v>
      </c>
      <c r="AA20" s="34">
        <v>2469</v>
      </c>
      <c r="AB20" s="34">
        <v>14</v>
      </c>
      <c r="AC20" s="34">
        <v>14</v>
      </c>
      <c r="AD20" s="34">
        <v>0</v>
      </c>
      <c r="AE20" s="34">
        <v>0</v>
      </c>
      <c r="AG20" s="34">
        <v>3</v>
      </c>
      <c r="AH20" s="34">
        <v>0</v>
      </c>
      <c r="AI20" s="34">
        <v>17</v>
      </c>
    </row>
    <row r="21" spans="1:35" ht="15.75" customHeight="1">
      <c r="A21" s="34">
        <v>20</v>
      </c>
      <c r="B21" s="34" t="s">
        <v>61</v>
      </c>
      <c r="C21" s="34" t="s">
        <v>53</v>
      </c>
      <c r="D21" s="34">
        <v>8</v>
      </c>
      <c r="E21" s="34">
        <v>6347</v>
      </c>
      <c r="F21" s="34">
        <v>14</v>
      </c>
      <c r="G21" s="34">
        <v>6361</v>
      </c>
      <c r="H21" s="34">
        <v>17</v>
      </c>
      <c r="I21" s="34">
        <v>6378</v>
      </c>
      <c r="J21" s="34">
        <v>18</v>
      </c>
      <c r="K21" s="34">
        <v>6396</v>
      </c>
      <c r="L21" s="34">
        <v>15</v>
      </c>
      <c r="M21" s="34">
        <v>6411</v>
      </c>
      <c r="N21" s="34">
        <v>14</v>
      </c>
      <c r="O21" s="34">
        <v>6425</v>
      </c>
      <c r="P21" s="34">
        <v>14</v>
      </c>
      <c r="Q21" s="34">
        <v>6439</v>
      </c>
      <c r="R21" s="34">
        <v>14</v>
      </c>
      <c r="S21" s="34">
        <v>6456</v>
      </c>
      <c r="T21" s="34">
        <v>17</v>
      </c>
      <c r="U21" s="34">
        <v>6470</v>
      </c>
      <c r="V21" s="34">
        <v>14</v>
      </c>
      <c r="W21" s="34">
        <v>6484</v>
      </c>
      <c r="X21" s="34">
        <v>14</v>
      </c>
      <c r="Y21" s="34">
        <v>6497</v>
      </c>
      <c r="Z21" s="34">
        <v>13</v>
      </c>
      <c r="AA21" s="34">
        <v>6510</v>
      </c>
      <c r="AB21" s="34">
        <v>13</v>
      </c>
      <c r="AC21" s="34">
        <v>13</v>
      </c>
      <c r="AD21" s="34">
        <v>16</v>
      </c>
      <c r="AE21" s="34">
        <v>0</v>
      </c>
      <c r="AG21" s="34">
        <v>3</v>
      </c>
      <c r="AH21" s="34">
        <v>0</v>
      </c>
      <c r="AI21" s="34">
        <v>32</v>
      </c>
    </row>
    <row r="22" spans="1:35" ht="15.75" customHeight="1">
      <c r="A22" s="34">
        <v>21</v>
      </c>
      <c r="B22" s="34" t="s">
        <v>62</v>
      </c>
      <c r="C22" s="34" t="s">
        <v>53</v>
      </c>
      <c r="D22" s="34">
        <v>9</v>
      </c>
      <c r="E22" s="34">
        <v>5905</v>
      </c>
      <c r="F22" s="34">
        <v>23</v>
      </c>
      <c r="G22" s="34">
        <v>5928</v>
      </c>
      <c r="H22" s="34">
        <v>25</v>
      </c>
      <c r="I22" s="34">
        <v>5953</v>
      </c>
      <c r="J22" s="34">
        <v>21</v>
      </c>
      <c r="K22" s="34">
        <v>5974</v>
      </c>
      <c r="L22" s="34">
        <v>16</v>
      </c>
      <c r="M22" s="34">
        <v>5990</v>
      </c>
      <c r="N22" s="34">
        <v>14</v>
      </c>
      <c r="O22" s="34">
        <v>6004</v>
      </c>
      <c r="P22" s="34">
        <v>14</v>
      </c>
      <c r="Q22" s="34">
        <v>6018</v>
      </c>
      <c r="R22" s="34">
        <v>14</v>
      </c>
      <c r="S22" s="34">
        <v>6045</v>
      </c>
      <c r="T22" s="34">
        <v>27</v>
      </c>
      <c r="U22" s="34">
        <v>6052</v>
      </c>
      <c r="V22" s="34">
        <v>7</v>
      </c>
      <c r="W22" s="34">
        <v>6058</v>
      </c>
      <c r="X22" s="34">
        <v>6</v>
      </c>
      <c r="Y22" s="34">
        <v>6062</v>
      </c>
      <c r="Z22" s="34">
        <v>4</v>
      </c>
      <c r="AA22" s="34">
        <v>6066</v>
      </c>
      <c r="AB22" s="34">
        <v>4</v>
      </c>
      <c r="AC22" s="34">
        <v>5</v>
      </c>
      <c r="AD22" s="34">
        <v>0</v>
      </c>
      <c r="AE22" s="34">
        <v>0</v>
      </c>
      <c r="AG22" s="34">
        <v>3</v>
      </c>
      <c r="AH22" s="34">
        <v>0</v>
      </c>
      <c r="AI22" s="34">
        <v>8</v>
      </c>
    </row>
    <row r="23" spans="1:35" ht="15.75" customHeight="1">
      <c r="A23" s="34">
        <v>22</v>
      </c>
      <c r="B23" s="34" t="s">
        <v>2729</v>
      </c>
      <c r="C23" s="34" t="s">
        <v>53</v>
      </c>
      <c r="D23" s="34">
        <v>11</v>
      </c>
      <c r="E23" s="34">
        <v>2676</v>
      </c>
      <c r="F23" s="34">
        <v>17</v>
      </c>
      <c r="G23" s="34">
        <v>2693</v>
      </c>
      <c r="H23" s="34">
        <v>18</v>
      </c>
      <c r="I23" s="34">
        <v>2711</v>
      </c>
      <c r="J23" s="34">
        <v>15</v>
      </c>
      <c r="K23" s="34">
        <v>2726</v>
      </c>
      <c r="L23" s="34">
        <v>19</v>
      </c>
      <c r="M23" s="34">
        <v>2745</v>
      </c>
      <c r="N23" s="34">
        <v>20</v>
      </c>
      <c r="O23" s="34">
        <v>2765</v>
      </c>
      <c r="P23" s="34">
        <v>17</v>
      </c>
      <c r="Q23" s="34">
        <v>2782</v>
      </c>
      <c r="R23" s="34">
        <v>17</v>
      </c>
      <c r="S23" s="34">
        <v>2795</v>
      </c>
      <c r="T23" s="34">
        <v>13</v>
      </c>
      <c r="U23" s="34">
        <v>2810</v>
      </c>
      <c r="V23" s="34">
        <v>15</v>
      </c>
      <c r="W23" s="34">
        <v>2823</v>
      </c>
      <c r="X23" s="34">
        <v>13</v>
      </c>
      <c r="Y23" s="34">
        <v>2837</v>
      </c>
      <c r="Z23" s="34">
        <v>14</v>
      </c>
      <c r="AA23" s="34">
        <v>2852</v>
      </c>
      <c r="AB23" s="34">
        <v>15</v>
      </c>
      <c r="AC23" s="34">
        <v>15</v>
      </c>
      <c r="AD23" s="34">
        <v>17</v>
      </c>
      <c r="AE23" s="34">
        <v>0</v>
      </c>
      <c r="AG23" s="34">
        <v>3</v>
      </c>
      <c r="AH23" s="34">
        <v>0</v>
      </c>
      <c r="AI23" s="34">
        <v>35</v>
      </c>
    </row>
    <row r="24" spans="1:35" ht="15.75" customHeight="1">
      <c r="A24" s="34">
        <v>23</v>
      </c>
      <c r="B24" s="34" t="s">
        <v>64</v>
      </c>
      <c r="C24" s="34" t="s">
        <v>53</v>
      </c>
      <c r="D24" s="34">
        <v>10</v>
      </c>
      <c r="E24" s="34">
        <v>110</v>
      </c>
      <c r="F24" s="34">
        <v>3</v>
      </c>
      <c r="G24" s="34">
        <v>113</v>
      </c>
      <c r="H24" s="34">
        <v>36</v>
      </c>
      <c r="I24" s="34">
        <v>149</v>
      </c>
      <c r="J24" s="34">
        <v>63</v>
      </c>
      <c r="K24" s="34">
        <v>212</v>
      </c>
      <c r="L24" s="34">
        <v>2</v>
      </c>
      <c r="M24" s="34">
        <v>214</v>
      </c>
      <c r="N24" s="34">
        <v>3</v>
      </c>
      <c r="O24" s="34">
        <v>217</v>
      </c>
      <c r="P24" s="34">
        <v>55</v>
      </c>
      <c r="Q24" s="34">
        <v>272</v>
      </c>
      <c r="R24" s="34">
        <v>55</v>
      </c>
      <c r="S24" s="34">
        <v>276</v>
      </c>
      <c r="T24" s="34">
        <v>5</v>
      </c>
      <c r="U24" s="34">
        <v>278</v>
      </c>
      <c r="V24" s="34">
        <v>5</v>
      </c>
      <c r="W24" s="34">
        <v>284</v>
      </c>
      <c r="X24" s="34">
        <v>6</v>
      </c>
      <c r="Y24" s="34">
        <v>288</v>
      </c>
      <c r="Z24" s="34">
        <v>4</v>
      </c>
      <c r="AA24" s="34">
        <v>292</v>
      </c>
      <c r="AB24" s="34">
        <v>4</v>
      </c>
      <c r="AC24" s="34">
        <v>5</v>
      </c>
      <c r="AD24" s="34">
        <v>0</v>
      </c>
      <c r="AE24" s="34">
        <v>0</v>
      </c>
      <c r="AG24" s="34">
        <v>3</v>
      </c>
      <c r="AH24" s="34">
        <v>0</v>
      </c>
      <c r="AI24" s="34">
        <v>8</v>
      </c>
    </row>
    <row r="25" spans="1:35" ht="15.75" customHeight="1">
      <c r="A25" s="34">
        <v>24</v>
      </c>
      <c r="B25" s="34" t="s">
        <v>65</v>
      </c>
      <c r="C25" s="34" t="s">
        <v>53</v>
      </c>
      <c r="D25" s="34">
        <v>12</v>
      </c>
      <c r="E25" s="34">
        <v>2213</v>
      </c>
      <c r="F25" s="34">
        <v>8</v>
      </c>
      <c r="G25" s="34">
        <v>2221</v>
      </c>
      <c r="H25" s="34">
        <v>8</v>
      </c>
      <c r="I25" s="34">
        <v>2229</v>
      </c>
      <c r="J25" s="34">
        <v>10</v>
      </c>
      <c r="K25" s="34">
        <v>2239</v>
      </c>
      <c r="L25" s="34">
        <v>7</v>
      </c>
      <c r="M25" s="34">
        <v>2246</v>
      </c>
      <c r="N25" s="34">
        <v>9</v>
      </c>
      <c r="O25" s="34">
        <v>2255</v>
      </c>
      <c r="P25" s="34">
        <v>6</v>
      </c>
      <c r="Q25" s="34">
        <v>2261</v>
      </c>
      <c r="R25" s="34">
        <v>6</v>
      </c>
      <c r="S25" s="34">
        <v>2267</v>
      </c>
      <c r="T25" s="34">
        <v>6</v>
      </c>
      <c r="U25" s="34">
        <v>2273</v>
      </c>
      <c r="V25" s="34">
        <v>6</v>
      </c>
      <c r="W25" s="34">
        <v>2278</v>
      </c>
      <c r="X25" s="34">
        <v>5</v>
      </c>
      <c r="Y25" s="34">
        <v>2285</v>
      </c>
      <c r="Z25" s="34">
        <v>7</v>
      </c>
      <c r="AA25" s="34">
        <v>2292</v>
      </c>
      <c r="AB25" s="34">
        <v>7</v>
      </c>
      <c r="AC25" s="34">
        <v>7</v>
      </c>
      <c r="AD25" s="34">
        <v>10</v>
      </c>
      <c r="AE25" s="34">
        <v>0</v>
      </c>
      <c r="AG25" s="34">
        <v>3</v>
      </c>
      <c r="AH25" s="34">
        <v>0</v>
      </c>
      <c r="AI25" s="34">
        <v>20</v>
      </c>
    </row>
    <row r="26" spans="1:35" ht="15.75" customHeight="1">
      <c r="A26" s="34">
        <v>25</v>
      </c>
      <c r="B26" s="34" t="s">
        <v>2730</v>
      </c>
      <c r="C26" s="34" t="s">
        <v>53</v>
      </c>
      <c r="D26" s="34" t="s">
        <v>2731</v>
      </c>
      <c r="E26" s="34">
        <v>198</v>
      </c>
      <c r="F26" s="34">
        <v>6</v>
      </c>
      <c r="G26" s="34">
        <v>204</v>
      </c>
      <c r="H26" s="34">
        <v>7</v>
      </c>
      <c r="I26" s="34">
        <v>211</v>
      </c>
      <c r="J26" s="34">
        <v>6</v>
      </c>
      <c r="K26" s="34">
        <v>217</v>
      </c>
      <c r="L26" s="34">
        <v>6</v>
      </c>
      <c r="M26" s="34">
        <v>223</v>
      </c>
      <c r="N26" s="34">
        <v>6</v>
      </c>
      <c r="O26" s="34">
        <v>229</v>
      </c>
      <c r="P26" s="34">
        <v>6</v>
      </c>
      <c r="Q26" s="34">
        <v>235</v>
      </c>
      <c r="R26" s="34">
        <v>6</v>
      </c>
      <c r="S26" s="34">
        <v>239</v>
      </c>
      <c r="T26" s="34">
        <v>4</v>
      </c>
      <c r="U26" s="34">
        <v>244</v>
      </c>
      <c r="V26" s="34">
        <v>5</v>
      </c>
      <c r="W26" s="34">
        <v>250</v>
      </c>
      <c r="X26" s="34">
        <v>6</v>
      </c>
      <c r="Y26" s="34">
        <v>256</v>
      </c>
      <c r="Z26" s="34">
        <v>6</v>
      </c>
      <c r="AA26" s="34">
        <v>262</v>
      </c>
      <c r="AB26" s="34">
        <v>6</v>
      </c>
      <c r="AC26" s="34">
        <v>6</v>
      </c>
      <c r="AD26" s="34">
        <v>0</v>
      </c>
      <c r="AE26" s="34">
        <v>0</v>
      </c>
      <c r="AG26" s="34">
        <v>3</v>
      </c>
      <c r="AH26" s="34">
        <v>0</v>
      </c>
      <c r="AI26" s="34">
        <v>9</v>
      </c>
    </row>
    <row r="27" spans="1:35" ht="15.75" customHeight="1">
      <c r="A27" s="34">
        <v>26</v>
      </c>
      <c r="B27" s="34" t="s">
        <v>69</v>
      </c>
      <c r="C27" s="34" t="s">
        <v>53</v>
      </c>
      <c r="D27" s="34">
        <v>13</v>
      </c>
      <c r="E27" s="34">
        <v>90</v>
      </c>
      <c r="F27" s="34">
        <v>13</v>
      </c>
      <c r="G27" s="34">
        <v>103</v>
      </c>
      <c r="H27" s="34">
        <v>12</v>
      </c>
      <c r="I27" s="34">
        <v>115</v>
      </c>
      <c r="J27" s="34">
        <v>16</v>
      </c>
      <c r="K27" s="34">
        <v>131</v>
      </c>
      <c r="L27" s="34">
        <v>6</v>
      </c>
      <c r="M27" s="34">
        <v>137</v>
      </c>
      <c r="N27" s="34">
        <v>5</v>
      </c>
      <c r="O27" s="34">
        <v>142</v>
      </c>
      <c r="P27" s="34">
        <v>5</v>
      </c>
      <c r="Q27" s="34">
        <v>147</v>
      </c>
      <c r="R27" s="34">
        <v>5</v>
      </c>
      <c r="S27" s="34">
        <v>152</v>
      </c>
      <c r="T27" s="34">
        <v>5</v>
      </c>
      <c r="U27" s="34">
        <v>157</v>
      </c>
      <c r="V27" s="34">
        <v>5</v>
      </c>
      <c r="W27" s="34">
        <v>165</v>
      </c>
      <c r="X27" s="34">
        <v>8</v>
      </c>
      <c r="Y27" s="34">
        <v>173</v>
      </c>
      <c r="Z27" s="34">
        <v>8</v>
      </c>
      <c r="AA27" s="34">
        <v>180</v>
      </c>
      <c r="AB27" s="34">
        <v>7</v>
      </c>
      <c r="AC27" s="34">
        <v>7</v>
      </c>
      <c r="AD27" s="34">
        <v>0</v>
      </c>
      <c r="AE27" s="34">
        <v>0</v>
      </c>
      <c r="AG27" s="34">
        <v>3</v>
      </c>
      <c r="AH27" s="34">
        <v>0</v>
      </c>
      <c r="AI27" s="34">
        <v>10</v>
      </c>
    </row>
    <row r="28" spans="1:35" ht="15.75" customHeight="1">
      <c r="A28" s="34">
        <v>27</v>
      </c>
      <c r="B28" s="34" t="s">
        <v>70</v>
      </c>
      <c r="C28" s="34" t="s">
        <v>53</v>
      </c>
      <c r="D28" s="34">
        <v>15</v>
      </c>
      <c r="E28" s="34">
        <v>886</v>
      </c>
      <c r="F28" s="34">
        <v>12</v>
      </c>
      <c r="G28" s="34">
        <v>898</v>
      </c>
      <c r="H28" s="34">
        <v>18</v>
      </c>
      <c r="I28" s="34">
        <v>916</v>
      </c>
      <c r="J28" s="34">
        <v>13</v>
      </c>
      <c r="K28" s="34">
        <v>929</v>
      </c>
      <c r="L28" s="34">
        <v>18</v>
      </c>
      <c r="M28" s="34">
        <v>947</v>
      </c>
      <c r="N28" s="34">
        <v>18</v>
      </c>
      <c r="O28" s="34">
        <v>965</v>
      </c>
      <c r="P28" s="34">
        <v>20</v>
      </c>
      <c r="Q28" s="34">
        <v>985</v>
      </c>
      <c r="R28" s="34">
        <v>20</v>
      </c>
      <c r="S28" s="34">
        <v>1006</v>
      </c>
      <c r="T28" s="34">
        <v>21</v>
      </c>
      <c r="U28" s="34">
        <v>1028</v>
      </c>
      <c r="V28" s="34">
        <v>22</v>
      </c>
      <c r="W28" s="34">
        <v>1052</v>
      </c>
      <c r="X28" s="34">
        <v>24</v>
      </c>
      <c r="Y28" s="34">
        <v>1061</v>
      </c>
      <c r="Z28" s="34">
        <v>9</v>
      </c>
      <c r="AA28" s="34">
        <v>1105</v>
      </c>
      <c r="AB28" s="34">
        <v>44</v>
      </c>
      <c r="AC28" s="34">
        <v>44</v>
      </c>
      <c r="AD28" s="34">
        <v>0</v>
      </c>
      <c r="AE28" s="34">
        <v>0</v>
      </c>
      <c r="AG28" s="34">
        <v>3</v>
      </c>
      <c r="AH28" s="34">
        <v>0</v>
      </c>
      <c r="AI28" s="34">
        <v>47</v>
      </c>
    </row>
    <row r="29" spans="1:35" ht="15.75" customHeight="1">
      <c r="A29" s="34">
        <v>28</v>
      </c>
      <c r="B29" s="34" t="s">
        <v>74</v>
      </c>
      <c r="C29" s="34" t="s">
        <v>53</v>
      </c>
      <c r="D29" s="34">
        <v>16</v>
      </c>
      <c r="E29" s="34">
        <v>322</v>
      </c>
      <c r="F29" s="34">
        <v>13</v>
      </c>
      <c r="G29" s="34">
        <v>335</v>
      </c>
      <c r="H29" s="34">
        <v>21</v>
      </c>
      <c r="I29" s="34">
        <v>356</v>
      </c>
      <c r="J29" s="34">
        <v>16</v>
      </c>
      <c r="K29" s="34">
        <v>372</v>
      </c>
      <c r="L29" s="34">
        <v>17</v>
      </c>
      <c r="M29" s="34">
        <v>389</v>
      </c>
      <c r="N29" s="34">
        <v>15</v>
      </c>
      <c r="O29" s="34">
        <v>404</v>
      </c>
      <c r="P29" s="34">
        <v>10</v>
      </c>
      <c r="Q29" s="34">
        <v>414</v>
      </c>
      <c r="R29" s="34">
        <v>10</v>
      </c>
      <c r="S29" s="34">
        <v>422</v>
      </c>
      <c r="T29" s="34">
        <v>8</v>
      </c>
      <c r="U29" s="34">
        <v>428</v>
      </c>
      <c r="V29" s="34">
        <v>6</v>
      </c>
      <c r="W29" s="34">
        <v>435</v>
      </c>
      <c r="X29" s="34">
        <v>7</v>
      </c>
      <c r="Y29" s="34">
        <v>442</v>
      </c>
      <c r="Z29" s="34">
        <v>7</v>
      </c>
      <c r="AA29" s="34">
        <v>452</v>
      </c>
      <c r="AB29" s="34">
        <v>10</v>
      </c>
      <c r="AC29" s="34">
        <v>10</v>
      </c>
      <c r="AD29" s="34">
        <v>0</v>
      </c>
      <c r="AE29" s="34">
        <v>0</v>
      </c>
      <c r="AG29" s="34">
        <v>3</v>
      </c>
      <c r="AH29" s="34">
        <v>20</v>
      </c>
      <c r="AI29" s="34">
        <v>33</v>
      </c>
    </row>
    <row r="30" spans="1:35" ht="15.75" customHeight="1">
      <c r="A30" s="34">
        <v>29</v>
      </c>
      <c r="B30" s="34" t="s">
        <v>71</v>
      </c>
      <c r="C30" s="34" t="s">
        <v>53</v>
      </c>
      <c r="D30" s="34">
        <v>17</v>
      </c>
      <c r="E30" s="34">
        <v>16</v>
      </c>
      <c r="F30" s="34">
        <v>0</v>
      </c>
      <c r="G30" s="34">
        <v>16</v>
      </c>
      <c r="H30" s="34">
        <v>0</v>
      </c>
      <c r="I30" s="34">
        <v>16</v>
      </c>
      <c r="J30" s="34">
        <v>2</v>
      </c>
      <c r="K30" s="34">
        <v>18</v>
      </c>
      <c r="L30" s="34">
        <v>3</v>
      </c>
      <c r="M30" s="34">
        <v>21</v>
      </c>
      <c r="N30" s="34">
        <v>1</v>
      </c>
      <c r="O30" s="34">
        <v>22</v>
      </c>
      <c r="P30" s="34">
        <v>0</v>
      </c>
      <c r="Q30" s="34">
        <v>22</v>
      </c>
      <c r="R30" s="34">
        <v>0</v>
      </c>
      <c r="S30" s="34">
        <v>23</v>
      </c>
      <c r="T30" s="34">
        <v>1</v>
      </c>
      <c r="U30" s="34">
        <v>23</v>
      </c>
      <c r="V30" s="34">
        <v>0</v>
      </c>
      <c r="W30" s="34">
        <v>23</v>
      </c>
      <c r="X30" s="34">
        <v>0</v>
      </c>
      <c r="Y30" s="34">
        <v>24</v>
      </c>
      <c r="Z30" s="34">
        <v>1</v>
      </c>
      <c r="AA30" s="34">
        <v>24</v>
      </c>
      <c r="AB30" s="34">
        <v>0</v>
      </c>
      <c r="AC30" s="34">
        <v>5</v>
      </c>
      <c r="AD30" s="34">
        <v>0</v>
      </c>
      <c r="AE30" s="34">
        <v>0</v>
      </c>
      <c r="AG30" s="34">
        <v>3</v>
      </c>
      <c r="AH30" s="34">
        <v>0</v>
      </c>
      <c r="AI30" s="34">
        <v>8</v>
      </c>
    </row>
    <row r="31" spans="1:35" ht="15.75" customHeight="1">
      <c r="A31" s="34">
        <v>30</v>
      </c>
      <c r="B31" s="34" t="s">
        <v>72</v>
      </c>
      <c r="C31" s="34" t="s">
        <v>53</v>
      </c>
      <c r="D31" s="34">
        <v>18</v>
      </c>
      <c r="E31" s="34">
        <v>632</v>
      </c>
      <c r="F31" s="34">
        <v>18</v>
      </c>
      <c r="G31" s="34">
        <v>650</v>
      </c>
      <c r="H31" s="34">
        <v>22</v>
      </c>
      <c r="I31" s="34">
        <v>672</v>
      </c>
      <c r="J31" s="34">
        <v>22</v>
      </c>
      <c r="K31" s="34">
        <v>694</v>
      </c>
      <c r="L31" s="34">
        <v>17</v>
      </c>
      <c r="M31" s="34">
        <v>711</v>
      </c>
      <c r="N31" s="34">
        <v>15</v>
      </c>
      <c r="O31" s="34">
        <v>726</v>
      </c>
      <c r="P31" s="34">
        <v>16</v>
      </c>
      <c r="Q31" s="34">
        <v>742</v>
      </c>
      <c r="R31" s="34">
        <v>16</v>
      </c>
      <c r="S31" s="34">
        <v>753</v>
      </c>
      <c r="T31" s="34">
        <v>11</v>
      </c>
      <c r="U31" s="34">
        <v>765</v>
      </c>
      <c r="V31" s="34">
        <v>12</v>
      </c>
      <c r="W31" s="34">
        <v>777</v>
      </c>
      <c r="X31" s="34">
        <v>12</v>
      </c>
      <c r="Y31" s="34">
        <v>790</v>
      </c>
      <c r="Z31" s="34">
        <v>13</v>
      </c>
      <c r="AA31" s="34">
        <v>803</v>
      </c>
      <c r="AB31" s="34">
        <v>13</v>
      </c>
      <c r="AC31" s="34">
        <v>13</v>
      </c>
      <c r="AD31" s="34">
        <v>0</v>
      </c>
      <c r="AE31" s="34">
        <v>0</v>
      </c>
      <c r="AG31" s="34">
        <v>3</v>
      </c>
      <c r="AH31" s="34">
        <v>0</v>
      </c>
      <c r="AI31" s="34">
        <v>16</v>
      </c>
    </row>
    <row r="32" spans="1:35" ht="15.75" customHeight="1">
      <c r="A32" s="34">
        <v>31</v>
      </c>
      <c r="B32" s="34" t="s">
        <v>2732</v>
      </c>
      <c r="C32" s="34" t="s">
        <v>53</v>
      </c>
      <c r="D32" s="34">
        <v>21</v>
      </c>
      <c r="E32" s="34">
        <v>0</v>
      </c>
      <c r="F32" s="34">
        <v>0</v>
      </c>
      <c r="G32" s="34">
        <v>0</v>
      </c>
      <c r="H32" s="34">
        <v>5</v>
      </c>
      <c r="I32" s="34">
        <v>5</v>
      </c>
      <c r="J32" s="34">
        <v>3</v>
      </c>
      <c r="K32" s="34">
        <v>3</v>
      </c>
      <c r="L32" s="34">
        <v>4</v>
      </c>
      <c r="M32" s="34">
        <v>7</v>
      </c>
      <c r="N32" s="34">
        <v>3</v>
      </c>
      <c r="O32" s="34">
        <v>10</v>
      </c>
      <c r="P32" s="34">
        <v>9</v>
      </c>
      <c r="Q32" s="34">
        <v>19</v>
      </c>
      <c r="R32" s="34">
        <v>9</v>
      </c>
      <c r="S32" s="34">
        <v>28</v>
      </c>
      <c r="T32" s="34">
        <v>9</v>
      </c>
      <c r="U32" s="34">
        <v>36</v>
      </c>
      <c r="V32" s="34">
        <v>8</v>
      </c>
      <c r="W32" s="34">
        <v>47</v>
      </c>
      <c r="X32" s="34">
        <v>11</v>
      </c>
      <c r="Y32" s="34">
        <v>60</v>
      </c>
      <c r="Z32" s="34">
        <v>13</v>
      </c>
      <c r="AA32" s="34">
        <v>72</v>
      </c>
      <c r="AB32" s="34">
        <v>12</v>
      </c>
      <c r="AC32" s="34">
        <v>12</v>
      </c>
      <c r="AD32" s="34">
        <v>0</v>
      </c>
      <c r="AE32" s="34">
        <v>0</v>
      </c>
      <c r="AG32" s="34">
        <v>3</v>
      </c>
      <c r="AH32" s="34">
        <v>0</v>
      </c>
      <c r="AI32" s="34">
        <v>15</v>
      </c>
    </row>
    <row r="33" spans="1:35" ht="15.75" customHeight="1">
      <c r="A33" s="34">
        <v>32</v>
      </c>
      <c r="B33" s="34" t="s">
        <v>77</v>
      </c>
      <c r="C33" s="34" t="s">
        <v>53</v>
      </c>
      <c r="D33" s="34">
        <v>29</v>
      </c>
      <c r="F33" s="34">
        <v>0</v>
      </c>
      <c r="H33" s="34">
        <v>0</v>
      </c>
      <c r="I33" s="34">
        <v>0</v>
      </c>
      <c r="J33" s="34">
        <v>19</v>
      </c>
      <c r="K33" s="34">
        <v>19</v>
      </c>
      <c r="L33" s="34">
        <v>9</v>
      </c>
      <c r="M33" s="34">
        <v>28</v>
      </c>
      <c r="N33" s="34">
        <v>4</v>
      </c>
      <c r="O33" s="34">
        <v>32</v>
      </c>
      <c r="P33" s="34">
        <v>5</v>
      </c>
      <c r="Q33" s="34">
        <v>37</v>
      </c>
      <c r="R33" s="34">
        <v>5</v>
      </c>
      <c r="S33" s="34">
        <v>45</v>
      </c>
      <c r="T33" s="34">
        <v>8</v>
      </c>
      <c r="U33" s="34">
        <v>52</v>
      </c>
      <c r="V33" s="34">
        <v>7</v>
      </c>
      <c r="W33" s="34">
        <v>66</v>
      </c>
      <c r="X33" s="34">
        <v>14</v>
      </c>
      <c r="Y33" s="34">
        <v>78</v>
      </c>
      <c r="Z33" s="34">
        <v>12</v>
      </c>
      <c r="AA33" s="34">
        <v>88</v>
      </c>
      <c r="AB33" s="34">
        <v>10</v>
      </c>
      <c r="AC33" s="34">
        <v>10</v>
      </c>
      <c r="AD33" s="34">
        <v>0</v>
      </c>
      <c r="AE33" s="34">
        <v>0</v>
      </c>
      <c r="AF33" s="34">
        <v>100</v>
      </c>
      <c r="AG33" s="34">
        <v>3</v>
      </c>
      <c r="AH33" s="34">
        <v>0</v>
      </c>
      <c r="AI33" s="34">
        <v>113</v>
      </c>
    </row>
    <row r="34" spans="1:35" ht="15.75" customHeight="1">
      <c r="A34" s="34">
        <v>33</v>
      </c>
      <c r="B34" s="34" t="s">
        <v>79</v>
      </c>
      <c r="C34" s="34" t="s">
        <v>80</v>
      </c>
      <c r="D34" s="34">
        <v>1</v>
      </c>
      <c r="E34" s="34">
        <v>1726</v>
      </c>
      <c r="F34" s="34">
        <v>16</v>
      </c>
      <c r="G34" s="34">
        <v>1742</v>
      </c>
      <c r="H34" s="34">
        <v>15</v>
      </c>
      <c r="I34" s="34">
        <v>1757</v>
      </c>
      <c r="J34" s="34">
        <v>13</v>
      </c>
      <c r="K34" s="34">
        <v>1770</v>
      </c>
      <c r="L34" s="34">
        <v>14</v>
      </c>
      <c r="M34" s="34">
        <v>1784</v>
      </c>
      <c r="N34" s="34">
        <v>13</v>
      </c>
      <c r="O34" s="34">
        <v>1797</v>
      </c>
      <c r="P34" s="34">
        <v>12</v>
      </c>
      <c r="Q34" s="34">
        <v>1809</v>
      </c>
      <c r="R34" s="34">
        <v>12</v>
      </c>
      <c r="S34" s="34">
        <v>1819</v>
      </c>
      <c r="T34" s="34">
        <v>10</v>
      </c>
      <c r="U34" s="34">
        <v>1831</v>
      </c>
      <c r="V34" s="34">
        <v>12</v>
      </c>
      <c r="W34" s="34">
        <v>1845</v>
      </c>
      <c r="X34" s="34">
        <v>14</v>
      </c>
      <c r="Y34" s="34">
        <v>1859</v>
      </c>
      <c r="Z34" s="34">
        <v>14</v>
      </c>
      <c r="AA34" s="34">
        <v>1873</v>
      </c>
      <c r="AB34" s="34">
        <v>14</v>
      </c>
      <c r="AC34" s="34">
        <v>14</v>
      </c>
      <c r="AD34" s="34">
        <v>0</v>
      </c>
      <c r="AE34" s="34">
        <v>0</v>
      </c>
      <c r="AG34" s="34">
        <v>3</v>
      </c>
      <c r="AH34" s="34">
        <v>20</v>
      </c>
      <c r="AI34" s="34">
        <v>37</v>
      </c>
    </row>
    <row r="35" spans="1:35" ht="15.75" customHeight="1">
      <c r="A35" s="34">
        <v>34</v>
      </c>
      <c r="B35" s="34" t="s">
        <v>81</v>
      </c>
      <c r="C35" s="34" t="s">
        <v>80</v>
      </c>
      <c r="D35" s="34">
        <v>2</v>
      </c>
      <c r="E35" s="34">
        <v>796</v>
      </c>
      <c r="F35" s="34">
        <v>5</v>
      </c>
      <c r="G35" s="34">
        <v>801</v>
      </c>
      <c r="H35" s="34">
        <v>17</v>
      </c>
      <c r="I35" s="34">
        <v>818</v>
      </c>
      <c r="J35" s="34">
        <v>2</v>
      </c>
      <c r="K35" s="34">
        <v>820</v>
      </c>
      <c r="L35" s="34">
        <v>2</v>
      </c>
      <c r="M35" s="34">
        <v>822</v>
      </c>
      <c r="N35" s="34">
        <v>1</v>
      </c>
      <c r="O35" s="34">
        <v>823</v>
      </c>
      <c r="P35" s="34">
        <v>2</v>
      </c>
      <c r="Q35" s="34">
        <v>825</v>
      </c>
      <c r="R35" s="34">
        <v>2</v>
      </c>
      <c r="S35" s="34">
        <v>826</v>
      </c>
      <c r="T35" s="34">
        <v>1</v>
      </c>
      <c r="U35" s="34">
        <v>827</v>
      </c>
      <c r="V35" s="34">
        <v>1</v>
      </c>
      <c r="W35" s="34">
        <v>829</v>
      </c>
      <c r="X35" s="34">
        <v>2</v>
      </c>
      <c r="Y35" s="34">
        <v>830</v>
      </c>
      <c r="Z35" s="34">
        <v>1</v>
      </c>
      <c r="AA35" s="34">
        <v>833</v>
      </c>
      <c r="AB35" s="34">
        <v>3</v>
      </c>
      <c r="AC35" s="34">
        <v>5</v>
      </c>
      <c r="AD35" s="34">
        <v>0</v>
      </c>
      <c r="AE35" s="34">
        <v>0</v>
      </c>
      <c r="AG35" s="34">
        <v>3</v>
      </c>
      <c r="AH35" s="34">
        <v>0</v>
      </c>
      <c r="AI35" s="34">
        <v>8</v>
      </c>
    </row>
    <row r="36" spans="1:35" ht="15.75" customHeight="1">
      <c r="A36" s="34">
        <v>35</v>
      </c>
      <c r="B36" s="34" t="s">
        <v>82</v>
      </c>
      <c r="C36" s="34" t="s">
        <v>80</v>
      </c>
      <c r="D36" s="34">
        <v>4</v>
      </c>
      <c r="E36" s="34">
        <v>2918</v>
      </c>
      <c r="F36" s="34">
        <v>20</v>
      </c>
      <c r="G36" s="34">
        <v>2938</v>
      </c>
      <c r="H36" s="34">
        <v>32</v>
      </c>
      <c r="I36" s="34">
        <v>2970</v>
      </c>
      <c r="J36" s="34">
        <v>30</v>
      </c>
      <c r="K36" s="34">
        <v>3000</v>
      </c>
      <c r="L36" s="34">
        <v>29</v>
      </c>
      <c r="M36" s="34">
        <v>3029</v>
      </c>
      <c r="N36" s="34">
        <v>22</v>
      </c>
      <c r="O36" s="34">
        <v>3051</v>
      </c>
      <c r="P36" s="34">
        <v>15</v>
      </c>
      <c r="Q36" s="34">
        <v>3066</v>
      </c>
      <c r="R36" s="34">
        <v>15</v>
      </c>
      <c r="S36" s="34">
        <v>3085</v>
      </c>
      <c r="T36" s="34">
        <v>19</v>
      </c>
      <c r="U36" s="34">
        <v>3106</v>
      </c>
      <c r="V36" s="34">
        <v>21</v>
      </c>
      <c r="W36" s="34">
        <v>3122</v>
      </c>
      <c r="X36" s="34">
        <v>16</v>
      </c>
      <c r="Y36" s="34">
        <v>3150</v>
      </c>
      <c r="Z36" s="34">
        <v>28</v>
      </c>
      <c r="AA36" s="34">
        <v>3175</v>
      </c>
      <c r="AB36" s="34">
        <v>25</v>
      </c>
      <c r="AC36" s="34">
        <v>25</v>
      </c>
      <c r="AD36" s="34">
        <v>0</v>
      </c>
      <c r="AE36" s="34">
        <v>0</v>
      </c>
      <c r="AG36" s="34">
        <v>3</v>
      </c>
      <c r="AH36" s="34">
        <v>0</v>
      </c>
      <c r="AI36" s="34">
        <v>28</v>
      </c>
    </row>
    <row r="37" spans="1:35" ht="15.75" customHeight="1">
      <c r="A37" s="34">
        <v>36</v>
      </c>
      <c r="B37" s="34" t="s">
        <v>2733</v>
      </c>
      <c r="C37" s="34" t="s">
        <v>80</v>
      </c>
      <c r="D37" s="34">
        <v>5</v>
      </c>
      <c r="E37" s="34">
        <v>3725</v>
      </c>
      <c r="F37" s="34">
        <v>22</v>
      </c>
      <c r="G37" s="34">
        <v>3747</v>
      </c>
      <c r="H37" s="34">
        <v>21</v>
      </c>
      <c r="I37" s="34">
        <v>3768</v>
      </c>
      <c r="J37" s="34">
        <v>19</v>
      </c>
      <c r="K37" s="34">
        <v>3787</v>
      </c>
      <c r="L37" s="34">
        <v>19</v>
      </c>
      <c r="M37" s="34">
        <v>3806</v>
      </c>
      <c r="N37" s="34">
        <v>18</v>
      </c>
      <c r="O37" s="34">
        <v>3824</v>
      </c>
      <c r="P37" s="34">
        <v>11</v>
      </c>
      <c r="Q37" s="34">
        <v>3835</v>
      </c>
      <c r="R37" s="34">
        <v>11</v>
      </c>
      <c r="S37" s="34">
        <v>3845</v>
      </c>
      <c r="T37" s="34">
        <v>10</v>
      </c>
      <c r="U37" s="34">
        <v>3859</v>
      </c>
      <c r="V37" s="34">
        <v>14</v>
      </c>
      <c r="W37" s="34">
        <v>3869</v>
      </c>
      <c r="X37" s="34">
        <v>10</v>
      </c>
      <c r="Y37" s="34">
        <v>3884</v>
      </c>
      <c r="Z37" s="34">
        <v>15</v>
      </c>
      <c r="AA37" s="34">
        <v>3899</v>
      </c>
      <c r="AB37" s="34">
        <v>15</v>
      </c>
      <c r="AC37" s="34">
        <v>15</v>
      </c>
      <c r="AD37" s="34">
        <v>0</v>
      </c>
      <c r="AE37" s="34">
        <v>0</v>
      </c>
      <c r="AG37" s="34">
        <v>3</v>
      </c>
      <c r="AH37" s="34">
        <v>0</v>
      </c>
      <c r="AI37" s="34">
        <v>18</v>
      </c>
    </row>
    <row r="38" spans="1:35" ht="15.75" customHeight="1">
      <c r="A38" s="34">
        <v>37</v>
      </c>
      <c r="B38" s="34" t="s">
        <v>84</v>
      </c>
      <c r="C38" s="34" t="s">
        <v>80</v>
      </c>
      <c r="D38" s="34">
        <v>6</v>
      </c>
      <c r="E38" s="34">
        <v>150</v>
      </c>
      <c r="F38" s="34">
        <v>22</v>
      </c>
      <c r="G38" s="34">
        <v>172</v>
      </c>
      <c r="H38" s="34">
        <v>23</v>
      </c>
      <c r="I38" s="34">
        <v>195</v>
      </c>
      <c r="J38" s="34">
        <v>19</v>
      </c>
      <c r="K38" s="34">
        <v>214</v>
      </c>
      <c r="L38" s="34">
        <v>15</v>
      </c>
      <c r="M38" s="34">
        <v>229</v>
      </c>
      <c r="N38" s="34">
        <v>16</v>
      </c>
      <c r="O38" s="34">
        <v>245</v>
      </c>
      <c r="P38" s="34">
        <v>21</v>
      </c>
      <c r="Q38" s="34">
        <v>266</v>
      </c>
      <c r="R38" s="34">
        <v>21</v>
      </c>
      <c r="S38" s="34">
        <v>283</v>
      </c>
      <c r="T38" s="34">
        <v>17</v>
      </c>
      <c r="U38" s="34">
        <v>299</v>
      </c>
      <c r="V38" s="34">
        <v>16</v>
      </c>
      <c r="W38" s="34">
        <v>324</v>
      </c>
      <c r="X38" s="34">
        <v>25</v>
      </c>
      <c r="Y38" s="34">
        <v>350</v>
      </c>
      <c r="Z38" s="34">
        <v>26</v>
      </c>
      <c r="AA38" s="34">
        <v>370</v>
      </c>
      <c r="AB38" s="34">
        <v>20</v>
      </c>
      <c r="AC38" s="34">
        <v>20</v>
      </c>
      <c r="AD38" s="34">
        <v>0</v>
      </c>
      <c r="AE38" s="34">
        <v>0</v>
      </c>
      <c r="AG38" s="34">
        <v>3</v>
      </c>
      <c r="AH38" s="34">
        <v>40</v>
      </c>
      <c r="AI38" s="34">
        <v>63</v>
      </c>
    </row>
    <row r="39" spans="1:35" ht="15.75" customHeight="1">
      <c r="A39" s="34">
        <v>38</v>
      </c>
      <c r="B39" s="34" t="s">
        <v>85</v>
      </c>
      <c r="C39" s="34" t="s">
        <v>80</v>
      </c>
      <c r="D39" s="34">
        <v>7</v>
      </c>
      <c r="E39" s="34">
        <v>2096</v>
      </c>
      <c r="F39" s="34">
        <v>43</v>
      </c>
      <c r="G39" s="34">
        <v>2139</v>
      </c>
      <c r="H39" s="34">
        <v>27</v>
      </c>
      <c r="I39" s="34">
        <v>2166</v>
      </c>
      <c r="J39" s="34">
        <v>20</v>
      </c>
      <c r="K39" s="34">
        <v>2186</v>
      </c>
      <c r="L39" s="34">
        <v>15</v>
      </c>
      <c r="M39" s="34">
        <v>2201</v>
      </c>
      <c r="N39" s="34">
        <v>14</v>
      </c>
      <c r="O39" s="34">
        <v>2215</v>
      </c>
      <c r="P39" s="34">
        <v>11</v>
      </c>
      <c r="Q39" s="34">
        <v>2226</v>
      </c>
      <c r="R39" s="34">
        <v>11</v>
      </c>
      <c r="S39" s="34">
        <v>2236</v>
      </c>
      <c r="T39" s="34">
        <v>10</v>
      </c>
      <c r="U39" s="34">
        <v>2246</v>
      </c>
      <c r="V39" s="34">
        <v>10</v>
      </c>
      <c r="W39" s="34">
        <v>2260</v>
      </c>
      <c r="X39" s="34">
        <v>14</v>
      </c>
      <c r="Y39" s="34">
        <v>2276</v>
      </c>
      <c r="Z39" s="34">
        <v>16</v>
      </c>
      <c r="AA39" s="34">
        <v>2288</v>
      </c>
      <c r="AB39" s="34">
        <v>12</v>
      </c>
      <c r="AC39" s="34">
        <v>12</v>
      </c>
      <c r="AD39" s="34">
        <v>0</v>
      </c>
      <c r="AE39" s="34">
        <v>0</v>
      </c>
      <c r="AG39" s="34">
        <v>3</v>
      </c>
      <c r="AH39" s="34">
        <v>40</v>
      </c>
      <c r="AI39" s="34">
        <v>55</v>
      </c>
    </row>
    <row r="40" spans="1:35" ht="15.75" customHeight="1">
      <c r="A40" s="34">
        <v>39</v>
      </c>
      <c r="B40" s="34" t="s">
        <v>86</v>
      </c>
      <c r="C40" s="34" t="s">
        <v>80</v>
      </c>
      <c r="D40" s="34">
        <v>8</v>
      </c>
      <c r="E40" s="34">
        <v>156</v>
      </c>
      <c r="F40" s="34">
        <v>0</v>
      </c>
      <c r="G40" s="34">
        <v>156</v>
      </c>
      <c r="H40" s="34">
        <v>1</v>
      </c>
      <c r="I40" s="34">
        <v>157</v>
      </c>
      <c r="J40" s="34">
        <v>0</v>
      </c>
      <c r="K40" s="34">
        <v>157</v>
      </c>
      <c r="L40" s="34">
        <v>0</v>
      </c>
      <c r="M40" s="34">
        <v>157</v>
      </c>
      <c r="N40" s="34">
        <v>1</v>
      </c>
      <c r="O40" s="34">
        <v>158</v>
      </c>
      <c r="P40" s="34">
        <v>4</v>
      </c>
      <c r="Q40" s="34">
        <v>162</v>
      </c>
      <c r="R40" s="34">
        <v>4</v>
      </c>
      <c r="S40" s="34">
        <v>167</v>
      </c>
      <c r="T40" s="34">
        <v>5</v>
      </c>
      <c r="U40" s="34">
        <v>170</v>
      </c>
      <c r="V40" s="34">
        <v>3</v>
      </c>
      <c r="W40" s="34">
        <v>175</v>
      </c>
      <c r="X40" s="34">
        <v>5</v>
      </c>
      <c r="Y40" s="34">
        <v>179</v>
      </c>
      <c r="Z40" s="34">
        <v>4</v>
      </c>
      <c r="AA40" s="34">
        <v>184</v>
      </c>
      <c r="AB40" s="34">
        <v>5</v>
      </c>
      <c r="AC40" s="34">
        <v>5</v>
      </c>
      <c r="AD40" s="34">
        <v>8</v>
      </c>
      <c r="AE40" s="34">
        <v>0</v>
      </c>
      <c r="AG40" s="34">
        <v>3</v>
      </c>
      <c r="AH40" s="34">
        <v>20</v>
      </c>
      <c r="AI40" s="34">
        <v>36</v>
      </c>
    </row>
    <row r="41" spans="1:35" ht="15.75" customHeight="1">
      <c r="A41" s="34">
        <v>40</v>
      </c>
      <c r="B41" s="34" t="s">
        <v>87</v>
      </c>
      <c r="C41" s="34" t="s">
        <v>80</v>
      </c>
      <c r="D41" s="34" t="s">
        <v>2734</v>
      </c>
      <c r="E41" s="34">
        <v>509</v>
      </c>
      <c r="F41" s="34">
        <v>16</v>
      </c>
      <c r="G41" s="34">
        <v>525</v>
      </c>
      <c r="H41" s="34">
        <v>22</v>
      </c>
      <c r="I41" s="34">
        <v>547</v>
      </c>
      <c r="J41" s="34">
        <v>16</v>
      </c>
      <c r="K41" s="34">
        <v>563</v>
      </c>
      <c r="L41" s="34">
        <v>15</v>
      </c>
      <c r="M41" s="34">
        <v>578</v>
      </c>
      <c r="N41" s="34">
        <v>14</v>
      </c>
      <c r="O41" s="34">
        <v>592</v>
      </c>
      <c r="P41" s="34">
        <v>14</v>
      </c>
      <c r="Q41" s="34">
        <v>606</v>
      </c>
      <c r="R41" s="34">
        <v>14</v>
      </c>
      <c r="S41" s="34">
        <v>618</v>
      </c>
      <c r="T41" s="34">
        <v>12</v>
      </c>
      <c r="U41" s="34">
        <v>631</v>
      </c>
      <c r="V41" s="34">
        <v>13</v>
      </c>
      <c r="W41" s="34">
        <v>645</v>
      </c>
      <c r="X41" s="34">
        <v>14</v>
      </c>
      <c r="Y41" s="34">
        <v>668</v>
      </c>
      <c r="Z41" s="34">
        <v>23</v>
      </c>
      <c r="AA41" s="34">
        <v>689</v>
      </c>
      <c r="AB41" s="34">
        <v>21</v>
      </c>
      <c r="AC41" s="34">
        <v>21</v>
      </c>
      <c r="AD41" s="34">
        <v>0</v>
      </c>
      <c r="AE41" s="34">
        <v>0</v>
      </c>
      <c r="AG41" s="34">
        <v>3</v>
      </c>
      <c r="AH41" s="34">
        <v>0</v>
      </c>
      <c r="AI41" s="34">
        <v>24</v>
      </c>
    </row>
    <row r="42" spans="1:35" ht="15.75" customHeight="1">
      <c r="A42" s="34">
        <v>41</v>
      </c>
      <c r="B42" s="34" t="s">
        <v>89</v>
      </c>
      <c r="C42" s="34" t="s">
        <v>80</v>
      </c>
      <c r="D42" s="34">
        <v>9</v>
      </c>
      <c r="E42" s="34">
        <v>2002</v>
      </c>
      <c r="F42" s="34">
        <v>5</v>
      </c>
      <c r="G42" s="34">
        <v>2007</v>
      </c>
      <c r="H42" s="34">
        <v>3</v>
      </c>
      <c r="I42" s="34">
        <v>2010</v>
      </c>
      <c r="J42" s="34">
        <v>29</v>
      </c>
      <c r="K42" s="34">
        <v>2039</v>
      </c>
      <c r="L42" s="34">
        <v>6</v>
      </c>
      <c r="M42" s="34">
        <v>2045</v>
      </c>
      <c r="N42" s="34">
        <v>4</v>
      </c>
      <c r="O42" s="34">
        <v>2049</v>
      </c>
      <c r="P42" s="34">
        <v>1</v>
      </c>
      <c r="Q42" s="34">
        <v>2050</v>
      </c>
      <c r="R42" s="34">
        <v>1</v>
      </c>
      <c r="S42" s="34">
        <v>2050</v>
      </c>
      <c r="T42" s="34">
        <v>0</v>
      </c>
      <c r="U42" s="34">
        <v>2050</v>
      </c>
      <c r="V42" s="34">
        <v>0</v>
      </c>
      <c r="W42" s="34">
        <v>2060</v>
      </c>
      <c r="X42" s="34">
        <v>10</v>
      </c>
      <c r="Y42" s="34">
        <v>2062</v>
      </c>
      <c r="Z42" s="34">
        <v>2</v>
      </c>
      <c r="AA42" s="34">
        <v>2064</v>
      </c>
      <c r="AB42" s="34">
        <v>2</v>
      </c>
      <c r="AC42" s="34">
        <v>5</v>
      </c>
      <c r="AD42" s="34">
        <v>0</v>
      </c>
      <c r="AE42" s="34">
        <v>0</v>
      </c>
      <c r="AG42" s="34">
        <v>3</v>
      </c>
      <c r="AH42" s="34">
        <v>0</v>
      </c>
      <c r="AI42" s="34">
        <v>8</v>
      </c>
    </row>
    <row r="43" spans="1:35" ht="15.75" customHeight="1">
      <c r="A43" s="34">
        <v>42</v>
      </c>
      <c r="B43" s="34" t="s">
        <v>90</v>
      </c>
      <c r="C43" s="34" t="s">
        <v>80</v>
      </c>
      <c r="D43" s="34" t="s">
        <v>2735</v>
      </c>
      <c r="E43" s="34">
        <v>306</v>
      </c>
      <c r="F43" s="34">
        <v>7</v>
      </c>
      <c r="G43" s="34">
        <v>313</v>
      </c>
      <c r="H43" s="34">
        <v>9</v>
      </c>
      <c r="I43" s="34">
        <v>322</v>
      </c>
      <c r="J43" s="34">
        <v>7</v>
      </c>
      <c r="K43" s="34">
        <v>329</v>
      </c>
      <c r="L43" s="34">
        <v>9</v>
      </c>
      <c r="M43" s="34">
        <v>338</v>
      </c>
      <c r="N43" s="34">
        <v>6</v>
      </c>
      <c r="O43" s="34">
        <v>344</v>
      </c>
      <c r="P43" s="34">
        <v>6</v>
      </c>
      <c r="Q43" s="34">
        <v>350</v>
      </c>
      <c r="R43" s="34">
        <v>6</v>
      </c>
      <c r="S43" s="34">
        <v>355</v>
      </c>
      <c r="T43" s="34">
        <v>5</v>
      </c>
      <c r="U43" s="34">
        <v>361</v>
      </c>
      <c r="V43" s="34">
        <v>6</v>
      </c>
      <c r="W43" s="34">
        <v>365</v>
      </c>
      <c r="X43" s="34">
        <v>4</v>
      </c>
      <c r="Y43" s="34">
        <v>373</v>
      </c>
      <c r="Z43" s="34">
        <v>8</v>
      </c>
      <c r="AA43" s="34">
        <v>381</v>
      </c>
      <c r="AB43" s="34">
        <v>8</v>
      </c>
      <c r="AC43" s="34">
        <v>8</v>
      </c>
      <c r="AD43" s="34">
        <v>0</v>
      </c>
      <c r="AE43" s="34">
        <v>0</v>
      </c>
      <c r="AG43" s="34">
        <v>3</v>
      </c>
      <c r="AH43" s="34">
        <v>0</v>
      </c>
      <c r="AI43" s="34">
        <v>11</v>
      </c>
    </row>
    <row r="44" spans="1:35" ht="15.75" customHeight="1">
      <c r="A44" s="34">
        <v>43</v>
      </c>
      <c r="B44" s="34" t="s">
        <v>92</v>
      </c>
      <c r="C44" s="34" t="s">
        <v>80</v>
      </c>
      <c r="D44" s="34">
        <v>11</v>
      </c>
      <c r="E44" s="34">
        <v>325</v>
      </c>
      <c r="F44" s="34">
        <v>16</v>
      </c>
      <c r="G44" s="34">
        <v>341</v>
      </c>
      <c r="H44" s="34">
        <v>23</v>
      </c>
      <c r="I44" s="34">
        <v>364</v>
      </c>
      <c r="J44" s="34">
        <v>21</v>
      </c>
      <c r="K44" s="34">
        <v>385</v>
      </c>
      <c r="L44" s="34">
        <v>24</v>
      </c>
      <c r="M44" s="34">
        <v>409</v>
      </c>
      <c r="N44" s="34">
        <v>22</v>
      </c>
      <c r="O44" s="34">
        <v>431</v>
      </c>
      <c r="P44" s="34">
        <v>19</v>
      </c>
      <c r="Q44" s="34">
        <v>450</v>
      </c>
      <c r="R44" s="34">
        <v>19</v>
      </c>
      <c r="S44" s="34">
        <v>472</v>
      </c>
      <c r="T44" s="34">
        <v>22</v>
      </c>
      <c r="U44" s="34">
        <v>496</v>
      </c>
      <c r="V44" s="34">
        <v>24</v>
      </c>
      <c r="W44" s="34">
        <v>510</v>
      </c>
      <c r="X44" s="34">
        <v>14</v>
      </c>
      <c r="Y44" s="34">
        <v>526</v>
      </c>
      <c r="Z44" s="34">
        <v>16</v>
      </c>
      <c r="AA44" s="34">
        <v>552</v>
      </c>
      <c r="AB44" s="34">
        <v>26</v>
      </c>
      <c r="AC44" s="34">
        <v>26</v>
      </c>
      <c r="AD44" s="34">
        <v>0</v>
      </c>
      <c r="AE44" s="34">
        <v>0</v>
      </c>
      <c r="AG44" s="34">
        <v>3</v>
      </c>
      <c r="AH44" s="34">
        <v>0</v>
      </c>
      <c r="AI44" s="34">
        <v>29</v>
      </c>
    </row>
    <row r="45" spans="1:35" ht="15.75" customHeight="1">
      <c r="A45" s="34">
        <v>44</v>
      </c>
      <c r="B45" s="34" t="s">
        <v>93</v>
      </c>
      <c r="C45" s="34" t="s">
        <v>80</v>
      </c>
      <c r="D45" s="34">
        <v>12</v>
      </c>
      <c r="E45" s="34">
        <v>1348</v>
      </c>
      <c r="F45" s="34">
        <v>16</v>
      </c>
      <c r="G45" s="34">
        <v>1364</v>
      </c>
      <c r="H45" s="34">
        <v>11</v>
      </c>
      <c r="I45" s="34">
        <v>1375</v>
      </c>
      <c r="J45" s="34">
        <v>18</v>
      </c>
      <c r="K45" s="34">
        <v>1393</v>
      </c>
      <c r="L45" s="34">
        <v>14</v>
      </c>
      <c r="M45" s="34">
        <v>1407</v>
      </c>
      <c r="N45" s="34">
        <v>12</v>
      </c>
      <c r="O45" s="34">
        <v>1419</v>
      </c>
      <c r="P45" s="34">
        <v>12</v>
      </c>
      <c r="Q45" s="34">
        <v>1431</v>
      </c>
      <c r="R45" s="34">
        <v>12</v>
      </c>
      <c r="S45" s="34">
        <v>1440</v>
      </c>
      <c r="T45" s="34">
        <v>9</v>
      </c>
      <c r="U45" s="34">
        <v>1454</v>
      </c>
      <c r="V45" s="34">
        <v>14</v>
      </c>
      <c r="W45" s="34">
        <v>1462</v>
      </c>
      <c r="X45" s="34">
        <v>8</v>
      </c>
      <c r="Y45" s="34">
        <v>1471</v>
      </c>
      <c r="Z45" s="34">
        <v>9</v>
      </c>
      <c r="AA45" s="34">
        <v>1483</v>
      </c>
      <c r="AB45" s="34">
        <v>12</v>
      </c>
      <c r="AC45" s="34">
        <v>12</v>
      </c>
      <c r="AD45" s="34">
        <v>0</v>
      </c>
      <c r="AE45" s="34">
        <v>0</v>
      </c>
      <c r="AG45" s="34">
        <v>3</v>
      </c>
      <c r="AH45" s="34">
        <v>0</v>
      </c>
      <c r="AI45" s="34">
        <v>15</v>
      </c>
    </row>
    <row r="46" spans="1:35" ht="15.75" customHeight="1">
      <c r="A46" s="34">
        <v>45</v>
      </c>
      <c r="B46" s="34" t="s">
        <v>94</v>
      </c>
      <c r="C46" s="34" t="s">
        <v>80</v>
      </c>
      <c r="D46" s="34">
        <v>13</v>
      </c>
      <c r="E46" s="34">
        <v>1924</v>
      </c>
      <c r="F46" s="34">
        <v>9</v>
      </c>
      <c r="G46" s="34">
        <v>1933</v>
      </c>
      <c r="H46" s="34">
        <v>9</v>
      </c>
      <c r="I46" s="34">
        <v>1942</v>
      </c>
      <c r="J46" s="34">
        <v>7</v>
      </c>
      <c r="K46" s="34">
        <v>1949</v>
      </c>
      <c r="L46" s="34">
        <v>7</v>
      </c>
      <c r="M46" s="34">
        <v>1956</v>
      </c>
      <c r="N46" s="34">
        <v>11</v>
      </c>
      <c r="O46" s="34">
        <v>1967</v>
      </c>
      <c r="P46" s="34">
        <v>6</v>
      </c>
      <c r="Q46" s="34">
        <v>1973</v>
      </c>
      <c r="R46" s="34">
        <v>6</v>
      </c>
      <c r="S46" s="34">
        <v>1988</v>
      </c>
      <c r="T46" s="34">
        <v>15</v>
      </c>
      <c r="U46" s="34">
        <v>1993</v>
      </c>
      <c r="V46" s="34">
        <v>5</v>
      </c>
      <c r="W46" s="34">
        <v>2002</v>
      </c>
      <c r="X46" s="34">
        <v>9</v>
      </c>
      <c r="Y46" s="34">
        <v>2007</v>
      </c>
      <c r="Z46" s="34">
        <v>5</v>
      </c>
      <c r="AA46" s="34">
        <v>2012</v>
      </c>
      <c r="AB46" s="34">
        <v>5</v>
      </c>
      <c r="AC46" s="34">
        <v>5</v>
      </c>
      <c r="AD46" s="34">
        <v>0</v>
      </c>
      <c r="AE46" s="34">
        <v>0</v>
      </c>
      <c r="AG46" s="34">
        <v>3</v>
      </c>
      <c r="AH46" s="34">
        <v>0</v>
      </c>
      <c r="AI46" s="34">
        <v>8</v>
      </c>
    </row>
    <row r="47" spans="1:35" ht="15.75" customHeight="1">
      <c r="A47" s="34">
        <v>46</v>
      </c>
      <c r="B47" s="34" t="s">
        <v>95</v>
      </c>
      <c r="C47" s="34" t="s">
        <v>80</v>
      </c>
      <c r="D47" s="34">
        <v>14</v>
      </c>
      <c r="E47" s="34">
        <v>648</v>
      </c>
      <c r="F47" s="34">
        <v>7</v>
      </c>
      <c r="G47" s="34">
        <v>655</v>
      </c>
      <c r="H47" s="34">
        <v>5</v>
      </c>
      <c r="I47" s="34">
        <v>660</v>
      </c>
      <c r="J47" s="34">
        <v>11</v>
      </c>
      <c r="K47" s="34">
        <v>671</v>
      </c>
      <c r="L47" s="34">
        <v>8</v>
      </c>
      <c r="M47" s="34">
        <v>679</v>
      </c>
      <c r="N47" s="34">
        <v>7</v>
      </c>
      <c r="O47" s="34">
        <v>686</v>
      </c>
      <c r="P47" s="34">
        <v>5</v>
      </c>
      <c r="Q47" s="34">
        <v>691</v>
      </c>
      <c r="R47" s="34">
        <v>5</v>
      </c>
      <c r="S47" s="34">
        <v>696</v>
      </c>
      <c r="T47" s="34">
        <v>5</v>
      </c>
      <c r="U47" s="34">
        <v>699</v>
      </c>
      <c r="V47" s="34">
        <v>5</v>
      </c>
      <c r="W47" s="34">
        <v>702</v>
      </c>
      <c r="X47" s="34">
        <v>3</v>
      </c>
      <c r="Y47" s="34">
        <v>708</v>
      </c>
      <c r="Z47" s="34">
        <v>6</v>
      </c>
      <c r="AA47" s="34">
        <v>714</v>
      </c>
      <c r="AB47" s="34">
        <v>6</v>
      </c>
      <c r="AC47" s="34">
        <v>6</v>
      </c>
      <c r="AD47" s="34">
        <v>0</v>
      </c>
      <c r="AE47" s="34">
        <v>0</v>
      </c>
      <c r="AG47" s="34">
        <v>3</v>
      </c>
      <c r="AH47" s="34">
        <v>0</v>
      </c>
      <c r="AI47" s="34">
        <v>9</v>
      </c>
    </row>
    <row r="48" spans="1:35" ht="15.75" customHeight="1">
      <c r="A48" s="34">
        <v>47</v>
      </c>
      <c r="B48" s="34" t="s">
        <v>97</v>
      </c>
      <c r="C48" s="34" t="s">
        <v>80</v>
      </c>
      <c r="D48" s="34">
        <v>15</v>
      </c>
      <c r="E48" s="34">
        <v>1994</v>
      </c>
      <c r="F48" s="34">
        <v>6</v>
      </c>
      <c r="G48" s="34">
        <v>2000</v>
      </c>
      <c r="H48" s="34">
        <v>-5</v>
      </c>
      <c r="I48" s="34">
        <v>1995</v>
      </c>
      <c r="J48" s="34">
        <v>0</v>
      </c>
      <c r="K48" s="34">
        <v>0</v>
      </c>
      <c r="L48" s="34">
        <v>15</v>
      </c>
      <c r="M48" s="34">
        <v>15</v>
      </c>
      <c r="N48" s="34">
        <v>11</v>
      </c>
      <c r="O48" s="34">
        <v>26</v>
      </c>
      <c r="P48" s="34">
        <v>7</v>
      </c>
      <c r="Q48" s="34">
        <v>33</v>
      </c>
      <c r="R48" s="34">
        <v>7</v>
      </c>
      <c r="S48" s="34">
        <v>39</v>
      </c>
      <c r="T48" s="34">
        <v>6</v>
      </c>
      <c r="U48" s="34">
        <v>45</v>
      </c>
      <c r="V48" s="34">
        <v>6</v>
      </c>
      <c r="W48" s="34">
        <v>50</v>
      </c>
      <c r="X48" s="34">
        <v>5</v>
      </c>
      <c r="Y48" s="34">
        <v>53</v>
      </c>
      <c r="Z48" s="34">
        <v>3</v>
      </c>
      <c r="AA48" s="34">
        <v>56</v>
      </c>
      <c r="AB48" s="34">
        <v>3</v>
      </c>
      <c r="AC48" s="34">
        <v>5</v>
      </c>
      <c r="AD48" s="34">
        <v>0</v>
      </c>
      <c r="AE48" s="34">
        <v>0</v>
      </c>
      <c r="AG48" s="34">
        <v>3</v>
      </c>
      <c r="AH48" s="34">
        <v>0</v>
      </c>
      <c r="AI48" s="34">
        <v>8</v>
      </c>
    </row>
    <row r="49" spans="1:35" ht="15.75" customHeight="1">
      <c r="A49" s="34">
        <v>48</v>
      </c>
      <c r="B49" s="34" t="s">
        <v>98</v>
      </c>
      <c r="C49" s="34" t="s">
        <v>80</v>
      </c>
      <c r="D49" s="34">
        <v>16</v>
      </c>
      <c r="E49" s="34">
        <v>1692</v>
      </c>
      <c r="F49" s="34">
        <v>9</v>
      </c>
      <c r="G49" s="34">
        <v>1701</v>
      </c>
      <c r="H49" s="34">
        <v>14</v>
      </c>
      <c r="I49" s="34">
        <v>1715</v>
      </c>
      <c r="J49" s="34">
        <v>5</v>
      </c>
      <c r="K49" s="34">
        <v>1720</v>
      </c>
      <c r="L49" s="34">
        <v>5</v>
      </c>
      <c r="M49" s="34">
        <v>1725</v>
      </c>
      <c r="N49" s="34">
        <v>5</v>
      </c>
      <c r="O49" s="34">
        <v>1730</v>
      </c>
      <c r="P49" s="34">
        <v>3</v>
      </c>
      <c r="Q49" s="34">
        <v>1733</v>
      </c>
      <c r="R49" s="34">
        <v>3</v>
      </c>
      <c r="S49" s="34">
        <v>1736</v>
      </c>
      <c r="T49" s="34">
        <v>3</v>
      </c>
      <c r="U49" s="34">
        <v>1744</v>
      </c>
      <c r="V49" s="34">
        <v>8</v>
      </c>
      <c r="W49" s="34">
        <v>1750</v>
      </c>
      <c r="X49" s="34">
        <v>6</v>
      </c>
      <c r="Y49" s="34">
        <v>1757</v>
      </c>
      <c r="Z49" s="34">
        <v>7</v>
      </c>
      <c r="AA49" s="34">
        <v>1763</v>
      </c>
      <c r="AB49" s="34">
        <v>6</v>
      </c>
      <c r="AC49" s="34">
        <v>6</v>
      </c>
      <c r="AD49" s="34">
        <v>10</v>
      </c>
      <c r="AE49" s="34">
        <v>0</v>
      </c>
      <c r="AG49" s="34">
        <v>3</v>
      </c>
      <c r="AH49" s="34">
        <v>0</v>
      </c>
      <c r="AI49" s="34">
        <v>19</v>
      </c>
    </row>
    <row r="50" spans="1:35" ht="15.75" customHeight="1">
      <c r="A50" s="34">
        <v>49</v>
      </c>
      <c r="B50" s="34" t="s">
        <v>100</v>
      </c>
      <c r="C50" s="34" t="s">
        <v>80</v>
      </c>
      <c r="D50" s="34">
        <v>18</v>
      </c>
      <c r="E50" s="34">
        <v>263</v>
      </c>
      <c r="F50" s="34">
        <v>7</v>
      </c>
      <c r="G50" s="34">
        <v>270</v>
      </c>
      <c r="H50" s="34">
        <v>12</v>
      </c>
      <c r="I50" s="34">
        <v>282</v>
      </c>
      <c r="J50" s="34">
        <v>5</v>
      </c>
      <c r="K50" s="34">
        <v>287</v>
      </c>
      <c r="L50" s="34">
        <v>7</v>
      </c>
      <c r="M50" s="34">
        <v>294</v>
      </c>
      <c r="N50" s="34">
        <v>5</v>
      </c>
      <c r="O50" s="34">
        <v>299</v>
      </c>
      <c r="P50" s="34">
        <v>4</v>
      </c>
      <c r="Q50" s="34">
        <v>303</v>
      </c>
      <c r="R50" s="34">
        <v>4</v>
      </c>
      <c r="S50" s="34">
        <v>308</v>
      </c>
      <c r="T50" s="34">
        <v>5</v>
      </c>
      <c r="U50" s="34">
        <v>309</v>
      </c>
      <c r="V50" s="34">
        <v>1</v>
      </c>
      <c r="W50" s="34">
        <v>313</v>
      </c>
      <c r="X50" s="34">
        <v>4</v>
      </c>
      <c r="Y50" s="34">
        <v>318</v>
      </c>
      <c r="Z50" s="34">
        <v>5</v>
      </c>
      <c r="AA50" s="34">
        <v>326</v>
      </c>
      <c r="AB50" s="34">
        <v>8</v>
      </c>
      <c r="AC50" s="34">
        <v>8</v>
      </c>
      <c r="AD50" s="34">
        <v>0</v>
      </c>
      <c r="AE50" s="34">
        <v>0</v>
      </c>
      <c r="AG50" s="34">
        <v>3</v>
      </c>
      <c r="AH50" s="34">
        <v>0</v>
      </c>
      <c r="AI50" s="34">
        <v>11</v>
      </c>
    </row>
    <row r="51" spans="1:35" ht="15.75" customHeight="1">
      <c r="A51" s="34">
        <v>50</v>
      </c>
      <c r="B51" s="34" t="s">
        <v>101</v>
      </c>
      <c r="C51" s="34" t="s">
        <v>80</v>
      </c>
      <c r="D51" s="34">
        <v>19</v>
      </c>
      <c r="E51" s="34">
        <v>3207</v>
      </c>
      <c r="F51" s="34">
        <v>21</v>
      </c>
      <c r="G51" s="34">
        <v>3228</v>
      </c>
      <c r="H51" s="34">
        <v>22</v>
      </c>
      <c r="I51" s="34">
        <v>3250</v>
      </c>
      <c r="J51" s="34">
        <v>18</v>
      </c>
      <c r="K51" s="34">
        <v>3268</v>
      </c>
      <c r="L51" s="34">
        <v>20</v>
      </c>
      <c r="M51" s="34">
        <v>3288</v>
      </c>
      <c r="N51" s="34">
        <v>20</v>
      </c>
      <c r="O51" s="34">
        <v>3308</v>
      </c>
      <c r="P51" s="34">
        <v>19</v>
      </c>
      <c r="Q51" s="34">
        <v>3327</v>
      </c>
      <c r="R51" s="34">
        <v>19</v>
      </c>
      <c r="S51" s="34">
        <v>3347</v>
      </c>
      <c r="T51" s="34">
        <v>20</v>
      </c>
      <c r="U51" s="34">
        <v>3363</v>
      </c>
      <c r="V51" s="34">
        <v>16</v>
      </c>
      <c r="W51" s="34">
        <v>3380</v>
      </c>
      <c r="X51" s="34">
        <v>17</v>
      </c>
      <c r="Y51" s="34">
        <v>3402</v>
      </c>
      <c r="Z51" s="34">
        <v>22</v>
      </c>
      <c r="AA51" s="34">
        <v>3425</v>
      </c>
      <c r="AB51" s="34">
        <v>23</v>
      </c>
      <c r="AC51" s="34">
        <v>23</v>
      </c>
      <c r="AD51" s="34">
        <v>0</v>
      </c>
      <c r="AE51" s="34">
        <v>0</v>
      </c>
      <c r="AG51" s="34">
        <v>3</v>
      </c>
      <c r="AH51" s="34">
        <v>0</v>
      </c>
      <c r="AI51" s="34">
        <v>26</v>
      </c>
    </row>
    <row r="52" spans="1:35" ht="15.75" customHeight="1">
      <c r="A52" s="34">
        <v>51</v>
      </c>
      <c r="B52" s="34" t="s">
        <v>103</v>
      </c>
      <c r="C52" s="34" t="s">
        <v>80</v>
      </c>
      <c r="D52" s="34">
        <v>20</v>
      </c>
      <c r="E52" s="34">
        <v>2433</v>
      </c>
      <c r="F52" s="34">
        <v>20</v>
      </c>
      <c r="G52" s="34">
        <v>2453</v>
      </c>
      <c r="H52" s="34">
        <v>20</v>
      </c>
      <c r="I52" s="34">
        <v>2473</v>
      </c>
      <c r="J52" s="34">
        <v>21</v>
      </c>
      <c r="K52" s="34">
        <v>2494</v>
      </c>
      <c r="L52" s="34">
        <v>16</v>
      </c>
      <c r="M52" s="34">
        <v>2510</v>
      </c>
      <c r="N52" s="34">
        <v>18</v>
      </c>
      <c r="O52" s="34">
        <v>2528</v>
      </c>
      <c r="P52" s="34">
        <v>22</v>
      </c>
      <c r="Q52" s="34">
        <v>2550</v>
      </c>
      <c r="R52" s="34">
        <v>22</v>
      </c>
      <c r="S52" s="34">
        <v>2560</v>
      </c>
      <c r="T52" s="34">
        <v>10</v>
      </c>
      <c r="U52" s="34">
        <v>2570</v>
      </c>
      <c r="V52" s="34">
        <v>10</v>
      </c>
      <c r="W52" s="34">
        <v>2582</v>
      </c>
      <c r="X52" s="34">
        <v>12</v>
      </c>
      <c r="Y52" s="34">
        <v>2594</v>
      </c>
      <c r="Z52" s="34">
        <v>12</v>
      </c>
      <c r="AA52" s="34">
        <v>2608</v>
      </c>
      <c r="AB52" s="34">
        <v>14</v>
      </c>
      <c r="AC52" s="34">
        <v>14</v>
      </c>
      <c r="AD52" s="34">
        <v>0</v>
      </c>
      <c r="AE52" s="34">
        <v>0</v>
      </c>
      <c r="AG52" s="34">
        <v>3</v>
      </c>
      <c r="AH52" s="34">
        <v>20</v>
      </c>
      <c r="AI52" s="34">
        <v>37</v>
      </c>
    </row>
    <row r="53" spans="1:35" ht="15.75" customHeight="1">
      <c r="A53" s="34">
        <v>53</v>
      </c>
      <c r="B53" s="34" t="s">
        <v>106</v>
      </c>
      <c r="C53" s="34" t="s">
        <v>80</v>
      </c>
      <c r="D53" s="34">
        <v>22</v>
      </c>
      <c r="E53" s="34">
        <v>0</v>
      </c>
      <c r="F53" s="34">
        <v>0</v>
      </c>
      <c r="G53" s="34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4">
        <v>0</v>
      </c>
      <c r="N53" s="34">
        <v>6</v>
      </c>
      <c r="O53" s="34">
        <v>6</v>
      </c>
      <c r="P53" s="34">
        <v>2</v>
      </c>
      <c r="Q53" s="34">
        <v>8</v>
      </c>
      <c r="R53" s="34">
        <v>2</v>
      </c>
      <c r="S53" s="34">
        <v>10</v>
      </c>
      <c r="T53" s="34">
        <v>2</v>
      </c>
      <c r="U53" s="34">
        <v>12</v>
      </c>
      <c r="V53" s="34">
        <v>2</v>
      </c>
      <c r="W53" s="34">
        <v>13</v>
      </c>
      <c r="X53" s="34">
        <v>1</v>
      </c>
      <c r="Y53" s="34">
        <v>18</v>
      </c>
      <c r="Z53" s="34">
        <v>5</v>
      </c>
      <c r="AA53" s="34">
        <v>25</v>
      </c>
      <c r="AB53" s="34">
        <v>7</v>
      </c>
      <c r="AC53" s="34">
        <v>7</v>
      </c>
      <c r="AD53" s="34">
        <v>0</v>
      </c>
      <c r="AE53" s="34">
        <v>0</v>
      </c>
      <c r="AG53" s="34">
        <v>3</v>
      </c>
      <c r="AH53" s="34">
        <v>20</v>
      </c>
      <c r="AI53" s="34">
        <v>30</v>
      </c>
    </row>
    <row r="54" spans="1:35" ht="15.75" customHeight="1">
      <c r="A54" s="34">
        <v>54</v>
      </c>
      <c r="B54" s="34" t="s">
        <v>107</v>
      </c>
      <c r="C54" s="34" t="s">
        <v>80</v>
      </c>
      <c r="D54" s="34">
        <v>23</v>
      </c>
      <c r="E54" s="34">
        <v>4089</v>
      </c>
      <c r="F54" s="34">
        <v>20</v>
      </c>
      <c r="G54" s="34">
        <v>4109</v>
      </c>
      <c r="H54" s="34">
        <v>27</v>
      </c>
      <c r="I54" s="34">
        <v>4136</v>
      </c>
      <c r="J54" s="34">
        <v>25</v>
      </c>
      <c r="K54" s="34">
        <v>4161</v>
      </c>
      <c r="L54" s="34">
        <v>24</v>
      </c>
      <c r="M54" s="34">
        <v>4185</v>
      </c>
      <c r="N54" s="34">
        <v>25</v>
      </c>
      <c r="O54" s="34">
        <v>4210</v>
      </c>
      <c r="P54" s="34">
        <v>21</v>
      </c>
      <c r="Q54" s="34">
        <v>4231</v>
      </c>
      <c r="R54" s="34">
        <v>21</v>
      </c>
      <c r="S54" s="34">
        <v>4241</v>
      </c>
      <c r="T54" s="34">
        <v>10</v>
      </c>
      <c r="U54" s="34">
        <v>4249</v>
      </c>
      <c r="V54" s="34">
        <v>8</v>
      </c>
      <c r="W54" s="34">
        <v>4259</v>
      </c>
      <c r="X54" s="34">
        <v>10</v>
      </c>
      <c r="Y54" s="34">
        <v>4273</v>
      </c>
      <c r="Z54" s="34">
        <v>14</v>
      </c>
      <c r="AA54" s="34">
        <v>4288</v>
      </c>
      <c r="AB54" s="34">
        <v>15</v>
      </c>
      <c r="AC54" s="34">
        <v>15</v>
      </c>
      <c r="AD54" s="34">
        <v>0</v>
      </c>
      <c r="AE54" s="34">
        <v>0</v>
      </c>
      <c r="AG54" s="34">
        <v>3</v>
      </c>
      <c r="AH54" s="34">
        <v>20</v>
      </c>
      <c r="AI54" s="34">
        <v>38</v>
      </c>
    </row>
    <row r="55" spans="1:35" ht="15.75" customHeight="1">
      <c r="A55" s="34">
        <v>55</v>
      </c>
      <c r="B55" s="34" t="s">
        <v>108</v>
      </c>
      <c r="C55" s="34" t="s">
        <v>80</v>
      </c>
      <c r="D55" s="34">
        <v>24</v>
      </c>
      <c r="E55" s="34">
        <v>490</v>
      </c>
      <c r="F55" s="34">
        <v>2</v>
      </c>
      <c r="G55" s="34">
        <v>492</v>
      </c>
      <c r="H55" s="34">
        <v>2</v>
      </c>
      <c r="I55" s="34">
        <v>494</v>
      </c>
      <c r="J55" s="34">
        <v>2</v>
      </c>
      <c r="K55" s="34">
        <v>496</v>
      </c>
      <c r="L55" s="34">
        <v>2</v>
      </c>
      <c r="M55" s="34">
        <v>498</v>
      </c>
      <c r="N55" s="34">
        <v>2</v>
      </c>
      <c r="O55" s="34">
        <v>500</v>
      </c>
      <c r="P55" s="34">
        <v>3</v>
      </c>
      <c r="Q55" s="34">
        <v>503</v>
      </c>
      <c r="R55" s="34">
        <v>3</v>
      </c>
      <c r="S55" s="34">
        <v>505</v>
      </c>
      <c r="T55" s="34">
        <v>2</v>
      </c>
      <c r="U55" s="34">
        <v>507</v>
      </c>
      <c r="V55" s="34">
        <v>2</v>
      </c>
      <c r="W55" s="34">
        <v>508</v>
      </c>
      <c r="X55" s="34">
        <v>1</v>
      </c>
      <c r="Y55" s="34">
        <v>510</v>
      </c>
      <c r="Z55" s="34">
        <v>2</v>
      </c>
      <c r="AA55" s="34">
        <v>514</v>
      </c>
      <c r="AB55" s="34">
        <v>4</v>
      </c>
      <c r="AC55" s="34">
        <v>5</v>
      </c>
      <c r="AD55" s="34">
        <v>0</v>
      </c>
      <c r="AE55" s="34">
        <v>0</v>
      </c>
      <c r="AG55" s="34">
        <v>3</v>
      </c>
      <c r="AH55" s="34">
        <v>20</v>
      </c>
      <c r="AI55" s="34">
        <v>28</v>
      </c>
    </row>
    <row r="56" spans="1:35" ht="15.75" customHeight="1">
      <c r="A56" s="34">
        <v>56</v>
      </c>
      <c r="B56" s="34" t="s">
        <v>109</v>
      </c>
      <c r="C56" s="34" t="s">
        <v>80</v>
      </c>
      <c r="D56" s="34">
        <v>25</v>
      </c>
      <c r="E56" s="34">
        <v>3686</v>
      </c>
      <c r="F56" s="34">
        <v>11</v>
      </c>
      <c r="G56" s="34">
        <v>3697</v>
      </c>
      <c r="H56" s="34">
        <v>12</v>
      </c>
      <c r="I56" s="34">
        <v>3709</v>
      </c>
      <c r="J56" s="34">
        <v>12</v>
      </c>
      <c r="K56" s="34">
        <v>3721</v>
      </c>
      <c r="L56" s="34">
        <v>9</v>
      </c>
      <c r="M56" s="34">
        <v>3730</v>
      </c>
      <c r="N56" s="34">
        <v>10</v>
      </c>
      <c r="O56" s="34">
        <v>3740</v>
      </c>
      <c r="P56" s="34">
        <v>10</v>
      </c>
      <c r="Q56" s="34">
        <v>3750</v>
      </c>
      <c r="R56" s="34">
        <v>10</v>
      </c>
      <c r="S56" s="34">
        <v>3758</v>
      </c>
      <c r="T56" s="34">
        <v>8</v>
      </c>
      <c r="U56" s="34">
        <v>3767</v>
      </c>
      <c r="V56" s="34">
        <v>9</v>
      </c>
      <c r="W56" s="34">
        <v>3775</v>
      </c>
      <c r="X56" s="34">
        <v>8</v>
      </c>
      <c r="Y56" s="34">
        <v>3784</v>
      </c>
      <c r="Z56" s="34">
        <v>9</v>
      </c>
      <c r="AA56" s="34">
        <v>3798</v>
      </c>
      <c r="AB56" s="34">
        <v>14</v>
      </c>
      <c r="AC56" s="34">
        <v>14</v>
      </c>
      <c r="AD56" s="34">
        <v>0</v>
      </c>
      <c r="AE56" s="34">
        <v>0</v>
      </c>
      <c r="AG56" s="34">
        <v>3</v>
      </c>
      <c r="AH56" s="34">
        <v>0</v>
      </c>
      <c r="AI56" s="34">
        <v>17</v>
      </c>
    </row>
    <row r="57" spans="1:35" ht="15.75" customHeight="1">
      <c r="A57" s="34">
        <v>57</v>
      </c>
      <c r="B57" s="34" t="s">
        <v>110</v>
      </c>
      <c r="C57" s="34" t="s">
        <v>80</v>
      </c>
      <c r="D57" s="34">
        <v>26</v>
      </c>
      <c r="E57" s="34">
        <v>1495</v>
      </c>
      <c r="F57" s="34">
        <v>0</v>
      </c>
      <c r="G57" s="34">
        <v>1495</v>
      </c>
      <c r="H57" s="34">
        <v>1</v>
      </c>
      <c r="I57" s="34">
        <v>1496</v>
      </c>
      <c r="J57" s="34">
        <v>0</v>
      </c>
      <c r="K57" s="34">
        <v>1496</v>
      </c>
      <c r="L57" s="34">
        <v>0</v>
      </c>
      <c r="M57" s="34">
        <v>1496</v>
      </c>
      <c r="N57" s="34">
        <v>0</v>
      </c>
      <c r="O57" s="34">
        <v>1496</v>
      </c>
      <c r="P57" s="34">
        <v>0</v>
      </c>
      <c r="Q57" s="34">
        <v>1496</v>
      </c>
      <c r="R57" s="34">
        <v>0</v>
      </c>
      <c r="S57" s="34">
        <v>1496</v>
      </c>
      <c r="T57" s="34">
        <v>0</v>
      </c>
      <c r="U57" s="34">
        <v>1497</v>
      </c>
      <c r="V57" s="34">
        <v>1</v>
      </c>
      <c r="W57" s="34">
        <v>1497</v>
      </c>
      <c r="X57" s="34">
        <v>0</v>
      </c>
      <c r="Y57" s="34">
        <v>1497</v>
      </c>
      <c r="Z57" s="34">
        <v>0</v>
      </c>
      <c r="AA57" s="34">
        <v>1498</v>
      </c>
      <c r="AB57" s="34">
        <v>1</v>
      </c>
      <c r="AC57" s="34">
        <v>5</v>
      </c>
      <c r="AD57" s="34">
        <v>0</v>
      </c>
      <c r="AE57" s="34">
        <v>0</v>
      </c>
      <c r="AG57" s="34">
        <v>3</v>
      </c>
      <c r="AH57" s="34">
        <v>0</v>
      </c>
      <c r="AI57" s="34">
        <v>8</v>
      </c>
    </row>
    <row r="58" spans="1:35" ht="15.75" customHeight="1">
      <c r="A58" s="34">
        <v>58</v>
      </c>
      <c r="B58" s="34" t="s">
        <v>112</v>
      </c>
      <c r="C58" s="34" t="s">
        <v>80</v>
      </c>
      <c r="D58" s="34">
        <v>27</v>
      </c>
      <c r="E58" s="34">
        <v>26</v>
      </c>
      <c r="F58" s="34">
        <v>3</v>
      </c>
      <c r="G58" s="34">
        <v>29</v>
      </c>
      <c r="H58" s="34">
        <v>5</v>
      </c>
      <c r="I58" s="34">
        <v>34</v>
      </c>
      <c r="J58" s="34">
        <v>5</v>
      </c>
      <c r="K58" s="34">
        <v>39</v>
      </c>
      <c r="L58" s="34">
        <v>5</v>
      </c>
      <c r="M58" s="34">
        <v>44</v>
      </c>
      <c r="N58" s="34">
        <v>4</v>
      </c>
      <c r="O58" s="34">
        <v>48</v>
      </c>
      <c r="P58" s="34">
        <v>3</v>
      </c>
      <c r="Q58" s="34">
        <v>51</v>
      </c>
      <c r="R58" s="34">
        <v>3</v>
      </c>
      <c r="S58" s="34">
        <v>55</v>
      </c>
      <c r="T58" s="34">
        <v>4</v>
      </c>
      <c r="U58" s="34">
        <v>59</v>
      </c>
      <c r="V58" s="34">
        <v>4</v>
      </c>
      <c r="W58" s="34">
        <v>65</v>
      </c>
      <c r="X58" s="34">
        <v>6</v>
      </c>
      <c r="Y58" s="34">
        <v>73</v>
      </c>
      <c r="Z58" s="34">
        <v>8</v>
      </c>
      <c r="AA58" s="34">
        <v>79</v>
      </c>
      <c r="AB58" s="34">
        <v>6</v>
      </c>
      <c r="AC58" s="34">
        <v>6</v>
      </c>
      <c r="AD58" s="34">
        <v>0</v>
      </c>
      <c r="AE58" s="34">
        <v>0</v>
      </c>
      <c r="AG58" s="34">
        <v>3</v>
      </c>
      <c r="AH58" s="34">
        <v>20</v>
      </c>
      <c r="AI58" s="34">
        <v>29</v>
      </c>
    </row>
    <row r="59" spans="1:35" ht="15.75" customHeight="1">
      <c r="A59" s="34">
        <v>59</v>
      </c>
      <c r="B59" s="34" t="s">
        <v>113</v>
      </c>
      <c r="C59" s="34" t="s">
        <v>80</v>
      </c>
      <c r="D59" s="34">
        <v>28</v>
      </c>
      <c r="E59" s="34">
        <v>5284</v>
      </c>
      <c r="F59" s="34">
        <v>27</v>
      </c>
      <c r="G59" s="34">
        <v>5311</v>
      </c>
      <c r="H59" s="34">
        <v>33</v>
      </c>
      <c r="I59" s="34">
        <v>5344</v>
      </c>
      <c r="J59" s="34">
        <v>18</v>
      </c>
      <c r="K59" s="34">
        <v>5362</v>
      </c>
      <c r="L59" s="34">
        <v>27</v>
      </c>
      <c r="M59" s="34">
        <v>5389</v>
      </c>
      <c r="N59" s="34">
        <v>12</v>
      </c>
      <c r="O59" s="34">
        <v>5401</v>
      </c>
      <c r="P59" s="34">
        <v>13</v>
      </c>
      <c r="Q59" s="34">
        <v>5414</v>
      </c>
      <c r="R59" s="34">
        <v>13</v>
      </c>
      <c r="S59" s="34">
        <v>5419</v>
      </c>
      <c r="T59" s="34">
        <v>5</v>
      </c>
      <c r="U59" s="34">
        <v>5436</v>
      </c>
      <c r="V59" s="34">
        <v>17</v>
      </c>
      <c r="W59" s="34">
        <v>5450</v>
      </c>
      <c r="X59" s="34">
        <v>14</v>
      </c>
      <c r="Y59" s="34">
        <v>5457</v>
      </c>
      <c r="Z59" s="34">
        <v>7</v>
      </c>
      <c r="AA59" s="34">
        <v>5471</v>
      </c>
      <c r="AB59" s="34">
        <v>14</v>
      </c>
      <c r="AC59" s="34">
        <v>14</v>
      </c>
      <c r="AD59" s="34">
        <v>0</v>
      </c>
      <c r="AE59" s="34">
        <v>0</v>
      </c>
      <c r="AG59" s="34">
        <v>3</v>
      </c>
      <c r="AH59" s="34">
        <v>0</v>
      </c>
      <c r="AI59" s="34">
        <v>17</v>
      </c>
    </row>
    <row r="60" spans="1:35" ht="15.75" customHeight="1">
      <c r="A60" s="34">
        <v>60</v>
      </c>
      <c r="B60" s="34" t="s">
        <v>114</v>
      </c>
      <c r="C60" s="34" t="s">
        <v>80</v>
      </c>
      <c r="D60" s="34">
        <v>30</v>
      </c>
      <c r="E60" s="34">
        <v>3083</v>
      </c>
      <c r="F60" s="34">
        <v>20</v>
      </c>
      <c r="G60" s="34">
        <v>3103</v>
      </c>
      <c r="H60" s="34">
        <v>23</v>
      </c>
      <c r="I60" s="34">
        <v>3126</v>
      </c>
      <c r="J60" s="34">
        <v>23</v>
      </c>
      <c r="K60" s="34">
        <v>3149</v>
      </c>
      <c r="L60" s="34">
        <v>18</v>
      </c>
      <c r="M60" s="34">
        <v>3167</v>
      </c>
      <c r="N60" s="34">
        <v>19</v>
      </c>
      <c r="O60" s="34">
        <v>3186</v>
      </c>
      <c r="P60" s="34">
        <v>19</v>
      </c>
      <c r="Q60" s="34">
        <v>3205</v>
      </c>
      <c r="R60" s="34">
        <v>19</v>
      </c>
      <c r="S60" s="34">
        <v>3218</v>
      </c>
      <c r="T60" s="34">
        <v>13</v>
      </c>
      <c r="U60" s="34">
        <v>3239</v>
      </c>
      <c r="V60" s="34">
        <v>21</v>
      </c>
      <c r="W60" s="34">
        <v>3252</v>
      </c>
      <c r="X60" s="34">
        <v>13</v>
      </c>
      <c r="Y60" s="34">
        <v>3271</v>
      </c>
      <c r="Z60" s="34">
        <v>19</v>
      </c>
      <c r="AA60" s="34">
        <v>3289</v>
      </c>
      <c r="AB60" s="34">
        <v>18</v>
      </c>
      <c r="AC60" s="34">
        <v>18</v>
      </c>
      <c r="AD60" s="34">
        <v>0</v>
      </c>
      <c r="AE60" s="34">
        <v>0</v>
      </c>
      <c r="AG60" s="34">
        <v>3</v>
      </c>
      <c r="AH60" s="34">
        <v>0</v>
      </c>
      <c r="AI60" s="34">
        <v>21</v>
      </c>
    </row>
    <row r="61" spans="1:35" ht="15.75" customHeight="1">
      <c r="A61" s="34">
        <v>61</v>
      </c>
      <c r="B61" s="34" t="s">
        <v>115</v>
      </c>
      <c r="C61" s="34" t="s">
        <v>80</v>
      </c>
      <c r="D61" s="34">
        <v>31</v>
      </c>
      <c r="E61" s="34">
        <v>413</v>
      </c>
      <c r="F61" s="34">
        <v>25</v>
      </c>
      <c r="G61" s="34">
        <v>438</v>
      </c>
      <c r="H61" s="34">
        <v>10</v>
      </c>
      <c r="I61" s="34">
        <v>448</v>
      </c>
      <c r="J61" s="34">
        <v>12</v>
      </c>
      <c r="K61" s="34">
        <v>460</v>
      </c>
      <c r="L61" s="34">
        <v>13</v>
      </c>
      <c r="M61" s="34">
        <v>473</v>
      </c>
      <c r="N61" s="34">
        <v>12</v>
      </c>
      <c r="O61" s="34">
        <v>485</v>
      </c>
      <c r="P61" s="34">
        <v>9</v>
      </c>
      <c r="Q61" s="34">
        <v>494</v>
      </c>
      <c r="R61" s="34">
        <v>9</v>
      </c>
      <c r="S61" s="34">
        <v>500</v>
      </c>
      <c r="T61" s="34">
        <v>6</v>
      </c>
      <c r="U61" s="34">
        <v>505</v>
      </c>
      <c r="V61" s="34">
        <v>5</v>
      </c>
      <c r="W61" s="34">
        <v>513</v>
      </c>
      <c r="X61" s="34">
        <v>8</v>
      </c>
      <c r="Y61" s="34">
        <v>523</v>
      </c>
      <c r="Z61" s="34">
        <v>10</v>
      </c>
      <c r="AA61" s="34">
        <v>534</v>
      </c>
      <c r="AB61" s="34">
        <v>11</v>
      </c>
      <c r="AC61" s="34">
        <v>11</v>
      </c>
      <c r="AD61" s="34">
        <v>0</v>
      </c>
      <c r="AE61" s="34">
        <v>0</v>
      </c>
      <c r="AG61" s="34">
        <v>3</v>
      </c>
      <c r="AH61" s="34">
        <v>0</v>
      </c>
      <c r="AI61" s="34">
        <v>14</v>
      </c>
    </row>
    <row r="62" spans="1:35" ht="15.75" customHeight="1">
      <c r="A62" s="34">
        <v>62</v>
      </c>
      <c r="B62" s="34" t="s">
        <v>116</v>
      </c>
      <c r="C62" s="34" t="s">
        <v>80</v>
      </c>
      <c r="D62" s="34">
        <v>32</v>
      </c>
      <c r="E62" s="34">
        <v>1570</v>
      </c>
      <c r="F62" s="34">
        <v>4</v>
      </c>
      <c r="G62" s="34">
        <v>1574</v>
      </c>
      <c r="H62" s="34">
        <v>5</v>
      </c>
      <c r="I62" s="34">
        <v>1579</v>
      </c>
      <c r="J62" s="34">
        <v>4</v>
      </c>
      <c r="K62" s="34">
        <v>1583</v>
      </c>
      <c r="L62" s="34">
        <v>5</v>
      </c>
      <c r="M62" s="34">
        <v>1588</v>
      </c>
      <c r="N62" s="34">
        <v>3</v>
      </c>
      <c r="O62" s="34">
        <v>1591</v>
      </c>
      <c r="P62" s="34">
        <v>5</v>
      </c>
      <c r="Q62" s="34">
        <v>1596</v>
      </c>
      <c r="R62" s="34">
        <v>5</v>
      </c>
      <c r="S62" s="34">
        <v>1601</v>
      </c>
      <c r="T62" s="34">
        <v>5</v>
      </c>
      <c r="U62" s="34">
        <v>1606</v>
      </c>
      <c r="V62" s="34">
        <v>5</v>
      </c>
      <c r="W62" s="34">
        <v>1609</v>
      </c>
      <c r="X62" s="34">
        <v>3</v>
      </c>
      <c r="Y62" s="34">
        <v>1613</v>
      </c>
      <c r="Z62" s="34">
        <v>4</v>
      </c>
      <c r="AA62" s="34">
        <v>1616</v>
      </c>
      <c r="AB62" s="34">
        <v>3</v>
      </c>
      <c r="AC62" s="34">
        <v>5</v>
      </c>
      <c r="AD62" s="34">
        <v>0</v>
      </c>
      <c r="AE62" s="34">
        <v>0</v>
      </c>
      <c r="AG62" s="34">
        <v>3</v>
      </c>
      <c r="AH62" s="34">
        <v>0</v>
      </c>
      <c r="AI62" s="34">
        <v>8</v>
      </c>
    </row>
    <row r="63" spans="1:35" ht="15.75" customHeight="1">
      <c r="A63" s="34">
        <v>63</v>
      </c>
      <c r="B63" s="34" t="s">
        <v>2736</v>
      </c>
      <c r="C63" s="34" t="s">
        <v>80</v>
      </c>
      <c r="D63" s="34">
        <v>33</v>
      </c>
      <c r="E63" s="34">
        <v>1005</v>
      </c>
      <c r="F63" s="34">
        <v>30</v>
      </c>
      <c r="G63" s="34">
        <v>1035</v>
      </c>
      <c r="H63" s="34">
        <v>-1016</v>
      </c>
      <c r="I63" s="34">
        <v>19</v>
      </c>
      <c r="J63" s="34">
        <v>13</v>
      </c>
      <c r="K63" s="34">
        <v>32</v>
      </c>
      <c r="L63" s="34">
        <v>15</v>
      </c>
      <c r="M63" s="34">
        <v>47</v>
      </c>
      <c r="N63" s="34">
        <v>13</v>
      </c>
      <c r="O63" s="34">
        <v>60</v>
      </c>
      <c r="P63" s="34">
        <v>18</v>
      </c>
      <c r="Q63" s="34">
        <v>78</v>
      </c>
      <c r="R63" s="34">
        <v>18</v>
      </c>
      <c r="S63" s="34">
        <v>88</v>
      </c>
      <c r="T63" s="34">
        <v>10</v>
      </c>
      <c r="U63" s="34">
        <v>104</v>
      </c>
      <c r="V63" s="34">
        <v>16</v>
      </c>
      <c r="W63" s="34">
        <v>122</v>
      </c>
      <c r="X63" s="34">
        <v>18</v>
      </c>
      <c r="Y63" s="34">
        <v>128</v>
      </c>
      <c r="Z63" s="34">
        <v>6</v>
      </c>
      <c r="AA63" s="34">
        <v>143</v>
      </c>
      <c r="AB63" s="34">
        <v>15</v>
      </c>
      <c r="AC63" s="34">
        <v>15</v>
      </c>
      <c r="AD63" s="34">
        <v>0</v>
      </c>
      <c r="AE63" s="34">
        <v>0</v>
      </c>
      <c r="AG63" s="34">
        <v>3</v>
      </c>
      <c r="AH63" s="34">
        <v>20</v>
      </c>
      <c r="AI63" s="34">
        <v>38</v>
      </c>
    </row>
    <row r="64" spans="1:35" ht="15.75" customHeight="1">
      <c r="A64" s="34">
        <v>64</v>
      </c>
      <c r="B64" s="34" t="s">
        <v>118</v>
      </c>
      <c r="C64" s="34" t="s">
        <v>80</v>
      </c>
      <c r="D64" s="34">
        <v>34</v>
      </c>
      <c r="E64" s="34">
        <v>616</v>
      </c>
      <c r="F64" s="34">
        <v>4</v>
      </c>
      <c r="G64" s="34">
        <v>620</v>
      </c>
      <c r="H64" s="34">
        <v>6</v>
      </c>
      <c r="I64" s="34">
        <v>626</v>
      </c>
      <c r="J64" s="34">
        <v>3</v>
      </c>
      <c r="K64" s="34">
        <v>629</v>
      </c>
      <c r="L64" s="34">
        <v>3</v>
      </c>
      <c r="M64" s="34">
        <v>632</v>
      </c>
      <c r="N64" s="34">
        <v>0</v>
      </c>
      <c r="O64" s="34">
        <v>632</v>
      </c>
      <c r="P64" s="34">
        <v>0</v>
      </c>
      <c r="Q64" s="34">
        <v>632</v>
      </c>
      <c r="R64" s="34">
        <v>0</v>
      </c>
      <c r="S64" s="34">
        <v>632</v>
      </c>
      <c r="T64" s="34">
        <v>0</v>
      </c>
      <c r="U64" s="34">
        <v>632</v>
      </c>
      <c r="V64" s="34">
        <v>0</v>
      </c>
      <c r="W64" s="34">
        <v>632</v>
      </c>
      <c r="X64" s="34">
        <v>0</v>
      </c>
      <c r="Y64" s="34">
        <v>632</v>
      </c>
      <c r="Z64" s="34">
        <v>0</v>
      </c>
      <c r="AA64" s="34">
        <v>632</v>
      </c>
      <c r="AB64" s="34">
        <v>0</v>
      </c>
      <c r="AC64" s="34">
        <v>5</v>
      </c>
      <c r="AD64" s="34">
        <v>0</v>
      </c>
      <c r="AE64" s="34">
        <v>0</v>
      </c>
      <c r="AG64" s="34">
        <v>3</v>
      </c>
      <c r="AH64" s="34">
        <v>0</v>
      </c>
      <c r="AI64" s="34">
        <v>8</v>
      </c>
    </row>
    <row r="65" spans="1:35" ht="15.75" customHeight="1">
      <c r="A65" s="34">
        <v>65</v>
      </c>
      <c r="B65" s="34" t="s">
        <v>119</v>
      </c>
      <c r="C65" s="34" t="s">
        <v>80</v>
      </c>
      <c r="D65" s="34">
        <v>35</v>
      </c>
      <c r="E65" s="34">
        <v>328</v>
      </c>
      <c r="F65" s="34">
        <v>11</v>
      </c>
      <c r="G65" s="34">
        <v>339</v>
      </c>
      <c r="H65" s="34">
        <v>11</v>
      </c>
      <c r="I65" s="34">
        <v>350</v>
      </c>
      <c r="J65" s="34">
        <v>10</v>
      </c>
      <c r="K65" s="34">
        <v>360</v>
      </c>
      <c r="L65" s="34">
        <v>10</v>
      </c>
      <c r="M65" s="34">
        <v>370</v>
      </c>
      <c r="N65" s="34">
        <v>12</v>
      </c>
      <c r="O65" s="34">
        <v>382</v>
      </c>
      <c r="P65" s="34">
        <v>12</v>
      </c>
      <c r="Q65" s="34">
        <v>394</v>
      </c>
      <c r="R65" s="34">
        <v>12</v>
      </c>
      <c r="S65" s="34">
        <v>404</v>
      </c>
      <c r="T65" s="34">
        <v>10</v>
      </c>
      <c r="U65" s="34">
        <v>413</v>
      </c>
      <c r="V65" s="34">
        <v>9</v>
      </c>
      <c r="W65" s="34">
        <v>425</v>
      </c>
      <c r="X65" s="34">
        <v>12</v>
      </c>
      <c r="Y65" s="34">
        <v>435</v>
      </c>
      <c r="Z65" s="34">
        <v>10</v>
      </c>
      <c r="AA65" s="34">
        <v>445</v>
      </c>
      <c r="AB65" s="34">
        <v>10</v>
      </c>
      <c r="AC65" s="34">
        <v>10</v>
      </c>
      <c r="AD65" s="34">
        <v>28</v>
      </c>
      <c r="AE65" s="34">
        <v>0</v>
      </c>
      <c r="AF65" s="34">
        <v>100</v>
      </c>
      <c r="AG65" s="34">
        <v>3</v>
      </c>
      <c r="AH65" s="34">
        <v>20</v>
      </c>
      <c r="AI65" s="34">
        <v>161</v>
      </c>
    </row>
    <row r="66" spans="1:35" ht="15.75" customHeight="1">
      <c r="A66" s="34">
        <v>66</v>
      </c>
      <c r="B66" s="34" t="s">
        <v>120</v>
      </c>
      <c r="C66" s="34" t="s">
        <v>80</v>
      </c>
      <c r="D66" s="34">
        <v>36</v>
      </c>
      <c r="E66" s="34">
        <v>158</v>
      </c>
      <c r="F66" s="34">
        <v>9</v>
      </c>
      <c r="G66" s="34">
        <v>167</v>
      </c>
      <c r="H66" s="34">
        <v>8</v>
      </c>
      <c r="I66" s="34">
        <v>175</v>
      </c>
      <c r="J66" s="34">
        <v>5</v>
      </c>
      <c r="K66" s="34">
        <v>180</v>
      </c>
      <c r="L66" s="34">
        <v>5</v>
      </c>
      <c r="M66" s="34">
        <v>185</v>
      </c>
      <c r="N66" s="34">
        <v>3</v>
      </c>
      <c r="O66" s="34">
        <v>188</v>
      </c>
      <c r="P66" s="34">
        <v>5</v>
      </c>
      <c r="Q66" s="34">
        <v>193</v>
      </c>
      <c r="R66" s="34">
        <v>5</v>
      </c>
      <c r="S66" s="34">
        <v>196</v>
      </c>
      <c r="T66" s="34">
        <v>3</v>
      </c>
      <c r="U66" s="34">
        <v>199</v>
      </c>
      <c r="V66" s="34">
        <v>3</v>
      </c>
      <c r="W66" s="34">
        <v>201</v>
      </c>
      <c r="X66" s="34">
        <v>2</v>
      </c>
      <c r="Y66" s="34">
        <v>204</v>
      </c>
      <c r="Z66" s="34">
        <v>3</v>
      </c>
      <c r="AA66" s="34">
        <v>208</v>
      </c>
      <c r="AB66" s="34">
        <v>4</v>
      </c>
      <c r="AC66" s="34">
        <v>5</v>
      </c>
      <c r="AD66" s="34">
        <v>0</v>
      </c>
      <c r="AE66" s="34">
        <v>0</v>
      </c>
      <c r="AG66" s="34">
        <v>3</v>
      </c>
      <c r="AH66" s="34">
        <v>0</v>
      </c>
      <c r="AI66" s="34">
        <v>8</v>
      </c>
    </row>
    <row r="67" spans="1:35" ht="15.75" customHeight="1">
      <c r="A67" s="34">
        <v>67</v>
      </c>
      <c r="B67" s="34" t="s">
        <v>121</v>
      </c>
      <c r="C67" s="34" t="s">
        <v>80</v>
      </c>
      <c r="D67" s="34">
        <v>37</v>
      </c>
      <c r="E67" s="34">
        <v>93</v>
      </c>
      <c r="F67" s="34">
        <v>7</v>
      </c>
      <c r="G67" s="34">
        <v>100</v>
      </c>
      <c r="H67" s="34">
        <v>9</v>
      </c>
      <c r="I67" s="34">
        <v>109</v>
      </c>
      <c r="J67" s="34">
        <v>8</v>
      </c>
      <c r="K67" s="34">
        <v>117</v>
      </c>
      <c r="L67" s="34">
        <v>9</v>
      </c>
      <c r="M67" s="34">
        <v>126</v>
      </c>
      <c r="N67" s="34">
        <v>8</v>
      </c>
      <c r="O67" s="34">
        <v>134</v>
      </c>
      <c r="P67" s="34">
        <v>6</v>
      </c>
      <c r="Q67" s="34">
        <v>140</v>
      </c>
      <c r="R67" s="34">
        <v>6</v>
      </c>
      <c r="S67" s="34">
        <v>146</v>
      </c>
      <c r="T67" s="34">
        <v>6</v>
      </c>
      <c r="U67" s="34">
        <v>152</v>
      </c>
      <c r="V67" s="34">
        <v>6</v>
      </c>
      <c r="W67" s="34">
        <v>157</v>
      </c>
      <c r="X67" s="34">
        <v>5</v>
      </c>
      <c r="Y67" s="34">
        <v>163</v>
      </c>
      <c r="Z67" s="34">
        <v>6</v>
      </c>
      <c r="AA67" s="34">
        <v>169</v>
      </c>
      <c r="AB67" s="34">
        <v>6</v>
      </c>
      <c r="AC67" s="34">
        <v>6</v>
      </c>
      <c r="AD67" s="34">
        <v>0</v>
      </c>
      <c r="AE67" s="34">
        <v>0</v>
      </c>
      <c r="AG67" s="34">
        <v>3</v>
      </c>
      <c r="AH67" s="34">
        <v>20</v>
      </c>
      <c r="AI67" s="34">
        <v>29</v>
      </c>
    </row>
    <row r="68" spans="1:35" ht="15.75" customHeight="1">
      <c r="A68" s="34">
        <v>68</v>
      </c>
      <c r="B68" s="34" t="s">
        <v>122</v>
      </c>
      <c r="C68" s="34" t="s">
        <v>80</v>
      </c>
      <c r="D68" s="34">
        <v>42</v>
      </c>
      <c r="F68" s="34">
        <v>0</v>
      </c>
      <c r="H68" s="34">
        <v>4</v>
      </c>
      <c r="I68" s="34">
        <v>4</v>
      </c>
      <c r="J68" s="34">
        <v>8</v>
      </c>
      <c r="K68" s="34">
        <v>12</v>
      </c>
      <c r="L68" s="34">
        <v>9</v>
      </c>
      <c r="M68" s="34">
        <v>21</v>
      </c>
      <c r="N68" s="34">
        <v>6</v>
      </c>
      <c r="O68" s="34">
        <v>27</v>
      </c>
      <c r="P68" s="34">
        <v>21</v>
      </c>
      <c r="Q68" s="34">
        <v>48</v>
      </c>
      <c r="R68" s="34">
        <v>21</v>
      </c>
      <c r="S68" s="34">
        <v>62</v>
      </c>
      <c r="T68" s="34">
        <v>14</v>
      </c>
      <c r="U68" s="34">
        <v>73</v>
      </c>
      <c r="V68" s="34">
        <v>11</v>
      </c>
      <c r="W68" s="34">
        <v>85</v>
      </c>
      <c r="X68" s="34">
        <v>12</v>
      </c>
      <c r="Y68" s="34">
        <v>97</v>
      </c>
      <c r="Z68" s="34">
        <v>12</v>
      </c>
      <c r="AA68" s="34">
        <v>112</v>
      </c>
      <c r="AB68" s="34">
        <v>15</v>
      </c>
      <c r="AC68" s="34">
        <v>15</v>
      </c>
      <c r="AD68" s="34">
        <v>0</v>
      </c>
      <c r="AE68" s="34">
        <v>0</v>
      </c>
      <c r="AF68" s="34">
        <v>100</v>
      </c>
      <c r="AG68" s="34">
        <v>3</v>
      </c>
      <c r="AH68" s="34">
        <v>20</v>
      </c>
      <c r="AI68" s="34">
        <v>138</v>
      </c>
    </row>
    <row r="69" spans="1:35" ht="15.75" customHeight="1">
      <c r="A69" s="34">
        <v>69</v>
      </c>
      <c r="B69" s="34" t="s">
        <v>123</v>
      </c>
      <c r="C69" s="34" t="s">
        <v>80</v>
      </c>
      <c r="D69" s="34">
        <v>45</v>
      </c>
      <c r="W69" s="34">
        <v>0</v>
      </c>
      <c r="X69" s="34">
        <v>0</v>
      </c>
      <c r="Y69" s="34">
        <v>0</v>
      </c>
      <c r="Z69" s="34">
        <v>0</v>
      </c>
      <c r="AA69" s="34">
        <v>0</v>
      </c>
      <c r="AB69" s="34">
        <v>0</v>
      </c>
      <c r="AC69" s="34">
        <v>5</v>
      </c>
      <c r="AD69" s="34">
        <v>8</v>
      </c>
      <c r="AE69" s="34">
        <v>0</v>
      </c>
      <c r="AF69" s="34">
        <v>100</v>
      </c>
      <c r="AG69" s="34">
        <v>3</v>
      </c>
      <c r="AH69" s="34">
        <v>0</v>
      </c>
      <c r="AI69" s="34">
        <v>116</v>
      </c>
    </row>
    <row r="70" spans="1:35" ht="15.75" customHeight="1">
      <c r="A70" s="34">
        <v>70</v>
      </c>
      <c r="B70" s="34" t="s">
        <v>124</v>
      </c>
      <c r="C70" s="34" t="s">
        <v>125</v>
      </c>
      <c r="D70" s="34">
        <v>1</v>
      </c>
      <c r="E70" s="34">
        <v>1625</v>
      </c>
      <c r="F70" s="34">
        <v>7</v>
      </c>
      <c r="G70" s="34">
        <v>1632</v>
      </c>
      <c r="H70" s="34">
        <v>7</v>
      </c>
      <c r="I70" s="34">
        <v>1639</v>
      </c>
      <c r="J70" s="34">
        <v>7</v>
      </c>
      <c r="K70" s="34">
        <v>1646</v>
      </c>
      <c r="L70" s="34">
        <v>7</v>
      </c>
      <c r="M70" s="34">
        <v>1653</v>
      </c>
      <c r="N70" s="34">
        <v>6</v>
      </c>
      <c r="O70" s="34">
        <v>1659</v>
      </c>
      <c r="P70" s="34">
        <v>6</v>
      </c>
      <c r="Q70" s="34">
        <v>1665</v>
      </c>
      <c r="R70" s="34">
        <v>6</v>
      </c>
      <c r="S70" s="34">
        <v>1669</v>
      </c>
      <c r="T70" s="34">
        <v>4</v>
      </c>
      <c r="U70" s="34">
        <v>1675</v>
      </c>
      <c r="V70" s="34">
        <v>6</v>
      </c>
      <c r="W70" s="34">
        <v>1680</v>
      </c>
      <c r="X70" s="34">
        <v>5</v>
      </c>
      <c r="Y70" s="34">
        <v>1685</v>
      </c>
      <c r="Z70" s="34">
        <v>5</v>
      </c>
      <c r="AA70" s="34">
        <v>1693</v>
      </c>
      <c r="AB70" s="34">
        <v>8</v>
      </c>
      <c r="AC70" s="34">
        <v>8</v>
      </c>
      <c r="AD70" s="34">
        <v>0</v>
      </c>
      <c r="AE70" s="34">
        <v>0</v>
      </c>
      <c r="AG70" s="34">
        <v>3</v>
      </c>
      <c r="AH70" s="34">
        <v>0</v>
      </c>
      <c r="AI70" s="34">
        <v>11</v>
      </c>
    </row>
    <row r="71" spans="1:35" ht="15.75" customHeight="1">
      <c r="A71" s="34">
        <v>71</v>
      </c>
      <c r="B71" s="34" t="s">
        <v>126</v>
      </c>
      <c r="C71" s="34" t="s">
        <v>125</v>
      </c>
      <c r="D71" s="34">
        <v>2</v>
      </c>
      <c r="E71" s="34">
        <v>1772</v>
      </c>
      <c r="F71" s="34">
        <v>17</v>
      </c>
      <c r="G71" s="34">
        <v>1789</v>
      </c>
      <c r="H71" s="34">
        <v>18</v>
      </c>
      <c r="I71" s="34">
        <v>1807</v>
      </c>
      <c r="J71" s="34">
        <v>17</v>
      </c>
      <c r="K71" s="34">
        <v>1824</v>
      </c>
      <c r="L71" s="34">
        <v>17</v>
      </c>
      <c r="M71" s="34">
        <v>1841</v>
      </c>
      <c r="N71" s="34">
        <v>12</v>
      </c>
      <c r="O71" s="34">
        <v>1853</v>
      </c>
      <c r="P71" s="34">
        <v>7</v>
      </c>
      <c r="Q71" s="34">
        <v>1860</v>
      </c>
      <c r="R71" s="34">
        <v>7</v>
      </c>
      <c r="S71" s="34">
        <v>1864</v>
      </c>
      <c r="T71" s="34">
        <v>4</v>
      </c>
      <c r="U71" s="34">
        <v>1868</v>
      </c>
      <c r="V71" s="34">
        <v>4</v>
      </c>
      <c r="W71" s="34">
        <v>1872</v>
      </c>
      <c r="X71" s="34">
        <v>4</v>
      </c>
      <c r="Y71" s="34">
        <v>1883</v>
      </c>
      <c r="Z71" s="34">
        <v>11</v>
      </c>
      <c r="AA71" s="34">
        <v>1918</v>
      </c>
      <c r="AB71" s="34">
        <v>35</v>
      </c>
      <c r="AC71" s="34">
        <v>35</v>
      </c>
      <c r="AD71" s="34">
        <v>0</v>
      </c>
      <c r="AE71" s="34">
        <v>0</v>
      </c>
      <c r="AG71" s="34">
        <v>3</v>
      </c>
      <c r="AH71" s="34">
        <v>20</v>
      </c>
      <c r="AI71" s="34">
        <v>58</v>
      </c>
    </row>
    <row r="72" spans="1:35" ht="15.75" customHeight="1">
      <c r="A72" s="34">
        <v>72</v>
      </c>
      <c r="B72" s="34" t="s">
        <v>127</v>
      </c>
      <c r="C72" s="34" t="s">
        <v>125</v>
      </c>
      <c r="D72" s="34">
        <v>3</v>
      </c>
      <c r="E72" s="34">
        <v>1087</v>
      </c>
      <c r="F72" s="34">
        <v>34</v>
      </c>
      <c r="G72" s="34">
        <v>1121</v>
      </c>
      <c r="H72" s="34">
        <v>7</v>
      </c>
      <c r="I72" s="34">
        <v>1128</v>
      </c>
      <c r="J72" s="34">
        <v>7</v>
      </c>
      <c r="K72" s="34">
        <v>1135</v>
      </c>
      <c r="L72" s="34">
        <v>9</v>
      </c>
      <c r="M72" s="34">
        <v>1144</v>
      </c>
      <c r="N72" s="34">
        <v>9</v>
      </c>
      <c r="O72" s="34">
        <v>1153</v>
      </c>
      <c r="P72" s="34">
        <v>10</v>
      </c>
      <c r="Q72" s="34">
        <v>1163</v>
      </c>
      <c r="R72" s="34">
        <v>10</v>
      </c>
      <c r="S72" s="34">
        <v>1171</v>
      </c>
      <c r="T72" s="34">
        <v>8</v>
      </c>
      <c r="U72" s="34">
        <v>1183</v>
      </c>
      <c r="V72" s="34">
        <v>12</v>
      </c>
      <c r="W72" s="34">
        <v>1192</v>
      </c>
      <c r="X72" s="34">
        <v>9</v>
      </c>
      <c r="Y72" s="34">
        <v>1201</v>
      </c>
      <c r="Z72" s="34">
        <v>9</v>
      </c>
      <c r="AA72" s="34">
        <v>1210</v>
      </c>
      <c r="AB72" s="34">
        <v>9</v>
      </c>
      <c r="AC72" s="34">
        <v>9</v>
      </c>
      <c r="AD72" s="34">
        <v>0</v>
      </c>
      <c r="AE72" s="34">
        <v>0</v>
      </c>
      <c r="AG72" s="34">
        <v>3</v>
      </c>
      <c r="AH72" s="34">
        <v>0</v>
      </c>
      <c r="AI72" s="34">
        <v>12</v>
      </c>
    </row>
    <row r="73" spans="1:35" ht="15.75" customHeight="1">
      <c r="A73" s="34">
        <v>73</v>
      </c>
      <c r="B73" s="34" t="s">
        <v>128</v>
      </c>
      <c r="C73" s="34" t="s">
        <v>125</v>
      </c>
      <c r="D73" s="34">
        <v>4</v>
      </c>
      <c r="E73" s="34">
        <v>168</v>
      </c>
      <c r="F73" s="34">
        <v>10</v>
      </c>
      <c r="G73" s="34">
        <v>178</v>
      </c>
      <c r="H73" s="34">
        <v>-10</v>
      </c>
      <c r="I73" s="34">
        <v>168</v>
      </c>
      <c r="J73" s="34">
        <v>0</v>
      </c>
      <c r="K73" s="34">
        <v>0</v>
      </c>
      <c r="L73" s="34">
        <v>16</v>
      </c>
      <c r="M73" s="34">
        <v>16</v>
      </c>
      <c r="N73" s="34">
        <v>12</v>
      </c>
      <c r="O73" s="34">
        <v>28</v>
      </c>
      <c r="P73" s="34">
        <v>20</v>
      </c>
      <c r="Q73" s="34">
        <v>48</v>
      </c>
      <c r="R73" s="34">
        <v>20</v>
      </c>
      <c r="S73" s="34">
        <v>63</v>
      </c>
      <c r="T73" s="34">
        <v>15</v>
      </c>
      <c r="U73" s="34">
        <v>74</v>
      </c>
      <c r="V73" s="34">
        <v>11</v>
      </c>
      <c r="W73" s="34">
        <v>86</v>
      </c>
      <c r="X73" s="34">
        <v>12</v>
      </c>
      <c r="Y73" s="34">
        <v>97</v>
      </c>
      <c r="Z73" s="34">
        <v>11</v>
      </c>
      <c r="AA73" s="34">
        <v>113</v>
      </c>
      <c r="AB73" s="34">
        <v>16</v>
      </c>
      <c r="AC73" s="34">
        <v>16</v>
      </c>
      <c r="AD73" s="34">
        <v>0</v>
      </c>
      <c r="AE73" s="34">
        <v>0</v>
      </c>
      <c r="AG73" s="34">
        <v>3</v>
      </c>
      <c r="AH73" s="34">
        <v>20</v>
      </c>
      <c r="AI73" s="34">
        <v>39</v>
      </c>
    </row>
    <row r="74" spans="1:35" ht="15.75" customHeight="1">
      <c r="A74" s="34">
        <v>74</v>
      </c>
      <c r="B74" s="34" t="s">
        <v>129</v>
      </c>
      <c r="C74" s="34" t="s">
        <v>125</v>
      </c>
      <c r="D74" s="34">
        <v>5</v>
      </c>
      <c r="E74" s="34">
        <v>225</v>
      </c>
      <c r="F74" s="34">
        <v>14</v>
      </c>
      <c r="G74" s="34">
        <v>239</v>
      </c>
      <c r="H74" s="34">
        <v>35</v>
      </c>
      <c r="I74" s="34">
        <v>274</v>
      </c>
      <c r="J74" s="34">
        <v>14</v>
      </c>
      <c r="K74" s="34">
        <v>288</v>
      </c>
      <c r="L74" s="34">
        <v>13</v>
      </c>
      <c r="M74" s="34">
        <v>301</v>
      </c>
      <c r="N74" s="34">
        <v>7</v>
      </c>
      <c r="O74" s="34">
        <v>308</v>
      </c>
      <c r="P74" s="34">
        <v>8</v>
      </c>
      <c r="Q74" s="34">
        <v>316</v>
      </c>
      <c r="R74" s="34">
        <v>8</v>
      </c>
      <c r="S74" s="34">
        <v>324</v>
      </c>
      <c r="T74" s="34">
        <v>8</v>
      </c>
      <c r="U74" s="34">
        <v>333</v>
      </c>
      <c r="V74" s="34">
        <v>9</v>
      </c>
      <c r="W74" s="34">
        <v>344</v>
      </c>
      <c r="X74" s="34">
        <v>11</v>
      </c>
      <c r="Y74" s="34">
        <v>352</v>
      </c>
      <c r="Z74" s="34">
        <v>8</v>
      </c>
      <c r="AA74" s="34">
        <v>367</v>
      </c>
      <c r="AB74" s="34">
        <v>15</v>
      </c>
      <c r="AC74" s="34">
        <v>15</v>
      </c>
      <c r="AD74" s="34">
        <v>0</v>
      </c>
      <c r="AE74" s="34">
        <v>0</v>
      </c>
      <c r="AG74" s="34">
        <v>3</v>
      </c>
      <c r="AH74" s="34">
        <v>0</v>
      </c>
      <c r="AI74" s="34">
        <v>18</v>
      </c>
    </row>
    <row r="75" spans="1:35" ht="15.75" customHeight="1">
      <c r="A75" s="34">
        <v>75</v>
      </c>
      <c r="B75" s="34" t="s">
        <v>130</v>
      </c>
      <c r="C75" s="34" t="s">
        <v>125</v>
      </c>
      <c r="D75" s="34">
        <v>6</v>
      </c>
      <c r="E75" s="34">
        <v>7638</v>
      </c>
      <c r="F75" s="34">
        <v>20</v>
      </c>
      <c r="G75" s="34">
        <v>7658</v>
      </c>
      <c r="H75" s="34">
        <v>26</v>
      </c>
      <c r="I75" s="34">
        <v>7684</v>
      </c>
      <c r="J75" s="34">
        <v>19</v>
      </c>
      <c r="K75" s="34">
        <v>7703</v>
      </c>
      <c r="L75" s="34">
        <v>27</v>
      </c>
      <c r="M75" s="34">
        <v>7730</v>
      </c>
      <c r="N75" s="34">
        <v>16</v>
      </c>
      <c r="O75" s="34">
        <v>7746</v>
      </c>
      <c r="P75" s="34">
        <v>15</v>
      </c>
      <c r="Q75" s="34">
        <v>7761</v>
      </c>
      <c r="R75" s="34">
        <v>15</v>
      </c>
      <c r="S75" s="34">
        <v>7775</v>
      </c>
      <c r="T75" s="34">
        <v>14</v>
      </c>
      <c r="U75" s="34">
        <v>7789</v>
      </c>
      <c r="V75" s="34">
        <v>14</v>
      </c>
      <c r="W75" s="34">
        <v>7803</v>
      </c>
      <c r="X75" s="34">
        <v>14</v>
      </c>
      <c r="Y75" s="34">
        <v>7822</v>
      </c>
      <c r="Z75" s="34">
        <v>19</v>
      </c>
      <c r="AA75" s="34">
        <v>7840</v>
      </c>
      <c r="AB75" s="34">
        <v>18</v>
      </c>
      <c r="AC75" s="34">
        <v>18</v>
      </c>
      <c r="AD75" s="34">
        <v>0</v>
      </c>
      <c r="AE75" s="34">
        <v>0</v>
      </c>
      <c r="AG75" s="34">
        <v>3</v>
      </c>
      <c r="AH75" s="34">
        <v>0</v>
      </c>
      <c r="AI75" s="34">
        <v>21</v>
      </c>
    </row>
    <row r="76" spans="1:35" ht="15.75" customHeight="1">
      <c r="A76" s="34">
        <v>76</v>
      </c>
      <c r="B76" s="34" t="s">
        <v>131</v>
      </c>
      <c r="C76" s="34" t="s">
        <v>125</v>
      </c>
      <c r="D76" s="34">
        <v>7</v>
      </c>
      <c r="E76" s="34">
        <v>3878</v>
      </c>
      <c r="F76" s="34">
        <v>73</v>
      </c>
      <c r="G76" s="34">
        <v>3951</v>
      </c>
      <c r="H76" s="34">
        <v>74</v>
      </c>
      <c r="I76" s="34">
        <v>4025</v>
      </c>
      <c r="J76" s="34">
        <v>65</v>
      </c>
      <c r="K76" s="34">
        <v>4090</v>
      </c>
      <c r="L76" s="34">
        <v>71</v>
      </c>
      <c r="M76" s="34">
        <v>4161</v>
      </c>
      <c r="N76" s="34">
        <v>61</v>
      </c>
      <c r="O76" s="34">
        <v>4222</v>
      </c>
      <c r="P76" s="34">
        <v>58</v>
      </c>
      <c r="Q76" s="34">
        <v>4280</v>
      </c>
      <c r="R76" s="34">
        <v>58</v>
      </c>
      <c r="S76" s="34">
        <v>4331</v>
      </c>
      <c r="T76" s="34">
        <v>51</v>
      </c>
      <c r="U76" s="34">
        <v>4382</v>
      </c>
      <c r="V76" s="34">
        <v>51</v>
      </c>
      <c r="W76" s="34">
        <v>4445</v>
      </c>
      <c r="X76" s="34">
        <v>63</v>
      </c>
      <c r="Y76" s="34">
        <v>4507</v>
      </c>
      <c r="Z76" s="34">
        <v>62</v>
      </c>
      <c r="AA76" s="34">
        <v>4584</v>
      </c>
      <c r="AB76" s="34">
        <v>77</v>
      </c>
      <c r="AC76" s="34">
        <v>77</v>
      </c>
      <c r="AD76" s="34">
        <v>65</v>
      </c>
      <c r="AE76" s="34">
        <v>0</v>
      </c>
      <c r="AG76" s="34">
        <v>3</v>
      </c>
      <c r="AH76" s="34">
        <v>0</v>
      </c>
      <c r="AI76" s="34">
        <v>145</v>
      </c>
    </row>
    <row r="77" spans="1:35" ht="15.75" customHeight="1">
      <c r="A77" s="34">
        <v>77</v>
      </c>
      <c r="B77" s="34" t="s">
        <v>132</v>
      </c>
      <c r="C77" s="34" t="s">
        <v>125</v>
      </c>
      <c r="D77" s="34">
        <v>8</v>
      </c>
      <c r="E77" s="34">
        <v>1622</v>
      </c>
      <c r="F77" s="34">
        <v>6</v>
      </c>
      <c r="G77" s="34">
        <v>1628</v>
      </c>
      <c r="H77" s="34">
        <v>6</v>
      </c>
      <c r="I77" s="34">
        <v>1634</v>
      </c>
      <c r="J77" s="34">
        <v>6</v>
      </c>
      <c r="K77" s="34">
        <v>1640</v>
      </c>
      <c r="L77" s="34">
        <v>6</v>
      </c>
      <c r="M77" s="34">
        <v>1646</v>
      </c>
      <c r="N77" s="34">
        <v>7</v>
      </c>
      <c r="O77" s="34">
        <v>1653</v>
      </c>
      <c r="P77" s="34">
        <v>5</v>
      </c>
      <c r="Q77" s="34">
        <v>1658</v>
      </c>
      <c r="R77" s="34">
        <v>5</v>
      </c>
      <c r="S77" s="34">
        <v>1667</v>
      </c>
      <c r="T77" s="34">
        <v>9</v>
      </c>
      <c r="U77" s="34">
        <v>1671</v>
      </c>
      <c r="V77" s="34">
        <v>4</v>
      </c>
      <c r="W77" s="34">
        <v>1676</v>
      </c>
      <c r="X77" s="34">
        <v>5</v>
      </c>
      <c r="Y77" s="34">
        <v>1681</v>
      </c>
      <c r="Z77" s="34">
        <v>5</v>
      </c>
      <c r="AA77" s="34">
        <v>1686</v>
      </c>
      <c r="AB77" s="34">
        <v>5</v>
      </c>
      <c r="AC77" s="34">
        <v>5</v>
      </c>
      <c r="AD77" s="34">
        <v>0</v>
      </c>
      <c r="AE77" s="34">
        <v>0</v>
      </c>
      <c r="AG77" s="34">
        <v>3</v>
      </c>
      <c r="AH77" s="34">
        <v>0</v>
      </c>
      <c r="AI77" s="34">
        <v>8</v>
      </c>
    </row>
    <row r="78" spans="1:35" ht="15.75" customHeight="1">
      <c r="A78" s="34">
        <v>78</v>
      </c>
      <c r="B78" s="34" t="s">
        <v>133</v>
      </c>
      <c r="C78" s="34" t="s">
        <v>125</v>
      </c>
      <c r="D78" s="34">
        <v>9</v>
      </c>
      <c r="E78" s="34">
        <v>3754</v>
      </c>
      <c r="F78" s="34">
        <v>25</v>
      </c>
      <c r="G78" s="34">
        <v>3779</v>
      </c>
      <c r="H78" s="34">
        <v>21</v>
      </c>
      <c r="I78" s="34">
        <v>3800</v>
      </c>
      <c r="J78" s="34">
        <v>18</v>
      </c>
      <c r="K78" s="34">
        <v>3818</v>
      </c>
      <c r="L78" s="34">
        <v>17</v>
      </c>
      <c r="M78" s="34">
        <v>3835</v>
      </c>
      <c r="N78" s="34">
        <v>16</v>
      </c>
      <c r="O78" s="34">
        <v>3851</v>
      </c>
      <c r="P78" s="34">
        <v>21</v>
      </c>
      <c r="Q78" s="34">
        <v>3872</v>
      </c>
      <c r="R78" s="34">
        <v>21</v>
      </c>
      <c r="S78" s="34">
        <v>3893</v>
      </c>
      <c r="T78" s="34">
        <v>21</v>
      </c>
      <c r="U78" s="34">
        <v>3904</v>
      </c>
      <c r="V78" s="34">
        <v>11</v>
      </c>
      <c r="W78" s="34">
        <v>3915</v>
      </c>
      <c r="X78" s="34">
        <v>11</v>
      </c>
      <c r="Y78" s="34">
        <v>3929</v>
      </c>
      <c r="Z78" s="34">
        <v>14</v>
      </c>
      <c r="AA78" s="34">
        <v>3942</v>
      </c>
      <c r="AB78" s="34">
        <v>13</v>
      </c>
      <c r="AC78" s="34">
        <v>13</v>
      </c>
      <c r="AD78" s="34">
        <v>0</v>
      </c>
      <c r="AE78" s="34">
        <v>0</v>
      </c>
      <c r="AG78" s="34">
        <v>3</v>
      </c>
      <c r="AH78" s="34">
        <v>0</v>
      </c>
      <c r="AI78" s="34">
        <v>16</v>
      </c>
    </row>
    <row r="79" spans="1:35" ht="15.75" customHeight="1">
      <c r="A79" s="34">
        <v>79</v>
      </c>
      <c r="B79" s="34" t="s">
        <v>135</v>
      </c>
      <c r="C79" s="34" t="s">
        <v>125</v>
      </c>
      <c r="D79" s="34">
        <v>10</v>
      </c>
      <c r="E79" s="34">
        <v>2569</v>
      </c>
      <c r="F79" s="34">
        <v>11</v>
      </c>
      <c r="G79" s="34">
        <v>2580</v>
      </c>
      <c r="H79" s="34">
        <v>12</v>
      </c>
      <c r="I79" s="34">
        <v>2592</v>
      </c>
      <c r="J79" s="34">
        <v>13</v>
      </c>
      <c r="K79" s="34">
        <v>2605</v>
      </c>
      <c r="L79" s="34">
        <v>14</v>
      </c>
      <c r="M79" s="34">
        <v>2619</v>
      </c>
      <c r="N79" s="34">
        <v>13</v>
      </c>
      <c r="O79" s="34">
        <v>2632</v>
      </c>
      <c r="P79" s="34">
        <v>11</v>
      </c>
      <c r="Q79" s="34">
        <v>2643</v>
      </c>
      <c r="R79" s="34">
        <v>11</v>
      </c>
      <c r="S79" s="34">
        <v>2655</v>
      </c>
      <c r="T79" s="34">
        <v>12</v>
      </c>
      <c r="U79" s="34">
        <v>2667</v>
      </c>
      <c r="V79" s="34">
        <v>12</v>
      </c>
      <c r="W79" s="34">
        <v>2677</v>
      </c>
      <c r="X79" s="34">
        <v>10</v>
      </c>
      <c r="Y79" s="34">
        <v>2687</v>
      </c>
      <c r="Z79" s="34">
        <v>10</v>
      </c>
      <c r="AA79" s="34">
        <v>2697</v>
      </c>
      <c r="AB79" s="34">
        <v>10</v>
      </c>
      <c r="AC79" s="34">
        <v>10</v>
      </c>
      <c r="AD79" s="34">
        <v>0</v>
      </c>
      <c r="AE79" s="34">
        <v>0</v>
      </c>
      <c r="AG79" s="34">
        <v>3</v>
      </c>
      <c r="AH79" s="34">
        <v>0</v>
      </c>
      <c r="AI79" s="34">
        <v>13</v>
      </c>
    </row>
    <row r="80" spans="1:35" ht="15.75" customHeight="1">
      <c r="A80" s="34">
        <v>80</v>
      </c>
      <c r="B80" s="34" t="s">
        <v>2737</v>
      </c>
      <c r="C80" s="34" t="s">
        <v>125</v>
      </c>
      <c r="D80" s="34">
        <v>11</v>
      </c>
      <c r="E80" s="34">
        <v>721</v>
      </c>
      <c r="F80" s="34">
        <v>14</v>
      </c>
      <c r="G80" s="34">
        <v>735</v>
      </c>
      <c r="H80" s="34">
        <v>16</v>
      </c>
      <c r="I80" s="34">
        <v>751</v>
      </c>
      <c r="J80" s="34">
        <v>14</v>
      </c>
      <c r="K80" s="34">
        <v>765</v>
      </c>
      <c r="L80" s="34">
        <v>13</v>
      </c>
      <c r="M80" s="34">
        <v>778</v>
      </c>
      <c r="N80" s="34">
        <v>12</v>
      </c>
      <c r="O80" s="34">
        <v>790</v>
      </c>
      <c r="P80" s="34">
        <v>12</v>
      </c>
      <c r="Q80" s="34">
        <v>802</v>
      </c>
      <c r="R80" s="34">
        <v>12</v>
      </c>
      <c r="S80" s="34">
        <v>812</v>
      </c>
      <c r="T80" s="34">
        <v>10</v>
      </c>
      <c r="U80" s="34">
        <v>823</v>
      </c>
      <c r="V80" s="34">
        <v>11</v>
      </c>
      <c r="W80" s="34">
        <v>834</v>
      </c>
      <c r="X80" s="34">
        <v>11</v>
      </c>
      <c r="Y80" s="34">
        <v>844</v>
      </c>
      <c r="Z80" s="34">
        <v>10</v>
      </c>
      <c r="AA80" s="34">
        <v>855</v>
      </c>
      <c r="AB80" s="34">
        <v>11</v>
      </c>
      <c r="AC80" s="34">
        <v>11</v>
      </c>
      <c r="AD80" s="34">
        <v>0</v>
      </c>
      <c r="AE80" s="34">
        <v>0</v>
      </c>
      <c r="AG80" s="34">
        <v>3</v>
      </c>
      <c r="AH80" s="34">
        <v>20</v>
      </c>
      <c r="AI80" s="34">
        <v>34</v>
      </c>
    </row>
    <row r="81" spans="1:35" ht="15.75" customHeight="1">
      <c r="A81" s="34">
        <v>81</v>
      </c>
      <c r="B81" s="34" t="s">
        <v>137</v>
      </c>
      <c r="C81" s="34" t="s">
        <v>125</v>
      </c>
      <c r="D81" s="34">
        <v>12</v>
      </c>
      <c r="E81" s="34">
        <v>1033</v>
      </c>
      <c r="F81" s="34">
        <v>20</v>
      </c>
      <c r="G81" s="34">
        <v>1053</v>
      </c>
      <c r="H81" s="34">
        <v>-20</v>
      </c>
      <c r="I81" s="34">
        <v>1033</v>
      </c>
      <c r="J81" s="34">
        <v>0</v>
      </c>
      <c r="K81" s="34">
        <v>0</v>
      </c>
      <c r="L81" s="34">
        <v>36</v>
      </c>
      <c r="M81" s="34">
        <v>36</v>
      </c>
      <c r="N81" s="34">
        <v>28</v>
      </c>
      <c r="O81" s="34">
        <v>64</v>
      </c>
      <c r="P81" s="34">
        <v>29</v>
      </c>
      <c r="Q81" s="34">
        <v>93</v>
      </c>
      <c r="R81" s="34">
        <v>29</v>
      </c>
      <c r="S81" s="34">
        <v>116</v>
      </c>
      <c r="T81" s="34">
        <v>23</v>
      </c>
      <c r="U81" s="34">
        <v>133</v>
      </c>
      <c r="V81" s="34">
        <v>17</v>
      </c>
      <c r="W81" s="34">
        <v>153</v>
      </c>
      <c r="X81" s="34">
        <v>20</v>
      </c>
      <c r="Y81" s="34">
        <v>175</v>
      </c>
      <c r="Z81" s="34">
        <v>22</v>
      </c>
      <c r="AA81" s="34">
        <v>215</v>
      </c>
      <c r="AB81" s="34">
        <v>40</v>
      </c>
      <c r="AC81" s="34">
        <v>40</v>
      </c>
      <c r="AD81" s="34">
        <v>0</v>
      </c>
      <c r="AE81" s="34">
        <v>0</v>
      </c>
      <c r="AG81" s="34">
        <v>3</v>
      </c>
      <c r="AH81" s="34">
        <v>20</v>
      </c>
      <c r="AI81" s="34">
        <v>63</v>
      </c>
    </row>
    <row r="82" spans="1:35" ht="15.75" customHeight="1">
      <c r="A82" s="34">
        <v>82</v>
      </c>
      <c r="B82" s="34" t="s">
        <v>138</v>
      </c>
      <c r="C82" s="34" t="s">
        <v>125</v>
      </c>
      <c r="D82" s="34">
        <v>13</v>
      </c>
      <c r="E82" s="34">
        <v>26</v>
      </c>
      <c r="F82" s="34">
        <v>29</v>
      </c>
      <c r="G82" s="34">
        <v>55</v>
      </c>
      <c r="H82" s="34">
        <v>23</v>
      </c>
      <c r="I82" s="34">
        <v>78</v>
      </c>
      <c r="J82" s="34">
        <v>21</v>
      </c>
      <c r="K82" s="34">
        <v>99</v>
      </c>
      <c r="L82" s="34">
        <v>17</v>
      </c>
      <c r="M82" s="34">
        <v>116</v>
      </c>
      <c r="N82" s="34">
        <v>16</v>
      </c>
      <c r="O82" s="34">
        <v>132</v>
      </c>
      <c r="P82" s="34">
        <v>15</v>
      </c>
      <c r="Q82" s="34">
        <v>147</v>
      </c>
      <c r="R82" s="34">
        <v>15</v>
      </c>
      <c r="S82" s="34">
        <v>162</v>
      </c>
      <c r="T82" s="34">
        <v>15</v>
      </c>
      <c r="U82" s="34">
        <v>176</v>
      </c>
      <c r="V82" s="34">
        <v>14</v>
      </c>
      <c r="W82" s="34">
        <v>191</v>
      </c>
      <c r="X82" s="34">
        <v>15</v>
      </c>
      <c r="Y82" s="34">
        <v>206</v>
      </c>
      <c r="Z82" s="34">
        <v>15</v>
      </c>
      <c r="AA82" s="34">
        <v>221</v>
      </c>
      <c r="AB82" s="34">
        <v>15</v>
      </c>
      <c r="AC82" s="34">
        <v>15</v>
      </c>
      <c r="AD82" s="34">
        <v>0</v>
      </c>
      <c r="AE82" s="34">
        <v>0</v>
      </c>
      <c r="AG82" s="34">
        <v>3</v>
      </c>
      <c r="AH82" s="34">
        <v>0</v>
      </c>
      <c r="AI82" s="34">
        <v>18</v>
      </c>
    </row>
    <row r="83" spans="1:35" ht="15.75" customHeight="1">
      <c r="A83" s="34">
        <v>83</v>
      </c>
      <c r="B83" s="34" t="s">
        <v>139</v>
      </c>
      <c r="C83" s="34" t="s">
        <v>125</v>
      </c>
      <c r="D83" s="34">
        <v>16</v>
      </c>
      <c r="E83" s="34">
        <v>1499</v>
      </c>
      <c r="F83" s="34">
        <v>7</v>
      </c>
      <c r="G83" s="34">
        <v>1506</v>
      </c>
      <c r="H83" s="34">
        <v>5</v>
      </c>
      <c r="I83" s="34">
        <v>1511</v>
      </c>
      <c r="J83" s="34">
        <v>13</v>
      </c>
      <c r="K83" s="34">
        <v>1524</v>
      </c>
      <c r="L83" s="34">
        <v>14</v>
      </c>
      <c r="M83" s="34">
        <v>1538</v>
      </c>
      <c r="N83" s="34">
        <v>4</v>
      </c>
      <c r="O83" s="34">
        <v>1542</v>
      </c>
      <c r="P83" s="34">
        <v>4</v>
      </c>
      <c r="Q83" s="34">
        <v>1546</v>
      </c>
      <c r="R83" s="34">
        <v>4</v>
      </c>
      <c r="S83" s="34">
        <v>1551</v>
      </c>
      <c r="T83" s="34">
        <v>5</v>
      </c>
      <c r="U83" s="34">
        <v>1555</v>
      </c>
      <c r="V83" s="34">
        <v>4</v>
      </c>
      <c r="W83" s="34">
        <v>1559</v>
      </c>
      <c r="X83" s="34">
        <v>4</v>
      </c>
      <c r="Y83" s="34">
        <v>1562</v>
      </c>
      <c r="Z83" s="34">
        <v>3</v>
      </c>
      <c r="AA83" s="34">
        <v>1567</v>
      </c>
      <c r="AB83" s="34">
        <v>5</v>
      </c>
      <c r="AC83" s="34">
        <v>5</v>
      </c>
      <c r="AD83" s="34">
        <v>0</v>
      </c>
      <c r="AE83" s="34">
        <v>0</v>
      </c>
      <c r="AG83" s="34">
        <v>3</v>
      </c>
      <c r="AH83" s="34">
        <v>0</v>
      </c>
      <c r="AI83" s="34">
        <v>8</v>
      </c>
    </row>
    <row r="84" spans="1:35" ht="15.75" customHeight="1">
      <c r="A84" s="34">
        <v>84</v>
      </c>
      <c r="B84" s="34" t="s">
        <v>140</v>
      </c>
      <c r="C84" s="34" t="s">
        <v>125</v>
      </c>
      <c r="D84" s="34">
        <v>17</v>
      </c>
      <c r="E84" s="34">
        <v>2613</v>
      </c>
      <c r="F84" s="34">
        <v>22</v>
      </c>
      <c r="G84" s="34">
        <v>2635</v>
      </c>
      <c r="H84" s="34">
        <v>22</v>
      </c>
      <c r="I84" s="34">
        <v>2657</v>
      </c>
      <c r="J84" s="34">
        <v>20</v>
      </c>
      <c r="K84" s="34">
        <v>2677</v>
      </c>
      <c r="L84" s="34">
        <v>18</v>
      </c>
      <c r="M84" s="34">
        <v>2695</v>
      </c>
      <c r="N84" s="34">
        <v>17</v>
      </c>
      <c r="O84" s="34">
        <v>2712</v>
      </c>
      <c r="P84" s="34">
        <v>15</v>
      </c>
      <c r="Q84" s="34">
        <v>2727</v>
      </c>
      <c r="R84" s="34">
        <v>15</v>
      </c>
      <c r="S84" s="34">
        <v>2740</v>
      </c>
      <c r="T84" s="34">
        <v>13</v>
      </c>
      <c r="U84" s="34">
        <v>2753</v>
      </c>
      <c r="V84" s="34">
        <v>13</v>
      </c>
      <c r="W84" s="34">
        <v>2765</v>
      </c>
      <c r="X84" s="34">
        <v>12</v>
      </c>
      <c r="Y84" s="34">
        <v>2779</v>
      </c>
      <c r="Z84" s="34">
        <v>14</v>
      </c>
      <c r="AA84" s="34">
        <v>2794</v>
      </c>
      <c r="AB84" s="34">
        <v>15</v>
      </c>
      <c r="AC84" s="34">
        <v>15</v>
      </c>
      <c r="AD84" s="34">
        <v>0</v>
      </c>
      <c r="AE84" s="34">
        <v>0</v>
      </c>
      <c r="AG84" s="34">
        <v>3</v>
      </c>
      <c r="AH84" s="34">
        <v>0</v>
      </c>
      <c r="AI84" s="34">
        <v>18</v>
      </c>
    </row>
    <row r="85" spans="1:35" ht="15.75" customHeight="1">
      <c r="A85" s="34">
        <v>85</v>
      </c>
      <c r="B85" s="34" t="s">
        <v>141</v>
      </c>
      <c r="C85" s="34" t="s">
        <v>125</v>
      </c>
      <c r="D85" s="34">
        <v>18</v>
      </c>
      <c r="E85" s="34">
        <v>316</v>
      </c>
      <c r="F85" s="34">
        <v>27</v>
      </c>
      <c r="G85" s="34">
        <v>343</v>
      </c>
      <c r="H85" s="34">
        <v>29</v>
      </c>
      <c r="I85" s="34">
        <v>372</v>
      </c>
      <c r="J85" s="34">
        <v>17</v>
      </c>
      <c r="K85" s="34">
        <v>389</v>
      </c>
      <c r="L85" s="34">
        <v>17</v>
      </c>
      <c r="M85" s="34">
        <v>406</v>
      </c>
      <c r="N85" s="34">
        <v>17</v>
      </c>
      <c r="O85" s="34">
        <v>423</v>
      </c>
      <c r="P85" s="34">
        <v>23</v>
      </c>
      <c r="Q85" s="34">
        <v>446</v>
      </c>
      <c r="R85" s="34">
        <v>23</v>
      </c>
      <c r="S85" s="34">
        <v>462</v>
      </c>
      <c r="T85" s="34">
        <v>16</v>
      </c>
      <c r="U85" s="34">
        <v>485</v>
      </c>
      <c r="V85" s="34">
        <v>23</v>
      </c>
      <c r="W85" s="34">
        <v>506</v>
      </c>
      <c r="X85" s="34">
        <v>21</v>
      </c>
      <c r="Y85" s="34">
        <v>530</v>
      </c>
      <c r="Z85" s="34">
        <v>24</v>
      </c>
      <c r="AA85" s="34">
        <v>561</v>
      </c>
      <c r="AB85" s="34">
        <v>31</v>
      </c>
      <c r="AC85" s="34">
        <v>31</v>
      </c>
      <c r="AD85" s="34">
        <v>0</v>
      </c>
      <c r="AE85" s="34">
        <v>0</v>
      </c>
      <c r="AG85" s="34">
        <v>3</v>
      </c>
      <c r="AH85" s="34">
        <v>0</v>
      </c>
      <c r="AI85" s="34">
        <v>34</v>
      </c>
    </row>
    <row r="86" spans="1:35" ht="15.75" customHeight="1">
      <c r="A86" s="34">
        <v>86</v>
      </c>
      <c r="B86" s="34" t="s">
        <v>142</v>
      </c>
      <c r="C86" s="34" t="s">
        <v>125</v>
      </c>
      <c r="D86" s="34">
        <v>19</v>
      </c>
      <c r="E86" s="34">
        <v>1651</v>
      </c>
      <c r="F86" s="34">
        <v>8</v>
      </c>
      <c r="G86" s="34">
        <v>1659</v>
      </c>
      <c r="H86" s="34">
        <v>14</v>
      </c>
      <c r="I86" s="34">
        <v>1673</v>
      </c>
      <c r="J86" s="34">
        <v>9</v>
      </c>
      <c r="K86" s="34">
        <v>1682</v>
      </c>
      <c r="L86" s="34">
        <v>7</v>
      </c>
      <c r="M86" s="34">
        <v>1689</v>
      </c>
      <c r="N86" s="34">
        <v>6</v>
      </c>
      <c r="O86" s="34">
        <v>1695</v>
      </c>
      <c r="P86" s="34">
        <v>3</v>
      </c>
      <c r="Q86" s="34">
        <v>1698</v>
      </c>
      <c r="R86" s="34">
        <v>3</v>
      </c>
      <c r="S86" s="34">
        <v>1702</v>
      </c>
      <c r="T86" s="34">
        <v>4</v>
      </c>
      <c r="U86" s="34">
        <v>1705</v>
      </c>
      <c r="V86" s="34">
        <v>3</v>
      </c>
      <c r="W86" s="34">
        <v>1706</v>
      </c>
      <c r="X86" s="34">
        <v>1</v>
      </c>
      <c r="Y86" s="34">
        <v>1711</v>
      </c>
      <c r="Z86" s="34">
        <v>5</v>
      </c>
      <c r="AA86" s="34">
        <v>1724</v>
      </c>
      <c r="AB86" s="34">
        <v>13</v>
      </c>
      <c r="AC86" s="34">
        <v>13</v>
      </c>
      <c r="AD86" s="34">
        <v>0</v>
      </c>
      <c r="AE86" s="34">
        <v>0</v>
      </c>
      <c r="AG86" s="34">
        <v>3</v>
      </c>
      <c r="AH86" s="34">
        <v>0</v>
      </c>
      <c r="AI86" s="34">
        <v>16</v>
      </c>
    </row>
    <row r="87" spans="1:35" ht="15.75" customHeight="1">
      <c r="A87" s="34">
        <v>87</v>
      </c>
      <c r="B87" s="34" t="s">
        <v>143</v>
      </c>
      <c r="C87" s="34" t="s">
        <v>144</v>
      </c>
      <c r="D87" s="34">
        <v>1</v>
      </c>
      <c r="E87" s="34">
        <v>123</v>
      </c>
      <c r="F87" s="34">
        <v>8</v>
      </c>
      <c r="G87" s="34">
        <v>131</v>
      </c>
      <c r="H87" s="34">
        <v>8</v>
      </c>
      <c r="I87" s="34">
        <v>139</v>
      </c>
      <c r="J87" s="34">
        <v>8</v>
      </c>
      <c r="K87" s="34">
        <v>147</v>
      </c>
      <c r="L87" s="34">
        <v>9</v>
      </c>
      <c r="M87" s="34">
        <v>156</v>
      </c>
      <c r="N87" s="34">
        <v>9</v>
      </c>
      <c r="O87" s="34">
        <v>165</v>
      </c>
      <c r="P87" s="34">
        <v>6</v>
      </c>
      <c r="Q87" s="34">
        <v>171</v>
      </c>
      <c r="R87" s="34">
        <v>6</v>
      </c>
      <c r="S87" s="34">
        <v>177</v>
      </c>
      <c r="T87" s="34">
        <v>6</v>
      </c>
      <c r="U87" s="34">
        <v>185</v>
      </c>
      <c r="V87" s="34">
        <v>8</v>
      </c>
      <c r="W87" s="34">
        <v>192</v>
      </c>
      <c r="X87" s="34">
        <v>7</v>
      </c>
      <c r="Y87" s="34">
        <v>198</v>
      </c>
      <c r="Z87" s="34">
        <v>6</v>
      </c>
      <c r="AA87" s="34">
        <v>206</v>
      </c>
      <c r="AB87" s="34">
        <v>8</v>
      </c>
      <c r="AC87" s="34">
        <v>8</v>
      </c>
      <c r="AD87" s="34">
        <v>0</v>
      </c>
      <c r="AE87" s="34">
        <v>0</v>
      </c>
      <c r="AG87" s="34">
        <v>3</v>
      </c>
      <c r="AH87" s="34">
        <v>0</v>
      </c>
      <c r="AI87" s="34">
        <v>11</v>
      </c>
    </row>
    <row r="88" spans="1:35" ht="15.75" customHeight="1">
      <c r="A88" s="34">
        <v>88</v>
      </c>
      <c r="B88" s="34" t="s">
        <v>145</v>
      </c>
      <c r="C88" s="34" t="s">
        <v>144</v>
      </c>
      <c r="D88" s="34">
        <v>2</v>
      </c>
      <c r="E88" s="34">
        <v>2908</v>
      </c>
      <c r="F88" s="34">
        <v>12</v>
      </c>
      <c r="G88" s="34">
        <v>2920</v>
      </c>
      <c r="H88" s="34">
        <v>11</v>
      </c>
      <c r="I88" s="34">
        <v>2931</v>
      </c>
      <c r="J88" s="34">
        <v>12</v>
      </c>
      <c r="K88" s="34">
        <v>2943</v>
      </c>
      <c r="L88" s="34">
        <v>9</v>
      </c>
      <c r="M88" s="34">
        <v>2952</v>
      </c>
      <c r="N88" s="34">
        <v>10</v>
      </c>
      <c r="O88" s="34">
        <v>2962</v>
      </c>
      <c r="P88" s="34">
        <v>8</v>
      </c>
      <c r="Q88" s="34">
        <v>2970</v>
      </c>
      <c r="R88" s="34">
        <v>8</v>
      </c>
      <c r="S88" s="34">
        <v>2988</v>
      </c>
      <c r="T88" s="34">
        <v>18</v>
      </c>
      <c r="U88" s="34">
        <v>2998</v>
      </c>
      <c r="V88" s="34">
        <v>10</v>
      </c>
      <c r="W88" s="34">
        <v>3015</v>
      </c>
      <c r="X88" s="34">
        <v>17</v>
      </c>
      <c r="Y88" s="34">
        <v>3026</v>
      </c>
      <c r="Z88" s="34">
        <v>11</v>
      </c>
      <c r="AA88" s="34">
        <v>3038</v>
      </c>
      <c r="AB88" s="34">
        <v>12</v>
      </c>
      <c r="AC88" s="34">
        <v>12</v>
      </c>
      <c r="AD88" s="34">
        <v>0</v>
      </c>
      <c r="AE88" s="34">
        <v>0</v>
      </c>
      <c r="AG88" s="34">
        <v>3</v>
      </c>
      <c r="AH88" s="34">
        <v>0</v>
      </c>
      <c r="AI88" s="34">
        <v>15</v>
      </c>
    </row>
    <row r="89" spans="1:35" ht="15.75" customHeight="1">
      <c r="A89" s="34">
        <v>89</v>
      </c>
      <c r="B89" s="34" t="s">
        <v>146</v>
      </c>
      <c r="C89" s="34" t="s">
        <v>144</v>
      </c>
      <c r="D89" s="34">
        <v>3</v>
      </c>
      <c r="E89" s="34">
        <v>2023</v>
      </c>
      <c r="F89" s="34">
        <v>78</v>
      </c>
      <c r="G89" s="34">
        <v>2101</v>
      </c>
      <c r="H89" s="34">
        <v>66</v>
      </c>
      <c r="I89" s="34">
        <v>2167</v>
      </c>
      <c r="J89" s="34">
        <v>74</v>
      </c>
      <c r="K89" s="34">
        <v>2241</v>
      </c>
      <c r="L89" s="34">
        <v>73</v>
      </c>
      <c r="M89" s="34">
        <v>2314</v>
      </c>
      <c r="N89" s="34">
        <v>72</v>
      </c>
      <c r="O89" s="34">
        <v>2386</v>
      </c>
      <c r="P89" s="34">
        <v>73</v>
      </c>
      <c r="Q89" s="34">
        <v>2459</v>
      </c>
      <c r="R89" s="34">
        <v>73</v>
      </c>
      <c r="S89" s="34">
        <v>2527</v>
      </c>
      <c r="T89" s="34">
        <v>68</v>
      </c>
      <c r="U89" s="34">
        <v>2584</v>
      </c>
      <c r="V89" s="34">
        <v>57</v>
      </c>
      <c r="W89" s="34">
        <v>2601</v>
      </c>
      <c r="X89" s="34">
        <v>17</v>
      </c>
      <c r="Y89" s="34">
        <v>2609</v>
      </c>
      <c r="Z89" s="34">
        <v>8</v>
      </c>
      <c r="AA89" s="34">
        <v>2619</v>
      </c>
      <c r="AB89" s="34">
        <v>10</v>
      </c>
      <c r="AC89" s="34">
        <v>10</v>
      </c>
      <c r="AD89" s="34">
        <v>0</v>
      </c>
      <c r="AE89" s="34">
        <v>0</v>
      </c>
      <c r="AG89" s="34">
        <v>3</v>
      </c>
      <c r="AH89" s="34">
        <v>20</v>
      </c>
      <c r="AI89" s="34">
        <v>33</v>
      </c>
    </row>
    <row r="90" spans="1:35" ht="15.75" customHeight="1">
      <c r="A90" s="34">
        <v>90</v>
      </c>
      <c r="B90" s="34" t="s">
        <v>147</v>
      </c>
      <c r="C90" s="34" t="s">
        <v>144</v>
      </c>
      <c r="D90" s="34">
        <v>4</v>
      </c>
      <c r="E90" s="34">
        <v>1736</v>
      </c>
      <c r="F90" s="34">
        <v>11</v>
      </c>
      <c r="G90" s="34">
        <v>1747</v>
      </c>
      <c r="H90" s="34">
        <v>12</v>
      </c>
      <c r="I90" s="34">
        <v>1759</v>
      </c>
      <c r="J90" s="34">
        <v>9</v>
      </c>
      <c r="K90" s="34">
        <v>1768</v>
      </c>
      <c r="L90" s="34">
        <v>14</v>
      </c>
      <c r="M90" s="34">
        <v>1782</v>
      </c>
      <c r="N90" s="34">
        <v>12</v>
      </c>
      <c r="O90" s="34">
        <v>1794</v>
      </c>
      <c r="P90" s="34">
        <v>5</v>
      </c>
      <c r="Q90" s="34">
        <v>1799</v>
      </c>
      <c r="R90" s="34">
        <v>5</v>
      </c>
      <c r="S90" s="34">
        <v>1803</v>
      </c>
      <c r="T90" s="34">
        <v>4</v>
      </c>
      <c r="U90" s="34">
        <v>1810</v>
      </c>
      <c r="V90" s="34">
        <v>7</v>
      </c>
      <c r="W90" s="34">
        <v>1822</v>
      </c>
      <c r="X90" s="34">
        <v>12</v>
      </c>
      <c r="Y90" s="34">
        <v>0</v>
      </c>
      <c r="Z90" s="34">
        <v>0</v>
      </c>
      <c r="AA90" s="34">
        <v>8</v>
      </c>
      <c r="AB90" s="34">
        <v>8</v>
      </c>
      <c r="AC90" s="34">
        <v>8</v>
      </c>
      <c r="AD90" s="34">
        <v>20</v>
      </c>
      <c r="AE90" s="34">
        <v>0</v>
      </c>
      <c r="AF90" s="34">
        <v>65</v>
      </c>
      <c r="AG90" s="34">
        <v>3</v>
      </c>
      <c r="AH90" s="34">
        <v>0</v>
      </c>
      <c r="AI90" s="34">
        <v>96</v>
      </c>
    </row>
    <row r="91" spans="1:35" ht="15.75" customHeight="1">
      <c r="A91" s="34">
        <v>91</v>
      </c>
      <c r="B91" s="34" t="s">
        <v>148</v>
      </c>
      <c r="C91" s="34" t="s">
        <v>144</v>
      </c>
      <c r="D91" s="34">
        <v>6</v>
      </c>
      <c r="E91" s="34">
        <v>623</v>
      </c>
      <c r="F91" s="34">
        <v>16</v>
      </c>
      <c r="G91" s="34">
        <v>639</v>
      </c>
      <c r="H91" s="34">
        <v>17</v>
      </c>
      <c r="I91" s="34">
        <v>656</v>
      </c>
      <c r="J91" s="34">
        <v>19</v>
      </c>
      <c r="K91" s="34">
        <v>675</v>
      </c>
      <c r="L91" s="34">
        <v>14</v>
      </c>
      <c r="M91" s="34">
        <v>689</v>
      </c>
      <c r="N91" s="34">
        <v>15</v>
      </c>
      <c r="O91" s="34">
        <v>704</v>
      </c>
      <c r="P91" s="34">
        <v>11</v>
      </c>
      <c r="Q91" s="34">
        <v>715</v>
      </c>
      <c r="R91" s="34">
        <v>11</v>
      </c>
      <c r="S91" s="34">
        <v>722</v>
      </c>
      <c r="T91" s="34">
        <v>7</v>
      </c>
      <c r="U91" s="34">
        <v>730</v>
      </c>
      <c r="V91" s="34">
        <v>8</v>
      </c>
      <c r="W91" s="34">
        <v>740</v>
      </c>
      <c r="X91" s="34">
        <v>10</v>
      </c>
      <c r="Y91" s="34">
        <v>750</v>
      </c>
      <c r="Z91" s="34">
        <v>10</v>
      </c>
      <c r="AA91" s="34">
        <v>765</v>
      </c>
      <c r="AB91" s="34">
        <v>15</v>
      </c>
      <c r="AC91" s="34">
        <v>15</v>
      </c>
      <c r="AD91" s="34">
        <v>0</v>
      </c>
      <c r="AE91" s="34">
        <v>0</v>
      </c>
      <c r="AG91" s="34">
        <v>3</v>
      </c>
      <c r="AH91" s="34">
        <v>0</v>
      </c>
      <c r="AI91" s="34">
        <v>18</v>
      </c>
    </row>
    <row r="92" spans="1:35" ht="15.75" customHeight="1">
      <c r="A92" s="34">
        <v>92</v>
      </c>
      <c r="B92" s="34" t="s">
        <v>149</v>
      </c>
      <c r="C92" s="34" t="s">
        <v>144</v>
      </c>
      <c r="D92" s="34">
        <v>7</v>
      </c>
      <c r="E92" s="34">
        <v>1760</v>
      </c>
      <c r="F92" s="34">
        <v>3</v>
      </c>
      <c r="G92" s="34">
        <v>1763</v>
      </c>
      <c r="H92" s="34">
        <v>10</v>
      </c>
      <c r="I92" s="34">
        <v>1773</v>
      </c>
      <c r="J92" s="34">
        <v>7</v>
      </c>
      <c r="K92" s="34">
        <v>1780</v>
      </c>
      <c r="L92" s="34">
        <v>3</v>
      </c>
      <c r="M92" s="34">
        <v>1783</v>
      </c>
      <c r="N92" s="34">
        <v>15</v>
      </c>
      <c r="O92" s="34">
        <v>1798</v>
      </c>
      <c r="P92" s="34">
        <v>2</v>
      </c>
      <c r="Q92" s="34">
        <v>1800</v>
      </c>
      <c r="R92" s="34">
        <v>2</v>
      </c>
      <c r="S92" s="34">
        <v>1803</v>
      </c>
      <c r="T92" s="34">
        <v>3</v>
      </c>
      <c r="U92" s="34">
        <v>1804</v>
      </c>
      <c r="V92" s="34">
        <v>1</v>
      </c>
      <c r="W92" s="34">
        <v>1808</v>
      </c>
      <c r="X92" s="34">
        <v>4</v>
      </c>
      <c r="Y92" s="34">
        <v>1814</v>
      </c>
      <c r="Z92" s="34">
        <v>6</v>
      </c>
      <c r="AA92" s="34">
        <v>1819</v>
      </c>
      <c r="AB92" s="34">
        <v>5</v>
      </c>
      <c r="AC92" s="34">
        <v>5</v>
      </c>
      <c r="AD92" s="34">
        <v>0</v>
      </c>
      <c r="AE92" s="34">
        <v>0</v>
      </c>
      <c r="AG92" s="34">
        <v>3</v>
      </c>
      <c r="AH92" s="34">
        <v>0</v>
      </c>
      <c r="AI92" s="34">
        <v>8</v>
      </c>
    </row>
    <row r="93" spans="1:35" ht="15.75" customHeight="1">
      <c r="A93" s="34">
        <v>93</v>
      </c>
      <c r="B93" s="34" t="s">
        <v>150</v>
      </c>
      <c r="C93" s="34" t="s">
        <v>144</v>
      </c>
      <c r="D93" s="34">
        <v>8</v>
      </c>
      <c r="E93" s="34">
        <v>826</v>
      </c>
      <c r="F93" s="34">
        <v>4</v>
      </c>
      <c r="G93" s="34">
        <v>830</v>
      </c>
      <c r="H93" s="34">
        <v>5</v>
      </c>
      <c r="I93" s="34">
        <v>835</v>
      </c>
      <c r="J93" s="34">
        <v>7</v>
      </c>
      <c r="K93" s="34">
        <v>842</v>
      </c>
      <c r="L93" s="34">
        <v>9</v>
      </c>
      <c r="M93" s="34">
        <v>851</v>
      </c>
      <c r="N93" s="34">
        <v>21</v>
      </c>
      <c r="O93" s="34">
        <v>872</v>
      </c>
      <c r="P93" s="34">
        <v>5</v>
      </c>
      <c r="Q93" s="34">
        <v>877</v>
      </c>
      <c r="R93" s="34">
        <v>5</v>
      </c>
      <c r="S93" s="34">
        <v>896</v>
      </c>
      <c r="T93" s="34">
        <v>19</v>
      </c>
      <c r="U93" s="34">
        <v>899</v>
      </c>
      <c r="V93" s="34">
        <v>3</v>
      </c>
      <c r="W93" s="34">
        <v>904</v>
      </c>
      <c r="X93" s="34">
        <v>5</v>
      </c>
      <c r="Y93" s="34">
        <v>913</v>
      </c>
      <c r="Z93" s="34">
        <v>9</v>
      </c>
      <c r="AA93" s="34">
        <v>919</v>
      </c>
      <c r="AB93" s="34">
        <v>6</v>
      </c>
      <c r="AC93" s="34">
        <v>6</v>
      </c>
      <c r="AD93" s="34">
        <v>0</v>
      </c>
      <c r="AE93" s="34">
        <v>0</v>
      </c>
      <c r="AG93" s="34">
        <v>3</v>
      </c>
      <c r="AH93" s="34">
        <v>0</v>
      </c>
      <c r="AI93" s="34">
        <v>9</v>
      </c>
    </row>
    <row r="94" spans="1:35" ht="15.75" customHeight="1">
      <c r="A94" s="34">
        <v>94</v>
      </c>
      <c r="B94" s="34" t="s">
        <v>151</v>
      </c>
      <c r="C94" s="34" t="s">
        <v>144</v>
      </c>
      <c r="D94" s="34">
        <v>9</v>
      </c>
      <c r="E94" s="34">
        <v>3190</v>
      </c>
      <c r="F94" s="34">
        <v>21</v>
      </c>
      <c r="G94" s="34">
        <v>3211</v>
      </c>
      <c r="H94" s="34">
        <v>21</v>
      </c>
      <c r="I94" s="34">
        <v>3232</v>
      </c>
      <c r="J94" s="34">
        <v>20</v>
      </c>
      <c r="K94" s="34">
        <v>3252</v>
      </c>
      <c r="L94" s="34">
        <v>22</v>
      </c>
      <c r="M94" s="34">
        <v>3274</v>
      </c>
      <c r="N94" s="34">
        <v>23</v>
      </c>
      <c r="O94" s="34">
        <v>3297</v>
      </c>
      <c r="P94" s="34">
        <v>17</v>
      </c>
      <c r="Q94" s="34">
        <v>3314</v>
      </c>
      <c r="R94" s="34">
        <v>17</v>
      </c>
      <c r="S94" s="34">
        <v>3328</v>
      </c>
      <c r="T94" s="34">
        <v>14</v>
      </c>
      <c r="U94" s="34">
        <v>3340</v>
      </c>
      <c r="V94" s="34">
        <v>12</v>
      </c>
      <c r="W94" s="34">
        <v>3355</v>
      </c>
      <c r="X94" s="34">
        <v>15</v>
      </c>
      <c r="Y94" s="34">
        <v>3375</v>
      </c>
      <c r="Z94" s="34">
        <v>20</v>
      </c>
      <c r="AA94" s="34">
        <v>3397</v>
      </c>
      <c r="AB94" s="34">
        <v>22</v>
      </c>
      <c r="AC94" s="34">
        <v>22</v>
      </c>
      <c r="AD94" s="34">
        <v>0</v>
      </c>
      <c r="AE94" s="34">
        <v>0</v>
      </c>
      <c r="AG94" s="34">
        <v>3</v>
      </c>
      <c r="AH94" s="34">
        <v>0</v>
      </c>
      <c r="AI94" s="34">
        <v>25</v>
      </c>
    </row>
    <row r="95" spans="1:35" ht="15.75" customHeight="1">
      <c r="A95" s="34">
        <v>95</v>
      </c>
      <c r="B95" s="34" t="s">
        <v>152</v>
      </c>
      <c r="C95" s="34" t="s">
        <v>144</v>
      </c>
      <c r="D95" s="34">
        <v>10</v>
      </c>
      <c r="E95" s="34">
        <v>100</v>
      </c>
      <c r="F95" s="34">
        <v>51</v>
      </c>
      <c r="G95" s="34">
        <v>151</v>
      </c>
      <c r="H95" s="34">
        <v>49</v>
      </c>
      <c r="I95" s="34">
        <v>200</v>
      </c>
      <c r="J95" s="34">
        <v>36</v>
      </c>
      <c r="K95" s="34">
        <v>236</v>
      </c>
      <c r="L95" s="34">
        <v>32</v>
      </c>
      <c r="M95" s="34">
        <v>268</v>
      </c>
      <c r="N95" s="34">
        <v>29</v>
      </c>
      <c r="O95" s="34">
        <v>297</v>
      </c>
      <c r="P95" s="34">
        <v>23</v>
      </c>
      <c r="Q95" s="34">
        <v>320</v>
      </c>
      <c r="R95" s="34">
        <v>23</v>
      </c>
      <c r="S95" s="34">
        <v>340</v>
      </c>
      <c r="T95" s="34">
        <v>20</v>
      </c>
      <c r="U95" s="34">
        <v>359</v>
      </c>
      <c r="V95" s="34">
        <v>19</v>
      </c>
      <c r="W95" s="34">
        <v>386</v>
      </c>
      <c r="X95" s="34">
        <v>27</v>
      </c>
      <c r="Y95" s="34">
        <v>411</v>
      </c>
      <c r="Z95" s="34">
        <v>25</v>
      </c>
      <c r="AA95" s="34">
        <v>445</v>
      </c>
      <c r="AB95" s="34">
        <v>34</v>
      </c>
      <c r="AC95" s="34">
        <v>34</v>
      </c>
      <c r="AD95" s="34">
        <v>28</v>
      </c>
      <c r="AE95" s="34">
        <v>0</v>
      </c>
      <c r="AG95" s="34">
        <v>3</v>
      </c>
      <c r="AH95" s="34">
        <v>20</v>
      </c>
      <c r="AI95" s="34">
        <v>85</v>
      </c>
    </row>
    <row r="96" spans="1:35" ht="15.75" customHeight="1">
      <c r="A96" s="34">
        <v>96</v>
      </c>
      <c r="B96" s="34" t="s">
        <v>153</v>
      </c>
      <c r="C96" s="34" t="s">
        <v>144</v>
      </c>
      <c r="D96" s="34">
        <v>11</v>
      </c>
      <c r="E96" s="34">
        <v>3342</v>
      </c>
      <c r="F96" s="34">
        <v>56</v>
      </c>
      <c r="G96" s="34">
        <v>3398</v>
      </c>
      <c r="H96" s="34">
        <v>48</v>
      </c>
      <c r="I96" s="34">
        <v>3446</v>
      </c>
      <c r="J96" s="34">
        <v>33</v>
      </c>
      <c r="K96" s="34">
        <v>3479</v>
      </c>
      <c r="L96" s="34">
        <v>29</v>
      </c>
      <c r="M96" s="34">
        <v>3508</v>
      </c>
      <c r="N96" s="34">
        <v>30</v>
      </c>
      <c r="O96" s="34">
        <v>3538</v>
      </c>
      <c r="P96" s="34">
        <v>26</v>
      </c>
      <c r="Q96" s="34">
        <v>3564</v>
      </c>
      <c r="R96" s="34">
        <v>26</v>
      </c>
      <c r="S96" s="34">
        <v>3587</v>
      </c>
      <c r="T96" s="34">
        <v>23</v>
      </c>
      <c r="U96" s="34">
        <v>3610</v>
      </c>
      <c r="V96" s="34">
        <v>23</v>
      </c>
      <c r="W96" s="34">
        <v>3633</v>
      </c>
      <c r="X96" s="34">
        <v>23</v>
      </c>
      <c r="Y96" s="34">
        <v>3659</v>
      </c>
      <c r="Z96" s="34">
        <v>26</v>
      </c>
      <c r="AA96" s="34">
        <v>3685</v>
      </c>
      <c r="AB96" s="34">
        <v>26</v>
      </c>
      <c r="AC96" s="34">
        <v>26</v>
      </c>
      <c r="AD96" s="34">
        <v>0</v>
      </c>
      <c r="AE96" s="34">
        <v>0</v>
      </c>
      <c r="AG96" s="34">
        <v>3</v>
      </c>
      <c r="AH96" s="34">
        <v>0</v>
      </c>
      <c r="AI96" s="34">
        <v>29</v>
      </c>
    </row>
    <row r="97" spans="1:35" ht="15.75" customHeight="1">
      <c r="A97" s="34">
        <v>97</v>
      </c>
      <c r="B97" s="34" t="s">
        <v>154</v>
      </c>
      <c r="C97" s="34" t="s">
        <v>144</v>
      </c>
      <c r="D97" s="34">
        <v>12</v>
      </c>
      <c r="E97" s="34">
        <v>3375</v>
      </c>
      <c r="F97" s="34">
        <v>16</v>
      </c>
      <c r="G97" s="34">
        <v>3391</v>
      </c>
      <c r="H97" s="34">
        <v>13</v>
      </c>
      <c r="I97" s="34">
        <v>3404</v>
      </c>
      <c r="J97" s="34">
        <v>13</v>
      </c>
      <c r="K97" s="34">
        <v>3417</v>
      </c>
      <c r="L97" s="34">
        <v>12</v>
      </c>
      <c r="M97" s="34">
        <v>3429</v>
      </c>
      <c r="N97" s="34">
        <v>13</v>
      </c>
      <c r="O97" s="34">
        <v>3442</v>
      </c>
      <c r="P97" s="34">
        <v>10</v>
      </c>
      <c r="Q97" s="34">
        <v>3452</v>
      </c>
      <c r="R97" s="34">
        <v>10</v>
      </c>
      <c r="S97" s="34">
        <v>3463</v>
      </c>
      <c r="T97" s="34">
        <v>11</v>
      </c>
      <c r="U97" s="34">
        <v>3473</v>
      </c>
      <c r="V97" s="34">
        <v>10</v>
      </c>
      <c r="W97" s="34">
        <v>3489</v>
      </c>
      <c r="X97" s="34">
        <v>16</v>
      </c>
      <c r="Y97" s="34">
        <v>3503</v>
      </c>
      <c r="Z97" s="34">
        <v>14</v>
      </c>
      <c r="AA97" s="34">
        <v>3516</v>
      </c>
      <c r="AB97" s="34">
        <v>13</v>
      </c>
      <c r="AC97" s="34">
        <v>13</v>
      </c>
      <c r="AD97" s="34">
        <v>17</v>
      </c>
      <c r="AE97" s="34">
        <v>0</v>
      </c>
      <c r="AG97" s="34">
        <v>3</v>
      </c>
      <c r="AH97" s="34">
        <v>0</v>
      </c>
      <c r="AI97" s="34">
        <v>33</v>
      </c>
    </row>
    <row r="98" spans="1:35" ht="15.75" customHeight="1">
      <c r="A98" s="34">
        <v>98</v>
      </c>
      <c r="B98" s="34" t="s">
        <v>155</v>
      </c>
      <c r="C98" s="34" t="s">
        <v>144</v>
      </c>
      <c r="D98" s="34">
        <v>13</v>
      </c>
      <c r="E98" s="34">
        <v>2528</v>
      </c>
      <c r="F98" s="34">
        <v>28</v>
      </c>
      <c r="G98" s="34">
        <v>2556</v>
      </c>
      <c r="H98" s="34">
        <v>30</v>
      </c>
      <c r="I98" s="34">
        <v>2586</v>
      </c>
      <c r="J98" s="34">
        <v>19</v>
      </c>
      <c r="K98" s="34">
        <v>2605</v>
      </c>
      <c r="L98" s="34">
        <v>20</v>
      </c>
      <c r="M98" s="34">
        <v>2625</v>
      </c>
      <c r="N98" s="34">
        <v>26</v>
      </c>
      <c r="O98" s="34">
        <v>2651</v>
      </c>
      <c r="P98" s="34">
        <v>21</v>
      </c>
      <c r="Q98" s="34">
        <v>2672</v>
      </c>
      <c r="R98" s="34">
        <v>21</v>
      </c>
      <c r="S98" s="34">
        <v>2691</v>
      </c>
      <c r="T98" s="34">
        <v>19</v>
      </c>
      <c r="U98" s="34">
        <v>2710</v>
      </c>
      <c r="V98" s="34">
        <v>19</v>
      </c>
      <c r="W98" s="34">
        <v>2727</v>
      </c>
      <c r="X98" s="34">
        <v>17</v>
      </c>
      <c r="Y98" s="34">
        <v>2751</v>
      </c>
      <c r="Z98" s="34">
        <v>24</v>
      </c>
      <c r="AA98" s="34">
        <v>2767</v>
      </c>
      <c r="AB98" s="34">
        <v>16</v>
      </c>
      <c r="AC98" s="34">
        <v>16</v>
      </c>
      <c r="AD98" s="34">
        <v>0</v>
      </c>
      <c r="AE98" s="34">
        <v>0</v>
      </c>
      <c r="AG98" s="34">
        <v>3</v>
      </c>
      <c r="AH98" s="34">
        <v>0</v>
      </c>
      <c r="AI98" s="34">
        <v>19</v>
      </c>
    </row>
    <row r="99" spans="1:35" ht="15.75" customHeight="1">
      <c r="A99" s="34">
        <v>99</v>
      </c>
      <c r="B99" s="34" t="s">
        <v>156</v>
      </c>
      <c r="C99" s="34" t="s">
        <v>144</v>
      </c>
      <c r="D99" s="34">
        <v>14</v>
      </c>
      <c r="E99" s="34">
        <v>4542</v>
      </c>
      <c r="F99" s="34">
        <v>18</v>
      </c>
      <c r="G99" s="34">
        <v>4560</v>
      </c>
      <c r="H99" s="34">
        <v>18</v>
      </c>
      <c r="I99" s="34">
        <v>4578</v>
      </c>
      <c r="J99" s="34">
        <v>18</v>
      </c>
      <c r="K99" s="34">
        <v>4596</v>
      </c>
      <c r="L99" s="34">
        <v>27</v>
      </c>
      <c r="M99" s="34">
        <v>4623</v>
      </c>
      <c r="N99" s="34">
        <v>33</v>
      </c>
      <c r="O99" s="34">
        <v>4656</v>
      </c>
      <c r="P99" s="34">
        <v>14</v>
      </c>
      <c r="Q99" s="34">
        <v>4670</v>
      </c>
      <c r="R99" s="34">
        <v>14</v>
      </c>
      <c r="S99" s="34">
        <v>4683</v>
      </c>
      <c r="T99" s="34">
        <v>13</v>
      </c>
      <c r="U99" s="34">
        <v>4695</v>
      </c>
      <c r="V99" s="34">
        <v>12</v>
      </c>
      <c r="W99" s="34">
        <v>4708</v>
      </c>
      <c r="X99" s="34">
        <v>13</v>
      </c>
      <c r="Y99" s="34">
        <v>4722</v>
      </c>
      <c r="Z99" s="34">
        <v>14</v>
      </c>
      <c r="AA99" s="34">
        <v>4740</v>
      </c>
      <c r="AB99" s="34">
        <v>18</v>
      </c>
      <c r="AC99" s="34">
        <v>18</v>
      </c>
      <c r="AD99" s="34">
        <v>0</v>
      </c>
      <c r="AE99" s="34">
        <v>0</v>
      </c>
      <c r="AG99" s="34">
        <v>3</v>
      </c>
      <c r="AH99" s="34">
        <v>0</v>
      </c>
      <c r="AI99" s="34">
        <v>21</v>
      </c>
    </row>
    <row r="100" spans="1:35" ht="15.75" customHeight="1">
      <c r="A100" s="34">
        <v>100</v>
      </c>
      <c r="B100" s="34" t="s">
        <v>157</v>
      </c>
      <c r="C100" s="34" t="s">
        <v>144</v>
      </c>
      <c r="D100" s="34" t="s">
        <v>2738</v>
      </c>
      <c r="E100" s="34">
        <v>216</v>
      </c>
      <c r="F100" s="34">
        <v>4</v>
      </c>
      <c r="G100" s="34">
        <v>220</v>
      </c>
      <c r="H100" s="34">
        <v>5</v>
      </c>
      <c r="I100" s="34">
        <v>225</v>
      </c>
      <c r="J100" s="34">
        <v>6</v>
      </c>
      <c r="K100" s="34">
        <v>231</v>
      </c>
      <c r="L100" s="34">
        <v>4</v>
      </c>
      <c r="M100" s="34">
        <v>235</v>
      </c>
      <c r="N100" s="34">
        <v>4</v>
      </c>
      <c r="O100" s="34">
        <v>239</v>
      </c>
      <c r="P100" s="34">
        <v>4</v>
      </c>
      <c r="Q100" s="34">
        <v>243</v>
      </c>
      <c r="R100" s="34">
        <v>4</v>
      </c>
      <c r="S100" s="34">
        <v>246</v>
      </c>
      <c r="T100" s="34">
        <v>3</v>
      </c>
      <c r="U100" s="34">
        <v>249</v>
      </c>
      <c r="V100" s="34">
        <v>3</v>
      </c>
      <c r="W100" s="34">
        <v>252</v>
      </c>
      <c r="X100" s="34">
        <v>3</v>
      </c>
      <c r="Y100" s="34">
        <v>256</v>
      </c>
      <c r="Z100" s="34">
        <v>4</v>
      </c>
      <c r="AA100" s="34">
        <v>260</v>
      </c>
      <c r="AB100" s="34">
        <v>4</v>
      </c>
      <c r="AC100" s="34">
        <v>5</v>
      </c>
      <c r="AD100" s="34">
        <v>8</v>
      </c>
      <c r="AE100" s="34">
        <v>0</v>
      </c>
      <c r="AG100" s="34">
        <v>3</v>
      </c>
      <c r="AH100" s="34">
        <v>0</v>
      </c>
      <c r="AI100" s="34">
        <v>16</v>
      </c>
    </row>
    <row r="101" spans="1:35" ht="15.75" customHeight="1">
      <c r="A101" s="34">
        <v>101</v>
      </c>
      <c r="B101" s="34" t="s">
        <v>2739</v>
      </c>
      <c r="C101" s="34" t="s">
        <v>144</v>
      </c>
      <c r="D101" s="34">
        <v>19</v>
      </c>
      <c r="P101" s="34">
        <v>1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0</v>
      </c>
      <c r="X101" s="34">
        <v>0</v>
      </c>
      <c r="Y101" s="34">
        <v>0</v>
      </c>
      <c r="Z101" s="34">
        <v>0</v>
      </c>
      <c r="AA101" s="34">
        <v>0</v>
      </c>
      <c r="AB101" s="34">
        <v>0</v>
      </c>
      <c r="AC101" s="34">
        <v>5</v>
      </c>
      <c r="AD101" s="34">
        <v>0</v>
      </c>
      <c r="AE101" s="34">
        <v>0</v>
      </c>
      <c r="AG101" s="34">
        <v>3</v>
      </c>
      <c r="AH101" s="34">
        <v>0</v>
      </c>
      <c r="AI101" s="34">
        <v>8</v>
      </c>
    </row>
    <row r="102" spans="1:35" ht="15.75" customHeight="1">
      <c r="A102" s="34">
        <v>102</v>
      </c>
      <c r="B102" s="34" t="s">
        <v>160</v>
      </c>
      <c r="C102" s="34" t="s">
        <v>161</v>
      </c>
      <c r="D102" s="34">
        <v>1</v>
      </c>
      <c r="E102" s="34">
        <v>344</v>
      </c>
      <c r="F102" s="34">
        <v>23</v>
      </c>
      <c r="G102" s="34">
        <v>367</v>
      </c>
      <c r="H102" s="34">
        <v>20</v>
      </c>
      <c r="I102" s="34">
        <v>387</v>
      </c>
      <c r="J102" s="34">
        <v>23</v>
      </c>
      <c r="K102" s="34">
        <v>410</v>
      </c>
      <c r="L102" s="34">
        <v>19</v>
      </c>
      <c r="M102" s="34">
        <v>429</v>
      </c>
      <c r="N102" s="34">
        <v>20</v>
      </c>
      <c r="O102" s="34">
        <v>449</v>
      </c>
      <c r="P102" s="34">
        <v>16</v>
      </c>
      <c r="Q102" s="34">
        <v>465</v>
      </c>
      <c r="R102" s="34">
        <v>16</v>
      </c>
      <c r="S102" s="34">
        <v>481</v>
      </c>
      <c r="T102" s="34">
        <v>16</v>
      </c>
      <c r="U102" s="34">
        <v>498</v>
      </c>
      <c r="V102" s="34">
        <v>17</v>
      </c>
      <c r="W102" s="34">
        <v>518</v>
      </c>
      <c r="X102" s="34">
        <v>20</v>
      </c>
      <c r="Y102" s="34">
        <v>534</v>
      </c>
      <c r="Z102" s="34">
        <v>16</v>
      </c>
      <c r="AA102" s="34">
        <v>553</v>
      </c>
      <c r="AB102" s="34">
        <v>19</v>
      </c>
      <c r="AC102" s="34">
        <v>19</v>
      </c>
      <c r="AD102" s="34">
        <v>0</v>
      </c>
      <c r="AE102" s="34">
        <v>0</v>
      </c>
      <c r="AG102" s="34">
        <v>3</v>
      </c>
      <c r="AH102" s="34">
        <v>0</v>
      </c>
      <c r="AI102" s="34">
        <v>22</v>
      </c>
    </row>
    <row r="103" spans="1:35" ht="15.75" customHeight="1">
      <c r="A103" s="34">
        <v>103</v>
      </c>
      <c r="B103" s="34" t="s">
        <v>162</v>
      </c>
      <c r="C103" s="34" t="s">
        <v>161</v>
      </c>
      <c r="D103" s="34">
        <v>3</v>
      </c>
      <c r="E103" s="34">
        <v>1</v>
      </c>
      <c r="F103" s="34">
        <v>0</v>
      </c>
      <c r="G103" s="34">
        <v>1</v>
      </c>
      <c r="H103" s="34">
        <v>4</v>
      </c>
      <c r="I103" s="34">
        <v>5</v>
      </c>
      <c r="J103" s="34">
        <v>1</v>
      </c>
      <c r="K103" s="34">
        <v>2</v>
      </c>
      <c r="L103" s="34">
        <v>3</v>
      </c>
      <c r="M103" s="34">
        <v>5</v>
      </c>
      <c r="N103" s="34">
        <v>-2</v>
      </c>
      <c r="O103" s="34">
        <v>3</v>
      </c>
      <c r="P103" s="34">
        <v>0</v>
      </c>
      <c r="Q103" s="34">
        <v>3</v>
      </c>
      <c r="R103" s="34">
        <v>0</v>
      </c>
      <c r="S103" s="34">
        <v>3</v>
      </c>
      <c r="T103" s="34">
        <v>0</v>
      </c>
      <c r="U103" s="34">
        <v>3</v>
      </c>
      <c r="V103" s="34">
        <v>0</v>
      </c>
      <c r="W103" s="34">
        <v>3</v>
      </c>
      <c r="X103" s="34">
        <v>0</v>
      </c>
      <c r="Y103" s="34">
        <v>3</v>
      </c>
      <c r="Z103" s="34">
        <v>0</v>
      </c>
      <c r="AA103" s="34">
        <v>3</v>
      </c>
      <c r="AB103" s="34">
        <v>0</v>
      </c>
      <c r="AC103" s="34">
        <v>5</v>
      </c>
      <c r="AD103" s="34">
        <v>0</v>
      </c>
      <c r="AE103" s="34">
        <v>0</v>
      </c>
      <c r="AG103" s="34">
        <v>3</v>
      </c>
      <c r="AH103" s="34">
        <v>0</v>
      </c>
      <c r="AI103" s="34">
        <v>8</v>
      </c>
    </row>
    <row r="104" spans="1:35" ht="15.75" customHeight="1">
      <c r="A104" s="34">
        <v>104</v>
      </c>
      <c r="B104" s="34" t="s">
        <v>163</v>
      </c>
      <c r="C104" s="34" t="s">
        <v>161</v>
      </c>
      <c r="D104" s="34" t="s">
        <v>2740</v>
      </c>
      <c r="E104" s="34">
        <v>251</v>
      </c>
      <c r="F104" s="34">
        <v>4</v>
      </c>
      <c r="G104" s="34">
        <v>255</v>
      </c>
      <c r="H104" s="34">
        <v>12</v>
      </c>
      <c r="I104" s="34">
        <v>267</v>
      </c>
      <c r="J104" s="34">
        <v>8</v>
      </c>
      <c r="K104" s="34">
        <v>275</v>
      </c>
      <c r="L104" s="34">
        <v>9</v>
      </c>
      <c r="M104" s="34">
        <v>284</v>
      </c>
      <c r="N104" s="34">
        <v>7</v>
      </c>
      <c r="O104" s="34">
        <v>291</v>
      </c>
      <c r="P104" s="34">
        <v>4</v>
      </c>
      <c r="Q104" s="34">
        <v>295</v>
      </c>
      <c r="R104" s="34">
        <v>4</v>
      </c>
      <c r="S104" s="34">
        <v>296</v>
      </c>
      <c r="T104" s="34">
        <v>1</v>
      </c>
      <c r="U104" s="34">
        <v>296</v>
      </c>
      <c r="V104" s="34">
        <v>0</v>
      </c>
      <c r="W104" s="34">
        <v>297</v>
      </c>
      <c r="X104" s="34">
        <v>1</v>
      </c>
      <c r="Y104" s="34">
        <v>297</v>
      </c>
      <c r="Z104" s="34">
        <v>0</v>
      </c>
      <c r="AA104" s="34">
        <v>297</v>
      </c>
      <c r="AB104" s="34">
        <v>0</v>
      </c>
      <c r="AC104" s="34">
        <v>5</v>
      </c>
      <c r="AD104" s="34">
        <v>0</v>
      </c>
      <c r="AE104" s="34">
        <v>0</v>
      </c>
      <c r="AG104" s="34">
        <v>3</v>
      </c>
      <c r="AH104" s="34">
        <v>20</v>
      </c>
      <c r="AI104" s="34">
        <v>28</v>
      </c>
    </row>
    <row r="105" spans="1:35" ht="15.75" customHeight="1">
      <c r="A105" s="34">
        <v>105</v>
      </c>
      <c r="B105" s="34" t="s">
        <v>165</v>
      </c>
      <c r="C105" s="34" t="s">
        <v>161</v>
      </c>
      <c r="D105" s="34">
        <v>4</v>
      </c>
      <c r="E105" s="34">
        <v>353</v>
      </c>
      <c r="F105" s="34">
        <v>11</v>
      </c>
      <c r="G105" s="34">
        <v>364</v>
      </c>
      <c r="H105" s="34">
        <v>15</v>
      </c>
      <c r="I105" s="34">
        <v>379</v>
      </c>
      <c r="J105" s="34">
        <v>14</v>
      </c>
      <c r="K105" s="34">
        <v>393</v>
      </c>
      <c r="L105" s="34">
        <v>15</v>
      </c>
      <c r="M105" s="34">
        <v>408</v>
      </c>
      <c r="N105" s="34">
        <v>17</v>
      </c>
      <c r="O105" s="34">
        <v>425</v>
      </c>
      <c r="P105" s="34">
        <v>10</v>
      </c>
      <c r="Q105" s="34">
        <v>435</v>
      </c>
      <c r="R105" s="34">
        <v>10</v>
      </c>
      <c r="S105" s="34">
        <v>444</v>
      </c>
      <c r="T105" s="34">
        <v>9</v>
      </c>
      <c r="U105" s="34">
        <v>455</v>
      </c>
      <c r="V105" s="34">
        <v>11</v>
      </c>
      <c r="W105" s="34">
        <v>465</v>
      </c>
      <c r="X105" s="34">
        <v>10</v>
      </c>
      <c r="Y105" s="34">
        <v>476</v>
      </c>
      <c r="Z105" s="34">
        <v>11</v>
      </c>
      <c r="AA105" s="34">
        <v>490</v>
      </c>
      <c r="AB105" s="34">
        <v>14</v>
      </c>
      <c r="AC105" s="34">
        <v>14</v>
      </c>
      <c r="AD105" s="34">
        <v>14</v>
      </c>
      <c r="AE105" s="34">
        <v>0</v>
      </c>
      <c r="AG105" s="34">
        <v>3</v>
      </c>
      <c r="AH105" s="34">
        <v>40</v>
      </c>
      <c r="AI105" s="34">
        <v>71</v>
      </c>
    </row>
    <row r="106" spans="1:35" ht="15.75" customHeight="1">
      <c r="A106" s="34">
        <v>106</v>
      </c>
      <c r="B106" s="34" t="s">
        <v>166</v>
      </c>
      <c r="C106" s="34" t="s">
        <v>161</v>
      </c>
      <c r="D106" s="34">
        <v>5</v>
      </c>
      <c r="E106" s="34">
        <v>1428</v>
      </c>
      <c r="F106" s="34">
        <v>27</v>
      </c>
      <c r="G106" s="34">
        <v>1455</v>
      </c>
      <c r="H106" s="34">
        <v>34</v>
      </c>
      <c r="I106" s="34">
        <v>1489</v>
      </c>
      <c r="J106" s="34">
        <v>29</v>
      </c>
      <c r="K106" s="34">
        <v>1518</v>
      </c>
      <c r="L106" s="34">
        <v>26</v>
      </c>
      <c r="M106" s="34">
        <v>1544</v>
      </c>
      <c r="N106" s="34">
        <v>28</v>
      </c>
      <c r="O106" s="34">
        <v>1572</v>
      </c>
      <c r="P106" s="34">
        <v>29</v>
      </c>
      <c r="Q106" s="34">
        <v>1601</v>
      </c>
      <c r="R106" s="34">
        <v>29</v>
      </c>
      <c r="S106" s="34">
        <v>1623</v>
      </c>
      <c r="T106" s="34">
        <v>22</v>
      </c>
      <c r="U106" s="34">
        <v>1643</v>
      </c>
      <c r="V106" s="34">
        <v>20</v>
      </c>
      <c r="W106" s="34">
        <v>1662</v>
      </c>
      <c r="X106" s="34">
        <v>19</v>
      </c>
      <c r="Y106" s="34">
        <v>1686</v>
      </c>
      <c r="Z106" s="34">
        <v>24</v>
      </c>
      <c r="AA106" s="34">
        <v>1714</v>
      </c>
      <c r="AB106" s="34">
        <v>28</v>
      </c>
      <c r="AC106" s="34">
        <v>28</v>
      </c>
      <c r="AD106" s="34">
        <v>0</v>
      </c>
      <c r="AE106" s="34">
        <v>0</v>
      </c>
      <c r="AG106" s="34">
        <v>3</v>
      </c>
      <c r="AH106" s="34">
        <v>0</v>
      </c>
      <c r="AI106" s="34">
        <v>31</v>
      </c>
    </row>
    <row r="107" spans="1:35" ht="15.75" customHeight="1">
      <c r="A107" s="34">
        <v>107</v>
      </c>
      <c r="B107" s="34" t="s">
        <v>167</v>
      </c>
      <c r="C107" s="34" t="s">
        <v>161</v>
      </c>
      <c r="D107" s="34">
        <v>6</v>
      </c>
      <c r="E107" s="34">
        <v>2851</v>
      </c>
      <c r="F107" s="34">
        <v>20</v>
      </c>
      <c r="G107" s="34">
        <v>2871</v>
      </c>
      <c r="H107" s="34">
        <v>20</v>
      </c>
      <c r="I107" s="34">
        <v>2891</v>
      </c>
      <c r="J107" s="34">
        <v>16</v>
      </c>
      <c r="K107" s="34">
        <v>2907</v>
      </c>
      <c r="L107" s="34">
        <v>16</v>
      </c>
      <c r="M107" s="34">
        <v>2923</v>
      </c>
      <c r="N107" s="34">
        <v>16</v>
      </c>
      <c r="O107" s="34">
        <v>2939</v>
      </c>
      <c r="P107" s="34">
        <v>11</v>
      </c>
      <c r="Q107" s="34">
        <v>2950</v>
      </c>
      <c r="R107" s="34">
        <v>11</v>
      </c>
      <c r="S107" s="34">
        <v>2960</v>
      </c>
      <c r="T107" s="34">
        <v>10</v>
      </c>
      <c r="U107" s="34">
        <v>2971</v>
      </c>
      <c r="V107" s="34">
        <v>11</v>
      </c>
      <c r="W107" s="34">
        <v>2978</v>
      </c>
      <c r="X107" s="34">
        <v>7</v>
      </c>
      <c r="Y107" s="34">
        <v>2993</v>
      </c>
      <c r="Z107" s="34">
        <v>15</v>
      </c>
      <c r="AA107" s="34">
        <v>3012</v>
      </c>
      <c r="AB107" s="34">
        <v>19</v>
      </c>
      <c r="AC107" s="34">
        <v>19</v>
      </c>
      <c r="AD107" s="34">
        <v>0</v>
      </c>
      <c r="AE107" s="34">
        <v>0</v>
      </c>
      <c r="AG107" s="34">
        <v>3</v>
      </c>
      <c r="AH107" s="34">
        <v>0</v>
      </c>
      <c r="AI107" s="34">
        <v>22</v>
      </c>
    </row>
    <row r="108" spans="1:35" ht="15.75" customHeight="1">
      <c r="A108" s="34">
        <v>108</v>
      </c>
      <c r="B108" s="34" t="s">
        <v>168</v>
      </c>
      <c r="C108" s="34" t="s">
        <v>161</v>
      </c>
      <c r="D108" s="34">
        <v>7</v>
      </c>
      <c r="E108" s="34">
        <v>6500</v>
      </c>
      <c r="F108" s="34">
        <v>33</v>
      </c>
      <c r="G108" s="34">
        <v>6533</v>
      </c>
      <c r="H108" s="34">
        <v>40</v>
      </c>
      <c r="I108" s="34">
        <v>6573</v>
      </c>
      <c r="J108" s="34">
        <v>26</v>
      </c>
      <c r="K108" s="34">
        <v>6599</v>
      </c>
      <c r="L108" s="34">
        <v>33</v>
      </c>
      <c r="M108" s="34">
        <v>6632</v>
      </c>
      <c r="N108" s="34">
        <v>19</v>
      </c>
      <c r="O108" s="34">
        <v>6651</v>
      </c>
      <c r="P108" s="34">
        <v>23</v>
      </c>
      <c r="Q108" s="34">
        <v>6674</v>
      </c>
      <c r="R108" s="34">
        <v>23</v>
      </c>
      <c r="S108" s="34">
        <v>6692</v>
      </c>
      <c r="T108" s="34">
        <v>18</v>
      </c>
      <c r="U108" s="34">
        <v>6708</v>
      </c>
      <c r="V108" s="34">
        <v>16</v>
      </c>
      <c r="W108" s="34">
        <v>6727</v>
      </c>
      <c r="X108" s="34">
        <v>19</v>
      </c>
      <c r="Y108" s="34">
        <v>6751</v>
      </c>
      <c r="Z108" s="34">
        <v>24</v>
      </c>
      <c r="AA108" s="34">
        <v>6780</v>
      </c>
      <c r="AB108" s="34">
        <v>29</v>
      </c>
      <c r="AC108" s="34">
        <v>29</v>
      </c>
      <c r="AD108" s="34">
        <v>27</v>
      </c>
      <c r="AE108" s="34">
        <v>0</v>
      </c>
      <c r="AG108" s="34">
        <v>3</v>
      </c>
      <c r="AH108" s="34">
        <v>0</v>
      </c>
      <c r="AI108" s="34">
        <v>59</v>
      </c>
    </row>
    <row r="109" spans="1:35" ht="15.75" customHeight="1">
      <c r="A109" s="34">
        <v>109</v>
      </c>
      <c r="B109" s="34" t="s">
        <v>169</v>
      </c>
      <c r="C109" s="34" t="s">
        <v>161</v>
      </c>
      <c r="D109" s="34">
        <v>8</v>
      </c>
      <c r="E109" s="34">
        <v>1568</v>
      </c>
      <c r="F109" s="34">
        <v>16</v>
      </c>
      <c r="G109" s="34">
        <v>1584</v>
      </c>
      <c r="H109" s="34">
        <v>11</v>
      </c>
      <c r="I109" s="34">
        <v>1595</v>
      </c>
      <c r="J109" s="34">
        <v>8</v>
      </c>
      <c r="K109" s="34">
        <v>1603</v>
      </c>
      <c r="L109" s="34">
        <v>11</v>
      </c>
      <c r="M109" s="34">
        <v>1614</v>
      </c>
      <c r="N109" s="34">
        <v>10</v>
      </c>
      <c r="O109" s="34">
        <v>1624</v>
      </c>
      <c r="P109" s="34">
        <v>10</v>
      </c>
      <c r="Q109" s="34">
        <v>1634</v>
      </c>
      <c r="R109" s="34">
        <v>10</v>
      </c>
      <c r="S109" s="34">
        <v>1641</v>
      </c>
      <c r="T109" s="34">
        <v>7</v>
      </c>
      <c r="U109" s="34">
        <v>1650</v>
      </c>
      <c r="V109" s="34">
        <v>9</v>
      </c>
      <c r="W109" s="34">
        <v>1659</v>
      </c>
      <c r="X109" s="34">
        <v>9</v>
      </c>
      <c r="Y109" s="34">
        <v>1665</v>
      </c>
      <c r="Z109" s="34">
        <v>6</v>
      </c>
      <c r="AA109" s="34">
        <v>1673</v>
      </c>
      <c r="AB109" s="34">
        <v>8</v>
      </c>
      <c r="AC109" s="34">
        <v>8</v>
      </c>
      <c r="AD109" s="34">
        <v>0</v>
      </c>
      <c r="AE109" s="34">
        <v>0</v>
      </c>
      <c r="AG109" s="34">
        <v>3</v>
      </c>
      <c r="AH109" s="34">
        <v>0</v>
      </c>
      <c r="AI109" s="34">
        <v>11</v>
      </c>
    </row>
    <row r="110" spans="1:35" ht="15.75" customHeight="1">
      <c r="A110" s="34">
        <v>111</v>
      </c>
      <c r="B110" s="34" t="s">
        <v>171</v>
      </c>
      <c r="C110" s="34" t="s">
        <v>161</v>
      </c>
      <c r="D110" s="34">
        <v>10</v>
      </c>
      <c r="E110" s="34">
        <v>2420</v>
      </c>
      <c r="F110" s="34">
        <v>21</v>
      </c>
      <c r="G110" s="34">
        <v>2441</v>
      </c>
      <c r="H110" s="34">
        <v>6</v>
      </c>
      <c r="I110" s="34">
        <v>2447</v>
      </c>
      <c r="J110" s="34">
        <v>5</v>
      </c>
      <c r="K110" s="34">
        <v>5</v>
      </c>
      <c r="L110" s="34">
        <v>7</v>
      </c>
      <c r="M110" s="34">
        <v>12</v>
      </c>
      <c r="N110" s="34">
        <v>7</v>
      </c>
      <c r="O110" s="34">
        <v>19</v>
      </c>
      <c r="P110" s="34">
        <v>5</v>
      </c>
      <c r="Q110" s="34">
        <v>24</v>
      </c>
      <c r="R110" s="34">
        <v>5</v>
      </c>
      <c r="S110" s="34">
        <v>30</v>
      </c>
      <c r="T110" s="34">
        <v>6</v>
      </c>
      <c r="U110" s="34">
        <v>39</v>
      </c>
      <c r="V110" s="34">
        <v>9</v>
      </c>
      <c r="W110" s="34">
        <v>47</v>
      </c>
      <c r="X110" s="34">
        <v>8</v>
      </c>
      <c r="Y110" s="34">
        <v>57</v>
      </c>
      <c r="Z110" s="34">
        <v>10</v>
      </c>
      <c r="AA110" s="34">
        <v>70</v>
      </c>
      <c r="AB110" s="34">
        <v>13</v>
      </c>
      <c r="AC110" s="34">
        <v>13</v>
      </c>
      <c r="AD110" s="34">
        <v>0</v>
      </c>
      <c r="AE110" s="34">
        <v>0</v>
      </c>
      <c r="AG110" s="34">
        <v>3</v>
      </c>
      <c r="AH110" s="34">
        <v>0</v>
      </c>
      <c r="AI110" s="34">
        <v>16</v>
      </c>
    </row>
    <row r="111" spans="1:35" ht="15.75" customHeight="1">
      <c r="A111" s="34">
        <v>112</v>
      </c>
      <c r="B111" s="34" t="s">
        <v>172</v>
      </c>
      <c r="C111" s="34" t="s">
        <v>161</v>
      </c>
      <c r="D111" s="34">
        <v>11</v>
      </c>
      <c r="E111" s="34">
        <v>2633</v>
      </c>
      <c r="F111" s="34">
        <v>21</v>
      </c>
      <c r="G111" s="34">
        <v>2654</v>
      </c>
      <c r="H111" s="34">
        <v>28</v>
      </c>
      <c r="I111" s="34">
        <v>2682</v>
      </c>
      <c r="J111" s="34">
        <v>20</v>
      </c>
      <c r="K111" s="34">
        <v>2702</v>
      </c>
      <c r="L111" s="34">
        <v>19</v>
      </c>
      <c r="M111" s="34">
        <v>2721</v>
      </c>
      <c r="N111" s="34">
        <v>16</v>
      </c>
      <c r="O111" s="34">
        <v>2737</v>
      </c>
      <c r="P111" s="34">
        <v>13</v>
      </c>
      <c r="Q111" s="34">
        <v>2750</v>
      </c>
      <c r="R111" s="34">
        <v>13</v>
      </c>
      <c r="S111" s="34">
        <v>2762</v>
      </c>
      <c r="T111" s="34">
        <v>12</v>
      </c>
      <c r="U111" s="34">
        <v>2773</v>
      </c>
      <c r="V111" s="34">
        <v>11</v>
      </c>
      <c r="W111" s="34">
        <v>2783</v>
      </c>
      <c r="X111" s="34">
        <v>10</v>
      </c>
      <c r="Y111" s="34">
        <v>2796</v>
      </c>
      <c r="Z111" s="34">
        <v>13</v>
      </c>
      <c r="AA111" s="34">
        <v>2811</v>
      </c>
      <c r="AB111" s="34">
        <v>15</v>
      </c>
      <c r="AC111" s="34">
        <v>15</v>
      </c>
      <c r="AD111" s="34">
        <v>0</v>
      </c>
      <c r="AE111" s="34">
        <v>0</v>
      </c>
      <c r="AG111" s="34">
        <v>3</v>
      </c>
      <c r="AH111" s="34">
        <v>0</v>
      </c>
      <c r="AI111" s="34">
        <v>18</v>
      </c>
    </row>
    <row r="112" spans="1:35" ht="15.75" customHeight="1">
      <c r="A112" s="34">
        <v>113</v>
      </c>
      <c r="B112" s="34" t="s">
        <v>173</v>
      </c>
      <c r="C112" s="34" t="s">
        <v>161</v>
      </c>
      <c r="D112" s="34">
        <v>12</v>
      </c>
      <c r="E112" s="34">
        <v>1044</v>
      </c>
      <c r="F112" s="34">
        <v>9</v>
      </c>
      <c r="G112" s="34">
        <v>1053</v>
      </c>
      <c r="H112" s="34">
        <v>9</v>
      </c>
      <c r="I112" s="34">
        <v>1062</v>
      </c>
      <c r="J112" s="34">
        <v>7</v>
      </c>
      <c r="K112" s="34">
        <v>1069</v>
      </c>
      <c r="L112" s="34">
        <v>6</v>
      </c>
      <c r="M112" s="34">
        <v>1075</v>
      </c>
      <c r="N112" s="34">
        <v>4</v>
      </c>
      <c r="O112" s="34">
        <v>1079</v>
      </c>
      <c r="P112" s="34">
        <v>4</v>
      </c>
      <c r="Q112" s="34">
        <v>1083</v>
      </c>
      <c r="R112" s="34">
        <v>4</v>
      </c>
      <c r="S112" s="34">
        <v>1086</v>
      </c>
      <c r="T112" s="34">
        <v>3</v>
      </c>
      <c r="U112" s="34">
        <v>1090</v>
      </c>
      <c r="V112" s="34">
        <v>4</v>
      </c>
      <c r="W112" s="34">
        <v>1093</v>
      </c>
      <c r="X112" s="34">
        <v>3</v>
      </c>
      <c r="Y112" s="34">
        <v>1107</v>
      </c>
      <c r="Z112" s="34">
        <v>14</v>
      </c>
      <c r="AA112" s="34">
        <v>1106</v>
      </c>
      <c r="AB112" s="34">
        <v>-1</v>
      </c>
      <c r="AC112" s="34">
        <v>5</v>
      </c>
      <c r="AD112" s="34">
        <v>0</v>
      </c>
      <c r="AE112" s="34">
        <v>0</v>
      </c>
      <c r="AG112" s="34">
        <v>3</v>
      </c>
      <c r="AH112" s="34">
        <v>20</v>
      </c>
      <c r="AI112" s="34">
        <v>28</v>
      </c>
    </row>
    <row r="113" spans="1:35" ht="15.75" customHeight="1">
      <c r="A113" s="34">
        <v>114</v>
      </c>
      <c r="B113" s="34" t="s">
        <v>174</v>
      </c>
      <c r="C113" s="34" t="s">
        <v>161</v>
      </c>
      <c r="D113" s="34">
        <v>14</v>
      </c>
      <c r="E113" s="34">
        <v>717</v>
      </c>
      <c r="F113" s="34">
        <v>40</v>
      </c>
      <c r="G113" s="34">
        <v>757</v>
      </c>
      <c r="H113" s="34">
        <v>33</v>
      </c>
      <c r="I113" s="34">
        <v>790</v>
      </c>
      <c r="J113" s="34">
        <v>40</v>
      </c>
      <c r="K113" s="34">
        <v>830</v>
      </c>
      <c r="L113" s="34">
        <v>34</v>
      </c>
      <c r="M113" s="34">
        <v>864</v>
      </c>
      <c r="N113" s="34">
        <v>38</v>
      </c>
      <c r="O113" s="34">
        <v>902</v>
      </c>
      <c r="P113" s="34">
        <v>34</v>
      </c>
      <c r="Q113" s="34">
        <v>936</v>
      </c>
      <c r="R113" s="34">
        <v>34</v>
      </c>
      <c r="S113" s="34">
        <v>969</v>
      </c>
      <c r="T113" s="34">
        <v>33</v>
      </c>
      <c r="U113" s="34">
        <v>1001</v>
      </c>
      <c r="V113" s="34">
        <v>32</v>
      </c>
      <c r="W113" s="34">
        <v>1033</v>
      </c>
      <c r="X113" s="34">
        <v>32</v>
      </c>
      <c r="Y113" s="34">
        <v>1069</v>
      </c>
      <c r="Z113" s="34">
        <v>36</v>
      </c>
      <c r="AA113" s="34">
        <v>1134</v>
      </c>
      <c r="AB113" s="34">
        <v>65</v>
      </c>
      <c r="AC113" s="34">
        <v>130</v>
      </c>
      <c r="AD113" s="34">
        <v>0</v>
      </c>
      <c r="AE113" s="34">
        <v>0</v>
      </c>
      <c r="AG113" s="34">
        <v>3</v>
      </c>
      <c r="AH113" s="34">
        <v>20</v>
      </c>
      <c r="AI113" s="34">
        <v>153</v>
      </c>
    </row>
    <row r="114" spans="1:35" ht="15.75" customHeight="1">
      <c r="A114" s="34">
        <v>115</v>
      </c>
      <c r="B114" s="34" t="s">
        <v>175</v>
      </c>
      <c r="C114" s="34" t="s">
        <v>161</v>
      </c>
      <c r="D114" s="34">
        <v>15</v>
      </c>
      <c r="E114" s="34">
        <v>432</v>
      </c>
      <c r="F114" s="34">
        <v>11</v>
      </c>
      <c r="G114" s="34">
        <v>443</v>
      </c>
      <c r="H114" s="34">
        <v>12</v>
      </c>
      <c r="I114" s="34">
        <v>455</v>
      </c>
      <c r="J114" s="34">
        <v>8</v>
      </c>
      <c r="K114" s="34">
        <v>463</v>
      </c>
      <c r="L114" s="34">
        <v>11</v>
      </c>
      <c r="M114" s="34">
        <v>474</v>
      </c>
      <c r="N114" s="34">
        <v>13</v>
      </c>
      <c r="O114" s="34">
        <v>487</v>
      </c>
      <c r="P114" s="34">
        <v>10</v>
      </c>
      <c r="Q114" s="34">
        <v>497</v>
      </c>
      <c r="R114" s="34">
        <v>10</v>
      </c>
      <c r="S114" s="34">
        <v>504</v>
      </c>
      <c r="T114" s="34">
        <v>7</v>
      </c>
      <c r="U114" s="34">
        <v>515</v>
      </c>
      <c r="V114" s="34">
        <v>11</v>
      </c>
      <c r="W114" s="34">
        <v>525</v>
      </c>
      <c r="X114" s="34">
        <v>10</v>
      </c>
      <c r="Y114" s="34">
        <v>535</v>
      </c>
      <c r="Z114" s="34">
        <v>10</v>
      </c>
      <c r="AA114" s="34">
        <v>548</v>
      </c>
      <c r="AB114" s="34">
        <v>13</v>
      </c>
      <c r="AC114" s="34">
        <v>13</v>
      </c>
      <c r="AD114" s="34">
        <v>0</v>
      </c>
      <c r="AE114" s="34">
        <v>0</v>
      </c>
      <c r="AG114" s="34">
        <v>3</v>
      </c>
      <c r="AH114" s="34">
        <v>0</v>
      </c>
      <c r="AI114" s="34">
        <v>16</v>
      </c>
    </row>
    <row r="115" spans="1:35" ht="15.75" customHeight="1">
      <c r="A115" s="34">
        <v>116</v>
      </c>
      <c r="B115" s="34" t="s">
        <v>176</v>
      </c>
      <c r="C115" s="34" t="s">
        <v>177</v>
      </c>
      <c r="D115" s="34">
        <v>1</v>
      </c>
      <c r="E115" s="34">
        <v>352</v>
      </c>
      <c r="F115" s="34">
        <v>23</v>
      </c>
      <c r="G115" s="34">
        <v>375</v>
      </c>
      <c r="H115" s="34">
        <v>21</v>
      </c>
      <c r="I115" s="34">
        <v>396</v>
      </c>
      <c r="J115" s="34">
        <v>17</v>
      </c>
      <c r="K115" s="34">
        <v>413</v>
      </c>
      <c r="L115" s="34">
        <v>18</v>
      </c>
      <c r="M115" s="34">
        <v>431</v>
      </c>
      <c r="N115" s="34">
        <v>17</v>
      </c>
      <c r="O115" s="34">
        <v>448</v>
      </c>
      <c r="P115" s="34">
        <v>16</v>
      </c>
      <c r="Q115" s="34">
        <v>464</v>
      </c>
      <c r="R115" s="34">
        <v>16</v>
      </c>
      <c r="S115" s="34">
        <v>479</v>
      </c>
      <c r="T115" s="34">
        <v>15</v>
      </c>
      <c r="U115" s="34">
        <v>493</v>
      </c>
      <c r="V115" s="34">
        <v>14</v>
      </c>
      <c r="W115" s="34">
        <v>507</v>
      </c>
      <c r="X115" s="34">
        <v>14</v>
      </c>
      <c r="Y115" s="34">
        <v>523</v>
      </c>
      <c r="Z115" s="34">
        <v>16</v>
      </c>
      <c r="AA115" s="34">
        <v>540</v>
      </c>
      <c r="AB115" s="34">
        <v>17</v>
      </c>
      <c r="AC115" s="34">
        <v>17</v>
      </c>
      <c r="AD115" s="34">
        <v>0</v>
      </c>
      <c r="AE115" s="34">
        <v>0</v>
      </c>
      <c r="AG115" s="34">
        <v>3</v>
      </c>
      <c r="AH115" s="34">
        <v>0</v>
      </c>
      <c r="AI115" s="34">
        <v>20</v>
      </c>
    </row>
    <row r="116" spans="1:35" ht="15.75" customHeight="1">
      <c r="A116" s="34">
        <v>117</v>
      </c>
      <c r="B116" s="34" t="s">
        <v>178</v>
      </c>
      <c r="C116" s="34" t="s">
        <v>177</v>
      </c>
      <c r="D116" s="34">
        <v>2</v>
      </c>
      <c r="E116" s="34">
        <v>3422</v>
      </c>
      <c r="F116" s="34">
        <v>27</v>
      </c>
      <c r="G116" s="34">
        <v>3449</v>
      </c>
      <c r="H116" s="34">
        <v>26</v>
      </c>
      <c r="I116" s="34">
        <v>3475</v>
      </c>
      <c r="J116" s="34">
        <v>23</v>
      </c>
      <c r="K116" s="34">
        <v>3498</v>
      </c>
      <c r="L116" s="34">
        <v>22</v>
      </c>
      <c r="M116" s="34">
        <v>3520</v>
      </c>
      <c r="N116" s="34">
        <v>18</v>
      </c>
      <c r="O116" s="34">
        <v>3538</v>
      </c>
      <c r="P116" s="34">
        <v>16</v>
      </c>
      <c r="Q116" s="34">
        <v>3554</v>
      </c>
      <c r="R116" s="34">
        <v>16</v>
      </c>
      <c r="S116" s="34">
        <v>3568</v>
      </c>
      <c r="T116" s="34">
        <v>14</v>
      </c>
      <c r="U116" s="34">
        <v>3583</v>
      </c>
      <c r="V116" s="34">
        <v>15</v>
      </c>
      <c r="W116" s="34">
        <v>3599</v>
      </c>
      <c r="X116" s="34">
        <v>16</v>
      </c>
      <c r="Y116" s="34">
        <v>3615</v>
      </c>
      <c r="Z116" s="34">
        <v>16</v>
      </c>
      <c r="AA116" s="34">
        <v>3635</v>
      </c>
      <c r="AB116" s="34">
        <v>20</v>
      </c>
      <c r="AC116" s="34">
        <v>20</v>
      </c>
      <c r="AD116" s="34">
        <v>19</v>
      </c>
      <c r="AE116" s="34">
        <v>0</v>
      </c>
      <c r="AG116" s="34">
        <v>3</v>
      </c>
      <c r="AH116" s="34">
        <v>0</v>
      </c>
      <c r="AI116" s="34">
        <v>42</v>
      </c>
    </row>
    <row r="117" spans="1:35" ht="15.75" customHeight="1">
      <c r="A117" s="34">
        <v>118</v>
      </c>
      <c r="B117" s="34" t="s">
        <v>179</v>
      </c>
      <c r="C117" s="34" t="s">
        <v>177</v>
      </c>
      <c r="D117" s="34">
        <v>3</v>
      </c>
      <c r="E117" s="34">
        <v>2071</v>
      </c>
      <c r="F117" s="34">
        <v>8</v>
      </c>
      <c r="G117" s="34">
        <v>2079</v>
      </c>
      <c r="H117" s="34">
        <v>9</v>
      </c>
      <c r="I117" s="34">
        <v>2088</v>
      </c>
      <c r="J117" s="34">
        <v>9</v>
      </c>
      <c r="K117" s="34">
        <v>2097</v>
      </c>
      <c r="L117" s="34">
        <v>9</v>
      </c>
      <c r="M117" s="34">
        <v>2106</v>
      </c>
      <c r="N117" s="34">
        <v>7</v>
      </c>
      <c r="O117" s="34">
        <v>2113</v>
      </c>
      <c r="P117" s="34">
        <v>8</v>
      </c>
      <c r="Q117" s="34">
        <v>2121</v>
      </c>
      <c r="R117" s="34">
        <v>8</v>
      </c>
      <c r="S117" s="34">
        <v>2129</v>
      </c>
      <c r="T117" s="34">
        <v>8</v>
      </c>
      <c r="U117" s="34">
        <v>2135</v>
      </c>
      <c r="V117" s="34">
        <v>6</v>
      </c>
      <c r="W117" s="34">
        <v>2141</v>
      </c>
      <c r="X117" s="34">
        <v>6</v>
      </c>
      <c r="Y117" s="34">
        <v>2148</v>
      </c>
      <c r="Z117" s="34">
        <v>7</v>
      </c>
      <c r="AA117" s="34">
        <v>2155</v>
      </c>
      <c r="AB117" s="34">
        <v>7</v>
      </c>
      <c r="AC117" s="34">
        <v>7</v>
      </c>
      <c r="AD117" s="34">
        <v>0</v>
      </c>
      <c r="AE117" s="34">
        <v>0</v>
      </c>
      <c r="AG117" s="34">
        <v>3</v>
      </c>
      <c r="AH117" s="34">
        <v>0</v>
      </c>
      <c r="AI117" s="34">
        <v>10</v>
      </c>
    </row>
    <row r="118" spans="1:35" ht="15.75" customHeight="1">
      <c r="A118" s="34">
        <v>119</v>
      </c>
      <c r="B118" s="34" t="s">
        <v>180</v>
      </c>
      <c r="C118" s="34" t="s">
        <v>177</v>
      </c>
      <c r="D118" s="34">
        <v>4</v>
      </c>
      <c r="E118" s="34">
        <v>1231</v>
      </c>
      <c r="F118" s="34">
        <v>6</v>
      </c>
      <c r="G118" s="34">
        <v>1237</v>
      </c>
      <c r="H118" s="34">
        <v>9</v>
      </c>
      <c r="I118" s="34">
        <v>1246</v>
      </c>
      <c r="J118" s="34">
        <v>8</v>
      </c>
      <c r="K118" s="34">
        <v>1254</v>
      </c>
      <c r="L118" s="34">
        <v>7</v>
      </c>
      <c r="M118" s="34">
        <v>1261</v>
      </c>
      <c r="N118" s="34">
        <v>5</v>
      </c>
      <c r="O118" s="34">
        <v>1266</v>
      </c>
      <c r="P118" s="34">
        <v>5</v>
      </c>
      <c r="Q118" s="34">
        <v>1271</v>
      </c>
      <c r="R118" s="34">
        <v>5</v>
      </c>
      <c r="S118" s="34">
        <v>1275</v>
      </c>
      <c r="T118" s="34">
        <v>4</v>
      </c>
      <c r="U118" s="34">
        <v>1279</v>
      </c>
      <c r="V118" s="34">
        <v>4</v>
      </c>
      <c r="W118" s="34">
        <v>1284</v>
      </c>
      <c r="X118" s="34">
        <v>5</v>
      </c>
      <c r="Y118" s="34">
        <v>1289</v>
      </c>
      <c r="Z118" s="34">
        <v>5</v>
      </c>
      <c r="AA118" s="34">
        <v>1296</v>
      </c>
      <c r="AB118" s="34">
        <v>7</v>
      </c>
      <c r="AC118" s="34">
        <v>7</v>
      </c>
      <c r="AD118" s="34">
        <v>0</v>
      </c>
      <c r="AE118" s="34">
        <v>0</v>
      </c>
      <c r="AG118" s="34">
        <v>3</v>
      </c>
      <c r="AH118" s="34">
        <v>0</v>
      </c>
      <c r="AI118" s="34">
        <v>10</v>
      </c>
    </row>
    <row r="119" spans="1:35" ht="15.75" customHeight="1">
      <c r="A119" s="34">
        <v>120</v>
      </c>
      <c r="B119" s="34" t="s">
        <v>181</v>
      </c>
      <c r="C119" s="34" t="s">
        <v>177</v>
      </c>
      <c r="D119" s="34">
        <v>5</v>
      </c>
      <c r="E119" s="34">
        <v>1298</v>
      </c>
      <c r="F119" s="34">
        <v>27</v>
      </c>
      <c r="G119" s="34">
        <v>1325</v>
      </c>
      <c r="H119" s="34">
        <v>-27</v>
      </c>
      <c r="I119" s="34">
        <v>1298</v>
      </c>
      <c r="J119" s="34">
        <v>0</v>
      </c>
      <c r="K119" s="34">
        <v>0</v>
      </c>
      <c r="L119" s="34">
        <v>17</v>
      </c>
      <c r="M119" s="34">
        <v>17</v>
      </c>
      <c r="N119" s="34">
        <v>20</v>
      </c>
      <c r="O119" s="34">
        <v>37</v>
      </c>
      <c r="P119" s="34">
        <v>43</v>
      </c>
      <c r="Q119" s="34">
        <v>80</v>
      </c>
      <c r="R119" s="34">
        <v>43</v>
      </c>
      <c r="S119" s="34">
        <v>116</v>
      </c>
      <c r="T119" s="34">
        <v>36</v>
      </c>
      <c r="U119" s="34">
        <v>133</v>
      </c>
      <c r="V119" s="34">
        <v>17</v>
      </c>
      <c r="W119" s="34">
        <v>153</v>
      </c>
      <c r="X119" s="34">
        <v>20</v>
      </c>
      <c r="Y119" s="34">
        <v>189</v>
      </c>
      <c r="Z119" s="34">
        <v>36</v>
      </c>
      <c r="AA119" s="34">
        <v>214</v>
      </c>
      <c r="AB119" s="34">
        <v>25</v>
      </c>
      <c r="AC119" s="34">
        <v>25</v>
      </c>
      <c r="AD119" s="34">
        <v>0</v>
      </c>
      <c r="AE119" s="34">
        <v>0</v>
      </c>
      <c r="AG119" s="34">
        <v>3</v>
      </c>
      <c r="AH119" s="34">
        <v>0</v>
      </c>
      <c r="AI119" s="34">
        <v>28</v>
      </c>
    </row>
    <row r="120" spans="1:35" ht="15.75" customHeight="1">
      <c r="A120" s="34">
        <v>121</v>
      </c>
      <c r="B120" s="34" t="s">
        <v>182</v>
      </c>
      <c r="C120" s="34" t="s">
        <v>177</v>
      </c>
      <c r="D120" s="34">
        <v>6</v>
      </c>
      <c r="E120" s="34">
        <v>3295</v>
      </c>
      <c r="F120" s="34">
        <v>33</v>
      </c>
      <c r="G120" s="34">
        <v>3328</v>
      </c>
      <c r="H120" s="34">
        <v>35</v>
      </c>
      <c r="I120" s="34">
        <v>3363</v>
      </c>
      <c r="J120" s="34">
        <v>31</v>
      </c>
      <c r="K120" s="34">
        <v>3394</v>
      </c>
      <c r="L120" s="34">
        <v>25</v>
      </c>
      <c r="M120" s="34">
        <v>3419</v>
      </c>
      <c r="N120" s="34">
        <v>22</v>
      </c>
      <c r="O120" s="34">
        <v>3441</v>
      </c>
      <c r="P120" s="34">
        <v>19</v>
      </c>
      <c r="Q120" s="34">
        <v>3460</v>
      </c>
      <c r="R120" s="34">
        <v>19</v>
      </c>
      <c r="S120" s="34">
        <v>3475</v>
      </c>
      <c r="T120" s="34">
        <v>15</v>
      </c>
      <c r="U120" s="34">
        <v>3491</v>
      </c>
      <c r="V120" s="34">
        <v>16</v>
      </c>
      <c r="W120" s="34">
        <v>3507</v>
      </c>
      <c r="X120" s="34">
        <v>16</v>
      </c>
      <c r="Y120" s="34">
        <v>3527</v>
      </c>
      <c r="Z120" s="34">
        <v>20</v>
      </c>
      <c r="AA120" s="34">
        <v>3555</v>
      </c>
      <c r="AB120" s="34">
        <v>28</v>
      </c>
      <c r="AC120" s="34">
        <v>28</v>
      </c>
      <c r="AD120" s="34">
        <v>0</v>
      </c>
      <c r="AE120" s="34">
        <v>0</v>
      </c>
      <c r="AG120" s="34">
        <v>3</v>
      </c>
      <c r="AH120" s="34">
        <v>20</v>
      </c>
      <c r="AI120" s="34">
        <v>51</v>
      </c>
    </row>
    <row r="121" spans="1:35" ht="15.75" customHeight="1">
      <c r="A121" s="34">
        <v>122</v>
      </c>
      <c r="B121" s="34" t="s">
        <v>183</v>
      </c>
      <c r="C121" s="34" t="s">
        <v>177</v>
      </c>
      <c r="D121" s="34">
        <v>7</v>
      </c>
      <c r="E121" s="34">
        <v>888</v>
      </c>
      <c r="F121" s="34">
        <v>14</v>
      </c>
      <c r="G121" s="34">
        <v>902</v>
      </c>
      <c r="H121" s="34">
        <v>24</v>
      </c>
      <c r="I121" s="34">
        <v>926</v>
      </c>
      <c r="J121" s="34">
        <v>15</v>
      </c>
      <c r="K121" s="34">
        <v>941</v>
      </c>
      <c r="L121" s="34">
        <v>25</v>
      </c>
      <c r="M121" s="34">
        <v>966</v>
      </c>
      <c r="N121" s="34">
        <v>65</v>
      </c>
      <c r="O121" s="34">
        <v>1031</v>
      </c>
      <c r="P121" s="34">
        <v>11</v>
      </c>
      <c r="Q121" s="34">
        <v>1042</v>
      </c>
      <c r="R121" s="34">
        <v>11</v>
      </c>
      <c r="S121" s="34">
        <v>1090</v>
      </c>
      <c r="T121" s="34">
        <v>48</v>
      </c>
      <c r="U121" s="34">
        <v>1112</v>
      </c>
      <c r="V121" s="34">
        <v>22</v>
      </c>
      <c r="W121" s="34">
        <v>1261</v>
      </c>
      <c r="X121" s="34">
        <v>149</v>
      </c>
      <c r="Y121" s="34">
        <v>1281</v>
      </c>
      <c r="Z121" s="34">
        <v>20</v>
      </c>
      <c r="AA121" s="34">
        <v>1315</v>
      </c>
      <c r="AB121" s="34">
        <v>34</v>
      </c>
      <c r="AC121" s="34">
        <v>34</v>
      </c>
      <c r="AD121" s="34">
        <v>0</v>
      </c>
      <c r="AE121" s="34">
        <v>0</v>
      </c>
      <c r="AG121" s="34">
        <v>3</v>
      </c>
      <c r="AH121" s="34">
        <v>20</v>
      </c>
      <c r="AI121" s="34">
        <v>57</v>
      </c>
    </row>
    <row r="122" spans="1:35" ht="15.75" customHeight="1">
      <c r="A122" s="34">
        <v>123</v>
      </c>
      <c r="B122" s="34" t="s">
        <v>184</v>
      </c>
      <c r="C122" s="34" t="s">
        <v>177</v>
      </c>
      <c r="D122" s="34">
        <v>8</v>
      </c>
      <c r="E122" s="34">
        <v>4592</v>
      </c>
      <c r="F122" s="34">
        <v>37</v>
      </c>
      <c r="G122" s="34">
        <v>4629</v>
      </c>
      <c r="H122" s="34">
        <v>38</v>
      </c>
      <c r="I122" s="34">
        <v>4667</v>
      </c>
      <c r="J122" s="34">
        <v>38</v>
      </c>
      <c r="K122" s="34">
        <v>4705</v>
      </c>
      <c r="L122" s="34">
        <v>39</v>
      </c>
      <c r="M122" s="34">
        <v>4744</v>
      </c>
      <c r="N122" s="34">
        <v>37</v>
      </c>
      <c r="O122" s="34">
        <v>4781</v>
      </c>
      <c r="P122" s="34">
        <v>20</v>
      </c>
      <c r="Q122" s="34">
        <v>4801</v>
      </c>
      <c r="R122" s="34">
        <v>20</v>
      </c>
      <c r="S122" s="34">
        <v>4817</v>
      </c>
      <c r="T122" s="34">
        <v>16</v>
      </c>
      <c r="U122" s="34">
        <v>4833</v>
      </c>
      <c r="V122" s="34">
        <v>16</v>
      </c>
      <c r="W122" s="34">
        <v>4854</v>
      </c>
      <c r="X122" s="34">
        <v>21</v>
      </c>
      <c r="Y122" s="34">
        <v>4874</v>
      </c>
      <c r="Z122" s="34">
        <v>20</v>
      </c>
      <c r="AA122" s="34">
        <v>4903</v>
      </c>
      <c r="AB122" s="34">
        <v>29</v>
      </c>
      <c r="AC122" s="34">
        <v>29</v>
      </c>
      <c r="AD122" s="34">
        <v>0</v>
      </c>
      <c r="AE122" s="34">
        <v>0</v>
      </c>
      <c r="AG122" s="34">
        <v>3</v>
      </c>
      <c r="AH122" s="34">
        <v>0</v>
      </c>
      <c r="AI122" s="34">
        <v>32</v>
      </c>
    </row>
    <row r="123" spans="1:35" ht="15.75" customHeight="1">
      <c r="A123" s="34">
        <v>124</v>
      </c>
      <c r="B123" s="34" t="s">
        <v>185</v>
      </c>
      <c r="C123" s="34" t="s">
        <v>177</v>
      </c>
      <c r="D123" s="34">
        <v>9</v>
      </c>
      <c r="E123" s="34">
        <v>584</v>
      </c>
      <c r="F123" s="34">
        <v>19</v>
      </c>
      <c r="G123" s="34">
        <v>603</v>
      </c>
      <c r="H123" s="34">
        <v>23</v>
      </c>
      <c r="I123" s="34">
        <v>626</v>
      </c>
      <c r="J123" s="34">
        <v>25</v>
      </c>
      <c r="K123" s="34">
        <v>651</v>
      </c>
      <c r="L123" s="34">
        <v>30</v>
      </c>
      <c r="M123" s="34">
        <v>681</v>
      </c>
      <c r="N123" s="34">
        <v>21</v>
      </c>
      <c r="O123" s="34">
        <v>702</v>
      </c>
      <c r="P123" s="34">
        <v>16</v>
      </c>
      <c r="Q123" s="34">
        <v>718</v>
      </c>
      <c r="R123" s="34">
        <v>16</v>
      </c>
      <c r="S123" s="34">
        <v>742</v>
      </c>
      <c r="T123" s="34">
        <v>24</v>
      </c>
      <c r="U123" s="34">
        <v>764</v>
      </c>
      <c r="V123" s="34">
        <v>22</v>
      </c>
      <c r="W123" s="34">
        <v>774</v>
      </c>
      <c r="X123" s="34">
        <v>10</v>
      </c>
      <c r="Y123" s="34">
        <v>787</v>
      </c>
      <c r="Z123" s="34">
        <v>13</v>
      </c>
      <c r="AA123" s="34">
        <v>804</v>
      </c>
      <c r="AB123" s="34">
        <v>17</v>
      </c>
      <c r="AC123" s="34">
        <v>17</v>
      </c>
      <c r="AD123" s="34">
        <v>16</v>
      </c>
      <c r="AE123" s="34">
        <v>0</v>
      </c>
      <c r="AG123" s="34">
        <v>3</v>
      </c>
      <c r="AH123" s="34">
        <v>0</v>
      </c>
      <c r="AI123" s="34">
        <v>36</v>
      </c>
    </row>
    <row r="124" spans="1:35" ht="15.75" customHeight="1">
      <c r="A124" s="34">
        <v>125</v>
      </c>
      <c r="B124" s="34" t="s">
        <v>186</v>
      </c>
      <c r="C124" s="34" t="s">
        <v>177</v>
      </c>
      <c r="D124" s="34">
        <v>11</v>
      </c>
      <c r="E124" s="34">
        <v>3716</v>
      </c>
      <c r="F124" s="34">
        <v>16</v>
      </c>
      <c r="G124" s="34">
        <v>3732</v>
      </c>
      <c r="H124" s="34">
        <v>21</v>
      </c>
      <c r="I124" s="34">
        <v>3753</v>
      </c>
      <c r="J124" s="34">
        <v>24</v>
      </c>
      <c r="K124" s="34">
        <v>3777</v>
      </c>
      <c r="L124" s="34">
        <v>19</v>
      </c>
      <c r="M124" s="34">
        <v>3796</v>
      </c>
      <c r="N124" s="34">
        <v>16</v>
      </c>
      <c r="O124" s="34">
        <v>3812</v>
      </c>
      <c r="P124" s="34">
        <v>12</v>
      </c>
      <c r="Q124" s="34">
        <v>3824</v>
      </c>
      <c r="R124" s="34">
        <v>12</v>
      </c>
      <c r="S124" s="34">
        <v>3837</v>
      </c>
      <c r="T124" s="34">
        <v>13</v>
      </c>
      <c r="U124" s="34">
        <v>3848</v>
      </c>
      <c r="V124" s="34">
        <v>11</v>
      </c>
      <c r="W124" s="34">
        <v>3856</v>
      </c>
      <c r="X124" s="34">
        <v>8</v>
      </c>
      <c r="Y124" s="34">
        <v>3864</v>
      </c>
      <c r="Z124" s="34">
        <v>8</v>
      </c>
      <c r="AA124" s="34">
        <v>3879</v>
      </c>
      <c r="AB124" s="34">
        <v>15</v>
      </c>
      <c r="AC124" s="34">
        <v>15</v>
      </c>
      <c r="AD124" s="34">
        <v>0</v>
      </c>
      <c r="AE124" s="34">
        <v>0</v>
      </c>
      <c r="AG124" s="34">
        <v>3</v>
      </c>
      <c r="AH124" s="34">
        <v>0</v>
      </c>
      <c r="AI124" s="34">
        <v>18</v>
      </c>
    </row>
    <row r="125" spans="1:35" ht="15.75" customHeight="1">
      <c r="A125" s="34">
        <v>126</v>
      </c>
      <c r="B125" s="34" t="s">
        <v>187</v>
      </c>
      <c r="C125" s="34" t="s">
        <v>177</v>
      </c>
      <c r="D125" s="34">
        <v>12</v>
      </c>
      <c r="E125" s="34">
        <v>2463</v>
      </c>
      <c r="F125" s="34">
        <v>11</v>
      </c>
      <c r="G125" s="34">
        <v>2474</v>
      </c>
      <c r="H125" s="34">
        <v>12</v>
      </c>
      <c r="I125" s="34">
        <v>2486</v>
      </c>
      <c r="J125" s="34">
        <v>12</v>
      </c>
      <c r="K125" s="34">
        <v>2498</v>
      </c>
      <c r="L125" s="34">
        <v>12</v>
      </c>
      <c r="M125" s="34">
        <v>2510</v>
      </c>
      <c r="N125" s="34">
        <v>10</v>
      </c>
      <c r="O125" s="34">
        <v>2520</v>
      </c>
      <c r="P125" s="34">
        <v>9</v>
      </c>
      <c r="Q125" s="34">
        <v>2529</v>
      </c>
      <c r="R125" s="34">
        <v>9</v>
      </c>
      <c r="S125" s="34">
        <v>2534</v>
      </c>
      <c r="T125" s="34">
        <v>5</v>
      </c>
      <c r="U125" s="34">
        <v>2543</v>
      </c>
      <c r="V125" s="34">
        <v>9</v>
      </c>
      <c r="W125" s="34">
        <v>2561</v>
      </c>
      <c r="X125" s="34">
        <v>18</v>
      </c>
      <c r="Y125" s="34">
        <v>2568</v>
      </c>
      <c r="Z125" s="34">
        <v>7</v>
      </c>
      <c r="AA125" s="34">
        <v>2583</v>
      </c>
      <c r="AB125" s="34">
        <v>15</v>
      </c>
      <c r="AC125" s="34">
        <v>15</v>
      </c>
      <c r="AD125" s="34">
        <v>0</v>
      </c>
      <c r="AE125" s="34">
        <v>0</v>
      </c>
      <c r="AG125" s="34">
        <v>3</v>
      </c>
      <c r="AH125" s="34">
        <v>0</v>
      </c>
      <c r="AI125" s="34">
        <v>18</v>
      </c>
    </row>
    <row r="126" spans="1:35" ht="15.75" customHeight="1">
      <c r="A126" s="34">
        <v>127</v>
      </c>
      <c r="B126" s="34" t="s">
        <v>188</v>
      </c>
      <c r="C126" s="34" t="s">
        <v>177</v>
      </c>
      <c r="D126" s="34">
        <v>13</v>
      </c>
      <c r="E126" s="34">
        <v>4938</v>
      </c>
      <c r="F126" s="34">
        <v>31</v>
      </c>
      <c r="G126" s="34">
        <v>4969</v>
      </c>
      <c r="H126" s="34">
        <v>32</v>
      </c>
      <c r="I126" s="34">
        <v>5001</v>
      </c>
      <c r="J126" s="34">
        <v>27</v>
      </c>
      <c r="K126" s="34">
        <v>5028</v>
      </c>
      <c r="L126" s="34">
        <v>22</v>
      </c>
      <c r="M126" s="34">
        <v>5050</v>
      </c>
      <c r="N126" s="34">
        <v>38</v>
      </c>
      <c r="O126" s="34">
        <v>5088</v>
      </c>
      <c r="P126" s="34">
        <v>19</v>
      </c>
      <c r="Q126" s="34">
        <v>5107</v>
      </c>
      <c r="R126" s="34">
        <v>19</v>
      </c>
      <c r="S126" s="34">
        <v>5137</v>
      </c>
      <c r="T126" s="34">
        <v>30</v>
      </c>
      <c r="U126" s="34">
        <v>5160</v>
      </c>
      <c r="V126" s="34">
        <v>23</v>
      </c>
      <c r="W126" s="34">
        <v>5182</v>
      </c>
      <c r="X126" s="34">
        <v>22</v>
      </c>
      <c r="Y126" s="34">
        <v>5220</v>
      </c>
      <c r="Z126" s="34">
        <v>38</v>
      </c>
      <c r="AA126" s="34">
        <v>5258</v>
      </c>
      <c r="AB126" s="34">
        <v>38</v>
      </c>
      <c r="AC126" s="34">
        <v>38</v>
      </c>
      <c r="AD126" s="34">
        <v>41</v>
      </c>
      <c r="AE126" s="34">
        <v>0</v>
      </c>
      <c r="AG126" s="34">
        <v>3</v>
      </c>
      <c r="AH126" s="34">
        <v>20</v>
      </c>
      <c r="AI126" s="34">
        <v>102</v>
      </c>
    </row>
    <row r="127" spans="1:35" ht="15.75" customHeight="1">
      <c r="A127" s="34">
        <v>128</v>
      </c>
      <c r="B127" s="34" t="s">
        <v>189</v>
      </c>
      <c r="C127" s="34" t="s">
        <v>177</v>
      </c>
      <c r="D127" s="34">
        <v>14</v>
      </c>
      <c r="E127" s="34">
        <v>1710</v>
      </c>
      <c r="F127" s="34">
        <v>16</v>
      </c>
      <c r="G127" s="34">
        <v>1726</v>
      </c>
      <c r="H127" s="34">
        <v>20</v>
      </c>
      <c r="I127" s="34">
        <v>1746</v>
      </c>
      <c r="J127" s="34">
        <v>14</v>
      </c>
      <c r="K127" s="34">
        <v>1760</v>
      </c>
      <c r="L127" s="34">
        <v>14</v>
      </c>
      <c r="M127" s="34">
        <v>1774</v>
      </c>
      <c r="N127" s="34">
        <v>14</v>
      </c>
      <c r="O127" s="34">
        <v>1788</v>
      </c>
      <c r="P127" s="34">
        <v>11</v>
      </c>
      <c r="Q127" s="34">
        <v>1799</v>
      </c>
      <c r="R127" s="34">
        <v>11</v>
      </c>
      <c r="S127" s="34">
        <v>1809</v>
      </c>
      <c r="T127" s="34">
        <v>10</v>
      </c>
      <c r="U127" s="34">
        <v>1819</v>
      </c>
      <c r="V127" s="34">
        <v>10</v>
      </c>
      <c r="W127" s="34">
        <v>1831</v>
      </c>
      <c r="X127" s="34">
        <v>12</v>
      </c>
      <c r="Y127" s="34">
        <v>1844</v>
      </c>
      <c r="Z127" s="34">
        <v>13</v>
      </c>
      <c r="AA127" s="34">
        <v>1859</v>
      </c>
      <c r="AB127" s="34">
        <v>15</v>
      </c>
      <c r="AC127" s="34">
        <v>15</v>
      </c>
      <c r="AD127" s="34">
        <v>0</v>
      </c>
      <c r="AE127" s="34">
        <v>0</v>
      </c>
      <c r="AG127" s="34">
        <v>3</v>
      </c>
      <c r="AH127" s="34">
        <v>0</v>
      </c>
      <c r="AI127" s="34">
        <v>18</v>
      </c>
    </row>
    <row r="128" spans="1:35" ht="15.75" customHeight="1">
      <c r="A128" s="34">
        <v>129</v>
      </c>
      <c r="B128" s="34" t="s">
        <v>190</v>
      </c>
      <c r="C128" s="34" t="s">
        <v>177</v>
      </c>
      <c r="D128" s="34">
        <v>15</v>
      </c>
      <c r="E128" s="34">
        <v>1918</v>
      </c>
      <c r="F128" s="34">
        <v>7</v>
      </c>
      <c r="G128" s="34">
        <v>1925</v>
      </c>
      <c r="H128" s="34">
        <v>12</v>
      </c>
      <c r="I128" s="34">
        <v>1937</v>
      </c>
      <c r="J128" s="34">
        <v>12</v>
      </c>
      <c r="K128" s="34">
        <v>1949</v>
      </c>
      <c r="L128" s="34">
        <v>6</v>
      </c>
      <c r="M128" s="34">
        <v>1955</v>
      </c>
      <c r="N128" s="34">
        <v>7</v>
      </c>
      <c r="O128" s="34">
        <v>1962</v>
      </c>
      <c r="P128" s="34">
        <v>9</v>
      </c>
      <c r="Q128" s="34">
        <v>1971</v>
      </c>
      <c r="R128" s="34">
        <v>9</v>
      </c>
      <c r="S128" s="34">
        <v>1974</v>
      </c>
      <c r="T128" s="34">
        <v>3</v>
      </c>
      <c r="U128" s="34">
        <v>1978</v>
      </c>
      <c r="V128" s="34">
        <v>4</v>
      </c>
      <c r="W128" s="34">
        <v>1982</v>
      </c>
      <c r="X128" s="34">
        <v>4</v>
      </c>
      <c r="Y128" s="34">
        <v>1987</v>
      </c>
      <c r="Z128" s="34">
        <v>5</v>
      </c>
      <c r="AA128" s="34">
        <v>1999</v>
      </c>
      <c r="AB128" s="34">
        <v>12</v>
      </c>
      <c r="AC128" s="34">
        <v>12</v>
      </c>
      <c r="AD128" s="34">
        <v>0</v>
      </c>
      <c r="AE128" s="34">
        <v>0</v>
      </c>
      <c r="AG128" s="34">
        <v>3</v>
      </c>
      <c r="AH128" s="34">
        <v>20</v>
      </c>
      <c r="AI128" s="34">
        <v>35</v>
      </c>
    </row>
    <row r="129" spans="1:35" ht="15.75" customHeight="1">
      <c r="A129" s="34">
        <v>130</v>
      </c>
      <c r="B129" s="34" t="s">
        <v>191</v>
      </c>
      <c r="C129" s="34" t="s">
        <v>177</v>
      </c>
      <c r="D129" s="34">
        <v>16</v>
      </c>
      <c r="E129" s="34">
        <v>4603</v>
      </c>
      <c r="F129" s="34">
        <v>13</v>
      </c>
      <c r="G129" s="34">
        <v>4616</v>
      </c>
      <c r="H129" s="34">
        <v>16</v>
      </c>
      <c r="I129" s="34">
        <v>4632</v>
      </c>
      <c r="J129" s="34">
        <v>13</v>
      </c>
      <c r="K129" s="34">
        <v>4645</v>
      </c>
      <c r="L129" s="34">
        <v>9</v>
      </c>
      <c r="M129" s="34">
        <v>4654</v>
      </c>
      <c r="N129" s="34">
        <v>13</v>
      </c>
      <c r="O129" s="34">
        <v>4667</v>
      </c>
      <c r="P129" s="34">
        <v>14</v>
      </c>
      <c r="Q129" s="34">
        <v>4681</v>
      </c>
      <c r="R129" s="34">
        <v>14</v>
      </c>
      <c r="S129" s="34">
        <v>4688</v>
      </c>
      <c r="T129" s="34">
        <v>7</v>
      </c>
      <c r="U129" s="34">
        <v>4696</v>
      </c>
      <c r="V129" s="34">
        <v>8</v>
      </c>
      <c r="W129" s="34">
        <v>4704</v>
      </c>
      <c r="X129" s="34">
        <v>8</v>
      </c>
      <c r="Y129" s="34">
        <v>4713</v>
      </c>
      <c r="Z129" s="34">
        <v>9</v>
      </c>
      <c r="AA129" s="34">
        <v>4721</v>
      </c>
      <c r="AB129" s="34">
        <v>8</v>
      </c>
      <c r="AC129" s="34">
        <v>8</v>
      </c>
      <c r="AD129" s="34">
        <v>0</v>
      </c>
      <c r="AE129" s="34">
        <v>0</v>
      </c>
      <c r="AG129" s="34">
        <v>3</v>
      </c>
      <c r="AH129" s="34">
        <v>20</v>
      </c>
      <c r="AI129" s="34">
        <v>31</v>
      </c>
    </row>
    <row r="130" spans="1:35" ht="15.75" customHeight="1">
      <c r="A130" s="34">
        <v>131</v>
      </c>
      <c r="B130" s="34" t="s">
        <v>192</v>
      </c>
      <c r="C130" s="34" t="s">
        <v>177</v>
      </c>
      <c r="D130" s="34" t="s">
        <v>2741</v>
      </c>
      <c r="E130" s="34">
        <v>12</v>
      </c>
      <c r="F130" s="34">
        <v>15</v>
      </c>
      <c r="G130" s="34">
        <v>27</v>
      </c>
      <c r="H130" s="34">
        <v>19</v>
      </c>
      <c r="I130" s="34">
        <v>46</v>
      </c>
      <c r="J130" s="34">
        <v>20</v>
      </c>
      <c r="K130" s="34">
        <v>66</v>
      </c>
      <c r="L130" s="34">
        <v>19</v>
      </c>
      <c r="M130" s="34">
        <v>85</v>
      </c>
      <c r="N130" s="34">
        <v>20</v>
      </c>
      <c r="O130" s="34">
        <v>105</v>
      </c>
      <c r="P130" s="34">
        <v>16</v>
      </c>
      <c r="Q130" s="34">
        <v>121</v>
      </c>
      <c r="R130" s="34">
        <v>16</v>
      </c>
      <c r="S130" s="34">
        <v>137</v>
      </c>
      <c r="T130" s="34">
        <v>16</v>
      </c>
      <c r="U130" s="34">
        <v>161</v>
      </c>
      <c r="V130" s="34">
        <v>24</v>
      </c>
      <c r="W130" s="34">
        <v>183</v>
      </c>
      <c r="X130" s="34">
        <v>22</v>
      </c>
      <c r="Y130" s="34">
        <v>216</v>
      </c>
      <c r="Z130" s="34">
        <v>33</v>
      </c>
      <c r="AA130" s="34">
        <v>253</v>
      </c>
      <c r="AB130" s="34">
        <v>37</v>
      </c>
      <c r="AC130" s="34">
        <v>37</v>
      </c>
      <c r="AD130" s="34">
        <v>0</v>
      </c>
      <c r="AE130" s="34">
        <v>0</v>
      </c>
      <c r="AG130" s="34">
        <v>3</v>
      </c>
      <c r="AH130" s="34">
        <v>20</v>
      </c>
      <c r="AI130" s="34">
        <v>60</v>
      </c>
    </row>
    <row r="131" spans="1:35" ht="15.75" customHeight="1">
      <c r="A131" s="34">
        <v>132</v>
      </c>
      <c r="B131" s="34" t="s">
        <v>2742</v>
      </c>
      <c r="C131" s="34" t="s">
        <v>177</v>
      </c>
      <c r="D131" s="34">
        <v>17</v>
      </c>
      <c r="E131" s="34">
        <v>1244</v>
      </c>
      <c r="F131" s="34">
        <v>22</v>
      </c>
      <c r="G131" s="34">
        <v>1266</v>
      </c>
      <c r="H131" s="34">
        <v>32</v>
      </c>
      <c r="I131" s="34">
        <v>1298</v>
      </c>
      <c r="J131" s="34">
        <v>33</v>
      </c>
      <c r="K131" s="34">
        <v>1331</v>
      </c>
      <c r="L131" s="34">
        <v>17</v>
      </c>
      <c r="M131" s="34">
        <v>1348</v>
      </c>
      <c r="N131" s="34">
        <v>12</v>
      </c>
      <c r="O131" s="34">
        <v>1360</v>
      </c>
      <c r="P131" s="34">
        <v>3</v>
      </c>
      <c r="Q131" s="34">
        <v>1363</v>
      </c>
      <c r="R131" s="34">
        <v>3</v>
      </c>
      <c r="S131" s="34">
        <v>1364</v>
      </c>
      <c r="T131" s="34">
        <v>1</v>
      </c>
      <c r="U131" s="34">
        <v>1364</v>
      </c>
      <c r="V131" s="34">
        <v>0</v>
      </c>
      <c r="W131" s="34">
        <v>1365</v>
      </c>
      <c r="X131" s="34">
        <v>1</v>
      </c>
      <c r="Y131" s="34">
        <v>1365</v>
      </c>
      <c r="Z131" s="34">
        <v>0</v>
      </c>
      <c r="AA131" s="34">
        <v>1365</v>
      </c>
      <c r="AB131" s="34">
        <v>0</v>
      </c>
      <c r="AC131" s="34">
        <v>5</v>
      </c>
      <c r="AD131" s="34">
        <v>0</v>
      </c>
      <c r="AE131" s="34">
        <v>0</v>
      </c>
      <c r="AG131" s="34">
        <v>3</v>
      </c>
      <c r="AH131" s="34">
        <v>20</v>
      </c>
      <c r="AI131" s="34">
        <v>28</v>
      </c>
    </row>
    <row r="132" spans="1:35" ht="15.75" customHeight="1">
      <c r="A132" s="34">
        <v>133</v>
      </c>
      <c r="B132" s="34" t="s">
        <v>195</v>
      </c>
      <c r="C132" s="34" t="s">
        <v>177</v>
      </c>
      <c r="D132" s="34">
        <v>18</v>
      </c>
      <c r="E132" s="34">
        <v>1000</v>
      </c>
      <c r="F132" s="34">
        <v>9</v>
      </c>
      <c r="G132" s="34">
        <v>1009</v>
      </c>
      <c r="H132" s="34">
        <v>7</v>
      </c>
      <c r="I132" s="34">
        <v>1016</v>
      </c>
      <c r="J132" s="34">
        <v>5</v>
      </c>
      <c r="K132" s="34">
        <v>1021</v>
      </c>
      <c r="L132" s="34">
        <v>8</v>
      </c>
      <c r="M132" s="34">
        <v>1029</v>
      </c>
      <c r="N132" s="34">
        <v>4</v>
      </c>
      <c r="O132" s="34">
        <v>1033</v>
      </c>
      <c r="P132" s="34">
        <v>2</v>
      </c>
      <c r="Q132" s="34">
        <v>1035</v>
      </c>
      <c r="R132" s="34">
        <v>2</v>
      </c>
      <c r="S132" s="34">
        <v>1036</v>
      </c>
      <c r="T132" s="34">
        <v>1</v>
      </c>
      <c r="U132" s="34">
        <v>1039</v>
      </c>
      <c r="V132" s="34">
        <v>3</v>
      </c>
      <c r="W132" s="34">
        <v>1046</v>
      </c>
      <c r="X132" s="34">
        <v>7</v>
      </c>
      <c r="Y132" s="34">
        <v>1048</v>
      </c>
      <c r="Z132" s="34">
        <v>2</v>
      </c>
      <c r="AA132" s="34">
        <v>1049</v>
      </c>
      <c r="AB132" s="34">
        <v>1</v>
      </c>
      <c r="AC132" s="34">
        <v>5</v>
      </c>
      <c r="AD132" s="34">
        <v>0</v>
      </c>
      <c r="AE132" s="34">
        <v>0</v>
      </c>
      <c r="AG132" s="34">
        <v>3</v>
      </c>
      <c r="AH132" s="34">
        <v>0</v>
      </c>
      <c r="AI132" s="34">
        <v>8</v>
      </c>
    </row>
    <row r="133" spans="1:35" ht="15.75" customHeight="1">
      <c r="A133" s="34">
        <v>134</v>
      </c>
      <c r="B133" s="34" t="s">
        <v>196</v>
      </c>
      <c r="C133" s="34" t="s">
        <v>177</v>
      </c>
      <c r="D133" s="34">
        <v>19</v>
      </c>
      <c r="E133" s="34">
        <v>2832</v>
      </c>
      <c r="F133" s="34">
        <v>25</v>
      </c>
      <c r="G133" s="34">
        <v>2857</v>
      </c>
      <c r="H133" s="34">
        <v>26</v>
      </c>
      <c r="I133" s="34">
        <v>2883</v>
      </c>
      <c r="J133" s="34">
        <v>25</v>
      </c>
      <c r="K133" s="34">
        <v>2908</v>
      </c>
      <c r="L133" s="34">
        <v>27</v>
      </c>
      <c r="M133" s="34">
        <v>2935</v>
      </c>
      <c r="N133" s="34">
        <v>21</v>
      </c>
      <c r="O133" s="34">
        <v>2956</v>
      </c>
      <c r="P133" s="34">
        <v>19</v>
      </c>
      <c r="Q133" s="34">
        <v>2975</v>
      </c>
      <c r="R133" s="34">
        <v>19</v>
      </c>
      <c r="S133" s="34">
        <v>2991</v>
      </c>
      <c r="T133" s="34">
        <v>16</v>
      </c>
      <c r="U133" s="34">
        <v>3007</v>
      </c>
      <c r="V133" s="34">
        <v>16</v>
      </c>
      <c r="W133" s="34">
        <v>3021</v>
      </c>
      <c r="X133" s="34">
        <v>14</v>
      </c>
      <c r="Y133" s="34">
        <v>3035</v>
      </c>
      <c r="Z133" s="34">
        <v>14</v>
      </c>
      <c r="AA133" s="34">
        <v>3051</v>
      </c>
      <c r="AB133" s="34">
        <v>16</v>
      </c>
      <c r="AC133" s="34">
        <v>16</v>
      </c>
      <c r="AD133" s="34">
        <v>0</v>
      </c>
      <c r="AE133" s="34">
        <v>0</v>
      </c>
      <c r="AG133" s="34">
        <v>3</v>
      </c>
      <c r="AH133" s="34">
        <v>0</v>
      </c>
      <c r="AI133" s="34">
        <v>19</v>
      </c>
    </row>
    <row r="134" spans="1:35" ht="15.75" customHeight="1">
      <c r="A134" s="34">
        <v>135</v>
      </c>
      <c r="B134" s="34" t="s">
        <v>197</v>
      </c>
      <c r="C134" s="34" t="s">
        <v>177</v>
      </c>
      <c r="D134" s="34">
        <v>20</v>
      </c>
      <c r="E134" s="34">
        <v>2713</v>
      </c>
      <c r="F134" s="34">
        <v>19</v>
      </c>
      <c r="G134" s="34">
        <v>2732</v>
      </c>
      <c r="H134" s="34">
        <v>17</v>
      </c>
      <c r="I134" s="34">
        <v>2749</v>
      </c>
      <c r="J134" s="34">
        <v>15</v>
      </c>
      <c r="K134" s="34">
        <v>2764</v>
      </c>
      <c r="L134" s="34">
        <v>14</v>
      </c>
      <c r="M134" s="34">
        <v>2778</v>
      </c>
      <c r="N134" s="34">
        <v>13</v>
      </c>
      <c r="O134" s="34">
        <v>2791</v>
      </c>
      <c r="P134" s="34">
        <v>14</v>
      </c>
      <c r="Q134" s="34">
        <v>2805</v>
      </c>
      <c r="R134" s="34">
        <v>14</v>
      </c>
      <c r="S134" s="34">
        <v>2816</v>
      </c>
      <c r="T134" s="34">
        <v>11</v>
      </c>
      <c r="U134" s="34">
        <v>2827</v>
      </c>
      <c r="V134" s="34">
        <v>11</v>
      </c>
      <c r="W134" s="34">
        <v>2838</v>
      </c>
      <c r="X134" s="34">
        <v>11</v>
      </c>
      <c r="Y134" s="34">
        <v>2850</v>
      </c>
      <c r="Z134" s="34">
        <v>12</v>
      </c>
      <c r="AA134" s="34">
        <v>2865</v>
      </c>
      <c r="AB134" s="34">
        <v>15</v>
      </c>
      <c r="AC134" s="34">
        <v>15</v>
      </c>
      <c r="AD134" s="34">
        <v>0</v>
      </c>
      <c r="AE134" s="34">
        <v>0</v>
      </c>
      <c r="AG134" s="34">
        <v>3</v>
      </c>
      <c r="AH134" s="34">
        <v>0</v>
      </c>
      <c r="AI134" s="34">
        <v>18</v>
      </c>
    </row>
    <row r="135" spans="1:35" ht="15.75" customHeight="1">
      <c r="A135" s="34">
        <v>136</v>
      </c>
      <c r="B135" s="34" t="s">
        <v>198</v>
      </c>
      <c r="C135" s="34" t="s">
        <v>177</v>
      </c>
      <c r="D135" s="34">
        <v>21</v>
      </c>
      <c r="E135" s="34">
        <v>1104</v>
      </c>
      <c r="F135" s="34">
        <v>27</v>
      </c>
      <c r="G135" s="34">
        <v>1131</v>
      </c>
      <c r="H135" s="34">
        <v>35</v>
      </c>
      <c r="I135" s="34">
        <v>1166</v>
      </c>
      <c r="J135" s="34">
        <v>30</v>
      </c>
      <c r="K135" s="34">
        <v>1196</v>
      </c>
      <c r="L135" s="34">
        <v>29</v>
      </c>
      <c r="M135" s="34">
        <v>1225</v>
      </c>
      <c r="N135" s="34">
        <v>23</v>
      </c>
      <c r="O135" s="34">
        <v>1248</v>
      </c>
      <c r="P135" s="34">
        <v>21</v>
      </c>
      <c r="Q135" s="34">
        <v>1269</v>
      </c>
      <c r="R135" s="34">
        <v>21</v>
      </c>
      <c r="S135" s="34">
        <v>1288</v>
      </c>
      <c r="T135" s="34">
        <v>19</v>
      </c>
      <c r="U135" s="34">
        <v>1305</v>
      </c>
      <c r="V135" s="34">
        <v>17</v>
      </c>
      <c r="W135" s="34">
        <v>1322</v>
      </c>
      <c r="X135" s="34">
        <v>17</v>
      </c>
      <c r="Y135" s="34">
        <v>1340</v>
      </c>
      <c r="Z135" s="34">
        <v>18</v>
      </c>
      <c r="AA135" s="34">
        <v>1363</v>
      </c>
      <c r="AB135" s="34">
        <v>23</v>
      </c>
      <c r="AC135" s="34">
        <v>23</v>
      </c>
      <c r="AD135" s="34">
        <v>0</v>
      </c>
      <c r="AE135" s="34">
        <v>0</v>
      </c>
      <c r="AG135" s="34">
        <v>3</v>
      </c>
      <c r="AH135" s="34">
        <v>0</v>
      </c>
      <c r="AI135" s="34">
        <v>26</v>
      </c>
    </row>
    <row r="136" spans="1:35" ht="15.75" customHeight="1">
      <c r="A136" s="34">
        <v>137</v>
      </c>
      <c r="B136" s="34" t="s">
        <v>199</v>
      </c>
      <c r="C136" s="34" t="s">
        <v>177</v>
      </c>
      <c r="D136" s="34" t="s">
        <v>2743</v>
      </c>
      <c r="E136" s="34">
        <v>458</v>
      </c>
      <c r="F136" s="34">
        <v>13</v>
      </c>
      <c r="G136" s="34">
        <v>471</v>
      </c>
      <c r="H136" s="34">
        <v>14</v>
      </c>
      <c r="I136" s="34">
        <v>485</v>
      </c>
      <c r="J136" s="34">
        <v>14</v>
      </c>
      <c r="K136" s="34">
        <v>499</v>
      </c>
      <c r="L136" s="34">
        <v>11</v>
      </c>
      <c r="M136" s="34">
        <v>510</v>
      </c>
      <c r="N136" s="34">
        <v>11</v>
      </c>
      <c r="O136" s="34">
        <v>521</v>
      </c>
      <c r="P136" s="34">
        <v>10</v>
      </c>
      <c r="Q136" s="34">
        <v>531</v>
      </c>
      <c r="R136" s="34">
        <v>10</v>
      </c>
      <c r="S136" s="34">
        <v>540</v>
      </c>
      <c r="T136" s="34">
        <v>9</v>
      </c>
      <c r="U136" s="34">
        <v>544</v>
      </c>
      <c r="V136" s="34">
        <v>4</v>
      </c>
      <c r="W136" s="34">
        <v>551</v>
      </c>
      <c r="X136" s="34">
        <v>7</v>
      </c>
      <c r="Y136" s="34">
        <v>559</v>
      </c>
      <c r="Z136" s="34">
        <v>8</v>
      </c>
      <c r="AA136" s="34">
        <v>571</v>
      </c>
      <c r="AB136" s="34">
        <v>12</v>
      </c>
      <c r="AC136" s="34">
        <v>12</v>
      </c>
      <c r="AD136" s="34">
        <v>0</v>
      </c>
      <c r="AE136" s="34">
        <v>0</v>
      </c>
      <c r="AG136" s="34">
        <v>3</v>
      </c>
      <c r="AH136" s="34">
        <v>0</v>
      </c>
      <c r="AI136" s="34">
        <v>15</v>
      </c>
    </row>
    <row r="137" spans="1:35" ht="15.75" customHeight="1">
      <c r="A137" s="34">
        <v>138</v>
      </c>
      <c r="B137" s="34" t="s">
        <v>201</v>
      </c>
      <c r="C137" s="34" t="s">
        <v>177</v>
      </c>
      <c r="D137" s="34">
        <v>22</v>
      </c>
      <c r="E137" s="34">
        <v>3480</v>
      </c>
      <c r="F137" s="34">
        <v>28</v>
      </c>
      <c r="G137" s="34">
        <v>3508</v>
      </c>
      <c r="H137" s="34">
        <v>39</v>
      </c>
      <c r="I137" s="34">
        <v>3547</v>
      </c>
      <c r="J137" s="34">
        <v>29</v>
      </c>
      <c r="K137" s="34">
        <v>3576</v>
      </c>
      <c r="L137" s="34">
        <v>37</v>
      </c>
      <c r="M137" s="34">
        <v>3613</v>
      </c>
      <c r="N137" s="34">
        <v>33</v>
      </c>
      <c r="O137" s="34">
        <v>3646</v>
      </c>
      <c r="P137" s="34">
        <v>32</v>
      </c>
      <c r="Q137" s="34">
        <v>3678</v>
      </c>
      <c r="R137" s="34">
        <v>32</v>
      </c>
      <c r="S137" s="34">
        <v>3701</v>
      </c>
      <c r="T137" s="34">
        <v>23</v>
      </c>
      <c r="U137" s="34">
        <v>3725</v>
      </c>
      <c r="V137" s="34">
        <v>24</v>
      </c>
      <c r="W137" s="34">
        <v>3750</v>
      </c>
      <c r="X137" s="34">
        <v>25</v>
      </c>
      <c r="Y137" s="34">
        <v>3809</v>
      </c>
      <c r="Z137" s="34">
        <v>59</v>
      </c>
      <c r="AA137" s="34">
        <v>3855</v>
      </c>
      <c r="AB137" s="34">
        <v>46</v>
      </c>
      <c r="AC137" s="34">
        <v>46</v>
      </c>
      <c r="AD137" s="34">
        <v>0</v>
      </c>
      <c r="AE137" s="34">
        <v>0</v>
      </c>
      <c r="AG137" s="34">
        <v>3</v>
      </c>
      <c r="AH137" s="34">
        <v>0</v>
      </c>
      <c r="AI137" s="34">
        <v>49</v>
      </c>
    </row>
    <row r="138" spans="1:35" ht="15.75" customHeight="1">
      <c r="A138" s="34">
        <v>139</v>
      </c>
      <c r="B138" s="34" t="s">
        <v>202</v>
      </c>
      <c r="C138" s="34" t="s">
        <v>177</v>
      </c>
      <c r="D138" s="34">
        <v>23</v>
      </c>
      <c r="E138" s="34">
        <v>121</v>
      </c>
      <c r="F138" s="34">
        <v>10</v>
      </c>
      <c r="G138" s="34">
        <v>131</v>
      </c>
      <c r="H138" s="34">
        <v>8</v>
      </c>
      <c r="I138" s="34">
        <v>139</v>
      </c>
      <c r="J138" s="34">
        <v>11</v>
      </c>
      <c r="K138" s="34">
        <v>150</v>
      </c>
      <c r="L138" s="34">
        <v>9</v>
      </c>
      <c r="M138" s="34">
        <v>159</v>
      </c>
      <c r="N138" s="34">
        <v>10</v>
      </c>
      <c r="O138" s="34">
        <v>169</v>
      </c>
      <c r="P138" s="34">
        <v>6</v>
      </c>
      <c r="Q138" s="34">
        <v>175</v>
      </c>
      <c r="R138" s="34">
        <v>6</v>
      </c>
      <c r="S138" s="34">
        <v>178</v>
      </c>
      <c r="T138" s="34">
        <v>3</v>
      </c>
      <c r="U138" s="34">
        <v>181</v>
      </c>
      <c r="V138" s="34">
        <v>3</v>
      </c>
      <c r="W138" s="34">
        <v>185</v>
      </c>
      <c r="X138" s="34">
        <v>4</v>
      </c>
      <c r="Y138" s="34">
        <v>194</v>
      </c>
      <c r="Z138" s="34">
        <v>9</v>
      </c>
      <c r="AA138" s="34">
        <v>204</v>
      </c>
      <c r="AB138" s="34">
        <v>10</v>
      </c>
      <c r="AC138" s="34">
        <v>10</v>
      </c>
      <c r="AD138" s="34">
        <v>12</v>
      </c>
      <c r="AE138" s="34">
        <v>0</v>
      </c>
      <c r="AG138" s="34">
        <v>3</v>
      </c>
      <c r="AH138" s="34">
        <v>20</v>
      </c>
      <c r="AI138" s="34">
        <v>45</v>
      </c>
    </row>
    <row r="139" spans="1:35" ht="15.75" customHeight="1">
      <c r="A139" s="34">
        <v>140</v>
      </c>
      <c r="B139" s="34" t="s">
        <v>2744</v>
      </c>
      <c r="C139" s="34" t="s">
        <v>177</v>
      </c>
      <c r="D139" s="34">
        <v>24</v>
      </c>
      <c r="E139" s="34">
        <v>3250</v>
      </c>
      <c r="F139" s="34">
        <v>30</v>
      </c>
      <c r="G139" s="34">
        <v>3280</v>
      </c>
      <c r="H139" s="34">
        <v>30</v>
      </c>
      <c r="I139" s="34">
        <v>15</v>
      </c>
      <c r="J139" s="34">
        <v>18</v>
      </c>
      <c r="K139" s="34">
        <v>33</v>
      </c>
      <c r="L139" s="34">
        <v>22</v>
      </c>
      <c r="M139" s="34">
        <v>55</v>
      </c>
      <c r="N139" s="34">
        <v>34</v>
      </c>
      <c r="O139" s="34">
        <v>89</v>
      </c>
      <c r="P139" s="34">
        <v>21</v>
      </c>
      <c r="Q139" s="34">
        <v>110</v>
      </c>
      <c r="R139" s="34">
        <v>21</v>
      </c>
      <c r="S139" s="34">
        <v>121</v>
      </c>
      <c r="T139" s="34">
        <v>11</v>
      </c>
      <c r="U139" s="34">
        <v>133</v>
      </c>
      <c r="V139" s="34">
        <v>12</v>
      </c>
      <c r="W139" s="34">
        <v>150</v>
      </c>
      <c r="X139" s="34">
        <v>17</v>
      </c>
      <c r="Y139" s="34">
        <v>166</v>
      </c>
      <c r="Z139" s="34">
        <v>16</v>
      </c>
      <c r="AA139" s="34">
        <v>180</v>
      </c>
      <c r="AB139" s="34">
        <v>14</v>
      </c>
      <c r="AC139" s="34">
        <v>14</v>
      </c>
      <c r="AD139" s="34">
        <v>0</v>
      </c>
      <c r="AE139" s="34">
        <v>0</v>
      </c>
      <c r="AG139" s="34">
        <v>3</v>
      </c>
      <c r="AH139" s="34">
        <v>0</v>
      </c>
      <c r="AI139" s="34">
        <v>17</v>
      </c>
    </row>
    <row r="140" spans="1:35" ht="15.75" customHeight="1">
      <c r="A140" s="34">
        <v>141</v>
      </c>
      <c r="B140" s="34" t="s">
        <v>204</v>
      </c>
      <c r="C140" s="34" t="s">
        <v>205</v>
      </c>
      <c r="D140" s="34">
        <v>1</v>
      </c>
      <c r="E140" s="34">
        <v>2245</v>
      </c>
      <c r="F140" s="34">
        <v>33</v>
      </c>
      <c r="G140" s="34">
        <v>2278</v>
      </c>
      <c r="H140" s="34">
        <v>19</v>
      </c>
      <c r="I140" s="34">
        <v>2297</v>
      </c>
      <c r="J140" s="34">
        <v>11</v>
      </c>
      <c r="K140" s="34">
        <v>2308</v>
      </c>
      <c r="L140" s="34">
        <v>8</v>
      </c>
      <c r="M140" s="34">
        <v>2316</v>
      </c>
      <c r="N140" s="34">
        <v>7</v>
      </c>
      <c r="O140" s="34">
        <v>2323</v>
      </c>
      <c r="P140" s="34">
        <v>8</v>
      </c>
      <c r="Q140" s="34">
        <v>2331</v>
      </c>
      <c r="R140" s="34">
        <v>8</v>
      </c>
      <c r="S140" s="34">
        <v>2339</v>
      </c>
      <c r="T140" s="34">
        <v>8</v>
      </c>
      <c r="U140" s="34">
        <v>2355</v>
      </c>
      <c r="V140" s="34">
        <v>16</v>
      </c>
      <c r="W140" s="34">
        <v>2370</v>
      </c>
      <c r="X140" s="34">
        <v>15</v>
      </c>
      <c r="Y140" s="34">
        <v>2384</v>
      </c>
      <c r="Z140" s="34">
        <v>14</v>
      </c>
      <c r="AA140" s="34">
        <v>2401</v>
      </c>
      <c r="AB140" s="34">
        <v>17</v>
      </c>
      <c r="AC140" s="34">
        <v>17</v>
      </c>
      <c r="AD140" s="34">
        <v>0</v>
      </c>
      <c r="AE140" s="34">
        <v>0</v>
      </c>
      <c r="AG140" s="34">
        <v>3</v>
      </c>
      <c r="AH140" s="34">
        <v>0</v>
      </c>
      <c r="AI140" s="34">
        <v>20</v>
      </c>
    </row>
    <row r="141" spans="1:35" ht="15.75" customHeight="1">
      <c r="A141" s="34">
        <v>142</v>
      </c>
      <c r="B141" s="34" t="s">
        <v>206</v>
      </c>
      <c r="C141" s="34" t="s">
        <v>205</v>
      </c>
      <c r="D141" s="34">
        <v>2</v>
      </c>
      <c r="E141" s="34">
        <v>1883</v>
      </c>
      <c r="F141" s="34">
        <v>7</v>
      </c>
      <c r="G141" s="34">
        <v>1890</v>
      </c>
      <c r="H141" s="34">
        <v>7</v>
      </c>
      <c r="I141" s="34">
        <v>1897</v>
      </c>
      <c r="J141" s="34">
        <v>10</v>
      </c>
      <c r="K141" s="34">
        <v>1907</v>
      </c>
      <c r="L141" s="34">
        <v>11</v>
      </c>
      <c r="M141" s="34">
        <v>1918</v>
      </c>
      <c r="N141" s="34">
        <v>10</v>
      </c>
      <c r="O141" s="34">
        <v>1928</v>
      </c>
      <c r="P141" s="34">
        <v>10</v>
      </c>
      <c r="Q141" s="34">
        <v>1938</v>
      </c>
      <c r="R141" s="34">
        <v>10</v>
      </c>
      <c r="S141" s="34">
        <v>1947</v>
      </c>
      <c r="T141" s="34">
        <v>9</v>
      </c>
      <c r="U141" s="34">
        <v>1958</v>
      </c>
      <c r="V141" s="34">
        <v>11</v>
      </c>
      <c r="W141" s="34">
        <v>1968</v>
      </c>
      <c r="X141" s="34">
        <v>10</v>
      </c>
      <c r="Y141" s="34">
        <v>1980</v>
      </c>
      <c r="Z141" s="34">
        <v>12</v>
      </c>
      <c r="AA141" s="34">
        <v>1992</v>
      </c>
      <c r="AB141" s="34">
        <v>12</v>
      </c>
      <c r="AC141" s="34">
        <v>12</v>
      </c>
      <c r="AD141" s="34">
        <v>0</v>
      </c>
      <c r="AE141" s="34">
        <v>0</v>
      </c>
      <c r="AG141" s="34">
        <v>3</v>
      </c>
      <c r="AH141" s="34">
        <v>0</v>
      </c>
      <c r="AI141" s="34">
        <v>15</v>
      </c>
    </row>
    <row r="142" spans="1:35" ht="15.75" customHeight="1">
      <c r="A142" s="34">
        <v>143</v>
      </c>
      <c r="B142" s="34" t="s">
        <v>207</v>
      </c>
      <c r="C142" s="34" t="s">
        <v>205</v>
      </c>
      <c r="D142" s="34">
        <v>3</v>
      </c>
      <c r="E142" s="34">
        <v>2872</v>
      </c>
      <c r="F142" s="34">
        <v>14</v>
      </c>
      <c r="G142" s="34">
        <v>2886</v>
      </c>
      <c r="H142" s="34">
        <v>13</v>
      </c>
      <c r="I142" s="34">
        <v>2899</v>
      </c>
      <c r="J142" s="34">
        <v>14</v>
      </c>
      <c r="K142" s="34">
        <v>2913</v>
      </c>
      <c r="L142" s="34">
        <v>15</v>
      </c>
      <c r="M142" s="34">
        <v>2928</v>
      </c>
      <c r="N142" s="34">
        <v>13</v>
      </c>
      <c r="O142" s="34">
        <v>2941</v>
      </c>
      <c r="P142" s="34">
        <v>10</v>
      </c>
      <c r="Q142" s="34">
        <v>2951</v>
      </c>
      <c r="R142" s="34">
        <v>10</v>
      </c>
      <c r="S142" s="34">
        <v>2961</v>
      </c>
      <c r="T142" s="34">
        <v>10</v>
      </c>
      <c r="U142" s="34">
        <v>2967</v>
      </c>
      <c r="V142" s="34">
        <v>6</v>
      </c>
      <c r="W142" s="34">
        <v>2973</v>
      </c>
      <c r="X142" s="34">
        <v>6</v>
      </c>
      <c r="Y142" s="34">
        <v>2982</v>
      </c>
      <c r="Z142" s="34">
        <v>9</v>
      </c>
      <c r="AA142" s="34">
        <v>2983</v>
      </c>
      <c r="AB142" s="34">
        <v>1</v>
      </c>
      <c r="AC142" s="34">
        <v>5</v>
      </c>
      <c r="AD142" s="34">
        <v>0</v>
      </c>
      <c r="AE142" s="34">
        <v>0</v>
      </c>
      <c r="AG142" s="34">
        <v>3</v>
      </c>
      <c r="AH142" s="34">
        <v>0</v>
      </c>
      <c r="AI142" s="34">
        <v>8</v>
      </c>
    </row>
    <row r="143" spans="1:35" ht="15.75" customHeight="1">
      <c r="A143" s="34">
        <v>144</v>
      </c>
      <c r="B143" s="34" t="s">
        <v>208</v>
      </c>
      <c r="C143" s="34" t="s">
        <v>205</v>
      </c>
      <c r="D143" s="34">
        <v>4</v>
      </c>
      <c r="E143" s="34">
        <v>2133</v>
      </c>
      <c r="F143" s="34">
        <v>18</v>
      </c>
      <c r="G143" s="34">
        <v>2151</v>
      </c>
      <c r="H143" s="34">
        <v>15</v>
      </c>
      <c r="I143" s="34">
        <v>2166</v>
      </c>
      <c r="J143" s="34">
        <v>8</v>
      </c>
      <c r="K143" s="34">
        <v>2174</v>
      </c>
      <c r="L143" s="34">
        <v>12</v>
      </c>
      <c r="M143" s="34">
        <v>2186</v>
      </c>
      <c r="N143" s="34">
        <v>13</v>
      </c>
      <c r="O143" s="34">
        <v>2199</v>
      </c>
      <c r="P143" s="34">
        <v>24</v>
      </c>
      <c r="Q143" s="34">
        <v>2223</v>
      </c>
      <c r="R143" s="34">
        <v>24</v>
      </c>
      <c r="S143" s="34">
        <v>2235</v>
      </c>
      <c r="T143" s="34">
        <v>12</v>
      </c>
      <c r="U143" s="34">
        <v>2252</v>
      </c>
      <c r="V143" s="34">
        <v>17</v>
      </c>
      <c r="W143" s="34">
        <v>2267</v>
      </c>
      <c r="X143" s="34">
        <v>15</v>
      </c>
      <c r="Y143" s="34">
        <v>2279</v>
      </c>
      <c r="Z143" s="34">
        <v>12</v>
      </c>
      <c r="AA143" s="34">
        <v>2288</v>
      </c>
      <c r="AB143" s="34">
        <v>9</v>
      </c>
      <c r="AC143" s="34">
        <v>9</v>
      </c>
      <c r="AD143" s="34">
        <v>0</v>
      </c>
      <c r="AE143" s="34">
        <v>0</v>
      </c>
      <c r="AG143" s="34">
        <v>3</v>
      </c>
      <c r="AH143" s="34">
        <v>0</v>
      </c>
      <c r="AI143" s="34">
        <v>12</v>
      </c>
    </row>
    <row r="144" spans="1:35" ht="15.75" customHeight="1">
      <c r="A144" s="34">
        <v>145</v>
      </c>
      <c r="B144" s="34" t="s">
        <v>209</v>
      </c>
      <c r="C144" s="34" t="s">
        <v>205</v>
      </c>
      <c r="D144" s="34">
        <v>5</v>
      </c>
      <c r="E144" s="34">
        <v>5105</v>
      </c>
      <c r="F144" s="34">
        <v>27</v>
      </c>
      <c r="G144" s="34">
        <v>5132</v>
      </c>
      <c r="H144" s="34">
        <v>20</v>
      </c>
      <c r="I144" s="34">
        <v>5152</v>
      </c>
      <c r="J144" s="34">
        <v>32</v>
      </c>
      <c r="K144" s="34">
        <v>5184</v>
      </c>
      <c r="L144" s="34">
        <v>29</v>
      </c>
      <c r="M144" s="34">
        <v>5213</v>
      </c>
      <c r="N144" s="34">
        <v>24</v>
      </c>
      <c r="O144" s="34">
        <v>5237</v>
      </c>
      <c r="P144" s="34">
        <v>23</v>
      </c>
      <c r="Q144" s="34">
        <v>5260</v>
      </c>
      <c r="R144" s="34">
        <v>23</v>
      </c>
      <c r="S144" s="34">
        <v>5281</v>
      </c>
      <c r="T144" s="34">
        <v>21</v>
      </c>
      <c r="U144" s="34">
        <v>5303</v>
      </c>
      <c r="V144" s="34">
        <v>22</v>
      </c>
      <c r="W144" s="34">
        <v>5319</v>
      </c>
      <c r="X144" s="34">
        <v>16</v>
      </c>
      <c r="Y144" s="34">
        <v>5330</v>
      </c>
      <c r="Z144" s="34">
        <v>11</v>
      </c>
      <c r="AA144" s="34">
        <v>5343</v>
      </c>
      <c r="AB144" s="34">
        <v>13</v>
      </c>
      <c r="AC144" s="34">
        <v>13</v>
      </c>
      <c r="AD144" s="34">
        <v>0</v>
      </c>
      <c r="AE144" s="34">
        <v>0</v>
      </c>
      <c r="AG144" s="34">
        <v>3</v>
      </c>
      <c r="AH144" s="34">
        <v>20</v>
      </c>
      <c r="AI144" s="34">
        <v>36</v>
      </c>
    </row>
    <row r="145" spans="1:35" ht="15.75" customHeight="1">
      <c r="A145" s="34">
        <v>146</v>
      </c>
      <c r="B145" s="34" t="s">
        <v>210</v>
      </c>
      <c r="C145" s="34" t="s">
        <v>205</v>
      </c>
      <c r="D145" s="34">
        <v>7</v>
      </c>
      <c r="E145" s="34">
        <v>6909</v>
      </c>
      <c r="F145" s="34">
        <v>34</v>
      </c>
      <c r="G145" s="34">
        <v>6943</v>
      </c>
      <c r="H145" s="34">
        <v>37</v>
      </c>
      <c r="I145" s="34">
        <v>6980</v>
      </c>
      <c r="J145" s="34">
        <v>37</v>
      </c>
      <c r="K145" s="34">
        <v>7017</v>
      </c>
      <c r="L145" s="34">
        <v>34</v>
      </c>
      <c r="M145" s="34">
        <v>7051</v>
      </c>
      <c r="N145" s="34">
        <v>31</v>
      </c>
      <c r="O145" s="34">
        <v>7082</v>
      </c>
      <c r="P145" s="34">
        <v>25</v>
      </c>
      <c r="Q145" s="34">
        <v>7107</v>
      </c>
      <c r="R145" s="34">
        <v>25</v>
      </c>
      <c r="S145" s="34">
        <v>7132</v>
      </c>
      <c r="T145" s="34">
        <v>25</v>
      </c>
      <c r="U145" s="34">
        <v>7154</v>
      </c>
      <c r="V145" s="34">
        <v>22</v>
      </c>
      <c r="W145" s="34">
        <v>7178</v>
      </c>
      <c r="X145" s="34">
        <v>24</v>
      </c>
      <c r="Y145" s="34">
        <v>7207</v>
      </c>
      <c r="Z145" s="34">
        <v>29</v>
      </c>
      <c r="AA145" s="34">
        <v>7236</v>
      </c>
      <c r="AB145" s="34">
        <v>29</v>
      </c>
      <c r="AC145" s="34">
        <v>29</v>
      </c>
      <c r="AD145" s="34">
        <v>0</v>
      </c>
      <c r="AE145" s="34">
        <v>0</v>
      </c>
      <c r="AG145" s="34">
        <v>3</v>
      </c>
      <c r="AH145" s="34">
        <v>20</v>
      </c>
      <c r="AI145" s="34">
        <v>52</v>
      </c>
    </row>
    <row r="146" spans="1:35" ht="15.75" customHeight="1">
      <c r="A146" s="34">
        <v>147</v>
      </c>
      <c r="B146" s="34" t="s">
        <v>211</v>
      </c>
      <c r="C146" s="34" t="s">
        <v>205</v>
      </c>
      <c r="D146" s="34">
        <v>8</v>
      </c>
      <c r="E146" s="34">
        <v>2211</v>
      </c>
      <c r="F146" s="34">
        <v>16</v>
      </c>
      <c r="G146" s="34">
        <v>2227</v>
      </c>
      <c r="H146" s="34">
        <v>14</v>
      </c>
      <c r="I146" s="34">
        <v>2241</v>
      </c>
      <c r="J146" s="34">
        <v>13</v>
      </c>
      <c r="K146" s="34">
        <v>2254</v>
      </c>
      <c r="L146" s="34">
        <v>14</v>
      </c>
      <c r="M146" s="34">
        <v>2268</v>
      </c>
      <c r="N146" s="34">
        <v>15</v>
      </c>
      <c r="O146" s="34">
        <v>2283</v>
      </c>
      <c r="P146" s="34">
        <v>13</v>
      </c>
      <c r="Q146" s="34">
        <v>2296</v>
      </c>
      <c r="R146" s="34">
        <v>13</v>
      </c>
      <c r="S146" s="34">
        <v>2307</v>
      </c>
      <c r="T146" s="34">
        <v>11</v>
      </c>
      <c r="U146" s="34">
        <v>2319</v>
      </c>
      <c r="V146" s="34">
        <v>12</v>
      </c>
      <c r="W146" s="34">
        <v>2330</v>
      </c>
      <c r="X146" s="34">
        <v>11</v>
      </c>
      <c r="Y146" s="34">
        <v>2342</v>
      </c>
      <c r="Z146" s="34">
        <v>12</v>
      </c>
      <c r="AA146" s="34">
        <v>2355</v>
      </c>
      <c r="AB146" s="34">
        <v>13</v>
      </c>
      <c r="AC146" s="34">
        <v>13</v>
      </c>
      <c r="AD146" s="34">
        <v>0</v>
      </c>
      <c r="AE146" s="34">
        <v>0</v>
      </c>
      <c r="AG146" s="34">
        <v>3</v>
      </c>
      <c r="AH146" s="34">
        <v>0</v>
      </c>
      <c r="AI146" s="34">
        <v>16</v>
      </c>
    </row>
    <row r="147" spans="1:35" ht="15.75" customHeight="1">
      <c r="A147" s="34">
        <v>148</v>
      </c>
      <c r="B147" s="34" t="s">
        <v>212</v>
      </c>
      <c r="C147" s="34" t="s">
        <v>205</v>
      </c>
      <c r="D147" s="34">
        <v>9</v>
      </c>
      <c r="E147" s="34">
        <v>2433</v>
      </c>
      <c r="F147" s="34">
        <v>11</v>
      </c>
      <c r="G147" s="34">
        <v>2444</v>
      </c>
      <c r="H147" s="34">
        <v>11</v>
      </c>
      <c r="I147" s="34">
        <v>2455</v>
      </c>
      <c r="J147" s="34">
        <v>10</v>
      </c>
      <c r="K147" s="34">
        <v>2465</v>
      </c>
      <c r="L147" s="34">
        <v>10</v>
      </c>
      <c r="M147" s="34">
        <v>2475</v>
      </c>
      <c r="N147" s="34">
        <v>7</v>
      </c>
      <c r="O147" s="34">
        <v>2482</v>
      </c>
      <c r="P147" s="34">
        <v>11</v>
      </c>
      <c r="Q147" s="34">
        <v>2493</v>
      </c>
      <c r="R147" s="34">
        <v>11</v>
      </c>
      <c r="S147" s="34">
        <v>2504</v>
      </c>
      <c r="T147" s="34">
        <v>11</v>
      </c>
      <c r="U147" s="34">
        <v>2520</v>
      </c>
      <c r="V147" s="34">
        <v>16</v>
      </c>
      <c r="W147" s="34">
        <v>2553</v>
      </c>
      <c r="X147" s="34">
        <v>33</v>
      </c>
      <c r="Y147" s="34">
        <v>2562</v>
      </c>
      <c r="Z147" s="34">
        <v>9</v>
      </c>
      <c r="AA147" s="34">
        <v>2571</v>
      </c>
      <c r="AB147" s="34">
        <v>9</v>
      </c>
      <c r="AC147" s="34">
        <v>9</v>
      </c>
      <c r="AD147" s="34">
        <v>0</v>
      </c>
      <c r="AE147" s="34">
        <v>0</v>
      </c>
      <c r="AG147" s="34">
        <v>3</v>
      </c>
      <c r="AH147" s="34">
        <v>0</v>
      </c>
      <c r="AI147" s="34">
        <v>12</v>
      </c>
    </row>
    <row r="148" spans="1:35" ht="15.75" customHeight="1">
      <c r="A148" s="34">
        <v>149</v>
      </c>
      <c r="B148" s="34" t="s">
        <v>213</v>
      </c>
      <c r="C148" s="34" t="s">
        <v>205</v>
      </c>
      <c r="D148" s="34">
        <v>10</v>
      </c>
      <c r="E148" s="34">
        <v>1495</v>
      </c>
      <c r="F148" s="34">
        <v>2</v>
      </c>
      <c r="G148" s="34">
        <v>1497</v>
      </c>
      <c r="H148" s="34">
        <v>7</v>
      </c>
      <c r="I148" s="34">
        <v>1504</v>
      </c>
      <c r="J148" s="34">
        <v>6</v>
      </c>
      <c r="K148" s="34">
        <v>1510</v>
      </c>
      <c r="L148" s="34">
        <v>6</v>
      </c>
      <c r="M148" s="34">
        <v>1516</v>
      </c>
      <c r="N148" s="34">
        <v>4</v>
      </c>
      <c r="O148" s="34">
        <v>1520</v>
      </c>
      <c r="P148" s="34">
        <v>4</v>
      </c>
      <c r="Q148" s="34">
        <v>1524</v>
      </c>
      <c r="R148" s="34">
        <v>4</v>
      </c>
      <c r="S148" s="34">
        <v>1524</v>
      </c>
      <c r="T148" s="34">
        <v>0</v>
      </c>
      <c r="U148" s="34">
        <v>1529</v>
      </c>
      <c r="V148" s="34">
        <v>5</v>
      </c>
      <c r="W148" s="34">
        <v>1534</v>
      </c>
      <c r="X148" s="34">
        <v>5</v>
      </c>
      <c r="Y148" s="34">
        <v>1539</v>
      </c>
      <c r="Z148" s="34">
        <v>5</v>
      </c>
      <c r="AA148" s="34">
        <v>1543</v>
      </c>
      <c r="AB148" s="34">
        <v>4</v>
      </c>
      <c r="AC148" s="34">
        <v>5</v>
      </c>
      <c r="AD148" s="34">
        <v>0</v>
      </c>
      <c r="AE148" s="34">
        <v>0</v>
      </c>
      <c r="AG148" s="34">
        <v>3</v>
      </c>
      <c r="AH148" s="34">
        <v>0</v>
      </c>
      <c r="AI148" s="34">
        <v>8</v>
      </c>
    </row>
    <row r="149" spans="1:35" ht="15.75" customHeight="1">
      <c r="A149" s="34">
        <v>150</v>
      </c>
      <c r="B149" s="34" t="s">
        <v>214</v>
      </c>
      <c r="C149" s="34" t="s">
        <v>205</v>
      </c>
      <c r="D149" s="34">
        <v>11</v>
      </c>
      <c r="E149" s="34">
        <v>985</v>
      </c>
      <c r="F149" s="34">
        <v>7</v>
      </c>
      <c r="G149" s="34">
        <v>992</v>
      </c>
      <c r="H149" s="34">
        <v>7</v>
      </c>
      <c r="I149" s="34">
        <v>999</v>
      </c>
      <c r="J149" s="34">
        <v>6</v>
      </c>
      <c r="K149" s="34">
        <v>1005</v>
      </c>
      <c r="L149" s="34">
        <v>9</v>
      </c>
      <c r="M149" s="34">
        <v>1014</v>
      </c>
      <c r="N149" s="34">
        <v>6</v>
      </c>
      <c r="O149" s="34">
        <v>1020</v>
      </c>
      <c r="P149" s="34">
        <v>4</v>
      </c>
      <c r="Q149" s="34">
        <v>1024</v>
      </c>
      <c r="R149" s="34">
        <v>4</v>
      </c>
      <c r="S149" s="34">
        <v>1029</v>
      </c>
      <c r="T149" s="34">
        <v>5</v>
      </c>
      <c r="U149" s="34">
        <v>1035</v>
      </c>
      <c r="V149" s="34">
        <v>6</v>
      </c>
      <c r="W149" s="34">
        <v>1040</v>
      </c>
      <c r="X149" s="34">
        <v>5</v>
      </c>
      <c r="Y149" s="34">
        <v>1044</v>
      </c>
      <c r="Z149" s="34">
        <v>4</v>
      </c>
      <c r="AA149" s="34">
        <v>1049</v>
      </c>
      <c r="AB149" s="34">
        <v>5</v>
      </c>
      <c r="AC149" s="34">
        <v>5</v>
      </c>
      <c r="AD149" s="34">
        <v>0</v>
      </c>
      <c r="AE149" s="34">
        <v>0</v>
      </c>
      <c r="AG149" s="34">
        <v>3</v>
      </c>
      <c r="AH149" s="34">
        <v>0</v>
      </c>
      <c r="AI149" s="34">
        <v>8</v>
      </c>
    </row>
    <row r="150" spans="1:35" ht="15.75" customHeight="1">
      <c r="A150" s="34">
        <v>151</v>
      </c>
      <c r="B150" s="34" t="s">
        <v>215</v>
      </c>
      <c r="C150" s="34" t="s">
        <v>205</v>
      </c>
      <c r="D150" s="34">
        <v>12</v>
      </c>
      <c r="E150" s="34">
        <v>1934</v>
      </c>
      <c r="F150" s="34">
        <v>9</v>
      </c>
      <c r="G150" s="34">
        <v>1943</v>
      </c>
      <c r="H150" s="34">
        <v>12</v>
      </c>
      <c r="I150" s="34">
        <v>1955</v>
      </c>
      <c r="J150" s="34">
        <v>11</v>
      </c>
      <c r="K150" s="34">
        <v>1966</v>
      </c>
      <c r="L150" s="34">
        <v>10</v>
      </c>
      <c r="M150" s="34">
        <v>1976</v>
      </c>
      <c r="N150" s="34">
        <v>13</v>
      </c>
      <c r="O150" s="34">
        <v>1989</v>
      </c>
      <c r="P150" s="34">
        <v>12</v>
      </c>
      <c r="Q150" s="34">
        <v>2001</v>
      </c>
      <c r="R150" s="34">
        <v>12</v>
      </c>
      <c r="S150" s="34">
        <v>2008</v>
      </c>
      <c r="T150" s="34">
        <v>7</v>
      </c>
      <c r="U150" s="34">
        <v>2018</v>
      </c>
      <c r="V150" s="34">
        <v>10</v>
      </c>
      <c r="W150" s="34">
        <v>2028</v>
      </c>
      <c r="X150" s="34">
        <v>10</v>
      </c>
      <c r="Y150" s="34">
        <v>2038</v>
      </c>
      <c r="Z150" s="34">
        <v>10</v>
      </c>
      <c r="AA150" s="34">
        <v>2047</v>
      </c>
      <c r="AB150" s="34">
        <v>9</v>
      </c>
      <c r="AC150" s="34">
        <v>9</v>
      </c>
      <c r="AD150" s="34">
        <v>0</v>
      </c>
      <c r="AE150" s="34">
        <v>0</v>
      </c>
      <c r="AG150" s="34">
        <v>3</v>
      </c>
      <c r="AH150" s="34">
        <v>0</v>
      </c>
      <c r="AI150" s="34">
        <v>12</v>
      </c>
    </row>
    <row r="151" spans="1:35" ht="15.75" customHeight="1">
      <c r="A151" s="34">
        <v>152</v>
      </c>
      <c r="B151" s="34" t="s">
        <v>216</v>
      </c>
      <c r="C151" s="34" t="s">
        <v>205</v>
      </c>
      <c r="D151" s="34">
        <v>13</v>
      </c>
      <c r="E151" s="34">
        <v>2140</v>
      </c>
      <c r="F151" s="34">
        <v>19</v>
      </c>
      <c r="G151" s="34">
        <v>2159</v>
      </c>
      <c r="H151" s="34">
        <v>32</v>
      </c>
      <c r="I151" s="34">
        <v>2191</v>
      </c>
      <c r="J151" s="34">
        <v>35</v>
      </c>
      <c r="K151" s="34">
        <v>2226</v>
      </c>
      <c r="L151" s="34">
        <v>30</v>
      </c>
      <c r="M151" s="34">
        <v>2256</v>
      </c>
      <c r="N151" s="34">
        <v>23</v>
      </c>
      <c r="O151" s="34">
        <v>2279</v>
      </c>
      <c r="P151" s="34">
        <v>16</v>
      </c>
      <c r="Q151" s="34">
        <v>2295</v>
      </c>
      <c r="R151" s="34">
        <v>16</v>
      </c>
      <c r="S151" s="34">
        <v>2312</v>
      </c>
      <c r="T151" s="34">
        <v>17</v>
      </c>
      <c r="U151" s="34">
        <v>2329</v>
      </c>
      <c r="V151" s="34">
        <v>17</v>
      </c>
      <c r="W151" s="34">
        <v>2349</v>
      </c>
      <c r="X151" s="34">
        <v>20</v>
      </c>
      <c r="Y151" s="34">
        <v>2379</v>
      </c>
      <c r="Z151" s="34">
        <v>30</v>
      </c>
      <c r="AA151" s="34">
        <v>2406</v>
      </c>
      <c r="AB151" s="34">
        <v>27</v>
      </c>
      <c r="AC151" s="34">
        <v>27</v>
      </c>
      <c r="AD151" s="34">
        <v>0</v>
      </c>
      <c r="AE151" s="34">
        <v>0</v>
      </c>
      <c r="AG151" s="34">
        <v>3</v>
      </c>
      <c r="AH151" s="34">
        <v>0</v>
      </c>
      <c r="AI151" s="34">
        <v>30</v>
      </c>
    </row>
    <row r="152" spans="1:35" ht="15.75" customHeight="1">
      <c r="A152" s="34">
        <v>153</v>
      </c>
      <c r="B152" s="34" t="s">
        <v>217</v>
      </c>
      <c r="C152" s="34" t="s">
        <v>205</v>
      </c>
      <c r="D152" s="34">
        <v>14</v>
      </c>
      <c r="E152" s="34">
        <v>1592</v>
      </c>
      <c r="F152" s="34">
        <v>8</v>
      </c>
      <c r="G152" s="34">
        <v>1600</v>
      </c>
      <c r="H152" s="34">
        <v>10</v>
      </c>
      <c r="I152" s="34">
        <v>1610</v>
      </c>
      <c r="J152" s="34">
        <v>9</v>
      </c>
      <c r="K152" s="34">
        <v>1619</v>
      </c>
      <c r="L152" s="34">
        <v>7</v>
      </c>
      <c r="M152" s="34">
        <v>1626</v>
      </c>
      <c r="N152" s="34">
        <v>7</v>
      </c>
      <c r="O152" s="34">
        <v>1633</v>
      </c>
      <c r="P152" s="34">
        <v>8</v>
      </c>
      <c r="Q152" s="34">
        <v>1641</v>
      </c>
      <c r="R152" s="34">
        <v>8</v>
      </c>
      <c r="S152" s="34">
        <v>1648</v>
      </c>
      <c r="T152" s="34">
        <v>7</v>
      </c>
      <c r="U152" s="34">
        <v>1657</v>
      </c>
      <c r="V152" s="34">
        <v>9</v>
      </c>
      <c r="W152" s="34">
        <v>1668</v>
      </c>
      <c r="X152" s="34">
        <v>11</v>
      </c>
      <c r="Y152" s="34">
        <v>1675</v>
      </c>
      <c r="Z152" s="34">
        <v>7</v>
      </c>
      <c r="AA152" s="34">
        <v>1684</v>
      </c>
      <c r="AB152" s="34">
        <v>9</v>
      </c>
      <c r="AC152" s="34">
        <v>9</v>
      </c>
      <c r="AD152" s="34">
        <v>0</v>
      </c>
      <c r="AE152" s="34">
        <v>0</v>
      </c>
      <c r="AG152" s="34">
        <v>3</v>
      </c>
      <c r="AH152" s="34">
        <v>0</v>
      </c>
      <c r="AI152" s="34">
        <v>12</v>
      </c>
    </row>
    <row r="153" spans="1:35" ht="15.75" customHeight="1">
      <c r="A153" s="34">
        <v>154</v>
      </c>
      <c r="B153" s="34" t="s">
        <v>218</v>
      </c>
      <c r="C153" s="34" t="s">
        <v>205</v>
      </c>
      <c r="D153" s="34">
        <v>15</v>
      </c>
      <c r="E153" s="34">
        <v>906</v>
      </c>
      <c r="F153" s="34">
        <v>12</v>
      </c>
      <c r="G153" s="34">
        <v>918</v>
      </c>
      <c r="H153" s="34">
        <v>14</v>
      </c>
      <c r="I153" s="34">
        <v>932</v>
      </c>
      <c r="J153" s="34">
        <v>12</v>
      </c>
      <c r="K153" s="34">
        <v>944</v>
      </c>
      <c r="L153" s="34">
        <v>10</v>
      </c>
      <c r="M153" s="34">
        <v>954</v>
      </c>
      <c r="N153" s="34">
        <v>10</v>
      </c>
      <c r="O153" s="34">
        <v>964</v>
      </c>
      <c r="P153" s="34">
        <v>12</v>
      </c>
      <c r="Q153" s="34">
        <v>976</v>
      </c>
      <c r="R153" s="34">
        <v>12</v>
      </c>
      <c r="S153" s="34">
        <v>984</v>
      </c>
      <c r="T153" s="34">
        <v>8</v>
      </c>
      <c r="U153" s="34">
        <v>995</v>
      </c>
      <c r="V153" s="34">
        <v>11</v>
      </c>
      <c r="W153" s="34">
        <v>1001</v>
      </c>
      <c r="X153" s="34">
        <v>6</v>
      </c>
      <c r="Y153" s="34">
        <v>1009</v>
      </c>
      <c r="Z153" s="34">
        <v>8</v>
      </c>
      <c r="AA153" s="34">
        <v>1018</v>
      </c>
      <c r="AB153" s="34">
        <v>9</v>
      </c>
      <c r="AC153" s="34">
        <v>9</v>
      </c>
      <c r="AD153" s="34">
        <v>0</v>
      </c>
      <c r="AE153" s="34">
        <v>0</v>
      </c>
      <c r="AG153" s="34">
        <v>3</v>
      </c>
      <c r="AH153" s="34">
        <v>0</v>
      </c>
      <c r="AI153" s="34">
        <v>12</v>
      </c>
    </row>
    <row r="154" spans="1:35" ht="15.75" customHeight="1">
      <c r="A154" s="34">
        <v>155</v>
      </c>
      <c r="B154" s="34" t="s">
        <v>219</v>
      </c>
      <c r="C154" s="34" t="s">
        <v>205</v>
      </c>
      <c r="D154" s="34">
        <v>16</v>
      </c>
      <c r="E154" s="34">
        <v>2271</v>
      </c>
      <c r="F154" s="34">
        <v>16</v>
      </c>
      <c r="G154" s="34">
        <v>2287</v>
      </c>
      <c r="H154" s="34">
        <v>15</v>
      </c>
      <c r="I154" s="34">
        <v>2302</v>
      </c>
      <c r="J154" s="34">
        <v>13</v>
      </c>
      <c r="K154" s="34">
        <v>2315</v>
      </c>
      <c r="L154" s="34">
        <v>10</v>
      </c>
      <c r="M154" s="34">
        <v>2325</v>
      </c>
      <c r="N154" s="34">
        <v>7</v>
      </c>
      <c r="O154" s="34">
        <v>2332</v>
      </c>
      <c r="P154" s="34">
        <v>4</v>
      </c>
      <c r="Q154" s="34">
        <v>2336</v>
      </c>
      <c r="R154" s="34">
        <v>4</v>
      </c>
      <c r="S154" s="34">
        <v>2342</v>
      </c>
      <c r="T154" s="34">
        <v>6</v>
      </c>
      <c r="U154" s="34">
        <v>2348</v>
      </c>
      <c r="V154" s="34">
        <v>6</v>
      </c>
      <c r="W154" s="34">
        <v>2354</v>
      </c>
      <c r="X154" s="34">
        <v>6</v>
      </c>
      <c r="Y154" s="34">
        <v>2359</v>
      </c>
      <c r="Z154" s="34">
        <v>5</v>
      </c>
      <c r="AA154" s="34">
        <v>2364</v>
      </c>
      <c r="AB154" s="34">
        <v>5</v>
      </c>
      <c r="AC154" s="34">
        <v>5</v>
      </c>
      <c r="AD154" s="34">
        <v>8</v>
      </c>
      <c r="AE154" s="34">
        <v>0</v>
      </c>
      <c r="AG154" s="34">
        <v>3</v>
      </c>
      <c r="AH154" s="34">
        <v>20</v>
      </c>
      <c r="AI154" s="34">
        <v>36</v>
      </c>
    </row>
    <row r="155" spans="1:35" ht="15.75" customHeight="1">
      <c r="A155" s="34">
        <v>156</v>
      </c>
      <c r="B155" s="34" t="s">
        <v>220</v>
      </c>
      <c r="C155" s="34" t="s">
        <v>205</v>
      </c>
      <c r="D155" s="34">
        <v>17</v>
      </c>
      <c r="E155" s="34">
        <v>2510</v>
      </c>
      <c r="F155" s="34">
        <v>11</v>
      </c>
      <c r="G155" s="34">
        <v>2521</v>
      </c>
      <c r="H155" s="34">
        <v>10</v>
      </c>
      <c r="I155" s="34">
        <v>2531</v>
      </c>
      <c r="J155" s="34">
        <v>10</v>
      </c>
      <c r="K155" s="34">
        <v>2541</v>
      </c>
      <c r="L155" s="34">
        <v>10</v>
      </c>
      <c r="M155" s="34">
        <v>2551</v>
      </c>
      <c r="N155" s="34">
        <v>9</v>
      </c>
      <c r="O155" s="34">
        <v>2560</v>
      </c>
      <c r="P155" s="34">
        <v>8</v>
      </c>
      <c r="Q155" s="34">
        <v>2568</v>
      </c>
      <c r="R155" s="34">
        <v>8</v>
      </c>
      <c r="S155" s="34">
        <v>2575</v>
      </c>
      <c r="T155" s="34">
        <v>7</v>
      </c>
      <c r="U155" s="34">
        <v>2583</v>
      </c>
      <c r="V155" s="34">
        <v>8</v>
      </c>
      <c r="W155" s="34">
        <v>2592</v>
      </c>
      <c r="X155" s="34">
        <v>9</v>
      </c>
      <c r="Y155" s="34">
        <v>2600</v>
      </c>
      <c r="Z155" s="34">
        <v>8</v>
      </c>
      <c r="AA155" s="34">
        <v>2609</v>
      </c>
      <c r="AB155" s="34">
        <v>9</v>
      </c>
      <c r="AC155" s="34">
        <v>9</v>
      </c>
      <c r="AD155" s="34">
        <v>0</v>
      </c>
      <c r="AE155" s="34">
        <v>0</v>
      </c>
      <c r="AG155" s="34">
        <v>3</v>
      </c>
      <c r="AH155" s="34">
        <v>20</v>
      </c>
      <c r="AI155" s="34">
        <v>32</v>
      </c>
    </row>
    <row r="156" spans="1:35" ht="15.75" customHeight="1">
      <c r="A156" s="34">
        <v>157</v>
      </c>
      <c r="B156" s="34" t="s">
        <v>221</v>
      </c>
      <c r="C156" s="34" t="s">
        <v>205</v>
      </c>
      <c r="D156" s="34">
        <v>18</v>
      </c>
      <c r="E156" s="34">
        <v>1597</v>
      </c>
      <c r="F156" s="34">
        <v>8</v>
      </c>
      <c r="G156" s="34">
        <v>1605</v>
      </c>
      <c r="H156" s="34">
        <v>9</v>
      </c>
      <c r="I156" s="34">
        <v>1614</v>
      </c>
      <c r="J156" s="34">
        <v>7</v>
      </c>
      <c r="K156" s="34">
        <v>1621</v>
      </c>
      <c r="L156" s="34">
        <v>6</v>
      </c>
      <c r="M156" s="34">
        <v>1627</v>
      </c>
      <c r="N156" s="34">
        <v>6</v>
      </c>
      <c r="O156" s="34">
        <v>1633</v>
      </c>
      <c r="P156" s="34">
        <v>3</v>
      </c>
      <c r="Q156" s="34">
        <v>1636</v>
      </c>
      <c r="R156" s="34">
        <v>3</v>
      </c>
      <c r="S156" s="34">
        <v>1641</v>
      </c>
      <c r="T156" s="34">
        <v>5</v>
      </c>
      <c r="U156" s="34">
        <v>1644</v>
      </c>
      <c r="V156" s="34">
        <v>3</v>
      </c>
      <c r="W156" s="34">
        <v>1649</v>
      </c>
      <c r="X156" s="34">
        <v>5</v>
      </c>
      <c r="Y156" s="34">
        <v>1657</v>
      </c>
      <c r="Z156" s="34">
        <v>8</v>
      </c>
      <c r="AA156" s="34">
        <v>1666</v>
      </c>
      <c r="AB156" s="34">
        <v>9</v>
      </c>
      <c r="AC156" s="34">
        <v>9</v>
      </c>
      <c r="AD156" s="34">
        <v>0</v>
      </c>
      <c r="AE156" s="34">
        <v>0</v>
      </c>
      <c r="AG156" s="34">
        <v>3</v>
      </c>
      <c r="AH156" s="34">
        <v>0</v>
      </c>
      <c r="AI156" s="34">
        <v>12</v>
      </c>
    </row>
    <row r="157" spans="1:35" ht="15.75" customHeight="1">
      <c r="A157" s="34">
        <v>158</v>
      </c>
      <c r="B157" s="34" t="s">
        <v>222</v>
      </c>
      <c r="C157" s="34" t="s">
        <v>205</v>
      </c>
      <c r="D157" s="34">
        <v>19</v>
      </c>
      <c r="E157" s="34">
        <v>1657</v>
      </c>
      <c r="F157" s="34">
        <v>7</v>
      </c>
      <c r="G157" s="34">
        <v>1664</v>
      </c>
      <c r="H157" s="34">
        <v>6</v>
      </c>
      <c r="I157" s="34">
        <v>1670</v>
      </c>
      <c r="J157" s="34">
        <v>6</v>
      </c>
      <c r="K157" s="34">
        <v>1676</v>
      </c>
      <c r="L157" s="34">
        <v>6</v>
      </c>
      <c r="M157" s="34">
        <v>1682</v>
      </c>
      <c r="N157" s="34">
        <v>5</v>
      </c>
      <c r="O157" s="34">
        <v>1687</v>
      </c>
      <c r="P157" s="34">
        <v>6</v>
      </c>
      <c r="Q157" s="34">
        <v>1693</v>
      </c>
      <c r="R157" s="34">
        <v>6</v>
      </c>
      <c r="S157" s="34">
        <v>1696</v>
      </c>
      <c r="T157" s="34">
        <v>3</v>
      </c>
      <c r="U157" s="34">
        <v>1701</v>
      </c>
      <c r="V157" s="34">
        <v>5</v>
      </c>
      <c r="W157" s="34">
        <v>1704</v>
      </c>
      <c r="X157" s="34">
        <v>3</v>
      </c>
      <c r="Y157" s="34">
        <v>1708</v>
      </c>
      <c r="Z157" s="34">
        <v>4</v>
      </c>
      <c r="AA157" s="34">
        <v>1713</v>
      </c>
      <c r="AB157" s="34">
        <v>5</v>
      </c>
      <c r="AC157" s="34">
        <v>5</v>
      </c>
      <c r="AD157" s="34">
        <v>0</v>
      </c>
      <c r="AE157" s="34">
        <v>0</v>
      </c>
      <c r="AG157" s="34">
        <v>3</v>
      </c>
      <c r="AH157" s="34">
        <v>0</v>
      </c>
      <c r="AI157" s="34">
        <v>8</v>
      </c>
    </row>
    <row r="158" spans="1:35" ht="15.75" customHeight="1">
      <c r="A158" s="34">
        <v>159</v>
      </c>
      <c r="B158" s="34" t="s">
        <v>223</v>
      </c>
      <c r="C158" s="34" t="s">
        <v>205</v>
      </c>
      <c r="D158" s="34">
        <v>20</v>
      </c>
      <c r="E158" s="34">
        <v>1193</v>
      </c>
      <c r="F158" s="34">
        <v>0</v>
      </c>
      <c r="G158" s="34">
        <v>1193</v>
      </c>
      <c r="H158" s="34">
        <v>0</v>
      </c>
      <c r="I158" s="34">
        <v>1193</v>
      </c>
      <c r="J158" s="34">
        <v>0</v>
      </c>
      <c r="K158" s="34">
        <v>1193</v>
      </c>
      <c r="L158" s="34">
        <v>0</v>
      </c>
      <c r="M158" s="34">
        <v>1193</v>
      </c>
      <c r="N158" s="34">
        <v>0</v>
      </c>
      <c r="O158" s="34">
        <v>1193</v>
      </c>
      <c r="P158" s="34">
        <v>0</v>
      </c>
      <c r="Q158" s="34">
        <v>1193</v>
      </c>
      <c r="R158" s="34">
        <v>0</v>
      </c>
      <c r="S158" s="34">
        <v>1193</v>
      </c>
      <c r="T158" s="34">
        <v>0</v>
      </c>
      <c r="U158" s="34">
        <v>1193</v>
      </c>
      <c r="V158" s="34">
        <v>0</v>
      </c>
      <c r="W158" s="34">
        <v>1193</v>
      </c>
      <c r="X158" s="34">
        <v>0</v>
      </c>
      <c r="Y158" s="34">
        <v>1193</v>
      </c>
      <c r="Z158" s="34">
        <v>0</v>
      </c>
      <c r="AA158" s="34">
        <v>1193</v>
      </c>
      <c r="AB158" s="34">
        <v>0</v>
      </c>
      <c r="AC158" s="34">
        <v>5</v>
      </c>
      <c r="AD158" s="34">
        <v>8</v>
      </c>
      <c r="AE158" s="34">
        <v>0</v>
      </c>
      <c r="AG158" s="34">
        <v>3</v>
      </c>
      <c r="AH158" s="34">
        <v>20</v>
      </c>
      <c r="AI158" s="34">
        <v>36</v>
      </c>
    </row>
    <row r="159" spans="1:35" ht="15.75" customHeight="1">
      <c r="A159" s="34">
        <v>160</v>
      </c>
      <c r="B159" s="34" t="s">
        <v>225</v>
      </c>
      <c r="C159" s="34" t="s">
        <v>205</v>
      </c>
      <c r="D159" s="34">
        <v>21</v>
      </c>
      <c r="E159" s="34">
        <v>2039</v>
      </c>
      <c r="F159" s="34">
        <v>14</v>
      </c>
      <c r="G159" s="34">
        <v>2053</v>
      </c>
      <c r="H159" s="34">
        <v>17</v>
      </c>
      <c r="I159" s="34">
        <v>2070</v>
      </c>
      <c r="J159" s="34">
        <v>14</v>
      </c>
      <c r="K159" s="34">
        <v>2084</v>
      </c>
      <c r="L159" s="34">
        <v>15</v>
      </c>
      <c r="M159" s="34">
        <v>2099</v>
      </c>
      <c r="N159" s="34">
        <v>12</v>
      </c>
      <c r="O159" s="34">
        <v>2111</v>
      </c>
      <c r="P159" s="34">
        <v>11</v>
      </c>
      <c r="Q159" s="34">
        <v>2122</v>
      </c>
      <c r="R159" s="34">
        <v>11</v>
      </c>
      <c r="S159" s="34">
        <v>2130</v>
      </c>
      <c r="T159" s="34">
        <v>8</v>
      </c>
      <c r="U159" s="34">
        <v>2141</v>
      </c>
      <c r="V159" s="34">
        <v>11</v>
      </c>
      <c r="W159" s="34">
        <v>2151</v>
      </c>
      <c r="X159" s="34">
        <v>10</v>
      </c>
      <c r="Y159" s="34">
        <v>2163</v>
      </c>
      <c r="Z159" s="34">
        <v>12</v>
      </c>
      <c r="AA159" s="34">
        <v>2175</v>
      </c>
      <c r="AB159" s="34">
        <v>12</v>
      </c>
      <c r="AC159" s="34">
        <v>12</v>
      </c>
      <c r="AD159" s="34">
        <v>15</v>
      </c>
      <c r="AE159" s="34">
        <v>0</v>
      </c>
      <c r="AG159" s="34">
        <v>3</v>
      </c>
      <c r="AH159" s="34">
        <v>0</v>
      </c>
      <c r="AI159" s="34">
        <v>30</v>
      </c>
    </row>
    <row r="160" spans="1:35" ht="15.75" customHeight="1">
      <c r="A160" s="34">
        <v>161</v>
      </c>
      <c r="B160" s="34" t="s">
        <v>226</v>
      </c>
      <c r="C160" s="34" t="s">
        <v>205</v>
      </c>
      <c r="D160" s="34">
        <v>22</v>
      </c>
      <c r="E160" s="34">
        <v>2274</v>
      </c>
      <c r="F160" s="34">
        <v>15</v>
      </c>
      <c r="G160" s="34">
        <v>2289</v>
      </c>
      <c r="H160" s="34">
        <v>15</v>
      </c>
      <c r="I160" s="34">
        <v>2304</v>
      </c>
      <c r="J160" s="34">
        <v>11</v>
      </c>
      <c r="K160" s="34">
        <v>2315</v>
      </c>
      <c r="L160" s="34">
        <v>12</v>
      </c>
      <c r="M160" s="34">
        <v>2327</v>
      </c>
      <c r="N160" s="34">
        <v>12</v>
      </c>
      <c r="O160" s="34">
        <v>2339</v>
      </c>
      <c r="P160" s="34">
        <v>10</v>
      </c>
      <c r="Q160" s="34">
        <v>2349</v>
      </c>
      <c r="R160" s="34">
        <v>10</v>
      </c>
      <c r="S160" s="34">
        <v>2356</v>
      </c>
      <c r="T160" s="34">
        <v>7</v>
      </c>
      <c r="U160" s="34">
        <v>2362</v>
      </c>
      <c r="V160" s="34">
        <v>6</v>
      </c>
      <c r="W160" s="34">
        <v>2369</v>
      </c>
      <c r="X160" s="34">
        <v>7</v>
      </c>
      <c r="Y160" s="34">
        <v>2377</v>
      </c>
      <c r="Z160" s="34">
        <v>8</v>
      </c>
      <c r="AA160" s="34">
        <v>2387</v>
      </c>
      <c r="AB160" s="34">
        <v>10</v>
      </c>
      <c r="AC160" s="34">
        <v>10</v>
      </c>
      <c r="AD160" s="34">
        <v>0</v>
      </c>
      <c r="AE160" s="34">
        <v>0</v>
      </c>
      <c r="AG160" s="34">
        <v>3</v>
      </c>
      <c r="AH160" s="34">
        <v>20</v>
      </c>
      <c r="AI160" s="34">
        <v>33</v>
      </c>
    </row>
    <row r="161" spans="1:35" ht="15.75" customHeight="1">
      <c r="A161" s="34">
        <v>162</v>
      </c>
      <c r="B161" s="34" t="s">
        <v>227</v>
      </c>
      <c r="C161" s="34" t="s">
        <v>228</v>
      </c>
      <c r="D161" s="34">
        <v>1</v>
      </c>
      <c r="E161" s="34">
        <v>3020</v>
      </c>
      <c r="F161" s="34">
        <v>11</v>
      </c>
      <c r="G161" s="34">
        <v>3031</v>
      </c>
      <c r="H161" s="34">
        <v>10</v>
      </c>
      <c r="I161" s="34">
        <v>3041</v>
      </c>
      <c r="J161" s="34">
        <v>11</v>
      </c>
      <c r="K161" s="34">
        <v>3052</v>
      </c>
      <c r="L161" s="34">
        <v>9</v>
      </c>
      <c r="M161" s="34">
        <v>3061</v>
      </c>
      <c r="N161" s="34">
        <v>11</v>
      </c>
      <c r="O161" s="34">
        <v>3072</v>
      </c>
      <c r="P161" s="34">
        <v>9</v>
      </c>
      <c r="Q161" s="34">
        <v>3081</v>
      </c>
      <c r="R161" s="34">
        <v>9</v>
      </c>
      <c r="S161" s="34">
        <v>3089</v>
      </c>
      <c r="T161" s="34">
        <v>8</v>
      </c>
      <c r="U161" s="34">
        <v>3098</v>
      </c>
      <c r="V161" s="34">
        <v>9</v>
      </c>
      <c r="W161" s="34">
        <v>3109</v>
      </c>
      <c r="X161" s="34">
        <v>11</v>
      </c>
      <c r="Y161" s="34">
        <v>3120</v>
      </c>
      <c r="Z161" s="34">
        <v>11</v>
      </c>
      <c r="AA161" s="34">
        <v>3135</v>
      </c>
      <c r="AB161" s="34">
        <v>15</v>
      </c>
      <c r="AC161" s="34">
        <v>15</v>
      </c>
      <c r="AD161" s="34">
        <v>0</v>
      </c>
      <c r="AE161" s="34">
        <v>0</v>
      </c>
      <c r="AG161" s="34">
        <v>3</v>
      </c>
      <c r="AH161" s="34">
        <v>0</v>
      </c>
      <c r="AI161" s="34">
        <v>18</v>
      </c>
    </row>
    <row r="162" spans="1:35" ht="15.75" customHeight="1">
      <c r="A162" s="34">
        <v>163</v>
      </c>
      <c r="B162" s="34" t="s">
        <v>229</v>
      </c>
      <c r="C162" s="34" t="s">
        <v>228</v>
      </c>
      <c r="D162" s="34">
        <v>2</v>
      </c>
      <c r="E162" s="34">
        <v>314</v>
      </c>
      <c r="F162" s="34">
        <v>6</v>
      </c>
      <c r="G162" s="34">
        <v>320</v>
      </c>
      <c r="H162" s="34">
        <v>4</v>
      </c>
      <c r="I162" s="34">
        <v>324</v>
      </c>
      <c r="J162" s="34">
        <v>4</v>
      </c>
      <c r="K162" s="34">
        <v>328</v>
      </c>
      <c r="L162" s="34">
        <v>3</v>
      </c>
      <c r="M162" s="34">
        <v>331</v>
      </c>
      <c r="N162" s="34">
        <v>5</v>
      </c>
      <c r="O162" s="34">
        <v>336</v>
      </c>
      <c r="P162" s="34">
        <v>3</v>
      </c>
      <c r="Q162" s="34">
        <v>339</v>
      </c>
      <c r="R162" s="34">
        <v>3</v>
      </c>
      <c r="S162" s="34">
        <v>342</v>
      </c>
      <c r="T162" s="34">
        <v>3</v>
      </c>
      <c r="U162" s="34">
        <v>346</v>
      </c>
      <c r="V162" s="34">
        <v>4</v>
      </c>
      <c r="W162" s="34">
        <v>354</v>
      </c>
      <c r="X162" s="34">
        <v>8</v>
      </c>
      <c r="Y162" s="34">
        <v>362</v>
      </c>
      <c r="Z162" s="34">
        <v>8</v>
      </c>
      <c r="AA162" s="34">
        <v>372</v>
      </c>
      <c r="AB162" s="34">
        <v>10</v>
      </c>
      <c r="AC162" s="34">
        <v>10</v>
      </c>
      <c r="AD162" s="34">
        <v>0</v>
      </c>
      <c r="AE162" s="34">
        <v>0</v>
      </c>
      <c r="AG162" s="34">
        <v>3</v>
      </c>
      <c r="AH162" s="34">
        <v>0</v>
      </c>
      <c r="AI162" s="34">
        <v>13</v>
      </c>
    </row>
    <row r="163" spans="1:35" ht="15.75" customHeight="1">
      <c r="A163" s="34">
        <v>164</v>
      </c>
      <c r="B163" s="34" t="s">
        <v>230</v>
      </c>
      <c r="C163" s="34" t="s">
        <v>228</v>
      </c>
      <c r="D163" s="34" t="s">
        <v>2745</v>
      </c>
      <c r="E163" s="34">
        <v>29</v>
      </c>
      <c r="F163" s="34">
        <v>3</v>
      </c>
      <c r="G163" s="34">
        <v>32</v>
      </c>
      <c r="H163" s="34">
        <v>3</v>
      </c>
      <c r="I163" s="34">
        <v>35</v>
      </c>
      <c r="J163" s="34">
        <v>3</v>
      </c>
      <c r="K163" s="34">
        <v>38</v>
      </c>
      <c r="L163" s="34">
        <v>3</v>
      </c>
      <c r="M163" s="34">
        <v>41</v>
      </c>
      <c r="N163" s="34">
        <v>3</v>
      </c>
      <c r="O163" s="34">
        <v>44</v>
      </c>
      <c r="P163" s="34">
        <v>3</v>
      </c>
      <c r="Q163" s="34">
        <v>47</v>
      </c>
      <c r="R163" s="34">
        <v>3</v>
      </c>
      <c r="S163" s="34">
        <v>50</v>
      </c>
      <c r="T163" s="34">
        <v>3</v>
      </c>
      <c r="U163" s="34">
        <v>52</v>
      </c>
      <c r="V163" s="34">
        <v>2</v>
      </c>
      <c r="W163" s="34">
        <v>54</v>
      </c>
      <c r="X163" s="34">
        <v>2</v>
      </c>
      <c r="Y163" s="34">
        <v>56</v>
      </c>
      <c r="Z163" s="34">
        <v>2</v>
      </c>
      <c r="AA163" s="34">
        <v>61</v>
      </c>
      <c r="AB163" s="34">
        <v>5</v>
      </c>
      <c r="AC163" s="34">
        <v>5</v>
      </c>
      <c r="AD163" s="34">
        <v>0</v>
      </c>
      <c r="AE163" s="34">
        <v>0</v>
      </c>
      <c r="AG163" s="34">
        <v>3</v>
      </c>
      <c r="AH163" s="34">
        <v>0</v>
      </c>
      <c r="AI163" s="34">
        <v>8</v>
      </c>
    </row>
    <row r="164" spans="1:35" ht="15.75" customHeight="1">
      <c r="A164" s="34">
        <v>165</v>
      </c>
      <c r="B164" s="34" t="s">
        <v>232</v>
      </c>
      <c r="C164" s="34" t="s">
        <v>228</v>
      </c>
      <c r="D164" s="34">
        <v>3</v>
      </c>
      <c r="E164" s="34">
        <v>1453</v>
      </c>
      <c r="F164" s="34">
        <v>24</v>
      </c>
      <c r="G164" s="34">
        <v>1477</v>
      </c>
      <c r="H164" s="34">
        <v>22</v>
      </c>
      <c r="I164" s="34">
        <v>1499</v>
      </c>
      <c r="J164" s="34">
        <v>20</v>
      </c>
      <c r="K164" s="34">
        <v>1519</v>
      </c>
      <c r="L164" s="34">
        <v>21</v>
      </c>
      <c r="M164" s="34">
        <v>1540</v>
      </c>
      <c r="N164" s="34">
        <v>17</v>
      </c>
      <c r="O164" s="34">
        <v>1557</v>
      </c>
      <c r="P164" s="34">
        <v>16</v>
      </c>
      <c r="Q164" s="34">
        <v>1573</v>
      </c>
      <c r="R164" s="34">
        <v>16</v>
      </c>
      <c r="S164" s="34">
        <v>1596</v>
      </c>
      <c r="T164" s="34">
        <v>23</v>
      </c>
      <c r="U164" s="34">
        <v>1621</v>
      </c>
      <c r="V164" s="34">
        <v>25</v>
      </c>
      <c r="W164" s="34">
        <v>1642</v>
      </c>
      <c r="X164" s="34">
        <v>21</v>
      </c>
      <c r="Y164" s="34">
        <v>1668</v>
      </c>
      <c r="Z164" s="34">
        <v>26</v>
      </c>
      <c r="AA164" s="34">
        <v>1689</v>
      </c>
      <c r="AB164" s="34">
        <v>21</v>
      </c>
      <c r="AC164" s="34">
        <v>21</v>
      </c>
      <c r="AD164" s="34">
        <v>0</v>
      </c>
      <c r="AE164" s="34">
        <v>0</v>
      </c>
      <c r="AG164" s="34">
        <v>3</v>
      </c>
      <c r="AH164" s="34">
        <v>20</v>
      </c>
      <c r="AI164" s="34">
        <v>44</v>
      </c>
    </row>
    <row r="165" spans="1:35" ht="15.75" customHeight="1">
      <c r="A165" s="34">
        <v>166</v>
      </c>
      <c r="B165" s="34" t="s">
        <v>233</v>
      </c>
      <c r="C165" s="34" t="s">
        <v>228</v>
      </c>
      <c r="D165" s="34">
        <v>4</v>
      </c>
      <c r="E165" s="34">
        <v>628</v>
      </c>
      <c r="F165" s="34">
        <v>4</v>
      </c>
      <c r="G165" s="34">
        <v>632</v>
      </c>
      <c r="H165" s="34">
        <v>-8</v>
      </c>
      <c r="I165" s="34">
        <v>634</v>
      </c>
      <c r="J165" s="34">
        <v>16</v>
      </c>
      <c r="K165" s="34">
        <v>640</v>
      </c>
      <c r="L165" s="34">
        <v>1</v>
      </c>
      <c r="M165" s="34">
        <v>641</v>
      </c>
      <c r="N165" s="34">
        <v>3</v>
      </c>
      <c r="O165" s="34">
        <v>644</v>
      </c>
      <c r="P165" s="34">
        <v>2</v>
      </c>
      <c r="Q165" s="34">
        <v>646</v>
      </c>
      <c r="R165" s="34">
        <v>2</v>
      </c>
      <c r="S165" s="34">
        <v>647</v>
      </c>
      <c r="T165" s="34">
        <v>1</v>
      </c>
      <c r="U165" s="34">
        <v>648</v>
      </c>
      <c r="V165" s="34">
        <v>1</v>
      </c>
      <c r="W165" s="34">
        <v>649</v>
      </c>
      <c r="X165" s="34">
        <v>1</v>
      </c>
      <c r="Y165" s="34">
        <v>650</v>
      </c>
      <c r="Z165" s="34">
        <v>1</v>
      </c>
      <c r="AA165" s="34">
        <v>651</v>
      </c>
      <c r="AB165" s="34">
        <v>1</v>
      </c>
      <c r="AC165" s="34">
        <v>5</v>
      </c>
      <c r="AD165" s="34">
        <v>0</v>
      </c>
      <c r="AE165" s="34">
        <v>0</v>
      </c>
      <c r="AG165" s="34">
        <v>3</v>
      </c>
      <c r="AH165" s="34">
        <v>0</v>
      </c>
      <c r="AI165" s="34">
        <v>8</v>
      </c>
    </row>
    <row r="166" spans="1:35" ht="15.75" customHeight="1">
      <c r="A166" s="34">
        <v>167</v>
      </c>
      <c r="B166" s="34" t="s">
        <v>234</v>
      </c>
      <c r="C166" s="34" t="s">
        <v>228</v>
      </c>
      <c r="D166" s="34">
        <v>5</v>
      </c>
      <c r="E166" s="34">
        <v>2586</v>
      </c>
      <c r="F166" s="34">
        <v>37</v>
      </c>
      <c r="G166" s="34">
        <v>2623</v>
      </c>
      <c r="H166" s="34">
        <v>34</v>
      </c>
      <c r="I166" s="34">
        <v>2657</v>
      </c>
      <c r="J166" s="34">
        <v>35</v>
      </c>
      <c r="K166" s="34">
        <v>2692</v>
      </c>
      <c r="L166" s="34">
        <v>26</v>
      </c>
      <c r="M166" s="34">
        <v>2718</v>
      </c>
      <c r="N166" s="34">
        <v>29</v>
      </c>
      <c r="O166" s="34">
        <v>2747</v>
      </c>
      <c r="P166" s="34">
        <v>27</v>
      </c>
      <c r="Q166" s="34">
        <v>2774</v>
      </c>
      <c r="R166" s="34">
        <v>27</v>
      </c>
      <c r="S166" s="34">
        <v>2798</v>
      </c>
      <c r="T166" s="34">
        <v>24</v>
      </c>
      <c r="U166" s="34">
        <v>2823</v>
      </c>
      <c r="V166" s="34">
        <v>25</v>
      </c>
      <c r="W166" s="34">
        <v>2849</v>
      </c>
      <c r="X166" s="34">
        <v>26</v>
      </c>
      <c r="Y166" s="34">
        <v>2868</v>
      </c>
      <c r="Z166" s="34">
        <v>19</v>
      </c>
      <c r="AA166" s="34">
        <v>2894</v>
      </c>
      <c r="AB166" s="34">
        <v>26</v>
      </c>
      <c r="AC166" s="34">
        <v>26</v>
      </c>
      <c r="AD166" s="34">
        <v>0</v>
      </c>
      <c r="AE166" s="34">
        <v>0</v>
      </c>
      <c r="AG166" s="34">
        <v>3</v>
      </c>
      <c r="AH166" s="34">
        <v>0</v>
      </c>
      <c r="AI166" s="34">
        <v>29</v>
      </c>
    </row>
    <row r="167" spans="1:35" ht="15.75" customHeight="1">
      <c r="A167" s="34">
        <v>168</v>
      </c>
      <c r="B167" s="34" t="s">
        <v>235</v>
      </c>
      <c r="C167" s="34" t="s">
        <v>228</v>
      </c>
      <c r="D167" s="34">
        <v>6</v>
      </c>
      <c r="E167" s="34">
        <v>2306</v>
      </c>
      <c r="F167" s="34">
        <v>27</v>
      </c>
      <c r="G167" s="34">
        <v>2333</v>
      </c>
      <c r="H167" s="34">
        <v>-2316</v>
      </c>
      <c r="I167" s="34">
        <v>17</v>
      </c>
      <c r="J167" s="34">
        <v>17</v>
      </c>
      <c r="K167" s="34">
        <v>34</v>
      </c>
      <c r="L167" s="34">
        <v>16</v>
      </c>
      <c r="M167" s="34">
        <v>50</v>
      </c>
      <c r="N167" s="34">
        <v>17</v>
      </c>
      <c r="O167" s="34">
        <v>67</v>
      </c>
      <c r="P167" s="34">
        <v>16</v>
      </c>
      <c r="Q167" s="34">
        <v>83</v>
      </c>
      <c r="R167" s="34">
        <v>16</v>
      </c>
      <c r="S167" s="34">
        <v>97</v>
      </c>
      <c r="T167" s="34">
        <v>14</v>
      </c>
      <c r="U167" s="34">
        <v>111</v>
      </c>
      <c r="V167" s="34">
        <v>14</v>
      </c>
      <c r="W167" s="34">
        <v>124</v>
      </c>
      <c r="X167" s="34">
        <v>13</v>
      </c>
      <c r="Y167" s="34">
        <v>144</v>
      </c>
      <c r="Z167" s="34">
        <v>20</v>
      </c>
      <c r="AA167" s="34">
        <v>166</v>
      </c>
      <c r="AB167" s="34">
        <v>22</v>
      </c>
      <c r="AC167" s="34">
        <v>22</v>
      </c>
      <c r="AD167" s="34">
        <v>23</v>
      </c>
      <c r="AE167" s="34">
        <v>0</v>
      </c>
      <c r="AG167" s="34">
        <v>3</v>
      </c>
      <c r="AH167" s="34">
        <v>0</v>
      </c>
      <c r="AI167" s="34">
        <v>48</v>
      </c>
    </row>
    <row r="168" spans="1:35" ht="15.75" customHeight="1">
      <c r="A168" s="34">
        <v>169</v>
      </c>
      <c r="B168" s="34" t="s">
        <v>236</v>
      </c>
      <c r="C168" s="34" t="s">
        <v>228</v>
      </c>
      <c r="D168" s="34">
        <v>7</v>
      </c>
      <c r="E168" s="34">
        <v>260</v>
      </c>
      <c r="F168" s="34">
        <v>10</v>
      </c>
      <c r="G168" s="34">
        <v>270</v>
      </c>
      <c r="H168" s="34">
        <v>12</v>
      </c>
      <c r="I168" s="34">
        <v>282</v>
      </c>
      <c r="J168" s="34">
        <v>15</v>
      </c>
      <c r="K168" s="34">
        <v>297</v>
      </c>
      <c r="L168" s="34">
        <v>14</v>
      </c>
      <c r="M168" s="34">
        <v>311</v>
      </c>
      <c r="N168" s="34">
        <v>10</v>
      </c>
      <c r="O168" s="34">
        <v>321</v>
      </c>
      <c r="P168" s="34">
        <v>9</v>
      </c>
      <c r="Q168" s="34">
        <v>330</v>
      </c>
      <c r="R168" s="34">
        <v>9</v>
      </c>
      <c r="S168" s="34">
        <v>338</v>
      </c>
      <c r="T168" s="34">
        <v>8</v>
      </c>
      <c r="U168" s="34">
        <v>348</v>
      </c>
      <c r="V168" s="34">
        <v>10</v>
      </c>
      <c r="W168" s="34">
        <v>357</v>
      </c>
      <c r="X168" s="34">
        <v>9</v>
      </c>
      <c r="Y168" s="34">
        <v>366</v>
      </c>
      <c r="Z168" s="34">
        <v>9</v>
      </c>
      <c r="AA168" s="34">
        <v>378</v>
      </c>
      <c r="AB168" s="34">
        <v>12</v>
      </c>
      <c r="AC168" s="34">
        <v>12</v>
      </c>
      <c r="AD168" s="34">
        <v>0</v>
      </c>
      <c r="AE168" s="34">
        <v>0</v>
      </c>
      <c r="AG168" s="34">
        <v>3</v>
      </c>
      <c r="AH168" s="34">
        <v>20</v>
      </c>
      <c r="AI168" s="34">
        <v>35</v>
      </c>
    </row>
    <row r="169" spans="1:35" ht="15.75" customHeight="1">
      <c r="A169" s="34">
        <v>170</v>
      </c>
      <c r="B169" s="34" t="s">
        <v>238</v>
      </c>
      <c r="C169" s="34" t="s">
        <v>228</v>
      </c>
      <c r="D169" s="34">
        <v>8</v>
      </c>
      <c r="E169" s="34">
        <v>582</v>
      </c>
      <c r="F169" s="34">
        <v>0</v>
      </c>
      <c r="G169" s="34">
        <v>582</v>
      </c>
      <c r="H169" s="34">
        <v>5</v>
      </c>
      <c r="I169" s="34">
        <v>587</v>
      </c>
      <c r="J169" s="34">
        <v>2</v>
      </c>
      <c r="K169" s="34">
        <v>589</v>
      </c>
      <c r="L169" s="34">
        <v>0</v>
      </c>
      <c r="M169" s="34">
        <v>589</v>
      </c>
      <c r="N169" s="34">
        <v>2</v>
      </c>
      <c r="O169" s="34">
        <v>591</v>
      </c>
      <c r="P169" s="34">
        <v>1</v>
      </c>
      <c r="Q169" s="34">
        <v>592</v>
      </c>
      <c r="R169" s="34">
        <v>1</v>
      </c>
      <c r="S169" s="34">
        <v>592</v>
      </c>
      <c r="T169" s="34">
        <v>0</v>
      </c>
      <c r="U169" s="34">
        <v>593</v>
      </c>
      <c r="V169" s="34">
        <v>1</v>
      </c>
      <c r="W169" s="34">
        <v>594</v>
      </c>
      <c r="X169" s="34">
        <v>1</v>
      </c>
      <c r="Y169" s="34">
        <v>594</v>
      </c>
      <c r="Z169" s="34">
        <v>0</v>
      </c>
      <c r="AA169" s="34">
        <v>594</v>
      </c>
      <c r="AB169" s="34">
        <v>0</v>
      </c>
      <c r="AC169" s="34">
        <v>5</v>
      </c>
      <c r="AD169" s="34">
        <v>0</v>
      </c>
      <c r="AE169" s="34">
        <v>0</v>
      </c>
      <c r="AG169" s="34">
        <v>3</v>
      </c>
      <c r="AH169" s="34">
        <v>0</v>
      </c>
      <c r="AI169" s="34">
        <v>8</v>
      </c>
    </row>
    <row r="170" spans="1:35" ht="15.75" customHeight="1">
      <c r="A170" s="34">
        <v>171</v>
      </c>
      <c r="B170" s="34" t="s">
        <v>240</v>
      </c>
      <c r="C170" s="34" t="s">
        <v>228</v>
      </c>
      <c r="D170" s="34">
        <v>9</v>
      </c>
      <c r="E170" s="34">
        <v>378</v>
      </c>
      <c r="F170" s="34">
        <v>0</v>
      </c>
      <c r="G170" s="34">
        <v>378</v>
      </c>
      <c r="H170" s="34">
        <v>0</v>
      </c>
      <c r="I170" s="34">
        <v>378</v>
      </c>
      <c r="J170" s="34">
        <v>0</v>
      </c>
      <c r="K170" s="34">
        <v>378</v>
      </c>
      <c r="L170" s="34">
        <v>0</v>
      </c>
      <c r="M170" s="34">
        <v>378</v>
      </c>
      <c r="N170" s="34">
        <v>0</v>
      </c>
      <c r="O170" s="34">
        <v>378</v>
      </c>
      <c r="P170" s="34">
        <v>0</v>
      </c>
      <c r="Q170" s="34">
        <v>378</v>
      </c>
      <c r="R170" s="34">
        <v>0</v>
      </c>
      <c r="S170" s="34">
        <v>378</v>
      </c>
      <c r="T170" s="34">
        <v>0</v>
      </c>
      <c r="U170" s="34">
        <v>378</v>
      </c>
      <c r="V170" s="34">
        <v>0</v>
      </c>
      <c r="W170" s="34">
        <v>378</v>
      </c>
      <c r="X170" s="34">
        <v>0</v>
      </c>
      <c r="Y170" s="34">
        <v>378</v>
      </c>
      <c r="Z170" s="34">
        <v>0</v>
      </c>
      <c r="AA170" s="34">
        <v>378</v>
      </c>
      <c r="AB170" s="34">
        <v>0</v>
      </c>
      <c r="AC170" s="34">
        <v>5</v>
      </c>
      <c r="AD170" s="34">
        <v>8</v>
      </c>
      <c r="AE170" s="34">
        <v>0</v>
      </c>
      <c r="AG170" s="34">
        <v>3</v>
      </c>
      <c r="AH170" s="34">
        <v>20</v>
      </c>
      <c r="AI170" s="34">
        <v>36</v>
      </c>
    </row>
    <row r="171" spans="1:35" ht="15.75" customHeight="1">
      <c r="A171" s="34">
        <v>172</v>
      </c>
      <c r="B171" s="34" t="s">
        <v>241</v>
      </c>
      <c r="C171" s="34" t="s">
        <v>228</v>
      </c>
      <c r="D171" s="34">
        <v>10</v>
      </c>
      <c r="E171" s="34">
        <v>1019</v>
      </c>
      <c r="F171" s="34">
        <v>5</v>
      </c>
      <c r="G171" s="34">
        <v>1024</v>
      </c>
      <c r="H171" s="34">
        <v>1</v>
      </c>
      <c r="I171" s="34">
        <v>1025</v>
      </c>
      <c r="J171" s="34">
        <v>0</v>
      </c>
      <c r="K171" s="34">
        <v>1025</v>
      </c>
      <c r="L171" s="34">
        <v>0</v>
      </c>
      <c r="M171" s="34">
        <v>1025</v>
      </c>
      <c r="N171" s="34">
        <v>0</v>
      </c>
      <c r="O171" s="34">
        <v>1025</v>
      </c>
      <c r="P171" s="34">
        <v>1</v>
      </c>
      <c r="Q171" s="34">
        <v>1026</v>
      </c>
      <c r="R171" s="34">
        <v>1</v>
      </c>
      <c r="S171" s="34">
        <v>1037</v>
      </c>
      <c r="T171" s="34">
        <v>11</v>
      </c>
      <c r="U171" s="34">
        <v>1057</v>
      </c>
      <c r="V171" s="34">
        <v>20</v>
      </c>
      <c r="W171" s="34">
        <v>1058</v>
      </c>
      <c r="X171" s="34">
        <v>1</v>
      </c>
      <c r="Y171" s="34">
        <v>1063</v>
      </c>
      <c r="Z171" s="34">
        <v>5</v>
      </c>
      <c r="AA171" s="34">
        <v>1063</v>
      </c>
      <c r="AB171" s="34">
        <v>0</v>
      </c>
      <c r="AC171" s="34">
        <v>5</v>
      </c>
      <c r="AD171" s="34">
        <v>0</v>
      </c>
      <c r="AE171" s="34">
        <v>0</v>
      </c>
      <c r="AG171" s="34">
        <v>3</v>
      </c>
      <c r="AH171" s="34">
        <v>0</v>
      </c>
      <c r="AI171" s="34">
        <v>8</v>
      </c>
    </row>
    <row r="172" spans="1:35" ht="15.75" customHeight="1">
      <c r="A172" s="34">
        <v>173</v>
      </c>
      <c r="B172" s="34" t="s">
        <v>242</v>
      </c>
      <c r="C172" s="34" t="s">
        <v>228</v>
      </c>
      <c r="D172" s="34">
        <v>11</v>
      </c>
      <c r="E172" s="34">
        <v>2966</v>
      </c>
      <c r="F172" s="34">
        <v>24</v>
      </c>
      <c r="G172" s="34">
        <v>2990</v>
      </c>
      <c r="H172" s="34">
        <v>20</v>
      </c>
      <c r="I172" s="34">
        <v>3010</v>
      </c>
      <c r="J172" s="34">
        <v>22</v>
      </c>
      <c r="K172" s="34">
        <v>3032</v>
      </c>
      <c r="L172" s="34">
        <v>20</v>
      </c>
      <c r="M172" s="34">
        <v>3052</v>
      </c>
      <c r="N172" s="34">
        <v>17</v>
      </c>
      <c r="O172" s="34">
        <v>3069</v>
      </c>
      <c r="P172" s="34">
        <v>14</v>
      </c>
      <c r="Q172" s="34">
        <v>3083</v>
      </c>
      <c r="R172" s="34">
        <v>14</v>
      </c>
      <c r="S172" s="34">
        <v>3096</v>
      </c>
      <c r="T172" s="34">
        <v>13</v>
      </c>
      <c r="U172" s="34">
        <v>3110</v>
      </c>
      <c r="V172" s="34">
        <v>14</v>
      </c>
      <c r="W172" s="34">
        <v>3120</v>
      </c>
      <c r="X172" s="34">
        <v>10</v>
      </c>
      <c r="Y172" s="34">
        <v>3130</v>
      </c>
      <c r="Z172" s="34">
        <v>10</v>
      </c>
      <c r="AA172" s="34">
        <v>3145</v>
      </c>
      <c r="AB172" s="34">
        <v>15</v>
      </c>
      <c r="AC172" s="34">
        <v>15</v>
      </c>
      <c r="AD172" s="34">
        <v>0</v>
      </c>
      <c r="AE172" s="34">
        <v>0</v>
      </c>
      <c r="AG172" s="34">
        <v>3</v>
      </c>
      <c r="AH172" s="34">
        <v>0</v>
      </c>
      <c r="AI172" s="34">
        <v>18</v>
      </c>
    </row>
    <row r="173" spans="1:35" ht="15.75" customHeight="1">
      <c r="A173" s="34">
        <v>174</v>
      </c>
      <c r="B173" s="34" t="s">
        <v>243</v>
      </c>
      <c r="C173" s="34" t="s">
        <v>228</v>
      </c>
      <c r="D173" s="34">
        <v>12</v>
      </c>
      <c r="E173" s="34">
        <v>2008</v>
      </c>
      <c r="F173" s="34">
        <v>11</v>
      </c>
      <c r="G173" s="34">
        <v>2019</v>
      </c>
      <c r="H173" s="34">
        <v>9</v>
      </c>
      <c r="I173" s="34">
        <v>2028</v>
      </c>
      <c r="J173" s="34">
        <v>11</v>
      </c>
      <c r="K173" s="34">
        <v>2039</v>
      </c>
      <c r="L173" s="34">
        <v>8</v>
      </c>
      <c r="M173" s="34">
        <v>2047</v>
      </c>
      <c r="N173" s="34">
        <v>9</v>
      </c>
      <c r="O173" s="34">
        <v>2056</v>
      </c>
      <c r="P173" s="34">
        <v>8</v>
      </c>
      <c r="Q173" s="34">
        <v>2064</v>
      </c>
      <c r="R173" s="34">
        <v>8</v>
      </c>
      <c r="S173" s="34">
        <v>2067</v>
      </c>
      <c r="T173" s="34">
        <v>3</v>
      </c>
      <c r="U173" s="34">
        <v>2074</v>
      </c>
      <c r="V173" s="34">
        <v>7</v>
      </c>
      <c r="W173" s="34">
        <v>2077</v>
      </c>
      <c r="X173" s="34">
        <v>3</v>
      </c>
      <c r="Y173" s="34">
        <v>2084</v>
      </c>
      <c r="Z173" s="34">
        <v>7</v>
      </c>
      <c r="AA173" s="34">
        <v>2090</v>
      </c>
      <c r="AB173" s="34">
        <v>6</v>
      </c>
      <c r="AC173" s="34">
        <v>6</v>
      </c>
      <c r="AD173" s="34">
        <v>20</v>
      </c>
      <c r="AE173" s="34">
        <v>40</v>
      </c>
      <c r="AG173" s="34">
        <v>3</v>
      </c>
      <c r="AH173" s="34">
        <v>0</v>
      </c>
      <c r="AI173" s="34">
        <v>69</v>
      </c>
    </row>
    <row r="174" spans="1:35" ht="15.75" customHeight="1">
      <c r="A174" s="34">
        <v>175</v>
      </c>
      <c r="B174" s="34" t="s">
        <v>244</v>
      </c>
      <c r="C174" s="34" t="s">
        <v>228</v>
      </c>
      <c r="D174" s="34">
        <v>13</v>
      </c>
      <c r="E174" s="34">
        <v>1642</v>
      </c>
      <c r="F174" s="34">
        <v>8</v>
      </c>
      <c r="G174" s="34">
        <v>1650</v>
      </c>
      <c r="H174" s="34">
        <v>11</v>
      </c>
      <c r="I174" s="34">
        <v>1661</v>
      </c>
      <c r="J174" s="34">
        <v>10</v>
      </c>
      <c r="K174" s="34">
        <v>1671</v>
      </c>
      <c r="L174" s="34">
        <v>6</v>
      </c>
      <c r="M174" s="34">
        <v>1677</v>
      </c>
      <c r="N174" s="34">
        <v>7</v>
      </c>
      <c r="O174" s="34">
        <v>1684</v>
      </c>
      <c r="P174" s="34">
        <v>5</v>
      </c>
      <c r="Q174" s="34">
        <v>1689</v>
      </c>
      <c r="R174" s="34">
        <v>5</v>
      </c>
      <c r="S174" s="34">
        <v>1700</v>
      </c>
      <c r="T174" s="34">
        <v>11</v>
      </c>
      <c r="U174" s="34">
        <v>1707</v>
      </c>
      <c r="V174" s="34">
        <v>7</v>
      </c>
      <c r="W174" s="34">
        <v>1717</v>
      </c>
      <c r="X174" s="34">
        <v>10</v>
      </c>
      <c r="Y174" s="34">
        <v>1730</v>
      </c>
      <c r="Z174" s="34">
        <v>13</v>
      </c>
      <c r="AA174" s="34">
        <v>1736</v>
      </c>
      <c r="AB174" s="34">
        <v>6</v>
      </c>
      <c r="AC174" s="34">
        <v>6</v>
      </c>
      <c r="AD174" s="34">
        <v>16</v>
      </c>
      <c r="AE174" s="34">
        <v>0</v>
      </c>
      <c r="AG174" s="34">
        <v>3</v>
      </c>
      <c r="AH174" s="34">
        <v>0</v>
      </c>
      <c r="AI174" s="34">
        <v>25</v>
      </c>
    </row>
    <row r="175" spans="1:35" ht="15.75" customHeight="1">
      <c r="A175" s="34">
        <v>176</v>
      </c>
      <c r="B175" s="34" t="s">
        <v>245</v>
      </c>
      <c r="C175" s="34" t="s">
        <v>228</v>
      </c>
      <c r="D175" s="34">
        <v>14</v>
      </c>
      <c r="E175" s="34">
        <v>2137</v>
      </c>
      <c r="F175" s="34">
        <v>5</v>
      </c>
      <c r="G175" s="34">
        <v>2142</v>
      </c>
      <c r="H175" s="34">
        <v>6</v>
      </c>
      <c r="I175" s="34">
        <v>2148</v>
      </c>
      <c r="J175" s="34">
        <v>6</v>
      </c>
      <c r="K175" s="34">
        <v>2154</v>
      </c>
      <c r="L175" s="34">
        <v>9</v>
      </c>
      <c r="M175" s="34">
        <v>2163</v>
      </c>
      <c r="N175" s="34">
        <v>14</v>
      </c>
      <c r="O175" s="34">
        <v>2177</v>
      </c>
      <c r="P175" s="34">
        <v>10</v>
      </c>
      <c r="Q175" s="34">
        <v>2187</v>
      </c>
      <c r="R175" s="34">
        <v>10</v>
      </c>
      <c r="S175" s="34">
        <v>2192</v>
      </c>
      <c r="T175" s="34">
        <v>5</v>
      </c>
      <c r="U175" s="34">
        <v>2201</v>
      </c>
      <c r="V175" s="34">
        <v>9</v>
      </c>
      <c r="W175" s="34">
        <v>2210</v>
      </c>
      <c r="X175" s="34">
        <v>9</v>
      </c>
      <c r="Y175" s="34">
        <v>2215</v>
      </c>
      <c r="Z175" s="34">
        <v>5</v>
      </c>
      <c r="AA175" s="34">
        <v>2219</v>
      </c>
      <c r="AB175" s="34">
        <v>4</v>
      </c>
      <c r="AC175" s="34">
        <v>5</v>
      </c>
      <c r="AD175" s="34">
        <v>0</v>
      </c>
      <c r="AE175" s="34">
        <v>0</v>
      </c>
      <c r="AG175" s="34">
        <v>3</v>
      </c>
      <c r="AH175" s="34">
        <v>0</v>
      </c>
      <c r="AI175" s="34">
        <v>8</v>
      </c>
    </row>
    <row r="176" spans="1:35" ht="15.75" customHeight="1">
      <c r="A176" s="34">
        <v>177</v>
      </c>
      <c r="B176" s="34" t="s">
        <v>246</v>
      </c>
      <c r="C176" s="34" t="s">
        <v>228</v>
      </c>
      <c r="D176" s="34">
        <v>15</v>
      </c>
      <c r="E176" s="34">
        <v>2119</v>
      </c>
      <c r="F176" s="34">
        <v>21</v>
      </c>
      <c r="G176" s="34">
        <v>2140</v>
      </c>
      <c r="H176" s="34">
        <v>27</v>
      </c>
      <c r="I176" s="34">
        <v>2167</v>
      </c>
      <c r="J176" s="34">
        <v>31</v>
      </c>
      <c r="K176" s="34">
        <v>2198</v>
      </c>
      <c r="L176" s="34">
        <v>22</v>
      </c>
      <c r="M176" s="34">
        <v>2220</v>
      </c>
      <c r="N176" s="34">
        <v>13</v>
      </c>
      <c r="O176" s="34">
        <v>2233</v>
      </c>
      <c r="P176" s="34">
        <v>12</v>
      </c>
      <c r="Q176" s="34">
        <v>2245</v>
      </c>
      <c r="R176" s="34">
        <v>12</v>
      </c>
      <c r="S176" s="34">
        <v>2256</v>
      </c>
      <c r="T176" s="34">
        <v>11</v>
      </c>
      <c r="U176" s="34">
        <v>2271</v>
      </c>
      <c r="V176" s="34">
        <v>15</v>
      </c>
      <c r="W176" s="34">
        <v>2284</v>
      </c>
      <c r="X176" s="34">
        <v>13</v>
      </c>
      <c r="Y176" s="34">
        <v>2297</v>
      </c>
      <c r="Z176" s="34">
        <v>13</v>
      </c>
      <c r="AA176" s="34">
        <v>2309</v>
      </c>
      <c r="AB176" s="34">
        <v>12</v>
      </c>
      <c r="AC176" s="34">
        <v>12</v>
      </c>
      <c r="AD176" s="34">
        <v>0</v>
      </c>
      <c r="AE176" s="34">
        <v>0</v>
      </c>
      <c r="AG176" s="34">
        <v>3</v>
      </c>
      <c r="AH176" s="34">
        <v>20</v>
      </c>
      <c r="AI176" s="34">
        <v>35</v>
      </c>
    </row>
    <row r="177" spans="1:35" ht="15.75" customHeight="1">
      <c r="A177" s="34">
        <v>178</v>
      </c>
      <c r="B177" s="34" t="s">
        <v>247</v>
      </c>
      <c r="C177" s="34" t="s">
        <v>228</v>
      </c>
      <c r="D177" s="34">
        <v>16</v>
      </c>
      <c r="E177" s="34">
        <v>1034</v>
      </c>
      <c r="F177" s="34">
        <v>18</v>
      </c>
      <c r="G177" s="34">
        <v>1052</v>
      </c>
      <c r="H177" s="34">
        <v>12</v>
      </c>
      <c r="I177" s="34">
        <v>1064</v>
      </c>
      <c r="J177" s="34">
        <v>4</v>
      </c>
      <c r="K177" s="34">
        <v>1068</v>
      </c>
      <c r="L177" s="34">
        <v>4</v>
      </c>
      <c r="M177" s="34">
        <v>1072</v>
      </c>
      <c r="N177" s="34">
        <v>6</v>
      </c>
      <c r="O177" s="34">
        <v>1078</v>
      </c>
      <c r="P177" s="34">
        <v>5</v>
      </c>
      <c r="Q177" s="34">
        <v>1083</v>
      </c>
      <c r="R177" s="34">
        <v>5</v>
      </c>
      <c r="S177" s="34">
        <v>1087</v>
      </c>
      <c r="T177" s="34">
        <v>4</v>
      </c>
      <c r="U177" s="34">
        <v>1090</v>
      </c>
      <c r="V177" s="34">
        <v>3</v>
      </c>
      <c r="W177" s="34">
        <v>1091</v>
      </c>
      <c r="X177" s="34">
        <v>1</v>
      </c>
      <c r="Y177" s="34">
        <v>1093</v>
      </c>
      <c r="Z177" s="34">
        <v>2</v>
      </c>
      <c r="AA177" s="34">
        <v>1097</v>
      </c>
      <c r="AB177" s="34">
        <v>4</v>
      </c>
      <c r="AC177" s="34">
        <v>5</v>
      </c>
      <c r="AD177" s="34">
        <v>0</v>
      </c>
      <c r="AE177" s="34">
        <v>0</v>
      </c>
      <c r="AG177" s="34">
        <v>3</v>
      </c>
      <c r="AH177" s="34">
        <v>0</v>
      </c>
      <c r="AI177" s="34">
        <v>8</v>
      </c>
    </row>
    <row r="178" spans="1:35" ht="15.75" customHeight="1">
      <c r="A178" s="34">
        <v>179</v>
      </c>
      <c r="B178" s="34" t="s">
        <v>248</v>
      </c>
      <c r="C178" s="34" t="s">
        <v>228</v>
      </c>
      <c r="D178" s="34">
        <v>17</v>
      </c>
      <c r="E178" s="34">
        <v>1028</v>
      </c>
      <c r="F178" s="34">
        <v>0</v>
      </c>
      <c r="G178" s="34">
        <v>1028</v>
      </c>
      <c r="H178" s="34">
        <v>1</v>
      </c>
      <c r="I178" s="34">
        <v>1029</v>
      </c>
      <c r="J178" s="34">
        <v>1</v>
      </c>
      <c r="K178" s="34">
        <v>1030</v>
      </c>
      <c r="L178" s="34">
        <v>0</v>
      </c>
      <c r="M178" s="34">
        <v>1030</v>
      </c>
      <c r="N178" s="34">
        <v>1</v>
      </c>
      <c r="O178" s="34">
        <v>1031</v>
      </c>
      <c r="P178" s="34">
        <v>1</v>
      </c>
      <c r="Q178" s="34">
        <v>1032</v>
      </c>
      <c r="R178" s="34">
        <v>1</v>
      </c>
      <c r="S178" s="34">
        <v>1034</v>
      </c>
      <c r="T178" s="34">
        <v>2</v>
      </c>
      <c r="U178" s="34">
        <v>1039</v>
      </c>
      <c r="V178" s="34">
        <v>5</v>
      </c>
      <c r="W178" s="34">
        <v>1041</v>
      </c>
      <c r="X178" s="34">
        <v>2</v>
      </c>
      <c r="Y178" s="34">
        <v>1043</v>
      </c>
      <c r="Z178" s="34">
        <v>2</v>
      </c>
      <c r="AA178" s="34">
        <v>1049</v>
      </c>
      <c r="AB178" s="34">
        <v>6</v>
      </c>
      <c r="AC178" s="34">
        <v>6</v>
      </c>
      <c r="AD178" s="34">
        <v>0</v>
      </c>
      <c r="AE178" s="34">
        <v>0</v>
      </c>
      <c r="AG178" s="34">
        <v>3</v>
      </c>
      <c r="AH178" s="34">
        <v>0</v>
      </c>
      <c r="AI178" s="34">
        <v>9</v>
      </c>
    </row>
    <row r="179" spans="1:35" ht="15.75" customHeight="1">
      <c r="A179" s="34">
        <v>180</v>
      </c>
      <c r="B179" s="34" t="s">
        <v>249</v>
      </c>
      <c r="C179" s="34" t="s">
        <v>228</v>
      </c>
      <c r="D179" s="34">
        <v>18</v>
      </c>
      <c r="E179" s="34">
        <v>233</v>
      </c>
      <c r="F179" s="34">
        <v>15</v>
      </c>
      <c r="G179" s="34">
        <v>248</v>
      </c>
      <c r="H179" s="34">
        <v>9</v>
      </c>
      <c r="I179" s="34">
        <v>257</v>
      </c>
      <c r="J179" s="34">
        <v>10</v>
      </c>
      <c r="K179" s="34">
        <v>267</v>
      </c>
      <c r="L179" s="34">
        <v>8</v>
      </c>
      <c r="M179" s="34">
        <v>275</v>
      </c>
      <c r="N179" s="34">
        <v>6</v>
      </c>
      <c r="O179" s="34">
        <v>281</v>
      </c>
      <c r="P179" s="34">
        <v>5</v>
      </c>
      <c r="Q179" s="34">
        <v>286</v>
      </c>
      <c r="R179" s="34">
        <v>5</v>
      </c>
      <c r="S179" s="34">
        <v>292</v>
      </c>
      <c r="T179" s="34">
        <v>6</v>
      </c>
      <c r="U179" s="34">
        <v>304</v>
      </c>
      <c r="V179" s="34">
        <v>12</v>
      </c>
      <c r="W179" s="34">
        <v>317</v>
      </c>
      <c r="X179" s="34">
        <v>13</v>
      </c>
      <c r="Y179" s="34">
        <v>336</v>
      </c>
      <c r="Z179" s="34">
        <v>19</v>
      </c>
      <c r="AA179" s="34">
        <v>344</v>
      </c>
      <c r="AB179" s="34">
        <v>8</v>
      </c>
      <c r="AC179" s="34">
        <v>8</v>
      </c>
      <c r="AD179" s="34">
        <v>0</v>
      </c>
      <c r="AE179" s="34">
        <v>0</v>
      </c>
      <c r="AG179" s="34">
        <v>3</v>
      </c>
      <c r="AH179" s="34">
        <v>20</v>
      </c>
      <c r="AI179" s="34">
        <v>31</v>
      </c>
    </row>
    <row r="180" spans="1:35" ht="15.75" customHeight="1">
      <c r="A180" s="34">
        <v>181</v>
      </c>
      <c r="B180" s="34" t="s">
        <v>250</v>
      </c>
      <c r="C180" s="34" t="s">
        <v>251</v>
      </c>
      <c r="D180" s="34">
        <v>1</v>
      </c>
      <c r="E180" s="34">
        <v>1497</v>
      </c>
      <c r="F180" s="34">
        <v>23</v>
      </c>
      <c r="G180" s="34">
        <v>1520</v>
      </c>
      <c r="H180" s="34">
        <v>32</v>
      </c>
      <c r="I180" s="34">
        <v>1552</v>
      </c>
      <c r="J180" s="34">
        <v>36</v>
      </c>
      <c r="K180" s="34">
        <v>1568</v>
      </c>
      <c r="L180" s="34">
        <v>5</v>
      </c>
      <c r="M180" s="34">
        <v>1573</v>
      </c>
      <c r="N180" s="34">
        <v>28</v>
      </c>
      <c r="O180" s="34">
        <v>1601</v>
      </c>
      <c r="P180" s="34">
        <v>49</v>
      </c>
      <c r="Q180" s="34">
        <v>1650</v>
      </c>
      <c r="R180" s="34">
        <v>49</v>
      </c>
      <c r="S180" s="34">
        <v>1681</v>
      </c>
      <c r="T180" s="34">
        <v>31</v>
      </c>
      <c r="U180" s="34">
        <v>1716</v>
      </c>
      <c r="V180" s="34">
        <v>35</v>
      </c>
      <c r="W180" s="34">
        <v>1748</v>
      </c>
      <c r="X180" s="34">
        <v>32</v>
      </c>
      <c r="Y180" s="34">
        <v>1770</v>
      </c>
      <c r="Z180" s="34">
        <v>22</v>
      </c>
      <c r="AA180" s="34">
        <v>1803</v>
      </c>
      <c r="AB180" s="34">
        <v>33</v>
      </c>
      <c r="AC180" s="34">
        <v>33</v>
      </c>
      <c r="AD180" s="34">
        <v>0</v>
      </c>
      <c r="AE180" s="34">
        <v>0</v>
      </c>
      <c r="AG180" s="34">
        <v>3</v>
      </c>
      <c r="AH180" s="34">
        <v>0</v>
      </c>
      <c r="AI180" s="34">
        <v>36</v>
      </c>
    </row>
    <row r="181" spans="1:35" ht="15.75" customHeight="1">
      <c r="A181" s="34">
        <v>182</v>
      </c>
      <c r="B181" s="34" t="s">
        <v>252</v>
      </c>
      <c r="C181" s="34" t="s">
        <v>251</v>
      </c>
      <c r="D181" s="34">
        <v>2</v>
      </c>
      <c r="E181" s="34">
        <v>178</v>
      </c>
      <c r="F181" s="34">
        <v>13</v>
      </c>
      <c r="G181" s="34">
        <v>191</v>
      </c>
      <c r="H181" s="34">
        <v>19</v>
      </c>
      <c r="I181" s="34">
        <v>210</v>
      </c>
      <c r="J181" s="34">
        <v>16</v>
      </c>
      <c r="K181" s="34">
        <v>226</v>
      </c>
      <c r="L181" s="34">
        <v>10</v>
      </c>
      <c r="M181" s="34">
        <v>236</v>
      </c>
      <c r="N181" s="34">
        <v>7</v>
      </c>
      <c r="O181" s="34">
        <v>243</v>
      </c>
      <c r="P181" s="34">
        <v>8</v>
      </c>
      <c r="Q181" s="34">
        <v>251</v>
      </c>
      <c r="R181" s="34">
        <v>8</v>
      </c>
      <c r="S181" s="34">
        <v>258</v>
      </c>
      <c r="T181" s="34">
        <v>7</v>
      </c>
      <c r="U181" s="34">
        <v>265</v>
      </c>
      <c r="V181" s="34">
        <v>7</v>
      </c>
      <c r="W181" s="34">
        <v>271</v>
      </c>
      <c r="X181" s="34">
        <v>6</v>
      </c>
      <c r="Y181" s="34">
        <v>279</v>
      </c>
      <c r="Z181" s="34">
        <v>8</v>
      </c>
      <c r="AA181" s="34">
        <v>295</v>
      </c>
      <c r="AB181" s="34">
        <v>16</v>
      </c>
      <c r="AC181" s="34">
        <v>16</v>
      </c>
      <c r="AD181" s="34">
        <v>0</v>
      </c>
      <c r="AE181" s="34">
        <v>0</v>
      </c>
      <c r="AG181" s="34">
        <v>3</v>
      </c>
      <c r="AH181" s="34">
        <v>0</v>
      </c>
      <c r="AI181" s="34">
        <v>19</v>
      </c>
    </row>
    <row r="182" spans="1:35" ht="15.75" customHeight="1">
      <c r="A182" s="34">
        <v>183</v>
      </c>
      <c r="B182" s="34" t="s">
        <v>253</v>
      </c>
      <c r="C182" s="34" t="s">
        <v>251</v>
      </c>
      <c r="D182" s="34">
        <v>3</v>
      </c>
      <c r="E182" s="34">
        <v>707</v>
      </c>
      <c r="F182" s="34">
        <v>0</v>
      </c>
      <c r="G182" s="34">
        <v>707</v>
      </c>
      <c r="H182" s="34">
        <v>0</v>
      </c>
      <c r="I182" s="34">
        <v>707</v>
      </c>
      <c r="J182" s="34">
        <v>0</v>
      </c>
      <c r="K182" s="34">
        <v>707</v>
      </c>
      <c r="L182" s="34">
        <v>0</v>
      </c>
      <c r="M182" s="34">
        <v>707</v>
      </c>
      <c r="N182" s="34">
        <v>0</v>
      </c>
      <c r="O182" s="34">
        <v>707</v>
      </c>
      <c r="P182" s="34">
        <v>0</v>
      </c>
      <c r="Q182" s="34">
        <v>707</v>
      </c>
      <c r="R182" s="34">
        <v>0</v>
      </c>
      <c r="S182" s="34">
        <v>707</v>
      </c>
      <c r="T182" s="34">
        <v>0</v>
      </c>
      <c r="U182" s="34">
        <v>707</v>
      </c>
      <c r="V182" s="34">
        <v>0</v>
      </c>
      <c r="W182" s="34">
        <v>707</v>
      </c>
      <c r="X182" s="34">
        <v>0</v>
      </c>
      <c r="Y182" s="34">
        <v>707</v>
      </c>
      <c r="Z182" s="34">
        <v>0</v>
      </c>
      <c r="AA182" s="34">
        <v>707</v>
      </c>
      <c r="AB182" s="34">
        <v>0</v>
      </c>
      <c r="AC182" s="34">
        <v>5</v>
      </c>
      <c r="AD182" s="34">
        <v>0</v>
      </c>
      <c r="AE182" s="34">
        <v>0</v>
      </c>
      <c r="AG182" s="34">
        <v>3</v>
      </c>
      <c r="AH182" s="34">
        <v>0</v>
      </c>
      <c r="AI182" s="34">
        <v>8</v>
      </c>
    </row>
    <row r="183" spans="1:35" ht="15.75" customHeight="1">
      <c r="A183" s="34">
        <v>184</v>
      </c>
      <c r="B183" s="34" t="s">
        <v>255</v>
      </c>
      <c r="C183" s="34" t="s">
        <v>251</v>
      </c>
      <c r="D183" s="34">
        <v>4</v>
      </c>
      <c r="E183" s="34">
        <v>935</v>
      </c>
      <c r="F183" s="34">
        <v>11</v>
      </c>
      <c r="G183" s="34">
        <v>946</v>
      </c>
      <c r="H183" s="34">
        <v>15</v>
      </c>
      <c r="I183" s="34">
        <v>961</v>
      </c>
      <c r="J183" s="34">
        <v>12</v>
      </c>
      <c r="K183" s="34">
        <v>973</v>
      </c>
      <c r="L183" s="34">
        <v>14</v>
      </c>
      <c r="M183" s="34">
        <v>987</v>
      </c>
      <c r="N183" s="34">
        <v>8</v>
      </c>
      <c r="O183" s="34">
        <v>995</v>
      </c>
      <c r="P183" s="34">
        <v>4</v>
      </c>
      <c r="Q183" s="34">
        <v>999</v>
      </c>
      <c r="R183" s="34">
        <v>4</v>
      </c>
      <c r="S183" s="34">
        <v>1005</v>
      </c>
      <c r="T183" s="34">
        <v>6</v>
      </c>
      <c r="U183" s="34">
        <v>1011</v>
      </c>
      <c r="V183" s="34">
        <v>6</v>
      </c>
      <c r="W183" s="34">
        <v>1019</v>
      </c>
      <c r="X183" s="34">
        <v>8</v>
      </c>
      <c r="Y183" s="34">
        <v>1024</v>
      </c>
      <c r="Z183" s="34">
        <v>5</v>
      </c>
      <c r="AA183" s="34">
        <v>1033</v>
      </c>
      <c r="AB183" s="34">
        <v>9</v>
      </c>
      <c r="AC183" s="34">
        <v>9</v>
      </c>
      <c r="AD183" s="34">
        <v>0</v>
      </c>
      <c r="AE183" s="34">
        <v>0</v>
      </c>
      <c r="AG183" s="34">
        <v>3</v>
      </c>
      <c r="AH183" s="34">
        <v>0</v>
      </c>
      <c r="AI183" s="34">
        <v>12</v>
      </c>
    </row>
    <row r="184" spans="1:35" ht="15.75" customHeight="1">
      <c r="A184" s="34">
        <v>185</v>
      </c>
      <c r="B184" s="34" t="s">
        <v>256</v>
      </c>
      <c r="C184" s="34" t="s">
        <v>251</v>
      </c>
      <c r="D184" s="34">
        <v>5</v>
      </c>
      <c r="E184" s="34">
        <v>3115</v>
      </c>
      <c r="F184" s="34">
        <v>21</v>
      </c>
      <c r="G184" s="34">
        <v>3136</v>
      </c>
      <c r="H184" s="34">
        <v>17</v>
      </c>
      <c r="I184" s="34">
        <v>3153</v>
      </c>
      <c r="J184" s="34">
        <v>19</v>
      </c>
      <c r="K184" s="34">
        <v>3172</v>
      </c>
      <c r="L184" s="34">
        <v>16</v>
      </c>
      <c r="M184" s="34">
        <v>3188</v>
      </c>
      <c r="N184" s="34">
        <v>17</v>
      </c>
      <c r="O184" s="34">
        <v>3205</v>
      </c>
      <c r="P184" s="34">
        <v>24</v>
      </c>
      <c r="Q184" s="34">
        <v>3229</v>
      </c>
      <c r="R184" s="34">
        <v>24</v>
      </c>
      <c r="S184" s="34">
        <v>3251</v>
      </c>
      <c r="T184" s="34">
        <v>22</v>
      </c>
      <c r="U184" s="34">
        <v>3265</v>
      </c>
      <c r="V184" s="34">
        <v>14</v>
      </c>
      <c r="W184" s="34">
        <v>3274</v>
      </c>
      <c r="X184" s="34">
        <v>9</v>
      </c>
      <c r="Y184" s="34">
        <v>3284</v>
      </c>
      <c r="Z184" s="34">
        <v>10</v>
      </c>
      <c r="AA184" s="34">
        <v>3297</v>
      </c>
      <c r="AB184" s="34">
        <v>13</v>
      </c>
      <c r="AC184" s="34">
        <v>13</v>
      </c>
      <c r="AD184" s="34">
        <v>0</v>
      </c>
      <c r="AE184" s="34">
        <v>0</v>
      </c>
      <c r="AG184" s="34">
        <v>3</v>
      </c>
      <c r="AH184" s="34">
        <v>0</v>
      </c>
      <c r="AI184" s="34">
        <v>16</v>
      </c>
    </row>
    <row r="185" spans="1:35" ht="15.75" customHeight="1">
      <c r="A185" s="34">
        <v>186</v>
      </c>
      <c r="B185" s="34" t="s">
        <v>258</v>
      </c>
      <c r="C185" s="34" t="s">
        <v>251</v>
      </c>
      <c r="D185" s="34">
        <v>7</v>
      </c>
      <c r="E185" s="34">
        <v>1986</v>
      </c>
      <c r="F185" s="34">
        <v>6</v>
      </c>
      <c r="G185" s="34">
        <v>1992</v>
      </c>
      <c r="H185" s="34">
        <v>7</v>
      </c>
      <c r="I185" s="34">
        <v>1999</v>
      </c>
      <c r="J185" s="34">
        <v>7</v>
      </c>
      <c r="K185" s="34">
        <v>2006</v>
      </c>
      <c r="L185" s="34">
        <v>6</v>
      </c>
      <c r="M185" s="34">
        <v>2012</v>
      </c>
      <c r="N185" s="34">
        <v>6</v>
      </c>
      <c r="O185" s="34">
        <v>2018</v>
      </c>
      <c r="P185" s="34">
        <v>7</v>
      </c>
      <c r="Q185" s="34">
        <v>2025</v>
      </c>
      <c r="R185" s="34">
        <v>7</v>
      </c>
      <c r="S185" s="34">
        <v>2030</v>
      </c>
      <c r="T185" s="34">
        <v>5</v>
      </c>
      <c r="U185" s="34">
        <v>2040</v>
      </c>
      <c r="V185" s="34">
        <v>10</v>
      </c>
      <c r="W185" s="34">
        <v>2046</v>
      </c>
      <c r="X185" s="34">
        <v>6</v>
      </c>
      <c r="Y185" s="34">
        <v>2054</v>
      </c>
      <c r="Z185" s="34">
        <v>8</v>
      </c>
      <c r="AA185" s="34">
        <v>2059</v>
      </c>
      <c r="AB185" s="34">
        <v>5</v>
      </c>
      <c r="AC185" s="34">
        <v>5</v>
      </c>
      <c r="AD185" s="34">
        <v>0</v>
      </c>
      <c r="AE185" s="34">
        <v>0</v>
      </c>
      <c r="AG185" s="34">
        <v>3</v>
      </c>
      <c r="AH185" s="34">
        <v>0</v>
      </c>
      <c r="AI185" s="34">
        <v>8</v>
      </c>
    </row>
    <row r="186" spans="1:35" ht="15.75" customHeight="1">
      <c r="A186" s="34">
        <v>187</v>
      </c>
      <c r="B186" s="34" t="s">
        <v>259</v>
      </c>
      <c r="C186" s="34" t="s">
        <v>251</v>
      </c>
      <c r="D186" s="34">
        <v>8</v>
      </c>
      <c r="E186" s="34">
        <v>2114</v>
      </c>
      <c r="F186" s="34">
        <v>15</v>
      </c>
      <c r="G186" s="34">
        <v>2129</v>
      </c>
      <c r="H186" s="34">
        <v>12</v>
      </c>
      <c r="I186" s="34">
        <v>2141</v>
      </c>
      <c r="J186" s="34">
        <v>15</v>
      </c>
      <c r="K186" s="34">
        <v>2156</v>
      </c>
      <c r="L186" s="34">
        <v>13</v>
      </c>
      <c r="M186" s="34">
        <v>2169</v>
      </c>
      <c r="N186" s="34">
        <v>11</v>
      </c>
      <c r="O186" s="34">
        <v>2180</v>
      </c>
      <c r="P186" s="34">
        <v>8</v>
      </c>
      <c r="Q186" s="34">
        <v>2188</v>
      </c>
      <c r="R186" s="34">
        <v>8</v>
      </c>
      <c r="S186" s="34">
        <v>2195</v>
      </c>
      <c r="T186" s="34">
        <v>7</v>
      </c>
      <c r="U186" s="34">
        <v>2201</v>
      </c>
      <c r="V186" s="34">
        <v>6</v>
      </c>
      <c r="W186" s="34">
        <v>2207</v>
      </c>
      <c r="X186" s="34">
        <v>6</v>
      </c>
      <c r="Y186" s="34">
        <v>2218</v>
      </c>
      <c r="Z186" s="34">
        <v>11</v>
      </c>
      <c r="AA186" s="34">
        <v>2225</v>
      </c>
      <c r="AB186" s="34">
        <v>7</v>
      </c>
      <c r="AC186" s="34">
        <v>7</v>
      </c>
      <c r="AD186" s="34">
        <v>0</v>
      </c>
      <c r="AE186" s="34">
        <v>0</v>
      </c>
      <c r="AG186" s="34">
        <v>3</v>
      </c>
      <c r="AH186" s="34">
        <v>0</v>
      </c>
      <c r="AI186" s="34">
        <v>10</v>
      </c>
    </row>
    <row r="187" spans="1:35" ht="15.75" customHeight="1">
      <c r="A187" s="34">
        <v>188</v>
      </c>
      <c r="B187" s="34" t="s">
        <v>260</v>
      </c>
      <c r="C187" s="34" t="s">
        <v>251</v>
      </c>
      <c r="D187" s="34">
        <v>9</v>
      </c>
      <c r="E187" s="34">
        <v>2687</v>
      </c>
      <c r="F187" s="34">
        <v>16</v>
      </c>
      <c r="G187" s="34">
        <v>2703</v>
      </c>
      <c r="H187" s="34">
        <v>17</v>
      </c>
      <c r="I187" s="34">
        <v>2720</v>
      </c>
      <c r="J187" s="34">
        <v>15</v>
      </c>
      <c r="K187" s="34">
        <v>2735</v>
      </c>
      <c r="L187" s="34">
        <v>14</v>
      </c>
      <c r="M187" s="34">
        <v>2749</v>
      </c>
      <c r="N187" s="34">
        <v>13</v>
      </c>
      <c r="O187" s="34">
        <v>2762</v>
      </c>
      <c r="P187" s="34">
        <v>10</v>
      </c>
      <c r="Q187" s="34">
        <v>2772</v>
      </c>
      <c r="R187" s="34">
        <v>10</v>
      </c>
      <c r="S187" s="34">
        <v>2781</v>
      </c>
      <c r="T187" s="34">
        <v>9</v>
      </c>
      <c r="U187" s="34">
        <v>2791</v>
      </c>
      <c r="V187" s="34">
        <v>10</v>
      </c>
      <c r="W187" s="34">
        <v>2801</v>
      </c>
      <c r="X187" s="34">
        <v>10</v>
      </c>
      <c r="Y187" s="34">
        <v>2815</v>
      </c>
      <c r="Z187" s="34">
        <v>14</v>
      </c>
      <c r="AA187" s="34">
        <v>2830</v>
      </c>
      <c r="AB187" s="34">
        <v>15</v>
      </c>
      <c r="AC187" s="34">
        <v>15</v>
      </c>
      <c r="AD187" s="34">
        <v>0</v>
      </c>
      <c r="AE187" s="34">
        <v>0</v>
      </c>
      <c r="AG187" s="34">
        <v>3</v>
      </c>
      <c r="AH187" s="34">
        <v>0</v>
      </c>
      <c r="AI187" s="34">
        <v>18</v>
      </c>
    </row>
    <row r="188" spans="1:35" ht="15.75" customHeight="1">
      <c r="A188" s="34">
        <v>189</v>
      </c>
      <c r="B188" s="34" t="s">
        <v>261</v>
      </c>
      <c r="C188" s="34" t="s">
        <v>251</v>
      </c>
      <c r="D188" s="34">
        <v>10</v>
      </c>
      <c r="E188" s="34">
        <v>1634</v>
      </c>
      <c r="F188" s="34">
        <v>22</v>
      </c>
      <c r="G188" s="34">
        <v>1656</v>
      </c>
      <c r="H188" s="34">
        <v>40</v>
      </c>
      <c r="I188" s="34">
        <v>1696</v>
      </c>
      <c r="J188" s="34">
        <v>32</v>
      </c>
      <c r="K188" s="34">
        <v>1728</v>
      </c>
      <c r="L188" s="34">
        <v>28</v>
      </c>
      <c r="M188" s="34">
        <v>1756</v>
      </c>
      <c r="N188" s="34">
        <v>30</v>
      </c>
      <c r="O188" s="34">
        <v>1786</v>
      </c>
      <c r="P188" s="34">
        <v>24</v>
      </c>
      <c r="Q188" s="34">
        <v>1810</v>
      </c>
      <c r="R188" s="34">
        <v>24</v>
      </c>
      <c r="S188" s="34">
        <v>1834</v>
      </c>
      <c r="T188" s="34">
        <v>24</v>
      </c>
      <c r="U188" s="34">
        <v>1859</v>
      </c>
      <c r="V188" s="34">
        <v>25</v>
      </c>
      <c r="W188" s="34">
        <v>1882</v>
      </c>
      <c r="X188" s="34">
        <v>23</v>
      </c>
      <c r="Y188" s="34">
        <v>1907</v>
      </c>
      <c r="Z188" s="34">
        <v>25</v>
      </c>
      <c r="AA188" s="34">
        <v>1923</v>
      </c>
      <c r="AB188" s="34">
        <v>16</v>
      </c>
      <c r="AC188" s="34">
        <v>16</v>
      </c>
      <c r="AD188" s="34">
        <v>0</v>
      </c>
      <c r="AE188" s="34">
        <v>0</v>
      </c>
      <c r="AG188" s="34">
        <v>3</v>
      </c>
      <c r="AH188" s="34">
        <v>0</v>
      </c>
      <c r="AI188" s="34">
        <v>19</v>
      </c>
    </row>
    <row r="189" spans="1:35" ht="15.75" customHeight="1">
      <c r="A189" s="34">
        <v>190</v>
      </c>
      <c r="B189" s="34" t="s">
        <v>262</v>
      </c>
      <c r="C189" s="34" t="s">
        <v>251</v>
      </c>
      <c r="D189" s="34">
        <v>11</v>
      </c>
      <c r="E189" s="34">
        <v>1122</v>
      </c>
      <c r="F189" s="34">
        <v>14</v>
      </c>
      <c r="G189" s="34">
        <v>1136</v>
      </c>
      <c r="H189" s="34">
        <v>15</v>
      </c>
      <c r="I189" s="34">
        <v>1151</v>
      </c>
      <c r="J189" s="34">
        <v>13</v>
      </c>
      <c r="K189" s="34">
        <v>1164</v>
      </c>
      <c r="L189" s="34">
        <v>13</v>
      </c>
      <c r="M189" s="34">
        <v>1177</v>
      </c>
      <c r="N189" s="34">
        <v>13</v>
      </c>
      <c r="O189" s="34">
        <v>1190</v>
      </c>
      <c r="P189" s="34">
        <v>12</v>
      </c>
      <c r="Q189" s="34">
        <v>1202</v>
      </c>
      <c r="R189" s="34">
        <v>12</v>
      </c>
      <c r="S189" s="34">
        <v>1212</v>
      </c>
      <c r="T189" s="34">
        <v>10</v>
      </c>
      <c r="U189" s="34">
        <v>1224</v>
      </c>
      <c r="V189" s="34">
        <v>12</v>
      </c>
      <c r="W189" s="34">
        <v>1236</v>
      </c>
      <c r="X189" s="34">
        <v>12</v>
      </c>
      <c r="Y189" s="34">
        <v>1247</v>
      </c>
      <c r="Z189" s="34">
        <v>11</v>
      </c>
      <c r="AA189" s="34">
        <v>1258</v>
      </c>
      <c r="AB189" s="34">
        <v>11</v>
      </c>
      <c r="AC189" s="34">
        <v>11</v>
      </c>
      <c r="AD189" s="34">
        <v>0</v>
      </c>
      <c r="AE189" s="34">
        <v>0</v>
      </c>
      <c r="AG189" s="34">
        <v>3</v>
      </c>
      <c r="AH189" s="34">
        <v>20</v>
      </c>
      <c r="AI189" s="34">
        <v>34</v>
      </c>
    </row>
    <row r="190" spans="1:35" ht="15.75" customHeight="1">
      <c r="A190" s="34">
        <v>191</v>
      </c>
      <c r="B190" s="34" t="s">
        <v>263</v>
      </c>
      <c r="C190" s="34" t="s">
        <v>251</v>
      </c>
      <c r="D190" s="34">
        <v>12</v>
      </c>
      <c r="E190" s="34">
        <v>616</v>
      </c>
      <c r="F190" s="34">
        <v>1</v>
      </c>
      <c r="G190" s="34">
        <v>617</v>
      </c>
      <c r="H190" s="34">
        <v>4</v>
      </c>
      <c r="I190" s="34">
        <v>621</v>
      </c>
      <c r="J190" s="34">
        <v>5</v>
      </c>
      <c r="K190" s="34">
        <v>626</v>
      </c>
      <c r="L190" s="34">
        <v>3</v>
      </c>
      <c r="M190" s="34">
        <v>629</v>
      </c>
      <c r="N190" s="34">
        <v>2</v>
      </c>
      <c r="O190" s="34">
        <v>631</v>
      </c>
      <c r="P190" s="34">
        <v>2</v>
      </c>
      <c r="Q190" s="34">
        <v>633</v>
      </c>
      <c r="R190" s="34">
        <v>2</v>
      </c>
      <c r="S190" s="34">
        <v>634</v>
      </c>
      <c r="T190" s="34">
        <v>1</v>
      </c>
      <c r="U190" s="34">
        <v>636</v>
      </c>
      <c r="V190" s="34">
        <v>2</v>
      </c>
      <c r="W190" s="34">
        <v>636</v>
      </c>
      <c r="X190" s="34">
        <v>0</v>
      </c>
      <c r="Y190" s="34">
        <v>637</v>
      </c>
      <c r="Z190" s="34">
        <v>1</v>
      </c>
      <c r="AA190" s="34">
        <v>638</v>
      </c>
      <c r="AB190" s="34">
        <v>1</v>
      </c>
      <c r="AC190" s="34">
        <v>5</v>
      </c>
      <c r="AD190" s="34">
        <v>0</v>
      </c>
      <c r="AE190" s="34">
        <v>0</v>
      </c>
      <c r="AG190" s="34">
        <v>3</v>
      </c>
      <c r="AH190" s="34">
        <v>20</v>
      </c>
      <c r="AI190" s="34">
        <v>28</v>
      </c>
    </row>
    <row r="191" spans="1:35" ht="15.75" customHeight="1">
      <c r="A191" s="34">
        <v>193</v>
      </c>
      <c r="B191" s="34" t="s">
        <v>266</v>
      </c>
      <c r="C191" s="34" t="s">
        <v>267</v>
      </c>
      <c r="D191" s="34">
        <v>1</v>
      </c>
      <c r="E191" s="34">
        <v>2007</v>
      </c>
      <c r="F191" s="34">
        <v>26</v>
      </c>
      <c r="G191" s="34">
        <v>2033</v>
      </c>
      <c r="H191" s="34">
        <v>9</v>
      </c>
      <c r="I191" s="34">
        <v>2042</v>
      </c>
      <c r="J191" s="34">
        <v>10</v>
      </c>
      <c r="K191" s="34">
        <v>2052</v>
      </c>
      <c r="L191" s="34">
        <v>9</v>
      </c>
      <c r="M191" s="34">
        <v>2061</v>
      </c>
      <c r="N191" s="34">
        <v>17</v>
      </c>
      <c r="O191" s="34">
        <v>2078</v>
      </c>
      <c r="P191" s="34">
        <v>11</v>
      </c>
      <c r="Q191" s="34">
        <v>2089</v>
      </c>
      <c r="R191" s="34">
        <v>11</v>
      </c>
      <c r="S191" s="34">
        <v>2093</v>
      </c>
      <c r="T191" s="34">
        <v>4</v>
      </c>
      <c r="U191" s="34">
        <v>2100</v>
      </c>
      <c r="V191" s="34">
        <v>7</v>
      </c>
      <c r="W191" s="34">
        <v>2104</v>
      </c>
      <c r="X191" s="34">
        <v>4</v>
      </c>
      <c r="Y191" s="34">
        <v>2114</v>
      </c>
      <c r="Z191" s="34">
        <v>10</v>
      </c>
      <c r="AA191" s="34">
        <v>2123</v>
      </c>
      <c r="AB191" s="34">
        <v>9</v>
      </c>
      <c r="AC191" s="34">
        <v>9</v>
      </c>
      <c r="AD191" s="34">
        <v>0</v>
      </c>
      <c r="AE191" s="34">
        <v>0</v>
      </c>
      <c r="AG191" s="34">
        <v>3</v>
      </c>
      <c r="AH191" s="34">
        <v>0</v>
      </c>
      <c r="AI191" s="34">
        <v>12</v>
      </c>
    </row>
    <row r="192" spans="1:35" ht="15.75" customHeight="1">
      <c r="A192" s="34">
        <v>194</v>
      </c>
      <c r="B192" s="34" t="s">
        <v>268</v>
      </c>
      <c r="C192" s="34" t="s">
        <v>267</v>
      </c>
      <c r="D192" s="34">
        <v>2</v>
      </c>
      <c r="E192" s="34">
        <v>2142</v>
      </c>
      <c r="F192" s="34">
        <v>14</v>
      </c>
      <c r="G192" s="34">
        <v>2156</v>
      </c>
      <c r="H192" s="34">
        <v>13</v>
      </c>
      <c r="I192" s="34">
        <v>2169</v>
      </c>
      <c r="J192" s="34">
        <v>12</v>
      </c>
      <c r="K192" s="34">
        <v>2181</v>
      </c>
      <c r="L192" s="34">
        <v>14</v>
      </c>
      <c r="M192" s="34">
        <v>2195</v>
      </c>
      <c r="N192" s="34">
        <v>11</v>
      </c>
      <c r="O192" s="34">
        <v>2206</v>
      </c>
      <c r="P192" s="34">
        <v>10</v>
      </c>
      <c r="Q192" s="34">
        <v>2216</v>
      </c>
      <c r="R192" s="34">
        <v>10</v>
      </c>
      <c r="S192" s="34">
        <v>2227</v>
      </c>
      <c r="T192" s="34">
        <v>11</v>
      </c>
      <c r="U192" s="34">
        <v>2236</v>
      </c>
      <c r="V192" s="34">
        <v>9</v>
      </c>
      <c r="W192" s="34">
        <v>2250</v>
      </c>
      <c r="X192" s="34">
        <v>14</v>
      </c>
      <c r="Y192" s="34">
        <v>2259</v>
      </c>
      <c r="Z192" s="34">
        <v>9</v>
      </c>
      <c r="AA192" s="34">
        <v>2268</v>
      </c>
      <c r="AB192" s="34">
        <v>9</v>
      </c>
      <c r="AC192" s="34">
        <v>9</v>
      </c>
      <c r="AD192" s="34">
        <v>0</v>
      </c>
      <c r="AE192" s="34">
        <v>0</v>
      </c>
      <c r="AG192" s="34">
        <v>3</v>
      </c>
      <c r="AH192" s="34">
        <v>0</v>
      </c>
      <c r="AI192" s="34">
        <v>12</v>
      </c>
    </row>
    <row r="193" spans="1:35" ht="15.75" customHeight="1">
      <c r="A193" s="34">
        <v>195</v>
      </c>
      <c r="B193" s="34" t="s">
        <v>269</v>
      </c>
      <c r="C193" s="34" t="s">
        <v>267</v>
      </c>
      <c r="D193" s="34">
        <v>3</v>
      </c>
      <c r="E193" s="34">
        <v>3004</v>
      </c>
      <c r="F193" s="34">
        <v>4</v>
      </c>
      <c r="G193" s="34">
        <v>3008</v>
      </c>
      <c r="H193" s="34">
        <v>3</v>
      </c>
      <c r="I193" s="34">
        <v>3011</v>
      </c>
      <c r="J193" s="34">
        <v>4</v>
      </c>
      <c r="K193" s="34">
        <v>3015</v>
      </c>
      <c r="L193" s="34">
        <v>3</v>
      </c>
      <c r="M193" s="34">
        <v>3018</v>
      </c>
      <c r="N193" s="34">
        <v>6</v>
      </c>
      <c r="O193" s="34">
        <v>3024</v>
      </c>
      <c r="P193" s="34">
        <v>1</v>
      </c>
      <c r="Q193" s="34">
        <v>3025</v>
      </c>
      <c r="R193" s="34">
        <v>1</v>
      </c>
      <c r="S193" s="34">
        <v>0</v>
      </c>
      <c r="T193" s="34">
        <v>2</v>
      </c>
      <c r="U193" s="34">
        <v>2</v>
      </c>
      <c r="V193" s="34">
        <v>2</v>
      </c>
      <c r="W193" s="34">
        <v>9</v>
      </c>
      <c r="X193" s="34">
        <v>7</v>
      </c>
      <c r="Y193" s="34">
        <v>13</v>
      </c>
      <c r="Z193" s="34">
        <v>4</v>
      </c>
      <c r="AA193" s="34">
        <v>22</v>
      </c>
      <c r="AB193" s="34">
        <v>9</v>
      </c>
      <c r="AC193" s="34">
        <v>9</v>
      </c>
      <c r="AD193" s="34">
        <v>0</v>
      </c>
      <c r="AE193" s="34">
        <v>0</v>
      </c>
      <c r="AG193" s="34">
        <v>3</v>
      </c>
      <c r="AH193" s="34">
        <v>0</v>
      </c>
      <c r="AI193" s="34">
        <v>12</v>
      </c>
    </row>
    <row r="194" spans="1:35" ht="15.75" customHeight="1">
      <c r="A194" s="34">
        <v>196</v>
      </c>
      <c r="B194" s="34" t="s">
        <v>270</v>
      </c>
      <c r="C194" s="34" t="s">
        <v>267</v>
      </c>
      <c r="D194" s="34">
        <v>4</v>
      </c>
      <c r="E194" s="34">
        <v>2761</v>
      </c>
      <c r="F194" s="34">
        <v>22</v>
      </c>
      <c r="G194" s="34">
        <v>2783</v>
      </c>
      <c r="H194" s="34">
        <v>26</v>
      </c>
      <c r="I194" s="34">
        <v>2809</v>
      </c>
      <c r="J194" s="34">
        <v>27</v>
      </c>
      <c r="K194" s="34">
        <v>2836</v>
      </c>
      <c r="L194" s="34">
        <v>27</v>
      </c>
      <c r="M194" s="34">
        <v>2863</v>
      </c>
      <c r="N194" s="34">
        <v>22</v>
      </c>
      <c r="O194" s="34">
        <v>2885</v>
      </c>
      <c r="P194" s="34">
        <v>25</v>
      </c>
      <c r="Q194" s="34">
        <v>2910</v>
      </c>
      <c r="R194" s="34">
        <v>25</v>
      </c>
      <c r="S194" s="34">
        <v>2934</v>
      </c>
      <c r="T194" s="34">
        <v>24</v>
      </c>
      <c r="U194" s="34">
        <v>2962</v>
      </c>
      <c r="V194" s="34">
        <v>28</v>
      </c>
      <c r="W194" s="34">
        <v>2989</v>
      </c>
      <c r="X194" s="34">
        <v>27</v>
      </c>
      <c r="Y194" s="34">
        <v>3016</v>
      </c>
      <c r="Z194" s="34">
        <v>27</v>
      </c>
      <c r="AA194" s="34">
        <v>3041</v>
      </c>
      <c r="AB194" s="34">
        <v>25</v>
      </c>
      <c r="AC194" s="34">
        <v>25</v>
      </c>
      <c r="AD194" s="34">
        <v>0</v>
      </c>
      <c r="AE194" s="34">
        <v>0</v>
      </c>
      <c r="AG194" s="34">
        <v>3</v>
      </c>
      <c r="AH194" s="34">
        <v>0</v>
      </c>
      <c r="AI194" s="34">
        <v>28</v>
      </c>
    </row>
    <row r="195" spans="1:35" ht="15.75" customHeight="1">
      <c r="A195" s="34">
        <v>197</v>
      </c>
      <c r="B195" s="34" t="s">
        <v>271</v>
      </c>
      <c r="C195" s="34" t="s">
        <v>267</v>
      </c>
      <c r="D195" s="34">
        <v>6</v>
      </c>
      <c r="E195" s="34">
        <v>3164</v>
      </c>
      <c r="F195" s="34">
        <v>22</v>
      </c>
      <c r="G195" s="34">
        <v>3186</v>
      </c>
      <c r="H195" s="34">
        <v>26</v>
      </c>
      <c r="I195" s="34">
        <v>3212</v>
      </c>
      <c r="J195" s="34">
        <v>23</v>
      </c>
      <c r="K195" s="34">
        <v>3235</v>
      </c>
      <c r="L195" s="34">
        <v>22</v>
      </c>
      <c r="M195" s="34">
        <v>3257</v>
      </c>
      <c r="N195" s="34">
        <v>25</v>
      </c>
      <c r="O195" s="34">
        <v>3282</v>
      </c>
      <c r="P195" s="34">
        <v>19</v>
      </c>
      <c r="Q195" s="34">
        <v>3301</v>
      </c>
      <c r="R195" s="34">
        <v>19</v>
      </c>
      <c r="S195" s="34">
        <v>3321</v>
      </c>
      <c r="T195" s="34">
        <v>20</v>
      </c>
      <c r="U195" s="34">
        <v>3338</v>
      </c>
      <c r="V195" s="34">
        <v>17</v>
      </c>
      <c r="W195" s="34">
        <v>3354</v>
      </c>
      <c r="X195" s="34">
        <v>16</v>
      </c>
      <c r="Y195" s="34">
        <v>3371</v>
      </c>
      <c r="Z195" s="34">
        <v>17</v>
      </c>
      <c r="AA195" s="34">
        <v>3388</v>
      </c>
      <c r="AB195" s="34">
        <v>17</v>
      </c>
      <c r="AC195" s="34">
        <v>17</v>
      </c>
      <c r="AD195" s="34">
        <v>0</v>
      </c>
      <c r="AE195" s="34">
        <v>0</v>
      </c>
      <c r="AG195" s="34">
        <v>3</v>
      </c>
      <c r="AH195" s="34">
        <v>0</v>
      </c>
      <c r="AI195" s="34">
        <v>20</v>
      </c>
    </row>
    <row r="196" spans="1:35" ht="15.75" customHeight="1">
      <c r="A196" s="34">
        <v>198</v>
      </c>
      <c r="B196" s="34" t="s">
        <v>272</v>
      </c>
      <c r="C196" s="34" t="s">
        <v>267</v>
      </c>
      <c r="D196" s="34">
        <v>7</v>
      </c>
      <c r="E196" s="34">
        <v>1743</v>
      </c>
      <c r="F196" s="34">
        <v>10</v>
      </c>
      <c r="G196" s="34">
        <v>1753</v>
      </c>
      <c r="H196" s="34">
        <v>1</v>
      </c>
      <c r="I196" s="34">
        <v>1754</v>
      </c>
      <c r="J196" s="34">
        <v>5</v>
      </c>
      <c r="K196" s="34">
        <v>1759</v>
      </c>
      <c r="L196" s="34">
        <v>14</v>
      </c>
      <c r="M196" s="34">
        <v>1773</v>
      </c>
      <c r="N196" s="34">
        <v>21</v>
      </c>
      <c r="O196" s="34">
        <v>1794</v>
      </c>
      <c r="P196" s="34">
        <v>17</v>
      </c>
      <c r="Q196" s="34">
        <v>1811</v>
      </c>
      <c r="R196" s="34">
        <v>17</v>
      </c>
      <c r="S196" s="34">
        <v>1832</v>
      </c>
      <c r="T196" s="34">
        <v>21</v>
      </c>
      <c r="U196" s="34">
        <v>1846</v>
      </c>
      <c r="V196" s="34">
        <v>14</v>
      </c>
      <c r="W196" s="34">
        <v>1858</v>
      </c>
      <c r="X196" s="34">
        <v>12</v>
      </c>
      <c r="Y196" s="34">
        <v>1867</v>
      </c>
      <c r="Z196" s="34">
        <v>9</v>
      </c>
      <c r="AA196" s="34">
        <v>1878</v>
      </c>
      <c r="AB196" s="34">
        <v>11</v>
      </c>
      <c r="AC196" s="34">
        <v>11</v>
      </c>
      <c r="AD196" s="34">
        <v>0</v>
      </c>
      <c r="AE196" s="34">
        <v>0</v>
      </c>
      <c r="AG196" s="34">
        <v>3</v>
      </c>
      <c r="AH196" s="34">
        <v>0</v>
      </c>
      <c r="AI196" s="34">
        <v>14</v>
      </c>
    </row>
    <row r="197" spans="1:35" ht="15.75" customHeight="1">
      <c r="A197" s="34">
        <v>199</v>
      </c>
      <c r="B197" s="34" t="s">
        <v>273</v>
      </c>
      <c r="C197" s="34" t="s">
        <v>267</v>
      </c>
      <c r="D197" s="34">
        <v>8</v>
      </c>
      <c r="E197" s="34">
        <v>1167</v>
      </c>
      <c r="F197" s="34">
        <v>6</v>
      </c>
      <c r="G197" s="34">
        <v>1173</v>
      </c>
      <c r="H197" s="34">
        <v>8</v>
      </c>
      <c r="I197" s="34">
        <v>1181</v>
      </c>
      <c r="J197" s="34">
        <v>4</v>
      </c>
      <c r="K197" s="34">
        <v>1185</v>
      </c>
      <c r="L197" s="34">
        <v>4</v>
      </c>
      <c r="M197" s="34">
        <v>1189</v>
      </c>
      <c r="N197" s="34">
        <v>2</v>
      </c>
      <c r="O197" s="34">
        <v>1191</v>
      </c>
      <c r="P197" s="34">
        <v>2</v>
      </c>
      <c r="Q197" s="34">
        <v>1193</v>
      </c>
      <c r="R197" s="34">
        <v>2</v>
      </c>
      <c r="S197" s="34">
        <v>1194</v>
      </c>
      <c r="T197" s="34">
        <v>1</v>
      </c>
      <c r="U197" s="34">
        <v>1196</v>
      </c>
      <c r="V197" s="34">
        <v>2</v>
      </c>
      <c r="W197" s="34">
        <v>1199</v>
      </c>
      <c r="X197" s="34">
        <v>3</v>
      </c>
      <c r="Y197" s="34">
        <v>1205</v>
      </c>
      <c r="Z197" s="34">
        <v>6</v>
      </c>
      <c r="AA197" s="34">
        <v>1210</v>
      </c>
      <c r="AB197" s="34">
        <v>5</v>
      </c>
      <c r="AC197" s="34">
        <v>5</v>
      </c>
      <c r="AD197" s="34">
        <v>0</v>
      </c>
      <c r="AE197" s="34">
        <v>0</v>
      </c>
      <c r="AG197" s="34">
        <v>3</v>
      </c>
      <c r="AH197" s="34">
        <v>0</v>
      </c>
      <c r="AI197" s="34">
        <v>8</v>
      </c>
    </row>
    <row r="198" spans="1:35" ht="15.75" customHeight="1">
      <c r="A198" s="34">
        <v>200</v>
      </c>
      <c r="B198" s="34" t="s">
        <v>274</v>
      </c>
      <c r="C198" s="34" t="s">
        <v>267</v>
      </c>
      <c r="D198" s="34">
        <v>9</v>
      </c>
      <c r="E198" s="34">
        <v>1403</v>
      </c>
      <c r="F198" s="34">
        <v>10</v>
      </c>
      <c r="G198" s="34">
        <v>1413</v>
      </c>
      <c r="H198" s="34">
        <v>16</v>
      </c>
      <c r="I198" s="34">
        <v>1429</v>
      </c>
      <c r="J198" s="34">
        <v>12</v>
      </c>
      <c r="K198" s="34">
        <v>1441</v>
      </c>
      <c r="L198" s="34">
        <v>12</v>
      </c>
      <c r="M198" s="34">
        <v>1453</v>
      </c>
      <c r="N198" s="34">
        <v>10</v>
      </c>
      <c r="O198" s="34">
        <v>1463</v>
      </c>
      <c r="P198" s="34">
        <v>8</v>
      </c>
      <c r="Q198" s="34">
        <v>1471</v>
      </c>
      <c r="R198" s="34">
        <v>8</v>
      </c>
      <c r="S198" s="34">
        <v>1479</v>
      </c>
      <c r="T198" s="34">
        <v>8</v>
      </c>
      <c r="U198" s="34">
        <v>1485</v>
      </c>
      <c r="V198" s="34">
        <v>6</v>
      </c>
      <c r="W198" s="34">
        <v>1491</v>
      </c>
      <c r="X198" s="34">
        <v>6</v>
      </c>
      <c r="Y198" s="34">
        <v>1499</v>
      </c>
      <c r="Z198" s="34">
        <v>8</v>
      </c>
      <c r="AA198" s="34">
        <v>1508</v>
      </c>
      <c r="AB198" s="34">
        <v>9</v>
      </c>
      <c r="AC198" s="34">
        <v>9</v>
      </c>
      <c r="AD198" s="34">
        <v>0</v>
      </c>
      <c r="AE198" s="34">
        <v>0</v>
      </c>
      <c r="AG198" s="34">
        <v>3</v>
      </c>
      <c r="AH198" s="34">
        <v>0</v>
      </c>
      <c r="AI198" s="34">
        <v>12</v>
      </c>
    </row>
    <row r="199" spans="1:35" ht="15.75" customHeight="1">
      <c r="A199" s="34">
        <v>201</v>
      </c>
      <c r="B199" s="34" t="s">
        <v>275</v>
      </c>
      <c r="C199" s="34" t="s">
        <v>267</v>
      </c>
      <c r="D199" s="34">
        <v>10</v>
      </c>
      <c r="E199" s="34">
        <v>2366</v>
      </c>
      <c r="F199" s="34">
        <v>10</v>
      </c>
      <c r="G199" s="34">
        <v>2376</v>
      </c>
      <c r="H199" s="34">
        <v>14</v>
      </c>
      <c r="I199" s="34">
        <v>2390</v>
      </c>
      <c r="J199" s="34">
        <v>11</v>
      </c>
      <c r="K199" s="34">
        <v>2401</v>
      </c>
      <c r="L199" s="34">
        <v>16</v>
      </c>
      <c r="M199" s="34">
        <v>2417</v>
      </c>
      <c r="N199" s="34">
        <v>10</v>
      </c>
      <c r="O199" s="34">
        <v>2427</v>
      </c>
      <c r="P199" s="34">
        <v>10</v>
      </c>
      <c r="Q199" s="34">
        <v>2437</v>
      </c>
      <c r="R199" s="34">
        <v>10</v>
      </c>
      <c r="S199" s="34">
        <v>2445</v>
      </c>
      <c r="T199" s="34">
        <v>8</v>
      </c>
      <c r="U199" s="34">
        <v>2453</v>
      </c>
      <c r="V199" s="34">
        <v>8</v>
      </c>
      <c r="W199" s="34">
        <v>2457</v>
      </c>
      <c r="X199" s="34">
        <v>4</v>
      </c>
      <c r="Y199" s="34">
        <v>2462</v>
      </c>
      <c r="Z199" s="34">
        <v>5</v>
      </c>
      <c r="AA199" s="34">
        <v>2469</v>
      </c>
      <c r="AB199" s="34">
        <v>7</v>
      </c>
      <c r="AC199" s="34">
        <v>7</v>
      </c>
      <c r="AD199" s="34">
        <v>0</v>
      </c>
      <c r="AE199" s="34">
        <v>0</v>
      </c>
      <c r="AG199" s="34">
        <v>3</v>
      </c>
      <c r="AH199" s="34">
        <v>0</v>
      </c>
      <c r="AI199" s="34">
        <v>10</v>
      </c>
    </row>
    <row r="200" spans="1:35" ht="15.75" customHeight="1">
      <c r="A200" s="34">
        <v>202</v>
      </c>
      <c r="B200" s="34" t="s">
        <v>276</v>
      </c>
      <c r="C200" s="34" t="s">
        <v>267</v>
      </c>
      <c r="D200" s="34">
        <v>11</v>
      </c>
      <c r="E200" s="34">
        <v>662</v>
      </c>
      <c r="F200" s="34">
        <v>20</v>
      </c>
      <c r="G200" s="34">
        <v>682</v>
      </c>
      <c r="H200" s="34">
        <v>21</v>
      </c>
      <c r="I200" s="34">
        <v>703</v>
      </c>
      <c r="J200" s="34">
        <v>18</v>
      </c>
      <c r="K200" s="34">
        <v>721</v>
      </c>
      <c r="L200" s="34">
        <v>18</v>
      </c>
      <c r="M200" s="34">
        <v>739</v>
      </c>
      <c r="N200" s="34">
        <v>17</v>
      </c>
      <c r="O200" s="34">
        <v>756</v>
      </c>
      <c r="P200" s="34">
        <v>15</v>
      </c>
      <c r="Q200" s="34">
        <v>771</v>
      </c>
      <c r="R200" s="34">
        <v>15</v>
      </c>
      <c r="S200" s="34">
        <v>784</v>
      </c>
      <c r="T200" s="34">
        <v>13</v>
      </c>
      <c r="U200" s="34">
        <v>797</v>
      </c>
      <c r="V200" s="34">
        <v>13</v>
      </c>
      <c r="W200" s="34">
        <v>810</v>
      </c>
      <c r="X200" s="34">
        <v>13</v>
      </c>
      <c r="Y200" s="34">
        <v>822</v>
      </c>
      <c r="Z200" s="34">
        <v>12</v>
      </c>
      <c r="AA200" s="34">
        <v>836</v>
      </c>
      <c r="AB200" s="34">
        <v>14</v>
      </c>
      <c r="AC200" s="34">
        <v>14</v>
      </c>
      <c r="AD200" s="34">
        <v>15</v>
      </c>
      <c r="AE200" s="34">
        <v>0</v>
      </c>
      <c r="AG200" s="34">
        <v>3</v>
      </c>
      <c r="AH200" s="34">
        <v>0</v>
      </c>
      <c r="AI200" s="34">
        <v>32</v>
      </c>
    </row>
    <row r="201" spans="1:35" ht="15.75" customHeight="1">
      <c r="A201" s="34">
        <v>203</v>
      </c>
      <c r="B201" s="34" t="s">
        <v>277</v>
      </c>
      <c r="C201" s="34" t="s">
        <v>267</v>
      </c>
      <c r="D201" s="34">
        <v>12</v>
      </c>
      <c r="E201" s="34">
        <v>4239</v>
      </c>
      <c r="F201" s="34">
        <v>45</v>
      </c>
      <c r="G201" s="34">
        <v>4284</v>
      </c>
      <c r="H201" s="34">
        <v>40</v>
      </c>
      <c r="I201" s="34">
        <v>4324</v>
      </c>
      <c r="J201" s="34">
        <v>35</v>
      </c>
      <c r="K201" s="34">
        <v>4359</v>
      </c>
      <c r="L201" s="34">
        <v>34</v>
      </c>
      <c r="M201" s="34">
        <v>4393</v>
      </c>
      <c r="N201" s="34">
        <v>31</v>
      </c>
      <c r="O201" s="34">
        <v>4424</v>
      </c>
      <c r="P201" s="34">
        <v>26</v>
      </c>
      <c r="Q201" s="34">
        <v>4450</v>
      </c>
      <c r="R201" s="34">
        <v>26</v>
      </c>
      <c r="S201" s="34">
        <v>0</v>
      </c>
      <c r="T201" s="34">
        <v>25</v>
      </c>
      <c r="U201" s="34">
        <v>22</v>
      </c>
      <c r="V201" s="34">
        <v>22</v>
      </c>
      <c r="W201" s="34">
        <v>50</v>
      </c>
      <c r="X201" s="34">
        <v>28</v>
      </c>
      <c r="Y201" s="34">
        <v>83</v>
      </c>
      <c r="Z201" s="34">
        <v>33</v>
      </c>
      <c r="AA201" s="34">
        <v>118</v>
      </c>
      <c r="AB201" s="34">
        <v>35</v>
      </c>
      <c r="AC201" s="34">
        <v>35</v>
      </c>
      <c r="AD201" s="34">
        <v>36</v>
      </c>
      <c r="AE201" s="34">
        <v>0</v>
      </c>
      <c r="AG201" s="34">
        <v>3</v>
      </c>
      <c r="AH201" s="34">
        <v>0</v>
      </c>
      <c r="AI201" s="34">
        <v>74</v>
      </c>
    </row>
    <row r="202" spans="1:35" ht="15.75" customHeight="1">
      <c r="A202" s="34">
        <v>204</v>
      </c>
      <c r="B202" s="34" t="s">
        <v>278</v>
      </c>
      <c r="C202" s="34" t="s">
        <v>267</v>
      </c>
      <c r="D202" s="34">
        <v>13</v>
      </c>
      <c r="E202" s="34">
        <v>1085</v>
      </c>
      <c r="F202" s="34">
        <v>14</v>
      </c>
      <c r="G202" s="34">
        <v>1099</v>
      </c>
      <c r="H202" s="34">
        <v>15</v>
      </c>
      <c r="I202" s="34">
        <v>1114</v>
      </c>
      <c r="J202" s="34">
        <v>12</v>
      </c>
      <c r="K202" s="34">
        <v>1126</v>
      </c>
      <c r="L202" s="34">
        <v>7</v>
      </c>
      <c r="M202" s="34">
        <v>1133</v>
      </c>
      <c r="N202" s="34">
        <v>5</v>
      </c>
      <c r="O202" s="34">
        <v>1138</v>
      </c>
      <c r="P202" s="34">
        <v>8</v>
      </c>
      <c r="Q202" s="34">
        <v>1146</v>
      </c>
      <c r="R202" s="34">
        <v>8</v>
      </c>
      <c r="S202" s="34">
        <v>1154</v>
      </c>
      <c r="T202" s="34">
        <v>8</v>
      </c>
      <c r="U202" s="34">
        <v>1162</v>
      </c>
      <c r="V202" s="34">
        <v>8</v>
      </c>
      <c r="W202" s="34">
        <v>1168</v>
      </c>
      <c r="X202" s="34">
        <v>6</v>
      </c>
      <c r="Y202" s="34">
        <v>1176</v>
      </c>
      <c r="Z202" s="34">
        <v>8</v>
      </c>
      <c r="AA202" s="34">
        <v>1184</v>
      </c>
      <c r="AB202" s="34">
        <v>8</v>
      </c>
      <c r="AC202" s="34">
        <v>8</v>
      </c>
      <c r="AD202" s="34">
        <v>0</v>
      </c>
      <c r="AE202" s="34">
        <v>0</v>
      </c>
      <c r="AG202" s="34">
        <v>3</v>
      </c>
      <c r="AH202" s="34">
        <v>0</v>
      </c>
      <c r="AI202" s="34">
        <v>11</v>
      </c>
    </row>
    <row r="203" spans="1:35" ht="15.75" customHeight="1">
      <c r="A203" s="34">
        <v>205</v>
      </c>
      <c r="B203" s="34" t="s">
        <v>279</v>
      </c>
      <c r="C203" s="34" t="s">
        <v>267</v>
      </c>
      <c r="D203" s="34">
        <v>14</v>
      </c>
      <c r="E203" s="34">
        <v>829</v>
      </c>
      <c r="F203" s="34">
        <v>22</v>
      </c>
      <c r="G203" s="34">
        <v>851</v>
      </c>
      <c r="H203" s="34">
        <v>17</v>
      </c>
      <c r="I203" s="34">
        <v>868</v>
      </c>
      <c r="J203" s="34">
        <v>18</v>
      </c>
      <c r="K203" s="34">
        <v>886</v>
      </c>
      <c r="L203" s="34">
        <v>29</v>
      </c>
      <c r="M203" s="34">
        <v>915</v>
      </c>
      <c r="N203" s="34">
        <v>12</v>
      </c>
      <c r="O203" s="34">
        <v>927</v>
      </c>
      <c r="P203" s="34">
        <v>18</v>
      </c>
      <c r="Q203" s="34">
        <v>945</v>
      </c>
      <c r="R203" s="34">
        <v>18</v>
      </c>
      <c r="S203" s="34">
        <v>963</v>
      </c>
      <c r="T203" s="34">
        <v>18</v>
      </c>
      <c r="U203" s="34">
        <v>983</v>
      </c>
      <c r="V203" s="34">
        <v>20</v>
      </c>
      <c r="W203" s="34">
        <v>1033</v>
      </c>
      <c r="X203" s="34">
        <v>50</v>
      </c>
      <c r="Y203" s="34">
        <v>0</v>
      </c>
      <c r="Z203" s="34">
        <v>0</v>
      </c>
      <c r="AA203" s="34">
        <v>19</v>
      </c>
      <c r="AB203" s="34">
        <v>19</v>
      </c>
      <c r="AC203" s="34">
        <v>19</v>
      </c>
      <c r="AD203" s="34">
        <v>0</v>
      </c>
      <c r="AE203" s="34">
        <v>0</v>
      </c>
      <c r="AF203" s="34">
        <v>65</v>
      </c>
      <c r="AG203" s="34">
        <v>3</v>
      </c>
      <c r="AH203" s="34">
        <v>0</v>
      </c>
      <c r="AI203" s="34">
        <v>87</v>
      </c>
    </row>
    <row r="204" spans="1:35" ht="15.75" customHeight="1">
      <c r="A204" s="34">
        <v>206</v>
      </c>
      <c r="B204" s="34" t="s">
        <v>280</v>
      </c>
      <c r="C204" s="34" t="s">
        <v>267</v>
      </c>
      <c r="D204" s="34">
        <v>15</v>
      </c>
      <c r="E204" s="34">
        <v>1661</v>
      </c>
      <c r="F204" s="34">
        <v>18</v>
      </c>
      <c r="G204" s="34">
        <v>1679</v>
      </c>
      <c r="H204" s="34">
        <v>25</v>
      </c>
      <c r="I204" s="34">
        <v>1704</v>
      </c>
      <c r="J204" s="34">
        <v>22</v>
      </c>
      <c r="K204" s="34">
        <v>1726</v>
      </c>
      <c r="L204" s="34">
        <v>18</v>
      </c>
      <c r="M204" s="34">
        <v>1744</v>
      </c>
      <c r="N204" s="34">
        <v>16</v>
      </c>
      <c r="O204" s="34">
        <v>1760</v>
      </c>
      <c r="P204" s="34">
        <v>13</v>
      </c>
      <c r="Q204" s="34">
        <v>1773</v>
      </c>
      <c r="R204" s="34">
        <v>13</v>
      </c>
      <c r="S204" s="34">
        <v>0</v>
      </c>
      <c r="T204" s="34">
        <v>27</v>
      </c>
      <c r="U204" s="34">
        <v>15</v>
      </c>
      <c r="V204" s="34">
        <v>15</v>
      </c>
      <c r="W204" s="34">
        <v>35</v>
      </c>
      <c r="X204" s="34">
        <v>20</v>
      </c>
      <c r="Y204" s="34">
        <v>48</v>
      </c>
      <c r="Z204" s="34">
        <v>13</v>
      </c>
      <c r="AA204" s="34">
        <v>68</v>
      </c>
      <c r="AB204" s="34">
        <v>20</v>
      </c>
      <c r="AC204" s="34">
        <v>20</v>
      </c>
      <c r="AD204" s="34">
        <v>0</v>
      </c>
      <c r="AE204" s="34">
        <v>0</v>
      </c>
      <c r="AG204" s="34">
        <v>3</v>
      </c>
      <c r="AH204" s="34">
        <v>0</v>
      </c>
      <c r="AI204" s="34">
        <v>23</v>
      </c>
    </row>
    <row r="205" spans="1:35" ht="15.75" customHeight="1">
      <c r="A205" s="34">
        <v>207</v>
      </c>
      <c r="B205" s="34" t="s">
        <v>282</v>
      </c>
      <c r="C205" s="34" t="s">
        <v>267</v>
      </c>
      <c r="D205" s="34">
        <v>17</v>
      </c>
      <c r="E205" s="34">
        <v>2033</v>
      </c>
      <c r="F205" s="34">
        <v>11</v>
      </c>
      <c r="G205" s="34">
        <v>2044</v>
      </c>
      <c r="H205" s="34">
        <v>12</v>
      </c>
      <c r="I205" s="34">
        <v>2056</v>
      </c>
      <c r="J205" s="34">
        <v>11</v>
      </c>
      <c r="K205" s="34">
        <v>2067</v>
      </c>
      <c r="L205" s="34">
        <v>12</v>
      </c>
      <c r="M205" s="34">
        <v>2079</v>
      </c>
      <c r="N205" s="34">
        <v>11</v>
      </c>
      <c r="O205" s="34">
        <v>2090</v>
      </c>
      <c r="P205" s="34">
        <v>10</v>
      </c>
      <c r="Q205" s="34">
        <v>2100</v>
      </c>
      <c r="R205" s="34">
        <v>10</v>
      </c>
      <c r="S205" s="34">
        <v>2109</v>
      </c>
      <c r="T205" s="34">
        <v>9</v>
      </c>
      <c r="U205" s="34">
        <v>2118</v>
      </c>
      <c r="V205" s="34">
        <v>9</v>
      </c>
      <c r="W205" s="34">
        <v>2129</v>
      </c>
      <c r="X205" s="34">
        <v>11</v>
      </c>
      <c r="Y205" s="34">
        <v>2141</v>
      </c>
      <c r="Z205" s="34">
        <v>12</v>
      </c>
      <c r="AA205" s="34">
        <v>2152</v>
      </c>
      <c r="AB205" s="34">
        <v>11</v>
      </c>
      <c r="AC205" s="34">
        <v>11</v>
      </c>
      <c r="AD205" s="34">
        <v>0</v>
      </c>
      <c r="AE205" s="34">
        <v>0</v>
      </c>
      <c r="AG205" s="34">
        <v>3</v>
      </c>
      <c r="AH205" s="34">
        <v>0</v>
      </c>
      <c r="AI205" s="34">
        <v>14</v>
      </c>
    </row>
    <row r="206" spans="1:35" ht="15.75" customHeight="1">
      <c r="A206" s="34">
        <v>208</v>
      </c>
      <c r="B206" s="34" t="s">
        <v>283</v>
      </c>
      <c r="C206" s="34" t="s">
        <v>284</v>
      </c>
      <c r="D206" s="34">
        <v>1</v>
      </c>
      <c r="E206" s="34">
        <v>2499</v>
      </c>
      <c r="F206" s="34">
        <v>11</v>
      </c>
      <c r="G206" s="34">
        <v>2510</v>
      </c>
      <c r="H206" s="34">
        <v>8</v>
      </c>
      <c r="I206" s="34">
        <v>2518</v>
      </c>
      <c r="J206" s="34">
        <v>10</v>
      </c>
      <c r="K206" s="34">
        <v>2528</v>
      </c>
      <c r="L206" s="34">
        <v>8</v>
      </c>
      <c r="M206" s="34">
        <v>2536</v>
      </c>
      <c r="N206" s="34">
        <v>8</v>
      </c>
      <c r="O206" s="34">
        <v>2544</v>
      </c>
      <c r="P206" s="34">
        <v>7</v>
      </c>
      <c r="Q206" s="34">
        <v>2551</v>
      </c>
      <c r="R206" s="34">
        <v>7</v>
      </c>
      <c r="S206" s="34">
        <v>2558</v>
      </c>
      <c r="T206" s="34">
        <v>7</v>
      </c>
      <c r="U206" s="34">
        <v>2563</v>
      </c>
      <c r="V206" s="34">
        <v>5</v>
      </c>
      <c r="W206" s="34">
        <v>2570</v>
      </c>
      <c r="X206" s="34">
        <v>7</v>
      </c>
      <c r="Y206" s="34">
        <v>2581</v>
      </c>
      <c r="Z206" s="34">
        <v>11</v>
      </c>
      <c r="AA206" s="34">
        <v>2590</v>
      </c>
      <c r="AB206" s="34">
        <v>9</v>
      </c>
      <c r="AC206" s="34">
        <v>9</v>
      </c>
      <c r="AD206" s="34">
        <v>0</v>
      </c>
      <c r="AE206" s="34">
        <v>0</v>
      </c>
      <c r="AG206" s="34">
        <v>3</v>
      </c>
      <c r="AH206" s="34">
        <v>0</v>
      </c>
      <c r="AI206" s="34">
        <v>12</v>
      </c>
    </row>
    <row r="207" spans="1:35" ht="15.75" customHeight="1">
      <c r="A207" s="34">
        <v>209</v>
      </c>
      <c r="B207" s="34" t="s">
        <v>285</v>
      </c>
      <c r="C207" s="34" t="s">
        <v>284</v>
      </c>
      <c r="D207" s="34">
        <v>2</v>
      </c>
      <c r="E207" s="34">
        <v>3774</v>
      </c>
      <c r="F207" s="34">
        <v>22</v>
      </c>
      <c r="G207" s="34">
        <v>3796</v>
      </c>
      <c r="H207" s="34">
        <v>26</v>
      </c>
      <c r="I207" s="34">
        <v>3822</v>
      </c>
      <c r="J207" s="34">
        <v>27</v>
      </c>
      <c r="K207" s="34">
        <v>3849</v>
      </c>
      <c r="L207" s="34">
        <v>23</v>
      </c>
      <c r="M207" s="34">
        <v>3872</v>
      </c>
      <c r="N207" s="34">
        <v>24</v>
      </c>
      <c r="O207" s="34">
        <v>3896</v>
      </c>
      <c r="P207" s="34">
        <v>22</v>
      </c>
      <c r="Q207" s="34">
        <v>3918</v>
      </c>
      <c r="R207" s="34">
        <v>22</v>
      </c>
      <c r="S207" s="34">
        <v>3937</v>
      </c>
      <c r="T207" s="34">
        <v>19</v>
      </c>
      <c r="U207" s="34">
        <v>3959</v>
      </c>
      <c r="V207" s="34">
        <v>22</v>
      </c>
      <c r="W207" s="34">
        <v>3979</v>
      </c>
      <c r="X207" s="34">
        <v>20</v>
      </c>
      <c r="Y207" s="34">
        <v>3996</v>
      </c>
      <c r="Z207" s="34">
        <v>17</v>
      </c>
      <c r="AA207" s="34">
        <v>4014</v>
      </c>
      <c r="AB207" s="34">
        <v>18</v>
      </c>
      <c r="AC207" s="34">
        <v>18</v>
      </c>
      <c r="AD207" s="34">
        <v>0</v>
      </c>
      <c r="AE207" s="34">
        <v>0</v>
      </c>
      <c r="AG207" s="34">
        <v>3</v>
      </c>
      <c r="AH207" s="34">
        <v>0</v>
      </c>
      <c r="AI207" s="34">
        <v>21</v>
      </c>
    </row>
    <row r="208" spans="1:35" ht="15.75" customHeight="1">
      <c r="A208" s="34">
        <v>210</v>
      </c>
      <c r="B208" s="34" t="s">
        <v>286</v>
      </c>
      <c r="C208" s="34" t="s">
        <v>284</v>
      </c>
      <c r="D208" s="34">
        <v>3</v>
      </c>
      <c r="E208" s="34">
        <v>2835</v>
      </c>
      <c r="F208" s="34">
        <v>23</v>
      </c>
      <c r="G208" s="34">
        <v>2858</v>
      </c>
      <c r="H208" s="34">
        <v>22</v>
      </c>
      <c r="I208" s="34">
        <v>2880</v>
      </c>
      <c r="J208" s="34">
        <v>11</v>
      </c>
      <c r="K208" s="34">
        <v>2891</v>
      </c>
      <c r="L208" s="34">
        <v>10</v>
      </c>
      <c r="M208" s="34">
        <v>2901</v>
      </c>
      <c r="N208" s="34">
        <v>8</v>
      </c>
      <c r="O208" s="34">
        <v>2909</v>
      </c>
      <c r="P208" s="34">
        <v>11</v>
      </c>
      <c r="Q208" s="34">
        <v>2920</v>
      </c>
      <c r="R208" s="34">
        <v>11</v>
      </c>
      <c r="S208" s="34">
        <v>2927</v>
      </c>
      <c r="T208" s="34">
        <v>7</v>
      </c>
      <c r="U208" s="34">
        <v>2943</v>
      </c>
      <c r="V208" s="34">
        <v>16</v>
      </c>
      <c r="W208" s="34">
        <v>2953</v>
      </c>
      <c r="X208" s="34">
        <v>10</v>
      </c>
      <c r="Y208" s="34">
        <v>2975</v>
      </c>
      <c r="Z208" s="34">
        <v>22</v>
      </c>
      <c r="AA208" s="34">
        <v>2998</v>
      </c>
      <c r="AB208" s="34">
        <v>23</v>
      </c>
      <c r="AC208" s="34">
        <v>23</v>
      </c>
      <c r="AD208" s="34">
        <v>0</v>
      </c>
      <c r="AE208" s="34">
        <v>0</v>
      </c>
      <c r="AG208" s="34">
        <v>3</v>
      </c>
      <c r="AH208" s="34">
        <v>20</v>
      </c>
      <c r="AI208" s="34">
        <v>46</v>
      </c>
    </row>
    <row r="209" spans="1:35" ht="15.75" customHeight="1">
      <c r="A209" s="34">
        <v>211</v>
      </c>
      <c r="B209" s="34" t="s">
        <v>287</v>
      </c>
      <c r="C209" s="34" t="s">
        <v>284</v>
      </c>
      <c r="D209" s="34">
        <v>4</v>
      </c>
      <c r="E209" s="34">
        <v>2273</v>
      </c>
      <c r="F209" s="34">
        <v>12</v>
      </c>
      <c r="G209" s="34">
        <v>2285</v>
      </c>
      <c r="H209" s="34">
        <v>12</v>
      </c>
      <c r="I209" s="34">
        <v>2297</v>
      </c>
      <c r="J209" s="34">
        <v>14</v>
      </c>
      <c r="K209" s="34">
        <v>2311</v>
      </c>
      <c r="L209" s="34">
        <v>11</v>
      </c>
      <c r="M209" s="34">
        <v>2322</v>
      </c>
      <c r="N209" s="34">
        <v>33</v>
      </c>
      <c r="O209" s="34">
        <v>2335</v>
      </c>
      <c r="P209" s="34">
        <v>9</v>
      </c>
      <c r="Q209" s="34">
        <v>2344</v>
      </c>
      <c r="R209" s="34">
        <v>9</v>
      </c>
      <c r="S209" s="34">
        <v>2353</v>
      </c>
      <c r="T209" s="34">
        <v>9</v>
      </c>
      <c r="U209" s="34">
        <v>2364</v>
      </c>
      <c r="V209" s="34">
        <v>11</v>
      </c>
      <c r="W209" s="34">
        <v>2376</v>
      </c>
      <c r="X209" s="34">
        <v>12</v>
      </c>
      <c r="Y209" s="34">
        <v>2386</v>
      </c>
      <c r="Z209" s="34">
        <v>10</v>
      </c>
      <c r="AA209" s="34">
        <v>2399</v>
      </c>
      <c r="AB209" s="34">
        <v>13</v>
      </c>
      <c r="AC209" s="34">
        <v>13</v>
      </c>
      <c r="AD209" s="34">
        <v>0</v>
      </c>
      <c r="AE209" s="34">
        <v>0</v>
      </c>
      <c r="AG209" s="34">
        <v>3</v>
      </c>
      <c r="AH209" s="34">
        <v>0</v>
      </c>
      <c r="AI209" s="34">
        <v>16</v>
      </c>
    </row>
    <row r="210" spans="1:35" ht="15.75" customHeight="1">
      <c r="A210" s="34">
        <v>212</v>
      </c>
      <c r="B210" s="34" t="s">
        <v>288</v>
      </c>
      <c r="C210" s="34" t="s">
        <v>284</v>
      </c>
      <c r="D210" s="34">
        <v>5</v>
      </c>
      <c r="E210" s="34">
        <v>212</v>
      </c>
      <c r="F210" s="34">
        <v>7</v>
      </c>
      <c r="G210" s="34">
        <v>219</v>
      </c>
      <c r="H210" s="34">
        <v>7</v>
      </c>
      <c r="I210" s="34">
        <v>226</v>
      </c>
      <c r="J210" s="34">
        <v>7</v>
      </c>
      <c r="K210" s="34">
        <v>233</v>
      </c>
      <c r="L210" s="34">
        <v>7</v>
      </c>
      <c r="M210" s="34">
        <v>240</v>
      </c>
      <c r="N210" s="34">
        <v>5</v>
      </c>
      <c r="O210" s="34">
        <v>245</v>
      </c>
      <c r="P210" s="34">
        <v>5</v>
      </c>
      <c r="Q210" s="34">
        <v>250</v>
      </c>
      <c r="R210" s="34">
        <v>5</v>
      </c>
      <c r="S210" s="34">
        <v>252</v>
      </c>
      <c r="T210" s="34">
        <v>2</v>
      </c>
      <c r="U210" s="34">
        <v>256</v>
      </c>
      <c r="V210" s="34">
        <v>4</v>
      </c>
      <c r="W210" s="34">
        <v>261</v>
      </c>
      <c r="X210" s="34">
        <v>5</v>
      </c>
      <c r="Y210" s="34">
        <v>265</v>
      </c>
      <c r="Z210" s="34">
        <v>4</v>
      </c>
      <c r="AA210" s="34">
        <v>270</v>
      </c>
      <c r="AB210" s="34">
        <v>5</v>
      </c>
      <c r="AC210" s="34">
        <v>5</v>
      </c>
      <c r="AD210" s="34">
        <v>0</v>
      </c>
      <c r="AE210" s="34">
        <v>0</v>
      </c>
      <c r="AG210" s="34">
        <v>3</v>
      </c>
      <c r="AH210" s="34">
        <v>0</v>
      </c>
      <c r="AI210" s="34">
        <v>8</v>
      </c>
    </row>
    <row r="211" spans="1:35" ht="15.75" customHeight="1">
      <c r="A211" s="34">
        <v>213</v>
      </c>
      <c r="B211" s="34" t="s">
        <v>289</v>
      </c>
      <c r="C211" s="34" t="s">
        <v>284</v>
      </c>
      <c r="D211" s="34">
        <v>6</v>
      </c>
      <c r="E211" s="34">
        <v>3442</v>
      </c>
      <c r="F211" s="34">
        <v>19</v>
      </c>
      <c r="G211" s="34">
        <v>3461</v>
      </c>
      <c r="H211" s="34">
        <v>11</v>
      </c>
      <c r="I211" s="34">
        <v>3472</v>
      </c>
      <c r="J211" s="34">
        <v>15</v>
      </c>
      <c r="K211" s="34">
        <v>3487</v>
      </c>
      <c r="L211" s="34">
        <v>10</v>
      </c>
      <c r="M211" s="34">
        <v>3497</v>
      </c>
      <c r="N211" s="34">
        <v>10</v>
      </c>
      <c r="O211" s="34">
        <v>3507</v>
      </c>
      <c r="P211" s="34">
        <v>11</v>
      </c>
      <c r="Q211" s="34">
        <v>3518</v>
      </c>
      <c r="R211" s="34">
        <v>11</v>
      </c>
      <c r="S211" s="34">
        <v>3525</v>
      </c>
      <c r="T211" s="34">
        <v>7</v>
      </c>
      <c r="U211" s="34">
        <v>3534</v>
      </c>
      <c r="V211" s="34">
        <v>9</v>
      </c>
      <c r="W211" s="34">
        <v>3545</v>
      </c>
      <c r="X211" s="34">
        <v>11</v>
      </c>
      <c r="Y211" s="34">
        <v>3555</v>
      </c>
      <c r="Z211" s="34">
        <v>10</v>
      </c>
      <c r="AA211" s="34">
        <v>3565</v>
      </c>
      <c r="AB211" s="34">
        <v>10</v>
      </c>
      <c r="AC211" s="34">
        <v>10</v>
      </c>
      <c r="AD211" s="34">
        <v>13</v>
      </c>
      <c r="AE211" s="34">
        <v>0</v>
      </c>
      <c r="AG211" s="34">
        <v>3</v>
      </c>
      <c r="AH211" s="34">
        <v>0</v>
      </c>
      <c r="AI211" s="34">
        <v>26</v>
      </c>
    </row>
    <row r="212" spans="1:35" ht="15.75" customHeight="1">
      <c r="A212" s="34">
        <v>214</v>
      </c>
      <c r="B212" s="34" t="s">
        <v>290</v>
      </c>
      <c r="C212" s="34" t="s">
        <v>284</v>
      </c>
      <c r="D212" s="34">
        <v>7</v>
      </c>
      <c r="E212" s="34">
        <v>2167</v>
      </c>
      <c r="F212" s="34">
        <v>8</v>
      </c>
      <c r="G212" s="34">
        <v>2175</v>
      </c>
      <c r="H212" s="34">
        <v>8</v>
      </c>
      <c r="I212" s="34">
        <v>2183</v>
      </c>
      <c r="J212" s="34">
        <v>7</v>
      </c>
      <c r="K212" s="34">
        <v>2190</v>
      </c>
      <c r="L212" s="34">
        <v>8</v>
      </c>
      <c r="M212" s="34">
        <v>2198</v>
      </c>
      <c r="N212" s="34">
        <v>6</v>
      </c>
      <c r="O212" s="34">
        <v>2204</v>
      </c>
      <c r="P212" s="34">
        <v>5</v>
      </c>
      <c r="Q212" s="34">
        <v>2209</v>
      </c>
      <c r="R212" s="34">
        <v>5</v>
      </c>
      <c r="S212" s="34">
        <v>2209</v>
      </c>
      <c r="T212" s="34">
        <v>0</v>
      </c>
      <c r="U212" s="34">
        <v>2213</v>
      </c>
      <c r="V212" s="34">
        <v>4</v>
      </c>
      <c r="W212" s="34">
        <v>2220</v>
      </c>
      <c r="X212" s="34">
        <v>7</v>
      </c>
      <c r="Y212" s="34">
        <v>2225</v>
      </c>
      <c r="Z212" s="34">
        <v>5</v>
      </c>
      <c r="AA212" s="34">
        <v>2232</v>
      </c>
      <c r="AB212" s="34">
        <v>7</v>
      </c>
      <c r="AC212" s="34">
        <v>7</v>
      </c>
      <c r="AD212" s="34">
        <v>0</v>
      </c>
      <c r="AE212" s="34">
        <v>0</v>
      </c>
      <c r="AG212" s="34">
        <v>3</v>
      </c>
      <c r="AH212" s="34">
        <v>0</v>
      </c>
      <c r="AI212" s="34">
        <v>10</v>
      </c>
    </row>
    <row r="213" spans="1:35" ht="15.75" customHeight="1">
      <c r="A213" s="34">
        <v>215</v>
      </c>
      <c r="B213" s="34" t="s">
        <v>291</v>
      </c>
      <c r="C213" s="34" t="s">
        <v>284</v>
      </c>
      <c r="D213" s="34">
        <v>8</v>
      </c>
      <c r="E213" s="34">
        <v>1989</v>
      </c>
      <c r="F213" s="34">
        <v>32</v>
      </c>
      <c r="G213" s="34">
        <v>2021</v>
      </c>
      <c r="H213" s="34">
        <v>15</v>
      </c>
      <c r="I213" s="34">
        <v>2036</v>
      </c>
      <c r="J213" s="34">
        <v>15</v>
      </c>
      <c r="K213" s="34">
        <v>2051</v>
      </c>
      <c r="L213" s="34">
        <v>10</v>
      </c>
      <c r="M213" s="34">
        <v>2061</v>
      </c>
      <c r="N213" s="34">
        <v>9</v>
      </c>
      <c r="O213" s="34">
        <v>2070</v>
      </c>
      <c r="P213" s="34">
        <v>9</v>
      </c>
      <c r="Q213" s="34">
        <v>2079</v>
      </c>
      <c r="R213" s="34">
        <v>9</v>
      </c>
      <c r="S213" s="34">
        <v>2087</v>
      </c>
      <c r="T213" s="34">
        <v>8</v>
      </c>
      <c r="U213" s="34">
        <v>2098</v>
      </c>
      <c r="V213" s="34">
        <v>11</v>
      </c>
      <c r="W213" s="34">
        <v>2107</v>
      </c>
      <c r="X213" s="34">
        <v>9</v>
      </c>
      <c r="Y213" s="34">
        <v>2122</v>
      </c>
      <c r="Z213" s="34">
        <v>15</v>
      </c>
      <c r="AA213" s="34">
        <v>2136</v>
      </c>
      <c r="AB213" s="34">
        <v>14</v>
      </c>
      <c r="AC213" s="34">
        <v>14</v>
      </c>
      <c r="AD213" s="34">
        <v>0</v>
      </c>
      <c r="AE213" s="34">
        <v>0</v>
      </c>
      <c r="AG213" s="34">
        <v>3</v>
      </c>
      <c r="AH213" s="34">
        <v>0</v>
      </c>
      <c r="AI213" s="34">
        <v>17</v>
      </c>
    </row>
    <row r="214" spans="1:35" ht="15.75" customHeight="1">
      <c r="A214" s="34">
        <v>216</v>
      </c>
      <c r="B214" s="34" t="s">
        <v>292</v>
      </c>
      <c r="C214" s="34" t="s">
        <v>284</v>
      </c>
      <c r="D214" s="34">
        <v>10</v>
      </c>
      <c r="E214" s="34">
        <v>781</v>
      </c>
      <c r="F214" s="34">
        <v>9</v>
      </c>
      <c r="G214" s="34">
        <v>790</v>
      </c>
      <c r="H214" s="34">
        <v>9</v>
      </c>
      <c r="I214" s="34">
        <v>799</v>
      </c>
      <c r="J214" s="34">
        <v>9</v>
      </c>
      <c r="K214" s="34">
        <v>800</v>
      </c>
      <c r="L214" s="34">
        <v>0</v>
      </c>
      <c r="M214" s="34">
        <v>800</v>
      </c>
      <c r="N214" s="34">
        <v>8</v>
      </c>
      <c r="O214" s="34">
        <v>808</v>
      </c>
      <c r="P214" s="34">
        <v>9</v>
      </c>
      <c r="Q214" s="34">
        <v>817</v>
      </c>
      <c r="R214" s="34">
        <v>9</v>
      </c>
      <c r="S214" s="34">
        <v>820</v>
      </c>
      <c r="T214" s="34">
        <v>3</v>
      </c>
      <c r="U214" s="34">
        <v>827</v>
      </c>
      <c r="V214" s="34">
        <v>7</v>
      </c>
      <c r="W214" s="34">
        <v>831</v>
      </c>
      <c r="X214" s="34">
        <v>4</v>
      </c>
      <c r="Y214" s="34">
        <v>842</v>
      </c>
      <c r="Z214" s="34">
        <v>11</v>
      </c>
      <c r="AA214" s="34">
        <v>849</v>
      </c>
      <c r="AB214" s="34">
        <v>7</v>
      </c>
      <c r="AC214" s="34">
        <v>7</v>
      </c>
      <c r="AD214" s="34">
        <v>0</v>
      </c>
      <c r="AE214" s="34">
        <v>0</v>
      </c>
      <c r="AG214" s="34">
        <v>3</v>
      </c>
      <c r="AH214" s="34">
        <v>0</v>
      </c>
      <c r="AI214" s="34">
        <v>10</v>
      </c>
    </row>
    <row r="215" spans="1:35" ht="15.75" customHeight="1">
      <c r="A215" s="34">
        <v>217</v>
      </c>
      <c r="B215" s="34" t="s">
        <v>293</v>
      </c>
      <c r="C215" s="34" t="s">
        <v>284</v>
      </c>
      <c r="D215" s="34">
        <v>11</v>
      </c>
      <c r="E215" s="34">
        <v>1511</v>
      </c>
      <c r="F215" s="34">
        <v>10</v>
      </c>
      <c r="G215" s="34">
        <v>1521</v>
      </c>
      <c r="H215" s="34">
        <v>13</v>
      </c>
      <c r="I215" s="34">
        <v>1534</v>
      </c>
      <c r="J215" s="34">
        <v>11</v>
      </c>
      <c r="K215" s="34">
        <v>1545</v>
      </c>
      <c r="L215" s="34">
        <v>9</v>
      </c>
      <c r="M215" s="34">
        <v>1554</v>
      </c>
      <c r="N215" s="34">
        <v>10</v>
      </c>
      <c r="O215" s="34">
        <v>1564</v>
      </c>
      <c r="P215" s="34">
        <v>10</v>
      </c>
      <c r="Q215" s="34">
        <v>1574</v>
      </c>
      <c r="R215" s="34">
        <v>10</v>
      </c>
      <c r="S215" s="34">
        <v>1581</v>
      </c>
      <c r="T215" s="34">
        <v>7</v>
      </c>
      <c r="U215" s="34">
        <v>1588</v>
      </c>
      <c r="V215" s="34">
        <v>7</v>
      </c>
      <c r="W215" s="34">
        <v>1594</v>
      </c>
      <c r="X215" s="34">
        <v>6</v>
      </c>
      <c r="Y215" s="34">
        <v>1601</v>
      </c>
      <c r="Z215" s="34">
        <v>7</v>
      </c>
      <c r="AA215" s="34">
        <v>1611</v>
      </c>
      <c r="AB215" s="34">
        <v>10</v>
      </c>
      <c r="AC215" s="34">
        <v>10</v>
      </c>
      <c r="AD215" s="34">
        <v>0</v>
      </c>
      <c r="AE215" s="34">
        <v>0</v>
      </c>
      <c r="AG215" s="34">
        <v>3</v>
      </c>
      <c r="AH215" s="34">
        <v>0</v>
      </c>
      <c r="AI215" s="34">
        <v>13</v>
      </c>
    </row>
    <row r="216" spans="1:35" ht="15.75" customHeight="1">
      <c r="A216" s="34">
        <v>218</v>
      </c>
      <c r="B216" s="34" t="s">
        <v>294</v>
      </c>
      <c r="C216" s="34" t="s">
        <v>284</v>
      </c>
      <c r="D216" s="34">
        <v>12</v>
      </c>
      <c r="E216" s="34">
        <v>4254</v>
      </c>
      <c r="F216" s="34">
        <v>32</v>
      </c>
      <c r="G216" s="34">
        <v>4286</v>
      </c>
      <c r="H216" s="34">
        <v>19</v>
      </c>
      <c r="I216" s="34">
        <v>4305</v>
      </c>
      <c r="J216" s="34">
        <v>15</v>
      </c>
      <c r="K216" s="34">
        <v>4320</v>
      </c>
      <c r="L216" s="34">
        <v>16</v>
      </c>
      <c r="M216" s="34">
        <v>4336</v>
      </c>
      <c r="N216" s="34">
        <v>17</v>
      </c>
      <c r="O216" s="34">
        <v>4353</v>
      </c>
      <c r="P216" s="34">
        <v>17</v>
      </c>
      <c r="Q216" s="34">
        <v>4370</v>
      </c>
      <c r="R216" s="34">
        <v>17</v>
      </c>
      <c r="S216" s="34">
        <v>4383</v>
      </c>
      <c r="T216" s="34">
        <v>13</v>
      </c>
      <c r="U216" s="34">
        <v>4401</v>
      </c>
      <c r="V216" s="34">
        <v>18</v>
      </c>
      <c r="W216" s="34">
        <v>4418</v>
      </c>
      <c r="X216" s="34">
        <v>17</v>
      </c>
      <c r="Y216" s="34">
        <v>4435</v>
      </c>
      <c r="Z216" s="34">
        <v>17</v>
      </c>
      <c r="AA216" s="34">
        <v>4453</v>
      </c>
      <c r="AB216" s="34">
        <v>18</v>
      </c>
      <c r="AC216" s="34">
        <v>18</v>
      </c>
      <c r="AD216" s="34">
        <v>0</v>
      </c>
      <c r="AE216" s="34">
        <v>0</v>
      </c>
      <c r="AG216" s="34">
        <v>3</v>
      </c>
      <c r="AH216" s="34">
        <v>0</v>
      </c>
      <c r="AI216" s="34">
        <v>21</v>
      </c>
    </row>
    <row r="217" spans="1:35" ht="15.75" customHeight="1">
      <c r="A217" s="34">
        <v>219</v>
      </c>
      <c r="B217" s="34" t="s">
        <v>295</v>
      </c>
      <c r="C217" s="34" t="s">
        <v>284</v>
      </c>
      <c r="D217" s="34">
        <v>13</v>
      </c>
      <c r="E217" s="34">
        <v>1149</v>
      </c>
      <c r="F217" s="34">
        <v>19</v>
      </c>
      <c r="G217" s="34">
        <v>1168</v>
      </c>
      <c r="H217" s="34">
        <v>12</v>
      </c>
      <c r="I217" s="34">
        <v>1180</v>
      </c>
      <c r="J217" s="34">
        <v>13</v>
      </c>
      <c r="K217" s="34">
        <v>1193</v>
      </c>
      <c r="L217" s="34">
        <v>14</v>
      </c>
      <c r="M217" s="34">
        <v>1207</v>
      </c>
      <c r="N217" s="34">
        <v>10</v>
      </c>
      <c r="O217" s="34">
        <v>1217</v>
      </c>
      <c r="P217" s="34">
        <v>8</v>
      </c>
      <c r="Q217" s="34">
        <v>1225</v>
      </c>
      <c r="R217" s="34">
        <v>8</v>
      </c>
      <c r="S217" s="34">
        <v>1231</v>
      </c>
      <c r="T217" s="34">
        <v>6</v>
      </c>
      <c r="U217" s="34">
        <v>1238</v>
      </c>
      <c r="V217" s="34">
        <v>7</v>
      </c>
      <c r="W217" s="34">
        <v>1249</v>
      </c>
      <c r="X217" s="34">
        <v>11</v>
      </c>
      <c r="Y217" s="34">
        <v>1257</v>
      </c>
      <c r="Z217" s="34">
        <v>8</v>
      </c>
      <c r="AA217" s="34">
        <v>1267</v>
      </c>
      <c r="AB217" s="34">
        <v>10</v>
      </c>
      <c r="AC217" s="34">
        <v>10</v>
      </c>
      <c r="AD217" s="34">
        <v>0</v>
      </c>
      <c r="AE217" s="34">
        <v>0</v>
      </c>
      <c r="AG217" s="34">
        <v>3</v>
      </c>
      <c r="AH217" s="34">
        <v>0</v>
      </c>
      <c r="AI217" s="34">
        <v>13</v>
      </c>
    </row>
    <row r="218" spans="1:35" ht="15.75" customHeight="1">
      <c r="A218" s="34">
        <v>220</v>
      </c>
      <c r="B218" s="34" t="s">
        <v>296</v>
      </c>
      <c r="C218" s="34" t="s">
        <v>284</v>
      </c>
      <c r="D218" s="34">
        <v>14</v>
      </c>
      <c r="E218" s="34">
        <v>3963</v>
      </c>
      <c r="F218" s="34">
        <v>26</v>
      </c>
      <c r="G218" s="34">
        <v>3989</v>
      </c>
      <c r="H218" s="34">
        <v>23</v>
      </c>
      <c r="I218" s="34">
        <v>4012</v>
      </c>
      <c r="J218" s="34">
        <v>26</v>
      </c>
      <c r="K218" s="34">
        <v>4038</v>
      </c>
      <c r="L218" s="34">
        <v>23</v>
      </c>
      <c r="M218" s="34">
        <v>4061</v>
      </c>
      <c r="N218" s="34">
        <v>21</v>
      </c>
      <c r="O218" s="34">
        <v>4082</v>
      </c>
      <c r="P218" s="34">
        <v>21</v>
      </c>
      <c r="Q218" s="34">
        <v>4103</v>
      </c>
      <c r="R218" s="34">
        <v>21</v>
      </c>
      <c r="S218" s="34">
        <v>4120</v>
      </c>
      <c r="T218" s="34">
        <v>17</v>
      </c>
      <c r="U218" s="34">
        <v>4139</v>
      </c>
      <c r="V218" s="34">
        <v>19</v>
      </c>
      <c r="W218" s="34">
        <v>4161</v>
      </c>
      <c r="X218" s="34">
        <v>22</v>
      </c>
      <c r="Y218" s="34">
        <v>4181</v>
      </c>
      <c r="Z218" s="34">
        <v>20</v>
      </c>
      <c r="AA218" s="34">
        <v>4201</v>
      </c>
      <c r="AB218" s="34">
        <v>20</v>
      </c>
      <c r="AC218" s="34">
        <v>20</v>
      </c>
      <c r="AD218" s="34">
        <v>0</v>
      </c>
      <c r="AE218" s="34">
        <v>0</v>
      </c>
      <c r="AG218" s="34">
        <v>3</v>
      </c>
      <c r="AH218" s="34">
        <v>0</v>
      </c>
      <c r="AI218" s="34">
        <v>23</v>
      </c>
    </row>
    <row r="219" spans="1:35" ht="15.75" customHeight="1">
      <c r="A219" s="34">
        <v>221</v>
      </c>
      <c r="B219" s="34" t="s">
        <v>297</v>
      </c>
      <c r="C219" s="34" t="s">
        <v>284</v>
      </c>
      <c r="D219" s="34">
        <v>15</v>
      </c>
      <c r="E219" s="34">
        <v>2175</v>
      </c>
      <c r="F219" s="34">
        <v>11</v>
      </c>
      <c r="G219" s="34">
        <v>2186</v>
      </c>
      <c r="H219" s="34">
        <v>10</v>
      </c>
      <c r="I219" s="34">
        <v>2196</v>
      </c>
      <c r="J219" s="34">
        <v>12</v>
      </c>
      <c r="K219" s="34">
        <v>2208</v>
      </c>
      <c r="L219" s="34">
        <v>10</v>
      </c>
      <c r="M219" s="34">
        <v>2218</v>
      </c>
      <c r="N219" s="34">
        <v>10</v>
      </c>
      <c r="O219" s="34">
        <v>2228</v>
      </c>
      <c r="P219" s="34">
        <v>10</v>
      </c>
      <c r="Q219" s="34">
        <v>2238</v>
      </c>
      <c r="R219" s="34">
        <v>10</v>
      </c>
      <c r="S219" s="34">
        <v>2243</v>
      </c>
      <c r="T219" s="34">
        <v>5</v>
      </c>
      <c r="U219" s="34">
        <v>2251</v>
      </c>
      <c r="V219" s="34">
        <v>8</v>
      </c>
      <c r="W219" s="34">
        <v>2258</v>
      </c>
      <c r="X219" s="34">
        <v>7</v>
      </c>
      <c r="Y219" s="34">
        <v>2266</v>
      </c>
      <c r="Z219" s="34">
        <v>8</v>
      </c>
      <c r="AA219" s="34">
        <v>2275</v>
      </c>
      <c r="AB219" s="34">
        <v>9</v>
      </c>
      <c r="AC219" s="34">
        <v>9</v>
      </c>
      <c r="AD219" s="34">
        <v>0</v>
      </c>
      <c r="AE219" s="34">
        <v>0</v>
      </c>
      <c r="AG219" s="34">
        <v>3</v>
      </c>
      <c r="AH219" s="34">
        <v>0</v>
      </c>
      <c r="AI219" s="34">
        <v>12</v>
      </c>
    </row>
    <row r="220" spans="1:35" ht="15.75" customHeight="1">
      <c r="A220" s="34">
        <v>222</v>
      </c>
      <c r="B220" s="34" t="s">
        <v>298</v>
      </c>
      <c r="C220" s="34" t="s">
        <v>299</v>
      </c>
      <c r="D220" s="34">
        <v>1</v>
      </c>
      <c r="E220" s="34">
        <v>2554</v>
      </c>
      <c r="F220" s="34">
        <v>21</v>
      </c>
      <c r="G220" s="34">
        <v>2575</v>
      </c>
      <c r="H220" s="34">
        <v>30</v>
      </c>
      <c r="I220" s="34">
        <v>2605</v>
      </c>
      <c r="J220" s="34">
        <v>22</v>
      </c>
      <c r="K220" s="34">
        <v>2627</v>
      </c>
      <c r="L220" s="34">
        <v>21</v>
      </c>
      <c r="M220" s="34">
        <v>2648</v>
      </c>
      <c r="N220" s="34">
        <v>24</v>
      </c>
      <c r="O220" s="34">
        <v>2672</v>
      </c>
      <c r="P220" s="34">
        <v>20</v>
      </c>
      <c r="Q220" s="34">
        <v>2692</v>
      </c>
      <c r="R220" s="34">
        <v>20</v>
      </c>
      <c r="S220" s="34">
        <v>2711</v>
      </c>
      <c r="T220" s="34">
        <v>19</v>
      </c>
      <c r="U220" s="34">
        <v>2731</v>
      </c>
      <c r="V220" s="34">
        <v>20</v>
      </c>
      <c r="W220" s="34">
        <v>2750</v>
      </c>
      <c r="X220" s="34">
        <v>19</v>
      </c>
      <c r="Y220" s="34">
        <v>2771</v>
      </c>
      <c r="Z220" s="34">
        <v>21</v>
      </c>
      <c r="AA220" s="34">
        <v>2790</v>
      </c>
      <c r="AB220" s="34">
        <v>19</v>
      </c>
      <c r="AC220" s="34">
        <v>19</v>
      </c>
      <c r="AD220" s="34">
        <v>0</v>
      </c>
      <c r="AE220" s="34">
        <v>0</v>
      </c>
      <c r="AG220" s="34">
        <v>3</v>
      </c>
      <c r="AH220" s="34">
        <v>0</v>
      </c>
      <c r="AI220" s="34">
        <v>22</v>
      </c>
    </row>
    <row r="221" spans="1:35" ht="15.75" customHeight="1">
      <c r="A221" s="34">
        <v>223</v>
      </c>
      <c r="B221" s="34" t="s">
        <v>300</v>
      </c>
      <c r="C221" s="34" t="s">
        <v>299</v>
      </c>
      <c r="D221" s="34">
        <v>2</v>
      </c>
      <c r="E221" s="34">
        <v>2665</v>
      </c>
      <c r="F221" s="34">
        <v>11</v>
      </c>
      <c r="G221" s="34">
        <v>2676</v>
      </c>
      <c r="H221" s="34">
        <v>13</v>
      </c>
      <c r="I221" s="34">
        <v>2689</v>
      </c>
      <c r="J221" s="34">
        <v>14</v>
      </c>
      <c r="K221" s="34">
        <v>2703</v>
      </c>
      <c r="L221" s="34">
        <v>8</v>
      </c>
      <c r="M221" s="34">
        <v>2711</v>
      </c>
      <c r="N221" s="34">
        <v>11</v>
      </c>
      <c r="O221" s="34">
        <v>2722</v>
      </c>
      <c r="P221" s="34">
        <v>8</v>
      </c>
      <c r="Q221" s="34">
        <v>2730</v>
      </c>
      <c r="R221" s="34">
        <v>8</v>
      </c>
      <c r="S221" s="34">
        <v>2911</v>
      </c>
      <c r="T221" s="34">
        <v>181</v>
      </c>
      <c r="U221" s="34">
        <v>2921</v>
      </c>
      <c r="V221" s="34">
        <v>10</v>
      </c>
      <c r="W221" s="34">
        <v>2928</v>
      </c>
      <c r="X221" s="34">
        <v>7</v>
      </c>
      <c r="Y221" s="34">
        <v>2936</v>
      </c>
      <c r="Z221" s="34">
        <v>8</v>
      </c>
      <c r="AA221" s="34">
        <v>2948</v>
      </c>
      <c r="AB221" s="34">
        <v>12</v>
      </c>
      <c r="AC221" s="34">
        <v>12</v>
      </c>
      <c r="AD221" s="34">
        <v>0</v>
      </c>
      <c r="AE221" s="34">
        <v>0</v>
      </c>
      <c r="AG221" s="34">
        <v>3</v>
      </c>
      <c r="AH221" s="34">
        <v>0</v>
      </c>
      <c r="AI221" s="34">
        <v>15</v>
      </c>
    </row>
    <row r="222" spans="1:35" ht="15.75" customHeight="1">
      <c r="A222" s="34">
        <v>224</v>
      </c>
      <c r="B222" s="34" t="s">
        <v>301</v>
      </c>
      <c r="C222" s="34" t="s">
        <v>299</v>
      </c>
      <c r="D222" s="34">
        <v>3</v>
      </c>
      <c r="E222" s="34">
        <v>1111</v>
      </c>
      <c r="F222" s="34">
        <v>6</v>
      </c>
      <c r="G222" s="34">
        <v>1117</v>
      </c>
      <c r="H222" s="34">
        <v>4</v>
      </c>
      <c r="I222" s="34">
        <v>1121</v>
      </c>
      <c r="J222" s="34">
        <v>3</v>
      </c>
      <c r="K222" s="34">
        <v>1124</v>
      </c>
      <c r="L222" s="34">
        <v>4</v>
      </c>
      <c r="M222" s="34">
        <v>1128</v>
      </c>
      <c r="N222" s="34">
        <v>1</v>
      </c>
      <c r="O222" s="34">
        <v>1129</v>
      </c>
      <c r="P222" s="34">
        <v>2</v>
      </c>
      <c r="Q222" s="34">
        <v>1131</v>
      </c>
      <c r="R222" s="34">
        <v>2</v>
      </c>
      <c r="S222" s="34">
        <v>1133</v>
      </c>
      <c r="T222" s="34">
        <v>2</v>
      </c>
      <c r="U222" s="34">
        <v>1135</v>
      </c>
      <c r="V222" s="34">
        <v>2</v>
      </c>
      <c r="W222" s="34">
        <v>1137</v>
      </c>
      <c r="X222" s="34">
        <v>2</v>
      </c>
      <c r="Y222" s="34">
        <v>1139</v>
      </c>
      <c r="Z222" s="34">
        <v>2</v>
      </c>
      <c r="AA222" s="34">
        <v>1142</v>
      </c>
      <c r="AB222" s="34">
        <v>3</v>
      </c>
      <c r="AC222" s="34">
        <v>5</v>
      </c>
      <c r="AD222" s="34">
        <v>0</v>
      </c>
      <c r="AE222" s="34">
        <v>0</v>
      </c>
      <c r="AG222" s="34">
        <v>3</v>
      </c>
      <c r="AH222" s="34">
        <v>0</v>
      </c>
      <c r="AI222" s="34">
        <v>8</v>
      </c>
    </row>
    <row r="223" spans="1:35" ht="15.75" customHeight="1">
      <c r="A223" s="34">
        <v>225</v>
      </c>
      <c r="B223" s="34" t="s">
        <v>303</v>
      </c>
      <c r="C223" s="34" t="s">
        <v>299</v>
      </c>
      <c r="D223" s="34">
        <v>4</v>
      </c>
      <c r="E223" s="34">
        <v>2784</v>
      </c>
      <c r="F223" s="34">
        <v>8</v>
      </c>
      <c r="G223" s="34">
        <v>2792</v>
      </c>
      <c r="H223" s="34">
        <v>9</v>
      </c>
      <c r="I223" s="34">
        <v>2801</v>
      </c>
      <c r="J223" s="34">
        <v>11</v>
      </c>
      <c r="K223" s="34">
        <v>2812</v>
      </c>
      <c r="L223" s="34">
        <v>10</v>
      </c>
      <c r="M223" s="34">
        <v>2822</v>
      </c>
      <c r="N223" s="34">
        <v>9</v>
      </c>
      <c r="O223" s="34">
        <v>2831</v>
      </c>
      <c r="P223" s="34">
        <v>1</v>
      </c>
      <c r="Q223" s="34">
        <v>2832</v>
      </c>
      <c r="R223" s="34">
        <v>1</v>
      </c>
      <c r="S223" s="34">
        <v>2838</v>
      </c>
      <c r="T223" s="34">
        <v>6</v>
      </c>
      <c r="U223" s="34">
        <v>2856</v>
      </c>
      <c r="V223" s="34">
        <v>18</v>
      </c>
      <c r="W223" s="34">
        <v>2862</v>
      </c>
      <c r="X223" s="34">
        <v>6</v>
      </c>
      <c r="Y223" s="34">
        <v>2870</v>
      </c>
      <c r="Z223" s="34">
        <v>8</v>
      </c>
      <c r="AA223" s="34">
        <v>2878</v>
      </c>
      <c r="AB223" s="34">
        <v>8</v>
      </c>
      <c r="AC223" s="34">
        <v>8</v>
      </c>
      <c r="AD223" s="34">
        <v>0</v>
      </c>
      <c r="AE223" s="34">
        <v>0</v>
      </c>
      <c r="AG223" s="34">
        <v>3</v>
      </c>
      <c r="AH223" s="34">
        <v>0</v>
      </c>
      <c r="AI223" s="34">
        <v>11</v>
      </c>
    </row>
    <row r="224" spans="1:35" ht="15.75" customHeight="1">
      <c r="A224" s="34">
        <v>226</v>
      </c>
      <c r="B224" s="34" t="s">
        <v>304</v>
      </c>
      <c r="C224" s="34" t="s">
        <v>299</v>
      </c>
      <c r="D224" s="34">
        <v>5</v>
      </c>
      <c r="E224" s="34">
        <v>1000</v>
      </c>
      <c r="F224" s="34">
        <v>10</v>
      </c>
      <c r="G224" s="34">
        <v>1010</v>
      </c>
      <c r="H224" s="34">
        <v>298</v>
      </c>
      <c r="I224" s="34">
        <v>1308</v>
      </c>
      <c r="J224" s="34">
        <v>0</v>
      </c>
      <c r="K224" s="34">
        <v>0</v>
      </c>
      <c r="L224" s="34">
        <v>12</v>
      </c>
      <c r="M224" s="34">
        <v>12</v>
      </c>
      <c r="N224" s="34">
        <v>13</v>
      </c>
      <c r="O224" s="34">
        <v>25</v>
      </c>
      <c r="P224" s="34">
        <v>11</v>
      </c>
      <c r="Q224" s="34">
        <v>36</v>
      </c>
      <c r="R224" s="34">
        <v>11</v>
      </c>
      <c r="S224" s="34">
        <v>45</v>
      </c>
      <c r="T224" s="34">
        <v>9</v>
      </c>
      <c r="U224" s="34">
        <v>53</v>
      </c>
      <c r="V224" s="34">
        <v>8</v>
      </c>
      <c r="W224" s="34">
        <v>69</v>
      </c>
      <c r="X224" s="34">
        <v>16</v>
      </c>
      <c r="Y224" s="34">
        <v>81</v>
      </c>
      <c r="Z224" s="34">
        <v>12</v>
      </c>
      <c r="AA224" s="34">
        <v>93</v>
      </c>
      <c r="AB224" s="34">
        <v>12</v>
      </c>
      <c r="AC224" s="34">
        <v>12</v>
      </c>
      <c r="AD224" s="34">
        <v>0</v>
      </c>
      <c r="AE224" s="34">
        <v>0</v>
      </c>
      <c r="AG224" s="34">
        <v>3</v>
      </c>
      <c r="AH224" s="34">
        <v>0</v>
      </c>
      <c r="AI224" s="34">
        <v>15</v>
      </c>
    </row>
    <row r="225" spans="1:35" ht="15.75" customHeight="1">
      <c r="A225" s="34">
        <v>227</v>
      </c>
      <c r="B225" s="34" t="s">
        <v>2746</v>
      </c>
      <c r="C225" s="34" t="s">
        <v>299</v>
      </c>
      <c r="D225" s="34">
        <v>6</v>
      </c>
      <c r="E225" s="34">
        <v>3540</v>
      </c>
      <c r="F225" s="34">
        <v>24</v>
      </c>
      <c r="G225" s="34">
        <v>3564</v>
      </c>
      <c r="H225" s="34">
        <v>18</v>
      </c>
      <c r="I225" s="34">
        <v>3582</v>
      </c>
      <c r="J225" s="34">
        <v>20</v>
      </c>
      <c r="K225" s="34">
        <v>3602</v>
      </c>
      <c r="L225" s="34">
        <v>18</v>
      </c>
      <c r="M225" s="34">
        <v>3620</v>
      </c>
      <c r="N225" s="34">
        <v>15</v>
      </c>
      <c r="O225" s="34">
        <v>3635</v>
      </c>
      <c r="P225" s="34">
        <v>15</v>
      </c>
      <c r="Q225" s="34">
        <v>3650</v>
      </c>
      <c r="R225" s="34">
        <v>15</v>
      </c>
      <c r="S225" s="34">
        <v>3662</v>
      </c>
      <c r="T225" s="34">
        <v>12</v>
      </c>
      <c r="U225" s="34">
        <v>3675</v>
      </c>
      <c r="V225" s="34">
        <v>13</v>
      </c>
      <c r="W225" s="34">
        <v>3692</v>
      </c>
      <c r="X225" s="34">
        <v>17</v>
      </c>
      <c r="Y225" s="34">
        <v>3707</v>
      </c>
      <c r="Z225" s="34">
        <v>15</v>
      </c>
      <c r="AA225" s="34">
        <v>3723</v>
      </c>
      <c r="AB225" s="34">
        <v>16</v>
      </c>
      <c r="AC225" s="34">
        <v>16</v>
      </c>
      <c r="AD225" s="34">
        <v>0</v>
      </c>
      <c r="AE225" s="34">
        <v>0</v>
      </c>
      <c r="AG225" s="34">
        <v>3</v>
      </c>
      <c r="AH225" s="34">
        <v>0</v>
      </c>
      <c r="AI225" s="34">
        <v>19</v>
      </c>
    </row>
    <row r="226" spans="1:35" ht="15.75" customHeight="1">
      <c r="A226" s="34">
        <v>228</v>
      </c>
      <c r="B226" s="34" t="s">
        <v>306</v>
      </c>
      <c r="C226" s="34" t="s">
        <v>299</v>
      </c>
      <c r="D226" s="34">
        <v>7</v>
      </c>
      <c r="E226" s="34">
        <v>349</v>
      </c>
      <c r="F226" s="34">
        <v>12</v>
      </c>
      <c r="G226" s="34">
        <v>361</v>
      </c>
      <c r="H226" s="34">
        <v>18</v>
      </c>
      <c r="I226" s="34">
        <v>379</v>
      </c>
      <c r="J226" s="34">
        <v>13</v>
      </c>
      <c r="K226" s="34">
        <v>392</v>
      </c>
      <c r="L226" s="34">
        <v>12</v>
      </c>
      <c r="M226" s="34">
        <v>404</v>
      </c>
      <c r="N226" s="34">
        <v>14</v>
      </c>
      <c r="O226" s="34">
        <v>418</v>
      </c>
      <c r="P226" s="34">
        <v>12</v>
      </c>
      <c r="Q226" s="34">
        <v>430</v>
      </c>
      <c r="R226" s="34">
        <v>12</v>
      </c>
      <c r="S226" s="34">
        <v>440</v>
      </c>
      <c r="T226" s="34">
        <v>10</v>
      </c>
      <c r="U226" s="34">
        <v>452</v>
      </c>
      <c r="V226" s="34">
        <v>12</v>
      </c>
      <c r="W226" s="34">
        <v>462</v>
      </c>
      <c r="X226" s="34">
        <v>10</v>
      </c>
      <c r="Y226" s="34">
        <v>474</v>
      </c>
      <c r="Z226" s="34">
        <v>12</v>
      </c>
      <c r="AA226" s="34">
        <v>485</v>
      </c>
      <c r="AB226" s="34">
        <v>11</v>
      </c>
      <c r="AC226" s="34">
        <v>11</v>
      </c>
      <c r="AD226" s="34">
        <v>0</v>
      </c>
      <c r="AE226" s="34">
        <v>0</v>
      </c>
      <c r="AG226" s="34">
        <v>3</v>
      </c>
      <c r="AH226" s="34">
        <v>0</v>
      </c>
      <c r="AI226" s="34">
        <v>14</v>
      </c>
    </row>
    <row r="227" spans="1:35" ht="15.75" customHeight="1">
      <c r="A227" s="34">
        <v>229</v>
      </c>
      <c r="B227" s="34" t="s">
        <v>307</v>
      </c>
      <c r="C227" s="34" t="s">
        <v>299</v>
      </c>
      <c r="D227" s="34">
        <v>8</v>
      </c>
      <c r="E227" s="34">
        <v>3408</v>
      </c>
      <c r="F227" s="34">
        <v>18</v>
      </c>
      <c r="G227" s="34">
        <v>3426</v>
      </c>
      <c r="H227" s="34">
        <v>12</v>
      </c>
      <c r="I227" s="34">
        <v>3438</v>
      </c>
      <c r="J227" s="34">
        <v>46</v>
      </c>
      <c r="K227" s="34">
        <v>3484</v>
      </c>
      <c r="L227" s="34">
        <v>13</v>
      </c>
      <c r="M227" s="34">
        <v>3497</v>
      </c>
      <c r="N227" s="34">
        <v>14</v>
      </c>
      <c r="O227" s="34">
        <v>3511</v>
      </c>
      <c r="P227" s="34">
        <v>14</v>
      </c>
      <c r="Q227" s="34">
        <v>3525</v>
      </c>
      <c r="R227" s="34">
        <v>14</v>
      </c>
      <c r="S227" s="34">
        <v>3537</v>
      </c>
      <c r="T227" s="34">
        <v>12</v>
      </c>
      <c r="U227" s="34">
        <v>3551</v>
      </c>
      <c r="V227" s="34">
        <v>14</v>
      </c>
      <c r="W227" s="34">
        <v>3564</v>
      </c>
      <c r="X227" s="34">
        <v>13</v>
      </c>
      <c r="Y227" s="34">
        <v>3576</v>
      </c>
      <c r="Z227" s="34">
        <v>12</v>
      </c>
      <c r="AA227" s="34">
        <v>3589</v>
      </c>
      <c r="AB227" s="34">
        <v>13</v>
      </c>
      <c r="AC227" s="34">
        <v>13</v>
      </c>
      <c r="AD227" s="34">
        <v>0</v>
      </c>
      <c r="AE227" s="34">
        <v>0</v>
      </c>
      <c r="AG227" s="34">
        <v>3</v>
      </c>
      <c r="AH227" s="34">
        <v>0</v>
      </c>
      <c r="AI227" s="34">
        <v>16</v>
      </c>
    </row>
    <row r="228" spans="1:35" ht="15.75" customHeight="1">
      <c r="A228" s="34">
        <v>230</v>
      </c>
      <c r="B228" s="34" t="s">
        <v>308</v>
      </c>
      <c r="C228" s="34" t="s">
        <v>299</v>
      </c>
      <c r="D228" s="34">
        <v>9</v>
      </c>
      <c r="E228" s="34">
        <v>947</v>
      </c>
      <c r="F228" s="34">
        <v>1</v>
      </c>
      <c r="G228" s="34">
        <v>948</v>
      </c>
      <c r="H228" s="34">
        <v>1</v>
      </c>
      <c r="I228" s="34">
        <v>949</v>
      </c>
      <c r="J228" s="34">
        <v>1</v>
      </c>
      <c r="K228" s="34">
        <v>950</v>
      </c>
      <c r="L228" s="34">
        <v>1</v>
      </c>
      <c r="M228" s="34">
        <v>951</v>
      </c>
      <c r="N228" s="34">
        <v>0</v>
      </c>
      <c r="O228" s="34">
        <v>951</v>
      </c>
      <c r="P228" s="34">
        <v>0</v>
      </c>
      <c r="Q228" s="34">
        <v>951</v>
      </c>
      <c r="R228" s="34">
        <v>0</v>
      </c>
      <c r="S228" s="34">
        <v>951</v>
      </c>
      <c r="T228" s="34">
        <v>0</v>
      </c>
      <c r="U228" s="34">
        <v>952</v>
      </c>
      <c r="V228" s="34">
        <v>1</v>
      </c>
      <c r="W228" s="34">
        <v>952</v>
      </c>
      <c r="X228" s="34">
        <v>0</v>
      </c>
      <c r="Y228" s="34">
        <v>952</v>
      </c>
      <c r="Z228" s="34">
        <v>0</v>
      </c>
      <c r="AA228" s="34">
        <v>952</v>
      </c>
      <c r="AB228" s="34">
        <v>0</v>
      </c>
      <c r="AC228" s="34">
        <v>5</v>
      </c>
      <c r="AD228" s="34">
        <v>8</v>
      </c>
      <c r="AE228" s="34">
        <v>0</v>
      </c>
      <c r="AG228" s="34">
        <v>3</v>
      </c>
      <c r="AH228" s="34">
        <v>20</v>
      </c>
      <c r="AI228" s="34">
        <v>36</v>
      </c>
    </row>
    <row r="229" spans="1:35" ht="15.75" customHeight="1">
      <c r="A229" s="34">
        <v>231</v>
      </c>
      <c r="B229" s="34" t="s">
        <v>309</v>
      </c>
      <c r="C229" s="34" t="s">
        <v>299</v>
      </c>
      <c r="D229" s="34">
        <v>10</v>
      </c>
      <c r="E229" s="34">
        <v>815</v>
      </c>
      <c r="F229" s="34">
        <v>17</v>
      </c>
      <c r="G229" s="34">
        <v>832</v>
      </c>
      <c r="H229" s="34">
        <v>12</v>
      </c>
      <c r="I229" s="34">
        <v>844</v>
      </c>
      <c r="J229" s="34">
        <v>13</v>
      </c>
      <c r="K229" s="34">
        <v>857</v>
      </c>
      <c r="L229" s="34">
        <v>13</v>
      </c>
      <c r="M229" s="34">
        <v>870</v>
      </c>
      <c r="N229" s="34">
        <v>10</v>
      </c>
      <c r="O229" s="34">
        <v>880</v>
      </c>
      <c r="P229" s="34">
        <v>9</v>
      </c>
      <c r="Q229" s="34">
        <v>889</v>
      </c>
      <c r="R229" s="34">
        <v>9</v>
      </c>
      <c r="S229" s="34">
        <v>897</v>
      </c>
      <c r="T229" s="34">
        <v>8</v>
      </c>
      <c r="U229" s="34">
        <v>905</v>
      </c>
      <c r="V229" s="34">
        <v>8</v>
      </c>
      <c r="W229" s="34">
        <v>913</v>
      </c>
      <c r="X229" s="34">
        <v>8</v>
      </c>
      <c r="Y229" s="34">
        <v>921</v>
      </c>
      <c r="Z229" s="34">
        <v>8</v>
      </c>
      <c r="AA229" s="34">
        <v>931</v>
      </c>
      <c r="AB229" s="34">
        <v>10</v>
      </c>
      <c r="AC229" s="34">
        <v>10</v>
      </c>
      <c r="AD229" s="34">
        <v>0</v>
      </c>
      <c r="AE229" s="34">
        <v>0</v>
      </c>
      <c r="AG229" s="34">
        <v>3</v>
      </c>
      <c r="AH229" s="34">
        <v>0</v>
      </c>
      <c r="AI229" s="34">
        <v>13</v>
      </c>
    </row>
    <row r="230" spans="1:35" ht="15.75" customHeight="1">
      <c r="A230" s="34">
        <v>232</v>
      </c>
      <c r="B230" s="34" t="s">
        <v>310</v>
      </c>
      <c r="C230" s="34" t="s">
        <v>299</v>
      </c>
      <c r="D230" s="34">
        <v>11</v>
      </c>
      <c r="E230" s="34">
        <v>790</v>
      </c>
      <c r="F230" s="34">
        <v>1</v>
      </c>
      <c r="G230" s="34">
        <v>791</v>
      </c>
      <c r="H230" s="34">
        <v>0</v>
      </c>
      <c r="I230" s="34">
        <v>791</v>
      </c>
      <c r="J230" s="34">
        <v>0</v>
      </c>
      <c r="K230" s="34">
        <v>791</v>
      </c>
      <c r="L230" s="34">
        <v>0</v>
      </c>
      <c r="M230" s="34">
        <v>791</v>
      </c>
      <c r="N230" s="34">
        <v>2</v>
      </c>
      <c r="O230" s="34">
        <v>793</v>
      </c>
      <c r="P230" s="34">
        <v>1</v>
      </c>
      <c r="Q230" s="34">
        <v>794</v>
      </c>
      <c r="R230" s="34">
        <v>1</v>
      </c>
      <c r="S230" s="34">
        <v>795</v>
      </c>
      <c r="T230" s="34">
        <v>1</v>
      </c>
      <c r="U230" s="34">
        <v>798</v>
      </c>
      <c r="V230" s="34">
        <v>3</v>
      </c>
      <c r="W230" s="34">
        <v>799</v>
      </c>
      <c r="X230" s="34">
        <v>1</v>
      </c>
      <c r="Y230" s="34">
        <v>801</v>
      </c>
      <c r="Z230" s="34">
        <v>2</v>
      </c>
      <c r="AA230" s="34">
        <v>802</v>
      </c>
      <c r="AB230" s="34">
        <v>1</v>
      </c>
      <c r="AC230" s="34">
        <v>5</v>
      </c>
      <c r="AD230" s="34">
        <v>0</v>
      </c>
      <c r="AE230" s="34">
        <v>0</v>
      </c>
      <c r="AG230" s="34">
        <v>3</v>
      </c>
      <c r="AH230" s="34">
        <v>20</v>
      </c>
      <c r="AI230" s="34">
        <v>28</v>
      </c>
    </row>
    <row r="231" spans="1:35" ht="15.75" customHeight="1">
      <c r="A231" s="34">
        <v>233</v>
      </c>
      <c r="B231" s="34" t="s">
        <v>311</v>
      </c>
      <c r="C231" s="34" t="s">
        <v>299</v>
      </c>
      <c r="D231" s="34">
        <v>13</v>
      </c>
      <c r="E231" s="34">
        <v>3687</v>
      </c>
      <c r="F231" s="34">
        <v>12</v>
      </c>
      <c r="G231" s="34">
        <v>3699</v>
      </c>
      <c r="H231" s="34">
        <v>9</v>
      </c>
      <c r="I231" s="34">
        <v>3708</v>
      </c>
      <c r="J231" s="34">
        <v>6</v>
      </c>
      <c r="K231" s="34">
        <v>3714</v>
      </c>
      <c r="L231" s="34">
        <v>9</v>
      </c>
      <c r="M231" s="34">
        <v>3723</v>
      </c>
      <c r="N231" s="34">
        <v>9</v>
      </c>
      <c r="O231" s="34">
        <v>9</v>
      </c>
      <c r="P231" s="34">
        <v>-2</v>
      </c>
      <c r="Q231" s="34">
        <v>7</v>
      </c>
      <c r="R231" s="34">
        <v>-2</v>
      </c>
      <c r="S231" s="34">
        <v>12</v>
      </c>
      <c r="T231" s="34">
        <v>5</v>
      </c>
      <c r="U231" s="34">
        <v>20</v>
      </c>
      <c r="V231" s="34">
        <v>8</v>
      </c>
      <c r="W231" s="34">
        <v>35</v>
      </c>
      <c r="X231" s="34">
        <v>15</v>
      </c>
      <c r="Y231" s="34">
        <v>41</v>
      </c>
      <c r="Z231" s="34">
        <v>6</v>
      </c>
      <c r="AA231" s="34">
        <v>48</v>
      </c>
      <c r="AB231" s="34">
        <v>7</v>
      </c>
      <c r="AC231" s="34">
        <v>7</v>
      </c>
      <c r="AD231" s="34">
        <v>0</v>
      </c>
      <c r="AE231" s="34">
        <v>0</v>
      </c>
      <c r="AG231" s="34">
        <v>3</v>
      </c>
      <c r="AH231" s="34">
        <v>0</v>
      </c>
      <c r="AI231" s="34">
        <v>10</v>
      </c>
    </row>
    <row r="232" spans="1:35" ht="15.75" customHeight="1">
      <c r="A232" s="34">
        <v>234</v>
      </c>
      <c r="B232" s="34" t="s">
        <v>312</v>
      </c>
      <c r="C232" s="34" t="s">
        <v>299</v>
      </c>
      <c r="D232" s="34">
        <v>14</v>
      </c>
      <c r="E232" s="34">
        <v>1711</v>
      </c>
      <c r="F232" s="34">
        <v>10</v>
      </c>
      <c r="G232" s="34">
        <v>1721</v>
      </c>
      <c r="H232" s="34">
        <v>9</v>
      </c>
      <c r="I232" s="34">
        <v>1730</v>
      </c>
      <c r="J232" s="34">
        <v>5</v>
      </c>
      <c r="K232" s="34">
        <v>1735</v>
      </c>
      <c r="L232" s="34">
        <v>12</v>
      </c>
      <c r="M232" s="34">
        <v>1747</v>
      </c>
      <c r="N232" s="34">
        <v>10</v>
      </c>
      <c r="O232" s="34">
        <v>1757</v>
      </c>
      <c r="P232" s="34">
        <v>11</v>
      </c>
      <c r="Q232" s="34">
        <v>1768</v>
      </c>
      <c r="R232" s="34">
        <v>11</v>
      </c>
      <c r="S232" s="34">
        <v>1774</v>
      </c>
      <c r="T232" s="34">
        <v>6</v>
      </c>
      <c r="U232" s="34">
        <v>1782</v>
      </c>
      <c r="V232" s="34">
        <v>8</v>
      </c>
      <c r="W232" s="34">
        <v>1790</v>
      </c>
      <c r="X232" s="34">
        <v>8</v>
      </c>
      <c r="Y232" s="34">
        <v>1797</v>
      </c>
      <c r="Z232" s="34">
        <v>7</v>
      </c>
      <c r="AA232" s="34">
        <v>1808</v>
      </c>
      <c r="AB232" s="34">
        <v>11</v>
      </c>
      <c r="AC232" s="34">
        <v>11</v>
      </c>
      <c r="AD232" s="34">
        <v>0</v>
      </c>
      <c r="AE232" s="34">
        <v>0</v>
      </c>
      <c r="AG232" s="34">
        <v>3</v>
      </c>
      <c r="AH232" s="34">
        <v>0</v>
      </c>
      <c r="AI232" s="34">
        <v>14</v>
      </c>
    </row>
    <row r="233" spans="1:35" ht="15.75" customHeight="1">
      <c r="A233" s="34">
        <v>235</v>
      </c>
      <c r="B233" s="34" t="s">
        <v>313</v>
      </c>
      <c r="C233" s="34" t="s">
        <v>299</v>
      </c>
      <c r="D233" s="34">
        <v>15</v>
      </c>
      <c r="E233" s="34">
        <v>8</v>
      </c>
      <c r="F233" s="34">
        <v>1</v>
      </c>
      <c r="G233" s="34">
        <v>9</v>
      </c>
      <c r="H233" s="34">
        <v>1</v>
      </c>
      <c r="I233" s="34">
        <v>10</v>
      </c>
      <c r="J233" s="34">
        <v>4</v>
      </c>
      <c r="K233" s="34">
        <v>14</v>
      </c>
      <c r="L233" s="34">
        <v>4</v>
      </c>
      <c r="M233" s="34">
        <v>18</v>
      </c>
      <c r="N233" s="34">
        <v>2</v>
      </c>
      <c r="O233" s="34">
        <v>20</v>
      </c>
      <c r="P233" s="34">
        <v>0</v>
      </c>
      <c r="Q233" s="34">
        <v>20</v>
      </c>
      <c r="R233" s="34">
        <v>0</v>
      </c>
      <c r="S233" s="34">
        <v>21</v>
      </c>
      <c r="T233" s="34">
        <v>1</v>
      </c>
      <c r="U233" s="34">
        <v>22</v>
      </c>
      <c r="V233" s="34">
        <v>1</v>
      </c>
      <c r="W233" s="34">
        <v>26</v>
      </c>
      <c r="X233" s="34">
        <v>4</v>
      </c>
      <c r="Y233" s="34">
        <v>29</v>
      </c>
      <c r="Z233" s="34">
        <v>3</v>
      </c>
      <c r="AA233" s="34">
        <v>32</v>
      </c>
      <c r="AB233" s="34">
        <v>3</v>
      </c>
      <c r="AC233" s="34">
        <v>5</v>
      </c>
      <c r="AD233" s="34">
        <v>0</v>
      </c>
      <c r="AE233" s="34">
        <v>0</v>
      </c>
      <c r="AG233" s="34">
        <v>3</v>
      </c>
      <c r="AH233" s="34">
        <v>0</v>
      </c>
      <c r="AI233" s="34">
        <v>8</v>
      </c>
    </row>
    <row r="234" spans="1:35" ht="15.75" customHeight="1">
      <c r="A234" s="34">
        <v>236</v>
      </c>
      <c r="B234" s="34" t="s">
        <v>2747</v>
      </c>
      <c r="C234" s="34" t="s">
        <v>299</v>
      </c>
      <c r="D234" s="34">
        <v>18</v>
      </c>
      <c r="E234" s="34">
        <v>2341</v>
      </c>
      <c r="F234" s="34">
        <v>17</v>
      </c>
      <c r="G234" s="34">
        <v>2358</v>
      </c>
      <c r="H234" s="34">
        <v>19</v>
      </c>
      <c r="I234" s="34">
        <v>2377</v>
      </c>
      <c r="J234" s="34">
        <v>15</v>
      </c>
      <c r="K234" s="34">
        <v>2392</v>
      </c>
      <c r="L234" s="34">
        <v>16</v>
      </c>
      <c r="M234" s="34">
        <v>2408</v>
      </c>
      <c r="N234" s="34">
        <v>13</v>
      </c>
      <c r="O234" s="34">
        <v>2421</v>
      </c>
      <c r="P234" s="34">
        <v>8</v>
      </c>
      <c r="Q234" s="34">
        <v>2429</v>
      </c>
      <c r="R234" s="34">
        <v>8</v>
      </c>
      <c r="S234" s="34">
        <v>2440</v>
      </c>
      <c r="T234" s="34">
        <v>11</v>
      </c>
      <c r="U234" s="34">
        <v>2448</v>
      </c>
      <c r="V234" s="34">
        <v>8</v>
      </c>
      <c r="W234" s="34">
        <v>2459</v>
      </c>
      <c r="X234" s="34">
        <v>11</v>
      </c>
      <c r="Y234" s="34">
        <v>2469</v>
      </c>
      <c r="Z234" s="34">
        <v>10</v>
      </c>
      <c r="AA234" s="34">
        <v>2479</v>
      </c>
      <c r="AB234" s="34">
        <v>10</v>
      </c>
      <c r="AC234" s="34">
        <v>10</v>
      </c>
      <c r="AD234" s="34">
        <v>0</v>
      </c>
      <c r="AE234" s="34">
        <v>0</v>
      </c>
      <c r="AG234" s="34">
        <v>3</v>
      </c>
      <c r="AH234" s="34">
        <v>0</v>
      </c>
      <c r="AI234" s="34">
        <v>13</v>
      </c>
    </row>
    <row r="235" spans="1:35" ht="15.75" customHeight="1">
      <c r="A235" s="34">
        <v>237</v>
      </c>
      <c r="B235" s="34" t="s">
        <v>317</v>
      </c>
      <c r="C235" s="34" t="s">
        <v>299</v>
      </c>
      <c r="D235" s="34">
        <v>19</v>
      </c>
      <c r="E235" s="34">
        <v>2283</v>
      </c>
      <c r="F235" s="34">
        <v>17</v>
      </c>
      <c r="G235" s="34">
        <v>2300</v>
      </c>
      <c r="H235" s="34">
        <v>19</v>
      </c>
      <c r="I235" s="34">
        <v>2319</v>
      </c>
      <c r="J235" s="34">
        <v>19</v>
      </c>
      <c r="K235" s="34">
        <v>2338</v>
      </c>
      <c r="L235" s="34">
        <v>18</v>
      </c>
      <c r="M235" s="34">
        <v>2356</v>
      </c>
      <c r="N235" s="34">
        <v>16</v>
      </c>
      <c r="O235" s="34">
        <v>2372</v>
      </c>
      <c r="P235" s="34">
        <v>15</v>
      </c>
      <c r="Q235" s="34">
        <v>2387</v>
      </c>
      <c r="R235" s="34">
        <v>15</v>
      </c>
      <c r="S235" s="34">
        <v>2401</v>
      </c>
      <c r="T235" s="34">
        <v>14</v>
      </c>
      <c r="U235" s="34">
        <v>2418</v>
      </c>
      <c r="V235" s="34">
        <v>17</v>
      </c>
      <c r="W235" s="34">
        <v>2435</v>
      </c>
      <c r="X235" s="34">
        <v>17</v>
      </c>
      <c r="Y235" s="34">
        <v>2451</v>
      </c>
      <c r="Z235" s="34">
        <v>16</v>
      </c>
      <c r="AA235" s="34">
        <v>2472</v>
      </c>
      <c r="AB235" s="34">
        <v>21</v>
      </c>
      <c r="AC235" s="34">
        <v>21</v>
      </c>
      <c r="AD235" s="34">
        <v>0</v>
      </c>
      <c r="AE235" s="34">
        <v>0</v>
      </c>
      <c r="AG235" s="34">
        <v>3</v>
      </c>
      <c r="AH235" s="34">
        <v>0</v>
      </c>
      <c r="AI235" s="34">
        <v>24</v>
      </c>
    </row>
    <row r="236" spans="1:35" ht="15.75" customHeight="1">
      <c r="A236" s="34">
        <v>238</v>
      </c>
      <c r="B236" s="34" t="s">
        <v>318</v>
      </c>
      <c r="C236" s="34" t="s">
        <v>299</v>
      </c>
      <c r="D236" s="34">
        <v>20</v>
      </c>
      <c r="E236" s="34">
        <v>1752</v>
      </c>
      <c r="F236" s="34">
        <v>20</v>
      </c>
      <c r="G236" s="34">
        <v>1772</v>
      </c>
      <c r="H236" s="34">
        <v>22</v>
      </c>
      <c r="I236" s="34">
        <v>1794</v>
      </c>
      <c r="J236" s="34">
        <v>20</v>
      </c>
      <c r="K236" s="34">
        <v>1814</v>
      </c>
      <c r="L236" s="34">
        <v>17</v>
      </c>
      <c r="M236" s="34">
        <v>1831</v>
      </c>
      <c r="N236" s="34">
        <v>18</v>
      </c>
      <c r="O236" s="34">
        <v>1849</v>
      </c>
      <c r="P236" s="34">
        <v>16</v>
      </c>
      <c r="Q236" s="34">
        <v>1865</v>
      </c>
      <c r="R236" s="34">
        <v>16</v>
      </c>
      <c r="S236" s="34">
        <v>1878</v>
      </c>
      <c r="T236" s="34">
        <v>13</v>
      </c>
      <c r="U236" s="34">
        <v>1895</v>
      </c>
      <c r="V236" s="34">
        <v>17</v>
      </c>
      <c r="W236" s="34">
        <v>1914</v>
      </c>
      <c r="X236" s="34">
        <v>19</v>
      </c>
      <c r="Y236" s="34">
        <v>1931</v>
      </c>
      <c r="Z236" s="34">
        <v>17</v>
      </c>
      <c r="AA236" s="34">
        <v>1950</v>
      </c>
      <c r="AB236" s="34">
        <v>19</v>
      </c>
      <c r="AC236" s="34">
        <v>19</v>
      </c>
      <c r="AD236" s="34">
        <v>0</v>
      </c>
      <c r="AE236" s="34">
        <v>0</v>
      </c>
      <c r="AG236" s="34">
        <v>3</v>
      </c>
      <c r="AH236" s="34">
        <v>0</v>
      </c>
      <c r="AI236" s="34">
        <v>22</v>
      </c>
    </row>
    <row r="237" spans="1:35" ht="15.75" customHeight="1">
      <c r="A237" s="34">
        <v>239</v>
      </c>
      <c r="B237" s="34" t="s">
        <v>319</v>
      </c>
      <c r="C237" s="34" t="s">
        <v>299</v>
      </c>
      <c r="D237" s="34">
        <v>21</v>
      </c>
      <c r="E237" s="34">
        <v>3149</v>
      </c>
      <c r="F237" s="34">
        <v>21</v>
      </c>
      <c r="G237" s="34">
        <v>3170</v>
      </c>
      <c r="H237" s="34">
        <v>22</v>
      </c>
      <c r="I237" s="34">
        <v>3192</v>
      </c>
      <c r="J237" s="34">
        <v>22</v>
      </c>
      <c r="K237" s="34">
        <v>3214</v>
      </c>
      <c r="L237" s="34">
        <v>20</v>
      </c>
      <c r="M237" s="34">
        <v>3234</v>
      </c>
      <c r="N237" s="34">
        <v>19</v>
      </c>
      <c r="O237" s="34">
        <v>3253</v>
      </c>
      <c r="P237" s="34">
        <v>18</v>
      </c>
      <c r="Q237" s="34">
        <v>3271</v>
      </c>
      <c r="R237" s="34">
        <v>18</v>
      </c>
      <c r="S237" s="34">
        <v>3287</v>
      </c>
      <c r="T237" s="34">
        <v>16</v>
      </c>
      <c r="U237" s="34">
        <v>3303</v>
      </c>
      <c r="V237" s="34">
        <v>16</v>
      </c>
      <c r="W237" s="34">
        <v>3323</v>
      </c>
      <c r="X237" s="34">
        <v>20</v>
      </c>
      <c r="Y237" s="34">
        <v>3343</v>
      </c>
      <c r="Z237" s="34">
        <v>20</v>
      </c>
      <c r="AA237" s="34">
        <v>3366</v>
      </c>
      <c r="AB237" s="34">
        <v>23</v>
      </c>
      <c r="AC237" s="34">
        <v>23</v>
      </c>
      <c r="AD237" s="34">
        <v>0</v>
      </c>
      <c r="AE237" s="34">
        <v>0</v>
      </c>
      <c r="AG237" s="34">
        <v>3</v>
      </c>
      <c r="AH237" s="34">
        <v>0</v>
      </c>
      <c r="AI237" s="34">
        <v>26</v>
      </c>
    </row>
    <row r="238" spans="1:35" ht="15.75" customHeight="1">
      <c r="A238" s="34">
        <v>240</v>
      </c>
      <c r="B238" s="34" t="s">
        <v>320</v>
      </c>
      <c r="C238" s="34" t="s">
        <v>299</v>
      </c>
      <c r="D238" s="34">
        <v>22</v>
      </c>
      <c r="E238" s="34">
        <v>3370</v>
      </c>
      <c r="F238" s="34">
        <v>14</v>
      </c>
      <c r="G238" s="34">
        <v>3384</v>
      </c>
      <c r="H238" s="34">
        <v>13</v>
      </c>
      <c r="I238" s="34">
        <v>3397</v>
      </c>
      <c r="J238" s="34">
        <v>19</v>
      </c>
      <c r="K238" s="34">
        <v>3416</v>
      </c>
      <c r="L238" s="34">
        <v>18</v>
      </c>
      <c r="M238" s="34">
        <v>3434</v>
      </c>
      <c r="N238" s="34">
        <v>15</v>
      </c>
      <c r="O238" s="34">
        <v>3449</v>
      </c>
      <c r="P238" s="34">
        <v>22</v>
      </c>
      <c r="Q238" s="34">
        <v>3471</v>
      </c>
      <c r="R238" s="34">
        <v>22</v>
      </c>
      <c r="S238" s="34">
        <v>3499</v>
      </c>
      <c r="T238" s="34">
        <v>28</v>
      </c>
      <c r="U238" s="34">
        <v>3534</v>
      </c>
      <c r="V238" s="34">
        <v>35</v>
      </c>
      <c r="W238" s="34">
        <v>3565</v>
      </c>
      <c r="X238" s="34">
        <v>31</v>
      </c>
      <c r="Y238" s="34">
        <v>3586</v>
      </c>
      <c r="Z238" s="34">
        <v>21</v>
      </c>
      <c r="AA238" s="34">
        <v>3605</v>
      </c>
      <c r="AB238" s="34">
        <v>19</v>
      </c>
      <c r="AC238" s="34">
        <v>19</v>
      </c>
      <c r="AD238" s="34">
        <v>0</v>
      </c>
      <c r="AE238" s="34">
        <v>0</v>
      </c>
      <c r="AG238" s="34">
        <v>3</v>
      </c>
      <c r="AH238" s="34">
        <v>0</v>
      </c>
      <c r="AI238" s="34">
        <v>22</v>
      </c>
    </row>
    <row r="239" spans="1:35" ht="15.75" customHeight="1">
      <c r="A239" s="34">
        <v>241</v>
      </c>
      <c r="B239" s="34" t="s">
        <v>321</v>
      </c>
      <c r="C239" s="34" t="s">
        <v>78</v>
      </c>
      <c r="D239" s="34">
        <v>1</v>
      </c>
      <c r="E239" s="34">
        <v>1824</v>
      </c>
      <c r="F239" s="34">
        <v>18</v>
      </c>
      <c r="G239" s="34">
        <v>1842</v>
      </c>
      <c r="H239" s="34">
        <v>16</v>
      </c>
      <c r="I239" s="34">
        <v>1858</v>
      </c>
      <c r="J239" s="34">
        <v>14</v>
      </c>
      <c r="K239" s="34">
        <v>1872</v>
      </c>
      <c r="L239" s="34">
        <v>15</v>
      </c>
      <c r="M239" s="34">
        <v>1887</v>
      </c>
      <c r="N239" s="34">
        <v>14</v>
      </c>
      <c r="O239" s="34">
        <v>1901</v>
      </c>
      <c r="P239" s="34">
        <v>17</v>
      </c>
      <c r="Q239" s="34">
        <v>1918</v>
      </c>
      <c r="R239" s="34">
        <v>17</v>
      </c>
      <c r="S239" s="34">
        <v>1931</v>
      </c>
      <c r="T239" s="34">
        <v>13</v>
      </c>
      <c r="U239" s="34">
        <v>1945</v>
      </c>
      <c r="V239" s="34">
        <v>14</v>
      </c>
      <c r="W239" s="34">
        <v>1958</v>
      </c>
      <c r="X239" s="34">
        <v>13</v>
      </c>
      <c r="Y239" s="34">
        <v>1974</v>
      </c>
      <c r="Z239" s="34">
        <v>16</v>
      </c>
      <c r="AA239" s="34">
        <v>1982</v>
      </c>
      <c r="AB239" s="34">
        <v>8</v>
      </c>
      <c r="AC239" s="34">
        <v>8</v>
      </c>
      <c r="AD239" s="34">
        <v>0</v>
      </c>
      <c r="AE239" s="34">
        <v>0</v>
      </c>
      <c r="AG239" s="34">
        <v>3</v>
      </c>
      <c r="AH239" s="34">
        <v>20</v>
      </c>
      <c r="AI239" s="34">
        <v>31</v>
      </c>
    </row>
    <row r="240" spans="1:35" ht="15.75" customHeight="1">
      <c r="A240" s="34">
        <v>242</v>
      </c>
      <c r="B240" s="34" t="s">
        <v>322</v>
      </c>
      <c r="C240" s="34" t="s">
        <v>78</v>
      </c>
      <c r="D240" s="34">
        <v>2</v>
      </c>
      <c r="E240" s="34">
        <v>3587</v>
      </c>
      <c r="F240" s="34">
        <v>32</v>
      </c>
      <c r="G240" s="34">
        <v>3619</v>
      </c>
      <c r="H240" s="34">
        <v>32</v>
      </c>
      <c r="I240" s="34">
        <v>3651</v>
      </c>
      <c r="J240" s="34">
        <v>27</v>
      </c>
      <c r="K240" s="34">
        <v>3678</v>
      </c>
      <c r="L240" s="34">
        <v>21</v>
      </c>
      <c r="M240" s="34">
        <v>3699</v>
      </c>
      <c r="N240" s="34">
        <v>31</v>
      </c>
      <c r="O240" s="34">
        <v>3730</v>
      </c>
      <c r="P240" s="34">
        <v>21</v>
      </c>
      <c r="Q240" s="34">
        <v>3751</v>
      </c>
      <c r="R240" s="34">
        <v>21</v>
      </c>
      <c r="S240" s="34">
        <v>3766</v>
      </c>
      <c r="T240" s="34">
        <v>15</v>
      </c>
      <c r="U240" s="34">
        <v>3786</v>
      </c>
      <c r="V240" s="34">
        <v>20</v>
      </c>
      <c r="W240" s="34">
        <v>3807</v>
      </c>
      <c r="X240" s="34">
        <v>21</v>
      </c>
      <c r="Y240" s="34">
        <v>3828</v>
      </c>
      <c r="Z240" s="34">
        <v>21</v>
      </c>
      <c r="AA240" s="34">
        <v>3854</v>
      </c>
      <c r="AB240" s="34">
        <v>26</v>
      </c>
      <c r="AC240" s="34">
        <v>26</v>
      </c>
      <c r="AD240" s="34">
        <v>0</v>
      </c>
      <c r="AE240" s="34">
        <v>0</v>
      </c>
      <c r="AG240" s="34">
        <v>3</v>
      </c>
      <c r="AH240" s="34">
        <v>0</v>
      </c>
      <c r="AI240" s="34">
        <v>29</v>
      </c>
    </row>
    <row r="241" spans="1:35" ht="15.75" customHeight="1">
      <c r="A241" s="34">
        <v>243</v>
      </c>
      <c r="B241" s="34" t="s">
        <v>323</v>
      </c>
      <c r="C241" s="34" t="s">
        <v>78</v>
      </c>
      <c r="D241" s="34">
        <v>3</v>
      </c>
      <c r="E241" s="34">
        <v>1281</v>
      </c>
      <c r="F241" s="34">
        <v>6</v>
      </c>
      <c r="G241" s="34">
        <v>1287</v>
      </c>
      <c r="H241" s="34">
        <v>6</v>
      </c>
      <c r="I241" s="34">
        <v>1293</v>
      </c>
      <c r="J241" s="34">
        <v>8</v>
      </c>
      <c r="K241" s="34">
        <v>1301</v>
      </c>
      <c r="L241" s="34">
        <v>6</v>
      </c>
      <c r="M241" s="34">
        <v>1307</v>
      </c>
      <c r="N241" s="34">
        <v>5</v>
      </c>
      <c r="O241" s="34">
        <v>1312</v>
      </c>
      <c r="P241" s="34">
        <v>7</v>
      </c>
      <c r="Q241" s="34">
        <v>1319</v>
      </c>
      <c r="R241" s="34">
        <v>7</v>
      </c>
      <c r="S241" s="34">
        <v>1324</v>
      </c>
      <c r="T241" s="34">
        <v>5</v>
      </c>
      <c r="U241" s="34">
        <v>0</v>
      </c>
      <c r="V241" s="34">
        <v>5</v>
      </c>
      <c r="W241" s="34">
        <v>1334</v>
      </c>
      <c r="X241" s="34">
        <v>13</v>
      </c>
      <c r="Y241" s="34">
        <v>1335</v>
      </c>
      <c r="Z241" s="34">
        <v>1</v>
      </c>
      <c r="AA241" s="34">
        <v>1341</v>
      </c>
      <c r="AB241" s="34">
        <v>6</v>
      </c>
      <c r="AC241" s="34">
        <v>6</v>
      </c>
      <c r="AD241" s="34">
        <v>0</v>
      </c>
      <c r="AE241" s="34">
        <v>0</v>
      </c>
      <c r="AG241" s="34">
        <v>3</v>
      </c>
      <c r="AH241" s="34">
        <v>0</v>
      </c>
      <c r="AI241" s="34">
        <v>9</v>
      </c>
    </row>
    <row r="242" spans="1:35" ht="15.75" customHeight="1">
      <c r="A242" s="34">
        <v>244</v>
      </c>
      <c r="B242" s="34" t="s">
        <v>324</v>
      </c>
      <c r="C242" s="34" t="s">
        <v>78</v>
      </c>
      <c r="D242" s="34">
        <v>4</v>
      </c>
      <c r="E242" s="34">
        <v>21</v>
      </c>
      <c r="F242" s="34">
        <v>5</v>
      </c>
      <c r="G242" s="34">
        <v>26</v>
      </c>
      <c r="H242" s="34">
        <v>2</v>
      </c>
      <c r="I242" s="34">
        <v>28</v>
      </c>
      <c r="J242" s="34">
        <v>2</v>
      </c>
      <c r="K242" s="34">
        <v>30</v>
      </c>
      <c r="L242" s="34">
        <v>0</v>
      </c>
      <c r="M242" s="34">
        <v>30</v>
      </c>
      <c r="N242" s="34">
        <v>0</v>
      </c>
      <c r="O242" s="34">
        <v>30</v>
      </c>
      <c r="P242" s="34">
        <v>0</v>
      </c>
      <c r="Q242" s="34">
        <v>30</v>
      </c>
      <c r="R242" s="34">
        <v>0</v>
      </c>
      <c r="S242" s="34">
        <v>30</v>
      </c>
      <c r="T242" s="34">
        <v>0</v>
      </c>
      <c r="U242" s="34">
        <v>31</v>
      </c>
      <c r="V242" s="34">
        <v>1</v>
      </c>
      <c r="W242" s="34">
        <v>39</v>
      </c>
      <c r="X242" s="34">
        <v>8</v>
      </c>
      <c r="Y242" s="34">
        <v>45</v>
      </c>
      <c r="Z242" s="34">
        <v>6</v>
      </c>
      <c r="AA242" s="34">
        <v>48</v>
      </c>
      <c r="AB242" s="34">
        <v>3</v>
      </c>
      <c r="AC242" s="34">
        <v>5</v>
      </c>
      <c r="AD242" s="34">
        <v>0</v>
      </c>
      <c r="AE242" s="34">
        <v>0</v>
      </c>
      <c r="AG242" s="34">
        <v>3</v>
      </c>
      <c r="AH242" s="34">
        <v>0</v>
      </c>
      <c r="AI242" s="34">
        <v>8</v>
      </c>
    </row>
    <row r="243" spans="1:35" ht="15.75" customHeight="1">
      <c r="A243" s="34">
        <v>245</v>
      </c>
      <c r="B243" s="34" t="s">
        <v>325</v>
      </c>
      <c r="C243" s="34" t="s">
        <v>78</v>
      </c>
      <c r="D243" s="34">
        <v>5</v>
      </c>
      <c r="E243" s="34">
        <v>54</v>
      </c>
      <c r="F243" s="34">
        <v>33</v>
      </c>
      <c r="G243" s="34">
        <v>87</v>
      </c>
      <c r="H243" s="34">
        <v>30</v>
      </c>
      <c r="I243" s="34">
        <v>117</v>
      </c>
      <c r="J243" s="34">
        <v>31</v>
      </c>
      <c r="K243" s="34">
        <v>148</v>
      </c>
      <c r="L243" s="34">
        <v>31</v>
      </c>
      <c r="M243" s="34">
        <v>179</v>
      </c>
      <c r="N243" s="34">
        <v>26</v>
      </c>
      <c r="O243" s="34">
        <v>205</v>
      </c>
      <c r="P243" s="34">
        <v>25</v>
      </c>
      <c r="Q243" s="34">
        <v>230</v>
      </c>
      <c r="R243" s="34">
        <v>25</v>
      </c>
      <c r="S243" s="34">
        <v>253</v>
      </c>
      <c r="T243" s="34">
        <v>23</v>
      </c>
      <c r="U243" s="34">
        <v>277</v>
      </c>
      <c r="V243" s="34">
        <v>24</v>
      </c>
      <c r="W243" s="34">
        <v>303</v>
      </c>
      <c r="X243" s="34">
        <v>26</v>
      </c>
      <c r="Y243" s="34">
        <v>328</v>
      </c>
      <c r="Z243" s="34">
        <v>25</v>
      </c>
      <c r="AA243" s="34">
        <v>352</v>
      </c>
      <c r="AB243" s="34">
        <v>24</v>
      </c>
      <c r="AC243" s="34">
        <v>24</v>
      </c>
      <c r="AD243" s="34">
        <v>0</v>
      </c>
      <c r="AE243" s="34">
        <v>0</v>
      </c>
      <c r="AG243" s="34">
        <v>3</v>
      </c>
      <c r="AH243" s="34">
        <v>20</v>
      </c>
      <c r="AI243" s="34">
        <v>47</v>
      </c>
    </row>
    <row r="244" spans="1:35" ht="15.75" customHeight="1">
      <c r="A244" s="34">
        <v>246</v>
      </c>
      <c r="B244" s="34" t="s">
        <v>326</v>
      </c>
      <c r="C244" s="34" t="s">
        <v>327</v>
      </c>
      <c r="D244" s="34">
        <v>1</v>
      </c>
      <c r="E244" s="34">
        <v>1345</v>
      </c>
      <c r="F244" s="34">
        <v>8</v>
      </c>
      <c r="G244" s="34">
        <v>1353</v>
      </c>
      <c r="H244" s="34">
        <v>9</v>
      </c>
      <c r="I244" s="34">
        <v>1362</v>
      </c>
      <c r="J244" s="34">
        <v>7</v>
      </c>
      <c r="K244" s="34">
        <v>1369</v>
      </c>
      <c r="L244" s="34">
        <v>9</v>
      </c>
      <c r="M244" s="34">
        <v>1378</v>
      </c>
      <c r="N244" s="34">
        <v>8</v>
      </c>
      <c r="O244" s="34">
        <v>1386</v>
      </c>
      <c r="P244" s="34">
        <v>7</v>
      </c>
      <c r="Q244" s="34">
        <v>1393</v>
      </c>
      <c r="R244" s="34">
        <v>7</v>
      </c>
      <c r="S244" s="34">
        <v>1397</v>
      </c>
      <c r="T244" s="34">
        <v>4</v>
      </c>
      <c r="U244" s="34">
        <v>1402</v>
      </c>
      <c r="V244" s="34">
        <v>5</v>
      </c>
      <c r="W244" s="34">
        <v>1407</v>
      </c>
      <c r="X244" s="34">
        <v>5</v>
      </c>
      <c r="Y244" s="34">
        <v>1414</v>
      </c>
      <c r="Z244" s="34">
        <v>7</v>
      </c>
      <c r="AA244" s="34">
        <v>1422</v>
      </c>
      <c r="AB244" s="34">
        <v>8</v>
      </c>
      <c r="AC244" s="34">
        <v>8</v>
      </c>
      <c r="AD244" s="34">
        <v>0</v>
      </c>
      <c r="AE244" s="34">
        <v>0</v>
      </c>
      <c r="AG244" s="34">
        <v>3</v>
      </c>
      <c r="AH244" s="34">
        <v>0</v>
      </c>
      <c r="AI244" s="34">
        <v>11</v>
      </c>
    </row>
    <row r="245" spans="1:35" ht="15.75" customHeight="1">
      <c r="A245" s="34">
        <v>247</v>
      </c>
      <c r="B245" s="34" t="s">
        <v>328</v>
      </c>
      <c r="C245" s="34" t="s">
        <v>327</v>
      </c>
      <c r="D245" s="34">
        <v>2</v>
      </c>
      <c r="E245" s="34">
        <v>2225</v>
      </c>
      <c r="F245" s="34">
        <v>12</v>
      </c>
      <c r="G245" s="34">
        <v>2237</v>
      </c>
      <c r="H245" s="34">
        <v>11</v>
      </c>
      <c r="I245" s="34">
        <v>2248</v>
      </c>
      <c r="J245" s="34">
        <v>12</v>
      </c>
      <c r="K245" s="34">
        <v>2260</v>
      </c>
      <c r="L245" s="34">
        <v>14</v>
      </c>
      <c r="M245" s="34">
        <v>2274</v>
      </c>
      <c r="N245" s="34">
        <v>13</v>
      </c>
      <c r="O245" s="34">
        <v>2287</v>
      </c>
      <c r="P245" s="34">
        <v>11</v>
      </c>
      <c r="Q245" s="34">
        <v>2298</v>
      </c>
      <c r="R245" s="34">
        <v>11</v>
      </c>
      <c r="S245" s="34">
        <v>2307</v>
      </c>
      <c r="T245" s="34">
        <v>9</v>
      </c>
      <c r="U245" s="34">
        <v>2314</v>
      </c>
      <c r="V245" s="34">
        <v>7</v>
      </c>
      <c r="W245" s="34">
        <v>2322</v>
      </c>
      <c r="X245" s="34">
        <v>8</v>
      </c>
      <c r="Y245" s="34">
        <v>2331</v>
      </c>
      <c r="Z245" s="34">
        <v>9</v>
      </c>
      <c r="AA245" s="34">
        <v>2340</v>
      </c>
      <c r="AB245" s="34">
        <v>9</v>
      </c>
      <c r="AC245" s="34">
        <v>9</v>
      </c>
      <c r="AD245" s="34">
        <v>0</v>
      </c>
      <c r="AE245" s="34">
        <v>0</v>
      </c>
      <c r="AG245" s="34">
        <v>3</v>
      </c>
      <c r="AH245" s="34">
        <v>0</v>
      </c>
      <c r="AI245" s="34">
        <v>12</v>
      </c>
    </row>
    <row r="246" spans="1:35" ht="15.75" customHeight="1">
      <c r="A246" s="34">
        <v>248</v>
      </c>
      <c r="B246" s="34" t="s">
        <v>329</v>
      </c>
      <c r="C246" s="34" t="s">
        <v>327</v>
      </c>
      <c r="D246" s="34">
        <v>3</v>
      </c>
      <c r="E246" s="34">
        <v>1630</v>
      </c>
      <c r="F246" s="34">
        <v>9</v>
      </c>
      <c r="G246" s="34">
        <v>1639</v>
      </c>
      <c r="H246" s="34">
        <v>8</v>
      </c>
      <c r="I246" s="34">
        <v>1647</v>
      </c>
      <c r="J246" s="34">
        <v>7</v>
      </c>
      <c r="K246" s="34">
        <v>1654</v>
      </c>
      <c r="L246" s="34">
        <v>7</v>
      </c>
      <c r="M246" s="34">
        <v>1661</v>
      </c>
      <c r="N246" s="34">
        <v>6</v>
      </c>
      <c r="O246" s="34">
        <v>1667</v>
      </c>
      <c r="P246" s="34">
        <v>5</v>
      </c>
      <c r="Q246" s="34">
        <v>1672</v>
      </c>
      <c r="R246" s="34">
        <v>5</v>
      </c>
      <c r="S246" s="34">
        <v>1676</v>
      </c>
      <c r="T246" s="34">
        <v>4</v>
      </c>
      <c r="U246" s="34">
        <v>1679</v>
      </c>
      <c r="V246" s="34">
        <v>3</v>
      </c>
      <c r="W246" s="34">
        <v>1683</v>
      </c>
      <c r="X246" s="34">
        <v>4</v>
      </c>
      <c r="Y246" s="34">
        <v>1688</v>
      </c>
      <c r="Z246" s="34">
        <v>5</v>
      </c>
      <c r="AA246" s="34">
        <v>1695</v>
      </c>
      <c r="AB246" s="34">
        <v>7</v>
      </c>
      <c r="AC246" s="34">
        <v>7</v>
      </c>
      <c r="AD246" s="34">
        <v>0</v>
      </c>
      <c r="AE246" s="34">
        <v>0</v>
      </c>
      <c r="AG246" s="34">
        <v>3</v>
      </c>
      <c r="AH246" s="34">
        <v>20</v>
      </c>
      <c r="AI246" s="34">
        <v>30</v>
      </c>
    </row>
    <row r="247" spans="1:35" ht="15.75" customHeight="1">
      <c r="A247" s="34">
        <v>249</v>
      </c>
      <c r="B247" s="34" t="s">
        <v>330</v>
      </c>
      <c r="C247" s="34" t="s">
        <v>327</v>
      </c>
      <c r="D247" s="34">
        <v>4</v>
      </c>
      <c r="E247" s="34">
        <v>1528</v>
      </c>
      <c r="F247" s="34">
        <v>12</v>
      </c>
      <c r="G247" s="34">
        <v>1540</v>
      </c>
      <c r="H247" s="34">
        <v>4</v>
      </c>
      <c r="I247" s="34">
        <v>1544</v>
      </c>
      <c r="J247" s="34">
        <v>1</v>
      </c>
      <c r="K247" s="34">
        <v>1545</v>
      </c>
      <c r="L247" s="34">
        <v>2</v>
      </c>
      <c r="M247" s="34">
        <v>1547</v>
      </c>
      <c r="N247" s="34">
        <v>0</v>
      </c>
      <c r="O247" s="34">
        <v>1547</v>
      </c>
      <c r="P247" s="34">
        <v>-1</v>
      </c>
      <c r="Q247" s="34">
        <v>1546</v>
      </c>
      <c r="R247" s="34">
        <v>-1</v>
      </c>
      <c r="S247" s="34">
        <v>1546</v>
      </c>
      <c r="T247" s="34">
        <v>0</v>
      </c>
      <c r="U247" s="34">
        <v>1546</v>
      </c>
      <c r="V247" s="34">
        <v>0</v>
      </c>
      <c r="W247" s="34">
        <v>1548</v>
      </c>
      <c r="X247" s="34">
        <v>2</v>
      </c>
      <c r="Y247" s="34">
        <v>1556</v>
      </c>
      <c r="Z247" s="34">
        <v>8</v>
      </c>
      <c r="AA247" s="34">
        <v>1564</v>
      </c>
      <c r="AB247" s="34">
        <v>8</v>
      </c>
      <c r="AC247" s="34">
        <v>8</v>
      </c>
      <c r="AD247" s="34">
        <v>0</v>
      </c>
      <c r="AE247" s="34">
        <v>0</v>
      </c>
      <c r="AG247" s="34">
        <v>3</v>
      </c>
      <c r="AH247" s="34">
        <v>0</v>
      </c>
      <c r="AI247" s="34">
        <v>11</v>
      </c>
    </row>
    <row r="248" spans="1:35" ht="15.75" customHeight="1">
      <c r="A248" s="34">
        <v>250</v>
      </c>
      <c r="B248" s="34" t="s">
        <v>331</v>
      </c>
      <c r="C248" s="34" t="s">
        <v>327</v>
      </c>
      <c r="D248" s="34">
        <v>5</v>
      </c>
      <c r="E248" s="34">
        <v>574</v>
      </c>
      <c r="F248" s="34">
        <v>3</v>
      </c>
      <c r="G248" s="34">
        <v>577</v>
      </c>
      <c r="H248" s="34">
        <v>5</v>
      </c>
      <c r="I248" s="34">
        <v>582</v>
      </c>
      <c r="J248" s="34">
        <v>4</v>
      </c>
      <c r="K248" s="34">
        <v>586</v>
      </c>
      <c r="L248" s="34">
        <v>3</v>
      </c>
      <c r="M248" s="34">
        <v>589</v>
      </c>
      <c r="N248" s="34">
        <v>4</v>
      </c>
      <c r="O248" s="34">
        <v>593</v>
      </c>
      <c r="P248" s="34">
        <v>3</v>
      </c>
      <c r="Q248" s="34">
        <v>596</v>
      </c>
      <c r="R248" s="34">
        <v>3</v>
      </c>
      <c r="S248" s="34">
        <v>597</v>
      </c>
      <c r="T248" s="34">
        <v>1</v>
      </c>
      <c r="U248" s="34">
        <v>599</v>
      </c>
      <c r="V248" s="34">
        <v>2</v>
      </c>
      <c r="W248" s="34">
        <v>603</v>
      </c>
      <c r="X248" s="34">
        <v>4</v>
      </c>
      <c r="Y248" s="34">
        <v>607</v>
      </c>
      <c r="Z248" s="34">
        <v>4</v>
      </c>
      <c r="AA248" s="34">
        <v>610</v>
      </c>
      <c r="AB248" s="34">
        <v>3</v>
      </c>
      <c r="AC248" s="34">
        <v>5</v>
      </c>
      <c r="AD248" s="34">
        <v>0</v>
      </c>
      <c r="AE248" s="34">
        <v>0</v>
      </c>
      <c r="AG248" s="34">
        <v>3</v>
      </c>
      <c r="AH248" s="34">
        <v>0</v>
      </c>
      <c r="AI248" s="34">
        <v>8</v>
      </c>
    </row>
    <row r="249" spans="1:35" ht="15.75" customHeight="1">
      <c r="A249" s="34">
        <v>251</v>
      </c>
      <c r="B249" s="34" t="s">
        <v>332</v>
      </c>
      <c r="C249" s="34" t="s">
        <v>327</v>
      </c>
      <c r="D249" s="34">
        <v>6</v>
      </c>
      <c r="E249" s="34">
        <v>757</v>
      </c>
      <c r="F249" s="34">
        <v>6</v>
      </c>
      <c r="G249" s="34">
        <v>763</v>
      </c>
      <c r="H249" s="34">
        <v>5</v>
      </c>
      <c r="I249" s="34">
        <v>768</v>
      </c>
      <c r="J249" s="34">
        <v>4</v>
      </c>
      <c r="K249" s="34">
        <v>772</v>
      </c>
      <c r="L249" s="34">
        <v>6</v>
      </c>
      <c r="M249" s="34">
        <v>778</v>
      </c>
      <c r="N249" s="34">
        <v>6</v>
      </c>
      <c r="O249" s="34">
        <v>784</v>
      </c>
      <c r="P249" s="34">
        <v>6</v>
      </c>
      <c r="Q249" s="34">
        <v>790</v>
      </c>
      <c r="R249" s="34">
        <v>6</v>
      </c>
      <c r="S249" s="34">
        <v>796</v>
      </c>
      <c r="T249" s="34">
        <v>6</v>
      </c>
      <c r="U249" s="34">
        <v>803</v>
      </c>
      <c r="V249" s="34">
        <v>7</v>
      </c>
      <c r="W249" s="34">
        <v>809</v>
      </c>
      <c r="X249" s="34">
        <v>6</v>
      </c>
      <c r="Y249" s="34">
        <v>815</v>
      </c>
      <c r="Z249" s="34">
        <v>6</v>
      </c>
      <c r="AA249" s="34">
        <v>823</v>
      </c>
      <c r="AB249" s="34">
        <v>8</v>
      </c>
      <c r="AC249" s="34">
        <v>8</v>
      </c>
      <c r="AD249" s="34">
        <v>0</v>
      </c>
      <c r="AE249" s="34">
        <v>0</v>
      </c>
      <c r="AG249" s="34">
        <v>3</v>
      </c>
      <c r="AH249" s="34">
        <v>0</v>
      </c>
      <c r="AI249" s="34">
        <v>11</v>
      </c>
    </row>
    <row r="250" spans="1:35" ht="15.75" customHeight="1">
      <c r="A250" s="34">
        <v>252</v>
      </c>
      <c r="B250" s="34" t="s">
        <v>333</v>
      </c>
      <c r="C250" s="34" t="s">
        <v>327</v>
      </c>
      <c r="D250" s="34">
        <v>7</v>
      </c>
      <c r="E250" s="34">
        <v>114</v>
      </c>
      <c r="F250" s="34">
        <v>5</v>
      </c>
      <c r="G250" s="34">
        <v>119</v>
      </c>
      <c r="H250" s="34">
        <v>1</v>
      </c>
      <c r="I250" s="34">
        <v>120</v>
      </c>
      <c r="J250" s="34">
        <v>5</v>
      </c>
      <c r="K250" s="34">
        <v>125</v>
      </c>
      <c r="L250" s="34">
        <v>4</v>
      </c>
      <c r="M250" s="34">
        <v>129</v>
      </c>
      <c r="N250" s="34">
        <v>1</v>
      </c>
      <c r="O250" s="34">
        <v>130</v>
      </c>
      <c r="P250" s="34">
        <v>0</v>
      </c>
      <c r="Q250" s="34">
        <v>130</v>
      </c>
      <c r="R250" s="34">
        <v>0</v>
      </c>
      <c r="S250" s="34">
        <v>130</v>
      </c>
      <c r="T250" s="34">
        <v>0</v>
      </c>
      <c r="U250" s="34">
        <v>130</v>
      </c>
      <c r="V250" s="34">
        <v>0</v>
      </c>
      <c r="W250" s="34">
        <v>130</v>
      </c>
      <c r="X250" s="34">
        <v>0</v>
      </c>
      <c r="Y250" s="34">
        <v>131</v>
      </c>
      <c r="Z250" s="34">
        <v>1</v>
      </c>
      <c r="AA250" s="34">
        <v>132</v>
      </c>
      <c r="AB250" s="34">
        <v>1</v>
      </c>
      <c r="AC250" s="34">
        <v>5</v>
      </c>
      <c r="AD250" s="34">
        <v>0</v>
      </c>
      <c r="AE250" s="34">
        <v>0</v>
      </c>
      <c r="AG250" s="34">
        <v>3</v>
      </c>
      <c r="AH250" s="34">
        <v>20</v>
      </c>
      <c r="AI250" s="34">
        <v>28</v>
      </c>
    </row>
    <row r="251" spans="1:35" ht="15.75" customHeight="1">
      <c r="A251" s="34">
        <v>253</v>
      </c>
      <c r="B251" s="34" t="s">
        <v>334</v>
      </c>
      <c r="C251" s="34" t="s">
        <v>327</v>
      </c>
      <c r="D251" s="34">
        <v>8</v>
      </c>
      <c r="E251" s="34">
        <v>1769</v>
      </c>
      <c r="F251" s="34">
        <v>9</v>
      </c>
      <c r="G251" s="34">
        <v>1778</v>
      </c>
      <c r="H251" s="34">
        <v>8</v>
      </c>
      <c r="I251" s="34">
        <v>1786</v>
      </c>
      <c r="J251" s="34">
        <v>6</v>
      </c>
      <c r="K251" s="34">
        <v>1792</v>
      </c>
      <c r="L251" s="34">
        <v>10</v>
      </c>
      <c r="M251" s="34">
        <v>1802</v>
      </c>
      <c r="N251" s="34">
        <v>9</v>
      </c>
      <c r="O251" s="34">
        <v>1811</v>
      </c>
      <c r="P251" s="34">
        <v>6</v>
      </c>
      <c r="Q251" s="34">
        <v>1817</v>
      </c>
      <c r="R251" s="34">
        <v>6</v>
      </c>
      <c r="S251" s="34">
        <v>1825</v>
      </c>
      <c r="T251" s="34">
        <v>8</v>
      </c>
      <c r="U251" s="34">
        <v>1833</v>
      </c>
      <c r="V251" s="34">
        <v>8</v>
      </c>
      <c r="W251" s="34">
        <v>1839</v>
      </c>
      <c r="X251" s="34">
        <v>6</v>
      </c>
      <c r="Y251" s="34">
        <v>1845</v>
      </c>
      <c r="Z251" s="34">
        <v>6</v>
      </c>
      <c r="AA251" s="34">
        <v>1849</v>
      </c>
      <c r="AB251" s="34">
        <v>4</v>
      </c>
      <c r="AC251" s="34">
        <v>5</v>
      </c>
      <c r="AD251" s="34">
        <v>0</v>
      </c>
      <c r="AE251" s="34">
        <v>0</v>
      </c>
      <c r="AG251" s="34">
        <v>3</v>
      </c>
      <c r="AH251" s="34">
        <v>0</v>
      </c>
      <c r="AI251" s="34">
        <v>8</v>
      </c>
    </row>
    <row r="252" spans="1:35" ht="15.75" customHeight="1">
      <c r="A252" s="34">
        <v>254</v>
      </c>
      <c r="B252" s="34" t="s">
        <v>315</v>
      </c>
      <c r="C252" s="34" t="s">
        <v>327</v>
      </c>
      <c r="D252" s="34">
        <v>9</v>
      </c>
      <c r="E252" s="34">
        <v>2334</v>
      </c>
      <c r="F252" s="34">
        <v>30</v>
      </c>
      <c r="G252" s="34">
        <v>2364</v>
      </c>
      <c r="H252" s="34">
        <v>27</v>
      </c>
      <c r="I252" s="34">
        <v>2391</v>
      </c>
      <c r="J252" s="34">
        <v>25</v>
      </c>
      <c r="K252" s="34">
        <v>2416</v>
      </c>
      <c r="L252" s="34">
        <v>23</v>
      </c>
      <c r="M252" s="34">
        <v>2439</v>
      </c>
      <c r="N252" s="34">
        <v>22</v>
      </c>
      <c r="O252" s="34">
        <v>2461</v>
      </c>
      <c r="P252" s="34">
        <v>18</v>
      </c>
      <c r="Q252" s="34">
        <v>2479</v>
      </c>
      <c r="R252" s="34">
        <v>18</v>
      </c>
      <c r="S252" s="34">
        <v>2494</v>
      </c>
      <c r="T252" s="34">
        <v>15</v>
      </c>
      <c r="U252" s="34">
        <v>2509</v>
      </c>
      <c r="V252" s="34">
        <v>15</v>
      </c>
      <c r="W252" s="34">
        <v>2525</v>
      </c>
      <c r="X252" s="34">
        <v>16</v>
      </c>
      <c r="Y252" s="34">
        <v>2543</v>
      </c>
      <c r="Z252" s="34">
        <v>18</v>
      </c>
      <c r="AA252" s="34">
        <v>2563</v>
      </c>
      <c r="AB252" s="34">
        <v>20</v>
      </c>
      <c r="AC252" s="34">
        <v>20</v>
      </c>
      <c r="AD252" s="34">
        <v>0</v>
      </c>
      <c r="AE252" s="34">
        <v>0</v>
      </c>
      <c r="AG252" s="34">
        <v>3</v>
      </c>
      <c r="AH252" s="34">
        <v>0</v>
      </c>
      <c r="AI252" s="34">
        <v>23</v>
      </c>
    </row>
    <row r="253" spans="1:35" ht="15.75" customHeight="1">
      <c r="A253" s="34">
        <v>255</v>
      </c>
      <c r="B253" s="34" t="s">
        <v>335</v>
      </c>
      <c r="C253" s="34" t="s">
        <v>327</v>
      </c>
      <c r="D253" s="34">
        <v>10</v>
      </c>
      <c r="E253" s="34">
        <v>822</v>
      </c>
      <c r="F253" s="34">
        <v>14</v>
      </c>
      <c r="G253" s="34">
        <v>836</v>
      </c>
      <c r="H253" s="34">
        <v>21</v>
      </c>
      <c r="I253" s="34">
        <v>857</v>
      </c>
      <c r="J253" s="34">
        <v>21</v>
      </c>
      <c r="K253" s="34">
        <v>878</v>
      </c>
      <c r="L253" s="34">
        <v>19</v>
      </c>
      <c r="M253" s="34">
        <v>897</v>
      </c>
      <c r="N253" s="34">
        <v>16</v>
      </c>
      <c r="O253" s="34">
        <v>913</v>
      </c>
      <c r="P253" s="34">
        <v>12</v>
      </c>
      <c r="Q253" s="34">
        <v>925</v>
      </c>
      <c r="R253" s="34">
        <v>12</v>
      </c>
      <c r="S253" s="34">
        <v>936</v>
      </c>
      <c r="T253" s="34">
        <v>11</v>
      </c>
      <c r="U253" s="34">
        <v>948</v>
      </c>
      <c r="V253" s="34">
        <v>12</v>
      </c>
      <c r="W253" s="34">
        <v>960</v>
      </c>
      <c r="X253" s="34">
        <v>12</v>
      </c>
      <c r="Y253" s="34">
        <v>974</v>
      </c>
      <c r="Z253" s="34">
        <v>14</v>
      </c>
      <c r="AA253" s="34">
        <v>987</v>
      </c>
      <c r="AB253" s="34">
        <v>13</v>
      </c>
      <c r="AC253" s="34">
        <v>13</v>
      </c>
      <c r="AD253" s="34">
        <v>0</v>
      </c>
      <c r="AE253" s="34">
        <v>0</v>
      </c>
      <c r="AG253" s="34">
        <v>3</v>
      </c>
      <c r="AH253" s="34">
        <v>0</v>
      </c>
      <c r="AI253" s="34">
        <v>16</v>
      </c>
    </row>
    <row r="254" spans="1:35" ht="15.75" customHeight="1">
      <c r="A254" s="34">
        <v>256</v>
      </c>
      <c r="B254" s="34" t="s">
        <v>336</v>
      </c>
      <c r="C254" s="34" t="s">
        <v>327</v>
      </c>
      <c r="D254" s="34">
        <v>11</v>
      </c>
      <c r="E254" s="34">
        <v>139</v>
      </c>
      <c r="F254" s="34">
        <v>5</v>
      </c>
      <c r="G254" s="34">
        <v>144</v>
      </c>
      <c r="H254" s="34">
        <v>4</v>
      </c>
      <c r="I254" s="34">
        <v>148</v>
      </c>
      <c r="J254" s="34">
        <v>4</v>
      </c>
      <c r="K254" s="34">
        <v>152</v>
      </c>
      <c r="L254" s="34">
        <v>4</v>
      </c>
      <c r="M254" s="34">
        <v>156</v>
      </c>
      <c r="N254" s="34">
        <v>2</v>
      </c>
      <c r="O254" s="34">
        <v>158</v>
      </c>
      <c r="P254" s="34">
        <v>7</v>
      </c>
      <c r="Q254" s="34">
        <v>165</v>
      </c>
      <c r="R254" s="34">
        <v>7</v>
      </c>
      <c r="S254" s="34">
        <v>167</v>
      </c>
      <c r="T254" s="34">
        <v>2</v>
      </c>
      <c r="U254" s="34">
        <v>169</v>
      </c>
      <c r="V254" s="34">
        <v>2</v>
      </c>
      <c r="W254" s="34">
        <v>171</v>
      </c>
      <c r="X254" s="34">
        <v>2</v>
      </c>
      <c r="Y254" s="34">
        <v>176</v>
      </c>
      <c r="Z254" s="34">
        <v>5</v>
      </c>
      <c r="AA254" s="34">
        <v>184</v>
      </c>
      <c r="AB254" s="34">
        <v>8</v>
      </c>
      <c r="AC254" s="34">
        <v>8</v>
      </c>
      <c r="AD254" s="34">
        <v>0</v>
      </c>
      <c r="AE254" s="34">
        <v>0</v>
      </c>
      <c r="AG254" s="34">
        <v>3</v>
      </c>
      <c r="AH254" s="34">
        <v>0</v>
      </c>
      <c r="AI254" s="34">
        <v>11</v>
      </c>
    </row>
    <row r="255" spans="1:35" ht="15.75" customHeight="1">
      <c r="A255" s="34">
        <v>257</v>
      </c>
      <c r="B255" s="34" t="s">
        <v>337</v>
      </c>
      <c r="C255" s="34" t="s">
        <v>327</v>
      </c>
      <c r="D255" s="34">
        <v>12</v>
      </c>
      <c r="E255" s="34">
        <v>1692</v>
      </c>
      <c r="F255" s="34">
        <v>6</v>
      </c>
      <c r="G255" s="34">
        <v>1698</v>
      </c>
      <c r="H255" s="34">
        <v>8</v>
      </c>
      <c r="I255" s="34">
        <v>1706</v>
      </c>
      <c r="J255" s="34">
        <v>6</v>
      </c>
      <c r="K255" s="34">
        <v>1712</v>
      </c>
      <c r="L255" s="34">
        <v>5</v>
      </c>
      <c r="M255" s="34">
        <v>1717</v>
      </c>
      <c r="N255" s="34">
        <v>7</v>
      </c>
      <c r="O255" s="34">
        <v>1724</v>
      </c>
      <c r="P255" s="34">
        <v>6</v>
      </c>
      <c r="Q255" s="34">
        <v>1730</v>
      </c>
      <c r="R255" s="34">
        <v>6</v>
      </c>
      <c r="S255" s="34">
        <v>1735</v>
      </c>
      <c r="T255" s="34">
        <v>5</v>
      </c>
      <c r="U255" s="34">
        <v>1740</v>
      </c>
      <c r="V255" s="34">
        <v>5</v>
      </c>
      <c r="W255" s="34">
        <v>1744</v>
      </c>
      <c r="X255" s="34">
        <v>4</v>
      </c>
      <c r="Y255" s="34">
        <v>1750</v>
      </c>
      <c r="Z255" s="34">
        <v>6</v>
      </c>
      <c r="AA255" s="34">
        <v>1772</v>
      </c>
      <c r="AB255" s="34">
        <v>22</v>
      </c>
      <c r="AC255" s="34">
        <v>22</v>
      </c>
      <c r="AD255" s="34">
        <v>0</v>
      </c>
      <c r="AE255" s="34">
        <v>0</v>
      </c>
      <c r="AG255" s="34">
        <v>3</v>
      </c>
      <c r="AH255" s="34">
        <v>0</v>
      </c>
      <c r="AI255" s="34">
        <v>25</v>
      </c>
    </row>
    <row r="256" spans="1:35" ht="15.75" customHeight="1">
      <c r="A256" s="34">
        <v>258</v>
      </c>
      <c r="B256" s="34" t="s">
        <v>338</v>
      </c>
      <c r="C256" s="34" t="s">
        <v>327</v>
      </c>
      <c r="D256" s="34">
        <v>13</v>
      </c>
      <c r="E256" s="34">
        <v>2295</v>
      </c>
      <c r="F256" s="34">
        <v>16</v>
      </c>
      <c r="G256" s="34">
        <v>2311</v>
      </c>
      <c r="H256" s="34">
        <v>20</v>
      </c>
      <c r="I256" s="34">
        <v>2331</v>
      </c>
      <c r="J256" s="34">
        <v>13</v>
      </c>
      <c r="K256" s="34">
        <v>2344</v>
      </c>
      <c r="L256" s="34">
        <v>12</v>
      </c>
      <c r="M256" s="34">
        <v>2356</v>
      </c>
      <c r="N256" s="34">
        <v>10</v>
      </c>
      <c r="O256" s="34">
        <v>2366</v>
      </c>
      <c r="P256" s="34">
        <v>7</v>
      </c>
      <c r="Q256" s="34">
        <v>2373</v>
      </c>
      <c r="R256" s="34">
        <v>7</v>
      </c>
      <c r="S256" s="34">
        <v>2381</v>
      </c>
      <c r="T256" s="34">
        <v>8</v>
      </c>
      <c r="U256" s="34">
        <v>2391</v>
      </c>
      <c r="V256" s="34">
        <v>10</v>
      </c>
      <c r="W256" s="34">
        <v>2400</v>
      </c>
      <c r="X256" s="34">
        <v>9</v>
      </c>
      <c r="Y256" s="34">
        <v>2411</v>
      </c>
      <c r="Z256" s="34">
        <v>11</v>
      </c>
      <c r="AA256" s="34">
        <v>2422</v>
      </c>
      <c r="AB256" s="34">
        <v>11</v>
      </c>
      <c r="AC256" s="34">
        <v>11</v>
      </c>
      <c r="AD256" s="34">
        <v>0</v>
      </c>
      <c r="AE256" s="34">
        <v>0</v>
      </c>
      <c r="AG256" s="34">
        <v>3</v>
      </c>
      <c r="AH256" s="34">
        <v>0</v>
      </c>
      <c r="AI256" s="34">
        <v>14</v>
      </c>
    </row>
    <row r="257" spans="1:35" ht="15.75" customHeight="1">
      <c r="A257" s="34">
        <v>259</v>
      </c>
      <c r="B257" s="34" t="s">
        <v>339</v>
      </c>
      <c r="C257" s="34" t="s">
        <v>327</v>
      </c>
      <c r="D257" s="34">
        <v>14</v>
      </c>
      <c r="E257" s="34">
        <v>432</v>
      </c>
      <c r="F257" s="34">
        <v>21</v>
      </c>
      <c r="G257" s="34">
        <v>453</v>
      </c>
      <c r="H257" s="34">
        <v>8</v>
      </c>
      <c r="I257" s="34">
        <v>461</v>
      </c>
      <c r="J257" s="34">
        <v>7</v>
      </c>
      <c r="K257" s="34">
        <v>468</v>
      </c>
      <c r="L257" s="34">
        <v>10</v>
      </c>
      <c r="M257" s="34">
        <v>478</v>
      </c>
      <c r="N257" s="34">
        <v>18</v>
      </c>
      <c r="O257" s="34">
        <v>496</v>
      </c>
      <c r="P257" s="34">
        <v>3</v>
      </c>
      <c r="Q257" s="34">
        <v>499</v>
      </c>
      <c r="R257" s="34">
        <v>3</v>
      </c>
      <c r="S257" s="34">
        <v>502</v>
      </c>
      <c r="T257" s="34">
        <v>3</v>
      </c>
      <c r="U257" s="34">
        <v>505</v>
      </c>
      <c r="V257" s="34">
        <v>3</v>
      </c>
      <c r="W257" s="34">
        <v>508</v>
      </c>
      <c r="X257" s="34">
        <v>3</v>
      </c>
      <c r="Y257" s="34">
        <v>512</v>
      </c>
      <c r="Z257" s="34">
        <v>4</v>
      </c>
      <c r="AA257" s="34">
        <v>517</v>
      </c>
      <c r="AB257" s="34">
        <v>5</v>
      </c>
      <c r="AC257" s="34">
        <v>5</v>
      </c>
      <c r="AD257" s="34">
        <v>0</v>
      </c>
      <c r="AE257" s="34">
        <v>0</v>
      </c>
      <c r="AG257" s="34">
        <v>3</v>
      </c>
      <c r="AH257" s="34">
        <v>0</v>
      </c>
      <c r="AI257" s="34">
        <v>8</v>
      </c>
    </row>
    <row r="258" spans="1:35" ht="15.75" customHeight="1">
      <c r="A258" s="34">
        <v>260</v>
      </c>
      <c r="B258" s="34" t="s">
        <v>340</v>
      </c>
      <c r="C258" s="34" t="s">
        <v>327</v>
      </c>
      <c r="D258" s="34">
        <v>15</v>
      </c>
      <c r="E258" s="34">
        <v>586</v>
      </c>
      <c r="F258" s="34">
        <v>11</v>
      </c>
      <c r="G258" s="34">
        <v>597</v>
      </c>
      <c r="H258" s="34">
        <v>11</v>
      </c>
      <c r="I258" s="34">
        <v>608</v>
      </c>
      <c r="J258" s="34">
        <v>13</v>
      </c>
      <c r="K258" s="34">
        <v>621</v>
      </c>
      <c r="L258" s="34">
        <v>11</v>
      </c>
      <c r="M258" s="34">
        <v>632</v>
      </c>
      <c r="N258" s="34">
        <v>13</v>
      </c>
      <c r="O258" s="34">
        <v>645</v>
      </c>
      <c r="P258" s="34">
        <v>14</v>
      </c>
      <c r="Q258" s="34">
        <v>659</v>
      </c>
      <c r="R258" s="34">
        <v>14</v>
      </c>
      <c r="S258" s="34">
        <v>670</v>
      </c>
      <c r="T258" s="34">
        <v>11</v>
      </c>
      <c r="U258" s="34">
        <v>690</v>
      </c>
      <c r="V258" s="34">
        <v>20</v>
      </c>
      <c r="W258" s="34">
        <v>709</v>
      </c>
      <c r="X258" s="34">
        <v>19</v>
      </c>
      <c r="Y258" s="34">
        <v>727</v>
      </c>
      <c r="Z258" s="34">
        <v>18</v>
      </c>
      <c r="AA258" s="34">
        <v>745</v>
      </c>
      <c r="AB258" s="34">
        <v>18</v>
      </c>
      <c r="AC258" s="34">
        <v>18</v>
      </c>
      <c r="AD258" s="34">
        <v>0</v>
      </c>
      <c r="AE258" s="34">
        <v>0</v>
      </c>
      <c r="AG258" s="34">
        <v>3</v>
      </c>
      <c r="AH258" s="34">
        <v>20</v>
      </c>
      <c r="AI258" s="34">
        <v>41</v>
      </c>
    </row>
    <row r="259" spans="1:35" ht="15.75" customHeight="1">
      <c r="A259" s="34">
        <v>261</v>
      </c>
      <c r="B259" s="34" t="s">
        <v>341</v>
      </c>
      <c r="C259" s="34" t="s">
        <v>327</v>
      </c>
      <c r="D259" s="34">
        <v>16</v>
      </c>
      <c r="E259" s="34">
        <v>357</v>
      </c>
      <c r="F259" s="34">
        <v>1</v>
      </c>
      <c r="G259" s="34">
        <v>358</v>
      </c>
      <c r="H259" s="34">
        <v>2</v>
      </c>
      <c r="I259" s="34">
        <v>360</v>
      </c>
      <c r="J259" s="34">
        <v>21</v>
      </c>
      <c r="K259" s="34">
        <v>381</v>
      </c>
      <c r="L259" s="34">
        <v>5</v>
      </c>
      <c r="M259" s="34">
        <v>386</v>
      </c>
      <c r="N259" s="34">
        <v>3</v>
      </c>
      <c r="O259" s="34">
        <v>389</v>
      </c>
      <c r="P259" s="34">
        <v>2</v>
      </c>
      <c r="Q259" s="34">
        <v>391</v>
      </c>
      <c r="R259" s="34">
        <v>2</v>
      </c>
      <c r="S259" s="34">
        <v>393</v>
      </c>
      <c r="T259" s="34">
        <v>2</v>
      </c>
      <c r="U259" s="34">
        <v>396</v>
      </c>
      <c r="V259" s="34">
        <v>3</v>
      </c>
      <c r="W259" s="34">
        <v>398</v>
      </c>
      <c r="X259" s="34">
        <v>2</v>
      </c>
      <c r="Y259" s="34">
        <v>433</v>
      </c>
      <c r="Z259" s="34">
        <v>35</v>
      </c>
      <c r="AA259" s="34">
        <v>434</v>
      </c>
      <c r="AB259" s="34">
        <v>1</v>
      </c>
      <c r="AC259" s="34">
        <v>5</v>
      </c>
      <c r="AD259" s="34">
        <v>0</v>
      </c>
      <c r="AE259" s="34">
        <v>0</v>
      </c>
      <c r="AG259" s="34">
        <v>3</v>
      </c>
      <c r="AH259" s="34">
        <v>0</v>
      </c>
      <c r="AI259" s="34">
        <v>8</v>
      </c>
    </row>
    <row r="260" spans="1:35" ht="15.75" customHeight="1">
      <c r="A260" s="34">
        <v>262</v>
      </c>
      <c r="B260" s="34" t="s">
        <v>294</v>
      </c>
      <c r="C260" s="34" t="s">
        <v>327</v>
      </c>
      <c r="D260" s="34">
        <v>17</v>
      </c>
      <c r="E260" s="34">
        <v>1249</v>
      </c>
      <c r="F260" s="34">
        <v>2</v>
      </c>
      <c r="G260" s="34">
        <v>1251</v>
      </c>
      <c r="H260" s="34">
        <v>2</v>
      </c>
      <c r="I260" s="34">
        <v>1253</v>
      </c>
      <c r="J260" s="34">
        <v>2</v>
      </c>
      <c r="K260" s="34">
        <v>1255</v>
      </c>
      <c r="L260" s="34">
        <v>2</v>
      </c>
      <c r="M260" s="34">
        <v>1257</v>
      </c>
      <c r="N260" s="34">
        <v>3</v>
      </c>
      <c r="O260" s="34">
        <v>1260</v>
      </c>
      <c r="P260" s="34">
        <v>3</v>
      </c>
      <c r="Q260" s="34">
        <v>1263</v>
      </c>
      <c r="R260" s="34">
        <v>3</v>
      </c>
      <c r="S260" s="34">
        <v>1265</v>
      </c>
      <c r="T260" s="34">
        <v>2</v>
      </c>
      <c r="U260" s="34">
        <v>1269</v>
      </c>
      <c r="V260" s="34">
        <v>4</v>
      </c>
      <c r="W260" s="34">
        <v>1271</v>
      </c>
      <c r="X260" s="34">
        <v>2</v>
      </c>
      <c r="Y260" s="34">
        <v>1277</v>
      </c>
      <c r="Z260" s="34">
        <v>6</v>
      </c>
      <c r="AA260" s="34">
        <v>1280</v>
      </c>
      <c r="AB260" s="34">
        <v>3</v>
      </c>
      <c r="AC260" s="34">
        <v>5</v>
      </c>
      <c r="AD260" s="34">
        <v>0</v>
      </c>
      <c r="AE260" s="34">
        <v>0</v>
      </c>
      <c r="AG260" s="34">
        <v>3</v>
      </c>
      <c r="AH260" s="34">
        <v>20</v>
      </c>
      <c r="AI260" s="34">
        <v>28</v>
      </c>
    </row>
    <row r="261" spans="1:35" ht="15.75" customHeight="1">
      <c r="A261" s="34">
        <v>263</v>
      </c>
      <c r="B261" s="34" t="s">
        <v>343</v>
      </c>
      <c r="C261" s="34" t="s">
        <v>327</v>
      </c>
      <c r="D261" s="34">
        <v>18</v>
      </c>
      <c r="E261" s="34">
        <v>180</v>
      </c>
      <c r="F261" s="34">
        <v>10</v>
      </c>
      <c r="G261" s="34">
        <v>190</v>
      </c>
      <c r="H261" s="34">
        <v>5</v>
      </c>
      <c r="I261" s="34">
        <v>195</v>
      </c>
      <c r="J261" s="34">
        <v>8</v>
      </c>
      <c r="K261" s="34">
        <v>203</v>
      </c>
      <c r="L261" s="34">
        <v>5</v>
      </c>
      <c r="M261" s="34">
        <v>208</v>
      </c>
      <c r="N261" s="34">
        <v>6</v>
      </c>
      <c r="O261" s="34">
        <v>214</v>
      </c>
      <c r="P261" s="34">
        <v>5</v>
      </c>
      <c r="Q261" s="34">
        <v>219</v>
      </c>
      <c r="R261" s="34">
        <v>5</v>
      </c>
      <c r="S261" s="34">
        <v>224</v>
      </c>
      <c r="T261" s="34">
        <v>5</v>
      </c>
      <c r="U261" s="34">
        <v>228</v>
      </c>
      <c r="V261" s="34">
        <v>4</v>
      </c>
      <c r="W261" s="34">
        <v>233</v>
      </c>
      <c r="X261" s="34">
        <v>5</v>
      </c>
      <c r="Y261" s="34">
        <v>237</v>
      </c>
      <c r="Z261" s="34">
        <v>4</v>
      </c>
      <c r="AA261" s="34">
        <v>243</v>
      </c>
      <c r="AB261" s="34">
        <v>6</v>
      </c>
      <c r="AC261" s="34">
        <v>6</v>
      </c>
      <c r="AD261" s="34">
        <v>8</v>
      </c>
      <c r="AE261" s="34">
        <v>0</v>
      </c>
      <c r="AG261" s="34">
        <v>3</v>
      </c>
      <c r="AH261" s="34">
        <v>0</v>
      </c>
      <c r="AI261" s="34">
        <v>17</v>
      </c>
    </row>
    <row r="262" spans="1:35" ht="15.75" customHeight="1">
      <c r="A262" s="34">
        <v>264</v>
      </c>
      <c r="B262" s="34" t="s">
        <v>344</v>
      </c>
      <c r="C262" s="34" t="s">
        <v>327</v>
      </c>
      <c r="D262" s="34">
        <v>19</v>
      </c>
      <c r="E262" s="34">
        <v>2189</v>
      </c>
      <c r="F262" s="34">
        <v>13</v>
      </c>
      <c r="G262" s="34">
        <v>2202</v>
      </c>
      <c r="H262" s="34">
        <v>11</v>
      </c>
      <c r="I262" s="34">
        <v>2213</v>
      </c>
      <c r="J262" s="34">
        <v>9</v>
      </c>
      <c r="K262" s="34">
        <v>2222</v>
      </c>
      <c r="L262" s="34">
        <v>9</v>
      </c>
      <c r="M262" s="34">
        <v>2231</v>
      </c>
      <c r="N262" s="34">
        <v>12</v>
      </c>
      <c r="O262" s="34">
        <v>2243</v>
      </c>
      <c r="P262" s="34">
        <v>8</v>
      </c>
      <c r="Q262" s="34">
        <v>2251</v>
      </c>
      <c r="R262" s="34">
        <v>8</v>
      </c>
      <c r="S262" s="34">
        <v>2258</v>
      </c>
      <c r="T262" s="34">
        <v>7</v>
      </c>
      <c r="U262" s="34">
        <v>2265</v>
      </c>
      <c r="V262" s="34">
        <v>7</v>
      </c>
      <c r="W262" s="34">
        <v>2271</v>
      </c>
      <c r="X262" s="34">
        <v>6</v>
      </c>
      <c r="Y262" s="34">
        <v>2277</v>
      </c>
      <c r="Z262" s="34">
        <v>6</v>
      </c>
      <c r="AA262" s="34">
        <v>2283</v>
      </c>
      <c r="AB262" s="34">
        <v>6</v>
      </c>
      <c r="AC262" s="34">
        <v>6</v>
      </c>
      <c r="AD262" s="34">
        <v>0</v>
      </c>
      <c r="AE262" s="34">
        <v>0</v>
      </c>
      <c r="AG262" s="34">
        <v>3</v>
      </c>
      <c r="AH262" s="34">
        <v>0</v>
      </c>
      <c r="AI262" s="34">
        <v>9</v>
      </c>
    </row>
    <row r="263" spans="1:35" ht="15.75" customHeight="1">
      <c r="A263" s="34">
        <v>265</v>
      </c>
      <c r="B263" s="34" t="s">
        <v>345</v>
      </c>
      <c r="C263" s="34" t="s">
        <v>327</v>
      </c>
      <c r="D263" s="34">
        <v>20</v>
      </c>
      <c r="E263" s="34">
        <v>2222</v>
      </c>
      <c r="F263" s="34">
        <v>30</v>
      </c>
      <c r="G263" s="34">
        <v>2252</v>
      </c>
      <c r="H263" s="34">
        <v>28</v>
      </c>
      <c r="I263" s="34">
        <v>2280</v>
      </c>
      <c r="J263" s="34">
        <v>17</v>
      </c>
      <c r="K263" s="34">
        <v>2297</v>
      </c>
      <c r="L263" s="34">
        <v>10</v>
      </c>
      <c r="M263" s="34">
        <v>2307</v>
      </c>
      <c r="N263" s="34">
        <v>11</v>
      </c>
      <c r="O263" s="34">
        <v>2318</v>
      </c>
      <c r="P263" s="34">
        <v>14</v>
      </c>
      <c r="Q263" s="34">
        <v>2332</v>
      </c>
      <c r="R263" s="34">
        <v>14</v>
      </c>
      <c r="S263" s="34">
        <v>2339</v>
      </c>
      <c r="T263" s="34">
        <v>7</v>
      </c>
      <c r="U263" s="34">
        <v>2347</v>
      </c>
      <c r="V263" s="34">
        <v>8</v>
      </c>
      <c r="W263" s="34">
        <v>2354</v>
      </c>
      <c r="X263" s="34">
        <v>7</v>
      </c>
      <c r="Y263" s="34">
        <v>2366</v>
      </c>
      <c r="Z263" s="34">
        <v>12</v>
      </c>
      <c r="AA263" s="34">
        <v>2377</v>
      </c>
      <c r="AB263" s="34">
        <v>11</v>
      </c>
      <c r="AC263" s="34">
        <v>11</v>
      </c>
      <c r="AD263" s="34">
        <v>0</v>
      </c>
      <c r="AE263" s="34">
        <v>0</v>
      </c>
      <c r="AG263" s="34">
        <v>3</v>
      </c>
      <c r="AH263" s="34">
        <v>0</v>
      </c>
      <c r="AI263" s="34">
        <v>14</v>
      </c>
    </row>
    <row r="264" spans="1:35" ht="15.75" customHeight="1">
      <c r="A264" s="34">
        <v>266</v>
      </c>
      <c r="B264" s="34" t="s">
        <v>346</v>
      </c>
      <c r="C264" s="34" t="s">
        <v>327</v>
      </c>
      <c r="D264" s="34">
        <v>21</v>
      </c>
      <c r="E264" s="34">
        <v>686</v>
      </c>
      <c r="F264" s="34">
        <v>29</v>
      </c>
      <c r="G264" s="34">
        <v>715</v>
      </c>
      <c r="H264" s="34">
        <v>26</v>
      </c>
      <c r="I264" s="34">
        <v>741</v>
      </c>
      <c r="J264" s="34">
        <v>30</v>
      </c>
      <c r="K264" s="34">
        <v>771</v>
      </c>
      <c r="L264" s="34">
        <v>13</v>
      </c>
      <c r="M264" s="34">
        <v>784</v>
      </c>
      <c r="N264" s="34">
        <v>14</v>
      </c>
      <c r="O264" s="34">
        <v>798</v>
      </c>
      <c r="P264" s="34">
        <v>20</v>
      </c>
      <c r="Q264" s="34">
        <v>818</v>
      </c>
      <c r="R264" s="34">
        <v>20</v>
      </c>
      <c r="S264" s="34">
        <v>830</v>
      </c>
      <c r="T264" s="34">
        <v>12</v>
      </c>
      <c r="U264" s="34">
        <v>845</v>
      </c>
      <c r="V264" s="34">
        <v>15</v>
      </c>
      <c r="W264" s="34">
        <v>875</v>
      </c>
      <c r="X264" s="34">
        <v>30</v>
      </c>
      <c r="Y264" s="34">
        <v>876</v>
      </c>
      <c r="Z264" s="34">
        <v>1</v>
      </c>
      <c r="AA264" s="34">
        <v>890</v>
      </c>
      <c r="AB264" s="34">
        <v>14</v>
      </c>
      <c r="AC264" s="34">
        <v>14</v>
      </c>
      <c r="AD264" s="34">
        <v>0</v>
      </c>
      <c r="AE264" s="34">
        <v>0</v>
      </c>
      <c r="AG264" s="34">
        <v>3</v>
      </c>
      <c r="AH264" s="34">
        <v>0</v>
      </c>
      <c r="AI264" s="34">
        <v>17</v>
      </c>
    </row>
    <row r="265" spans="1:35" ht="15.75" customHeight="1">
      <c r="A265" s="34">
        <v>267</v>
      </c>
      <c r="B265" s="34" t="s">
        <v>347</v>
      </c>
      <c r="C265" s="34" t="s">
        <v>327</v>
      </c>
      <c r="D265" s="34">
        <v>22</v>
      </c>
      <c r="E265" s="34">
        <v>1004</v>
      </c>
      <c r="F265" s="34">
        <v>2</v>
      </c>
      <c r="G265" s="34">
        <v>1006</v>
      </c>
      <c r="H265" s="34">
        <v>2</v>
      </c>
      <c r="I265" s="34">
        <v>1008</v>
      </c>
      <c r="J265" s="34">
        <v>2</v>
      </c>
      <c r="K265" s="34">
        <v>1010</v>
      </c>
      <c r="L265" s="34">
        <v>1</v>
      </c>
      <c r="M265" s="34">
        <v>1011</v>
      </c>
      <c r="N265" s="34">
        <v>1</v>
      </c>
      <c r="O265" s="34">
        <v>1012</v>
      </c>
      <c r="P265" s="34">
        <v>1</v>
      </c>
      <c r="Q265" s="34">
        <v>1013</v>
      </c>
      <c r="R265" s="34">
        <v>1</v>
      </c>
      <c r="S265" s="34">
        <v>1013</v>
      </c>
      <c r="T265" s="34">
        <v>0</v>
      </c>
      <c r="U265" s="34">
        <v>1013</v>
      </c>
      <c r="V265" s="34">
        <v>0</v>
      </c>
      <c r="W265" s="34">
        <v>1013</v>
      </c>
      <c r="X265" s="34">
        <v>0</v>
      </c>
      <c r="Y265" s="34">
        <v>1016</v>
      </c>
      <c r="Z265" s="34">
        <v>3</v>
      </c>
      <c r="AA265" s="34">
        <v>1024</v>
      </c>
      <c r="AB265" s="34">
        <v>8</v>
      </c>
      <c r="AC265" s="34">
        <v>8</v>
      </c>
      <c r="AD265" s="34">
        <v>0</v>
      </c>
      <c r="AE265" s="34">
        <v>0</v>
      </c>
      <c r="AG265" s="34">
        <v>3</v>
      </c>
      <c r="AH265" s="34">
        <v>20</v>
      </c>
      <c r="AI265" s="34">
        <v>31</v>
      </c>
    </row>
    <row r="266" spans="1:35" ht="15.75" customHeight="1">
      <c r="A266" s="34">
        <v>268</v>
      </c>
      <c r="B266" s="34" t="s">
        <v>2748</v>
      </c>
      <c r="C266" s="34" t="s">
        <v>327</v>
      </c>
      <c r="D266" s="34">
        <v>23</v>
      </c>
      <c r="E266" s="34">
        <v>1058</v>
      </c>
      <c r="F266" s="34">
        <v>4</v>
      </c>
      <c r="G266" s="34">
        <v>1062</v>
      </c>
      <c r="H266" s="34">
        <v>6</v>
      </c>
      <c r="I266" s="34">
        <v>1068</v>
      </c>
      <c r="J266" s="34">
        <v>6</v>
      </c>
      <c r="K266" s="34">
        <v>1074</v>
      </c>
      <c r="L266" s="34">
        <v>8</v>
      </c>
      <c r="M266" s="34">
        <v>1082</v>
      </c>
      <c r="N266" s="34">
        <v>3</v>
      </c>
      <c r="O266" s="34">
        <v>3</v>
      </c>
      <c r="P266" s="34">
        <v>4</v>
      </c>
      <c r="Q266" s="34">
        <v>7</v>
      </c>
      <c r="R266" s="34">
        <v>4</v>
      </c>
      <c r="S266" s="34">
        <v>10</v>
      </c>
      <c r="T266" s="34">
        <v>3</v>
      </c>
      <c r="U266" s="34">
        <v>13</v>
      </c>
      <c r="V266" s="34">
        <v>3</v>
      </c>
      <c r="W266" s="34">
        <v>16</v>
      </c>
      <c r="X266" s="34">
        <v>3</v>
      </c>
      <c r="Y266" s="34">
        <v>20</v>
      </c>
      <c r="Z266" s="34">
        <v>4</v>
      </c>
      <c r="AA266" s="34">
        <v>23</v>
      </c>
      <c r="AB266" s="34">
        <v>3</v>
      </c>
      <c r="AC266" s="34">
        <v>5</v>
      </c>
      <c r="AD266" s="34">
        <v>0</v>
      </c>
      <c r="AE266" s="34">
        <v>0</v>
      </c>
      <c r="AG266" s="34">
        <v>3</v>
      </c>
      <c r="AH266" s="34">
        <v>0</v>
      </c>
      <c r="AI266" s="34">
        <v>8</v>
      </c>
    </row>
    <row r="267" spans="1:35" ht="15.75" customHeight="1">
      <c r="A267" s="34">
        <v>269</v>
      </c>
      <c r="B267" s="34" t="s">
        <v>349</v>
      </c>
      <c r="C267" s="34" t="s">
        <v>327</v>
      </c>
      <c r="D267" s="34">
        <v>24</v>
      </c>
      <c r="E267" s="34">
        <v>123</v>
      </c>
      <c r="F267" s="34">
        <v>1</v>
      </c>
      <c r="G267" s="34">
        <v>124</v>
      </c>
      <c r="H267" s="34">
        <v>0</v>
      </c>
      <c r="I267" s="34">
        <v>124</v>
      </c>
      <c r="J267" s="34">
        <v>0</v>
      </c>
      <c r="K267" s="34">
        <v>124</v>
      </c>
      <c r="L267" s="34">
        <v>3</v>
      </c>
      <c r="M267" s="34">
        <v>127</v>
      </c>
      <c r="N267" s="34">
        <v>2</v>
      </c>
      <c r="O267" s="34">
        <v>129</v>
      </c>
      <c r="P267" s="34">
        <v>1</v>
      </c>
      <c r="Q267" s="34">
        <v>130</v>
      </c>
      <c r="R267" s="34">
        <v>1</v>
      </c>
      <c r="S267" s="34">
        <v>132</v>
      </c>
      <c r="T267" s="34">
        <v>2</v>
      </c>
      <c r="U267" s="34">
        <v>133</v>
      </c>
      <c r="V267" s="34">
        <v>1</v>
      </c>
      <c r="W267" s="34">
        <v>133</v>
      </c>
      <c r="X267" s="34">
        <v>0</v>
      </c>
      <c r="Y267" s="34">
        <v>133</v>
      </c>
      <c r="Z267" s="34">
        <v>0</v>
      </c>
      <c r="AA267" s="34">
        <v>133</v>
      </c>
      <c r="AB267" s="34">
        <v>0</v>
      </c>
      <c r="AC267" s="34">
        <v>5</v>
      </c>
      <c r="AD267" s="34">
        <v>0</v>
      </c>
      <c r="AE267" s="34">
        <v>0</v>
      </c>
      <c r="AG267" s="34">
        <v>3</v>
      </c>
      <c r="AH267" s="34">
        <v>0</v>
      </c>
      <c r="AI267" s="34">
        <v>8</v>
      </c>
    </row>
    <row r="268" spans="1:35" ht="15.75" customHeight="1">
      <c r="A268" s="34">
        <v>270</v>
      </c>
      <c r="B268" s="34" t="s">
        <v>350</v>
      </c>
      <c r="C268" s="34" t="s">
        <v>327</v>
      </c>
      <c r="D268" s="34">
        <v>25</v>
      </c>
      <c r="E268" s="34">
        <v>1050</v>
      </c>
      <c r="F268" s="34">
        <v>12</v>
      </c>
      <c r="G268" s="34">
        <v>1062</v>
      </c>
      <c r="H268" s="34">
        <v>5</v>
      </c>
      <c r="I268" s="34">
        <v>1067</v>
      </c>
      <c r="J268" s="34">
        <v>8</v>
      </c>
      <c r="K268" s="34">
        <v>1075</v>
      </c>
      <c r="L268" s="34">
        <v>10</v>
      </c>
      <c r="M268" s="34">
        <v>1085</v>
      </c>
      <c r="N268" s="34">
        <v>8</v>
      </c>
      <c r="O268" s="34">
        <v>1093</v>
      </c>
      <c r="P268" s="34">
        <v>2</v>
      </c>
      <c r="Q268" s="34">
        <v>1095</v>
      </c>
      <c r="R268" s="34">
        <v>2</v>
      </c>
      <c r="S268" s="34">
        <v>1096</v>
      </c>
      <c r="T268" s="34">
        <v>1</v>
      </c>
      <c r="U268" s="34">
        <v>1096</v>
      </c>
      <c r="V268" s="34">
        <v>0</v>
      </c>
      <c r="W268" s="34">
        <v>1098</v>
      </c>
      <c r="X268" s="34">
        <v>2</v>
      </c>
      <c r="Y268" s="34">
        <v>1099</v>
      </c>
      <c r="Z268" s="34">
        <v>1</v>
      </c>
      <c r="AA268" s="34">
        <v>1101</v>
      </c>
      <c r="AB268" s="34">
        <v>2</v>
      </c>
      <c r="AC268" s="34">
        <v>5</v>
      </c>
      <c r="AD268" s="34">
        <v>0</v>
      </c>
      <c r="AE268" s="34">
        <v>0</v>
      </c>
      <c r="AG268" s="34">
        <v>3</v>
      </c>
      <c r="AH268" s="34">
        <v>0</v>
      </c>
      <c r="AI268" s="34">
        <v>8</v>
      </c>
    </row>
    <row r="269" spans="1:35" ht="15.75" customHeight="1">
      <c r="A269" s="34">
        <v>271</v>
      </c>
      <c r="B269" s="34" t="s">
        <v>351</v>
      </c>
      <c r="C269" s="34" t="s">
        <v>327</v>
      </c>
      <c r="D269" s="34">
        <v>26</v>
      </c>
      <c r="E269" s="34">
        <v>619</v>
      </c>
      <c r="F269" s="34">
        <v>0</v>
      </c>
      <c r="G269" s="34">
        <v>619</v>
      </c>
      <c r="H269" s="34">
        <v>0</v>
      </c>
      <c r="I269" s="34">
        <v>619</v>
      </c>
      <c r="J269" s="34">
        <v>0</v>
      </c>
      <c r="K269" s="34">
        <v>619</v>
      </c>
      <c r="L269" s="34">
        <v>0</v>
      </c>
      <c r="M269" s="34">
        <v>619</v>
      </c>
      <c r="N269" s="34">
        <v>0</v>
      </c>
      <c r="O269" s="34">
        <v>619</v>
      </c>
      <c r="P269" s="34">
        <v>0</v>
      </c>
      <c r="Q269" s="34">
        <v>619</v>
      </c>
      <c r="R269" s="34">
        <v>0</v>
      </c>
      <c r="S269" s="34">
        <v>619</v>
      </c>
      <c r="T269" s="34">
        <v>0</v>
      </c>
      <c r="U269" s="34">
        <v>619</v>
      </c>
      <c r="V269" s="34">
        <v>0</v>
      </c>
      <c r="W269" s="34">
        <v>619</v>
      </c>
      <c r="X269" s="34">
        <v>0</v>
      </c>
      <c r="Y269" s="34">
        <v>619</v>
      </c>
      <c r="Z269" s="34">
        <v>0</v>
      </c>
      <c r="AA269" s="34">
        <v>619</v>
      </c>
      <c r="AB269" s="34">
        <v>0</v>
      </c>
      <c r="AC269" s="34">
        <v>5</v>
      </c>
      <c r="AD269" s="34">
        <v>0</v>
      </c>
      <c r="AE269" s="34">
        <v>0</v>
      </c>
      <c r="AG269" s="34">
        <v>3</v>
      </c>
      <c r="AH269" s="34">
        <v>20</v>
      </c>
      <c r="AI269" s="34">
        <v>28</v>
      </c>
    </row>
    <row r="270" spans="1:35" ht="15.75" customHeight="1">
      <c r="A270" s="34">
        <v>272</v>
      </c>
      <c r="B270" s="34" t="s">
        <v>352</v>
      </c>
      <c r="C270" s="34" t="s">
        <v>327</v>
      </c>
      <c r="D270" s="34">
        <v>27</v>
      </c>
      <c r="E270" s="34">
        <v>894</v>
      </c>
      <c r="F270" s="34">
        <v>14</v>
      </c>
      <c r="G270" s="34">
        <v>908</v>
      </c>
      <c r="H270" s="34">
        <v>13</v>
      </c>
      <c r="I270" s="34">
        <v>921</v>
      </c>
      <c r="J270" s="34">
        <v>9</v>
      </c>
      <c r="K270" s="34">
        <v>930</v>
      </c>
      <c r="L270" s="34">
        <v>13</v>
      </c>
      <c r="M270" s="34">
        <v>943</v>
      </c>
      <c r="N270" s="34">
        <v>8</v>
      </c>
      <c r="O270" s="34">
        <v>951</v>
      </c>
      <c r="P270" s="34">
        <v>8</v>
      </c>
      <c r="Q270" s="34">
        <v>959</v>
      </c>
      <c r="R270" s="34">
        <v>8</v>
      </c>
      <c r="S270" s="34">
        <v>965</v>
      </c>
      <c r="T270" s="34">
        <v>6</v>
      </c>
      <c r="U270" s="34">
        <v>971</v>
      </c>
      <c r="V270" s="34">
        <v>6</v>
      </c>
      <c r="W270" s="34">
        <v>978</v>
      </c>
      <c r="X270" s="34">
        <v>7</v>
      </c>
      <c r="Y270" s="34">
        <v>988</v>
      </c>
      <c r="Z270" s="34">
        <v>10</v>
      </c>
      <c r="AA270" s="34">
        <v>997</v>
      </c>
      <c r="AB270" s="34">
        <v>9</v>
      </c>
      <c r="AC270" s="34">
        <v>9</v>
      </c>
      <c r="AD270" s="34">
        <v>0</v>
      </c>
      <c r="AE270" s="34">
        <v>0</v>
      </c>
      <c r="AG270" s="34">
        <v>3</v>
      </c>
      <c r="AH270" s="34">
        <v>0</v>
      </c>
      <c r="AI270" s="34">
        <v>12</v>
      </c>
    </row>
    <row r="271" spans="1:35" ht="15.75" customHeight="1">
      <c r="A271" s="34">
        <v>273</v>
      </c>
      <c r="B271" s="34" t="s">
        <v>353</v>
      </c>
      <c r="C271" s="34" t="s">
        <v>327</v>
      </c>
      <c r="D271" s="34" t="s">
        <v>2749</v>
      </c>
      <c r="E271" s="34">
        <v>30</v>
      </c>
      <c r="F271" s="34">
        <v>7</v>
      </c>
      <c r="G271" s="34">
        <v>37</v>
      </c>
      <c r="H271" s="34">
        <v>9</v>
      </c>
      <c r="I271" s="34">
        <v>46</v>
      </c>
      <c r="J271" s="34">
        <v>6</v>
      </c>
      <c r="K271" s="34">
        <v>52</v>
      </c>
      <c r="L271" s="34">
        <v>7</v>
      </c>
      <c r="M271" s="34">
        <v>59</v>
      </c>
      <c r="N271" s="34">
        <v>7</v>
      </c>
      <c r="O271" s="34">
        <v>66</v>
      </c>
      <c r="P271" s="34">
        <v>6</v>
      </c>
      <c r="Q271" s="34">
        <v>72</v>
      </c>
      <c r="R271" s="34">
        <v>6</v>
      </c>
      <c r="S271" s="34">
        <v>78</v>
      </c>
      <c r="T271" s="34">
        <v>6</v>
      </c>
      <c r="U271" s="34">
        <v>82</v>
      </c>
      <c r="V271" s="34">
        <v>4</v>
      </c>
      <c r="W271" s="34">
        <v>88</v>
      </c>
      <c r="X271" s="34">
        <v>6</v>
      </c>
      <c r="Y271" s="34">
        <v>94</v>
      </c>
      <c r="Z271" s="34">
        <v>6</v>
      </c>
      <c r="AA271" s="34">
        <v>100</v>
      </c>
      <c r="AB271" s="34">
        <v>6</v>
      </c>
      <c r="AC271" s="34">
        <v>6</v>
      </c>
      <c r="AD271" s="34">
        <v>0</v>
      </c>
      <c r="AE271" s="34">
        <v>0</v>
      </c>
      <c r="AF271" s="34">
        <v>29</v>
      </c>
      <c r="AG271" s="34">
        <v>3</v>
      </c>
      <c r="AH271" s="34">
        <v>0</v>
      </c>
      <c r="AI271" s="34">
        <v>38</v>
      </c>
    </row>
    <row r="272" spans="1:35" ht="15.75" customHeight="1">
      <c r="A272" s="34">
        <v>274</v>
      </c>
      <c r="B272" s="34" t="s">
        <v>355</v>
      </c>
      <c r="C272" s="34" t="s">
        <v>327</v>
      </c>
      <c r="D272" s="34">
        <v>28</v>
      </c>
      <c r="E272" s="34">
        <v>1011</v>
      </c>
      <c r="F272" s="34">
        <v>6</v>
      </c>
      <c r="G272" s="34">
        <v>1017</v>
      </c>
      <c r="H272" s="34">
        <v>2</v>
      </c>
      <c r="I272" s="34">
        <v>1019</v>
      </c>
      <c r="J272" s="34">
        <v>3</v>
      </c>
      <c r="K272" s="34">
        <v>1022</v>
      </c>
      <c r="L272" s="34">
        <v>3</v>
      </c>
      <c r="M272" s="34">
        <v>1025</v>
      </c>
      <c r="N272" s="34">
        <v>4</v>
      </c>
      <c r="O272" s="34">
        <v>1029</v>
      </c>
      <c r="P272" s="34">
        <v>4</v>
      </c>
      <c r="Q272" s="34">
        <v>1033</v>
      </c>
      <c r="R272" s="34">
        <v>4</v>
      </c>
      <c r="S272" s="34">
        <v>1037</v>
      </c>
      <c r="T272" s="34">
        <v>4</v>
      </c>
      <c r="U272" s="34">
        <v>1039</v>
      </c>
      <c r="V272" s="34">
        <v>2</v>
      </c>
      <c r="W272" s="34">
        <v>1041</v>
      </c>
      <c r="X272" s="34">
        <v>2</v>
      </c>
      <c r="Y272" s="34">
        <v>1043</v>
      </c>
      <c r="Z272" s="34">
        <v>2</v>
      </c>
      <c r="AA272" s="34">
        <v>1045</v>
      </c>
      <c r="AB272" s="34">
        <v>2</v>
      </c>
      <c r="AC272" s="34">
        <v>5</v>
      </c>
      <c r="AD272" s="34">
        <v>0</v>
      </c>
      <c r="AE272" s="34">
        <v>0</v>
      </c>
      <c r="AG272" s="34">
        <v>3</v>
      </c>
      <c r="AH272" s="34">
        <v>20</v>
      </c>
      <c r="AI272" s="34">
        <v>28</v>
      </c>
    </row>
    <row r="273" spans="1:35" ht="15.75" customHeight="1">
      <c r="A273" s="34">
        <v>275</v>
      </c>
      <c r="B273" s="34" t="s">
        <v>356</v>
      </c>
      <c r="C273" s="34" t="s">
        <v>357</v>
      </c>
      <c r="D273" s="34">
        <v>1</v>
      </c>
      <c r="E273" s="34">
        <v>2395</v>
      </c>
      <c r="F273" s="34">
        <v>13</v>
      </c>
      <c r="G273" s="34">
        <v>2408</v>
      </c>
      <c r="H273" s="34">
        <v>10</v>
      </c>
      <c r="I273" s="34">
        <v>2418</v>
      </c>
      <c r="J273" s="34">
        <v>13</v>
      </c>
      <c r="K273" s="34">
        <v>2431</v>
      </c>
      <c r="L273" s="34">
        <v>9</v>
      </c>
      <c r="M273" s="34">
        <v>2440</v>
      </c>
      <c r="N273" s="34">
        <v>9</v>
      </c>
      <c r="O273" s="34">
        <v>2449</v>
      </c>
      <c r="P273" s="34">
        <v>9</v>
      </c>
      <c r="Q273" s="34">
        <v>2458</v>
      </c>
      <c r="R273" s="34">
        <v>9</v>
      </c>
      <c r="S273" s="34">
        <v>2467</v>
      </c>
      <c r="T273" s="34">
        <v>9</v>
      </c>
      <c r="U273" s="34">
        <v>2474</v>
      </c>
      <c r="V273" s="34">
        <v>7</v>
      </c>
      <c r="W273" s="34">
        <v>2481</v>
      </c>
      <c r="X273" s="34">
        <v>7</v>
      </c>
      <c r="Y273" s="34">
        <v>2491</v>
      </c>
      <c r="Z273" s="34">
        <v>10</v>
      </c>
      <c r="AA273" s="34">
        <v>2493</v>
      </c>
      <c r="AB273" s="34">
        <v>2</v>
      </c>
      <c r="AC273" s="34">
        <v>5</v>
      </c>
      <c r="AD273" s="34">
        <v>0</v>
      </c>
      <c r="AE273" s="34">
        <v>0</v>
      </c>
      <c r="AG273" s="34">
        <v>3</v>
      </c>
      <c r="AH273" s="34">
        <v>0</v>
      </c>
      <c r="AI273" s="34">
        <v>8</v>
      </c>
    </row>
    <row r="274" spans="1:35" ht="15.75" customHeight="1">
      <c r="A274" s="34">
        <v>276</v>
      </c>
      <c r="B274" s="34" t="s">
        <v>358</v>
      </c>
      <c r="C274" s="34" t="s">
        <v>357</v>
      </c>
      <c r="D274" s="34">
        <v>2</v>
      </c>
      <c r="E274" s="34">
        <v>262</v>
      </c>
      <c r="F274" s="34">
        <v>15</v>
      </c>
      <c r="G274" s="34">
        <v>277</v>
      </c>
      <c r="H274" s="34">
        <v>16</v>
      </c>
      <c r="I274" s="34">
        <v>293</v>
      </c>
      <c r="J274" s="34">
        <v>14</v>
      </c>
      <c r="K274" s="34">
        <v>307</v>
      </c>
      <c r="L274" s="34">
        <v>18</v>
      </c>
      <c r="M274" s="34">
        <v>325</v>
      </c>
      <c r="N274" s="34">
        <v>14</v>
      </c>
      <c r="O274" s="34">
        <v>339</v>
      </c>
      <c r="P274" s="34">
        <v>11</v>
      </c>
      <c r="Q274" s="34">
        <v>350</v>
      </c>
      <c r="R274" s="34">
        <v>11</v>
      </c>
      <c r="S274" s="34">
        <v>359</v>
      </c>
      <c r="T274" s="34">
        <v>9</v>
      </c>
      <c r="U274" s="34">
        <v>368</v>
      </c>
      <c r="V274" s="34">
        <v>9</v>
      </c>
      <c r="W274" s="34">
        <v>378</v>
      </c>
      <c r="X274" s="34">
        <v>10</v>
      </c>
      <c r="Y274" s="34">
        <v>390</v>
      </c>
      <c r="Z274" s="34">
        <v>12</v>
      </c>
      <c r="AA274" s="34">
        <v>402</v>
      </c>
      <c r="AB274" s="34">
        <v>12</v>
      </c>
      <c r="AC274" s="34">
        <v>12</v>
      </c>
      <c r="AD274" s="34">
        <v>0</v>
      </c>
      <c r="AE274" s="34">
        <v>0</v>
      </c>
      <c r="AG274" s="34">
        <v>3</v>
      </c>
      <c r="AH274" s="34">
        <v>20</v>
      </c>
      <c r="AI274" s="34">
        <v>35</v>
      </c>
    </row>
    <row r="275" spans="1:35" ht="15.75" customHeight="1">
      <c r="A275" s="34">
        <v>277</v>
      </c>
      <c r="B275" s="34" t="s">
        <v>359</v>
      </c>
      <c r="C275" s="34" t="s">
        <v>357</v>
      </c>
      <c r="D275" s="34">
        <v>3</v>
      </c>
      <c r="E275" s="34">
        <v>2107</v>
      </c>
      <c r="F275" s="34">
        <v>28</v>
      </c>
      <c r="G275" s="34">
        <v>2135</v>
      </c>
      <c r="H275" s="34">
        <v>19</v>
      </c>
      <c r="I275" s="34">
        <v>2154</v>
      </c>
      <c r="J275" s="34">
        <v>15</v>
      </c>
      <c r="K275" s="34">
        <v>2169</v>
      </c>
      <c r="L275" s="34">
        <v>20</v>
      </c>
      <c r="M275" s="34">
        <v>2189</v>
      </c>
      <c r="N275" s="34">
        <v>18</v>
      </c>
      <c r="O275" s="34">
        <v>2207</v>
      </c>
      <c r="P275" s="34">
        <v>19</v>
      </c>
      <c r="Q275" s="34">
        <v>2226</v>
      </c>
      <c r="R275" s="34">
        <v>19</v>
      </c>
      <c r="S275" s="34">
        <v>2248</v>
      </c>
      <c r="T275" s="34">
        <v>22</v>
      </c>
      <c r="U275" s="34">
        <v>2259</v>
      </c>
      <c r="V275" s="34">
        <v>11</v>
      </c>
      <c r="W275" s="34">
        <v>2270</v>
      </c>
      <c r="X275" s="34">
        <v>11</v>
      </c>
      <c r="Y275" s="34">
        <v>2284</v>
      </c>
      <c r="Z275" s="34">
        <v>14</v>
      </c>
      <c r="AA275" s="34">
        <v>2298</v>
      </c>
      <c r="AB275" s="34">
        <v>14</v>
      </c>
      <c r="AC275" s="34">
        <v>14</v>
      </c>
      <c r="AD275" s="34">
        <v>0</v>
      </c>
      <c r="AE275" s="34">
        <v>0</v>
      </c>
      <c r="AG275" s="34">
        <v>3</v>
      </c>
      <c r="AH275" s="34">
        <v>0</v>
      </c>
      <c r="AI275" s="34">
        <v>17</v>
      </c>
    </row>
    <row r="276" spans="1:35" ht="15.75" customHeight="1">
      <c r="A276" s="34">
        <v>278</v>
      </c>
      <c r="B276" s="34" t="s">
        <v>360</v>
      </c>
      <c r="C276" s="34" t="s">
        <v>357</v>
      </c>
      <c r="D276" s="34">
        <v>4</v>
      </c>
      <c r="E276" s="34">
        <v>1890</v>
      </c>
      <c r="F276" s="34">
        <v>16</v>
      </c>
      <c r="G276" s="34">
        <v>1906</v>
      </c>
      <c r="H276" s="34">
        <v>19</v>
      </c>
      <c r="I276" s="34">
        <v>1925</v>
      </c>
      <c r="J276" s="34">
        <v>17</v>
      </c>
      <c r="K276" s="34">
        <v>1942</v>
      </c>
      <c r="L276" s="34">
        <v>14</v>
      </c>
      <c r="M276" s="34">
        <v>1956</v>
      </c>
      <c r="N276" s="34">
        <v>14</v>
      </c>
      <c r="O276" s="34">
        <v>1970</v>
      </c>
      <c r="P276" s="34">
        <v>12</v>
      </c>
      <c r="Q276" s="34">
        <v>1982</v>
      </c>
      <c r="R276" s="34">
        <v>12</v>
      </c>
      <c r="S276" s="34">
        <v>1991</v>
      </c>
      <c r="T276" s="34">
        <v>9</v>
      </c>
      <c r="U276" s="34">
        <v>2007</v>
      </c>
      <c r="V276" s="34">
        <v>16</v>
      </c>
      <c r="W276" s="34">
        <v>2028</v>
      </c>
      <c r="X276" s="34">
        <v>21</v>
      </c>
      <c r="Y276" s="34">
        <v>2041</v>
      </c>
      <c r="Z276" s="34">
        <v>13</v>
      </c>
      <c r="AA276" s="34">
        <v>2056</v>
      </c>
      <c r="AB276" s="34">
        <v>15</v>
      </c>
      <c r="AC276" s="34">
        <v>15</v>
      </c>
      <c r="AD276" s="34">
        <v>0</v>
      </c>
      <c r="AE276" s="34">
        <v>0</v>
      </c>
      <c r="AG276" s="34">
        <v>3</v>
      </c>
      <c r="AH276" s="34">
        <v>0</v>
      </c>
      <c r="AI276" s="34">
        <v>18</v>
      </c>
    </row>
    <row r="277" spans="1:35" ht="15.75" customHeight="1">
      <c r="A277" s="34">
        <v>279</v>
      </c>
      <c r="B277" s="34" t="s">
        <v>361</v>
      </c>
      <c r="C277" s="34" t="s">
        <v>357</v>
      </c>
      <c r="D277" s="34">
        <v>5</v>
      </c>
      <c r="E277" s="34">
        <v>10</v>
      </c>
      <c r="F277" s="34">
        <v>10</v>
      </c>
      <c r="G277" s="34">
        <v>20</v>
      </c>
      <c r="H277" s="34">
        <v>0</v>
      </c>
      <c r="I277" s="34">
        <v>20</v>
      </c>
      <c r="J277" s="34">
        <v>5</v>
      </c>
      <c r="K277" s="34">
        <v>25</v>
      </c>
      <c r="L277" s="34">
        <v>5</v>
      </c>
      <c r="M277" s="34">
        <v>30</v>
      </c>
      <c r="N277" s="34">
        <v>4</v>
      </c>
      <c r="O277" s="34">
        <v>34</v>
      </c>
      <c r="P277" s="34">
        <v>3</v>
      </c>
      <c r="Q277" s="34">
        <v>37</v>
      </c>
      <c r="R277" s="34">
        <v>3</v>
      </c>
      <c r="S277" s="34">
        <v>41</v>
      </c>
      <c r="T277" s="34">
        <v>4</v>
      </c>
      <c r="U277" s="34">
        <v>46</v>
      </c>
      <c r="V277" s="34">
        <v>5</v>
      </c>
      <c r="W277" s="34">
        <v>49</v>
      </c>
      <c r="X277" s="34">
        <v>3</v>
      </c>
      <c r="Y277" s="34">
        <v>53</v>
      </c>
      <c r="Z277" s="34">
        <v>4</v>
      </c>
      <c r="AA277" s="34">
        <v>57</v>
      </c>
      <c r="AB277" s="34">
        <v>4</v>
      </c>
      <c r="AC277" s="34">
        <v>5</v>
      </c>
      <c r="AD277" s="34">
        <v>0</v>
      </c>
      <c r="AE277" s="34">
        <v>0</v>
      </c>
      <c r="AG277" s="34">
        <v>3</v>
      </c>
      <c r="AH277" s="34">
        <v>20</v>
      </c>
      <c r="AI277" s="34">
        <v>28</v>
      </c>
    </row>
    <row r="278" spans="1:35" ht="15.75" customHeight="1">
      <c r="A278" s="34">
        <v>280</v>
      </c>
      <c r="B278" s="34" t="s">
        <v>362</v>
      </c>
      <c r="C278" s="34" t="s">
        <v>357</v>
      </c>
      <c r="D278" s="34">
        <v>7</v>
      </c>
      <c r="E278" s="34">
        <v>798</v>
      </c>
      <c r="F278" s="34">
        <v>34</v>
      </c>
      <c r="G278" s="34">
        <v>832</v>
      </c>
      <c r="H278" s="34">
        <v>26</v>
      </c>
      <c r="I278" s="34">
        <v>858</v>
      </c>
      <c r="J278" s="34">
        <v>23</v>
      </c>
      <c r="K278" s="34">
        <v>881</v>
      </c>
      <c r="L278" s="34">
        <v>19</v>
      </c>
      <c r="M278" s="34">
        <v>900</v>
      </c>
      <c r="N278" s="34">
        <v>19</v>
      </c>
      <c r="O278" s="34">
        <v>919</v>
      </c>
      <c r="P278" s="34">
        <v>22</v>
      </c>
      <c r="Q278" s="34">
        <v>941</v>
      </c>
      <c r="R278" s="34">
        <v>22</v>
      </c>
      <c r="S278" s="34">
        <v>958</v>
      </c>
      <c r="T278" s="34">
        <v>17</v>
      </c>
      <c r="U278" s="34">
        <v>974</v>
      </c>
      <c r="V278" s="34">
        <v>16</v>
      </c>
      <c r="W278" s="34">
        <v>990</v>
      </c>
      <c r="X278" s="34">
        <v>16</v>
      </c>
      <c r="Y278" s="34">
        <v>1010</v>
      </c>
      <c r="Z278" s="34">
        <v>20</v>
      </c>
      <c r="AA278" s="34">
        <v>1035</v>
      </c>
      <c r="AB278" s="34">
        <v>25</v>
      </c>
      <c r="AC278" s="34">
        <v>25</v>
      </c>
      <c r="AD278" s="34">
        <v>0</v>
      </c>
      <c r="AE278" s="34">
        <v>0</v>
      </c>
      <c r="AG278" s="34">
        <v>3</v>
      </c>
      <c r="AH278" s="34">
        <v>0</v>
      </c>
      <c r="AI278" s="34">
        <v>28</v>
      </c>
    </row>
    <row r="279" spans="1:35" ht="15.75" customHeight="1">
      <c r="A279" s="34">
        <v>281</v>
      </c>
      <c r="B279" s="34" t="s">
        <v>2750</v>
      </c>
      <c r="C279" s="34" t="s">
        <v>357</v>
      </c>
      <c r="D279" s="34">
        <v>8</v>
      </c>
      <c r="E279" s="34">
        <v>1832</v>
      </c>
      <c r="F279" s="34">
        <v>9</v>
      </c>
      <c r="G279" s="34">
        <v>1841</v>
      </c>
      <c r="H279" s="34">
        <v>10</v>
      </c>
      <c r="I279" s="34">
        <v>1851</v>
      </c>
      <c r="J279" s="34">
        <v>7</v>
      </c>
      <c r="K279" s="34">
        <v>1858</v>
      </c>
      <c r="L279" s="34">
        <v>7</v>
      </c>
      <c r="M279" s="34">
        <v>1865</v>
      </c>
      <c r="N279" s="34">
        <v>5</v>
      </c>
      <c r="O279" s="34">
        <v>1870</v>
      </c>
      <c r="P279" s="34">
        <v>8</v>
      </c>
      <c r="Q279" s="34">
        <v>1878</v>
      </c>
      <c r="R279" s="34">
        <v>8</v>
      </c>
      <c r="S279" s="34">
        <v>1879</v>
      </c>
      <c r="T279" s="34">
        <v>1</v>
      </c>
      <c r="U279" s="34">
        <v>1883</v>
      </c>
      <c r="V279" s="34">
        <v>4</v>
      </c>
      <c r="W279" s="34">
        <v>1888</v>
      </c>
      <c r="X279" s="34">
        <v>5</v>
      </c>
      <c r="Y279" s="34">
        <v>1894</v>
      </c>
      <c r="Z279" s="34">
        <v>6</v>
      </c>
      <c r="AA279" s="34">
        <v>1900</v>
      </c>
      <c r="AB279" s="34">
        <v>6</v>
      </c>
      <c r="AC279" s="34">
        <v>6</v>
      </c>
      <c r="AD279" s="34">
        <v>0</v>
      </c>
      <c r="AE279" s="34">
        <v>0</v>
      </c>
      <c r="AG279" s="34">
        <v>3</v>
      </c>
      <c r="AH279" s="34">
        <v>0</v>
      </c>
      <c r="AI279" s="34">
        <v>9</v>
      </c>
    </row>
    <row r="280" spans="1:35" ht="15.75" customHeight="1">
      <c r="A280" s="34">
        <v>282</v>
      </c>
      <c r="B280" s="34" t="s">
        <v>364</v>
      </c>
      <c r="C280" s="34" t="s">
        <v>357</v>
      </c>
      <c r="D280" s="34">
        <v>10</v>
      </c>
      <c r="E280" s="34">
        <v>560</v>
      </c>
      <c r="F280" s="34">
        <v>8</v>
      </c>
      <c r="G280" s="34">
        <v>568</v>
      </c>
      <c r="H280" s="34">
        <v>11</v>
      </c>
      <c r="I280" s="34">
        <v>579</v>
      </c>
      <c r="J280" s="34">
        <v>8</v>
      </c>
      <c r="K280" s="34">
        <v>587</v>
      </c>
      <c r="L280" s="34">
        <v>7</v>
      </c>
      <c r="M280" s="34">
        <v>594</v>
      </c>
      <c r="N280" s="34">
        <v>7</v>
      </c>
      <c r="O280" s="34">
        <v>601</v>
      </c>
      <c r="P280" s="34">
        <v>5</v>
      </c>
      <c r="Q280" s="34">
        <v>606</v>
      </c>
      <c r="R280" s="34">
        <v>5</v>
      </c>
      <c r="S280" s="34">
        <v>613</v>
      </c>
      <c r="T280" s="34">
        <v>7</v>
      </c>
      <c r="U280" s="34">
        <v>618</v>
      </c>
      <c r="V280" s="34">
        <v>5</v>
      </c>
      <c r="W280" s="34">
        <v>623</v>
      </c>
      <c r="X280" s="34">
        <v>5</v>
      </c>
      <c r="Y280" s="34">
        <v>629</v>
      </c>
      <c r="Z280" s="34">
        <v>6</v>
      </c>
      <c r="AA280" s="34">
        <v>636</v>
      </c>
      <c r="AB280" s="34">
        <v>7</v>
      </c>
      <c r="AC280" s="34">
        <v>7</v>
      </c>
      <c r="AD280" s="34">
        <v>0</v>
      </c>
      <c r="AE280" s="34">
        <v>0</v>
      </c>
      <c r="AG280" s="34">
        <v>3</v>
      </c>
      <c r="AH280" s="34">
        <v>0</v>
      </c>
      <c r="AI280" s="34">
        <v>10</v>
      </c>
    </row>
    <row r="281" spans="1:35" ht="15.75" customHeight="1">
      <c r="A281" s="34">
        <v>283</v>
      </c>
      <c r="B281" s="34" t="s">
        <v>365</v>
      </c>
      <c r="C281" s="34" t="s">
        <v>357</v>
      </c>
      <c r="D281" s="34">
        <v>11</v>
      </c>
      <c r="E281" s="34">
        <v>1707</v>
      </c>
      <c r="F281" s="34">
        <v>21</v>
      </c>
      <c r="G281" s="34">
        <v>1728</v>
      </c>
      <c r="H281" s="34">
        <v>12</v>
      </c>
      <c r="I281" s="34">
        <v>1740</v>
      </c>
      <c r="J281" s="34">
        <v>6</v>
      </c>
      <c r="K281" s="34">
        <v>1746</v>
      </c>
      <c r="L281" s="34">
        <v>14</v>
      </c>
      <c r="M281" s="34">
        <v>1760</v>
      </c>
      <c r="N281" s="34">
        <v>56</v>
      </c>
      <c r="O281" s="34">
        <v>1816</v>
      </c>
      <c r="P281" s="34">
        <v>19</v>
      </c>
      <c r="Q281" s="34">
        <v>1835</v>
      </c>
      <c r="R281" s="34">
        <v>19</v>
      </c>
      <c r="S281" s="34">
        <v>1844</v>
      </c>
      <c r="T281" s="34">
        <v>9</v>
      </c>
      <c r="U281" s="34">
        <v>1847</v>
      </c>
      <c r="V281" s="34">
        <v>3</v>
      </c>
      <c r="W281" s="34">
        <v>1849</v>
      </c>
      <c r="X281" s="34">
        <v>2</v>
      </c>
      <c r="Y281" s="34">
        <v>1853</v>
      </c>
      <c r="Z281" s="34">
        <v>4</v>
      </c>
      <c r="AA281" s="34">
        <v>1855</v>
      </c>
      <c r="AB281" s="34">
        <v>2</v>
      </c>
      <c r="AC281" s="34">
        <v>5</v>
      </c>
      <c r="AD281" s="34">
        <v>0</v>
      </c>
      <c r="AE281" s="34">
        <v>0</v>
      </c>
      <c r="AG281" s="34">
        <v>3</v>
      </c>
      <c r="AH281" s="34">
        <v>20</v>
      </c>
      <c r="AI281" s="34">
        <v>28</v>
      </c>
    </row>
    <row r="282" spans="1:35" ht="15.75" customHeight="1">
      <c r="A282" s="34">
        <v>284</v>
      </c>
      <c r="B282" s="34" t="s">
        <v>367</v>
      </c>
      <c r="C282" s="34" t="s">
        <v>357</v>
      </c>
      <c r="D282" s="34" t="s">
        <v>2751</v>
      </c>
      <c r="E282" s="34">
        <v>71</v>
      </c>
      <c r="F282" s="34">
        <v>6</v>
      </c>
      <c r="G282" s="34">
        <v>77</v>
      </c>
      <c r="H282" s="34">
        <v>7</v>
      </c>
      <c r="I282" s="34">
        <v>84</v>
      </c>
      <c r="J282" s="34">
        <v>6</v>
      </c>
      <c r="K282" s="34">
        <v>90</v>
      </c>
      <c r="L282" s="34">
        <v>8</v>
      </c>
      <c r="M282" s="34">
        <v>98</v>
      </c>
      <c r="N282" s="34">
        <v>6</v>
      </c>
      <c r="O282" s="34">
        <v>104</v>
      </c>
      <c r="P282" s="34">
        <v>6</v>
      </c>
      <c r="Q282" s="34">
        <v>110</v>
      </c>
      <c r="R282" s="34">
        <v>6</v>
      </c>
      <c r="S282" s="34">
        <v>116</v>
      </c>
      <c r="T282" s="34">
        <v>6</v>
      </c>
      <c r="U282" s="34">
        <v>127</v>
      </c>
      <c r="V282" s="34">
        <v>11</v>
      </c>
      <c r="W282" s="34">
        <v>132</v>
      </c>
      <c r="X282" s="34">
        <v>5</v>
      </c>
      <c r="Y282" s="34">
        <v>139</v>
      </c>
      <c r="Z282" s="34">
        <v>7</v>
      </c>
      <c r="AA282" s="34">
        <v>147</v>
      </c>
      <c r="AB282" s="34">
        <v>8</v>
      </c>
      <c r="AC282" s="34">
        <v>8</v>
      </c>
      <c r="AD282" s="34">
        <v>0</v>
      </c>
      <c r="AE282" s="34">
        <v>0</v>
      </c>
      <c r="AG282" s="34">
        <v>3</v>
      </c>
      <c r="AH282" s="34">
        <v>0</v>
      </c>
      <c r="AI282" s="34">
        <v>11</v>
      </c>
    </row>
    <row r="283" spans="1:35" ht="15.75" customHeight="1">
      <c r="A283" s="34">
        <v>285</v>
      </c>
      <c r="B283" s="34" t="s">
        <v>370</v>
      </c>
      <c r="C283" s="34" t="s">
        <v>357</v>
      </c>
      <c r="D283" s="34">
        <v>12</v>
      </c>
      <c r="E283" s="34">
        <v>1757</v>
      </c>
      <c r="F283" s="34">
        <v>22</v>
      </c>
      <c r="G283" s="34">
        <v>1779</v>
      </c>
      <c r="H283" s="34">
        <v>24</v>
      </c>
      <c r="I283" s="34">
        <v>1803</v>
      </c>
      <c r="J283" s="34">
        <v>20</v>
      </c>
      <c r="K283" s="34">
        <v>1823</v>
      </c>
      <c r="L283" s="34">
        <v>17</v>
      </c>
      <c r="M283" s="34">
        <v>1840</v>
      </c>
      <c r="N283" s="34">
        <v>12</v>
      </c>
      <c r="O283" s="34">
        <v>1852</v>
      </c>
      <c r="P283" s="34">
        <v>13</v>
      </c>
      <c r="Q283" s="34">
        <v>1865</v>
      </c>
      <c r="R283" s="34">
        <v>13</v>
      </c>
      <c r="S283" s="34">
        <v>1878</v>
      </c>
      <c r="T283" s="34">
        <v>13</v>
      </c>
      <c r="U283" s="34">
        <v>1893</v>
      </c>
      <c r="V283" s="34">
        <v>15</v>
      </c>
      <c r="W283" s="34">
        <v>1906</v>
      </c>
      <c r="X283" s="34">
        <v>13</v>
      </c>
      <c r="Y283" s="34">
        <v>1921</v>
      </c>
      <c r="Z283" s="34">
        <v>15</v>
      </c>
      <c r="AA283" s="34">
        <v>1939</v>
      </c>
      <c r="AB283" s="34">
        <v>18</v>
      </c>
      <c r="AC283" s="34">
        <v>18</v>
      </c>
      <c r="AD283" s="34">
        <v>18</v>
      </c>
      <c r="AE283" s="34">
        <v>0</v>
      </c>
      <c r="AG283" s="34">
        <v>3</v>
      </c>
      <c r="AH283" s="34">
        <v>0</v>
      </c>
      <c r="AI283" s="34">
        <v>39</v>
      </c>
    </row>
    <row r="284" spans="1:35" ht="15.75" customHeight="1">
      <c r="A284" s="34">
        <v>286</v>
      </c>
      <c r="B284" s="34" t="s">
        <v>371</v>
      </c>
      <c r="C284" s="34" t="s">
        <v>357</v>
      </c>
      <c r="D284" s="34">
        <v>13</v>
      </c>
      <c r="E284" s="34">
        <v>1562</v>
      </c>
      <c r="F284" s="34">
        <v>8</v>
      </c>
      <c r="G284" s="34">
        <v>1570</v>
      </c>
      <c r="H284" s="34">
        <v>8</v>
      </c>
      <c r="I284" s="34">
        <v>1578</v>
      </c>
      <c r="J284" s="34">
        <v>8</v>
      </c>
      <c r="K284" s="34">
        <v>1586</v>
      </c>
      <c r="L284" s="34">
        <v>6</v>
      </c>
      <c r="M284" s="34">
        <v>1592</v>
      </c>
      <c r="N284" s="34">
        <v>6</v>
      </c>
      <c r="O284" s="34">
        <v>1598</v>
      </c>
      <c r="P284" s="34">
        <v>5</v>
      </c>
      <c r="Q284" s="34">
        <v>1603</v>
      </c>
      <c r="R284" s="34">
        <v>5</v>
      </c>
      <c r="S284" s="34">
        <v>1608</v>
      </c>
      <c r="T284" s="34">
        <v>5</v>
      </c>
      <c r="U284" s="34">
        <v>1617</v>
      </c>
      <c r="V284" s="34">
        <v>9</v>
      </c>
      <c r="W284" s="34">
        <v>1622</v>
      </c>
      <c r="X284" s="34">
        <v>5</v>
      </c>
      <c r="Y284" s="34">
        <v>1627</v>
      </c>
      <c r="Z284" s="34">
        <v>5</v>
      </c>
      <c r="AA284" s="34">
        <v>1632</v>
      </c>
      <c r="AB284" s="34">
        <v>5</v>
      </c>
      <c r="AC284" s="34">
        <v>5</v>
      </c>
      <c r="AD284" s="34">
        <v>0</v>
      </c>
      <c r="AE284" s="34">
        <v>0</v>
      </c>
      <c r="AG284" s="34">
        <v>3</v>
      </c>
      <c r="AH284" s="34">
        <v>0</v>
      </c>
      <c r="AI284" s="34">
        <v>8</v>
      </c>
    </row>
    <row r="285" spans="1:35" ht="15.75" customHeight="1">
      <c r="A285" s="34">
        <v>287</v>
      </c>
      <c r="B285" s="34" t="s">
        <v>372</v>
      </c>
      <c r="C285" s="34" t="s">
        <v>357</v>
      </c>
      <c r="D285" s="34">
        <v>14</v>
      </c>
      <c r="E285" s="34">
        <v>32</v>
      </c>
      <c r="F285" s="34">
        <v>5</v>
      </c>
      <c r="G285" s="34">
        <v>37</v>
      </c>
      <c r="H285" s="34">
        <v>7</v>
      </c>
      <c r="I285" s="34">
        <v>44</v>
      </c>
      <c r="J285" s="34">
        <v>5</v>
      </c>
      <c r="K285" s="34">
        <v>49</v>
      </c>
      <c r="L285" s="34">
        <v>9</v>
      </c>
      <c r="M285" s="34">
        <v>58</v>
      </c>
      <c r="N285" s="34">
        <v>-2</v>
      </c>
      <c r="O285" s="34">
        <v>56</v>
      </c>
      <c r="P285" s="34">
        <v>4</v>
      </c>
      <c r="Q285" s="34">
        <v>60</v>
      </c>
      <c r="R285" s="34">
        <v>4</v>
      </c>
      <c r="S285" s="34">
        <v>62</v>
      </c>
      <c r="T285" s="34">
        <v>2</v>
      </c>
      <c r="U285" s="34">
        <v>65</v>
      </c>
      <c r="V285" s="34">
        <v>3</v>
      </c>
      <c r="W285" s="34">
        <v>66</v>
      </c>
      <c r="X285" s="34">
        <v>1</v>
      </c>
      <c r="Y285" s="34">
        <v>67</v>
      </c>
      <c r="Z285" s="34">
        <v>1</v>
      </c>
      <c r="AA285" s="34">
        <v>68</v>
      </c>
      <c r="AB285" s="34">
        <v>1</v>
      </c>
      <c r="AC285" s="34">
        <v>5</v>
      </c>
      <c r="AD285" s="34">
        <v>0</v>
      </c>
      <c r="AE285" s="34">
        <v>0</v>
      </c>
      <c r="AG285" s="34">
        <v>3</v>
      </c>
      <c r="AH285" s="34">
        <v>20</v>
      </c>
      <c r="AI285" s="34">
        <v>28</v>
      </c>
    </row>
    <row r="286" spans="1:35" ht="15.75" customHeight="1">
      <c r="A286" s="34">
        <v>288</v>
      </c>
      <c r="B286" s="34" t="s">
        <v>373</v>
      </c>
      <c r="C286" s="34" t="s">
        <v>357</v>
      </c>
      <c r="D286" s="34">
        <v>15</v>
      </c>
      <c r="E286" s="34">
        <v>1086</v>
      </c>
      <c r="F286" s="34">
        <v>13</v>
      </c>
      <c r="G286" s="34">
        <v>1099</v>
      </c>
      <c r="H286" s="34">
        <v>15</v>
      </c>
      <c r="I286" s="34">
        <v>1114</v>
      </c>
      <c r="J286" s="34">
        <v>11</v>
      </c>
      <c r="K286" s="34">
        <v>1125</v>
      </c>
      <c r="L286" s="34">
        <v>8</v>
      </c>
      <c r="M286" s="34">
        <v>1133</v>
      </c>
      <c r="N286" s="34">
        <v>9</v>
      </c>
      <c r="O286" s="34">
        <v>1142</v>
      </c>
      <c r="P286" s="34">
        <v>2</v>
      </c>
      <c r="Q286" s="34">
        <v>1144</v>
      </c>
      <c r="R286" s="34">
        <v>2</v>
      </c>
      <c r="S286" s="34">
        <v>1145</v>
      </c>
      <c r="T286" s="34">
        <v>1</v>
      </c>
      <c r="U286" s="34">
        <v>1147</v>
      </c>
      <c r="V286" s="34">
        <v>2</v>
      </c>
      <c r="W286" s="34">
        <v>1148</v>
      </c>
      <c r="X286" s="34">
        <v>1</v>
      </c>
      <c r="Y286" s="34">
        <v>1151</v>
      </c>
      <c r="Z286" s="34">
        <v>3</v>
      </c>
      <c r="AA286" s="34">
        <v>1153</v>
      </c>
      <c r="AB286" s="34">
        <v>2</v>
      </c>
      <c r="AC286" s="34">
        <v>5</v>
      </c>
      <c r="AD286" s="34">
        <v>0</v>
      </c>
      <c r="AE286" s="34">
        <v>0</v>
      </c>
      <c r="AG286" s="34">
        <v>3</v>
      </c>
      <c r="AH286" s="34">
        <v>0</v>
      </c>
      <c r="AI286" s="34">
        <v>8</v>
      </c>
    </row>
    <row r="287" spans="1:35" ht="15.75" customHeight="1">
      <c r="A287" s="34">
        <v>289</v>
      </c>
      <c r="B287" s="34" t="s">
        <v>374</v>
      </c>
      <c r="C287" s="34" t="s">
        <v>357</v>
      </c>
      <c r="D287" s="34">
        <v>17</v>
      </c>
      <c r="E287" s="34">
        <v>555</v>
      </c>
      <c r="F287" s="34">
        <v>6</v>
      </c>
      <c r="G287" s="34">
        <v>561</v>
      </c>
      <c r="H287" s="34">
        <v>6</v>
      </c>
      <c r="I287" s="34">
        <v>567</v>
      </c>
      <c r="J287" s="34">
        <v>7</v>
      </c>
      <c r="K287" s="34">
        <v>574</v>
      </c>
      <c r="L287" s="34">
        <v>6</v>
      </c>
      <c r="M287" s="34">
        <v>580</v>
      </c>
      <c r="N287" s="34">
        <v>5</v>
      </c>
      <c r="O287" s="34">
        <v>585</v>
      </c>
      <c r="P287" s="34">
        <v>5</v>
      </c>
      <c r="Q287" s="34">
        <v>590</v>
      </c>
      <c r="R287" s="34">
        <v>5</v>
      </c>
      <c r="S287" s="34">
        <v>594</v>
      </c>
      <c r="T287" s="34">
        <v>4</v>
      </c>
      <c r="U287" s="34">
        <v>598</v>
      </c>
      <c r="V287" s="34">
        <v>4</v>
      </c>
      <c r="W287" s="34">
        <v>603</v>
      </c>
      <c r="X287" s="34">
        <v>5</v>
      </c>
      <c r="Y287" s="34">
        <v>609</v>
      </c>
      <c r="Z287" s="34">
        <v>6</v>
      </c>
      <c r="AA287" s="34">
        <v>616</v>
      </c>
      <c r="AB287" s="34">
        <v>7</v>
      </c>
      <c r="AC287" s="34">
        <v>7</v>
      </c>
      <c r="AD287" s="34">
        <v>0</v>
      </c>
      <c r="AE287" s="34">
        <v>0</v>
      </c>
      <c r="AG287" s="34">
        <v>3</v>
      </c>
      <c r="AH287" s="34">
        <v>0</v>
      </c>
      <c r="AI287" s="34">
        <v>10</v>
      </c>
    </row>
    <row r="288" spans="1:35" ht="15.75" customHeight="1">
      <c r="A288" s="34">
        <v>290</v>
      </c>
      <c r="B288" s="34" t="s">
        <v>375</v>
      </c>
      <c r="C288" s="34" t="s">
        <v>357</v>
      </c>
      <c r="D288" s="34">
        <v>18</v>
      </c>
      <c r="E288" s="34">
        <v>1296</v>
      </c>
      <c r="F288" s="34">
        <v>7</v>
      </c>
      <c r="G288" s="34">
        <v>1303</v>
      </c>
      <c r="H288" s="34">
        <v>8</v>
      </c>
      <c r="I288" s="34">
        <v>1311</v>
      </c>
      <c r="J288" s="34">
        <v>7</v>
      </c>
      <c r="K288" s="34">
        <v>1318</v>
      </c>
      <c r="L288" s="34">
        <v>7</v>
      </c>
      <c r="M288" s="34">
        <v>1325</v>
      </c>
      <c r="N288" s="34">
        <v>6</v>
      </c>
      <c r="O288" s="34">
        <v>1331</v>
      </c>
      <c r="P288" s="34">
        <v>4</v>
      </c>
      <c r="Q288" s="34">
        <v>1335</v>
      </c>
      <c r="R288" s="34">
        <v>4</v>
      </c>
      <c r="S288" s="34">
        <v>1337</v>
      </c>
      <c r="T288" s="34">
        <v>2</v>
      </c>
      <c r="U288" s="34">
        <v>1340</v>
      </c>
      <c r="V288" s="34">
        <v>3</v>
      </c>
      <c r="W288" s="34">
        <v>1343</v>
      </c>
      <c r="X288" s="34">
        <v>3</v>
      </c>
      <c r="Y288" s="34">
        <v>1347</v>
      </c>
      <c r="Z288" s="34">
        <v>4</v>
      </c>
      <c r="AA288" s="34">
        <v>1353</v>
      </c>
      <c r="AB288" s="34">
        <v>6</v>
      </c>
      <c r="AC288" s="34">
        <v>6</v>
      </c>
      <c r="AD288" s="34">
        <v>8</v>
      </c>
      <c r="AE288" s="34">
        <v>0</v>
      </c>
      <c r="AG288" s="34">
        <v>3</v>
      </c>
      <c r="AH288" s="34">
        <v>0</v>
      </c>
      <c r="AI288" s="34">
        <v>17</v>
      </c>
    </row>
    <row r="289" spans="1:35" ht="15.75" customHeight="1">
      <c r="A289" s="34">
        <v>291</v>
      </c>
      <c r="B289" s="34" t="s">
        <v>376</v>
      </c>
      <c r="C289" s="34" t="s">
        <v>357</v>
      </c>
      <c r="D289" s="34">
        <v>19</v>
      </c>
      <c r="E289" s="34">
        <v>1869</v>
      </c>
      <c r="F289" s="34">
        <v>11</v>
      </c>
      <c r="G289" s="34">
        <v>1880</v>
      </c>
      <c r="H289" s="34">
        <v>21</v>
      </c>
      <c r="I289" s="34">
        <v>1901</v>
      </c>
      <c r="J289" s="34">
        <v>10</v>
      </c>
      <c r="K289" s="34">
        <v>1911</v>
      </c>
      <c r="L289" s="34">
        <v>7</v>
      </c>
      <c r="M289" s="34">
        <v>1918</v>
      </c>
      <c r="N289" s="34">
        <v>9</v>
      </c>
      <c r="O289" s="34">
        <v>1927</v>
      </c>
      <c r="P289" s="34">
        <v>8</v>
      </c>
      <c r="Q289" s="34">
        <v>1935</v>
      </c>
      <c r="R289" s="34">
        <v>8</v>
      </c>
      <c r="S289" s="34">
        <v>1945</v>
      </c>
      <c r="T289" s="34">
        <v>10</v>
      </c>
      <c r="U289" s="34">
        <v>1950</v>
      </c>
      <c r="V289" s="34">
        <v>5</v>
      </c>
      <c r="W289" s="34">
        <v>1957</v>
      </c>
      <c r="X289" s="34">
        <v>7</v>
      </c>
      <c r="Y289" s="34">
        <v>1965</v>
      </c>
      <c r="Z289" s="34">
        <v>8</v>
      </c>
      <c r="AA289" s="34">
        <v>1973</v>
      </c>
      <c r="AB289" s="34">
        <v>8</v>
      </c>
      <c r="AC289" s="34">
        <v>8</v>
      </c>
      <c r="AD289" s="34">
        <v>0</v>
      </c>
      <c r="AE289" s="34">
        <v>0</v>
      </c>
      <c r="AG289" s="34">
        <v>3</v>
      </c>
      <c r="AH289" s="34">
        <v>0</v>
      </c>
      <c r="AI289" s="34">
        <v>11</v>
      </c>
    </row>
    <row r="290" spans="1:35" ht="15.75" customHeight="1">
      <c r="A290" s="34">
        <v>292</v>
      </c>
      <c r="B290" s="34" t="s">
        <v>377</v>
      </c>
      <c r="C290" s="34" t="s">
        <v>378</v>
      </c>
      <c r="D290" s="34">
        <v>1</v>
      </c>
      <c r="E290" s="34">
        <v>268</v>
      </c>
      <c r="F290" s="34">
        <v>2</v>
      </c>
      <c r="G290" s="34">
        <v>270</v>
      </c>
      <c r="H290" s="34">
        <v>2</v>
      </c>
      <c r="I290" s="34">
        <v>272</v>
      </c>
      <c r="J290" s="34">
        <v>1</v>
      </c>
      <c r="K290" s="34">
        <v>273</v>
      </c>
      <c r="L290" s="34">
        <v>1</v>
      </c>
      <c r="M290" s="34">
        <v>274</v>
      </c>
      <c r="N290" s="34">
        <v>2</v>
      </c>
      <c r="O290" s="34">
        <v>276</v>
      </c>
      <c r="P290" s="34">
        <v>0</v>
      </c>
      <c r="Q290" s="34">
        <v>276</v>
      </c>
      <c r="R290" s="34">
        <v>0</v>
      </c>
      <c r="S290" s="34">
        <v>276</v>
      </c>
      <c r="T290" s="34">
        <v>0</v>
      </c>
      <c r="U290" s="34">
        <v>277</v>
      </c>
      <c r="V290" s="34">
        <v>1</v>
      </c>
      <c r="W290" s="34">
        <v>278</v>
      </c>
      <c r="X290" s="34">
        <v>1</v>
      </c>
      <c r="Y290" s="34">
        <v>279</v>
      </c>
      <c r="Z290" s="34">
        <v>1</v>
      </c>
      <c r="AA290" s="34">
        <v>282</v>
      </c>
      <c r="AB290" s="34">
        <v>3</v>
      </c>
      <c r="AC290" s="34">
        <v>5</v>
      </c>
      <c r="AD290" s="34">
        <v>0</v>
      </c>
      <c r="AE290" s="34">
        <v>0</v>
      </c>
      <c r="AG290" s="34">
        <v>3</v>
      </c>
      <c r="AH290" s="34">
        <v>0</v>
      </c>
      <c r="AI290" s="34">
        <v>8</v>
      </c>
    </row>
    <row r="291" spans="1:35" ht="15.75" customHeight="1">
      <c r="A291" s="34">
        <v>293</v>
      </c>
      <c r="B291" s="34" t="s">
        <v>379</v>
      </c>
      <c r="C291" s="34" t="s">
        <v>378</v>
      </c>
      <c r="D291" s="34">
        <v>2</v>
      </c>
      <c r="E291" s="34">
        <v>385</v>
      </c>
      <c r="F291" s="34">
        <v>9</v>
      </c>
      <c r="G291" s="34">
        <v>394</v>
      </c>
      <c r="H291" s="34">
        <v>11</v>
      </c>
      <c r="I291" s="34">
        <v>405</v>
      </c>
      <c r="J291" s="34">
        <v>12</v>
      </c>
      <c r="K291" s="34">
        <v>417</v>
      </c>
      <c r="L291" s="34">
        <v>12</v>
      </c>
      <c r="M291" s="34">
        <v>429</v>
      </c>
      <c r="N291" s="34">
        <v>10</v>
      </c>
      <c r="O291" s="34">
        <v>439</v>
      </c>
      <c r="P291" s="34">
        <v>16</v>
      </c>
      <c r="Q291" s="34">
        <v>455</v>
      </c>
      <c r="R291" s="34">
        <v>16</v>
      </c>
      <c r="S291" s="34">
        <v>468</v>
      </c>
      <c r="T291" s="34">
        <v>13</v>
      </c>
      <c r="U291" s="34">
        <v>484</v>
      </c>
      <c r="V291" s="34">
        <v>16</v>
      </c>
      <c r="W291" s="34">
        <v>514</v>
      </c>
      <c r="X291" s="34">
        <v>30</v>
      </c>
      <c r="Y291" s="34">
        <v>539</v>
      </c>
      <c r="Z291" s="34">
        <v>25</v>
      </c>
      <c r="AA291" s="34">
        <v>565</v>
      </c>
      <c r="AB291" s="34">
        <v>26</v>
      </c>
      <c r="AC291" s="34">
        <v>26</v>
      </c>
      <c r="AD291" s="34">
        <v>0</v>
      </c>
      <c r="AE291" s="34">
        <v>0</v>
      </c>
      <c r="AG291" s="34">
        <v>3</v>
      </c>
      <c r="AH291" s="34">
        <v>0</v>
      </c>
      <c r="AI291" s="34">
        <v>29</v>
      </c>
    </row>
    <row r="292" spans="1:35" ht="15.75" customHeight="1">
      <c r="A292" s="34">
        <v>294</v>
      </c>
      <c r="B292" s="34" t="s">
        <v>380</v>
      </c>
      <c r="C292" s="34" t="s">
        <v>378</v>
      </c>
      <c r="D292" s="34">
        <v>3</v>
      </c>
      <c r="E292" s="34">
        <v>2141</v>
      </c>
      <c r="F292" s="34">
        <v>19</v>
      </c>
      <c r="G292" s="34">
        <v>2160</v>
      </c>
      <c r="H292" s="34">
        <v>11</v>
      </c>
      <c r="I292" s="34">
        <v>2171</v>
      </c>
      <c r="J292" s="34">
        <v>12</v>
      </c>
      <c r="K292" s="34">
        <v>2183</v>
      </c>
      <c r="L292" s="34">
        <v>11</v>
      </c>
      <c r="M292" s="34">
        <v>2194</v>
      </c>
      <c r="N292" s="34">
        <v>10</v>
      </c>
      <c r="O292" s="34">
        <v>2204</v>
      </c>
      <c r="P292" s="34">
        <v>12</v>
      </c>
      <c r="Q292" s="34">
        <v>2216</v>
      </c>
      <c r="R292" s="34">
        <v>12</v>
      </c>
      <c r="S292" s="34">
        <v>2224</v>
      </c>
      <c r="T292" s="34">
        <v>8</v>
      </c>
      <c r="U292" s="34">
        <v>2231</v>
      </c>
      <c r="V292" s="34">
        <v>7</v>
      </c>
      <c r="W292" s="34">
        <v>2239</v>
      </c>
      <c r="X292" s="34">
        <v>8</v>
      </c>
      <c r="Y292" s="34">
        <v>2249</v>
      </c>
      <c r="Z292" s="34">
        <v>10</v>
      </c>
      <c r="AA292" s="34">
        <v>2261</v>
      </c>
      <c r="AB292" s="34">
        <v>12</v>
      </c>
      <c r="AC292" s="34">
        <v>12</v>
      </c>
      <c r="AD292" s="34">
        <v>13</v>
      </c>
      <c r="AE292" s="34">
        <v>0</v>
      </c>
      <c r="AG292" s="34">
        <v>3</v>
      </c>
      <c r="AH292" s="34">
        <v>0</v>
      </c>
      <c r="AI292" s="34">
        <v>28</v>
      </c>
    </row>
    <row r="293" spans="1:35" ht="15.75" customHeight="1">
      <c r="A293" s="34">
        <v>295</v>
      </c>
      <c r="B293" s="34" t="s">
        <v>381</v>
      </c>
      <c r="C293" s="34" t="s">
        <v>378</v>
      </c>
      <c r="D293" s="34">
        <v>5</v>
      </c>
      <c r="E293" s="34">
        <v>3126</v>
      </c>
      <c r="F293" s="34">
        <v>11</v>
      </c>
      <c r="G293" s="34">
        <v>3137</v>
      </c>
      <c r="H293" s="34">
        <v>15</v>
      </c>
      <c r="I293" s="34">
        <v>3152</v>
      </c>
      <c r="J293" s="34">
        <v>17</v>
      </c>
      <c r="K293" s="34">
        <v>3169</v>
      </c>
      <c r="L293" s="34">
        <v>20</v>
      </c>
      <c r="M293" s="34">
        <v>3189</v>
      </c>
      <c r="N293" s="34">
        <v>14</v>
      </c>
      <c r="O293" s="34">
        <v>3203</v>
      </c>
      <c r="P293" s="34">
        <v>8</v>
      </c>
      <c r="Q293" s="34">
        <v>3211</v>
      </c>
      <c r="R293" s="34">
        <v>8</v>
      </c>
      <c r="S293" s="34">
        <v>3219</v>
      </c>
      <c r="T293" s="34">
        <v>8</v>
      </c>
      <c r="U293" s="34">
        <v>3217</v>
      </c>
      <c r="V293" s="34">
        <v>8</v>
      </c>
      <c r="W293" s="34">
        <v>3233</v>
      </c>
      <c r="X293" s="34">
        <v>16</v>
      </c>
      <c r="Y293" s="34">
        <v>3243</v>
      </c>
      <c r="Z293" s="34">
        <v>10</v>
      </c>
      <c r="AA293" s="34">
        <v>3252</v>
      </c>
      <c r="AB293" s="34">
        <v>9</v>
      </c>
      <c r="AC293" s="34">
        <v>9</v>
      </c>
      <c r="AD293" s="34">
        <v>13</v>
      </c>
      <c r="AE293" s="34">
        <v>0</v>
      </c>
      <c r="AG293" s="34">
        <v>3</v>
      </c>
      <c r="AH293" s="34">
        <v>0</v>
      </c>
      <c r="AI293" s="34">
        <v>25</v>
      </c>
    </row>
    <row r="294" spans="1:35" ht="15.75" customHeight="1">
      <c r="A294" s="34">
        <v>296</v>
      </c>
      <c r="B294" s="34" t="s">
        <v>382</v>
      </c>
      <c r="C294" s="34" t="s">
        <v>378</v>
      </c>
      <c r="D294" s="34">
        <v>6</v>
      </c>
      <c r="E294" s="34">
        <v>1303</v>
      </c>
      <c r="F294" s="34">
        <v>37</v>
      </c>
      <c r="G294" s="34">
        <v>1340</v>
      </c>
      <c r="H294" s="34">
        <v>43</v>
      </c>
      <c r="I294" s="34">
        <v>1383</v>
      </c>
      <c r="J294" s="34">
        <v>36</v>
      </c>
      <c r="K294" s="34">
        <v>1419</v>
      </c>
      <c r="L294" s="34">
        <v>21</v>
      </c>
      <c r="M294" s="34">
        <v>1440</v>
      </c>
      <c r="N294" s="34">
        <v>31</v>
      </c>
      <c r="O294" s="34">
        <v>1471</v>
      </c>
      <c r="P294" s="34">
        <v>19</v>
      </c>
      <c r="Q294" s="34">
        <v>1490</v>
      </c>
      <c r="R294" s="34">
        <v>19</v>
      </c>
      <c r="S294" s="34">
        <v>1508</v>
      </c>
      <c r="T294" s="34">
        <v>18</v>
      </c>
      <c r="U294" s="34">
        <v>1531</v>
      </c>
      <c r="V294" s="34">
        <v>23</v>
      </c>
      <c r="W294" s="34">
        <v>1548</v>
      </c>
      <c r="X294" s="34">
        <v>17</v>
      </c>
      <c r="Y294" s="34">
        <v>1568</v>
      </c>
      <c r="Z294" s="34">
        <v>20</v>
      </c>
      <c r="AA294" s="34">
        <v>1594</v>
      </c>
      <c r="AB294" s="34">
        <v>26</v>
      </c>
      <c r="AC294" s="34">
        <v>26</v>
      </c>
      <c r="AD294" s="34">
        <v>23</v>
      </c>
      <c r="AE294" s="34">
        <v>0</v>
      </c>
      <c r="AG294" s="34">
        <v>3</v>
      </c>
      <c r="AH294" s="34">
        <v>0</v>
      </c>
      <c r="AI294" s="34">
        <v>52</v>
      </c>
    </row>
    <row r="295" spans="1:35" ht="15.75" customHeight="1">
      <c r="A295" s="34">
        <v>297</v>
      </c>
      <c r="B295" s="34" t="s">
        <v>383</v>
      </c>
      <c r="C295" s="34" t="s">
        <v>378</v>
      </c>
      <c r="D295" s="34">
        <v>7</v>
      </c>
      <c r="E295" s="34">
        <v>1192</v>
      </c>
      <c r="F295" s="34">
        <v>19</v>
      </c>
      <c r="G295" s="34">
        <v>1211</v>
      </c>
      <c r="H295" s="34">
        <v>27</v>
      </c>
      <c r="I295" s="34">
        <v>1238</v>
      </c>
      <c r="J295" s="34">
        <v>28</v>
      </c>
      <c r="K295" s="34">
        <v>1266</v>
      </c>
      <c r="L295" s="34">
        <v>22</v>
      </c>
      <c r="M295" s="34">
        <v>1288</v>
      </c>
      <c r="N295" s="34">
        <v>19</v>
      </c>
      <c r="O295" s="34">
        <v>1307</v>
      </c>
      <c r="P295" s="34">
        <v>17</v>
      </c>
      <c r="Q295" s="34">
        <v>1324</v>
      </c>
      <c r="R295" s="34">
        <v>17</v>
      </c>
      <c r="S295" s="34">
        <v>1338</v>
      </c>
      <c r="T295" s="34">
        <v>14</v>
      </c>
      <c r="U295" s="34">
        <v>1356</v>
      </c>
      <c r="V295" s="34">
        <v>18</v>
      </c>
      <c r="W295" s="34">
        <v>1372</v>
      </c>
      <c r="X295" s="34">
        <v>16</v>
      </c>
      <c r="Y295" s="34">
        <v>1388</v>
      </c>
      <c r="Z295" s="34">
        <v>16</v>
      </c>
      <c r="AA295" s="34">
        <v>1401</v>
      </c>
      <c r="AB295" s="34">
        <v>13</v>
      </c>
      <c r="AC295" s="34">
        <v>13</v>
      </c>
      <c r="AD295" s="34">
        <v>0</v>
      </c>
      <c r="AE295" s="34">
        <v>0</v>
      </c>
      <c r="AG295" s="34">
        <v>3</v>
      </c>
      <c r="AH295" s="34">
        <v>0</v>
      </c>
      <c r="AI295" s="34">
        <v>16</v>
      </c>
    </row>
    <row r="296" spans="1:35" ht="15.75" customHeight="1">
      <c r="A296" s="34">
        <v>298</v>
      </c>
      <c r="B296" s="34" t="s">
        <v>384</v>
      </c>
      <c r="C296" s="34" t="s">
        <v>378</v>
      </c>
      <c r="D296" s="34">
        <v>8</v>
      </c>
      <c r="E296" s="34">
        <v>2262</v>
      </c>
      <c r="F296" s="34">
        <v>15</v>
      </c>
      <c r="G296" s="34">
        <v>2277</v>
      </c>
      <c r="H296" s="34">
        <v>15</v>
      </c>
      <c r="I296" s="34">
        <v>2292</v>
      </c>
      <c r="J296" s="34">
        <v>13</v>
      </c>
      <c r="K296" s="34">
        <v>2305</v>
      </c>
      <c r="L296" s="34">
        <v>11</v>
      </c>
      <c r="M296" s="34">
        <v>2316</v>
      </c>
      <c r="N296" s="34">
        <v>11</v>
      </c>
      <c r="O296" s="34">
        <v>2327</v>
      </c>
      <c r="P296" s="34">
        <v>10</v>
      </c>
      <c r="Q296" s="34">
        <v>2337</v>
      </c>
      <c r="R296" s="34">
        <v>10</v>
      </c>
      <c r="S296" s="34">
        <v>2346</v>
      </c>
      <c r="T296" s="34">
        <v>9</v>
      </c>
      <c r="U296" s="34">
        <v>2354</v>
      </c>
      <c r="V296" s="34">
        <v>8</v>
      </c>
      <c r="W296" s="34">
        <v>2364</v>
      </c>
      <c r="X296" s="34">
        <v>10</v>
      </c>
      <c r="Y296" s="34">
        <v>2375</v>
      </c>
      <c r="Z296" s="34">
        <v>11</v>
      </c>
      <c r="AA296" s="34">
        <v>2387</v>
      </c>
      <c r="AB296" s="34">
        <v>12</v>
      </c>
      <c r="AC296" s="34">
        <v>12</v>
      </c>
      <c r="AD296" s="34">
        <v>0</v>
      </c>
      <c r="AE296" s="34">
        <v>0</v>
      </c>
      <c r="AG296" s="34">
        <v>3</v>
      </c>
      <c r="AH296" s="34">
        <v>0</v>
      </c>
      <c r="AI296" s="34">
        <v>15</v>
      </c>
    </row>
    <row r="297" spans="1:35" ht="15.75" customHeight="1">
      <c r="A297" s="34">
        <v>299</v>
      </c>
      <c r="B297" s="34" t="s">
        <v>385</v>
      </c>
      <c r="C297" s="34" t="s">
        <v>378</v>
      </c>
      <c r="D297" s="34">
        <v>9</v>
      </c>
      <c r="E297" s="34">
        <v>1955</v>
      </c>
      <c r="F297" s="34">
        <v>13</v>
      </c>
      <c r="G297" s="34">
        <v>1968</v>
      </c>
      <c r="H297" s="34">
        <v>14</v>
      </c>
      <c r="I297" s="34">
        <v>1982</v>
      </c>
      <c r="J297" s="34">
        <v>12</v>
      </c>
      <c r="K297" s="34">
        <v>1994</v>
      </c>
      <c r="L297" s="34">
        <v>11</v>
      </c>
      <c r="M297" s="34">
        <v>2005</v>
      </c>
      <c r="N297" s="34">
        <v>10</v>
      </c>
      <c r="O297" s="34">
        <v>2015</v>
      </c>
      <c r="P297" s="34">
        <v>9</v>
      </c>
      <c r="Q297" s="34">
        <v>2024</v>
      </c>
      <c r="R297" s="34">
        <v>9</v>
      </c>
      <c r="S297" s="34">
        <v>2033</v>
      </c>
      <c r="T297" s="34">
        <v>9</v>
      </c>
      <c r="U297" s="34">
        <v>2044</v>
      </c>
      <c r="V297" s="34">
        <v>11</v>
      </c>
      <c r="W297" s="34">
        <v>2055</v>
      </c>
      <c r="X297" s="34">
        <v>11</v>
      </c>
      <c r="Y297" s="34">
        <v>2066</v>
      </c>
      <c r="Z297" s="34">
        <v>11</v>
      </c>
      <c r="AA297" s="34">
        <v>2077</v>
      </c>
      <c r="AB297" s="34">
        <v>11</v>
      </c>
      <c r="AC297" s="34">
        <v>11</v>
      </c>
      <c r="AD297" s="34">
        <v>0</v>
      </c>
      <c r="AE297" s="34">
        <v>0</v>
      </c>
      <c r="AG297" s="34">
        <v>3</v>
      </c>
      <c r="AH297" s="34">
        <v>0</v>
      </c>
      <c r="AI297" s="34">
        <v>14</v>
      </c>
    </row>
    <row r="298" spans="1:35" ht="15.75" customHeight="1">
      <c r="A298" s="34">
        <v>300</v>
      </c>
      <c r="B298" s="34" t="s">
        <v>386</v>
      </c>
      <c r="C298" s="34" t="s">
        <v>378</v>
      </c>
      <c r="D298" s="34">
        <v>12</v>
      </c>
      <c r="E298" s="34">
        <v>610</v>
      </c>
      <c r="F298" s="34">
        <v>16</v>
      </c>
      <c r="G298" s="34">
        <v>626</v>
      </c>
      <c r="H298" s="34">
        <v>15</v>
      </c>
      <c r="I298" s="34">
        <v>641</v>
      </c>
      <c r="J298" s="34">
        <v>18</v>
      </c>
      <c r="K298" s="34">
        <v>659</v>
      </c>
      <c r="L298" s="34">
        <v>15</v>
      </c>
      <c r="M298" s="34">
        <v>674</v>
      </c>
      <c r="N298" s="34">
        <v>14</v>
      </c>
      <c r="O298" s="34">
        <v>688</v>
      </c>
      <c r="P298" s="34">
        <v>10</v>
      </c>
      <c r="Q298" s="34">
        <v>698</v>
      </c>
      <c r="R298" s="34">
        <v>10</v>
      </c>
      <c r="S298" s="34">
        <v>709</v>
      </c>
      <c r="T298" s="34">
        <v>11</v>
      </c>
      <c r="U298" s="34">
        <v>716</v>
      </c>
      <c r="V298" s="34">
        <v>7</v>
      </c>
      <c r="W298" s="34">
        <v>724</v>
      </c>
      <c r="X298" s="34">
        <v>8</v>
      </c>
      <c r="Y298" s="34">
        <v>734</v>
      </c>
      <c r="Z298" s="34">
        <v>10</v>
      </c>
      <c r="AA298" s="34">
        <v>747</v>
      </c>
      <c r="AB298" s="34">
        <v>13</v>
      </c>
      <c r="AC298" s="34">
        <v>13</v>
      </c>
      <c r="AD298" s="34">
        <v>0</v>
      </c>
      <c r="AE298" s="34">
        <v>0</v>
      </c>
      <c r="AG298" s="34">
        <v>3</v>
      </c>
      <c r="AH298" s="34">
        <v>0</v>
      </c>
      <c r="AI298" s="34">
        <v>16</v>
      </c>
    </row>
    <row r="299" spans="1:35" ht="15.75" customHeight="1">
      <c r="A299" s="34">
        <v>301</v>
      </c>
      <c r="B299" s="34" t="s">
        <v>2752</v>
      </c>
      <c r="C299" s="34" t="s">
        <v>378</v>
      </c>
      <c r="D299" s="34">
        <v>13</v>
      </c>
      <c r="E299" s="34">
        <v>593</v>
      </c>
      <c r="F299" s="34">
        <v>9</v>
      </c>
      <c r="G299" s="34">
        <v>602</v>
      </c>
      <c r="H299" s="34">
        <v>12</v>
      </c>
      <c r="I299" s="34">
        <v>614</v>
      </c>
      <c r="J299" s="34">
        <v>11</v>
      </c>
      <c r="K299" s="34">
        <v>625</v>
      </c>
      <c r="L299" s="34">
        <v>9</v>
      </c>
      <c r="M299" s="34">
        <v>634</v>
      </c>
      <c r="N299" s="34">
        <v>7</v>
      </c>
      <c r="O299" s="34">
        <v>641</v>
      </c>
      <c r="P299" s="34">
        <v>6</v>
      </c>
      <c r="Q299" s="34">
        <v>647</v>
      </c>
      <c r="R299" s="34">
        <v>6</v>
      </c>
      <c r="S299" s="34">
        <v>653</v>
      </c>
      <c r="T299" s="34">
        <v>6</v>
      </c>
      <c r="U299" s="34">
        <v>661</v>
      </c>
      <c r="V299" s="34">
        <v>8</v>
      </c>
      <c r="W299" s="34">
        <v>667</v>
      </c>
      <c r="X299" s="34">
        <v>6</v>
      </c>
      <c r="Y299" s="34">
        <v>675</v>
      </c>
      <c r="Z299" s="34">
        <v>8</v>
      </c>
      <c r="AA299" s="34">
        <v>683</v>
      </c>
      <c r="AB299" s="34">
        <v>8</v>
      </c>
      <c r="AC299" s="34">
        <v>8</v>
      </c>
      <c r="AD299" s="34">
        <v>0</v>
      </c>
      <c r="AE299" s="34">
        <v>0</v>
      </c>
      <c r="AG299" s="34">
        <v>3</v>
      </c>
      <c r="AH299" s="34">
        <v>0</v>
      </c>
      <c r="AI299" s="34">
        <v>11</v>
      </c>
    </row>
    <row r="300" spans="1:35" ht="15.75" customHeight="1">
      <c r="A300" s="34">
        <v>302</v>
      </c>
      <c r="B300" s="34" t="s">
        <v>389</v>
      </c>
      <c r="C300" s="34" t="s">
        <v>378</v>
      </c>
      <c r="D300" s="34">
        <v>14</v>
      </c>
      <c r="E300" s="34">
        <v>914</v>
      </c>
      <c r="F300" s="34">
        <v>11</v>
      </c>
      <c r="G300" s="34">
        <v>925</v>
      </c>
      <c r="H300" s="34">
        <v>11</v>
      </c>
      <c r="I300" s="34">
        <v>936</v>
      </c>
      <c r="J300" s="34">
        <v>9</v>
      </c>
      <c r="K300" s="34">
        <v>945</v>
      </c>
      <c r="L300" s="34">
        <v>9</v>
      </c>
      <c r="M300" s="34">
        <v>954</v>
      </c>
      <c r="N300" s="34">
        <v>7</v>
      </c>
      <c r="O300" s="34">
        <v>961</v>
      </c>
      <c r="P300" s="34">
        <v>5</v>
      </c>
      <c r="Q300" s="34">
        <v>966</v>
      </c>
      <c r="R300" s="34">
        <v>5</v>
      </c>
      <c r="S300" s="34">
        <v>971</v>
      </c>
      <c r="T300" s="34">
        <v>5</v>
      </c>
      <c r="U300" s="34">
        <v>977</v>
      </c>
      <c r="V300" s="34">
        <v>6</v>
      </c>
      <c r="W300" s="34">
        <v>982</v>
      </c>
      <c r="X300" s="34">
        <v>5</v>
      </c>
      <c r="Y300" s="34">
        <v>988</v>
      </c>
      <c r="Z300" s="34">
        <v>6</v>
      </c>
      <c r="AA300" s="34">
        <v>993</v>
      </c>
      <c r="AB300" s="34">
        <v>5</v>
      </c>
      <c r="AC300" s="34">
        <v>5</v>
      </c>
      <c r="AD300" s="34">
        <v>2</v>
      </c>
      <c r="AE300" s="34">
        <v>0</v>
      </c>
      <c r="AG300" s="34">
        <v>3</v>
      </c>
      <c r="AH300" s="34">
        <v>20</v>
      </c>
      <c r="AI300" s="34">
        <v>30</v>
      </c>
    </row>
    <row r="301" spans="1:35" ht="15.75" customHeight="1">
      <c r="A301" s="34">
        <v>303</v>
      </c>
      <c r="B301" s="34" t="s">
        <v>390</v>
      </c>
      <c r="C301" s="34" t="s">
        <v>378</v>
      </c>
      <c r="D301" s="34">
        <v>15</v>
      </c>
      <c r="E301" s="34">
        <v>255</v>
      </c>
      <c r="F301" s="34">
        <v>4</v>
      </c>
      <c r="G301" s="34">
        <v>259</v>
      </c>
      <c r="H301" s="34">
        <v>3</v>
      </c>
      <c r="I301" s="34">
        <v>262</v>
      </c>
      <c r="J301" s="34">
        <v>2</v>
      </c>
      <c r="K301" s="34">
        <v>264</v>
      </c>
      <c r="L301" s="34">
        <v>3</v>
      </c>
      <c r="M301" s="34">
        <v>267</v>
      </c>
      <c r="N301" s="34">
        <v>3</v>
      </c>
      <c r="O301" s="34">
        <v>270</v>
      </c>
      <c r="P301" s="34">
        <v>3</v>
      </c>
      <c r="Q301" s="34">
        <v>273</v>
      </c>
      <c r="R301" s="34">
        <v>3</v>
      </c>
      <c r="S301" s="34">
        <v>274</v>
      </c>
      <c r="T301" s="34">
        <v>1</v>
      </c>
      <c r="U301" s="34">
        <v>276</v>
      </c>
      <c r="V301" s="34">
        <v>2</v>
      </c>
      <c r="W301" s="34">
        <v>277</v>
      </c>
      <c r="X301" s="34">
        <v>1</v>
      </c>
      <c r="Y301" s="34">
        <v>280</v>
      </c>
      <c r="Z301" s="34">
        <v>3</v>
      </c>
      <c r="AA301" s="34">
        <v>282</v>
      </c>
      <c r="AB301" s="34">
        <v>2</v>
      </c>
      <c r="AC301" s="34">
        <v>5</v>
      </c>
      <c r="AD301" s="34">
        <v>0</v>
      </c>
      <c r="AE301" s="34">
        <v>0</v>
      </c>
      <c r="AG301" s="34">
        <v>3</v>
      </c>
      <c r="AH301" s="34">
        <v>0</v>
      </c>
      <c r="AI301" s="34">
        <v>8</v>
      </c>
    </row>
    <row r="302" spans="1:35" ht="15.75" customHeight="1">
      <c r="A302" s="34">
        <v>304</v>
      </c>
      <c r="B302" s="34" t="s">
        <v>391</v>
      </c>
      <c r="C302" s="34" t="s">
        <v>378</v>
      </c>
      <c r="D302" s="34">
        <v>16</v>
      </c>
      <c r="E302" s="34">
        <v>37</v>
      </c>
      <c r="F302" s="34">
        <v>2</v>
      </c>
      <c r="G302" s="34">
        <v>39</v>
      </c>
      <c r="H302" s="34">
        <v>0</v>
      </c>
      <c r="I302" s="34">
        <v>39</v>
      </c>
      <c r="J302" s="34">
        <v>4</v>
      </c>
      <c r="K302" s="34">
        <v>43</v>
      </c>
      <c r="L302" s="34">
        <v>4</v>
      </c>
      <c r="M302" s="34">
        <v>47</v>
      </c>
      <c r="N302" s="34">
        <v>4</v>
      </c>
      <c r="O302" s="34">
        <v>51</v>
      </c>
      <c r="P302" s="34">
        <v>4</v>
      </c>
      <c r="Q302" s="34">
        <v>55</v>
      </c>
      <c r="R302" s="34">
        <v>4</v>
      </c>
      <c r="S302" s="34">
        <v>59</v>
      </c>
      <c r="T302" s="34">
        <v>4</v>
      </c>
      <c r="U302" s="34">
        <v>63</v>
      </c>
      <c r="V302" s="34">
        <v>4</v>
      </c>
      <c r="W302" s="34">
        <v>67</v>
      </c>
      <c r="X302" s="34">
        <v>4</v>
      </c>
      <c r="Y302" s="34">
        <v>72</v>
      </c>
      <c r="Z302" s="34">
        <v>5</v>
      </c>
      <c r="AA302" s="34">
        <v>79</v>
      </c>
      <c r="AB302" s="34">
        <v>7</v>
      </c>
      <c r="AC302" s="34">
        <v>7</v>
      </c>
      <c r="AD302" s="34">
        <v>8</v>
      </c>
      <c r="AE302" s="34">
        <v>0</v>
      </c>
      <c r="AG302" s="34">
        <v>3</v>
      </c>
      <c r="AH302" s="34">
        <v>20</v>
      </c>
      <c r="AI302" s="34">
        <v>38</v>
      </c>
    </row>
    <row r="303" spans="1:35" ht="15.75" customHeight="1">
      <c r="A303" s="34">
        <v>305</v>
      </c>
      <c r="B303" s="34" t="s">
        <v>2753</v>
      </c>
      <c r="C303" s="34" t="s">
        <v>393</v>
      </c>
      <c r="D303" s="34">
        <v>1</v>
      </c>
      <c r="E303" s="34">
        <v>781</v>
      </c>
      <c r="F303" s="34">
        <v>20</v>
      </c>
      <c r="G303" s="34">
        <v>801</v>
      </c>
      <c r="H303" s="34">
        <v>-20</v>
      </c>
      <c r="I303" s="34">
        <v>781</v>
      </c>
      <c r="J303" s="34">
        <v>0</v>
      </c>
      <c r="K303" s="34">
        <v>0</v>
      </c>
      <c r="L303" s="34">
        <v>7</v>
      </c>
      <c r="M303" s="34">
        <v>7</v>
      </c>
      <c r="N303" s="34">
        <v>11</v>
      </c>
      <c r="O303" s="34">
        <v>18</v>
      </c>
      <c r="P303" s="34">
        <v>7</v>
      </c>
      <c r="Q303" s="34">
        <v>25</v>
      </c>
      <c r="R303" s="34">
        <v>7</v>
      </c>
      <c r="S303" s="34">
        <v>30</v>
      </c>
      <c r="T303" s="34">
        <v>5</v>
      </c>
      <c r="U303" s="34">
        <v>35</v>
      </c>
      <c r="V303" s="34">
        <v>5</v>
      </c>
      <c r="W303" s="34">
        <v>40</v>
      </c>
      <c r="X303" s="34">
        <v>5</v>
      </c>
      <c r="Y303" s="34">
        <v>47</v>
      </c>
      <c r="Z303" s="34">
        <v>7</v>
      </c>
      <c r="AA303" s="34">
        <v>53</v>
      </c>
      <c r="AB303" s="34">
        <v>6</v>
      </c>
      <c r="AC303" s="34">
        <v>6</v>
      </c>
      <c r="AD303" s="34">
        <v>10</v>
      </c>
      <c r="AE303" s="34">
        <v>0</v>
      </c>
      <c r="AG303" s="34">
        <v>3</v>
      </c>
      <c r="AH303" s="34">
        <v>20</v>
      </c>
      <c r="AI303" s="34">
        <v>39</v>
      </c>
    </row>
    <row r="304" spans="1:35" ht="15.75" customHeight="1">
      <c r="A304" s="34">
        <v>306</v>
      </c>
      <c r="B304" s="34" t="s">
        <v>394</v>
      </c>
      <c r="C304" s="34" t="s">
        <v>393</v>
      </c>
      <c r="D304" s="34">
        <v>2</v>
      </c>
      <c r="E304" s="34">
        <v>2128</v>
      </c>
      <c r="F304" s="34">
        <v>24</v>
      </c>
      <c r="G304" s="34">
        <v>2152</v>
      </c>
      <c r="H304" s="34">
        <v>24</v>
      </c>
      <c r="I304" s="34">
        <v>2176</v>
      </c>
      <c r="J304" s="34">
        <v>21</v>
      </c>
      <c r="K304" s="34">
        <v>2197</v>
      </c>
      <c r="L304" s="34">
        <v>17</v>
      </c>
      <c r="M304" s="34">
        <v>2214</v>
      </c>
      <c r="N304" s="34">
        <v>17</v>
      </c>
      <c r="O304" s="34">
        <v>2231</v>
      </c>
      <c r="P304" s="34">
        <v>12</v>
      </c>
      <c r="Q304" s="34">
        <v>2243</v>
      </c>
      <c r="R304" s="34">
        <v>12</v>
      </c>
      <c r="S304" s="34">
        <v>2256</v>
      </c>
      <c r="T304" s="34">
        <v>13</v>
      </c>
      <c r="U304" s="34">
        <v>2268</v>
      </c>
      <c r="V304" s="34">
        <v>12</v>
      </c>
      <c r="W304" s="34">
        <v>2285</v>
      </c>
      <c r="X304" s="34">
        <v>17</v>
      </c>
      <c r="Y304" s="34">
        <v>2299</v>
      </c>
      <c r="Z304" s="34">
        <v>14</v>
      </c>
      <c r="AA304" s="34">
        <v>2314</v>
      </c>
      <c r="AB304" s="34">
        <v>15</v>
      </c>
      <c r="AC304" s="34">
        <v>15</v>
      </c>
      <c r="AD304" s="34">
        <v>0</v>
      </c>
      <c r="AE304" s="34">
        <v>0</v>
      </c>
      <c r="AG304" s="34">
        <v>3</v>
      </c>
      <c r="AH304" s="34">
        <v>0</v>
      </c>
      <c r="AI304" s="34">
        <v>18</v>
      </c>
    </row>
    <row r="305" spans="1:35" ht="15.75" customHeight="1">
      <c r="A305" s="34">
        <v>307</v>
      </c>
      <c r="B305" s="34" t="s">
        <v>395</v>
      </c>
      <c r="C305" s="34" t="s">
        <v>393</v>
      </c>
      <c r="D305" s="34">
        <v>3</v>
      </c>
      <c r="E305" s="34">
        <v>1800</v>
      </c>
      <c r="F305" s="34">
        <v>7</v>
      </c>
      <c r="G305" s="34">
        <v>1807</v>
      </c>
      <c r="H305" s="34">
        <v>369</v>
      </c>
      <c r="I305" s="34">
        <v>2176</v>
      </c>
      <c r="J305" s="34">
        <v>0</v>
      </c>
      <c r="K305" s="34">
        <v>0</v>
      </c>
      <c r="L305" s="34">
        <v>5</v>
      </c>
      <c r="M305" s="34">
        <v>5</v>
      </c>
      <c r="N305" s="34">
        <v>3</v>
      </c>
      <c r="O305" s="34">
        <v>8</v>
      </c>
      <c r="P305" s="34">
        <v>1</v>
      </c>
      <c r="Q305" s="34">
        <v>9</v>
      </c>
      <c r="R305" s="34">
        <v>1</v>
      </c>
      <c r="S305" s="34">
        <v>12</v>
      </c>
      <c r="T305" s="34">
        <v>3</v>
      </c>
      <c r="U305" s="34">
        <v>15</v>
      </c>
      <c r="V305" s="34">
        <v>3</v>
      </c>
      <c r="W305" s="34">
        <v>17</v>
      </c>
      <c r="X305" s="34">
        <v>2</v>
      </c>
      <c r="Y305" s="34">
        <v>20</v>
      </c>
      <c r="Z305" s="34">
        <v>3</v>
      </c>
      <c r="AA305" s="34">
        <v>25</v>
      </c>
      <c r="AB305" s="34">
        <v>5</v>
      </c>
      <c r="AC305" s="34">
        <v>5</v>
      </c>
      <c r="AD305" s="34">
        <v>0</v>
      </c>
      <c r="AE305" s="34">
        <v>0</v>
      </c>
      <c r="AG305" s="34">
        <v>3</v>
      </c>
      <c r="AH305" s="34">
        <v>20</v>
      </c>
      <c r="AI305" s="34">
        <v>28</v>
      </c>
    </row>
    <row r="306" spans="1:35" ht="15.75" customHeight="1">
      <c r="A306" s="34">
        <v>308</v>
      </c>
      <c r="B306" s="34" t="s">
        <v>396</v>
      </c>
      <c r="C306" s="34" t="s">
        <v>393</v>
      </c>
      <c r="D306" s="34">
        <v>4</v>
      </c>
      <c r="E306" s="34">
        <v>570</v>
      </c>
      <c r="F306" s="34">
        <v>9</v>
      </c>
      <c r="G306" s="34">
        <v>579</v>
      </c>
      <c r="H306" s="34">
        <v>8</v>
      </c>
      <c r="I306" s="34">
        <v>587</v>
      </c>
      <c r="J306" s="34">
        <v>8</v>
      </c>
      <c r="K306" s="34">
        <v>595</v>
      </c>
      <c r="L306" s="34">
        <v>9</v>
      </c>
      <c r="M306" s="34">
        <v>604</v>
      </c>
      <c r="N306" s="34">
        <v>10</v>
      </c>
      <c r="O306" s="34">
        <v>614</v>
      </c>
      <c r="P306" s="34">
        <v>8</v>
      </c>
      <c r="Q306" s="34">
        <v>622</v>
      </c>
      <c r="R306" s="34">
        <v>8</v>
      </c>
      <c r="S306" s="34">
        <v>629</v>
      </c>
      <c r="T306" s="34">
        <v>7</v>
      </c>
      <c r="U306" s="34">
        <v>636</v>
      </c>
      <c r="V306" s="34">
        <v>7</v>
      </c>
      <c r="W306" s="34">
        <v>642</v>
      </c>
      <c r="X306" s="34">
        <v>6</v>
      </c>
      <c r="Y306" s="34">
        <v>648</v>
      </c>
      <c r="Z306" s="34">
        <v>6</v>
      </c>
      <c r="AA306" s="34">
        <v>655</v>
      </c>
      <c r="AB306" s="34">
        <v>7</v>
      </c>
      <c r="AC306" s="34">
        <v>7</v>
      </c>
      <c r="AD306" s="34">
        <v>0</v>
      </c>
      <c r="AE306" s="34">
        <v>0</v>
      </c>
      <c r="AG306" s="34">
        <v>3</v>
      </c>
      <c r="AH306" s="34">
        <v>20</v>
      </c>
      <c r="AI306" s="34">
        <v>30</v>
      </c>
    </row>
    <row r="307" spans="1:35" ht="15.75" customHeight="1">
      <c r="A307" s="34">
        <v>309</v>
      </c>
      <c r="B307" s="34" t="s">
        <v>397</v>
      </c>
      <c r="C307" s="34" t="s">
        <v>393</v>
      </c>
      <c r="D307" s="34">
        <v>5</v>
      </c>
      <c r="E307" s="34">
        <v>364</v>
      </c>
      <c r="F307" s="34">
        <v>21</v>
      </c>
      <c r="G307" s="34">
        <v>385</v>
      </c>
      <c r="H307" s="34">
        <v>28</v>
      </c>
      <c r="I307" s="34">
        <v>413</v>
      </c>
      <c r="J307" s="34">
        <v>5</v>
      </c>
      <c r="K307" s="34">
        <v>418</v>
      </c>
      <c r="L307" s="34">
        <v>1</v>
      </c>
      <c r="M307" s="34">
        <v>419</v>
      </c>
      <c r="N307" s="34">
        <v>2</v>
      </c>
      <c r="O307" s="34">
        <v>421</v>
      </c>
      <c r="P307" s="34">
        <v>2</v>
      </c>
      <c r="Q307" s="34">
        <v>423</v>
      </c>
      <c r="R307" s="34">
        <v>2</v>
      </c>
      <c r="S307" s="34">
        <v>425</v>
      </c>
      <c r="T307" s="34">
        <v>2</v>
      </c>
      <c r="U307" s="34">
        <v>426</v>
      </c>
      <c r="V307" s="34">
        <v>1</v>
      </c>
      <c r="W307" s="34">
        <v>429</v>
      </c>
      <c r="X307" s="34">
        <v>3</v>
      </c>
      <c r="Y307" s="34">
        <v>431</v>
      </c>
      <c r="Z307" s="34">
        <v>2</v>
      </c>
      <c r="AA307" s="34">
        <v>433</v>
      </c>
      <c r="AB307" s="34">
        <v>2</v>
      </c>
      <c r="AC307" s="34">
        <v>5</v>
      </c>
      <c r="AD307" s="34">
        <v>8</v>
      </c>
      <c r="AE307" s="34">
        <v>0</v>
      </c>
      <c r="AG307" s="34">
        <v>3</v>
      </c>
      <c r="AH307" s="34">
        <v>0</v>
      </c>
      <c r="AI307" s="34">
        <v>16</v>
      </c>
    </row>
    <row r="308" spans="1:35" ht="15.75" customHeight="1">
      <c r="A308" s="34">
        <v>310</v>
      </c>
      <c r="B308" s="34" t="s">
        <v>398</v>
      </c>
      <c r="C308" s="34" t="s">
        <v>393</v>
      </c>
      <c r="D308" s="34">
        <v>7</v>
      </c>
      <c r="E308" s="34">
        <v>2763</v>
      </c>
      <c r="F308" s="34">
        <v>20</v>
      </c>
      <c r="G308" s="34">
        <v>2783</v>
      </c>
      <c r="H308" s="34">
        <v>-20</v>
      </c>
      <c r="I308" s="34">
        <v>2763</v>
      </c>
      <c r="J308" s="34">
        <v>0</v>
      </c>
      <c r="K308" s="34">
        <v>0</v>
      </c>
      <c r="L308" s="34">
        <v>14</v>
      </c>
      <c r="M308" s="34">
        <v>14</v>
      </c>
      <c r="N308" s="34">
        <v>11</v>
      </c>
      <c r="O308" s="34">
        <v>25</v>
      </c>
      <c r="P308" s="34">
        <v>9</v>
      </c>
      <c r="Q308" s="34">
        <v>34</v>
      </c>
      <c r="R308" s="34">
        <v>9</v>
      </c>
      <c r="S308" s="34">
        <v>43</v>
      </c>
      <c r="T308" s="34">
        <v>9</v>
      </c>
      <c r="U308" s="34">
        <v>53</v>
      </c>
      <c r="V308" s="34">
        <v>10</v>
      </c>
      <c r="W308" s="34">
        <v>64</v>
      </c>
      <c r="X308" s="34">
        <v>11</v>
      </c>
      <c r="Y308" s="34">
        <v>72</v>
      </c>
      <c r="Z308" s="34">
        <v>8</v>
      </c>
      <c r="AA308" s="34">
        <v>81</v>
      </c>
      <c r="AB308" s="34">
        <v>9</v>
      </c>
      <c r="AC308" s="34">
        <v>9</v>
      </c>
      <c r="AD308" s="34">
        <v>11</v>
      </c>
      <c r="AE308" s="34">
        <v>0</v>
      </c>
      <c r="AG308" s="34">
        <v>3</v>
      </c>
      <c r="AH308" s="34">
        <v>0</v>
      </c>
      <c r="AI308" s="34">
        <v>23</v>
      </c>
    </row>
    <row r="309" spans="1:35" ht="15.75" customHeight="1">
      <c r="A309" s="34">
        <v>311</v>
      </c>
      <c r="B309" s="34" t="s">
        <v>399</v>
      </c>
      <c r="C309" s="34" t="s">
        <v>393</v>
      </c>
      <c r="D309" s="34">
        <v>8</v>
      </c>
      <c r="E309" s="34">
        <v>1790</v>
      </c>
      <c r="F309" s="34">
        <v>14</v>
      </c>
      <c r="G309" s="34">
        <v>1804</v>
      </c>
      <c r="H309" s="34">
        <v>11</v>
      </c>
      <c r="I309" s="34">
        <v>1815</v>
      </c>
      <c r="J309" s="34">
        <v>13</v>
      </c>
      <c r="K309" s="34">
        <v>1828</v>
      </c>
      <c r="L309" s="34">
        <v>14</v>
      </c>
      <c r="M309" s="34">
        <v>1842</v>
      </c>
      <c r="N309" s="34">
        <v>11</v>
      </c>
      <c r="O309" s="34">
        <v>1853</v>
      </c>
      <c r="P309" s="34">
        <v>8</v>
      </c>
      <c r="Q309" s="34">
        <v>1861</v>
      </c>
      <c r="R309" s="34">
        <v>8</v>
      </c>
      <c r="S309" s="34">
        <v>1868</v>
      </c>
      <c r="T309" s="34">
        <v>7</v>
      </c>
      <c r="U309" s="34">
        <v>1875</v>
      </c>
      <c r="V309" s="34">
        <v>7</v>
      </c>
      <c r="W309" s="34">
        <v>1885</v>
      </c>
      <c r="X309" s="34">
        <v>10</v>
      </c>
      <c r="Y309" s="34">
        <v>1894</v>
      </c>
      <c r="Z309" s="34">
        <v>9</v>
      </c>
      <c r="AA309" s="34">
        <v>1903</v>
      </c>
      <c r="AB309" s="34">
        <v>9</v>
      </c>
      <c r="AC309" s="34">
        <v>9</v>
      </c>
      <c r="AD309" s="34">
        <v>0</v>
      </c>
      <c r="AE309" s="34">
        <v>0</v>
      </c>
      <c r="AG309" s="34">
        <v>3</v>
      </c>
      <c r="AH309" s="34">
        <v>0</v>
      </c>
      <c r="AI309" s="34">
        <v>12</v>
      </c>
    </row>
    <row r="310" spans="1:35" ht="15.75" customHeight="1">
      <c r="A310" s="34">
        <v>312</v>
      </c>
      <c r="B310" s="34" t="s">
        <v>400</v>
      </c>
      <c r="C310" s="34" t="s">
        <v>401</v>
      </c>
      <c r="D310" s="34">
        <v>1</v>
      </c>
      <c r="E310" s="34">
        <v>154</v>
      </c>
      <c r="F310" s="34">
        <v>29</v>
      </c>
      <c r="G310" s="34">
        <v>183</v>
      </c>
      <c r="H310" s="34">
        <v>30</v>
      </c>
      <c r="I310" s="34">
        <v>213</v>
      </c>
      <c r="J310" s="34">
        <v>27</v>
      </c>
      <c r="K310" s="34">
        <v>240</v>
      </c>
      <c r="L310" s="34">
        <v>23</v>
      </c>
      <c r="M310" s="34">
        <v>263</v>
      </c>
      <c r="N310" s="34">
        <v>18</v>
      </c>
      <c r="O310" s="34">
        <v>281</v>
      </c>
      <c r="P310" s="34">
        <v>21</v>
      </c>
      <c r="Q310" s="34">
        <v>302</v>
      </c>
      <c r="R310" s="34">
        <v>21</v>
      </c>
      <c r="S310" s="34">
        <v>318</v>
      </c>
      <c r="T310" s="34">
        <v>16</v>
      </c>
      <c r="U310" s="34">
        <v>334</v>
      </c>
      <c r="V310" s="34">
        <v>16</v>
      </c>
      <c r="W310" s="34">
        <v>349</v>
      </c>
      <c r="X310" s="34">
        <v>15</v>
      </c>
      <c r="Y310" s="34">
        <v>368</v>
      </c>
      <c r="Z310" s="34">
        <v>19</v>
      </c>
      <c r="AA310" s="34">
        <v>388</v>
      </c>
      <c r="AB310" s="34">
        <v>20</v>
      </c>
      <c r="AC310" s="34">
        <v>20</v>
      </c>
      <c r="AD310" s="34">
        <v>0</v>
      </c>
      <c r="AE310" s="34">
        <v>0</v>
      </c>
      <c r="AG310" s="34">
        <v>3</v>
      </c>
      <c r="AH310" s="34">
        <v>20</v>
      </c>
      <c r="AI310" s="34">
        <v>43</v>
      </c>
    </row>
    <row r="311" spans="1:35" ht="15.75" customHeight="1">
      <c r="A311" s="34">
        <v>313</v>
      </c>
      <c r="B311" s="34" t="s">
        <v>402</v>
      </c>
      <c r="C311" s="34" t="s">
        <v>401</v>
      </c>
      <c r="D311" s="34">
        <v>2</v>
      </c>
      <c r="E311" s="34">
        <v>1504</v>
      </c>
      <c r="F311" s="34">
        <v>28</v>
      </c>
      <c r="G311" s="34">
        <v>1532</v>
      </c>
      <c r="H311" s="34">
        <v>26</v>
      </c>
      <c r="I311" s="34">
        <v>1558</v>
      </c>
      <c r="J311" s="34">
        <v>25</v>
      </c>
      <c r="K311" s="34">
        <v>1583</v>
      </c>
      <c r="L311" s="34">
        <v>28</v>
      </c>
      <c r="M311" s="34">
        <v>1611</v>
      </c>
      <c r="N311" s="34">
        <v>26</v>
      </c>
      <c r="O311" s="34">
        <v>1637</v>
      </c>
      <c r="P311" s="34">
        <v>17</v>
      </c>
      <c r="Q311" s="34">
        <v>1654</v>
      </c>
      <c r="R311" s="34">
        <v>17</v>
      </c>
      <c r="S311" s="34">
        <v>1672</v>
      </c>
      <c r="T311" s="34">
        <v>18</v>
      </c>
      <c r="U311" s="34">
        <v>1686</v>
      </c>
      <c r="V311" s="34">
        <v>14</v>
      </c>
      <c r="W311" s="34">
        <v>1706</v>
      </c>
      <c r="X311" s="34">
        <v>20</v>
      </c>
      <c r="Y311" s="34">
        <v>1730</v>
      </c>
      <c r="Z311" s="34">
        <v>24</v>
      </c>
      <c r="AA311" s="34">
        <v>1750</v>
      </c>
      <c r="AB311" s="34">
        <v>20</v>
      </c>
      <c r="AC311" s="34">
        <v>20</v>
      </c>
      <c r="AD311" s="34">
        <v>0</v>
      </c>
      <c r="AE311" s="34">
        <v>0</v>
      </c>
      <c r="AG311" s="34">
        <v>3</v>
      </c>
      <c r="AH311" s="34">
        <v>20</v>
      </c>
      <c r="AI311" s="34">
        <v>43</v>
      </c>
    </row>
    <row r="312" spans="1:35" ht="15.75" customHeight="1">
      <c r="A312" s="34">
        <v>314</v>
      </c>
      <c r="B312" s="34" t="s">
        <v>403</v>
      </c>
      <c r="C312" s="34" t="s">
        <v>401</v>
      </c>
      <c r="D312" s="34">
        <v>3</v>
      </c>
      <c r="E312" s="34">
        <v>1365</v>
      </c>
      <c r="F312" s="34">
        <v>10</v>
      </c>
      <c r="G312" s="34">
        <v>1375</v>
      </c>
      <c r="H312" s="34">
        <v>12</v>
      </c>
      <c r="I312" s="34">
        <v>1387</v>
      </c>
      <c r="J312" s="34">
        <v>10</v>
      </c>
      <c r="K312" s="34">
        <v>1397</v>
      </c>
      <c r="L312" s="34">
        <v>10</v>
      </c>
      <c r="M312" s="34">
        <v>1407</v>
      </c>
      <c r="N312" s="34">
        <v>8</v>
      </c>
      <c r="O312" s="34">
        <v>1415</v>
      </c>
      <c r="P312" s="34">
        <v>9</v>
      </c>
      <c r="Q312" s="34">
        <v>1424</v>
      </c>
      <c r="R312" s="34">
        <v>9</v>
      </c>
      <c r="S312" s="34">
        <v>1431</v>
      </c>
      <c r="T312" s="34">
        <v>7</v>
      </c>
      <c r="U312" s="34">
        <v>1437</v>
      </c>
      <c r="V312" s="34">
        <v>6</v>
      </c>
      <c r="W312" s="34">
        <v>1445</v>
      </c>
      <c r="X312" s="34">
        <v>8</v>
      </c>
      <c r="Y312" s="34">
        <v>1453</v>
      </c>
      <c r="Z312" s="34">
        <v>8</v>
      </c>
      <c r="AA312" s="34">
        <v>1463</v>
      </c>
      <c r="AB312" s="34">
        <v>10</v>
      </c>
      <c r="AC312" s="34">
        <v>10</v>
      </c>
      <c r="AD312" s="34">
        <v>0</v>
      </c>
      <c r="AE312" s="34">
        <v>0</v>
      </c>
      <c r="AG312" s="34">
        <v>3</v>
      </c>
      <c r="AH312" s="34">
        <v>0</v>
      </c>
      <c r="AI312" s="34">
        <v>13</v>
      </c>
    </row>
    <row r="313" spans="1:35" ht="15.75" customHeight="1">
      <c r="A313" s="34">
        <v>315</v>
      </c>
      <c r="B313" s="34" t="s">
        <v>404</v>
      </c>
      <c r="C313" s="34" t="s">
        <v>401</v>
      </c>
      <c r="D313" s="34">
        <v>4</v>
      </c>
      <c r="E313" s="34">
        <v>3136</v>
      </c>
      <c r="F313" s="34">
        <v>21</v>
      </c>
      <c r="G313" s="34">
        <v>3157</v>
      </c>
      <c r="H313" s="34">
        <v>19</v>
      </c>
      <c r="I313" s="34">
        <v>3176</v>
      </c>
      <c r="J313" s="34">
        <v>24</v>
      </c>
      <c r="K313" s="34">
        <v>3200</v>
      </c>
      <c r="L313" s="34">
        <v>28</v>
      </c>
      <c r="M313" s="34">
        <v>3228</v>
      </c>
      <c r="N313" s="34">
        <v>23</v>
      </c>
      <c r="O313" s="34">
        <v>3251</v>
      </c>
      <c r="P313" s="34">
        <v>20</v>
      </c>
      <c r="Q313" s="34">
        <v>3271</v>
      </c>
      <c r="R313" s="34">
        <v>20</v>
      </c>
      <c r="S313" s="34">
        <v>3285</v>
      </c>
      <c r="T313" s="34">
        <v>14</v>
      </c>
      <c r="U313" s="34">
        <v>3305</v>
      </c>
      <c r="V313" s="34">
        <v>20</v>
      </c>
      <c r="W313" s="34">
        <v>3324</v>
      </c>
      <c r="X313" s="34">
        <v>19</v>
      </c>
      <c r="Y313" s="34">
        <v>3344</v>
      </c>
      <c r="Z313" s="34">
        <v>20</v>
      </c>
      <c r="AA313" s="34">
        <v>3363</v>
      </c>
      <c r="AB313" s="34">
        <v>19</v>
      </c>
      <c r="AC313" s="34">
        <v>19</v>
      </c>
      <c r="AD313" s="34">
        <v>0</v>
      </c>
      <c r="AE313" s="34">
        <v>0</v>
      </c>
      <c r="AG313" s="34">
        <v>3</v>
      </c>
      <c r="AH313" s="34">
        <v>0</v>
      </c>
      <c r="AI313" s="34">
        <v>22</v>
      </c>
    </row>
    <row r="314" spans="1:35" ht="15.75" customHeight="1">
      <c r="A314" s="34">
        <v>316</v>
      </c>
      <c r="B314" s="34" t="s">
        <v>405</v>
      </c>
      <c r="C314" s="34" t="s">
        <v>401</v>
      </c>
      <c r="D314" s="34">
        <v>5</v>
      </c>
      <c r="E314" s="34">
        <v>1766</v>
      </c>
      <c r="F314" s="34">
        <v>23</v>
      </c>
      <c r="G314" s="34">
        <v>1789</v>
      </c>
      <c r="H314" s="34">
        <v>25</v>
      </c>
      <c r="I314" s="34">
        <v>1814</v>
      </c>
      <c r="J314" s="34">
        <v>24</v>
      </c>
      <c r="K314" s="34">
        <v>1838</v>
      </c>
      <c r="L314" s="34">
        <v>24</v>
      </c>
      <c r="M314" s="34">
        <v>1862</v>
      </c>
      <c r="N314" s="34">
        <v>21</v>
      </c>
      <c r="O314" s="34">
        <v>1883</v>
      </c>
      <c r="P314" s="34">
        <v>13</v>
      </c>
      <c r="Q314" s="34">
        <v>1896</v>
      </c>
      <c r="R314" s="34">
        <v>13</v>
      </c>
      <c r="S314" s="34">
        <v>1910</v>
      </c>
      <c r="T314" s="34">
        <v>14</v>
      </c>
      <c r="U314" s="34">
        <v>1923</v>
      </c>
      <c r="V314" s="34">
        <v>13</v>
      </c>
      <c r="W314" s="34">
        <v>1937</v>
      </c>
      <c r="X314" s="34">
        <v>14</v>
      </c>
      <c r="Y314" s="34">
        <v>1950</v>
      </c>
      <c r="Z314" s="34">
        <v>13</v>
      </c>
      <c r="AA314" s="34">
        <v>1966</v>
      </c>
      <c r="AB314" s="34">
        <v>16</v>
      </c>
      <c r="AC314" s="34">
        <v>16</v>
      </c>
      <c r="AD314" s="34">
        <v>0</v>
      </c>
      <c r="AE314" s="34">
        <v>0</v>
      </c>
      <c r="AG314" s="34">
        <v>3</v>
      </c>
      <c r="AH314" s="34">
        <v>0</v>
      </c>
      <c r="AI314" s="34">
        <v>19</v>
      </c>
    </row>
    <row r="315" spans="1:35" ht="15.75" customHeight="1">
      <c r="A315" s="34">
        <v>317</v>
      </c>
      <c r="B315" s="34" t="s">
        <v>406</v>
      </c>
      <c r="C315" s="34" t="s">
        <v>401</v>
      </c>
      <c r="D315" s="34">
        <v>7</v>
      </c>
      <c r="E315" s="34">
        <v>145</v>
      </c>
      <c r="F315" s="34">
        <v>2</v>
      </c>
      <c r="G315" s="34">
        <v>147</v>
      </c>
      <c r="H315" s="34">
        <v>1</v>
      </c>
      <c r="I315" s="34">
        <v>148</v>
      </c>
      <c r="J315" s="34">
        <v>2</v>
      </c>
      <c r="K315" s="34">
        <v>150</v>
      </c>
      <c r="L315" s="34">
        <v>2</v>
      </c>
      <c r="M315" s="34">
        <v>152</v>
      </c>
      <c r="N315" s="34">
        <v>0</v>
      </c>
      <c r="O315" s="34">
        <v>152</v>
      </c>
      <c r="P315" s="34">
        <v>1</v>
      </c>
      <c r="Q315" s="34">
        <v>153</v>
      </c>
      <c r="R315" s="34">
        <v>1</v>
      </c>
      <c r="S315" s="34">
        <v>154</v>
      </c>
      <c r="T315" s="34">
        <v>1</v>
      </c>
      <c r="U315" s="34">
        <v>155</v>
      </c>
      <c r="V315" s="34">
        <v>1</v>
      </c>
      <c r="W315" s="34">
        <v>155</v>
      </c>
      <c r="X315" s="34">
        <v>0</v>
      </c>
      <c r="Y315" s="34">
        <v>157</v>
      </c>
      <c r="Z315" s="34">
        <v>2</v>
      </c>
      <c r="AA315" s="34">
        <v>160</v>
      </c>
      <c r="AB315" s="34">
        <v>3</v>
      </c>
      <c r="AC315" s="34">
        <v>5</v>
      </c>
      <c r="AD315" s="34">
        <v>0</v>
      </c>
      <c r="AE315" s="34">
        <v>0</v>
      </c>
      <c r="AG315" s="34">
        <v>3</v>
      </c>
      <c r="AH315" s="34">
        <v>20</v>
      </c>
      <c r="AI315" s="34">
        <v>28</v>
      </c>
    </row>
    <row r="316" spans="1:35" ht="15.75" customHeight="1">
      <c r="A316" s="34">
        <v>318</v>
      </c>
      <c r="B316" s="34" t="s">
        <v>407</v>
      </c>
      <c r="C316" s="34" t="s">
        <v>401</v>
      </c>
      <c r="D316" s="34">
        <v>8</v>
      </c>
      <c r="E316" s="34">
        <v>325</v>
      </c>
      <c r="F316" s="34">
        <v>1</v>
      </c>
      <c r="G316" s="34">
        <v>326</v>
      </c>
      <c r="H316" s="34">
        <v>0</v>
      </c>
      <c r="I316" s="34">
        <v>326</v>
      </c>
      <c r="J316" s="34">
        <v>1</v>
      </c>
      <c r="K316" s="34">
        <v>327</v>
      </c>
      <c r="L316" s="34">
        <v>0</v>
      </c>
      <c r="M316" s="34">
        <v>327</v>
      </c>
      <c r="N316" s="34">
        <v>1</v>
      </c>
      <c r="O316" s="34">
        <v>328</v>
      </c>
      <c r="P316" s="34">
        <v>0</v>
      </c>
      <c r="Q316" s="34">
        <v>328</v>
      </c>
      <c r="R316" s="34">
        <v>0</v>
      </c>
      <c r="S316" s="34">
        <v>328</v>
      </c>
      <c r="T316" s="34">
        <v>0</v>
      </c>
      <c r="U316" s="34">
        <v>328</v>
      </c>
      <c r="V316" s="34">
        <v>0</v>
      </c>
      <c r="W316" s="34">
        <v>335</v>
      </c>
      <c r="X316" s="34">
        <v>7</v>
      </c>
      <c r="Y316" s="34">
        <v>335</v>
      </c>
      <c r="Z316" s="34">
        <v>0</v>
      </c>
      <c r="AA316" s="34">
        <v>335</v>
      </c>
      <c r="AB316" s="34">
        <v>0</v>
      </c>
      <c r="AC316" s="34">
        <v>5</v>
      </c>
      <c r="AD316" s="34">
        <v>0</v>
      </c>
      <c r="AE316" s="34">
        <v>0</v>
      </c>
      <c r="AG316" s="34">
        <v>3</v>
      </c>
      <c r="AH316" s="34">
        <v>0</v>
      </c>
      <c r="AI316" s="34">
        <v>8</v>
      </c>
    </row>
    <row r="317" spans="1:35" ht="15.75" customHeight="1">
      <c r="A317" s="34">
        <v>319</v>
      </c>
      <c r="B317" s="34" t="s">
        <v>408</v>
      </c>
      <c r="C317" s="34" t="s">
        <v>401</v>
      </c>
      <c r="D317" s="34">
        <v>9</v>
      </c>
      <c r="E317" s="34">
        <v>638</v>
      </c>
      <c r="F317" s="34">
        <v>11</v>
      </c>
      <c r="G317" s="34">
        <v>649</v>
      </c>
      <c r="H317" s="34">
        <v>13</v>
      </c>
      <c r="I317" s="34">
        <v>662</v>
      </c>
      <c r="J317" s="34">
        <v>12</v>
      </c>
      <c r="K317" s="34">
        <v>674</v>
      </c>
      <c r="L317" s="34">
        <v>12</v>
      </c>
      <c r="M317" s="34">
        <v>686</v>
      </c>
      <c r="N317" s="34">
        <v>10</v>
      </c>
      <c r="O317" s="34">
        <v>696</v>
      </c>
      <c r="P317" s="34">
        <v>8</v>
      </c>
      <c r="Q317" s="34">
        <v>704</v>
      </c>
      <c r="R317" s="34">
        <v>8</v>
      </c>
      <c r="S317" s="34">
        <v>710</v>
      </c>
      <c r="T317" s="34">
        <v>6</v>
      </c>
      <c r="U317" s="34">
        <v>715</v>
      </c>
      <c r="V317" s="34">
        <v>5</v>
      </c>
      <c r="W317" s="34">
        <v>720</v>
      </c>
      <c r="X317" s="34">
        <v>5</v>
      </c>
      <c r="Y317" s="34">
        <v>724</v>
      </c>
      <c r="Z317" s="34">
        <v>4</v>
      </c>
      <c r="AA317" s="34">
        <v>729</v>
      </c>
      <c r="AB317" s="34">
        <v>5</v>
      </c>
      <c r="AC317" s="34">
        <v>5</v>
      </c>
      <c r="AD317" s="34">
        <v>0</v>
      </c>
      <c r="AE317" s="34">
        <v>0</v>
      </c>
      <c r="AG317" s="34">
        <v>3</v>
      </c>
      <c r="AH317" s="34">
        <v>0</v>
      </c>
      <c r="AI317" s="34">
        <v>8</v>
      </c>
    </row>
    <row r="318" spans="1:35" ht="15.75" customHeight="1">
      <c r="A318" s="34">
        <v>320</v>
      </c>
      <c r="B318" s="34" t="s">
        <v>409</v>
      </c>
      <c r="C318" s="34" t="s">
        <v>401</v>
      </c>
      <c r="D318" s="34">
        <v>10</v>
      </c>
      <c r="E318" s="34">
        <v>1696</v>
      </c>
      <c r="F318" s="34">
        <v>6</v>
      </c>
      <c r="G318" s="34">
        <v>1702</v>
      </c>
      <c r="H318" s="34">
        <v>9</v>
      </c>
      <c r="I318" s="34">
        <v>1711</v>
      </c>
      <c r="J318" s="34">
        <v>4</v>
      </c>
      <c r="K318" s="34">
        <v>1715</v>
      </c>
      <c r="L318" s="34">
        <v>5</v>
      </c>
      <c r="M318" s="34">
        <v>1720</v>
      </c>
      <c r="N318" s="34">
        <v>4</v>
      </c>
      <c r="O318" s="34">
        <v>1724</v>
      </c>
      <c r="P318" s="34">
        <v>4</v>
      </c>
      <c r="Q318" s="34">
        <v>1728</v>
      </c>
      <c r="R318" s="34">
        <v>4</v>
      </c>
      <c r="S318" s="34">
        <v>1731</v>
      </c>
      <c r="T318" s="34">
        <v>3</v>
      </c>
      <c r="U318" s="34">
        <v>1734</v>
      </c>
      <c r="V318" s="34">
        <v>3</v>
      </c>
      <c r="W318" s="34">
        <v>1737</v>
      </c>
      <c r="X318" s="34">
        <v>3</v>
      </c>
      <c r="Y318" s="34">
        <v>1740</v>
      </c>
      <c r="Z318" s="34">
        <v>3</v>
      </c>
      <c r="AA318" s="34">
        <v>1743</v>
      </c>
      <c r="AB318" s="34">
        <v>3</v>
      </c>
      <c r="AC318" s="34">
        <v>5</v>
      </c>
      <c r="AD318" s="34">
        <v>0</v>
      </c>
      <c r="AE318" s="34">
        <v>0</v>
      </c>
      <c r="AG318" s="34">
        <v>3</v>
      </c>
      <c r="AH318" s="34">
        <v>0</v>
      </c>
      <c r="AI318" s="34">
        <v>8</v>
      </c>
    </row>
    <row r="319" spans="1:35" ht="15.75" customHeight="1">
      <c r="A319" s="34">
        <v>321</v>
      </c>
      <c r="B319" s="34" t="s">
        <v>410</v>
      </c>
      <c r="C319" s="34" t="s">
        <v>401</v>
      </c>
      <c r="D319" s="34">
        <v>11</v>
      </c>
      <c r="E319" s="34">
        <v>1184</v>
      </c>
      <c r="F319" s="34">
        <v>7</v>
      </c>
      <c r="G319" s="34">
        <v>1191</v>
      </c>
      <c r="H319" s="34">
        <v>8</v>
      </c>
      <c r="I319" s="34">
        <v>1199</v>
      </c>
      <c r="J319" s="34">
        <v>11</v>
      </c>
      <c r="K319" s="34">
        <v>1210</v>
      </c>
      <c r="L319" s="34">
        <v>11</v>
      </c>
      <c r="M319" s="34">
        <v>1221</v>
      </c>
      <c r="N319" s="34">
        <v>13</v>
      </c>
      <c r="O319" s="34">
        <v>1234</v>
      </c>
      <c r="P319" s="34">
        <v>12</v>
      </c>
      <c r="Q319" s="34">
        <v>1246</v>
      </c>
      <c r="R319" s="34">
        <v>12</v>
      </c>
      <c r="S319" s="34">
        <v>1252</v>
      </c>
      <c r="T319" s="34">
        <v>6</v>
      </c>
      <c r="U319" s="34">
        <v>1260</v>
      </c>
      <c r="V319" s="34">
        <v>8</v>
      </c>
      <c r="W319" s="34">
        <v>1268</v>
      </c>
      <c r="X319" s="34">
        <v>8</v>
      </c>
      <c r="Y319" s="34">
        <v>1273</v>
      </c>
      <c r="Z319" s="34">
        <v>5</v>
      </c>
      <c r="AA319" s="34">
        <v>1287</v>
      </c>
      <c r="AB319" s="34">
        <v>14</v>
      </c>
      <c r="AC319" s="34">
        <v>14</v>
      </c>
      <c r="AD319" s="34">
        <v>0</v>
      </c>
      <c r="AE319" s="34">
        <v>0</v>
      </c>
      <c r="AG319" s="34">
        <v>3</v>
      </c>
      <c r="AH319" s="34">
        <v>0</v>
      </c>
      <c r="AI319" s="34">
        <v>17</v>
      </c>
    </row>
    <row r="320" spans="1:35" ht="15.75" customHeight="1">
      <c r="A320" s="34">
        <v>322</v>
      </c>
      <c r="B320" s="34" t="s">
        <v>411</v>
      </c>
      <c r="C320" s="34" t="s">
        <v>401</v>
      </c>
      <c r="D320" s="34">
        <v>12</v>
      </c>
      <c r="E320" s="34">
        <v>30</v>
      </c>
      <c r="F320" s="34">
        <v>2</v>
      </c>
      <c r="G320" s="34">
        <v>32</v>
      </c>
      <c r="H320" s="34">
        <v>2</v>
      </c>
      <c r="I320" s="34">
        <v>34</v>
      </c>
      <c r="J320" s="34">
        <v>5</v>
      </c>
      <c r="K320" s="34">
        <v>39</v>
      </c>
      <c r="L320" s="34">
        <v>8</v>
      </c>
      <c r="M320" s="34">
        <v>47</v>
      </c>
      <c r="N320" s="34">
        <v>1</v>
      </c>
      <c r="O320" s="34">
        <v>48</v>
      </c>
      <c r="P320" s="34">
        <v>1</v>
      </c>
      <c r="Q320" s="34">
        <v>49</v>
      </c>
      <c r="R320" s="34">
        <v>1</v>
      </c>
      <c r="S320" s="34">
        <v>49</v>
      </c>
      <c r="T320" s="34">
        <v>0</v>
      </c>
      <c r="U320" s="34">
        <v>49</v>
      </c>
      <c r="V320" s="34">
        <v>0</v>
      </c>
      <c r="W320" s="34">
        <v>50</v>
      </c>
      <c r="X320" s="34">
        <v>1</v>
      </c>
      <c r="Y320" s="34">
        <v>50</v>
      </c>
      <c r="Z320" s="34">
        <v>0</v>
      </c>
      <c r="AA320" s="34">
        <v>51</v>
      </c>
      <c r="AB320" s="34">
        <v>1</v>
      </c>
      <c r="AC320" s="34">
        <v>5</v>
      </c>
      <c r="AD320" s="34">
        <v>0</v>
      </c>
      <c r="AE320" s="34">
        <v>0</v>
      </c>
      <c r="AG320" s="34">
        <v>3</v>
      </c>
      <c r="AH320" s="34">
        <v>0</v>
      </c>
      <c r="AI320" s="34">
        <v>8</v>
      </c>
    </row>
    <row r="321" spans="1:35" ht="15.75" customHeight="1">
      <c r="A321" s="34">
        <v>323</v>
      </c>
      <c r="B321" s="34" t="s">
        <v>412</v>
      </c>
      <c r="C321" s="34" t="s">
        <v>401</v>
      </c>
      <c r="D321" s="34">
        <v>13</v>
      </c>
      <c r="E321" s="34">
        <v>4129</v>
      </c>
      <c r="F321" s="34">
        <v>17</v>
      </c>
      <c r="G321" s="34">
        <v>4146</v>
      </c>
      <c r="H321" s="34">
        <v>17</v>
      </c>
      <c r="I321" s="34">
        <v>4163</v>
      </c>
      <c r="J321" s="34">
        <v>15</v>
      </c>
      <c r="K321" s="34">
        <v>4178</v>
      </c>
      <c r="L321" s="34">
        <v>13</v>
      </c>
      <c r="M321" s="34">
        <v>4191</v>
      </c>
      <c r="N321" s="34">
        <v>11</v>
      </c>
      <c r="O321" s="34">
        <v>4202</v>
      </c>
      <c r="P321" s="34">
        <v>9</v>
      </c>
      <c r="Q321" s="34">
        <v>4211</v>
      </c>
      <c r="R321" s="34">
        <v>9</v>
      </c>
      <c r="S321" s="34">
        <v>4221</v>
      </c>
      <c r="T321" s="34">
        <v>10</v>
      </c>
      <c r="U321" s="34">
        <v>4233</v>
      </c>
      <c r="V321" s="34">
        <v>12</v>
      </c>
      <c r="W321" s="34">
        <v>4241</v>
      </c>
      <c r="X321" s="34">
        <v>8</v>
      </c>
      <c r="Y321" s="34">
        <v>4254</v>
      </c>
      <c r="Z321" s="34">
        <v>13</v>
      </c>
      <c r="AA321" s="34">
        <v>4268</v>
      </c>
      <c r="AB321" s="34">
        <v>14</v>
      </c>
      <c r="AC321" s="34">
        <v>14</v>
      </c>
      <c r="AD321" s="34">
        <v>0</v>
      </c>
      <c r="AE321" s="34">
        <v>0</v>
      </c>
      <c r="AG321" s="34">
        <v>3</v>
      </c>
      <c r="AH321" s="34">
        <v>20</v>
      </c>
      <c r="AI321" s="34">
        <v>37</v>
      </c>
    </row>
    <row r="322" spans="1:35" ht="15.75" customHeight="1">
      <c r="A322" s="34">
        <v>324</v>
      </c>
      <c r="B322" s="34" t="s">
        <v>413</v>
      </c>
      <c r="C322" s="34" t="s">
        <v>401</v>
      </c>
      <c r="D322" s="34">
        <v>15</v>
      </c>
      <c r="E322" s="34">
        <v>1348</v>
      </c>
      <c r="F322" s="34">
        <v>8</v>
      </c>
      <c r="G322" s="34">
        <v>1356</v>
      </c>
      <c r="H322" s="34">
        <v>8</v>
      </c>
      <c r="I322" s="34">
        <v>1364</v>
      </c>
      <c r="J322" s="34">
        <v>8</v>
      </c>
      <c r="K322" s="34">
        <v>1372</v>
      </c>
      <c r="L322" s="34">
        <v>6</v>
      </c>
      <c r="M322" s="34">
        <v>1378</v>
      </c>
      <c r="N322" s="34">
        <v>5</v>
      </c>
      <c r="O322" s="34">
        <v>1383</v>
      </c>
      <c r="P322" s="34">
        <v>5</v>
      </c>
      <c r="Q322" s="34">
        <v>1388</v>
      </c>
      <c r="R322" s="34">
        <v>5</v>
      </c>
      <c r="S322" s="34">
        <v>1394</v>
      </c>
      <c r="T322" s="34">
        <v>6</v>
      </c>
      <c r="U322" s="34">
        <v>1400</v>
      </c>
      <c r="V322" s="34">
        <v>6</v>
      </c>
      <c r="W322" s="34">
        <v>1407</v>
      </c>
      <c r="X322" s="34">
        <v>7</v>
      </c>
      <c r="Y322" s="34">
        <v>1412</v>
      </c>
      <c r="Z322" s="34">
        <v>5</v>
      </c>
      <c r="AA322" s="34">
        <v>1418</v>
      </c>
      <c r="AB322" s="34">
        <v>6</v>
      </c>
      <c r="AC322" s="34">
        <v>6</v>
      </c>
      <c r="AD322" s="34">
        <v>0</v>
      </c>
      <c r="AE322" s="34">
        <v>0</v>
      </c>
      <c r="AG322" s="34">
        <v>3</v>
      </c>
      <c r="AH322" s="34">
        <v>0</v>
      </c>
      <c r="AI322" s="34">
        <v>9</v>
      </c>
    </row>
    <row r="323" spans="1:35" ht="15.75" customHeight="1">
      <c r="A323" s="34">
        <v>325</v>
      </c>
      <c r="B323" s="34" t="s">
        <v>414</v>
      </c>
      <c r="C323" s="34" t="s">
        <v>415</v>
      </c>
      <c r="D323" s="34">
        <v>1</v>
      </c>
      <c r="E323" s="34">
        <v>2335</v>
      </c>
      <c r="F323" s="34">
        <v>15</v>
      </c>
      <c r="G323" s="34">
        <v>2350</v>
      </c>
      <c r="H323" s="34">
        <v>22</v>
      </c>
      <c r="I323" s="34">
        <v>2372</v>
      </c>
      <c r="J323" s="34">
        <v>18</v>
      </c>
      <c r="K323" s="34">
        <v>2390</v>
      </c>
      <c r="L323" s="34">
        <v>11</v>
      </c>
      <c r="M323" s="34">
        <v>2401</v>
      </c>
      <c r="N323" s="34">
        <v>15</v>
      </c>
      <c r="O323" s="34">
        <v>2416</v>
      </c>
      <c r="P323" s="34">
        <v>11</v>
      </c>
      <c r="Q323" s="34">
        <v>2427</v>
      </c>
      <c r="R323" s="34">
        <v>11</v>
      </c>
      <c r="S323" s="34">
        <v>2436</v>
      </c>
      <c r="T323" s="34">
        <v>9</v>
      </c>
      <c r="U323" s="34">
        <v>2447</v>
      </c>
      <c r="V323" s="34">
        <v>11</v>
      </c>
      <c r="W323" s="34">
        <v>2455</v>
      </c>
      <c r="X323" s="34">
        <v>8</v>
      </c>
      <c r="Y323" s="34">
        <v>2466</v>
      </c>
      <c r="Z323" s="34">
        <v>11</v>
      </c>
      <c r="AA323" s="34">
        <v>2479</v>
      </c>
      <c r="AB323" s="34">
        <v>13</v>
      </c>
      <c r="AC323" s="34">
        <v>13</v>
      </c>
      <c r="AD323" s="34">
        <v>0</v>
      </c>
      <c r="AE323" s="34">
        <v>0</v>
      </c>
      <c r="AG323" s="34">
        <v>3</v>
      </c>
      <c r="AH323" s="34">
        <v>0</v>
      </c>
      <c r="AI323" s="34">
        <v>16</v>
      </c>
    </row>
    <row r="324" spans="1:35" ht="15.75" customHeight="1">
      <c r="A324" s="34">
        <v>326</v>
      </c>
      <c r="B324" s="34" t="s">
        <v>416</v>
      </c>
      <c r="C324" s="34" t="s">
        <v>415</v>
      </c>
      <c r="D324" s="34">
        <v>3</v>
      </c>
      <c r="E324" s="34">
        <v>45</v>
      </c>
      <c r="F324" s="34">
        <v>8</v>
      </c>
      <c r="G324" s="34">
        <v>53</v>
      </c>
      <c r="H324" s="34">
        <v>8</v>
      </c>
      <c r="I324" s="34">
        <v>61</v>
      </c>
      <c r="J324" s="34">
        <v>8</v>
      </c>
      <c r="K324" s="34">
        <v>69</v>
      </c>
      <c r="L324" s="34">
        <v>6</v>
      </c>
      <c r="M324" s="34">
        <v>75</v>
      </c>
      <c r="N324" s="34">
        <v>7</v>
      </c>
      <c r="O324" s="34">
        <v>82</v>
      </c>
      <c r="P324" s="34">
        <v>1</v>
      </c>
      <c r="Q324" s="34">
        <v>83</v>
      </c>
      <c r="R324" s="34">
        <v>1</v>
      </c>
      <c r="S324" s="34">
        <v>86</v>
      </c>
      <c r="T324" s="34">
        <v>3</v>
      </c>
      <c r="U324" s="34">
        <v>90</v>
      </c>
      <c r="V324" s="34">
        <v>4</v>
      </c>
      <c r="W324" s="34">
        <v>94</v>
      </c>
      <c r="X324" s="34">
        <v>4</v>
      </c>
      <c r="Y324" s="34">
        <v>98</v>
      </c>
      <c r="Z324" s="34">
        <v>4</v>
      </c>
      <c r="AA324" s="34">
        <v>102</v>
      </c>
      <c r="AB324" s="34">
        <v>4</v>
      </c>
      <c r="AC324" s="34">
        <v>5</v>
      </c>
      <c r="AD324" s="34">
        <v>0</v>
      </c>
      <c r="AE324" s="34">
        <v>0</v>
      </c>
      <c r="AG324" s="34">
        <v>3</v>
      </c>
      <c r="AH324" s="34">
        <v>0</v>
      </c>
      <c r="AI324" s="34">
        <v>8</v>
      </c>
    </row>
    <row r="325" spans="1:35" ht="15.75" customHeight="1">
      <c r="A325" s="34">
        <v>327</v>
      </c>
      <c r="B325" s="34" t="s">
        <v>417</v>
      </c>
      <c r="C325" s="34" t="s">
        <v>415</v>
      </c>
      <c r="D325" s="34">
        <v>4</v>
      </c>
      <c r="E325" s="34">
        <v>1147</v>
      </c>
      <c r="F325" s="34">
        <v>9</v>
      </c>
      <c r="G325" s="34">
        <v>1156</v>
      </c>
      <c r="H325" s="34">
        <v>10</v>
      </c>
      <c r="I325" s="34">
        <v>1166</v>
      </c>
      <c r="J325" s="34">
        <v>10</v>
      </c>
      <c r="K325" s="34">
        <v>1176</v>
      </c>
      <c r="L325" s="34">
        <v>8</v>
      </c>
      <c r="M325" s="34">
        <v>1184</v>
      </c>
      <c r="N325" s="34">
        <v>18</v>
      </c>
      <c r="O325" s="34">
        <v>1202</v>
      </c>
      <c r="P325" s="34">
        <v>5</v>
      </c>
      <c r="Q325" s="34">
        <v>1207</v>
      </c>
      <c r="R325" s="34">
        <v>5</v>
      </c>
      <c r="S325" s="34">
        <v>1211</v>
      </c>
      <c r="T325" s="34">
        <v>4</v>
      </c>
      <c r="U325" s="34">
        <v>1235</v>
      </c>
      <c r="V325" s="34">
        <v>24</v>
      </c>
      <c r="W325" s="34">
        <v>1241</v>
      </c>
      <c r="X325" s="34">
        <v>6</v>
      </c>
      <c r="Y325" s="34">
        <v>1248</v>
      </c>
      <c r="Z325" s="34">
        <v>7</v>
      </c>
      <c r="AA325" s="34">
        <v>1254</v>
      </c>
      <c r="AB325" s="34">
        <v>6</v>
      </c>
      <c r="AC325" s="34">
        <v>6</v>
      </c>
      <c r="AD325" s="34">
        <v>10</v>
      </c>
      <c r="AE325" s="34">
        <v>0</v>
      </c>
      <c r="AG325" s="34">
        <v>3</v>
      </c>
      <c r="AH325" s="34">
        <v>0</v>
      </c>
      <c r="AI325" s="34">
        <v>19</v>
      </c>
    </row>
    <row r="326" spans="1:35" ht="15.75" customHeight="1">
      <c r="A326" s="34">
        <v>328</v>
      </c>
      <c r="B326" s="34" t="s">
        <v>418</v>
      </c>
      <c r="C326" s="34" t="s">
        <v>415</v>
      </c>
      <c r="D326" s="34">
        <v>5</v>
      </c>
      <c r="E326" s="34">
        <v>375</v>
      </c>
      <c r="F326" s="34">
        <v>0</v>
      </c>
      <c r="G326" s="34">
        <v>375</v>
      </c>
      <c r="H326" s="34">
        <v>0</v>
      </c>
      <c r="I326" s="34">
        <v>375</v>
      </c>
      <c r="J326" s="34">
        <v>0</v>
      </c>
      <c r="K326" s="34">
        <v>375</v>
      </c>
      <c r="L326" s="34">
        <v>0</v>
      </c>
      <c r="M326" s="34">
        <v>375</v>
      </c>
      <c r="N326" s="34">
        <v>0</v>
      </c>
      <c r="O326" s="34">
        <v>375</v>
      </c>
      <c r="P326" s="34">
        <v>-3</v>
      </c>
      <c r="Q326" s="34">
        <v>372</v>
      </c>
      <c r="R326" s="34">
        <v>-3</v>
      </c>
      <c r="S326" s="34">
        <v>372</v>
      </c>
      <c r="T326" s="34">
        <v>0</v>
      </c>
      <c r="U326" s="34">
        <v>372</v>
      </c>
      <c r="V326" s="34">
        <v>0</v>
      </c>
      <c r="W326" s="34">
        <v>372</v>
      </c>
      <c r="X326" s="34">
        <v>0</v>
      </c>
      <c r="Y326" s="34">
        <v>372</v>
      </c>
      <c r="Z326" s="34">
        <v>0</v>
      </c>
      <c r="AA326" s="34">
        <v>372</v>
      </c>
      <c r="AB326" s="34">
        <v>0</v>
      </c>
      <c r="AC326" s="34">
        <v>5</v>
      </c>
      <c r="AD326" s="34">
        <v>0</v>
      </c>
      <c r="AE326" s="34">
        <v>0</v>
      </c>
      <c r="AG326" s="34">
        <v>3</v>
      </c>
      <c r="AH326" s="34">
        <v>0</v>
      </c>
      <c r="AI326" s="34">
        <v>8</v>
      </c>
    </row>
    <row r="327" spans="1:35" ht="15.75" customHeight="1">
      <c r="A327" s="34">
        <v>329</v>
      </c>
      <c r="B327" s="34" t="s">
        <v>419</v>
      </c>
      <c r="C327" s="34" t="s">
        <v>415</v>
      </c>
      <c r="D327" s="34">
        <v>6</v>
      </c>
      <c r="E327" s="34">
        <v>2836</v>
      </c>
      <c r="F327" s="34">
        <v>18</v>
      </c>
      <c r="G327" s="34">
        <v>2854</v>
      </c>
      <c r="H327" s="34">
        <v>20</v>
      </c>
      <c r="I327" s="34">
        <v>2874</v>
      </c>
      <c r="J327" s="34">
        <v>13</v>
      </c>
      <c r="K327" s="34">
        <v>2887</v>
      </c>
      <c r="L327" s="34">
        <v>20</v>
      </c>
      <c r="M327" s="34">
        <v>2907</v>
      </c>
      <c r="N327" s="34">
        <v>11</v>
      </c>
      <c r="O327" s="34">
        <v>2918</v>
      </c>
      <c r="P327" s="34">
        <v>15</v>
      </c>
      <c r="Q327" s="34">
        <v>2933</v>
      </c>
      <c r="R327" s="34">
        <v>15</v>
      </c>
      <c r="S327" s="34">
        <v>2939</v>
      </c>
      <c r="T327" s="34">
        <v>6</v>
      </c>
      <c r="U327" s="34">
        <v>2947</v>
      </c>
      <c r="V327" s="34">
        <v>8</v>
      </c>
      <c r="W327" s="34">
        <v>2968</v>
      </c>
      <c r="X327" s="34">
        <v>21</v>
      </c>
      <c r="Y327" s="34">
        <v>2986</v>
      </c>
      <c r="Z327" s="34">
        <v>18</v>
      </c>
      <c r="AA327" s="34">
        <v>2998</v>
      </c>
      <c r="AB327" s="34">
        <v>12</v>
      </c>
      <c r="AC327" s="34">
        <v>12</v>
      </c>
      <c r="AD327" s="34">
        <v>21</v>
      </c>
      <c r="AE327" s="34">
        <v>0</v>
      </c>
      <c r="AG327" s="34">
        <v>3</v>
      </c>
      <c r="AH327" s="34">
        <v>0</v>
      </c>
      <c r="AI327" s="34">
        <v>36</v>
      </c>
    </row>
    <row r="328" spans="1:35" ht="15.75" customHeight="1">
      <c r="A328" s="34">
        <v>330</v>
      </c>
      <c r="B328" s="34" t="s">
        <v>420</v>
      </c>
      <c r="C328" s="34" t="s">
        <v>415</v>
      </c>
      <c r="D328" s="34">
        <v>7</v>
      </c>
      <c r="E328" s="34">
        <v>3139</v>
      </c>
      <c r="F328" s="34">
        <v>18</v>
      </c>
      <c r="G328" s="34">
        <v>3157</v>
      </c>
      <c r="H328" s="34">
        <v>18</v>
      </c>
      <c r="I328" s="34">
        <v>3175</v>
      </c>
      <c r="J328" s="34">
        <v>17</v>
      </c>
      <c r="K328" s="34">
        <v>3192</v>
      </c>
      <c r="L328" s="34">
        <v>19</v>
      </c>
      <c r="M328" s="34">
        <v>3211</v>
      </c>
      <c r="N328" s="34">
        <v>15</v>
      </c>
      <c r="O328" s="34">
        <v>3226</v>
      </c>
      <c r="P328" s="34">
        <v>16</v>
      </c>
      <c r="Q328" s="34">
        <v>3242</v>
      </c>
      <c r="R328" s="34">
        <v>16</v>
      </c>
      <c r="S328" s="34">
        <v>3253</v>
      </c>
      <c r="T328" s="34">
        <v>11</v>
      </c>
      <c r="U328" s="34">
        <v>3267</v>
      </c>
      <c r="V328" s="34">
        <v>14</v>
      </c>
      <c r="W328" s="34">
        <v>3278</v>
      </c>
      <c r="X328" s="34">
        <v>11</v>
      </c>
      <c r="Y328" s="34">
        <v>3291</v>
      </c>
      <c r="Z328" s="34">
        <v>13</v>
      </c>
      <c r="AA328" s="34">
        <v>3306</v>
      </c>
      <c r="AB328" s="34">
        <v>15</v>
      </c>
      <c r="AC328" s="34">
        <v>15</v>
      </c>
      <c r="AD328" s="34">
        <v>0</v>
      </c>
      <c r="AE328" s="34">
        <v>0</v>
      </c>
      <c r="AG328" s="34">
        <v>3</v>
      </c>
      <c r="AH328" s="34">
        <v>0</v>
      </c>
      <c r="AI328" s="34">
        <v>18</v>
      </c>
    </row>
    <row r="329" spans="1:35" ht="15.75" customHeight="1">
      <c r="A329" s="34">
        <v>331</v>
      </c>
      <c r="B329" s="34" t="s">
        <v>421</v>
      </c>
      <c r="C329" s="34" t="s">
        <v>415</v>
      </c>
      <c r="D329" s="34">
        <v>8</v>
      </c>
      <c r="E329" s="34">
        <v>2049</v>
      </c>
      <c r="F329" s="34">
        <v>6</v>
      </c>
      <c r="G329" s="34">
        <v>2055</v>
      </c>
      <c r="H329" s="34">
        <v>9</v>
      </c>
      <c r="I329" s="34">
        <v>2064</v>
      </c>
      <c r="J329" s="34">
        <v>5</v>
      </c>
      <c r="K329" s="34">
        <v>2069</v>
      </c>
      <c r="L329" s="34">
        <v>5</v>
      </c>
      <c r="M329" s="34">
        <v>2074</v>
      </c>
      <c r="N329" s="34">
        <v>6</v>
      </c>
      <c r="O329" s="34">
        <v>2080</v>
      </c>
      <c r="P329" s="34">
        <v>2</v>
      </c>
      <c r="Q329" s="34">
        <v>2082</v>
      </c>
      <c r="R329" s="34">
        <v>2</v>
      </c>
      <c r="S329" s="34">
        <v>2084</v>
      </c>
      <c r="T329" s="34">
        <v>2</v>
      </c>
      <c r="U329" s="34">
        <v>2085</v>
      </c>
      <c r="V329" s="34">
        <v>1</v>
      </c>
      <c r="W329" s="34">
        <v>2087</v>
      </c>
      <c r="X329" s="34">
        <v>2</v>
      </c>
      <c r="Y329" s="34">
        <v>2090</v>
      </c>
      <c r="Z329" s="34">
        <v>3</v>
      </c>
      <c r="AA329" s="34">
        <v>2096</v>
      </c>
      <c r="AB329" s="34">
        <v>6</v>
      </c>
      <c r="AC329" s="34">
        <v>6</v>
      </c>
      <c r="AD329" s="34">
        <v>0</v>
      </c>
      <c r="AE329" s="34">
        <v>0</v>
      </c>
      <c r="AG329" s="34">
        <v>3</v>
      </c>
      <c r="AH329" s="34">
        <v>0</v>
      </c>
      <c r="AI329" s="34">
        <v>9</v>
      </c>
    </row>
    <row r="330" spans="1:35" ht="15.75" customHeight="1">
      <c r="A330" s="34">
        <v>332</v>
      </c>
      <c r="B330" s="34" t="s">
        <v>422</v>
      </c>
      <c r="C330" s="34" t="s">
        <v>415</v>
      </c>
      <c r="D330" s="34">
        <v>9</v>
      </c>
      <c r="E330" s="34">
        <v>601</v>
      </c>
      <c r="F330" s="34">
        <v>0</v>
      </c>
      <c r="G330" s="34">
        <v>601</v>
      </c>
      <c r="H330" s="34">
        <v>0</v>
      </c>
      <c r="I330" s="34">
        <v>601</v>
      </c>
      <c r="J330" s="34">
        <v>0</v>
      </c>
      <c r="K330" s="34">
        <v>601</v>
      </c>
      <c r="L330" s="34">
        <v>0</v>
      </c>
      <c r="M330" s="34">
        <v>601</v>
      </c>
      <c r="N330" s="34">
        <v>0</v>
      </c>
      <c r="O330" s="34">
        <v>601</v>
      </c>
      <c r="P330" s="34">
        <v>0</v>
      </c>
      <c r="Q330" s="34">
        <v>601</v>
      </c>
      <c r="R330" s="34">
        <v>0</v>
      </c>
      <c r="S330" s="34">
        <v>601</v>
      </c>
      <c r="T330" s="34">
        <v>0</v>
      </c>
      <c r="U330" s="34">
        <v>601</v>
      </c>
      <c r="V330" s="34">
        <v>0</v>
      </c>
      <c r="W330" s="34">
        <v>601</v>
      </c>
      <c r="X330" s="34">
        <v>0</v>
      </c>
      <c r="Y330" s="34">
        <v>601</v>
      </c>
      <c r="Z330" s="34">
        <v>0</v>
      </c>
      <c r="AA330" s="34">
        <v>601</v>
      </c>
      <c r="AB330" s="34">
        <v>0</v>
      </c>
      <c r="AC330" s="34">
        <v>5</v>
      </c>
      <c r="AD330" s="34">
        <v>32</v>
      </c>
      <c r="AE330" s="34">
        <v>40</v>
      </c>
      <c r="AG330" s="34">
        <v>3</v>
      </c>
      <c r="AH330" s="34">
        <v>40</v>
      </c>
      <c r="AI330" s="34">
        <v>120</v>
      </c>
    </row>
    <row r="331" spans="1:35" ht="15.75" customHeight="1">
      <c r="A331" s="34">
        <v>333</v>
      </c>
      <c r="B331" s="34" t="s">
        <v>423</v>
      </c>
      <c r="C331" s="34" t="s">
        <v>415</v>
      </c>
      <c r="D331" s="34">
        <v>10</v>
      </c>
      <c r="E331" s="34">
        <v>2525</v>
      </c>
      <c r="F331" s="34">
        <v>32</v>
      </c>
      <c r="G331" s="34">
        <v>2557</v>
      </c>
      <c r="H331" s="34">
        <v>42</v>
      </c>
      <c r="I331" s="34">
        <v>2599</v>
      </c>
      <c r="J331" s="34">
        <v>30</v>
      </c>
      <c r="K331" s="34">
        <v>2629</v>
      </c>
      <c r="L331" s="34">
        <v>24</v>
      </c>
      <c r="M331" s="34">
        <v>2653</v>
      </c>
      <c r="N331" s="34">
        <v>23</v>
      </c>
      <c r="O331" s="34">
        <v>2676</v>
      </c>
      <c r="P331" s="34">
        <v>22</v>
      </c>
      <c r="Q331" s="34">
        <v>2698</v>
      </c>
      <c r="R331" s="34">
        <v>22</v>
      </c>
      <c r="S331" s="34">
        <v>2720</v>
      </c>
      <c r="T331" s="34">
        <v>22</v>
      </c>
      <c r="U331" s="34">
        <v>2742</v>
      </c>
      <c r="V331" s="34">
        <v>22</v>
      </c>
      <c r="W331" s="34">
        <v>2763</v>
      </c>
      <c r="X331" s="34">
        <v>21</v>
      </c>
      <c r="Y331" s="34">
        <v>2786</v>
      </c>
      <c r="Z331" s="34">
        <v>23</v>
      </c>
      <c r="AA331" s="34">
        <v>2816</v>
      </c>
      <c r="AB331" s="34">
        <v>30</v>
      </c>
      <c r="AC331" s="34">
        <v>30</v>
      </c>
      <c r="AD331" s="34">
        <v>26</v>
      </c>
      <c r="AE331" s="34">
        <v>0</v>
      </c>
      <c r="AG331" s="34">
        <v>3</v>
      </c>
      <c r="AH331" s="34">
        <v>0</v>
      </c>
      <c r="AI331" s="34">
        <v>59</v>
      </c>
    </row>
    <row r="332" spans="1:35" ht="15.75" customHeight="1">
      <c r="A332" s="34">
        <v>334</v>
      </c>
      <c r="B332" s="34" t="s">
        <v>424</v>
      </c>
      <c r="C332" s="34" t="s">
        <v>415</v>
      </c>
      <c r="D332" s="34">
        <v>11</v>
      </c>
      <c r="E332" s="34">
        <v>380</v>
      </c>
      <c r="F332" s="34">
        <v>6</v>
      </c>
      <c r="G332" s="34">
        <v>386</v>
      </c>
      <c r="H332" s="34">
        <v>6</v>
      </c>
      <c r="I332" s="34">
        <v>392</v>
      </c>
      <c r="J332" s="34">
        <v>4</v>
      </c>
      <c r="K332" s="34">
        <v>396</v>
      </c>
      <c r="L332" s="34">
        <v>5</v>
      </c>
      <c r="M332" s="34">
        <v>401</v>
      </c>
      <c r="N332" s="34">
        <v>4</v>
      </c>
      <c r="O332" s="34">
        <v>405</v>
      </c>
      <c r="P332" s="34">
        <v>3</v>
      </c>
      <c r="Q332" s="34">
        <v>408</v>
      </c>
      <c r="R332" s="34">
        <v>3</v>
      </c>
      <c r="S332" s="34">
        <v>410</v>
      </c>
      <c r="T332" s="34">
        <v>2</v>
      </c>
      <c r="U332" s="34">
        <v>413</v>
      </c>
      <c r="V332" s="34">
        <v>3</v>
      </c>
      <c r="W332" s="34">
        <v>416</v>
      </c>
      <c r="X332" s="34">
        <v>3</v>
      </c>
      <c r="Y332" s="34">
        <v>421</v>
      </c>
      <c r="Z332" s="34">
        <v>5</v>
      </c>
      <c r="AA332" s="34">
        <v>425</v>
      </c>
      <c r="AB332" s="34">
        <v>4</v>
      </c>
      <c r="AC332" s="34">
        <v>5</v>
      </c>
      <c r="AD332" s="34">
        <v>0</v>
      </c>
      <c r="AE332" s="34">
        <v>0</v>
      </c>
      <c r="AG332" s="34">
        <v>3</v>
      </c>
      <c r="AH332" s="34">
        <v>0</v>
      </c>
      <c r="AI332" s="34">
        <v>8</v>
      </c>
    </row>
    <row r="333" spans="1:35" ht="15.75" customHeight="1">
      <c r="A333" s="34">
        <v>335</v>
      </c>
      <c r="B333" s="34" t="s">
        <v>425</v>
      </c>
      <c r="C333" s="34" t="s">
        <v>415</v>
      </c>
      <c r="D333" s="34">
        <v>13</v>
      </c>
      <c r="E333" s="34">
        <v>987</v>
      </c>
      <c r="F333" s="34">
        <v>0</v>
      </c>
      <c r="G333" s="34">
        <v>987</v>
      </c>
      <c r="H333" s="34">
        <v>0</v>
      </c>
      <c r="I333" s="34">
        <v>987</v>
      </c>
      <c r="J333" s="34">
        <v>0</v>
      </c>
      <c r="K333" s="34">
        <v>987</v>
      </c>
      <c r="L333" s="34">
        <v>0</v>
      </c>
      <c r="M333" s="34">
        <v>987</v>
      </c>
      <c r="N333" s="34">
        <v>0</v>
      </c>
      <c r="O333" s="34">
        <v>987</v>
      </c>
      <c r="P333" s="34">
        <v>0</v>
      </c>
      <c r="Q333" s="34">
        <v>987</v>
      </c>
      <c r="R333" s="34">
        <v>0</v>
      </c>
      <c r="S333" s="34">
        <v>987</v>
      </c>
      <c r="T333" s="34">
        <v>0</v>
      </c>
      <c r="U333" s="34">
        <v>987</v>
      </c>
      <c r="V333" s="34">
        <v>0</v>
      </c>
      <c r="W333" s="34">
        <v>987</v>
      </c>
      <c r="X333" s="34">
        <v>0</v>
      </c>
      <c r="Y333" s="34">
        <v>987</v>
      </c>
      <c r="Z333" s="34">
        <v>0</v>
      </c>
      <c r="AA333" s="34">
        <v>987</v>
      </c>
      <c r="AB333" s="34">
        <v>0</v>
      </c>
      <c r="AC333" s="34">
        <v>5</v>
      </c>
      <c r="AD333" s="34">
        <v>32</v>
      </c>
      <c r="AE333" s="34">
        <v>40</v>
      </c>
      <c r="AG333" s="34">
        <v>3</v>
      </c>
      <c r="AH333" s="34">
        <v>40</v>
      </c>
      <c r="AI333" s="34">
        <v>120</v>
      </c>
    </row>
    <row r="334" spans="1:35" ht="15.75" customHeight="1">
      <c r="A334" s="34">
        <v>336</v>
      </c>
      <c r="B334" s="34" t="s">
        <v>426</v>
      </c>
      <c r="C334" s="34" t="s">
        <v>415</v>
      </c>
      <c r="D334" s="34">
        <v>14</v>
      </c>
      <c r="E334" s="34">
        <v>1406</v>
      </c>
      <c r="F334" s="34">
        <v>15</v>
      </c>
      <c r="G334" s="34">
        <v>1421</v>
      </c>
      <c r="H334" s="34">
        <v>22</v>
      </c>
      <c r="I334" s="34">
        <v>1443</v>
      </c>
      <c r="J334" s="34">
        <v>18</v>
      </c>
      <c r="K334" s="34">
        <v>1461</v>
      </c>
      <c r="L334" s="34">
        <v>19</v>
      </c>
      <c r="M334" s="34">
        <v>1480</v>
      </c>
      <c r="N334" s="34">
        <v>20</v>
      </c>
      <c r="O334" s="34">
        <v>1500</v>
      </c>
      <c r="P334" s="34">
        <v>13</v>
      </c>
      <c r="Q334" s="34">
        <v>1513</v>
      </c>
      <c r="R334" s="34">
        <v>13</v>
      </c>
      <c r="S334" s="34">
        <v>1527</v>
      </c>
      <c r="T334" s="34">
        <v>14</v>
      </c>
      <c r="U334" s="34">
        <v>1542</v>
      </c>
      <c r="V334" s="34">
        <v>15</v>
      </c>
      <c r="W334" s="34">
        <v>1561</v>
      </c>
      <c r="X334" s="34">
        <v>19</v>
      </c>
      <c r="Y334" s="34">
        <v>1585</v>
      </c>
      <c r="Z334" s="34">
        <v>24</v>
      </c>
      <c r="AA334" s="34">
        <v>1614</v>
      </c>
      <c r="AB334" s="34">
        <v>29</v>
      </c>
      <c r="AC334" s="34">
        <v>29</v>
      </c>
      <c r="AD334" s="34">
        <v>0</v>
      </c>
      <c r="AE334" s="34">
        <v>0</v>
      </c>
      <c r="AG334" s="34">
        <v>3</v>
      </c>
      <c r="AH334" s="34">
        <v>20</v>
      </c>
      <c r="AI334" s="34">
        <v>52</v>
      </c>
    </row>
    <row r="335" spans="1:35" ht="15.75" customHeight="1">
      <c r="A335" s="34">
        <v>337</v>
      </c>
      <c r="B335" s="34" t="s">
        <v>427</v>
      </c>
      <c r="C335" s="34" t="s">
        <v>415</v>
      </c>
      <c r="D335" s="34">
        <v>15</v>
      </c>
      <c r="E335" s="34">
        <v>290</v>
      </c>
      <c r="F335" s="34">
        <v>4</v>
      </c>
      <c r="G335" s="34">
        <v>294</v>
      </c>
      <c r="H335" s="34">
        <v>2</v>
      </c>
      <c r="I335" s="34">
        <v>296</v>
      </c>
      <c r="J335" s="34">
        <v>3</v>
      </c>
      <c r="K335" s="34">
        <v>299</v>
      </c>
      <c r="L335" s="34">
        <v>2</v>
      </c>
      <c r="M335" s="34">
        <v>301</v>
      </c>
      <c r="N335" s="34">
        <v>5</v>
      </c>
      <c r="O335" s="34">
        <v>306</v>
      </c>
      <c r="P335" s="34">
        <v>3</v>
      </c>
      <c r="Q335" s="34">
        <v>309</v>
      </c>
      <c r="R335" s="34">
        <v>3</v>
      </c>
      <c r="S335" s="34">
        <v>309</v>
      </c>
      <c r="T335" s="34">
        <v>0</v>
      </c>
      <c r="U335" s="34">
        <v>309</v>
      </c>
      <c r="V335" s="34">
        <v>0</v>
      </c>
      <c r="W335" s="34">
        <v>310</v>
      </c>
      <c r="X335" s="34">
        <v>1</v>
      </c>
      <c r="Y335" s="34">
        <v>311</v>
      </c>
      <c r="Z335" s="34">
        <v>1</v>
      </c>
      <c r="AA335" s="34">
        <v>313</v>
      </c>
      <c r="AB335" s="34">
        <v>2</v>
      </c>
      <c r="AC335" s="34">
        <v>5</v>
      </c>
      <c r="AD335" s="34">
        <v>0</v>
      </c>
      <c r="AE335" s="34">
        <v>0</v>
      </c>
      <c r="AG335" s="34">
        <v>3</v>
      </c>
      <c r="AH335" s="34">
        <v>0</v>
      </c>
      <c r="AI335" s="34">
        <v>8</v>
      </c>
    </row>
    <row r="336" spans="1:35" ht="15.75" customHeight="1">
      <c r="A336" s="34">
        <v>338</v>
      </c>
      <c r="B336" s="34" t="s">
        <v>428</v>
      </c>
      <c r="C336" s="34" t="s">
        <v>415</v>
      </c>
      <c r="D336" s="34">
        <v>16</v>
      </c>
      <c r="E336" s="34">
        <v>1017</v>
      </c>
      <c r="F336" s="34">
        <v>15</v>
      </c>
      <c r="G336" s="34">
        <v>1032</v>
      </c>
      <c r="H336" s="34">
        <v>18</v>
      </c>
      <c r="I336" s="34">
        <v>1050</v>
      </c>
      <c r="J336" s="34">
        <v>22</v>
      </c>
      <c r="K336" s="34">
        <v>1072</v>
      </c>
      <c r="L336" s="34">
        <v>18</v>
      </c>
      <c r="M336" s="34">
        <v>1090</v>
      </c>
      <c r="N336" s="34">
        <v>13</v>
      </c>
      <c r="O336" s="34">
        <v>1103</v>
      </c>
      <c r="P336" s="34">
        <v>10</v>
      </c>
      <c r="Q336" s="34">
        <v>1113</v>
      </c>
      <c r="R336" s="34">
        <v>10</v>
      </c>
      <c r="S336" s="34">
        <v>1117</v>
      </c>
      <c r="T336" s="34">
        <v>4</v>
      </c>
      <c r="U336" s="34">
        <v>1124</v>
      </c>
      <c r="V336" s="34">
        <v>7</v>
      </c>
      <c r="W336" s="34">
        <v>1131</v>
      </c>
      <c r="X336" s="34">
        <v>7</v>
      </c>
      <c r="Y336" s="34">
        <v>1137</v>
      </c>
      <c r="Z336" s="34">
        <v>6</v>
      </c>
      <c r="AA336" s="34">
        <v>1141</v>
      </c>
      <c r="AB336" s="34">
        <v>4</v>
      </c>
      <c r="AC336" s="34">
        <v>5</v>
      </c>
      <c r="AD336" s="34">
        <v>0</v>
      </c>
      <c r="AE336" s="34">
        <v>0</v>
      </c>
      <c r="AG336" s="34">
        <v>3</v>
      </c>
      <c r="AH336" s="34">
        <v>20</v>
      </c>
      <c r="AI336" s="34">
        <v>28</v>
      </c>
    </row>
    <row r="337" spans="1:35" ht="15.75" customHeight="1">
      <c r="A337" s="34">
        <v>339</v>
      </c>
      <c r="B337" s="34" t="s">
        <v>429</v>
      </c>
      <c r="C337" s="34" t="s">
        <v>415</v>
      </c>
      <c r="D337" s="34">
        <v>17</v>
      </c>
      <c r="E337" s="34">
        <v>2398</v>
      </c>
      <c r="F337" s="34">
        <v>2</v>
      </c>
      <c r="G337" s="34">
        <v>2400</v>
      </c>
      <c r="H337" s="34">
        <v>1</v>
      </c>
      <c r="I337" s="34">
        <v>2401</v>
      </c>
      <c r="J337" s="34">
        <v>1</v>
      </c>
      <c r="K337" s="34">
        <v>2402</v>
      </c>
      <c r="L337" s="34">
        <v>0</v>
      </c>
      <c r="M337" s="34">
        <v>2402</v>
      </c>
      <c r="N337" s="34">
        <v>0</v>
      </c>
      <c r="O337" s="34">
        <v>2402</v>
      </c>
      <c r="P337" s="34">
        <v>1</v>
      </c>
      <c r="Q337" s="34">
        <v>2403</v>
      </c>
      <c r="R337" s="34">
        <v>1</v>
      </c>
      <c r="S337" s="34">
        <v>2403</v>
      </c>
      <c r="T337" s="34">
        <v>0</v>
      </c>
      <c r="U337" s="34">
        <v>2403</v>
      </c>
      <c r="V337" s="34">
        <v>0</v>
      </c>
      <c r="W337" s="34">
        <v>2403</v>
      </c>
      <c r="X337" s="34">
        <v>0</v>
      </c>
      <c r="Y337" s="34">
        <v>2403</v>
      </c>
      <c r="Z337" s="34">
        <v>0</v>
      </c>
      <c r="AA337" s="34">
        <v>2403</v>
      </c>
      <c r="AB337" s="34">
        <v>0</v>
      </c>
      <c r="AC337" s="34">
        <v>5</v>
      </c>
      <c r="AD337" s="34">
        <v>24</v>
      </c>
      <c r="AE337" s="34">
        <v>40</v>
      </c>
      <c r="AG337" s="34">
        <v>3</v>
      </c>
      <c r="AH337" s="34">
        <v>40</v>
      </c>
      <c r="AI337" s="34">
        <v>112</v>
      </c>
    </row>
    <row r="338" spans="1:35" ht="15.75" customHeight="1">
      <c r="A338" s="34">
        <v>340</v>
      </c>
      <c r="B338" s="34" t="s">
        <v>430</v>
      </c>
      <c r="C338" s="34" t="s">
        <v>415</v>
      </c>
      <c r="D338" s="34">
        <v>18</v>
      </c>
      <c r="E338" s="34">
        <v>1404</v>
      </c>
      <c r="F338" s="34">
        <v>14</v>
      </c>
      <c r="G338" s="34">
        <v>1418</v>
      </c>
      <c r="H338" s="34">
        <v>17</v>
      </c>
      <c r="I338" s="34">
        <v>1435</v>
      </c>
      <c r="J338" s="34">
        <v>13</v>
      </c>
      <c r="K338" s="34">
        <v>1448</v>
      </c>
      <c r="L338" s="34">
        <v>11</v>
      </c>
      <c r="M338" s="34">
        <v>1459</v>
      </c>
      <c r="N338" s="34">
        <v>9</v>
      </c>
      <c r="O338" s="34">
        <v>1468</v>
      </c>
      <c r="P338" s="34">
        <v>13</v>
      </c>
      <c r="Q338" s="34">
        <v>1481</v>
      </c>
      <c r="R338" s="34">
        <v>13</v>
      </c>
      <c r="S338" s="34">
        <v>1494</v>
      </c>
      <c r="T338" s="34">
        <v>13</v>
      </c>
      <c r="U338" s="34">
        <v>1506</v>
      </c>
      <c r="V338" s="34">
        <v>12</v>
      </c>
      <c r="W338" s="34">
        <v>1517</v>
      </c>
      <c r="X338" s="34">
        <v>11</v>
      </c>
      <c r="Y338" s="34">
        <v>1533</v>
      </c>
      <c r="Z338" s="34">
        <v>16</v>
      </c>
      <c r="AA338" s="34">
        <v>1548</v>
      </c>
      <c r="AB338" s="34">
        <v>15</v>
      </c>
      <c r="AC338" s="34">
        <v>15</v>
      </c>
      <c r="AD338" s="34">
        <v>0</v>
      </c>
      <c r="AE338" s="34">
        <v>0</v>
      </c>
      <c r="AG338" s="34">
        <v>3</v>
      </c>
      <c r="AH338" s="34">
        <v>20</v>
      </c>
      <c r="AI338" s="34">
        <v>38</v>
      </c>
    </row>
    <row r="339" spans="1:35" ht="15.75" customHeight="1">
      <c r="A339" s="34">
        <v>341</v>
      </c>
      <c r="B339" s="34" t="s">
        <v>431</v>
      </c>
      <c r="C339" s="34" t="s">
        <v>415</v>
      </c>
      <c r="D339" s="34">
        <v>19</v>
      </c>
      <c r="E339" s="34">
        <v>1129</v>
      </c>
      <c r="F339" s="34">
        <v>25</v>
      </c>
      <c r="G339" s="34">
        <v>1154</v>
      </c>
      <c r="H339" s="34">
        <v>-25</v>
      </c>
      <c r="I339" s="34">
        <v>1129</v>
      </c>
      <c r="J339" s="34">
        <v>0</v>
      </c>
      <c r="K339" s="34">
        <v>0</v>
      </c>
      <c r="L339" s="34">
        <v>27</v>
      </c>
      <c r="M339" s="34">
        <v>27</v>
      </c>
      <c r="N339" s="34">
        <v>17</v>
      </c>
      <c r="O339" s="34">
        <v>44</v>
      </c>
      <c r="P339" s="34">
        <v>13</v>
      </c>
      <c r="Q339" s="34">
        <v>57</v>
      </c>
      <c r="R339" s="34">
        <v>13</v>
      </c>
      <c r="S339" s="34">
        <v>71</v>
      </c>
      <c r="T339" s="34">
        <v>14</v>
      </c>
      <c r="U339" s="34">
        <v>84</v>
      </c>
      <c r="V339" s="34">
        <v>13</v>
      </c>
      <c r="W339" s="34">
        <v>96</v>
      </c>
      <c r="X339" s="34">
        <v>12</v>
      </c>
      <c r="Y339" s="34">
        <v>113</v>
      </c>
      <c r="Z339" s="34">
        <v>17</v>
      </c>
      <c r="AA339" s="34">
        <v>130</v>
      </c>
      <c r="AB339" s="34">
        <v>17</v>
      </c>
      <c r="AC339" s="34">
        <v>17</v>
      </c>
      <c r="AD339" s="34">
        <v>0</v>
      </c>
      <c r="AE339" s="34">
        <v>0</v>
      </c>
      <c r="AG339" s="34">
        <v>3</v>
      </c>
      <c r="AH339" s="34">
        <v>20</v>
      </c>
      <c r="AI339" s="34">
        <v>40</v>
      </c>
    </row>
    <row r="340" spans="1:35" ht="15.75" customHeight="1">
      <c r="A340" s="34">
        <v>342</v>
      </c>
      <c r="B340" s="34" t="s">
        <v>432</v>
      </c>
      <c r="C340" s="34" t="s">
        <v>415</v>
      </c>
      <c r="D340" s="34">
        <v>20</v>
      </c>
      <c r="E340" s="34">
        <v>284</v>
      </c>
      <c r="F340" s="34">
        <v>6</v>
      </c>
      <c r="G340" s="34">
        <v>290</v>
      </c>
      <c r="H340" s="34">
        <v>4</v>
      </c>
      <c r="I340" s="34">
        <v>294</v>
      </c>
      <c r="J340" s="34">
        <v>3</v>
      </c>
      <c r="K340" s="34">
        <v>297</v>
      </c>
      <c r="L340" s="34">
        <v>3</v>
      </c>
      <c r="M340" s="34">
        <v>300</v>
      </c>
      <c r="N340" s="34">
        <v>2</v>
      </c>
      <c r="O340" s="34">
        <v>302</v>
      </c>
      <c r="P340" s="34">
        <v>3</v>
      </c>
      <c r="Q340" s="34">
        <v>305</v>
      </c>
      <c r="R340" s="34">
        <v>3</v>
      </c>
      <c r="S340" s="34">
        <v>307</v>
      </c>
      <c r="T340" s="34">
        <v>2</v>
      </c>
      <c r="U340" s="34">
        <v>311</v>
      </c>
      <c r="V340" s="34">
        <v>4</v>
      </c>
      <c r="W340" s="34">
        <v>332</v>
      </c>
      <c r="X340" s="34">
        <v>21</v>
      </c>
      <c r="Y340" s="34">
        <v>339</v>
      </c>
      <c r="Z340" s="34">
        <v>7</v>
      </c>
      <c r="AA340" s="34">
        <v>345</v>
      </c>
      <c r="AB340" s="34">
        <v>6</v>
      </c>
      <c r="AC340" s="34">
        <v>6</v>
      </c>
      <c r="AD340" s="34">
        <v>0</v>
      </c>
      <c r="AE340" s="34">
        <v>0</v>
      </c>
      <c r="AG340" s="34">
        <v>3</v>
      </c>
      <c r="AH340" s="34">
        <v>0</v>
      </c>
      <c r="AI340" s="34">
        <v>9</v>
      </c>
    </row>
    <row r="341" spans="1:35" ht="15.75" customHeight="1">
      <c r="A341" s="34">
        <v>343</v>
      </c>
      <c r="B341" s="34" t="s">
        <v>433</v>
      </c>
      <c r="C341" s="34" t="s">
        <v>434</v>
      </c>
      <c r="D341" s="34">
        <v>1</v>
      </c>
      <c r="E341" s="34">
        <v>1934</v>
      </c>
      <c r="F341" s="34">
        <v>11</v>
      </c>
      <c r="G341" s="34">
        <v>1945</v>
      </c>
      <c r="H341" s="34">
        <v>18</v>
      </c>
      <c r="I341" s="34">
        <v>1963</v>
      </c>
      <c r="J341" s="34">
        <v>16</v>
      </c>
      <c r="K341" s="34">
        <v>1979</v>
      </c>
      <c r="L341" s="34">
        <v>11</v>
      </c>
      <c r="M341" s="34">
        <v>1990</v>
      </c>
      <c r="N341" s="34">
        <v>13</v>
      </c>
      <c r="O341" s="34">
        <v>2003</v>
      </c>
      <c r="P341" s="34">
        <v>10</v>
      </c>
      <c r="Q341" s="34">
        <v>2013</v>
      </c>
      <c r="R341" s="34">
        <v>10</v>
      </c>
      <c r="S341" s="34">
        <v>2019</v>
      </c>
      <c r="T341" s="34">
        <v>6</v>
      </c>
      <c r="U341" s="34">
        <v>2027</v>
      </c>
      <c r="V341" s="34">
        <v>8</v>
      </c>
      <c r="W341" s="34">
        <v>2034</v>
      </c>
      <c r="X341" s="34">
        <v>7</v>
      </c>
      <c r="Y341" s="34">
        <v>2043</v>
      </c>
      <c r="Z341" s="34">
        <v>9</v>
      </c>
      <c r="AA341" s="34">
        <v>2051</v>
      </c>
      <c r="AB341" s="34">
        <v>8</v>
      </c>
      <c r="AC341" s="34">
        <v>8</v>
      </c>
      <c r="AD341" s="34">
        <v>0</v>
      </c>
      <c r="AE341" s="34">
        <v>0</v>
      </c>
      <c r="AG341" s="34">
        <v>3</v>
      </c>
      <c r="AH341" s="34">
        <v>0</v>
      </c>
      <c r="AI341" s="34">
        <v>11</v>
      </c>
    </row>
    <row r="342" spans="1:35" ht="15.75" customHeight="1">
      <c r="A342" s="34">
        <v>344</v>
      </c>
      <c r="B342" s="34" t="s">
        <v>435</v>
      </c>
      <c r="C342" s="34" t="s">
        <v>434</v>
      </c>
      <c r="D342" s="34">
        <v>2</v>
      </c>
      <c r="E342" s="34">
        <v>248</v>
      </c>
      <c r="F342" s="34">
        <v>5</v>
      </c>
      <c r="G342" s="34">
        <v>253</v>
      </c>
      <c r="H342" s="34">
        <v>4</v>
      </c>
      <c r="I342" s="34">
        <v>257</v>
      </c>
      <c r="J342" s="34">
        <v>6</v>
      </c>
      <c r="K342" s="34">
        <v>263</v>
      </c>
      <c r="L342" s="34">
        <v>6</v>
      </c>
      <c r="M342" s="34">
        <v>269</v>
      </c>
      <c r="N342" s="34">
        <v>5</v>
      </c>
      <c r="O342" s="34">
        <v>274</v>
      </c>
      <c r="P342" s="34">
        <v>9</v>
      </c>
      <c r="Q342" s="34">
        <v>283</v>
      </c>
      <c r="R342" s="34">
        <v>9</v>
      </c>
      <c r="S342" s="34">
        <v>289</v>
      </c>
      <c r="T342" s="34">
        <v>6</v>
      </c>
      <c r="U342" s="34">
        <v>295</v>
      </c>
      <c r="V342" s="34">
        <v>6</v>
      </c>
      <c r="W342" s="34">
        <v>299</v>
      </c>
      <c r="X342" s="34">
        <v>4</v>
      </c>
      <c r="Y342" s="34">
        <v>303</v>
      </c>
      <c r="Z342" s="34">
        <v>4</v>
      </c>
      <c r="AA342" s="34">
        <v>307</v>
      </c>
      <c r="AB342" s="34">
        <v>4</v>
      </c>
      <c r="AC342" s="34">
        <v>5</v>
      </c>
      <c r="AD342" s="34">
        <v>0</v>
      </c>
      <c r="AE342" s="34">
        <v>0</v>
      </c>
      <c r="AG342" s="34">
        <v>3</v>
      </c>
      <c r="AH342" s="34">
        <v>0</v>
      </c>
      <c r="AI342" s="34">
        <v>8</v>
      </c>
    </row>
    <row r="343" spans="1:35" ht="15.75" customHeight="1">
      <c r="A343" s="34">
        <v>345</v>
      </c>
      <c r="B343" s="34" t="s">
        <v>436</v>
      </c>
      <c r="C343" s="34" t="s">
        <v>434</v>
      </c>
      <c r="D343" s="34">
        <v>3</v>
      </c>
      <c r="E343" s="34">
        <v>865</v>
      </c>
      <c r="F343" s="34">
        <v>7</v>
      </c>
      <c r="G343" s="34">
        <v>872</v>
      </c>
      <c r="H343" s="34">
        <v>8</v>
      </c>
      <c r="I343" s="34">
        <v>880</v>
      </c>
      <c r="J343" s="34">
        <v>5</v>
      </c>
      <c r="K343" s="34">
        <v>885</v>
      </c>
      <c r="L343" s="34">
        <v>7</v>
      </c>
      <c r="M343" s="34">
        <v>892</v>
      </c>
      <c r="N343" s="34">
        <v>6</v>
      </c>
      <c r="O343" s="34">
        <v>898</v>
      </c>
      <c r="P343" s="34">
        <v>7</v>
      </c>
      <c r="Q343" s="34">
        <v>905</v>
      </c>
      <c r="R343" s="34">
        <v>7</v>
      </c>
      <c r="S343" s="34">
        <v>918</v>
      </c>
      <c r="T343" s="34">
        <v>13</v>
      </c>
      <c r="U343" s="34">
        <v>922</v>
      </c>
      <c r="V343" s="34">
        <v>4</v>
      </c>
      <c r="W343" s="34">
        <v>927</v>
      </c>
      <c r="X343" s="34">
        <v>5</v>
      </c>
      <c r="Y343" s="34">
        <v>932</v>
      </c>
      <c r="Z343" s="34">
        <v>5</v>
      </c>
      <c r="AA343" s="34">
        <v>938</v>
      </c>
      <c r="AB343" s="34">
        <v>6</v>
      </c>
      <c r="AC343" s="34">
        <v>6</v>
      </c>
      <c r="AD343" s="34">
        <v>0</v>
      </c>
      <c r="AE343" s="34">
        <v>0</v>
      </c>
      <c r="AG343" s="34">
        <v>3</v>
      </c>
      <c r="AH343" s="34">
        <v>0</v>
      </c>
      <c r="AI343" s="34">
        <v>9</v>
      </c>
    </row>
    <row r="344" spans="1:35" ht="15.75" customHeight="1">
      <c r="A344" s="34">
        <v>346</v>
      </c>
      <c r="B344" s="34" t="s">
        <v>437</v>
      </c>
      <c r="C344" s="34" t="s">
        <v>434</v>
      </c>
      <c r="D344" s="34">
        <v>4</v>
      </c>
      <c r="E344" s="34">
        <v>0</v>
      </c>
      <c r="F344" s="34">
        <v>0</v>
      </c>
      <c r="G344" s="34">
        <v>0</v>
      </c>
      <c r="H344" s="34">
        <v>0</v>
      </c>
      <c r="I344" s="34">
        <v>0</v>
      </c>
      <c r="J344" s="34">
        <v>0</v>
      </c>
      <c r="K344" s="34">
        <v>0</v>
      </c>
      <c r="L344" s="34">
        <v>5</v>
      </c>
      <c r="M344" s="34">
        <v>5</v>
      </c>
      <c r="N344" s="34">
        <v>-4</v>
      </c>
      <c r="O344" s="34">
        <v>1</v>
      </c>
      <c r="P344" s="34">
        <v>0</v>
      </c>
      <c r="Q344" s="34">
        <v>1</v>
      </c>
      <c r="R344" s="34">
        <v>0</v>
      </c>
      <c r="S344" s="34">
        <v>1</v>
      </c>
      <c r="T344" s="34">
        <v>0</v>
      </c>
      <c r="U344" s="34">
        <v>0</v>
      </c>
      <c r="V344" s="34">
        <v>0</v>
      </c>
      <c r="W344" s="34">
        <v>0</v>
      </c>
      <c r="X344" s="34">
        <v>0</v>
      </c>
      <c r="Y344" s="34">
        <v>1</v>
      </c>
      <c r="Z344" s="34">
        <v>1</v>
      </c>
      <c r="AA344" s="34">
        <v>2</v>
      </c>
      <c r="AB344" s="34">
        <v>1</v>
      </c>
      <c r="AC344" s="34">
        <v>5</v>
      </c>
      <c r="AD344" s="34">
        <v>0</v>
      </c>
      <c r="AE344" s="34">
        <v>0</v>
      </c>
      <c r="AG344" s="34">
        <v>3</v>
      </c>
      <c r="AH344" s="34">
        <v>20</v>
      </c>
      <c r="AI344" s="34">
        <v>28</v>
      </c>
    </row>
    <row r="345" spans="1:35" ht="15.75" customHeight="1">
      <c r="A345" s="34">
        <v>347</v>
      </c>
      <c r="B345" s="34" t="s">
        <v>438</v>
      </c>
      <c r="C345" s="34" t="s">
        <v>434</v>
      </c>
      <c r="D345" s="34">
        <v>5</v>
      </c>
      <c r="E345" s="34">
        <v>7019</v>
      </c>
      <c r="F345" s="34">
        <v>6</v>
      </c>
      <c r="G345" s="34">
        <v>7025</v>
      </c>
      <c r="H345" s="34">
        <v>6</v>
      </c>
      <c r="I345" s="34">
        <v>7031</v>
      </c>
      <c r="J345" s="34">
        <v>3</v>
      </c>
      <c r="K345" s="34">
        <v>7034</v>
      </c>
      <c r="L345" s="34">
        <v>16</v>
      </c>
      <c r="M345" s="34">
        <v>7050</v>
      </c>
      <c r="N345" s="34">
        <v>6</v>
      </c>
      <c r="O345" s="34">
        <v>7056</v>
      </c>
      <c r="P345" s="34">
        <v>7</v>
      </c>
      <c r="Q345" s="34">
        <v>7063</v>
      </c>
      <c r="R345" s="34">
        <v>7</v>
      </c>
      <c r="S345" s="34">
        <v>7071</v>
      </c>
      <c r="T345" s="34">
        <v>8</v>
      </c>
      <c r="U345" s="34">
        <v>7083</v>
      </c>
      <c r="V345" s="34">
        <v>12</v>
      </c>
      <c r="W345" s="34">
        <v>7101</v>
      </c>
      <c r="X345" s="34">
        <v>18</v>
      </c>
      <c r="Y345" s="34">
        <v>7107</v>
      </c>
      <c r="Z345" s="34">
        <v>6</v>
      </c>
      <c r="AA345" s="34">
        <v>7111</v>
      </c>
      <c r="AB345" s="34">
        <v>4</v>
      </c>
      <c r="AC345" s="34">
        <v>5</v>
      </c>
      <c r="AD345" s="34">
        <v>0</v>
      </c>
      <c r="AE345" s="34">
        <v>0</v>
      </c>
      <c r="AG345" s="34">
        <v>3</v>
      </c>
      <c r="AH345" s="34">
        <v>0</v>
      </c>
      <c r="AI345" s="34">
        <v>8</v>
      </c>
    </row>
    <row r="346" spans="1:35" ht="15.75" customHeight="1">
      <c r="A346" s="34">
        <v>348</v>
      </c>
      <c r="B346" s="34" t="s">
        <v>439</v>
      </c>
      <c r="C346" s="34" t="s">
        <v>434</v>
      </c>
      <c r="D346" s="34">
        <v>6</v>
      </c>
      <c r="E346" s="34">
        <v>1361</v>
      </c>
      <c r="F346" s="34">
        <v>8</v>
      </c>
      <c r="G346" s="34">
        <v>1369</v>
      </c>
      <c r="H346" s="34">
        <v>8</v>
      </c>
      <c r="I346" s="34">
        <v>1377</v>
      </c>
      <c r="J346" s="34">
        <v>6</v>
      </c>
      <c r="K346" s="34">
        <v>1383</v>
      </c>
      <c r="L346" s="34">
        <v>6</v>
      </c>
      <c r="M346" s="34">
        <v>1389</v>
      </c>
      <c r="N346" s="34">
        <v>7</v>
      </c>
      <c r="O346" s="34">
        <v>1396</v>
      </c>
      <c r="P346" s="34">
        <v>6</v>
      </c>
      <c r="Q346" s="34">
        <v>1402</v>
      </c>
      <c r="R346" s="34">
        <v>6</v>
      </c>
      <c r="S346" s="34">
        <v>1406</v>
      </c>
      <c r="T346" s="34">
        <v>4</v>
      </c>
      <c r="U346" s="34">
        <v>1410</v>
      </c>
      <c r="V346" s="34">
        <v>4</v>
      </c>
      <c r="W346" s="34">
        <v>1415</v>
      </c>
      <c r="X346" s="34">
        <v>5</v>
      </c>
      <c r="Y346" s="34">
        <v>1420</v>
      </c>
      <c r="Z346" s="34">
        <v>5</v>
      </c>
      <c r="AA346" s="34">
        <v>1425</v>
      </c>
      <c r="AB346" s="34">
        <v>5</v>
      </c>
      <c r="AC346" s="34">
        <v>5</v>
      </c>
      <c r="AD346" s="34">
        <v>0</v>
      </c>
      <c r="AE346" s="34">
        <v>0</v>
      </c>
      <c r="AG346" s="34">
        <v>3</v>
      </c>
      <c r="AH346" s="34">
        <v>0</v>
      </c>
      <c r="AI346" s="34">
        <v>8</v>
      </c>
    </row>
    <row r="347" spans="1:35" ht="15.75" customHeight="1">
      <c r="A347" s="34">
        <v>349</v>
      </c>
      <c r="B347" s="34" t="s">
        <v>440</v>
      </c>
      <c r="C347" s="34" t="s">
        <v>441</v>
      </c>
      <c r="D347" s="34">
        <v>1</v>
      </c>
      <c r="E347" s="34">
        <v>774</v>
      </c>
      <c r="F347" s="34">
        <v>23</v>
      </c>
      <c r="G347" s="34">
        <v>797</v>
      </c>
      <c r="H347" s="34">
        <v>25</v>
      </c>
      <c r="I347" s="34">
        <v>822</v>
      </c>
      <c r="J347" s="34">
        <v>24</v>
      </c>
      <c r="K347" s="34">
        <v>846</v>
      </c>
      <c r="L347" s="34">
        <v>19</v>
      </c>
      <c r="M347" s="34">
        <v>865</v>
      </c>
      <c r="N347" s="34">
        <v>14</v>
      </c>
      <c r="O347" s="34">
        <v>879</v>
      </c>
      <c r="P347" s="34">
        <v>15</v>
      </c>
      <c r="Q347" s="34">
        <v>894</v>
      </c>
      <c r="R347" s="34">
        <v>15</v>
      </c>
      <c r="S347" s="34">
        <v>907</v>
      </c>
      <c r="T347" s="34">
        <v>13</v>
      </c>
      <c r="U347" s="34">
        <v>918</v>
      </c>
      <c r="V347" s="34">
        <v>11</v>
      </c>
      <c r="W347" s="34">
        <v>931</v>
      </c>
      <c r="X347" s="34">
        <v>13</v>
      </c>
      <c r="Y347" s="34">
        <v>944</v>
      </c>
      <c r="Z347" s="34">
        <v>13</v>
      </c>
      <c r="AA347" s="34">
        <v>962</v>
      </c>
      <c r="AB347" s="34">
        <v>18</v>
      </c>
      <c r="AC347" s="34">
        <v>18</v>
      </c>
      <c r="AD347" s="34">
        <v>0</v>
      </c>
      <c r="AE347" s="34">
        <v>0</v>
      </c>
      <c r="AG347" s="34">
        <v>3</v>
      </c>
      <c r="AH347" s="34">
        <v>0</v>
      </c>
      <c r="AI347" s="34">
        <v>21</v>
      </c>
    </row>
    <row r="348" spans="1:35" ht="15.75" customHeight="1">
      <c r="A348" s="34">
        <v>350</v>
      </c>
      <c r="B348" s="34" t="s">
        <v>442</v>
      </c>
      <c r="C348" s="34" t="s">
        <v>441</v>
      </c>
      <c r="D348" s="34">
        <v>2</v>
      </c>
      <c r="E348" s="34">
        <v>10</v>
      </c>
      <c r="F348" s="34">
        <v>1</v>
      </c>
      <c r="G348" s="34">
        <v>11</v>
      </c>
      <c r="H348" s="34">
        <v>1</v>
      </c>
      <c r="I348" s="34">
        <v>12</v>
      </c>
      <c r="J348" s="34">
        <v>0</v>
      </c>
      <c r="K348" s="34">
        <v>12</v>
      </c>
      <c r="L348" s="34">
        <v>1</v>
      </c>
      <c r="M348" s="34">
        <v>13</v>
      </c>
      <c r="N348" s="34">
        <v>1</v>
      </c>
      <c r="O348" s="34">
        <v>14</v>
      </c>
      <c r="P348" s="34">
        <v>0</v>
      </c>
      <c r="Q348" s="34">
        <v>14</v>
      </c>
      <c r="R348" s="34">
        <v>0</v>
      </c>
      <c r="S348" s="34">
        <v>14</v>
      </c>
      <c r="T348" s="34">
        <v>0</v>
      </c>
      <c r="U348" s="34">
        <v>15</v>
      </c>
      <c r="V348" s="34">
        <v>1</v>
      </c>
      <c r="W348" s="34">
        <v>16</v>
      </c>
      <c r="X348" s="34">
        <v>1</v>
      </c>
      <c r="Y348" s="34">
        <v>16</v>
      </c>
      <c r="Z348" s="34">
        <v>0</v>
      </c>
      <c r="AA348" s="34">
        <v>17</v>
      </c>
      <c r="AB348" s="34">
        <v>1</v>
      </c>
      <c r="AC348" s="34">
        <v>5</v>
      </c>
      <c r="AD348" s="34">
        <v>0</v>
      </c>
      <c r="AE348" s="34">
        <v>0</v>
      </c>
      <c r="AG348" s="34">
        <v>3</v>
      </c>
      <c r="AH348" s="34">
        <v>0</v>
      </c>
      <c r="AI348" s="34">
        <v>8</v>
      </c>
    </row>
    <row r="349" spans="1:35" ht="15.75" customHeight="1">
      <c r="A349" s="34">
        <v>351</v>
      </c>
      <c r="B349" s="34" t="s">
        <v>443</v>
      </c>
      <c r="C349" s="34" t="s">
        <v>441</v>
      </c>
      <c r="D349" s="34">
        <v>3</v>
      </c>
      <c r="E349" s="34">
        <v>239</v>
      </c>
      <c r="F349" s="34">
        <v>10</v>
      </c>
      <c r="G349" s="34">
        <v>249</v>
      </c>
      <c r="H349" s="34">
        <v>-10</v>
      </c>
      <c r="I349" s="34">
        <v>239</v>
      </c>
      <c r="J349" s="34">
        <v>0</v>
      </c>
      <c r="K349" s="34">
        <v>0</v>
      </c>
      <c r="L349" s="34">
        <v>2</v>
      </c>
      <c r="M349" s="34">
        <v>2</v>
      </c>
      <c r="N349" s="34">
        <v>3</v>
      </c>
      <c r="O349" s="34">
        <v>5</v>
      </c>
      <c r="P349" s="34">
        <v>1</v>
      </c>
      <c r="Q349" s="34">
        <v>6</v>
      </c>
      <c r="R349" s="34">
        <v>1</v>
      </c>
      <c r="S349" s="34">
        <v>7</v>
      </c>
      <c r="T349" s="34">
        <v>1</v>
      </c>
      <c r="U349" s="34">
        <v>7</v>
      </c>
      <c r="V349" s="34">
        <v>0</v>
      </c>
      <c r="W349" s="34">
        <v>9</v>
      </c>
      <c r="X349" s="34">
        <v>2</v>
      </c>
      <c r="Y349" s="34">
        <v>9</v>
      </c>
      <c r="Z349" s="34">
        <v>0</v>
      </c>
      <c r="AA349" s="34">
        <v>10</v>
      </c>
      <c r="AB349" s="34">
        <v>1</v>
      </c>
      <c r="AC349" s="34">
        <v>5</v>
      </c>
      <c r="AD349" s="34">
        <v>0</v>
      </c>
      <c r="AE349" s="34">
        <v>0</v>
      </c>
      <c r="AG349" s="34">
        <v>3</v>
      </c>
      <c r="AH349" s="34">
        <v>0</v>
      </c>
      <c r="AI349" s="34">
        <v>8</v>
      </c>
    </row>
    <row r="350" spans="1:35" ht="15.75" customHeight="1">
      <c r="A350" s="34">
        <v>352</v>
      </c>
      <c r="B350" s="34" t="s">
        <v>444</v>
      </c>
      <c r="C350" s="34" t="s">
        <v>441</v>
      </c>
      <c r="D350" s="34">
        <v>4</v>
      </c>
      <c r="E350" s="34">
        <v>184</v>
      </c>
      <c r="F350" s="34">
        <v>9</v>
      </c>
      <c r="G350" s="34">
        <v>193</v>
      </c>
      <c r="H350" s="34">
        <v>9</v>
      </c>
      <c r="I350" s="34">
        <v>202</v>
      </c>
      <c r="J350" s="34">
        <v>8</v>
      </c>
      <c r="K350" s="34">
        <v>210</v>
      </c>
      <c r="L350" s="34">
        <v>4</v>
      </c>
      <c r="M350" s="34">
        <v>214</v>
      </c>
      <c r="N350" s="34">
        <v>3</v>
      </c>
      <c r="O350" s="34">
        <v>217</v>
      </c>
      <c r="P350" s="34">
        <v>2</v>
      </c>
      <c r="Q350" s="34">
        <v>219</v>
      </c>
      <c r="R350" s="34">
        <v>2</v>
      </c>
      <c r="S350" s="34">
        <v>222</v>
      </c>
      <c r="T350" s="34">
        <v>3</v>
      </c>
      <c r="U350" s="34">
        <v>224</v>
      </c>
      <c r="V350" s="34">
        <v>2</v>
      </c>
      <c r="W350" s="34">
        <v>227</v>
      </c>
      <c r="X350" s="34">
        <v>3</v>
      </c>
      <c r="Y350" s="34">
        <v>229</v>
      </c>
      <c r="Z350" s="34">
        <v>2</v>
      </c>
      <c r="AA350" s="34">
        <v>232</v>
      </c>
      <c r="AB350" s="34">
        <v>3</v>
      </c>
      <c r="AC350" s="34">
        <v>5</v>
      </c>
      <c r="AD350" s="34">
        <v>0</v>
      </c>
      <c r="AE350" s="34">
        <v>0</v>
      </c>
      <c r="AG350" s="34">
        <v>3</v>
      </c>
      <c r="AH350" s="34">
        <v>0</v>
      </c>
      <c r="AI350" s="34">
        <v>8</v>
      </c>
    </row>
    <row r="351" spans="1:35" ht="15.75" customHeight="1">
      <c r="A351" s="34">
        <v>353</v>
      </c>
      <c r="B351" s="34" t="s">
        <v>445</v>
      </c>
      <c r="C351" s="34" t="s">
        <v>441</v>
      </c>
      <c r="D351" s="34">
        <v>5</v>
      </c>
      <c r="E351" s="34">
        <v>712</v>
      </c>
      <c r="F351" s="34">
        <v>9</v>
      </c>
      <c r="G351" s="34">
        <v>721</v>
      </c>
      <c r="H351" s="34">
        <v>6</v>
      </c>
      <c r="I351" s="34">
        <v>727</v>
      </c>
      <c r="J351" s="34">
        <v>6</v>
      </c>
      <c r="K351" s="34">
        <v>733</v>
      </c>
      <c r="L351" s="34">
        <v>12</v>
      </c>
      <c r="M351" s="34">
        <v>745</v>
      </c>
      <c r="N351" s="34">
        <v>11</v>
      </c>
      <c r="O351" s="34">
        <v>756</v>
      </c>
      <c r="P351" s="34">
        <v>9</v>
      </c>
      <c r="Q351" s="34">
        <v>765</v>
      </c>
      <c r="R351" s="34">
        <v>9</v>
      </c>
      <c r="S351" s="34">
        <v>774</v>
      </c>
      <c r="T351" s="34">
        <v>9</v>
      </c>
      <c r="U351" s="34">
        <v>781</v>
      </c>
      <c r="V351" s="34">
        <v>7</v>
      </c>
      <c r="W351" s="34">
        <v>794</v>
      </c>
      <c r="X351" s="34">
        <v>13</v>
      </c>
      <c r="Y351" s="34">
        <v>806</v>
      </c>
      <c r="Z351" s="34">
        <v>12</v>
      </c>
      <c r="AA351" s="34">
        <v>821</v>
      </c>
      <c r="AB351" s="34">
        <v>15</v>
      </c>
      <c r="AC351" s="34">
        <v>15</v>
      </c>
      <c r="AD351" s="34">
        <v>0</v>
      </c>
      <c r="AE351" s="34">
        <v>0</v>
      </c>
      <c r="AG351" s="34">
        <v>3</v>
      </c>
      <c r="AH351" s="34">
        <v>0</v>
      </c>
      <c r="AI351" s="34">
        <v>18</v>
      </c>
    </row>
    <row r="352" spans="1:35" ht="15.75" customHeight="1">
      <c r="A352" s="34">
        <v>354</v>
      </c>
      <c r="B352" s="34" t="s">
        <v>446</v>
      </c>
      <c r="C352" s="34" t="s">
        <v>441</v>
      </c>
      <c r="D352" s="34">
        <v>6</v>
      </c>
      <c r="E352" s="34">
        <v>1803</v>
      </c>
      <c r="F352" s="34">
        <v>10</v>
      </c>
      <c r="G352" s="34">
        <v>1813</v>
      </c>
      <c r="H352" s="34">
        <v>12</v>
      </c>
      <c r="I352" s="34">
        <v>1825</v>
      </c>
      <c r="J352" s="34">
        <v>8</v>
      </c>
      <c r="K352" s="34">
        <v>1833</v>
      </c>
      <c r="L352" s="34">
        <v>8</v>
      </c>
      <c r="M352" s="34">
        <v>1841</v>
      </c>
      <c r="N352" s="34">
        <v>7</v>
      </c>
      <c r="O352" s="34">
        <v>1848</v>
      </c>
      <c r="P352" s="34">
        <v>8</v>
      </c>
      <c r="Q352" s="34">
        <v>1856</v>
      </c>
      <c r="R352" s="34">
        <v>8</v>
      </c>
      <c r="S352" s="34">
        <v>1862</v>
      </c>
      <c r="T352" s="34">
        <v>6</v>
      </c>
      <c r="U352" s="34">
        <v>1869</v>
      </c>
      <c r="V352" s="34">
        <v>7</v>
      </c>
      <c r="W352" s="34">
        <v>1876</v>
      </c>
      <c r="X352" s="34">
        <v>7</v>
      </c>
      <c r="Y352" s="34">
        <v>1882</v>
      </c>
      <c r="Z352" s="34">
        <v>6</v>
      </c>
      <c r="AA352" s="34">
        <v>1890</v>
      </c>
      <c r="AB352" s="34">
        <v>8</v>
      </c>
      <c r="AC352" s="34">
        <v>8</v>
      </c>
      <c r="AD352" s="34">
        <v>0</v>
      </c>
      <c r="AE352" s="34">
        <v>0</v>
      </c>
      <c r="AG352" s="34">
        <v>3</v>
      </c>
      <c r="AH352" s="34">
        <v>0</v>
      </c>
      <c r="AI352" s="34">
        <v>11</v>
      </c>
    </row>
    <row r="353" spans="1:35" ht="15.75" customHeight="1">
      <c r="A353" s="34">
        <v>355</v>
      </c>
      <c r="B353" s="34" t="s">
        <v>2754</v>
      </c>
      <c r="C353" s="34" t="s">
        <v>441</v>
      </c>
      <c r="D353" s="34">
        <v>7</v>
      </c>
      <c r="E353" s="34">
        <v>932</v>
      </c>
      <c r="F353" s="34">
        <v>6</v>
      </c>
      <c r="G353" s="34">
        <v>938</v>
      </c>
      <c r="H353" s="34">
        <v>10</v>
      </c>
      <c r="I353" s="34">
        <v>948</v>
      </c>
      <c r="J353" s="34">
        <v>9</v>
      </c>
      <c r="K353" s="34">
        <v>957</v>
      </c>
      <c r="L353" s="34">
        <v>8</v>
      </c>
      <c r="M353" s="34">
        <v>965</v>
      </c>
      <c r="N353" s="34">
        <v>10</v>
      </c>
      <c r="O353" s="34">
        <v>975</v>
      </c>
      <c r="P353" s="34">
        <v>7</v>
      </c>
      <c r="Q353" s="34">
        <v>982</v>
      </c>
      <c r="R353" s="34">
        <v>7</v>
      </c>
      <c r="S353" s="34">
        <v>986</v>
      </c>
      <c r="T353" s="34">
        <v>4</v>
      </c>
      <c r="U353" s="34">
        <v>993</v>
      </c>
      <c r="V353" s="34">
        <v>7</v>
      </c>
      <c r="W353" s="34">
        <v>997</v>
      </c>
      <c r="X353" s="34">
        <v>4</v>
      </c>
      <c r="Y353" s="34">
        <v>1005</v>
      </c>
      <c r="Z353" s="34">
        <v>8</v>
      </c>
      <c r="AA353" s="34">
        <v>1013</v>
      </c>
      <c r="AB353" s="34">
        <v>8</v>
      </c>
      <c r="AC353" s="34">
        <v>8</v>
      </c>
      <c r="AD353" s="34">
        <v>0</v>
      </c>
      <c r="AE353" s="34">
        <v>0</v>
      </c>
      <c r="AG353" s="34">
        <v>3</v>
      </c>
      <c r="AH353" s="34">
        <v>0</v>
      </c>
      <c r="AI353" s="34">
        <v>11</v>
      </c>
    </row>
    <row r="354" spans="1:35" ht="15.75" customHeight="1">
      <c r="A354" s="34">
        <v>356</v>
      </c>
      <c r="B354" s="34" t="s">
        <v>448</v>
      </c>
      <c r="C354" s="34" t="s">
        <v>441</v>
      </c>
      <c r="D354" s="34">
        <v>8</v>
      </c>
      <c r="E354" s="34">
        <v>502</v>
      </c>
      <c r="F354" s="34">
        <v>0</v>
      </c>
      <c r="G354" s="34">
        <v>502</v>
      </c>
      <c r="H354" s="34">
        <v>1</v>
      </c>
      <c r="I354" s="34">
        <v>503</v>
      </c>
      <c r="J354" s="34">
        <v>0</v>
      </c>
      <c r="K354" s="34">
        <v>503</v>
      </c>
      <c r="L354" s="34">
        <v>0</v>
      </c>
      <c r="M354" s="34">
        <v>503</v>
      </c>
      <c r="N354" s="34">
        <v>0</v>
      </c>
      <c r="O354" s="34">
        <v>503</v>
      </c>
      <c r="P354" s="34">
        <v>0</v>
      </c>
      <c r="Q354" s="34">
        <v>503</v>
      </c>
      <c r="R354" s="34">
        <v>0</v>
      </c>
      <c r="S354" s="34">
        <v>503</v>
      </c>
      <c r="T354" s="34">
        <v>0</v>
      </c>
      <c r="U354" s="34">
        <v>503</v>
      </c>
      <c r="V354" s="34">
        <v>0</v>
      </c>
      <c r="W354" s="34">
        <v>503</v>
      </c>
      <c r="X354" s="34">
        <v>0</v>
      </c>
      <c r="Y354" s="34">
        <v>504</v>
      </c>
      <c r="Z354" s="34">
        <v>1</v>
      </c>
      <c r="AA354" s="34">
        <v>507</v>
      </c>
      <c r="AB354" s="34">
        <v>3</v>
      </c>
      <c r="AC354" s="34">
        <v>5</v>
      </c>
      <c r="AD354" s="34">
        <v>0</v>
      </c>
      <c r="AE354" s="34">
        <v>0</v>
      </c>
      <c r="AG354" s="34">
        <v>3</v>
      </c>
      <c r="AH354" s="34">
        <v>20</v>
      </c>
      <c r="AI354" s="34">
        <v>28</v>
      </c>
    </row>
    <row r="355" spans="1:35" ht="15.75" customHeight="1">
      <c r="A355" s="34">
        <v>357</v>
      </c>
      <c r="B355" s="34" t="s">
        <v>449</v>
      </c>
      <c r="C355" s="34" t="s">
        <v>441</v>
      </c>
      <c r="D355" s="34">
        <v>9</v>
      </c>
      <c r="E355" s="34">
        <v>768</v>
      </c>
      <c r="F355" s="34">
        <v>26</v>
      </c>
      <c r="G355" s="34">
        <v>794</v>
      </c>
      <c r="H355" s="34">
        <v>37</v>
      </c>
      <c r="I355" s="34">
        <v>831</v>
      </c>
      <c r="J355" s="34">
        <v>8</v>
      </c>
      <c r="K355" s="34">
        <v>839</v>
      </c>
      <c r="L355" s="34">
        <v>7</v>
      </c>
      <c r="M355" s="34">
        <v>846</v>
      </c>
      <c r="N355" s="34">
        <v>6</v>
      </c>
      <c r="O355" s="34">
        <v>852</v>
      </c>
      <c r="P355" s="34">
        <v>3</v>
      </c>
      <c r="Q355" s="34">
        <v>855</v>
      </c>
      <c r="R355" s="34">
        <v>3</v>
      </c>
      <c r="S355" s="34">
        <v>856</v>
      </c>
      <c r="T355" s="34">
        <v>1</v>
      </c>
      <c r="U355" s="34">
        <v>861</v>
      </c>
      <c r="V355" s="34">
        <v>5</v>
      </c>
      <c r="W355" s="34">
        <v>865</v>
      </c>
      <c r="X355" s="34">
        <v>4</v>
      </c>
      <c r="Y355" s="34">
        <v>869</v>
      </c>
      <c r="Z355" s="34">
        <v>4</v>
      </c>
      <c r="AA355" s="34">
        <v>873</v>
      </c>
      <c r="AB355" s="34">
        <v>4</v>
      </c>
      <c r="AC355" s="34">
        <v>5</v>
      </c>
      <c r="AD355" s="34">
        <v>0</v>
      </c>
      <c r="AE355" s="34">
        <v>0</v>
      </c>
      <c r="AG355" s="34">
        <v>3</v>
      </c>
      <c r="AH355" s="34">
        <v>20</v>
      </c>
      <c r="AI355" s="34">
        <v>28</v>
      </c>
    </row>
    <row r="356" spans="1:35" ht="15.75" customHeight="1">
      <c r="A356" s="34">
        <v>358</v>
      </c>
      <c r="B356" s="34" t="s">
        <v>450</v>
      </c>
      <c r="C356" s="34" t="s">
        <v>441</v>
      </c>
      <c r="D356" s="34">
        <v>10</v>
      </c>
      <c r="E356" s="34">
        <v>1993</v>
      </c>
      <c r="F356" s="34">
        <v>17</v>
      </c>
      <c r="G356" s="34">
        <v>2010</v>
      </c>
      <c r="H356" s="34">
        <v>20</v>
      </c>
      <c r="I356" s="34">
        <v>2030</v>
      </c>
      <c r="J356" s="34">
        <v>18</v>
      </c>
      <c r="K356" s="34">
        <v>2048</v>
      </c>
      <c r="L356" s="34">
        <v>22</v>
      </c>
      <c r="M356" s="34">
        <v>2070</v>
      </c>
      <c r="N356" s="34">
        <v>29</v>
      </c>
      <c r="O356" s="34">
        <v>2099</v>
      </c>
      <c r="P356" s="34">
        <v>19</v>
      </c>
      <c r="Q356" s="34">
        <v>2118</v>
      </c>
      <c r="R356" s="34">
        <v>19</v>
      </c>
      <c r="S356" s="34">
        <v>2132</v>
      </c>
      <c r="T356" s="34">
        <v>14</v>
      </c>
      <c r="U356" s="34">
        <v>2147</v>
      </c>
      <c r="V356" s="34">
        <v>15</v>
      </c>
      <c r="W356" s="34">
        <v>2164</v>
      </c>
      <c r="X356" s="34">
        <v>17</v>
      </c>
      <c r="Y356" s="34">
        <v>2178</v>
      </c>
      <c r="Z356" s="34">
        <v>14</v>
      </c>
      <c r="AA356" s="34">
        <v>2192</v>
      </c>
      <c r="AB356" s="34">
        <v>14</v>
      </c>
      <c r="AC356" s="34">
        <v>14</v>
      </c>
      <c r="AD356" s="34">
        <v>0</v>
      </c>
      <c r="AE356" s="34">
        <v>0</v>
      </c>
      <c r="AG356" s="34">
        <v>3</v>
      </c>
      <c r="AH356" s="34">
        <v>0</v>
      </c>
      <c r="AI356" s="34">
        <v>17</v>
      </c>
    </row>
    <row r="357" spans="1:35" ht="15.75" customHeight="1">
      <c r="A357" s="34">
        <v>359</v>
      </c>
      <c r="B357" s="34" t="s">
        <v>451</v>
      </c>
      <c r="C357" s="34" t="s">
        <v>441</v>
      </c>
      <c r="D357" s="34">
        <v>11</v>
      </c>
      <c r="E357" s="34">
        <v>1228</v>
      </c>
      <c r="F357" s="34">
        <v>10</v>
      </c>
      <c r="G357" s="34">
        <v>1238</v>
      </c>
      <c r="H357" s="34">
        <v>9</v>
      </c>
      <c r="I357" s="34">
        <v>1247</v>
      </c>
      <c r="J357" s="34">
        <v>8</v>
      </c>
      <c r="K357" s="34">
        <v>1255</v>
      </c>
      <c r="L357" s="34">
        <v>9</v>
      </c>
      <c r="M357" s="34">
        <v>1264</v>
      </c>
      <c r="N357" s="34">
        <v>20</v>
      </c>
      <c r="O357" s="34">
        <v>1284</v>
      </c>
      <c r="P357" s="34">
        <v>13</v>
      </c>
      <c r="Q357" s="34">
        <v>1297</v>
      </c>
      <c r="R357" s="34">
        <v>13</v>
      </c>
      <c r="S357" s="34">
        <v>1312</v>
      </c>
      <c r="T357" s="34">
        <v>15</v>
      </c>
      <c r="U357" s="34">
        <v>1321</v>
      </c>
      <c r="V357" s="34">
        <v>9</v>
      </c>
      <c r="W357" s="34">
        <v>1327</v>
      </c>
      <c r="X357" s="34">
        <v>6</v>
      </c>
      <c r="Y357" s="34">
        <v>1334</v>
      </c>
      <c r="Z357" s="34">
        <v>7</v>
      </c>
      <c r="AA357" s="34">
        <v>1340</v>
      </c>
      <c r="AB357" s="34">
        <v>6</v>
      </c>
      <c r="AC357" s="34">
        <v>6</v>
      </c>
      <c r="AD357" s="34">
        <v>0</v>
      </c>
      <c r="AE357" s="34">
        <v>0</v>
      </c>
      <c r="AG357" s="34">
        <v>3</v>
      </c>
      <c r="AH357" s="34">
        <v>0</v>
      </c>
      <c r="AI357" s="34">
        <v>9</v>
      </c>
    </row>
    <row r="358" spans="1:35" ht="15.75" customHeight="1">
      <c r="A358" s="34">
        <v>360</v>
      </c>
      <c r="B358" s="34" t="s">
        <v>452</v>
      </c>
      <c r="C358" s="34" t="s">
        <v>441</v>
      </c>
      <c r="D358" s="34">
        <v>12</v>
      </c>
      <c r="E358" s="34">
        <v>1930</v>
      </c>
      <c r="F358" s="34">
        <v>20</v>
      </c>
      <c r="G358" s="34">
        <v>1950</v>
      </c>
      <c r="H358" s="34">
        <v>23</v>
      </c>
      <c r="I358" s="34">
        <v>1973</v>
      </c>
      <c r="J358" s="34">
        <v>23</v>
      </c>
      <c r="K358" s="34">
        <v>1996</v>
      </c>
      <c r="L358" s="34">
        <v>22</v>
      </c>
      <c r="M358" s="34">
        <v>2018</v>
      </c>
      <c r="N358" s="34">
        <v>14</v>
      </c>
      <c r="O358" s="34">
        <v>2032</v>
      </c>
      <c r="P358" s="34">
        <v>14</v>
      </c>
      <c r="Q358" s="34">
        <v>2046</v>
      </c>
      <c r="R358" s="34">
        <v>14</v>
      </c>
      <c r="S358" s="34">
        <v>2058</v>
      </c>
      <c r="T358" s="34">
        <v>12</v>
      </c>
      <c r="U358" s="34">
        <v>2075</v>
      </c>
      <c r="V358" s="34">
        <v>17</v>
      </c>
      <c r="W358" s="34">
        <v>2109</v>
      </c>
      <c r="X358" s="34">
        <v>34</v>
      </c>
      <c r="Y358" s="34">
        <v>2127</v>
      </c>
      <c r="Z358" s="34">
        <v>18</v>
      </c>
      <c r="AA358" s="34">
        <v>2140</v>
      </c>
      <c r="AB358" s="34">
        <v>13</v>
      </c>
      <c r="AC358" s="34">
        <v>13</v>
      </c>
      <c r="AD358" s="34">
        <v>0</v>
      </c>
      <c r="AE358" s="34">
        <v>0</v>
      </c>
      <c r="AG358" s="34">
        <v>3</v>
      </c>
      <c r="AH358" s="34">
        <v>0</v>
      </c>
      <c r="AI358" s="34">
        <v>16</v>
      </c>
    </row>
    <row r="359" spans="1:35" ht="15.75" customHeight="1">
      <c r="A359" s="34">
        <v>361</v>
      </c>
      <c r="B359" s="34" t="s">
        <v>453</v>
      </c>
      <c r="C359" s="34" t="s">
        <v>441</v>
      </c>
      <c r="D359" s="34">
        <v>13</v>
      </c>
      <c r="E359" s="34">
        <v>1917</v>
      </c>
      <c r="F359" s="34">
        <v>8</v>
      </c>
      <c r="G359" s="34">
        <v>1925</v>
      </c>
      <c r="H359" s="34">
        <v>2</v>
      </c>
      <c r="I359" s="34">
        <v>1927</v>
      </c>
      <c r="J359" s="34">
        <v>7</v>
      </c>
      <c r="K359" s="34">
        <v>1934</v>
      </c>
      <c r="L359" s="34">
        <v>8</v>
      </c>
      <c r="M359" s="34">
        <v>1942</v>
      </c>
      <c r="N359" s="34">
        <v>11</v>
      </c>
      <c r="O359" s="34">
        <v>1953</v>
      </c>
      <c r="P359" s="34">
        <v>10</v>
      </c>
      <c r="Q359" s="34">
        <v>1963</v>
      </c>
      <c r="R359" s="34">
        <v>10</v>
      </c>
      <c r="S359" s="34">
        <v>1972</v>
      </c>
      <c r="T359" s="34">
        <v>9</v>
      </c>
      <c r="U359" s="34">
        <v>1982</v>
      </c>
      <c r="V359" s="34">
        <v>10</v>
      </c>
      <c r="W359" s="34">
        <v>1990</v>
      </c>
      <c r="X359" s="34">
        <v>8</v>
      </c>
      <c r="Y359" s="34">
        <v>1998</v>
      </c>
      <c r="Z359" s="34">
        <v>8</v>
      </c>
      <c r="AA359" s="34">
        <v>2007</v>
      </c>
      <c r="AB359" s="34">
        <v>9</v>
      </c>
      <c r="AC359" s="34">
        <v>9</v>
      </c>
      <c r="AD359" s="34">
        <v>0</v>
      </c>
      <c r="AE359" s="34">
        <v>0</v>
      </c>
      <c r="AG359" s="34">
        <v>3</v>
      </c>
      <c r="AH359" s="34">
        <v>0</v>
      </c>
      <c r="AI359" s="34">
        <v>12</v>
      </c>
    </row>
    <row r="360" spans="1:35" ht="15.75" customHeight="1">
      <c r="A360" s="34">
        <v>362</v>
      </c>
      <c r="B360" s="34" t="s">
        <v>454</v>
      </c>
      <c r="C360" s="34" t="s">
        <v>441</v>
      </c>
      <c r="D360" s="34">
        <v>14</v>
      </c>
      <c r="E360" s="34">
        <v>215</v>
      </c>
      <c r="F360" s="34">
        <v>1</v>
      </c>
      <c r="G360" s="34">
        <v>216</v>
      </c>
      <c r="H360" s="34">
        <v>1</v>
      </c>
      <c r="I360" s="34">
        <v>217</v>
      </c>
      <c r="J360" s="34">
        <v>1</v>
      </c>
      <c r="K360" s="34">
        <v>218</v>
      </c>
      <c r="L360" s="34">
        <v>1</v>
      </c>
      <c r="M360" s="34">
        <v>219</v>
      </c>
      <c r="N360" s="34">
        <v>1</v>
      </c>
      <c r="O360" s="34">
        <v>220</v>
      </c>
      <c r="P360" s="34">
        <v>0</v>
      </c>
      <c r="Q360" s="34">
        <v>220</v>
      </c>
      <c r="R360" s="34">
        <v>0</v>
      </c>
      <c r="S360" s="34">
        <v>220</v>
      </c>
      <c r="T360" s="34">
        <v>0</v>
      </c>
      <c r="U360" s="34">
        <v>220</v>
      </c>
      <c r="V360" s="34">
        <v>0</v>
      </c>
      <c r="W360" s="34">
        <v>220</v>
      </c>
      <c r="X360" s="34">
        <v>0</v>
      </c>
      <c r="Y360" s="34">
        <v>220</v>
      </c>
      <c r="Z360" s="34">
        <v>0</v>
      </c>
      <c r="AA360" s="34">
        <v>220</v>
      </c>
      <c r="AB360" s="34">
        <v>0</v>
      </c>
      <c r="AC360" s="34">
        <v>5</v>
      </c>
      <c r="AD360" s="34">
        <v>0</v>
      </c>
      <c r="AE360" s="34">
        <v>0</v>
      </c>
      <c r="AG360" s="34">
        <v>3</v>
      </c>
      <c r="AH360" s="34">
        <v>20</v>
      </c>
      <c r="AI360" s="34">
        <v>28</v>
      </c>
    </row>
    <row r="361" spans="1:35" ht="15.75" customHeight="1">
      <c r="A361" s="34">
        <v>363</v>
      </c>
      <c r="B361" s="34" t="s">
        <v>455</v>
      </c>
      <c r="C361" s="34" t="s">
        <v>441</v>
      </c>
      <c r="D361" s="34">
        <v>15</v>
      </c>
      <c r="E361" s="34">
        <v>789</v>
      </c>
      <c r="F361" s="34">
        <v>1</v>
      </c>
      <c r="G361" s="34">
        <v>790</v>
      </c>
      <c r="H361" s="34">
        <v>6</v>
      </c>
      <c r="I361" s="34">
        <v>796</v>
      </c>
      <c r="J361" s="34">
        <v>8</v>
      </c>
      <c r="K361" s="34">
        <v>804</v>
      </c>
      <c r="L361" s="34">
        <v>10</v>
      </c>
      <c r="M361" s="34">
        <v>814</v>
      </c>
      <c r="N361" s="34">
        <v>8</v>
      </c>
      <c r="O361" s="34">
        <v>822</v>
      </c>
      <c r="P361" s="34">
        <v>8</v>
      </c>
      <c r="Q361" s="34">
        <v>830</v>
      </c>
      <c r="R361" s="34">
        <v>8</v>
      </c>
      <c r="S361" s="34">
        <v>836</v>
      </c>
      <c r="T361" s="34">
        <v>6</v>
      </c>
      <c r="U361" s="34">
        <v>842</v>
      </c>
      <c r="V361" s="34">
        <v>6</v>
      </c>
      <c r="W361" s="34">
        <v>847</v>
      </c>
      <c r="X361" s="34">
        <v>5</v>
      </c>
      <c r="Y361" s="34">
        <v>852</v>
      </c>
      <c r="Z361" s="34">
        <v>5</v>
      </c>
      <c r="AA361" s="34">
        <v>859</v>
      </c>
      <c r="AB361" s="34">
        <v>7</v>
      </c>
      <c r="AC361" s="34">
        <v>7</v>
      </c>
      <c r="AD361" s="34">
        <v>0</v>
      </c>
      <c r="AE361" s="34">
        <v>0</v>
      </c>
      <c r="AG361" s="34">
        <v>3</v>
      </c>
      <c r="AH361" s="34">
        <v>0</v>
      </c>
      <c r="AI361" s="34">
        <v>10</v>
      </c>
    </row>
    <row r="362" spans="1:35" ht="15.75" customHeight="1">
      <c r="A362" s="34">
        <v>364</v>
      </c>
      <c r="B362" s="34" t="s">
        <v>456</v>
      </c>
      <c r="C362" s="34" t="s">
        <v>441</v>
      </c>
      <c r="D362" s="34">
        <v>16</v>
      </c>
      <c r="E362" s="34">
        <v>398</v>
      </c>
      <c r="F362" s="34">
        <v>2</v>
      </c>
      <c r="G362" s="34">
        <v>400</v>
      </c>
      <c r="H362" s="34">
        <v>4</v>
      </c>
      <c r="I362" s="34">
        <v>404</v>
      </c>
      <c r="J362" s="34">
        <v>2</v>
      </c>
      <c r="K362" s="34">
        <v>406</v>
      </c>
      <c r="L362" s="34">
        <v>4</v>
      </c>
      <c r="M362" s="34">
        <v>410</v>
      </c>
      <c r="N362" s="34">
        <v>5</v>
      </c>
      <c r="O362" s="34">
        <v>415</v>
      </c>
      <c r="P362" s="34">
        <v>4</v>
      </c>
      <c r="Q362" s="34">
        <v>419</v>
      </c>
      <c r="R362" s="34">
        <v>4</v>
      </c>
      <c r="S362" s="34">
        <v>422</v>
      </c>
      <c r="T362" s="34">
        <v>3</v>
      </c>
      <c r="U362" s="34">
        <v>423</v>
      </c>
      <c r="V362" s="34">
        <v>1</v>
      </c>
      <c r="W362" s="34">
        <v>423</v>
      </c>
      <c r="X362" s="34">
        <v>0</v>
      </c>
      <c r="Y362" s="34">
        <v>423</v>
      </c>
      <c r="Z362" s="34">
        <v>0</v>
      </c>
      <c r="AA362" s="34">
        <v>423</v>
      </c>
      <c r="AB362" s="34">
        <v>0</v>
      </c>
      <c r="AC362" s="34">
        <v>5</v>
      </c>
      <c r="AD362" s="34">
        <v>0</v>
      </c>
      <c r="AE362" s="34">
        <v>0</v>
      </c>
      <c r="AG362" s="34">
        <v>3</v>
      </c>
      <c r="AH362" s="34">
        <v>0</v>
      </c>
      <c r="AI362" s="34">
        <v>8</v>
      </c>
    </row>
    <row r="363" spans="1:35" ht="15.75" customHeight="1">
      <c r="A363" s="34">
        <v>365</v>
      </c>
      <c r="B363" s="34" t="s">
        <v>457</v>
      </c>
      <c r="C363" s="34" t="s">
        <v>458</v>
      </c>
      <c r="D363" s="34">
        <v>1</v>
      </c>
      <c r="E363" s="34">
        <v>22</v>
      </c>
      <c r="F363" s="34">
        <v>0</v>
      </c>
      <c r="G363" s="34">
        <v>22</v>
      </c>
      <c r="H363" s="34">
        <v>0</v>
      </c>
      <c r="I363" s="34">
        <v>22</v>
      </c>
      <c r="J363" s="34">
        <v>0</v>
      </c>
      <c r="K363" s="34">
        <v>22</v>
      </c>
      <c r="L363" s="34">
        <v>0</v>
      </c>
      <c r="M363" s="34">
        <v>22</v>
      </c>
      <c r="N363" s="34">
        <v>0</v>
      </c>
      <c r="O363" s="34">
        <v>22</v>
      </c>
      <c r="P363" s="34">
        <v>0</v>
      </c>
      <c r="Q363" s="34">
        <v>22</v>
      </c>
      <c r="R363" s="34">
        <v>0</v>
      </c>
      <c r="S363" s="34">
        <v>22</v>
      </c>
      <c r="T363" s="34">
        <v>0</v>
      </c>
      <c r="U363" s="34">
        <v>22</v>
      </c>
      <c r="V363" s="34">
        <v>0</v>
      </c>
      <c r="W363" s="34">
        <v>22</v>
      </c>
      <c r="X363" s="34">
        <v>0</v>
      </c>
      <c r="Y363" s="34">
        <v>23</v>
      </c>
      <c r="Z363" s="34">
        <v>1</v>
      </c>
      <c r="AA363" s="34">
        <v>23</v>
      </c>
      <c r="AB363" s="34">
        <v>0</v>
      </c>
      <c r="AC363" s="34">
        <v>5</v>
      </c>
      <c r="AD363" s="34">
        <v>0</v>
      </c>
      <c r="AE363" s="34">
        <v>0</v>
      </c>
      <c r="AG363" s="34">
        <v>3</v>
      </c>
      <c r="AH363" s="34">
        <v>0</v>
      </c>
      <c r="AI363" s="34">
        <v>8</v>
      </c>
    </row>
    <row r="364" spans="1:35" ht="15.75" customHeight="1">
      <c r="A364" s="34">
        <v>366</v>
      </c>
      <c r="B364" s="34" t="s">
        <v>459</v>
      </c>
      <c r="C364" s="34" t="s">
        <v>458</v>
      </c>
      <c r="D364" s="34">
        <v>2</v>
      </c>
      <c r="E364" s="34">
        <v>2</v>
      </c>
      <c r="F364" s="34">
        <v>0</v>
      </c>
      <c r="G364" s="34">
        <v>2</v>
      </c>
      <c r="H364" s="34">
        <v>0</v>
      </c>
      <c r="I364" s="34">
        <v>2</v>
      </c>
      <c r="J364" s="34">
        <v>0</v>
      </c>
      <c r="K364" s="34">
        <v>2</v>
      </c>
      <c r="L364" s="34">
        <v>0</v>
      </c>
      <c r="M364" s="34">
        <v>2</v>
      </c>
      <c r="N364" s="34">
        <v>1</v>
      </c>
      <c r="O364" s="34">
        <v>3</v>
      </c>
      <c r="P364" s="34">
        <v>0</v>
      </c>
      <c r="Q364" s="34">
        <v>3</v>
      </c>
      <c r="R364" s="34">
        <v>0</v>
      </c>
      <c r="S364" s="34">
        <v>3</v>
      </c>
      <c r="T364" s="34">
        <v>0</v>
      </c>
      <c r="U364" s="34">
        <v>3</v>
      </c>
      <c r="V364" s="34">
        <v>0</v>
      </c>
      <c r="W364" s="34">
        <v>3</v>
      </c>
      <c r="X364" s="34">
        <v>0</v>
      </c>
      <c r="Y364" s="34">
        <v>4</v>
      </c>
      <c r="Z364" s="34">
        <v>1</v>
      </c>
      <c r="AA364" s="34">
        <v>4</v>
      </c>
      <c r="AB364" s="34">
        <v>0</v>
      </c>
      <c r="AC364" s="34">
        <v>5</v>
      </c>
      <c r="AD364" s="34">
        <v>0</v>
      </c>
      <c r="AE364" s="34">
        <v>0</v>
      </c>
      <c r="AG364" s="34">
        <v>3</v>
      </c>
      <c r="AH364" s="34">
        <v>20</v>
      </c>
      <c r="AI364" s="34">
        <v>28</v>
      </c>
    </row>
    <row r="365" spans="1:35" ht="15.75" customHeight="1">
      <c r="A365" s="34">
        <v>367</v>
      </c>
      <c r="B365" s="34" t="s">
        <v>460</v>
      </c>
      <c r="C365" s="34" t="s">
        <v>458</v>
      </c>
      <c r="D365" s="34">
        <v>3</v>
      </c>
      <c r="E365" s="34">
        <v>661</v>
      </c>
      <c r="F365" s="34">
        <v>3</v>
      </c>
      <c r="G365" s="34">
        <v>664</v>
      </c>
      <c r="H365" s="34">
        <v>4</v>
      </c>
      <c r="I365" s="34">
        <v>668</v>
      </c>
      <c r="J365" s="34">
        <v>4</v>
      </c>
      <c r="K365" s="34">
        <v>672</v>
      </c>
      <c r="L365" s="34">
        <v>3</v>
      </c>
      <c r="M365" s="34">
        <v>675</v>
      </c>
      <c r="N365" s="34">
        <v>3</v>
      </c>
      <c r="O365" s="34">
        <v>678</v>
      </c>
      <c r="P365" s="34">
        <v>3</v>
      </c>
      <c r="Q365" s="34">
        <v>681</v>
      </c>
      <c r="R365" s="34">
        <v>3</v>
      </c>
      <c r="S365" s="34">
        <v>683</v>
      </c>
      <c r="T365" s="34">
        <v>2</v>
      </c>
      <c r="U365" s="34">
        <v>686</v>
      </c>
      <c r="V365" s="34">
        <v>3</v>
      </c>
      <c r="W365" s="34">
        <v>687</v>
      </c>
      <c r="X365" s="34">
        <v>1</v>
      </c>
      <c r="Y365" s="34">
        <v>694</v>
      </c>
      <c r="Z365" s="34">
        <v>7</v>
      </c>
      <c r="AA365" s="34">
        <v>696</v>
      </c>
      <c r="AB365" s="34">
        <v>2</v>
      </c>
      <c r="AC365" s="34">
        <v>5</v>
      </c>
      <c r="AD365" s="34">
        <v>0</v>
      </c>
      <c r="AE365" s="34">
        <v>0</v>
      </c>
      <c r="AG365" s="34">
        <v>3</v>
      </c>
      <c r="AH365" s="34">
        <v>0</v>
      </c>
      <c r="AI365" s="34">
        <v>8</v>
      </c>
    </row>
    <row r="366" spans="1:35" ht="15.75" customHeight="1">
      <c r="A366" s="34">
        <v>368</v>
      </c>
      <c r="B366" s="34" t="s">
        <v>461</v>
      </c>
      <c r="C366" s="34" t="s">
        <v>458</v>
      </c>
      <c r="D366" s="34">
        <v>4</v>
      </c>
      <c r="E366" s="34">
        <v>1709</v>
      </c>
      <c r="F366" s="34">
        <v>19</v>
      </c>
      <c r="G366" s="34">
        <v>1728</v>
      </c>
      <c r="H366" s="34">
        <v>18</v>
      </c>
      <c r="I366" s="34">
        <v>1746</v>
      </c>
      <c r="J366" s="34">
        <v>22</v>
      </c>
      <c r="K366" s="34">
        <v>1768</v>
      </c>
      <c r="L366" s="34">
        <v>22</v>
      </c>
      <c r="M366" s="34">
        <v>1790</v>
      </c>
      <c r="N366" s="34">
        <v>16</v>
      </c>
      <c r="O366" s="34">
        <v>1806</v>
      </c>
      <c r="P366" s="34">
        <v>8</v>
      </c>
      <c r="Q366" s="34">
        <v>1814</v>
      </c>
      <c r="R366" s="34">
        <v>8</v>
      </c>
      <c r="S366" s="34">
        <v>1822</v>
      </c>
      <c r="T366" s="34">
        <v>8</v>
      </c>
      <c r="U366" s="34">
        <v>1832</v>
      </c>
      <c r="V366" s="34">
        <v>10</v>
      </c>
      <c r="W366" s="34">
        <v>1844</v>
      </c>
      <c r="X366" s="34">
        <v>12</v>
      </c>
      <c r="Y366" s="34">
        <v>1863</v>
      </c>
      <c r="Z366" s="34">
        <v>19</v>
      </c>
      <c r="AA366" s="34">
        <v>1880</v>
      </c>
      <c r="AB366" s="34">
        <v>17</v>
      </c>
      <c r="AC366" s="34">
        <v>17</v>
      </c>
      <c r="AD366" s="34">
        <v>0</v>
      </c>
      <c r="AE366" s="34">
        <v>0</v>
      </c>
      <c r="AG366" s="34">
        <v>3</v>
      </c>
      <c r="AH366" s="34">
        <v>20</v>
      </c>
      <c r="AI366" s="34">
        <v>40</v>
      </c>
    </row>
    <row r="367" spans="1:35" ht="15.75" customHeight="1">
      <c r="A367" s="34">
        <v>369</v>
      </c>
      <c r="B367" s="34" t="s">
        <v>462</v>
      </c>
      <c r="C367" s="34" t="s">
        <v>458</v>
      </c>
      <c r="D367" s="34">
        <v>5</v>
      </c>
      <c r="E367" s="34">
        <v>927</v>
      </c>
      <c r="F367" s="34">
        <v>7</v>
      </c>
      <c r="G367" s="34">
        <v>934</v>
      </c>
      <c r="H367" s="34">
        <v>0</v>
      </c>
      <c r="I367" s="34">
        <v>934</v>
      </c>
      <c r="J367" s="34">
        <v>7</v>
      </c>
      <c r="K367" s="34">
        <v>941</v>
      </c>
      <c r="L367" s="34">
        <v>4</v>
      </c>
      <c r="M367" s="34">
        <v>945</v>
      </c>
      <c r="N367" s="34">
        <v>3</v>
      </c>
      <c r="O367" s="34">
        <v>948</v>
      </c>
      <c r="P367" s="34">
        <v>2</v>
      </c>
      <c r="Q367" s="34">
        <v>950</v>
      </c>
      <c r="R367" s="34">
        <v>2</v>
      </c>
      <c r="S367" s="34">
        <v>951</v>
      </c>
      <c r="T367" s="34">
        <v>5</v>
      </c>
      <c r="U367" s="34">
        <v>952</v>
      </c>
      <c r="V367" s="34">
        <v>1</v>
      </c>
      <c r="W367" s="34">
        <v>952</v>
      </c>
      <c r="X367" s="34">
        <v>0</v>
      </c>
      <c r="Y367" s="34">
        <v>953</v>
      </c>
      <c r="Z367" s="34">
        <v>1</v>
      </c>
      <c r="AA367" s="34">
        <v>956</v>
      </c>
      <c r="AB367" s="34">
        <v>3</v>
      </c>
      <c r="AC367" s="34">
        <v>5</v>
      </c>
      <c r="AD367" s="34">
        <v>0</v>
      </c>
      <c r="AE367" s="34">
        <v>0</v>
      </c>
      <c r="AG367" s="34">
        <v>3</v>
      </c>
      <c r="AH367" s="34">
        <v>20</v>
      </c>
      <c r="AI367" s="34">
        <v>28</v>
      </c>
    </row>
    <row r="368" spans="1:35" ht="15.75" customHeight="1">
      <c r="A368" s="34">
        <v>370</v>
      </c>
      <c r="B368" s="34" t="s">
        <v>463</v>
      </c>
      <c r="C368" s="34" t="s">
        <v>458</v>
      </c>
      <c r="D368" s="34">
        <v>6</v>
      </c>
      <c r="E368" s="34">
        <v>1406</v>
      </c>
      <c r="F368" s="34">
        <v>6</v>
      </c>
      <c r="G368" s="34">
        <v>1412</v>
      </c>
      <c r="H368" s="34">
        <v>4</v>
      </c>
      <c r="I368" s="34">
        <v>1416</v>
      </c>
      <c r="J368" s="34">
        <v>6</v>
      </c>
      <c r="K368" s="34">
        <v>1422</v>
      </c>
      <c r="L368" s="34">
        <v>6</v>
      </c>
      <c r="M368" s="34">
        <v>1428</v>
      </c>
      <c r="N368" s="34">
        <v>4</v>
      </c>
      <c r="O368" s="34">
        <v>1432</v>
      </c>
      <c r="P368" s="34">
        <v>3</v>
      </c>
      <c r="Q368" s="34">
        <v>1435</v>
      </c>
      <c r="R368" s="34">
        <v>3</v>
      </c>
      <c r="S368" s="34">
        <v>1436</v>
      </c>
      <c r="T368" s="34">
        <v>1</v>
      </c>
      <c r="U368" s="34">
        <v>1437</v>
      </c>
      <c r="V368" s="34">
        <v>1</v>
      </c>
      <c r="W368" s="34">
        <v>1438</v>
      </c>
      <c r="X368" s="34">
        <v>1</v>
      </c>
      <c r="Y368" s="34">
        <v>1440</v>
      </c>
      <c r="Z368" s="34">
        <v>2</v>
      </c>
      <c r="AA368" s="34">
        <v>1443</v>
      </c>
      <c r="AB368" s="34">
        <v>3</v>
      </c>
      <c r="AC368" s="34">
        <v>5</v>
      </c>
      <c r="AD368" s="34">
        <v>0</v>
      </c>
      <c r="AE368" s="34">
        <v>0</v>
      </c>
      <c r="AG368" s="34">
        <v>3</v>
      </c>
      <c r="AH368" s="34">
        <v>0</v>
      </c>
      <c r="AI368" s="34">
        <v>8</v>
      </c>
    </row>
    <row r="369" spans="1:35" ht="15.75" customHeight="1">
      <c r="A369" s="34">
        <v>371</v>
      </c>
      <c r="B369" s="34" t="s">
        <v>464</v>
      </c>
      <c r="C369" s="34" t="s">
        <v>458</v>
      </c>
      <c r="D369" s="34">
        <v>7</v>
      </c>
      <c r="E369" s="34">
        <v>251</v>
      </c>
      <c r="F369" s="34">
        <v>6</v>
      </c>
      <c r="G369" s="34">
        <v>257</v>
      </c>
      <c r="H369" s="34">
        <v>3</v>
      </c>
      <c r="I369" s="34">
        <v>260</v>
      </c>
      <c r="J369" s="34">
        <v>3</v>
      </c>
      <c r="K369" s="34">
        <v>263</v>
      </c>
      <c r="L369" s="34">
        <v>5</v>
      </c>
      <c r="M369" s="34">
        <v>268</v>
      </c>
      <c r="N369" s="34">
        <v>4</v>
      </c>
      <c r="O369" s="34">
        <v>272</v>
      </c>
      <c r="P369" s="34">
        <v>3</v>
      </c>
      <c r="Q369" s="34">
        <v>275</v>
      </c>
      <c r="R369" s="34">
        <v>3</v>
      </c>
      <c r="S369" s="34">
        <v>276</v>
      </c>
      <c r="T369" s="34">
        <v>1</v>
      </c>
      <c r="U369" s="34">
        <v>279</v>
      </c>
      <c r="V369" s="34">
        <v>3</v>
      </c>
      <c r="W369" s="34">
        <v>281</v>
      </c>
      <c r="X369" s="34">
        <v>2</v>
      </c>
      <c r="Y369" s="34">
        <v>284</v>
      </c>
      <c r="Z369" s="34">
        <v>3</v>
      </c>
      <c r="AA369" s="34">
        <v>288</v>
      </c>
      <c r="AB369" s="34">
        <v>4</v>
      </c>
      <c r="AC369" s="34">
        <v>5</v>
      </c>
      <c r="AD369" s="34">
        <v>0</v>
      </c>
      <c r="AE369" s="34">
        <v>0</v>
      </c>
      <c r="AG369" s="34">
        <v>3</v>
      </c>
      <c r="AH369" s="34">
        <v>0</v>
      </c>
      <c r="AI369" s="34">
        <v>8</v>
      </c>
    </row>
    <row r="370" spans="1:35" ht="15.75" customHeight="1">
      <c r="A370" s="34">
        <v>372</v>
      </c>
      <c r="B370" s="34" t="s">
        <v>465</v>
      </c>
      <c r="C370" s="34" t="s">
        <v>458</v>
      </c>
      <c r="D370" s="34">
        <v>9</v>
      </c>
      <c r="E370" s="34">
        <v>0</v>
      </c>
      <c r="F370" s="34">
        <v>0</v>
      </c>
      <c r="G370" s="34">
        <v>0</v>
      </c>
      <c r="H370" s="34">
        <v>0</v>
      </c>
      <c r="I370" s="34">
        <v>0</v>
      </c>
      <c r="J370" s="34">
        <v>0</v>
      </c>
      <c r="K370" s="34">
        <v>0</v>
      </c>
      <c r="L370" s="34">
        <v>5</v>
      </c>
      <c r="M370" s="34">
        <v>5</v>
      </c>
      <c r="N370" s="34">
        <v>-4</v>
      </c>
      <c r="O370" s="34">
        <v>1</v>
      </c>
      <c r="P370" s="34">
        <v>0</v>
      </c>
      <c r="Q370" s="34">
        <v>1</v>
      </c>
      <c r="R370" s="34">
        <v>0</v>
      </c>
      <c r="S370" s="34">
        <v>1</v>
      </c>
      <c r="T370" s="34">
        <v>0</v>
      </c>
      <c r="U370" s="34">
        <v>0</v>
      </c>
      <c r="V370" s="34">
        <v>0</v>
      </c>
      <c r="W370" s="34">
        <v>0</v>
      </c>
      <c r="X370" s="34">
        <v>0</v>
      </c>
      <c r="Y370" s="34">
        <v>0</v>
      </c>
      <c r="Z370" s="34">
        <v>0</v>
      </c>
      <c r="AA370" s="34">
        <v>0</v>
      </c>
      <c r="AB370" s="34">
        <v>0</v>
      </c>
      <c r="AC370" s="34">
        <v>5</v>
      </c>
      <c r="AD370" s="34">
        <v>0</v>
      </c>
      <c r="AE370" s="34">
        <v>0</v>
      </c>
      <c r="AG370" s="34">
        <v>3</v>
      </c>
      <c r="AH370" s="34">
        <v>20</v>
      </c>
      <c r="AI370" s="34">
        <v>28</v>
      </c>
    </row>
    <row r="371" spans="1:35" ht="15.75" customHeight="1">
      <c r="A371" s="34">
        <v>373</v>
      </c>
      <c r="B371" s="34" t="s">
        <v>466</v>
      </c>
      <c r="C371" s="34" t="s">
        <v>458</v>
      </c>
      <c r="D371" s="34">
        <v>13</v>
      </c>
      <c r="E371" s="34">
        <v>452</v>
      </c>
      <c r="F371" s="34">
        <v>14</v>
      </c>
      <c r="G371" s="34">
        <v>466</v>
      </c>
      <c r="H371" s="34">
        <v>15</v>
      </c>
      <c r="I371" s="34">
        <v>481</v>
      </c>
      <c r="J371" s="34">
        <v>11</v>
      </c>
      <c r="K371" s="34">
        <v>492</v>
      </c>
      <c r="L371" s="34">
        <v>11</v>
      </c>
      <c r="M371" s="34">
        <v>503</v>
      </c>
      <c r="N371" s="34">
        <v>6</v>
      </c>
      <c r="O371" s="34">
        <v>509</v>
      </c>
      <c r="P371" s="34">
        <v>3</v>
      </c>
      <c r="Q371" s="34">
        <v>512</v>
      </c>
      <c r="R371" s="34">
        <v>3</v>
      </c>
      <c r="S371" s="34">
        <v>515</v>
      </c>
      <c r="T371" s="34">
        <v>3</v>
      </c>
      <c r="U371" s="34">
        <v>517</v>
      </c>
      <c r="V371" s="34">
        <v>2</v>
      </c>
      <c r="W371" s="34">
        <v>523</v>
      </c>
      <c r="X371" s="34">
        <v>6</v>
      </c>
      <c r="Y371" s="34">
        <v>532</v>
      </c>
      <c r="Z371" s="34">
        <v>9</v>
      </c>
      <c r="AA371" s="34">
        <v>543</v>
      </c>
      <c r="AB371" s="34">
        <v>11</v>
      </c>
      <c r="AC371" s="34">
        <v>11</v>
      </c>
      <c r="AD371" s="34">
        <v>0</v>
      </c>
      <c r="AE371" s="34">
        <v>0</v>
      </c>
      <c r="AG371" s="34">
        <v>3</v>
      </c>
      <c r="AH371" s="34">
        <v>0</v>
      </c>
      <c r="AI371" s="34">
        <v>14</v>
      </c>
    </row>
    <row r="372" spans="1:35" ht="15.75" customHeight="1">
      <c r="A372" s="34">
        <v>374</v>
      </c>
      <c r="B372" s="34" t="s">
        <v>467</v>
      </c>
      <c r="C372" s="34" t="s">
        <v>458</v>
      </c>
      <c r="D372" s="34">
        <v>14</v>
      </c>
      <c r="E372" s="34">
        <v>76</v>
      </c>
      <c r="F372" s="34">
        <v>0</v>
      </c>
      <c r="G372" s="34">
        <v>76</v>
      </c>
      <c r="H372" s="34">
        <v>0</v>
      </c>
      <c r="I372" s="34">
        <v>76</v>
      </c>
      <c r="J372" s="34">
        <v>0</v>
      </c>
      <c r="K372" s="34">
        <v>76</v>
      </c>
      <c r="L372" s="34">
        <v>0</v>
      </c>
      <c r="M372" s="34">
        <v>76</v>
      </c>
      <c r="N372" s="34">
        <v>0</v>
      </c>
      <c r="O372" s="34">
        <v>70</v>
      </c>
      <c r="P372" s="34">
        <v>-1</v>
      </c>
      <c r="Q372" s="34">
        <v>69</v>
      </c>
      <c r="R372" s="34">
        <v>-1</v>
      </c>
      <c r="S372" s="34">
        <v>69</v>
      </c>
      <c r="T372" s="34">
        <v>0</v>
      </c>
      <c r="U372" s="34">
        <v>69</v>
      </c>
      <c r="V372" s="34">
        <v>0</v>
      </c>
      <c r="W372" s="34">
        <v>69</v>
      </c>
      <c r="X372" s="34">
        <v>0</v>
      </c>
      <c r="Y372" s="34">
        <v>69</v>
      </c>
      <c r="Z372" s="34">
        <v>0</v>
      </c>
      <c r="AA372" s="34">
        <v>69</v>
      </c>
      <c r="AB372" s="34">
        <v>0</v>
      </c>
      <c r="AC372" s="34">
        <v>5</v>
      </c>
      <c r="AD372" s="34">
        <v>0</v>
      </c>
      <c r="AE372" s="34">
        <v>0</v>
      </c>
      <c r="AG372" s="34">
        <v>3</v>
      </c>
      <c r="AH372" s="34">
        <v>0</v>
      </c>
      <c r="AI372" s="34">
        <v>8</v>
      </c>
    </row>
    <row r="373" spans="1:35" ht="15.75" customHeight="1">
      <c r="A373" s="34">
        <v>375</v>
      </c>
      <c r="B373" s="34" t="s">
        <v>468</v>
      </c>
      <c r="C373" s="34" t="s">
        <v>458</v>
      </c>
      <c r="D373" s="34">
        <v>16</v>
      </c>
      <c r="E373" s="34">
        <v>3306</v>
      </c>
      <c r="F373" s="34">
        <v>12</v>
      </c>
      <c r="G373" s="34">
        <v>3318</v>
      </c>
      <c r="H373" s="34">
        <v>12</v>
      </c>
      <c r="I373" s="34">
        <v>3330</v>
      </c>
      <c r="J373" s="34">
        <v>12</v>
      </c>
      <c r="K373" s="34">
        <v>3342</v>
      </c>
      <c r="L373" s="34">
        <v>11</v>
      </c>
      <c r="M373" s="34">
        <v>3353</v>
      </c>
      <c r="N373" s="34">
        <v>9</v>
      </c>
      <c r="O373" s="34">
        <v>3362</v>
      </c>
      <c r="P373" s="34">
        <v>7</v>
      </c>
      <c r="Q373" s="34">
        <v>3369</v>
      </c>
      <c r="R373" s="34">
        <v>7</v>
      </c>
      <c r="S373" s="34">
        <v>3380</v>
      </c>
      <c r="T373" s="34">
        <v>11</v>
      </c>
      <c r="U373" s="34">
        <v>3393</v>
      </c>
      <c r="V373" s="34">
        <v>13</v>
      </c>
      <c r="W373" s="34">
        <v>3406</v>
      </c>
      <c r="X373" s="34">
        <v>13</v>
      </c>
      <c r="Y373" s="34">
        <v>3419</v>
      </c>
      <c r="Z373" s="34">
        <v>13</v>
      </c>
      <c r="AA373" s="34">
        <v>3437</v>
      </c>
      <c r="AB373" s="34">
        <v>18</v>
      </c>
      <c r="AC373" s="34">
        <v>18</v>
      </c>
      <c r="AD373" s="34">
        <v>0</v>
      </c>
      <c r="AE373" s="34">
        <v>0</v>
      </c>
      <c r="AG373" s="34">
        <v>3</v>
      </c>
      <c r="AH373" s="34">
        <v>0</v>
      </c>
      <c r="AI373" s="34">
        <v>21</v>
      </c>
    </row>
    <row r="374" spans="1:35" ht="15.75" customHeight="1">
      <c r="A374" s="34">
        <v>376</v>
      </c>
      <c r="B374" s="34" t="s">
        <v>469</v>
      </c>
      <c r="C374" s="34" t="s">
        <v>458</v>
      </c>
      <c r="D374" s="34">
        <v>17</v>
      </c>
      <c r="E374" s="34">
        <v>1948</v>
      </c>
      <c r="F374" s="34">
        <v>16</v>
      </c>
      <c r="G374" s="34">
        <v>1964</v>
      </c>
      <c r="H374" s="34">
        <v>19</v>
      </c>
      <c r="I374" s="34">
        <v>1983</v>
      </c>
      <c r="J374" s="34">
        <v>14</v>
      </c>
      <c r="K374" s="34">
        <v>1997</v>
      </c>
      <c r="L374" s="34">
        <v>18</v>
      </c>
      <c r="M374" s="34">
        <v>2015</v>
      </c>
      <c r="N374" s="34">
        <v>13</v>
      </c>
      <c r="O374" s="34">
        <v>2028</v>
      </c>
      <c r="P374" s="34">
        <v>12</v>
      </c>
      <c r="Q374" s="34">
        <v>2040</v>
      </c>
      <c r="R374" s="34">
        <v>12</v>
      </c>
      <c r="S374" s="34">
        <v>2053</v>
      </c>
      <c r="T374" s="34">
        <v>13</v>
      </c>
      <c r="U374" s="34">
        <v>2064</v>
      </c>
      <c r="V374" s="34">
        <v>11</v>
      </c>
      <c r="W374" s="34">
        <v>2072</v>
      </c>
      <c r="X374" s="34">
        <v>8</v>
      </c>
      <c r="Y374" s="34">
        <v>2082</v>
      </c>
      <c r="Z374" s="34">
        <v>10</v>
      </c>
      <c r="AA374" s="34">
        <v>2091</v>
      </c>
      <c r="AB374" s="34">
        <v>9</v>
      </c>
      <c r="AC374" s="34">
        <v>9</v>
      </c>
      <c r="AD374" s="34">
        <v>13</v>
      </c>
      <c r="AE374" s="34">
        <v>0</v>
      </c>
      <c r="AG374" s="34">
        <v>3</v>
      </c>
      <c r="AH374" s="34">
        <v>20</v>
      </c>
      <c r="AI374" s="34">
        <v>45</v>
      </c>
    </row>
    <row r="375" spans="1:35" ht="15.75" customHeight="1">
      <c r="A375" s="34">
        <v>377</v>
      </c>
      <c r="B375" s="34" t="s">
        <v>470</v>
      </c>
      <c r="C375" s="34" t="s">
        <v>458</v>
      </c>
      <c r="D375" s="34">
        <v>19</v>
      </c>
      <c r="E375" s="34">
        <v>1957</v>
      </c>
      <c r="F375" s="34">
        <v>15</v>
      </c>
      <c r="G375" s="34">
        <v>1972</v>
      </c>
      <c r="H375" s="34">
        <v>17</v>
      </c>
      <c r="I375" s="34">
        <v>1989</v>
      </c>
      <c r="J375" s="34">
        <v>15</v>
      </c>
      <c r="K375" s="34">
        <v>2004</v>
      </c>
      <c r="L375" s="34">
        <v>17</v>
      </c>
      <c r="M375" s="34">
        <v>2021</v>
      </c>
      <c r="N375" s="34">
        <v>15</v>
      </c>
      <c r="O375" s="34">
        <v>2036</v>
      </c>
      <c r="P375" s="34">
        <v>10</v>
      </c>
      <c r="Q375" s="34">
        <v>2046</v>
      </c>
      <c r="R375" s="34">
        <v>10</v>
      </c>
      <c r="S375" s="34">
        <v>2055</v>
      </c>
      <c r="T375" s="34">
        <v>9</v>
      </c>
      <c r="U375" s="34">
        <v>2066</v>
      </c>
      <c r="V375" s="34">
        <v>11</v>
      </c>
      <c r="W375" s="34">
        <v>2075</v>
      </c>
      <c r="X375" s="34">
        <v>9</v>
      </c>
      <c r="Y375" s="34">
        <v>2087</v>
      </c>
      <c r="Z375" s="34">
        <v>12</v>
      </c>
      <c r="AA375" s="34">
        <v>2099</v>
      </c>
      <c r="AB375" s="34">
        <v>12</v>
      </c>
      <c r="AC375" s="34">
        <v>12</v>
      </c>
      <c r="AD375" s="34">
        <v>0</v>
      </c>
      <c r="AE375" s="34">
        <v>0</v>
      </c>
      <c r="AG375" s="34">
        <v>3</v>
      </c>
      <c r="AH375" s="34">
        <v>0</v>
      </c>
      <c r="AI375" s="34">
        <v>15</v>
      </c>
    </row>
    <row r="376" spans="1:35" ht="15.75" customHeight="1">
      <c r="A376" s="34">
        <v>378</v>
      </c>
      <c r="B376" s="34" t="s">
        <v>471</v>
      </c>
      <c r="C376" s="34" t="s">
        <v>458</v>
      </c>
      <c r="D376" s="34">
        <v>20</v>
      </c>
      <c r="E376" s="34">
        <v>667</v>
      </c>
      <c r="F376" s="34">
        <v>20</v>
      </c>
      <c r="G376" s="34">
        <v>687</v>
      </c>
      <c r="H376" s="34">
        <v>22</v>
      </c>
      <c r="I376" s="34">
        <v>709</v>
      </c>
      <c r="J376" s="34">
        <v>14</v>
      </c>
      <c r="K376" s="34">
        <v>723</v>
      </c>
      <c r="L376" s="34">
        <v>18</v>
      </c>
      <c r="M376" s="34">
        <v>741</v>
      </c>
      <c r="N376" s="34">
        <v>25</v>
      </c>
      <c r="O376" s="34">
        <v>766</v>
      </c>
      <c r="P376" s="34">
        <v>17</v>
      </c>
      <c r="Q376" s="34">
        <v>783</v>
      </c>
      <c r="R376" s="34">
        <v>17</v>
      </c>
      <c r="S376" s="34">
        <v>805</v>
      </c>
      <c r="T376" s="34">
        <v>22</v>
      </c>
      <c r="U376" s="34">
        <v>824</v>
      </c>
      <c r="V376" s="34">
        <v>19</v>
      </c>
      <c r="W376" s="34">
        <v>837</v>
      </c>
      <c r="X376" s="34">
        <v>13</v>
      </c>
      <c r="Y376" s="34">
        <v>858</v>
      </c>
      <c r="Z376" s="34">
        <v>21</v>
      </c>
      <c r="AA376" s="34">
        <v>874</v>
      </c>
      <c r="AB376" s="34">
        <v>16</v>
      </c>
      <c r="AC376" s="34">
        <v>16</v>
      </c>
      <c r="AD376" s="34">
        <v>0</v>
      </c>
      <c r="AE376" s="34">
        <v>0</v>
      </c>
      <c r="AG376" s="34">
        <v>3</v>
      </c>
      <c r="AH376" s="34">
        <v>20</v>
      </c>
      <c r="AI376" s="34">
        <v>39</v>
      </c>
    </row>
    <row r="377" spans="1:35" ht="15.75" customHeight="1">
      <c r="A377" s="34">
        <v>379</v>
      </c>
      <c r="B377" s="34" t="s">
        <v>472</v>
      </c>
      <c r="C377" s="34" t="s">
        <v>473</v>
      </c>
      <c r="D377" s="34">
        <v>1</v>
      </c>
      <c r="E377" s="34">
        <v>1689</v>
      </c>
      <c r="F377" s="34">
        <v>10</v>
      </c>
      <c r="G377" s="34">
        <v>1699</v>
      </c>
      <c r="H377" s="34">
        <v>10</v>
      </c>
      <c r="I377" s="34">
        <v>1709</v>
      </c>
      <c r="J377" s="34">
        <v>8</v>
      </c>
      <c r="K377" s="34">
        <v>1717</v>
      </c>
      <c r="L377" s="34">
        <v>9</v>
      </c>
      <c r="M377" s="34">
        <v>1726</v>
      </c>
      <c r="N377" s="34">
        <v>2</v>
      </c>
      <c r="O377" s="34">
        <v>1728</v>
      </c>
      <c r="P377" s="34">
        <v>0</v>
      </c>
      <c r="Q377" s="34">
        <v>0</v>
      </c>
      <c r="R377" s="34">
        <v>-1728</v>
      </c>
      <c r="S377" s="34">
        <v>3</v>
      </c>
      <c r="T377" s="34">
        <v>3</v>
      </c>
      <c r="U377" s="34">
        <v>12</v>
      </c>
      <c r="V377" s="34">
        <v>9</v>
      </c>
      <c r="W377" s="34">
        <v>19</v>
      </c>
      <c r="X377" s="34">
        <v>7</v>
      </c>
      <c r="Y377" s="34">
        <v>28</v>
      </c>
      <c r="Z377" s="34">
        <v>9</v>
      </c>
      <c r="AA377" s="34">
        <v>38</v>
      </c>
      <c r="AB377" s="34">
        <v>10</v>
      </c>
      <c r="AC377" s="34">
        <v>10</v>
      </c>
      <c r="AD377" s="34">
        <v>0</v>
      </c>
      <c r="AE377" s="34">
        <v>0</v>
      </c>
      <c r="AG377" s="34">
        <v>3</v>
      </c>
      <c r="AH377" s="34">
        <v>0</v>
      </c>
      <c r="AI377" s="34">
        <v>13</v>
      </c>
    </row>
    <row r="378" spans="1:35" ht="15.75" customHeight="1">
      <c r="A378" s="34">
        <v>380</v>
      </c>
      <c r="B378" s="34" t="s">
        <v>474</v>
      </c>
      <c r="C378" s="34" t="s">
        <v>473</v>
      </c>
      <c r="D378" s="34">
        <v>2</v>
      </c>
      <c r="E378" s="34">
        <v>1209</v>
      </c>
      <c r="F378" s="34">
        <v>28</v>
      </c>
      <c r="G378" s="34">
        <v>1237</v>
      </c>
      <c r="H378" s="34">
        <v>33</v>
      </c>
      <c r="I378" s="34">
        <v>1270</v>
      </c>
      <c r="J378" s="34">
        <v>22</v>
      </c>
      <c r="K378" s="34">
        <v>1292</v>
      </c>
      <c r="L378" s="34">
        <v>25</v>
      </c>
      <c r="M378" s="34">
        <v>1317</v>
      </c>
      <c r="N378" s="34">
        <v>30</v>
      </c>
      <c r="O378" s="34">
        <v>1347</v>
      </c>
      <c r="P378" s="34">
        <v>17</v>
      </c>
      <c r="Q378" s="34">
        <v>1364</v>
      </c>
      <c r="R378" s="34">
        <v>17</v>
      </c>
      <c r="S378" s="34">
        <v>1378</v>
      </c>
      <c r="T378" s="34">
        <v>14</v>
      </c>
      <c r="U378" s="34">
        <v>1393</v>
      </c>
      <c r="V378" s="34">
        <v>15</v>
      </c>
      <c r="W378" s="34">
        <v>1406</v>
      </c>
      <c r="X378" s="34">
        <v>13</v>
      </c>
      <c r="Y378" s="34">
        <v>1419</v>
      </c>
      <c r="Z378" s="34">
        <v>13</v>
      </c>
      <c r="AA378" s="34">
        <v>1438</v>
      </c>
      <c r="AB378" s="34">
        <v>19</v>
      </c>
      <c r="AC378" s="34">
        <v>19</v>
      </c>
      <c r="AD378" s="34">
        <v>0</v>
      </c>
      <c r="AE378" s="34">
        <v>0</v>
      </c>
      <c r="AG378" s="34">
        <v>3</v>
      </c>
      <c r="AH378" s="34">
        <v>0</v>
      </c>
      <c r="AI378" s="34">
        <v>22</v>
      </c>
    </row>
    <row r="379" spans="1:35" ht="15.75" customHeight="1">
      <c r="A379" s="34">
        <v>381</v>
      </c>
      <c r="B379" s="34" t="s">
        <v>475</v>
      </c>
      <c r="C379" s="34" t="s">
        <v>473</v>
      </c>
      <c r="D379" s="34">
        <v>3</v>
      </c>
      <c r="E379" s="34">
        <v>414</v>
      </c>
      <c r="F379" s="34">
        <v>16</v>
      </c>
      <c r="G379" s="34">
        <v>430</v>
      </c>
      <c r="H379" s="34">
        <v>15</v>
      </c>
      <c r="I379" s="34">
        <v>445</v>
      </c>
      <c r="J379" s="34">
        <v>12</v>
      </c>
      <c r="K379" s="34">
        <v>457</v>
      </c>
      <c r="L379" s="34">
        <v>15</v>
      </c>
      <c r="M379" s="34">
        <v>472</v>
      </c>
      <c r="N379" s="34">
        <v>12</v>
      </c>
      <c r="O379" s="34">
        <v>484</v>
      </c>
      <c r="P379" s="34">
        <v>12</v>
      </c>
      <c r="Q379" s="34">
        <v>496</v>
      </c>
      <c r="R379" s="34">
        <v>12</v>
      </c>
      <c r="S379" s="34">
        <v>507</v>
      </c>
      <c r="T379" s="34">
        <v>11</v>
      </c>
      <c r="U379" s="34">
        <v>518</v>
      </c>
      <c r="V379" s="34">
        <v>11</v>
      </c>
      <c r="W379" s="34">
        <v>529</v>
      </c>
      <c r="X379" s="34">
        <v>11</v>
      </c>
      <c r="Y379" s="34">
        <v>541</v>
      </c>
      <c r="Z379" s="34">
        <v>12</v>
      </c>
      <c r="AA379" s="34">
        <v>555</v>
      </c>
      <c r="AB379" s="34">
        <v>14</v>
      </c>
      <c r="AC379" s="34">
        <v>14</v>
      </c>
      <c r="AD379" s="34">
        <v>0</v>
      </c>
      <c r="AE379" s="34">
        <v>0</v>
      </c>
      <c r="AG379" s="34">
        <v>3</v>
      </c>
      <c r="AH379" s="34">
        <v>0</v>
      </c>
      <c r="AI379" s="34">
        <v>17</v>
      </c>
    </row>
    <row r="380" spans="1:35" ht="15.75" customHeight="1">
      <c r="A380" s="34">
        <v>382</v>
      </c>
      <c r="B380" s="34" t="s">
        <v>476</v>
      </c>
      <c r="C380" s="34" t="s">
        <v>473</v>
      </c>
      <c r="D380" s="34">
        <v>4</v>
      </c>
      <c r="E380" s="34">
        <v>2865</v>
      </c>
      <c r="F380" s="34">
        <v>28</v>
      </c>
      <c r="G380" s="34">
        <v>2893</v>
      </c>
      <c r="H380" s="34">
        <v>30</v>
      </c>
      <c r="I380" s="34">
        <v>2923</v>
      </c>
      <c r="J380" s="34">
        <v>24</v>
      </c>
      <c r="K380" s="34">
        <v>2947</v>
      </c>
      <c r="L380" s="34">
        <v>21</v>
      </c>
      <c r="M380" s="34">
        <v>2968</v>
      </c>
      <c r="N380" s="34">
        <v>23</v>
      </c>
      <c r="O380" s="34">
        <v>2991</v>
      </c>
      <c r="P380" s="34">
        <v>19</v>
      </c>
      <c r="Q380" s="34">
        <v>3010</v>
      </c>
      <c r="R380" s="34">
        <v>19</v>
      </c>
      <c r="S380" s="34">
        <v>3023</v>
      </c>
      <c r="T380" s="34">
        <v>13</v>
      </c>
      <c r="U380" s="34">
        <v>3038</v>
      </c>
      <c r="V380" s="34">
        <v>15</v>
      </c>
      <c r="W380" s="34">
        <v>3052</v>
      </c>
      <c r="X380" s="34">
        <v>14</v>
      </c>
      <c r="Y380" s="34">
        <v>3065</v>
      </c>
      <c r="Z380" s="34">
        <v>13</v>
      </c>
      <c r="AA380" s="34">
        <v>3081</v>
      </c>
      <c r="AB380" s="34">
        <v>16</v>
      </c>
      <c r="AC380" s="34">
        <v>16</v>
      </c>
      <c r="AD380" s="34">
        <v>0</v>
      </c>
      <c r="AE380" s="34">
        <v>0</v>
      </c>
      <c r="AG380" s="34">
        <v>3</v>
      </c>
      <c r="AH380" s="34">
        <v>0</v>
      </c>
      <c r="AI380" s="34">
        <v>19</v>
      </c>
    </row>
    <row r="381" spans="1:35" ht="15.75" customHeight="1">
      <c r="A381" s="34">
        <v>383</v>
      </c>
      <c r="B381" s="34" t="s">
        <v>477</v>
      </c>
      <c r="C381" s="34" t="s">
        <v>473</v>
      </c>
      <c r="D381" s="34">
        <v>6</v>
      </c>
      <c r="E381" s="34">
        <v>2067</v>
      </c>
      <c r="F381" s="34">
        <v>26</v>
      </c>
      <c r="G381" s="34">
        <v>2093</v>
      </c>
      <c r="H381" s="34">
        <v>30</v>
      </c>
      <c r="I381" s="34">
        <v>2123</v>
      </c>
      <c r="J381" s="34">
        <v>27</v>
      </c>
      <c r="K381" s="34">
        <v>2150</v>
      </c>
      <c r="L381" s="34">
        <v>24</v>
      </c>
      <c r="M381" s="34">
        <v>2174</v>
      </c>
      <c r="N381" s="34">
        <v>25</v>
      </c>
      <c r="O381" s="34">
        <v>2199</v>
      </c>
      <c r="P381" s="34">
        <v>19</v>
      </c>
      <c r="Q381" s="34">
        <v>2218</v>
      </c>
      <c r="R381" s="34">
        <v>19</v>
      </c>
      <c r="S381" s="34">
        <v>2235</v>
      </c>
      <c r="T381" s="34">
        <v>17</v>
      </c>
      <c r="U381" s="34">
        <v>2253</v>
      </c>
      <c r="V381" s="34">
        <v>18</v>
      </c>
      <c r="W381" s="34">
        <v>2270</v>
      </c>
      <c r="X381" s="34">
        <v>17</v>
      </c>
      <c r="Y381" s="34">
        <v>2286</v>
      </c>
      <c r="Z381" s="34">
        <v>16</v>
      </c>
      <c r="AA381" s="34">
        <v>2303</v>
      </c>
      <c r="AB381" s="34">
        <v>17</v>
      </c>
      <c r="AC381" s="34">
        <v>17</v>
      </c>
      <c r="AD381" s="34">
        <v>19</v>
      </c>
      <c r="AE381" s="34">
        <v>0</v>
      </c>
      <c r="AG381" s="34">
        <v>3</v>
      </c>
      <c r="AH381" s="34">
        <v>0</v>
      </c>
      <c r="AI381" s="34">
        <v>39</v>
      </c>
    </row>
    <row r="382" spans="1:35" ht="15.75" customHeight="1">
      <c r="A382" s="34">
        <v>384</v>
      </c>
      <c r="B382" s="34" t="s">
        <v>478</v>
      </c>
      <c r="C382" s="34" t="s">
        <v>473</v>
      </c>
      <c r="D382" s="34">
        <v>9</v>
      </c>
      <c r="E382" s="34">
        <v>264</v>
      </c>
      <c r="F382" s="34">
        <v>19</v>
      </c>
      <c r="G382" s="34">
        <v>283</v>
      </c>
      <c r="H382" s="34">
        <v>23</v>
      </c>
      <c r="I382" s="34">
        <v>306</v>
      </c>
      <c r="J382" s="34">
        <v>19</v>
      </c>
      <c r="K382" s="34">
        <v>325</v>
      </c>
      <c r="L382" s="34">
        <v>18</v>
      </c>
      <c r="M382" s="34">
        <v>343</v>
      </c>
      <c r="N382" s="34">
        <v>13</v>
      </c>
      <c r="O382" s="34">
        <v>356</v>
      </c>
      <c r="P382" s="34">
        <v>13</v>
      </c>
      <c r="Q382" s="34">
        <v>369</v>
      </c>
      <c r="R382" s="34">
        <v>13</v>
      </c>
      <c r="S382" s="34">
        <v>378</v>
      </c>
      <c r="T382" s="34">
        <v>9</v>
      </c>
      <c r="U382" s="34">
        <v>389</v>
      </c>
      <c r="V382" s="34">
        <v>11</v>
      </c>
      <c r="W382" s="34">
        <v>400</v>
      </c>
      <c r="X382" s="34">
        <v>11</v>
      </c>
      <c r="Y382" s="34">
        <v>416</v>
      </c>
      <c r="Z382" s="34">
        <v>16</v>
      </c>
      <c r="AA382" s="34">
        <v>431</v>
      </c>
      <c r="AB382" s="34">
        <v>15</v>
      </c>
      <c r="AC382" s="34">
        <v>15</v>
      </c>
      <c r="AD382" s="34">
        <v>-11</v>
      </c>
      <c r="AE382" s="34">
        <v>0</v>
      </c>
      <c r="AG382" s="34">
        <v>3</v>
      </c>
      <c r="AH382" s="34">
        <v>0</v>
      </c>
      <c r="AI382" s="34">
        <v>7</v>
      </c>
    </row>
    <row r="383" spans="1:35" ht="15.75" customHeight="1">
      <c r="A383" s="34">
        <v>385</v>
      </c>
      <c r="B383" s="34" t="s">
        <v>479</v>
      </c>
      <c r="C383" s="34" t="s">
        <v>473</v>
      </c>
      <c r="D383" s="34">
        <v>10</v>
      </c>
      <c r="E383" s="34">
        <v>167</v>
      </c>
      <c r="F383" s="34">
        <v>8</v>
      </c>
      <c r="G383" s="34">
        <v>175</v>
      </c>
      <c r="H383" s="34">
        <v>6</v>
      </c>
      <c r="I383" s="34">
        <v>181</v>
      </c>
      <c r="J383" s="34">
        <v>9</v>
      </c>
      <c r="K383" s="34">
        <v>190</v>
      </c>
      <c r="L383" s="34">
        <v>34</v>
      </c>
      <c r="M383" s="34">
        <v>224</v>
      </c>
      <c r="N383" s="34">
        <v>22</v>
      </c>
      <c r="O383" s="34">
        <v>246</v>
      </c>
      <c r="P383" s="34">
        <v>7</v>
      </c>
      <c r="Q383" s="34">
        <v>253</v>
      </c>
      <c r="R383" s="34">
        <v>7</v>
      </c>
      <c r="S383" s="34">
        <v>257</v>
      </c>
      <c r="T383" s="34">
        <v>4</v>
      </c>
      <c r="U383" s="34">
        <v>264</v>
      </c>
      <c r="V383" s="34">
        <v>7</v>
      </c>
      <c r="W383" s="34">
        <v>268</v>
      </c>
      <c r="X383" s="34">
        <v>4</v>
      </c>
      <c r="Y383" s="34">
        <v>280</v>
      </c>
      <c r="Z383" s="34">
        <v>12</v>
      </c>
      <c r="AA383" s="34">
        <v>291</v>
      </c>
      <c r="AB383" s="34">
        <v>11</v>
      </c>
      <c r="AC383" s="34">
        <v>11</v>
      </c>
      <c r="AD383" s="34">
        <v>0</v>
      </c>
      <c r="AE383" s="34">
        <v>0</v>
      </c>
      <c r="AG383" s="34">
        <v>3</v>
      </c>
      <c r="AH383" s="34">
        <v>0</v>
      </c>
      <c r="AI383" s="34">
        <v>14</v>
      </c>
    </row>
    <row r="384" spans="1:35" ht="15.75" customHeight="1">
      <c r="A384" s="34">
        <v>386</v>
      </c>
      <c r="B384" s="34" t="s">
        <v>480</v>
      </c>
      <c r="C384" s="34" t="s">
        <v>473</v>
      </c>
      <c r="D384" s="34">
        <v>11</v>
      </c>
      <c r="E384" s="34">
        <v>14</v>
      </c>
      <c r="F384" s="34">
        <v>3</v>
      </c>
      <c r="G384" s="34">
        <v>17</v>
      </c>
      <c r="H384" s="34">
        <v>3</v>
      </c>
      <c r="I384" s="34">
        <v>20</v>
      </c>
      <c r="J384" s="34">
        <v>1</v>
      </c>
      <c r="K384" s="34">
        <v>21</v>
      </c>
      <c r="L384" s="34">
        <v>4</v>
      </c>
      <c r="M384" s="34">
        <v>25</v>
      </c>
      <c r="N384" s="34">
        <v>8</v>
      </c>
      <c r="O384" s="34">
        <v>33</v>
      </c>
      <c r="P384" s="34">
        <v>3</v>
      </c>
      <c r="Q384" s="34">
        <v>36</v>
      </c>
      <c r="R384" s="34">
        <v>3</v>
      </c>
      <c r="S384" s="34">
        <v>38</v>
      </c>
      <c r="T384" s="34">
        <v>2</v>
      </c>
      <c r="U384" s="34">
        <v>39</v>
      </c>
      <c r="V384" s="34">
        <v>1</v>
      </c>
      <c r="W384" s="34">
        <v>40</v>
      </c>
      <c r="X384" s="34">
        <v>1</v>
      </c>
      <c r="Y384" s="34">
        <v>41</v>
      </c>
      <c r="Z384" s="34">
        <v>1</v>
      </c>
      <c r="AA384" s="34">
        <v>43</v>
      </c>
      <c r="AB384" s="34">
        <v>2</v>
      </c>
      <c r="AC384" s="34">
        <v>5</v>
      </c>
      <c r="AD384" s="34">
        <v>0</v>
      </c>
      <c r="AE384" s="34">
        <v>0</v>
      </c>
      <c r="AG384" s="34">
        <v>3</v>
      </c>
      <c r="AH384" s="34">
        <v>0</v>
      </c>
      <c r="AI384" s="34">
        <v>8</v>
      </c>
    </row>
    <row r="385" spans="1:35" ht="15.75" customHeight="1">
      <c r="A385" s="34">
        <v>387</v>
      </c>
      <c r="B385" s="34" t="s">
        <v>481</v>
      </c>
      <c r="C385" s="34" t="s">
        <v>473</v>
      </c>
      <c r="D385" s="34">
        <v>12</v>
      </c>
      <c r="E385" s="34">
        <v>959</v>
      </c>
      <c r="F385" s="34">
        <v>11</v>
      </c>
      <c r="G385" s="34">
        <v>970</v>
      </c>
      <c r="H385" s="34">
        <v>12</v>
      </c>
      <c r="I385" s="34">
        <v>982</v>
      </c>
      <c r="J385" s="34">
        <v>12</v>
      </c>
      <c r="K385" s="34">
        <v>994</v>
      </c>
      <c r="L385" s="34">
        <v>8</v>
      </c>
      <c r="M385" s="34">
        <v>1002</v>
      </c>
      <c r="N385" s="34">
        <v>7</v>
      </c>
      <c r="O385" s="34">
        <v>1009</v>
      </c>
      <c r="P385" s="34">
        <v>4</v>
      </c>
      <c r="Q385" s="34">
        <v>1013</v>
      </c>
      <c r="R385" s="34">
        <v>4</v>
      </c>
      <c r="S385" s="34">
        <v>1017</v>
      </c>
      <c r="T385" s="34">
        <v>4</v>
      </c>
      <c r="U385" s="34">
        <v>1024</v>
      </c>
      <c r="V385" s="34">
        <v>7</v>
      </c>
      <c r="W385" s="34">
        <v>1030</v>
      </c>
      <c r="X385" s="34">
        <v>6</v>
      </c>
      <c r="Y385" s="34">
        <v>1044</v>
      </c>
      <c r="Z385" s="34">
        <v>14</v>
      </c>
      <c r="AA385" s="34">
        <v>1051</v>
      </c>
      <c r="AB385" s="34">
        <v>7</v>
      </c>
      <c r="AC385" s="34">
        <v>7</v>
      </c>
      <c r="AD385" s="34">
        <v>0</v>
      </c>
      <c r="AE385" s="34">
        <v>0</v>
      </c>
      <c r="AG385" s="34">
        <v>3</v>
      </c>
      <c r="AH385" s="34">
        <v>0</v>
      </c>
      <c r="AI385" s="34">
        <v>10</v>
      </c>
    </row>
    <row r="386" spans="1:35" ht="15.75" customHeight="1">
      <c r="A386" s="34">
        <v>388</v>
      </c>
      <c r="B386" s="34" t="s">
        <v>482</v>
      </c>
      <c r="C386" s="34" t="s">
        <v>473</v>
      </c>
      <c r="D386" s="34">
        <v>13</v>
      </c>
      <c r="E386" s="34">
        <v>715</v>
      </c>
      <c r="F386" s="34">
        <v>14</v>
      </c>
      <c r="G386" s="34">
        <v>729</v>
      </c>
      <c r="H386" s="34">
        <v>14</v>
      </c>
      <c r="I386" s="34">
        <v>743</v>
      </c>
      <c r="J386" s="34">
        <v>14</v>
      </c>
      <c r="K386" s="34">
        <v>757</v>
      </c>
      <c r="L386" s="34">
        <v>19</v>
      </c>
      <c r="M386" s="34">
        <v>776</v>
      </c>
      <c r="N386" s="34">
        <v>11</v>
      </c>
      <c r="O386" s="34">
        <v>787</v>
      </c>
      <c r="P386" s="34">
        <v>11</v>
      </c>
      <c r="Q386" s="34">
        <v>798</v>
      </c>
      <c r="R386" s="34">
        <v>11</v>
      </c>
      <c r="S386" s="34">
        <v>808</v>
      </c>
      <c r="T386" s="34">
        <v>10</v>
      </c>
      <c r="U386" s="34">
        <v>817</v>
      </c>
      <c r="V386" s="34">
        <v>9</v>
      </c>
      <c r="W386" s="34">
        <v>827</v>
      </c>
      <c r="X386" s="34">
        <v>10</v>
      </c>
      <c r="Y386" s="34">
        <v>837</v>
      </c>
      <c r="Z386" s="34">
        <v>10</v>
      </c>
      <c r="AA386" s="34">
        <v>844</v>
      </c>
      <c r="AB386" s="34">
        <v>7</v>
      </c>
      <c r="AC386" s="34">
        <v>7</v>
      </c>
      <c r="AD386" s="34">
        <v>0</v>
      </c>
      <c r="AE386" s="34">
        <v>0</v>
      </c>
      <c r="AG386" s="34">
        <v>3</v>
      </c>
      <c r="AH386" s="34">
        <v>0</v>
      </c>
      <c r="AI386" s="34">
        <v>10</v>
      </c>
    </row>
    <row r="387" spans="1:35" ht="15.75" customHeight="1">
      <c r="A387" s="34">
        <v>389</v>
      </c>
      <c r="B387" s="34" t="s">
        <v>483</v>
      </c>
      <c r="C387" s="34" t="s">
        <v>473</v>
      </c>
      <c r="D387" s="34">
        <v>14</v>
      </c>
      <c r="E387" s="34">
        <v>1037</v>
      </c>
      <c r="F387" s="34">
        <v>13</v>
      </c>
      <c r="G387" s="34">
        <v>1050</v>
      </c>
      <c r="H387" s="34">
        <v>12</v>
      </c>
      <c r="I387" s="34">
        <v>1062</v>
      </c>
      <c r="J387" s="34">
        <v>10</v>
      </c>
      <c r="K387" s="34">
        <v>1072</v>
      </c>
      <c r="L387" s="34">
        <v>9</v>
      </c>
      <c r="M387" s="34">
        <v>1081</v>
      </c>
      <c r="N387" s="34">
        <v>9</v>
      </c>
      <c r="O387" s="34">
        <v>1090</v>
      </c>
      <c r="P387" s="34">
        <v>8</v>
      </c>
      <c r="Q387" s="34">
        <v>1098</v>
      </c>
      <c r="R387" s="34">
        <v>8</v>
      </c>
      <c r="S387" s="34">
        <v>0</v>
      </c>
      <c r="T387" s="34">
        <v>7</v>
      </c>
      <c r="U387" s="34">
        <v>5</v>
      </c>
      <c r="V387" s="34">
        <v>5</v>
      </c>
      <c r="W387" s="34">
        <v>12</v>
      </c>
      <c r="X387" s="34">
        <v>7</v>
      </c>
      <c r="Y387" s="34">
        <v>20</v>
      </c>
      <c r="Z387" s="34">
        <v>8</v>
      </c>
      <c r="AA387" s="34">
        <v>30</v>
      </c>
      <c r="AB387" s="34">
        <v>10</v>
      </c>
      <c r="AC387" s="34">
        <v>10</v>
      </c>
      <c r="AD387" s="34">
        <v>0</v>
      </c>
      <c r="AE387" s="34">
        <v>0</v>
      </c>
      <c r="AF387" s="34">
        <v>44</v>
      </c>
      <c r="AG387" s="34">
        <v>3</v>
      </c>
      <c r="AH387" s="34">
        <v>20</v>
      </c>
      <c r="AI387" s="34">
        <v>77</v>
      </c>
    </row>
    <row r="388" spans="1:35" ht="15.75" customHeight="1">
      <c r="A388" s="34">
        <v>390</v>
      </c>
      <c r="B388" s="34" t="s">
        <v>485</v>
      </c>
      <c r="C388" s="34" t="s">
        <v>473</v>
      </c>
      <c r="D388" s="34">
        <v>17</v>
      </c>
      <c r="E388" s="34">
        <v>1172</v>
      </c>
      <c r="F388" s="34">
        <v>7</v>
      </c>
      <c r="G388" s="34">
        <v>1179</v>
      </c>
      <c r="H388" s="34">
        <v>9</v>
      </c>
      <c r="I388" s="34">
        <v>1188</v>
      </c>
      <c r="J388" s="34">
        <v>6</v>
      </c>
      <c r="K388" s="34">
        <v>1194</v>
      </c>
      <c r="L388" s="34">
        <v>8</v>
      </c>
      <c r="M388" s="34">
        <v>1202</v>
      </c>
      <c r="N388" s="34">
        <v>6</v>
      </c>
      <c r="O388" s="34">
        <v>1208</v>
      </c>
      <c r="P388" s="34">
        <v>5</v>
      </c>
      <c r="Q388" s="34">
        <v>1213</v>
      </c>
      <c r="R388" s="34">
        <v>5</v>
      </c>
      <c r="S388" s="34">
        <v>1218</v>
      </c>
      <c r="T388" s="34">
        <v>5</v>
      </c>
      <c r="U388" s="34">
        <v>1223</v>
      </c>
      <c r="V388" s="34">
        <v>5</v>
      </c>
      <c r="W388" s="34">
        <v>1229</v>
      </c>
      <c r="X388" s="34">
        <v>6</v>
      </c>
      <c r="Y388" s="34">
        <v>1236</v>
      </c>
      <c r="Z388" s="34">
        <v>7</v>
      </c>
      <c r="AA388" s="34">
        <v>1241</v>
      </c>
      <c r="AB388" s="34">
        <v>5</v>
      </c>
      <c r="AC388" s="34">
        <v>5</v>
      </c>
      <c r="AD388" s="34">
        <v>0</v>
      </c>
      <c r="AE388" s="34">
        <v>0</v>
      </c>
      <c r="AG388" s="34">
        <v>3</v>
      </c>
      <c r="AH388" s="34">
        <v>0</v>
      </c>
      <c r="AI388" s="34">
        <v>8</v>
      </c>
    </row>
    <row r="389" spans="1:35" ht="15.75" customHeight="1">
      <c r="A389" s="34">
        <v>391</v>
      </c>
      <c r="B389" s="34" t="s">
        <v>487</v>
      </c>
      <c r="C389" s="34" t="s">
        <v>473</v>
      </c>
      <c r="D389" s="34">
        <v>31</v>
      </c>
      <c r="E389" s="34">
        <v>35</v>
      </c>
      <c r="F389" s="34">
        <v>2</v>
      </c>
      <c r="G389" s="34">
        <v>37</v>
      </c>
      <c r="H389" s="34">
        <v>0</v>
      </c>
      <c r="I389" s="34">
        <v>37</v>
      </c>
      <c r="J389" s="34">
        <v>0</v>
      </c>
      <c r="K389" s="34">
        <v>37</v>
      </c>
      <c r="L389" s="34">
        <v>0</v>
      </c>
      <c r="M389" s="34">
        <v>37</v>
      </c>
      <c r="N389" s="34">
        <v>1</v>
      </c>
      <c r="O389" s="34">
        <v>38</v>
      </c>
      <c r="P389" s="34">
        <v>3</v>
      </c>
      <c r="Q389" s="34">
        <v>41</v>
      </c>
      <c r="R389" s="34">
        <v>3</v>
      </c>
      <c r="S389" s="34">
        <v>43</v>
      </c>
      <c r="T389" s="34">
        <v>2</v>
      </c>
      <c r="U389" s="34">
        <v>46</v>
      </c>
      <c r="V389" s="34">
        <v>3</v>
      </c>
      <c r="W389" s="34">
        <v>46</v>
      </c>
      <c r="X389" s="34">
        <v>0</v>
      </c>
      <c r="Y389" s="34">
        <v>46</v>
      </c>
      <c r="Z389" s="34">
        <v>0</v>
      </c>
      <c r="AA389" s="34">
        <v>46</v>
      </c>
      <c r="AB389" s="34">
        <v>0</v>
      </c>
      <c r="AC389" s="34">
        <v>5</v>
      </c>
      <c r="AD389" s="34">
        <v>16</v>
      </c>
      <c r="AE389" s="34">
        <v>40</v>
      </c>
      <c r="AG389" s="34">
        <v>3</v>
      </c>
      <c r="AH389" s="34">
        <v>40</v>
      </c>
      <c r="AI389" s="34">
        <v>104</v>
      </c>
    </row>
    <row r="390" spans="1:35" ht="15.75" customHeight="1">
      <c r="A390" s="34">
        <v>392</v>
      </c>
      <c r="B390" s="34" t="s">
        <v>488</v>
      </c>
      <c r="C390" s="34" t="s">
        <v>473</v>
      </c>
      <c r="D390" s="34">
        <v>32</v>
      </c>
      <c r="E390" s="34">
        <v>197</v>
      </c>
      <c r="F390" s="34">
        <v>4</v>
      </c>
      <c r="G390" s="34">
        <v>201</v>
      </c>
      <c r="H390" s="34">
        <v>4</v>
      </c>
      <c r="I390" s="34">
        <v>205</v>
      </c>
      <c r="J390" s="34">
        <v>4</v>
      </c>
      <c r="K390" s="34">
        <v>209</v>
      </c>
      <c r="L390" s="34">
        <v>4</v>
      </c>
      <c r="M390" s="34">
        <v>213</v>
      </c>
      <c r="N390" s="34">
        <v>3</v>
      </c>
      <c r="O390" s="34">
        <v>216</v>
      </c>
      <c r="P390" s="34">
        <v>4</v>
      </c>
      <c r="Q390" s="34">
        <v>220</v>
      </c>
      <c r="R390" s="34">
        <v>4</v>
      </c>
      <c r="S390" s="34">
        <v>223</v>
      </c>
      <c r="T390" s="34">
        <v>3</v>
      </c>
      <c r="U390" s="34">
        <v>226</v>
      </c>
      <c r="V390" s="34">
        <v>3</v>
      </c>
      <c r="W390" s="34">
        <v>228</v>
      </c>
      <c r="X390" s="34">
        <v>2</v>
      </c>
      <c r="Y390" s="34">
        <v>229</v>
      </c>
      <c r="Z390" s="34">
        <v>1</v>
      </c>
      <c r="AA390" s="34">
        <v>232</v>
      </c>
      <c r="AB390" s="34">
        <v>3</v>
      </c>
      <c r="AC390" s="34">
        <v>5</v>
      </c>
      <c r="AD390" s="34">
        <v>0</v>
      </c>
      <c r="AE390" s="34">
        <v>0</v>
      </c>
      <c r="AG390" s="34">
        <v>3</v>
      </c>
      <c r="AH390" s="34">
        <v>0</v>
      </c>
      <c r="AI390" s="34">
        <v>8</v>
      </c>
    </row>
    <row r="391" spans="1:35" ht="15.75" customHeight="1">
      <c r="A391" s="34">
        <v>393</v>
      </c>
      <c r="B391" s="34" t="s">
        <v>489</v>
      </c>
      <c r="C391" s="34" t="s">
        <v>473</v>
      </c>
      <c r="D391" s="34">
        <v>33</v>
      </c>
      <c r="E391" s="34">
        <v>617</v>
      </c>
      <c r="F391" s="34">
        <v>12</v>
      </c>
      <c r="G391" s="34">
        <v>629</v>
      </c>
      <c r="H391" s="34">
        <v>12</v>
      </c>
      <c r="I391" s="34">
        <v>641</v>
      </c>
      <c r="J391" s="34">
        <v>12</v>
      </c>
      <c r="K391" s="34">
        <v>653</v>
      </c>
      <c r="L391" s="34">
        <v>15</v>
      </c>
      <c r="M391" s="34">
        <v>668</v>
      </c>
      <c r="N391" s="34">
        <v>12</v>
      </c>
      <c r="O391" s="34">
        <v>680</v>
      </c>
      <c r="P391" s="34">
        <v>8</v>
      </c>
      <c r="Q391" s="34">
        <v>688</v>
      </c>
      <c r="R391" s="34">
        <v>8</v>
      </c>
      <c r="S391" s="34">
        <v>695</v>
      </c>
      <c r="T391" s="34">
        <v>7</v>
      </c>
      <c r="U391" s="34">
        <v>702</v>
      </c>
      <c r="V391" s="34">
        <v>7</v>
      </c>
      <c r="W391" s="34">
        <v>708</v>
      </c>
      <c r="X391" s="34">
        <v>6</v>
      </c>
      <c r="Y391" s="34">
        <v>716</v>
      </c>
      <c r="Z391" s="34">
        <v>8</v>
      </c>
      <c r="AA391" s="34">
        <v>725</v>
      </c>
      <c r="AB391" s="34">
        <v>9</v>
      </c>
      <c r="AC391" s="34">
        <v>9</v>
      </c>
      <c r="AD391" s="34">
        <v>0</v>
      </c>
      <c r="AE391" s="34">
        <v>0</v>
      </c>
      <c r="AG391" s="34">
        <v>3</v>
      </c>
      <c r="AH391" s="34">
        <v>20</v>
      </c>
      <c r="AI391" s="34">
        <v>32</v>
      </c>
    </row>
    <row r="392" spans="1:35" ht="15.75" customHeight="1">
      <c r="A392" s="34">
        <v>394</v>
      </c>
      <c r="B392" s="34" t="s">
        <v>490</v>
      </c>
      <c r="C392" s="34" t="s">
        <v>473</v>
      </c>
      <c r="D392" s="34">
        <v>34</v>
      </c>
      <c r="E392" s="34">
        <v>105</v>
      </c>
      <c r="F392" s="34">
        <v>12</v>
      </c>
      <c r="G392" s="34">
        <v>117</v>
      </c>
      <c r="H392" s="34">
        <v>7</v>
      </c>
      <c r="I392" s="34">
        <v>124</v>
      </c>
      <c r="J392" s="34">
        <v>4</v>
      </c>
      <c r="K392" s="34">
        <v>128</v>
      </c>
      <c r="L392" s="34">
        <v>4</v>
      </c>
      <c r="M392" s="34">
        <v>132</v>
      </c>
      <c r="N392" s="34">
        <v>3</v>
      </c>
      <c r="O392" s="34">
        <v>135</v>
      </c>
      <c r="P392" s="34">
        <v>4</v>
      </c>
      <c r="Q392" s="34">
        <v>139</v>
      </c>
      <c r="R392" s="34">
        <v>4</v>
      </c>
      <c r="S392" s="34">
        <v>142</v>
      </c>
      <c r="T392" s="34">
        <v>3</v>
      </c>
      <c r="U392" s="34">
        <v>147</v>
      </c>
      <c r="V392" s="34">
        <v>5</v>
      </c>
      <c r="W392" s="34">
        <v>154</v>
      </c>
      <c r="X392" s="34">
        <v>7</v>
      </c>
      <c r="Y392" s="34">
        <v>158</v>
      </c>
      <c r="Z392" s="34">
        <v>4</v>
      </c>
      <c r="AA392" s="34">
        <v>164</v>
      </c>
      <c r="AB392" s="34">
        <v>6</v>
      </c>
      <c r="AC392" s="34">
        <v>6</v>
      </c>
      <c r="AD392" s="34">
        <v>0</v>
      </c>
      <c r="AE392" s="34">
        <v>0</v>
      </c>
      <c r="AG392" s="34">
        <v>3</v>
      </c>
      <c r="AH392" s="34">
        <v>0</v>
      </c>
      <c r="AI392" s="34">
        <v>9</v>
      </c>
    </row>
    <row r="393" spans="1:35" ht="15.75" customHeight="1">
      <c r="A393" s="34">
        <v>395</v>
      </c>
      <c r="B393" s="34" t="s">
        <v>486</v>
      </c>
      <c r="C393" s="34" t="s">
        <v>473</v>
      </c>
      <c r="D393" s="34">
        <v>35</v>
      </c>
      <c r="W393" s="34">
        <v>0</v>
      </c>
      <c r="X393" s="34">
        <v>0</v>
      </c>
      <c r="Y393" s="34">
        <v>0</v>
      </c>
      <c r="Z393" s="34">
        <v>0</v>
      </c>
      <c r="AA393" s="34">
        <v>3</v>
      </c>
      <c r="AB393" s="34">
        <v>3</v>
      </c>
      <c r="AC393" s="34">
        <v>5</v>
      </c>
      <c r="AD393" s="34">
        <v>8</v>
      </c>
      <c r="AE393" s="34">
        <v>0</v>
      </c>
      <c r="AG393" s="34">
        <v>3</v>
      </c>
      <c r="AH393" s="34">
        <v>20</v>
      </c>
      <c r="AI393" s="34">
        <v>36</v>
      </c>
    </row>
    <row r="394" spans="1:35" ht="15.75" customHeight="1">
      <c r="A394" s="34">
        <v>396</v>
      </c>
      <c r="B394" s="34" t="s">
        <v>491</v>
      </c>
      <c r="C394" s="34" t="s">
        <v>492</v>
      </c>
      <c r="D394" s="34">
        <v>1</v>
      </c>
      <c r="E394" s="34">
        <v>1418</v>
      </c>
      <c r="F394" s="34">
        <v>9</v>
      </c>
      <c r="G394" s="34">
        <v>1427</v>
      </c>
      <c r="H394" s="34">
        <v>9</v>
      </c>
      <c r="I394" s="34">
        <v>1436</v>
      </c>
      <c r="J394" s="34">
        <v>7</v>
      </c>
      <c r="K394" s="34">
        <v>1443</v>
      </c>
      <c r="L394" s="34">
        <v>8</v>
      </c>
      <c r="M394" s="34">
        <v>1451</v>
      </c>
      <c r="N394" s="34">
        <v>7</v>
      </c>
      <c r="O394" s="34">
        <v>1458</v>
      </c>
      <c r="P394" s="34">
        <v>9</v>
      </c>
      <c r="Q394" s="34">
        <v>1467</v>
      </c>
      <c r="R394" s="34">
        <v>9</v>
      </c>
      <c r="S394" s="34">
        <v>1473</v>
      </c>
      <c r="T394" s="34">
        <v>6</v>
      </c>
      <c r="U394" s="34">
        <v>1479</v>
      </c>
      <c r="V394" s="34">
        <v>6</v>
      </c>
      <c r="W394" s="34">
        <v>1485</v>
      </c>
      <c r="X394" s="34">
        <v>6</v>
      </c>
      <c r="Y394" s="34">
        <v>1493</v>
      </c>
      <c r="Z394" s="34">
        <v>8</v>
      </c>
      <c r="AA394" s="34">
        <v>1501</v>
      </c>
      <c r="AB394" s="34">
        <v>8</v>
      </c>
      <c r="AC394" s="34">
        <v>8</v>
      </c>
      <c r="AD394" s="34">
        <v>0</v>
      </c>
      <c r="AE394" s="34">
        <v>0</v>
      </c>
      <c r="AG394" s="34">
        <v>3</v>
      </c>
      <c r="AH394" s="34">
        <v>0</v>
      </c>
      <c r="AI394" s="34">
        <v>11</v>
      </c>
    </row>
    <row r="395" spans="1:35" ht="15.75" customHeight="1">
      <c r="A395" s="34">
        <v>397</v>
      </c>
      <c r="B395" s="34" t="s">
        <v>493</v>
      </c>
      <c r="C395" s="34" t="s">
        <v>492</v>
      </c>
      <c r="D395" s="34">
        <v>2</v>
      </c>
      <c r="E395" s="34">
        <v>2</v>
      </c>
      <c r="F395" s="34">
        <v>0</v>
      </c>
      <c r="G395" s="34">
        <v>2</v>
      </c>
      <c r="H395" s="34">
        <v>0</v>
      </c>
      <c r="I395" s="34">
        <v>2</v>
      </c>
      <c r="J395" s="34">
        <v>0</v>
      </c>
      <c r="K395" s="34">
        <v>2</v>
      </c>
      <c r="L395" s="34">
        <v>0</v>
      </c>
      <c r="M395" s="34">
        <v>2</v>
      </c>
      <c r="N395" s="34">
        <v>8</v>
      </c>
      <c r="O395" s="34">
        <v>10</v>
      </c>
      <c r="P395" s="34">
        <v>5</v>
      </c>
      <c r="Q395" s="34">
        <v>15</v>
      </c>
      <c r="R395" s="34">
        <v>5</v>
      </c>
      <c r="S395" s="34">
        <v>16</v>
      </c>
      <c r="T395" s="34">
        <v>1</v>
      </c>
      <c r="U395" s="34">
        <v>17</v>
      </c>
      <c r="V395" s="34">
        <v>1</v>
      </c>
      <c r="W395" s="34">
        <v>18</v>
      </c>
      <c r="X395" s="34">
        <v>1</v>
      </c>
      <c r="Y395" s="34">
        <v>18</v>
      </c>
      <c r="Z395" s="34">
        <v>0</v>
      </c>
      <c r="AA395" s="34">
        <v>18</v>
      </c>
      <c r="AB395" s="34">
        <v>0</v>
      </c>
      <c r="AC395" s="34">
        <v>5</v>
      </c>
      <c r="AD395" s="34">
        <v>0</v>
      </c>
      <c r="AE395" s="34">
        <v>0</v>
      </c>
      <c r="AG395" s="34">
        <v>3</v>
      </c>
      <c r="AH395" s="34">
        <v>0</v>
      </c>
      <c r="AI395" s="34">
        <v>8</v>
      </c>
    </row>
    <row r="396" spans="1:35" ht="15.75" customHeight="1">
      <c r="A396" s="34">
        <v>398</v>
      </c>
      <c r="B396" s="34" t="s">
        <v>495</v>
      </c>
      <c r="C396" s="34" t="s">
        <v>492</v>
      </c>
      <c r="D396" s="34">
        <v>5</v>
      </c>
      <c r="E396" s="34">
        <v>166</v>
      </c>
      <c r="F396" s="34">
        <v>0</v>
      </c>
      <c r="G396" s="34">
        <v>166</v>
      </c>
      <c r="H396" s="34">
        <v>8</v>
      </c>
      <c r="I396" s="34">
        <v>174</v>
      </c>
      <c r="J396" s="34">
        <v>12</v>
      </c>
      <c r="K396" s="34">
        <v>186</v>
      </c>
      <c r="L396" s="34">
        <v>14</v>
      </c>
      <c r="M396" s="34">
        <v>200</v>
      </c>
      <c r="N396" s="34">
        <v>8</v>
      </c>
      <c r="O396" s="34">
        <v>208</v>
      </c>
      <c r="P396" s="34">
        <v>8</v>
      </c>
      <c r="Q396" s="34">
        <v>216</v>
      </c>
      <c r="R396" s="34">
        <v>8</v>
      </c>
      <c r="S396" s="34">
        <v>221</v>
      </c>
      <c r="T396" s="34">
        <v>5</v>
      </c>
      <c r="U396" s="34">
        <v>228</v>
      </c>
      <c r="V396" s="34">
        <v>7</v>
      </c>
      <c r="W396" s="34">
        <v>234</v>
      </c>
      <c r="X396" s="34">
        <v>6</v>
      </c>
      <c r="Y396" s="34">
        <v>241</v>
      </c>
      <c r="Z396" s="34">
        <v>7</v>
      </c>
      <c r="AA396" s="34">
        <v>248</v>
      </c>
      <c r="AB396" s="34">
        <v>7</v>
      </c>
      <c r="AC396" s="34">
        <v>7</v>
      </c>
      <c r="AD396" s="34">
        <v>0</v>
      </c>
      <c r="AE396" s="34">
        <v>0</v>
      </c>
      <c r="AG396" s="34">
        <v>3</v>
      </c>
      <c r="AH396" s="34">
        <v>20</v>
      </c>
      <c r="AI396" s="34">
        <v>30</v>
      </c>
    </row>
    <row r="397" spans="1:35" ht="15.75" customHeight="1">
      <c r="A397" s="34">
        <v>399</v>
      </c>
      <c r="B397" s="34" t="s">
        <v>497</v>
      </c>
      <c r="C397" s="34" t="s">
        <v>492</v>
      </c>
      <c r="D397" s="34">
        <v>6</v>
      </c>
      <c r="E397" s="34">
        <v>1125</v>
      </c>
      <c r="F397" s="34">
        <v>17</v>
      </c>
      <c r="G397" s="34">
        <v>1142</v>
      </c>
      <c r="H397" s="34">
        <v>15</v>
      </c>
      <c r="I397" s="34">
        <v>1157</v>
      </c>
      <c r="J397" s="34">
        <v>3</v>
      </c>
      <c r="K397" s="34">
        <v>1160</v>
      </c>
      <c r="L397" s="34">
        <v>2</v>
      </c>
      <c r="M397" s="34">
        <v>1162</v>
      </c>
      <c r="N397" s="34">
        <v>2</v>
      </c>
      <c r="O397" s="34">
        <v>1164</v>
      </c>
      <c r="P397" s="34">
        <v>2</v>
      </c>
      <c r="Q397" s="34">
        <v>1166</v>
      </c>
      <c r="R397" s="34">
        <v>2</v>
      </c>
      <c r="S397" s="34">
        <v>1168</v>
      </c>
      <c r="T397" s="34">
        <v>2</v>
      </c>
      <c r="U397" s="34">
        <v>1172</v>
      </c>
      <c r="V397" s="34">
        <v>4</v>
      </c>
      <c r="W397" s="34">
        <v>1174</v>
      </c>
      <c r="X397" s="34">
        <v>2</v>
      </c>
      <c r="Y397" s="34">
        <v>1176</v>
      </c>
      <c r="Z397" s="34">
        <v>2</v>
      </c>
      <c r="AA397" s="34">
        <v>1177</v>
      </c>
      <c r="AB397" s="34">
        <v>1</v>
      </c>
      <c r="AC397" s="34">
        <v>5</v>
      </c>
      <c r="AD397" s="34">
        <v>0</v>
      </c>
      <c r="AE397" s="34">
        <v>0</v>
      </c>
      <c r="AG397" s="34">
        <v>3</v>
      </c>
      <c r="AH397" s="34">
        <v>0</v>
      </c>
      <c r="AI397" s="34">
        <v>8</v>
      </c>
    </row>
    <row r="398" spans="1:35" ht="15.75" customHeight="1">
      <c r="A398" s="34">
        <v>400</v>
      </c>
      <c r="B398" s="34" t="s">
        <v>499</v>
      </c>
      <c r="C398" s="34" t="s">
        <v>492</v>
      </c>
      <c r="D398" s="34">
        <v>8</v>
      </c>
      <c r="E398" s="34">
        <v>798</v>
      </c>
      <c r="F398" s="34">
        <v>20</v>
      </c>
      <c r="G398" s="34">
        <v>818</v>
      </c>
      <c r="H398" s="34">
        <v>18</v>
      </c>
      <c r="I398" s="34">
        <v>836</v>
      </c>
      <c r="J398" s="34">
        <v>15</v>
      </c>
      <c r="K398" s="34">
        <v>851</v>
      </c>
      <c r="L398" s="34">
        <v>15</v>
      </c>
      <c r="M398" s="34">
        <v>866</v>
      </c>
      <c r="N398" s="34">
        <v>13</v>
      </c>
      <c r="O398" s="34">
        <v>879</v>
      </c>
      <c r="P398" s="34">
        <v>16</v>
      </c>
      <c r="Q398" s="34">
        <v>895</v>
      </c>
      <c r="R398" s="34">
        <v>16</v>
      </c>
      <c r="S398" s="34">
        <v>909</v>
      </c>
      <c r="T398" s="34">
        <v>14</v>
      </c>
      <c r="U398" s="34">
        <v>922</v>
      </c>
      <c r="V398" s="34">
        <v>13</v>
      </c>
      <c r="W398" s="34">
        <v>936</v>
      </c>
      <c r="X398" s="34">
        <v>14</v>
      </c>
      <c r="Y398" s="34">
        <v>949</v>
      </c>
      <c r="Z398" s="34">
        <v>13</v>
      </c>
      <c r="AA398" s="34">
        <v>963</v>
      </c>
      <c r="AB398" s="34">
        <v>14</v>
      </c>
      <c r="AC398" s="34">
        <v>14</v>
      </c>
      <c r="AD398" s="34">
        <v>16</v>
      </c>
      <c r="AE398" s="34">
        <v>0</v>
      </c>
      <c r="AG398" s="34">
        <v>3</v>
      </c>
      <c r="AH398" s="34">
        <v>0</v>
      </c>
      <c r="AI398" s="34">
        <v>33</v>
      </c>
    </row>
    <row r="399" spans="1:35" ht="15.75" customHeight="1">
      <c r="A399" s="34">
        <v>401</v>
      </c>
      <c r="B399" s="34" t="s">
        <v>500</v>
      </c>
      <c r="C399" s="34" t="s">
        <v>492</v>
      </c>
      <c r="D399" s="34">
        <v>9</v>
      </c>
      <c r="E399" s="34">
        <v>729</v>
      </c>
      <c r="F399" s="34">
        <v>14</v>
      </c>
      <c r="G399" s="34">
        <v>743</v>
      </c>
      <c r="H399" s="34">
        <v>15</v>
      </c>
      <c r="I399" s="34">
        <v>758</v>
      </c>
      <c r="J399" s="34">
        <v>12</v>
      </c>
      <c r="K399" s="34">
        <v>770</v>
      </c>
      <c r="L399" s="34">
        <v>19</v>
      </c>
      <c r="M399" s="34">
        <v>789</v>
      </c>
      <c r="N399" s="34">
        <v>4</v>
      </c>
      <c r="O399" s="34">
        <v>793</v>
      </c>
      <c r="P399" s="34">
        <v>9</v>
      </c>
      <c r="Q399" s="34">
        <v>802</v>
      </c>
      <c r="R399" s="34">
        <v>9</v>
      </c>
      <c r="S399" s="34">
        <v>808</v>
      </c>
      <c r="T399" s="34">
        <v>6</v>
      </c>
      <c r="U399" s="34">
        <v>817</v>
      </c>
      <c r="V399" s="34">
        <v>9</v>
      </c>
      <c r="W399" s="34">
        <v>823</v>
      </c>
      <c r="X399" s="34">
        <v>6</v>
      </c>
      <c r="Y399" s="34">
        <v>830</v>
      </c>
      <c r="Z399" s="34">
        <v>7</v>
      </c>
      <c r="AA399" s="34">
        <v>839</v>
      </c>
      <c r="AB399" s="34">
        <v>9</v>
      </c>
      <c r="AC399" s="34">
        <v>9</v>
      </c>
      <c r="AD399" s="34">
        <v>0</v>
      </c>
      <c r="AE399" s="34">
        <v>0</v>
      </c>
      <c r="AG399" s="34">
        <v>3</v>
      </c>
      <c r="AH399" s="34">
        <v>20</v>
      </c>
      <c r="AI399" s="34">
        <v>32</v>
      </c>
    </row>
    <row r="400" spans="1:35" ht="15.75" customHeight="1">
      <c r="A400" s="34">
        <v>402</v>
      </c>
      <c r="B400" s="34" t="s">
        <v>501</v>
      </c>
      <c r="C400" s="34" t="s">
        <v>502</v>
      </c>
      <c r="D400" s="34">
        <v>2</v>
      </c>
      <c r="E400" s="34">
        <v>1272</v>
      </c>
      <c r="F400" s="34">
        <v>13</v>
      </c>
      <c r="G400" s="34">
        <v>1285</v>
      </c>
      <c r="H400" s="34">
        <v>13</v>
      </c>
      <c r="I400" s="34">
        <v>1298</v>
      </c>
      <c r="J400" s="34">
        <v>13</v>
      </c>
      <c r="K400" s="34">
        <v>1311</v>
      </c>
      <c r="L400" s="34">
        <v>9</v>
      </c>
      <c r="M400" s="34">
        <v>1320</v>
      </c>
      <c r="N400" s="34">
        <v>10</v>
      </c>
      <c r="O400" s="34">
        <v>1330</v>
      </c>
      <c r="P400" s="34">
        <v>10</v>
      </c>
      <c r="Q400" s="34">
        <v>1340</v>
      </c>
      <c r="R400" s="34">
        <v>10</v>
      </c>
      <c r="S400" s="34">
        <v>1347</v>
      </c>
      <c r="T400" s="34">
        <v>7</v>
      </c>
      <c r="U400" s="34">
        <v>1355</v>
      </c>
      <c r="V400" s="34">
        <v>8</v>
      </c>
      <c r="W400" s="34">
        <v>1363</v>
      </c>
      <c r="X400" s="34">
        <v>8</v>
      </c>
      <c r="Y400" s="34">
        <v>1371</v>
      </c>
      <c r="Z400" s="34">
        <v>8</v>
      </c>
      <c r="AA400" s="34">
        <v>1380</v>
      </c>
      <c r="AB400" s="34">
        <v>9</v>
      </c>
      <c r="AC400" s="34">
        <v>9</v>
      </c>
      <c r="AD400" s="34">
        <v>0</v>
      </c>
      <c r="AE400" s="34">
        <v>0</v>
      </c>
      <c r="AG400" s="34">
        <v>3</v>
      </c>
      <c r="AH400" s="34">
        <v>20</v>
      </c>
      <c r="AI400" s="34">
        <v>32</v>
      </c>
    </row>
    <row r="401" spans="1:35" ht="15.75" customHeight="1">
      <c r="A401" s="34">
        <v>403</v>
      </c>
      <c r="B401" s="34" t="s">
        <v>503</v>
      </c>
      <c r="C401" s="34" t="s">
        <v>502</v>
      </c>
      <c r="D401" s="34">
        <v>3</v>
      </c>
      <c r="E401" s="34">
        <v>236</v>
      </c>
      <c r="F401" s="34">
        <v>9</v>
      </c>
      <c r="G401" s="34">
        <v>245</v>
      </c>
      <c r="H401" s="34">
        <v>9</v>
      </c>
      <c r="I401" s="34">
        <v>254</v>
      </c>
      <c r="J401" s="34">
        <v>10</v>
      </c>
      <c r="K401" s="34">
        <v>264</v>
      </c>
      <c r="L401" s="34">
        <v>8</v>
      </c>
      <c r="M401" s="34">
        <v>272</v>
      </c>
      <c r="N401" s="34">
        <v>10</v>
      </c>
      <c r="O401" s="34">
        <v>282</v>
      </c>
      <c r="P401" s="34">
        <v>8</v>
      </c>
      <c r="Q401" s="34">
        <v>290</v>
      </c>
      <c r="R401" s="34">
        <v>8</v>
      </c>
      <c r="S401" s="34">
        <v>299</v>
      </c>
      <c r="T401" s="34">
        <v>9</v>
      </c>
      <c r="U401" s="34">
        <v>308</v>
      </c>
      <c r="V401" s="34">
        <v>9</v>
      </c>
      <c r="W401" s="34">
        <v>320</v>
      </c>
      <c r="X401" s="34">
        <v>12</v>
      </c>
      <c r="Y401" s="34">
        <v>329</v>
      </c>
      <c r="Z401" s="34">
        <v>9</v>
      </c>
      <c r="AA401" s="34">
        <v>338</v>
      </c>
      <c r="AB401" s="34">
        <v>9</v>
      </c>
      <c r="AC401" s="34">
        <v>9</v>
      </c>
      <c r="AD401" s="34">
        <v>0</v>
      </c>
      <c r="AE401" s="34">
        <v>0</v>
      </c>
      <c r="AG401" s="34">
        <v>3</v>
      </c>
      <c r="AH401" s="34">
        <v>20</v>
      </c>
      <c r="AI401" s="34">
        <v>32</v>
      </c>
    </row>
    <row r="402" spans="1:35" ht="15.75" customHeight="1">
      <c r="A402" s="34">
        <v>404</v>
      </c>
      <c r="B402" s="34" t="s">
        <v>504</v>
      </c>
      <c r="C402" s="34" t="s">
        <v>502</v>
      </c>
      <c r="D402" s="34">
        <v>4</v>
      </c>
      <c r="E402" s="34">
        <v>1837</v>
      </c>
      <c r="F402" s="34">
        <v>5</v>
      </c>
      <c r="G402" s="34">
        <v>1842</v>
      </c>
      <c r="H402" s="34">
        <v>5</v>
      </c>
      <c r="I402" s="34">
        <v>1847</v>
      </c>
      <c r="J402" s="34">
        <v>6</v>
      </c>
      <c r="K402" s="34">
        <v>1853</v>
      </c>
      <c r="L402" s="34">
        <v>6</v>
      </c>
      <c r="M402" s="34">
        <v>1859</v>
      </c>
      <c r="N402" s="34">
        <v>4</v>
      </c>
      <c r="O402" s="34">
        <v>1863</v>
      </c>
      <c r="P402" s="34">
        <v>5</v>
      </c>
      <c r="Q402" s="34">
        <v>1868</v>
      </c>
      <c r="R402" s="34">
        <v>5</v>
      </c>
      <c r="S402" s="34">
        <v>1878</v>
      </c>
      <c r="T402" s="34">
        <v>10</v>
      </c>
      <c r="U402" s="34">
        <v>1883</v>
      </c>
      <c r="V402" s="34">
        <v>5</v>
      </c>
      <c r="W402" s="34">
        <v>1888</v>
      </c>
      <c r="X402" s="34">
        <v>5</v>
      </c>
      <c r="Y402" s="34">
        <v>1892</v>
      </c>
      <c r="Z402" s="34">
        <v>4</v>
      </c>
      <c r="AA402" s="34">
        <v>1897</v>
      </c>
      <c r="AB402" s="34">
        <v>5</v>
      </c>
      <c r="AC402" s="34">
        <v>5</v>
      </c>
      <c r="AD402" s="34">
        <v>0</v>
      </c>
      <c r="AE402" s="34">
        <v>0</v>
      </c>
      <c r="AG402" s="34">
        <v>3</v>
      </c>
      <c r="AH402" s="34">
        <v>20</v>
      </c>
      <c r="AI402" s="34">
        <v>28</v>
      </c>
    </row>
    <row r="403" spans="1:35" ht="15.75" customHeight="1">
      <c r="A403" s="34">
        <v>405</v>
      </c>
      <c r="B403" s="34" t="s">
        <v>505</v>
      </c>
      <c r="C403" s="34" t="s">
        <v>502</v>
      </c>
      <c r="D403" s="34">
        <v>5</v>
      </c>
      <c r="E403" s="34">
        <v>1144</v>
      </c>
      <c r="F403" s="34">
        <v>3</v>
      </c>
      <c r="G403" s="34">
        <v>1147</v>
      </c>
      <c r="H403" s="34">
        <v>4</v>
      </c>
      <c r="I403" s="34">
        <v>1151</v>
      </c>
      <c r="J403" s="34">
        <v>2</v>
      </c>
      <c r="K403" s="34">
        <v>1153</v>
      </c>
      <c r="L403" s="34">
        <v>5</v>
      </c>
      <c r="M403" s="34">
        <v>1158</v>
      </c>
      <c r="N403" s="34">
        <v>4</v>
      </c>
      <c r="O403" s="34">
        <v>1162</v>
      </c>
      <c r="P403" s="34">
        <v>4</v>
      </c>
      <c r="Q403" s="34">
        <v>1166</v>
      </c>
      <c r="R403" s="34">
        <v>4</v>
      </c>
      <c r="S403" s="34">
        <v>1170</v>
      </c>
      <c r="T403" s="34">
        <v>4</v>
      </c>
      <c r="U403" s="34">
        <v>1168</v>
      </c>
      <c r="V403" s="34">
        <v>0</v>
      </c>
      <c r="W403" s="34">
        <v>1170</v>
      </c>
      <c r="X403" s="34">
        <v>2</v>
      </c>
      <c r="Y403" s="34">
        <v>1173</v>
      </c>
      <c r="Z403" s="34">
        <v>3</v>
      </c>
      <c r="AA403" s="34">
        <v>1177</v>
      </c>
      <c r="AB403" s="34">
        <v>4</v>
      </c>
      <c r="AC403" s="34">
        <v>5</v>
      </c>
      <c r="AD403" s="34">
        <v>0</v>
      </c>
      <c r="AE403" s="34">
        <v>0</v>
      </c>
      <c r="AG403" s="34">
        <v>3</v>
      </c>
      <c r="AH403" s="34">
        <v>0</v>
      </c>
      <c r="AI403" s="34">
        <v>8</v>
      </c>
    </row>
    <row r="404" spans="1:35" ht="15.75" customHeight="1">
      <c r="A404" s="34">
        <v>406</v>
      </c>
      <c r="B404" s="34" t="s">
        <v>2755</v>
      </c>
      <c r="C404" s="34" t="s">
        <v>502</v>
      </c>
      <c r="D404" s="34">
        <v>6</v>
      </c>
      <c r="K404" s="34">
        <v>0</v>
      </c>
      <c r="L404" s="34">
        <v>0</v>
      </c>
      <c r="M404" s="34">
        <v>0</v>
      </c>
      <c r="N404" s="34">
        <v>1</v>
      </c>
      <c r="O404" s="34">
        <v>1</v>
      </c>
      <c r="P404" s="34">
        <v>0</v>
      </c>
      <c r="Q404" s="34">
        <v>1</v>
      </c>
      <c r="R404" s="34">
        <v>0</v>
      </c>
      <c r="S404" s="34">
        <v>1</v>
      </c>
      <c r="T404" s="34">
        <v>0</v>
      </c>
      <c r="U404" s="34">
        <v>0</v>
      </c>
      <c r="V404" s="34">
        <v>0</v>
      </c>
      <c r="W404" s="34">
        <v>0</v>
      </c>
      <c r="X404" s="34">
        <v>0</v>
      </c>
      <c r="Y404" s="34">
        <v>0</v>
      </c>
      <c r="Z404" s="34">
        <v>0</v>
      </c>
      <c r="AA404" s="34">
        <v>0</v>
      </c>
      <c r="AB404" s="34">
        <v>0</v>
      </c>
      <c r="AC404" s="34">
        <v>5</v>
      </c>
      <c r="AD404" s="34">
        <v>32</v>
      </c>
      <c r="AE404" s="34">
        <v>40</v>
      </c>
      <c r="AF404" s="34">
        <v>100</v>
      </c>
      <c r="AG404" s="34">
        <v>3</v>
      </c>
      <c r="AH404" s="34">
        <v>40</v>
      </c>
      <c r="AI404" s="34">
        <v>220</v>
      </c>
    </row>
    <row r="405" spans="1:35" ht="15.75" customHeight="1">
      <c r="A405" s="34">
        <v>407</v>
      </c>
      <c r="B405" s="34" t="s">
        <v>507</v>
      </c>
      <c r="C405" s="34" t="s">
        <v>502</v>
      </c>
      <c r="D405" s="34">
        <v>7</v>
      </c>
      <c r="E405" s="34">
        <v>799</v>
      </c>
      <c r="F405" s="34">
        <v>8</v>
      </c>
      <c r="G405" s="34">
        <v>807</v>
      </c>
      <c r="H405" s="34">
        <v>8</v>
      </c>
      <c r="I405" s="34">
        <v>815</v>
      </c>
      <c r="J405" s="34">
        <v>9</v>
      </c>
      <c r="K405" s="34">
        <v>824</v>
      </c>
      <c r="L405" s="34">
        <v>8</v>
      </c>
      <c r="M405" s="34">
        <v>832</v>
      </c>
      <c r="N405" s="34">
        <v>10</v>
      </c>
      <c r="O405" s="34">
        <v>842</v>
      </c>
      <c r="P405" s="34">
        <v>8</v>
      </c>
      <c r="Q405" s="34">
        <v>850</v>
      </c>
      <c r="R405" s="34">
        <v>8</v>
      </c>
      <c r="S405" s="34">
        <v>858</v>
      </c>
      <c r="T405" s="34">
        <v>8</v>
      </c>
      <c r="U405" s="34">
        <v>873</v>
      </c>
      <c r="V405" s="34">
        <v>15</v>
      </c>
      <c r="W405" s="34">
        <v>886</v>
      </c>
      <c r="X405" s="34">
        <v>13</v>
      </c>
      <c r="Y405" s="34">
        <v>894</v>
      </c>
      <c r="Z405" s="34">
        <v>8</v>
      </c>
      <c r="AA405" s="34">
        <v>902</v>
      </c>
      <c r="AB405" s="34">
        <v>8</v>
      </c>
      <c r="AC405" s="34">
        <v>8</v>
      </c>
      <c r="AD405" s="34">
        <v>0</v>
      </c>
      <c r="AE405" s="34">
        <v>0</v>
      </c>
      <c r="AG405" s="34">
        <v>3</v>
      </c>
      <c r="AH405" s="34">
        <v>20</v>
      </c>
      <c r="AI405" s="34">
        <v>31</v>
      </c>
    </row>
    <row r="406" spans="1:35" ht="15.75" customHeight="1">
      <c r="A406" s="34">
        <v>408</v>
      </c>
      <c r="B406" s="34" t="s">
        <v>508</v>
      </c>
      <c r="C406" s="34" t="s">
        <v>502</v>
      </c>
      <c r="D406" s="34">
        <v>8</v>
      </c>
      <c r="E406" s="34">
        <v>151</v>
      </c>
      <c r="F406" s="34">
        <v>12</v>
      </c>
      <c r="G406" s="34">
        <v>163</v>
      </c>
      <c r="H406" s="34">
        <v>11</v>
      </c>
      <c r="I406" s="34">
        <v>174</v>
      </c>
      <c r="J406" s="34">
        <v>8</v>
      </c>
      <c r="K406" s="34">
        <v>182</v>
      </c>
      <c r="L406" s="34">
        <v>11</v>
      </c>
      <c r="M406" s="34">
        <v>193</v>
      </c>
      <c r="N406" s="34">
        <v>8</v>
      </c>
      <c r="O406" s="34">
        <v>201</v>
      </c>
      <c r="P406" s="34">
        <v>9</v>
      </c>
      <c r="Q406" s="34">
        <v>210</v>
      </c>
      <c r="R406" s="34">
        <v>9</v>
      </c>
      <c r="S406" s="34">
        <v>219</v>
      </c>
      <c r="T406" s="34">
        <v>9</v>
      </c>
      <c r="U406" s="34">
        <v>227</v>
      </c>
      <c r="V406" s="34">
        <v>8</v>
      </c>
      <c r="W406" s="34">
        <v>235</v>
      </c>
      <c r="X406" s="34">
        <v>8</v>
      </c>
      <c r="Y406" s="34">
        <v>243</v>
      </c>
      <c r="Z406" s="34">
        <v>8</v>
      </c>
      <c r="AA406" s="34">
        <v>250</v>
      </c>
      <c r="AB406" s="34">
        <v>7</v>
      </c>
      <c r="AC406" s="34">
        <v>7</v>
      </c>
      <c r="AD406" s="34">
        <v>0</v>
      </c>
      <c r="AE406" s="34">
        <v>0</v>
      </c>
      <c r="AG406" s="34">
        <v>3</v>
      </c>
      <c r="AH406" s="34">
        <v>0</v>
      </c>
      <c r="AI406" s="34">
        <v>10</v>
      </c>
    </row>
    <row r="407" spans="1:35" ht="15.75" customHeight="1">
      <c r="A407" s="34">
        <v>409</v>
      </c>
      <c r="B407" s="34" t="s">
        <v>509</v>
      </c>
      <c r="C407" s="34" t="s">
        <v>502</v>
      </c>
      <c r="D407" s="34">
        <v>9</v>
      </c>
      <c r="E407" s="34">
        <v>358</v>
      </c>
      <c r="F407" s="34">
        <v>6</v>
      </c>
      <c r="G407" s="34">
        <v>364</v>
      </c>
      <c r="H407" s="34">
        <v>8</v>
      </c>
      <c r="I407" s="34">
        <v>372</v>
      </c>
      <c r="J407" s="34">
        <v>7</v>
      </c>
      <c r="K407" s="34">
        <v>379</v>
      </c>
      <c r="L407" s="34">
        <v>6</v>
      </c>
      <c r="M407" s="34">
        <v>385</v>
      </c>
      <c r="N407" s="34">
        <v>6</v>
      </c>
      <c r="O407" s="34">
        <v>391</v>
      </c>
      <c r="P407" s="34">
        <v>2</v>
      </c>
      <c r="Q407" s="34">
        <v>393</v>
      </c>
      <c r="R407" s="34">
        <v>2</v>
      </c>
      <c r="S407" s="34">
        <v>393</v>
      </c>
      <c r="T407" s="34">
        <v>0</v>
      </c>
      <c r="U407" s="34">
        <v>400</v>
      </c>
      <c r="V407" s="34">
        <v>7</v>
      </c>
      <c r="W407" s="34">
        <v>403</v>
      </c>
      <c r="X407" s="34">
        <v>3</v>
      </c>
      <c r="Y407" s="34">
        <v>407</v>
      </c>
      <c r="Z407" s="34">
        <v>4</v>
      </c>
      <c r="AA407" s="34">
        <v>411</v>
      </c>
      <c r="AB407" s="34">
        <v>4</v>
      </c>
      <c r="AC407" s="34">
        <v>5</v>
      </c>
      <c r="AD407" s="34">
        <v>8</v>
      </c>
      <c r="AE407" s="34">
        <v>0</v>
      </c>
      <c r="AG407" s="34">
        <v>3</v>
      </c>
      <c r="AH407" s="34">
        <v>0</v>
      </c>
      <c r="AI407" s="34">
        <v>16</v>
      </c>
    </row>
    <row r="408" spans="1:35" ht="15.75" customHeight="1">
      <c r="A408" s="34">
        <v>410</v>
      </c>
      <c r="B408" s="34" t="s">
        <v>510</v>
      </c>
      <c r="C408" s="34" t="s">
        <v>502</v>
      </c>
      <c r="D408" s="34">
        <v>11</v>
      </c>
      <c r="E408" s="34">
        <v>1073</v>
      </c>
      <c r="F408" s="34">
        <v>8</v>
      </c>
      <c r="G408" s="34">
        <v>1081</v>
      </c>
      <c r="H408" s="34">
        <v>11</v>
      </c>
      <c r="I408" s="34">
        <v>1092</v>
      </c>
      <c r="J408" s="34">
        <v>11</v>
      </c>
      <c r="K408" s="34">
        <v>1103</v>
      </c>
      <c r="L408" s="34">
        <v>13</v>
      </c>
      <c r="M408" s="34">
        <v>1116</v>
      </c>
      <c r="N408" s="34">
        <v>10</v>
      </c>
      <c r="O408" s="34">
        <v>1126</v>
      </c>
      <c r="P408" s="34">
        <v>12</v>
      </c>
      <c r="Q408" s="34">
        <v>1138</v>
      </c>
      <c r="R408" s="34">
        <v>12</v>
      </c>
      <c r="S408" s="34">
        <v>1153</v>
      </c>
      <c r="T408" s="34">
        <v>15</v>
      </c>
      <c r="U408" s="34">
        <v>1170</v>
      </c>
      <c r="V408" s="34">
        <v>17</v>
      </c>
      <c r="W408" s="34">
        <v>1184</v>
      </c>
      <c r="X408" s="34">
        <v>14</v>
      </c>
      <c r="Y408" s="34">
        <v>1198</v>
      </c>
      <c r="Z408" s="34">
        <v>14</v>
      </c>
      <c r="AA408" s="34">
        <v>1211</v>
      </c>
      <c r="AB408" s="34">
        <v>13</v>
      </c>
      <c r="AC408" s="34">
        <v>13</v>
      </c>
      <c r="AD408" s="34">
        <v>0</v>
      </c>
      <c r="AE408" s="34">
        <v>0</v>
      </c>
      <c r="AG408" s="34">
        <v>3</v>
      </c>
      <c r="AH408" s="34">
        <v>0</v>
      </c>
      <c r="AI408" s="34">
        <v>16</v>
      </c>
    </row>
    <row r="409" spans="1:35" ht="15.75" customHeight="1">
      <c r="A409" s="34">
        <v>411</v>
      </c>
      <c r="B409" s="34" t="s">
        <v>511</v>
      </c>
      <c r="C409" s="34" t="s">
        <v>502</v>
      </c>
      <c r="D409" s="34">
        <v>12</v>
      </c>
      <c r="E409" s="34">
        <v>56</v>
      </c>
      <c r="F409" s="34">
        <v>1</v>
      </c>
      <c r="G409" s="34">
        <v>57</v>
      </c>
      <c r="H409" s="34">
        <v>2</v>
      </c>
      <c r="I409" s="34">
        <v>59</v>
      </c>
      <c r="J409" s="34">
        <v>1</v>
      </c>
      <c r="K409" s="34">
        <v>60</v>
      </c>
      <c r="L409" s="34">
        <v>0</v>
      </c>
      <c r="M409" s="34">
        <v>60</v>
      </c>
      <c r="N409" s="34">
        <v>0</v>
      </c>
      <c r="O409" s="34">
        <v>60</v>
      </c>
      <c r="P409" s="34">
        <v>1</v>
      </c>
      <c r="Q409" s="34">
        <v>61</v>
      </c>
      <c r="R409" s="34">
        <v>1</v>
      </c>
      <c r="S409" s="34">
        <v>61</v>
      </c>
      <c r="T409" s="34">
        <v>0</v>
      </c>
      <c r="U409" s="34">
        <v>61</v>
      </c>
      <c r="V409" s="34">
        <v>0</v>
      </c>
      <c r="W409" s="34">
        <v>61</v>
      </c>
      <c r="X409" s="34">
        <v>0</v>
      </c>
      <c r="Y409" s="34">
        <v>61</v>
      </c>
      <c r="Z409" s="34">
        <v>0</v>
      </c>
      <c r="AA409" s="34">
        <v>62</v>
      </c>
      <c r="AB409" s="34">
        <v>1</v>
      </c>
      <c r="AC409" s="34">
        <v>5</v>
      </c>
      <c r="AD409" s="34">
        <v>8</v>
      </c>
      <c r="AE409" s="34">
        <v>0</v>
      </c>
      <c r="AG409" s="34">
        <v>3</v>
      </c>
      <c r="AH409" s="34">
        <v>20</v>
      </c>
      <c r="AI409" s="34">
        <v>36</v>
      </c>
    </row>
    <row r="410" spans="1:35" ht="15.75" customHeight="1">
      <c r="A410" s="34">
        <v>412</v>
      </c>
      <c r="B410" s="34" t="s">
        <v>512</v>
      </c>
      <c r="C410" s="34" t="s">
        <v>502</v>
      </c>
      <c r="D410" s="34">
        <v>13</v>
      </c>
      <c r="E410" s="34">
        <v>450</v>
      </c>
      <c r="F410" s="34">
        <v>4</v>
      </c>
      <c r="G410" s="34">
        <v>454</v>
      </c>
      <c r="H410" s="34">
        <v>8</v>
      </c>
      <c r="I410" s="34">
        <v>462</v>
      </c>
      <c r="J410" s="34">
        <v>1</v>
      </c>
      <c r="K410" s="34">
        <v>463</v>
      </c>
      <c r="L410" s="34">
        <v>4</v>
      </c>
      <c r="M410" s="34">
        <v>467</v>
      </c>
      <c r="N410" s="34">
        <v>4</v>
      </c>
      <c r="O410" s="34">
        <v>471</v>
      </c>
      <c r="P410" s="34">
        <v>4</v>
      </c>
      <c r="Q410" s="34">
        <v>475</v>
      </c>
      <c r="R410" s="34">
        <v>4</v>
      </c>
      <c r="S410" s="34">
        <v>480</v>
      </c>
      <c r="T410" s="34">
        <v>5</v>
      </c>
      <c r="U410" s="34">
        <v>488</v>
      </c>
      <c r="V410" s="34">
        <v>8</v>
      </c>
      <c r="W410" s="34">
        <v>495</v>
      </c>
      <c r="X410" s="34">
        <v>7</v>
      </c>
      <c r="Y410" s="34">
        <v>501</v>
      </c>
      <c r="Z410" s="34">
        <v>6</v>
      </c>
      <c r="AA410" s="34">
        <v>507</v>
      </c>
      <c r="AB410" s="34">
        <v>6</v>
      </c>
      <c r="AC410" s="34">
        <v>6</v>
      </c>
      <c r="AD410" s="34">
        <v>0</v>
      </c>
      <c r="AE410" s="34">
        <v>0</v>
      </c>
      <c r="AG410" s="34">
        <v>3</v>
      </c>
      <c r="AH410" s="34">
        <v>0</v>
      </c>
      <c r="AI410" s="34">
        <v>9</v>
      </c>
    </row>
    <row r="411" spans="1:35" ht="15.75" customHeight="1">
      <c r="A411" s="34">
        <v>413</v>
      </c>
      <c r="B411" s="34" t="s">
        <v>513</v>
      </c>
      <c r="C411" s="34" t="s">
        <v>502</v>
      </c>
      <c r="D411" s="34">
        <v>14</v>
      </c>
      <c r="E411" s="34">
        <v>931</v>
      </c>
      <c r="F411" s="34">
        <v>10</v>
      </c>
      <c r="G411" s="34">
        <v>941</v>
      </c>
      <c r="H411" s="34">
        <v>9</v>
      </c>
      <c r="I411" s="34">
        <v>950</v>
      </c>
      <c r="J411" s="34">
        <v>13</v>
      </c>
      <c r="K411" s="34">
        <v>963</v>
      </c>
      <c r="L411" s="34">
        <v>10</v>
      </c>
      <c r="M411" s="34">
        <v>973</v>
      </c>
      <c r="N411" s="34">
        <v>10</v>
      </c>
      <c r="O411" s="34">
        <v>983</v>
      </c>
      <c r="P411" s="34">
        <v>27</v>
      </c>
      <c r="Q411" s="34">
        <v>1010</v>
      </c>
      <c r="R411" s="34">
        <v>27</v>
      </c>
      <c r="S411" s="34">
        <v>1023</v>
      </c>
      <c r="T411" s="34">
        <v>13</v>
      </c>
      <c r="U411" s="34">
        <v>1030</v>
      </c>
      <c r="V411" s="34">
        <v>7</v>
      </c>
      <c r="W411" s="34">
        <v>1039</v>
      </c>
      <c r="X411" s="34">
        <v>9</v>
      </c>
      <c r="Y411" s="34">
        <v>1047</v>
      </c>
      <c r="Z411" s="34">
        <v>8</v>
      </c>
      <c r="AA411" s="34">
        <v>1053</v>
      </c>
      <c r="AB411" s="34">
        <v>6</v>
      </c>
      <c r="AC411" s="34">
        <v>6</v>
      </c>
      <c r="AD411" s="34">
        <v>0</v>
      </c>
      <c r="AE411" s="34">
        <v>0</v>
      </c>
      <c r="AG411" s="34">
        <v>3</v>
      </c>
      <c r="AH411" s="34">
        <v>20</v>
      </c>
      <c r="AI411" s="34">
        <v>29</v>
      </c>
    </row>
    <row r="412" spans="1:35" ht="15.75" customHeight="1">
      <c r="A412" s="34">
        <v>414</v>
      </c>
      <c r="B412" s="34" t="s">
        <v>514</v>
      </c>
      <c r="C412" s="34" t="s">
        <v>502</v>
      </c>
      <c r="D412" s="34">
        <v>15</v>
      </c>
      <c r="E412" s="34">
        <v>1308</v>
      </c>
      <c r="F412" s="34">
        <v>10</v>
      </c>
      <c r="G412" s="34">
        <v>1318</v>
      </c>
      <c r="H412" s="34">
        <v>11</v>
      </c>
      <c r="I412" s="34">
        <v>1329</v>
      </c>
      <c r="J412" s="34">
        <v>7</v>
      </c>
      <c r="K412" s="34">
        <v>1336</v>
      </c>
      <c r="L412" s="34">
        <v>9</v>
      </c>
      <c r="M412" s="34">
        <v>1345</v>
      </c>
      <c r="N412" s="34">
        <v>7</v>
      </c>
      <c r="O412" s="34">
        <v>1352</v>
      </c>
      <c r="P412" s="34">
        <v>6</v>
      </c>
      <c r="Q412" s="34">
        <v>1358</v>
      </c>
      <c r="R412" s="34">
        <v>6</v>
      </c>
      <c r="S412" s="34">
        <v>1362</v>
      </c>
      <c r="T412" s="34">
        <v>4</v>
      </c>
      <c r="U412" s="34">
        <v>1366</v>
      </c>
      <c r="V412" s="34">
        <v>4</v>
      </c>
      <c r="W412" s="34">
        <v>1372</v>
      </c>
      <c r="X412" s="34">
        <v>6</v>
      </c>
      <c r="Y412" s="34">
        <v>1380</v>
      </c>
      <c r="Z412" s="34">
        <v>8</v>
      </c>
      <c r="AA412" s="34">
        <v>1389</v>
      </c>
      <c r="AB412" s="34">
        <v>9</v>
      </c>
      <c r="AC412" s="34">
        <v>9</v>
      </c>
      <c r="AD412" s="34">
        <v>11</v>
      </c>
      <c r="AE412" s="34">
        <v>0</v>
      </c>
      <c r="AG412" s="34">
        <v>3</v>
      </c>
      <c r="AH412" s="34">
        <v>20</v>
      </c>
      <c r="AI412" s="34">
        <v>43</v>
      </c>
    </row>
    <row r="413" spans="1:35" ht="15.75" customHeight="1">
      <c r="A413" s="34">
        <v>415</v>
      </c>
      <c r="B413" s="34" t="s">
        <v>515</v>
      </c>
      <c r="C413" s="34" t="s">
        <v>502</v>
      </c>
      <c r="D413" s="34">
        <v>16</v>
      </c>
      <c r="E413" s="34">
        <v>1730</v>
      </c>
      <c r="F413" s="34">
        <v>16</v>
      </c>
      <c r="G413" s="34">
        <v>1746</v>
      </c>
      <c r="H413" s="34">
        <v>16</v>
      </c>
      <c r="I413" s="34">
        <v>1762</v>
      </c>
      <c r="J413" s="34">
        <v>13</v>
      </c>
      <c r="K413" s="34">
        <v>1775</v>
      </c>
      <c r="L413" s="34">
        <v>12</v>
      </c>
      <c r="M413" s="34">
        <v>1787</v>
      </c>
      <c r="N413" s="34">
        <v>14</v>
      </c>
      <c r="O413" s="34">
        <v>1801</v>
      </c>
      <c r="P413" s="34">
        <v>9</v>
      </c>
      <c r="Q413" s="34">
        <v>1810</v>
      </c>
      <c r="R413" s="34">
        <v>9</v>
      </c>
      <c r="S413" s="34">
        <v>1817</v>
      </c>
      <c r="T413" s="34">
        <v>68</v>
      </c>
      <c r="U413" s="34">
        <v>1825</v>
      </c>
      <c r="V413" s="34">
        <v>8</v>
      </c>
      <c r="W413" s="34">
        <v>1840</v>
      </c>
      <c r="X413" s="34">
        <v>15</v>
      </c>
      <c r="Y413" s="34">
        <v>1858</v>
      </c>
      <c r="Z413" s="34">
        <v>18</v>
      </c>
      <c r="AA413" s="34">
        <v>1876</v>
      </c>
      <c r="AB413" s="34">
        <v>18</v>
      </c>
      <c r="AC413" s="34">
        <v>18</v>
      </c>
      <c r="AD413" s="34">
        <v>0</v>
      </c>
      <c r="AE413" s="34">
        <v>0</v>
      </c>
      <c r="AG413" s="34">
        <v>3</v>
      </c>
      <c r="AH413" s="34">
        <v>0</v>
      </c>
      <c r="AI413" s="34">
        <v>21</v>
      </c>
    </row>
    <row r="414" spans="1:35" ht="15.75" customHeight="1">
      <c r="A414" s="34">
        <v>416</v>
      </c>
      <c r="B414" s="34" t="s">
        <v>516</v>
      </c>
      <c r="C414" s="34" t="s">
        <v>502</v>
      </c>
      <c r="D414" s="34">
        <v>17</v>
      </c>
      <c r="E414" s="34">
        <v>1431</v>
      </c>
      <c r="F414" s="34">
        <v>11</v>
      </c>
      <c r="G414" s="34">
        <v>1442</v>
      </c>
      <c r="H414" s="34">
        <v>10</v>
      </c>
      <c r="I414" s="34">
        <v>1452</v>
      </c>
      <c r="J414" s="34">
        <v>5</v>
      </c>
      <c r="K414" s="34">
        <v>1457</v>
      </c>
      <c r="L414" s="34">
        <v>7</v>
      </c>
      <c r="M414" s="34">
        <v>1464</v>
      </c>
      <c r="N414" s="34">
        <v>7</v>
      </c>
      <c r="O414" s="34">
        <v>1471</v>
      </c>
      <c r="P414" s="34">
        <v>25</v>
      </c>
      <c r="Q414" s="34">
        <v>1496</v>
      </c>
      <c r="R414" s="34">
        <v>25</v>
      </c>
      <c r="S414" s="34">
        <v>1508</v>
      </c>
      <c r="T414" s="34">
        <v>12</v>
      </c>
      <c r="U414" s="34">
        <v>1521</v>
      </c>
      <c r="V414" s="34">
        <v>13</v>
      </c>
      <c r="W414" s="34">
        <v>1537</v>
      </c>
      <c r="X414" s="34">
        <v>16</v>
      </c>
      <c r="Y414" s="34">
        <v>1553</v>
      </c>
      <c r="Z414" s="34">
        <v>16</v>
      </c>
      <c r="AA414" s="34">
        <v>1569</v>
      </c>
      <c r="AB414" s="34">
        <v>16</v>
      </c>
      <c r="AC414" s="34">
        <v>16</v>
      </c>
      <c r="AD414" s="34">
        <v>0</v>
      </c>
      <c r="AE414" s="34">
        <v>0</v>
      </c>
      <c r="AG414" s="34">
        <v>3</v>
      </c>
      <c r="AH414" s="34">
        <v>0</v>
      </c>
      <c r="AI414" s="34">
        <v>19</v>
      </c>
    </row>
    <row r="415" spans="1:35" ht="15.75" customHeight="1">
      <c r="A415" s="34">
        <v>417</v>
      </c>
      <c r="B415" s="34" t="s">
        <v>517</v>
      </c>
      <c r="C415" s="34" t="s">
        <v>502</v>
      </c>
      <c r="D415" s="34">
        <v>18</v>
      </c>
      <c r="W415" s="34">
        <v>0</v>
      </c>
      <c r="X415" s="34">
        <v>0</v>
      </c>
      <c r="Y415" s="34">
        <v>4</v>
      </c>
      <c r="Z415" s="34">
        <v>4</v>
      </c>
      <c r="AA415" s="34">
        <v>9</v>
      </c>
      <c r="AB415" s="34">
        <v>5</v>
      </c>
      <c r="AC415" s="34">
        <v>5</v>
      </c>
      <c r="AD415" s="34">
        <v>0</v>
      </c>
      <c r="AE415" s="34">
        <v>0</v>
      </c>
      <c r="AG415" s="34">
        <v>3</v>
      </c>
      <c r="AH415" s="34">
        <v>0</v>
      </c>
      <c r="AI415" s="34">
        <v>8</v>
      </c>
    </row>
    <row r="416" spans="1:35" ht="15.75" customHeight="1">
      <c r="A416" s="34">
        <v>418</v>
      </c>
      <c r="B416" s="34" t="s">
        <v>518</v>
      </c>
      <c r="C416" s="34" t="s">
        <v>519</v>
      </c>
      <c r="D416" s="34">
        <v>1</v>
      </c>
      <c r="E416" s="34">
        <v>414</v>
      </c>
      <c r="F416" s="34">
        <v>4</v>
      </c>
      <c r="G416" s="34">
        <v>418</v>
      </c>
      <c r="H416" s="34">
        <v>4</v>
      </c>
      <c r="I416" s="34">
        <v>422</v>
      </c>
      <c r="J416" s="34">
        <v>5</v>
      </c>
      <c r="K416" s="34">
        <v>427</v>
      </c>
      <c r="L416" s="34">
        <v>4</v>
      </c>
      <c r="M416" s="34">
        <v>431</v>
      </c>
      <c r="N416" s="34">
        <v>5</v>
      </c>
      <c r="O416" s="34">
        <v>436</v>
      </c>
      <c r="P416" s="34">
        <v>3</v>
      </c>
      <c r="Q416" s="34">
        <v>439</v>
      </c>
      <c r="R416" s="34">
        <v>3</v>
      </c>
      <c r="S416" s="34">
        <v>442</v>
      </c>
      <c r="T416" s="34">
        <v>3</v>
      </c>
      <c r="U416" s="34">
        <v>444</v>
      </c>
      <c r="V416" s="34">
        <v>2</v>
      </c>
      <c r="W416" s="34">
        <v>448</v>
      </c>
      <c r="X416" s="34">
        <v>4</v>
      </c>
      <c r="Y416" s="34">
        <v>449</v>
      </c>
      <c r="Z416" s="34">
        <v>1</v>
      </c>
      <c r="AA416" s="34">
        <v>451</v>
      </c>
      <c r="AB416" s="34">
        <v>2</v>
      </c>
      <c r="AC416" s="34">
        <v>5</v>
      </c>
      <c r="AD416" s="34">
        <v>0</v>
      </c>
      <c r="AE416" s="34">
        <v>0</v>
      </c>
      <c r="AG416" s="34">
        <v>3</v>
      </c>
      <c r="AH416" s="34">
        <v>0</v>
      </c>
      <c r="AI416" s="34">
        <v>8</v>
      </c>
    </row>
    <row r="417" spans="1:35" ht="15.75" customHeight="1">
      <c r="A417" s="34">
        <v>419</v>
      </c>
      <c r="B417" s="34" t="s">
        <v>520</v>
      </c>
      <c r="C417" s="34" t="s">
        <v>519</v>
      </c>
      <c r="D417" s="34">
        <v>2</v>
      </c>
      <c r="E417" s="34">
        <v>689</v>
      </c>
      <c r="F417" s="34">
        <v>7</v>
      </c>
      <c r="G417" s="34">
        <v>696</v>
      </c>
      <c r="H417" s="34">
        <v>7</v>
      </c>
      <c r="I417" s="34">
        <v>703</v>
      </c>
      <c r="J417" s="34">
        <v>8</v>
      </c>
      <c r="K417" s="34">
        <v>711</v>
      </c>
      <c r="L417" s="34">
        <v>18</v>
      </c>
      <c r="M417" s="34">
        <v>729</v>
      </c>
      <c r="N417" s="34">
        <v>8</v>
      </c>
      <c r="O417" s="34">
        <v>737</v>
      </c>
      <c r="P417" s="34">
        <v>5</v>
      </c>
      <c r="Q417" s="34">
        <v>742</v>
      </c>
      <c r="R417" s="34">
        <v>5</v>
      </c>
      <c r="S417" s="34">
        <v>750</v>
      </c>
      <c r="T417" s="34">
        <v>8</v>
      </c>
      <c r="U417" s="34">
        <v>762</v>
      </c>
      <c r="V417" s="34">
        <v>12</v>
      </c>
      <c r="W417" s="34">
        <v>770</v>
      </c>
      <c r="X417" s="34">
        <v>8</v>
      </c>
      <c r="Y417" s="34">
        <v>779</v>
      </c>
      <c r="Z417" s="34">
        <v>9</v>
      </c>
      <c r="AA417" s="34">
        <v>783</v>
      </c>
      <c r="AB417" s="34">
        <v>4</v>
      </c>
      <c r="AC417" s="34">
        <v>5</v>
      </c>
      <c r="AD417" s="34">
        <v>0</v>
      </c>
      <c r="AE417" s="34">
        <v>0</v>
      </c>
      <c r="AG417" s="34">
        <v>3</v>
      </c>
      <c r="AH417" s="34">
        <v>20</v>
      </c>
      <c r="AI417" s="34">
        <v>28</v>
      </c>
    </row>
    <row r="418" spans="1:35" ht="15.75" customHeight="1">
      <c r="A418" s="34">
        <v>420</v>
      </c>
      <c r="B418" s="34" t="s">
        <v>521</v>
      </c>
      <c r="C418" s="34" t="s">
        <v>519</v>
      </c>
      <c r="D418" s="34">
        <v>3</v>
      </c>
      <c r="E418" s="34">
        <v>6059</v>
      </c>
      <c r="F418" s="34">
        <v>50</v>
      </c>
      <c r="G418" s="34">
        <v>6109</v>
      </c>
      <c r="H418" s="34">
        <v>61</v>
      </c>
      <c r="I418" s="34">
        <v>6170</v>
      </c>
      <c r="J418" s="34">
        <v>60</v>
      </c>
      <c r="K418" s="34">
        <v>6230</v>
      </c>
      <c r="L418" s="34">
        <v>49</v>
      </c>
      <c r="M418" s="34">
        <v>6279</v>
      </c>
      <c r="N418" s="34">
        <v>44</v>
      </c>
      <c r="O418" s="34">
        <v>6323</v>
      </c>
      <c r="P418" s="34">
        <v>53</v>
      </c>
      <c r="Q418" s="34">
        <v>6376</v>
      </c>
      <c r="R418" s="34">
        <v>53</v>
      </c>
      <c r="S418" s="34">
        <v>6433</v>
      </c>
      <c r="T418" s="34">
        <v>57</v>
      </c>
      <c r="U418" s="34">
        <v>6488</v>
      </c>
      <c r="V418" s="34">
        <v>55</v>
      </c>
      <c r="W418" s="34">
        <v>6540</v>
      </c>
      <c r="X418" s="34">
        <v>52</v>
      </c>
      <c r="Y418" s="34">
        <v>6604</v>
      </c>
      <c r="Z418" s="34">
        <v>64</v>
      </c>
      <c r="AA418" s="34">
        <v>6684</v>
      </c>
      <c r="AB418" s="34">
        <v>80</v>
      </c>
      <c r="AC418" s="34">
        <v>160</v>
      </c>
      <c r="AD418" s="34">
        <v>0</v>
      </c>
      <c r="AE418" s="34">
        <v>0</v>
      </c>
      <c r="AG418" s="34">
        <v>3</v>
      </c>
      <c r="AH418" s="34">
        <v>0</v>
      </c>
      <c r="AI418" s="34">
        <v>163</v>
      </c>
    </row>
    <row r="419" spans="1:35" ht="15.75" customHeight="1">
      <c r="A419" s="34">
        <v>421</v>
      </c>
      <c r="B419" s="34" t="s">
        <v>522</v>
      </c>
      <c r="C419" s="34" t="s">
        <v>519</v>
      </c>
      <c r="D419" s="34">
        <v>4</v>
      </c>
      <c r="K419" s="34">
        <v>0</v>
      </c>
      <c r="L419" s="34">
        <v>11</v>
      </c>
      <c r="M419" s="34">
        <v>11</v>
      </c>
      <c r="N419" s="34">
        <v>6</v>
      </c>
      <c r="O419" s="34">
        <v>17</v>
      </c>
      <c r="P419" s="34">
        <v>9</v>
      </c>
      <c r="Q419" s="34">
        <v>26</v>
      </c>
      <c r="R419" s="34">
        <v>9</v>
      </c>
      <c r="S419" s="34">
        <v>32</v>
      </c>
      <c r="T419" s="34">
        <v>6</v>
      </c>
      <c r="U419" s="34">
        <v>41</v>
      </c>
      <c r="V419" s="34">
        <v>9</v>
      </c>
      <c r="W419" s="34">
        <v>50</v>
      </c>
      <c r="X419" s="34">
        <v>9</v>
      </c>
      <c r="Y419" s="34">
        <v>59</v>
      </c>
      <c r="Z419" s="34">
        <v>9</v>
      </c>
      <c r="AA419" s="34">
        <v>67</v>
      </c>
      <c r="AB419" s="34">
        <v>8</v>
      </c>
      <c r="AC419" s="34">
        <v>8</v>
      </c>
      <c r="AD419" s="34">
        <v>0</v>
      </c>
      <c r="AE419" s="34">
        <v>0</v>
      </c>
      <c r="AG419" s="34">
        <v>3</v>
      </c>
      <c r="AH419" s="34">
        <v>20</v>
      </c>
      <c r="AI419" s="34">
        <v>31</v>
      </c>
    </row>
    <row r="420" spans="1:35" ht="15.75" customHeight="1">
      <c r="A420" s="34">
        <v>422</v>
      </c>
      <c r="B420" s="34" t="s">
        <v>523</v>
      </c>
      <c r="C420" s="34" t="s">
        <v>519</v>
      </c>
      <c r="D420" s="34">
        <v>5</v>
      </c>
      <c r="E420" s="34">
        <v>918</v>
      </c>
      <c r="F420" s="34">
        <v>6</v>
      </c>
      <c r="G420" s="34">
        <v>924</v>
      </c>
      <c r="H420" s="34">
        <v>6</v>
      </c>
      <c r="I420" s="34">
        <v>930</v>
      </c>
      <c r="J420" s="34">
        <v>6</v>
      </c>
      <c r="K420" s="34">
        <v>936</v>
      </c>
      <c r="L420" s="34">
        <v>5</v>
      </c>
      <c r="M420" s="34">
        <v>941</v>
      </c>
      <c r="N420" s="34">
        <v>6</v>
      </c>
      <c r="O420" s="34">
        <v>947</v>
      </c>
      <c r="P420" s="34">
        <v>4</v>
      </c>
      <c r="Q420" s="34">
        <v>951</v>
      </c>
      <c r="R420" s="34">
        <v>4</v>
      </c>
      <c r="S420" s="34">
        <v>956</v>
      </c>
      <c r="T420" s="34">
        <v>5</v>
      </c>
      <c r="U420" s="34">
        <v>963</v>
      </c>
      <c r="V420" s="34">
        <v>7</v>
      </c>
      <c r="W420" s="34">
        <v>968</v>
      </c>
      <c r="X420" s="34">
        <v>5</v>
      </c>
      <c r="Y420" s="34">
        <v>974</v>
      </c>
      <c r="Z420" s="34">
        <v>6</v>
      </c>
      <c r="AA420" s="34">
        <v>979</v>
      </c>
      <c r="AB420" s="34">
        <v>5</v>
      </c>
      <c r="AC420" s="34">
        <v>5</v>
      </c>
      <c r="AD420" s="34">
        <v>0</v>
      </c>
      <c r="AE420" s="34">
        <v>0</v>
      </c>
      <c r="AG420" s="34">
        <v>3</v>
      </c>
      <c r="AH420" s="34">
        <v>20</v>
      </c>
      <c r="AI420" s="34">
        <v>28</v>
      </c>
    </row>
    <row r="421" spans="1:35" ht="15.75" customHeight="1">
      <c r="A421" s="34">
        <v>423</v>
      </c>
      <c r="B421" s="34" t="s">
        <v>524</v>
      </c>
      <c r="C421" s="34" t="s">
        <v>519</v>
      </c>
      <c r="D421" s="34">
        <v>6</v>
      </c>
      <c r="E421" s="34">
        <v>980</v>
      </c>
      <c r="F421" s="34">
        <v>10</v>
      </c>
      <c r="G421" s="34">
        <v>990</v>
      </c>
      <c r="H421" s="34">
        <v>9</v>
      </c>
      <c r="I421" s="34">
        <v>999</v>
      </c>
      <c r="J421" s="34">
        <v>8</v>
      </c>
      <c r="K421" s="34">
        <v>1007</v>
      </c>
      <c r="L421" s="34">
        <v>7</v>
      </c>
      <c r="M421" s="34">
        <v>1014</v>
      </c>
      <c r="N421" s="34">
        <v>4</v>
      </c>
      <c r="O421" s="34">
        <v>1018</v>
      </c>
      <c r="P421" s="34">
        <v>8</v>
      </c>
      <c r="Q421" s="34">
        <v>1026</v>
      </c>
      <c r="R421" s="34">
        <v>8</v>
      </c>
      <c r="S421" s="34">
        <v>1036</v>
      </c>
      <c r="T421" s="34">
        <v>10</v>
      </c>
      <c r="U421" s="34">
        <v>1045</v>
      </c>
      <c r="V421" s="34">
        <v>9</v>
      </c>
      <c r="W421" s="34">
        <v>1054</v>
      </c>
      <c r="X421" s="34">
        <v>9</v>
      </c>
      <c r="Y421" s="34">
        <v>1063</v>
      </c>
      <c r="Z421" s="34">
        <v>9</v>
      </c>
      <c r="AA421" s="34">
        <v>1071</v>
      </c>
      <c r="AB421" s="34">
        <v>8</v>
      </c>
      <c r="AC421" s="34">
        <v>8</v>
      </c>
      <c r="AD421" s="34">
        <v>0</v>
      </c>
      <c r="AE421" s="34">
        <v>0</v>
      </c>
      <c r="AG421" s="34">
        <v>3</v>
      </c>
      <c r="AH421" s="34">
        <v>0</v>
      </c>
      <c r="AI421" s="34">
        <v>11</v>
      </c>
    </row>
    <row r="422" spans="1:35" ht="15.75" customHeight="1">
      <c r="A422" s="34">
        <v>424</v>
      </c>
      <c r="B422" s="34" t="s">
        <v>525</v>
      </c>
      <c r="C422" s="34" t="s">
        <v>519</v>
      </c>
      <c r="D422" s="34">
        <v>7</v>
      </c>
      <c r="E422" s="34">
        <v>98</v>
      </c>
      <c r="F422" s="34">
        <v>4</v>
      </c>
      <c r="G422" s="34">
        <v>102</v>
      </c>
      <c r="H422" s="34">
        <v>5</v>
      </c>
      <c r="I422" s="34">
        <v>107</v>
      </c>
      <c r="J422" s="34">
        <v>4</v>
      </c>
      <c r="K422" s="34">
        <v>111</v>
      </c>
      <c r="L422" s="34">
        <v>6</v>
      </c>
      <c r="M422" s="34">
        <v>117</v>
      </c>
      <c r="N422" s="34">
        <v>5</v>
      </c>
      <c r="O422" s="34">
        <v>122</v>
      </c>
      <c r="P422" s="34">
        <v>5</v>
      </c>
      <c r="Q422" s="34">
        <v>127</v>
      </c>
      <c r="R422" s="34">
        <v>5</v>
      </c>
      <c r="S422" s="34">
        <v>134</v>
      </c>
      <c r="T422" s="34">
        <v>7</v>
      </c>
      <c r="U422" s="34">
        <v>138</v>
      </c>
      <c r="V422" s="34">
        <v>4</v>
      </c>
      <c r="W422" s="34">
        <v>143</v>
      </c>
      <c r="X422" s="34">
        <v>5</v>
      </c>
      <c r="Y422" s="34">
        <v>149</v>
      </c>
      <c r="Z422" s="34">
        <v>6</v>
      </c>
      <c r="AA422" s="34">
        <v>155</v>
      </c>
      <c r="AB422" s="34">
        <v>6</v>
      </c>
      <c r="AC422" s="34">
        <v>6</v>
      </c>
      <c r="AD422" s="34">
        <v>0</v>
      </c>
      <c r="AE422" s="34">
        <v>0</v>
      </c>
      <c r="AG422" s="34">
        <v>3</v>
      </c>
      <c r="AH422" s="34">
        <v>0</v>
      </c>
      <c r="AI422" s="34">
        <v>9</v>
      </c>
    </row>
    <row r="423" spans="1:35" ht="15.75" customHeight="1">
      <c r="A423" s="34">
        <v>425</v>
      </c>
      <c r="B423" s="34" t="s">
        <v>526</v>
      </c>
      <c r="C423" s="34" t="s">
        <v>519</v>
      </c>
      <c r="D423" s="34">
        <v>8</v>
      </c>
      <c r="E423" s="34">
        <v>262</v>
      </c>
      <c r="F423" s="34">
        <v>5</v>
      </c>
      <c r="G423" s="34">
        <v>267</v>
      </c>
      <c r="H423" s="34">
        <v>10</v>
      </c>
      <c r="I423" s="34">
        <v>277</v>
      </c>
      <c r="J423" s="34">
        <v>8</v>
      </c>
      <c r="K423" s="34">
        <v>285</v>
      </c>
      <c r="L423" s="34">
        <v>10</v>
      </c>
      <c r="M423" s="34">
        <v>295</v>
      </c>
      <c r="N423" s="34">
        <v>5</v>
      </c>
      <c r="O423" s="34">
        <v>300</v>
      </c>
      <c r="P423" s="34">
        <v>8</v>
      </c>
      <c r="Q423" s="34">
        <v>308</v>
      </c>
      <c r="R423" s="34">
        <v>8</v>
      </c>
      <c r="S423" s="34">
        <v>314</v>
      </c>
      <c r="T423" s="34">
        <v>6</v>
      </c>
      <c r="U423" s="34">
        <v>321</v>
      </c>
      <c r="V423" s="34">
        <v>7</v>
      </c>
      <c r="W423" s="34">
        <v>326</v>
      </c>
      <c r="X423" s="34">
        <v>5</v>
      </c>
      <c r="Y423" s="34">
        <v>338</v>
      </c>
      <c r="Z423" s="34">
        <v>12</v>
      </c>
      <c r="AA423" s="34">
        <v>346</v>
      </c>
      <c r="AB423" s="34">
        <v>8</v>
      </c>
      <c r="AC423" s="34">
        <v>8</v>
      </c>
      <c r="AD423" s="34">
        <v>0</v>
      </c>
      <c r="AE423" s="34">
        <v>0</v>
      </c>
      <c r="AG423" s="34">
        <v>3</v>
      </c>
      <c r="AH423" s="34">
        <v>40</v>
      </c>
      <c r="AI423" s="34">
        <v>51</v>
      </c>
    </row>
    <row r="424" spans="1:35" ht="15.75" customHeight="1">
      <c r="A424" s="34">
        <v>426</v>
      </c>
      <c r="B424" s="34" t="s">
        <v>528</v>
      </c>
      <c r="C424" s="34" t="s">
        <v>519</v>
      </c>
      <c r="D424" s="34">
        <v>11</v>
      </c>
      <c r="E424" s="34">
        <v>1936</v>
      </c>
      <c r="F424" s="34">
        <v>3</v>
      </c>
      <c r="G424" s="34">
        <v>1939</v>
      </c>
      <c r="H424" s="34">
        <v>-2</v>
      </c>
      <c r="I424" s="34">
        <v>1937</v>
      </c>
      <c r="J424" s="34">
        <v>1</v>
      </c>
      <c r="K424" s="34">
        <v>1938</v>
      </c>
      <c r="L424" s="34">
        <v>4</v>
      </c>
      <c r="M424" s="34">
        <v>1942</v>
      </c>
      <c r="N424" s="34">
        <v>4</v>
      </c>
      <c r="O424" s="34">
        <v>1946</v>
      </c>
      <c r="P424" s="34">
        <v>2</v>
      </c>
      <c r="Q424" s="34">
        <v>1948</v>
      </c>
      <c r="R424" s="34">
        <v>2</v>
      </c>
      <c r="S424" s="34">
        <v>1952</v>
      </c>
      <c r="T424" s="34">
        <v>4</v>
      </c>
      <c r="U424" s="34">
        <v>1955</v>
      </c>
      <c r="V424" s="34">
        <v>3</v>
      </c>
      <c r="W424" s="34">
        <v>1958</v>
      </c>
      <c r="X424" s="34">
        <v>3</v>
      </c>
      <c r="Y424" s="34">
        <v>1960</v>
      </c>
      <c r="Z424" s="34">
        <v>2</v>
      </c>
      <c r="AA424" s="34">
        <v>1963</v>
      </c>
      <c r="AB424" s="34">
        <v>3</v>
      </c>
      <c r="AC424" s="34">
        <v>5</v>
      </c>
      <c r="AD424" s="34">
        <v>0</v>
      </c>
      <c r="AE424" s="34">
        <v>0</v>
      </c>
      <c r="AG424" s="34">
        <v>3</v>
      </c>
      <c r="AH424" s="34">
        <v>0</v>
      </c>
      <c r="AI424" s="34">
        <v>8</v>
      </c>
    </row>
    <row r="425" spans="1:35" ht="15.75" customHeight="1">
      <c r="A425" s="34">
        <v>427</v>
      </c>
      <c r="B425" s="34" t="s">
        <v>530</v>
      </c>
      <c r="C425" s="34" t="s">
        <v>519</v>
      </c>
      <c r="D425" s="34">
        <v>13</v>
      </c>
      <c r="Y425" s="34">
        <v>5</v>
      </c>
      <c r="Z425" s="34">
        <v>0</v>
      </c>
      <c r="AA425" s="34">
        <v>39</v>
      </c>
      <c r="AB425" s="34">
        <v>34</v>
      </c>
      <c r="AC425" s="34">
        <v>34</v>
      </c>
      <c r="AD425" s="34">
        <v>0</v>
      </c>
      <c r="AE425" s="34">
        <v>0</v>
      </c>
      <c r="AG425" s="34">
        <v>3</v>
      </c>
      <c r="AH425" s="34">
        <v>0</v>
      </c>
      <c r="AI425" s="34">
        <v>37</v>
      </c>
    </row>
    <row r="426" spans="1:35" ht="15.75" customHeight="1">
      <c r="A426" s="34">
        <v>428</v>
      </c>
      <c r="B426" s="34" t="s">
        <v>531</v>
      </c>
      <c r="C426" s="34" t="s">
        <v>532</v>
      </c>
      <c r="D426" s="34">
        <v>3</v>
      </c>
      <c r="E426" s="34">
        <v>1452</v>
      </c>
      <c r="F426" s="34">
        <v>15</v>
      </c>
      <c r="G426" s="34">
        <v>1467</v>
      </c>
      <c r="H426" s="34">
        <v>15</v>
      </c>
      <c r="I426" s="34">
        <v>1482</v>
      </c>
      <c r="J426" s="34">
        <v>13</v>
      </c>
      <c r="K426" s="34">
        <v>1495</v>
      </c>
      <c r="L426" s="34">
        <v>13</v>
      </c>
      <c r="M426" s="34">
        <v>1508</v>
      </c>
      <c r="N426" s="34">
        <v>13</v>
      </c>
      <c r="O426" s="34">
        <v>1521</v>
      </c>
      <c r="P426" s="34">
        <v>7</v>
      </c>
      <c r="Q426" s="34">
        <v>1528</v>
      </c>
      <c r="R426" s="34">
        <v>7</v>
      </c>
      <c r="S426" s="34">
        <v>1534</v>
      </c>
      <c r="T426" s="34">
        <v>6</v>
      </c>
      <c r="U426" s="34">
        <v>1539</v>
      </c>
      <c r="V426" s="34">
        <v>5</v>
      </c>
      <c r="W426" s="34">
        <v>1549</v>
      </c>
      <c r="X426" s="34">
        <v>10</v>
      </c>
      <c r="Y426" s="34">
        <v>1558</v>
      </c>
      <c r="Z426" s="34">
        <v>9</v>
      </c>
      <c r="AA426" s="34">
        <v>1568</v>
      </c>
      <c r="AB426" s="34">
        <v>10</v>
      </c>
      <c r="AC426" s="34">
        <v>10</v>
      </c>
      <c r="AD426" s="34">
        <v>0</v>
      </c>
      <c r="AE426" s="34">
        <v>0</v>
      </c>
      <c r="AG426" s="34">
        <v>3</v>
      </c>
      <c r="AH426" s="34">
        <v>0</v>
      </c>
      <c r="AI426" s="34">
        <v>13</v>
      </c>
    </row>
    <row r="427" spans="1:35" ht="15.75" customHeight="1">
      <c r="A427" s="34">
        <v>429</v>
      </c>
      <c r="B427" s="34" t="s">
        <v>534</v>
      </c>
      <c r="C427" s="34" t="s">
        <v>532</v>
      </c>
      <c r="D427" s="34">
        <v>4</v>
      </c>
      <c r="E427" s="34">
        <v>1198</v>
      </c>
      <c r="F427" s="34">
        <v>18</v>
      </c>
      <c r="G427" s="34">
        <v>1216</v>
      </c>
      <c r="H427" s="34">
        <v>19</v>
      </c>
      <c r="I427" s="34">
        <v>1235</v>
      </c>
      <c r="J427" s="34">
        <v>13</v>
      </c>
      <c r="K427" s="34">
        <v>1248</v>
      </c>
      <c r="L427" s="34">
        <v>13</v>
      </c>
      <c r="M427" s="34">
        <v>1261</v>
      </c>
      <c r="N427" s="34">
        <v>14</v>
      </c>
      <c r="O427" s="34">
        <v>1275</v>
      </c>
      <c r="P427" s="34">
        <v>12</v>
      </c>
      <c r="Q427" s="34">
        <v>1287</v>
      </c>
      <c r="R427" s="34">
        <v>12</v>
      </c>
      <c r="S427" s="34">
        <v>1296</v>
      </c>
      <c r="T427" s="34">
        <v>9</v>
      </c>
      <c r="U427" s="34">
        <v>1300</v>
      </c>
      <c r="V427" s="34">
        <v>4</v>
      </c>
      <c r="W427" s="34">
        <v>1322</v>
      </c>
      <c r="X427" s="34">
        <v>22</v>
      </c>
      <c r="Y427" s="34">
        <v>1332</v>
      </c>
      <c r="Z427" s="34">
        <v>10</v>
      </c>
      <c r="AA427" s="34">
        <v>1344</v>
      </c>
      <c r="AB427" s="34">
        <v>12</v>
      </c>
      <c r="AC427" s="34">
        <v>12</v>
      </c>
      <c r="AD427" s="34">
        <v>0</v>
      </c>
      <c r="AE427" s="34">
        <v>0</v>
      </c>
      <c r="AG427" s="34">
        <v>3</v>
      </c>
      <c r="AH427" s="34">
        <v>0</v>
      </c>
      <c r="AI427" s="34">
        <v>15</v>
      </c>
    </row>
    <row r="428" spans="1:35" ht="15.75" customHeight="1">
      <c r="A428" s="34">
        <v>430</v>
      </c>
      <c r="B428" s="34" t="s">
        <v>535</v>
      </c>
      <c r="C428" s="34" t="s">
        <v>532</v>
      </c>
      <c r="D428" s="34">
        <v>5</v>
      </c>
      <c r="E428" s="34">
        <v>1314</v>
      </c>
      <c r="F428" s="34">
        <v>12</v>
      </c>
      <c r="G428" s="34">
        <v>1326</v>
      </c>
      <c r="H428" s="34">
        <v>11</v>
      </c>
      <c r="I428" s="34">
        <v>1337</v>
      </c>
      <c r="J428" s="34">
        <v>10</v>
      </c>
      <c r="K428" s="34">
        <v>1347</v>
      </c>
      <c r="L428" s="34">
        <v>10</v>
      </c>
      <c r="M428" s="34">
        <v>1357</v>
      </c>
      <c r="N428" s="34">
        <v>9</v>
      </c>
      <c r="O428" s="34">
        <v>1366</v>
      </c>
      <c r="P428" s="34">
        <v>8</v>
      </c>
      <c r="Q428" s="34">
        <v>1374</v>
      </c>
      <c r="R428" s="34">
        <v>8</v>
      </c>
      <c r="S428" s="34">
        <v>1381</v>
      </c>
      <c r="T428" s="34">
        <v>7</v>
      </c>
      <c r="U428" s="34">
        <v>1385</v>
      </c>
      <c r="V428" s="34">
        <v>4</v>
      </c>
      <c r="W428" s="34">
        <v>1396</v>
      </c>
      <c r="X428" s="34">
        <v>11</v>
      </c>
      <c r="Y428" s="34">
        <v>1404</v>
      </c>
      <c r="Z428" s="34">
        <v>8</v>
      </c>
      <c r="AA428" s="34">
        <v>1412</v>
      </c>
      <c r="AB428" s="34">
        <v>8</v>
      </c>
      <c r="AC428" s="34">
        <v>8</v>
      </c>
      <c r="AD428" s="34">
        <v>0</v>
      </c>
      <c r="AE428" s="34">
        <v>0</v>
      </c>
      <c r="AG428" s="34">
        <v>3</v>
      </c>
      <c r="AH428" s="34">
        <v>20</v>
      </c>
      <c r="AI428" s="34">
        <v>31</v>
      </c>
    </row>
    <row r="429" spans="1:35" ht="15.75" customHeight="1">
      <c r="A429" s="34">
        <v>431</v>
      </c>
      <c r="B429" s="34" t="s">
        <v>537</v>
      </c>
      <c r="C429" s="34" t="s">
        <v>532</v>
      </c>
      <c r="D429" s="34">
        <v>6</v>
      </c>
      <c r="E429" s="34">
        <v>857</v>
      </c>
      <c r="F429" s="34">
        <v>10</v>
      </c>
      <c r="G429" s="34">
        <v>867</v>
      </c>
      <c r="H429" s="34">
        <v>10</v>
      </c>
      <c r="I429" s="34">
        <v>877</v>
      </c>
      <c r="J429" s="34">
        <v>7</v>
      </c>
      <c r="K429" s="34">
        <v>884</v>
      </c>
      <c r="L429" s="34">
        <v>10</v>
      </c>
      <c r="M429" s="34">
        <v>894</v>
      </c>
      <c r="N429" s="34">
        <v>9</v>
      </c>
      <c r="O429" s="34">
        <v>903</v>
      </c>
      <c r="P429" s="34">
        <v>10</v>
      </c>
      <c r="Q429" s="34">
        <v>913</v>
      </c>
      <c r="R429" s="34">
        <v>10</v>
      </c>
      <c r="S429" s="34">
        <v>921</v>
      </c>
      <c r="T429" s="34">
        <v>8</v>
      </c>
      <c r="U429" s="34">
        <v>929</v>
      </c>
      <c r="V429" s="34">
        <v>8</v>
      </c>
      <c r="W429" s="34">
        <v>937</v>
      </c>
      <c r="X429" s="34">
        <v>8</v>
      </c>
      <c r="Y429" s="34">
        <v>947</v>
      </c>
      <c r="Z429" s="34">
        <v>10</v>
      </c>
      <c r="AA429" s="34">
        <v>956</v>
      </c>
      <c r="AB429" s="34">
        <v>9</v>
      </c>
      <c r="AC429" s="34">
        <v>9</v>
      </c>
      <c r="AD429" s="34">
        <v>13</v>
      </c>
      <c r="AE429" s="34">
        <v>0</v>
      </c>
      <c r="AG429" s="34">
        <v>3</v>
      </c>
      <c r="AH429" s="34">
        <v>20</v>
      </c>
      <c r="AI429" s="34">
        <v>45</v>
      </c>
    </row>
    <row r="430" spans="1:35" ht="15.75" customHeight="1">
      <c r="A430" s="34">
        <v>432</v>
      </c>
      <c r="B430" s="34" t="s">
        <v>538</v>
      </c>
      <c r="C430" s="34" t="s">
        <v>532</v>
      </c>
      <c r="D430" s="34">
        <v>8</v>
      </c>
      <c r="E430" s="34">
        <v>1334</v>
      </c>
      <c r="F430" s="34">
        <v>26</v>
      </c>
      <c r="G430" s="34">
        <v>1360</v>
      </c>
      <c r="H430" s="34">
        <v>28</v>
      </c>
      <c r="I430" s="34">
        <v>1388</v>
      </c>
      <c r="J430" s="34">
        <v>16</v>
      </c>
      <c r="K430" s="34">
        <v>1404</v>
      </c>
      <c r="L430" s="34">
        <v>13</v>
      </c>
      <c r="M430" s="34">
        <v>1417</v>
      </c>
      <c r="N430" s="34">
        <v>16</v>
      </c>
      <c r="O430" s="34">
        <v>1433</v>
      </c>
      <c r="P430" s="34">
        <v>15</v>
      </c>
      <c r="Q430" s="34">
        <v>1448</v>
      </c>
      <c r="R430" s="34">
        <v>15</v>
      </c>
      <c r="S430" s="34">
        <v>1458</v>
      </c>
      <c r="T430" s="34">
        <v>10</v>
      </c>
      <c r="U430" s="34">
        <v>1470</v>
      </c>
      <c r="V430" s="34">
        <v>12</v>
      </c>
      <c r="W430" s="34">
        <v>1482</v>
      </c>
      <c r="X430" s="34">
        <v>12</v>
      </c>
      <c r="Y430" s="34">
        <v>1495</v>
      </c>
      <c r="Z430" s="34">
        <v>13</v>
      </c>
      <c r="AA430" s="34">
        <v>1508</v>
      </c>
      <c r="AB430" s="34">
        <v>13</v>
      </c>
      <c r="AC430" s="34">
        <v>13</v>
      </c>
      <c r="AD430" s="34">
        <v>16</v>
      </c>
      <c r="AE430" s="34">
        <v>0</v>
      </c>
      <c r="AG430" s="34">
        <v>3</v>
      </c>
      <c r="AH430" s="34">
        <v>20</v>
      </c>
      <c r="AI430" s="34">
        <v>52</v>
      </c>
    </row>
    <row r="431" spans="1:35" ht="15.75" customHeight="1">
      <c r="A431" s="34">
        <v>433</v>
      </c>
      <c r="B431" s="34" t="s">
        <v>539</v>
      </c>
      <c r="C431" s="34" t="s">
        <v>532</v>
      </c>
      <c r="D431" s="34">
        <v>9</v>
      </c>
      <c r="E431" s="34">
        <v>1334</v>
      </c>
      <c r="F431" s="34">
        <v>13</v>
      </c>
      <c r="G431" s="34">
        <v>1347</v>
      </c>
      <c r="H431" s="34">
        <v>14</v>
      </c>
      <c r="I431" s="34">
        <v>1361</v>
      </c>
      <c r="J431" s="34">
        <v>12</v>
      </c>
      <c r="K431" s="34">
        <v>1373</v>
      </c>
      <c r="L431" s="34">
        <v>14</v>
      </c>
      <c r="M431" s="34">
        <v>1387</v>
      </c>
      <c r="N431" s="34">
        <v>13</v>
      </c>
      <c r="O431" s="34">
        <v>1400</v>
      </c>
      <c r="P431" s="34">
        <v>15</v>
      </c>
      <c r="Q431" s="34">
        <v>1415</v>
      </c>
      <c r="R431" s="34">
        <v>15</v>
      </c>
      <c r="S431" s="34">
        <v>1429</v>
      </c>
      <c r="T431" s="34">
        <v>14</v>
      </c>
      <c r="U431" s="34">
        <v>1437</v>
      </c>
      <c r="V431" s="34">
        <v>8</v>
      </c>
      <c r="W431" s="34">
        <v>1447</v>
      </c>
      <c r="X431" s="34">
        <v>10</v>
      </c>
      <c r="Y431" s="34">
        <v>1454</v>
      </c>
      <c r="Z431" s="34">
        <v>7</v>
      </c>
      <c r="AA431" s="34">
        <v>1467</v>
      </c>
      <c r="AB431" s="34">
        <v>13</v>
      </c>
      <c r="AC431" s="34">
        <v>13</v>
      </c>
      <c r="AD431" s="34">
        <v>0</v>
      </c>
      <c r="AE431" s="34">
        <v>0</v>
      </c>
      <c r="AG431" s="34">
        <v>3</v>
      </c>
      <c r="AH431" s="34">
        <v>0</v>
      </c>
      <c r="AI431" s="34">
        <v>16</v>
      </c>
    </row>
    <row r="432" spans="1:35" ht="15.75" customHeight="1">
      <c r="A432" s="34">
        <v>434</v>
      </c>
      <c r="B432" s="34" t="s">
        <v>540</v>
      </c>
      <c r="C432" s="34" t="s">
        <v>532</v>
      </c>
      <c r="D432" s="34">
        <v>10</v>
      </c>
      <c r="E432" s="34">
        <v>1245</v>
      </c>
      <c r="F432" s="34">
        <v>9</v>
      </c>
      <c r="G432" s="34">
        <v>1254</v>
      </c>
      <c r="H432" s="34">
        <v>110</v>
      </c>
      <c r="I432" s="34">
        <v>1364</v>
      </c>
      <c r="J432" s="34">
        <v>10</v>
      </c>
      <c r="K432" s="34">
        <v>1374</v>
      </c>
      <c r="L432" s="34">
        <v>10</v>
      </c>
      <c r="M432" s="34">
        <v>1384</v>
      </c>
      <c r="N432" s="34">
        <v>7</v>
      </c>
      <c r="O432" s="34">
        <v>1391</v>
      </c>
      <c r="P432" s="34">
        <v>7</v>
      </c>
      <c r="Q432" s="34">
        <v>1398</v>
      </c>
      <c r="R432" s="34">
        <v>7</v>
      </c>
      <c r="S432" s="34">
        <v>1406</v>
      </c>
      <c r="T432" s="34">
        <v>8</v>
      </c>
      <c r="U432" s="34">
        <v>1412</v>
      </c>
      <c r="V432" s="34">
        <v>6</v>
      </c>
      <c r="W432" s="34">
        <v>1418</v>
      </c>
      <c r="X432" s="34">
        <v>6</v>
      </c>
      <c r="Y432" s="34">
        <v>1429</v>
      </c>
      <c r="Z432" s="34">
        <v>11</v>
      </c>
      <c r="AA432" s="34">
        <v>1438</v>
      </c>
      <c r="AB432" s="34">
        <v>9</v>
      </c>
      <c r="AC432" s="34">
        <v>9</v>
      </c>
      <c r="AD432" s="34">
        <v>0</v>
      </c>
      <c r="AE432" s="34">
        <v>0</v>
      </c>
      <c r="AG432" s="34">
        <v>3</v>
      </c>
      <c r="AH432" s="34">
        <v>0</v>
      </c>
      <c r="AI432" s="34">
        <v>12</v>
      </c>
    </row>
    <row r="433" spans="1:35" ht="15.75" customHeight="1">
      <c r="A433" s="34">
        <v>435</v>
      </c>
      <c r="B433" s="34" t="s">
        <v>541</v>
      </c>
      <c r="C433" s="34" t="s">
        <v>532</v>
      </c>
      <c r="D433" s="34">
        <v>11</v>
      </c>
      <c r="E433" s="34">
        <v>438</v>
      </c>
      <c r="F433" s="34">
        <v>6</v>
      </c>
      <c r="G433" s="34">
        <v>444</v>
      </c>
      <c r="H433" s="34">
        <v>19</v>
      </c>
      <c r="I433" s="34">
        <v>463</v>
      </c>
      <c r="J433" s="34">
        <v>16</v>
      </c>
      <c r="K433" s="34">
        <v>479</v>
      </c>
      <c r="L433" s="34">
        <v>12</v>
      </c>
      <c r="M433" s="34">
        <v>491</v>
      </c>
      <c r="N433" s="34">
        <v>11</v>
      </c>
      <c r="O433" s="34">
        <v>502</v>
      </c>
      <c r="P433" s="34">
        <v>7</v>
      </c>
      <c r="Q433" s="34">
        <v>509</v>
      </c>
      <c r="R433" s="34">
        <v>7</v>
      </c>
      <c r="S433" s="34">
        <v>517</v>
      </c>
      <c r="T433" s="34">
        <v>8</v>
      </c>
      <c r="U433" s="34">
        <v>523</v>
      </c>
      <c r="V433" s="34">
        <v>6</v>
      </c>
      <c r="W433" s="34">
        <v>530</v>
      </c>
      <c r="X433" s="34">
        <v>7</v>
      </c>
      <c r="Y433" s="34">
        <v>541</v>
      </c>
      <c r="Z433" s="34">
        <v>11</v>
      </c>
      <c r="AA433" s="34">
        <v>549</v>
      </c>
      <c r="AB433" s="34">
        <v>8</v>
      </c>
      <c r="AC433" s="34">
        <v>8</v>
      </c>
      <c r="AD433" s="34">
        <v>14</v>
      </c>
      <c r="AE433" s="34">
        <v>0</v>
      </c>
      <c r="AG433" s="34">
        <v>3</v>
      </c>
      <c r="AH433" s="34">
        <v>0</v>
      </c>
      <c r="AI433" s="34">
        <v>25</v>
      </c>
    </row>
    <row r="434" spans="1:35" ht="15.75" customHeight="1">
      <c r="A434" s="34">
        <v>436</v>
      </c>
      <c r="B434" s="34" t="s">
        <v>457</v>
      </c>
      <c r="C434" s="34" t="s">
        <v>532</v>
      </c>
      <c r="D434" s="34">
        <v>12</v>
      </c>
      <c r="E434" s="34">
        <v>2265</v>
      </c>
      <c r="F434" s="34">
        <v>2</v>
      </c>
      <c r="G434" s="34">
        <v>2267</v>
      </c>
      <c r="H434" s="34">
        <v>5</v>
      </c>
      <c r="I434" s="34">
        <v>2272</v>
      </c>
      <c r="J434" s="34">
        <v>1</v>
      </c>
      <c r="K434" s="34">
        <v>0</v>
      </c>
      <c r="L434" s="34">
        <v>2</v>
      </c>
      <c r="M434" s="34">
        <v>2</v>
      </c>
      <c r="N434" s="34">
        <v>4</v>
      </c>
      <c r="O434" s="34">
        <v>6</v>
      </c>
      <c r="P434" s="34">
        <v>5</v>
      </c>
      <c r="Q434" s="34">
        <v>11</v>
      </c>
      <c r="R434" s="34">
        <v>5</v>
      </c>
      <c r="S434" s="34">
        <v>13</v>
      </c>
      <c r="T434" s="34">
        <v>2</v>
      </c>
      <c r="U434" s="34">
        <v>18</v>
      </c>
      <c r="V434" s="34">
        <v>5</v>
      </c>
      <c r="W434" s="34">
        <v>23</v>
      </c>
      <c r="X434" s="34">
        <v>5</v>
      </c>
      <c r="Y434" s="34">
        <v>46</v>
      </c>
      <c r="Z434" s="34">
        <v>23</v>
      </c>
      <c r="AA434" s="34">
        <v>50</v>
      </c>
      <c r="AB434" s="34">
        <v>4</v>
      </c>
      <c r="AC434" s="34">
        <v>5</v>
      </c>
      <c r="AD434" s="34">
        <v>0</v>
      </c>
      <c r="AE434" s="34">
        <v>0</v>
      </c>
      <c r="AG434" s="34">
        <v>3</v>
      </c>
      <c r="AH434" s="34">
        <v>0</v>
      </c>
      <c r="AI434" s="34">
        <v>8</v>
      </c>
    </row>
    <row r="435" spans="1:35" ht="15.75" customHeight="1">
      <c r="A435" s="34">
        <v>437</v>
      </c>
      <c r="B435" s="34" t="s">
        <v>542</v>
      </c>
      <c r="C435" s="34" t="s">
        <v>532</v>
      </c>
      <c r="D435" s="34">
        <v>13</v>
      </c>
      <c r="E435" s="34">
        <v>2421</v>
      </c>
      <c r="F435" s="34">
        <v>12</v>
      </c>
      <c r="G435" s="34">
        <v>2433</v>
      </c>
      <c r="H435" s="34">
        <v>32</v>
      </c>
      <c r="I435" s="34">
        <v>2465</v>
      </c>
      <c r="J435" s="34">
        <v>34</v>
      </c>
      <c r="K435" s="34">
        <v>2499</v>
      </c>
      <c r="L435" s="34">
        <v>15</v>
      </c>
      <c r="M435" s="34">
        <v>2514</v>
      </c>
      <c r="N435" s="34">
        <v>-2</v>
      </c>
      <c r="O435" s="34">
        <v>2512</v>
      </c>
      <c r="P435" s="34">
        <v>4</v>
      </c>
      <c r="Q435" s="34">
        <v>2516</v>
      </c>
      <c r="R435" s="34">
        <v>4</v>
      </c>
      <c r="S435" s="34">
        <v>2518</v>
      </c>
      <c r="T435" s="34">
        <v>2</v>
      </c>
      <c r="U435" s="34">
        <v>2529</v>
      </c>
      <c r="V435" s="34">
        <v>11</v>
      </c>
      <c r="W435" s="34">
        <v>2537</v>
      </c>
      <c r="X435" s="34">
        <v>8</v>
      </c>
      <c r="Y435" s="34">
        <v>2537</v>
      </c>
      <c r="Z435" s="34">
        <v>0</v>
      </c>
      <c r="AA435" s="34">
        <v>2538</v>
      </c>
      <c r="AB435" s="34">
        <v>1</v>
      </c>
      <c r="AC435" s="34">
        <v>5</v>
      </c>
      <c r="AD435" s="34">
        <v>0</v>
      </c>
      <c r="AE435" s="34">
        <v>0</v>
      </c>
      <c r="AG435" s="34">
        <v>3</v>
      </c>
      <c r="AH435" s="34">
        <v>0</v>
      </c>
      <c r="AI435" s="34">
        <v>8</v>
      </c>
    </row>
    <row r="436" spans="1:35" ht="15.75" customHeight="1">
      <c r="A436" s="34">
        <v>438</v>
      </c>
      <c r="B436" s="34" t="s">
        <v>543</v>
      </c>
      <c r="C436" s="34" t="s">
        <v>532</v>
      </c>
      <c r="D436" s="34">
        <v>14</v>
      </c>
      <c r="E436" s="34">
        <v>110</v>
      </c>
      <c r="F436" s="34">
        <v>0</v>
      </c>
      <c r="G436" s="34">
        <v>110</v>
      </c>
      <c r="H436" s="34">
        <v>0</v>
      </c>
      <c r="I436" s="34">
        <v>110</v>
      </c>
      <c r="J436" s="34">
        <v>0</v>
      </c>
      <c r="K436" s="34">
        <v>110</v>
      </c>
      <c r="L436" s="34">
        <v>0</v>
      </c>
      <c r="M436" s="34">
        <v>110</v>
      </c>
      <c r="N436" s="34">
        <v>0</v>
      </c>
      <c r="O436" s="34">
        <v>110</v>
      </c>
      <c r="P436" s="34">
        <v>0</v>
      </c>
      <c r="Q436" s="34">
        <v>110</v>
      </c>
      <c r="R436" s="34">
        <v>0</v>
      </c>
      <c r="S436" s="34">
        <v>110</v>
      </c>
      <c r="T436" s="34">
        <v>0</v>
      </c>
      <c r="U436" s="34">
        <v>110</v>
      </c>
      <c r="V436" s="34">
        <v>0</v>
      </c>
      <c r="W436" s="34">
        <v>110</v>
      </c>
      <c r="X436" s="34">
        <v>0</v>
      </c>
      <c r="Y436" s="34">
        <v>110</v>
      </c>
      <c r="Z436" s="34">
        <v>0</v>
      </c>
      <c r="AA436" s="34">
        <v>110</v>
      </c>
      <c r="AB436" s="34">
        <v>0</v>
      </c>
      <c r="AC436" s="34">
        <v>5</v>
      </c>
      <c r="AD436" s="34">
        <v>0</v>
      </c>
      <c r="AE436" s="34">
        <v>0</v>
      </c>
      <c r="AG436" s="34">
        <v>3</v>
      </c>
      <c r="AH436" s="34">
        <v>0</v>
      </c>
      <c r="AI436" s="34">
        <v>8</v>
      </c>
    </row>
    <row r="437" spans="1:35" ht="15.75" customHeight="1">
      <c r="A437" s="34">
        <v>439</v>
      </c>
      <c r="B437" s="34" t="s">
        <v>546</v>
      </c>
      <c r="C437" s="34" t="s">
        <v>545</v>
      </c>
      <c r="D437" s="34">
        <v>2</v>
      </c>
      <c r="R437" s="34">
        <v>0</v>
      </c>
      <c r="S437" s="34">
        <v>0</v>
      </c>
      <c r="T437" s="34">
        <v>0</v>
      </c>
      <c r="U437" s="34">
        <v>0</v>
      </c>
      <c r="V437" s="34">
        <v>0</v>
      </c>
      <c r="W437" s="34">
        <v>0</v>
      </c>
      <c r="X437" s="34">
        <v>0</v>
      </c>
      <c r="Y437" s="34">
        <v>0</v>
      </c>
      <c r="Z437" s="34">
        <v>0</v>
      </c>
      <c r="AA437" s="34">
        <v>0</v>
      </c>
      <c r="AB437" s="34">
        <v>0</v>
      </c>
      <c r="AC437" s="34">
        <v>5</v>
      </c>
      <c r="AD437" s="34">
        <v>0</v>
      </c>
      <c r="AE437" s="34">
        <v>0</v>
      </c>
      <c r="AG437" s="34">
        <v>3</v>
      </c>
      <c r="AH437" s="34">
        <v>20</v>
      </c>
      <c r="AI437" s="34">
        <v>28</v>
      </c>
    </row>
    <row r="438" spans="1:35" ht="15.75" customHeight="1">
      <c r="A438" s="34">
        <v>440</v>
      </c>
      <c r="B438" s="34" t="s">
        <v>547</v>
      </c>
      <c r="C438" s="34" t="s">
        <v>545</v>
      </c>
      <c r="D438" s="34">
        <v>3</v>
      </c>
      <c r="E438" s="34">
        <v>312</v>
      </c>
      <c r="F438" s="34">
        <v>6</v>
      </c>
      <c r="G438" s="34">
        <v>318</v>
      </c>
      <c r="H438" s="34">
        <v>6</v>
      </c>
      <c r="I438" s="34">
        <v>324</v>
      </c>
      <c r="J438" s="34">
        <v>6</v>
      </c>
      <c r="K438" s="34">
        <v>330</v>
      </c>
      <c r="L438" s="34">
        <v>11</v>
      </c>
      <c r="M438" s="34">
        <v>341</v>
      </c>
      <c r="N438" s="34">
        <v>4</v>
      </c>
      <c r="O438" s="34">
        <v>345</v>
      </c>
      <c r="P438" s="34">
        <v>3</v>
      </c>
      <c r="Q438" s="34">
        <v>348</v>
      </c>
      <c r="R438" s="34">
        <v>3</v>
      </c>
      <c r="S438" s="34">
        <v>351</v>
      </c>
      <c r="T438" s="34">
        <v>3</v>
      </c>
      <c r="U438" s="34">
        <v>354</v>
      </c>
      <c r="V438" s="34">
        <v>3</v>
      </c>
      <c r="W438" s="34">
        <v>356</v>
      </c>
      <c r="X438" s="34">
        <v>2</v>
      </c>
      <c r="Y438" s="34">
        <v>362</v>
      </c>
      <c r="Z438" s="34">
        <v>6</v>
      </c>
      <c r="AA438" s="34">
        <v>366</v>
      </c>
      <c r="AB438" s="34">
        <v>4</v>
      </c>
      <c r="AC438" s="34">
        <v>5</v>
      </c>
      <c r="AD438" s="34">
        <v>0</v>
      </c>
      <c r="AE438" s="34">
        <v>0</v>
      </c>
      <c r="AG438" s="34">
        <v>3</v>
      </c>
      <c r="AH438" s="34">
        <v>0</v>
      </c>
      <c r="AI438" s="34">
        <v>8</v>
      </c>
    </row>
    <row r="439" spans="1:35" ht="15.75" customHeight="1">
      <c r="A439" s="34">
        <v>441</v>
      </c>
      <c r="B439" s="34" t="s">
        <v>548</v>
      </c>
      <c r="C439" s="34" t="s">
        <v>545</v>
      </c>
      <c r="D439" s="34">
        <v>4</v>
      </c>
      <c r="E439" s="34">
        <v>297</v>
      </c>
      <c r="F439" s="34">
        <v>1</v>
      </c>
      <c r="G439" s="34">
        <v>298</v>
      </c>
      <c r="H439" s="34">
        <v>2</v>
      </c>
      <c r="I439" s="34">
        <v>300</v>
      </c>
      <c r="J439" s="34">
        <v>24</v>
      </c>
      <c r="K439" s="34">
        <v>324</v>
      </c>
      <c r="L439" s="34">
        <v>1</v>
      </c>
      <c r="M439" s="34">
        <v>325</v>
      </c>
      <c r="N439" s="34">
        <v>3</v>
      </c>
      <c r="O439" s="34">
        <v>328</v>
      </c>
      <c r="P439" s="34">
        <v>1</v>
      </c>
      <c r="Q439" s="34">
        <v>329</v>
      </c>
      <c r="R439" s="34">
        <v>1</v>
      </c>
      <c r="S439" s="34">
        <v>379</v>
      </c>
      <c r="T439" s="34">
        <v>50</v>
      </c>
      <c r="U439" s="34">
        <v>380</v>
      </c>
      <c r="V439" s="34">
        <v>1</v>
      </c>
      <c r="W439" s="34">
        <v>382</v>
      </c>
      <c r="X439" s="34">
        <v>2</v>
      </c>
      <c r="Y439" s="34">
        <v>382</v>
      </c>
      <c r="Z439" s="34">
        <v>0</v>
      </c>
      <c r="AA439" s="34">
        <v>384</v>
      </c>
      <c r="AB439" s="34">
        <v>2</v>
      </c>
      <c r="AC439" s="34">
        <v>5</v>
      </c>
      <c r="AD439" s="34">
        <v>0</v>
      </c>
      <c r="AE439" s="34">
        <v>0</v>
      </c>
      <c r="AG439" s="34">
        <v>3</v>
      </c>
      <c r="AH439" s="34">
        <v>20</v>
      </c>
      <c r="AI439" s="34">
        <v>28</v>
      </c>
    </row>
    <row r="440" spans="1:35" ht="15.75" customHeight="1">
      <c r="A440" s="34">
        <v>442</v>
      </c>
      <c r="B440" s="34" t="s">
        <v>549</v>
      </c>
      <c r="C440" s="34" t="s">
        <v>545</v>
      </c>
      <c r="D440" s="34">
        <v>5</v>
      </c>
      <c r="E440" s="34">
        <v>3192</v>
      </c>
      <c r="F440" s="34">
        <v>8</v>
      </c>
      <c r="G440" s="34">
        <v>3200</v>
      </c>
      <c r="H440" s="34">
        <v>10</v>
      </c>
      <c r="I440" s="34">
        <v>3210</v>
      </c>
      <c r="J440" s="34">
        <v>8</v>
      </c>
      <c r="K440" s="34">
        <v>3218</v>
      </c>
      <c r="L440" s="34">
        <v>9</v>
      </c>
      <c r="M440" s="34">
        <v>3227</v>
      </c>
      <c r="N440" s="34">
        <v>7</v>
      </c>
      <c r="O440" s="34">
        <v>3234</v>
      </c>
      <c r="P440" s="34">
        <v>6</v>
      </c>
      <c r="Q440" s="34">
        <v>3240</v>
      </c>
      <c r="R440" s="34">
        <v>6</v>
      </c>
      <c r="S440" s="34">
        <v>3245</v>
      </c>
      <c r="T440" s="34">
        <v>5</v>
      </c>
      <c r="U440" s="34">
        <v>3250</v>
      </c>
      <c r="V440" s="34">
        <v>5</v>
      </c>
      <c r="W440" s="34">
        <v>3255</v>
      </c>
      <c r="X440" s="34">
        <v>5</v>
      </c>
      <c r="Y440" s="34">
        <v>3260</v>
      </c>
      <c r="Z440" s="34">
        <v>5</v>
      </c>
      <c r="AA440" s="34">
        <v>3266</v>
      </c>
      <c r="AB440" s="34">
        <v>6</v>
      </c>
      <c r="AC440" s="34">
        <v>6</v>
      </c>
      <c r="AD440" s="34">
        <v>0</v>
      </c>
      <c r="AE440" s="34">
        <v>0</v>
      </c>
      <c r="AG440" s="34">
        <v>3</v>
      </c>
      <c r="AH440" s="34">
        <v>0</v>
      </c>
      <c r="AI440" s="34">
        <v>9</v>
      </c>
    </row>
    <row r="441" spans="1:35" ht="15.75" customHeight="1">
      <c r="A441" s="34">
        <v>443</v>
      </c>
      <c r="B441" s="34" t="s">
        <v>550</v>
      </c>
      <c r="C441" s="34" t="s">
        <v>545</v>
      </c>
      <c r="D441" s="34">
        <v>6</v>
      </c>
      <c r="E441" s="34">
        <v>813</v>
      </c>
      <c r="F441" s="34">
        <v>2</v>
      </c>
      <c r="G441" s="34">
        <v>815</v>
      </c>
      <c r="H441" s="34">
        <v>4</v>
      </c>
      <c r="I441" s="34">
        <v>819</v>
      </c>
      <c r="J441" s="34">
        <v>2</v>
      </c>
      <c r="K441" s="34">
        <v>821</v>
      </c>
      <c r="L441" s="34">
        <v>3</v>
      </c>
      <c r="M441" s="34">
        <v>824</v>
      </c>
      <c r="N441" s="34">
        <v>4</v>
      </c>
      <c r="O441" s="34">
        <v>828</v>
      </c>
      <c r="P441" s="34">
        <v>3</v>
      </c>
      <c r="Q441" s="34">
        <v>831</v>
      </c>
      <c r="R441" s="34">
        <v>3</v>
      </c>
      <c r="S441" s="34">
        <v>832</v>
      </c>
      <c r="T441" s="34">
        <v>1</v>
      </c>
      <c r="U441" s="34">
        <v>833</v>
      </c>
      <c r="V441" s="34">
        <v>1</v>
      </c>
      <c r="W441" s="34">
        <v>836</v>
      </c>
      <c r="X441" s="34">
        <v>3</v>
      </c>
      <c r="Y441" s="34">
        <v>840</v>
      </c>
      <c r="Z441" s="34">
        <v>4</v>
      </c>
      <c r="AA441" s="34">
        <v>844</v>
      </c>
      <c r="AB441" s="34">
        <v>4</v>
      </c>
      <c r="AC441" s="34">
        <v>5</v>
      </c>
      <c r="AD441" s="34">
        <v>0</v>
      </c>
      <c r="AE441" s="34">
        <v>0</v>
      </c>
      <c r="AG441" s="34">
        <v>3</v>
      </c>
      <c r="AH441" s="34">
        <v>20</v>
      </c>
      <c r="AI441" s="34">
        <v>28</v>
      </c>
    </row>
    <row r="442" spans="1:35" ht="15.75" customHeight="1">
      <c r="A442" s="34">
        <v>444</v>
      </c>
      <c r="B442" s="34" t="s">
        <v>551</v>
      </c>
      <c r="C442" s="34" t="s">
        <v>545</v>
      </c>
      <c r="D442" s="34">
        <v>7</v>
      </c>
      <c r="E442" s="34">
        <v>545</v>
      </c>
      <c r="F442" s="34">
        <v>12</v>
      </c>
      <c r="G442" s="34">
        <v>557</v>
      </c>
      <c r="H442" s="34">
        <v>15</v>
      </c>
      <c r="I442" s="34">
        <v>572</v>
      </c>
      <c r="J442" s="34">
        <v>21</v>
      </c>
      <c r="K442" s="34">
        <v>593</v>
      </c>
      <c r="L442" s="34">
        <v>26</v>
      </c>
      <c r="M442" s="34">
        <v>619</v>
      </c>
      <c r="N442" s="34">
        <v>24</v>
      </c>
      <c r="O442" s="34">
        <v>643</v>
      </c>
      <c r="P442" s="34">
        <v>18</v>
      </c>
      <c r="Q442" s="34">
        <v>661</v>
      </c>
      <c r="R442" s="34">
        <v>18</v>
      </c>
      <c r="S442" s="34">
        <v>0</v>
      </c>
      <c r="T442" s="34">
        <v>7</v>
      </c>
      <c r="U442" s="34">
        <v>2</v>
      </c>
      <c r="V442" s="34">
        <v>2</v>
      </c>
      <c r="W442" s="34">
        <v>9</v>
      </c>
      <c r="X442" s="34">
        <v>7</v>
      </c>
      <c r="Y442" s="34">
        <v>18</v>
      </c>
      <c r="Z442" s="34">
        <v>9</v>
      </c>
      <c r="AA442" s="34">
        <v>25</v>
      </c>
      <c r="AB442" s="34">
        <v>7</v>
      </c>
      <c r="AC442" s="34">
        <v>7</v>
      </c>
      <c r="AD442" s="34">
        <v>0</v>
      </c>
      <c r="AE442" s="34">
        <v>0</v>
      </c>
      <c r="AG442" s="34">
        <v>3</v>
      </c>
      <c r="AH442" s="34">
        <v>20</v>
      </c>
      <c r="AI442" s="34">
        <v>30</v>
      </c>
    </row>
    <row r="443" spans="1:35" ht="15.75" customHeight="1">
      <c r="A443" s="34">
        <v>445</v>
      </c>
      <c r="B443" s="34" t="s">
        <v>552</v>
      </c>
      <c r="C443" s="34" t="s">
        <v>545</v>
      </c>
      <c r="D443" s="34">
        <v>8</v>
      </c>
      <c r="E443" s="34">
        <v>178</v>
      </c>
      <c r="F443" s="34">
        <v>16</v>
      </c>
      <c r="G443" s="34">
        <v>194</v>
      </c>
      <c r="H443" s="34">
        <v>13</v>
      </c>
      <c r="I443" s="34">
        <v>207</v>
      </c>
      <c r="J443" s="34">
        <v>14</v>
      </c>
      <c r="K443" s="34">
        <v>221</v>
      </c>
      <c r="L443" s="34">
        <v>13</v>
      </c>
      <c r="M443" s="34">
        <v>234</v>
      </c>
      <c r="N443" s="34">
        <v>11</v>
      </c>
      <c r="O443" s="34">
        <v>245</v>
      </c>
      <c r="P443" s="34">
        <v>11</v>
      </c>
      <c r="Q443" s="34">
        <v>256</v>
      </c>
      <c r="R443" s="34">
        <v>11</v>
      </c>
      <c r="S443" s="34">
        <v>266</v>
      </c>
      <c r="T443" s="34">
        <v>10</v>
      </c>
      <c r="U443" s="34">
        <v>275</v>
      </c>
      <c r="V443" s="34">
        <v>9</v>
      </c>
      <c r="W443" s="34">
        <v>284</v>
      </c>
      <c r="X443" s="34">
        <v>9</v>
      </c>
      <c r="Y443" s="34">
        <v>295</v>
      </c>
      <c r="Z443" s="34">
        <v>11</v>
      </c>
      <c r="AA443" s="34">
        <v>309</v>
      </c>
      <c r="AB443" s="34">
        <v>14</v>
      </c>
      <c r="AC443" s="34">
        <v>14</v>
      </c>
      <c r="AD443" s="34">
        <v>14</v>
      </c>
      <c r="AE443" s="34">
        <v>0</v>
      </c>
      <c r="AG443" s="34">
        <v>3</v>
      </c>
      <c r="AH443" s="34">
        <v>0</v>
      </c>
      <c r="AI443" s="34">
        <v>31</v>
      </c>
    </row>
    <row r="444" spans="1:35" ht="15.75" customHeight="1">
      <c r="A444" s="34">
        <v>446</v>
      </c>
      <c r="B444" s="34" t="s">
        <v>544</v>
      </c>
      <c r="C444" s="34" t="s">
        <v>545</v>
      </c>
      <c r="D444" s="34">
        <v>11</v>
      </c>
      <c r="E444" s="34">
        <v>1673</v>
      </c>
      <c r="F444" s="34">
        <v>10</v>
      </c>
      <c r="G444" s="34">
        <v>1683</v>
      </c>
      <c r="H444" s="34">
        <v>9</v>
      </c>
      <c r="I444" s="34">
        <v>1692</v>
      </c>
      <c r="J444" s="34">
        <v>9</v>
      </c>
      <c r="K444" s="34">
        <v>1701</v>
      </c>
      <c r="L444" s="34">
        <v>9</v>
      </c>
      <c r="M444" s="34">
        <v>1710</v>
      </c>
      <c r="N444" s="34">
        <v>7</v>
      </c>
      <c r="O444" s="34">
        <v>1717</v>
      </c>
      <c r="P444" s="34">
        <v>8</v>
      </c>
      <c r="Q444" s="34">
        <v>1725</v>
      </c>
      <c r="R444" s="34">
        <v>8</v>
      </c>
      <c r="S444" s="34">
        <v>1730</v>
      </c>
      <c r="T444" s="34">
        <v>5</v>
      </c>
      <c r="U444" s="34">
        <v>1736</v>
      </c>
      <c r="V444" s="34">
        <v>6</v>
      </c>
      <c r="W444" s="34">
        <v>1742</v>
      </c>
      <c r="X444" s="34">
        <v>6</v>
      </c>
      <c r="Y444" s="34">
        <v>1751</v>
      </c>
      <c r="Z444" s="34">
        <v>9</v>
      </c>
      <c r="AA444" s="34">
        <v>1761</v>
      </c>
      <c r="AB444" s="34">
        <v>10</v>
      </c>
      <c r="AC444" s="34">
        <v>10</v>
      </c>
      <c r="AD444" s="34">
        <v>0</v>
      </c>
      <c r="AE444" s="34">
        <v>0</v>
      </c>
      <c r="AG444" s="34">
        <v>3</v>
      </c>
      <c r="AH444" s="34">
        <v>20</v>
      </c>
      <c r="AI444" s="34">
        <v>33</v>
      </c>
    </row>
    <row r="445" spans="1:35" ht="15.75" customHeight="1">
      <c r="A445" s="34">
        <v>447</v>
      </c>
      <c r="B445" s="34" t="s">
        <v>553</v>
      </c>
      <c r="C445" s="34" t="s">
        <v>545</v>
      </c>
      <c r="D445" s="34">
        <v>13</v>
      </c>
      <c r="E445" s="34">
        <v>297</v>
      </c>
      <c r="F445" s="34">
        <v>9</v>
      </c>
      <c r="G445" s="34">
        <v>306</v>
      </c>
      <c r="H445" s="34">
        <v>10</v>
      </c>
      <c r="I445" s="34">
        <v>316</v>
      </c>
      <c r="J445" s="34">
        <v>8</v>
      </c>
      <c r="K445" s="34">
        <v>324</v>
      </c>
      <c r="L445" s="34">
        <v>8</v>
      </c>
      <c r="M445" s="34">
        <v>332</v>
      </c>
      <c r="N445" s="34">
        <v>8</v>
      </c>
      <c r="O445" s="34">
        <v>340</v>
      </c>
      <c r="P445" s="34">
        <v>8</v>
      </c>
      <c r="Q445" s="34">
        <v>348</v>
      </c>
      <c r="R445" s="34">
        <v>8</v>
      </c>
      <c r="S445" s="34">
        <v>354</v>
      </c>
      <c r="T445" s="34">
        <v>6</v>
      </c>
      <c r="U445" s="34">
        <v>362</v>
      </c>
      <c r="V445" s="34">
        <v>8</v>
      </c>
      <c r="W445" s="34">
        <v>373</v>
      </c>
      <c r="X445" s="34">
        <v>11</v>
      </c>
      <c r="Y445" s="34">
        <v>382</v>
      </c>
      <c r="Z445" s="34">
        <v>9</v>
      </c>
      <c r="AA445" s="34">
        <v>390</v>
      </c>
      <c r="AB445" s="34">
        <v>8</v>
      </c>
      <c r="AC445" s="34">
        <v>8</v>
      </c>
      <c r="AD445" s="34">
        <v>0</v>
      </c>
      <c r="AE445" s="34">
        <v>0</v>
      </c>
      <c r="AG445" s="34">
        <v>3</v>
      </c>
      <c r="AH445" s="34">
        <v>0</v>
      </c>
      <c r="AI445" s="34">
        <v>11</v>
      </c>
    </row>
    <row r="446" spans="1:35" ht="15.75" customHeight="1">
      <c r="A446" s="34">
        <v>448</v>
      </c>
      <c r="B446" s="34" t="s">
        <v>554</v>
      </c>
      <c r="C446" s="34" t="s">
        <v>545</v>
      </c>
      <c r="D446" s="34">
        <v>14</v>
      </c>
      <c r="E446" s="34">
        <v>573</v>
      </c>
      <c r="F446" s="34">
        <v>6</v>
      </c>
      <c r="G446" s="34">
        <v>579</v>
      </c>
      <c r="H446" s="34">
        <v>7</v>
      </c>
      <c r="I446" s="34">
        <v>586</v>
      </c>
      <c r="J446" s="34">
        <v>7</v>
      </c>
      <c r="K446" s="34">
        <v>593</v>
      </c>
      <c r="L446" s="34">
        <v>5</v>
      </c>
      <c r="M446" s="34">
        <v>598</v>
      </c>
      <c r="N446" s="34">
        <v>3</v>
      </c>
      <c r="O446" s="34">
        <v>601</v>
      </c>
      <c r="P446" s="34">
        <v>2</v>
      </c>
      <c r="Q446" s="34">
        <v>603</v>
      </c>
      <c r="R446" s="34">
        <v>2</v>
      </c>
      <c r="S446" s="34">
        <v>607</v>
      </c>
      <c r="T446" s="34">
        <v>4</v>
      </c>
      <c r="U446" s="34">
        <v>609</v>
      </c>
      <c r="V446" s="34">
        <v>2</v>
      </c>
      <c r="W446" s="34">
        <v>612</v>
      </c>
      <c r="X446" s="34">
        <v>3</v>
      </c>
      <c r="Y446" s="34">
        <v>615</v>
      </c>
      <c r="Z446" s="34">
        <v>3</v>
      </c>
      <c r="AA446" s="34">
        <v>618</v>
      </c>
      <c r="AB446" s="34">
        <v>3</v>
      </c>
      <c r="AC446" s="34">
        <v>5</v>
      </c>
      <c r="AD446" s="34">
        <v>0</v>
      </c>
      <c r="AE446" s="34">
        <v>0</v>
      </c>
      <c r="AG446" s="34">
        <v>3</v>
      </c>
      <c r="AH446" s="34">
        <v>20</v>
      </c>
      <c r="AI446" s="34">
        <v>28</v>
      </c>
    </row>
    <row r="447" spans="1:35" ht="15.75" customHeight="1">
      <c r="A447" s="34">
        <v>449</v>
      </c>
      <c r="B447" s="34" t="s">
        <v>555</v>
      </c>
      <c r="C447" s="34" t="s">
        <v>545</v>
      </c>
      <c r="D447" s="34">
        <v>15</v>
      </c>
      <c r="E447" s="34">
        <v>19</v>
      </c>
      <c r="F447" s="34">
        <v>7</v>
      </c>
      <c r="G447" s="34">
        <v>26</v>
      </c>
      <c r="H447" s="34">
        <v>8</v>
      </c>
      <c r="I447" s="34">
        <v>34</v>
      </c>
      <c r="J447" s="34">
        <v>6</v>
      </c>
      <c r="K447" s="34">
        <v>40</v>
      </c>
      <c r="L447" s="34">
        <v>7</v>
      </c>
      <c r="M447" s="34">
        <v>47</v>
      </c>
      <c r="N447" s="34">
        <v>5</v>
      </c>
      <c r="O447" s="34">
        <v>52</v>
      </c>
      <c r="P447" s="34">
        <v>4</v>
      </c>
      <c r="Q447" s="34">
        <v>56</v>
      </c>
      <c r="R447" s="34">
        <v>4</v>
      </c>
      <c r="S447" s="34">
        <v>61</v>
      </c>
      <c r="T447" s="34">
        <v>5</v>
      </c>
      <c r="U447" s="34">
        <v>64</v>
      </c>
      <c r="V447" s="34">
        <v>3</v>
      </c>
      <c r="W447" s="34">
        <v>67</v>
      </c>
      <c r="X447" s="34">
        <v>3</v>
      </c>
      <c r="Y447" s="34">
        <v>71</v>
      </c>
      <c r="Z447" s="34">
        <v>4</v>
      </c>
      <c r="AA447" s="34">
        <v>76</v>
      </c>
      <c r="AB447" s="34">
        <v>5</v>
      </c>
      <c r="AC447" s="34">
        <v>5</v>
      </c>
      <c r="AD447" s="34">
        <v>0</v>
      </c>
      <c r="AE447" s="34">
        <v>0</v>
      </c>
      <c r="AG447" s="34">
        <v>3</v>
      </c>
      <c r="AH447" s="34">
        <v>0</v>
      </c>
      <c r="AI447" s="34">
        <v>8</v>
      </c>
    </row>
    <row r="448" spans="1:35" ht="15.75" customHeight="1">
      <c r="A448" s="34">
        <v>450</v>
      </c>
      <c r="B448" s="34" t="s">
        <v>557</v>
      </c>
      <c r="C448" s="34" t="s">
        <v>545</v>
      </c>
      <c r="D448" s="34">
        <v>16</v>
      </c>
      <c r="E448" s="34">
        <v>567</v>
      </c>
      <c r="F448" s="34">
        <v>16</v>
      </c>
      <c r="G448" s="34">
        <v>583</v>
      </c>
      <c r="H448" s="34">
        <v>14</v>
      </c>
      <c r="I448" s="34">
        <v>597</v>
      </c>
      <c r="J448" s="34">
        <v>15</v>
      </c>
      <c r="K448" s="34">
        <v>612</v>
      </c>
      <c r="L448" s="34">
        <v>15</v>
      </c>
      <c r="M448" s="34">
        <v>627</v>
      </c>
      <c r="N448" s="34">
        <v>14</v>
      </c>
      <c r="O448" s="34">
        <v>641</v>
      </c>
      <c r="P448" s="34">
        <v>12</v>
      </c>
      <c r="Q448" s="34">
        <v>653</v>
      </c>
      <c r="R448" s="34">
        <v>12</v>
      </c>
      <c r="S448" s="34">
        <v>663</v>
      </c>
      <c r="T448" s="34">
        <v>10</v>
      </c>
      <c r="U448" s="34">
        <v>675</v>
      </c>
      <c r="V448" s="34">
        <v>12</v>
      </c>
      <c r="W448" s="34">
        <v>687</v>
      </c>
      <c r="X448" s="34">
        <v>12</v>
      </c>
      <c r="Y448" s="34">
        <v>698</v>
      </c>
      <c r="Z448" s="34">
        <v>11</v>
      </c>
      <c r="AA448" s="34">
        <v>710</v>
      </c>
      <c r="AB448" s="34">
        <v>12</v>
      </c>
      <c r="AC448" s="34">
        <v>12</v>
      </c>
      <c r="AD448" s="34">
        <v>6</v>
      </c>
      <c r="AE448" s="34">
        <v>0</v>
      </c>
      <c r="AG448" s="34">
        <v>3</v>
      </c>
      <c r="AH448" s="34">
        <v>20</v>
      </c>
      <c r="AI448" s="34">
        <v>41</v>
      </c>
    </row>
    <row r="449" spans="1:35" ht="15.75" customHeight="1">
      <c r="A449" s="34">
        <v>451</v>
      </c>
      <c r="B449" s="34" t="s">
        <v>558</v>
      </c>
      <c r="C449" s="34" t="s">
        <v>545</v>
      </c>
      <c r="D449" s="34">
        <v>17</v>
      </c>
      <c r="E449" s="34">
        <v>228</v>
      </c>
      <c r="F449" s="34">
        <v>7</v>
      </c>
      <c r="G449" s="34">
        <v>235</v>
      </c>
      <c r="H449" s="34">
        <v>9</v>
      </c>
      <c r="I449" s="34">
        <v>244</v>
      </c>
      <c r="J449" s="34">
        <v>7</v>
      </c>
      <c r="K449" s="34">
        <v>251</v>
      </c>
      <c r="L449" s="34">
        <v>8</v>
      </c>
      <c r="M449" s="34">
        <v>259</v>
      </c>
      <c r="N449" s="34">
        <v>6</v>
      </c>
      <c r="O449" s="34">
        <v>265</v>
      </c>
      <c r="P449" s="34">
        <v>6</v>
      </c>
      <c r="Q449" s="34">
        <v>271</v>
      </c>
      <c r="R449" s="34">
        <v>6</v>
      </c>
      <c r="S449" s="34">
        <v>277</v>
      </c>
      <c r="T449" s="34">
        <v>6</v>
      </c>
      <c r="U449" s="34">
        <v>281</v>
      </c>
      <c r="V449" s="34">
        <v>4</v>
      </c>
      <c r="W449" s="34">
        <v>287</v>
      </c>
      <c r="X449" s="34">
        <v>6</v>
      </c>
      <c r="Y449" s="34">
        <v>294</v>
      </c>
      <c r="Z449" s="34">
        <v>7</v>
      </c>
      <c r="AA449" s="34">
        <v>300</v>
      </c>
      <c r="AB449" s="34">
        <v>6</v>
      </c>
      <c r="AC449" s="34">
        <v>6</v>
      </c>
      <c r="AD449" s="34">
        <v>10</v>
      </c>
      <c r="AE449" s="34">
        <v>0</v>
      </c>
      <c r="AG449" s="34">
        <v>3</v>
      </c>
      <c r="AH449" s="34">
        <v>20</v>
      </c>
      <c r="AI449" s="34">
        <v>39</v>
      </c>
    </row>
    <row r="450" spans="1:35" ht="15.75" customHeight="1">
      <c r="A450" s="34">
        <v>452</v>
      </c>
      <c r="B450" s="34" t="s">
        <v>559</v>
      </c>
      <c r="C450" s="34" t="s">
        <v>560</v>
      </c>
      <c r="D450" s="34">
        <v>1</v>
      </c>
      <c r="E450" s="34">
        <v>154</v>
      </c>
      <c r="F450" s="34">
        <v>1</v>
      </c>
      <c r="G450" s="34">
        <v>155</v>
      </c>
      <c r="H450" s="34">
        <v>1</v>
      </c>
      <c r="I450" s="34">
        <v>156</v>
      </c>
      <c r="J450" s="34">
        <v>1</v>
      </c>
      <c r="K450" s="34">
        <v>157</v>
      </c>
      <c r="L450" s="34">
        <v>1</v>
      </c>
      <c r="M450" s="34">
        <v>158</v>
      </c>
      <c r="N450" s="34">
        <v>1</v>
      </c>
      <c r="O450" s="34">
        <v>159</v>
      </c>
      <c r="P450" s="34">
        <v>0</v>
      </c>
      <c r="Q450" s="34">
        <v>159</v>
      </c>
      <c r="R450" s="34">
        <v>0</v>
      </c>
      <c r="S450" s="34">
        <v>160</v>
      </c>
      <c r="T450" s="34">
        <v>1</v>
      </c>
      <c r="U450" s="34">
        <v>160</v>
      </c>
      <c r="V450" s="34">
        <v>0</v>
      </c>
      <c r="W450" s="34">
        <v>160</v>
      </c>
      <c r="X450" s="34">
        <v>0</v>
      </c>
      <c r="Y450" s="34">
        <v>161</v>
      </c>
      <c r="Z450" s="34">
        <v>1</v>
      </c>
      <c r="AA450" s="34">
        <v>162</v>
      </c>
      <c r="AB450" s="34">
        <v>1</v>
      </c>
      <c r="AC450" s="34">
        <v>5</v>
      </c>
      <c r="AD450" s="34">
        <v>8</v>
      </c>
      <c r="AE450" s="34">
        <v>0</v>
      </c>
      <c r="AG450" s="34">
        <v>3</v>
      </c>
      <c r="AH450" s="34">
        <v>20</v>
      </c>
      <c r="AI450" s="34">
        <v>36</v>
      </c>
    </row>
    <row r="451" spans="1:35" ht="15.75" customHeight="1">
      <c r="A451" s="34">
        <v>453</v>
      </c>
      <c r="B451" s="34" t="s">
        <v>561</v>
      </c>
      <c r="C451" s="34" t="s">
        <v>560</v>
      </c>
      <c r="D451" s="34">
        <v>2</v>
      </c>
      <c r="E451" s="34">
        <v>36</v>
      </c>
      <c r="F451" s="34">
        <v>1</v>
      </c>
      <c r="G451" s="34">
        <v>37</v>
      </c>
      <c r="H451" s="34">
        <v>0</v>
      </c>
      <c r="I451" s="34">
        <v>37</v>
      </c>
      <c r="J451" s="34">
        <v>1</v>
      </c>
      <c r="K451" s="34">
        <v>38</v>
      </c>
      <c r="L451" s="34">
        <v>1</v>
      </c>
      <c r="M451" s="34">
        <v>39</v>
      </c>
      <c r="N451" s="34">
        <v>0</v>
      </c>
      <c r="O451" s="34">
        <v>39</v>
      </c>
      <c r="P451" s="34">
        <v>0</v>
      </c>
      <c r="Q451" s="34">
        <v>39</v>
      </c>
      <c r="R451" s="34">
        <v>0</v>
      </c>
      <c r="S451" s="34">
        <v>39</v>
      </c>
      <c r="T451" s="34">
        <v>0</v>
      </c>
      <c r="U451" s="34">
        <v>39</v>
      </c>
      <c r="V451" s="34">
        <v>0</v>
      </c>
      <c r="W451" s="34">
        <v>39</v>
      </c>
      <c r="X451" s="34">
        <v>0</v>
      </c>
      <c r="Y451" s="34">
        <v>39</v>
      </c>
      <c r="Z451" s="34">
        <v>0</v>
      </c>
      <c r="AA451" s="34">
        <v>39</v>
      </c>
      <c r="AB451" s="34">
        <v>0</v>
      </c>
      <c r="AC451" s="34">
        <v>5</v>
      </c>
      <c r="AD451" s="34">
        <v>0</v>
      </c>
      <c r="AE451" s="34">
        <v>0</v>
      </c>
      <c r="AG451" s="34">
        <v>3</v>
      </c>
      <c r="AH451" s="34">
        <v>20</v>
      </c>
      <c r="AI451" s="34">
        <v>28</v>
      </c>
    </row>
    <row r="452" spans="1:35" ht="15.75" customHeight="1">
      <c r="A452" s="34">
        <v>454</v>
      </c>
      <c r="B452" s="34" t="s">
        <v>562</v>
      </c>
      <c r="C452" s="34" t="s">
        <v>560</v>
      </c>
      <c r="D452" s="34">
        <v>3</v>
      </c>
      <c r="E452" s="34">
        <v>531</v>
      </c>
      <c r="F452" s="34">
        <v>3</v>
      </c>
      <c r="G452" s="34">
        <v>534</v>
      </c>
      <c r="H452" s="34">
        <v>3</v>
      </c>
      <c r="I452" s="34">
        <v>537</v>
      </c>
      <c r="J452" s="34">
        <v>3</v>
      </c>
      <c r="K452" s="34">
        <v>540</v>
      </c>
      <c r="L452" s="34">
        <v>3</v>
      </c>
      <c r="M452" s="34">
        <v>543</v>
      </c>
      <c r="N452" s="34">
        <v>2</v>
      </c>
      <c r="O452" s="34">
        <v>545</v>
      </c>
      <c r="P452" s="34">
        <v>1</v>
      </c>
      <c r="Q452" s="34">
        <v>546</v>
      </c>
      <c r="R452" s="34">
        <v>1</v>
      </c>
      <c r="S452" s="34">
        <v>548</v>
      </c>
      <c r="T452" s="34">
        <v>2</v>
      </c>
      <c r="U452" s="34">
        <v>549</v>
      </c>
      <c r="V452" s="34">
        <v>1</v>
      </c>
      <c r="W452" s="34">
        <v>550</v>
      </c>
      <c r="X452" s="34">
        <v>1</v>
      </c>
      <c r="Y452" s="34">
        <v>553</v>
      </c>
      <c r="Z452" s="34">
        <v>3</v>
      </c>
      <c r="AA452" s="34">
        <v>555</v>
      </c>
      <c r="AB452" s="34">
        <v>2</v>
      </c>
      <c r="AC452" s="34">
        <v>5</v>
      </c>
      <c r="AD452" s="34">
        <v>0</v>
      </c>
      <c r="AE452" s="34">
        <v>0</v>
      </c>
      <c r="AG452" s="34">
        <v>3</v>
      </c>
      <c r="AH452" s="34">
        <v>0</v>
      </c>
      <c r="AI452" s="34">
        <v>8</v>
      </c>
    </row>
    <row r="453" spans="1:35" ht="15.75" customHeight="1">
      <c r="A453" s="34">
        <v>455</v>
      </c>
      <c r="B453" s="34" t="s">
        <v>563</v>
      </c>
      <c r="C453" s="34" t="s">
        <v>560</v>
      </c>
      <c r="D453" s="34">
        <v>4</v>
      </c>
      <c r="E453" s="34">
        <v>1660</v>
      </c>
      <c r="F453" s="34">
        <v>0</v>
      </c>
      <c r="G453" s="34">
        <v>1660</v>
      </c>
      <c r="H453" s="34">
        <v>0</v>
      </c>
      <c r="I453" s="34">
        <v>1660</v>
      </c>
      <c r="J453" s="34">
        <v>0</v>
      </c>
      <c r="K453" s="34">
        <v>1660</v>
      </c>
      <c r="L453" s="34">
        <v>0</v>
      </c>
      <c r="M453" s="34">
        <v>1660</v>
      </c>
      <c r="N453" s="34">
        <v>0</v>
      </c>
      <c r="O453" s="34">
        <v>1660</v>
      </c>
      <c r="P453" s="34">
        <v>0</v>
      </c>
      <c r="Q453" s="34">
        <v>1660</v>
      </c>
      <c r="R453" s="34">
        <v>0</v>
      </c>
      <c r="S453" s="34">
        <v>1660</v>
      </c>
      <c r="T453" s="34">
        <v>0</v>
      </c>
      <c r="U453" s="34">
        <v>1660</v>
      </c>
      <c r="V453" s="34">
        <v>0</v>
      </c>
      <c r="W453" s="34">
        <v>1660</v>
      </c>
      <c r="X453" s="34">
        <v>0</v>
      </c>
      <c r="Y453" s="34">
        <v>1660</v>
      </c>
      <c r="Z453" s="34">
        <v>0</v>
      </c>
      <c r="AA453" s="34">
        <v>1660</v>
      </c>
      <c r="AB453" s="34">
        <v>0</v>
      </c>
      <c r="AC453" s="34">
        <v>5</v>
      </c>
      <c r="AD453" s="34">
        <v>0</v>
      </c>
      <c r="AE453" s="34">
        <v>0</v>
      </c>
      <c r="AG453" s="34">
        <v>3</v>
      </c>
      <c r="AH453" s="34">
        <v>0</v>
      </c>
      <c r="AI453" s="34">
        <v>8</v>
      </c>
    </row>
    <row r="454" spans="1:35" ht="15.75" customHeight="1">
      <c r="A454" s="34">
        <v>456</v>
      </c>
      <c r="B454" s="34" t="s">
        <v>564</v>
      </c>
      <c r="C454" s="34" t="s">
        <v>560</v>
      </c>
      <c r="D454" s="34">
        <v>5</v>
      </c>
      <c r="E454" s="34">
        <v>36</v>
      </c>
      <c r="F454" s="34">
        <v>1</v>
      </c>
      <c r="G454" s="34">
        <v>37</v>
      </c>
      <c r="H454" s="34">
        <v>719</v>
      </c>
      <c r="I454" s="34">
        <v>756</v>
      </c>
      <c r="J454" s="34">
        <v>7</v>
      </c>
      <c r="K454" s="34">
        <v>763</v>
      </c>
      <c r="L454" s="34">
        <v>6</v>
      </c>
      <c r="M454" s="34">
        <v>769</v>
      </c>
      <c r="N454" s="34">
        <v>5</v>
      </c>
      <c r="O454" s="34">
        <v>774</v>
      </c>
      <c r="P454" s="34">
        <v>5</v>
      </c>
      <c r="Q454" s="34">
        <v>779</v>
      </c>
      <c r="R454" s="34">
        <v>5</v>
      </c>
      <c r="S454" s="34">
        <v>784</v>
      </c>
      <c r="T454" s="34">
        <v>5</v>
      </c>
      <c r="U454" s="34">
        <v>789</v>
      </c>
      <c r="V454" s="34">
        <v>5</v>
      </c>
      <c r="W454" s="34">
        <v>793</v>
      </c>
      <c r="X454" s="34">
        <v>4</v>
      </c>
      <c r="Y454" s="34">
        <v>801</v>
      </c>
      <c r="Z454" s="34">
        <v>8</v>
      </c>
      <c r="AA454" s="34">
        <v>806</v>
      </c>
      <c r="AB454" s="34">
        <v>5</v>
      </c>
      <c r="AC454" s="34">
        <v>5</v>
      </c>
      <c r="AD454" s="34">
        <v>0</v>
      </c>
      <c r="AE454" s="34">
        <v>0</v>
      </c>
      <c r="AG454" s="34">
        <v>3</v>
      </c>
      <c r="AH454" s="34">
        <v>20</v>
      </c>
      <c r="AI454" s="34">
        <v>28</v>
      </c>
    </row>
    <row r="455" spans="1:35" ht="15.75" customHeight="1">
      <c r="A455" s="34">
        <v>457</v>
      </c>
      <c r="B455" s="34" t="s">
        <v>565</v>
      </c>
      <c r="C455" s="34" t="s">
        <v>560</v>
      </c>
      <c r="D455" s="34">
        <v>6</v>
      </c>
      <c r="E455" s="34">
        <v>172</v>
      </c>
      <c r="F455" s="34">
        <v>3</v>
      </c>
      <c r="G455" s="34">
        <v>175</v>
      </c>
      <c r="H455" s="34">
        <v>5</v>
      </c>
      <c r="I455" s="34">
        <v>180</v>
      </c>
      <c r="J455" s="34">
        <v>2</v>
      </c>
      <c r="K455" s="34">
        <v>182</v>
      </c>
      <c r="L455" s="34">
        <v>3</v>
      </c>
      <c r="M455" s="34">
        <v>185</v>
      </c>
      <c r="N455" s="34">
        <v>3</v>
      </c>
      <c r="O455" s="34">
        <v>188</v>
      </c>
      <c r="P455" s="34">
        <v>3</v>
      </c>
      <c r="Q455" s="34">
        <v>191</v>
      </c>
      <c r="R455" s="34">
        <v>3</v>
      </c>
      <c r="S455" s="34">
        <v>193</v>
      </c>
      <c r="T455" s="34">
        <v>2</v>
      </c>
      <c r="U455" s="34">
        <v>195</v>
      </c>
      <c r="V455" s="34">
        <v>2</v>
      </c>
      <c r="W455" s="34">
        <v>198</v>
      </c>
      <c r="X455" s="34">
        <v>3</v>
      </c>
      <c r="Y455" s="34">
        <v>201</v>
      </c>
      <c r="Z455" s="34">
        <v>3</v>
      </c>
      <c r="AA455" s="34">
        <v>203</v>
      </c>
      <c r="AB455" s="34">
        <v>2</v>
      </c>
      <c r="AC455" s="34">
        <v>5</v>
      </c>
      <c r="AD455" s="34">
        <v>0</v>
      </c>
      <c r="AE455" s="34">
        <v>0</v>
      </c>
      <c r="AG455" s="34">
        <v>3</v>
      </c>
      <c r="AH455" s="34">
        <v>0</v>
      </c>
      <c r="AI455" s="34">
        <v>8</v>
      </c>
    </row>
    <row r="456" spans="1:35" ht="15.75" customHeight="1">
      <c r="A456" s="34">
        <v>458</v>
      </c>
      <c r="B456" s="34" t="s">
        <v>566</v>
      </c>
      <c r="C456" s="34" t="s">
        <v>567</v>
      </c>
      <c r="D456" s="34">
        <v>1</v>
      </c>
      <c r="E456" s="34">
        <v>663</v>
      </c>
      <c r="F456" s="34">
        <v>21</v>
      </c>
      <c r="G456" s="34">
        <v>684</v>
      </c>
      <c r="H456" s="34">
        <v>21</v>
      </c>
      <c r="I456" s="34">
        <v>705</v>
      </c>
      <c r="J456" s="34">
        <v>20</v>
      </c>
      <c r="K456" s="34">
        <v>725</v>
      </c>
      <c r="L456" s="34">
        <v>15</v>
      </c>
      <c r="M456" s="34">
        <v>740</v>
      </c>
      <c r="N456" s="34">
        <v>13</v>
      </c>
      <c r="O456" s="34">
        <v>753</v>
      </c>
      <c r="P456" s="34">
        <v>13</v>
      </c>
      <c r="Q456" s="34">
        <v>766</v>
      </c>
      <c r="R456" s="34">
        <v>13</v>
      </c>
      <c r="S456" s="34">
        <v>777</v>
      </c>
      <c r="T456" s="34">
        <v>11</v>
      </c>
      <c r="U456" s="34">
        <v>787</v>
      </c>
      <c r="V456" s="34">
        <v>10</v>
      </c>
      <c r="W456" s="34">
        <v>797</v>
      </c>
      <c r="X456" s="34">
        <v>10</v>
      </c>
      <c r="Y456" s="34">
        <v>810</v>
      </c>
      <c r="Z456" s="34">
        <v>13</v>
      </c>
      <c r="AA456" s="34">
        <v>819</v>
      </c>
      <c r="AB456" s="34">
        <v>9</v>
      </c>
      <c r="AC456" s="34">
        <v>9</v>
      </c>
      <c r="AD456" s="34">
        <v>0</v>
      </c>
      <c r="AE456" s="34">
        <v>0</v>
      </c>
      <c r="AG456" s="34">
        <v>3</v>
      </c>
      <c r="AH456" s="34">
        <v>0</v>
      </c>
      <c r="AI456" s="34">
        <v>12</v>
      </c>
    </row>
    <row r="457" spans="1:35" ht="15.75" customHeight="1">
      <c r="A457" s="34">
        <v>459</v>
      </c>
      <c r="B457" s="34" t="s">
        <v>568</v>
      </c>
      <c r="C457" s="34" t="s">
        <v>567</v>
      </c>
      <c r="D457" s="34">
        <v>3</v>
      </c>
      <c r="G457" s="34">
        <v>0</v>
      </c>
      <c r="H457" s="34">
        <v>0</v>
      </c>
      <c r="I457" s="34">
        <v>0</v>
      </c>
      <c r="J457" s="34">
        <v>0</v>
      </c>
      <c r="K457" s="34">
        <v>0</v>
      </c>
      <c r="L457" s="34">
        <v>5</v>
      </c>
      <c r="M457" s="34">
        <v>5</v>
      </c>
      <c r="N457" s="34">
        <v>0</v>
      </c>
      <c r="O457" s="34">
        <v>5</v>
      </c>
      <c r="P457" s="34">
        <v>-4</v>
      </c>
      <c r="Q457" s="34">
        <v>1</v>
      </c>
      <c r="R457" s="34">
        <v>-4</v>
      </c>
      <c r="S457" s="34">
        <v>1</v>
      </c>
      <c r="T457" s="34">
        <v>0</v>
      </c>
      <c r="U457" s="34">
        <v>0</v>
      </c>
      <c r="V457" s="34">
        <v>0</v>
      </c>
      <c r="W457" s="34">
        <v>0</v>
      </c>
      <c r="X457" s="34">
        <v>0</v>
      </c>
      <c r="Y457" s="34">
        <v>0</v>
      </c>
      <c r="Z457" s="34">
        <v>0</v>
      </c>
      <c r="AA457" s="34">
        <v>4</v>
      </c>
      <c r="AB457" s="34">
        <v>4</v>
      </c>
      <c r="AC457" s="34">
        <v>5</v>
      </c>
      <c r="AD457" s="34">
        <v>0</v>
      </c>
      <c r="AE457" s="34">
        <v>0</v>
      </c>
      <c r="AG457" s="34">
        <v>3</v>
      </c>
      <c r="AH457" s="34">
        <v>0</v>
      </c>
      <c r="AI457" s="34">
        <v>8</v>
      </c>
    </row>
    <row r="458" spans="1:35" ht="15.75" customHeight="1">
      <c r="A458" s="34">
        <v>460</v>
      </c>
      <c r="B458" s="34" t="s">
        <v>569</v>
      </c>
      <c r="C458" s="34" t="s">
        <v>567</v>
      </c>
      <c r="D458" s="34">
        <v>4</v>
      </c>
      <c r="E458" s="34">
        <v>700</v>
      </c>
      <c r="F458" s="34">
        <v>7</v>
      </c>
      <c r="G458" s="34">
        <v>707</v>
      </c>
      <c r="H458" s="34">
        <v>5</v>
      </c>
      <c r="I458" s="34">
        <v>712</v>
      </c>
      <c r="J458" s="34">
        <v>8</v>
      </c>
      <c r="K458" s="34">
        <v>720</v>
      </c>
      <c r="L458" s="34">
        <v>14</v>
      </c>
      <c r="M458" s="34">
        <v>734</v>
      </c>
      <c r="N458" s="34">
        <v>12</v>
      </c>
      <c r="O458" s="34">
        <v>746</v>
      </c>
      <c r="P458" s="34">
        <v>8</v>
      </c>
      <c r="Q458" s="34">
        <v>754</v>
      </c>
      <c r="R458" s="34">
        <v>8</v>
      </c>
      <c r="S458" s="34">
        <v>768</v>
      </c>
      <c r="T458" s="34">
        <v>14</v>
      </c>
      <c r="U458" s="34">
        <v>785</v>
      </c>
      <c r="V458" s="34">
        <v>17</v>
      </c>
      <c r="W458" s="34">
        <v>797</v>
      </c>
      <c r="X458" s="34">
        <v>12</v>
      </c>
      <c r="Y458" s="34">
        <v>806</v>
      </c>
      <c r="Z458" s="34">
        <v>9</v>
      </c>
      <c r="AA458" s="34">
        <v>819</v>
      </c>
      <c r="AB458" s="34">
        <v>13</v>
      </c>
      <c r="AC458" s="34">
        <v>13</v>
      </c>
      <c r="AD458" s="34">
        <v>0</v>
      </c>
      <c r="AE458" s="34">
        <v>0</v>
      </c>
      <c r="AG458" s="34">
        <v>3</v>
      </c>
      <c r="AH458" s="34">
        <v>0</v>
      </c>
      <c r="AI458" s="34">
        <v>16</v>
      </c>
    </row>
    <row r="459" spans="1:35" ht="15.75" customHeight="1">
      <c r="A459" s="34">
        <v>461</v>
      </c>
      <c r="B459" s="34" t="s">
        <v>570</v>
      </c>
      <c r="C459" s="34" t="s">
        <v>567</v>
      </c>
      <c r="D459" s="34">
        <v>6</v>
      </c>
      <c r="E459" s="34">
        <v>0</v>
      </c>
      <c r="F459" s="34">
        <v>0</v>
      </c>
      <c r="G459" s="34">
        <v>0</v>
      </c>
      <c r="H459" s="34">
        <v>0</v>
      </c>
      <c r="I459" s="34">
        <v>0</v>
      </c>
      <c r="J459" s="34">
        <v>0</v>
      </c>
      <c r="K459" s="34">
        <v>0</v>
      </c>
      <c r="L459" s="34">
        <v>5</v>
      </c>
      <c r="M459" s="34">
        <v>5</v>
      </c>
      <c r="N459" s="34">
        <v>-4</v>
      </c>
      <c r="O459" s="34">
        <v>1</v>
      </c>
      <c r="P459" s="34">
        <v>0</v>
      </c>
      <c r="Q459" s="34">
        <v>1</v>
      </c>
      <c r="R459" s="34">
        <v>0</v>
      </c>
      <c r="S459" s="34">
        <v>1</v>
      </c>
      <c r="T459" s="34">
        <v>0</v>
      </c>
      <c r="U459" s="34">
        <v>0</v>
      </c>
      <c r="V459" s="34">
        <v>0</v>
      </c>
      <c r="W459" s="34">
        <v>0</v>
      </c>
      <c r="X459" s="34">
        <v>0</v>
      </c>
      <c r="Y459" s="34">
        <v>0</v>
      </c>
      <c r="Z459" s="34">
        <v>0</v>
      </c>
      <c r="AA459" s="34">
        <v>0</v>
      </c>
      <c r="AB459" s="34">
        <v>0</v>
      </c>
      <c r="AC459" s="34">
        <v>5</v>
      </c>
      <c r="AD459" s="34">
        <v>24</v>
      </c>
      <c r="AE459" s="34">
        <v>40</v>
      </c>
      <c r="AF459" s="34">
        <v>100</v>
      </c>
      <c r="AG459" s="34">
        <v>3</v>
      </c>
      <c r="AH459" s="34">
        <v>40</v>
      </c>
      <c r="AI459" s="34">
        <v>212</v>
      </c>
    </row>
    <row r="460" spans="1:35" ht="15.75" customHeight="1">
      <c r="A460" s="34">
        <v>462</v>
      </c>
      <c r="B460" s="34" t="s">
        <v>571</v>
      </c>
      <c r="C460" s="34" t="s">
        <v>567</v>
      </c>
      <c r="D460" s="34">
        <v>7</v>
      </c>
      <c r="E460" s="34">
        <v>65</v>
      </c>
      <c r="F460" s="34">
        <v>10</v>
      </c>
      <c r="G460" s="34">
        <v>75</v>
      </c>
      <c r="H460" s="34">
        <v>9</v>
      </c>
      <c r="I460" s="34">
        <v>84</v>
      </c>
      <c r="J460" s="34">
        <v>12</v>
      </c>
      <c r="K460" s="34">
        <v>96</v>
      </c>
      <c r="L460" s="34">
        <v>11</v>
      </c>
      <c r="M460" s="34">
        <v>107</v>
      </c>
      <c r="N460" s="34">
        <v>8</v>
      </c>
      <c r="O460" s="34">
        <v>115</v>
      </c>
      <c r="P460" s="34">
        <v>7</v>
      </c>
      <c r="Q460" s="34">
        <v>122</v>
      </c>
      <c r="R460" s="34">
        <v>7</v>
      </c>
      <c r="S460" s="34">
        <v>131</v>
      </c>
      <c r="T460" s="34">
        <v>9</v>
      </c>
      <c r="U460" s="34">
        <v>137</v>
      </c>
      <c r="V460" s="34">
        <v>6</v>
      </c>
      <c r="W460" s="34">
        <v>145</v>
      </c>
      <c r="X460" s="34">
        <v>8</v>
      </c>
      <c r="Y460" s="34">
        <v>155</v>
      </c>
      <c r="Z460" s="34">
        <v>10</v>
      </c>
      <c r="AA460" s="34">
        <v>165</v>
      </c>
      <c r="AB460" s="34">
        <v>10</v>
      </c>
      <c r="AC460" s="34">
        <v>10</v>
      </c>
      <c r="AD460" s="34">
        <v>0</v>
      </c>
      <c r="AE460" s="34">
        <v>0</v>
      </c>
      <c r="AF460" s="34">
        <v>100</v>
      </c>
      <c r="AG460" s="34">
        <v>3</v>
      </c>
      <c r="AH460" s="34">
        <v>0</v>
      </c>
      <c r="AI460" s="34">
        <v>113</v>
      </c>
    </row>
    <row r="461" spans="1:35" ht="15.75" customHeight="1">
      <c r="A461" s="34">
        <v>463</v>
      </c>
      <c r="B461" s="34" t="s">
        <v>572</v>
      </c>
      <c r="C461" s="34" t="s">
        <v>567</v>
      </c>
      <c r="D461" s="34">
        <v>8</v>
      </c>
      <c r="E461" s="34">
        <v>126</v>
      </c>
      <c r="F461" s="34">
        <v>2</v>
      </c>
      <c r="G461" s="34">
        <v>128</v>
      </c>
      <c r="H461" s="34">
        <v>4</v>
      </c>
      <c r="I461" s="34">
        <v>132</v>
      </c>
      <c r="J461" s="34">
        <v>8</v>
      </c>
      <c r="K461" s="34">
        <v>140</v>
      </c>
      <c r="L461" s="34">
        <v>4</v>
      </c>
      <c r="M461" s="34">
        <v>144</v>
      </c>
      <c r="N461" s="34">
        <v>8</v>
      </c>
      <c r="O461" s="34">
        <v>152</v>
      </c>
      <c r="P461" s="34">
        <v>4</v>
      </c>
      <c r="Q461" s="34">
        <v>156</v>
      </c>
      <c r="R461" s="34">
        <v>4</v>
      </c>
      <c r="S461" s="34">
        <v>161</v>
      </c>
      <c r="T461" s="34">
        <v>5</v>
      </c>
      <c r="U461" s="34">
        <v>167</v>
      </c>
      <c r="V461" s="34">
        <v>6</v>
      </c>
      <c r="W461" s="34">
        <v>185</v>
      </c>
      <c r="X461" s="34">
        <v>18</v>
      </c>
      <c r="Y461" s="34">
        <v>200</v>
      </c>
      <c r="Z461" s="34">
        <v>15</v>
      </c>
      <c r="AA461" s="34">
        <v>222</v>
      </c>
      <c r="AB461" s="34">
        <v>22</v>
      </c>
      <c r="AC461" s="34">
        <v>22</v>
      </c>
      <c r="AD461" s="34">
        <v>0</v>
      </c>
      <c r="AE461" s="34">
        <v>0</v>
      </c>
      <c r="AG461" s="34">
        <v>3</v>
      </c>
      <c r="AH461" s="34">
        <v>0</v>
      </c>
      <c r="AI461" s="34">
        <v>25</v>
      </c>
    </row>
    <row r="462" spans="1:35" ht="15.75" customHeight="1">
      <c r="A462" s="34">
        <v>464</v>
      </c>
      <c r="B462" s="34" t="s">
        <v>574</v>
      </c>
      <c r="C462" s="34" t="s">
        <v>575</v>
      </c>
      <c r="D462" s="34">
        <v>1</v>
      </c>
      <c r="E462" s="34">
        <v>144</v>
      </c>
      <c r="F462" s="34">
        <v>4</v>
      </c>
      <c r="G462" s="34">
        <v>148</v>
      </c>
      <c r="H462" s="34">
        <v>5</v>
      </c>
      <c r="I462" s="34">
        <v>153</v>
      </c>
      <c r="J462" s="34">
        <v>7</v>
      </c>
      <c r="K462" s="34">
        <v>160</v>
      </c>
      <c r="L462" s="34">
        <v>4</v>
      </c>
      <c r="M462" s="34">
        <v>164</v>
      </c>
      <c r="N462" s="34">
        <v>4</v>
      </c>
      <c r="O462" s="34">
        <v>168</v>
      </c>
      <c r="P462" s="34">
        <v>3</v>
      </c>
      <c r="Q462" s="34">
        <v>171</v>
      </c>
      <c r="R462" s="34">
        <v>3</v>
      </c>
      <c r="S462" s="34">
        <v>175</v>
      </c>
      <c r="T462" s="34">
        <v>4</v>
      </c>
      <c r="U462" s="34">
        <v>177</v>
      </c>
      <c r="V462" s="34">
        <v>2</v>
      </c>
      <c r="W462" s="34">
        <v>180</v>
      </c>
      <c r="X462" s="34">
        <v>3</v>
      </c>
      <c r="Y462" s="34">
        <v>182</v>
      </c>
      <c r="Z462" s="34">
        <v>2</v>
      </c>
      <c r="AA462" s="34">
        <v>187</v>
      </c>
      <c r="AB462" s="34">
        <v>5</v>
      </c>
      <c r="AC462" s="34">
        <v>5</v>
      </c>
      <c r="AD462" s="34">
        <v>0</v>
      </c>
      <c r="AE462" s="34">
        <v>0</v>
      </c>
      <c r="AG462" s="34">
        <v>3</v>
      </c>
      <c r="AH462" s="34">
        <v>0</v>
      </c>
      <c r="AI462" s="34">
        <v>8</v>
      </c>
    </row>
    <row r="463" spans="1:35" ht="15.75" customHeight="1">
      <c r="A463" s="34">
        <v>465</v>
      </c>
      <c r="B463" s="34" t="s">
        <v>576</v>
      </c>
      <c r="C463" s="34" t="s">
        <v>575</v>
      </c>
      <c r="D463" s="34">
        <v>2</v>
      </c>
      <c r="E463" s="34">
        <v>754</v>
      </c>
      <c r="F463" s="34">
        <v>3</v>
      </c>
      <c r="G463" s="34">
        <v>757</v>
      </c>
      <c r="H463" s="34">
        <v>4</v>
      </c>
      <c r="I463" s="34">
        <v>761</v>
      </c>
      <c r="J463" s="34">
        <v>3</v>
      </c>
      <c r="K463" s="34">
        <v>764</v>
      </c>
      <c r="L463" s="34">
        <v>25</v>
      </c>
      <c r="M463" s="34">
        <v>789</v>
      </c>
      <c r="N463" s="34">
        <v>2</v>
      </c>
      <c r="O463" s="34">
        <v>791</v>
      </c>
      <c r="P463" s="34">
        <v>2</v>
      </c>
      <c r="Q463" s="34">
        <v>793</v>
      </c>
      <c r="R463" s="34">
        <v>2</v>
      </c>
      <c r="S463" s="34">
        <v>794</v>
      </c>
      <c r="T463" s="34">
        <v>1</v>
      </c>
      <c r="U463" s="34">
        <v>796</v>
      </c>
      <c r="V463" s="34">
        <v>2</v>
      </c>
      <c r="W463" s="34">
        <v>798</v>
      </c>
      <c r="X463" s="34">
        <v>2</v>
      </c>
      <c r="Y463" s="34">
        <v>799</v>
      </c>
      <c r="Z463" s="34">
        <v>1</v>
      </c>
      <c r="AA463" s="34">
        <v>799</v>
      </c>
      <c r="AB463" s="34">
        <v>0</v>
      </c>
      <c r="AC463" s="34">
        <v>5</v>
      </c>
      <c r="AD463" s="34">
        <v>0</v>
      </c>
      <c r="AE463" s="34">
        <v>0</v>
      </c>
      <c r="AG463" s="34">
        <v>3</v>
      </c>
      <c r="AH463" s="34">
        <v>0</v>
      </c>
      <c r="AI463" s="34">
        <v>8</v>
      </c>
    </row>
    <row r="464" spans="1:35" ht="15.75" customHeight="1">
      <c r="A464" s="34">
        <v>466</v>
      </c>
      <c r="B464" s="34" t="s">
        <v>577</v>
      </c>
      <c r="C464" s="34" t="s">
        <v>575</v>
      </c>
      <c r="D464" s="34">
        <v>4</v>
      </c>
      <c r="E464" s="34">
        <v>1056</v>
      </c>
      <c r="F464" s="34">
        <v>16</v>
      </c>
      <c r="G464" s="34">
        <v>1072</v>
      </c>
      <c r="H464" s="34">
        <v>14</v>
      </c>
      <c r="I464" s="34">
        <v>1086</v>
      </c>
      <c r="J464" s="34">
        <v>11</v>
      </c>
      <c r="K464" s="34">
        <v>1097</v>
      </c>
      <c r="L464" s="34">
        <v>15</v>
      </c>
      <c r="M464" s="34">
        <v>1112</v>
      </c>
      <c r="N464" s="34">
        <v>9</v>
      </c>
      <c r="O464" s="34">
        <v>1121</v>
      </c>
      <c r="P464" s="34">
        <v>0</v>
      </c>
      <c r="Q464" s="34">
        <v>1121</v>
      </c>
      <c r="R464" s="34">
        <v>0</v>
      </c>
      <c r="S464" s="34">
        <v>1126</v>
      </c>
      <c r="T464" s="34">
        <v>5</v>
      </c>
      <c r="U464" s="34">
        <v>1132</v>
      </c>
      <c r="V464" s="34">
        <v>6</v>
      </c>
      <c r="W464" s="34">
        <v>1140</v>
      </c>
      <c r="X464" s="34">
        <v>8</v>
      </c>
      <c r="Y464" s="34">
        <v>1167</v>
      </c>
      <c r="Z464" s="34">
        <v>27</v>
      </c>
      <c r="AA464" s="34">
        <v>1232</v>
      </c>
      <c r="AB464" s="34">
        <v>65</v>
      </c>
      <c r="AC464" s="34">
        <v>65</v>
      </c>
      <c r="AD464" s="34">
        <v>30</v>
      </c>
      <c r="AE464" s="34">
        <v>0</v>
      </c>
      <c r="AG464" s="34">
        <v>3</v>
      </c>
      <c r="AH464" s="34">
        <v>0</v>
      </c>
      <c r="AI464" s="34">
        <v>98</v>
      </c>
    </row>
    <row r="465" spans="1:35" ht="15.75" customHeight="1">
      <c r="A465" s="34">
        <v>467</v>
      </c>
      <c r="B465" s="34" t="s">
        <v>578</v>
      </c>
      <c r="C465" s="34" t="s">
        <v>575</v>
      </c>
      <c r="D465" s="34">
        <v>6</v>
      </c>
      <c r="E465" s="34">
        <v>153</v>
      </c>
      <c r="F465" s="34">
        <v>8</v>
      </c>
      <c r="G465" s="34">
        <v>161</v>
      </c>
      <c r="H465" s="34">
        <v>8</v>
      </c>
      <c r="I465" s="34">
        <v>169</v>
      </c>
      <c r="J465" s="34">
        <v>9</v>
      </c>
      <c r="K465" s="34">
        <v>178</v>
      </c>
      <c r="L465" s="34">
        <v>8</v>
      </c>
      <c r="M465" s="34">
        <v>186</v>
      </c>
      <c r="N465" s="34">
        <v>9</v>
      </c>
      <c r="O465" s="34">
        <v>195</v>
      </c>
      <c r="P465" s="34">
        <v>6</v>
      </c>
      <c r="Q465" s="34">
        <v>201</v>
      </c>
      <c r="R465" s="34">
        <v>6</v>
      </c>
      <c r="S465" s="34">
        <v>206</v>
      </c>
      <c r="T465" s="34">
        <v>5</v>
      </c>
      <c r="U465" s="34">
        <v>211</v>
      </c>
      <c r="V465" s="34">
        <v>5</v>
      </c>
      <c r="W465" s="34">
        <v>217</v>
      </c>
      <c r="X465" s="34">
        <v>6</v>
      </c>
      <c r="Y465" s="34">
        <v>223</v>
      </c>
      <c r="Z465" s="34">
        <v>6</v>
      </c>
      <c r="AA465" s="34">
        <v>229</v>
      </c>
      <c r="AB465" s="34">
        <v>6</v>
      </c>
      <c r="AC465" s="34">
        <v>6</v>
      </c>
      <c r="AD465" s="34">
        <v>9</v>
      </c>
      <c r="AE465" s="34">
        <v>0</v>
      </c>
      <c r="AG465" s="34">
        <v>3</v>
      </c>
      <c r="AH465" s="34">
        <v>0</v>
      </c>
      <c r="AI465" s="34">
        <v>18</v>
      </c>
    </row>
    <row r="466" spans="1:35" ht="15.75" customHeight="1">
      <c r="A466" s="34">
        <v>468</v>
      </c>
      <c r="B466" s="34" t="s">
        <v>579</v>
      </c>
      <c r="C466" s="34" t="s">
        <v>575</v>
      </c>
      <c r="D466" s="34">
        <v>7</v>
      </c>
      <c r="W466" s="34">
        <v>0</v>
      </c>
      <c r="X466" s="34">
        <v>0</v>
      </c>
      <c r="Y466" s="34">
        <v>8</v>
      </c>
      <c r="Z466" s="34">
        <v>8</v>
      </c>
      <c r="AA466" s="34">
        <v>14</v>
      </c>
      <c r="AB466" s="34">
        <v>6</v>
      </c>
      <c r="AC466" s="34">
        <v>6</v>
      </c>
      <c r="AD466" s="34">
        <v>0</v>
      </c>
      <c r="AE466" s="34">
        <v>0</v>
      </c>
      <c r="AF466" s="34">
        <v>100</v>
      </c>
      <c r="AG466" s="34">
        <v>3</v>
      </c>
      <c r="AH466" s="34">
        <v>0</v>
      </c>
      <c r="AI466" s="34">
        <v>109</v>
      </c>
    </row>
    <row r="467" spans="1:35" ht="15.75" customHeight="1">
      <c r="A467" s="34">
        <v>469</v>
      </c>
      <c r="B467" s="34" t="s">
        <v>580</v>
      </c>
      <c r="C467" s="34" t="s">
        <v>575</v>
      </c>
      <c r="D467" s="34">
        <v>8</v>
      </c>
      <c r="E467" s="34">
        <v>1031</v>
      </c>
      <c r="F467" s="34">
        <v>24</v>
      </c>
      <c r="G467" s="34">
        <v>1055</v>
      </c>
      <c r="H467" s="34">
        <v>33</v>
      </c>
      <c r="I467" s="34">
        <v>1088</v>
      </c>
      <c r="J467" s="34">
        <v>24</v>
      </c>
      <c r="K467" s="34">
        <v>1112</v>
      </c>
      <c r="L467" s="34">
        <v>29</v>
      </c>
      <c r="M467" s="34">
        <v>1141</v>
      </c>
      <c r="N467" s="34">
        <v>23</v>
      </c>
      <c r="O467" s="34">
        <v>1164</v>
      </c>
      <c r="P467" s="34">
        <v>32</v>
      </c>
      <c r="Q467" s="34">
        <v>1196</v>
      </c>
      <c r="R467" s="34">
        <v>32</v>
      </c>
      <c r="S467" s="34">
        <v>1214</v>
      </c>
      <c r="T467" s="34">
        <v>18</v>
      </c>
      <c r="U467" s="34">
        <v>1242</v>
      </c>
      <c r="V467" s="34">
        <v>28</v>
      </c>
      <c r="W467" s="34">
        <v>1274</v>
      </c>
      <c r="X467" s="34">
        <v>32</v>
      </c>
      <c r="Y467" s="34">
        <v>1301</v>
      </c>
      <c r="Z467" s="34">
        <v>27</v>
      </c>
      <c r="AA467" s="34">
        <v>1321</v>
      </c>
      <c r="AB467" s="34">
        <v>20</v>
      </c>
      <c r="AC467" s="34">
        <v>20</v>
      </c>
      <c r="AD467" s="34">
        <v>0</v>
      </c>
      <c r="AE467" s="34">
        <v>0</v>
      </c>
      <c r="AG467" s="34">
        <v>3</v>
      </c>
      <c r="AH467" s="34">
        <v>0</v>
      </c>
      <c r="AI467" s="34">
        <v>23</v>
      </c>
    </row>
    <row r="468" spans="1:35" ht="15.75" customHeight="1">
      <c r="A468" s="34">
        <v>470</v>
      </c>
      <c r="B468" s="34" t="s">
        <v>581</v>
      </c>
      <c r="C468" s="34" t="s">
        <v>575</v>
      </c>
      <c r="D468" s="34">
        <v>9</v>
      </c>
      <c r="E468" s="34">
        <v>38</v>
      </c>
      <c r="F468" s="34">
        <v>5</v>
      </c>
      <c r="G468" s="34">
        <v>43</v>
      </c>
      <c r="H468" s="34">
        <v>7</v>
      </c>
      <c r="I468" s="34">
        <v>50</v>
      </c>
      <c r="J468" s="34">
        <v>4</v>
      </c>
      <c r="K468" s="34">
        <v>54</v>
      </c>
      <c r="L468" s="34">
        <v>5</v>
      </c>
      <c r="M468" s="34">
        <v>59</v>
      </c>
      <c r="N468" s="34">
        <v>5</v>
      </c>
      <c r="O468" s="34">
        <v>64</v>
      </c>
      <c r="P468" s="34">
        <v>1</v>
      </c>
      <c r="Q468" s="34">
        <v>65</v>
      </c>
      <c r="R468" s="34">
        <v>1</v>
      </c>
      <c r="S468" s="34">
        <v>68</v>
      </c>
      <c r="T468" s="34">
        <v>3</v>
      </c>
      <c r="U468" s="34">
        <v>70</v>
      </c>
      <c r="V468" s="34">
        <v>2</v>
      </c>
      <c r="W468" s="34">
        <v>72</v>
      </c>
      <c r="X468" s="34">
        <v>2</v>
      </c>
      <c r="Y468" s="34">
        <v>75</v>
      </c>
      <c r="Z468" s="34">
        <v>3</v>
      </c>
      <c r="AA468" s="34">
        <v>78</v>
      </c>
      <c r="AB468" s="34">
        <v>3</v>
      </c>
      <c r="AC468" s="34">
        <v>5</v>
      </c>
      <c r="AD468" s="34">
        <v>0</v>
      </c>
      <c r="AE468" s="34">
        <v>0</v>
      </c>
      <c r="AG468" s="34">
        <v>3</v>
      </c>
      <c r="AH468" s="34">
        <v>0</v>
      </c>
      <c r="AI468" s="34">
        <v>8</v>
      </c>
    </row>
    <row r="469" spans="1:35" ht="15.75" customHeight="1">
      <c r="A469" s="34">
        <v>471</v>
      </c>
      <c r="B469" s="34" t="s">
        <v>582</v>
      </c>
      <c r="C469" s="34" t="s">
        <v>575</v>
      </c>
      <c r="D469" s="34">
        <v>10</v>
      </c>
      <c r="E469" s="34">
        <v>795</v>
      </c>
      <c r="F469" s="34">
        <v>7</v>
      </c>
      <c r="G469" s="34">
        <v>802</v>
      </c>
      <c r="H469" s="34">
        <v>9</v>
      </c>
      <c r="I469" s="34">
        <v>811</v>
      </c>
      <c r="J469" s="34">
        <v>6</v>
      </c>
      <c r="K469" s="34">
        <v>817</v>
      </c>
      <c r="L469" s="34">
        <v>7</v>
      </c>
      <c r="M469" s="34">
        <v>824</v>
      </c>
      <c r="N469" s="34">
        <v>5</v>
      </c>
      <c r="O469" s="34">
        <v>829</v>
      </c>
      <c r="P469" s="34">
        <v>7</v>
      </c>
      <c r="Q469" s="34">
        <v>836</v>
      </c>
      <c r="R469" s="34">
        <v>7</v>
      </c>
      <c r="S469" s="34">
        <v>841</v>
      </c>
      <c r="T469" s="34">
        <v>5</v>
      </c>
      <c r="U469" s="34">
        <v>848</v>
      </c>
      <c r="V469" s="34">
        <v>7</v>
      </c>
      <c r="W469" s="34">
        <v>853</v>
      </c>
      <c r="X469" s="34">
        <v>5</v>
      </c>
      <c r="Y469" s="34">
        <v>858</v>
      </c>
      <c r="Z469" s="34">
        <v>5</v>
      </c>
      <c r="AA469" s="34">
        <v>864</v>
      </c>
      <c r="AB469" s="34">
        <v>6</v>
      </c>
      <c r="AC469" s="34">
        <v>6</v>
      </c>
      <c r="AD469" s="34">
        <v>0</v>
      </c>
      <c r="AE469" s="34">
        <v>0</v>
      </c>
      <c r="AG469" s="34">
        <v>3</v>
      </c>
      <c r="AH469" s="34">
        <v>0</v>
      </c>
      <c r="AI469" s="34">
        <v>9</v>
      </c>
    </row>
    <row r="470" spans="1:35" ht="15.75" customHeight="1">
      <c r="A470" s="34">
        <v>472</v>
      </c>
      <c r="B470" s="34" t="s">
        <v>583</v>
      </c>
      <c r="C470" s="34" t="s">
        <v>575</v>
      </c>
      <c r="D470" s="34">
        <v>11</v>
      </c>
      <c r="E470" s="34">
        <v>20</v>
      </c>
      <c r="F470" s="34">
        <v>1</v>
      </c>
      <c r="G470" s="34">
        <v>21</v>
      </c>
      <c r="H470" s="34">
        <v>1</v>
      </c>
      <c r="I470" s="34">
        <v>22</v>
      </c>
      <c r="J470" s="34">
        <v>2</v>
      </c>
      <c r="K470" s="34">
        <v>24</v>
      </c>
      <c r="L470" s="34">
        <v>1</v>
      </c>
      <c r="M470" s="34">
        <v>25</v>
      </c>
      <c r="N470" s="34">
        <v>2</v>
      </c>
      <c r="O470" s="34">
        <v>27</v>
      </c>
      <c r="P470" s="34">
        <v>2</v>
      </c>
      <c r="Q470" s="34">
        <v>29</v>
      </c>
      <c r="R470" s="34">
        <v>2</v>
      </c>
      <c r="S470" s="34">
        <v>30</v>
      </c>
      <c r="T470" s="34">
        <v>1</v>
      </c>
      <c r="U470" s="34">
        <v>32</v>
      </c>
      <c r="V470" s="34">
        <v>2</v>
      </c>
      <c r="W470" s="34">
        <v>35</v>
      </c>
      <c r="X470" s="34">
        <v>3</v>
      </c>
      <c r="Y470" s="34">
        <v>39</v>
      </c>
      <c r="Z470" s="34">
        <v>4</v>
      </c>
      <c r="AA470" s="34">
        <v>44</v>
      </c>
      <c r="AB470" s="34">
        <v>5</v>
      </c>
      <c r="AC470" s="34">
        <v>5</v>
      </c>
      <c r="AD470" s="34">
        <v>8</v>
      </c>
      <c r="AE470" s="34">
        <v>0</v>
      </c>
      <c r="AF470" s="34">
        <v>100</v>
      </c>
      <c r="AG470" s="34">
        <v>3</v>
      </c>
      <c r="AH470" s="34">
        <v>0</v>
      </c>
      <c r="AI470" s="34">
        <v>116</v>
      </c>
    </row>
    <row r="471" spans="1:35" ht="15.75" customHeight="1">
      <c r="A471" s="34">
        <v>473</v>
      </c>
      <c r="B471" s="34" t="s">
        <v>584</v>
      </c>
      <c r="C471" s="34" t="s">
        <v>575</v>
      </c>
      <c r="D471" s="34">
        <v>13</v>
      </c>
      <c r="E471" s="34">
        <v>189</v>
      </c>
      <c r="F471" s="34">
        <v>2</v>
      </c>
      <c r="G471" s="34">
        <v>191</v>
      </c>
      <c r="H471" s="34">
        <v>3</v>
      </c>
      <c r="I471" s="34">
        <v>194</v>
      </c>
      <c r="J471" s="34">
        <v>2</v>
      </c>
      <c r="K471" s="34">
        <v>196</v>
      </c>
      <c r="L471" s="34">
        <v>2</v>
      </c>
      <c r="M471" s="34">
        <v>198</v>
      </c>
      <c r="N471" s="34">
        <v>3</v>
      </c>
      <c r="O471" s="34">
        <v>201</v>
      </c>
      <c r="P471" s="34">
        <v>2</v>
      </c>
      <c r="Q471" s="34">
        <v>203</v>
      </c>
      <c r="R471" s="34">
        <v>2</v>
      </c>
      <c r="S471" s="34">
        <v>204</v>
      </c>
      <c r="T471" s="34">
        <v>1</v>
      </c>
      <c r="U471" s="34">
        <v>206</v>
      </c>
      <c r="V471" s="34">
        <v>2</v>
      </c>
      <c r="W471" s="34">
        <v>208</v>
      </c>
      <c r="X471" s="34">
        <v>2</v>
      </c>
      <c r="Y471" s="34">
        <v>210</v>
      </c>
      <c r="Z471" s="34">
        <v>2</v>
      </c>
      <c r="AA471" s="34">
        <v>213</v>
      </c>
      <c r="AB471" s="34">
        <v>3</v>
      </c>
      <c r="AC471" s="34">
        <v>5</v>
      </c>
      <c r="AD471" s="34">
        <v>0</v>
      </c>
      <c r="AE471" s="34">
        <v>0</v>
      </c>
      <c r="AG471" s="34">
        <v>3</v>
      </c>
      <c r="AH471" s="34">
        <v>0</v>
      </c>
      <c r="AI471" s="34">
        <v>8</v>
      </c>
    </row>
    <row r="472" spans="1:35" ht="15.75" customHeight="1">
      <c r="A472" s="34">
        <v>474</v>
      </c>
      <c r="B472" s="34" t="s">
        <v>2756</v>
      </c>
      <c r="C472" s="34" t="s">
        <v>586</v>
      </c>
      <c r="D472" s="34">
        <v>1</v>
      </c>
      <c r="E472" s="34">
        <v>30</v>
      </c>
      <c r="F472" s="34">
        <v>2</v>
      </c>
      <c r="G472" s="34">
        <v>32</v>
      </c>
      <c r="H472" s="34">
        <v>4</v>
      </c>
      <c r="I472" s="34">
        <v>36</v>
      </c>
      <c r="J472" s="34">
        <v>4</v>
      </c>
      <c r="K472" s="34">
        <v>40</v>
      </c>
      <c r="L472" s="34">
        <v>5</v>
      </c>
      <c r="M472" s="34">
        <v>45</v>
      </c>
      <c r="N472" s="34">
        <v>1</v>
      </c>
      <c r="O472" s="34">
        <v>46</v>
      </c>
      <c r="P472" s="34">
        <v>3</v>
      </c>
      <c r="Q472" s="34">
        <v>49</v>
      </c>
      <c r="R472" s="34">
        <v>3</v>
      </c>
      <c r="S472" s="34">
        <v>51</v>
      </c>
      <c r="T472" s="34">
        <v>2</v>
      </c>
      <c r="U472" s="34">
        <v>54</v>
      </c>
      <c r="V472" s="34">
        <v>3</v>
      </c>
      <c r="W472" s="34">
        <v>56</v>
      </c>
      <c r="X472" s="34">
        <v>2</v>
      </c>
      <c r="Y472" s="34">
        <v>58</v>
      </c>
      <c r="Z472" s="34">
        <v>2</v>
      </c>
      <c r="AA472" s="34">
        <v>61</v>
      </c>
      <c r="AB472" s="34">
        <v>3</v>
      </c>
      <c r="AC472" s="34">
        <v>5</v>
      </c>
      <c r="AD472" s="34">
        <v>8</v>
      </c>
      <c r="AE472" s="34">
        <v>0</v>
      </c>
      <c r="AG472" s="34">
        <v>3</v>
      </c>
      <c r="AH472" s="34">
        <v>0</v>
      </c>
      <c r="AI472" s="34">
        <v>16</v>
      </c>
    </row>
    <row r="473" spans="1:35" ht="15.75" customHeight="1">
      <c r="A473" s="34">
        <v>475</v>
      </c>
      <c r="B473" s="34" t="s">
        <v>587</v>
      </c>
      <c r="C473" s="34" t="s">
        <v>586</v>
      </c>
      <c r="D473" s="34">
        <v>2</v>
      </c>
      <c r="E473" s="34">
        <v>438</v>
      </c>
      <c r="F473" s="34">
        <v>17</v>
      </c>
      <c r="G473" s="34">
        <v>455</v>
      </c>
      <c r="H473" s="34">
        <v>0</v>
      </c>
      <c r="I473" s="34">
        <v>455</v>
      </c>
      <c r="J473" s="34">
        <v>8</v>
      </c>
      <c r="K473" s="34">
        <v>463</v>
      </c>
      <c r="L473" s="34">
        <v>8</v>
      </c>
      <c r="M473" s="34">
        <v>471</v>
      </c>
      <c r="N473" s="34">
        <v>9</v>
      </c>
      <c r="O473" s="34">
        <v>480</v>
      </c>
      <c r="P473" s="34">
        <v>6</v>
      </c>
      <c r="Q473" s="34">
        <v>486</v>
      </c>
      <c r="R473" s="34">
        <v>6</v>
      </c>
      <c r="S473" s="34">
        <v>491</v>
      </c>
      <c r="T473" s="34">
        <v>5</v>
      </c>
      <c r="U473" s="34">
        <v>496</v>
      </c>
      <c r="V473" s="34">
        <v>5</v>
      </c>
      <c r="W473" s="34">
        <v>501</v>
      </c>
      <c r="X473" s="34">
        <v>5</v>
      </c>
      <c r="Y473" s="34">
        <v>507</v>
      </c>
      <c r="Z473" s="34">
        <v>6</v>
      </c>
      <c r="AA473" s="34">
        <v>514</v>
      </c>
      <c r="AB473" s="34">
        <v>7</v>
      </c>
      <c r="AC473" s="34">
        <v>7</v>
      </c>
      <c r="AD473" s="34">
        <v>0</v>
      </c>
      <c r="AE473" s="34">
        <v>0</v>
      </c>
      <c r="AG473" s="34">
        <v>3</v>
      </c>
      <c r="AH473" s="34">
        <v>0</v>
      </c>
      <c r="AI473" s="34">
        <v>10</v>
      </c>
    </row>
    <row r="474" spans="1:35" ht="15.75" customHeight="1">
      <c r="A474" s="34">
        <v>476</v>
      </c>
      <c r="B474" s="34" t="s">
        <v>588</v>
      </c>
      <c r="C474" s="34" t="s">
        <v>586</v>
      </c>
      <c r="D474" s="34">
        <v>3</v>
      </c>
      <c r="E474" s="34">
        <v>695</v>
      </c>
      <c r="F474" s="34">
        <v>7</v>
      </c>
      <c r="G474" s="34">
        <v>702</v>
      </c>
      <c r="H474" s="34">
        <v>9</v>
      </c>
      <c r="I474" s="34">
        <v>711</v>
      </c>
      <c r="J474" s="34">
        <v>6</v>
      </c>
      <c r="K474" s="34">
        <v>717</v>
      </c>
      <c r="L474" s="34">
        <v>8</v>
      </c>
      <c r="M474" s="34">
        <v>725</v>
      </c>
      <c r="N474" s="34">
        <v>7</v>
      </c>
      <c r="O474" s="34">
        <v>732</v>
      </c>
      <c r="P474" s="34">
        <v>4</v>
      </c>
      <c r="Q474" s="34">
        <v>736</v>
      </c>
      <c r="R474" s="34">
        <v>4</v>
      </c>
      <c r="S474" s="34">
        <v>743</v>
      </c>
      <c r="T474" s="34">
        <v>7</v>
      </c>
      <c r="U474" s="34">
        <v>746</v>
      </c>
      <c r="V474" s="34">
        <v>3</v>
      </c>
      <c r="W474" s="34">
        <v>753</v>
      </c>
      <c r="X474" s="34">
        <v>7</v>
      </c>
      <c r="Y474" s="34">
        <v>759</v>
      </c>
      <c r="Z474" s="34">
        <v>6</v>
      </c>
      <c r="AA474" s="34">
        <v>763</v>
      </c>
      <c r="AB474" s="34">
        <v>4</v>
      </c>
      <c r="AC474" s="34">
        <v>5</v>
      </c>
      <c r="AD474" s="34">
        <v>0</v>
      </c>
      <c r="AE474" s="34">
        <v>0</v>
      </c>
      <c r="AG474" s="34">
        <v>3</v>
      </c>
      <c r="AH474" s="34">
        <v>0</v>
      </c>
      <c r="AI474" s="34">
        <v>8</v>
      </c>
    </row>
    <row r="475" spans="1:35" ht="15.75" customHeight="1">
      <c r="A475" s="34">
        <v>477</v>
      </c>
      <c r="B475" s="34" t="s">
        <v>589</v>
      </c>
      <c r="C475" s="34" t="s">
        <v>586</v>
      </c>
      <c r="D475" s="34">
        <v>4</v>
      </c>
      <c r="E475" s="34">
        <v>865</v>
      </c>
      <c r="F475" s="34">
        <v>11</v>
      </c>
      <c r="G475" s="34">
        <v>876</v>
      </c>
      <c r="H475" s="34">
        <v>15</v>
      </c>
      <c r="I475" s="34">
        <v>891</v>
      </c>
      <c r="J475" s="34">
        <v>12</v>
      </c>
      <c r="K475" s="34">
        <v>903</v>
      </c>
      <c r="L475" s="34">
        <v>12</v>
      </c>
      <c r="M475" s="34">
        <v>915</v>
      </c>
      <c r="N475" s="34">
        <v>8</v>
      </c>
      <c r="O475" s="34">
        <v>923</v>
      </c>
      <c r="P475" s="34">
        <v>7</v>
      </c>
      <c r="Q475" s="34">
        <v>930</v>
      </c>
      <c r="R475" s="34">
        <v>7</v>
      </c>
      <c r="S475" s="34">
        <v>936</v>
      </c>
      <c r="T475" s="34">
        <v>6</v>
      </c>
      <c r="U475" s="34">
        <v>940</v>
      </c>
      <c r="V475" s="34">
        <v>4</v>
      </c>
      <c r="W475" s="34">
        <v>944</v>
      </c>
      <c r="X475" s="34">
        <v>4</v>
      </c>
      <c r="Y475" s="34">
        <v>948</v>
      </c>
      <c r="Z475" s="34">
        <v>4</v>
      </c>
      <c r="AA475" s="34">
        <v>956</v>
      </c>
      <c r="AB475" s="34">
        <v>8</v>
      </c>
      <c r="AC475" s="34">
        <v>8</v>
      </c>
      <c r="AD475" s="34">
        <v>0</v>
      </c>
      <c r="AE475" s="34">
        <v>0</v>
      </c>
      <c r="AG475" s="34">
        <v>3</v>
      </c>
      <c r="AH475" s="34">
        <v>0</v>
      </c>
      <c r="AI475" s="34">
        <v>11</v>
      </c>
    </row>
    <row r="476" spans="1:35" ht="15.75" customHeight="1">
      <c r="A476" s="34">
        <v>478</v>
      </c>
      <c r="B476" s="34" t="s">
        <v>590</v>
      </c>
      <c r="C476" s="34" t="s">
        <v>586</v>
      </c>
      <c r="D476" s="34">
        <v>5</v>
      </c>
      <c r="E476" s="34">
        <v>660</v>
      </c>
      <c r="F476" s="34">
        <v>15</v>
      </c>
      <c r="G476" s="34">
        <v>675</v>
      </c>
      <c r="H476" s="34">
        <v>12</v>
      </c>
      <c r="I476" s="34">
        <v>687</v>
      </c>
      <c r="J476" s="34">
        <v>13</v>
      </c>
      <c r="K476" s="34">
        <v>700</v>
      </c>
      <c r="L476" s="34">
        <v>13</v>
      </c>
      <c r="M476" s="34">
        <v>713</v>
      </c>
      <c r="N476" s="34">
        <v>19</v>
      </c>
      <c r="O476" s="34">
        <v>732</v>
      </c>
      <c r="P476" s="34">
        <v>8</v>
      </c>
      <c r="Q476" s="34">
        <v>740</v>
      </c>
      <c r="R476" s="34">
        <v>8</v>
      </c>
      <c r="S476" s="34">
        <v>748</v>
      </c>
      <c r="T476" s="34">
        <v>8</v>
      </c>
      <c r="U476" s="34">
        <v>762</v>
      </c>
      <c r="V476" s="34">
        <v>14</v>
      </c>
      <c r="W476" s="34">
        <v>773</v>
      </c>
      <c r="X476" s="34">
        <v>11</v>
      </c>
      <c r="Y476" s="34">
        <v>779</v>
      </c>
      <c r="Z476" s="34">
        <v>6</v>
      </c>
      <c r="AA476" s="34">
        <v>787</v>
      </c>
      <c r="AB476" s="34">
        <v>8</v>
      </c>
      <c r="AC476" s="34">
        <v>8</v>
      </c>
      <c r="AD476" s="34">
        <v>0</v>
      </c>
      <c r="AE476" s="34">
        <v>0</v>
      </c>
      <c r="AG476" s="34">
        <v>3</v>
      </c>
      <c r="AH476" s="34">
        <v>0</v>
      </c>
      <c r="AI476" s="34">
        <v>11</v>
      </c>
    </row>
    <row r="477" spans="1:35" ht="15.75" customHeight="1">
      <c r="A477" s="34">
        <v>479</v>
      </c>
      <c r="B477" s="34" t="s">
        <v>591</v>
      </c>
      <c r="C477" s="34" t="s">
        <v>592</v>
      </c>
      <c r="D477" s="34">
        <v>1</v>
      </c>
      <c r="E477" s="34">
        <v>26</v>
      </c>
      <c r="F477" s="34">
        <v>0</v>
      </c>
      <c r="G477" s="34">
        <v>26</v>
      </c>
      <c r="H477" s="34">
        <v>0</v>
      </c>
      <c r="I477" s="34">
        <v>26</v>
      </c>
      <c r="J477" s="34">
        <v>0</v>
      </c>
      <c r="K477" s="34">
        <v>26</v>
      </c>
      <c r="L477" s="34">
        <v>0</v>
      </c>
      <c r="M477" s="34">
        <v>26</v>
      </c>
      <c r="N477" s="34">
        <v>0</v>
      </c>
      <c r="O477" s="34">
        <v>26</v>
      </c>
      <c r="P477" s="34">
        <v>0</v>
      </c>
      <c r="Q477" s="34">
        <v>26</v>
      </c>
      <c r="R477" s="34">
        <v>0</v>
      </c>
      <c r="S477" s="34">
        <v>26</v>
      </c>
      <c r="T477" s="34">
        <v>0</v>
      </c>
      <c r="U477" s="34">
        <v>26</v>
      </c>
      <c r="V477" s="34">
        <v>0</v>
      </c>
      <c r="W477" s="34">
        <v>26</v>
      </c>
      <c r="X477" s="34">
        <v>0</v>
      </c>
      <c r="Y477" s="34">
        <v>27</v>
      </c>
      <c r="Z477" s="34">
        <v>1</v>
      </c>
      <c r="AA477" s="34">
        <v>27</v>
      </c>
      <c r="AB477" s="34">
        <v>0</v>
      </c>
      <c r="AC477" s="34">
        <v>5</v>
      </c>
      <c r="AD477" s="34">
        <v>0</v>
      </c>
      <c r="AE477" s="34">
        <v>0</v>
      </c>
      <c r="AG477" s="34">
        <v>3</v>
      </c>
      <c r="AH477" s="34">
        <v>0</v>
      </c>
      <c r="AI477" s="34">
        <v>8</v>
      </c>
    </row>
    <row r="478" spans="1:35" ht="15.75" customHeight="1">
      <c r="A478" s="34">
        <v>480</v>
      </c>
      <c r="B478" s="34" t="s">
        <v>593</v>
      </c>
      <c r="C478" s="34" t="s">
        <v>592</v>
      </c>
      <c r="D478" s="34">
        <v>3</v>
      </c>
      <c r="E478" s="34">
        <v>160</v>
      </c>
      <c r="F478" s="34">
        <v>6</v>
      </c>
      <c r="G478" s="34">
        <v>166</v>
      </c>
      <c r="H478" s="34">
        <v>10</v>
      </c>
      <c r="I478" s="34">
        <v>176</v>
      </c>
      <c r="J478" s="34">
        <v>7</v>
      </c>
      <c r="K478" s="34">
        <v>183</v>
      </c>
      <c r="L478" s="34">
        <v>7</v>
      </c>
      <c r="M478" s="34">
        <v>190</v>
      </c>
      <c r="N478" s="34">
        <v>9</v>
      </c>
      <c r="O478" s="34">
        <v>199</v>
      </c>
      <c r="P478" s="34">
        <v>6</v>
      </c>
      <c r="Q478" s="34">
        <v>205</v>
      </c>
      <c r="R478" s="34">
        <v>6</v>
      </c>
      <c r="S478" s="34">
        <v>211</v>
      </c>
      <c r="T478" s="34">
        <v>6</v>
      </c>
      <c r="U478" s="34">
        <v>216</v>
      </c>
      <c r="V478" s="34">
        <v>5</v>
      </c>
      <c r="W478" s="34">
        <v>221</v>
      </c>
      <c r="X478" s="34">
        <v>5</v>
      </c>
      <c r="Y478" s="34">
        <v>227</v>
      </c>
      <c r="Z478" s="34">
        <v>6</v>
      </c>
      <c r="AA478" s="34">
        <v>233</v>
      </c>
      <c r="AB478" s="34">
        <v>6</v>
      </c>
      <c r="AC478" s="34">
        <v>6</v>
      </c>
      <c r="AD478" s="34">
        <v>0</v>
      </c>
      <c r="AE478" s="34">
        <v>0</v>
      </c>
      <c r="AG478" s="34">
        <v>3</v>
      </c>
      <c r="AH478" s="34">
        <v>0</v>
      </c>
      <c r="AI478" s="34">
        <v>9</v>
      </c>
    </row>
    <row r="479" spans="1:35" ht="15.75" customHeight="1">
      <c r="A479" s="34">
        <v>481</v>
      </c>
      <c r="B479" s="34" t="s">
        <v>2757</v>
      </c>
      <c r="C479" s="34" t="s">
        <v>592</v>
      </c>
      <c r="D479" s="34">
        <v>5</v>
      </c>
      <c r="E479" s="34">
        <v>308</v>
      </c>
      <c r="F479" s="34">
        <v>6</v>
      </c>
      <c r="G479" s="34">
        <v>314</v>
      </c>
      <c r="H479" s="34">
        <v>9</v>
      </c>
      <c r="I479" s="34">
        <v>323</v>
      </c>
      <c r="J479" s="34">
        <v>9</v>
      </c>
      <c r="K479" s="34">
        <v>332</v>
      </c>
      <c r="L479" s="34">
        <v>7</v>
      </c>
      <c r="M479" s="34">
        <v>339</v>
      </c>
      <c r="N479" s="34">
        <v>8</v>
      </c>
      <c r="O479" s="34">
        <v>347</v>
      </c>
      <c r="P479" s="34">
        <v>6</v>
      </c>
      <c r="Q479" s="34">
        <v>353</v>
      </c>
      <c r="R479" s="34">
        <v>6</v>
      </c>
      <c r="S479" s="34">
        <v>362</v>
      </c>
      <c r="T479" s="34">
        <v>9</v>
      </c>
      <c r="U479" s="34">
        <v>367</v>
      </c>
      <c r="V479" s="34">
        <v>5</v>
      </c>
      <c r="W479" s="34">
        <v>374</v>
      </c>
      <c r="X479" s="34">
        <v>7</v>
      </c>
      <c r="Y479" s="34">
        <v>379</v>
      </c>
      <c r="Z479" s="34">
        <v>5</v>
      </c>
      <c r="AA479" s="34">
        <v>386</v>
      </c>
      <c r="AB479" s="34">
        <v>7</v>
      </c>
      <c r="AC479" s="34">
        <v>7</v>
      </c>
      <c r="AD479" s="34">
        <v>0</v>
      </c>
      <c r="AE479" s="34">
        <v>0</v>
      </c>
      <c r="AG479" s="34">
        <v>3</v>
      </c>
      <c r="AH479" s="34">
        <v>20</v>
      </c>
      <c r="AI479" s="34">
        <v>30</v>
      </c>
    </row>
    <row r="480" spans="1:35" ht="15.75" customHeight="1">
      <c r="A480" s="34">
        <v>482</v>
      </c>
      <c r="B480" s="34" t="s">
        <v>595</v>
      </c>
      <c r="C480" s="34" t="s">
        <v>592</v>
      </c>
      <c r="D480" s="34">
        <v>6</v>
      </c>
      <c r="E480" s="34">
        <v>134</v>
      </c>
      <c r="F480" s="34">
        <v>3</v>
      </c>
      <c r="G480" s="34">
        <v>137</v>
      </c>
      <c r="H480" s="34">
        <v>0</v>
      </c>
      <c r="I480" s="34">
        <v>137</v>
      </c>
      <c r="J480" s="34">
        <v>0</v>
      </c>
      <c r="K480" s="34">
        <v>137</v>
      </c>
      <c r="L480" s="34">
        <v>0</v>
      </c>
      <c r="M480" s="34">
        <v>137</v>
      </c>
      <c r="N480" s="34">
        <v>0</v>
      </c>
      <c r="O480" s="34">
        <v>137</v>
      </c>
      <c r="P480" s="34">
        <v>0</v>
      </c>
      <c r="Q480" s="34">
        <v>137</v>
      </c>
      <c r="R480" s="34">
        <v>0</v>
      </c>
      <c r="S480" s="34">
        <v>138</v>
      </c>
      <c r="T480" s="34">
        <v>1</v>
      </c>
      <c r="U480" s="34">
        <v>140</v>
      </c>
      <c r="V480" s="34">
        <v>2</v>
      </c>
      <c r="W480" s="34">
        <v>144</v>
      </c>
      <c r="X480" s="34">
        <v>4</v>
      </c>
      <c r="Y480" s="34">
        <v>148</v>
      </c>
      <c r="Z480" s="34">
        <v>4</v>
      </c>
      <c r="AA480" s="34">
        <v>150</v>
      </c>
      <c r="AB480" s="34">
        <v>2</v>
      </c>
      <c r="AC480" s="34">
        <v>5</v>
      </c>
      <c r="AD480" s="34">
        <v>0</v>
      </c>
      <c r="AE480" s="34">
        <v>0</v>
      </c>
      <c r="AG480" s="34">
        <v>3</v>
      </c>
      <c r="AH480" s="34">
        <v>0</v>
      </c>
      <c r="AI480" s="34">
        <v>8</v>
      </c>
    </row>
    <row r="481" spans="1:35" ht="15.75" customHeight="1">
      <c r="A481" s="34">
        <v>483</v>
      </c>
      <c r="B481" s="34" t="s">
        <v>596</v>
      </c>
      <c r="C481" s="34" t="s">
        <v>592</v>
      </c>
      <c r="D481" s="34">
        <v>7</v>
      </c>
      <c r="E481" s="34">
        <v>245</v>
      </c>
      <c r="F481" s="34">
        <v>9</v>
      </c>
      <c r="G481" s="34">
        <v>254</v>
      </c>
      <c r="H481" s="34">
        <v>8</v>
      </c>
      <c r="I481" s="34">
        <v>262</v>
      </c>
      <c r="J481" s="34">
        <v>6</v>
      </c>
      <c r="K481" s="34">
        <v>268</v>
      </c>
      <c r="L481" s="34">
        <v>7</v>
      </c>
      <c r="M481" s="34">
        <v>275</v>
      </c>
      <c r="N481" s="34">
        <v>7</v>
      </c>
      <c r="O481" s="34">
        <v>282</v>
      </c>
      <c r="P481" s="34">
        <v>6</v>
      </c>
      <c r="Q481" s="34">
        <v>288</v>
      </c>
      <c r="R481" s="34">
        <v>6</v>
      </c>
      <c r="S481" s="34">
        <v>295</v>
      </c>
      <c r="T481" s="34">
        <v>7</v>
      </c>
      <c r="U481" s="34">
        <v>303</v>
      </c>
      <c r="V481" s="34">
        <v>8</v>
      </c>
      <c r="W481" s="34">
        <v>304</v>
      </c>
      <c r="X481" s="34">
        <v>1</v>
      </c>
      <c r="Y481" s="34">
        <v>319</v>
      </c>
      <c r="Z481" s="34">
        <v>15</v>
      </c>
      <c r="AA481" s="34">
        <v>327</v>
      </c>
      <c r="AB481" s="34">
        <v>8</v>
      </c>
      <c r="AC481" s="34">
        <v>8</v>
      </c>
      <c r="AD481" s="34">
        <v>0</v>
      </c>
      <c r="AE481" s="34">
        <v>0</v>
      </c>
      <c r="AG481" s="34">
        <v>3</v>
      </c>
      <c r="AH481" s="34">
        <v>0</v>
      </c>
      <c r="AI481" s="34">
        <v>11</v>
      </c>
    </row>
    <row r="482" spans="1:35" ht="15.75" customHeight="1">
      <c r="A482" s="34">
        <v>484</v>
      </c>
      <c r="B482" s="34" t="s">
        <v>2758</v>
      </c>
      <c r="C482" s="34" t="s">
        <v>592</v>
      </c>
      <c r="D482" s="34">
        <v>8</v>
      </c>
      <c r="E482" s="34">
        <v>62</v>
      </c>
      <c r="F482" s="34">
        <v>1</v>
      </c>
      <c r="G482" s="34">
        <v>63</v>
      </c>
      <c r="H482" s="34">
        <v>0</v>
      </c>
      <c r="I482" s="34">
        <v>63</v>
      </c>
      <c r="J482" s="34">
        <v>0</v>
      </c>
      <c r="K482" s="34">
        <v>63</v>
      </c>
      <c r="L482" s="34">
        <v>0</v>
      </c>
      <c r="M482" s="34">
        <v>63</v>
      </c>
      <c r="N482" s="34">
        <v>0</v>
      </c>
      <c r="O482" s="34">
        <v>63</v>
      </c>
      <c r="P482" s="34">
        <v>0</v>
      </c>
      <c r="Q482" s="34">
        <v>63</v>
      </c>
      <c r="R482" s="34">
        <v>0</v>
      </c>
      <c r="S482" s="34">
        <v>66</v>
      </c>
      <c r="T482" s="34">
        <v>3</v>
      </c>
      <c r="U482" s="34">
        <v>66</v>
      </c>
      <c r="V482" s="34">
        <v>0</v>
      </c>
      <c r="W482" s="34">
        <v>66</v>
      </c>
      <c r="X482" s="34">
        <v>0</v>
      </c>
      <c r="Y482" s="34">
        <v>81</v>
      </c>
      <c r="Z482" s="34">
        <v>15</v>
      </c>
      <c r="AA482" s="34">
        <v>84</v>
      </c>
      <c r="AB482" s="34">
        <v>3</v>
      </c>
      <c r="AC482" s="34">
        <v>5</v>
      </c>
      <c r="AD482" s="34">
        <v>0</v>
      </c>
      <c r="AE482" s="34">
        <v>0</v>
      </c>
      <c r="AG482" s="34">
        <v>3</v>
      </c>
      <c r="AH482" s="34">
        <v>0</v>
      </c>
      <c r="AI482" s="34">
        <v>8</v>
      </c>
    </row>
    <row r="483" spans="1:35" ht="15.75" customHeight="1">
      <c r="A483" s="34">
        <v>485</v>
      </c>
      <c r="B483" s="34" t="s">
        <v>598</v>
      </c>
      <c r="C483" s="34" t="s">
        <v>592</v>
      </c>
      <c r="D483" s="34">
        <v>10</v>
      </c>
      <c r="E483" s="34">
        <v>279</v>
      </c>
      <c r="F483" s="34">
        <v>6</v>
      </c>
      <c r="G483" s="34">
        <v>285</v>
      </c>
      <c r="H483" s="34">
        <v>6</v>
      </c>
      <c r="I483" s="34">
        <v>291</v>
      </c>
      <c r="J483" s="34">
        <v>7</v>
      </c>
      <c r="K483" s="34">
        <v>298</v>
      </c>
      <c r="L483" s="34">
        <v>3</v>
      </c>
      <c r="M483" s="34">
        <v>301</v>
      </c>
      <c r="N483" s="34">
        <v>4</v>
      </c>
      <c r="O483" s="34">
        <v>305</v>
      </c>
      <c r="P483" s="34">
        <v>4</v>
      </c>
      <c r="Q483" s="34">
        <v>309</v>
      </c>
      <c r="R483" s="34">
        <v>4</v>
      </c>
      <c r="S483" s="34">
        <v>311</v>
      </c>
      <c r="T483" s="34">
        <v>2</v>
      </c>
      <c r="U483" s="34">
        <v>315</v>
      </c>
      <c r="V483" s="34">
        <v>4</v>
      </c>
      <c r="W483" s="34">
        <v>317</v>
      </c>
      <c r="X483" s="34">
        <v>2</v>
      </c>
      <c r="Y483" s="34">
        <v>321</v>
      </c>
      <c r="Z483" s="34">
        <v>4</v>
      </c>
      <c r="AA483" s="34">
        <v>323</v>
      </c>
      <c r="AB483" s="34">
        <v>2</v>
      </c>
      <c r="AC483" s="34">
        <v>5</v>
      </c>
      <c r="AD483" s="34">
        <v>8</v>
      </c>
      <c r="AE483" s="34">
        <v>0</v>
      </c>
      <c r="AG483" s="34">
        <v>3</v>
      </c>
      <c r="AH483" s="34">
        <v>0</v>
      </c>
      <c r="AI483" s="34">
        <v>16</v>
      </c>
    </row>
    <row r="484" spans="1:35" ht="15.75" customHeight="1">
      <c r="A484" s="34">
        <v>486</v>
      </c>
      <c r="B484" s="34" t="s">
        <v>600</v>
      </c>
      <c r="C484" s="34" t="s">
        <v>592</v>
      </c>
      <c r="D484" s="34">
        <v>11</v>
      </c>
      <c r="E484" s="34">
        <v>481</v>
      </c>
      <c r="F484" s="34">
        <v>7</v>
      </c>
      <c r="G484" s="34">
        <v>488</v>
      </c>
      <c r="H484" s="34">
        <v>9</v>
      </c>
      <c r="I484" s="34">
        <v>497</v>
      </c>
      <c r="J484" s="34">
        <v>6</v>
      </c>
      <c r="K484" s="34">
        <v>503</v>
      </c>
      <c r="L484" s="34">
        <v>6</v>
      </c>
      <c r="M484" s="34">
        <v>509</v>
      </c>
      <c r="N484" s="34">
        <v>4</v>
      </c>
      <c r="O484" s="34">
        <v>513</v>
      </c>
      <c r="P484" s="34">
        <v>5</v>
      </c>
      <c r="Q484" s="34">
        <v>518</v>
      </c>
      <c r="R484" s="34">
        <v>5</v>
      </c>
      <c r="S484" s="34">
        <v>522</v>
      </c>
      <c r="T484" s="34">
        <v>4</v>
      </c>
      <c r="U484" s="34">
        <v>526</v>
      </c>
      <c r="V484" s="34">
        <v>4</v>
      </c>
      <c r="W484" s="34">
        <v>534</v>
      </c>
      <c r="X484" s="34">
        <v>8</v>
      </c>
      <c r="Y484" s="34">
        <v>538</v>
      </c>
      <c r="Z484" s="34">
        <v>4</v>
      </c>
      <c r="AA484" s="34">
        <v>543</v>
      </c>
      <c r="AB484" s="34">
        <v>5</v>
      </c>
      <c r="AC484" s="34">
        <v>5</v>
      </c>
      <c r="AD484" s="34">
        <v>0</v>
      </c>
      <c r="AE484" s="34">
        <v>0</v>
      </c>
      <c r="AG484" s="34">
        <v>3</v>
      </c>
      <c r="AH484" s="34">
        <v>0</v>
      </c>
      <c r="AI484" s="34">
        <v>8</v>
      </c>
    </row>
    <row r="485" spans="1:35" ht="15.75" customHeight="1">
      <c r="A485" s="34">
        <v>487</v>
      </c>
      <c r="B485" s="34" t="s">
        <v>601</v>
      </c>
      <c r="C485" s="34" t="s">
        <v>592</v>
      </c>
      <c r="D485" s="34">
        <v>12</v>
      </c>
      <c r="E485" s="34">
        <v>444</v>
      </c>
      <c r="F485" s="34">
        <v>11</v>
      </c>
      <c r="G485" s="34">
        <v>455</v>
      </c>
      <c r="H485" s="34">
        <v>14</v>
      </c>
      <c r="I485" s="34">
        <v>469</v>
      </c>
      <c r="J485" s="34">
        <v>12</v>
      </c>
      <c r="K485" s="34">
        <v>481</v>
      </c>
      <c r="L485" s="34">
        <v>14</v>
      </c>
      <c r="M485" s="34">
        <v>495</v>
      </c>
      <c r="N485" s="34">
        <v>10</v>
      </c>
      <c r="O485" s="34">
        <v>505</v>
      </c>
      <c r="P485" s="34">
        <v>10</v>
      </c>
      <c r="Q485" s="34">
        <v>515</v>
      </c>
      <c r="R485" s="34">
        <v>10</v>
      </c>
      <c r="S485" s="34">
        <v>524</v>
      </c>
      <c r="T485" s="34">
        <v>9</v>
      </c>
      <c r="U485" s="34">
        <v>535</v>
      </c>
      <c r="V485" s="34">
        <v>11</v>
      </c>
      <c r="W485" s="34">
        <v>544</v>
      </c>
      <c r="X485" s="34">
        <v>9</v>
      </c>
      <c r="Y485" s="34">
        <v>556</v>
      </c>
      <c r="Z485" s="34">
        <v>12</v>
      </c>
      <c r="AA485" s="34">
        <v>566</v>
      </c>
      <c r="AB485" s="34">
        <v>10</v>
      </c>
      <c r="AC485" s="34">
        <v>10</v>
      </c>
      <c r="AD485" s="34">
        <v>0</v>
      </c>
      <c r="AE485" s="34">
        <v>0</v>
      </c>
      <c r="AG485" s="34">
        <v>3</v>
      </c>
      <c r="AH485" s="34">
        <v>0</v>
      </c>
      <c r="AI485" s="34">
        <v>13</v>
      </c>
    </row>
    <row r="486" spans="1:35" ht="15.75" customHeight="1">
      <c r="A486" s="34">
        <v>488</v>
      </c>
      <c r="B486" s="34" t="s">
        <v>602</v>
      </c>
      <c r="C486" s="34" t="s">
        <v>592</v>
      </c>
      <c r="D486" s="34">
        <v>13</v>
      </c>
      <c r="E486" s="34">
        <v>50</v>
      </c>
      <c r="F486" s="34">
        <v>6</v>
      </c>
      <c r="G486" s="34">
        <v>56</v>
      </c>
      <c r="H486" s="34">
        <v>23</v>
      </c>
      <c r="I486" s="34">
        <v>79</v>
      </c>
      <c r="J486" s="34">
        <v>20</v>
      </c>
      <c r="K486" s="34">
        <v>99</v>
      </c>
      <c r="L486" s="34">
        <v>3</v>
      </c>
      <c r="M486" s="34">
        <v>102</v>
      </c>
      <c r="N486" s="34">
        <v>22</v>
      </c>
      <c r="O486" s="34">
        <v>124</v>
      </c>
      <c r="P486" s="34">
        <v>23</v>
      </c>
      <c r="Q486" s="34">
        <v>147</v>
      </c>
      <c r="R486" s="34">
        <v>23</v>
      </c>
      <c r="S486" s="34">
        <v>154</v>
      </c>
      <c r="T486" s="34">
        <v>7</v>
      </c>
      <c r="U486" s="34">
        <v>154</v>
      </c>
      <c r="V486" s="34">
        <v>0</v>
      </c>
      <c r="W486" s="34">
        <v>154</v>
      </c>
      <c r="X486" s="34">
        <v>0</v>
      </c>
      <c r="Y486" s="34">
        <v>154</v>
      </c>
      <c r="Z486" s="34">
        <v>0</v>
      </c>
      <c r="AA486" s="34">
        <v>154</v>
      </c>
      <c r="AB486" s="34">
        <v>0</v>
      </c>
      <c r="AC486" s="34">
        <v>5</v>
      </c>
      <c r="AD486" s="34">
        <v>0</v>
      </c>
      <c r="AE486" s="34">
        <v>0</v>
      </c>
      <c r="AG486" s="34">
        <v>3</v>
      </c>
      <c r="AH486" s="34">
        <v>0</v>
      </c>
      <c r="AI486" s="34">
        <v>8</v>
      </c>
    </row>
    <row r="487" spans="1:35" ht="15.75" customHeight="1">
      <c r="A487" s="34">
        <v>489</v>
      </c>
      <c r="B487" s="34" t="s">
        <v>603</v>
      </c>
      <c r="C487" s="34" t="s">
        <v>592</v>
      </c>
      <c r="D487" s="34">
        <v>15</v>
      </c>
      <c r="E487" s="34">
        <v>410</v>
      </c>
      <c r="F487" s="34">
        <v>11</v>
      </c>
      <c r="G487" s="34">
        <v>421</v>
      </c>
      <c r="H487" s="34">
        <v>15</v>
      </c>
      <c r="I487" s="34">
        <v>436</v>
      </c>
      <c r="J487" s="34">
        <v>11</v>
      </c>
      <c r="K487" s="34">
        <v>447</v>
      </c>
      <c r="L487" s="34">
        <v>12</v>
      </c>
      <c r="M487" s="34">
        <v>459</v>
      </c>
      <c r="N487" s="34">
        <v>11</v>
      </c>
      <c r="O487" s="34">
        <v>470</v>
      </c>
      <c r="P487" s="34">
        <v>9</v>
      </c>
      <c r="Q487" s="34">
        <v>479</v>
      </c>
      <c r="R487" s="34">
        <v>9</v>
      </c>
      <c r="S487" s="34">
        <v>487</v>
      </c>
      <c r="T487" s="34">
        <v>8</v>
      </c>
      <c r="U487" s="34">
        <v>495</v>
      </c>
      <c r="V487" s="34">
        <v>8</v>
      </c>
      <c r="W487" s="34">
        <v>505</v>
      </c>
      <c r="X487" s="34">
        <v>10</v>
      </c>
      <c r="Y487" s="34">
        <v>515</v>
      </c>
      <c r="Z487" s="34">
        <v>10</v>
      </c>
      <c r="AA487" s="34">
        <v>519</v>
      </c>
      <c r="AB487" s="34">
        <v>4</v>
      </c>
      <c r="AC487" s="34">
        <v>5</v>
      </c>
      <c r="AD487" s="34">
        <v>13</v>
      </c>
      <c r="AE487" s="34">
        <v>0</v>
      </c>
      <c r="AG487" s="34">
        <v>3</v>
      </c>
      <c r="AH487" s="34">
        <v>0</v>
      </c>
      <c r="AI487" s="34">
        <v>21</v>
      </c>
    </row>
    <row r="488" spans="1:35" ht="15.75" customHeight="1">
      <c r="A488" s="34">
        <v>490</v>
      </c>
      <c r="B488" s="34" t="s">
        <v>604</v>
      </c>
      <c r="C488" s="34" t="s">
        <v>592</v>
      </c>
      <c r="D488" s="34">
        <v>16</v>
      </c>
      <c r="E488" s="34">
        <v>7</v>
      </c>
      <c r="F488" s="34">
        <v>2</v>
      </c>
      <c r="G488" s="34">
        <v>9</v>
      </c>
      <c r="H488" s="34">
        <v>1</v>
      </c>
      <c r="I488" s="34">
        <v>10</v>
      </c>
      <c r="J488" s="34">
        <v>1</v>
      </c>
      <c r="K488" s="34">
        <v>11</v>
      </c>
      <c r="L488" s="34">
        <v>1</v>
      </c>
      <c r="M488" s="34">
        <v>12</v>
      </c>
      <c r="N488" s="34">
        <v>1</v>
      </c>
      <c r="O488" s="34">
        <v>13</v>
      </c>
      <c r="P488" s="34">
        <v>1</v>
      </c>
      <c r="Q488" s="34">
        <v>14</v>
      </c>
      <c r="R488" s="34">
        <v>1</v>
      </c>
      <c r="S488" s="34">
        <v>14</v>
      </c>
      <c r="T488" s="34">
        <v>0</v>
      </c>
      <c r="U488" s="34">
        <v>14</v>
      </c>
      <c r="V488" s="34">
        <v>0</v>
      </c>
      <c r="W488" s="34">
        <v>15</v>
      </c>
      <c r="X488" s="34">
        <v>1</v>
      </c>
      <c r="Y488" s="34">
        <v>15</v>
      </c>
      <c r="Z488" s="34">
        <v>0</v>
      </c>
      <c r="AA488" s="34">
        <v>15</v>
      </c>
      <c r="AB488" s="34">
        <v>0</v>
      </c>
      <c r="AC488" s="34">
        <v>5</v>
      </c>
      <c r="AD488" s="34">
        <v>0</v>
      </c>
      <c r="AE488" s="34">
        <v>0</v>
      </c>
      <c r="AG488" s="34">
        <v>3</v>
      </c>
      <c r="AH488" s="34">
        <v>0</v>
      </c>
      <c r="AI488" s="34">
        <v>8</v>
      </c>
    </row>
    <row r="489" spans="1:35" ht="15.75" customHeight="1">
      <c r="A489" s="34">
        <v>491</v>
      </c>
      <c r="B489" s="34" t="s">
        <v>605</v>
      </c>
      <c r="C489" s="34" t="s">
        <v>592</v>
      </c>
      <c r="D489" s="34">
        <v>35</v>
      </c>
      <c r="E489" s="34">
        <v>26</v>
      </c>
      <c r="F489" s="34">
        <v>12</v>
      </c>
      <c r="G489" s="34">
        <v>38</v>
      </c>
      <c r="H489" s="34">
        <v>9</v>
      </c>
      <c r="I489" s="34">
        <v>47</v>
      </c>
      <c r="J489" s="34">
        <v>12</v>
      </c>
      <c r="K489" s="34">
        <v>59</v>
      </c>
      <c r="L489" s="34">
        <v>12</v>
      </c>
      <c r="M489" s="34">
        <v>71</v>
      </c>
      <c r="N489" s="34">
        <v>4</v>
      </c>
      <c r="O489" s="34">
        <v>75</v>
      </c>
      <c r="P489" s="34">
        <v>5</v>
      </c>
      <c r="Q489" s="34">
        <v>80</v>
      </c>
      <c r="R489" s="34">
        <v>5</v>
      </c>
      <c r="S489" s="34">
        <v>84</v>
      </c>
      <c r="T489" s="34">
        <v>4</v>
      </c>
      <c r="U489" s="34">
        <v>88</v>
      </c>
      <c r="V489" s="34">
        <v>4</v>
      </c>
      <c r="W489" s="34">
        <v>93</v>
      </c>
      <c r="X489" s="34">
        <v>5</v>
      </c>
      <c r="Y489" s="34">
        <v>98</v>
      </c>
      <c r="Z489" s="34">
        <v>5</v>
      </c>
      <c r="AA489" s="34">
        <v>104</v>
      </c>
      <c r="AB489" s="34">
        <v>6</v>
      </c>
      <c r="AC489" s="34">
        <v>6</v>
      </c>
      <c r="AD489" s="34">
        <v>0</v>
      </c>
      <c r="AE489" s="34">
        <v>0</v>
      </c>
      <c r="AF489" s="34">
        <v>100</v>
      </c>
      <c r="AG489" s="34">
        <v>3</v>
      </c>
      <c r="AH489" s="34">
        <v>20</v>
      </c>
      <c r="AI489" s="34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Cobranza</vt:lpstr>
      <vt:lpstr>INGRESOS Y EGRESOS</vt:lpstr>
      <vt:lpstr>Techado</vt:lpstr>
      <vt:lpstr>Yape por MZ</vt:lpstr>
      <vt:lpstr>Reporte</vt:lpstr>
      <vt:lpstr>Efectivo</vt:lpstr>
      <vt:lpstr>Cobro medidores</vt:lpstr>
      <vt:lpstr>Deuda faena</vt:lpstr>
      <vt:lpstr>Corte</vt:lpstr>
      <vt:lpstr>Nota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2026-07-02T15:02:18Z</dcterms:modified>
</cp:coreProperties>
</file>