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de\PycharmProjects\jass_system\4_pagos\efectivo\inputs\"/>
    </mc:Choice>
  </mc:AlternateContent>
  <xr:revisionPtr revIDLastSave="0" documentId="13_ncr:1_{491CAC9E-7BA2-4271-9DCE-62D18DB5D27B}" xr6:coauthVersionLast="47" xr6:coauthVersionMax="47" xr10:uidLastSave="{00000000-0000-0000-0000-000000000000}"/>
  <bookViews>
    <workbookView xWindow="-27090" yWindow="720" windowWidth="14610" windowHeight="15480" xr2:uid="{00000000-000D-0000-FFFF-FFFF00000000}"/>
  </bookViews>
  <sheets>
    <sheet name="registro_1" sheetId="1" r:id="rId1"/>
    <sheet name="registro_2" sheetId="2" r:id="rId2"/>
    <sheet name="registro_3" sheetId="3" r:id="rId3"/>
  </sheets>
  <definedNames>
    <definedName name="_xlnm._FilterDatabase" localSheetId="0" hidden="1">registro_1!$A$2:$M$177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9" i="1" l="1"/>
  <c r="L121" i="1" s="1"/>
  <c r="G179" i="1"/>
  <c r="M177" i="1"/>
  <c r="L177" i="1"/>
  <c r="M169" i="1"/>
  <c r="L169" i="1"/>
  <c r="M146" i="1"/>
  <c r="L146" i="1"/>
  <c r="N146" i="1" s="1"/>
  <c r="K121" i="1"/>
  <c r="L98" i="1"/>
  <c r="K98" i="1"/>
  <c r="L74" i="1"/>
  <c r="K74" i="1"/>
  <c r="L50" i="1"/>
  <c r="K50" i="1"/>
  <c r="L27" i="1"/>
  <c r="K27" i="1"/>
  <c r="M74" i="1" l="1"/>
  <c r="M27" i="1"/>
  <c r="M121" i="1"/>
  <c r="M50" i="1"/>
  <c r="M98" i="1"/>
</calcChain>
</file>

<file path=xl/sharedStrings.xml><?xml version="1.0" encoding="utf-8"?>
<sst xmlns="http://schemas.openxmlformats.org/spreadsheetml/2006/main" count="441" uniqueCount="67">
  <si>
    <t>¿Quién cobró?</t>
  </si>
  <si>
    <t>¿Dónde vive?</t>
  </si>
  <si>
    <t>¿Cuánto y cuándo?</t>
  </si>
  <si>
    <t>¿Alguna nota?</t>
  </si>
  <si>
    <t>¿Qué tipo?</t>
  </si>
  <si>
    <t>¿Qué pasó?</t>
  </si>
  <si>
    <t>COBRADOR</t>
  </si>
  <si>
    <t>FECHA_REGISTRO</t>
  </si>
  <si>
    <t>MZ</t>
  </si>
  <si>
    <t>LT</t>
  </si>
  <si>
    <t>MONTO</t>
  </si>
  <si>
    <t>MONTO_EFECTIVO</t>
  </si>
  <si>
    <t>MONTO_YAPE</t>
  </si>
  <si>
    <t>FECHA</t>
  </si>
  <si>
    <t>COMENTARIO</t>
  </si>
  <si>
    <t>CONCEPTO</t>
  </si>
  <si>
    <t>CATEGORIA</t>
  </si>
  <si>
    <t>María García</t>
  </si>
  <si>
    <t>10/06/2026</t>
  </si>
  <si>
    <t>A</t>
  </si>
  <si>
    <t>8C</t>
  </si>
  <si>
    <t>38.00</t>
  </si>
  <si>
    <t>20.00</t>
  </si>
  <si>
    <t>18.00</t>
  </si>
  <si>
    <t>03/06/2026</t>
  </si>
  <si>
    <t>Maximo Encarnacion</t>
  </si>
  <si>
    <t>M</t>
  </si>
  <si>
    <t>C</t>
  </si>
  <si>
    <t>G</t>
  </si>
  <si>
    <t>tanque</t>
  </si>
  <si>
    <t>E</t>
  </si>
  <si>
    <t>P</t>
  </si>
  <si>
    <t>11A</t>
  </si>
  <si>
    <t>O</t>
  </si>
  <si>
    <t>Q</t>
  </si>
  <si>
    <t>9A</t>
  </si>
  <si>
    <t>X</t>
  </si>
  <si>
    <t>Z</t>
  </si>
  <si>
    <t>D</t>
  </si>
  <si>
    <t>A1</t>
  </si>
  <si>
    <t>V</t>
  </si>
  <si>
    <t>S</t>
  </si>
  <si>
    <t>E1</t>
  </si>
  <si>
    <t>J</t>
  </si>
  <si>
    <t>B1</t>
  </si>
  <si>
    <t>K</t>
  </si>
  <si>
    <t>L</t>
  </si>
  <si>
    <t>G1</t>
  </si>
  <si>
    <t>Reclamo</t>
  </si>
  <si>
    <t>H1</t>
  </si>
  <si>
    <t>I</t>
  </si>
  <si>
    <t>U</t>
  </si>
  <si>
    <t>B</t>
  </si>
  <si>
    <t>C1</t>
  </si>
  <si>
    <t>W</t>
  </si>
  <si>
    <t>H</t>
  </si>
  <si>
    <t>F1</t>
  </si>
  <si>
    <t>D1</t>
  </si>
  <si>
    <t>F</t>
  </si>
  <si>
    <t>T</t>
  </si>
  <si>
    <t>R</t>
  </si>
  <si>
    <t>Mes pasado pago 100 restaban 28 anterior este mes secobra 9 + 3 mantenimiento</t>
  </si>
  <si>
    <t>Y</t>
  </si>
  <si>
    <t>3A</t>
  </si>
  <si>
    <t>reclamo</t>
  </si>
  <si>
    <t>Revizar convenio</t>
  </si>
  <si>
    <t>Se dividio su Yape en efectivo y yape para que cuadre con la segregacion del reporte del banco.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</si>
</sst>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9"/>
      <color rgb="FF1D4ED8"/>
      <name val="Arial"/>
    </font>
    <font>
      <b/>
      <sz val="9"/>
      <color rgb="FF085041"/>
      <name val="Arial"/>
    </font>
    <font>
      <b/>
      <sz val="9"/>
      <color rgb="FF7D6608"/>
      <name val="Arial"/>
    </font>
    <font>
      <b/>
      <sz val="9"/>
      <color rgb="FF5B21B6"/>
      <name val="Arial"/>
    </font>
    <font>
      <b/>
      <sz val="9"/>
      <color rgb="FF9A3412"/>
      <name val="Arial"/>
    </font>
    <font>
      <b/>
      <sz val="10"/>
      <color rgb="FF1D4ED8"/>
      <name val="Arial"/>
    </font>
    <font>
      <b/>
      <sz val="10"/>
      <color rgb="FF085041"/>
      <name val="Arial"/>
    </font>
    <font>
      <b/>
      <sz val="10"/>
      <color rgb="FF7D6608"/>
      <name val="Arial"/>
    </font>
    <font>
      <b/>
      <sz val="10"/>
      <color rgb="FF5B21B6"/>
      <name val="Arial"/>
    </font>
    <font>
      <b/>
      <sz val="10"/>
      <color rgb="FF9A3412"/>
      <name val="Arial"/>
    </font>
    <font>
      <i/>
      <sz val="10"/>
      <color rgb="FF9CA3AF"/>
      <name val="Arial"/>
    </font>
    <font>
      <b/>
      <sz val="9"/>
      <color rgb="FF880E4F"/>
      <name val="Arial"/>
    </font>
    <font>
      <b/>
      <sz val="10"/>
      <color rgb="FF880E4F"/>
      <name val="Arial"/>
    </font>
  </fonts>
  <fills count="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E1F5EE"/>
      </patternFill>
    </fill>
    <fill>
      <patternFill patternType="solid">
        <fgColor rgb="FFFEF9E7"/>
      </patternFill>
    </fill>
    <fill>
      <patternFill patternType="solid">
        <fgColor rgb="FFF4ECF7"/>
      </patternFill>
    </fill>
    <fill>
      <patternFill patternType="solid">
        <fgColor rgb="FFFFF7ED"/>
      </patternFill>
    </fill>
    <fill>
      <patternFill patternType="solid">
        <fgColor rgb="FFFCE4EC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14" fontId="0" fillId="0" borderId="0" xfId="0" applyNumberFormat="1"/>
    <xf numFmtId="0" fontId="0" fillId="0" borderId="0" xfId="0"/>
    <xf numFmtId="0" fontId="12" fillId="7" borderId="4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498"/>
  <sheetViews>
    <sheetView tabSelected="1" topLeftCell="C1" zoomScale="80" zoomScaleNormal="80" workbookViewId="0">
      <pane ySplit="2" topLeftCell="A3" activePane="bottomLeft" state="frozen"/>
      <selection pane="bottomLeft" activeCell="H181" sqref="H181"/>
    </sheetView>
  </sheetViews>
  <sheetFormatPr baseColWidth="10" defaultColWidth="8.7265625" defaultRowHeight="14.5" x14ac:dyDescent="0.35"/>
  <cols>
    <col min="1" max="1" width="20" style="10" customWidth="1"/>
    <col min="2" max="2" width="16" style="10" customWidth="1"/>
    <col min="3" max="4" width="8" style="10" customWidth="1"/>
    <col min="5" max="5" width="12" style="10" customWidth="1"/>
    <col min="6" max="6" width="16" style="10" customWidth="1"/>
    <col min="7" max="8" width="14" style="10" customWidth="1"/>
    <col min="9" max="9" width="30" style="10" customWidth="1"/>
    <col min="10" max="11" width="14" style="10" customWidth="1"/>
  </cols>
  <sheetData>
    <row r="1" spans="1:11" ht="20" customHeight="1" x14ac:dyDescent="0.35">
      <c r="A1" s="16" t="s">
        <v>0</v>
      </c>
      <c r="B1" s="15"/>
      <c r="C1" s="14" t="s">
        <v>1</v>
      </c>
      <c r="D1" s="15"/>
      <c r="E1" s="17" t="s">
        <v>2</v>
      </c>
      <c r="F1" s="18"/>
      <c r="G1" s="18"/>
      <c r="H1" s="15"/>
      <c r="I1" s="1" t="s">
        <v>3</v>
      </c>
      <c r="J1" s="2" t="s">
        <v>4</v>
      </c>
      <c r="K1" s="11" t="s">
        <v>5</v>
      </c>
    </row>
    <row r="2" spans="1:11" ht="22" customHeight="1" x14ac:dyDescent="0.35">
      <c r="A2" s="3" t="s">
        <v>6</v>
      </c>
      <c r="B2" s="3" t="s">
        <v>7</v>
      </c>
      <c r="C2" s="4" t="s">
        <v>8</v>
      </c>
      <c r="D2" s="4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6" t="s">
        <v>14</v>
      </c>
      <c r="J2" s="7" t="s">
        <v>15</v>
      </c>
      <c r="K2" s="12" t="s">
        <v>16</v>
      </c>
    </row>
    <row r="3" spans="1:11" ht="18" hidden="1" customHeight="1" x14ac:dyDescent="0.35">
      <c r="A3" s="8" t="s">
        <v>17</v>
      </c>
      <c r="B3" s="8" t="s">
        <v>18</v>
      </c>
      <c r="C3" s="8" t="s">
        <v>19</v>
      </c>
      <c r="D3" s="8" t="s">
        <v>20</v>
      </c>
      <c r="E3" s="8" t="s">
        <v>21</v>
      </c>
      <c r="F3" s="8" t="s">
        <v>22</v>
      </c>
      <c r="G3" s="8" t="s">
        <v>23</v>
      </c>
      <c r="H3" s="8" t="s">
        <v>24</v>
      </c>
      <c r="I3" s="8"/>
      <c r="J3" s="8"/>
    </row>
    <row r="4" spans="1:11" ht="18" hidden="1" customHeight="1" x14ac:dyDescent="0.35">
      <c r="A4" t="s">
        <v>25</v>
      </c>
      <c r="B4" s="9">
        <v>46209</v>
      </c>
      <c r="C4" t="s">
        <v>26</v>
      </c>
      <c r="D4">
        <v>10</v>
      </c>
      <c r="E4">
        <v>12</v>
      </c>
      <c r="F4">
        <v>12</v>
      </c>
      <c r="G4">
        <v>0</v>
      </c>
      <c r="H4" s="9">
        <v>46207</v>
      </c>
      <c r="I4" s="13"/>
    </row>
    <row r="5" spans="1:11" ht="18" hidden="1" customHeight="1" x14ac:dyDescent="0.35">
      <c r="A5" t="s">
        <v>25</v>
      </c>
      <c r="B5" s="9">
        <v>46209</v>
      </c>
      <c r="C5" t="s">
        <v>26</v>
      </c>
      <c r="D5">
        <v>8</v>
      </c>
      <c r="E5">
        <v>13</v>
      </c>
      <c r="F5">
        <v>13</v>
      </c>
      <c r="G5">
        <v>0</v>
      </c>
      <c r="H5" s="9">
        <v>46207</v>
      </c>
      <c r="I5" s="13"/>
    </row>
    <row r="6" spans="1:11" ht="18" hidden="1" customHeight="1" x14ac:dyDescent="0.35">
      <c r="A6" t="s">
        <v>25</v>
      </c>
      <c r="B6" s="9">
        <v>46209</v>
      </c>
      <c r="C6" t="s">
        <v>27</v>
      </c>
      <c r="D6">
        <v>24</v>
      </c>
      <c r="E6">
        <v>8</v>
      </c>
      <c r="F6">
        <v>8</v>
      </c>
      <c r="G6">
        <v>0</v>
      </c>
      <c r="H6" s="9">
        <v>46207</v>
      </c>
      <c r="I6" s="13"/>
    </row>
    <row r="7" spans="1:11" ht="18" hidden="1" customHeight="1" x14ac:dyDescent="0.35">
      <c r="A7" t="s">
        <v>25</v>
      </c>
      <c r="B7" s="9">
        <v>46209</v>
      </c>
      <c r="C7" t="s">
        <v>28</v>
      </c>
      <c r="D7">
        <v>8</v>
      </c>
      <c r="E7">
        <v>26</v>
      </c>
      <c r="F7">
        <v>26</v>
      </c>
      <c r="G7">
        <v>0</v>
      </c>
      <c r="H7" s="9">
        <v>46207</v>
      </c>
      <c r="I7" s="13"/>
    </row>
    <row r="8" spans="1:11" ht="18" hidden="1" customHeight="1" x14ac:dyDescent="0.35">
      <c r="A8" t="s">
        <v>25</v>
      </c>
      <c r="B8" s="9">
        <v>46209</v>
      </c>
      <c r="C8" t="s">
        <v>28</v>
      </c>
      <c r="D8">
        <v>8</v>
      </c>
      <c r="E8">
        <v>200</v>
      </c>
      <c r="F8">
        <v>200</v>
      </c>
      <c r="G8">
        <v>0</v>
      </c>
      <c r="H8" s="9">
        <v>46207</v>
      </c>
      <c r="I8" s="13"/>
      <c r="J8" t="s">
        <v>29</v>
      </c>
    </row>
    <row r="9" spans="1:11" ht="18" hidden="1" customHeight="1" x14ac:dyDescent="0.35">
      <c r="A9" t="s">
        <v>25</v>
      </c>
      <c r="B9" s="9">
        <v>46209</v>
      </c>
      <c r="C9" t="s">
        <v>30</v>
      </c>
      <c r="D9">
        <v>7</v>
      </c>
      <c r="E9">
        <v>8</v>
      </c>
      <c r="F9">
        <v>8</v>
      </c>
      <c r="G9">
        <v>0</v>
      </c>
      <c r="H9" s="9">
        <v>46207</v>
      </c>
      <c r="I9" s="13"/>
    </row>
    <row r="10" spans="1:11" ht="18" hidden="1" customHeight="1" x14ac:dyDescent="0.35">
      <c r="A10" t="s">
        <v>25</v>
      </c>
      <c r="B10" s="9">
        <v>46209</v>
      </c>
      <c r="C10" t="s">
        <v>31</v>
      </c>
      <c r="D10" t="s">
        <v>32</v>
      </c>
      <c r="E10">
        <v>14</v>
      </c>
      <c r="F10">
        <v>14</v>
      </c>
      <c r="G10">
        <v>0</v>
      </c>
      <c r="H10" s="9">
        <v>46207</v>
      </c>
      <c r="I10" s="13"/>
    </row>
    <row r="11" spans="1:11" ht="18" hidden="1" customHeight="1" x14ac:dyDescent="0.35">
      <c r="A11" t="s">
        <v>25</v>
      </c>
      <c r="B11" s="9">
        <v>46209</v>
      </c>
      <c r="C11" t="s">
        <v>26</v>
      </c>
      <c r="D11">
        <v>18</v>
      </c>
      <c r="E11">
        <v>8</v>
      </c>
      <c r="F11">
        <v>8</v>
      </c>
      <c r="G11">
        <v>0</v>
      </c>
      <c r="H11" s="9">
        <v>46207</v>
      </c>
      <c r="I11" s="13"/>
    </row>
    <row r="12" spans="1:11" ht="18" hidden="1" customHeight="1" x14ac:dyDescent="0.35">
      <c r="A12" t="s">
        <v>25</v>
      </c>
      <c r="B12" s="9">
        <v>46209</v>
      </c>
      <c r="C12" t="s">
        <v>33</v>
      </c>
      <c r="D12">
        <v>13</v>
      </c>
      <c r="E12">
        <v>20</v>
      </c>
      <c r="F12">
        <v>20</v>
      </c>
      <c r="G12">
        <v>0</v>
      </c>
      <c r="H12" s="9">
        <v>46207</v>
      </c>
      <c r="I12" s="13"/>
    </row>
    <row r="13" spans="1:11" ht="18" customHeight="1" x14ac:dyDescent="0.35">
      <c r="A13" t="s">
        <v>25</v>
      </c>
      <c r="B13" s="9">
        <v>46209</v>
      </c>
      <c r="C13" t="s">
        <v>34</v>
      </c>
      <c r="D13">
        <v>3</v>
      </c>
      <c r="E13">
        <v>200</v>
      </c>
      <c r="F13">
        <v>0</v>
      </c>
      <c r="G13">
        <v>200</v>
      </c>
      <c r="H13" s="9">
        <v>46207</v>
      </c>
      <c r="I13" s="13"/>
      <c r="J13" t="s">
        <v>29</v>
      </c>
    </row>
    <row r="14" spans="1:11" ht="18" hidden="1" customHeight="1" x14ac:dyDescent="0.35">
      <c r="A14" t="s">
        <v>25</v>
      </c>
      <c r="B14" s="9">
        <v>46209</v>
      </c>
      <c r="C14" t="s">
        <v>27</v>
      </c>
      <c r="D14" t="s">
        <v>35</v>
      </c>
      <c r="E14">
        <v>11</v>
      </c>
      <c r="F14">
        <v>11</v>
      </c>
      <c r="G14">
        <v>0</v>
      </c>
      <c r="H14" s="9">
        <v>46207</v>
      </c>
      <c r="I14" s="13"/>
    </row>
    <row r="15" spans="1:11" ht="18" hidden="1" customHeight="1" x14ac:dyDescent="0.35">
      <c r="A15" t="s">
        <v>25</v>
      </c>
      <c r="B15" s="9">
        <v>46209</v>
      </c>
      <c r="C15" t="s">
        <v>31</v>
      </c>
      <c r="D15">
        <v>17</v>
      </c>
      <c r="E15">
        <v>10</v>
      </c>
      <c r="F15">
        <v>10</v>
      </c>
      <c r="G15">
        <v>0</v>
      </c>
      <c r="H15" s="9">
        <v>46207</v>
      </c>
      <c r="I15" s="13"/>
    </row>
    <row r="16" spans="1:11" ht="18" hidden="1" customHeight="1" x14ac:dyDescent="0.35">
      <c r="A16" t="s">
        <v>25</v>
      </c>
      <c r="B16" s="9">
        <v>46209</v>
      </c>
      <c r="C16" t="s">
        <v>31</v>
      </c>
      <c r="D16">
        <v>15</v>
      </c>
      <c r="E16">
        <v>10</v>
      </c>
      <c r="F16">
        <v>10</v>
      </c>
      <c r="G16">
        <v>0</v>
      </c>
      <c r="H16" s="9">
        <v>46207</v>
      </c>
      <c r="I16" s="13"/>
    </row>
    <row r="17" spans="1:13" ht="18" hidden="1" customHeight="1" x14ac:dyDescent="0.35">
      <c r="A17" t="s">
        <v>25</v>
      </c>
      <c r="B17" s="9">
        <v>46209</v>
      </c>
      <c r="C17" t="s">
        <v>26</v>
      </c>
      <c r="D17">
        <v>2</v>
      </c>
      <c r="E17">
        <v>15</v>
      </c>
      <c r="F17">
        <v>15</v>
      </c>
      <c r="G17">
        <v>0</v>
      </c>
      <c r="H17" s="9">
        <v>46207</v>
      </c>
      <c r="I17" s="13"/>
    </row>
    <row r="18" spans="1:13" ht="18" hidden="1" customHeight="1" x14ac:dyDescent="0.35">
      <c r="A18" t="s">
        <v>25</v>
      </c>
      <c r="B18" s="9">
        <v>46209</v>
      </c>
      <c r="C18" t="s">
        <v>36</v>
      </c>
      <c r="D18">
        <v>32</v>
      </c>
      <c r="E18">
        <v>8</v>
      </c>
      <c r="F18">
        <v>8</v>
      </c>
      <c r="G18">
        <v>0</v>
      </c>
      <c r="H18" s="9">
        <v>46207</v>
      </c>
      <c r="I18" s="13"/>
    </row>
    <row r="19" spans="1:13" ht="18" hidden="1" customHeight="1" x14ac:dyDescent="0.35">
      <c r="A19" t="s">
        <v>25</v>
      </c>
      <c r="B19" s="9">
        <v>46209</v>
      </c>
      <c r="C19" t="s">
        <v>37</v>
      </c>
      <c r="D19">
        <v>2</v>
      </c>
      <c r="E19">
        <v>15</v>
      </c>
      <c r="F19">
        <v>15</v>
      </c>
      <c r="G19">
        <v>0</v>
      </c>
      <c r="H19" s="9">
        <v>46207</v>
      </c>
      <c r="I19" s="13"/>
    </row>
    <row r="20" spans="1:13" ht="18" hidden="1" customHeight="1" x14ac:dyDescent="0.35">
      <c r="A20" t="s">
        <v>25</v>
      </c>
      <c r="B20" s="9">
        <v>46209</v>
      </c>
      <c r="C20" t="s">
        <v>33</v>
      </c>
      <c r="D20">
        <v>11</v>
      </c>
      <c r="E20">
        <v>8</v>
      </c>
      <c r="F20">
        <v>8</v>
      </c>
      <c r="G20">
        <v>0</v>
      </c>
      <c r="H20" s="9">
        <v>46207</v>
      </c>
      <c r="I20" s="13"/>
    </row>
    <row r="21" spans="1:13" ht="18" hidden="1" customHeight="1" x14ac:dyDescent="0.35">
      <c r="A21" t="s">
        <v>25</v>
      </c>
      <c r="B21" s="9">
        <v>46209</v>
      </c>
      <c r="C21" t="s">
        <v>36</v>
      </c>
      <c r="D21">
        <v>13</v>
      </c>
      <c r="E21">
        <v>8</v>
      </c>
      <c r="F21">
        <v>8</v>
      </c>
      <c r="G21">
        <v>0</v>
      </c>
      <c r="H21" s="9">
        <v>46207</v>
      </c>
      <c r="I21" s="13"/>
    </row>
    <row r="22" spans="1:13" ht="18" hidden="1" customHeight="1" x14ac:dyDescent="0.35">
      <c r="A22" t="s">
        <v>25</v>
      </c>
      <c r="B22" s="9">
        <v>46209</v>
      </c>
      <c r="C22" t="s">
        <v>38</v>
      </c>
      <c r="D22">
        <v>18</v>
      </c>
      <c r="E22">
        <v>38</v>
      </c>
      <c r="F22">
        <v>38</v>
      </c>
      <c r="G22">
        <v>0</v>
      </c>
      <c r="H22" s="9">
        <v>46207</v>
      </c>
      <c r="I22" s="13"/>
    </row>
    <row r="23" spans="1:13" ht="18" hidden="1" customHeight="1" x14ac:dyDescent="0.35">
      <c r="A23" t="s">
        <v>25</v>
      </c>
      <c r="B23" s="9">
        <v>46209</v>
      </c>
      <c r="C23" t="s">
        <v>39</v>
      </c>
      <c r="D23">
        <v>4</v>
      </c>
      <c r="E23">
        <v>9</v>
      </c>
      <c r="F23">
        <v>9</v>
      </c>
      <c r="G23">
        <v>0</v>
      </c>
      <c r="H23" s="9">
        <v>46207</v>
      </c>
      <c r="I23" s="13"/>
    </row>
    <row r="24" spans="1:13" ht="18" hidden="1" customHeight="1" x14ac:dyDescent="0.35">
      <c r="A24" t="s">
        <v>25</v>
      </c>
      <c r="B24" s="9">
        <v>46209</v>
      </c>
      <c r="C24" t="s">
        <v>40</v>
      </c>
      <c r="D24">
        <v>3</v>
      </c>
      <c r="E24">
        <v>8</v>
      </c>
      <c r="F24">
        <v>8</v>
      </c>
      <c r="G24">
        <v>0</v>
      </c>
      <c r="H24" s="9">
        <v>46207</v>
      </c>
      <c r="I24" s="13"/>
    </row>
    <row r="25" spans="1:13" ht="18" hidden="1" customHeight="1" x14ac:dyDescent="0.35">
      <c r="A25" t="s">
        <v>25</v>
      </c>
      <c r="B25" s="9">
        <v>46209</v>
      </c>
      <c r="C25" t="s">
        <v>41</v>
      </c>
      <c r="D25">
        <v>11</v>
      </c>
      <c r="E25">
        <v>10</v>
      </c>
      <c r="F25">
        <v>10</v>
      </c>
      <c r="G25">
        <v>0</v>
      </c>
      <c r="H25" s="9">
        <v>46207</v>
      </c>
      <c r="I25" s="13"/>
    </row>
    <row r="26" spans="1:13" ht="18" hidden="1" customHeight="1" x14ac:dyDescent="0.35">
      <c r="A26" t="s">
        <v>25</v>
      </c>
      <c r="B26" s="9">
        <v>46209</v>
      </c>
      <c r="C26" t="s">
        <v>42</v>
      </c>
      <c r="D26">
        <v>7</v>
      </c>
      <c r="E26">
        <v>12</v>
      </c>
      <c r="F26">
        <v>12</v>
      </c>
      <c r="G26">
        <v>0</v>
      </c>
      <c r="H26" s="9">
        <v>46207</v>
      </c>
      <c r="I26" s="13"/>
    </row>
    <row r="27" spans="1:13" ht="18" hidden="1" customHeight="1" x14ac:dyDescent="0.35">
      <c r="A27" t="s">
        <v>25</v>
      </c>
      <c r="B27" s="9">
        <v>46209</v>
      </c>
      <c r="C27" t="s">
        <v>28</v>
      </c>
      <c r="D27">
        <v>21</v>
      </c>
      <c r="E27">
        <v>32</v>
      </c>
      <c r="F27">
        <v>32</v>
      </c>
      <c r="G27">
        <v>0</v>
      </c>
      <c r="H27" s="9">
        <v>46207</v>
      </c>
      <c r="I27" s="13"/>
      <c r="K27">
        <f>SUM(F4:F27)</f>
        <v>503</v>
      </c>
      <c r="L27">
        <f>SUM(G4:G27)</f>
        <v>200</v>
      </c>
      <c r="M27">
        <f>K27+L27</f>
        <v>703</v>
      </c>
    </row>
    <row r="28" spans="1:13" ht="18" hidden="1" customHeight="1" x14ac:dyDescent="0.35">
      <c r="A28" t="s">
        <v>25</v>
      </c>
      <c r="B28" s="9">
        <v>46209</v>
      </c>
      <c r="C28" t="s">
        <v>31</v>
      </c>
      <c r="D28">
        <v>2</v>
      </c>
      <c r="E28">
        <v>17</v>
      </c>
      <c r="F28">
        <v>17</v>
      </c>
      <c r="G28">
        <v>0</v>
      </c>
      <c r="H28" s="9">
        <v>46207</v>
      </c>
      <c r="I28" s="13"/>
    </row>
    <row r="29" spans="1:13" ht="18" hidden="1" customHeight="1" x14ac:dyDescent="0.35">
      <c r="A29" t="s">
        <v>25</v>
      </c>
      <c r="B29" s="9">
        <v>46209</v>
      </c>
      <c r="C29" t="s">
        <v>19</v>
      </c>
      <c r="D29">
        <v>3</v>
      </c>
      <c r="E29">
        <v>8</v>
      </c>
      <c r="F29">
        <v>8</v>
      </c>
      <c r="G29">
        <v>0</v>
      </c>
      <c r="H29" s="9">
        <v>46207</v>
      </c>
      <c r="I29" s="13"/>
    </row>
    <row r="30" spans="1:13" ht="18" hidden="1" customHeight="1" x14ac:dyDescent="0.35">
      <c r="A30" t="s">
        <v>25</v>
      </c>
      <c r="B30" s="9">
        <v>46209</v>
      </c>
      <c r="C30" t="s">
        <v>43</v>
      </c>
      <c r="D30">
        <v>10</v>
      </c>
      <c r="E30">
        <v>8</v>
      </c>
      <c r="F30">
        <v>8</v>
      </c>
      <c r="G30">
        <v>0</v>
      </c>
      <c r="H30" s="9">
        <v>46207</v>
      </c>
      <c r="I30" s="13"/>
    </row>
    <row r="31" spans="1:13" ht="18" hidden="1" customHeight="1" x14ac:dyDescent="0.35">
      <c r="A31" t="s">
        <v>25</v>
      </c>
      <c r="B31" s="9">
        <v>46209</v>
      </c>
      <c r="C31" t="s">
        <v>27</v>
      </c>
      <c r="D31">
        <v>6</v>
      </c>
      <c r="E31">
        <v>11</v>
      </c>
      <c r="F31">
        <v>11</v>
      </c>
      <c r="G31">
        <v>0</v>
      </c>
      <c r="H31" s="9">
        <v>46207</v>
      </c>
      <c r="I31" s="13"/>
    </row>
    <row r="32" spans="1:13" ht="18" hidden="1" customHeight="1" x14ac:dyDescent="0.35">
      <c r="A32" t="s">
        <v>25</v>
      </c>
      <c r="B32" s="9">
        <v>46209</v>
      </c>
      <c r="C32" t="s">
        <v>44</v>
      </c>
      <c r="D32">
        <v>1</v>
      </c>
      <c r="E32">
        <v>38</v>
      </c>
      <c r="F32">
        <v>38</v>
      </c>
      <c r="G32">
        <v>0</v>
      </c>
      <c r="H32" s="9">
        <v>46207</v>
      </c>
      <c r="I32" s="13"/>
    </row>
    <row r="33" spans="1:10" ht="18" hidden="1" customHeight="1" x14ac:dyDescent="0.35">
      <c r="A33" t="s">
        <v>25</v>
      </c>
      <c r="B33" s="9">
        <v>46209</v>
      </c>
      <c r="C33" t="s">
        <v>45</v>
      </c>
      <c r="D33">
        <v>13</v>
      </c>
      <c r="E33">
        <v>10</v>
      </c>
      <c r="F33">
        <v>10</v>
      </c>
      <c r="G33">
        <v>0</v>
      </c>
      <c r="H33" s="9">
        <v>46207</v>
      </c>
      <c r="I33" s="13"/>
    </row>
    <row r="34" spans="1:10" ht="18" hidden="1" customHeight="1" x14ac:dyDescent="0.35">
      <c r="A34" t="s">
        <v>25</v>
      </c>
      <c r="B34" s="9">
        <v>46209</v>
      </c>
      <c r="C34" t="s">
        <v>45</v>
      </c>
      <c r="D34">
        <v>13</v>
      </c>
      <c r="E34">
        <v>200</v>
      </c>
      <c r="F34">
        <v>200</v>
      </c>
      <c r="G34">
        <v>0</v>
      </c>
      <c r="H34" s="9">
        <v>46207</v>
      </c>
      <c r="I34" s="13"/>
      <c r="J34" t="s">
        <v>29</v>
      </c>
    </row>
    <row r="35" spans="1:10" ht="18" hidden="1" customHeight="1" x14ac:dyDescent="0.35">
      <c r="A35" t="s">
        <v>25</v>
      </c>
      <c r="B35" s="9">
        <v>46209</v>
      </c>
      <c r="C35" t="s">
        <v>46</v>
      </c>
      <c r="D35">
        <v>13</v>
      </c>
      <c r="E35">
        <v>8</v>
      </c>
      <c r="F35">
        <v>8</v>
      </c>
      <c r="G35">
        <v>0</v>
      </c>
      <c r="H35" s="9">
        <v>46207</v>
      </c>
      <c r="I35" s="13"/>
    </row>
    <row r="36" spans="1:10" ht="18" hidden="1" customHeight="1" x14ac:dyDescent="0.35">
      <c r="A36" t="s">
        <v>25</v>
      </c>
      <c r="B36" s="9">
        <v>46209</v>
      </c>
      <c r="C36" t="s">
        <v>47</v>
      </c>
      <c r="D36">
        <v>3</v>
      </c>
      <c r="E36">
        <v>39</v>
      </c>
      <c r="F36">
        <v>39</v>
      </c>
      <c r="G36">
        <v>0</v>
      </c>
      <c r="H36" s="9">
        <v>46207</v>
      </c>
      <c r="I36" s="13"/>
    </row>
    <row r="37" spans="1:10" ht="18" hidden="1" customHeight="1" x14ac:dyDescent="0.35">
      <c r="A37" t="s">
        <v>25</v>
      </c>
      <c r="B37" s="9">
        <v>46209</v>
      </c>
      <c r="C37" t="s">
        <v>34</v>
      </c>
      <c r="D37">
        <v>16</v>
      </c>
      <c r="E37">
        <v>9</v>
      </c>
      <c r="F37">
        <v>9</v>
      </c>
      <c r="G37">
        <v>0</v>
      </c>
      <c r="H37" s="9">
        <v>46207</v>
      </c>
      <c r="I37" s="13" t="s">
        <v>48</v>
      </c>
    </row>
    <row r="38" spans="1:10" ht="18" hidden="1" customHeight="1" x14ac:dyDescent="0.35">
      <c r="A38" t="s">
        <v>25</v>
      </c>
      <c r="B38" s="9">
        <v>46209</v>
      </c>
      <c r="C38" t="s">
        <v>26</v>
      </c>
      <c r="D38">
        <v>6</v>
      </c>
      <c r="E38">
        <v>16</v>
      </c>
      <c r="F38">
        <v>16</v>
      </c>
      <c r="G38">
        <v>0</v>
      </c>
      <c r="H38" s="9">
        <v>46207</v>
      </c>
      <c r="I38" s="13"/>
    </row>
    <row r="39" spans="1:10" ht="18" hidden="1" customHeight="1" x14ac:dyDescent="0.35">
      <c r="A39" t="s">
        <v>25</v>
      </c>
      <c r="B39" s="9">
        <v>46209</v>
      </c>
      <c r="C39" t="s">
        <v>49</v>
      </c>
      <c r="D39">
        <v>13</v>
      </c>
      <c r="E39">
        <v>83</v>
      </c>
      <c r="F39">
        <v>83</v>
      </c>
      <c r="G39">
        <v>0</v>
      </c>
      <c r="H39" s="9">
        <v>46207</v>
      </c>
      <c r="I39" s="13"/>
    </row>
    <row r="40" spans="1:10" ht="18" hidden="1" customHeight="1" x14ac:dyDescent="0.35">
      <c r="A40" t="s">
        <v>25</v>
      </c>
      <c r="B40" s="9">
        <v>46209</v>
      </c>
      <c r="C40" t="s">
        <v>27</v>
      </c>
      <c r="D40">
        <v>11</v>
      </c>
      <c r="E40">
        <v>18</v>
      </c>
      <c r="F40">
        <v>18</v>
      </c>
      <c r="G40">
        <v>0</v>
      </c>
      <c r="H40" s="9">
        <v>46207</v>
      </c>
      <c r="I40" s="13"/>
    </row>
    <row r="41" spans="1:10" ht="18" hidden="1" customHeight="1" x14ac:dyDescent="0.35">
      <c r="A41" t="s">
        <v>25</v>
      </c>
      <c r="B41" s="9">
        <v>46209</v>
      </c>
      <c r="C41" t="s">
        <v>26</v>
      </c>
      <c r="D41">
        <v>11</v>
      </c>
      <c r="E41">
        <v>8</v>
      </c>
      <c r="F41">
        <v>8</v>
      </c>
      <c r="G41">
        <v>0</v>
      </c>
      <c r="H41" s="9">
        <v>46207</v>
      </c>
      <c r="I41" s="13"/>
    </row>
    <row r="42" spans="1:10" ht="18" hidden="1" customHeight="1" x14ac:dyDescent="0.35">
      <c r="A42" t="s">
        <v>25</v>
      </c>
      <c r="B42" s="9">
        <v>46209</v>
      </c>
      <c r="C42" t="s">
        <v>33</v>
      </c>
      <c r="D42">
        <v>14</v>
      </c>
      <c r="E42">
        <v>9</v>
      </c>
      <c r="F42">
        <v>9</v>
      </c>
      <c r="G42">
        <v>0</v>
      </c>
      <c r="H42" s="9">
        <v>46207</v>
      </c>
      <c r="I42" s="13"/>
    </row>
    <row r="43" spans="1:10" ht="18" hidden="1" customHeight="1" x14ac:dyDescent="0.35">
      <c r="A43" t="s">
        <v>25</v>
      </c>
      <c r="B43" s="9">
        <v>46209</v>
      </c>
      <c r="C43" t="s">
        <v>50</v>
      </c>
      <c r="D43">
        <v>8</v>
      </c>
      <c r="E43">
        <v>8</v>
      </c>
      <c r="F43">
        <v>8</v>
      </c>
      <c r="G43">
        <v>0</v>
      </c>
      <c r="H43" s="9">
        <v>46207</v>
      </c>
      <c r="I43" s="13"/>
    </row>
    <row r="44" spans="1:10" ht="18" hidden="1" customHeight="1" x14ac:dyDescent="0.35">
      <c r="A44" t="s">
        <v>25</v>
      </c>
      <c r="B44" s="9">
        <v>46209</v>
      </c>
      <c r="C44" t="s">
        <v>50</v>
      </c>
      <c r="D44">
        <v>5</v>
      </c>
      <c r="E44">
        <v>30</v>
      </c>
      <c r="F44">
        <v>30</v>
      </c>
      <c r="G44">
        <v>0</v>
      </c>
      <c r="H44" s="9">
        <v>46207</v>
      </c>
      <c r="I44" s="13"/>
    </row>
    <row r="45" spans="1:10" ht="18" hidden="1" customHeight="1" x14ac:dyDescent="0.35">
      <c r="A45" t="s">
        <v>25</v>
      </c>
      <c r="B45" s="9">
        <v>46209</v>
      </c>
      <c r="C45" t="s">
        <v>27</v>
      </c>
      <c r="D45">
        <v>15</v>
      </c>
      <c r="E45">
        <v>13</v>
      </c>
      <c r="F45">
        <v>13</v>
      </c>
      <c r="G45">
        <v>0</v>
      </c>
      <c r="H45" s="9">
        <v>46207</v>
      </c>
      <c r="I45" s="13"/>
    </row>
    <row r="46" spans="1:10" ht="18" hidden="1" customHeight="1" x14ac:dyDescent="0.35">
      <c r="A46" t="s">
        <v>25</v>
      </c>
      <c r="B46" s="9">
        <v>46209</v>
      </c>
      <c r="C46" t="s">
        <v>28</v>
      </c>
      <c r="D46">
        <v>6</v>
      </c>
      <c r="E46">
        <v>54</v>
      </c>
      <c r="F46">
        <v>54</v>
      </c>
      <c r="G46">
        <v>0</v>
      </c>
      <c r="H46" s="9">
        <v>46207</v>
      </c>
      <c r="I46" s="13"/>
    </row>
    <row r="47" spans="1:10" ht="18" hidden="1" customHeight="1" x14ac:dyDescent="0.35">
      <c r="A47" t="s">
        <v>25</v>
      </c>
      <c r="B47" s="9">
        <v>46209</v>
      </c>
      <c r="C47" t="s">
        <v>33</v>
      </c>
      <c r="D47">
        <v>1</v>
      </c>
      <c r="E47">
        <v>10</v>
      </c>
      <c r="F47">
        <v>10</v>
      </c>
      <c r="G47">
        <v>0</v>
      </c>
      <c r="H47" s="9">
        <v>46207</v>
      </c>
      <c r="I47" s="13"/>
    </row>
    <row r="48" spans="1:10" ht="18" hidden="1" customHeight="1" x14ac:dyDescent="0.35">
      <c r="A48" t="s">
        <v>25</v>
      </c>
      <c r="B48" s="9">
        <v>46209</v>
      </c>
      <c r="C48" t="s">
        <v>51</v>
      </c>
      <c r="D48">
        <v>6</v>
      </c>
      <c r="E48">
        <v>9</v>
      </c>
      <c r="F48">
        <v>9</v>
      </c>
      <c r="G48">
        <v>0</v>
      </c>
      <c r="H48" s="9">
        <v>46207</v>
      </c>
      <c r="I48" s="13"/>
    </row>
    <row r="49" spans="1:13" ht="18" hidden="1" customHeight="1" x14ac:dyDescent="0.35">
      <c r="A49" t="s">
        <v>25</v>
      </c>
      <c r="B49" s="9">
        <v>46209</v>
      </c>
      <c r="C49" t="s">
        <v>49</v>
      </c>
      <c r="D49">
        <v>3</v>
      </c>
      <c r="E49">
        <v>10</v>
      </c>
      <c r="F49">
        <v>10</v>
      </c>
      <c r="G49">
        <v>0</v>
      </c>
      <c r="H49" s="9">
        <v>46207</v>
      </c>
      <c r="I49" s="13"/>
    </row>
    <row r="50" spans="1:13" ht="18" hidden="1" customHeight="1" x14ac:dyDescent="0.35">
      <c r="A50" t="s">
        <v>25</v>
      </c>
      <c r="B50" s="9">
        <v>46209</v>
      </c>
      <c r="C50" t="s">
        <v>52</v>
      </c>
      <c r="D50">
        <v>12</v>
      </c>
      <c r="E50">
        <v>28</v>
      </c>
      <c r="F50">
        <v>28</v>
      </c>
      <c r="G50">
        <v>0</v>
      </c>
      <c r="H50" s="9">
        <v>46207</v>
      </c>
      <c r="I50" s="13"/>
      <c r="K50">
        <f>SUM(F28:F50)</f>
        <v>644</v>
      </c>
      <c r="L50">
        <f>SUM(G28:G50)</f>
        <v>0</v>
      </c>
      <c r="M50">
        <f>K50+L50</f>
        <v>644</v>
      </c>
    </row>
    <row r="51" spans="1:13" ht="18" hidden="1" customHeight="1" x14ac:dyDescent="0.35">
      <c r="A51" t="s">
        <v>25</v>
      </c>
      <c r="B51" s="9">
        <v>46209</v>
      </c>
      <c r="C51" t="s">
        <v>27</v>
      </c>
      <c r="D51">
        <v>23</v>
      </c>
      <c r="E51">
        <v>31</v>
      </c>
      <c r="F51">
        <v>31</v>
      </c>
      <c r="G51">
        <v>0</v>
      </c>
      <c r="H51" s="9">
        <v>46207</v>
      </c>
      <c r="I51" s="13"/>
    </row>
    <row r="52" spans="1:13" ht="18" customHeight="1" x14ac:dyDescent="0.35">
      <c r="A52" t="s">
        <v>25</v>
      </c>
      <c r="B52" s="9">
        <v>46209</v>
      </c>
      <c r="C52" t="s">
        <v>38</v>
      </c>
      <c r="D52">
        <v>5</v>
      </c>
      <c r="E52">
        <v>20</v>
      </c>
      <c r="F52">
        <v>0</v>
      </c>
      <c r="G52">
        <v>20</v>
      </c>
      <c r="H52" s="9">
        <v>46207</v>
      </c>
      <c r="I52" s="13" t="s">
        <v>48</v>
      </c>
    </row>
    <row r="53" spans="1:13" ht="18" hidden="1" customHeight="1" x14ac:dyDescent="0.35">
      <c r="A53" t="s">
        <v>25</v>
      </c>
      <c r="B53" s="9">
        <v>46209</v>
      </c>
      <c r="C53" t="s">
        <v>40</v>
      </c>
      <c r="D53">
        <v>16</v>
      </c>
      <c r="E53">
        <v>10</v>
      </c>
      <c r="F53">
        <v>10</v>
      </c>
      <c r="G53">
        <v>0</v>
      </c>
      <c r="H53" s="9">
        <v>46207</v>
      </c>
      <c r="I53" s="13"/>
    </row>
    <row r="54" spans="1:13" ht="18" hidden="1" customHeight="1" x14ac:dyDescent="0.35">
      <c r="A54" t="s">
        <v>25</v>
      </c>
      <c r="B54" s="9">
        <v>46209</v>
      </c>
      <c r="C54" t="s">
        <v>33</v>
      </c>
      <c r="D54">
        <v>3</v>
      </c>
      <c r="E54">
        <v>12</v>
      </c>
      <c r="F54">
        <v>12</v>
      </c>
      <c r="G54">
        <v>0</v>
      </c>
      <c r="H54" s="9">
        <v>46207</v>
      </c>
      <c r="I54" s="13"/>
    </row>
    <row r="55" spans="1:13" ht="18" hidden="1" customHeight="1" x14ac:dyDescent="0.35">
      <c r="A55" t="s">
        <v>25</v>
      </c>
      <c r="B55" s="9">
        <v>46209</v>
      </c>
      <c r="C55" t="s">
        <v>53</v>
      </c>
      <c r="D55">
        <v>4</v>
      </c>
      <c r="E55">
        <v>8</v>
      </c>
      <c r="F55">
        <v>8</v>
      </c>
      <c r="G55">
        <v>0</v>
      </c>
      <c r="H55" s="9">
        <v>46207</v>
      </c>
      <c r="I55" s="13"/>
    </row>
    <row r="56" spans="1:13" ht="18" hidden="1" customHeight="1" x14ac:dyDescent="0.35">
      <c r="A56" t="s">
        <v>25</v>
      </c>
      <c r="B56" s="9">
        <v>46209</v>
      </c>
      <c r="C56" t="s">
        <v>26</v>
      </c>
      <c r="D56">
        <v>20</v>
      </c>
      <c r="E56">
        <v>23</v>
      </c>
      <c r="F56">
        <v>23</v>
      </c>
      <c r="G56">
        <v>0</v>
      </c>
      <c r="H56" s="9">
        <v>46207</v>
      </c>
      <c r="I56" s="13"/>
    </row>
    <row r="57" spans="1:13" ht="18" hidden="1" customHeight="1" x14ac:dyDescent="0.35">
      <c r="A57" t="s">
        <v>25</v>
      </c>
      <c r="B57" s="9">
        <v>46209</v>
      </c>
      <c r="C57" t="s">
        <v>46</v>
      </c>
      <c r="D57">
        <v>12</v>
      </c>
      <c r="E57">
        <v>39</v>
      </c>
      <c r="F57">
        <v>39</v>
      </c>
      <c r="G57">
        <v>0</v>
      </c>
      <c r="H57" s="9">
        <v>46207</v>
      </c>
      <c r="I57" s="13"/>
    </row>
    <row r="58" spans="1:13" ht="18" hidden="1" customHeight="1" x14ac:dyDescent="0.35">
      <c r="A58" t="s">
        <v>25</v>
      </c>
      <c r="B58" s="9">
        <v>46209</v>
      </c>
      <c r="C58" t="s">
        <v>33</v>
      </c>
      <c r="D58">
        <v>17</v>
      </c>
      <c r="E58">
        <v>33</v>
      </c>
      <c r="F58">
        <v>33</v>
      </c>
      <c r="G58">
        <v>0</v>
      </c>
      <c r="H58" s="9">
        <v>46207</v>
      </c>
      <c r="I58" s="13"/>
    </row>
    <row r="59" spans="1:13" ht="18" hidden="1" customHeight="1" x14ac:dyDescent="0.35">
      <c r="A59" t="s">
        <v>25</v>
      </c>
      <c r="B59" s="9">
        <v>46209</v>
      </c>
      <c r="C59" t="s">
        <v>36</v>
      </c>
      <c r="D59">
        <v>1</v>
      </c>
      <c r="E59">
        <v>13</v>
      </c>
      <c r="F59">
        <v>13</v>
      </c>
      <c r="G59">
        <v>0</v>
      </c>
      <c r="H59" s="9">
        <v>46207</v>
      </c>
      <c r="I59" s="13"/>
    </row>
    <row r="60" spans="1:13" ht="18" hidden="1" customHeight="1" x14ac:dyDescent="0.35">
      <c r="A60" t="s">
        <v>25</v>
      </c>
      <c r="B60" s="9">
        <v>46209</v>
      </c>
      <c r="C60" t="s">
        <v>36</v>
      </c>
      <c r="D60">
        <v>1</v>
      </c>
      <c r="E60">
        <v>100</v>
      </c>
      <c r="F60">
        <v>100</v>
      </c>
      <c r="G60">
        <v>0</v>
      </c>
      <c r="H60" s="9">
        <v>46207</v>
      </c>
      <c r="I60" s="13"/>
      <c r="J60" s="10" t="s">
        <v>29</v>
      </c>
    </row>
    <row r="61" spans="1:13" ht="18" hidden="1" customHeight="1" x14ac:dyDescent="0.35">
      <c r="A61" t="s">
        <v>25</v>
      </c>
      <c r="B61" s="9">
        <v>46209</v>
      </c>
      <c r="C61" t="s">
        <v>51</v>
      </c>
      <c r="D61">
        <v>1</v>
      </c>
      <c r="E61">
        <v>9</v>
      </c>
      <c r="F61">
        <v>9</v>
      </c>
      <c r="G61">
        <v>0</v>
      </c>
      <c r="H61" s="9">
        <v>46207</v>
      </c>
      <c r="I61" s="13"/>
    </row>
    <row r="62" spans="1:13" ht="18" hidden="1" customHeight="1" x14ac:dyDescent="0.35">
      <c r="A62" t="s">
        <v>25</v>
      </c>
      <c r="B62" s="9">
        <v>46209</v>
      </c>
      <c r="C62" t="s">
        <v>49</v>
      </c>
      <c r="D62">
        <v>9</v>
      </c>
      <c r="E62">
        <v>8</v>
      </c>
      <c r="F62">
        <v>8</v>
      </c>
      <c r="G62">
        <v>0</v>
      </c>
      <c r="H62" s="9">
        <v>46207</v>
      </c>
      <c r="I62" s="13"/>
    </row>
    <row r="63" spans="1:13" ht="18" hidden="1" customHeight="1" x14ac:dyDescent="0.35">
      <c r="A63" t="s">
        <v>25</v>
      </c>
      <c r="B63" s="9">
        <v>46209</v>
      </c>
      <c r="C63" t="s">
        <v>39</v>
      </c>
      <c r="D63">
        <v>6</v>
      </c>
      <c r="E63">
        <v>10</v>
      </c>
      <c r="F63">
        <v>10</v>
      </c>
      <c r="G63">
        <v>0</v>
      </c>
      <c r="H63" s="9">
        <v>46207</v>
      </c>
      <c r="I63" s="13"/>
    </row>
    <row r="64" spans="1:13" ht="18" hidden="1" customHeight="1" x14ac:dyDescent="0.35">
      <c r="A64" t="s">
        <v>25</v>
      </c>
      <c r="B64" s="9">
        <v>46209</v>
      </c>
      <c r="C64" t="s">
        <v>49</v>
      </c>
      <c r="D64">
        <v>7</v>
      </c>
      <c r="E64">
        <v>13</v>
      </c>
      <c r="F64">
        <v>13</v>
      </c>
      <c r="G64">
        <v>0</v>
      </c>
      <c r="H64" s="9">
        <v>46207</v>
      </c>
      <c r="I64" s="13"/>
    </row>
    <row r="65" spans="1:13" ht="18" hidden="1" customHeight="1" x14ac:dyDescent="0.35">
      <c r="A65" t="s">
        <v>25</v>
      </c>
      <c r="B65" s="9">
        <v>46209</v>
      </c>
      <c r="C65" t="s">
        <v>54</v>
      </c>
      <c r="D65">
        <v>16</v>
      </c>
      <c r="E65">
        <v>17</v>
      </c>
      <c r="F65">
        <v>17</v>
      </c>
      <c r="G65">
        <v>0</v>
      </c>
      <c r="H65" s="9">
        <v>46207</v>
      </c>
      <c r="I65" s="13"/>
    </row>
    <row r="66" spans="1:13" ht="18" hidden="1" customHeight="1" x14ac:dyDescent="0.35">
      <c r="A66" t="s">
        <v>25</v>
      </c>
      <c r="B66" s="9">
        <v>46209</v>
      </c>
      <c r="C66" t="s">
        <v>54</v>
      </c>
      <c r="D66">
        <v>19</v>
      </c>
      <c r="E66">
        <v>15</v>
      </c>
      <c r="F66">
        <v>15</v>
      </c>
      <c r="G66">
        <v>0</v>
      </c>
      <c r="H66" s="9">
        <v>46207</v>
      </c>
      <c r="I66" s="13"/>
    </row>
    <row r="67" spans="1:13" ht="18" hidden="1" customHeight="1" x14ac:dyDescent="0.35">
      <c r="A67" t="s">
        <v>25</v>
      </c>
      <c r="B67" s="9">
        <v>46209</v>
      </c>
      <c r="C67" t="s">
        <v>34</v>
      </c>
      <c r="D67">
        <v>8</v>
      </c>
      <c r="E67">
        <v>18</v>
      </c>
      <c r="F67">
        <v>18</v>
      </c>
      <c r="G67">
        <v>0</v>
      </c>
      <c r="H67" s="9">
        <v>46207</v>
      </c>
      <c r="I67" s="13" t="s">
        <v>65</v>
      </c>
      <c r="K67" s="10" t="s">
        <v>64</v>
      </c>
    </row>
    <row r="68" spans="1:13" ht="18" hidden="1" customHeight="1" x14ac:dyDescent="0.35">
      <c r="A68" t="s">
        <v>25</v>
      </c>
      <c r="B68" s="9">
        <v>46209</v>
      </c>
      <c r="C68" t="s">
        <v>37</v>
      </c>
      <c r="D68">
        <v>11</v>
      </c>
      <c r="E68">
        <v>18</v>
      </c>
      <c r="F68">
        <v>18</v>
      </c>
      <c r="G68">
        <v>0</v>
      </c>
      <c r="H68" s="9">
        <v>46207</v>
      </c>
      <c r="I68" s="13"/>
    </row>
    <row r="69" spans="1:13" ht="18" hidden="1" customHeight="1" x14ac:dyDescent="0.35">
      <c r="A69" t="s">
        <v>25</v>
      </c>
      <c r="B69" s="9">
        <v>46209</v>
      </c>
      <c r="C69" t="s">
        <v>28</v>
      </c>
      <c r="D69">
        <v>7</v>
      </c>
      <c r="E69">
        <v>26</v>
      </c>
      <c r="F69">
        <v>26</v>
      </c>
      <c r="G69">
        <v>0</v>
      </c>
      <c r="H69" s="9">
        <v>46207</v>
      </c>
      <c r="I69" s="13"/>
    </row>
    <row r="70" spans="1:13" ht="18" hidden="1" customHeight="1" x14ac:dyDescent="0.35">
      <c r="A70" t="s">
        <v>25</v>
      </c>
      <c r="B70" s="9">
        <v>46209</v>
      </c>
      <c r="C70" t="s">
        <v>47</v>
      </c>
      <c r="D70">
        <v>5</v>
      </c>
      <c r="E70">
        <v>8</v>
      </c>
      <c r="F70">
        <v>8</v>
      </c>
      <c r="G70">
        <v>0</v>
      </c>
      <c r="H70" s="9">
        <v>46207</v>
      </c>
      <c r="I70" s="13"/>
    </row>
    <row r="71" spans="1:13" ht="18" hidden="1" customHeight="1" x14ac:dyDescent="0.35">
      <c r="A71" t="s">
        <v>25</v>
      </c>
      <c r="B71" s="9">
        <v>46209</v>
      </c>
      <c r="C71" t="s">
        <v>47</v>
      </c>
      <c r="D71">
        <v>4</v>
      </c>
      <c r="E71">
        <v>8</v>
      </c>
      <c r="F71">
        <v>8</v>
      </c>
      <c r="G71">
        <v>0</v>
      </c>
      <c r="H71" s="9">
        <v>46207</v>
      </c>
      <c r="I71" s="13"/>
    </row>
    <row r="72" spans="1:13" ht="18" hidden="1" customHeight="1" x14ac:dyDescent="0.35">
      <c r="A72" t="s">
        <v>25</v>
      </c>
      <c r="B72" s="9">
        <v>46209</v>
      </c>
      <c r="C72" t="s">
        <v>38</v>
      </c>
      <c r="D72">
        <v>10</v>
      </c>
      <c r="E72">
        <v>12</v>
      </c>
      <c r="F72">
        <v>12</v>
      </c>
      <c r="G72">
        <v>0</v>
      </c>
      <c r="H72" s="9">
        <v>46207</v>
      </c>
      <c r="I72" s="13"/>
    </row>
    <row r="73" spans="1:13" ht="18" hidden="1" customHeight="1" x14ac:dyDescent="0.35">
      <c r="A73" t="s">
        <v>25</v>
      </c>
      <c r="B73" s="9">
        <v>46209</v>
      </c>
      <c r="C73" t="s">
        <v>36</v>
      </c>
      <c r="D73">
        <v>3</v>
      </c>
      <c r="E73">
        <v>14</v>
      </c>
      <c r="F73">
        <v>14</v>
      </c>
      <c r="G73">
        <v>0</v>
      </c>
      <c r="H73" s="9">
        <v>46207</v>
      </c>
      <c r="I73" s="13"/>
    </row>
    <row r="74" spans="1:13" ht="18" hidden="1" customHeight="1" x14ac:dyDescent="0.35">
      <c r="A74" t="s">
        <v>25</v>
      </c>
      <c r="B74" s="9">
        <v>46209</v>
      </c>
      <c r="C74" t="s">
        <v>47</v>
      </c>
      <c r="D74">
        <v>1</v>
      </c>
      <c r="E74">
        <v>8</v>
      </c>
      <c r="F74">
        <v>8</v>
      </c>
      <c r="G74">
        <v>0</v>
      </c>
      <c r="H74" s="9">
        <v>46207</v>
      </c>
      <c r="I74" s="13"/>
      <c r="K74">
        <f>SUM(F51:F74)</f>
        <v>453</v>
      </c>
      <c r="L74">
        <f>SUM(G51:G74)</f>
        <v>20</v>
      </c>
      <c r="M74">
        <f>K74+L74</f>
        <v>473</v>
      </c>
    </row>
    <row r="75" spans="1:13" ht="18" hidden="1" customHeight="1" x14ac:dyDescent="0.35">
      <c r="A75" t="s">
        <v>25</v>
      </c>
      <c r="B75" s="9">
        <v>46209</v>
      </c>
      <c r="C75" t="s">
        <v>34</v>
      </c>
      <c r="D75">
        <v>15</v>
      </c>
      <c r="E75">
        <v>8</v>
      </c>
      <c r="F75">
        <v>8</v>
      </c>
      <c r="G75" s="10">
        <v>0</v>
      </c>
      <c r="H75" s="9">
        <v>46207</v>
      </c>
      <c r="I75" s="13"/>
    </row>
    <row r="76" spans="1:13" ht="18" hidden="1" customHeight="1" x14ac:dyDescent="0.35">
      <c r="A76" t="s">
        <v>25</v>
      </c>
      <c r="B76" s="9">
        <v>46209</v>
      </c>
      <c r="C76" t="s">
        <v>54</v>
      </c>
      <c r="D76">
        <v>17</v>
      </c>
      <c r="E76">
        <v>71</v>
      </c>
      <c r="F76">
        <v>71</v>
      </c>
      <c r="G76" s="10">
        <v>0</v>
      </c>
      <c r="H76" s="9">
        <v>46207</v>
      </c>
      <c r="I76" s="13"/>
    </row>
    <row r="77" spans="1:13" ht="18" hidden="1" customHeight="1" x14ac:dyDescent="0.35">
      <c r="A77" t="s">
        <v>25</v>
      </c>
      <c r="B77" s="9">
        <v>46209</v>
      </c>
      <c r="C77" t="s">
        <v>55</v>
      </c>
      <c r="D77">
        <v>3</v>
      </c>
      <c r="E77">
        <v>29</v>
      </c>
      <c r="F77">
        <v>29</v>
      </c>
      <c r="G77" s="10">
        <v>0</v>
      </c>
      <c r="H77" s="9">
        <v>46207</v>
      </c>
      <c r="I77" s="13"/>
    </row>
    <row r="78" spans="1:13" ht="18" hidden="1" customHeight="1" x14ac:dyDescent="0.35">
      <c r="A78" t="s">
        <v>25</v>
      </c>
      <c r="B78" s="9">
        <v>46209</v>
      </c>
      <c r="C78" t="s">
        <v>55</v>
      </c>
      <c r="D78">
        <v>2</v>
      </c>
      <c r="E78">
        <v>19</v>
      </c>
      <c r="F78">
        <v>19</v>
      </c>
      <c r="G78" s="10">
        <v>0</v>
      </c>
      <c r="H78" s="9">
        <v>46207</v>
      </c>
      <c r="I78" s="13"/>
    </row>
    <row r="79" spans="1:13" ht="18" hidden="1" customHeight="1" x14ac:dyDescent="0.35">
      <c r="A79" t="s">
        <v>25</v>
      </c>
      <c r="B79" s="9">
        <v>46209</v>
      </c>
      <c r="C79" t="s">
        <v>52</v>
      </c>
      <c r="D79">
        <v>18</v>
      </c>
      <c r="E79">
        <v>9</v>
      </c>
      <c r="F79">
        <v>9</v>
      </c>
      <c r="G79" s="10">
        <v>0</v>
      </c>
      <c r="H79" s="9">
        <v>46207</v>
      </c>
      <c r="I79" s="13"/>
    </row>
    <row r="80" spans="1:13" ht="18" hidden="1" customHeight="1" x14ac:dyDescent="0.35">
      <c r="A80" t="s">
        <v>25</v>
      </c>
      <c r="B80" s="9">
        <v>46209</v>
      </c>
      <c r="C80" t="s">
        <v>54</v>
      </c>
      <c r="D80">
        <v>14</v>
      </c>
      <c r="E80">
        <v>58</v>
      </c>
      <c r="F80">
        <v>58</v>
      </c>
      <c r="G80" s="10">
        <v>0</v>
      </c>
      <c r="H80" s="9">
        <v>46207</v>
      </c>
      <c r="I80" s="13"/>
    </row>
    <row r="81" spans="1:9" ht="18" hidden="1" customHeight="1" x14ac:dyDescent="0.35">
      <c r="A81" t="s">
        <v>25</v>
      </c>
      <c r="B81" s="9">
        <v>46209</v>
      </c>
      <c r="C81" t="s">
        <v>36</v>
      </c>
      <c r="D81">
        <v>10</v>
      </c>
      <c r="E81">
        <v>52</v>
      </c>
      <c r="F81">
        <v>52</v>
      </c>
      <c r="G81" s="10">
        <v>0</v>
      </c>
      <c r="H81" s="9">
        <v>46207</v>
      </c>
      <c r="I81" s="13"/>
    </row>
    <row r="82" spans="1:9" ht="18" hidden="1" customHeight="1" x14ac:dyDescent="0.35">
      <c r="A82" t="s">
        <v>25</v>
      </c>
      <c r="B82" s="9">
        <v>46209</v>
      </c>
      <c r="C82" t="s">
        <v>46</v>
      </c>
      <c r="D82">
        <v>15</v>
      </c>
      <c r="E82">
        <v>11</v>
      </c>
      <c r="F82">
        <v>11</v>
      </c>
      <c r="G82" s="10">
        <v>0</v>
      </c>
      <c r="H82" s="9">
        <v>46207</v>
      </c>
      <c r="I82" s="13"/>
    </row>
    <row r="83" spans="1:9" ht="18" hidden="1" customHeight="1" x14ac:dyDescent="0.35">
      <c r="A83" t="s">
        <v>25</v>
      </c>
      <c r="B83" s="9">
        <v>46209</v>
      </c>
      <c r="C83" t="s">
        <v>30</v>
      </c>
      <c r="D83">
        <v>6</v>
      </c>
      <c r="E83">
        <v>12</v>
      </c>
      <c r="F83">
        <v>12</v>
      </c>
      <c r="G83" s="10">
        <v>0</v>
      </c>
      <c r="H83" s="9">
        <v>46207</v>
      </c>
      <c r="I83" s="13"/>
    </row>
    <row r="84" spans="1:9" ht="18" hidden="1" customHeight="1" x14ac:dyDescent="0.35">
      <c r="A84" t="s">
        <v>25</v>
      </c>
      <c r="B84" s="9">
        <v>46209</v>
      </c>
      <c r="C84" t="s">
        <v>26</v>
      </c>
      <c r="D84">
        <v>3</v>
      </c>
      <c r="E84">
        <v>8</v>
      </c>
      <c r="F84">
        <v>8</v>
      </c>
      <c r="G84" s="10">
        <v>0</v>
      </c>
      <c r="H84" s="9">
        <v>46207</v>
      </c>
      <c r="I84" s="13"/>
    </row>
    <row r="85" spans="1:9" ht="18" hidden="1" customHeight="1" x14ac:dyDescent="0.35">
      <c r="A85" t="s">
        <v>25</v>
      </c>
      <c r="B85" s="9">
        <v>46209</v>
      </c>
      <c r="C85" t="s">
        <v>28</v>
      </c>
      <c r="D85">
        <v>16</v>
      </c>
      <c r="E85">
        <v>9</v>
      </c>
      <c r="F85">
        <v>9</v>
      </c>
      <c r="G85" s="10">
        <v>0</v>
      </c>
      <c r="H85" s="9">
        <v>46207</v>
      </c>
      <c r="I85" s="13"/>
    </row>
    <row r="86" spans="1:9" ht="18" hidden="1" customHeight="1" x14ac:dyDescent="0.35">
      <c r="A86" t="s">
        <v>25</v>
      </c>
      <c r="B86" s="9">
        <v>46209</v>
      </c>
      <c r="C86" t="s">
        <v>30</v>
      </c>
      <c r="D86">
        <v>10</v>
      </c>
      <c r="E86">
        <v>23</v>
      </c>
      <c r="F86">
        <v>23</v>
      </c>
      <c r="G86" s="10">
        <v>0</v>
      </c>
      <c r="H86" s="9">
        <v>46207</v>
      </c>
      <c r="I86" s="13"/>
    </row>
    <row r="87" spans="1:9" ht="18" hidden="1" customHeight="1" x14ac:dyDescent="0.35">
      <c r="A87" t="s">
        <v>25</v>
      </c>
      <c r="B87" s="9">
        <v>46209</v>
      </c>
      <c r="C87" t="s">
        <v>27</v>
      </c>
      <c r="D87">
        <v>5</v>
      </c>
      <c r="E87">
        <v>43</v>
      </c>
      <c r="F87">
        <v>43</v>
      </c>
      <c r="G87" s="10">
        <v>0</v>
      </c>
      <c r="H87" s="9">
        <v>46207</v>
      </c>
      <c r="I87" s="13"/>
    </row>
    <row r="88" spans="1:9" ht="18" hidden="1" customHeight="1" x14ac:dyDescent="0.35">
      <c r="A88" t="s">
        <v>25</v>
      </c>
      <c r="B88" s="9">
        <v>46209</v>
      </c>
      <c r="C88" t="s">
        <v>38</v>
      </c>
      <c r="D88">
        <v>4</v>
      </c>
      <c r="E88">
        <v>25</v>
      </c>
      <c r="F88">
        <v>25</v>
      </c>
      <c r="G88" s="10">
        <v>0</v>
      </c>
      <c r="H88" s="9">
        <v>46207</v>
      </c>
      <c r="I88" s="13"/>
    </row>
    <row r="89" spans="1:9" ht="18" hidden="1" customHeight="1" x14ac:dyDescent="0.35">
      <c r="A89" t="s">
        <v>25</v>
      </c>
      <c r="B89" s="9">
        <v>46209</v>
      </c>
      <c r="C89" t="s">
        <v>36</v>
      </c>
      <c r="D89">
        <v>7</v>
      </c>
      <c r="E89">
        <v>8</v>
      </c>
      <c r="F89">
        <v>8</v>
      </c>
      <c r="G89" s="10">
        <v>0</v>
      </c>
      <c r="H89" s="9">
        <v>46207</v>
      </c>
      <c r="I89" s="13"/>
    </row>
    <row r="90" spans="1:9" ht="18" hidden="1" customHeight="1" x14ac:dyDescent="0.35">
      <c r="A90" t="s">
        <v>25</v>
      </c>
      <c r="B90" s="9">
        <v>46209</v>
      </c>
      <c r="C90" t="s">
        <v>30</v>
      </c>
      <c r="D90">
        <v>1</v>
      </c>
      <c r="E90">
        <v>8</v>
      </c>
      <c r="F90">
        <v>8</v>
      </c>
      <c r="G90" s="10">
        <v>0</v>
      </c>
      <c r="H90" s="9">
        <v>46207</v>
      </c>
      <c r="I90" s="13"/>
    </row>
    <row r="91" spans="1:9" ht="18" hidden="1" customHeight="1" x14ac:dyDescent="0.35">
      <c r="A91" t="s">
        <v>25</v>
      </c>
      <c r="B91" s="9">
        <v>46209</v>
      </c>
      <c r="C91" t="s">
        <v>30</v>
      </c>
      <c r="D91">
        <v>3</v>
      </c>
      <c r="E91">
        <v>15</v>
      </c>
      <c r="F91">
        <v>15</v>
      </c>
      <c r="G91" s="10">
        <v>0</v>
      </c>
      <c r="H91" s="9">
        <v>46207</v>
      </c>
      <c r="I91" s="13"/>
    </row>
    <row r="92" spans="1:9" ht="18" hidden="1" customHeight="1" x14ac:dyDescent="0.35">
      <c r="A92" t="s">
        <v>25</v>
      </c>
      <c r="B92" s="9">
        <v>46209</v>
      </c>
      <c r="C92" t="s">
        <v>51</v>
      </c>
      <c r="D92">
        <v>4</v>
      </c>
      <c r="E92">
        <v>8</v>
      </c>
      <c r="F92">
        <v>8</v>
      </c>
      <c r="G92" s="10">
        <v>0</v>
      </c>
      <c r="H92" s="9">
        <v>46207</v>
      </c>
      <c r="I92" s="13"/>
    </row>
    <row r="93" spans="1:9" ht="18" hidden="1" customHeight="1" x14ac:dyDescent="0.35">
      <c r="A93" t="s">
        <v>25</v>
      </c>
      <c r="B93" s="9">
        <v>46209</v>
      </c>
      <c r="C93" t="s">
        <v>54</v>
      </c>
      <c r="D93">
        <v>2</v>
      </c>
      <c r="E93">
        <v>8</v>
      </c>
      <c r="F93">
        <v>8</v>
      </c>
      <c r="G93" s="10">
        <v>0</v>
      </c>
      <c r="H93" s="9">
        <v>46207</v>
      </c>
      <c r="I93" s="13"/>
    </row>
    <row r="94" spans="1:9" ht="18" hidden="1" customHeight="1" x14ac:dyDescent="0.35">
      <c r="A94" t="s">
        <v>25</v>
      </c>
      <c r="B94" s="9">
        <v>46209</v>
      </c>
      <c r="C94" t="s">
        <v>27</v>
      </c>
      <c r="D94">
        <v>12</v>
      </c>
      <c r="E94">
        <v>22</v>
      </c>
      <c r="F94">
        <v>22</v>
      </c>
      <c r="G94" s="10">
        <v>0</v>
      </c>
      <c r="H94" s="9">
        <v>46207</v>
      </c>
      <c r="I94" s="13"/>
    </row>
    <row r="95" spans="1:9" ht="18" hidden="1" customHeight="1" x14ac:dyDescent="0.35">
      <c r="A95" t="s">
        <v>25</v>
      </c>
      <c r="B95" s="9">
        <v>46209</v>
      </c>
      <c r="C95" t="s">
        <v>36</v>
      </c>
      <c r="D95">
        <v>21</v>
      </c>
      <c r="E95">
        <v>8</v>
      </c>
      <c r="F95">
        <v>8</v>
      </c>
      <c r="G95" s="10">
        <v>0</v>
      </c>
      <c r="H95" s="9">
        <v>46207</v>
      </c>
      <c r="I95" s="13"/>
    </row>
    <row r="96" spans="1:9" ht="18" hidden="1" customHeight="1" x14ac:dyDescent="0.35">
      <c r="A96" t="s">
        <v>25</v>
      </c>
      <c r="B96" s="9">
        <v>46209</v>
      </c>
      <c r="C96" t="s">
        <v>31</v>
      </c>
      <c r="D96">
        <v>19</v>
      </c>
      <c r="E96">
        <v>12</v>
      </c>
      <c r="F96">
        <v>12</v>
      </c>
      <c r="G96" s="10">
        <v>0</v>
      </c>
      <c r="H96" s="9">
        <v>46207</v>
      </c>
      <c r="I96" s="13"/>
    </row>
    <row r="97" spans="1:13" ht="18" hidden="1" customHeight="1" x14ac:dyDescent="0.35">
      <c r="A97" t="s">
        <v>25</v>
      </c>
      <c r="B97" s="9">
        <v>46209</v>
      </c>
      <c r="C97" t="s">
        <v>56</v>
      </c>
      <c r="D97">
        <v>9</v>
      </c>
      <c r="E97">
        <v>8</v>
      </c>
      <c r="F97">
        <v>8</v>
      </c>
      <c r="G97" s="10">
        <v>0</v>
      </c>
      <c r="H97" s="9">
        <v>46207</v>
      </c>
      <c r="I97" s="13"/>
    </row>
    <row r="98" spans="1:13" ht="18" hidden="1" customHeight="1" x14ac:dyDescent="0.35">
      <c r="A98" t="s">
        <v>25</v>
      </c>
      <c r="B98" s="9">
        <v>46209</v>
      </c>
      <c r="C98" t="s">
        <v>57</v>
      </c>
      <c r="D98">
        <v>4</v>
      </c>
      <c r="E98">
        <v>9</v>
      </c>
      <c r="F98">
        <v>9</v>
      </c>
      <c r="G98" s="10">
        <v>0</v>
      </c>
      <c r="H98" s="9">
        <v>46207</v>
      </c>
      <c r="I98" s="13"/>
      <c r="K98">
        <f>SUM(F75:F98)</f>
        <v>483</v>
      </c>
      <c r="L98">
        <f>SUM(G75:G98)</f>
        <v>0</v>
      </c>
      <c r="M98">
        <f>K98+L98</f>
        <v>483</v>
      </c>
    </row>
    <row r="99" spans="1:13" ht="18" customHeight="1" x14ac:dyDescent="0.35">
      <c r="A99" t="s">
        <v>25</v>
      </c>
      <c r="B99" s="9">
        <v>46209</v>
      </c>
      <c r="C99" t="s">
        <v>28</v>
      </c>
      <c r="D99">
        <v>23</v>
      </c>
      <c r="E99">
        <v>71</v>
      </c>
      <c r="F99">
        <v>22</v>
      </c>
      <c r="G99" s="10">
        <f>E99-F99</f>
        <v>49</v>
      </c>
      <c r="H99" s="9">
        <v>46207</v>
      </c>
      <c r="I99" s="13" t="s">
        <v>66</v>
      </c>
    </row>
    <row r="100" spans="1:13" ht="18" hidden="1" customHeight="1" x14ac:dyDescent="0.35">
      <c r="A100" t="s">
        <v>25</v>
      </c>
      <c r="B100" s="9">
        <v>46209</v>
      </c>
      <c r="C100" t="s">
        <v>38</v>
      </c>
      <c r="D100">
        <v>19</v>
      </c>
      <c r="E100">
        <v>39</v>
      </c>
      <c r="F100">
        <v>39</v>
      </c>
      <c r="G100" s="10">
        <v>0</v>
      </c>
      <c r="H100" s="9">
        <v>46207</v>
      </c>
      <c r="I100" s="13"/>
    </row>
    <row r="101" spans="1:13" ht="18" hidden="1" customHeight="1" x14ac:dyDescent="0.35">
      <c r="A101" t="s">
        <v>25</v>
      </c>
      <c r="B101" s="9">
        <v>46209</v>
      </c>
      <c r="C101" t="s">
        <v>27</v>
      </c>
      <c r="D101">
        <v>33</v>
      </c>
      <c r="E101">
        <v>17</v>
      </c>
      <c r="F101">
        <v>17</v>
      </c>
      <c r="G101" s="10">
        <v>0</v>
      </c>
      <c r="H101" s="9">
        <v>46207</v>
      </c>
      <c r="I101" s="13"/>
    </row>
    <row r="102" spans="1:13" ht="18" hidden="1" customHeight="1" x14ac:dyDescent="0.35">
      <c r="A102" t="s">
        <v>25</v>
      </c>
      <c r="B102" s="9">
        <v>46209</v>
      </c>
      <c r="C102" t="s">
        <v>33</v>
      </c>
      <c r="D102">
        <v>2</v>
      </c>
      <c r="E102">
        <v>11</v>
      </c>
      <c r="F102">
        <v>11</v>
      </c>
      <c r="G102" s="10">
        <v>0</v>
      </c>
      <c r="H102" s="9">
        <v>46207</v>
      </c>
      <c r="I102" s="13"/>
    </row>
    <row r="103" spans="1:13" ht="18" hidden="1" customHeight="1" x14ac:dyDescent="0.35">
      <c r="A103" t="s">
        <v>25</v>
      </c>
      <c r="B103" s="9">
        <v>46209</v>
      </c>
      <c r="C103" t="s">
        <v>50</v>
      </c>
      <c r="D103">
        <v>15</v>
      </c>
      <c r="E103">
        <v>18</v>
      </c>
      <c r="F103">
        <v>18</v>
      </c>
      <c r="G103" s="10">
        <v>0</v>
      </c>
      <c r="H103" s="9">
        <v>46207</v>
      </c>
      <c r="I103" s="13"/>
    </row>
    <row r="104" spans="1:13" ht="18" hidden="1" customHeight="1" x14ac:dyDescent="0.35">
      <c r="A104" t="s">
        <v>25</v>
      </c>
      <c r="B104" s="9">
        <v>46209</v>
      </c>
      <c r="C104" t="s">
        <v>30</v>
      </c>
      <c r="D104">
        <v>2</v>
      </c>
      <c r="E104">
        <v>24</v>
      </c>
      <c r="F104">
        <v>24</v>
      </c>
      <c r="G104" s="10">
        <v>0</v>
      </c>
      <c r="H104" s="9">
        <v>46207</v>
      </c>
      <c r="I104" s="13"/>
    </row>
    <row r="105" spans="1:13" ht="18" hidden="1" customHeight="1" x14ac:dyDescent="0.35">
      <c r="A105" t="s">
        <v>25</v>
      </c>
      <c r="B105" s="9">
        <v>46209</v>
      </c>
      <c r="C105" t="s">
        <v>37</v>
      </c>
      <c r="D105">
        <v>7</v>
      </c>
      <c r="E105">
        <v>18</v>
      </c>
      <c r="F105">
        <v>18</v>
      </c>
      <c r="G105" s="10">
        <v>0</v>
      </c>
      <c r="H105" s="9">
        <v>46207</v>
      </c>
      <c r="I105" s="13"/>
    </row>
    <row r="106" spans="1:13" ht="18" customHeight="1" x14ac:dyDescent="0.35">
      <c r="A106" t="s">
        <v>25</v>
      </c>
      <c r="B106" s="9">
        <v>46209</v>
      </c>
      <c r="C106" t="s">
        <v>58</v>
      </c>
      <c r="D106">
        <v>14</v>
      </c>
      <c r="E106">
        <v>70</v>
      </c>
      <c r="F106">
        <v>2</v>
      </c>
      <c r="G106" s="10">
        <v>68</v>
      </c>
      <c r="H106" s="9">
        <v>46207</v>
      </c>
      <c r="I106" s="13" t="s">
        <v>66</v>
      </c>
    </row>
    <row r="107" spans="1:13" ht="18" hidden="1" customHeight="1" x14ac:dyDescent="0.35">
      <c r="A107" t="s">
        <v>25</v>
      </c>
      <c r="B107" s="9">
        <v>46209</v>
      </c>
      <c r="C107" t="s">
        <v>59</v>
      </c>
      <c r="D107">
        <v>1</v>
      </c>
      <c r="E107">
        <v>16</v>
      </c>
      <c r="F107">
        <v>16</v>
      </c>
      <c r="G107" s="10">
        <v>0</v>
      </c>
      <c r="H107" s="9">
        <v>46207</v>
      </c>
      <c r="I107" s="13"/>
    </row>
    <row r="108" spans="1:13" ht="18" hidden="1" customHeight="1" x14ac:dyDescent="0.35">
      <c r="A108" t="s">
        <v>25</v>
      </c>
      <c r="B108" s="9">
        <v>46209</v>
      </c>
      <c r="C108" t="s">
        <v>58</v>
      </c>
      <c r="D108">
        <v>5</v>
      </c>
      <c r="E108">
        <v>46</v>
      </c>
      <c r="F108">
        <v>46</v>
      </c>
      <c r="G108" s="10">
        <v>0</v>
      </c>
      <c r="H108" s="9">
        <v>46207</v>
      </c>
      <c r="I108" s="13"/>
    </row>
    <row r="109" spans="1:13" ht="18" hidden="1" customHeight="1" x14ac:dyDescent="0.35">
      <c r="A109" t="s">
        <v>25</v>
      </c>
      <c r="B109" s="9">
        <v>46209</v>
      </c>
      <c r="C109" t="s">
        <v>37</v>
      </c>
      <c r="D109">
        <v>9</v>
      </c>
      <c r="E109">
        <v>8</v>
      </c>
      <c r="F109">
        <v>8</v>
      </c>
      <c r="G109" s="10">
        <v>0</v>
      </c>
      <c r="H109" s="9">
        <v>46207</v>
      </c>
      <c r="I109" s="13"/>
    </row>
    <row r="110" spans="1:13" ht="18" hidden="1" customHeight="1" x14ac:dyDescent="0.35">
      <c r="A110" t="s">
        <v>25</v>
      </c>
      <c r="B110" s="9">
        <v>46209</v>
      </c>
      <c r="C110" t="s">
        <v>28</v>
      </c>
      <c r="D110">
        <v>15</v>
      </c>
      <c r="E110">
        <v>9</v>
      </c>
      <c r="F110">
        <v>9</v>
      </c>
      <c r="G110" s="10">
        <v>0</v>
      </c>
      <c r="H110" s="9">
        <v>46207</v>
      </c>
      <c r="I110" s="13"/>
    </row>
    <row r="111" spans="1:13" ht="18" hidden="1" customHeight="1" x14ac:dyDescent="0.35">
      <c r="A111" t="s">
        <v>25</v>
      </c>
      <c r="B111" s="9">
        <v>46209</v>
      </c>
      <c r="C111" t="s">
        <v>44</v>
      </c>
      <c r="D111">
        <v>9</v>
      </c>
      <c r="E111">
        <v>14</v>
      </c>
      <c r="F111">
        <v>14</v>
      </c>
      <c r="G111" s="10">
        <v>0</v>
      </c>
      <c r="H111" s="9">
        <v>46207</v>
      </c>
      <c r="I111" s="13"/>
    </row>
    <row r="112" spans="1:13" ht="18" hidden="1" customHeight="1" x14ac:dyDescent="0.35">
      <c r="A112" t="s">
        <v>25</v>
      </c>
      <c r="B112" s="9">
        <v>46209</v>
      </c>
      <c r="C112" t="s">
        <v>37</v>
      </c>
      <c r="D112">
        <v>16</v>
      </c>
      <c r="E112">
        <v>8</v>
      </c>
      <c r="F112">
        <v>8</v>
      </c>
      <c r="G112" s="10">
        <v>0</v>
      </c>
      <c r="H112" s="9">
        <v>46207</v>
      </c>
      <c r="I112" s="13"/>
    </row>
    <row r="113" spans="1:13" ht="18" hidden="1" customHeight="1" x14ac:dyDescent="0.35">
      <c r="A113" t="s">
        <v>25</v>
      </c>
      <c r="B113" s="9">
        <v>46209</v>
      </c>
      <c r="C113" t="s">
        <v>37</v>
      </c>
      <c r="D113">
        <v>18</v>
      </c>
      <c r="E113">
        <v>21</v>
      </c>
      <c r="F113">
        <v>21</v>
      </c>
      <c r="G113" s="10">
        <v>0</v>
      </c>
      <c r="H113" s="9">
        <v>46207</v>
      </c>
      <c r="I113" s="13"/>
    </row>
    <row r="114" spans="1:13" ht="18" hidden="1" customHeight="1" x14ac:dyDescent="0.35">
      <c r="A114" t="s">
        <v>25</v>
      </c>
      <c r="B114" s="9">
        <v>46209</v>
      </c>
      <c r="C114" t="s">
        <v>37</v>
      </c>
      <c r="D114">
        <v>18</v>
      </c>
      <c r="E114">
        <v>100</v>
      </c>
      <c r="F114">
        <v>100</v>
      </c>
      <c r="G114" s="10">
        <v>0</v>
      </c>
      <c r="H114" s="9">
        <v>46207</v>
      </c>
      <c r="I114" s="13"/>
      <c r="J114" t="s">
        <v>29</v>
      </c>
    </row>
    <row r="115" spans="1:13" ht="18" hidden="1" customHeight="1" x14ac:dyDescent="0.35">
      <c r="A115" t="s">
        <v>25</v>
      </c>
      <c r="B115" s="9">
        <v>46209</v>
      </c>
      <c r="C115" t="s">
        <v>59</v>
      </c>
      <c r="D115">
        <v>19</v>
      </c>
      <c r="E115">
        <v>17</v>
      </c>
      <c r="F115">
        <v>17</v>
      </c>
      <c r="G115" s="10">
        <v>0</v>
      </c>
      <c r="H115" s="9">
        <v>46207</v>
      </c>
      <c r="I115" s="13"/>
    </row>
    <row r="116" spans="1:13" ht="18" hidden="1" customHeight="1" x14ac:dyDescent="0.35">
      <c r="A116" t="s">
        <v>25</v>
      </c>
      <c r="B116" s="9">
        <v>46209</v>
      </c>
      <c r="C116" t="s">
        <v>39</v>
      </c>
      <c r="D116">
        <v>2</v>
      </c>
      <c r="E116">
        <v>90</v>
      </c>
      <c r="F116">
        <v>90</v>
      </c>
      <c r="G116" s="10">
        <v>0</v>
      </c>
      <c r="H116" s="9">
        <v>46207</v>
      </c>
      <c r="I116" s="13"/>
    </row>
    <row r="117" spans="1:13" ht="18" hidden="1" customHeight="1" x14ac:dyDescent="0.35">
      <c r="A117" t="s">
        <v>25</v>
      </c>
      <c r="B117" s="9">
        <v>46209</v>
      </c>
      <c r="C117" t="s">
        <v>36</v>
      </c>
      <c r="D117">
        <v>6</v>
      </c>
      <c r="E117">
        <v>15</v>
      </c>
      <c r="F117">
        <v>15</v>
      </c>
      <c r="G117" s="10">
        <v>0</v>
      </c>
      <c r="H117" s="9">
        <v>46207</v>
      </c>
      <c r="I117" s="13"/>
    </row>
    <row r="118" spans="1:13" ht="18" hidden="1" customHeight="1" x14ac:dyDescent="0.35">
      <c r="A118" t="s">
        <v>25</v>
      </c>
      <c r="B118" s="9">
        <v>46209</v>
      </c>
      <c r="C118" t="s">
        <v>26</v>
      </c>
      <c r="D118">
        <v>4</v>
      </c>
      <c r="E118">
        <v>20</v>
      </c>
      <c r="F118">
        <v>20</v>
      </c>
      <c r="G118" s="10">
        <v>0</v>
      </c>
      <c r="H118" s="9">
        <v>46207</v>
      </c>
      <c r="I118" s="13"/>
    </row>
    <row r="119" spans="1:13" ht="18" hidden="1" customHeight="1" x14ac:dyDescent="0.35">
      <c r="A119" t="s">
        <v>25</v>
      </c>
      <c r="B119" s="9">
        <v>46209</v>
      </c>
      <c r="C119" t="s">
        <v>58</v>
      </c>
      <c r="D119">
        <v>11</v>
      </c>
      <c r="E119">
        <v>102</v>
      </c>
      <c r="F119">
        <v>102</v>
      </c>
      <c r="G119" s="10">
        <v>0</v>
      </c>
      <c r="H119" s="9">
        <v>46207</v>
      </c>
      <c r="I119" s="13"/>
    </row>
    <row r="120" spans="1:13" ht="18" hidden="1" customHeight="1" x14ac:dyDescent="0.35">
      <c r="A120" t="s">
        <v>25</v>
      </c>
      <c r="B120" s="9">
        <v>46209</v>
      </c>
      <c r="C120" t="s">
        <v>52</v>
      </c>
      <c r="D120">
        <v>14</v>
      </c>
      <c r="E120">
        <v>76</v>
      </c>
      <c r="F120">
        <v>76</v>
      </c>
      <c r="G120" s="10">
        <v>0</v>
      </c>
      <c r="H120" s="9">
        <v>46207</v>
      </c>
      <c r="I120" s="13"/>
    </row>
    <row r="121" spans="1:13" ht="18" hidden="1" customHeight="1" x14ac:dyDescent="0.35">
      <c r="A121" t="s">
        <v>25</v>
      </c>
      <c r="B121" s="9">
        <v>46209</v>
      </c>
      <c r="C121" t="s">
        <v>27</v>
      </c>
      <c r="D121">
        <v>25</v>
      </c>
      <c r="E121">
        <v>22</v>
      </c>
      <c r="F121">
        <v>22</v>
      </c>
      <c r="G121" s="10">
        <v>0</v>
      </c>
      <c r="H121" s="9">
        <v>46207</v>
      </c>
      <c r="I121" s="13"/>
      <c r="K121">
        <f>SUM(F99:F121)</f>
        <v>715</v>
      </c>
      <c r="L121">
        <f>SUM(G99:G121)</f>
        <v>117</v>
      </c>
      <c r="M121">
        <f>K121+L121</f>
        <v>832</v>
      </c>
    </row>
    <row r="122" spans="1:13" ht="18" hidden="1" customHeight="1" x14ac:dyDescent="0.35">
      <c r="A122" s="10" t="s">
        <v>25</v>
      </c>
      <c r="B122" s="9">
        <v>46210</v>
      </c>
      <c r="C122" s="10" t="s">
        <v>30</v>
      </c>
      <c r="D122" s="10">
        <v>14</v>
      </c>
      <c r="E122" s="10">
        <v>12</v>
      </c>
      <c r="F122" s="10">
        <v>12</v>
      </c>
      <c r="G122" s="10">
        <v>0</v>
      </c>
      <c r="H122" s="9">
        <v>46208</v>
      </c>
      <c r="I122" s="13"/>
    </row>
    <row r="123" spans="1:13" ht="18" hidden="1" customHeight="1" x14ac:dyDescent="0.35">
      <c r="A123" s="10" t="s">
        <v>25</v>
      </c>
      <c r="B123" s="9">
        <v>46210</v>
      </c>
      <c r="C123" s="10" t="s">
        <v>33</v>
      </c>
      <c r="D123" s="10">
        <v>11</v>
      </c>
      <c r="E123" s="10">
        <v>16</v>
      </c>
      <c r="F123" s="10">
        <v>16</v>
      </c>
      <c r="G123" s="10">
        <v>0</v>
      </c>
      <c r="H123" s="9">
        <v>46208</v>
      </c>
      <c r="I123" s="13"/>
    </row>
    <row r="124" spans="1:13" ht="18" hidden="1" customHeight="1" x14ac:dyDescent="0.35">
      <c r="A124" s="10" t="s">
        <v>25</v>
      </c>
      <c r="B124" s="9">
        <v>46210</v>
      </c>
      <c r="C124" s="10" t="s">
        <v>41</v>
      </c>
      <c r="D124" s="10">
        <v>10</v>
      </c>
      <c r="E124" s="10">
        <v>8</v>
      </c>
      <c r="F124" s="10">
        <v>8</v>
      </c>
      <c r="G124" s="10">
        <v>0</v>
      </c>
      <c r="H124" s="9">
        <v>46208</v>
      </c>
      <c r="I124" s="13"/>
    </row>
    <row r="125" spans="1:13" ht="18" hidden="1" customHeight="1" x14ac:dyDescent="0.35">
      <c r="A125" s="10" t="s">
        <v>25</v>
      </c>
      <c r="B125" s="9">
        <v>46210</v>
      </c>
      <c r="C125" s="10" t="s">
        <v>53</v>
      </c>
      <c r="D125" s="10">
        <v>1</v>
      </c>
      <c r="E125" s="10">
        <v>16</v>
      </c>
      <c r="F125" s="10">
        <v>16</v>
      </c>
      <c r="G125" s="10">
        <v>0</v>
      </c>
      <c r="H125" s="9">
        <v>46208</v>
      </c>
      <c r="I125" s="13"/>
    </row>
    <row r="126" spans="1:13" ht="18" hidden="1" customHeight="1" x14ac:dyDescent="0.35">
      <c r="A126" s="10" t="s">
        <v>25</v>
      </c>
      <c r="B126" s="9">
        <v>46210</v>
      </c>
      <c r="C126" s="10" t="s">
        <v>55</v>
      </c>
      <c r="D126" s="10">
        <v>7</v>
      </c>
      <c r="E126" s="10">
        <v>143</v>
      </c>
      <c r="F126" s="10">
        <v>143</v>
      </c>
      <c r="G126" s="10">
        <v>0</v>
      </c>
      <c r="H126" s="9">
        <v>46208</v>
      </c>
      <c r="I126" s="13"/>
    </row>
    <row r="127" spans="1:13" ht="18" hidden="1" customHeight="1" x14ac:dyDescent="0.35">
      <c r="A127" s="10" t="s">
        <v>25</v>
      </c>
      <c r="B127" s="9">
        <v>46210</v>
      </c>
      <c r="C127" s="10" t="s">
        <v>45</v>
      </c>
      <c r="D127" s="10">
        <v>10</v>
      </c>
      <c r="E127" s="10">
        <v>8</v>
      </c>
      <c r="F127" s="10">
        <v>8</v>
      </c>
      <c r="G127" s="10">
        <v>0</v>
      </c>
      <c r="H127" s="9">
        <v>46208</v>
      </c>
      <c r="I127" s="13"/>
    </row>
    <row r="128" spans="1:13" ht="18" hidden="1" customHeight="1" x14ac:dyDescent="0.35">
      <c r="A128" s="10" t="s">
        <v>25</v>
      </c>
      <c r="B128" s="9">
        <v>46210</v>
      </c>
      <c r="C128" s="10" t="s">
        <v>42</v>
      </c>
      <c r="D128" s="10">
        <v>3</v>
      </c>
      <c r="E128" s="10">
        <v>70</v>
      </c>
      <c r="F128" s="10">
        <v>70</v>
      </c>
      <c r="G128" s="10">
        <v>0</v>
      </c>
      <c r="H128" s="9">
        <v>46208</v>
      </c>
      <c r="I128" s="13"/>
    </row>
    <row r="129" spans="1:10" ht="18" hidden="1" customHeight="1" x14ac:dyDescent="0.35">
      <c r="A129" s="10" t="s">
        <v>25</v>
      </c>
      <c r="B129" s="9">
        <v>46210</v>
      </c>
      <c r="C129" s="10" t="s">
        <v>39</v>
      </c>
      <c r="D129" s="10">
        <v>5</v>
      </c>
      <c r="E129" s="10">
        <v>12</v>
      </c>
      <c r="F129" s="10">
        <v>12</v>
      </c>
      <c r="G129" s="10">
        <v>0</v>
      </c>
      <c r="H129" s="9">
        <v>46208</v>
      </c>
      <c r="I129" s="13"/>
    </row>
    <row r="130" spans="1:10" ht="18" hidden="1" customHeight="1" x14ac:dyDescent="0.35">
      <c r="A130" s="10" t="s">
        <v>25</v>
      </c>
      <c r="B130" s="9">
        <v>46210</v>
      </c>
      <c r="C130" s="10" t="s">
        <v>50</v>
      </c>
      <c r="D130" s="10">
        <v>10</v>
      </c>
      <c r="E130" s="10">
        <v>8</v>
      </c>
      <c r="F130" s="10">
        <v>8</v>
      </c>
      <c r="G130" s="10">
        <v>0</v>
      </c>
      <c r="H130" s="9">
        <v>46208</v>
      </c>
      <c r="I130" s="13"/>
    </row>
    <row r="131" spans="1:10" s="10" customFormat="1" ht="18" hidden="1" customHeight="1" x14ac:dyDescent="0.35">
      <c r="A131" s="10" t="s">
        <v>25</v>
      </c>
      <c r="B131" s="9">
        <v>46210</v>
      </c>
      <c r="C131" s="10" t="s">
        <v>50</v>
      </c>
      <c r="D131" s="10">
        <v>10</v>
      </c>
      <c r="E131" s="10">
        <v>200</v>
      </c>
      <c r="F131" s="10">
        <v>200</v>
      </c>
      <c r="G131" s="10">
        <v>0</v>
      </c>
      <c r="H131" s="9">
        <v>46208</v>
      </c>
      <c r="I131" s="13"/>
      <c r="J131" s="10" t="s">
        <v>29</v>
      </c>
    </row>
    <row r="132" spans="1:10" ht="18" hidden="1" customHeight="1" x14ac:dyDescent="0.35">
      <c r="A132" s="10" t="s">
        <v>25</v>
      </c>
      <c r="B132" s="9">
        <v>46210</v>
      </c>
      <c r="C132" s="10" t="s">
        <v>47</v>
      </c>
      <c r="D132" s="10">
        <v>2</v>
      </c>
      <c r="E132" s="10">
        <v>9</v>
      </c>
      <c r="F132" s="10">
        <v>9</v>
      </c>
      <c r="G132" s="10">
        <v>0</v>
      </c>
      <c r="H132" s="9">
        <v>46208</v>
      </c>
      <c r="I132" s="13"/>
    </row>
    <row r="133" spans="1:10" ht="18" hidden="1" customHeight="1" x14ac:dyDescent="0.35">
      <c r="A133" s="10" t="s">
        <v>25</v>
      </c>
      <c r="B133" s="9">
        <v>46210</v>
      </c>
      <c r="C133" s="10" t="s">
        <v>26</v>
      </c>
      <c r="D133" s="10">
        <v>21</v>
      </c>
      <c r="E133" s="10">
        <v>70</v>
      </c>
      <c r="F133" s="10">
        <v>70</v>
      </c>
      <c r="G133" s="10">
        <v>0</v>
      </c>
      <c r="H133" s="9">
        <v>46208</v>
      </c>
      <c r="I133" s="13"/>
    </row>
    <row r="134" spans="1:10" ht="18" hidden="1" customHeight="1" x14ac:dyDescent="0.35">
      <c r="A134" s="10" t="s">
        <v>25</v>
      </c>
      <c r="B134" s="9">
        <v>46210</v>
      </c>
      <c r="C134" s="10" t="s">
        <v>31</v>
      </c>
      <c r="D134" s="10">
        <v>5</v>
      </c>
      <c r="E134" s="10">
        <v>10</v>
      </c>
      <c r="F134" s="10">
        <v>10</v>
      </c>
      <c r="G134" s="10">
        <v>0</v>
      </c>
      <c r="H134" s="9">
        <v>46208</v>
      </c>
      <c r="I134" s="13"/>
    </row>
    <row r="135" spans="1:10" ht="18" hidden="1" customHeight="1" x14ac:dyDescent="0.35">
      <c r="A135" s="10" t="s">
        <v>25</v>
      </c>
      <c r="B135" s="9">
        <v>46210</v>
      </c>
      <c r="C135" s="10" t="s">
        <v>31</v>
      </c>
      <c r="D135" s="10">
        <v>10</v>
      </c>
      <c r="E135" s="10">
        <v>8</v>
      </c>
      <c r="F135" s="10">
        <v>8</v>
      </c>
      <c r="G135" s="10">
        <v>0</v>
      </c>
      <c r="H135" s="9">
        <v>46208</v>
      </c>
      <c r="I135" s="13"/>
    </row>
    <row r="136" spans="1:10" ht="18" hidden="1" customHeight="1" x14ac:dyDescent="0.35">
      <c r="A136" s="10" t="s">
        <v>25</v>
      </c>
      <c r="B136" s="9">
        <v>46210</v>
      </c>
      <c r="C136" s="10" t="s">
        <v>60</v>
      </c>
      <c r="D136" s="10">
        <v>1</v>
      </c>
      <c r="E136" s="10">
        <v>78</v>
      </c>
      <c r="F136" s="10">
        <v>78</v>
      </c>
      <c r="G136" s="10">
        <v>0</v>
      </c>
      <c r="H136" s="9">
        <v>46208</v>
      </c>
      <c r="I136" s="13"/>
    </row>
    <row r="137" spans="1:10" ht="18" hidden="1" customHeight="1" x14ac:dyDescent="0.35">
      <c r="A137" s="10" t="s">
        <v>25</v>
      </c>
      <c r="B137" s="9">
        <v>46210</v>
      </c>
      <c r="C137" s="10" t="s">
        <v>44</v>
      </c>
      <c r="D137" s="10">
        <v>11</v>
      </c>
      <c r="E137" s="10">
        <v>12</v>
      </c>
      <c r="F137" s="10">
        <v>12</v>
      </c>
      <c r="G137" s="10">
        <v>0</v>
      </c>
      <c r="H137" s="9">
        <v>46208</v>
      </c>
      <c r="I137" s="13"/>
    </row>
    <row r="138" spans="1:10" s="10" customFormat="1" ht="18" hidden="1" customHeight="1" x14ac:dyDescent="0.35">
      <c r="A138" s="10" t="s">
        <v>25</v>
      </c>
      <c r="B138" s="9">
        <v>46210</v>
      </c>
      <c r="C138" s="10" t="s">
        <v>44</v>
      </c>
      <c r="D138" s="10">
        <v>11</v>
      </c>
      <c r="E138" s="10">
        <v>50</v>
      </c>
      <c r="F138" s="10">
        <v>50</v>
      </c>
      <c r="G138" s="10">
        <v>0</v>
      </c>
      <c r="H138" s="9">
        <v>46208</v>
      </c>
      <c r="I138" s="13"/>
      <c r="J138" s="10" t="s">
        <v>29</v>
      </c>
    </row>
    <row r="139" spans="1:10" ht="18" hidden="1" customHeight="1" x14ac:dyDescent="0.35">
      <c r="A139" s="10" t="s">
        <v>25</v>
      </c>
      <c r="B139" s="9">
        <v>46210</v>
      </c>
      <c r="C139" s="10" t="s">
        <v>26</v>
      </c>
      <c r="D139" s="10">
        <v>14</v>
      </c>
      <c r="E139" s="10">
        <v>94</v>
      </c>
      <c r="F139" s="10">
        <v>94</v>
      </c>
      <c r="G139" s="10">
        <v>0</v>
      </c>
      <c r="H139" s="9">
        <v>46208</v>
      </c>
      <c r="I139" s="13"/>
    </row>
    <row r="140" spans="1:10" ht="18" customHeight="1" x14ac:dyDescent="0.35">
      <c r="A140" s="10" t="s">
        <v>25</v>
      </c>
      <c r="B140" s="9">
        <v>46210</v>
      </c>
      <c r="C140" s="10" t="s">
        <v>45</v>
      </c>
      <c r="D140" s="10">
        <v>7</v>
      </c>
      <c r="E140" s="10">
        <v>23</v>
      </c>
      <c r="F140" s="10">
        <v>0</v>
      </c>
      <c r="G140" s="10">
        <v>23</v>
      </c>
      <c r="H140" s="9">
        <v>46208</v>
      </c>
      <c r="I140" s="13"/>
    </row>
    <row r="141" spans="1:10" ht="18" hidden="1" customHeight="1" x14ac:dyDescent="0.35">
      <c r="A141" s="10" t="s">
        <v>25</v>
      </c>
      <c r="B141" s="9">
        <v>46210</v>
      </c>
      <c r="C141" s="10" t="s">
        <v>59</v>
      </c>
      <c r="D141" s="10">
        <v>14</v>
      </c>
      <c r="E141" s="10">
        <v>40</v>
      </c>
      <c r="F141" s="10">
        <v>40</v>
      </c>
      <c r="G141" s="10">
        <v>0</v>
      </c>
      <c r="H141" s="9">
        <v>46208</v>
      </c>
      <c r="I141" s="13" t="s">
        <v>61</v>
      </c>
    </row>
    <row r="142" spans="1:10" ht="18" hidden="1" customHeight="1" x14ac:dyDescent="0.35">
      <c r="A142" s="10" t="s">
        <v>25</v>
      </c>
      <c r="B142" s="9">
        <v>46210</v>
      </c>
      <c r="C142" s="10" t="s">
        <v>53</v>
      </c>
      <c r="D142" s="10">
        <v>15</v>
      </c>
      <c r="E142" s="10">
        <v>83</v>
      </c>
      <c r="F142" s="10">
        <v>83</v>
      </c>
      <c r="G142" s="10">
        <v>0</v>
      </c>
      <c r="H142" s="9">
        <v>46208</v>
      </c>
      <c r="I142" s="13"/>
    </row>
    <row r="143" spans="1:10" s="10" customFormat="1" ht="18" hidden="1" customHeight="1" x14ac:dyDescent="0.35">
      <c r="A143" s="10" t="s">
        <v>25</v>
      </c>
      <c r="B143" s="9">
        <v>46210</v>
      </c>
      <c r="C143" s="10" t="s">
        <v>53</v>
      </c>
      <c r="D143" s="10">
        <v>15</v>
      </c>
      <c r="E143" s="10">
        <v>50</v>
      </c>
      <c r="F143" s="10">
        <v>50</v>
      </c>
      <c r="G143" s="10">
        <v>0</v>
      </c>
      <c r="H143" s="9">
        <v>46208</v>
      </c>
      <c r="I143" s="13"/>
      <c r="J143" s="10" t="s">
        <v>29</v>
      </c>
    </row>
    <row r="144" spans="1:10" ht="18" hidden="1" customHeight="1" x14ac:dyDescent="0.35">
      <c r="A144" s="10" t="s">
        <v>25</v>
      </c>
      <c r="B144" s="9">
        <v>46210</v>
      </c>
      <c r="C144" s="10" t="s">
        <v>36</v>
      </c>
      <c r="D144" s="10">
        <v>17</v>
      </c>
      <c r="E144" s="10">
        <v>10</v>
      </c>
      <c r="F144" s="10">
        <v>10</v>
      </c>
      <c r="G144" s="10">
        <v>0</v>
      </c>
      <c r="H144" s="9">
        <v>46208</v>
      </c>
      <c r="I144" s="13"/>
    </row>
    <row r="145" spans="1:14" ht="18" hidden="1" customHeight="1" x14ac:dyDescent="0.35">
      <c r="A145" s="10" t="s">
        <v>25</v>
      </c>
      <c r="B145" s="9">
        <v>46210</v>
      </c>
      <c r="C145" s="10" t="s">
        <v>34</v>
      </c>
      <c r="D145" s="10">
        <v>7</v>
      </c>
      <c r="E145" s="10">
        <v>15</v>
      </c>
      <c r="F145" s="10">
        <v>15</v>
      </c>
      <c r="G145" s="10">
        <v>0</v>
      </c>
      <c r="H145" s="9">
        <v>46208</v>
      </c>
      <c r="I145" s="13"/>
    </row>
    <row r="146" spans="1:14" ht="18" customHeight="1" x14ac:dyDescent="0.35">
      <c r="A146" s="10" t="s">
        <v>25</v>
      </c>
      <c r="B146" s="9">
        <v>46210</v>
      </c>
      <c r="C146" s="10" t="s">
        <v>40</v>
      </c>
      <c r="D146" s="10">
        <v>1</v>
      </c>
      <c r="E146" s="10">
        <v>33</v>
      </c>
      <c r="F146" s="10">
        <v>0</v>
      </c>
      <c r="G146" s="10">
        <v>33</v>
      </c>
      <c r="H146" s="9">
        <v>46208</v>
      </c>
      <c r="I146" s="13"/>
      <c r="L146">
        <f>SUM(F122:F146)</f>
        <v>1022</v>
      </c>
      <c r="M146" s="10">
        <f>SUM(G122:G146)</f>
        <v>56</v>
      </c>
      <c r="N146">
        <f>L146+M146</f>
        <v>1078</v>
      </c>
    </row>
    <row r="147" spans="1:14" ht="18" hidden="1" customHeight="1" x14ac:dyDescent="0.35">
      <c r="A147" s="10" t="s">
        <v>25</v>
      </c>
      <c r="B147" s="9">
        <v>46210</v>
      </c>
      <c r="C147" s="10" t="s">
        <v>45</v>
      </c>
      <c r="D147" s="10">
        <v>6</v>
      </c>
      <c r="E147" s="10">
        <v>48</v>
      </c>
      <c r="F147" s="10">
        <v>48</v>
      </c>
      <c r="G147" s="10">
        <v>0</v>
      </c>
      <c r="H147" s="9">
        <v>46208</v>
      </c>
      <c r="I147" s="13"/>
    </row>
    <row r="148" spans="1:14" ht="18" hidden="1" customHeight="1" x14ac:dyDescent="0.35">
      <c r="A148" s="10" t="s">
        <v>25</v>
      </c>
      <c r="B148" s="9">
        <v>46210</v>
      </c>
      <c r="C148" s="10" t="s">
        <v>44</v>
      </c>
      <c r="D148" s="10">
        <v>6</v>
      </c>
      <c r="E148" s="10">
        <v>72</v>
      </c>
      <c r="F148" s="10">
        <v>72</v>
      </c>
      <c r="G148" s="10">
        <v>0</v>
      </c>
      <c r="H148" s="9">
        <v>46208</v>
      </c>
      <c r="I148" s="13"/>
    </row>
    <row r="149" spans="1:14" ht="18" hidden="1" customHeight="1" x14ac:dyDescent="0.35">
      <c r="A149" s="10" t="s">
        <v>25</v>
      </c>
      <c r="B149" s="9">
        <v>46210</v>
      </c>
      <c r="C149" s="10" t="s">
        <v>55</v>
      </c>
      <c r="D149" s="10">
        <v>18</v>
      </c>
      <c r="E149" s="10">
        <v>11</v>
      </c>
      <c r="F149" s="10">
        <v>11</v>
      </c>
      <c r="G149" s="10">
        <v>0</v>
      </c>
      <c r="H149" s="9">
        <v>46208</v>
      </c>
      <c r="I149" s="13"/>
    </row>
    <row r="150" spans="1:14" ht="18" hidden="1" customHeight="1" x14ac:dyDescent="0.35">
      <c r="A150" s="10" t="s">
        <v>25</v>
      </c>
      <c r="B150" s="9">
        <v>46210</v>
      </c>
      <c r="C150" s="10" t="s">
        <v>52</v>
      </c>
      <c r="D150" s="10">
        <v>2</v>
      </c>
      <c r="E150" s="10">
        <v>11</v>
      </c>
      <c r="F150" s="10">
        <v>11</v>
      </c>
      <c r="G150" s="10">
        <v>0</v>
      </c>
      <c r="H150" s="9">
        <v>46208</v>
      </c>
      <c r="I150" s="13"/>
    </row>
    <row r="151" spans="1:14" ht="18" hidden="1" customHeight="1" x14ac:dyDescent="0.35">
      <c r="A151" s="10" t="s">
        <v>25</v>
      </c>
      <c r="B151" s="9">
        <v>46210</v>
      </c>
      <c r="C151" s="10" t="s">
        <v>52</v>
      </c>
      <c r="D151" s="10">
        <v>3</v>
      </c>
      <c r="E151" s="10">
        <v>12</v>
      </c>
      <c r="F151" s="10">
        <v>12</v>
      </c>
      <c r="G151" s="10">
        <v>0</v>
      </c>
      <c r="H151" s="9">
        <v>46208</v>
      </c>
      <c r="I151" s="13"/>
    </row>
    <row r="152" spans="1:14" ht="18" hidden="1" customHeight="1" x14ac:dyDescent="0.35">
      <c r="A152" s="10" t="s">
        <v>25</v>
      </c>
      <c r="B152" s="9">
        <v>46210</v>
      </c>
      <c r="C152" s="10" t="s">
        <v>55</v>
      </c>
      <c r="D152" s="10">
        <v>10</v>
      </c>
      <c r="E152" s="10">
        <v>66</v>
      </c>
      <c r="F152" s="10">
        <v>66</v>
      </c>
      <c r="G152" s="10">
        <v>0</v>
      </c>
      <c r="H152" s="9">
        <v>46208</v>
      </c>
      <c r="I152" s="13"/>
    </row>
    <row r="153" spans="1:14" ht="18" hidden="1" customHeight="1" x14ac:dyDescent="0.35">
      <c r="A153" s="10" t="s">
        <v>25</v>
      </c>
      <c r="B153" s="9">
        <v>46210</v>
      </c>
      <c r="C153" s="10" t="s">
        <v>30</v>
      </c>
      <c r="D153" s="10">
        <v>19</v>
      </c>
      <c r="E153" s="10">
        <v>8</v>
      </c>
      <c r="F153" s="10">
        <v>8</v>
      </c>
      <c r="G153" s="10">
        <v>0</v>
      </c>
      <c r="H153" s="9">
        <v>46208</v>
      </c>
      <c r="I153" s="13"/>
    </row>
    <row r="154" spans="1:14" ht="18" hidden="1" customHeight="1" x14ac:dyDescent="0.35">
      <c r="A154" s="10" t="s">
        <v>25</v>
      </c>
      <c r="B154" s="9">
        <v>46210</v>
      </c>
      <c r="C154" s="10" t="s">
        <v>31</v>
      </c>
      <c r="D154" s="10">
        <v>1</v>
      </c>
      <c r="E154" s="10">
        <v>15</v>
      </c>
      <c r="F154" s="10">
        <v>15</v>
      </c>
      <c r="G154" s="10">
        <v>0</v>
      </c>
      <c r="H154" s="9">
        <v>46208</v>
      </c>
      <c r="I154" s="13"/>
    </row>
    <row r="155" spans="1:14" ht="18" hidden="1" customHeight="1" x14ac:dyDescent="0.35">
      <c r="A155" s="10" t="s">
        <v>25</v>
      </c>
      <c r="B155" s="9">
        <v>46210</v>
      </c>
      <c r="C155" s="10" t="s">
        <v>62</v>
      </c>
      <c r="D155" s="10">
        <v>1</v>
      </c>
      <c r="E155" s="10">
        <v>12</v>
      </c>
      <c r="F155" s="10">
        <v>12</v>
      </c>
      <c r="G155" s="10">
        <v>0</v>
      </c>
      <c r="H155" s="9">
        <v>46208</v>
      </c>
      <c r="I155" s="13"/>
    </row>
    <row r="156" spans="1:14" ht="18" hidden="1" customHeight="1" x14ac:dyDescent="0.35">
      <c r="A156" s="10" t="s">
        <v>25</v>
      </c>
      <c r="B156" s="9">
        <v>46210</v>
      </c>
      <c r="C156" s="10" t="s">
        <v>62</v>
      </c>
      <c r="D156" s="10">
        <v>2</v>
      </c>
      <c r="E156" s="10">
        <v>16</v>
      </c>
      <c r="F156" s="10">
        <v>16</v>
      </c>
      <c r="G156" s="10">
        <v>0</v>
      </c>
      <c r="H156" s="9">
        <v>46208</v>
      </c>
      <c r="I156" s="13"/>
    </row>
    <row r="157" spans="1:14" ht="18" hidden="1" customHeight="1" x14ac:dyDescent="0.35">
      <c r="A157" s="10" t="s">
        <v>25</v>
      </c>
      <c r="B157" s="9">
        <v>46210</v>
      </c>
      <c r="C157" s="10" t="s">
        <v>26</v>
      </c>
      <c r="D157" s="10">
        <v>5</v>
      </c>
      <c r="E157" s="10">
        <v>14</v>
      </c>
      <c r="F157" s="10">
        <v>14</v>
      </c>
      <c r="G157" s="10">
        <v>0</v>
      </c>
      <c r="H157" s="9">
        <v>46208</v>
      </c>
      <c r="I157" s="13"/>
    </row>
    <row r="158" spans="1:14" ht="18" hidden="1" customHeight="1" x14ac:dyDescent="0.35">
      <c r="A158" s="10" t="s">
        <v>25</v>
      </c>
      <c r="B158" s="9">
        <v>46210</v>
      </c>
      <c r="C158" s="10" t="s">
        <v>40</v>
      </c>
      <c r="D158" s="10">
        <v>11</v>
      </c>
      <c r="E158" s="10">
        <v>34</v>
      </c>
      <c r="F158" s="10">
        <v>34</v>
      </c>
      <c r="G158" s="10">
        <v>0</v>
      </c>
      <c r="H158" s="9">
        <v>46208</v>
      </c>
      <c r="I158" s="13"/>
    </row>
    <row r="159" spans="1:14" ht="18" hidden="1" customHeight="1" x14ac:dyDescent="0.35">
      <c r="A159" s="10" t="s">
        <v>25</v>
      </c>
      <c r="B159" s="9">
        <v>46210</v>
      </c>
      <c r="C159" s="10" t="s">
        <v>41</v>
      </c>
      <c r="D159" s="10">
        <v>9</v>
      </c>
      <c r="E159" s="10">
        <v>14</v>
      </c>
      <c r="F159" s="10">
        <v>14</v>
      </c>
      <c r="G159" s="10">
        <v>0</v>
      </c>
      <c r="H159" s="9">
        <v>46208</v>
      </c>
      <c r="I159" s="13"/>
    </row>
    <row r="160" spans="1:14" ht="18" hidden="1" customHeight="1" x14ac:dyDescent="0.35">
      <c r="A160" s="10" t="s">
        <v>25</v>
      </c>
      <c r="B160" s="9">
        <v>46210</v>
      </c>
      <c r="C160" s="10" t="s">
        <v>52</v>
      </c>
      <c r="D160" s="10">
        <v>1</v>
      </c>
      <c r="E160" s="10">
        <v>12</v>
      </c>
      <c r="F160" s="10">
        <v>12</v>
      </c>
      <c r="G160" s="10">
        <v>0</v>
      </c>
      <c r="H160" s="9">
        <v>46208</v>
      </c>
      <c r="I160" s="13"/>
    </row>
    <row r="161" spans="1:13" ht="18" hidden="1" customHeight="1" x14ac:dyDescent="0.35">
      <c r="A161" s="10" t="s">
        <v>25</v>
      </c>
      <c r="B161" s="9">
        <v>46210</v>
      </c>
      <c r="C161" s="10" t="s">
        <v>50</v>
      </c>
      <c r="D161" s="10">
        <v>2</v>
      </c>
      <c r="E161" s="10">
        <v>12</v>
      </c>
      <c r="F161" s="10">
        <v>12</v>
      </c>
      <c r="G161" s="10">
        <v>0</v>
      </c>
      <c r="H161" s="9">
        <v>46208</v>
      </c>
      <c r="I161" s="13"/>
    </row>
    <row r="162" spans="1:13" ht="18" hidden="1" customHeight="1" x14ac:dyDescent="0.35">
      <c r="A162" s="10" t="s">
        <v>25</v>
      </c>
      <c r="B162" s="9">
        <v>46210</v>
      </c>
      <c r="C162" s="10" t="s">
        <v>44</v>
      </c>
      <c r="D162" s="10">
        <v>10</v>
      </c>
      <c r="E162" s="10">
        <v>14</v>
      </c>
      <c r="F162" s="10">
        <v>14</v>
      </c>
      <c r="G162" s="10">
        <v>0</v>
      </c>
      <c r="H162" s="9">
        <v>46208</v>
      </c>
      <c r="I162" s="13"/>
    </row>
    <row r="163" spans="1:13" ht="18" hidden="1" customHeight="1" x14ac:dyDescent="0.35">
      <c r="A163" s="10" t="s">
        <v>25</v>
      </c>
      <c r="B163" s="9">
        <v>46210</v>
      </c>
      <c r="C163" s="10" t="s">
        <v>40</v>
      </c>
      <c r="D163" s="10">
        <v>9</v>
      </c>
      <c r="E163" s="10">
        <v>72</v>
      </c>
      <c r="F163" s="10">
        <v>72</v>
      </c>
      <c r="G163" s="10">
        <v>0</v>
      </c>
      <c r="H163" s="9">
        <v>46208</v>
      </c>
      <c r="I163" s="13"/>
    </row>
    <row r="164" spans="1:13" ht="18" hidden="1" customHeight="1" x14ac:dyDescent="0.35">
      <c r="A164" s="10" t="s">
        <v>25</v>
      </c>
      <c r="B164" s="9">
        <v>46210</v>
      </c>
      <c r="C164" s="10" t="s">
        <v>39</v>
      </c>
      <c r="D164" s="10">
        <v>11</v>
      </c>
      <c r="E164" s="10">
        <v>8</v>
      </c>
      <c r="F164" s="10">
        <v>8</v>
      </c>
      <c r="G164" s="10">
        <v>0</v>
      </c>
      <c r="H164" s="9">
        <v>46208</v>
      </c>
      <c r="I164" s="13"/>
    </row>
    <row r="165" spans="1:13" ht="18" hidden="1" customHeight="1" x14ac:dyDescent="0.35">
      <c r="A165" s="10" t="s">
        <v>25</v>
      </c>
      <c r="B165" s="9">
        <v>46210</v>
      </c>
      <c r="C165" s="10" t="s">
        <v>39</v>
      </c>
      <c r="D165" s="10">
        <v>3</v>
      </c>
      <c r="E165" s="10">
        <v>64</v>
      </c>
      <c r="F165" s="10">
        <v>64</v>
      </c>
      <c r="G165" s="10">
        <v>0</v>
      </c>
      <c r="H165" s="9">
        <v>46208</v>
      </c>
      <c r="I165" s="13"/>
    </row>
    <row r="166" spans="1:13" ht="18" hidden="1" customHeight="1" x14ac:dyDescent="0.35">
      <c r="A166" s="10" t="s">
        <v>25</v>
      </c>
      <c r="B166" s="9">
        <v>46210</v>
      </c>
      <c r="C166" s="10" t="s">
        <v>39</v>
      </c>
      <c r="D166" s="10" t="s">
        <v>63</v>
      </c>
      <c r="E166" s="10">
        <v>12</v>
      </c>
      <c r="F166" s="10">
        <v>12</v>
      </c>
      <c r="G166" s="10">
        <v>0</v>
      </c>
      <c r="H166" s="9">
        <v>46208</v>
      </c>
      <c r="I166" s="13"/>
    </row>
    <row r="167" spans="1:13" ht="18" customHeight="1" x14ac:dyDescent="0.35">
      <c r="A167" s="10" t="s">
        <v>25</v>
      </c>
      <c r="B167" s="9">
        <v>46210</v>
      </c>
      <c r="C167" s="10" t="s">
        <v>55</v>
      </c>
      <c r="D167" s="10">
        <v>4</v>
      </c>
      <c r="E167" s="10">
        <v>17</v>
      </c>
      <c r="F167" s="10">
        <v>0</v>
      </c>
      <c r="G167" s="10">
        <v>17</v>
      </c>
      <c r="H167" s="9">
        <v>46208</v>
      </c>
      <c r="I167" s="13"/>
    </row>
    <row r="168" spans="1:13" ht="18" hidden="1" customHeight="1" x14ac:dyDescent="0.35">
      <c r="A168" s="10" t="s">
        <v>25</v>
      </c>
      <c r="B168" s="9">
        <v>46210</v>
      </c>
      <c r="C168" s="10" t="s">
        <v>46</v>
      </c>
      <c r="D168" s="10">
        <v>7</v>
      </c>
      <c r="E168" s="10">
        <v>64</v>
      </c>
      <c r="F168" s="10">
        <v>64</v>
      </c>
      <c r="G168" s="10">
        <v>0</v>
      </c>
      <c r="H168" s="9">
        <v>46208</v>
      </c>
      <c r="I168" s="13"/>
    </row>
    <row r="169" spans="1:13" ht="18" hidden="1" customHeight="1" x14ac:dyDescent="0.35">
      <c r="A169" s="10" t="s">
        <v>25</v>
      </c>
      <c r="B169" s="9">
        <v>46210</v>
      </c>
      <c r="C169" s="10" t="s">
        <v>41</v>
      </c>
      <c r="D169" s="10">
        <v>15</v>
      </c>
      <c r="E169" s="10">
        <v>15</v>
      </c>
      <c r="F169" s="10">
        <v>15</v>
      </c>
      <c r="G169" s="10">
        <v>0</v>
      </c>
      <c r="H169" s="9">
        <v>46208</v>
      </c>
      <c r="I169" s="13"/>
      <c r="L169">
        <f>SUM(F147:F169)</f>
        <v>606</v>
      </c>
      <c r="M169" s="10">
        <f>SUM(G147:G169)</f>
        <v>17</v>
      </c>
    </row>
    <row r="170" spans="1:13" ht="18" hidden="1" customHeight="1" x14ac:dyDescent="0.35">
      <c r="A170" s="10" t="s">
        <v>25</v>
      </c>
      <c r="B170" s="9">
        <v>46210</v>
      </c>
      <c r="C170" s="10" t="s">
        <v>38</v>
      </c>
      <c r="D170" s="10">
        <v>13</v>
      </c>
      <c r="E170" s="10">
        <v>24</v>
      </c>
      <c r="F170" s="10">
        <v>24</v>
      </c>
      <c r="G170" s="10">
        <v>0</v>
      </c>
      <c r="H170" s="9">
        <v>46208</v>
      </c>
      <c r="I170" s="13"/>
    </row>
    <row r="171" spans="1:13" ht="18" hidden="1" customHeight="1" x14ac:dyDescent="0.35">
      <c r="A171" s="10" t="s">
        <v>25</v>
      </c>
      <c r="B171" s="9">
        <v>46210</v>
      </c>
      <c r="C171" s="10" t="s">
        <v>40</v>
      </c>
      <c r="D171" s="10">
        <v>7</v>
      </c>
      <c r="E171" s="10">
        <v>28</v>
      </c>
      <c r="F171" s="10">
        <v>28</v>
      </c>
      <c r="G171" s="10">
        <v>0</v>
      </c>
      <c r="H171" s="9">
        <v>46208</v>
      </c>
      <c r="I171" s="13"/>
    </row>
    <row r="172" spans="1:13" ht="18" hidden="1" customHeight="1" x14ac:dyDescent="0.35">
      <c r="A172" s="10" t="s">
        <v>25</v>
      </c>
      <c r="B172" s="9">
        <v>46210</v>
      </c>
      <c r="C172" s="10" t="s">
        <v>45</v>
      </c>
      <c r="D172" s="10">
        <v>15</v>
      </c>
      <c r="E172" s="10">
        <v>81</v>
      </c>
      <c r="F172" s="10">
        <v>81</v>
      </c>
      <c r="G172" s="10">
        <v>0</v>
      </c>
      <c r="H172" s="9">
        <v>46208</v>
      </c>
      <c r="I172" s="13"/>
    </row>
    <row r="173" spans="1:13" ht="18" hidden="1" customHeight="1" x14ac:dyDescent="0.35">
      <c r="A173" s="10" t="s">
        <v>25</v>
      </c>
      <c r="B173" s="9">
        <v>46210</v>
      </c>
      <c r="C173" s="10" t="s">
        <v>55</v>
      </c>
      <c r="D173" s="10">
        <v>5</v>
      </c>
      <c r="E173" s="10">
        <v>45</v>
      </c>
      <c r="F173" s="10">
        <v>45</v>
      </c>
      <c r="G173" s="10">
        <v>0</v>
      </c>
      <c r="H173" s="9">
        <v>46208</v>
      </c>
      <c r="I173" s="13"/>
    </row>
    <row r="174" spans="1:13" ht="18" hidden="1" customHeight="1" x14ac:dyDescent="0.35">
      <c r="A174" s="10" t="s">
        <v>25</v>
      </c>
      <c r="B174" s="9">
        <v>46210</v>
      </c>
      <c r="C174" s="10" t="s">
        <v>51</v>
      </c>
      <c r="D174" s="10">
        <v>3</v>
      </c>
      <c r="E174" s="10">
        <v>9</v>
      </c>
      <c r="F174" s="10">
        <v>9</v>
      </c>
      <c r="G174" s="10">
        <v>0</v>
      </c>
      <c r="H174" s="9">
        <v>46208</v>
      </c>
      <c r="I174" s="13"/>
    </row>
    <row r="175" spans="1:13" ht="18" hidden="1" customHeight="1" x14ac:dyDescent="0.35">
      <c r="A175" s="10" t="s">
        <v>25</v>
      </c>
      <c r="B175" s="9">
        <v>46210</v>
      </c>
      <c r="C175" s="10" t="s">
        <v>59</v>
      </c>
      <c r="D175" s="10">
        <v>10</v>
      </c>
      <c r="E175" s="10">
        <v>21</v>
      </c>
      <c r="F175" s="10">
        <v>21</v>
      </c>
      <c r="G175" s="10">
        <v>0</v>
      </c>
      <c r="H175" s="9">
        <v>46208</v>
      </c>
      <c r="I175" s="13"/>
    </row>
    <row r="176" spans="1:13" ht="18" hidden="1" customHeight="1" x14ac:dyDescent="0.35">
      <c r="A176" s="10" t="s">
        <v>25</v>
      </c>
      <c r="B176" s="9">
        <v>46210</v>
      </c>
      <c r="C176" s="10" t="s">
        <v>59</v>
      </c>
      <c r="D176" s="10">
        <v>18</v>
      </c>
      <c r="E176" s="10">
        <v>81</v>
      </c>
      <c r="F176" s="10">
        <v>81</v>
      </c>
      <c r="G176" s="10">
        <v>0</v>
      </c>
      <c r="H176" s="9">
        <v>46208</v>
      </c>
      <c r="I176" s="13"/>
    </row>
    <row r="177" spans="1:13" ht="18" hidden="1" customHeight="1" x14ac:dyDescent="0.35">
      <c r="A177" s="10" t="s">
        <v>25</v>
      </c>
      <c r="B177" s="9">
        <v>46210</v>
      </c>
      <c r="C177" s="10" t="s">
        <v>26</v>
      </c>
      <c r="D177" s="10">
        <v>16</v>
      </c>
      <c r="E177" s="10">
        <v>9</v>
      </c>
      <c r="F177" s="10">
        <v>9</v>
      </c>
      <c r="G177" s="10">
        <v>0</v>
      </c>
      <c r="H177" s="9">
        <v>46208</v>
      </c>
      <c r="I177" s="13"/>
      <c r="L177">
        <f>SUM(F170:F177)</f>
        <v>298</v>
      </c>
      <c r="M177" s="10">
        <f>SUM(G170:G177)</f>
        <v>0</v>
      </c>
    </row>
    <row r="178" spans="1:13" ht="18" customHeight="1" x14ac:dyDescent="0.35">
      <c r="I178" s="13"/>
    </row>
    <row r="179" spans="1:13" ht="18" customHeight="1" x14ac:dyDescent="0.35">
      <c r="G179" s="10">
        <f>SUBTOTAL(109,G13:G167)</f>
        <v>410</v>
      </c>
      <c r="I179" s="13"/>
    </row>
    <row r="180" spans="1:13" ht="18" customHeight="1" x14ac:dyDescent="0.35">
      <c r="I180" s="13"/>
    </row>
    <row r="181" spans="1:13" ht="18" customHeight="1" x14ac:dyDescent="0.35">
      <c r="I181" s="13"/>
    </row>
    <row r="182" spans="1:13" ht="18" customHeight="1" x14ac:dyDescent="0.35">
      <c r="I182" s="13"/>
    </row>
    <row r="183" spans="1:13" ht="18" customHeight="1" x14ac:dyDescent="0.35">
      <c r="I183" s="13"/>
    </row>
    <row r="184" spans="1:13" ht="18" customHeight="1" x14ac:dyDescent="0.35">
      <c r="I184" s="13"/>
    </row>
    <row r="185" spans="1:13" ht="18" customHeight="1" x14ac:dyDescent="0.35">
      <c r="I185" s="13"/>
    </row>
    <row r="186" spans="1:13" ht="18" customHeight="1" x14ac:dyDescent="0.35">
      <c r="I186" s="13"/>
    </row>
    <row r="187" spans="1:13" ht="18" customHeight="1" x14ac:dyDescent="0.35">
      <c r="I187" s="13"/>
    </row>
    <row r="188" spans="1:13" ht="18" customHeight="1" x14ac:dyDescent="0.35">
      <c r="I188" s="13"/>
    </row>
    <row r="189" spans="1:13" ht="18" customHeight="1" x14ac:dyDescent="0.35">
      <c r="I189" s="13"/>
    </row>
    <row r="190" spans="1:13" ht="18" customHeight="1" x14ac:dyDescent="0.35">
      <c r="I190" s="13"/>
    </row>
    <row r="191" spans="1:13" ht="18" customHeight="1" x14ac:dyDescent="0.35">
      <c r="I191" s="13"/>
    </row>
    <row r="192" spans="1:13" ht="18" customHeight="1" x14ac:dyDescent="0.35">
      <c r="I192" s="13"/>
    </row>
    <row r="193" spans="9:9" ht="18" customHeight="1" x14ac:dyDescent="0.35">
      <c r="I193" s="13"/>
    </row>
    <row r="194" spans="9:9" ht="18" customHeight="1" x14ac:dyDescent="0.35">
      <c r="I194" s="13"/>
    </row>
    <row r="195" spans="9:9" ht="18" customHeight="1" x14ac:dyDescent="0.35">
      <c r="I195" s="13"/>
    </row>
    <row r="196" spans="9:9" ht="18" customHeight="1" x14ac:dyDescent="0.35">
      <c r="I196" s="13"/>
    </row>
    <row r="197" spans="9:9" ht="18" customHeight="1" x14ac:dyDescent="0.35">
      <c r="I197" s="13"/>
    </row>
    <row r="198" spans="9:9" ht="18" customHeight="1" x14ac:dyDescent="0.35">
      <c r="I198" s="13"/>
    </row>
    <row r="199" spans="9:9" ht="18" customHeight="1" x14ac:dyDescent="0.35">
      <c r="I199" s="13"/>
    </row>
    <row r="200" spans="9:9" ht="18" customHeight="1" x14ac:dyDescent="0.35">
      <c r="I200" s="13"/>
    </row>
    <row r="201" spans="9:9" ht="18" customHeight="1" x14ac:dyDescent="0.35">
      <c r="I201" s="13"/>
    </row>
    <row r="202" spans="9:9" ht="18" customHeight="1" x14ac:dyDescent="0.35">
      <c r="I202" s="13"/>
    </row>
    <row r="203" spans="9:9" ht="18" customHeight="1" x14ac:dyDescent="0.35">
      <c r="I203" s="13"/>
    </row>
    <row r="204" spans="9:9" ht="18" customHeight="1" x14ac:dyDescent="0.35">
      <c r="I204" s="13"/>
    </row>
    <row r="205" spans="9:9" ht="18" customHeight="1" x14ac:dyDescent="0.35">
      <c r="I205" s="13"/>
    </row>
    <row r="206" spans="9:9" ht="18" customHeight="1" x14ac:dyDescent="0.35">
      <c r="I206" s="13"/>
    </row>
    <row r="207" spans="9:9" ht="18" customHeight="1" x14ac:dyDescent="0.35">
      <c r="I207" s="13"/>
    </row>
    <row r="208" spans="9:9" ht="18" customHeight="1" x14ac:dyDescent="0.35">
      <c r="I208" s="13"/>
    </row>
    <row r="209" spans="9:9" ht="18" customHeight="1" x14ac:dyDescent="0.35">
      <c r="I209" s="13"/>
    </row>
    <row r="210" spans="9:9" ht="18" customHeight="1" x14ac:dyDescent="0.35">
      <c r="I210" s="13"/>
    </row>
    <row r="211" spans="9:9" ht="18" customHeight="1" x14ac:dyDescent="0.35">
      <c r="I211" s="13"/>
    </row>
    <row r="212" spans="9:9" ht="18" customHeight="1" x14ac:dyDescent="0.35">
      <c r="I212" s="13"/>
    </row>
    <row r="213" spans="9:9" ht="18" customHeight="1" x14ac:dyDescent="0.35">
      <c r="I213" s="13"/>
    </row>
    <row r="214" spans="9:9" ht="18" customHeight="1" x14ac:dyDescent="0.35">
      <c r="I214" s="13"/>
    </row>
    <row r="215" spans="9:9" ht="18" customHeight="1" x14ac:dyDescent="0.35">
      <c r="I215" s="13"/>
    </row>
    <row r="216" spans="9:9" ht="18" customHeight="1" x14ac:dyDescent="0.35">
      <c r="I216" s="13"/>
    </row>
    <row r="217" spans="9:9" ht="18" customHeight="1" x14ac:dyDescent="0.35">
      <c r="I217" s="13"/>
    </row>
    <row r="218" spans="9:9" ht="18" customHeight="1" x14ac:dyDescent="0.35">
      <c r="I218" s="13"/>
    </row>
    <row r="219" spans="9:9" ht="18" customHeight="1" x14ac:dyDescent="0.35">
      <c r="I219" s="13"/>
    </row>
    <row r="220" spans="9:9" ht="18" customHeight="1" x14ac:dyDescent="0.35">
      <c r="I220" s="13"/>
    </row>
    <row r="221" spans="9:9" ht="18" customHeight="1" x14ac:dyDescent="0.35">
      <c r="I221" s="13"/>
    </row>
    <row r="222" spans="9:9" ht="18" customHeight="1" x14ac:dyDescent="0.35">
      <c r="I222" s="13"/>
    </row>
    <row r="223" spans="9:9" ht="18" customHeight="1" x14ac:dyDescent="0.35">
      <c r="I223" s="13"/>
    </row>
    <row r="224" spans="9:9" ht="18" customHeight="1" x14ac:dyDescent="0.35">
      <c r="I224" s="13"/>
    </row>
    <row r="225" spans="9:9" ht="18" customHeight="1" x14ac:dyDescent="0.35">
      <c r="I225" s="13"/>
    </row>
    <row r="226" spans="9:9" ht="18" customHeight="1" x14ac:dyDescent="0.35">
      <c r="I226" s="13"/>
    </row>
    <row r="227" spans="9:9" ht="18" customHeight="1" x14ac:dyDescent="0.35">
      <c r="I227" s="13"/>
    </row>
    <row r="228" spans="9:9" ht="18" customHeight="1" x14ac:dyDescent="0.35">
      <c r="I228" s="13"/>
    </row>
    <row r="229" spans="9:9" ht="18" customHeight="1" x14ac:dyDescent="0.35">
      <c r="I229" s="13"/>
    </row>
    <row r="230" spans="9:9" ht="18" customHeight="1" x14ac:dyDescent="0.35">
      <c r="I230" s="13"/>
    </row>
    <row r="231" spans="9:9" ht="18" customHeight="1" x14ac:dyDescent="0.35">
      <c r="I231" s="13"/>
    </row>
    <row r="232" spans="9:9" ht="18" customHeight="1" x14ac:dyDescent="0.35">
      <c r="I232" s="13"/>
    </row>
    <row r="233" spans="9:9" ht="18" customHeight="1" x14ac:dyDescent="0.35">
      <c r="I233" s="13"/>
    </row>
    <row r="234" spans="9:9" ht="18" customHeight="1" x14ac:dyDescent="0.35">
      <c r="I234" s="13"/>
    </row>
    <row r="235" spans="9:9" ht="18" customHeight="1" x14ac:dyDescent="0.35">
      <c r="I235" s="13"/>
    </row>
    <row r="236" spans="9:9" ht="18" customHeight="1" x14ac:dyDescent="0.35">
      <c r="I236" s="13"/>
    </row>
    <row r="237" spans="9:9" ht="18" customHeight="1" x14ac:dyDescent="0.35">
      <c r="I237" s="13"/>
    </row>
    <row r="238" spans="9:9" ht="18" customHeight="1" x14ac:dyDescent="0.35">
      <c r="I238" s="13"/>
    </row>
    <row r="239" spans="9:9" ht="18" customHeight="1" x14ac:dyDescent="0.35">
      <c r="I239" s="13"/>
    </row>
    <row r="240" spans="9:9" ht="18" customHeight="1" x14ac:dyDescent="0.35">
      <c r="I240" s="13"/>
    </row>
    <row r="241" spans="9:9" ht="18" customHeight="1" x14ac:dyDescent="0.35">
      <c r="I241" s="13"/>
    </row>
    <row r="242" spans="9:9" ht="18" customHeight="1" x14ac:dyDescent="0.35">
      <c r="I242" s="13"/>
    </row>
    <row r="243" spans="9:9" ht="18" customHeight="1" x14ac:dyDescent="0.35">
      <c r="I243" s="13"/>
    </row>
    <row r="244" spans="9:9" ht="18" customHeight="1" x14ac:dyDescent="0.35">
      <c r="I244" s="13"/>
    </row>
    <row r="245" spans="9:9" ht="18" customHeight="1" x14ac:dyDescent="0.35">
      <c r="I245" s="13"/>
    </row>
    <row r="246" spans="9:9" ht="18" customHeight="1" x14ac:dyDescent="0.35">
      <c r="I246" s="13"/>
    </row>
    <row r="247" spans="9:9" ht="18" customHeight="1" x14ac:dyDescent="0.35">
      <c r="I247" s="13"/>
    </row>
    <row r="248" spans="9:9" ht="18" customHeight="1" x14ac:dyDescent="0.35">
      <c r="I248" s="13"/>
    </row>
    <row r="249" spans="9:9" ht="18" customHeight="1" x14ac:dyDescent="0.35">
      <c r="I249" s="13"/>
    </row>
    <row r="250" spans="9:9" ht="18" customHeight="1" x14ac:dyDescent="0.35">
      <c r="I250" s="13"/>
    </row>
    <row r="251" spans="9:9" ht="18" customHeight="1" x14ac:dyDescent="0.35">
      <c r="I251" s="13"/>
    </row>
    <row r="252" spans="9:9" ht="18" customHeight="1" x14ac:dyDescent="0.35">
      <c r="I252" s="13"/>
    </row>
    <row r="253" spans="9:9" ht="18" customHeight="1" x14ac:dyDescent="0.35">
      <c r="I253" s="13"/>
    </row>
    <row r="254" spans="9:9" ht="18" customHeight="1" x14ac:dyDescent="0.35">
      <c r="I254" s="13"/>
    </row>
    <row r="255" spans="9:9" ht="18" customHeight="1" x14ac:dyDescent="0.35">
      <c r="I255" s="13"/>
    </row>
    <row r="256" spans="9:9" ht="18" customHeight="1" x14ac:dyDescent="0.35">
      <c r="I256" s="13"/>
    </row>
    <row r="257" spans="9:9" ht="18" customHeight="1" x14ac:dyDescent="0.35">
      <c r="I257" s="13"/>
    </row>
    <row r="258" spans="9:9" ht="18" customHeight="1" x14ac:dyDescent="0.35">
      <c r="I258" s="13"/>
    </row>
    <row r="259" spans="9:9" ht="18" customHeight="1" x14ac:dyDescent="0.35">
      <c r="I259" s="13"/>
    </row>
    <row r="260" spans="9:9" ht="18" customHeight="1" x14ac:dyDescent="0.35">
      <c r="I260" s="13"/>
    </row>
    <row r="261" spans="9:9" ht="18" customHeight="1" x14ac:dyDescent="0.35">
      <c r="I261" s="13"/>
    </row>
    <row r="262" spans="9:9" ht="18" customHeight="1" x14ac:dyDescent="0.35">
      <c r="I262" s="13"/>
    </row>
    <row r="263" spans="9:9" ht="18" customHeight="1" x14ac:dyDescent="0.35">
      <c r="I263" s="13"/>
    </row>
    <row r="264" spans="9:9" ht="18" customHeight="1" x14ac:dyDescent="0.35">
      <c r="I264" s="13"/>
    </row>
    <row r="265" spans="9:9" ht="18" customHeight="1" x14ac:dyDescent="0.35">
      <c r="I265" s="13"/>
    </row>
    <row r="266" spans="9:9" ht="18" customHeight="1" x14ac:dyDescent="0.35">
      <c r="I266" s="13"/>
    </row>
    <row r="267" spans="9:9" ht="18" customHeight="1" x14ac:dyDescent="0.35">
      <c r="I267" s="13"/>
    </row>
    <row r="268" spans="9:9" ht="18" customHeight="1" x14ac:dyDescent="0.35">
      <c r="I268" s="13"/>
    </row>
    <row r="269" spans="9:9" ht="18" customHeight="1" x14ac:dyDescent="0.35">
      <c r="I269" s="13"/>
    </row>
    <row r="270" spans="9:9" ht="18" customHeight="1" x14ac:dyDescent="0.35">
      <c r="I270" s="13"/>
    </row>
    <row r="271" spans="9:9" ht="18" customHeight="1" x14ac:dyDescent="0.35">
      <c r="I271" s="13"/>
    </row>
    <row r="272" spans="9:9" ht="18" customHeight="1" x14ac:dyDescent="0.35">
      <c r="I272" s="13"/>
    </row>
    <row r="273" spans="9:9" ht="18" customHeight="1" x14ac:dyDescent="0.35">
      <c r="I273" s="13"/>
    </row>
    <row r="274" spans="9:9" ht="18" customHeight="1" x14ac:dyDescent="0.35">
      <c r="I274" s="13"/>
    </row>
    <row r="275" spans="9:9" ht="18" customHeight="1" x14ac:dyDescent="0.35">
      <c r="I275" s="13"/>
    </row>
    <row r="276" spans="9:9" ht="18" customHeight="1" x14ac:dyDescent="0.35">
      <c r="I276" s="13"/>
    </row>
    <row r="277" spans="9:9" ht="18" customHeight="1" x14ac:dyDescent="0.35">
      <c r="I277" s="13"/>
    </row>
    <row r="278" spans="9:9" ht="18" customHeight="1" x14ac:dyDescent="0.35">
      <c r="I278" s="13"/>
    </row>
    <row r="279" spans="9:9" ht="18" customHeight="1" x14ac:dyDescent="0.35">
      <c r="I279" s="13"/>
    </row>
    <row r="280" spans="9:9" ht="18" customHeight="1" x14ac:dyDescent="0.35">
      <c r="I280" s="13"/>
    </row>
    <row r="281" spans="9:9" ht="18" customHeight="1" x14ac:dyDescent="0.35">
      <c r="I281" s="13"/>
    </row>
    <row r="282" spans="9:9" ht="18" customHeight="1" x14ac:dyDescent="0.35">
      <c r="I282" s="13"/>
    </row>
    <row r="283" spans="9:9" ht="18" customHeight="1" x14ac:dyDescent="0.35">
      <c r="I283" s="13"/>
    </row>
    <row r="284" spans="9:9" ht="18" customHeight="1" x14ac:dyDescent="0.35">
      <c r="I284" s="13"/>
    </row>
    <row r="285" spans="9:9" ht="18" customHeight="1" x14ac:dyDescent="0.35">
      <c r="I285" s="13"/>
    </row>
    <row r="286" spans="9:9" ht="18" customHeight="1" x14ac:dyDescent="0.35">
      <c r="I286" s="13"/>
    </row>
    <row r="287" spans="9:9" ht="18" customHeight="1" x14ac:dyDescent="0.35">
      <c r="I287" s="13"/>
    </row>
    <row r="288" spans="9:9" ht="18" customHeight="1" x14ac:dyDescent="0.35">
      <c r="I288" s="13"/>
    </row>
    <row r="289" spans="9:9" ht="18" customHeight="1" x14ac:dyDescent="0.35">
      <c r="I289" s="13"/>
    </row>
    <row r="290" spans="9:9" ht="18" customHeight="1" x14ac:dyDescent="0.35">
      <c r="I290" s="13"/>
    </row>
    <row r="291" spans="9:9" ht="18" customHeight="1" x14ac:dyDescent="0.35">
      <c r="I291" s="13"/>
    </row>
    <row r="292" spans="9:9" ht="18" customHeight="1" x14ac:dyDescent="0.35">
      <c r="I292" s="13"/>
    </row>
    <row r="293" spans="9:9" ht="18" customHeight="1" x14ac:dyDescent="0.35">
      <c r="I293" s="13"/>
    </row>
    <row r="294" spans="9:9" ht="18" customHeight="1" x14ac:dyDescent="0.35">
      <c r="I294" s="13"/>
    </row>
    <row r="295" spans="9:9" ht="18" customHeight="1" x14ac:dyDescent="0.35">
      <c r="I295" s="13"/>
    </row>
    <row r="296" spans="9:9" ht="18" customHeight="1" x14ac:dyDescent="0.35">
      <c r="I296" s="13"/>
    </row>
    <row r="297" spans="9:9" ht="18" customHeight="1" x14ac:dyDescent="0.35">
      <c r="I297" s="13"/>
    </row>
    <row r="298" spans="9:9" ht="18" customHeight="1" x14ac:dyDescent="0.35">
      <c r="I298" s="13"/>
    </row>
    <row r="299" spans="9:9" ht="18" customHeight="1" x14ac:dyDescent="0.35">
      <c r="I299" s="13"/>
    </row>
    <row r="300" spans="9:9" ht="18" customHeight="1" x14ac:dyDescent="0.35">
      <c r="I300" s="13"/>
    </row>
    <row r="301" spans="9:9" ht="18" customHeight="1" x14ac:dyDescent="0.35">
      <c r="I301" s="13"/>
    </row>
    <row r="302" spans="9:9" ht="18" customHeight="1" x14ac:dyDescent="0.35">
      <c r="I302" s="13"/>
    </row>
    <row r="303" spans="9:9" ht="18" customHeight="1" x14ac:dyDescent="0.35">
      <c r="I303" s="13"/>
    </row>
    <row r="304" spans="9:9" ht="18" customHeight="1" x14ac:dyDescent="0.35">
      <c r="I304" s="13"/>
    </row>
    <row r="305" spans="9:9" ht="18" customHeight="1" x14ac:dyDescent="0.35">
      <c r="I305" s="13"/>
    </row>
    <row r="306" spans="9:9" ht="18" customHeight="1" x14ac:dyDescent="0.35">
      <c r="I306" s="13"/>
    </row>
    <row r="307" spans="9:9" ht="18" customHeight="1" x14ac:dyDescent="0.35">
      <c r="I307" s="13"/>
    </row>
    <row r="308" spans="9:9" ht="18" customHeight="1" x14ac:dyDescent="0.35">
      <c r="I308" s="13"/>
    </row>
    <row r="309" spans="9:9" ht="18" customHeight="1" x14ac:dyDescent="0.35">
      <c r="I309" s="13"/>
    </row>
    <row r="310" spans="9:9" ht="18" customHeight="1" x14ac:dyDescent="0.35">
      <c r="I310" s="13"/>
    </row>
    <row r="311" spans="9:9" ht="18" customHeight="1" x14ac:dyDescent="0.35">
      <c r="I311" s="13"/>
    </row>
    <row r="312" spans="9:9" ht="18" customHeight="1" x14ac:dyDescent="0.35">
      <c r="I312" s="13"/>
    </row>
    <row r="313" spans="9:9" ht="18" customHeight="1" x14ac:dyDescent="0.35">
      <c r="I313" s="13"/>
    </row>
    <row r="314" spans="9:9" ht="18" customHeight="1" x14ac:dyDescent="0.35">
      <c r="I314" s="13"/>
    </row>
    <row r="315" spans="9:9" ht="18" customHeight="1" x14ac:dyDescent="0.35">
      <c r="I315" s="13"/>
    </row>
    <row r="316" spans="9:9" ht="18" customHeight="1" x14ac:dyDescent="0.35">
      <c r="I316" s="13"/>
    </row>
    <row r="317" spans="9:9" ht="18" customHeight="1" x14ac:dyDescent="0.35">
      <c r="I317" s="13"/>
    </row>
    <row r="318" spans="9:9" ht="18" customHeight="1" x14ac:dyDescent="0.35">
      <c r="I318" s="13"/>
    </row>
    <row r="319" spans="9:9" ht="18" customHeight="1" x14ac:dyDescent="0.35">
      <c r="I319" s="13"/>
    </row>
    <row r="320" spans="9:9" ht="18" customHeight="1" x14ac:dyDescent="0.35">
      <c r="I320" s="13"/>
    </row>
    <row r="321" spans="9:9" ht="18" customHeight="1" x14ac:dyDescent="0.35">
      <c r="I321" s="13"/>
    </row>
    <row r="322" spans="9:9" ht="18" customHeight="1" x14ac:dyDescent="0.35">
      <c r="I322" s="13"/>
    </row>
    <row r="323" spans="9:9" ht="18" customHeight="1" x14ac:dyDescent="0.35">
      <c r="I323" s="13"/>
    </row>
    <row r="324" spans="9:9" ht="18" customHeight="1" x14ac:dyDescent="0.35">
      <c r="I324" s="13"/>
    </row>
    <row r="325" spans="9:9" ht="18" customHeight="1" x14ac:dyDescent="0.35">
      <c r="I325" s="13"/>
    </row>
    <row r="326" spans="9:9" ht="18" customHeight="1" x14ac:dyDescent="0.35">
      <c r="I326" s="13"/>
    </row>
    <row r="327" spans="9:9" ht="18" customHeight="1" x14ac:dyDescent="0.35">
      <c r="I327" s="13"/>
    </row>
    <row r="328" spans="9:9" ht="18" customHeight="1" x14ac:dyDescent="0.35">
      <c r="I328" s="13"/>
    </row>
    <row r="329" spans="9:9" ht="18" customHeight="1" x14ac:dyDescent="0.35">
      <c r="I329" s="13"/>
    </row>
    <row r="330" spans="9:9" ht="18" customHeight="1" x14ac:dyDescent="0.35">
      <c r="I330" s="13"/>
    </row>
    <row r="331" spans="9:9" ht="18" customHeight="1" x14ac:dyDescent="0.35">
      <c r="I331" s="13"/>
    </row>
    <row r="332" spans="9:9" ht="18" customHeight="1" x14ac:dyDescent="0.35">
      <c r="I332" s="13"/>
    </row>
    <row r="333" spans="9:9" ht="18" customHeight="1" x14ac:dyDescent="0.35">
      <c r="I333" s="13"/>
    </row>
    <row r="334" spans="9:9" ht="18" customHeight="1" x14ac:dyDescent="0.35">
      <c r="I334" s="13"/>
    </row>
    <row r="335" spans="9:9" ht="18" customHeight="1" x14ac:dyDescent="0.35">
      <c r="I335" s="13"/>
    </row>
    <row r="336" spans="9:9" ht="18" customHeight="1" x14ac:dyDescent="0.35">
      <c r="I336" s="13"/>
    </row>
    <row r="337" spans="9:9" ht="18" customHeight="1" x14ac:dyDescent="0.35">
      <c r="I337" s="13"/>
    </row>
    <row r="338" spans="9:9" ht="18" customHeight="1" x14ac:dyDescent="0.35">
      <c r="I338" s="13"/>
    </row>
    <row r="339" spans="9:9" ht="18" customHeight="1" x14ac:dyDescent="0.35">
      <c r="I339" s="13"/>
    </row>
    <row r="340" spans="9:9" ht="18" customHeight="1" x14ac:dyDescent="0.35">
      <c r="I340" s="13"/>
    </row>
    <row r="341" spans="9:9" ht="18" customHeight="1" x14ac:dyDescent="0.35">
      <c r="I341" s="13"/>
    </row>
    <row r="342" spans="9:9" ht="18" customHeight="1" x14ac:dyDescent="0.35">
      <c r="I342" s="13"/>
    </row>
    <row r="343" spans="9:9" ht="18" customHeight="1" x14ac:dyDescent="0.35">
      <c r="I343" s="13"/>
    </row>
    <row r="344" spans="9:9" ht="18" customHeight="1" x14ac:dyDescent="0.35">
      <c r="I344" s="13"/>
    </row>
    <row r="345" spans="9:9" ht="18" customHeight="1" x14ac:dyDescent="0.35">
      <c r="I345" s="13"/>
    </row>
    <row r="346" spans="9:9" ht="18" customHeight="1" x14ac:dyDescent="0.35">
      <c r="I346" s="13"/>
    </row>
    <row r="347" spans="9:9" ht="18" customHeight="1" x14ac:dyDescent="0.35">
      <c r="I347" s="13"/>
    </row>
    <row r="348" spans="9:9" ht="18" customHeight="1" x14ac:dyDescent="0.35">
      <c r="I348" s="13"/>
    </row>
    <row r="349" spans="9:9" ht="18" customHeight="1" x14ac:dyDescent="0.35">
      <c r="I349" s="13"/>
    </row>
    <row r="350" spans="9:9" ht="18" customHeight="1" x14ac:dyDescent="0.35">
      <c r="I350" s="13"/>
    </row>
    <row r="351" spans="9:9" ht="18" customHeight="1" x14ac:dyDescent="0.35">
      <c r="I351" s="13"/>
    </row>
    <row r="352" spans="9:9" ht="18" customHeight="1" x14ac:dyDescent="0.35">
      <c r="I352" s="13"/>
    </row>
    <row r="353" spans="9:9" ht="18" customHeight="1" x14ac:dyDescent="0.35">
      <c r="I353" s="13"/>
    </row>
    <row r="354" spans="9:9" ht="18" customHeight="1" x14ac:dyDescent="0.35">
      <c r="I354" s="13"/>
    </row>
    <row r="355" spans="9:9" ht="18" customHeight="1" x14ac:dyDescent="0.35">
      <c r="I355" s="13"/>
    </row>
    <row r="356" spans="9:9" ht="18" customHeight="1" x14ac:dyDescent="0.35">
      <c r="I356" s="13"/>
    </row>
    <row r="357" spans="9:9" ht="18" customHeight="1" x14ac:dyDescent="0.35">
      <c r="I357" s="13"/>
    </row>
    <row r="358" spans="9:9" ht="18" customHeight="1" x14ac:dyDescent="0.35">
      <c r="I358" s="13"/>
    </row>
    <row r="359" spans="9:9" ht="18" customHeight="1" x14ac:dyDescent="0.35">
      <c r="I359" s="13"/>
    </row>
    <row r="360" spans="9:9" ht="18" customHeight="1" x14ac:dyDescent="0.35">
      <c r="I360" s="13"/>
    </row>
    <row r="361" spans="9:9" ht="18" customHeight="1" x14ac:dyDescent="0.35">
      <c r="I361" s="13"/>
    </row>
    <row r="362" spans="9:9" ht="18" customHeight="1" x14ac:dyDescent="0.35">
      <c r="I362" s="13"/>
    </row>
    <row r="363" spans="9:9" ht="18" customHeight="1" x14ac:dyDescent="0.35">
      <c r="I363" s="13"/>
    </row>
    <row r="364" spans="9:9" ht="18" customHeight="1" x14ac:dyDescent="0.35">
      <c r="I364" s="13"/>
    </row>
    <row r="365" spans="9:9" ht="18" customHeight="1" x14ac:dyDescent="0.35">
      <c r="I365" s="13"/>
    </row>
    <row r="366" spans="9:9" ht="18" customHeight="1" x14ac:dyDescent="0.35">
      <c r="I366" s="13"/>
    </row>
    <row r="367" spans="9:9" ht="18" customHeight="1" x14ac:dyDescent="0.35">
      <c r="I367" s="13"/>
    </row>
    <row r="368" spans="9:9" ht="18" customHeight="1" x14ac:dyDescent="0.35">
      <c r="I368" s="13"/>
    </row>
    <row r="369" spans="9:9" ht="18" customHeight="1" x14ac:dyDescent="0.35">
      <c r="I369" s="13"/>
    </row>
    <row r="370" spans="9:9" ht="18" customHeight="1" x14ac:dyDescent="0.35">
      <c r="I370" s="13"/>
    </row>
    <row r="371" spans="9:9" ht="18" customHeight="1" x14ac:dyDescent="0.35">
      <c r="I371" s="13"/>
    </row>
    <row r="372" spans="9:9" ht="18" customHeight="1" x14ac:dyDescent="0.35">
      <c r="I372" s="13"/>
    </row>
    <row r="373" spans="9:9" ht="18" customHeight="1" x14ac:dyDescent="0.35">
      <c r="I373" s="13"/>
    </row>
    <row r="374" spans="9:9" ht="18" customHeight="1" x14ac:dyDescent="0.35">
      <c r="I374" s="13"/>
    </row>
    <row r="375" spans="9:9" ht="18" customHeight="1" x14ac:dyDescent="0.35">
      <c r="I375" s="13"/>
    </row>
    <row r="376" spans="9:9" ht="18" customHeight="1" x14ac:dyDescent="0.35">
      <c r="I376" s="13"/>
    </row>
    <row r="377" spans="9:9" ht="18" customHeight="1" x14ac:dyDescent="0.35">
      <c r="I377" s="13"/>
    </row>
    <row r="378" spans="9:9" ht="18" customHeight="1" x14ac:dyDescent="0.35">
      <c r="I378" s="13"/>
    </row>
    <row r="379" spans="9:9" ht="18" customHeight="1" x14ac:dyDescent="0.35">
      <c r="I379" s="13"/>
    </row>
    <row r="380" spans="9:9" ht="18" customHeight="1" x14ac:dyDescent="0.35">
      <c r="I380" s="13"/>
    </row>
    <row r="381" spans="9:9" ht="18" customHeight="1" x14ac:dyDescent="0.35">
      <c r="I381" s="13"/>
    </row>
    <row r="382" spans="9:9" ht="18" customHeight="1" x14ac:dyDescent="0.35">
      <c r="I382" s="13"/>
    </row>
    <row r="383" spans="9:9" ht="18" customHeight="1" x14ac:dyDescent="0.35">
      <c r="I383" s="13"/>
    </row>
    <row r="384" spans="9:9" ht="18" customHeight="1" x14ac:dyDescent="0.35">
      <c r="I384" s="13"/>
    </row>
    <row r="385" spans="9:9" ht="18" customHeight="1" x14ac:dyDescent="0.35">
      <c r="I385" s="13"/>
    </row>
    <row r="386" spans="9:9" ht="18" customHeight="1" x14ac:dyDescent="0.35">
      <c r="I386" s="13"/>
    </row>
    <row r="387" spans="9:9" ht="18" customHeight="1" x14ac:dyDescent="0.35">
      <c r="I387" s="13"/>
    </row>
    <row r="388" spans="9:9" ht="18" customHeight="1" x14ac:dyDescent="0.35">
      <c r="I388" s="13"/>
    </row>
    <row r="389" spans="9:9" ht="18" customHeight="1" x14ac:dyDescent="0.35">
      <c r="I389" s="13"/>
    </row>
    <row r="390" spans="9:9" ht="18" customHeight="1" x14ac:dyDescent="0.35">
      <c r="I390" s="13"/>
    </row>
    <row r="391" spans="9:9" ht="18" customHeight="1" x14ac:dyDescent="0.35">
      <c r="I391" s="13"/>
    </row>
    <row r="392" spans="9:9" ht="18" customHeight="1" x14ac:dyDescent="0.35">
      <c r="I392" s="13"/>
    </row>
    <row r="393" spans="9:9" ht="18" customHeight="1" x14ac:dyDescent="0.35">
      <c r="I393" s="13"/>
    </row>
    <row r="394" spans="9:9" ht="18" customHeight="1" x14ac:dyDescent="0.35">
      <c r="I394" s="13"/>
    </row>
    <row r="395" spans="9:9" ht="18" customHeight="1" x14ac:dyDescent="0.35">
      <c r="I395" s="13"/>
    </row>
    <row r="396" spans="9:9" ht="18" customHeight="1" x14ac:dyDescent="0.35">
      <c r="I396" s="13"/>
    </row>
    <row r="397" spans="9:9" ht="18" customHeight="1" x14ac:dyDescent="0.35">
      <c r="I397" s="13"/>
    </row>
    <row r="398" spans="9:9" ht="18" customHeight="1" x14ac:dyDescent="0.35">
      <c r="I398" s="13"/>
    </row>
    <row r="399" spans="9:9" ht="18" customHeight="1" x14ac:dyDescent="0.35">
      <c r="I399" s="13"/>
    </row>
    <row r="400" spans="9:9" ht="18" customHeight="1" x14ac:dyDescent="0.35">
      <c r="I400" s="13"/>
    </row>
    <row r="401" spans="9:9" ht="18" customHeight="1" x14ac:dyDescent="0.35">
      <c r="I401" s="13"/>
    </row>
    <row r="402" spans="9:9" ht="18" customHeight="1" x14ac:dyDescent="0.35">
      <c r="I402" s="13"/>
    </row>
    <row r="403" spans="9:9" ht="18" customHeight="1" x14ac:dyDescent="0.35">
      <c r="I403" s="13"/>
    </row>
    <row r="404" spans="9:9" ht="18" customHeight="1" x14ac:dyDescent="0.35">
      <c r="I404" s="13"/>
    </row>
    <row r="405" spans="9:9" ht="18" customHeight="1" x14ac:dyDescent="0.35">
      <c r="I405" s="13"/>
    </row>
    <row r="406" spans="9:9" ht="18" customHeight="1" x14ac:dyDescent="0.35">
      <c r="I406" s="13"/>
    </row>
    <row r="407" spans="9:9" ht="18" customHeight="1" x14ac:dyDescent="0.35">
      <c r="I407" s="13"/>
    </row>
    <row r="408" spans="9:9" ht="18" customHeight="1" x14ac:dyDescent="0.35">
      <c r="I408" s="13"/>
    </row>
    <row r="409" spans="9:9" ht="18" customHeight="1" x14ac:dyDescent="0.35">
      <c r="I409" s="13"/>
    </row>
    <row r="410" spans="9:9" ht="18" customHeight="1" x14ac:dyDescent="0.35">
      <c r="I410" s="13"/>
    </row>
    <row r="411" spans="9:9" ht="18" customHeight="1" x14ac:dyDescent="0.35">
      <c r="I411" s="13"/>
    </row>
    <row r="412" spans="9:9" ht="18" customHeight="1" x14ac:dyDescent="0.35">
      <c r="I412" s="13"/>
    </row>
    <row r="413" spans="9:9" ht="18" customHeight="1" x14ac:dyDescent="0.35">
      <c r="I413" s="13"/>
    </row>
    <row r="414" spans="9:9" ht="18" customHeight="1" x14ac:dyDescent="0.35">
      <c r="I414" s="13"/>
    </row>
    <row r="415" spans="9:9" ht="18" customHeight="1" x14ac:dyDescent="0.35">
      <c r="I415" s="13"/>
    </row>
    <row r="416" spans="9:9" ht="18" customHeight="1" x14ac:dyDescent="0.35">
      <c r="I416" s="13"/>
    </row>
    <row r="417" spans="9:9" ht="18" customHeight="1" x14ac:dyDescent="0.35">
      <c r="I417" s="13"/>
    </row>
    <row r="418" spans="9:9" ht="18" customHeight="1" x14ac:dyDescent="0.35">
      <c r="I418" s="13"/>
    </row>
    <row r="419" spans="9:9" ht="18" customHeight="1" x14ac:dyDescent="0.35">
      <c r="I419" s="13"/>
    </row>
    <row r="420" spans="9:9" ht="18" customHeight="1" x14ac:dyDescent="0.35">
      <c r="I420" s="13"/>
    </row>
    <row r="421" spans="9:9" ht="18" customHeight="1" x14ac:dyDescent="0.35">
      <c r="I421" s="13"/>
    </row>
    <row r="422" spans="9:9" ht="18" customHeight="1" x14ac:dyDescent="0.35">
      <c r="I422" s="13"/>
    </row>
    <row r="423" spans="9:9" ht="18" customHeight="1" x14ac:dyDescent="0.35">
      <c r="I423" s="13"/>
    </row>
    <row r="424" spans="9:9" ht="18" customHeight="1" x14ac:dyDescent="0.35">
      <c r="I424" s="13"/>
    </row>
    <row r="425" spans="9:9" ht="18" customHeight="1" x14ac:dyDescent="0.35">
      <c r="I425" s="13"/>
    </row>
    <row r="426" spans="9:9" ht="18" customHeight="1" x14ac:dyDescent="0.35">
      <c r="I426" s="13"/>
    </row>
    <row r="427" spans="9:9" ht="18" customHeight="1" x14ac:dyDescent="0.35">
      <c r="I427" s="13"/>
    </row>
    <row r="428" spans="9:9" ht="18" customHeight="1" x14ac:dyDescent="0.35">
      <c r="I428" s="13"/>
    </row>
    <row r="429" spans="9:9" ht="18" customHeight="1" x14ac:dyDescent="0.35">
      <c r="I429" s="13"/>
    </row>
    <row r="430" spans="9:9" ht="18" customHeight="1" x14ac:dyDescent="0.35">
      <c r="I430" s="13"/>
    </row>
    <row r="431" spans="9:9" ht="18" customHeight="1" x14ac:dyDescent="0.35">
      <c r="I431" s="13"/>
    </row>
    <row r="432" spans="9:9" ht="18" customHeight="1" x14ac:dyDescent="0.35">
      <c r="I432" s="13"/>
    </row>
    <row r="433" spans="9:9" ht="18" customHeight="1" x14ac:dyDescent="0.35">
      <c r="I433" s="13"/>
    </row>
    <row r="434" spans="9:9" ht="18" customHeight="1" x14ac:dyDescent="0.35">
      <c r="I434" s="13"/>
    </row>
    <row r="435" spans="9:9" ht="18" customHeight="1" x14ac:dyDescent="0.35">
      <c r="I435" s="13"/>
    </row>
    <row r="436" spans="9:9" ht="18" customHeight="1" x14ac:dyDescent="0.35">
      <c r="I436" s="13"/>
    </row>
    <row r="437" spans="9:9" ht="18" customHeight="1" x14ac:dyDescent="0.35">
      <c r="I437" s="13"/>
    </row>
    <row r="438" spans="9:9" ht="18" customHeight="1" x14ac:dyDescent="0.35">
      <c r="I438" s="13"/>
    </row>
    <row r="439" spans="9:9" ht="18" customHeight="1" x14ac:dyDescent="0.35">
      <c r="I439" s="13"/>
    </row>
    <row r="440" spans="9:9" ht="18" customHeight="1" x14ac:dyDescent="0.35">
      <c r="I440" s="13"/>
    </row>
    <row r="441" spans="9:9" ht="18" customHeight="1" x14ac:dyDescent="0.35">
      <c r="I441" s="13"/>
    </row>
    <row r="442" spans="9:9" ht="18" customHeight="1" x14ac:dyDescent="0.35">
      <c r="I442" s="13"/>
    </row>
    <row r="443" spans="9:9" ht="18" customHeight="1" x14ac:dyDescent="0.35">
      <c r="I443" s="13"/>
    </row>
    <row r="444" spans="9:9" ht="18" customHeight="1" x14ac:dyDescent="0.35">
      <c r="I444" s="13"/>
    </row>
    <row r="445" spans="9:9" ht="18" customHeight="1" x14ac:dyDescent="0.35">
      <c r="I445" s="13"/>
    </row>
    <row r="446" spans="9:9" ht="18" customHeight="1" x14ac:dyDescent="0.35">
      <c r="I446" s="13"/>
    </row>
    <row r="447" spans="9:9" ht="18" customHeight="1" x14ac:dyDescent="0.35">
      <c r="I447" s="13"/>
    </row>
    <row r="448" spans="9:9" ht="18" customHeight="1" x14ac:dyDescent="0.35">
      <c r="I448" s="13"/>
    </row>
    <row r="449" spans="9:9" ht="18" customHeight="1" x14ac:dyDescent="0.35">
      <c r="I449" s="13"/>
    </row>
    <row r="450" spans="9:9" ht="18" customHeight="1" x14ac:dyDescent="0.35">
      <c r="I450" s="13"/>
    </row>
    <row r="451" spans="9:9" ht="18" customHeight="1" x14ac:dyDescent="0.35">
      <c r="I451" s="13"/>
    </row>
    <row r="452" spans="9:9" ht="18" customHeight="1" x14ac:dyDescent="0.35">
      <c r="I452" s="13"/>
    </row>
    <row r="453" spans="9:9" ht="18" customHeight="1" x14ac:dyDescent="0.35">
      <c r="I453" s="13"/>
    </row>
    <row r="454" spans="9:9" ht="18" customHeight="1" x14ac:dyDescent="0.35">
      <c r="I454" s="13"/>
    </row>
    <row r="455" spans="9:9" ht="18" customHeight="1" x14ac:dyDescent="0.35">
      <c r="I455" s="13"/>
    </row>
    <row r="456" spans="9:9" ht="18" customHeight="1" x14ac:dyDescent="0.35">
      <c r="I456" s="13"/>
    </row>
    <row r="457" spans="9:9" ht="18" customHeight="1" x14ac:dyDescent="0.35">
      <c r="I457" s="13"/>
    </row>
    <row r="458" spans="9:9" ht="18" customHeight="1" x14ac:dyDescent="0.35">
      <c r="I458" s="13"/>
    </row>
    <row r="459" spans="9:9" ht="18" customHeight="1" x14ac:dyDescent="0.35">
      <c r="I459" s="13"/>
    </row>
    <row r="460" spans="9:9" ht="18" customHeight="1" x14ac:dyDescent="0.35">
      <c r="I460" s="13"/>
    </row>
    <row r="461" spans="9:9" ht="18" customHeight="1" x14ac:dyDescent="0.35">
      <c r="I461" s="13"/>
    </row>
    <row r="462" spans="9:9" ht="18" customHeight="1" x14ac:dyDescent="0.35">
      <c r="I462" s="13"/>
    </row>
    <row r="463" spans="9:9" ht="18" customHeight="1" x14ac:dyDescent="0.35">
      <c r="I463" s="13"/>
    </row>
    <row r="464" spans="9:9" ht="18" customHeight="1" x14ac:dyDescent="0.35">
      <c r="I464" s="13"/>
    </row>
    <row r="465" spans="9:9" ht="18" customHeight="1" x14ac:dyDescent="0.35">
      <c r="I465" s="13"/>
    </row>
    <row r="466" spans="9:9" ht="18" customHeight="1" x14ac:dyDescent="0.35">
      <c r="I466" s="13"/>
    </row>
    <row r="467" spans="9:9" ht="18" customHeight="1" x14ac:dyDescent="0.35">
      <c r="I467" s="13"/>
    </row>
    <row r="468" spans="9:9" ht="18" customHeight="1" x14ac:dyDescent="0.35">
      <c r="I468" s="13"/>
    </row>
    <row r="469" spans="9:9" ht="18" customHeight="1" x14ac:dyDescent="0.35">
      <c r="I469" s="13"/>
    </row>
    <row r="470" spans="9:9" ht="18" customHeight="1" x14ac:dyDescent="0.35">
      <c r="I470" s="13"/>
    </row>
    <row r="471" spans="9:9" ht="18" customHeight="1" x14ac:dyDescent="0.35">
      <c r="I471" s="13"/>
    </row>
    <row r="472" spans="9:9" ht="18" customHeight="1" x14ac:dyDescent="0.35">
      <c r="I472" s="13"/>
    </row>
    <row r="473" spans="9:9" ht="18" customHeight="1" x14ac:dyDescent="0.35">
      <c r="I473" s="13"/>
    </row>
    <row r="474" spans="9:9" ht="18" customHeight="1" x14ac:dyDescent="0.35">
      <c r="I474" s="13"/>
    </row>
    <row r="475" spans="9:9" ht="18" customHeight="1" x14ac:dyDescent="0.35">
      <c r="I475" s="13"/>
    </row>
    <row r="476" spans="9:9" ht="18" customHeight="1" x14ac:dyDescent="0.35">
      <c r="I476" s="13"/>
    </row>
    <row r="477" spans="9:9" ht="18" customHeight="1" x14ac:dyDescent="0.35">
      <c r="I477" s="13"/>
    </row>
    <row r="478" spans="9:9" ht="18" customHeight="1" x14ac:dyDescent="0.35">
      <c r="I478" s="13"/>
    </row>
    <row r="479" spans="9:9" ht="18" customHeight="1" x14ac:dyDescent="0.35">
      <c r="I479" s="13"/>
    </row>
    <row r="480" spans="9:9" ht="18" customHeight="1" x14ac:dyDescent="0.35">
      <c r="I480" s="13"/>
    </row>
    <row r="481" spans="9:9" ht="18" customHeight="1" x14ac:dyDescent="0.35">
      <c r="I481" s="13"/>
    </row>
    <row r="482" spans="9:9" ht="18" customHeight="1" x14ac:dyDescent="0.35">
      <c r="I482" s="13"/>
    </row>
    <row r="483" spans="9:9" ht="18" customHeight="1" x14ac:dyDescent="0.35">
      <c r="I483" s="13"/>
    </row>
    <row r="484" spans="9:9" ht="18" customHeight="1" x14ac:dyDescent="0.35">
      <c r="I484" s="13"/>
    </row>
    <row r="485" spans="9:9" ht="18" customHeight="1" x14ac:dyDescent="0.35">
      <c r="I485" s="13"/>
    </row>
    <row r="486" spans="9:9" ht="18" customHeight="1" x14ac:dyDescent="0.35">
      <c r="I486" s="13"/>
    </row>
    <row r="487" spans="9:9" ht="18" customHeight="1" x14ac:dyDescent="0.35">
      <c r="I487" s="13"/>
    </row>
    <row r="488" spans="9:9" ht="18" customHeight="1" x14ac:dyDescent="0.35">
      <c r="I488" s="13"/>
    </row>
    <row r="489" spans="9:9" ht="18" customHeight="1" x14ac:dyDescent="0.35">
      <c r="I489" s="13"/>
    </row>
    <row r="490" spans="9:9" ht="18" customHeight="1" x14ac:dyDescent="0.35">
      <c r="I490" s="13"/>
    </row>
    <row r="491" spans="9:9" ht="18" customHeight="1" x14ac:dyDescent="0.35">
      <c r="I491" s="13"/>
    </row>
    <row r="492" spans="9:9" ht="18" customHeight="1" x14ac:dyDescent="0.35">
      <c r="I492" s="13"/>
    </row>
    <row r="493" spans="9:9" ht="18" customHeight="1" x14ac:dyDescent="0.35">
      <c r="I493" s="13"/>
    </row>
    <row r="494" spans="9:9" ht="18" customHeight="1" x14ac:dyDescent="0.35">
      <c r="I494" s="13"/>
    </row>
    <row r="495" spans="9:9" ht="18" customHeight="1" x14ac:dyDescent="0.35">
      <c r="I495" s="13"/>
    </row>
    <row r="496" spans="9:9" ht="18" customHeight="1" x14ac:dyDescent="0.35">
      <c r="I496" s="13"/>
    </row>
    <row r="497" spans="9:9" ht="18" customHeight="1" x14ac:dyDescent="0.35">
      <c r="I497" s="13"/>
    </row>
    <row r="498" spans="9:9" ht="18" customHeight="1" x14ac:dyDescent="0.35">
      <c r="I498" s="13"/>
    </row>
  </sheetData>
  <autoFilter ref="A2:M177" xr:uid="{00000000-0001-0000-0000-000000000000}">
    <filterColumn colId="6">
      <filters>
        <filter val="17"/>
        <filter val="20"/>
        <filter val="200"/>
        <filter val="23"/>
        <filter val="33"/>
        <filter val="70"/>
        <filter val="71"/>
      </filters>
    </filterColumn>
  </autoFilter>
  <mergeCells count="3">
    <mergeCell ref="C1:D1"/>
    <mergeCell ref="A1:B1"/>
    <mergeCell ref="E1:H1"/>
  </mergeCells>
  <dataValidations count="1">
    <dataValidation type="list" allowBlank="1" showErrorMessage="1" errorTitle="CATEGORIA inválida" error="Valores: reclamo, compromiso, exoneracion, otros — o dejar vacío (pago normal)." sqref="K4:K498" xr:uid="{00000000-0002-0000-0000-000000000000}">
      <formula1>"reclamo,compromiso,exoneracion,otros"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0"/>
  <sheetViews>
    <sheetView workbookViewId="0">
      <pane ySplit="2" topLeftCell="A3" activePane="bottomLeft" state="frozen"/>
      <selection pane="bottomLeft"/>
    </sheetView>
  </sheetViews>
  <sheetFormatPr baseColWidth="10" defaultColWidth="8.7265625" defaultRowHeight="14.5" x14ac:dyDescent="0.35"/>
  <cols>
    <col min="1" max="1" width="20" style="10" customWidth="1"/>
    <col min="2" max="2" width="16" style="10" customWidth="1"/>
    <col min="3" max="4" width="8" style="10" customWidth="1"/>
    <col min="5" max="5" width="12" style="10" customWidth="1"/>
    <col min="6" max="6" width="16" style="10" customWidth="1"/>
    <col min="7" max="8" width="14" style="10" customWidth="1"/>
    <col min="9" max="9" width="30" style="10" customWidth="1"/>
    <col min="10" max="11" width="14" style="10" customWidth="1"/>
  </cols>
  <sheetData>
    <row r="1" spans="1:11" ht="20" customHeight="1" x14ac:dyDescent="0.35">
      <c r="A1" s="16" t="s">
        <v>0</v>
      </c>
      <c r="B1" s="15"/>
      <c r="C1" s="14" t="s">
        <v>1</v>
      </c>
      <c r="D1" s="15"/>
      <c r="E1" s="17" t="s">
        <v>2</v>
      </c>
      <c r="F1" s="18"/>
      <c r="G1" s="18"/>
      <c r="H1" s="15"/>
      <c r="I1" s="1" t="s">
        <v>3</v>
      </c>
      <c r="J1" s="2" t="s">
        <v>4</v>
      </c>
      <c r="K1" s="11" t="s">
        <v>5</v>
      </c>
    </row>
    <row r="2" spans="1:11" ht="22" customHeight="1" x14ac:dyDescent="0.35">
      <c r="A2" s="3" t="s">
        <v>6</v>
      </c>
      <c r="B2" s="3" t="s">
        <v>7</v>
      </c>
      <c r="C2" s="4" t="s">
        <v>8</v>
      </c>
      <c r="D2" s="4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6" t="s">
        <v>14</v>
      </c>
      <c r="J2" s="7" t="s">
        <v>15</v>
      </c>
      <c r="K2" s="12" t="s">
        <v>16</v>
      </c>
    </row>
    <row r="3" spans="1:11" ht="18" customHeight="1" x14ac:dyDescent="0.35">
      <c r="A3" s="8" t="s">
        <v>17</v>
      </c>
      <c r="B3" s="8" t="s">
        <v>18</v>
      </c>
      <c r="C3" s="8" t="s">
        <v>19</v>
      </c>
      <c r="D3" s="8" t="s">
        <v>20</v>
      </c>
      <c r="E3" s="8" t="s">
        <v>21</v>
      </c>
      <c r="F3" s="8" t="s">
        <v>22</v>
      </c>
      <c r="G3" s="8" t="s">
        <v>23</v>
      </c>
      <c r="H3" s="8" t="s">
        <v>24</v>
      </c>
      <c r="I3" s="8"/>
      <c r="J3" s="8"/>
    </row>
    <row r="4" spans="1:11" ht="18" customHeight="1" x14ac:dyDescent="0.35">
      <c r="I4" s="13"/>
    </row>
    <row r="5" spans="1:11" ht="18" customHeight="1" x14ac:dyDescent="0.35">
      <c r="I5" s="13"/>
    </row>
    <row r="6" spans="1:11" ht="18" customHeight="1" x14ac:dyDescent="0.35">
      <c r="I6" s="13"/>
    </row>
    <row r="7" spans="1:11" ht="18" customHeight="1" x14ac:dyDescent="0.35">
      <c r="I7" s="13"/>
    </row>
    <row r="8" spans="1:11" ht="18" customHeight="1" x14ac:dyDescent="0.35">
      <c r="I8" s="13"/>
    </row>
    <row r="9" spans="1:11" ht="18" customHeight="1" x14ac:dyDescent="0.35">
      <c r="I9" s="13"/>
    </row>
    <row r="10" spans="1:11" ht="18" customHeight="1" x14ac:dyDescent="0.35">
      <c r="I10" s="13"/>
    </row>
    <row r="11" spans="1:11" ht="18" customHeight="1" x14ac:dyDescent="0.35">
      <c r="I11" s="13"/>
    </row>
    <row r="12" spans="1:11" ht="18" customHeight="1" x14ac:dyDescent="0.35">
      <c r="I12" s="13"/>
    </row>
    <row r="13" spans="1:11" ht="18" customHeight="1" x14ac:dyDescent="0.35">
      <c r="I13" s="13"/>
    </row>
    <row r="14" spans="1:11" ht="18" customHeight="1" x14ac:dyDescent="0.35">
      <c r="I14" s="13"/>
    </row>
    <row r="15" spans="1:11" ht="18" customHeight="1" x14ac:dyDescent="0.35">
      <c r="I15" s="13"/>
    </row>
    <row r="16" spans="1:11" ht="18" customHeight="1" x14ac:dyDescent="0.35">
      <c r="I16" s="13"/>
    </row>
    <row r="17" spans="9:9" ht="18" customHeight="1" x14ac:dyDescent="0.35">
      <c r="I17" s="13"/>
    </row>
    <row r="18" spans="9:9" ht="18" customHeight="1" x14ac:dyDescent="0.35">
      <c r="I18" s="13"/>
    </row>
    <row r="19" spans="9:9" ht="18" customHeight="1" x14ac:dyDescent="0.35">
      <c r="I19" s="13"/>
    </row>
    <row r="20" spans="9:9" ht="18" customHeight="1" x14ac:dyDescent="0.35">
      <c r="I20" s="13"/>
    </row>
    <row r="21" spans="9:9" ht="18" customHeight="1" x14ac:dyDescent="0.35">
      <c r="I21" s="13"/>
    </row>
    <row r="22" spans="9:9" ht="18" customHeight="1" x14ac:dyDescent="0.35">
      <c r="I22" s="13"/>
    </row>
    <row r="23" spans="9:9" ht="18" customHeight="1" x14ac:dyDescent="0.35">
      <c r="I23" s="13"/>
    </row>
    <row r="24" spans="9:9" ht="18" customHeight="1" x14ac:dyDescent="0.35">
      <c r="I24" s="13"/>
    </row>
    <row r="25" spans="9:9" ht="18" customHeight="1" x14ac:dyDescent="0.35">
      <c r="I25" s="13"/>
    </row>
    <row r="26" spans="9:9" ht="18" customHeight="1" x14ac:dyDescent="0.35">
      <c r="I26" s="13"/>
    </row>
    <row r="27" spans="9:9" ht="18" customHeight="1" x14ac:dyDescent="0.35">
      <c r="I27" s="13"/>
    </row>
    <row r="28" spans="9:9" ht="18" customHeight="1" x14ac:dyDescent="0.35">
      <c r="I28" s="13"/>
    </row>
    <row r="29" spans="9:9" ht="18" customHeight="1" x14ac:dyDescent="0.35">
      <c r="I29" s="13"/>
    </row>
    <row r="30" spans="9:9" ht="18" customHeight="1" x14ac:dyDescent="0.35">
      <c r="I30" s="13"/>
    </row>
    <row r="31" spans="9:9" ht="18" customHeight="1" x14ac:dyDescent="0.35">
      <c r="I31" s="13"/>
    </row>
    <row r="32" spans="9:9" ht="18" customHeight="1" x14ac:dyDescent="0.35">
      <c r="I32" s="13"/>
    </row>
    <row r="33" spans="9:9" ht="18" customHeight="1" x14ac:dyDescent="0.35">
      <c r="I33" s="13"/>
    </row>
    <row r="34" spans="9:9" ht="18" customHeight="1" x14ac:dyDescent="0.35">
      <c r="I34" s="13"/>
    </row>
    <row r="35" spans="9:9" ht="18" customHeight="1" x14ac:dyDescent="0.35">
      <c r="I35" s="13"/>
    </row>
    <row r="36" spans="9:9" ht="18" customHeight="1" x14ac:dyDescent="0.35">
      <c r="I36" s="13"/>
    </row>
    <row r="37" spans="9:9" ht="18" customHeight="1" x14ac:dyDescent="0.35">
      <c r="I37" s="13"/>
    </row>
    <row r="38" spans="9:9" ht="18" customHeight="1" x14ac:dyDescent="0.35">
      <c r="I38" s="13"/>
    </row>
    <row r="39" spans="9:9" ht="18" customHeight="1" x14ac:dyDescent="0.35">
      <c r="I39" s="13"/>
    </row>
    <row r="40" spans="9:9" ht="18" customHeight="1" x14ac:dyDescent="0.35">
      <c r="I40" s="13"/>
    </row>
    <row r="41" spans="9:9" ht="18" customHeight="1" x14ac:dyDescent="0.35">
      <c r="I41" s="13"/>
    </row>
    <row r="42" spans="9:9" ht="18" customHeight="1" x14ac:dyDescent="0.35">
      <c r="I42" s="13"/>
    </row>
    <row r="43" spans="9:9" ht="18" customHeight="1" x14ac:dyDescent="0.35">
      <c r="I43" s="13"/>
    </row>
    <row r="44" spans="9:9" ht="18" customHeight="1" x14ac:dyDescent="0.35">
      <c r="I44" s="13"/>
    </row>
    <row r="45" spans="9:9" ht="18" customHeight="1" x14ac:dyDescent="0.35">
      <c r="I45" s="13"/>
    </row>
    <row r="46" spans="9:9" ht="18" customHeight="1" x14ac:dyDescent="0.35">
      <c r="I46" s="13"/>
    </row>
    <row r="47" spans="9:9" ht="18" customHeight="1" x14ac:dyDescent="0.35">
      <c r="I47" s="13"/>
    </row>
    <row r="48" spans="9:9" ht="18" customHeight="1" x14ac:dyDescent="0.35">
      <c r="I48" s="13"/>
    </row>
    <row r="49" spans="9:9" ht="18" customHeight="1" x14ac:dyDescent="0.35">
      <c r="I49" s="13"/>
    </row>
    <row r="50" spans="9:9" ht="18" customHeight="1" x14ac:dyDescent="0.35">
      <c r="I50" s="13"/>
    </row>
    <row r="51" spans="9:9" ht="18" customHeight="1" x14ac:dyDescent="0.35">
      <c r="I51" s="13"/>
    </row>
    <row r="52" spans="9:9" ht="18" customHeight="1" x14ac:dyDescent="0.35">
      <c r="I52" s="13"/>
    </row>
    <row r="53" spans="9:9" ht="18" customHeight="1" x14ac:dyDescent="0.35">
      <c r="I53" s="13"/>
    </row>
    <row r="54" spans="9:9" ht="18" customHeight="1" x14ac:dyDescent="0.35">
      <c r="I54" s="13"/>
    </row>
    <row r="55" spans="9:9" ht="18" customHeight="1" x14ac:dyDescent="0.35">
      <c r="I55" s="13"/>
    </row>
    <row r="56" spans="9:9" ht="18" customHeight="1" x14ac:dyDescent="0.35">
      <c r="I56" s="13"/>
    </row>
    <row r="57" spans="9:9" ht="18" customHeight="1" x14ac:dyDescent="0.35">
      <c r="I57" s="13"/>
    </row>
    <row r="58" spans="9:9" ht="18" customHeight="1" x14ac:dyDescent="0.35">
      <c r="I58" s="13"/>
    </row>
    <row r="59" spans="9:9" ht="18" customHeight="1" x14ac:dyDescent="0.35">
      <c r="I59" s="13"/>
    </row>
    <row r="60" spans="9:9" ht="18" customHeight="1" x14ac:dyDescent="0.35">
      <c r="I60" s="13"/>
    </row>
    <row r="61" spans="9:9" ht="18" customHeight="1" x14ac:dyDescent="0.35">
      <c r="I61" s="13"/>
    </row>
    <row r="62" spans="9:9" ht="18" customHeight="1" x14ac:dyDescent="0.35">
      <c r="I62" s="13"/>
    </row>
    <row r="63" spans="9:9" ht="18" customHeight="1" x14ac:dyDescent="0.35">
      <c r="I63" s="13"/>
    </row>
    <row r="64" spans="9:9" ht="18" customHeight="1" x14ac:dyDescent="0.35">
      <c r="I64" s="13"/>
    </row>
    <row r="65" spans="9:9" ht="18" customHeight="1" x14ac:dyDescent="0.35">
      <c r="I65" s="13"/>
    </row>
    <row r="66" spans="9:9" ht="18" customHeight="1" x14ac:dyDescent="0.35">
      <c r="I66" s="13"/>
    </row>
    <row r="67" spans="9:9" ht="18" customHeight="1" x14ac:dyDescent="0.35">
      <c r="I67" s="13"/>
    </row>
    <row r="68" spans="9:9" ht="18" customHeight="1" x14ac:dyDescent="0.35">
      <c r="I68" s="13"/>
    </row>
    <row r="69" spans="9:9" ht="18" customHeight="1" x14ac:dyDescent="0.35">
      <c r="I69" s="13"/>
    </row>
    <row r="70" spans="9:9" ht="18" customHeight="1" x14ac:dyDescent="0.35">
      <c r="I70" s="13"/>
    </row>
    <row r="71" spans="9:9" ht="18" customHeight="1" x14ac:dyDescent="0.35">
      <c r="I71" s="13"/>
    </row>
    <row r="72" spans="9:9" ht="18" customHeight="1" x14ac:dyDescent="0.35">
      <c r="I72" s="13"/>
    </row>
    <row r="73" spans="9:9" ht="18" customHeight="1" x14ac:dyDescent="0.35">
      <c r="I73" s="13"/>
    </row>
    <row r="74" spans="9:9" ht="18" customHeight="1" x14ac:dyDescent="0.35">
      <c r="I74" s="13"/>
    </row>
    <row r="75" spans="9:9" ht="18" customHeight="1" x14ac:dyDescent="0.35">
      <c r="I75" s="13"/>
    </row>
    <row r="76" spans="9:9" ht="18" customHeight="1" x14ac:dyDescent="0.35">
      <c r="I76" s="13"/>
    </row>
    <row r="77" spans="9:9" ht="18" customHeight="1" x14ac:dyDescent="0.35">
      <c r="I77" s="13"/>
    </row>
    <row r="78" spans="9:9" ht="18" customHeight="1" x14ac:dyDescent="0.35">
      <c r="I78" s="13"/>
    </row>
    <row r="79" spans="9:9" ht="18" customHeight="1" x14ac:dyDescent="0.35">
      <c r="I79" s="13"/>
    </row>
    <row r="80" spans="9:9" ht="18" customHeight="1" x14ac:dyDescent="0.35">
      <c r="I80" s="13"/>
    </row>
    <row r="81" spans="9:9" ht="18" customHeight="1" x14ac:dyDescent="0.35">
      <c r="I81" s="13"/>
    </row>
    <row r="82" spans="9:9" ht="18" customHeight="1" x14ac:dyDescent="0.35">
      <c r="I82" s="13"/>
    </row>
    <row r="83" spans="9:9" ht="18" customHeight="1" x14ac:dyDescent="0.35">
      <c r="I83" s="13"/>
    </row>
    <row r="84" spans="9:9" ht="18" customHeight="1" x14ac:dyDescent="0.35">
      <c r="I84" s="13"/>
    </row>
    <row r="85" spans="9:9" ht="18" customHeight="1" x14ac:dyDescent="0.35">
      <c r="I85" s="13"/>
    </row>
    <row r="86" spans="9:9" ht="18" customHeight="1" x14ac:dyDescent="0.35">
      <c r="I86" s="13"/>
    </row>
    <row r="87" spans="9:9" ht="18" customHeight="1" x14ac:dyDescent="0.35">
      <c r="I87" s="13"/>
    </row>
    <row r="88" spans="9:9" ht="18" customHeight="1" x14ac:dyDescent="0.35">
      <c r="I88" s="13"/>
    </row>
    <row r="89" spans="9:9" ht="18" customHeight="1" x14ac:dyDescent="0.35">
      <c r="I89" s="13"/>
    </row>
    <row r="90" spans="9:9" ht="18" customHeight="1" x14ac:dyDescent="0.35">
      <c r="I90" s="13"/>
    </row>
    <row r="91" spans="9:9" ht="18" customHeight="1" x14ac:dyDescent="0.35">
      <c r="I91" s="13"/>
    </row>
    <row r="92" spans="9:9" ht="18" customHeight="1" x14ac:dyDescent="0.35">
      <c r="I92" s="13"/>
    </row>
    <row r="93" spans="9:9" ht="18" customHeight="1" x14ac:dyDescent="0.35">
      <c r="I93" s="13"/>
    </row>
    <row r="94" spans="9:9" ht="18" customHeight="1" x14ac:dyDescent="0.35">
      <c r="I94" s="13"/>
    </row>
    <row r="95" spans="9:9" ht="18" customHeight="1" x14ac:dyDescent="0.35">
      <c r="I95" s="13"/>
    </row>
    <row r="96" spans="9:9" ht="18" customHeight="1" x14ac:dyDescent="0.35">
      <c r="I96" s="13"/>
    </row>
    <row r="97" spans="9:9" ht="18" customHeight="1" x14ac:dyDescent="0.35">
      <c r="I97" s="13"/>
    </row>
    <row r="98" spans="9:9" ht="18" customHeight="1" x14ac:dyDescent="0.35">
      <c r="I98" s="13"/>
    </row>
    <row r="99" spans="9:9" ht="18" customHeight="1" x14ac:dyDescent="0.35">
      <c r="I99" s="13"/>
    </row>
    <row r="100" spans="9:9" ht="18" customHeight="1" x14ac:dyDescent="0.35">
      <c r="I100" s="13"/>
    </row>
    <row r="101" spans="9:9" ht="18" customHeight="1" x14ac:dyDescent="0.35">
      <c r="I101" s="13"/>
    </row>
    <row r="102" spans="9:9" ht="18" customHeight="1" x14ac:dyDescent="0.35">
      <c r="I102" s="13"/>
    </row>
    <row r="103" spans="9:9" ht="18" customHeight="1" x14ac:dyDescent="0.35">
      <c r="I103" s="13"/>
    </row>
    <row r="104" spans="9:9" ht="18" customHeight="1" x14ac:dyDescent="0.35">
      <c r="I104" s="13"/>
    </row>
    <row r="105" spans="9:9" ht="18" customHeight="1" x14ac:dyDescent="0.35">
      <c r="I105" s="13"/>
    </row>
    <row r="106" spans="9:9" ht="18" customHeight="1" x14ac:dyDescent="0.35">
      <c r="I106" s="13"/>
    </row>
    <row r="107" spans="9:9" ht="18" customHeight="1" x14ac:dyDescent="0.35">
      <c r="I107" s="13"/>
    </row>
    <row r="108" spans="9:9" ht="18" customHeight="1" x14ac:dyDescent="0.35">
      <c r="I108" s="13"/>
    </row>
    <row r="109" spans="9:9" ht="18" customHeight="1" x14ac:dyDescent="0.35">
      <c r="I109" s="13"/>
    </row>
    <row r="110" spans="9:9" ht="18" customHeight="1" x14ac:dyDescent="0.35">
      <c r="I110" s="13"/>
    </row>
    <row r="111" spans="9:9" ht="18" customHeight="1" x14ac:dyDescent="0.35">
      <c r="I111" s="13"/>
    </row>
    <row r="112" spans="9:9" ht="18" customHeight="1" x14ac:dyDescent="0.35">
      <c r="I112" s="13"/>
    </row>
    <row r="113" spans="9:9" ht="18" customHeight="1" x14ac:dyDescent="0.35">
      <c r="I113" s="13"/>
    </row>
    <row r="114" spans="9:9" ht="18" customHeight="1" x14ac:dyDescent="0.35">
      <c r="I114" s="13"/>
    </row>
    <row r="115" spans="9:9" ht="18" customHeight="1" x14ac:dyDescent="0.35">
      <c r="I115" s="13"/>
    </row>
    <row r="116" spans="9:9" ht="18" customHeight="1" x14ac:dyDescent="0.35">
      <c r="I116" s="13"/>
    </row>
    <row r="117" spans="9:9" ht="18" customHeight="1" x14ac:dyDescent="0.35">
      <c r="I117" s="13"/>
    </row>
    <row r="118" spans="9:9" ht="18" customHeight="1" x14ac:dyDescent="0.35">
      <c r="I118" s="13"/>
    </row>
    <row r="119" spans="9:9" ht="18" customHeight="1" x14ac:dyDescent="0.35">
      <c r="I119" s="13"/>
    </row>
    <row r="120" spans="9:9" ht="18" customHeight="1" x14ac:dyDescent="0.35">
      <c r="I120" s="13"/>
    </row>
    <row r="121" spans="9:9" ht="18" customHeight="1" x14ac:dyDescent="0.35">
      <c r="I121" s="13"/>
    </row>
    <row r="122" spans="9:9" ht="18" customHeight="1" x14ac:dyDescent="0.35">
      <c r="I122" s="13"/>
    </row>
    <row r="123" spans="9:9" ht="18" customHeight="1" x14ac:dyDescent="0.35">
      <c r="I123" s="13"/>
    </row>
    <row r="124" spans="9:9" ht="18" customHeight="1" x14ac:dyDescent="0.35">
      <c r="I124" s="13"/>
    </row>
    <row r="125" spans="9:9" ht="18" customHeight="1" x14ac:dyDescent="0.35">
      <c r="I125" s="13"/>
    </row>
    <row r="126" spans="9:9" ht="18" customHeight="1" x14ac:dyDescent="0.35">
      <c r="I126" s="13"/>
    </row>
    <row r="127" spans="9:9" ht="18" customHeight="1" x14ac:dyDescent="0.35">
      <c r="I127" s="13"/>
    </row>
    <row r="128" spans="9:9" ht="18" customHeight="1" x14ac:dyDescent="0.35">
      <c r="I128" s="13"/>
    </row>
    <row r="129" spans="9:9" ht="18" customHeight="1" x14ac:dyDescent="0.35">
      <c r="I129" s="13"/>
    </row>
    <row r="130" spans="9:9" ht="18" customHeight="1" x14ac:dyDescent="0.35">
      <c r="I130" s="13"/>
    </row>
    <row r="131" spans="9:9" ht="18" customHeight="1" x14ac:dyDescent="0.35">
      <c r="I131" s="13"/>
    </row>
    <row r="132" spans="9:9" ht="18" customHeight="1" x14ac:dyDescent="0.35">
      <c r="I132" s="13"/>
    </row>
    <row r="133" spans="9:9" ht="18" customHeight="1" x14ac:dyDescent="0.35">
      <c r="I133" s="13"/>
    </row>
    <row r="134" spans="9:9" ht="18" customHeight="1" x14ac:dyDescent="0.35">
      <c r="I134" s="13"/>
    </row>
    <row r="135" spans="9:9" ht="18" customHeight="1" x14ac:dyDescent="0.35">
      <c r="I135" s="13"/>
    </row>
    <row r="136" spans="9:9" ht="18" customHeight="1" x14ac:dyDescent="0.35">
      <c r="I136" s="13"/>
    </row>
    <row r="137" spans="9:9" ht="18" customHeight="1" x14ac:dyDescent="0.35">
      <c r="I137" s="13"/>
    </row>
    <row r="138" spans="9:9" ht="18" customHeight="1" x14ac:dyDescent="0.35">
      <c r="I138" s="13"/>
    </row>
    <row r="139" spans="9:9" ht="18" customHeight="1" x14ac:dyDescent="0.35">
      <c r="I139" s="13"/>
    </row>
    <row r="140" spans="9:9" ht="18" customHeight="1" x14ac:dyDescent="0.35">
      <c r="I140" s="13"/>
    </row>
    <row r="141" spans="9:9" ht="18" customHeight="1" x14ac:dyDescent="0.35">
      <c r="I141" s="13"/>
    </row>
    <row r="142" spans="9:9" ht="18" customHeight="1" x14ac:dyDescent="0.35">
      <c r="I142" s="13"/>
    </row>
    <row r="143" spans="9:9" ht="18" customHeight="1" x14ac:dyDescent="0.35">
      <c r="I143" s="13"/>
    </row>
    <row r="144" spans="9:9" ht="18" customHeight="1" x14ac:dyDescent="0.35">
      <c r="I144" s="13"/>
    </row>
    <row r="145" spans="9:9" ht="18" customHeight="1" x14ac:dyDescent="0.35">
      <c r="I145" s="13"/>
    </row>
    <row r="146" spans="9:9" ht="18" customHeight="1" x14ac:dyDescent="0.35">
      <c r="I146" s="13"/>
    </row>
    <row r="147" spans="9:9" ht="18" customHeight="1" x14ac:dyDescent="0.35">
      <c r="I147" s="13"/>
    </row>
    <row r="148" spans="9:9" ht="18" customHeight="1" x14ac:dyDescent="0.35">
      <c r="I148" s="13"/>
    </row>
    <row r="149" spans="9:9" ht="18" customHeight="1" x14ac:dyDescent="0.35">
      <c r="I149" s="13"/>
    </row>
    <row r="150" spans="9:9" ht="18" customHeight="1" x14ac:dyDescent="0.35">
      <c r="I150" s="13"/>
    </row>
    <row r="151" spans="9:9" ht="18" customHeight="1" x14ac:dyDescent="0.35">
      <c r="I151" s="13"/>
    </row>
    <row r="152" spans="9:9" ht="18" customHeight="1" x14ac:dyDescent="0.35">
      <c r="I152" s="13"/>
    </row>
    <row r="153" spans="9:9" ht="18" customHeight="1" x14ac:dyDescent="0.35">
      <c r="I153" s="13"/>
    </row>
    <row r="154" spans="9:9" ht="18" customHeight="1" x14ac:dyDescent="0.35">
      <c r="I154" s="13"/>
    </row>
    <row r="155" spans="9:9" ht="18" customHeight="1" x14ac:dyDescent="0.35">
      <c r="I155" s="13"/>
    </row>
    <row r="156" spans="9:9" ht="18" customHeight="1" x14ac:dyDescent="0.35">
      <c r="I156" s="13"/>
    </row>
    <row r="157" spans="9:9" ht="18" customHeight="1" x14ac:dyDescent="0.35">
      <c r="I157" s="13"/>
    </row>
    <row r="158" spans="9:9" ht="18" customHeight="1" x14ac:dyDescent="0.35">
      <c r="I158" s="13"/>
    </row>
    <row r="159" spans="9:9" ht="18" customHeight="1" x14ac:dyDescent="0.35">
      <c r="I159" s="13"/>
    </row>
    <row r="160" spans="9:9" ht="18" customHeight="1" x14ac:dyDescent="0.35">
      <c r="I160" s="13"/>
    </row>
    <row r="161" spans="9:9" ht="18" customHeight="1" x14ac:dyDescent="0.35">
      <c r="I161" s="13"/>
    </row>
    <row r="162" spans="9:9" ht="18" customHeight="1" x14ac:dyDescent="0.35">
      <c r="I162" s="13"/>
    </row>
    <row r="163" spans="9:9" ht="18" customHeight="1" x14ac:dyDescent="0.35">
      <c r="I163" s="13"/>
    </row>
    <row r="164" spans="9:9" ht="18" customHeight="1" x14ac:dyDescent="0.35">
      <c r="I164" s="13"/>
    </row>
    <row r="165" spans="9:9" ht="18" customHeight="1" x14ac:dyDescent="0.35">
      <c r="I165" s="13"/>
    </row>
    <row r="166" spans="9:9" ht="18" customHeight="1" x14ac:dyDescent="0.35">
      <c r="I166" s="13"/>
    </row>
    <row r="167" spans="9:9" ht="18" customHeight="1" x14ac:dyDescent="0.35">
      <c r="I167" s="13"/>
    </row>
    <row r="168" spans="9:9" ht="18" customHeight="1" x14ac:dyDescent="0.35">
      <c r="I168" s="13"/>
    </row>
    <row r="169" spans="9:9" ht="18" customHeight="1" x14ac:dyDescent="0.35">
      <c r="I169" s="13"/>
    </row>
    <row r="170" spans="9:9" ht="18" customHeight="1" x14ac:dyDescent="0.35">
      <c r="I170" s="13"/>
    </row>
    <row r="171" spans="9:9" ht="18" customHeight="1" x14ac:dyDescent="0.35">
      <c r="I171" s="13"/>
    </row>
    <row r="172" spans="9:9" ht="18" customHeight="1" x14ac:dyDescent="0.35">
      <c r="I172" s="13"/>
    </row>
    <row r="173" spans="9:9" ht="18" customHeight="1" x14ac:dyDescent="0.35">
      <c r="I173" s="13"/>
    </row>
    <row r="174" spans="9:9" ht="18" customHeight="1" x14ac:dyDescent="0.35">
      <c r="I174" s="13"/>
    </row>
    <row r="175" spans="9:9" ht="18" customHeight="1" x14ac:dyDescent="0.35">
      <c r="I175" s="13"/>
    </row>
    <row r="176" spans="9:9" ht="18" customHeight="1" x14ac:dyDescent="0.35">
      <c r="I176" s="13"/>
    </row>
    <row r="177" spans="9:9" ht="18" customHeight="1" x14ac:dyDescent="0.35">
      <c r="I177" s="13"/>
    </row>
    <row r="178" spans="9:9" ht="18" customHeight="1" x14ac:dyDescent="0.35">
      <c r="I178" s="13"/>
    </row>
    <row r="179" spans="9:9" ht="18" customHeight="1" x14ac:dyDescent="0.35">
      <c r="I179" s="13"/>
    </row>
    <row r="180" spans="9:9" ht="18" customHeight="1" x14ac:dyDescent="0.35">
      <c r="I180" s="13"/>
    </row>
    <row r="181" spans="9:9" ht="18" customHeight="1" x14ac:dyDescent="0.35">
      <c r="I181" s="13"/>
    </row>
    <row r="182" spans="9:9" ht="18" customHeight="1" x14ac:dyDescent="0.35">
      <c r="I182" s="13"/>
    </row>
    <row r="183" spans="9:9" ht="18" customHeight="1" x14ac:dyDescent="0.35">
      <c r="I183" s="13"/>
    </row>
    <row r="184" spans="9:9" ht="18" customHeight="1" x14ac:dyDescent="0.35">
      <c r="I184" s="13"/>
    </row>
    <row r="185" spans="9:9" ht="18" customHeight="1" x14ac:dyDescent="0.35">
      <c r="I185" s="13"/>
    </row>
    <row r="186" spans="9:9" ht="18" customHeight="1" x14ac:dyDescent="0.35">
      <c r="I186" s="13"/>
    </row>
    <row r="187" spans="9:9" ht="18" customHeight="1" x14ac:dyDescent="0.35">
      <c r="I187" s="13"/>
    </row>
    <row r="188" spans="9:9" ht="18" customHeight="1" x14ac:dyDescent="0.35">
      <c r="I188" s="13"/>
    </row>
    <row r="189" spans="9:9" ht="18" customHeight="1" x14ac:dyDescent="0.35">
      <c r="I189" s="13"/>
    </row>
    <row r="190" spans="9:9" ht="18" customHeight="1" x14ac:dyDescent="0.35">
      <c r="I190" s="13"/>
    </row>
    <row r="191" spans="9:9" ht="18" customHeight="1" x14ac:dyDescent="0.35">
      <c r="I191" s="13"/>
    </row>
    <row r="192" spans="9:9" ht="18" customHeight="1" x14ac:dyDescent="0.35">
      <c r="I192" s="13"/>
    </row>
    <row r="193" spans="9:9" ht="18" customHeight="1" x14ac:dyDescent="0.35">
      <c r="I193" s="13"/>
    </row>
    <row r="194" spans="9:9" ht="18" customHeight="1" x14ac:dyDescent="0.35">
      <c r="I194" s="13"/>
    </row>
    <row r="195" spans="9:9" ht="18" customHeight="1" x14ac:dyDescent="0.35">
      <c r="I195" s="13"/>
    </row>
    <row r="196" spans="9:9" ht="18" customHeight="1" x14ac:dyDescent="0.35">
      <c r="I196" s="13"/>
    </row>
    <row r="197" spans="9:9" ht="18" customHeight="1" x14ac:dyDescent="0.35">
      <c r="I197" s="13"/>
    </row>
    <row r="198" spans="9:9" ht="18" customHeight="1" x14ac:dyDescent="0.35">
      <c r="I198" s="13"/>
    </row>
    <row r="199" spans="9:9" ht="18" customHeight="1" x14ac:dyDescent="0.35">
      <c r="I199" s="13"/>
    </row>
    <row r="200" spans="9:9" ht="18" customHeight="1" x14ac:dyDescent="0.35">
      <c r="I200" s="13"/>
    </row>
    <row r="201" spans="9:9" ht="18" customHeight="1" x14ac:dyDescent="0.35">
      <c r="I201" s="13"/>
    </row>
    <row r="202" spans="9:9" ht="18" customHeight="1" x14ac:dyDescent="0.35">
      <c r="I202" s="13"/>
    </row>
    <row r="203" spans="9:9" ht="18" customHeight="1" x14ac:dyDescent="0.35">
      <c r="I203" s="13"/>
    </row>
    <row r="204" spans="9:9" ht="18" customHeight="1" x14ac:dyDescent="0.35">
      <c r="I204" s="13"/>
    </row>
    <row r="205" spans="9:9" ht="18" customHeight="1" x14ac:dyDescent="0.35">
      <c r="I205" s="13"/>
    </row>
    <row r="206" spans="9:9" ht="18" customHeight="1" x14ac:dyDescent="0.35">
      <c r="I206" s="13"/>
    </row>
    <row r="207" spans="9:9" ht="18" customHeight="1" x14ac:dyDescent="0.35">
      <c r="I207" s="13"/>
    </row>
    <row r="208" spans="9:9" ht="18" customHeight="1" x14ac:dyDescent="0.35">
      <c r="I208" s="13"/>
    </row>
    <row r="209" spans="9:9" ht="18" customHeight="1" x14ac:dyDescent="0.35">
      <c r="I209" s="13"/>
    </row>
    <row r="210" spans="9:9" ht="18" customHeight="1" x14ac:dyDescent="0.35">
      <c r="I210" s="13"/>
    </row>
    <row r="211" spans="9:9" ht="18" customHeight="1" x14ac:dyDescent="0.35">
      <c r="I211" s="13"/>
    </row>
    <row r="212" spans="9:9" ht="18" customHeight="1" x14ac:dyDescent="0.35">
      <c r="I212" s="13"/>
    </row>
    <row r="213" spans="9:9" ht="18" customHeight="1" x14ac:dyDescent="0.35">
      <c r="I213" s="13"/>
    </row>
    <row r="214" spans="9:9" ht="18" customHeight="1" x14ac:dyDescent="0.35">
      <c r="I214" s="13"/>
    </row>
    <row r="215" spans="9:9" ht="18" customHeight="1" x14ac:dyDescent="0.35">
      <c r="I215" s="13"/>
    </row>
    <row r="216" spans="9:9" ht="18" customHeight="1" x14ac:dyDescent="0.35">
      <c r="I216" s="13"/>
    </row>
    <row r="217" spans="9:9" ht="18" customHeight="1" x14ac:dyDescent="0.35">
      <c r="I217" s="13"/>
    </row>
    <row r="218" spans="9:9" ht="18" customHeight="1" x14ac:dyDescent="0.35">
      <c r="I218" s="13"/>
    </row>
    <row r="219" spans="9:9" ht="18" customHeight="1" x14ac:dyDescent="0.35">
      <c r="I219" s="13"/>
    </row>
    <row r="220" spans="9:9" ht="18" customHeight="1" x14ac:dyDescent="0.35">
      <c r="I220" s="13"/>
    </row>
    <row r="221" spans="9:9" ht="18" customHeight="1" x14ac:dyDescent="0.35">
      <c r="I221" s="13"/>
    </row>
    <row r="222" spans="9:9" ht="18" customHeight="1" x14ac:dyDescent="0.35">
      <c r="I222" s="13"/>
    </row>
    <row r="223" spans="9:9" ht="18" customHeight="1" x14ac:dyDescent="0.35">
      <c r="I223" s="13"/>
    </row>
    <row r="224" spans="9:9" ht="18" customHeight="1" x14ac:dyDescent="0.35">
      <c r="I224" s="13"/>
    </row>
    <row r="225" spans="9:9" ht="18" customHeight="1" x14ac:dyDescent="0.35">
      <c r="I225" s="13"/>
    </row>
    <row r="226" spans="9:9" ht="18" customHeight="1" x14ac:dyDescent="0.35">
      <c r="I226" s="13"/>
    </row>
    <row r="227" spans="9:9" ht="18" customHeight="1" x14ac:dyDescent="0.35">
      <c r="I227" s="13"/>
    </row>
    <row r="228" spans="9:9" ht="18" customHeight="1" x14ac:dyDescent="0.35">
      <c r="I228" s="13"/>
    </row>
    <row r="229" spans="9:9" ht="18" customHeight="1" x14ac:dyDescent="0.35">
      <c r="I229" s="13"/>
    </row>
    <row r="230" spans="9:9" ht="18" customHeight="1" x14ac:dyDescent="0.35">
      <c r="I230" s="13"/>
    </row>
    <row r="231" spans="9:9" ht="18" customHeight="1" x14ac:dyDescent="0.35">
      <c r="I231" s="13"/>
    </row>
    <row r="232" spans="9:9" ht="18" customHeight="1" x14ac:dyDescent="0.35">
      <c r="I232" s="13"/>
    </row>
    <row r="233" spans="9:9" ht="18" customHeight="1" x14ac:dyDescent="0.35">
      <c r="I233" s="13"/>
    </row>
    <row r="234" spans="9:9" ht="18" customHeight="1" x14ac:dyDescent="0.35">
      <c r="I234" s="13"/>
    </row>
    <row r="235" spans="9:9" ht="18" customHeight="1" x14ac:dyDescent="0.35">
      <c r="I235" s="13"/>
    </row>
    <row r="236" spans="9:9" ht="18" customHeight="1" x14ac:dyDescent="0.35">
      <c r="I236" s="13"/>
    </row>
    <row r="237" spans="9:9" ht="18" customHeight="1" x14ac:dyDescent="0.35">
      <c r="I237" s="13"/>
    </row>
    <row r="238" spans="9:9" ht="18" customHeight="1" x14ac:dyDescent="0.35">
      <c r="I238" s="13"/>
    </row>
    <row r="239" spans="9:9" ht="18" customHeight="1" x14ac:dyDescent="0.35">
      <c r="I239" s="13"/>
    </row>
    <row r="240" spans="9:9" ht="18" customHeight="1" x14ac:dyDescent="0.35">
      <c r="I240" s="13"/>
    </row>
    <row r="241" spans="9:9" ht="18" customHeight="1" x14ac:dyDescent="0.35">
      <c r="I241" s="13"/>
    </row>
    <row r="242" spans="9:9" ht="18" customHeight="1" x14ac:dyDescent="0.35">
      <c r="I242" s="13"/>
    </row>
    <row r="243" spans="9:9" ht="18" customHeight="1" x14ac:dyDescent="0.35">
      <c r="I243" s="13"/>
    </row>
    <row r="244" spans="9:9" ht="18" customHeight="1" x14ac:dyDescent="0.35">
      <c r="I244" s="13"/>
    </row>
    <row r="245" spans="9:9" ht="18" customHeight="1" x14ac:dyDescent="0.35">
      <c r="I245" s="13"/>
    </row>
    <row r="246" spans="9:9" ht="18" customHeight="1" x14ac:dyDescent="0.35">
      <c r="I246" s="13"/>
    </row>
    <row r="247" spans="9:9" ht="18" customHeight="1" x14ac:dyDescent="0.35">
      <c r="I247" s="13"/>
    </row>
    <row r="248" spans="9:9" ht="18" customHeight="1" x14ac:dyDescent="0.35">
      <c r="I248" s="13"/>
    </row>
    <row r="249" spans="9:9" ht="18" customHeight="1" x14ac:dyDescent="0.35">
      <c r="I249" s="13"/>
    </row>
    <row r="250" spans="9:9" ht="18" customHeight="1" x14ac:dyDescent="0.35">
      <c r="I250" s="13"/>
    </row>
    <row r="251" spans="9:9" ht="18" customHeight="1" x14ac:dyDescent="0.35">
      <c r="I251" s="13"/>
    </row>
    <row r="252" spans="9:9" ht="18" customHeight="1" x14ac:dyDescent="0.35">
      <c r="I252" s="13"/>
    </row>
    <row r="253" spans="9:9" ht="18" customHeight="1" x14ac:dyDescent="0.35">
      <c r="I253" s="13"/>
    </row>
    <row r="254" spans="9:9" ht="18" customHeight="1" x14ac:dyDescent="0.35">
      <c r="I254" s="13"/>
    </row>
    <row r="255" spans="9:9" ht="18" customHeight="1" x14ac:dyDescent="0.35">
      <c r="I255" s="13"/>
    </row>
    <row r="256" spans="9:9" ht="18" customHeight="1" x14ac:dyDescent="0.35">
      <c r="I256" s="13"/>
    </row>
    <row r="257" spans="9:9" ht="18" customHeight="1" x14ac:dyDescent="0.35">
      <c r="I257" s="13"/>
    </row>
    <row r="258" spans="9:9" ht="18" customHeight="1" x14ac:dyDescent="0.35">
      <c r="I258" s="13"/>
    </row>
    <row r="259" spans="9:9" ht="18" customHeight="1" x14ac:dyDescent="0.35">
      <c r="I259" s="13"/>
    </row>
    <row r="260" spans="9:9" ht="18" customHeight="1" x14ac:dyDescent="0.35">
      <c r="I260" s="13"/>
    </row>
    <row r="261" spans="9:9" ht="18" customHeight="1" x14ac:dyDescent="0.35">
      <c r="I261" s="13"/>
    </row>
    <row r="262" spans="9:9" ht="18" customHeight="1" x14ac:dyDescent="0.35">
      <c r="I262" s="13"/>
    </row>
    <row r="263" spans="9:9" ht="18" customHeight="1" x14ac:dyDescent="0.35">
      <c r="I263" s="13"/>
    </row>
    <row r="264" spans="9:9" ht="18" customHeight="1" x14ac:dyDescent="0.35">
      <c r="I264" s="13"/>
    </row>
    <row r="265" spans="9:9" ht="18" customHeight="1" x14ac:dyDescent="0.35">
      <c r="I265" s="13"/>
    </row>
    <row r="266" spans="9:9" ht="18" customHeight="1" x14ac:dyDescent="0.35">
      <c r="I266" s="13"/>
    </row>
    <row r="267" spans="9:9" ht="18" customHeight="1" x14ac:dyDescent="0.35">
      <c r="I267" s="13"/>
    </row>
    <row r="268" spans="9:9" ht="18" customHeight="1" x14ac:dyDescent="0.35">
      <c r="I268" s="13"/>
    </row>
    <row r="269" spans="9:9" ht="18" customHeight="1" x14ac:dyDescent="0.35">
      <c r="I269" s="13"/>
    </row>
    <row r="270" spans="9:9" ht="18" customHeight="1" x14ac:dyDescent="0.35">
      <c r="I270" s="13"/>
    </row>
    <row r="271" spans="9:9" ht="18" customHeight="1" x14ac:dyDescent="0.35">
      <c r="I271" s="13"/>
    </row>
    <row r="272" spans="9:9" ht="18" customHeight="1" x14ac:dyDescent="0.35">
      <c r="I272" s="13"/>
    </row>
    <row r="273" spans="9:9" ht="18" customHeight="1" x14ac:dyDescent="0.35">
      <c r="I273" s="13"/>
    </row>
    <row r="274" spans="9:9" ht="18" customHeight="1" x14ac:dyDescent="0.35">
      <c r="I274" s="13"/>
    </row>
    <row r="275" spans="9:9" ht="18" customHeight="1" x14ac:dyDescent="0.35">
      <c r="I275" s="13"/>
    </row>
    <row r="276" spans="9:9" ht="18" customHeight="1" x14ac:dyDescent="0.35">
      <c r="I276" s="13"/>
    </row>
    <row r="277" spans="9:9" ht="18" customHeight="1" x14ac:dyDescent="0.35">
      <c r="I277" s="13"/>
    </row>
    <row r="278" spans="9:9" ht="18" customHeight="1" x14ac:dyDescent="0.35">
      <c r="I278" s="13"/>
    </row>
    <row r="279" spans="9:9" ht="18" customHeight="1" x14ac:dyDescent="0.35">
      <c r="I279" s="13"/>
    </row>
    <row r="280" spans="9:9" ht="18" customHeight="1" x14ac:dyDescent="0.35">
      <c r="I280" s="13"/>
    </row>
    <row r="281" spans="9:9" ht="18" customHeight="1" x14ac:dyDescent="0.35">
      <c r="I281" s="13"/>
    </row>
    <row r="282" spans="9:9" ht="18" customHeight="1" x14ac:dyDescent="0.35">
      <c r="I282" s="13"/>
    </row>
    <row r="283" spans="9:9" ht="18" customHeight="1" x14ac:dyDescent="0.35">
      <c r="I283" s="13"/>
    </row>
    <row r="284" spans="9:9" ht="18" customHeight="1" x14ac:dyDescent="0.35">
      <c r="I284" s="13"/>
    </row>
    <row r="285" spans="9:9" ht="18" customHeight="1" x14ac:dyDescent="0.35">
      <c r="I285" s="13"/>
    </row>
    <row r="286" spans="9:9" ht="18" customHeight="1" x14ac:dyDescent="0.35">
      <c r="I286" s="13"/>
    </row>
    <row r="287" spans="9:9" ht="18" customHeight="1" x14ac:dyDescent="0.35">
      <c r="I287" s="13"/>
    </row>
    <row r="288" spans="9:9" ht="18" customHeight="1" x14ac:dyDescent="0.35">
      <c r="I288" s="13"/>
    </row>
    <row r="289" spans="9:9" ht="18" customHeight="1" x14ac:dyDescent="0.35">
      <c r="I289" s="13"/>
    </row>
    <row r="290" spans="9:9" ht="18" customHeight="1" x14ac:dyDescent="0.35">
      <c r="I290" s="13"/>
    </row>
    <row r="291" spans="9:9" ht="18" customHeight="1" x14ac:dyDescent="0.35">
      <c r="I291" s="13"/>
    </row>
    <row r="292" spans="9:9" ht="18" customHeight="1" x14ac:dyDescent="0.35">
      <c r="I292" s="13"/>
    </row>
    <row r="293" spans="9:9" ht="18" customHeight="1" x14ac:dyDescent="0.35">
      <c r="I293" s="13"/>
    </row>
    <row r="294" spans="9:9" ht="18" customHeight="1" x14ac:dyDescent="0.35">
      <c r="I294" s="13"/>
    </row>
    <row r="295" spans="9:9" ht="18" customHeight="1" x14ac:dyDescent="0.35">
      <c r="I295" s="13"/>
    </row>
    <row r="296" spans="9:9" ht="18" customHeight="1" x14ac:dyDescent="0.35">
      <c r="I296" s="13"/>
    </row>
    <row r="297" spans="9:9" ht="18" customHeight="1" x14ac:dyDescent="0.35">
      <c r="I297" s="13"/>
    </row>
    <row r="298" spans="9:9" ht="18" customHeight="1" x14ac:dyDescent="0.35">
      <c r="I298" s="13"/>
    </row>
    <row r="299" spans="9:9" ht="18" customHeight="1" x14ac:dyDescent="0.35">
      <c r="I299" s="13"/>
    </row>
    <row r="300" spans="9:9" ht="18" customHeight="1" x14ac:dyDescent="0.35">
      <c r="I300" s="13"/>
    </row>
    <row r="301" spans="9:9" ht="18" customHeight="1" x14ac:dyDescent="0.35">
      <c r="I301" s="13"/>
    </row>
    <row r="302" spans="9:9" ht="18" customHeight="1" x14ac:dyDescent="0.35">
      <c r="I302" s="13"/>
    </row>
    <row r="303" spans="9:9" ht="18" customHeight="1" x14ac:dyDescent="0.35">
      <c r="I303" s="13"/>
    </row>
    <row r="304" spans="9:9" ht="18" customHeight="1" x14ac:dyDescent="0.35">
      <c r="I304" s="13"/>
    </row>
    <row r="305" spans="9:9" ht="18" customHeight="1" x14ac:dyDescent="0.35">
      <c r="I305" s="13"/>
    </row>
    <row r="306" spans="9:9" ht="18" customHeight="1" x14ac:dyDescent="0.35">
      <c r="I306" s="13"/>
    </row>
    <row r="307" spans="9:9" ht="18" customHeight="1" x14ac:dyDescent="0.35">
      <c r="I307" s="13"/>
    </row>
    <row r="308" spans="9:9" ht="18" customHeight="1" x14ac:dyDescent="0.35">
      <c r="I308" s="13"/>
    </row>
    <row r="309" spans="9:9" ht="18" customHeight="1" x14ac:dyDescent="0.35">
      <c r="I309" s="13"/>
    </row>
    <row r="310" spans="9:9" ht="18" customHeight="1" x14ac:dyDescent="0.35">
      <c r="I310" s="13"/>
    </row>
    <row r="311" spans="9:9" ht="18" customHeight="1" x14ac:dyDescent="0.35">
      <c r="I311" s="13"/>
    </row>
    <row r="312" spans="9:9" ht="18" customHeight="1" x14ac:dyDescent="0.35">
      <c r="I312" s="13"/>
    </row>
    <row r="313" spans="9:9" ht="18" customHeight="1" x14ac:dyDescent="0.35">
      <c r="I313" s="13"/>
    </row>
    <row r="314" spans="9:9" ht="18" customHeight="1" x14ac:dyDescent="0.35">
      <c r="I314" s="13"/>
    </row>
    <row r="315" spans="9:9" ht="18" customHeight="1" x14ac:dyDescent="0.35">
      <c r="I315" s="13"/>
    </row>
    <row r="316" spans="9:9" ht="18" customHeight="1" x14ac:dyDescent="0.35">
      <c r="I316" s="13"/>
    </row>
    <row r="317" spans="9:9" ht="18" customHeight="1" x14ac:dyDescent="0.35">
      <c r="I317" s="13"/>
    </row>
    <row r="318" spans="9:9" ht="18" customHeight="1" x14ac:dyDescent="0.35">
      <c r="I318" s="13"/>
    </row>
    <row r="319" spans="9:9" ht="18" customHeight="1" x14ac:dyDescent="0.35">
      <c r="I319" s="13"/>
    </row>
    <row r="320" spans="9:9" ht="18" customHeight="1" x14ac:dyDescent="0.35">
      <c r="I320" s="13"/>
    </row>
    <row r="321" spans="9:9" ht="18" customHeight="1" x14ac:dyDescent="0.35">
      <c r="I321" s="13"/>
    </row>
    <row r="322" spans="9:9" ht="18" customHeight="1" x14ac:dyDescent="0.35">
      <c r="I322" s="13"/>
    </row>
    <row r="323" spans="9:9" ht="18" customHeight="1" x14ac:dyDescent="0.35">
      <c r="I323" s="13"/>
    </row>
    <row r="324" spans="9:9" ht="18" customHeight="1" x14ac:dyDescent="0.35">
      <c r="I324" s="13"/>
    </row>
    <row r="325" spans="9:9" ht="18" customHeight="1" x14ac:dyDescent="0.35">
      <c r="I325" s="13"/>
    </row>
    <row r="326" spans="9:9" ht="18" customHeight="1" x14ac:dyDescent="0.35">
      <c r="I326" s="13"/>
    </row>
    <row r="327" spans="9:9" ht="18" customHeight="1" x14ac:dyDescent="0.35">
      <c r="I327" s="13"/>
    </row>
    <row r="328" spans="9:9" ht="18" customHeight="1" x14ac:dyDescent="0.35">
      <c r="I328" s="13"/>
    </row>
    <row r="329" spans="9:9" ht="18" customHeight="1" x14ac:dyDescent="0.35">
      <c r="I329" s="13"/>
    </row>
    <row r="330" spans="9:9" ht="18" customHeight="1" x14ac:dyDescent="0.35">
      <c r="I330" s="13"/>
    </row>
    <row r="331" spans="9:9" ht="18" customHeight="1" x14ac:dyDescent="0.35">
      <c r="I331" s="13"/>
    </row>
    <row r="332" spans="9:9" ht="18" customHeight="1" x14ac:dyDescent="0.35">
      <c r="I332" s="13"/>
    </row>
    <row r="333" spans="9:9" ht="18" customHeight="1" x14ac:dyDescent="0.35">
      <c r="I333" s="13"/>
    </row>
    <row r="334" spans="9:9" ht="18" customHeight="1" x14ac:dyDescent="0.35">
      <c r="I334" s="13"/>
    </row>
    <row r="335" spans="9:9" ht="18" customHeight="1" x14ac:dyDescent="0.35">
      <c r="I335" s="13"/>
    </row>
    <row r="336" spans="9:9" ht="18" customHeight="1" x14ac:dyDescent="0.35">
      <c r="I336" s="13"/>
    </row>
    <row r="337" spans="9:9" ht="18" customHeight="1" x14ac:dyDescent="0.35">
      <c r="I337" s="13"/>
    </row>
    <row r="338" spans="9:9" ht="18" customHeight="1" x14ac:dyDescent="0.35">
      <c r="I338" s="13"/>
    </row>
    <row r="339" spans="9:9" ht="18" customHeight="1" x14ac:dyDescent="0.35">
      <c r="I339" s="13"/>
    </row>
    <row r="340" spans="9:9" ht="18" customHeight="1" x14ac:dyDescent="0.35">
      <c r="I340" s="13"/>
    </row>
    <row r="341" spans="9:9" ht="18" customHeight="1" x14ac:dyDescent="0.35">
      <c r="I341" s="13"/>
    </row>
    <row r="342" spans="9:9" ht="18" customHeight="1" x14ac:dyDescent="0.35">
      <c r="I342" s="13"/>
    </row>
    <row r="343" spans="9:9" ht="18" customHeight="1" x14ac:dyDescent="0.35">
      <c r="I343" s="13"/>
    </row>
    <row r="344" spans="9:9" ht="18" customHeight="1" x14ac:dyDescent="0.35">
      <c r="I344" s="13"/>
    </row>
    <row r="345" spans="9:9" ht="18" customHeight="1" x14ac:dyDescent="0.35">
      <c r="I345" s="13"/>
    </row>
    <row r="346" spans="9:9" ht="18" customHeight="1" x14ac:dyDescent="0.35">
      <c r="I346" s="13"/>
    </row>
    <row r="347" spans="9:9" ht="18" customHeight="1" x14ac:dyDescent="0.35">
      <c r="I347" s="13"/>
    </row>
    <row r="348" spans="9:9" ht="18" customHeight="1" x14ac:dyDescent="0.35">
      <c r="I348" s="13"/>
    </row>
    <row r="349" spans="9:9" ht="18" customHeight="1" x14ac:dyDescent="0.35">
      <c r="I349" s="13"/>
    </row>
    <row r="350" spans="9:9" ht="18" customHeight="1" x14ac:dyDescent="0.35">
      <c r="I350" s="13"/>
    </row>
    <row r="351" spans="9:9" ht="18" customHeight="1" x14ac:dyDescent="0.35">
      <c r="I351" s="13"/>
    </row>
    <row r="352" spans="9:9" ht="18" customHeight="1" x14ac:dyDescent="0.35">
      <c r="I352" s="13"/>
    </row>
    <row r="353" spans="9:9" ht="18" customHeight="1" x14ac:dyDescent="0.35">
      <c r="I353" s="13"/>
    </row>
    <row r="354" spans="9:9" ht="18" customHeight="1" x14ac:dyDescent="0.35">
      <c r="I354" s="13"/>
    </row>
    <row r="355" spans="9:9" ht="18" customHeight="1" x14ac:dyDescent="0.35">
      <c r="I355" s="13"/>
    </row>
    <row r="356" spans="9:9" ht="18" customHeight="1" x14ac:dyDescent="0.35">
      <c r="I356" s="13"/>
    </row>
    <row r="357" spans="9:9" ht="18" customHeight="1" x14ac:dyDescent="0.35">
      <c r="I357" s="13"/>
    </row>
    <row r="358" spans="9:9" ht="18" customHeight="1" x14ac:dyDescent="0.35">
      <c r="I358" s="13"/>
    </row>
    <row r="359" spans="9:9" ht="18" customHeight="1" x14ac:dyDescent="0.35">
      <c r="I359" s="13"/>
    </row>
    <row r="360" spans="9:9" ht="18" customHeight="1" x14ac:dyDescent="0.35">
      <c r="I360" s="13"/>
    </row>
    <row r="361" spans="9:9" ht="18" customHeight="1" x14ac:dyDescent="0.35">
      <c r="I361" s="13"/>
    </row>
    <row r="362" spans="9:9" ht="18" customHeight="1" x14ac:dyDescent="0.35">
      <c r="I362" s="13"/>
    </row>
    <row r="363" spans="9:9" ht="18" customHeight="1" x14ac:dyDescent="0.35">
      <c r="I363" s="13"/>
    </row>
    <row r="364" spans="9:9" ht="18" customHeight="1" x14ac:dyDescent="0.35">
      <c r="I364" s="13"/>
    </row>
    <row r="365" spans="9:9" ht="18" customHeight="1" x14ac:dyDescent="0.35">
      <c r="I365" s="13"/>
    </row>
    <row r="366" spans="9:9" ht="18" customHeight="1" x14ac:dyDescent="0.35">
      <c r="I366" s="13"/>
    </row>
    <row r="367" spans="9:9" ht="18" customHeight="1" x14ac:dyDescent="0.35">
      <c r="I367" s="13"/>
    </row>
    <row r="368" spans="9:9" ht="18" customHeight="1" x14ac:dyDescent="0.35">
      <c r="I368" s="13"/>
    </row>
    <row r="369" spans="9:9" ht="18" customHeight="1" x14ac:dyDescent="0.35">
      <c r="I369" s="13"/>
    </row>
    <row r="370" spans="9:9" ht="18" customHeight="1" x14ac:dyDescent="0.35">
      <c r="I370" s="13"/>
    </row>
    <row r="371" spans="9:9" ht="18" customHeight="1" x14ac:dyDescent="0.35">
      <c r="I371" s="13"/>
    </row>
    <row r="372" spans="9:9" ht="18" customHeight="1" x14ac:dyDescent="0.35">
      <c r="I372" s="13"/>
    </row>
    <row r="373" spans="9:9" ht="18" customHeight="1" x14ac:dyDescent="0.35">
      <c r="I373" s="13"/>
    </row>
    <row r="374" spans="9:9" ht="18" customHeight="1" x14ac:dyDescent="0.35">
      <c r="I374" s="13"/>
    </row>
    <row r="375" spans="9:9" ht="18" customHeight="1" x14ac:dyDescent="0.35">
      <c r="I375" s="13"/>
    </row>
    <row r="376" spans="9:9" ht="18" customHeight="1" x14ac:dyDescent="0.35">
      <c r="I376" s="13"/>
    </row>
    <row r="377" spans="9:9" ht="18" customHeight="1" x14ac:dyDescent="0.35">
      <c r="I377" s="13"/>
    </row>
    <row r="378" spans="9:9" ht="18" customHeight="1" x14ac:dyDescent="0.35">
      <c r="I378" s="13"/>
    </row>
    <row r="379" spans="9:9" ht="18" customHeight="1" x14ac:dyDescent="0.35">
      <c r="I379" s="13"/>
    </row>
    <row r="380" spans="9:9" ht="18" customHeight="1" x14ac:dyDescent="0.35">
      <c r="I380" s="13"/>
    </row>
    <row r="381" spans="9:9" ht="18" customHeight="1" x14ac:dyDescent="0.35">
      <c r="I381" s="13"/>
    </row>
    <row r="382" spans="9:9" ht="18" customHeight="1" x14ac:dyDescent="0.35">
      <c r="I382" s="13"/>
    </row>
    <row r="383" spans="9:9" ht="18" customHeight="1" x14ac:dyDescent="0.35">
      <c r="I383" s="13"/>
    </row>
    <row r="384" spans="9:9" ht="18" customHeight="1" x14ac:dyDescent="0.35">
      <c r="I384" s="13"/>
    </row>
    <row r="385" spans="9:9" ht="18" customHeight="1" x14ac:dyDescent="0.35">
      <c r="I385" s="13"/>
    </row>
    <row r="386" spans="9:9" ht="18" customHeight="1" x14ac:dyDescent="0.35">
      <c r="I386" s="13"/>
    </row>
    <row r="387" spans="9:9" ht="18" customHeight="1" x14ac:dyDescent="0.35">
      <c r="I387" s="13"/>
    </row>
    <row r="388" spans="9:9" ht="18" customHeight="1" x14ac:dyDescent="0.35">
      <c r="I388" s="13"/>
    </row>
    <row r="389" spans="9:9" ht="18" customHeight="1" x14ac:dyDescent="0.35">
      <c r="I389" s="13"/>
    </row>
    <row r="390" spans="9:9" ht="18" customHeight="1" x14ac:dyDescent="0.35">
      <c r="I390" s="13"/>
    </row>
    <row r="391" spans="9:9" ht="18" customHeight="1" x14ac:dyDescent="0.35">
      <c r="I391" s="13"/>
    </row>
    <row r="392" spans="9:9" ht="18" customHeight="1" x14ac:dyDescent="0.35">
      <c r="I392" s="13"/>
    </row>
    <row r="393" spans="9:9" ht="18" customHeight="1" x14ac:dyDescent="0.35">
      <c r="I393" s="13"/>
    </row>
    <row r="394" spans="9:9" ht="18" customHeight="1" x14ac:dyDescent="0.35">
      <c r="I394" s="13"/>
    </row>
    <row r="395" spans="9:9" ht="18" customHeight="1" x14ac:dyDescent="0.35">
      <c r="I395" s="13"/>
    </row>
    <row r="396" spans="9:9" ht="18" customHeight="1" x14ac:dyDescent="0.35">
      <c r="I396" s="13"/>
    </row>
    <row r="397" spans="9:9" ht="18" customHeight="1" x14ac:dyDescent="0.35">
      <c r="I397" s="13"/>
    </row>
    <row r="398" spans="9:9" ht="18" customHeight="1" x14ac:dyDescent="0.35">
      <c r="I398" s="13"/>
    </row>
    <row r="399" spans="9:9" ht="18" customHeight="1" x14ac:dyDescent="0.35">
      <c r="I399" s="13"/>
    </row>
    <row r="400" spans="9:9" ht="18" customHeight="1" x14ac:dyDescent="0.35">
      <c r="I400" s="13"/>
    </row>
    <row r="401" spans="9:9" ht="18" customHeight="1" x14ac:dyDescent="0.35">
      <c r="I401" s="13"/>
    </row>
    <row r="402" spans="9:9" ht="18" customHeight="1" x14ac:dyDescent="0.35">
      <c r="I402" s="13"/>
    </row>
    <row r="403" spans="9:9" ht="18" customHeight="1" x14ac:dyDescent="0.35">
      <c r="I403" s="13"/>
    </row>
    <row r="404" spans="9:9" ht="18" customHeight="1" x14ac:dyDescent="0.35">
      <c r="I404" s="13"/>
    </row>
    <row r="405" spans="9:9" ht="18" customHeight="1" x14ac:dyDescent="0.35">
      <c r="I405" s="13"/>
    </row>
    <row r="406" spans="9:9" ht="18" customHeight="1" x14ac:dyDescent="0.35">
      <c r="I406" s="13"/>
    </row>
    <row r="407" spans="9:9" ht="18" customHeight="1" x14ac:dyDescent="0.35">
      <c r="I407" s="13"/>
    </row>
    <row r="408" spans="9:9" ht="18" customHeight="1" x14ac:dyDescent="0.35">
      <c r="I408" s="13"/>
    </row>
    <row r="409" spans="9:9" ht="18" customHeight="1" x14ac:dyDescent="0.35">
      <c r="I409" s="13"/>
    </row>
    <row r="410" spans="9:9" ht="18" customHeight="1" x14ac:dyDescent="0.35">
      <c r="I410" s="13"/>
    </row>
    <row r="411" spans="9:9" ht="18" customHeight="1" x14ac:dyDescent="0.35">
      <c r="I411" s="13"/>
    </row>
    <row r="412" spans="9:9" ht="18" customHeight="1" x14ac:dyDescent="0.35">
      <c r="I412" s="13"/>
    </row>
    <row r="413" spans="9:9" ht="18" customHeight="1" x14ac:dyDescent="0.35">
      <c r="I413" s="13"/>
    </row>
    <row r="414" spans="9:9" ht="18" customHeight="1" x14ac:dyDescent="0.35">
      <c r="I414" s="13"/>
    </row>
    <row r="415" spans="9:9" ht="18" customHeight="1" x14ac:dyDescent="0.35">
      <c r="I415" s="13"/>
    </row>
    <row r="416" spans="9:9" ht="18" customHeight="1" x14ac:dyDescent="0.35">
      <c r="I416" s="13"/>
    </row>
    <row r="417" spans="9:9" ht="18" customHeight="1" x14ac:dyDescent="0.35">
      <c r="I417" s="13"/>
    </row>
    <row r="418" spans="9:9" ht="18" customHeight="1" x14ac:dyDescent="0.35">
      <c r="I418" s="13"/>
    </row>
    <row r="419" spans="9:9" ht="18" customHeight="1" x14ac:dyDescent="0.35">
      <c r="I419" s="13"/>
    </row>
    <row r="420" spans="9:9" ht="18" customHeight="1" x14ac:dyDescent="0.35">
      <c r="I420" s="13"/>
    </row>
    <row r="421" spans="9:9" ht="18" customHeight="1" x14ac:dyDescent="0.35">
      <c r="I421" s="13"/>
    </row>
    <row r="422" spans="9:9" ht="18" customHeight="1" x14ac:dyDescent="0.35">
      <c r="I422" s="13"/>
    </row>
    <row r="423" spans="9:9" ht="18" customHeight="1" x14ac:dyDescent="0.35">
      <c r="I423" s="13"/>
    </row>
    <row r="424" spans="9:9" ht="18" customHeight="1" x14ac:dyDescent="0.35">
      <c r="I424" s="13"/>
    </row>
    <row r="425" spans="9:9" ht="18" customHeight="1" x14ac:dyDescent="0.35">
      <c r="I425" s="13"/>
    </row>
    <row r="426" spans="9:9" ht="18" customHeight="1" x14ac:dyDescent="0.35">
      <c r="I426" s="13"/>
    </row>
    <row r="427" spans="9:9" ht="18" customHeight="1" x14ac:dyDescent="0.35">
      <c r="I427" s="13"/>
    </row>
    <row r="428" spans="9:9" ht="18" customHeight="1" x14ac:dyDescent="0.35">
      <c r="I428" s="13"/>
    </row>
    <row r="429" spans="9:9" ht="18" customHeight="1" x14ac:dyDescent="0.35">
      <c r="I429" s="13"/>
    </row>
    <row r="430" spans="9:9" ht="18" customHeight="1" x14ac:dyDescent="0.35">
      <c r="I430" s="13"/>
    </row>
    <row r="431" spans="9:9" ht="18" customHeight="1" x14ac:dyDescent="0.35">
      <c r="I431" s="13"/>
    </row>
    <row r="432" spans="9:9" ht="18" customHeight="1" x14ac:dyDescent="0.35">
      <c r="I432" s="13"/>
    </row>
    <row r="433" spans="9:9" ht="18" customHeight="1" x14ac:dyDescent="0.35">
      <c r="I433" s="13"/>
    </row>
    <row r="434" spans="9:9" ht="18" customHeight="1" x14ac:dyDescent="0.35">
      <c r="I434" s="13"/>
    </row>
    <row r="435" spans="9:9" ht="18" customHeight="1" x14ac:dyDescent="0.35">
      <c r="I435" s="13"/>
    </row>
    <row r="436" spans="9:9" ht="18" customHeight="1" x14ac:dyDescent="0.35">
      <c r="I436" s="13"/>
    </row>
    <row r="437" spans="9:9" ht="18" customHeight="1" x14ac:dyDescent="0.35">
      <c r="I437" s="13"/>
    </row>
    <row r="438" spans="9:9" ht="18" customHeight="1" x14ac:dyDescent="0.35">
      <c r="I438" s="13"/>
    </row>
    <row r="439" spans="9:9" ht="18" customHeight="1" x14ac:dyDescent="0.35">
      <c r="I439" s="13"/>
    </row>
    <row r="440" spans="9:9" ht="18" customHeight="1" x14ac:dyDescent="0.35">
      <c r="I440" s="13"/>
    </row>
    <row r="441" spans="9:9" ht="18" customHeight="1" x14ac:dyDescent="0.35">
      <c r="I441" s="13"/>
    </row>
    <row r="442" spans="9:9" ht="18" customHeight="1" x14ac:dyDescent="0.35">
      <c r="I442" s="13"/>
    </row>
    <row r="443" spans="9:9" ht="18" customHeight="1" x14ac:dyDescent="0.35">
      <c r="I443" s="13"/>
    </row>
    <row r="444" spans="9:9" ht="18" customHeight="1" x14ac:dyDescent="0.35">
      <c r="I444" s="13"/>
    </row>
    <row r="445" spans="9:9" ht="18" customHeight="1" x14ac:dyDescent="0.35">
      <c r="I445" s="13"/>
    </row>
    <row r="446" spans="9:9" ht="18" customHeight="1" x14ac:dyDescent="0.35">
      <c r="I446" s="13"/>
    </row>
    <row r="447" spans="9:9" ht="18" customHeight="1" x14ac:dyDescent="0.35">
      <c r="I447" s="13"/>
    </row>
    <row r="448" spans="9:9" ht="18" customHeight="1" x14ac:dyDescent="0.35">
      <c r="I448" s="13"/>
    </row>
    <row r="449" spans="9:9" ht="18" customHeight="1" x14ac:dyDescent="0.35">
      <c r="I449" s="13"/>
    </row>
    <row r="450" spans="9:9" ht="18" customHeight="1" x14ac:dyDescent="0.35">
      <c r="I450" s="13"/>
    </row>
    <row r="451" spans="9:9" ht="18" customHeight="1" x14ac:dyDescent="0.35">
      <c r="I451" s="13"/>
    </row>
    <row r="452" spans="9:9" ht="18" customHeight="1" x14ac:dyDescent="0.35">
      <c r="I452" s="13"/>
    </row>
    <row r="453" spans="9:9" ht="18" customHeight="1" x14ac:dyDescent="0.35">
      <c r="I453" s="13"/>
    </row>
    <row r="454" spans="9:9" ht="18" customHeight="1" x14ac:dyDescent="0.35">
      <c r="I454" s="13"/>
    </row>
    <row r="455" spans="9:9" ht="18" customHeight="1" x14ac:dyDescent="0.35">
      <c r="I455" s="13"/>
    </row>
    <row r="456" spans="9:9" ht="18" customHeight="1" x14ac:dyDescent="0.35">
      <c r="I456" s="13"/>
    </row>
    <row r="457" spans="9:9" ht="18" customHeight="1" x14ac:dyDescent="0.35">
      <c r="I457" s="13"/>
    </row>
    <row r="458" spans="9:9" ht="18" customHeight="1" x14ac:dyDescent="0.35">
      <c r="I458" s="13"/>
    </row>
    <row r="459" spans="9:9" ht="18" customHeight="1" x14ac:dyDescent="0.35">
      <c r="I459" s="13"/>
    </row>
    <row r="460" spans="9:9" ht="18" customHeight="1" x14ac:dyDescent="0.35">
      <c r="I460" s="13"/>
    </row>
    <row r="461" spans="9:9" ht="18" customHeight="1" x14ac:dyDescent="0.35">
      <c r="I461" s="13"/>
    </row>
    <row r="462" spans="9:9" ht="18" customHeight="1" x14ac:dyDescent="0.35">
      <c r="I462" s="13"/>
    </row>
    <row r="463" spans="9:9" ht="18" customHeight="1" x14ac:dyDescent="0.35">
      <c r="I463" s="13"/>
    </row>
    <row r="464" spans="9:9" ht="18" customHeight="1" x14ac:dyDescent="0.35">
      <c r="I464" s="13"/>
    </row>
    <row r="465" spans="9:9" ht="18" customHeight="1" x14ac:dyDescent="0.35">
      <c r="I465" s="13"/>
    </row>
    <row r="466" spans="9:9" ht="18" customHeight="1" x14ac:dyDescent="0.35">
      <c r="I466" s="13"/>
    </row>
    <row r="467" spans="9:9" ht="18" customHeight="1" x14ac:dyDescent="0.35">
      <c r="I467" s="13"/>
    </row>
    <row r="468" spans="9:9" ht="18" customHeight="1" x14ac:dyDescent="0.35">
      <c r="I468" s="13"/>
    </row>
    <row r="469" spans="9:9" ht="18" customHeight="1" x14ac:dyDescent="0.35">
      <c r="I469" s="13"/>
    </row>
    <row r="470" spans="9:9" ht="18" customHeight="1" x14ac:dyDescent="0.35">
      <c r="I470" s="13"/>
    </row>
    <row r="471" spans="9:9" ht="18" customHeight="1" x14ac:dyDescent="0.35">
      <c r="I471" s="13"/>
    </row>
    <row r="472" spans="9:9" ht="18" customHeight="1" x14ac:dyDescent="0.35">
      <c r="I472" s="13"/>
    </row>
    <row r="473" spans="9:9" ht="18" customHeight="1" x14ac:dyDescent="0.35">
      <c r="I473" s="13"/>
    </row>
    <row r="474" spans="9:9" ht="18" customHeight="1" x14ac:dyDescent="0.35">
      <c r="I474" s="13"/>
    </row>
    <row r="475" spans="9:9" ht="18" customHeight="1" x14ac:dyDescent="0.35">
      <c r="I475" s="13"/>
    </row>
    <row r="476" spans="9:9" ht="18" customHeight="1" x14ac:dyDescent="0.35">
      <c r="I476" s="13"/>
    </row>
    <row r="477" spans="9:9" ht="18" customHeight="1" x14ac:dyDescent="0.35">
      <c r="I477" s="13"/>
    </row>
    <row r="478" spans="9:9" ht="18" customHeight="1" x14ac:dyDescent="0.35">
      <c r="I478" s="13"/>
    </row>
    <row r="479" spans="9:9" ht="18" customHeight="1" x14ac:dyDescent="0.35">
      <c r="I479" s="13"/>
    </row>
    <row r="480" spans="9:9" ht="18" customHeight="1" x14ac:dyDescent="0.35">
      <c r="I480" s="13"/>
    </row>
    <row r="481" spans="9:9" ht="18" customHeight="1" x14ac:dyDescent="0.35">
      <c r="I481" s="13"/>
    </row>
    <row r="482" spans="9:9" ht="18" customHeight="1" x14ac:dyDescent="0.35">
      <c r="I482" s="13"/>
    </row>
    <row r="483" spans="9:9" ht="18" customHeight="1" x14ac:dyDescent="0.35">
      <c r="I483" s="13"/>
    </row>
    <row r="484" spans="9:9" ht="18" customHeight="1" x14ac:dyDescent="0.35">
      <c r="I484" s="13"/>
    </row>
    <row r="485" spans="9:9" ht="18" customHeight="1" x14ac:dyDescent="0.35">
      <c r="I485" s="13"/>
    </row>
    <row r="486" spans="9:9" ht="18" customHeight="1" x14ac:dyDescent="0.35">
      <c r="I486" s="13"/>
    </row>
    <row r="487" spans="9:9" ht="18" customHeight="1" x14ac:dyDescent="0.35">
      <c r="I487" s="13"/>
    </row>
    <row r="488" spans="9:9" ht="18" customHeight="1" x14ac:dyDescent="0.35">
      <c r="I488" s="13"/>
    </row>
    <row r="489" spans="9:9" ht="18" customHeight="1" x14ac:dyDescent="0.35">
      <c r="I489" s="13"/>
    </row>
    <row r="490" spans="9:9" ht="18" customHeight="1" x14ac:dyDescent="0.35">
      <c r="I490" s="13"/>
    </row>
    <row r="491" spans="9:9" ht="18" customHeight="1" x14ac:dyDescent="0.35">
      <c r="I491" s="13"/>
    </row>
    <row r="492" spans="9:9" ht="18" customHeight="1" x14ac:dyDescent="0.35">
      <c r="I492" s="13"/>
    </row>
    <row r="493" spans="9:9" ht="18" customHeight="1" x14ac:dyDescent="0.35">
      <c r="I493" s="13"/>
    </row>
    <row r="494" spans="9:9" ht="18" customHeight="1" x14ac:dyDescent="0.35">
      <c r="I494" s="13"/>
    </row>
    <row r="495" spans="9:9" ht="18" customHeight="1" x14ac:dyDescent="0.35">
      <c r="I495" s="13"/>
    </row>
    <row r="496" spans="9:9" ht="18" customHeight="1" x14ac:dyDescent="0.35">
      <c r="I496" s="13"/>
    </row>
    <row r="497" spans="9:9" ht="18" customHeight="1" x14ac:dyDescent="0.35">
      <c r="I497" s="13"/>
    </row>
    <row r="498" spans="9:9" ht="18" customHeight="1" x14ac:dyDescent="0.35">
      <c r="I498" s="13"/>
    </row>
    <row r="499" spans="9:9" ht="18" customHeight="1" x14ac:dyDescent="0.35">
      <c r="I499" s="13"/>
    </row>
    <row r="500" spans="9:9" ht="18" customHeight="1" x14ac:dyDescent="0.35">
      <c r="I500" s="13"/>
    </row>
  </sheetData>
  <mergeCells count="3">
    <mergeCell ref="C1:D1"/>
    <mergeCell ref="A1:B1"/>
    <mergeCell ref="E1:H1"/>
  </mergeCells>
  <dataValidations count="1">
    <dataValidation type="list" allowBlank="1" showErrorMessage="1" errorTitle="CATEGORIA inválida" error="Valores: reclamo, compromiso, exoneracion, otros — o dejar vacío (pago normal)." sqref="K4:K500" xr:uid="{00000000-0002-0000-0100-000000000000}">
      <formula1>"reclamo,compromiso,exoneracion,otros"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00"/>
  <sheetViews>
    <sheetView workbookViewId="0">
      <pane ySplit="2" topLeftCell="A3" activePane="bottomLeft" state="frozen"/>
      <selection pane="bottomLeft"/>
    </sheetView>
  </sheetViews>
  <sheetFormatPr baseColWidth="10" defaultColWidth="8.7265625" defaultRowHeight="14.5" x14ac:dyDescent="0.35"/>
  <cols>
    <col min="1" max="1" width="20" style="10" customWidth="1"/>
    <col min="2" max="2" width="16" style="10" customWidth="1"/>
    <col min="3" max="4" width="8" style="10" customWidth="1"/>
    <col min="5" max="5" width="12" style="10" customWidth="1"/>
    <col min="6" max="6" width="16" style="10" customWidth="1"/>
    <col min="7" max="8" width="14" style="10" customWidth="1"/>
    <col min="9" max="9" width="30" style="10" customWidth="1"/>
    <col min="10" max="11" width="14" style="10" customWidth="1"/>
  </cols>
  <sheetData>
    <row r="1" spans="1:11" ht="20" customHeight="1" x14ac:dyDescent="0.35">
      <c r="A1" s="16" t="s">
        <v>0</v>
      </c>
      <c r="B1" s="15"/>
      <c r="C1" s="14" t="s">
        <v>1</v>
      </c>
      <c r="D1" s="15"/>
      <c r="E1" s="17" t="s">
        <v>2</v>
      </c>
      <c r="F1" s="18"/>
      <c r="G1" s="18"/>
      <c r="H1" s="15"/>
      <c r="I1" s="1" t="s">
        <v>3</v>
      </c>
      <c r="J1" s="2" t="s">
        <v>4</v>
      </c>
      <c r="K1" s="11" t="s">
        <v>5</v>
      </c>
    </row>
    <row r="2" spans="1:11" ht="22" customHeight="1" x14ac:dyDescent="0.35">
      <c r="A2" s="3" t="s">
        <v>6</v>
      </c>
      <c r="B2" s="3" t="s">
        <v>7</v>
      </c>
      <c r="C2" s="4" t="s">
        <v>8</v>
      </c>
      <c r="D2" s="4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6" t="s">
        <v>14</v>
      </c>
      <c r="J2" s="7" t="s">
        <v>15</v>
      </c>
      <c r="K2" s="12" t="s">
        <v>16</v>
      </c>
    </row>
    <row r="3" spans="1:11" ht="18" customHeight="1" x14ac:dyDescent="0.35">
      <c r="A3" s="8" t="s">
        <v>17</v>
      </c>
      <c r="B3" s="8" t="s">
        <v>18</v>
      </c>
      <c r="C3" s="8" t="s">
        <v>19</v>
      </c>
      <c r="D3" s="8" t="s">
        <v>20</v>
      </c>
      <c r="E3" s="8" t="s">
        <v>21</v>
      </c>
      <c r="F3" s="8" t="s">
        <v>22</v>
      </c>
      <c r="G3" s="8" t="s">
        <v>23</v>
      </c>
      <c r="H3" s="8" t="s">
        <v>24</v>
      </c>
      <c r="I3" s="8"/>
      <c r="J3" s="8"/>
    </row>
    <row r="4" spans="1:11" ht="18" customHeight="1" x14ac:dyDescent="0.35">
      <c r="I4" s="13"/>
    </row>
    <row r="5" spans="1:11" ht="18" customHeight="1" x14ac:dyDescent="0.35">
      <c r="I5" s="13"/>
    </row>
    <row r="6" spans="1:11" ht="18" customHeight="1" x14ac:dyDescent="0.35">
      <c r="I6" s="13"/>
    </row>
    <row r="7" spans="1:11" ht="18" customHeight="1" x14ac:dyDescent="0.35">
      <c r="I7" s="13"/>
    </row>
    <row r="8" spans="1:11" ht="18" customHeight="1" x14ac:dyDescent="0.35">
      <c r="I8" s="13"/>
    </row>
    <row r="9" spans="1:11" ht="18" customHeight="1" x14ac:dyDescent="0.35">
      <c r="I9" s="13"/>
    </row>
    <row r="10" spans="1:11" ht="18" customHeight="1" x14ac:dyDescent="0.35">
      <c r="I10" s="13"/>
    </row>
    <row r="11" spans="1:11" ht="18" customHeight="1" x14ac:dyDescent="0.35">
      <c r="I11" s="13"/>
    </row>
    <row r="12" spans="1:11" ht="18" customHeight="1" x14ac:dyDescent="0.35">
      <c r="I12" s="13"/>
    </row>
    <row r="13" spans="1:11" ht="18" customHeight="1" x14ac:dyDescent="0.35">
      <c r="I13" s="13"/>
    </row>
    <row r="14" spans="1:11" ht="18" customHeight="1" x14ac:dyDescent="0.35">
      <c r="I14" s="13"/>
    </row>
    <row r="15" spans="1:11" ht="18" customHeight="1" x14ac:dyDescent="0.35">
      <c r="I15" s="13"/>
    </row>
    <row r="16" spans="1:11" ht="18" customHeight="1" x14ac:dyDescent="0.35">
      <c r="I16" s="13"/>
    </row>
    <row r="17" spans="9:9" ht="18" customHeight="1" x14ac:dyDescent="0.35">
      <c r="I17" s="13"/>
    </row>
    <row r="18" spans="9:9" ht="18" customHeight="1" x14ac:dyDescent="0.35">
      <c r="I18" s="13"/>
    </row>
    <row r="19" spans="9:9" ht="18" customHeight="1" x14ac:dyDescent="0.35">
      <c r="I19" s="13"/>
    </row>
    <row r="20" spans="9:9" ht="18" customHeight="1" x14ac:dyDescent="0.35">
      <c r="I20" s="13"/>
    </row>
    <row r="21" spans="9:9" ht="18" customHeight="1" x14ac:dyDescent="0.35">
      <c r="I21" s="13"/>
    </row>
    <row r="22" spans="9:9" ht="18" customHeight="1" x14ac:dyDescent="0.35">
      <c r="I22" s="13"/>
    </row>
    <row r="23" spans="9:9" ht="18" customHeight="1" x14ac:dyDescent="0.35">
      <c r="I23" s="13"/>
    </row>
    <row r="24" spans="9:9" ht="18" customHeight="1" x14ac:dyDescent="0.35">
      <c r="I24" s="13"/>
    </row>
    <row r="25" spans="9:9" ht="18" customHeight="1" x14ac:dyDescent="0.35">
      <c r="I25" s="13"/>
    </row>
    <row r="26" spans="9:9" ht="18" customHeight="1" x14ac:dyDescent="0.35">
      <c r="I26" s="13"/>
    </row>
    <row r="27" spans="9:9" ht="18" customHeight="1" x14ac:dyDescent="0.35">
      <c r="I27" s="13"/>
    </row>
    <row r="28" spans="9:9" ht="18" customHeight="1" x14ac:dyDescent="0.35">
      <c r="I28" s="13"/>
    </row>
    <row r="29" spans="9:9" ht="18" customHeight="1" x14ac:dyDescent="0.35">
      <c r="I29" s="13"/>
    </row>
    <row r="30" spans="9:9" ht="18" customHeight="1" x14ac:dyDescent="0.35">
      <c r="I30" s="13"/>
    </row>
    <row r="31" spans="9:9" ht="18" customHeight="1" x14ac:dyDescent="0.35">
      <c r="I31" s="13"/>
    </row>
    <row r="32" spans="9:9" ht="18" customHeight="1" x14ac:dyDescent="0.35">
      <c r="I32" s="13"/>
    </row>
    <row r="33" spans="9:9" ht="18" customHeight="1" x14ac:dyDescent="0.35">
      <c r="I33" s="13"/>
    </row>
    <row r="34" spans="9:9" ht="18" customHeight="1" x14ac:dyDescent="0.35">
      <c r="I34" s="13"/>
    </row>
    <row r="35" spans="9:9" ht="18" customHeight="1" x14ac:dyDescent="0.35">
      <c r="I35" s="13"/>
    </row>
    <row r="36" spans="9:9" ht="18" customHeight="1" x14ac:dyDescent="0.35">
      <c r="I36" s="13"/>
    </row>
    <row r="37" spans="9:9" ht="18" customHeight="1" x14ac:dyDescent="0.35">
      <c r="I37" s="13"/>
    </row>
    <row r="38" spans="9:9" ht="18" customHeight="1" x14ac:dyDescent="0.35">
      <c r="I38" s="13"/>
    </row>
    <row r="39" spans="9:9" ht="18" customHeight="1" x14ac:dyDescent="0.35">
      <c r="I39" s="13"/>
    </row>
    <row r="40" spans="9:9" ht="18" customHeight="1" x14ac:dyDescent="0.35">
      <c r="I40" s="13"/>
    </row>
    <row r="41" spans="9:9" ht="18" customHeight="1" x14ac:dyDescent="0.35">
      <c r="I41" s="13"/>
    </row>
    <row r="42" spans="9:9" ht="18" customHeight="1" x14ac:dyDescent="0.35">
      <c r="I42" s="13"/>
    </row>
    <row r="43" spans="9:9" ht="18" customHeight="1" x14ac:dyDescent="0.35">
      <c r="I43" s="13"/>
    </row>
    <row r="44" spans="9:9" ht="18" customHeight="1" x14ac:dyDescent="0.35">
      <c r="I44" s="13"/>
    </row>
    <row r="45" spans="9:9" ht="18" customHeight="1" x14ac:dyDescent="0.35">
      <c r="I45" s="13"/>
    </row>
    <row r="46" spans="9:9" ht="18" customHeight="1" x14ac:dyDescent="0.35">
      <c r="I46" s="13"/>
    </row>
    <row r="47" spans="9:9" ht="18" customHeight="1" x14ac:dyDescent="0.35">
      <c r="I47" s="13"/>
    </row>
    <row r="48" spans="9:9" ht="18" customHeight="1" x14ac:dyDescent="0.35">
      <c r="I48" s="13"/>
    </row>
    <row r="49" spans="9:9" ht="18" customHeight="1" x14ac:dyDescent="0.35">
      <c r="I49" s="13"/>
    </row>
    <row r="50" spans="9:9" ht="18" customHeight="1" x14ac:dyDescent="0.35">
      <c r="I50" s="13"/>
    </row>
    <row r="51" spans="9:9" ht="18" customHeight="1" x14ac:dyDescent="0.35">
      <c r="I51" s="13"/>
    </row>
    <row r="52" spans="9:9" ht="18" customHeight="1" x14ac:dyDescent="0.35">
      <c r="I52" s="13"/>
    </row>
    <row r="53" spans="9:9" ht="18" customHeight="1" x14ac:dyDescent="0.35">
      <c r="I53" s="13"/>
    </row>
    <row r="54" spans="9:9" ht="18" customHeight="1" x14ac:dyDescent="0.35">
      <c r="I54" s="13"/>
    </row>
    <row r="55" spans="9:9" ht="18" customHeight="1" x14ac:dyDescent="0.35">
      <c r="I55" s="13"/>
    </row>
    <row r="56" spans="9:9" ht="18" customHeight="1" x14ac:dyDescent="0.35">
      <c r="I56" s="13"/>
    </row>
    <row r="57" spans="9:9" ht="18" customHeight="1" x14ac:dyDescent="0.35">
      <c r="I57" s="13"/>
    </row>
    <row r="58" spans="9:9" ht="18" customHeight="1" x14ac:dyDescent="0.35">
      <c r="I58" s="13"/>
    </row>
    <row r="59" spans="9:9" ht="18" customHeight="1" x14ac:dyDescent="0.35">
      <c r="I59" s="13"/>
    </row>
    <row r="60" spans="9:9" ht="18" customHeight="1" x14ac:dyDescent="0.35">
      <c r="I60" s="13"/>
    </row>
    <row r="61" spans="9:9" ht="18" customHeight="1" x14ac:dyDescent="0.35">
      <c r="I61" s="13"/>
    </row>
    <row r="62" spans="9:9" ht="18" customHeight="1" x14ac:dyDescent="0.35">
      <c r="I62" s="13"/>
    </row>
    <row r="63" spans="9:9" ht="18" customHeight="1" x14ac:dyDescent="0.35">
      <c r="I63" s="13"/>
    </row>
    <row r="64" spans="9:9" ht="18" customHeight="1" x14ac:dyDescent="0.35">
      <c r="I64" s="13"/>
    </row>
    <row r="65" spans="9:9" ht="18" customHeight="1" x14ac:dyDescent="0.35">
      <c r="I65" s="13"/>
    </row>
    <row r="66" spans="9:9" ht="18" customHeight="1" x14ac:dyDescent="0.35">
      <c r="I66" s="13"/>
    </row>
    <row r="67" spans="9:9" ht="18" customHeight="1" x14ac:dyDescent="0.35">
      <c r="I67" s="13"/>
    </row>
    <row r="68" spans="9:9" ht="18" customHeight="1" x14ac:dyDescent="0.35">
      <c r="I68" s="13"/>
    </row>
    <row r="69" spans="9:9" ht="18" customHeight="1" x14ac:dyDescent="0.35">
      <c r="I69" s="13"/>
    </row>
    <row r="70" spans="9:9" ht="18" customHeight="1" x14ac:dyDescent="0.35">
      <c r="I70" s="13"/>
    </row>
    <row r="71" spans="9:9" ht="18" customHeight="1" x14ac:dyDescent="0.35">
      <c r="I71" s="13"/>
    </row>
    <row r="72" spans="9:9" ht="18" customHeight="1" x14ac:dyDescent="0.35">
      <c r="I72" s="13"/>
    </row>
    <row r="73" spans="9:9" ht="18" customHeight="1" x14ac:dyDescent="0.35">
      <c r="I73" s="13"/>
    </row>
    <row r="74" spans="9:9" ht="18" customHeight="1" x14ac:dyDescent="0.35">
      <c r="I74" s="13"/>
    </row>
    <row r="75" spans="9:9" ht="18" customHeight="1" x14ac:dyDescent="0.35">
      <c r="I75" s="13"/>
    </row>
    <row r="76" spans="9:9" ht="18" customHeight="1" x14ac:dyDescent="0.35">
      <c r="I76" s="13"/>
    </row>
    <row r="77" spans="9:9" ht="18" customHeight="1" x14ac:dyDescent="0.35">
      <c r="I77" s="13"/>
    </row>
    <row r="78" spans="9:9" ht="18" customHeight="1" x14ac:dyDescent="0.35">
      <c r="I78" s="13"/>
    </row>
    <row r="79" spans="9:9" ht="18" customHeight="1" x14ac:dyDescent="0.35">
      <c r="I79" s="13"/>
    </row>
    <row r="80" spans="9:9" ht="18" customHeight="1" x14ac:dyDescent="0.35">
      <c r="I80" s="13"/>
    </row>
    <row r="81" spans="9:9" ht="18" customHeight="1" x14ac:dyDescent="0.35">
      <c r="I81" s="13"/>
    </row>
    <row r="82" spans="9:9" ht="18" customHeight="1" x14ac:dyDescent="0.35">
      <c r="I82" s="13"/>
    </row>
    <row r="83" spans="9:9" ht="18" customHeight="1" x14ac:dyDescent="0.35">
      <c r="I83" s="13"/>
    </row>
    <row r="84" spans="9:9" ht="18" customHeight="1" x14ac:dyDescent="0.35">
      <c r="I84" s="13"/>
    </row>
    <row r="85" spans="9:9" ht="18" customHeight="1" x14ac:dyDescent="0.35">
      <c r="I85" s="13"/>
    </row>
    <row r="86" spans="9:9" ht="18" customHeight="1" x14ac:dyDescent="0.35">
      <c r="I86" s="13"/>
    </row>
    <row r="87" spans="9:9" ht="18" customHeight="1" x14ac:dyDescent="0.35">
      <c r="I87" s="13"/>
    </row>
    <row r="88" spans="9:9" ht="18" customHeight="1" x14ac:dyDescent="0.35">
      <c r="I88" s="13"/>
    </row>
    <row r="89" spans="9:9" ht="18" customHeight="1" x14ac:dyDescent="0.35">
      <c r="I89" s="13"/>
    </row>
    <row r="90" spans="9:9" ht="18" customHeight="1" x14ac:dyDescent="0.35">
      <c r="I90" s="13"/>
    </row>
    <row r="91" spans="9:9" ht="18" customHeight="1" x14ac:dyDescent="0.35">
      <c r="I91" s="13"/>
    </row>
    <row r="92" spans="9:9" ht="18" customHeight="1" x14ac:dyDescent="0.35">
      <c r="I92" s="13"/>
    </row>
    <row r="93" spans="9:9" ht="18" customHeight="1" x14ac:dyDescent="0.35">
      <c r="I93" s="13"/>
    </row>
    <row r="94" spans="9:9" ht="18" customHeight="1" x14ac:dyDescent="0.35">
      <c r="I94" s="13"/>
    </row>
    <row r="95" spans="9:9" ht="18" customHeight="1" x14ac:dyDescent="0.35">
      <c r="I95" s="13"/>
    </row>
    <row r="96" spans="9:9" ht="18" customHeight="1" x14ac:dyDescent="0.35">
      <c r="I96" s="13"/>
    </row>
    <row r="97" spans="9:9" ht="18" customHeight="1" x14ac:dyDescent="0.35">
      <c r="I97" s="13"/>
    </row>
    <row r="98" spans="9:9" ht="18" customHeight="1" x14ac:dyDescent="0.35">
      <c r="I98" s="13"/>
    </row>
    <row r="99" spans="9:9" ht="18" customHeight="1" x14ac:dyDescent="0.35">
      <c r="I99" s="13"/>
    </row>
    <row r="100" spans="9:9" ht="18" customHeight="1" x14ac:dyDescent="0.35">
      <c r="I100" s="13"/>
    </row>
    <row r="101" spans="9:9" ht="18" customHeight="1" x14ac:dyDescent="0.35">
      <c r="I101" s="13"/>
    </row>
    <row r="102" spans="9:9" ht="18" customHeight="1" x14ac:dyDescent="0.35">
      <c r="I102" s="13"/>
    </row>
    <row r="103" spans="9:9" ht="18" customHeight="1" x14ac:dyDescent="0.35">
      <c r="I103" s="13"/>
    </row>
    <row r="104" spans="9:9" ht="18" customHeight="1" x14ac:dyDescent="0.35">
      <c r="I104" s="13"/>
    </row>
    <row r="105" spans="9:9" ht="18" customHeight="1" x14ac:dyDescent="0.35">
      <c r="I105" s="13"/>
    </row>
    <row r="106" spans="9:9" ht="18" customHeight="1" x14ac:dyDescent="0.35">
      <c r="I106" s="13"/>
    </row>
    <row r="107" spans="9:9" ht="18" customHeight="1" x14ac:dyDescent="0.35">
      <c r="I107" s="13"/>
    </row>
    <row r="108" spans="9:9" ht="18" customHeight="1" x14ac:dyDescent="0.35">
      <c r="I108" s="13"/>
    </row>
    <row r="109" spans="9:9" ht="18" customHeight="1" x14ac:dyDescent="0.35">
      <c r="I109" s="13"/>
    </row>
    <row r="110" spans="9:9" ht="18" customHeight="1" x14ac:dyDescent="0.35">
      <c r="I110" s="13"/>
    </row>
    <row r="111" spans="9:9" ht="18" customHeight="1" x14ac:dyDescent="0.35">
      <c r="I111" s="13"/>
    </row>
    <row r="112" spans="9:9" ht="18" customHeight="1" x14ac:dyDescent="0.35">
      <c r="I112" s="13"/>
    </row>
    <row r="113" spans="9:9" ht="18" customHeight="1" x14ac:dyDescent="0.35">
      <c r="I113" s="13"/>
    </row>
    <row r="114" spans="9:9" ht="18" customHeight="1" x14ac:dyDescent="0.35">
      <c r="I114" s="13"/>
    </row>
    <row r="115" spans="9:9" ht="18" customHeight="1" x14ac:dyDescent="0.35">
      <c r="I115" s="13"/>
    </row>
    <row r="116" spans="9:9" ht="18" customHeight="1" x14ac:dyDescent="0.35">
      <c r="I116" s="13"/>
    </row>
    <row r="117" spans="9:9" ht="18" customHeight="1" x14ac:dyDescent="0.35">
      <c r="I117" s="13"/>
    </row>
    <row r="118" spans="9:9" ht="18" customHeight="1" x14ac:dyDescent="0.35">
      <c r="I118" s="13"/>
    </row>
    <row r="119" spans="9:9" ht="18" customHeight="1" x14ac:dyDescent="0.35">
      <c r="I119" s="13"/>
    </row>
    <row r="120" spans="9:9" ht="18" customHeight="1" x14ac:dyDescent="0.35">
      <c r="I120" s="13"/>
    </row>
    <row r="121" spans="9:9" ht="18" customHeight="1" x14ac:dyDescent="0.35">
      <c r="I121" s="13"/>
    </row>
    <row r="122" spans="9:9" ht="18" customHeight="1" x14ac:dyDescent="0.35">
      <c r="I122" s="13"/>
    </row>
    <row r="123" spans="9:9" ht="18" customHeight="1" x14ac:dyDescent="0.35">
      <c r="I123" s="13"/>
    </row>
    <row r="124" spans="9:9" ht="18" customHeight="1" x14ac:dyDescent="0.35">
      <c r="I124" s="13"/>
    </row>
    <row r="125" spans="9:9" ht="18" customHeight="1" x14ac:dyDescent="0.35">
      <c r="I125" s="13"/>
    </row>
    <row r="126" spans="9:9" ht="18" customHeight="1" x14ac:dyDescent="0.35">
      <c r="I126" s="13"/>
    </row>
    <row r="127" spans="9:9" ht="18" customHeight="1" x14ac:dyDescent="0.35">
      <c r="I127" s="13"/>
    </row>
    <row r="128" spans="9:9" ht="18" customHeight="1" x14ac:dyDescent="0.35">
      <c r="I128" s="13"/>
    </row>
    <row r="129" spans="9:9" ht="18" customHeight="1" x14ac:dyDescent="0.35">
      <c r="I129" s="13"/>
    </row>
    <row r="130" spans="9:9" ht="18" customHeight="1" x14ac:dyDescent="0.35">
      <c r="I130" s="13"/>
    </row>
    <row r="131" spans="9:9" ht="18" customHeight="1" x14ac:dyDescent="0.35">
      <c r="I131" s="13"/>
    </row>
    <row r="132" spans="9:9" ht="18" customHeight="1" x14ac:dyDescent="0.35">
      <c r="I132" s="13"/>
    </row>
    <row r="133" spans="9:9" ht="18" customHeight="1" x14ac:dyDescent="0.35">
      <c r="I133" s="13"/>
    </row>
    <row r="134" spans="9:9" ht="18" customHeight="1" x14ac:dyDescent="0.35">
      <c r="I134" s="13"/>
    </row>
    <row r="135" spans="9:9" ht="18" customHeight="1" x14ac:dyDescent="0.35">
      <c r="I135" s="13"/>
    </row>
    <row r="136" spans="9:9" ht="18" customHeight="1" x14ac:dyDescent="0.35">
      <c r="I136" s="13"/>
    </row>
    <row r="137" spans="9:9" ht="18" customHeight="1" x14ac:dyDescent="0.35">
      <c r="I137" s="13"/>
    </row>
    <row r="138" spans="9:9" ht="18" customHeight="1" x14ac:dyDescent="0.35">
      <c r="I138" s="13"/>
    </row>
    <row r="139" spans="9:9" ht="18" customHeight="1" x14ac:dyDescent="0.35">
      <c r="I139" s="13"/>
    </row>
    <row r="140" spans="9:9" ht="18" customHeight="1" x14ac:dyDescent="0.35">
      <c r="I140" s="13"/>
    </row>
    <row r="141" spans="9:9" ht="18" customHeight="1" x14ac:dyDescent="0.35">
      <c r="I141" s="13"/>
    </row>
    <row r="142" spans="9:9" ht="18" customHeight="1" x14ac:dyDescent="0.35">
      <c r="I142" s="13"/>
    </row>
    <row r="143" spans="9:9" ht="18" customHeight="1" x14ac:dyDescent="0.35">
      <c r="I143" s="13"/>
    </row>
    <row r="144" spans="9:9" ht="18" customHeight="1" x14ac:dyDescent="0.35">
      <c r="I144" s="13"/>
    </row>
    <row r="145" spans="9:9" ht="18" customHeight="1" x14ac:dyDescent="0.35">
      <c r="I145" s="13"/>
    </row>
    <row r="146" spans="9:9" ht="18" customHeight="1" x14ac:dyDescent="0.35">
      <c r="I146" s="13"/>
    </row>
    <row r="147" spans="9:9" ht="18" customHeight="1" x14ac:dyDescent="0.35">
      <c r="I147" s="13"/>
    </row>
    <row r="148" spans="9:9" ht="18" customHeight="1" x14ac:dyDescent="0.35">
      <c r="I148" s="13"/>
    </row>
    <row r="149" spans="9:9" ht="18" customHeight="1" x14ac:dyDescent="0.35">
      <c r="I149" s="13"/>
    </row>
    <row r="150" spans="9:9" ht="18" customHeight="1" x14ac:dyDescent="0.35">
      <c r="I150" s="13"/>
    </row>
    <row r="151" spans="9:9" ht="18" customHeight="1" x14ac:dyDescent="0.35">
      <c r="I151" s="13"/>
    </row>
    <row r="152" spans="9:9" ht="18" customHeight="1" x14ac:dyDescent="0.35">
      <c r="I152" s="13"/>
    </row>
    <row r="153" spans="9:9" ht="18" customHeight="1" x14ac:dyDescent="0.35">
      <c r="I153" s="13"/>
    </row>
    <row r="154" spans="9:9" ht="18" customHeight="1" x14ac:dyDescent="0.35">
      <c r="I154" s="13"/>
    </row>
    <row r="155" spans="9:9" ht="18" customHeight="1" x14ac:dyDescent="0.35">
      <c r="I155" s="13"/>
    </row>
    <row r="156" spans="9:9" ht="18" customHeight="1" x14ac:dyDescent="0.35">
      <c r="I156" s="13"/>
    </row>
    <row r="157" spans="9:9" ht="18" customHeight="1" x14ac:dyDescent="0.35">
      <c r="I157" s="13"/>
    </row>
    <row r="158" spans="9:9" ht="18" customHeight="1" x14ac:dyDescent="0.35">
      <c r="I158" s="13"/>
    </row>
    <row r="159" spans="9:9" ht="18" customHeight="1" x14ac:dyDescent="0.35">
      <c r="I159" s="13"/>
    </row>
    <row r="160" spans="9:9" ht="18" customHeight="1" x14ac:dyDescent="0.35">
      <c r="I160" s="13"/>
    </row>
    <row r="161" spans="9:9" ht="18" customHeight="1" x14ac:dyDescent="0.35">
      <c r="I161" s="13"/>
    </row>
    <row r="162" spans="9:9" ht="18" customHeight="1" x14ac:dyDescent="0.35">
      <c r="I162" s="13"/>
    </row>
    <row r="163" spans="9:9" ht="18" customHeight="1" x14ac:dyDescent="0.35">
      <c r="I163" s="13"/>
    </row>
    <row r="164" spans="9:9" ht="18" customHeight="1" x14ac:dyDescent="0.35">
      <c r="I164" s="13"/>
    </row>
    <row r="165" spans="9:9" ht="18" customHeight="1" x14ac:dyDescent="0.35">
      <c r="I165" s="13"/>
    </row>
    <row r="166" spans="9:9" ht="18" customHeight="1" x14ac:dyDescent="0.35">
      <c r="I166" s="13"/>
    </row>
    <row r="167" spans="9:9" ht="18" customHeight="1" x14ac:dyDescent="0.35">
      <c r="I167" s="13"/>
    </row>
    <row r="168" spans="9:9" ht="18" customHeight="1" x14ac:dyDescent="0.35">
      <c r="I168" s="13"/>
    </row>
    <row r="169" spans="9:9" ht="18" customHeight="1" x14ac:dyDescent="0.35">
      <c r="I169" s="13"/>
    </row>
    <row r="170" spans="9:9" ht="18" customHeight="1" x14ac:dyDescent="0.35">
      <c r="I170" s="13"/>
    </row>
    <row r="171" spans="9:9" ht="18" customHeight="1" x14ac:dyDescent="0.35">
      <c r="I171" s="13"/>
    </row>
    <row r="172" spans="9:9" ht="18" customHeight="1" x14ac:dyDescent="0.35">
      <c r="I172" s="13"/>
    </row>
    <row r="173" spans="9:9" ht="18" customHeight="1" x14ac:dyDescent="0.35">
      <c r="I173" s="13"/>
    </row>
    <row r="174" spans="9:9" ht="18" customHeight="1" x14ac:dyDescent="0.35">
      <c r="I174" s="13"/>
    </row>
    <row r="175" spans="9:9" ht="18" customHeight="1" x14ac:dyDescent="0.35">
      <c r="I175" s="13"/>
    </row>
    <row r="176" spans="9:9" ht="18" customHeight="1" x14ac:dyDescent="0.35">
      <c r="I176" s="13"/>
    </row>
    <row r="177" spans="9:9" ht="18" customHeight="1" x14ac:dyDescent="0.35">
      <c r="I177" s="13"/>
    </row>
    <row r="178" spans="9:9" ht="18" customHeight="1" x14ac:dyDescent="0.35">
      <c r="I178" s="13"/>
    </row>
    <row r="179" spans="9:9" ht="18" customHeight="1" x14ac:dyDescent="0.35">
      <c r="I179" s="13"/>
    </row>
    <row r="180" spans="9:9" ht="18" customHeight="1" x14ac:dyDescent="0.35">
      <c r="I180" s="13"/>
    </row>
    <row r="181" spans="9:9" ht="18" customHeight="1" x14ac:dyDescent="0.35">
      <c r="I181" s="13"/>
    </row>
    <row r="182" spans="9:9" ht="18" customHeight="1" x14ac:dyDescent="0.35">
      <c r="I182" s="13"/>
    </row>
    <row r="183" spans="9:9" ht="18" customHeight="1" x14ac:dyDescent="0.35">
      <c r="I183" s="13"/>
    </row>
    <row r="184" spans="9:9" ht="18" customHeight="1" x14ac:dyDescent="0.35">
      <c r="I184" s="13"/>
    </row>
    <row r="185" spans="9:9" ht="18" customHeight="1" x14ac:dyDescent="0.35">
      <c r="I185" s="13"/>
    </row>
    <row r="186" spans="9:9" ht="18" customHeight="1" x14ac:dyDescent="0.35">
      <c r="I186" s="13"/>
    </row>
    <row r="187" spans="9:9" ht="18" customHeight="1" x14ac:dyDescent="0.35">
      <c r="I187" s="13"/>
    </row>
    <row r="188" spans="9:9" ht="18" customHeight="1" x14ac:dyDescent="0.35">
      <c r="I188" s="13"/>
    </row>
    <row r="189" spans="9:9" ht="18" customHeight="1" x14ac:dyDescent="0.35">
      <c r="I189" s="13"/>
    </row>
    <row r="190" spans="9:9" ht="18" customHeight="1" x14ac:dyDescent="0.35">
      <c r="I190" s="13"/>
    </row>
    <row r="191" spans="9:9" ht="18" customHeight="1" x14ac:dyDescent="0.35">
      <c r="I191" s="13"/>
    </row>
    <row r="192" spans="9:9" ht="18" customHeight="1" x14ac:dyDescent="0.35">
      <c r="I192" s="13"/>
    </row>
    <row r="193" spans="9:9" ht="18" customHeight="1" x14ac:dyDescent="0.35">
      <c r="I193" s="13"/>
    </row>
    <row r="194" spans="9:9" ht="18" customHeight="1" x14ac:dyDescent="0.35">
      <c r="I194" s="13"/>
    </row>
    <row r="195" spans="9:9" ht="18" customHeight="1" x14ac:dyDescent="0.35">
      <c r="I195" s="13"/>
    </row>
    <row r="196" spans="9:9" ht="18" customHeight="1" x14ac:dyDescent="0.35">
      <c r="I196" s="13"/>
    </row>
    <row r="197" spans="9:9" ht="18" customHeight="1" x14ac:dyDescent="0.35">
      <c r="I197" s="13"/>
    </row>
    <row r="198" spans="9:9" ht="18" customHeight="1" x14ac:dyDescent="0.35">
      <c r="I198" s="13"/>
    </row>
    <row r="199" spans="9:9" ht="18" customHeight="1" x14ac:dyDescent="0.35">
      <c r="I199" s="13"/>
    </row>
    <row r="200" spans="9:9" ht="18" customHeight="1" x14ac:dyDescent="0.35">
      <c r="I200" s="13"/>
    </row>
    <row r="201" spans="9:9" ht="18" customHeight="1" x14ac:dyDescent="0.35">
      <c r="I201" s="13"/>
    </row>
    <row r="202" spans="9:9" ht="18" customHeight="1" x14ac:dyDescent="0.35">
      <c r="I202" s="13"/>
    </row>
    <row r="203" spans="9:9" ht="18" customHeight="1" x14ac:dyDescent="0.35">
      <c r="I203" s="13"/>
    </row>
    <row r="204" spans="9:9" ht="18" customHeight="1" x14ac:dyDescent="0.35">
      <c r="I204" s="13"/>
    </row>
    <row r="205" spans="9:9" ht="18" customHeight="1" x14ac:dyDescent="0.35">
      <c r="I205" s="13"/>
    </row>
    <row r="206" spans="9:9" ht="18" customHeight="1" x14ac:dyDescent="0.35">
      <c r="I206" s="13"/>
    </row>
    <row r="207" spans="9:9" ht="18" customHeight="1" x14ac:dyDescent="0.35">
      <c r="I207" s="13"/>
    </row>
    <row r="208" spans="9:9" ht="18" customHeight="1" x14ac:dyDescent="0.35">
      <c r="I208" s="13"/>
    </row>
    <row r="209" spans="9:9" ht="18" customHeight="1" x14ac:dyDescent="0.35">
      <c r="I209" s="13"/>
    </row>
    <row r="210" spans="9:9" ht="18" customHeight="1" x14ac:dyDescent="0.35">
      <c r="I210" s="13"/>
    </row>
    <row r="211" spans="9:9" ht="18" customHeight="1" x14ac:dyDescent="0.35">
      <c r="I211" s="13"/>
    </row>
    <row r="212" spans="9:9" ht="18" customHeight="1" x14ac:dyDescent="0.35">
      <c r="I212" s="13"/>
    </row>
    <row r="213" spans="9:9" ht="18" customHeight="1" x14ac:dyDescent="0.35">
      <c r="I213" s="13"/>
    </row>
    <row r="214" spans="9:9" ht="18" customHeight="1" x14ac:dyDescent="0.35">
      <c r="I214" s="13"/>
    </row>
    <row r="215" spans="9:9" ht="18" customHeight="1" x14ac:dyDescent="0.35">
      <c r="I215" s="13"/>
    </row>
    <row r="216" spans="9:9" ht="18" customHeight="1" x14ac:dyDescent="0.35">
      <c r="I216" s="13"/>
    </row>
    <row r="217" spans="9:9" ht="18" customHeight="1" x14ac:dyDescent="0.35">
      <c r="I217" s="13"/>
    </row>
    <row r="218" spans="9:9" ht="18" customHeight="1" x14ac:dyDescent="0.35">
      <c r="I218" s="13"/>
    </row>
    <row r="219" spans="9:9" ht="18" customHeight="1" x14ac:dyDescent="0.35">
      <c r="I219" s="13"/>
    </row>
    <row r="220" spans="9:9" ht="18" customHeight="1" x14ac:dyDescent="0.35">
      <c r="I220" s="13"/>
    </row>
    <row r="221" spans="9:9" ht="18" customHeight="1" x14ac:dyDescent="0.35">
      <c r="I221" s="13"/>
    </row>
    <row r="222" spans="9:9" ht="18" customHeight="1" x14ac:dyDescent="0.35">
      <c r="I222" s="13"/>
    </row>
    <row r="223" spans="9:9" ht="18" customHeight="1" x14ac:dyDescent="0.35">
      <c r="I223" s="13"/>
    </row>
    <row r="224" spans="9:9" ht="18" customHeight="1" x14ac:dyDescent="0.35">
      <c r="I224" s="13"/>
    </row>
    <row r="225" spans="9:9" ht="18" customHeight="1" x14ac:dyDescent="0.35">
      <c r="I225" s="13"/>
    </row>
    <row r="226" spans="9:9" ht="18" customHeight="1" x14ac:dyDescent="0.35">
      <c r="I226" s="13"/>
    </row>
    <row r="227" spans="9:9" ht="18" customHeight="1" x14ac:dyDescent="0.35">
      <c r="I227" s="13"/>
    </row>
    <row r="228" spans="9:9" ht="18" customHeight="1" x14ac:dyDescent="0.35">
      <c r="I228" s="13"/>
    </row>
    <row r="229" spans="9:9" ht="18" customHeight="1" x14ac:dyDescent="0.35">
      <c r="I229" s="13"/>
    </row>
    <row r="230" spans="9:9" ht="18" customHeight="1" x14ac:dyDescent="0.35">
      <c r="I230" s="13"/>
    </row>
    <row r="231" spans="9:9" ht="18" customHeight="1" x14ac:dyDescent="0.35">
      <c r="I231" s="13"/>
    </row>
    <row r="232" spans="9:9" ht="18" customHeight="1" x14ac:dyDescent="0.35">
      <c r="I232" s="13"/>
    </row>
    <row r="233" spans="9:9" ht="18" customHeight="1" x14ac:dyDescent="0.35">
      <c r="I233" s="13"/>
    </row>
    <row r="234" spans="9:9" ht="18" customHeight="1" x14ac:dyDescent="0.35">
      <c r="I234" s="13"/>
    </row>
    <row r="235" spans="9:9" ht="18" customHeight="1" x14ac:dyDescent="0.35">
      <c r="I235" s="13"/>
    </row>
    <row r="236" spans="9:9" ht="18" customHeight="1" x14ac:dyDescent="0.35">
      <c r="I236" s="13"/>
    </row>
    <row r="237" spans="9:9" ht="18" customHeight="1" x14ac:dyDescent="0.35">
      <c r="I237" s="13"/>
    </row>
    <row r="238" spans="9:9" ht="18" customHeight="1" x14ac:dyDescent="0.35">
      <c r="I238" s="13"/>
    </row>
    <row r="239" spans="9:9" ht="18" customHeight="1" x14ac:dyDescent="0.35">
      <c r="I239" s="13"/>
    </row>
    <row r="240" spans="9:9" ht="18" customHeight="1" x14ac:dyDescent="0.35">
      <c r="I240" s="13"/>
    </row>
    <row r="241" spans="9:9" ht="18" customHeight="1" x14ac:dyDescent="0.35">
      <c r="I241" s="13"/>
    </row>
    <row r="242" spans="9:9" ht="18" customHeight="1" x14ac:dyDescent="0.35">
      <c r="I242" s="13"/>
    </row>
    <row r="243" spans="9:9" ht="18" customHeight="1" x14ac:dyDescent="0.35">
      <c r="I243" s="13"/>
    </row>
    <row r="244" spans="9:9" ht="18" customHeight="1" x14ac:dyDescent="0.35">
      <c r="I244" s="13"/>
    </row>
    <row r="245" spans="9:9" ht="18" customHeight="1" x14ac:dyDescent="0.35">
      <c r="I245" s="13"/>
    </row>
    <row r="246" spans="9:9" ht="18" customHeight="1" x14ac:dyDescent="0.35">
      <c r="I246" s="13"/>
    </row>
    <row r="247" spans="9:9" ht="18" customHeight="1" x14ac:dyDescent="0.35">
      <c r="I247" s="13"/>
    </row>
    <row r="248" spans="9:9" ht="18" customHeight="1" x14ac:dyDescent="0.35">
      <c r="I248" s="13"/>
    </row>
    <row r="249" spans="9:9" ht="18" customHeight="1" x14ac:dyDescent="0.35">
      <c r="I249" s="13"/>
    </row>
    <row r="250" spans="9:9" ht="18" customHeight="1" x14ac:dyDescent="0.35">
      <c r="I250" s="13"/>
    </row>
    <row r="251" spans="9:9" ht="18" customHeight="1" x14ac:dyDescent="0.35">
      <c r="I251" s="13"/>
    </row>
    <row r="252" spans="9:9" ht="18" customHeight="1" x14ac:dyDescent="0.35">
      <c r="I252" s="13"/>
    </row>
    <row r="253" spans="9:9" ht="18" customHeight="1" x14ac:dyDescent="0.35">
      <c r="I253" s="13"/>
    </row>
    <row r="254" spans="9:9" ht="18" customHeight="1" x14ac:dyDescent="0.35">
      <c r="I254" s="13"/>
    </row>
    <row r="255" spans="9:9" ht="18" customHeight="1" x14ac:dyDescent="0.35">
      <c r="I255" s="13"/>
    </row>
    <row r="256" spans="9:9" ht="18" customHeight="1" x14ac:dyDescent="0.35">
      <c r="I256" s="13"/>
    </row>
    <row r="257" spans="9:9" ht="18" customHeight="1" x14ac:dyDescent="0.35">
      <c r="I257" s="13"/>
    </row>
    <row r="258" spans="9:9" ht="18" customHeight="1" x14ac:dyDescent="0.35">
      <c r="I258" s="13"/>
    </row>
    <row r="259" spans="9:9" ht="18" customHeight="1" x14ac:dyDescent="0.35">
      <c r="I259" s="13"/>
    </row>
    <row r="260" spans="9:9" ht="18" customHeight="1" x14ac:dyDescent="0.35">
      <c r="I260" s="13"/>
    </row>
    <row r="261" spans="9:9" ht="18" customHeight="1" x14ac:dyDescent="0.35">
      <c r="I261" s="13"/>
    </row>
    <row r="262" spans="9:9" ht="18" customHeight="1" x14ac:dyDescent="0.35">
      <c r="I262" s="13"/>
    </row>
    <row r="263" spans="9:9" ht="18" customHeight="1" x14ac:dyDescent="0.35">
      <c r="I263" s="13"/>
    </row>
    <row r="264" spans="9:9" ht="18" customHeight="1" x14ac:dyDescent="0.35">
      <c r="I264" s="13"/>
    </row>
    <row r="265" spans="9:9" ht="18" customHeight="1" x14ac:dyDescent="0.35">
      <c r="I265" s="13"/>
    </row>
    <row r="266" spans="9:9" ht="18" customHeight="1" x14ac:dyDescent="0.35">
      <c r="I266" s="13"/>
    </row>
    <row r="267" spans="9:9" ht="18" customHeight="1" x14ac:dyDescent="0.35">
      <c r="I267" s="13"/>
    </row>
    <row r="268" spans="9:9" ht="18" customHeight="1" x14ac:dyDescent="0.35">
      <c r="I268" s="13"/>
    </row>
    <row r="269" spans="9:9" ht="18" customHeight="1" x14ac:dyDescent="0.35">
      <c r="I269" s="13"/>
    </row>
    <row r="270" spans="9:9" ht="18" customHeight="1" x14ac:dyDescent="0.35">
      <c r="I270" s="13"/>
    </row>
    <row r="271" spans="9:9" ht="18" customHeight="1" x14ac:dyDescent="0.35">
      <c r="I271" s="13"/>
    </row>
    <row r="272" spans="9:9" ht="18" customHeight="1" x14ac:dyDescent="0.35">
      <c r="I272" s="13"/>
    </row>
    <row r="273" spans="9:9" ht="18" customHeight="1" x14ac:dyDescent="0.35">
      <c r="I273" s="13"/>
    </row>
    <row r="274" spans="9:9" ht="18" customHeight="1" x14ac:dyDescent="0.35">
      <c r="I274" s="13"/>
    </row>
    <row r="275" spans="9:9" ht="18" customHeight="1" x14ac:dyDescent="0.35">
      <c r="I275" s="13"/>
    </row>
    <row r="276" spans="9:9" ht="18" customHeight="1" x14ac:dyDescent="0.35">
      <c r="I276" s="13"/>
    </row>
    <row r="277" spans="9:9" ht="18" customHeight="1" x14ac:dyDescent="0.35">
      <c r="I277" s="13"/>
    </row>
    <row r="278" spans="9:9" ht="18" customHeight="1" x14ac:dyDescent="0.35">
      <c r="I278" s="13"/>
    </row>
    <row r="279" spans="9:9" ht="18" customHeight="1" x14ac:dyDescent="0.35">
      <c r="I279" s="13"/>
    </row>
    <row r="280" spans="9:9" ht="18" customHeight="1" x14ac:dyDescent="0.35">
      <c r="I280" s="13"/>
    </row>
    <row r="281" spans="9:9" ht="18" customHeight="1" x14ac:dyDescent="0.35">
      <c r="I281" s="13"/>
    </row>
    <row r="282" spans="9:9" ht="18" customHeight="1" x14ac:dyDescent="0.35">
      <c r="I282" s="13"/>
    </row>
    <row r="283" spans="9:9" ht="18" customHeight="1" x14ac:dyDescent="0.35">
      <c r="I283" s="13"/>
    </row>
    <row r="284" spans="9:9" ht="18" customHeight="1" x14ac:dyDescent="0.35">
      <c r="I284" s="13"/>
    </row>
    <row r="285" spans="9:9" ht="18" customHeight="1" x14ac:dyDescent="0.35">
      <c r="I285" s="13"/>
    </row>
    <row r="286" spans="9:9" ht="18" customHeight="1" x14ac:dyDescent="0.35">
      <c r="I286" s="13"/>
    </row>
    <row r="287" spans="9:9" ht="18" customHeight="1" x14ac:dyDescent="0.35">
      <c r="I287" s="13"/>
    </row>
    <row r="288" spans="9:9" ht="18" customHeight="1" x14ac:dyDescent="0.35">
      <c r="I288" s="13"/>
    </row>
    <row r="289" spans="9:9" ht="18" customHeight="1" x14ac:dyDescent="0.35">
      <c r="I289" s="13"/>
    </row>
    <row r="290" spans="9:9" ht="18" customHeight="1" x14ac:dyDescent="0.35">
      <c r="I290" s="13"/>
    </row>
    <row r="291" spans="9:9" ht="18" customHeight="1" x14ac:dyDescent="0.35">
      <c r="I291" s="13"/>
    </row>
    <row r="292" spans="9:9" ht="18" customHeight="1" x14ac:dyDescent="0.35">
      <c r="I292" s="13"/>
    </row>
    <row r="293" spans="9:9" ht="18" customHeight="1" x14ac:dyDescent="0.35">
      <c r="I293" s="13"/>
    </row>
    <row r="294" spans="9:9" ht="18" customHeight="1" x14ac:dyDescent="0.35">
      <c r="I294" s="13"/>
    </row>
    <row r="295" spans="9:9" ht="18" customHeight="1" x14ac:dyDescent="0.35">
      <c r="I295" s="13"/>
    </row>
    <row r="296" spans="9:9" ht="18" customHeight="1" x14ac:dyDescent="0.35">
      <c r="I296" s="13"/>
    </row>
    <row r="297" spans="9:9" ht="18" customHeight="1" x14ac:dyDescent="0.35">
      <c r="I297" s="13"/>
    </row>
    <row r="298" spans="9:9" ht="18" customHeight="1" x14ac:dyDescent="0.35">
      <c r="I298" s="13"/>
    </row>
    <row r="299" spans="9:9" ht="18" customHeight="1" x14ac:dyDescent="0.35">
      <c r="I299" s="13"/>
    </row>
    <row r="300" spans="9:9" ht="18" customHeight="1" x14ac:dyDescent="0.35">
      <c r="I300" s="13"/>
    </row>
    <row r="301" spans="9:9" ht="18" customHeight="1" x14ac:dyDescent="0.35">
      <c r="I301" s="13"/>
    </row>
    <row r="302" spans="9:9" ht="18" customHeight="1" x14ac:dyDescent="0.35">
      <c r="I302" s="13"/>
    </row>
    <row r="303" spans="9:9" ht="18" customHeight="1" x14ac:dyDescent="0.35">
      <c r="I303" s="13"/>
    </row>
    <row r="304" spans="9:9" ht="18" customHeight="1" x14ac:dyDescent="0.35">
      <c r="I304" s="13"/>
    </row>
    <row r="305" spans="9:9" ht="18" customHeight="1" x14ac:dyDescent="0.35">
      <c r="I305" s="13"/>
    </row>
    <row r="306" spans="9:9" ht="18" customHeight="1" x14ac:dyDescent="0.35">
      <c r="I306" s="13"/>
    </row>
    <row r="307" spans="9:9" ht="18" customHeight="1" x14ac:dyDescent="0.35">
      <c r="I307" s="13"/>
    </row>
    <row r="308" spans="9:9" ht="18" customHeight="1" x14ac:dyDescent="0.35">
      <c r="I308" s="13"/>
    </row>
    <row r="309" spans="9:9" ht="18" customHeight="1" x14ac:dyDescent="0.35">
      <c r="I309" s="13"/>
    </row>
    <row r="310" spans="9:9" ht="18" customHeight="1" x14ac:dyDescent="0.35">
      <c r="I310" s="13"/>
    </row>
    <row r="311" spans="9:9" ht="18" customHeight="1" x14ac:dyDescent="0.35">
      <c r="I311" s="13"/>
    </row>
    <row r="312" spans="9:9" ht="18" customHeight="1" x14ac:dyDescent="0.35">
      <c r="I312" s="13"/>
    </row>
    <row r="313" spans="9:9" ht="18" customHeight="1" x14ac:dyDescent="0.35">
      <c r="I313" s="13"/>
    </row>
    <row r="314" spans="9:9" ht="18" customHeight="1" x14ac:dyDescent="0.35">
      <c r="I314" s="13"/>
    </row>
    <row r="315" spans="9:9" ht="18" customHeight="1" x14ac:dyDescent="0.35">
      <c r="I315" s="13"/>
    </row>
    <row r="316" spans="9:9" ht="18" customHeight="1" x14ac:dyDescent="0.35">
      <c r="I316" s="13"/>
    </row>
    <row r="317" spans="9:9" ht="18" customHeight="1" x14ac:dyDescent="0.35">
      <c r="I317" s="13"/>
    </row>
    <row r="318" spans="9:9" ht="18" customHeight="1" x14ac:dyDescent="0.35">
      <c r="I318" s="13"/>
    </row>
    <row r="319" spans="9:9" ht="18" customHeight="1" x14ac:dyDescent="0.35">
      <c r="I319" s="13"/>
    </row>
    <row r="320" spans="9:9" ht="18" customHeight="1" x14ac:dyDescent="0.35">
      <c r="I320" s="13"/>
    </row>
    <row r="321" spans="9:9" ht="18" customHeight="1" x14ac:dyDescent="0.35">
      <c r="I321" s="13"/>
    </row>
    <row r="322" spans="9:9" ht="18" customHeight="1" x14ac:dyDescent="0.35">
      <c r="I322" s="13"/>
    </row>
    <row r="323" spans="9:9" ht="18" customHeight="1" x14ac:dyDescent="0.35">
      <c r="I323" s="13"/>
    </row>
    <row r="324" spans="9:9" ht="18" customHeight="1" x14ac:dyDescent="0.35">
      <c r="I324" s="13"/>
    </row>
    <row r="325" spans="9:9" ht="18" customHeight="1" x14ac:dyDescent="0.35">
      <c r="I325" s="13"/>
    </row>
    <row r="326" spans="9:9" ht="18" customHeight="1" x14ac:dyDescent="0.35">
      <c r="I326" s="13"/>
    </row>
    <row r="327" spans="9:9" ht="18" customHeight="1" x14ac:dyDescent="0.35">
      <c r="I327" s="13"/>
    </row>
    <row r="328" spans="9:9" ht="18" customHeight="1" x14ac:dyDescent="0.35">
      <c r="I328" s="13"/>
    </row>
    <row r="329" spans="9:9" ht="18" customHeight="1" x14ac:dyDescent="0.35">
      <c r="I329" s="13"/>
    </row>
    <row r="330" spans="9:9" ht="18" customHeight="1" x14ac:dyDescent="0.35">
      <c r="I330" s="13"/>
    </row>
    <row r="331" spans="9:9" ht="18" customHeight="1" x14ac:dyDescent="0.35">
      <c r="I331" s="13"/>
    </row>
    <row r="332" spans="9:9" ht="18" customHeight="1" x14ac:dyDescent="0.35">
      <c r="I332" s="13"/>
    </row>
    <row r="333" spans="9:9" ht="18" customHeight="1" x14ac:dyDescent="0.35">
      <c r="I333" s="13"/>
    </row>
    <row r="334" spans="9:9" ht="18" customHeight="1" x14ac:dyDescent="0.35">
      <c r="I334" s="13"/>
    </row>
    <row r="335" spans="9:9" ht="18" customHeight="1" x14ac:dyDescent="0.35">
      <c r="I335" s="13"/>
    </row>
    <row r="336" spans="9:9" ht="18" customHeight="1" x14ac:dyDescent="0.35">
      <c r="I336" s="13"/>
    </row>
    <row r="337" spans="9:9" ht="18" customHeight="1" x14ac:dyDescent="0.35">
      <c r="I337" s="13"/>
    </row>
    <row r="338" spans="9:9" ht="18" customHeight="1" x14ac:dyDescent="0.35">
      <c r="I338" s="13"/>
    </row>
    <row r="339" spans="9:9" ht="18" customHeight="1" x14ac:dyDescent="0.35">
      <c r="I339" s="13"/>
    </row>
    <row r="340" spans="9:9" ht="18" customHeight="1" x14ac:dyDescent="0.35">
      <c r="I340" s="13"/>
    </row>
    <row r="341" spans="9:9" ht="18" customHeight="1" x14ac:dyDescent="0.35">
      <c r="I341" s="13"/>
    </row>
    <row r="342" spans="9:9" ht="18" customHeight="1" x14ac:dyDescent="0.35">
      <c r="I342" s="13"/>
    </row>
    <row r="343" spans="9:9" ht="18" customHeight="1" x14ac:dyDescent="0.35">
      <c r="I343" s="13"/>
    </row>
    <row r="344" spans="9:9" ht="18" customHeight="1" x14ac:dyDescent="0.35">
      <c r="I344" s="13"/>
    </row>
    <row r="345" spans="9:9" ht="18" customHeight="1" x14ac:dyDescent="0.35">
      <c r="I345" s="13"/>
    </row>
    <row r="346" spans="9:9" ht="18" customHeight="1" x14ac:dyDescent="0.35">
      <c r="I346" s="13"/>
    </row>
    <row r="347" spans="9:9" ht="18" customHeight="1" x14ac:dyDescent="0.35">
      <c r="I347" s="13"/>
    </row>
    <row r="348" spans="9:9" ht="18" customHeight="1" x14ac:dyDescent="0.35">
      <c r="I348" s="13"/>
    </row>
    <row r="349" spans="9:9" ht="18" customHeight="1" x14ac:dyDescent="0.35">
      <c r="I349" s="13"/>
    </row>
    <row r="350" spans="9:9" ht="18" customHeight="1" x14ac:dyDescent="0.35">
      <c r="I350" s="13"/>
    </row>
    <row r="351" spans="9:9" ht="18" customHeight="1" x14ac:dyDescent="0.35">
      <c r="I351" s="13"/>
    </row>
    <row r="352" spans="9:9" ht="18" customHeight="1" x14ac:dyDescent="0.35">
      <c r="I352" s="13"/>
    </row>
    <row r="353" spans="9:9" ht="18" customHeight="1" x14ac:dyDescent="0.35">
      <c r="I353" s="13"/>
    </row>
    <row r="354" spans="9:9" ht="18" customHeight="1" x14ac:dyDescent="0.35">
      <c r="I354" s="13"/>
    </row>
    <row r="355" spans="9:9" ht="18" customHeight="1" x14ac:dyDescent="0.35">
      <c r="I355" s="13"/>
    </row>
    <row r="356" spans="9:9" ht="18" customHeight="1" x14ac:dyDescent="0.35">
      <c r="I356" s="13"/>
    </row>
    <row r="357" spans="9:9" ht="18" customHeight="1" x14ac:dyDescent="0.35">
      <c r="I357" s="13"/>
    </row>
    <row r="358" spans="9:9" ht="18" customHeight="1" x14ac:dyDescent="0.35">
      <c r="I358" s="13"/>
    </row>
    <row r="359" spans="9:9" ht="18" customHeight="1" x14ac:dyDescent="0.35">
      <c r="I359" s="13"/>
    </row>
    <row r="360" spans="9:9" ht="18" customHeight="1" x14ac:dyDescent="0.35">
      <c r="I360" s="13"/>
    </row>
    <row r="361" spans="9:9" ht="18" customHeight="1" x14ac:dyDescent="0.35">
      <c r="I361" s="13"/>
    </row>
    <row r="362" spans="9:9" ht="18" customHeight="1" x14ac:dyDescent="0.35">
      <c r="I362" s="13"/>
    </row>
    <row r="363" spans="9:9" ht="18" customHeight="1" x14ac:dyDescent="0.35">
      <c r="I363" s="13"/>
    </row>
    <row r="364" spans="9:9" ht="18" customHeight="1" x14ac:dyDescent="0.35">
      <c r="I364" s="13"/>
    </row>
    <row r="365" spans="9:9" ht="18" customHeight="1" x14ac:dyDescent="0.35">
      <c r="I365" s="13"/>
    </row>
    <row r="366" spans="9:9" ht="18" customHeight="1" x14ac:dyDescent="0.35">
      <c r="I366" s="13"/>
    </row>
    <row r="367" spans="9:9" ht="18" customHeight="1" x14ac:dyDescent="0.35">
      <c r="I367" s="13"/>
    </row>
    <row r="368" spans="9:9" ht="18" customHeight="1" x14ac:dyDescent="0.35">
      <c r="I368" s="13"/>
    </row>
    <row r="369" spans="9:9" ht="18" customHeight="1" x14ac:dyDescent="0.35">
      <c r="I369" s="13"/>
    </row>
    <row r="370" spans="9:9" ht="18" customHeight="1" x14ac:dyDescent="0.35">
      <c r="I370" s="13"/>
    </row>
    <row r="371" spans="9:9" ht="18" customHeight="1" x14ac:dyDescent="0.35">
      <c r="I371" s="13"/>
    </row>
    <row r="372" spans="9:9" ht="18" customHeight="1" x14ac:dyDescent="0.35">
      <c r="I372" s="13"/>
    </row>
    <row r="373" spans="9:9" ht="18" customHeight="1" x14ac:dyDescent="0.35">
      <c r="I373" s="13"/>
    </row>
    <row r="374" spans="9:9" ht="18" customHeight="1" x14ac:dyDescent="0.35">
      <c r="I374" s="13"/>
    </row>
    <row r="375" spans="9:9" ht="18" customHeight="1" x14ac:dyDescent="0.35">
      <c r="I375" s="13"/>
    </row>
    <row r="376" spans="9:9" ht="18" customHeight="1" x14ac:dyDescent="0.35">
      <c r="I376" s="13"/>
    </row>
    <row r="377" spans="9:9" ht="18" customHeight="1" x14ac:dyDescent="0.35">
      <c r="I377" s="13"/>
    </row>
    <row r="378" spans="9:9" ht="18" customHeight="1" x14ac:dyDescent="0.35">
      <c r="I378" s="13"/>
    </row>
    <row r="379" spans="9:9" ht="18" customHeight="1" x14ac:dyDescent="0.35">
      <c r="I379" s="13"/>
    </row>
    <row r="380" spans="9:9" ht="18" customHeight="1" x14ac:dyDescent="0.35">
      <c r="I380" s="13"/>
    </row>
    <row r="381" spans="9:9" ht="18" customHeight="1" x14ac:dyDescent="0.35">
      <c r="I381" s="13"/>
    </row>
    <row r="382" spans="9:9" ht="18" customHeight="1" x14ac:dyDescent="0.35">
      <c r="I382" s="13"/>
    </row>
    <row r="383" spans="9:9" ht="18" customHeight="1" x14ac:dyDescent="0.35">
      <c r="I383" s="13"/>
    </row>
    <row r="384" spans="9:9" ht="18" customHeight="1" x14ac:dyDescent="0.35">
      <c r="I384" s="13"/>
    </row>
    <row r="385" spans="9:9" ht="18" customHeight="1" x14ac:dyDescent="0.35">
      <c r="I385" s="13"/>
    </row>
    <row r="386" spans="9:9" ht="18" customHeight="1" x14ac:dyDescent="0.35">
      <c r="I386" s="13"/>
    </row>
    <row r="387" spans="9:9" ht="18" customHeight="1" x14ac:dyDescent="0.35">
      <c r="I387" s="13"/>
    </row>
    <row r="388" spans="9:9" ht="18" customHeight="1" x14ac:dyDescent="0.35">
      <c r="I388" s="13"/>
    </row>
    <row r="389" spans="9:9" ht="18" customHeight="1" x14ac:dyDescent="0.35">
      <c r="I389" s="13"/>
    </row>
    <row r="390" spans="9:9" ht="18" customHeight="1" x14ac:dyDescent="0.35">
      <c r="I390" s="13"/>
    </row>
    <row r="391" spans="9:9" ht="18" customHeight="1" x14ac:dyDescent="0.35">
      <c r="I391" s="13"/>
    </row>
    <row r="392" spans="9:9" ht="18" customHeight="1" x14ac:dyDescent="0.35">
      <c r="I392" s="13"/>
    </row>
    <row r="393" spans="9:9" ht="18" customHeight="1" x14ac:dyDescent="0.35">
      <c r="I393" s="13"/>
    </row>
    <row r="394" spans="9:9" ht="18" customHeight="1" x14ac:dyDescent="0.35">
      <c r="I394" s="13"/>
    </row>
    <row r="395" spans="9:9" ht="18" customHeight="1" x14ac:dyDescent="0.35">
      <c r="I395" s="13"/>
    </row>
    <row r="396" spans="9:9" ht="18" customHeight="1" x14ac:dyDescent="0.35">
      <c r="I396" s="13"/>
    </row>
    <row r="397" spans="9:9" ht="18" customHeight="1" x14ac:dyDescent="0.35">
      <c r="I397" s="13"/>
    </row>
    <row r="398" spans="9:9" ht="18" customHeight="1" x14ac:dyDescent="0.35">
      <c r="I398" s="13"/>
    </row>
    <row r="399" spans="9:9" ht="18" customHeight="1" x14ac:dyDescent="0.35">
      <c r="I399" s="13"/>
    </row>
    <row r="400" spans="9:9" ht="18" customHeight="1" x14ac:dyDescent="0.35">
      <c r="I400" s="13"/>
    </row>
    <row r="401" spans="9:9" ht="18" customHeight="1" x14ac:dyDescent="0.35">
      <c r="I401" s="13"/>
    </row>
    <row r="402" spans="9:9" ht="18" customHeight="1" x14ac:dyDescent="0.35">
      <c r="I402" s="13"/>
    </row>
    <row r="403" spans="9:9" ht="18" customHeight="1" x14ac:dyDescent="0.35">
      <c r="I403" s="13"/>
    </row>
    <row r="404" spans="9:9" ht="18" customHeight="1" x14ac:dyDescent="0.35">
      <c r="I404" s="13"/>
    </row>
    <row r="405" spans="9:9" ht="18" customHeight="1" x14ac:dyDescent="0.35">
      <c r="I405" s="13"/>
    </row>
    <row r="406" spans="9:9" ht="18" customHeight="1" x14ac:dyDescent="0.35">
      <c r="I406" s="13"/>
    </row>
    <row r="407" spans="9:9" ht="18" customHeight="1" x14ac:dyDescent="0.35">
      <c r="I407" s="13"/>
    </row>
    <row r="408" spans="9:9" ht="18" customHeight="1" x14ac:dyDescent="0.35">
      <c r="I408" s="13"/>
    </row>
    <row r="409" spans="9:9" ht="18" customHeight="1" x14ac:dyDescent="0.35">
      <c r="I409" s="13"/>
    </row>
    <row r="410" spans="9:9" ht="18" customHeight="1" x14ac:dyDescent="0.35">
      <c r="I410" s="13"/>
    </row>
    <row r="411" spans="9:9" ht="18" customHeight="1" x14ac:dyDescent="0.35">
      <c r="I411" s="13"/>
    </row>
    <row r="412" spans="9:9" ht="18" customHeight="1" x14ac:dyDescent="0.35">
      <c r="I412" s="13"/>
    </row>
    <row r="413" spans="9:9" ht="18" customHeight="1" x14ac:dyDescent="0.35">
      <c r="I413" s="13"/>
    </row>
    <row r="414" spans="9:9" ht="18" customHeight="1" x14ac:dyDescent="0.35">
      <c r="I414" s="13"/>
    </row>
    <row r="415" spans="9:9" ht="18" customHeight="1" x14ac:dyDescent="0.35">
      <c r="I415" s="13"/>
    </row>
    <row r="416" spans="9:9" ht="18" customHeight="1" x14ac:dyDescent="0.35">
      <c r="I416" s="13"/>
    </row>
    <row r="417" spans="9:9" ht="18" customHeight="1" x14ac:dyDescent="0.35">
      <c r="I417" s="13"/>
    </row>
    <row r="418" spans="9:9" ht="18" customHeight="1" x14ac:dyDescent="0.35">
      <c r="I418" s="13"/>
    </row>
    <row r="419" spans="9:9" ht="18" customHeight="1" x14ac:dyDescent="0.35">
      <c r="I419" s="13"/>
    </row>
    <row r="420" spans="9:9" ht="18" customHeight="1" x14ac:dyDescent="0.35">
      <c r="I420" s="13"/>
    </row>
    <row r="421" spans="9:9" ht="18" customHeight="1" x14ac:dyDescent="0.35">
      <c r="I421" s="13"/>
    </row>
    <row r="422" spans="9:9" ht="18" customHeight="1" x14ac:dyDescent="0.35">
      <c r="I422" s="13"/>
    </row>
    <row r="423" spans="9:9" ht="18" customHeight="1" x14ac:dyDescent="0.35">
      <c r="I423" s="13"/>
    </row>
    <row r="424" spans="9:9" ht="18" customHeight="1" x14ac:dyDescent="0.35">
      <c r="I424" s="13"/>
    </row>
    <row r="425" spans="9:9" ht="18" customHeight="1" x14ac:dyDescent="0.35">
      <c r="I425" s="13"/>
    </row>
    <row r="426" spans="9:9" ht="18" customHeight="1" x14ac:dyDescent="0.35">
      <c r="I426" s="13"/>
    </row>
    <row r="427" spans="9:9" ht="18" customHeight="1" x14ac:dyDescent="0.35">
      <c r="I427" s="13"/>
    </row>
    <row r="428" spans="9:9" ht="18" customHeight="1" x14ac:dyDescent="0.35">
      <c r="I428" s="13"/>
    </row>
    <row r="429" spans="9:9" ht="18" customHeight="1" x14ac:dyDescent="0.35">
      <c r="I429" s="13"/>
    </row>
    <row r="430" spans="9:9" ht="18" customHeight="1" x14ac:dyDescent="0.35">
      <c r="I430" s="13"/>
    </row>
    <row r="431" spans="9:9" ht="18" customHeight="1" x14ac:dyDescent="0.35">
      <c r="I431" s="13"/>
    </row>
    <row r="432" spans="9:9" ht="18" customHeight="1" x14ac:dyDescent="0.35">
      <c r="I432" s="13"/>
    </row>
    <row r="433" spans="9:9" ht="18" customHeight="1" x14ac:dyDescent="0.35">
      <c r="I433" s="13"/>
    </row>
    <row r="434" spans="9:9" ht="18" customHeight="1" x14ac:dyDescent="0.35">
      <c r="I434" s="13"/>
    </row>
    <row r="435" spans="9:9" ht="18" customHeight="1" x14ac:dyDescent="0.35">
      <c r="I435" s="13"/>
    </row>
    <row r="436" spans="9:9" ht="18" customHeight="1" x14ac:dyDescent="0.35">
      <c r="I436" s="13"/>
    </row>
    <row r="437" spans="9:9" ht="18" customHeight="1" x14ac:dyDescent="0.35">
      <c r="I437" s="13"/>
    </row>
    <row r="438" spans="9:9" ht="18" customHeight="1" x14ac:dyDescent="0.35">
      <c r="I438" s="13"/>
    </row>
    <row r="439" spans="9:9" ht="18" customHeight="1" x14ac:dyDescent="0.35">
      <c r="I439" s="13"/>
    </row>
    <row r="440" spans="9:9" ht="18" customHeight="1" x14ac:dyDescent="0.35">
      <c r="I440" s="13"/>
    </row>
    <row r="441" spans="9:9" ht="18" customHeight="1" x14ac:dyDescent="0.35">
      <c r="I441" s="13"/>
    </row>
    <row r="442" spans="9:9" ht="18" customHeight="1" x14ac:dyDescent="0.35">
      <c r="I442" s="13"/>
    </row>
    <row r="443" spans="9:9" ht="18" customHeight="1" x14ac:dyDescent="0.35">
      <c r="I443" s="13"/>
    </row>
    <row r="444" spans="9:9" ht="18" customHeight="1" x14ac:dyDescent="0.35">
      <c r="I444" s="13"/>
    </row>
    <row r="445" spans="9:9" ht="18" customHeight="1" x14ac:dyDescent="0.35">
      <c r="I445" s="13"/>
    </row>
    <row r="446" spans="9:9" ht="18" customHeight="1" x14ac:dyDescent="0.35">
      <c r="I446" s="13"/>
    </row>
    <row r="447" spans="9:9" ht="18" customHeight="1" x14ac:dyDescent="0.35">
      <c r="I447" s="13"/>
    </row>
    <row r="448" spans="9:9" ht="18" customHeight="1" x14ac:dyDescent="0.35">
      <c r="I448" s="13"/>
    </row>
    <row r="449" spans="9:9" ht="18" customHeight="1" x14ac:dyDescent="0.35">
      <c r="I449" s="13"/>
    </row>
    <row r="450" spans="9:9" ht="18" customHeight="1" x14ac:dyDescent="0.35">
      <c r="I450" s="13"/>
    </row>
    <row r="451" spans="9:9" ht="18" customHeight="1" x14ac:dyDescent="0.35">
      <c r="I451" s="13"/>
    </row>
    <row r="452" spans="9:9" ht="18" customHeight="1" x14ac:dyDescent="0.35">
      <c r="I452" s="13"/>
    </row>
    <row r="453" spans="9:9" ht="18" customHeight="1" x14ac:dyDescent="0.35">
      <c r="I453" s="13"/>
    </row>
    <row r="454" spans="9:9" ht="18" customHeight="1" x14ac:dyDescent="0.35">
      <c r="I454" s="13"/>
    </row>
    <row r="455" spans="9:9" ht="18" customHeight="1" x14ac:dyDescent="0.35">
      <c r="I455" s="13"/>
    </row>
    <row r="456" spans="9:9" ht="18" customHeight="1" x14ac:dyDescent="0.35">
      <c r="I456" s="13"/>
    </row>
    <row r="457" spans="9:9" ht="18" customHeight="1" x14ac:dyDescent="0.35">
      <c r="I457" s="13"/>
    </row>
    <row r="458" spans="9:9" ht="18" customHeight="1" x14ac:dyDescent="0.35">
      <c r="I458" s="13"/>
    </row>
    <row r="459" spans="9:9" ht="18" customHeight="1" x14ac:dyDescent="0.35">
      <c r="I459" s="13"/>
    </row>
    <row r="460" spans="9:9" ht="18" customHeight="1" x14ac:dyDescent="0.35">
      <c r="I460" s="13"/>
    </row>
    <row r="461" spans="9:9" ht="18" customHeight="1" x14ac:dyDescent="0.35">
      <c r="I461" s="13"/>
    </row>
    <row r="462" spans="9:9" ht="18" customHeight="1" x14ac:dyDescent="0.35">
      <c r="I462" s="13"/>
    </row>
    <row r="463" spans="9:9" ht="18" customHeight="1" x14ac:dyDescent="0.35">
      <c r="I463" s="13"/>
    </row>
    <row r="464" spans="9:9" ht="18" customHeight="1" x14ac:dyDescent="0.35">
      <c r="I464" s="13"/>
    </row>
    <row r="465" spans="9:9" ht="18" customHeight="1" x14ac:dyDescent="0.35">
      <c r="I465" s="13"/>
    </row>
    <row r="466" spans="9:9" ht="18" customHeight="1" x14ac:dyDescent="0.35">
      <c r="I466" s="13"/>
    </row>
    <row r="467" spans="9:9" ht="18" customHeight="1" x14ac:dyDescent="0.35">
      <c r="I467" s="13"/>
    </row>
    <row r="468" spans="9:9" ht="18" customHeight="1" x14ac:dyDescent="0.35">
      <c r="I468" s="13"/>
    </row>
    <row r="469" spans="9:9" ht="18" customHeight="1" x14ac:dyDescent="0.35">
      <c r="I469" s="13"/>
    </row>
    <row r="470" spans="9:9" ht="18" customHeight="1" x14ac:dyDescent="0.35">
      <c r="I470" s="13"/>
    </row>
    <row r="471" spans="9:9" ht="18" customHeight="1" x14ac:dyDescent="0.35">
      <c r="I471" s="13"/>
    </row>
    <row r="472" spans="9:9" ht="18" customHeight="1" x14ac:dyDescent="0.35">
      <c r="I472" s="13"/>
    </row>
    <row r="473" spans="9:9" ht="18" customHeight="1" x14ac:dyDescent="0.35">
      <c r="I473" s="13"/>
    </row>
    <row r="474" spans="9:9" ht="18" customHeight="1" x14ac:dyDescent="0.35">
      <c r="I474" s="13"/>
    </row>
    <row r="475" spans="9:9" ht="18" customHeight="1" x14ac:dyDescent="0.35">
      <c r="I475" s="13"/>
    </row>
    <row r="476" spans="9:9" ht="18" customHeight="1" x14ac:dyDescent="0.35">
      <c r="I476" s="13"/>
    </row>
    <row r="477" spans="9:9" ht="18" customHeight="1" x14ac:dyDescent="0.35">
      <c r="I477" s="13"/>
    </row>
    <row r="478" spans="9:9" ht="18" customHeight="1" x14ac:dyDescent="0.35">
      <c r="I478" s="13"/>
    </row>
    <row r="479" spans="9:9" ht="18" customHeight="1" x14ac:dyDescent="0.35">
      <c r="I479" s="13"/>
    </row>
    <row r="480" spans="9:9" ht="18" customHeight="1" x14ac:dyDescent="0.35">
      <c r="I480" s="13"/>
    </row>
    <row r="481" spans="9:9" ht="18" customHeight="1" x14ac:dyDescent="0.35">
      <c r="I481" s="13"/>
    </row>
    <row r="482" spans="9:9" ht="18" customHeight="1" x14ac:dyDescent="0.35">
      <c r="I482" s="13"/>
    </row>
    <row r="483" spans="9:9" ht="18" customHeight="1" x14ac:dyDescent="0.35">
      <c r="I483" s="13"/>
    </row>
    <row r="484" spans="9:9" ht="18" customHeight="1" x14ac:dyDescent="0.35">
      <c r="I484" s="13"/>
    </row>
    <row r="485" spans="9:9" ht="18" customHeight="1" x14ac:dyDescent="0.35">
      <c r="I485" s="13"/>
    </row>
    <row r="486" spans="9:9" ht="18" customHeight="1" x14ac:dyDescent="0.35">
      <c r="I486" s="13"/>
    </row>
    <row r="487" spans="9:9" ht="18" customHeight="1" x14ac:dyDescent="0.35">
      <c r="I487" s="13"/>
    </row>
    <row r="488" spans="9:9" ht="18" customHeight="1" x14ac:dyDescent="0.35">
      <c r="I488" s="13"/>
    </row>
    <row r="489" spans="9:9" ht="18" customHeight="1" x14ac:dyDescent="0.35">
      <c r="I489" s="13"/>
    </row>
    <row r="490" spans="9:9" ht="18" customHeight="1" x14ac:dyDescent="0.35">
      <c r="I490" s="13"/>
    </row>
    <row r="491" spans="9:9" ht="18" customHeight="1" x14ac:dyDescent="0.35">
      <c r="I491" s="13"/>
    </row>
    <row r="492" spans="9:9" ht="18" customHeight="1" x14ac:dyDescent="0.35">
      <c r="I492" s="13"/>
    </row>
    <row r="493" spans="9:9" ht="18" customHeight="1" x14ac:dyDescent="0.35">
      <c r="I493" s="13"/>
    </row>
    <row r="494" spans="9:9" ht="18" customHeight="1" x14ac:dyDescent="0.35">
      <c r="I494" s="13"/>
    </row>
    <row r="495" spans="9:9" ht="18" customHeight="1" x14ac:dyDescent="0.35">
      <c r="I495" s="13"/>
    </row>
    <row r="496" spans="9:9" ht="18" customHeight="1" x14ac:dyDescent="0.35">
      <c r="I496" s="13"/>
    </row>
    <row r="497" spans="9:9" ht="18" customHeight="1" x14ac:dyDescent="0.35">
      <c r="I497" s="13"/>
    </row>
    <row r="498" spans="9:9" ht="18" customHeight="1" x14ac:dyDescent="0.35">
      <c r="I498" s="13"/>
    </row>
    <row r="499" spans="9:9" ht="18" customHeight="1" x14ac:dyDescent="0.35">
      <c r="I499" s="13"/>
    </row>
    <row r="500" spans="9:9" ht="18" customHeight="1" x14ac:dyDescent="0.35">
      <c r="I500" s="13"/>
    </row>
  </sheetData>
  <mergeCells count="3">
    <mergeCell ref="C1:D1"/>
    <mergeCell ref="A1:B1"/>
    <mergeCell ref="E1:H1"/>
  </mergeCells>
  <dataValidations count="1">
    <dataValidation type="list" allowBlank="1" showErrorMessage="1" errorTitle="CATEGORIA inválida" error="Valores: reclamo, compromiso, exoneracion, otros — o dejar vacío (pago normal)." sqref="K4:K500" xr:uid="{00000000-0002-0000-0200-000000000000}">
      <formula1>"reclamo,compromiso,exoneracion,otros"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registro_1</vt:lpstr>
      <vt:lpstr>registro_2</vt:lpstr>
      <vt:lpstr>registro_3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wilder trujillo rosales</cp:lastModifiedBy>
  <dcterms:created xsi:type="dcterms:W3CDTF">2026-07-03T10:08:54Z</dcterms:created>
  <dcterms:modified xsi:type="dcterms:W3CDTF">2026-07-21T15:52:36Z</dcterms:modified>
</cp:coreProperties>
</file>