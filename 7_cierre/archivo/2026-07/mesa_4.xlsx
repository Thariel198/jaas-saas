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3904465D-0626-4D07-A1FE-E8F6DC750A12}" xr6:coauthVersionLast="47" xr6:coauthVersionMax="47" xr10:uidLastSave="{00000000-0000-0000-0000-000000000000}"/>
  <bookViews>
    <workbookView xWindow="-26130" yWindow="2670" windowWidth="21600" windowHeight="11175" xr2:uid="{00000000-000D-0000-FFFF-FFFF00000000}"/>
  </bookViews>
  <sheets>
    <sheet name="registro_1" sheetId="1" r:id="rId1"/>
    <sheet name="registro_2" sheetId="2" r:id="rId2"/>
    <sheet name="registro_3" sheetId="3" r:id="rId3"/>
  </sheets>
  <definedNames>
    <definedName name="_xlnm._FilterDatabase" localSheetId="0" hidden="1">registro_1!$A$2:$N$93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2" i="1" l="1"/>
  <c r="M52" i="1"/>
  <c r="L27" i="1"/>
  <c r="L93" i="1"/>
  <c r="L77" i="1"/>
  <c r="N52" i="1" l="1"/>
</calcChain>
</file>

<file path=xl/sharedStrings.xml><?xml version="1.0" encoding="utf-8"?>
<sst xmlns="http://schemas.openxmlformats.org/spreadsheetml/2006/main" count="408" uniqueCount="132">
  <si>
    <t>¿Quién cobró?</t>
  </si>
  <si>
    <t>¿Dónde vive?</t>
  </si>
  <si>
    <t>¿Cuánto y cuándo?</t>
  </si>
  <si>
    <t>¿Alguna nota?</t>
  </si>
  <si>
    <t>¿Qué tipo?</t>
  </si>
  <si>
    <t>¿Qué pasó?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</si>
  <si>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</si>
  <si>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</si>
  <si>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</si>
  <si>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</si>
  <si>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</si>
  <si>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</si>
  <si>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</si>
  <si>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</si>
  <si>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</si>
  <si>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</si>
  <si>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CATEGORIA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</si>
  <si>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</si>
  <si>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</si>
  <si>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</si>
  <si>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</si>
  <si>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</si>
  <si>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</si>
  <si>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</si>
  <si>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</si>
  <si>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Wagner Trujillo</t>
  </si>
  <si>
    <t>E</t>
  </si>
  <si>
    <t>G</t>
  </si>
  <si>
    <t>reclamo</t>
  </si>
  <si>
    <t>C</t>
  </si>
  <si>
    <t>O</t>
  </si>
  <si>
    <t>L</t>
  </si>
  <si>
    <t>P</t>
  </si>
  <si>
    <t>N</t>
  </si>
  <si>
    <t>M</t>
  </si>
  <si>
    <t>H</t>
  </si>
  <si>
    <t>F</t>
  </si>
  <si>
    <t>3B</t>
  </si>
  <si>
    <t>I</t>
  </si>
  <si>
    <t>Q</t>
  </si>
  <si>
    <t>F1</t>
  </si>
  <si>
    <t>C1</t>
  </si>
  <si>
    <t>B</t>
  </si>
  <si>
    <t>D</t>
  </si>
  <si>
    <t>27A</t>
  </si>
  <si>
    <t>W</t>
  </si>
  <si>
    <t>T</t>
  </si>
  <si>
    <t>K</t>
  </si>
  <si>
    <t>R</t>
  </si>
  <si>
    <t>Z</t>
  </si>
  <si>
    <t>S</t>
  </si>
  <si>
    <t>H1</t>
  </si>
  <si>
    <t>Y</t>
  </si>
  <si>
    <t>14B</t>
  </si>
  <si>
    <t>consumo</t>
  </si>
  <si>
    <t>cancelo total</t>
  </si>
  <si>
    <t>total pago tanque</t>
  </si>
  <si>
    <t>total consumo</t>
  </si>
  <si>
    <t>reclamo. Ya pague campo. Este mes pago solo consumo</t>
  </si>
  <si>
    <t>reclamo. Ya pague campo. Este mes pago solo consumo.</t>
  </si>
  <si>
    <t>compromiso</t>
  </si>
  <si>
    <t>70 soles campo y multa mes</t>
  </si>
  <si>
    <t>Pago consumo. Queda saldo 95.</t>
  </si>
  <si>
    <t>Pago consumo. Queda saldo 75.</t>
  </si>
  <si>
    <t>Pago consumo. Queda 50 compromiso</t>
  </si>
  <si>
    <t>Pago consumo, convenio. Saldo 9.5</t>
  </si>
  <si>
    <t>Pago consumo, Saldo 80 soles.</t>
  </si>
  <si>
    <t>Cancelo campo. Exoneracion multa y faena</t>
  </si>
  <si>
    <t>exoneracion</t>
  </si>
  <si>
    <t>reclamo. Error en medidor</t>
  </si>
  <si>
    <t>V</t>
  </si>
  <si>
    <t>E1</t>
  </si>
  <si>
    <t>Pago consumo, campo y faena</t>
  </si>
  <si>
    <t>B1</t>
  </si>
  <si>
    <t>Pago consumo, 30 para agosto</t>
  </si>
  <si>
    <t>Reclamo. Revisar medidor</t>
  </si>
  <si>
    <t>Pago consumo y techo. Saldo 50</t>
  </si>
  <si>
    <t>Pago convenio</t>
  </si>
  <si>
    <t>Pago consumo y local. Saldo 50</t>
  </si>
  <si>
    <t>Reclamo. Correccion medidor</t>
  </si>
  <si>
    <t>Pago consumo</t>
  </si>
  <si>
    <t>Pago consumo. Saldo 75</t>
  </si>
  <si>
    <t>Pago multa, faena y asamblea. Saldo 50</t>
  </si>
  <si>
    <t>D1</t>
  </si>
  <si>
    <t>Pago consumo. Saldo 30</t>
  </si>
  <si>
    <t>Saldo 25. Proximo mes para techado</t>
  </si>
  <si>
    <t>Pago consumo. Saldo 20</t>
  </si>
  <si>
    <t>Pago consumo y campo. Faena revizar</t>
  </si>
  <si>
    <t>Saldo 39</t>
  </si>
  <si>
    <t>Saldo 63</t>
  </si>
  <si>
    <t>Cancelo convenio y medidor. Saldo 8</t>
  </si>
  <si>
    <t>Cancelo total</t>
  </si>
  <si>
    <t>Saldo 72</t>
  </si>
  <si>
    <t>Saldo 75</t>
  </si>
  <si>
    <t>Pago medidor contado</t>
  </si>
  <si>
    <t>Revizar convenio</t>
  </si>
  <si>
    <t>Corregir convenio medidor</t>
  </si>
  <si>
    <t>Coreccion</t>
  </si>
  <si>
    <t>Cambio nombre</t>
  </si>
  <si>
    <t>Correccion medidor</t>
  </si>
  <si>
    <t>Revizar 20 techado y campo</t>
  </si>
  <si>
    <t>Revizar multa y faena</t>
  </si>
  <si>
    <t>Observar faena</t>
  </si>
  <si>
    <t>Exoneracion faena</t>
  </si>
  <si>
    <t>Pago ultimo mes medidor</t>
  </si>
  <si>
    <t>Convenio saldo 30</t>
  </si>
  <si>
    <t>Revizar medidor y 50 de acuerdo</t>
  </si>
  <si>
    <t>Cancelo</t>
  </si>
  <si>
    <t>9 soles por revision</t>
  </si>
  <si>
    <t>Saldo 13, revizar medidor.</t>
  </si>
  <si>
    <t>Cancelo reviza campo y convenio</t>
  </si>
  <si>
    <t>Saldo 25 soles medidor</t>
  </si>
  <si>
    <t>Observar medidor</t>
  </si>
  <si>
    <t>Pago y observar</t>
  </si>
  <si>
    <t>Pago medidor total</t>
  </si>
  <si>
    <t>Otro mes cancelara</t>
  </si>
  <si>
    <t>Revizar pago de medidor</t>
  </si>
  <si>
    <t>Saldo 29</t>
  </si>
  <si>
    <t>Revizar lectura de medidor</t>
  </si>
  <si>
    <t>Completo</t>
  </si>
  <si>
    <t>Cancelo todo. Revizar campo</t>
  </si>
  <si>
    <t>Cambio de medidor observar</t>
  </si>
  <si>
    <t>Observar rectifica medidor</t>
  </si>
  <si>
    <t>Exonerar faena</t>
  </si>
  <si>
    <t>Cancelo convenio</t>
  </si>
  <si>
    <t>Cancelo medidor</t>
  </si>
  <si>
    <t>72 soles, 5 soles mensuales</t>
  </si>
  <si>
    <t>50 convenio otro mes</t>
  </si>
  <si>
    <t>Error cargar medidor</t>
  </si>
  <si>
    <t>Observar pago campo fecha anterior</t>
  </si>
  <si>
    <t>consumo y 1 mes de medidor</t>
  </si>
  <si>
    <t>Cobrador olvidoregistrar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</si>
</sst>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9"/>
      <color rgb="FF9A3412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b/>
      <sz val="10"/>
      <color rgb="FF9A3412"/>
      <name val="Arial"/>
    </font>
    <font>
      <i/>
      <sz val="10"/>
      <color rgb="FF9CA3AF"/>
      <name val="Arial"/>
    </font>
    <font>
      <b/>
      <sz val="9"/>
      <color rgb="FF880E4F"/>
      <name val="Arial"/>
    </font>
    <font>
      <b/>
      <sz val="10"/>
      <color rgb="FF880E4F"/>
      <name val="Arial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/>
    <xf numFmtId="0" fontId="12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"/>
  <sheetViews>
    <sheetView tabSelected="1" zoomScale="80" zoomScaleNormal="80" zoomScaleSheetLayoutView="100" workbookViewId="0">
      <pane ySplit="2" topLeftCell="A63" activePane="bottomLeft" state="frozen"/>
      <selection pane="bottomLeft" activeCell="C96" sqref="C96"/>
    </sheetView>
  </sheetViews>
  <sheetFormatPr baseColWidth="10" defaultColWidth="8.7265625" defaultRowHeight="14.5" x14ac:dyDescent="0.35"/>
  <cols>
    <col min="1" max="1" width="16.26953125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  <col min="12" max="12" width="11.81640625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A4" t="s">
        <v>25</v>
      </c>
      <c r="B4" s="9">
        <v>46209</v>
      </c>
      <c r="C4" t="s">
        <v>26</v>
      </c>
      <c r="D4">
        <v>9</v>
      </c>
      <c r="E4">
        <v>29</v>
      </c>
      <c r="F4">
        <v>29</v>
      </c>
      <c r="G4">
        <v>0</v>
      </c>
      <c r="H4" s="9">
        <v>46207</v>
      </c>
      <c r="I4" s="13" t="s">
        <v>94</v>
      </c>
    </row>
    <row r="5" spans="1:11" ht="18" customHeight="1" x14ac:dyDescent="0.35">
      <c r="A5" t="s">
        <v>25</v>
      </c>
      <c r="B5" s="9">
        <v>46209</v>
      </c>
      <c r="C5" t="s">
        <v>27</v>
      </c>
      <c r="D5">
        <v>12</v>
      </c>
      <c r="E5">
        <v>9</v>
      </c>
      <c r="F5">
        <v>9</v>
      </c>
      <c r="G5">
        <v>0</v>
      </c>
      <c r="H5" s="9">
        <v>46207</v>
      </c>
      <c r="I5" s="13" t="s">
        <v>95</v>
      </c>
      <c r="K5" s="10" t="s">
        <v>28</v>
      </c>
    </row>
    <row r="6" spans="1:11" ht="18" customHeight="1" x14ac:dyDescent="0.35">
      <c r="A6" t="s">
        <v>25</v>
      </c>
      <c r="B6" s="9">
        <v>46209</v>
      </c>
      <c r="C6" t="s">
        <v>29</v>
      </c>
      <c r="D6">
        <v>18</v>
      </c>
      <c r="E6">
        <v>9</v>
      </c>
      <c r="F6">
        <v>9</v>
      </c>
      <c r="G6">
        <v>0</v>
      </c>
      <c r="H6" s="9">
        <v>46207</v>
      </c>
      <c r="I6" s="13" t="s">
        <v>96</v>
      </c>
      <c r="K6" s="10" t="s">
        <v>28</v>
      </c>
    </row>
    <row r="7" spans="1:11" ht="18" customHeight="1" x14ac:dyDescent="0.35">
      <c r="A7" t="s">
        <v>25</v>
      </c>
      <c r="B7" s="9">
        <v>46209</v>
      </c>
      <c r="C7" t="s">
        <v>30</v>
      </c>
      <c r="D7">
        <v>25</v>
      </c>
      <c r="E7">
        <v>8</v>
      </c>
      <c r="F7">
        <v>8</v>
      </c>
      <c r="G7">
        <v>0</v>
      </c>
      <c r="H7" s="9">
        <v>46207</v>
      </c>
      <c r="I7" s="13" t="s">
        <v>96</v>
      </c>
      <c r="K7" s="10" t="s">
        <v>28</v>
      </c>
    </row>
    <row r="8" spans="1:11" ht="18" customHeight="1" x14ac:dyDescent="0.35">
      <c r="A8" t="s">
        <v>25</v>
      </c>
      <c r="B8" s="9">
        <v>46209</v>
      </c>
      <c r="C8" t="s">
        <v>30</v>
      </c>
      <c r="D8">
        <v>5</v>
      </c>
      <c r="E8">
        <v>8</v>
      </c>
      <c r="F8">
        <v>8</v>
      </c>
      <c r="G8">
        <v>0</v>
      </c>
      <c r="H8" s="9">
        <v>46207</v>
      </c>
      <c r="I8" s="13"/>
    </row>
    <row r="9" spans="1:11" ht="18" customHeight="1" x14ac:dyDescent="0.35">
      <c r="A9" t="s">
        <v>25</v>
      </c>
      <c r="B9" s="9">
        <v>46209</v>
      </c>
      <c r="C9" t="s">
        <v>31</v>
      </c>
      <c r="D9">
        <v>8</v>
      </c>
      <c r="E9">
        <v>25</v>
      </c>
      <c r="F9">
        <v>25</v>
      </c>
      <c r="G9">
        <v>0</v>
      </c>
      <c r="H9" s="9">
        <v>46207</v>
      </c>
      <c r="I9" s="13" t="s">
        <v>97</v>
      </c>
      <c r="K9" s="10" t="s">
        <v>28</v>
      </c>
    </row>
    <row r="10" spans="1:11" ht="18" customHeight="1" x14ac:dyDescent="0.35">
      <c r="A10" t="s">
        <v>25</v>
      </c>
      <c r="B10" s="9">
        <v>46209</v>
      </c>
      <c r="C10" t="s">
        <v>32</v>
      </c>
      <c r="D10">
        <v>13</v>
      </c>
      <c r="E10">
        <v>44</v>
      </c>
      <c r="F10">
        <v>44</v>
      </c>
      <c r="G10">
        <v>0</v>
      </c>
      <c r="H10" s="9">
        <v>46207</v>
      </c>
      <c r="I10" s="13" t="s">
        <v>97</v>
      </c>
      <c r="K10" s="10" t="s">
        <v>28</v>
      </c>
    </row>
    <row r="11" spans="1:11" ht="18" customHeight="1" x14ac:dyDescent="0.35">
      <c r="A11" t="s">
        <v>25</v>
      </c>
      <c r="B11" s="9">
        <v>46209</v>
      </c>
      <c r="C11" t="s">
        <v>33</v>
      </c>
      <c r="D11">
        <v>3</v>
      </c>
      <c r="E11">
        <v>92</v>
      </c>
      <c r="F11">
        <v>92</v>
      </c>
      <c r="G11">
        <v>0</v>
      </c>
      <c r="H11" s="9">
        <v>46207</v>
      </c>
      <c r="I11" s="13" t="s">
        <v>97</v>
      </c>
      <c r="K11" s="10" t="s">
        <v>28</v>
      </c>
    </row>
    <row r="12" spans="1:11" ht="18" customHeight="1" x14ac:dyDescent="0.35">
      <c r="A12" t="s">
        <v>25</v>
      </c>
      <c r="B12" s="9">
        <v>46209</v>
      </c>
      <c r="C12" t="s">
        <v>34</v>
      </c>
      <c r="D12">
        <v>19</v>
      </c>
      <c r="E12">
        <v>95</v>
      </c>
      <c r="F12">
        <v>95</v>
      </c>
      <c r="G12">
        <v>0</v>
      </c>
      <c r="H12" s="9">
        <v>46207</v>
      </c>
      <c r="I12" s="13" t="s">
        <v>98</v>
      </c>
      <c r="K12" s="10" t="s">
        <v>28</v>
      </c>
    </row>
    <row r="13" spans="1:11" ht="18" customHeight="1" x14ac:dyDescent="0.35">
      <c r="A13" t="s">
        <v>25</v>
      </c>
      <c r="B13" s="9">
        <v>46209</v>
      </c>
      <c r="C13" t="s">
        <v>35</v>
      </c>
      <c r="D13">
        <v>8</v>
      </c>
      <c r="E13">
        <v>17</v>
      </c>
      <c r="F13">
        <v>17</v>
      </c>
      <c r="G13">
        <v>0</v>
      </c>
      <c r="H13" s="9">
        <v>46207</v>
      </c>
      <c r="I13" s="13"/>
    </row>
    <row r="14" spans="1:11" ht="18" customHeight="1" x14ac:dyDescent="0.35">
      <c r="A14" t="s">
        <v>25</v>
      </c>
      <c r="B14" s="9">
        <v>46209</v>
      </c>
      <c r="C14" t="s">
        <v>36</v>
      </c>
      <c r="D14" t="s">
        <v>37</v>
      </c>
      <c r="E14">
        <v>8</v>
      </c>
      <c r="F14">
        <v>8</v>
      </c>
      <c r="G14">
        <v>0</v>
      </c>
      <c r="H14" s="9">
        <v>46207</v>
      </c>
      <c r="I14" s="13"/>
    </row>
    <row r="15" spans="1:11" ht="18" customHeight="1" x14ac:dyDescent="0.35">
      <c r="A15" t="s">
        <v>25</v>
      </c>
      <c r="B15" s="9">
        <v>46209</v>
      </c>
      <c r="C15" t="s">
        <v>36</v>
      </c>
      <c r="D15">
        <v>8</v>
      </c>
      <c r="E15">
        <v>39</v>
      </c>
      <c r="F15">
        <v>39</v>
      </c>
      <c r="G15">
        <v>0</v>
      </c>
      <c r="H15" s="9">
        <v>46207</v>
      </c>
      <c r="I15" s="13" t="s">
        <v>99</v>
      </c>
      <c r="K15" s="10" t="s">
        <v>28</v>
      </c>
    </row>
    <row r="16" spans="1:11" ht="18" customHeight="1" x14ac:dyDescent="0.35">
      <c r="A16" t="s">
        <v>25</v>
      </c>
      <c r="B16" s="9">
        <v>46209</v>
      </c>
      <c r="C16" t="s">
        <v>29</v>
      </c>
      <c r="D16">
        <v>32</v>
      </c>
      <c r="E16">
        <v>8</v>
      </c>
      <c r="F16">
        <v>8</v>
      </c>
      <c r="G16">
        <v>0</v>
      </c>
      <c r="H16" s="9">
        <v>46207</v>
      </c>
      <c r="I16" s="13" t="s">
        <v>99</v>
      </c>
      <c r="K16" s="10" t="s">
        <v>28</v>
      </c>
    </row>
    <row r="17" spans="1:12" ht="18" customHeight="1" x14ac:dyDescent="0.35">
      <c r="A17" t="s">
        <v>25</v>
      </c>
      <c r="B17" s="9">
        <v>46209</v>
      </c>
      <c r="C17" t="s">
        <v>29</v>
      </c>
      <c r="D17">
        <v>2</v>
      </c>
      <c r="E17">
        <v>8</v>
      </c>
      <c r="F17">
        <v>8</v>
      </c>
      <c r="G17">
        <v>0</v>
      </c>
      <c r="H17" s="9">
        <v>46207</v>
      </c>
      <c r="I17" s="13"/>
    </row>
    <row r="18" spans="1:12" ht="18" customHeight="1" x14ac:dyDescent="0.35">
      <c r="A18" t="s">
        <v>25</v>
      </c>
      <c r="B18" s="9">
        <v>46209</v>
      </c>
      <c r="C18" t="s">
        <v>38</v>
      </c>
      <c r="D18">
        <v>18</v>
      </c>
      <c r="E18">
        <v>20</v>
      </c>
      <c r="F18">
        <v>20</v>
      </c>
      <c r="G18">
        <v>0</v>
      </c>
      <c r="H18" s="9">
        <v>46207</v>
      </c>
      <c r="I18" s="13"/>
    </row>
    <row r="19" spans="1:12" ht="18" customHeight="1" x14ac:dyDescent="0.35">
      <c r="A19" t="s">
        <v>25</v>
      </c>
      <c r="B19" s="9">
        <v>46209</v>
      </c>
      <c r="C19" t="s">
        <v>39</v>
      </c>
      <c r="D19">
        <v>3</v>
      </c>
      <c r="E19">
        <v>10</v>
      </c>
      <c r="F19">
        <v>10</v>
      </c>
      <c r="G19">
        <v>0</v>
      </c>
      <c r="H19" s="9">
        <v>46207</v>
      </c>
      <c r="I19" s="13" t="s">
        <v>100</v>
      </c>
      <c r="K19" s="10" t="s">
        <v>28</v>
      </c>
    </row>
    <row r="20" spans="1:12" ht="18" customHeight="1" x14ac:dyDescent="0.35">
      <c r="A20" t="s">
        <v>25</v>
      </c>
      <c r="B20" s="9">
        <v>46209</v>
      </c>
      <c r="C20" t="s">
        <v>40</v>
      </c>
      <c r="D20">
        <v>10</v>
      </c>
      <c r="E20">
        <v>8</v>
      </c>
      <c r="F20">
        <v>8</v>
      </c>
      <c r="G20">
        <v>0</v>
      </c>
      <c r="H20" s="9">
        <v>46207</v>
      </c>
      <c r="I20" s="13" t="s">
        <v>101</v>
      </c>
      <c r="K20" s="10" t="s">
        <v>28</v>
      </c>
    </row>
    <row r="21" spans="1:12" ht="18" customHeight="1" x14ac:dyDescent="0.35">
      <c r="A21" t="s">
        <v>25</v>
      </c>
      <c r="B21" s="9">
        <v>46209</v>
      </c>
      <c r="C21" t="s">
        <v>41</v>
      </c>
      <c r="D21">
        <v>5</v>
      </c>
      <c r="E21">
        <v>36</v>
      </c>
      <c r="F21">
        <v>36</v>
      </c>
      <c r="G21">
        <v>0</v>
      </c>
      <c r="H21" s="9">
        <v>46207</v>
      </c>
      <c r="I21" s="13" t="s">
        <v>102</v>
      </c>
    </row>
    <row r="22" spans="1:12" ht="18" customHeight="1" x14ac:dyDescent="0.35">
      <c r="A22" t="s">
        <v>25</v>
      </c>
      <c r="B22" s="9">
        <v>46209</v>
      </c>
      <c r="C22" t="s">
        <v>42</v>
      </c>
      <c r="D22">
        <v>9</v>
      </c>
      <c r="E22">
        <v>95</v>
      </c>
      <c r="F22">
        <v>95</v>
      </c>
      <c r="G22">
        <v>0</v>
      </c>
      <c r="H22" s="9">
        <v>46207</v>
      </c>
      <c r="I22" s="13" t="s">
        <v>103</v>
      </c>
      <c r="K22" s="10" t="s">
        <v>68</v>
      </c>
    </row>
    <row r="23" spans="1:12" ht="18" customHeight="1" x14ac:dyDescent="0.35">
      <c r="A23" t="s">
        <v>25</v>
      </c>
      <c r="B23" s="9">
        <v>46209</v>
      </c>
      <c r="C23" t="s">
        <v>35</v>
      </c>
      <c r="D23">
        <v>11</v>
      </c>
      <c r="E23">
        <v>83</v>
      </c>
      <c r="F23">
        <v>83</v>
      </c>
      <c r="G23">
        <v>0</v>
      </c>
      <c r="H23" s="9">
        <v>46207</v>
      </c>
      <c r="I23" s="13" t="s">
        <v>104</v>
      </c>
      <c r="K23" s="10" t="s">
        <v>28</v>
      </c>
    </row>
    <row r="24" spans="1:12" ht="18" customHeight="1" x14ac:dyDescent="0.35">
      <c r="A24" t="s">
        <v>25</v>
      </c>
      <c r="B24" s="9">
        <v>46209</v>
      </c>
      <c r="C24" t="s">
        <v>19</v>
      </c>
      <c r="D24">
        <v>1</v>
      </c>
      <c r="E24">
        <v>22</v>
      </c>
      <c r="F24">
        <v>22</v>
      </c>
      <c r="G24">
        <v>0</v>
      </c>
      <c r="H24" s="9">
        <v>46207</v>
      </c>
      <c r="I24" s="13" t="s">
        <v>105</v>
      </c>
      <c r="K24" s="10" t="s">
        <v>60</v>
      </c>
    </row>
    <row r="25" spans="1:12" ht="18" customHeight="1" x14ac:dyDescent="0.35">
      <c r="A25" t="s">
        <v>25</v>
      </c>
      <c r="B25" s="9">
        <v>46209</v>
      </c>
      <c r="C25" t="s">
        <v>43</v>
      </c>
      <c r="D25">
        <v>16</v>
      </c>
      <c r="E25">
        <v>34</v>
      </c>
      <c r="F25">
        <v>34</v>
      </c>
      <c r="G25">
        <v>0</v>
      </c>
      <c r="H25" s="9">
        <v>46207</v>
      </c>
      <c r="I25" s="13" t="s">
        <v>106</v>
      </c>
      <c r="K25" s="10" t="s">
        <v>28</v>
      </c>
    </row>
    <row r="26" spans="1:12" ht="18" customHeight="1" x14ac:dyDescent="0.35">
      <c r="A26" t="s">
        <v>25</v>
      </c>
      <c r="B26" s="9">
        <v>46209</v>
      </c>
      <c r="C26" t="s">
        <v>30</v>
      </c>
      <c r="D26" t="s">
        <v>44</v>
      </c>
      <c r="E26">
        <v>58</v>
      </c>
      <c r="F26">
        <v>58</v>
      </c>
      <c r="G26">
        <v>0</v>
      </c>
      <c r="H26" s="9">
        <v>46207</v>
      </c>
      <c r="I26" s="13" t="s">
        <v>107</v>
      </c>
    </row>
    <row r="27" spans="1:12" ht="18" customHeight="1" x14ac:dyDescent="0.35">
      <c r="A27" t="s">
        <v>25</v>
      </c>
      <c r="B27" s="9">
        <v>46209</v>
      </c>
      <c r="C27" t="s">
        <v>40</v>
      </c>
      <c r="D27">
        <v>1</v>
      </c>
      <c r="E27">
        <v>8</v>
      </c>
      <c r="F27">
        <v>8</v>
      </c>
      <c r="G27">
        <v>0</v>
      </c>
      <c r="H27" s="9">
        <v>46207</v>
      </c>
      <c r="I27" s="13" t="s">
        <v>108</v>
      </c>
      <c r="K27" s="10" t="s">
        <v>28</v>
      </c>
      <c r="L27">
        <f>SUM(F4:F27)</f>
        <v>773</v>
      </c>
    </row>
    <row r="28" spans="1:12" ht="18" customHeight="1" x14ac:dyDescent="0.35">
      <c r="A28" t="s">
        <v>25</v>
      </c>
      <c r="B28" s="9">
        <v>46209</v>
      </c>
      <c r="C28" t="s">
        <v>27</v>
      </c>
      <c r="D28">
        <v>17</v>
      </c>
      <c r="E28">
        <v>100</v>
      </c>
      <c r="F28">
        <v>100</v>
      </c>
      <c r="G28">
        <v>0</v>
      </c>
      <c r="H28" s="9">
        <v>46207</v>
      </c>
      <c r="I28" s="13" t="s">
        <v>109</v>
      </c>
      <c r="K28" s="10" t="s">
        <v>28</v>
      </c>
    </row>
    <row r="29" spans="1:12" ht="18" customHeight="1" x14ac:dyDescent="0.35">
      <c r="A29" t="s">
        <v>25</v>
      </c>
      <c r="B29" s="9">
        <v>46209</v>
      </c>
      <c r="C29" t="s">
        <v>45</v>
      </c>
      <c r="D29">
        <v>5</v>
      </c>
      <c r="E29">
        <v>0</v>
      </c>
      <c r="F29">
        <v>0</v>
      </c>
      <c r="G29">
        <v>15</v>
      </c>
      <c r="H29" s="9">
        <v>46207</v>
      </c>
      <c r="I29" s="13" t="s">
        <v>110</v>
      </c>
      <c r="K29" s="10" t="s">
        <v>28</v>
      </c>
    </row>
    <row r="30" spans="1:12" ht="18" customHeight="1" x14ac:dyDescent="0.35">
      <c r="A30" t="s">
        <v>25</v>
      </c>
      <c r="B30" s="9">
        <v>46209</v>
      </c>
      <c r="C30" t="s">
        <v>43</v>
      </c>
      <c r="D30">
        <v>6</v>
      </c>
      <c r="E30">
        <v>72</v>
      </c>
      <c r="F30">
        <v>72</v>
      </c>
      <c r="G30">
        <v>0</v>
      </c>
      <c r="H30" s="9">
        <v>46207</v>
      </c>
      <c r="I30" s="13" t="s">
        <v>111</v>
      </c>
      <c r="K30" s="10" t="s">
        <v>60</v>
      </c>
    </row>
    <row r="31" spans="1:12" ht="18" customHeight="1" x14ac:dyDescent="0.35">
      <c r="A31" t="s">
        <v>25</v>
      </c>
      <c r="B31" s="9">
        <v>46209</v>
      </c>
      <c r="C31" t="s">
        <v>31</v>
      </c>
      <c r="D31">
        <v>3</v>
      </c>
      <c r="E31">
        <v>16</v>
      </c>
      <c r="F31">
        <v>16</v>
      </c>
      <c r="G31">
        <v>0</v>
      </c>
      <c r="H31" s="9">
        <v>46207</v>
      </c>
      <c r="I31" s="13" t="s">
        <v>112</v>
      </c>
      <c r="K31" s="10" t="s">
        <v>28</v>
      </c>
    </row>
    <row r="32" spans="1:12" ht="18" customHeight="1" x14ac:dyDescent="0.35">
      <c r="A32" t="s">
        <v>25</v>
      </c>
      <c r="B32" s="9">
        <v>46209</v>
      </c>
      <c r="C32" t="s">
        <v>43</v>
      </c>
      <c r="D32">
        <v>1</v>
      </c>
      <c r="E32">
        <v>119</v>
      </c>
      <c r="F32">
        <v>119</v>
      </c>
      <c r="G32">
        <v>0</v>
      </c>
      <c r="H32" s="9">
        <v>46207</v>
      </c>
      <c r="I32" s="13" t="s">
        <v>102</v>
      </c>
      <c r="K32" s="10" t="s">
        <v>28</v>
      </c>
    </row>
    <row r="33" spans="1:11" ht="18" customHeight="1" x14ac:dyDescent="0.35">
      <c r="A33" t="s">
        <v>25</v>
      </c>
      <c r="B33" s="9">
        <v>46209</v>
      </c>
      <c r="C33" t="s">
        <v>46</v>
      </c>
      <c r="D33">
        <v>20</v>
      </c>
      <c r="E33">
        <v>19</v>
      </c>
      <c r="F33">
        <v>19</v>
      </c>
      <c r="G33">
        <v>0</v>
      </c>
      <c r="H33" s="9">
        <v>46207</v>
      </c>
      <c r="I33" s="13" t="s">
        <v>113</v>
      </c>
      <c r="K33" s="10" t="s">
        <v>28</v>
      </c>
    </row>
    <row r="34" spans="1:11" ht="18" customHeight="1" x14ac:dyDescent="0.35">
      <c r="A34" t="s">
        <v>25</v>
      </c>
      <c r="B34" s="9">
        <v>46209</v>
      </c>
      <c r="C34" t="s">
        <v>47</v>
      </c>
      <c r="D34">
        <v>9</v>
      </c>
      <c r="E34">
        <v>12</v>
      </c>
      <c r="F34">
        <v>12</v>
      </c>
      <c r="G34">
        <v>0</v>
      </c>
      <c r="H34" s="9">
        <v>46207</v>
      </c>
      <c r="I34" s="13" t="s">
        <v>114</v>
      </c>
      <c r="K34" s="10" t="s">
        <v>28</v>
      </c>
    </row>
    <row r="35" spans="1:11" ht="18" customHeight="1" x14ac:dyDescent="0.35">
      <c r="A35" t="s">
        <v>25</v>
      </c>
      <c r="B35" s="9">
        <v>46209</v>
      </c>
      <c r="C35" t="s">
        <v>45</v>
      </c>
      <c r="D35">
        <v>6</v>
      </c>
      <c r="E35">
        <v>8</v>
      </c>
      <c r="F35">
        <v>8</v>
      </c>
      <c r="G35">
        <v>0</v>
      </c>
      <c r="H35" s="9">
        <v>46207</v>
      </c>
      <c r="I35" s="13" t="s">
        <v>115</v>
      </c>
      <c r="K35" s="10" t="s">
        <v>28</v>
      </c>
    </row>
    <row r="36" spans="1:11" ht="18" customHeight="1" x14ac:dyDescent="0.35">
      <c r="A36" t="s">
        <v>25</v>
      </c>
      <c r="B36" s="9">
        <v>46209</v>
      </c>
      <c r="C36" t="s">
        <v>31</v>
      </c>
      <c r="D36">
        <v>6</v>
      </c>
      <c r="E36">
        <v>17</v>
      </c>
      <c r="F36">
        <v>17</v>
      </c>
      <c r="G36">
        <v>0</v>
      </c>
      <c r="H36" s="9">
        <v>46207</v>
      </c>
      <c r="I36" s="13" t="s">
        <v>116</v>
      </c>
      <c r="K36" s="10" t="s">
        <v>28</v>
      </c>
    </row>
    <row r="37" spans="1:11" ht="18" customHeight="1" x14ac:dyDescent="0.35">
      <c r="A37" t="s">
        <v>25</v>
      </c>
      <c r="B37" s="9">
        <v>46209</v>
      </c>
      <c r="C37" t="s">
        <v>43</v>
      </c>
      <c r="D37">
        <v>8</v>
      </c>
      <c r="E37">
        <v>100</v>
      </c>
      <c r="F37">
        <v>100</v>
      </c>
      <c r="G37">
        <v>0</v>
      </c>
      <c r="H37" s="9">
        <v>46207</v>
      </c>
      <c r="I37" s="13" t="s">
        <v>117</v>
      </c>
      <c r="K37" s="10" t="s">
        <v>60</v>
      </c>
    </row>
    <row r="38" spans="1:11" ht="18" customHeight="1" x14ac:dyDescent="0.35">
      <c r="A38" t="s">
        <v>25</v>
      </c>
      <c r="B38" s="9">
        <v>46209</v>
      </c>
      <c r="C38" t="s">
        <v>38</v>
      </c>
      <c r="D38">
        <v>17</v>
      </c>
      <c r="E38">
        <v>63</v>
      </c>
      <c r="F38">
        <v>63</v>
      </c>
      <c r="G38">
        <v>0</v>
      </c>
      <c r="H38" s="9">
        <v>46207</v>
      </c>
      <c r="I38" s="13" t="s">
        <v>118</v>
      </c>
      <c r="K38" s="10" t="s">
        <v>28</v>
      </c>
    </row>
    <row r="39" spans="1:11" ht="18" customHeight="1" x14ac:dyDescent="0.35">
      <c r="A39" t="s">
        <v>25</v>
      </c>
      <c r="B39" s="9">
        <v>46209</v>
      </c>
      <c r="C39" t="s">
        <v>48</v>
      </c>
      <c r="D39">
        <v>8</v>
      </c>
      <c r="E39">
        <v>112</v>
      </c>
      <c r="F39">
        <v>112</v>
      </c>
      <c r="G39">
        <v>0</v>
      </c>
      <c r="H39" s="9">
        <v>46207</v>
      </c>
      <c r="I39" s="13" t="s">
        <v>119</v>
      </c>
    </row>
    <row r="40" spans="1:11" ht="18" customHeight="1" x14ac:dyDescent="0.35">
      <c r="A40" t="s">
        <v>25</v>
      </c>
      <c r="B40" s="9">
        <v>46209</v>
      </c>
      <c r="C40" t="s">
        <v>49</v>
      </c>
      <c r="D40">
        <v>13</v>
      </c>
      <c r="E40">
        <v>8</v>
      </c>
      <c r="F40">
        <v>8</v>
      </c>
      <c r="G40">
        <v>0</v>
      </c>
      <c r="H40" s="9">
        <v>46207</v>
      </c>
      <c r="I40" s="13" t="s">
        <v>120</v>
      </c>
      <c r="K40" s="10" t="s">
        <v>28</v>
      </c>
    </row>
    <row r="41" spans="1:11" ht="18" customHeight="1" x14ac:dyDescent="0.35">
      <c r="A41" t="s">
        <v>25</v>
      </c>
      <c r="B41" s="9">
        <v>46209</v>
      </c>
      <c r="C41" t="s">
        <v>32</v>
      </c>
      <c r="D41">
        <v>4</v>
      </c>
      <c r="E41">
        <v>20</v>
      </c>
      <c r="F41">
        <v>20</v>
      </c>
      <c r="G41">
        <v>0</v>
      </c>
      <c r="H41" s="9">
        <v>46207</v>
      </c>
      <c r="I41" s="13" t="s">
        <v>121</v>
      </c>
      <c r="K41" s="10" t="s">
        <v>28</v>
      </c>
    </row>
    <row r="42" spans="1:11" ht="18" customHeight="1" x14ac:dyDescent="0.35">
      <c r="A42" t="s">
        <v>25</v>
      </c>
      <c r="B42" s="9">
        <v>46209</v>
      </c>
      <c r="C42" t="s">
        <v>38</v>
      </c>
      <c r="D42">
        <v>13</v>
      </c>
      <c r="E42">
        <v>20</v>
      </c>
      <c r="F42">
        <v>20</v>
      </c>
      <c r="G42">
        <v>0</v>
      </c>
      <c r="H42" s="9">
        <v>46207</v>
      </c>
      <c r="I42" s="13" t="s">
        <v>122</v>
      </c>
      <c r="K42" s="10" t="s">
        <v>28</v>
      </c>
    </row>
    <row r="43" spans="1:11" ht="18" customHeight="1" x14ac:dyDescent="0.35">
      <c r="A43" t="s">
        <v>25</v>
      </c>
      <c r="B43" s="9">
        <v>46209</v>
      </c>
      <c r="C43" t="s">
        <v>50</v>
      </c>
      <c r="D43">
        <v>8</v>
      </c>
      <c r="E43">
        <v>16</v>
      </c>
      <c r="F43">
        <v>16</v>
      </c>
      <c r="G43">
        <v>0</v>
      </c>
      <c r="H43" s="9">
        <v>46207</v>
      </c>
      <c r="I43" s="13" t="s">
        <v>123</v>
      </c>
      <c r="K43" s="10" t="s">
        <v>68</v>
      </c>
    </row>
    <row r="44" spans="1:11" ht="18" customHeight="1" x14ac:dyDescent="0.35">
      <c r="A44" t="s">
        <v>25</v>
      </c>
      <c r="B44" s="9">
        <v>46209</v>
      </c>
      <c r="C44" t="s">
        <v>40</v>
      </c>
      <c r="D44">
        <v>13</v>
      </c>
      <c r="E44">
        <v>38</v>
      </c>
      <c r="F44">
        <v>38</v>
      </c>
      <c r="G44">
        <v>0</v>
      </c>
      <c r="H44" s="9">
        <v>46207</v>
      </c>
      <c r="I44" s="13" t="s">
        <v>124</v>
      </c>
      <c r="K44" s="10" t="s">
        <v>28</v>
      </c>
    </row>
    <row r="45" spans="1:11" ht="18" customHeight="1" x14ac:dyDescent="0.35">
      <c r="A45" t="s">
        <v>25</v>
      </c>
      <c r="B45" s="9">
        <v>46209</v>
      </c>
      <c r="C45" t="s">
        <v>38</v>
      </c>
      <c r="D45">
        <v>6</v>
      </c>
      <c r="E45">
        <v>37</v>
      </c>
      <c r="F45">
        <v>37</v>
      </c>
      <c r="G45">
        <v>0</v>
      </c>
      <c r="H45" s="9">
        <v>46207</v>
      </c>
      <c r="I45" s="13"/>
    </row>
    <row r="46" spans="1:11" ht="18" customHeight="1" x14ac:dyDescent="0.35">
      <c r="A46" t="s">
        <v>25</v>
      </c>
      <c r="B46" s="9">
        <v>46209</v>
      </c>
      <c r="C46" t="s">
        <v>40</v>
      </c>
      <c r="D46">
        <v>8</v>
      </c>
      <c r="E46">
        <v>14</v>
      </c>
      <c r="F46">
        <v>0</v>
      </c>
      <c r="G46">
        <v>14</v>
      </c>
      <c r="H46" s="9">
        <v>46207</v>
      </c>
      <c r="I46" s="13" t="s">
        <v>125</v>
      </c>
      <c r="K46" s="10" t="s">
        <v>28</v>
      </c>
    </row>
    <row r="47" spans="1:11" ht="18" customHeight="1" x14ac:dyDescent="0.35">
      <c r="A47" t="s">
        <v>25</v>
      </c>
      <c r="B47" s="9">
        <v>46209</v>
      </c>
      <c r="C47" t="s">
        <v>41</v>
      </c>
      <c r="D47">
        <v>3</v>
      </c>
      <c r="E47">
        <v>20</v>
      </c>
      <c r="F47">
        <v>20</v>
      </c>
      <c r="G47">
        <v>0</v>
      </c>
      <c r="H47" s="9">
        <v>46207</v>
      </c>
      <c r="I47" s="13" t="s">
        <v>126</v>
      </c>
      <c r="K47" s="10" t="s">
        <v>60</v>
      </c>
    </row>
    <row r="48" spans="1:11" ht="18" customHeight="1" x14ac:dyDescent="0.35">
      <c r="A48" t="s">
        <v>25</v>
      </c>
      <c r="B48" s="9">
        <v>46209</v>
      </c>
      <c r="C48" t="s">
        <v>51</v>
      </c>
      <c r="D48">
        <v>16</v>
      </c>
      <c r="E48">
        <v>73</v>
      </c>
      <c r="F48">
        <v>73</v>
      </c>
      <c r="G48">
        <v>0</v>
      </c>
      <c r="H48" s="9">
        <v>46207</v>
      </c>
      <c r="I48" s="13" t="s">
        <v>127</v>
      </c>
      <c r="K48" s="10" t="s">
        <v>60</v>
      </c>
    </row>
    <row r="49" spans="1:14" ht="18" customHeight="1" x14ac:dyDescent="0.35">
      <c r="A49" t="s">
        <v>25</v>
      </c>
      <c r="B49" s="9">
        <v>46209</v>
      </c>
      <c r="C49" t="s">
        <v>51</v>
      </c>
      <c r="D49">
        <v>15</v>
      </c>
      <c r="E49">
        <v>36</v>
      </c>
      <c r="F49">
        <v>0</v>
      </c>
      <c r="G49">
        <v>36</v>
      </c>
      <c r="H49" s="9">
        <v>46207</v>
      </c>
      <c r="I49" s="13" t="s">
        <v>127</v>
      </c>
      <c r="K49" s="10" t="s">
        <v>60</v>
      </c>
    </row>
    <row r="50" spans="1:14" ht="18" customHeight="1" x14ac:dyDescent="0.35">
      <c r="A50" t="s">
        <v>25</v>
      </c>
      <c r="B50" s="9">
        <v>46209</v>
      </c>
      <c r="C50" t="s">
        <v>42</v>
      </c>
      <c r="D50">
        <v>6</v>
      </c>
      <c r="E50">
        <v>48</v>
      </c>
      <c r="F50">
        <v>48</v>
      </c>
      <c r="G50">
        <v>0</v>
      </c>
      <c r="H50" s="9">
        <v>46207</v>
      </c>
      <c r="I50" s="13" t="s">
        <v>128</v>
      </c>
      <c r="K50" s="10" t="s">
        <v>28</v>
      </c>
    </row>
    <row r="51" spans="1:14" ht="18" customHeight="1" x14ac:dyDescent="0.35">
      <c r="A51" t="s">
        <v>25</v>
      </c>
      <c r="B51" s="9">
        <v>46209</v>
      </c>
      <c r="C51" t="s">
        <v>39</v>
      </c>
      <c r="D51">
        <v>1</v>
      </c>
      <c r="E51">
        <v>8</v>
      </c>
      <c r="F51">
        <v>8</v>
      </c>
      <c r="G51">
        <v>0</v>
      </c>
      <c r="H51" s="9">
        <v>46207</v>
      </c>
      <c r="I51" s="13" t="s">
        <v>129</v>
      </c>
      <c r="K51" s="10" t="s">
        <v>28</v>
      </c>
    </row>
    <row r="52" spans="1:14" ht="18" customHeight="1" x14ac:dyDescent="0.35">
      <c r="A52" t="s">
        <v>25</v>
      </c>
      <c r="B52" s="9">
        <v>46209</v>
      </c>
      <c r="C52" t="s">
        <v>35</v>
      </c>
      <c r="D52">
        <v>1</v>
      </c>
      <c r="E52">
        <v>50</v>
      </c>
      <c r="F52">
        <v>50</v>
      </c>
      <c r="G52">
        <v>0</v>
      </c>
      <c r="H52" s="9">
        <v>46207</v>
      </c>
      <c r="I52" s="13" t="s">
        <v>130</v>
      </c>
      <c r="L52">
        <f>SUM(F28:F52)</f>
        <v>976</v>
      </c>
      <c r="M52" s="10">
        <f>SUM(G28:G52)</f>
        <v>65</v>
      </c>
      <c r="N52">
        <f>L52+M52</f>
        <v>1041</v>
      </c>
    </row>
    <row r="53" spans="1:14" ht="18" customHeight="1" x14ac:dyDescent="0.35">
      <c r="A53" s="10" t="s">
        <v>25</v>
      </c>
      <c r="B53" s="9">
        <v>46210</v>
      </c>
      <c r="C53" s="10" t="s">
        <v>30</v>
      </c>
      <c r="D53" s="10">
        <v>12</v>
      </c>
      <c r="E53" s="10">
        <v>8</v>
      </c>
      <c r="F53" s="10">
        <v>8</v>
      </c>
      <c r="G53" s="10">
        <v>0</v>
      </c>
      <c r="H53" s="9">
        <v>46208</v>
      </c>
      <c r="I53" s="13" t="s">
        <v>54</v>
      </c>
    </row>
    <row r="54" spans="1:14" ht="18" customHeight="1" x14ac:dyDescent="0.35">
      <c r="A54" s="10" t="s">
        <v>25</v>
      </c>
      <c r="B54" s="9">
        <v>46210</v>
      </c>
      <c r="C54" s="10" t="s">
        <v>47</v>
      </c>
      <c r="D54" s="10">
        <v>8</v>
      </c>
      <c r="E54" s="10">
        <v>11</v>
      </c>
      <c r="F54" s="10">
        <v>11</v>
      </c>
      <c r="G54" s="10">
        <v>0</v>
      </c>
      <c r="H54" s="9">
        <v>46208</v>
      </c>
      <c r="I54" s="13" t="s">
        <v>54</v>
      </c>
    </row>
    <row r="55" spans="1:14" ht="18" customHeight="1" x14ac:dyDescent="0.35">
      <c r="A55" s="10" t="s">
        <v>25</v>
      </c>
      <c r="B55" s="9">
        <v>46210</v>
      </c>
      <c r="C55" s="10" t="s">
        <v>50</v>
      </c>
      <c r="D55" s="10">
        <v>12</v>
      </c>
      <c r="E55" s="10">
        <v>8</v>
      </c>
      <c r="F55" s="10">
        <v>8</v>
      </c>
      <c r="G55" s="10">
        <v>0</v>
      </c>
      <c r="H55" s="9">
        <v>46208</v>
      </c>
      <c r="I55" s="13" t="s">
        <v>54</v>
      </c>
    </row>
    <row r="56" spans="1:14" ht="18" customHeight="1" x14ac:dyDescent="0.35">
      <c r="A56" s="10" t="s">
        <v>25</v>
      </c>
      <c r="B56" s="9">
        <v>46210</v>
      </c>
      <c r="C56" s="10" t="s">
        <v>52</v>
      </c>
      <c r="D56" s="10">
        <v>8</v>
      </c>
      <c r="E56" s="10">
        <v>82</v>
      </c>
      <c r="F56" s="10">
        <v>82</v>
      </c>
      <c r="G56" s="10">
        <v>0</v>
      </c>
      <c r="H56" s="9">
        <v>46208</v>
      </c>
      <c r="I56" s="13" t="s">
        <v>55</v>
      </c>
    </row>
    <row r="57" spans="1:14" ht="18" customHeight="1" x14ac:dyDescent="0.35">
      <c r="A57" s="10" t="s">
        <v>25</v>
      </c>
      <c r="B57" s="9">
        <v>46210</v>
      </c>
      <c r="C57" s="10" t="s">
        <v>49</v>
      </c>
      <c r="D57" s="10">
        <v>8</v>
      </c>
      <c r="E57" s="10">
        <v>18</v>
      </c>
      <c r="F57" s="10">
        <v>18</v>
      </c>
      <c r="G57" s="10">
        <v>0</v>
      </c>
      <c r="H57" s="9">
        <v>46208</v>
      </c>
      <c r="I57" s="13" t="s">
        <v>54</v>
      </c>
    </row>
    <row r="58" spans="1:14" ht="18" customHeight="1" x14ac:dyDescent="0.35">
      <c r="A58" s="10" t="s">
        <v>25</v>
      </c>
      <c r="B58" s="9">
        <v>46210</v>
      </c>
      <c r="C58" s="10" t="s">
        <v>42</v>
      </c>
      <c r="D58" s="10">
        <v>11</v>
      </c>
      <c r="E58" s="10">
        <v>21</v>
      </c>
      <c r="F58" s="10">
        <v>21</v>
      </c>
      <c r="G58" s="10">
        <v>0</v>
      </c>
      <c r="H58" s="9">
        <v>46208</v>
      </c>
      <c r="I58" s="13" t="s">
        <v>58</v>
      </c>
      <c r="K58" s="10" t="s">
        <v>28</v>
      </c>
    </row>
    <row r="59" spans="1:14" ht="18" customHeight="1" x14ac:dyDescent="0.35">
      <c r="A59" s="10" t="s">
        <v>25</v>
      </c>
      <c r="B59" s="9">
        <v>46210</v>
      </c>
      <c r="C59" s="10" t="s">
        <v>26</v>
      </c>
      <c r="D59" s="10" t="s">
        <v>53</v>
      </c>
      <c r="E59" s="10">
        <v>12</v>
      </c>
      <c r="F59" s="10">
        <v>12</v>
      </c>
      <c r="G59" s="10">
        <v>0</v>
      </c>
      <c r="H59" s="9">
        <v>46208</v>
      </c>
      <c r="I59" s="13" t="s">
        <v>59</v>
      </c>
      <c r="K59" s="10" t="s">
        <v>28</v>
      </c>
    </row>
    <row r="60" spans="1:14" ht="18" customHeight="1" x14ac:dyDescent="0.35">
      <c r="A60" s="10" t="s">
        <v>25</v>
      </c>
      <c r="B60" s="9">
        <v>46210</v>
      </c>
      <c r="C60" s="10" t="s">
        <v>26</v>
      </c>
      <c r="D60" s="10">
        <v>13</v>
      </c>
      <c r="E60" s="10">
        <v>52</v>
      </c>
      <c r="F60" s="10">
        <v>52</v>
      </c>
      <c r="G60" s="10">
        <v>0</v>
      </c>
      <c r="H60" s="9">
        <v>46208</v>
      </c>
      <c r="I60" s="13" t="s">
        <v>64</v>
      </c>
      <c r="K60" s="10" t="s">
        <v>60</v>
      </c>
    </row>
    <row r="61" spans="1:14" ht="18" customHeight="1" x14ac:dyDescent="0.35">
      <c r="A61" s="10" t="s">
        <v>25</v>
      </c>
      <c r="B61" s="9">
        <v>46210</v>
      </c>
      <c r="C61" s="10" t="s">
        <v>45</v>
      </c>
      <c r="D61" s="10">
        <v>7</v>
      </c>
      <c r="E61" s="10">
        <v>41</v>
      </c>
      <c r="F61" s="10">
        <v>41</v>
      </c>
      <c r="G61" s="10">
        <v>0</v>
      </c>
      <c r="H61" s="9">
        <v>46208</v>
      </c>
      <c r="I61" s="13" t="s">
        <v>63</v>
      </c>
      <c r="K61" s="10" t="s">
        <v>60</v>
      </c>
    </row>
    <row r="62" spans="1:14" ht="18" customHeight="1" x14ac:dyDescent="0.35">
      <c r="A62" s="10" t="s">
        <v>25</v>
      </c>
      <c r="B62" s="9">
        <v>46210</v>
      </c>
      <c r="C62" s="10" t="s">
        <v>27</v>
      </c>
      <c r="D62" s="10">
        <v>4</v>
      </c>
      <c r="E62" s="10">
        <v>46</v>
      </c>
      <c r="F62" s="10">
        <v>46</v>
      </c>
      <c r="G62" s="10">
        <v>0</v>
      </c>
      <c r="H62" s="9">
        <v>46208</v>
      </c>
      <c r="I62" s="13" t="s">
        <v>62</v>
      </c>
      <c r="K62" s="10" t="s">
        <v>60</v>
      </c>
    </row>
    <row r="63" spans="1:14" ht="18" customHeight="1" x14ac:dyDescent="0.35">
      <c r="A63" s="10" t="s">
        <v>25</v>
      </c>
      <c r="B63" s="9">
        <v>46210</v>
      </c>
      <c r="C63" s="10" t="s">
        <v>33</v>
      </c>
      <c r="D63" s="10">
        <v>1</v>
      </c>
      <c r="E63" s="10">
        <v>124</v>
      </c>
      <c r="F63" s="10">
        <v>124</v>
      </c>
      <c r="G63" s="10">
        <v>0</v>
      </c>
      <c r="H63" s="9">
        <v>46208</v>
      </c>
      <c r="I63" s="13" t="s">
        <v>56</v>
      </c>
    </row>
    <row r="64" spans="1:14" ht="18" customHeight="1" x14ac:dyDescent="0.35">
      <c r="A64" s="10" t="s">
        <v>25</v>
      </c>
      <c r="B64" s="9">
        <v>46210</v>
      </c>
      <c r="C64" s="10" t="s">
        <v>42</v>
      </c>
      <c r="D64" s="10">
        <v>10</v>
      </c>
      <c r="E64" s="10">
        <v>10</v>
      </c>
      <c r="F64" s="10">
        <v>10</v>
      </c>
      <c r="G64" s="10">
        <v>0</v>
      </c>
      <c r="H64" s="9">
        <v>46208</v>
      </c>
      <c r="I64" s="13" t="s">
        <v>57</v>
      </c>
    </row>
    <row r="65" spans="1:12" ht="18" customHeight="1" x14ac:dyDescent="0.35">
      <c r="A65" s="10" t="s">
        <v>25</v>
      </c>
      <c r="B65" s="9">
        <v>46210</v>
      </c>
      <c r="C65" s="10" t="s">
        <v>48</v>
      </c>
      <c r="D65" s="10">
        <v>3</v>
      </c>
      <c r="E65" s="10">
        <v>41</v>
      </c>
      <c r="F65" s="10">
        <v>41</v>
      </c>
      <c r="G65" s="10">
        <v>0</v>
      </c>
      <c r="H65" s="9">
        <v>46208</v>
      </c>
      <c r="I65" s="13" t="s">
        <v>61</v>
      </c>
      <c r="K65" s="10" t="s">
        <v>60</v>
      </c>
    </row>
    <row r="66" spans="1:12" ht="18" customHeight="1" x14ac:dyDescent="0.35">
      <c r="A66" s="10" t="s">
        <v>25</v>
      </c>
      <c r="B66" s="9">
        <v>46210</v>
      </c>
      <c r="C66" s="10" t="s">
        <v>42</v>
      </c>
      <c r="D66" s="10">
        <v>13</v>
      </c>
      <c r="E66" s="10">
        <v>37.5</v>
      </c>
      <c r="F66" s="10">
        <v>37.5</v>
      </c>
      <c r="G66" s="10">
        <v>0</v>
      </c>
      <c r="H66" s="9">
        <v>46208</v>
      </c>
      <c r="I66" s="13" t="s">
        <v>65</v>
      </c>
      <c r="K66" s="10" t="s">
        <v>60</v>
      </c>
    </row>
    <row r="67" spans="1:12" ht="18" customHeight="1" x14ac:dyDescent="0.35">
      <c r="A67" s="10" t="s">
        <v>25</v>
      </c>
      <c r="B67" s="9">
        <v>46210</v>
      </c>
      <c r="C67" s="10" t="s">
        <v>38</v>
      </c>
      <c r="D67" s="10">
        <v>14</v>
      </c>
      <c r="E67" s="10">
        <v>10</v>
      </c>
      <c r="F67" s="10">
        <v>10</v>
      </c>
      <c r="G67" s="10">
        <v>0</v>
      </c>
      <c r="H67" s="9">
        <v>46208</v>
      </c>
      <c r="I67" s="13" t="s">
        <v>66</v>
      </c>
      <c r="K67" s="10" t="s">
        <v>60</v>
      </c>
    </row>
    <row r="68" spans="1:12" ht="18" customHeight="1" x14ac:dyDescent="0.35">
      <c r="A68" s="10" t="s">
        <v>25</v>
      </c>
      <c r="B68" s="9">
        <v>46210</v>
      </c>
      <c r="C68" s="10" t="s">
        <v>43</v>
      </c>
      <c r="D68" s="10">
        <v>11</v>
      </c>
      <c r="E68" s="10">
        <v>106</v>
      </c>
      <c r="F68" s="10">
        <v>106</v>
      </c>
      <c r="G68" s="10">
        <v>0</v>
      </c>
      <c r="H68" s="9">
        <v>46208</v>
      </c>
      <c r="I68" s="13" t="s">
        <v>67</v>
      </c>
      <c r="K68" s="10" t="s">
        <v>68</v>
      </c>
    </row>
    <row r="69" spans="1:12" ht="18" customHeight="1" x14ac:dyDescent="0.35">
      <c r="A69" s="10" t="s">
        <v>25</v>
      </c>
      <c r="B69" s="9">
        <v>46210</v>
      </c>
      <c r="C69" s="10" t="s">
        <v>43</v>
      </c>
      <c r="D69" s="10">
        <v>2</v>
      </c>
      <c r="E69" s="10">
        <v>154</v>
      </c>
      <c r="F69" s="10">
        <v>154</v>
      </c>
      <c r="G69" s="10">
        <v>0</v>
      </c>
      <c r="H69" s="9">
        <v>46208</v>
      </c>
      <c r="I69" s="13"/>
    </row>
    <row r="70" spans="1:12" ht="18" customHeight="1" x14ac:dyDescent="0.35">
      <c r="A70" s="10" t="s">
        <v>25</v>
      </c>
      <c r="B70" s="9">
        <v>46210</v>
      </c>
      <c r="C70" s="10" t="s">
        <v>34</v>
      </c>
      <c r="D70" s="10">
        <v>22</v>
      </c>
      <c r="E70" s="10">
        <v>22</v>
      </c>
      <c r="F70" s="10">
        <v>22</v>
      </c>
      <c r="G70" s="10">
        <v>0</v>
      </c>
      <c r="H70" s="9">
        <v>46208</v>
      </c>
      <c r="I70" s="13" t="s">
        <v>69</v>
      </c>
      <c r="K70" s="10" t="s">
        <v>28</v>
      </c>
    </row>
    <row r="71" spans="1:12" ht="18" customHeight="1" x14ac:dyDescent="0.35">
      <c r="A71" s="10" t="s">
        <v>25</v>
      </c>
      <c r="B71" s="9">
        <v>46210</v>
      </c>
      <c r="C71" s="10" t="s">
        <v>70</v>
      </c>
      <c r="D71" s="10">
        <v>13</v>
      </c>
      <c r="E71" s="10">
        <v>16</v>
      </c>
      <c r="F71" s="10">
        <v>16</v>
      </c>
      <c r="G71" s="10">
        <v>0</v>
      </c>
      <c r="H71" s="9">
        <v>46208</v>
      </c>
      <c r="I71" s="13"/>
    </row>
    <row r="72" spans="1:12" ht="18" customHeight="1" x14ac:dyDescent="0.35">
      <c r="A72" s="10" t="s">
        <v>25</v>
      </c>
      <c r="B72" s="9">
        <v>46210</v>
      </c>
      <c r="C72" s="10" t="s">
        <v>71</v>
      </c>
      <c r="D72" s="10">
        <v>9</v>
      </c>
      <c r="E72" s="10">
        <v>83</v>
      </c>
      <c r="F72" s="10">
        <v>80</v>
      </c>
      <c r="G72" s="10">
        <v>3</v>
      </c>
      <c r="H72" s="9">
        <v>46208</v>
      </c>
      <c r="I72" s="13" t="s">
        <v>72</v>
      </c>
      <c r="K72" s="10" t="s">
        <v>60</v>
      </c>
    </row>
    <row r="73" spans="1:12" ht="18" customHeight="1" x14ac:dyDescent="0.35">
      <c r="A73" s="10" t="s">
        <v>25</v>
      </c>
      <c r="B73" s="9">
        <v>46210</v>
      </c>
      <c r="C73" s="10" t="s">
        <v>73</v>
      </c>
      <c r="D73" s="10">
        <v>5</v>
      </c>
      <c r="E73" s="10">
        <v>14</v>
      </c>
      <c r="F73" s="10">
        <v>14</v>
      </c>
      <c r="G73" s="10">
        <v>0</v>
      </c>
      <c r="H73" s="9">
        <v>46208</v>
      </c>
      <c r="I73" s="13" t="s">
        <v>74</v>
      </c>
      <c r="K73" s="10" t="s">
        <v>60</v>
      </c>
    </row>
    <row r="74" spans="1:12" ht="18" customHeight="1" x14ac:dyDescent="0.35">
      <c r="A74" s="10" t="s">
        <v>25</v>
      </c>
      <c r="B74" s="9">
        <v>46210</v>
      </c>
      <c r="C74" s="10" t="s">
        <v>36</v>
      </c>
      <c r="D74" s="10">
        <v>9</v>
      </c>
      <c r="E74" s="10">
        <v>53</v>
      </c>
      <c r="F74" s="10">
        <v>53</v>
      </c>
      <c r="G74" s="10">
        <v>0</v>
      </c>
      <c r="H74" s="9">
        <v>46208</v>
      </c>
      <c r="I74" s="13" t="s">
        <v>75</v>
      </c>
      <c r="K74" s="10" t="s">
        <v>28</v>
      </c>
    </row>
    <row r="75" spans="1:12" ht="18" customHeight="1" x14ac:dyDescent="0.35">
      <c r="A75" s="10" t="s">
        <v>25</v>
      </c>
      <c r="B75" s="9">
        <v>46210</v>
      </c>
      <c r="C75" s="10" t="s">
        <v>26</v>
      </c>
      <c r="D75" s="10">
        <v>12</v>
      </c>
      <c r="E75" s="10">
        <v>33</v>
      </c>
      <c r="F75" s="10">
        <v>33</v>
      </c>
      <c r="G75" s="10">
        <v>0</v>
      </c>
      <c r="H75" s="9">
        <v>46208</v>
      </c>
      <c r="I75" s="13" t="s">
        <v>76</v>
      </c>
      <c r="K75" s="10" t="s">
        <v>60</v>
      </c>
    </row>
    <row r="76" spans="1:12" ht="18" customHeight="1" x14ac:dyDescent="0.35">
      <c r="A76" s="10" t="s">
        <v>25</v>
      </c>
      <c r="B76" s="9">
        <v>46210</v>
      </c>
      <c r="C76" s="10" t="s">
        <v>26</v>
      </c>
      <c r="D76" s="10">
        <v>11</v>
      </c>
      <c r="E76" s="10">
        <v>56</v>
      </c>
      <c r="F76" s="10">
        <v>56</v>
      </c>
      <c r="G76" s="10">
        <v>0</v>
      </c>
      <c r="H76" s="9">
        <v>46208</v>
      </c>
      <c r="I76" s="13" t="s">
        <v>77</v>
      </c>
    </row>
    <row r="77" spans="1:12" ht="18" customHeight="1" x14ac:dyDescent="0.35">
      <c r="A77" s="10" t="s">
        <v>25</v>
      </c>
      <c r="B77" s="9">
        <v>46210</v>
      </c>
      <c r="C77" s="10" t="s">
        <v>51</v>
      </c>
      <c r="D77" s="10">
        <v>35</v>
      </c>
      <c r="E77" s="10">
        <v>53</v>
      </c>
      <c r="F77" s="10">
        <v>53</v>
      </c>
      <c r="G77" s="10">
        <v>0</v>
      </c>
      <c r="H77" s="9">
        <v>46208</v>
      </c>
      <c r="I77" s="13" t="s">
        <v>78</v>
      </c>
      <c r="K77" s="10" t="s">
        <v>60</v>
      </c>
      <c r="L77">
        <f>SUM(E53:E77)</f>
        <v>1111.5</v>
      </c>
    </row>
    <row r="78" spans="1:12" ht="18" customHeight="1" x14ac:dyDescent="0.35">
      <c r="A78" s="10" t="s">
        <v>25</v>
      </c>
      <c r="B78" s="9">
        <v>46210</v>
      </c>
      <c r="C78" s="10" t="s">
        <v>30</v>
      </c>
      <c r="D78" s="10">
        <v>6</v>
      </c>
      <c r="E78" s="10">
        <v>36</v>
      </c>
      <c r="F78" s="10">
        <v>36</v>
      </c>
      <c r="G78" s="10">
        <v>0</v>
      </c>
      <c r="H78" s="9">
        <v>46208</v>
      </c>
      <c r="I78" s="13" t="s">
        <v>79</v>
      </c>
      <c r="K78" s="10" t="s">
        <v>28</v>
      </c>
    </row>
    <row r="79" spans="1:12" ht="18" customHeight="1" x14ac:dyDescent="0.35">
      <c r="A79" s="10" t="s">
        <v>25</v>
      </c>
      <c r="B79" s="9">
        <v>46210</v>
      </c>
      <c r="C79" s="10" t="s">
        <v>30</v>
      </c>
      <c r="D79" s="10">
        <v>27</v>
      </c>
      <c r="E79" s="10">
        <v>13</v>
      </c>
      <c r="F79" s="10">
        <v>13</v>
      </c>
      <c r="G79" s="10">
        <v>0</v>
      </c>
      <c r="H79" s="9">
        <v>46208</v>
      </c>
      <c r="I79" s="13" t="s">
        <v>80</v>
      </c>
    </row>
    <row r="80" spans="1:12" ht="18" customHeight="1" x14ac:dyDescent="0.35">
      <c r="A80" s="10" t="s">
        <v>25</v>
      </c>
      <c r="B80" s="9">
        <v>46210</v>
      </c>
      <c r="C80" s="10" t="s">
        <v>30</v>
      </c>
      <c r="D80" s="10">
        <v>7</v>
      </c>
      <c r="E80" s="10">
        <v>16</v>
      </c>
      <c r="F80" s="10">
        <v>16</v>
      </c>
      <c r="G80" s="10">
        <v>0</v>
      </c>
      <c r="H80" s="9">
        <v>46208</v>
      </c>
      <c r="I80" s="13" t="s">
        <v>81</v>
      </c>
      <c r="K80" s="10" t="s">
        <v>60</v>
      </c>
    </row>
    <row r="81" spans="1:12" ht="18" customHeight="1" x14ac:dyDescent="0.35">
      <c r="A81" s="10" t="s">
        <v>25</v>
      </c>
      <c r="B81" s="9">
        <v>46210</v>
      </c>
      <c r="C81" s="10" t="s">
        <v>45</v>
      </c>
      <c r="D81" s="10">
        <v>13</v>
      </c>
      <c r="E81" s="10">
        <v>92</v>
      </c>
      <c r="F81" s="10">
        <v>92</v>
      </c>
      <c r="G81" s="10">
        <v>0</v>
      </c>
      <c r="H81" s="9">
        <v>46208</v>
      </c>
      <c r="I81" s="13" t="s">
        <v>82</v>
      </c>
      <c r="K81" s="10" t="s">
        <v>60</v>
      </c>
    </row>
    <row r="82" spans="1:12" ht="18" customHeight="1" x14ac:dyDescent="0.35">
      <c r="A82" s="10" t="s">
        <v>25</v>
      </c>
      <c r="B82" s="9">
        <v>46210</v>
      </c>
      <c r="C82" s="10" t="s">
        <v>83</v>
      </c>
      <c r="D82" s="10">
        <v>6</v>
      </c>
      <c r="E82" s="10">
        <v>33</v>
      </c>
      <c r="F82" s="10">
        <v>33</v>
      </c>
      <c r="G82" s="10">
        <v>0</v>
      </c>
      <c r="H82" s="9">
        <v>46208</v>
      </c>
      <c r="I82" s="13" t="s">
        <v>84</v>
      </c>
      <c r="K82" s="10" t="s">
        <v>60</v>
      </c>
    </row>
    <row r="83" spans="1:12" ht="18" customHeight="1" x14ac:dyDescent="0.35">
      <c r="A83" s="10" t="s">
        <v>25</v>
      </c>
      <c r="B83" s="9">
        <v>46210</v>
      </c>
      <c r="C83" s="10" t="s">
        <v>73</v>
      </c>
      <c r="D83" s="10">
        <v>8</v>
      </c>
      <c r="E83" s="10">
        <v>20</v>
      </c>
      <c r="F83" s="10">
        <v>20</v>
      </c>
      <c r="G83" s="10">
        <v>0</v>
      </c>
      <c r="H83" s="9">
        <v>46208</v>
      </c>
      <c r="I83" s="13" t="s">
        <v>85</v>
      </c>
      <c r="K83" s="10" t="s">
        <v>60</v>
      </c>
    </row>
    <row r="84" spans="1:12" ht="18" customHeight="1" x14ac:dyDescent="0.35">
      <c r="A84" s="10" t="s">
        <v>25</v>
      </c>
      <c r="B84" s="9">
        <v>46210</v>
      </c>
      <c r="C84" s="10" t="s">
        <v>50</v>
      </c>
      <c r="D84" s="10">
        <v>2</v>
      </c>
      <c r="E84" s="10">
        <v>60</v>
      </c>
      <c r="F84" s="10">
        <v>0</v>
      </c>
      <c r="G84" s="10">
        <v>60</v>
      </c>
      <c r="H84" s="9">
        <v>46208</v>
      </c>
      <c r="I84" s="13" t="s">
        <v>86</v>
      </c>
      <c r="K84" s="10" t="s">
        <v>60</v>
      </c>
    </row>
    <row r="85" spans="1:12" ht="18" customHeight="1" x14ac:dyDescent="0.35">
      <c r="A85" s="10" t="s">
        <v>25</v>
      </c>
      <c r="B85" s="9">
        <v>46210</v>
      </c>
      <c r="C85" s="10" t="s">
        <v>70</v>
      </c>
      <c r="D85" s="10">
        <v>4</v>
      </c>
      <c r="E85" s="10">
        <v>57</v>
      </c>
      <c r="F85" s="10">
        <v>57</v>
      </c>
      <c r="G85" s="10">
        <v>0</v>
      </c>
      <c r="H85" s="9">
        <v>46208</v>
      </c>
      <c r="I85" s="13" t="s">
        <v>77</v>
      </c>
    </row>
    <row r="86" spans="1:12" ht="18" customHeight="1" x14ac:dyDescent="0.35">
      <c r="A86" s="10" t="s">
        <v>25</v>
      </c>
      <c r="B86" s="9">
        <v>46210</v>
      </c>
      <c r="C86" s="10" t="s">
        <v>50</v>
      </c>
      <c r="D86" s="10">
        <v>5</v>
      </c>
      <c r="E86" s="10">
        <v>74</v>
      </c>
      <c r="F86" s="10">
        <v>74</v>
      </c>
      <c r="G86" s="10">
        <v>0</v>
      </c>
      <c r="H86" s="9">
        <v>46208</v>
      </c>
      <c r="I86" s="13" t="s">
        <v>87</v>
      </c>
      <c r="K86" s="10" t="s">
        <v>28</v>
      </c>
    </row>
    <row r="87" spans="1:12" ht="18" customHeight="1" x14ac:dyDescent="0.35">
      <c r="A87" s="10" t="s">
        <v>25</v>
      </c>
      <c r="B87" s="9">
        <v>46210</v>
      </c>
      <c r="C87" s="10" t="s">
        <v>32</v>
      </c>
      <c r="D87" s="10">
        <v>12</v>
      </c>
      <c r="E87" s="10">
        <v>30</v>
      </c>
      <c r="F87" s="10">
        <v>0</v>
      </c>
      <c r="G87" s="10">
        <v>30</v>
      </c>
      <c r="H87" s="9">
        <v>46208</v>
      </c>
      <c r="I87" s="13" t="s">
        <v>88</v>
      </c>
      <c r="K87" s="10" t="s">
        <v>60</v>
      </c>
    </row>
    <row r="88" spans="1:12" ht="18" customHeight="1" x14ac:dyDescent="0.35">
      <c r="A88" s="10" t="s">
        <v>25</v>
      </c>
      <c r="B88" s="9">
        <v>46210</v>
      </c>
      <c r="C88" s="10" t="s">
        <v>41</v>
      </c>
      <c r="D88" s="10">
        <v>14</v>
      </c>
      <c r="E88" s="10">
        <v>20</v>
      </c>
      <c r="F88" s="10">
        <v>20</v>
      </c>
      <c r="G88" s="10">
        <v>0</v>
      </c>
      <c r="H88" s="9">
        <v>46208</v>
      </c>
      <c r="I88" s="13" t="s">
        <v>89</v>
      </c>
      <c r="K88" s="10" t="s">
        <v>60</v>
      </c>
    </row>
    <row r="89" spans="1:12" ht="18" customHeight="1" x14ac:dyDescent="0.35">
      <c r="A89" s="10" t="s">
        <v>25</v>
      </c>
      <c r="B89" s="9">
        <v>46210</v>
      </c>
      <c r="C89" s="10" t="s">
        <v>42</v>
      </c>
      <c r="D89" s="10">
        <v>20</v>
      </c>
      <c r="E89" s="10">
        <v>28</v>
      </c>
      <c r="F89" s="10">
        <v>28</v>
      </c>
      <c r="G89" s="10">
        <v>0</v>
      </c>
      <c r="H89" s="9">
        <v>46208</v>
      </c>
      <c r="I89" s="13" t="s">
        <v>90</v>
      </c>
      <c r="K89" s="10" t="s">
        <v>60</v>
      </c>
    </row>
    <row r="90" spans="1:12" ht="18" customHeight="1" x14ac:dyDescent="0.35">
      <c r="A90" s="10" t="s">
        <v>25</v>
      </c>
      <c r="B90" s="9">
        <v>46210</v>
      </c>
      <c r="C90" s="10" t="s">
        <v>36</v>
      </c>
      <c r="D90" s="10">
        <v>7</v>
      </c>
      <c r="E90" s="10">
        <v>66</v>
      </c>
      <c r="F90" s="10">
        <v>66</v>
      </c>
      <c r="G90" s="10">
        <v>0</v>
      </c>
      <c r="H90" s="9">
        <v>46208</v>
      </c>
      <c r="I90" s="13" t="s">
        <v>91</v>
      </c>
    </row>
    <row r="91" spans="1:12" ht="18" customHeight="1" x14ac:dyDescent="0.35">
      <c r="A91" s="10" t="s">
        <v>25</v>
      </c>
      <c r="B91" s="9">
        <v>46210</v>
      </c>
      <c r="C91" s="10" t="s">
        <v>32</v>
      </c>
      <c r="D91" s="10">
        <v>11</v>
      </c>
      <c r="E91" s="10">
        <v>100</v>
      </c>
      <c r="F91" s="10">
        <v>100</v>
      </c>
      <c r="G91" s="10">
        <v>0</v>
      </c>
      <c r="H91" s="9">
        <v>46208</v>
      </c>
      <c r="I91" s="13" t="s">
        <v>92</v>
      </c>
      <c r="K91" s="10" t="s">
        <v>60</v>
      </c>
    </row>
    <row r="92" spans="1:12" ht="18" customHeight="1" x14ac:dyDescent="0.35">
      <c r="A92" s="10" t="s">
        <v>25</v>
      </c>
      <c r="B92" s="9">
        <v>46210</v>
      </c>
      <c r="C92" s="10" t="s">
        <v>31</v>
      </c>
      <c r="D92" s="10">
        <v>4</v>
      </c>
      <c r="E92" s="10">
        <v>41</v>
      </c>
      <c r="F92" s="10">
        <v>41</v>
      </c>
      <c r="G92" s="10">
        <v>0</v>
      </c>
      <c r="H92" s="9">
        <v>46208</v>
      </c>
      <c r="I92" s="13"/>
      <c r="K92" s="10" t="s">
        <v>60</v>
      </c>
    </row>
    <row r="93" spans="1:12" ht="18" customHeight="1" x14ac:dyDescent="0.35">
      <c r="A93" s="10" t="s">
        <v>25</v>
      </c>
      <c r="B93" s="9">
        <v>46210</v>
      </c>
      <c r="C93" s="10" t="s">
        <v>42</v>
      </c>
      <c r="D93" s="10">
        <v>4</v>
      </c>
      <c r="E93" s="10">
        <v>75</v>
      </c>
      <c r="F93" s="10">
        <v>75</v>
      </c>
      <c r="G93" s="10">
        <v>0</v>
      </c>
      <c r="H93" s="9">
        <v>46208</v>
      </c>
      <c r="I93" s="13" t="s">
        <v>93</v>
      </c>
      <c r="K93" s="10" t="s">
        <v>60</v>
      </c>
      <c r="L93">
        <f>SUM(E78:E93)</f>
        <v>761</v>
      </c>
    </row>
    <row r="94" spans="1:12" ht="18" customHeight="1" x14ac:dyDescent="0.35">
      <c r="A94" s="10" t="s">
        <v>25</v>
      </c>
      <c r="B94" s="9">
        <v>46218</v>
      </c>
      <c r="C94" s="10" t="s">
        <v>33</v>
      </c>
      <c r="D94" s="10">
        <v>6</v>
      </c>
      <c r="E94" s="10">
        <v>54</v>
      </c>
      <c r="F94" s="10">
        <v>54</v>
      </c>
      <c r="G94" s="10">
        <v>0</v>
      </c>
      <c r="H94" s="9">
        <v>46208</v>
      </c>
      <c r="I94" s="13" t="s">
        <v>131</v>
      </c>
    </row>
    <row r="95" spans="1:12" ht="18" customHeight="1" x14ac:dyDescent="0.35">
      <c r="I95" s="13"/>
    </row>
    <row r="96" spans="1:12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</sheetData>
  <autoFilter ref="A2:N93" xr:uid="{00000000-0001-0000-0000-000000000000}"/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498" xr:uid="{00000000-0002-0000-0000-000000000000}">
      <formula1>"reclamo,compromiso,exoneracion,otros"</formula1>
    </dataValidation>
  </dataValidations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100-000000000000}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200-000000000000}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2026-07-03T10:08:54Z</dcterms:created>
  <dcterms:modified xsi:type="dcterms:W3CDTF">2026-07-15T10:28:11Z</dcterms:modified>
</cp:coreProperties>
</file>